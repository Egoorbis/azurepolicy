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https://centerforinternetsecurity-my.sharepoint.com/personal/ian_mcree_cisecurity_org/Documents/Documents/Benchmarks/2 - Azure/! Foundations Benchmarks/Foundations v5_0/FINAL/"/>
    </mc:Choice>
  </mc:AlternateContent>
  <xr:revisionPtr revIDLastSave="63" documentId="11_C213984C72A7DE00E54D4BBDB32C6961AB8F6A8A" xr6:coauthVersionLast="47" xr6:coauthVersionMax="47" xr10:uidLastSave="{ED54746D-BE46-4C84-89FE-7240D244F0F7}"/>
  <bookViews>
    <workbookView xWindow="-105" yWindow="0" windowWidth="26010" windowHeight="20985" xr2:uid="{00000000-000D-0000-FFFF-FFFF00000000}"/>
  </bookViews>
  <sheets>
    <sheet name="License" sheetId="1" r:id="rId1"/>
    <sheet name="Level 1" sheetId="2" r:id="rId2"/>
    <sheet name="Level 2" sheetId="3" r:id="rId3"/>
    <sheet name="Combined Profiles" sheetId="4" r:id="rId4"/>
    <sheet name="MITRE ATT&amp;CK Mappings" sheetId="6" r:id="rId5"/>
    <sheet name="MITRE ATT&amp;CK Filtering" sheetId="7" r:id="rId6"/>
  </sheets>
  <externalReferences>
    <externalReference r:id="rId7"/>
    <externalReference r:id="rId8"/>
  </externalReferences>
  <definedNames>
    <definedName name="_xlnm._FilterDatabase" localSheetId="5" hidden="1">'MITRE ATT&amp;CK Filtering'!$A$5:$K$1003</definedName>
    <definedName name="IG_CTRL" localSheetId="5">'[2]IG Def (7.1)'!$A:$A</definedName>
    <definedName name="IG_CTRL">#REF!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7" l="1"/>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A258" i="7" l="1"/>
  <c r="A526" i="7"/>
  <c r="A136" i="7"/>
  <c r="A555" i="7"/>
  <c r="A350" i="7"/>
  <c r="A47" i="7"/>
  <c r="A559" i="7"/>
  <c r="A30" i="7"/>
  <c r="A210" i="7"/>
  <c r="A378" i="7"/>
  <c r="A275" i="7"/>
  <c r="A254" i="7"/>
  <c r="A36" i="7"/>
  <c r="A155" i="7"/>
  <c r="A570" i="7"/>
  <c r="A431" i="7"/>
  <c r="A544" i="7"/>
  <c r="A21" i="7"/>
  <c r="A123" i="7"/>
  <c r="A6" i="7"/>
  <c r="A666" i="7"/>
  <c r="A134" i="7"/>
  <c r="A34" i="7"/>
  <c r="A730" i="7"/>
  <c r="A32" i="7"/>
  <c r="A212" i="7"/>
  <c r="A860" i="7"/>
  <c r="A380" i="7"/>
  <c r="A300" i="7"/>
  <c r="A677" i="7"/>
  <c r="A791" i="7"/>
  <c r="A151" i="7"/>
  <c r="A308" i="7"/>
  <c r="A231" i="7"/>
  <c r="A87" i="7"/>
  <c r="A376" i="7"/>
  <c r="A553" i="7"/>
  <c r="A815" i="7"/>
  <c r="A20" i="7"/>
  <c r="A86" i="7"/>
  <c r="A109" i="7"/>
  <c r="A131" i="7"/>
  <c r="A273" i="7"/>
  <c r="A304" i="7"/>
  <c r="A528" i="7"/>
  <c r="A790" i="7"/>
  <c r="A861" i="7"/>
  <c r="A899" i="7"/>
  <c r="A55" i="7"/>
  <c r="A118" i="7"/>
  <c r="A189" i="7"/>
  <c r="A264" i="7"/>
  <c r="A470" i="7"/>
  <c r="A178" i="7"/>
  <c r="A262" i="7"/>
  <c r="A342" i="7"/>
  <c r="A859" i="7"/>
  <c r="A410" i="7"/>
  <c r="A157" i="7"/>
  <c r="A473" i="7"/>
  <c r="A513" i="7"/>
  <c r="A655" i="7"/>
  <c r="A795" i="7"/>
  <c r="A462" i="7"/>
  <c r="A502" i="7"/>
  <c r="A542" i="7"/>
  <c r="A624" i="7"/>
  <c r="A242" i="7"/>
  <c r="A551" i="7"/>
  <c r="A733" i="7"/>
  <c r="A753" i="7"/>
  <c r="A764" i="7"/>
  <c r="A19" i="7"/>
  <c r="A92" i="7"/>
  <c r="A338" i="7"/>
  <c r="A662" i="7"/>
  <c r="A132" i="7"/>
  <c r="A216" i="7"/>
  <c r="A234" i="7"/>
  <c r="A296" i="7"/>
  <c r="A336" i="7"/>
  <c r="A389" i="7"/>
  <c r="A631" i="7"/>
  <c r="A722" i="7"/>
  <c r="A90" i="7"/>
  <c r="A121" i="7"/>
  <c r="A201" i="7"/>
  <c r="A294" i="7"/>
  <c r="A478" i="7"/>
  <c r="A489" i="7"/>
  <c r="A518" i="7"/>
  <c r="A691" i="7"/>
  <c r="A317" i="7"/>
  <c r="A243" i="7"/>
  <c r="A252" i="7"/>
  <c r="A283" i="7"/>
  <c r="A447" i="7"/>
  <c r="A569" i="7"/>
  <c r="A871" i="7"/>
  <c r="A241" i="7"/>
  <c r="A396" i="7"/>
  <c r="A427" i="7"/>
  <c r="A578" i="7"/>
  <c r="A749" i="7"/>
  <c r="A24" i="7"/>
  <c r="A516" i="7"/>
  <c r="A767" i="7"/>
  <c r="A858" i="7"/>
  <c r="A66" i="7"/>
  <c r="A334" i="7"/>
  <c r="A363" i="7"/>
  <c r="A394" i="7"/>
  <c r="A616" i="7"/>
  <c r="A653" i="7"/>
  <c r="A22" i="7"/>
  <c r="A35" i="7"/>
  <c r="A46" i="7"/>
  <c r="A250" i="7"/>
  <c r="A310" i="7"/>
  <c r="A636" i="7"/>
  <c r="A339" i="7"/>
  <c r="A348" i="7"/>
  <c r="A723" i="7"/>
  <c r="A193" i="7"/>
  <c r="A306" i="7"/>
  <c r="A359" i="7"/>
  <c r="A592" i="7"/>
  <c r="A18" i="7"/>
  <c r="A162" i="7"/>
  <c r="A561" i="7"/>
  <c r="A581" i="7"/>
  <c r="A721" i="7"/>
  <c r="A297" i="7"/>
  <c r="A321" i="7"/>
  <c r="A554" i="7"/>
  <c r="A612" i="7"/>
  <c r="A700" i="7"/>
  <c r="A784" i="7"/>
  <c r="A808" i="7"/>
  <c r="A846" i="7"/>
  <c r="A17" i="7"/>
  <c r="A56" i="7"/>
  <c r="A67" i="7"/>
  <c r="A120" i="7"/>
  <c r="A144" i="7"/>
  <c r="A199" i="7"/>
  <c r="A260" i="7"/>
  <c r="A295" i="7"/>
  <c r="A319" i="7"/>
  <c r="A341" i="7"/>
  <c r="A349" i="7"/>
  <c r="A395" i="7"/>
  <c r="A422" i="7"/>
  <c r="A460" i="7"/>
  <c r="A511" i="7"/>
  <c r="A552" i="7"/>
  <c r="A601" i="7"/>
  <c r="A634" i="7"/>
  <c r="A643" i="7"/>
  <c r="A718" i="7"/>
  <c r="A742" i="7"/>
  <c r="A804" i="7"/>
  <c r="A824" i="7"/>
  <c r="A879" i="7"/>
  <c r="A898" i="7"/>
  <c r="A878" i="7"/>
  <c r="A778" i="7"/>
  <c r="A188" i="7"/>
  <c r="A197" i="7"/>
  <c r="A269" i="7"/>
  <c r="A347" i="7"/>
  <c r="A356" i="7"/>
  <c r="A387" i="7"/>
  <c r="A429" i="7"/>
  <c r="A449" i="7"/>
  <c r="A471" i="7"/>
  <c r="A500" i="7"/>
  <c r="A550" i="7"/>
  <c r="A557" i="7"/>
  <c r="A610" i="7"/>
  <c r="A676" i="7"/>
  <c r="A687" i="7"/>
  <c r="A698" i="7"/>
  <c r="A771" i="7"/>
  <c r="A773" i="7"/>
  <c r="A782" i="7"/>
  <c r="A897" i="7"/>
  <c r="A280" i="7"/>
  <c r="A291" i="7"/>
  <c r="A352" i="7"/>
  <c r="A418" i="7"/>
  <c r="A420" i="7"/>
  <c r="A458" i="7"/>
  <c r="A469" i="7"/>
  <c r="A524" i="7"/>
  <c r="A599" i="7"/>
  <c r="A641" i="7"/>
  <c r="A696" i="7"/>
  <c r="A707" i="7"/>
  <c r="A729" i="7"/>
  <c r="A740" i="7"/>
  <c r="A780" i="7"/>
  <c r="A802" i="7"/>
  <c r="A811" i="7"/>
  <c r="A872" i="7"/>
  <c r="A10" i="7"/>
  <c r="A98" i="7"/>
  <c r="A63" i="7"/>
  <c r="A504" i="7"/>
  <c r="A520" i="7"/>
  <c r="A597" i="7"/>
  <c r="A650" i="7"/>
  <c r="A669" i="7"/>
  <c r="A738" i="7"/>
  <c r="A760" i="7"/>
  <c r="A769" i="7"/>
  <c r="A89" i="7"/>
  <c r="A140" i="7"/>
  <c r="A13" i="7"/>
  <c r="A41" i="7"/>
  <c r="A129" i="7"/>
  <c r="A173" i="7"/>
  <c r="A182" i="7"/>
  <c r="A267" i="7"/>
  <c r="A337" i="7"/>
  <c r="A361" i="7"/>
  <c r="A416" i="7"/>
  <c r="A436" i="7"/>
  <c r="A487" i="7"/>
  <c r="A531" i="7"/>
  <c r="A566" i="7"/>
  <c r="A606" i="7"/>
  <c r="A623" i="7"/>
  <c r="A639" i="7"/>
  <c r="A683" i="7"/>
  <c r="A694" i="7"/>
  <c r="A789" i="7"/>
  <c r="A800" i="7"/>
  <c r="A840" i="7"/>
  <c r="A851" i="7"/>
  <c r="A866" i="7"/>
  <c r="A26" i="7"/>
  <c r="A61" i="7"/>
  <c r="A78" i="7"/>
  <c r="A83" i="7"/>
  <c r="A94" i="7"/>
  <c r="A149" i="7"/>
  <c r="A166" i="7"/>
  <c r="A171" i="7"/>
  <c r="A239" i="7"/>
  <c r="A284" i="7"/>
  <c r="A302" i="7"/>
  <c r="A370" i="7"/>
  <c r="A434" i="7"/>
  <c r="A476" i="7"/>
  <c r="A507" i="7"/>
  <c r="A540" i="7"/>
  <c r="A595" i="7"/>
  <c r="A736" i="7"/>
  <c r="A747" i="7"/>
  <c r="A758" i="7"/>
  <c r="A864" i="7"/>
  <c r="A853" i="7"/>
  <c r="A833" i="7"/>
  <c r="A52" i="7"/>
  <c r="A39" i="7"/>
  <c r="A81" i="7"/>
  <c r="A127" i="7"/>
  <c r="A138" i="7"/>
  <c r="A215" i="7"/>
  <c r="A223" i="7"/>
  <c r="A276" i="7"/>
  <c r="A287" i="7"/>
  <c r="A315" i="7"/>
  <c r="A333" i="7"/>
  <c r="A383" i="7"/>
  <c r="A423" i="7"/>
  <c r="A454" i="7"/>
  <c r="A496" i="7"/>
  <c r="A562" i="7"/>
  <c r="A637" i="7"/>
  <c r="A654" i="7"/>
  <c r="A670" i="7"/>
  <c r="A681" i="7"/>
  <c r="A787" i="7"/>
  <c r="A793" i="7"/>
  <c r="A820" i="7"/>
  <c r="A50" i="7"/>
  <c r="A59" i="7"/>
  <c r="A76" i="7"/>
  <c r="A79" i="7"/>
  <c r="A180" i="7"/>
  <c r="A226" i="7"/>
  <c r="A311" i="7"/>
  <c r="A322" i="7"/>
  <c r="A381" i="7"/>
  <c r="A392" i="7"/>
  <c r="A412" i="7"/>
  <c r="A432" i="7"/>
  <c r="A443" i="7"/>
  <c r="A474" i="7"/>
  <c r="A494" i="7"/>
  <c r="A584" i="7"/>
  <c r="A593" i="7"/>
  <c r="A646" i="7"/>
  <c r="A652" i="7"/>
  <c r="A827" i="7"/>
  <c r="A831" i="7"/>
  <c r="A160" i="7"/>
  <c r="A167" i="7"/>
  <c r="A213" i="7"/>
  <c r="A224" i="7"/>
  <c r="A235" i="7"/>
  <c r="A379" i="7"/>
  <c r="A421" i="7"/>
  <c r="A441" i="7"/>
  <c r="A452" i="7"/>
  <c r="A463" i="7"/>
  <c r="A547" i="7"/>
  <c r="A560" i="7"/>
  <c r="A577" i="7"/>
  <c r="A602" i="7"/>
  <c r="A635" i="7"/>
  <c r="A679" i="7"/>
  <c r="A807" i="7"/>
  <c r="A37" i="7"/>
  <c r="A57" i="7"/>
  <c r="A74" i="7"/>
  <c r="A77" i="7"/>
  <c r="A112" i="7"/>
  <c r="A246" i="7"/>
  <c r="A326" i="7"/>
  <c r="A344" i="7"/>
  <c r="A357" i="7"/>
  <c r="A390" i="7"/>
  <c r="A472" i="7"/>
  <c r="A536" i="7"/>
  <c r="A571" i="7"/>
  <c r="A582" i="7"/>
  <c r="A613" i="7"/>
  <c r="A644" i="7"/>
  <c r="A847" i="7"/>
  <c r="A880" i="7"/>
  <c r="A143" i="7"/>
  <c r="A154" i="7"/>
  <c r="A187" i="7"/>
  <c r="A233" i="7"/>
  <c r="A329" i="7"/>
  <c r="A401" i="7"/>
  <c r="A558" i="7"/>
  <c r="A600" i="7"/>
  <c r="A848" i="7"/>
  <c r="A788" i="7"/>
  <c r="A748" i="7"/>
  <c r="A708" i="7"/>
  <c r="A688" i="7"/>
  <c r="A648" i="7"/>
  <c r="A608" i="7"/>
  <c r="A568" i="7"/>
  <c r="A508" i="7"/>
  <c r="A448" i="7"/>
  <c r="A428" i="7"/>
  <c r="A368" i="7"/>
  <c r="A328" i="7"/>
  <c r="A268" i="7"/>
  <c r="A208" i="7"/>
  <c r="A168" i="7"/>
  <c r="A128" i="7"/>
  <c r="A108" i="7"/>
  <c r="A88" i="7"/>
  <c r="A48" i="7"/>
  <c r="A28" i="7"/>
  <c r="A8" i="7"/>
  <c r="A465" i="7"/>
  <c r="A65" i="7"/>
  <c r="A33" i="7"/>
  <c r="A44" i="7"/>
  <c r="A72" i="7"/>
  <c r="A75" i="7"/>
  <c r="A257" i="7"/>
  <c r="A353" i="7"/>
  <c r="A364" i="7"/>
  <c r="A375" i="7"/>
  <c r="A399" i="7"/>
  <c r="A459" i="7"/>
  <c r="A501" i="7"/>
  <c r="A589" i="7"/>
  <c r="A611" i="7"/>
  <c r="A620" i="7"/>
  <c r="A642" i="7"/>
  <c r="A697" i="7"/>
  <c r="A719" i="7"/>
  <c r="A750" i="7"/>
  <c r="A761" i="7"/>
  <c r="A783" i="7"/>
  <c r="A869" i="7"/>
  <c r="A7" i="7"/>
  <c r="A31" i="7"/>
  <c r="A64" i="7"/>
  <c r="A97" i="7"/>
  <c r="A119" i="7"/>
  <c r="A130" i="7"/>
  <c r="A163" i="7"/>
  <c r="A174" i="7"/>
  <c r="A196" i="7"/>
  <c r="A204" i="7"/>
  <c r="A281" i="7"/>
  <c r="A318" i="7"/>
  <c r="A386" i="7"/>
  <c r="A437" i="7"/>
  <c r="A512" i="7"/>
  <c r="A521" i="7"/>
  <c r="A529" i="7"/>
  <c r="A538" i="7"/>
  <c r="A543" i="7"/>
  <c r="A692" i="7"/>
  <c r="A706" i="7"/>
  <c r="A739" i="7"/>
  <c r="A801" i="7"/>
  <c r="A867" i="7"/>
  <c r="A887" i="7"/>
  <c r="A14" i="7"/>
  <c r="A29" i="7"/>
  <c r="A70" i="7"/>
  <c r="A73" i="7"/>
  <c r="A147" i="7"/>
  <c r="A202" i="7"/>
  <c r="A220" i="7"/>
  <c r="A397" i="7"/>
  <c r="A457" i="7"/>
  <c r="A479" i="7"/>
  <c r="A490" i="7"/>
  <c r="A527" i="7"/>
  <c r="A532" i="7"/>
  <c r="A690" i="7"/>
  <c r="A695" i="7"/>
  <c r="A715" i="7"/>
  <c r="A734" i="7"/>
  <c r="A759" i="7"/>
  <c r="A770" i="7"/>
  <c r="A62" i="7"/>
  <c r="A84" i="7"/>
  <c r="A117" i="7"/>
  <c r="A172" i="7"/>
  <c r="A207" i="7"/>
  <c r="A255" i="7"/>
  <c r="A266" i="7"/>
  <c r="A292" i="7"/>
  <c r="A384" i="7"/>
  <c r="A406" i="7"/>
  <c r="A417" i="7"/>
  <c r="A483" i="7"/>
  <c r="A497" i="7"/>
  <c r="A541" i="7"/>
  <c r="A596" i="7"/>
  <c r="A607" i="7"/>
  <c r="A618" i="7"/>
  <c r="A673" i="7"/>
  <c r="A684" i="7"/>
  <c r="A704" i="7"/>
  <c r="A717" i="7"/>
  <c r="A732" i="7"/>
  <c r="A737" i="7"/>
  <c r="A779" i="7"/>
  <c r="A884" i="7"/>
  <c r="A844" i="7"/>
  <c r="A42" i="7"/>
  <c r="A71" i="7"/>
  <c r="A101" i="7"/>
  <c r="A115" i="7"/>
  <c r="A126" i="7"/>
  <c r="A139" i="7"/>
  <c r="A150" i="7"/>
  <c r="A161" i="7"/>
  <c r="A170" i="7"/>
  <c r="A181" i="7"/>
  <c r="A192" i="7"/>
  <c r="A227" i="7"/>
  <c r="A238" i="7"/>
  <c r="A253" i="7"/>
  <c r="A277" i="7"/>
  <c r="A371" i="7"/>
  <c r="A466" i="7"/>
  <c r="A574" i="7"/>
  <c r="A627" i="7"/>
  <c r="A649" i="7"/>
  <c r="A693" i="7"/>
  <c r="A726" i="7"/>
  <c r="A766" i="7"/>
  <c r="A803" i="7"/>
  <c r="A60" i="7"/>
  <c r="A80" i="7"/>
  <c r="A104" i="7"/>
  <c r="A148" i="7"/>
  <c r="A159" i="7"/>
  <c r="A249" i="7"/>
  <c r="A299" i="7"/>
  <c r="A307" i="7"/>
  <c r="A323" i="7"/>
  <c r="A360" i="7"/>
  <c r="A413" i="7"/>
  <c r="A433" i="7"/>
  <c r="A455" i="7"/>
  <c r="A464" i="7"/>
  <c r="A475" i="7"/>
  <c r="A486" i="7"/>
  <c r="A506" i="7"/>
  <c r="A517" i="7"/>
  <c r="A539" i="7"/>
  <c r="A563" i="7"/>
  <c r="A594" i="7"/>
  <c r="A638" i="7"/>
  <c r="A671" i="7"/>
  <c r="A735" i="7"/>
  <c r="A777" i="7"/>
  <c r="A882" i="7"/>
  <c r="A23" i="7"/>
  <c r="A38" i="7"/>
  <c r="A102" i="7"/>
  <c r="A113" i="7"/>
  <c r="A244" i="7"/>
  <c r="A286" i="7"/>
  <c r="A314" i="7"/>
  <c r="A369" i="7"/>
  <c r="A391" i="7"/>
  <c r="A402" i="7"/>
  <c r="A444" i="7"/>
  <c r="A495" i="7"/>
  <c r="A515" i="7"/>
  <c r="A583" i="7"/>
  <c r="A647" i="7"/>
  <c r="A658" i="7"/>
  <c r="A680" i="7"/>
  <c r="A711" i="7"/>
  <c r="A821" i="7"/>
  <c r="A883" i="7"/>
  <c r="A169" i="7"/>
  <c r="A203" i="7"/>
  <c r="A222" i="7"/>
  <c r="A327" i="7"/>
  <c r="A346" i="7"/>
  <c r="A398" i="7"/>
  <c r="A411" i="7"/>
  <c r="A438" i="7"/>
  <c r="A484" i="7"/>
  <c r="A503" i="7"/>
  <c r="A530" i="7"/>
  <c r="A588" i="7"/>
  <c r="A651" i="7"/>
  <c r="A668" i="7"/>
  <c r="A689" i="7"/>
  <c r="A703" i="7"/>
  <c r="A712" i="7"/>
  <c r="A731" i="7"/>
  <c r="A754" i="7"/>
  <c r="A775" i="7"/>
  <c r="A798" i="7"/>
  <c r="A828" i="7"/>
  <c r="A841" i="7"/>
  <c r="A862" i="7"/>
  <c r="A11" i="7"/>
  <c r="A69" i="7"/>
  <c r="A100" i="7"/>
  <c r="A40" i="7"/>
  <c r="A388" i="7"/>
  <c r="A440" i="7"/>
  <c r="A499" i="7"/>
  <c r="A603" i="7"/>
  <c r="A630" i="7"/>
  <c r="A661" i="7"/>
  <c r="A710" i="7"/>
  <c r="A716" i="7"/>
  <c r="A752" i="7"/>
  <c r="A813" i="7"/>
  <c r="A826" i="7"/>
  <c r="A839" i="7"/>
  <c r="A96" i="7"/>
  <c r="A146" i="7"/>
  <c r="A237" i="7"/>
  <c r="A279" i="7"/>
  <c r="A367" i="7"/>
  <c r="A407" i="7"/>
  <c r="A430" i="7"/>
  <c r="A453" i="7"/>
  <c r="A480" i="7"/>
  <c r="A576" i="7"/>
  <c r="A806" i="7"/>
  <c r="A819" i="7"/>
  <c r="A832" i="7"/>
  <c r="A875" i="7"/>
  <c r="A885" i="7"/>
  <c r="A865" i="7"/>
  <c r="A845" i="7"/>
  <c r="A825" i="7"/>
  <c r="A805" i="7"/>
  <c r="A785" i="7"/>
  <c r="A765" i="7"/>
  <c r="A745" i="7"/>
  <c r="A725" i="7"/>
  <c r="A705" i="7"/>
  <c r="A685" i="7"/>
  <c r="A665" i="7"/>
  <c r="A645" i="7"/>
  <c r="A625" i="7"/>
  <c r="A605" i="7"/>
  <c r="A585" i="7"/>
  <c r="A565" i="7"/>
  <c r="A545" i="7"/>
  <c r="A525" i="7"/>
  <c r="A505" i="7"/>
  <c r="A485" i="7"/>
  <c r="A445" i="7"/>
  <c r="A425" i="7"/>
  <c r="A405" i="7"/>
  <c r="A385" i="7"/>
  <c r="A365" i="7"/>
  <c r="A345" i="7"/>
  <c r="A325" i="7"/>
  <c r="A305" i="7"/>
  <c r="A285" i="7"/>
  <c r="A265" i="7"/>
  <c r="A245" i="7"/>
  <c r="A225" i="7"/>
  <c r="A205" i="7"/>
  <c r="A185" i="7"/>
  <c r="A165" i="7"/>
  <c r="A145" i="7"/>
  <c r="A125" i="7"/>
  <c r="A105" i="7"/>
  <c r="A85" i="7"/>
  <c r="A45" i="7"/>
  <c r="A25" i="7"/>
  <c r="A218" i="7"/>
  <c r="A409" i="7"/>
  <c r="A426" i="7"/>
  <c r="A482" i="7"/>
  <c r="A522" i="7"/>
  <c r="A580" i="7"/>
  <c r="A672" i="7"/>
  <c r="A746" i="7"/>
  <c r="A382" i="7"/>
  <c r="A714" i="7"/>
  <c r="A830" i="7"/>
  <c r="A843" i="7"/>
  <c r="A191" i="7"/>
  <c r="A214" i="7"/>
  <c r="A256" i="7"/>
  <c r="A298" i="7"/>
  <c r="A340" i="7"/>
  <c r="A403" i="7"/>
  <c r="A451" i="7"/>
  <c r="A468" i="7"/>
  <c r="A514" i="7"/>
  <c r="A549" i="7"/>
  <c r="A572" i="7"/>
  <c r="A622" i="7"/>
  <c r="A763" i="7"/>
  <c r="A809" i="7"/>
  <c r="A822" i="7"/>
  <c r="A850" i="7"/>
  <c r="A873" i="7"/>
  <c r="A176" i="7"/>
  <c r="A184" i="7"/>
  <c r="A374" i="7"/>
  <c r="A424" i="7"/>
  <c r="A491" i="7"/>
  <c r="A510" i="7"/>
  <c r="A537" i="7"/>
  <c r="A587" i="7"/>
  <c r="A664" i="7"/>
  <c r="A702" i="7"/>
  <c r="A727" i="7"/>
  <c r="A744" i="7"/>
  <c r="A835" i="7"/>
  <c r="A901" i="7"/>
  <c r="A51" i="7"/>
  <c r="A107" i="7"/>
  <c r="A16" i="7"/>
  <c r="A49" i="7"/>
  <c r="A53" i="7"/>
  <c r="A142" i="7"/>
  <c r="A229" i="7"/>
  <c r="A248" i="7"/>
  <c r="A271" i="7"/>
  <c r="A290" i="7"/>
  <c r="A332" i="7"/>
  <c r="A372" i="7"/>
  <c r="A493" i="7"/>
  <c r="A564" i="7"/>
  <c r="A591" i="7"/>
  <c r="A614" i="7"/>
  <c r="A629" i="7"/>
  <c r="A660" i="7"/>
  <c r="A757" i="7"/>
  <c r="A786" i="7"/>
  <c r="A900" i="7"/>
  <c r="A195" i="7"/>
  <c r="A288" i="7"/>
  <c r="A313" i="7"/>
  <c r="A330" i="7"/>
  <c r="A355" i="7"/>
  <c r="A414" i="7"/>
  <c r="A533" i="7"/>
  <c r="A633" i="7"/>
  <c r="A675" i="7"/>
  <c r="A818" i="7"/>
  <c r="A863" i="7"/>
  <c r="A886" i="7"/>
  <c r="A111" i="7"/>
  <c r="A556" i="7"/>
  <c r="A604" i="7"/>
  <c r="A9" i="7"/>
  <c r="A43" i="7"/>
  <c r="A68" i="7"/>
  <c r="A99" i="7"/>
  <c r="A122" i="7"/>
  <c r="A240" i="7"/>
  <c r="A282" i="7"/>
  <c r="A309" i="7"/>
  <c r="A351" i="7"/>
  <c r="A439" i="7"/>
  <c r="A456" i="7"/>
  <c r="A579" i="7"/>
  <c r="A656" i="7"/>
  <c r="A713" i="7"/>
  <c r="A755" i="7"/>
  <c r="A799" i="7"/>
  <c r="A829" i="7"/>
  <c r="A842" i="7"/>
  <c r="A877" i="7"/>
  <c r="A857" i="7"/>
  <c r="A837" i="7"/>
  <c r="A82" i="7"/>
  <c r="A153" i="7"/>
  <c r="A164" i="7"/>
  <c r="A183" i="7"/>
  <c r="A198" i="7"/>
  <c r="A221" i="7"/>
  <c r="A263" i="7"/>
  <c r="A324" i="7"/>
  <c r="A366" i="7"/>
  <c r="A393" i="7"/>
  <c r="A598" i="7"/>
  <c r="A12" i="7"/>
  <c r="A103" i="7"/>
  <c r="A124" i="7"/>
  <c r="A141" i="7"/>
  <c r="A200" i="7"/>
  <c r="A236" i="7"/>
  <c r="A278" i="7"/>
  <c r="A408" i="7"/>
  <c r="A435" i="7"/>
  <c r="A481" i="7"/>
  <c r="A498" i="7"/>
  <c r="A535" i="7"/>
  <c r="A548" i="7"/>
  <c r="A575" i="7"/>
  <c r="A621" i="7"/>
  <c r="A640" i="7"/>
  <c r="A667" i="7"/>
  <c r="A891" i="7"/>
  <c r="A855" i="7"/>
  <c r="A58" i="7"/>
  <c r="A95" i="7"/>
  <c r="A116" i="7"/>
  <c r="A194" i="7"/>
  <c r="A206" i="7"/>
  <c r="A217" i="7"/>
  <c r="A259" i="7"/>
  <c r="A301" i="7"/>
  <c r="A320" i="7"/>
  <c r="A343" i="7"/>
  <c r="A362" i="7"/>
  <c r="A523" i="7"/>
  <c r="A573" i="7"/>
  <c r="A682" i="7"/>
  <c r="A709" i="7"/>
  <c r="A751" i="7"/>
  <c r="A768" i="7"/>
  <c r="A838" i="7"/>
  <c r="A91" i="7"/>
  <c r="A110" i="7"/>
  <c r="A156" i="7"/>
  <c r="A179" i="7"/>
  <c r="A219" i="7"/>
  <c r="A261" i="7"/>
  <c r="A303" i="7"/>
  <c r="A377" i="7"/>
  <c r="A404" i="7"/>
  <c r="A450" i="7"/>
  <c r="A477" i="7"/>
  <c r="A590" i="7"/>
  <c r="A617" i="7"/>
  <c r="A678" i="7"/>
  <c r="A686" i="7"/>
  <c r="A724" i="7"/>
  <c r="A728" i="7"/>
  <c r="A797" i="7"/>
  <c r="A889" i="7"/>
  <c r="A895" i="7"/>
  <c r="A902" i="7"/>
  <c r="A893" i="7"/>
  <c r="A27" i="7"/>
  <c r="A54" i="7"/>
  <c r="A137" i="7"/>
  <c r="A158" i="7"/>
  <c r="A232" i="7"/>
  <c r="A251" i="7"/>
  <c r="A274" i="7"/>
  <c r="A293" i="7"/>
  <c r="A335" i="7"/>
  <c r="A519" i="7"/>
  <c r="A567" i="7"/>
  <c r="A615" i="7"/>
  <c r="A632" i="7"/>
  <c r="A663" i="7"/>
  <c r="A720" i="7"/>
  <c r="A810" i="7"/>
  <c r="A823" i="7"/>
  <c r="A114" i="7"/>
  <c r="A133" i="7"/>
  <c r="A152" i="7"/>
  <c r="A175" i="7"/>
  <c r="A190" i="7"/>
  <c r="A209" i="7"/>
  <c r="A316" i="7"/>
  <c r="A358" i="7"/>
  <c r="A373" i="7"/>
  <c r="A419" i="7"/>
  <c r="A446" i="7"/>
  <c r="A467" i="7"/>
  <c r="A492" i="7"/>
  <c r="A586" i="7"/>
  <c r="A701" i="7"/>
  <c r="A743" i="7"/>
  <c r="A868" i="7"/>
  <c r="A15" i="7"/>
  <c r="A93" i="7"/>
  <c r="A106" i="7"/>
  <c r="A177" i="7"/>
  <c r="A211" i="7"/>
  <c r="A228" i="7"/>
  <c r="A247" i="7"/>
  <c r="A270" i="7"/>
  <c r="A289" i="7"/>
  <c r="A331" i="7"/>
  <c r="A400" i="7"/>
  <c r="A415" i="7"/>
  <c r="A509" i="7"/>
  <c r="A609" i="7"/>
  <c r="A628" i="7"/>
  <c r="A659" i="7"/>
  <c r="A674" i="7"/>
  <c r="A699" i="7"/>
  <c r="A741" i="7"/>
  <c r="A762" i="7"/>
  <c r="A781" i="7"/>
  <c r="A849" i="7"/>
  <c r="A890" i="7"/>
  <c r="A870" i="7"/>
  <c r="A135" i="7"/>
  <c r="A186" i="7"/>
  <c r="A230" i="7"/>
  <c r="A272" i="7"/>
  <c r="A312" i="7"/>
  <c r="A354" i="7"/>
  <c r="A442" i="7"/>
  <c r="A461" i="7"/>
  <c r="A488" i="7"/>
  <c r="A534" i="7"/>
  <c r="A546" i="7"/>
  <c r="A619" i="7"/>
  <c r="A626" i="7"/>
  <c r="A657" i="7"/>
  <c r="A817" i="7"/>
  <c r="A881" i="7"/>
  <c r="A816" i="7"/>
  <c r="A814" i="7"/>
  <c r="A812" i="7"/>
  <c r="A896" i="7"/>
  <c r="A772" i="7"/>
  <c r="A796" i="7"/>
  <c r="A894" i="7"/>
  <c r="A794" i="7"/>
  <c r="A892" i="7"/>
  <c r="A792" i="7"/>
  <c r="A776" i="7"/>
  <c r="A876" i="7"/>
  <c r="A774" i="7"/>
  <c r="A874" i="7"/>
  <c r="A756" i="7"/>
  <c r="A856" i="7"/>
  <c r="A854" i="7"/>
  <c r="A852" i="7"/>
  <c r="A836" i="7"/>
  <c r="A834" i="7"/>
  <c r="A888" i="7"/>
</calcChain>
</file>

<file path=xl/sharedStrings.xml><?xml version="1.0" encoding="utf-8"?>
<sst xmlns="http://schemas.openxmlformats.org/spreadsheetml/2006/main" count="7378" uniqueCount="1740">
  <si>
    <t>License</t>
  </si>
  <si>
    <t>Please see our terms of use here: https://www.cisecurity.org/cis-securesuite/cis-securesuite-membership-terms-of-use/</t>
  </si>
  <si>
    <t>section #</t>
  </si>
  <si>
    <t>recommendation #</t>
  </si>
  <si>
    <t>title</t>
  </si>
  <si>
    <t>CIS Controls</t>
  </si>
  <si>
    <t>v7 IG1</t>
  </si>
  <si>
    <t>v7 IG2</t>
  </si>
  <si>
    <t>v7 IG3</t>
  </si>
  <si>
    <t>v8 IG1</t>
  </si>
  <si>
    <t>v8 IG2</t>
  </si>
  <si>
    <t>v8 IG3</t>
  </si>
  <si>
    <t>1</t>
  </si>
  <si>
    <t>Introduction</t>
  </si>
  <si>
    <t>This introduction section and the subsections herein provide informative articles which instruct on the use of the CIS Foundations and Service Category Benchmarks. No recommendations will be found in this section, just articles of relevant information. 
Please carefully review the articles in this introductory section and orient yourself with our structured approach to Benchmarking for Cloud Service Providers (CSPs). This approach differs from other CIS Benchmarks because: 
- there are too many different products/services in CSP product directories to practically cover in any one Benchmark, 
- architectural and design decisions will affect the scope and relevance of recommendations, and 
- there are a variety of methods for interfacing with CSP products and services.
**Cloud Benchmarks - A Two-Step Approach to Securing Your Cloud Environments:**
- **Step 1:** Start with Foundations Benchmarks. Apply as many recommendations as **practical** for your environment; "100%" 'compliance' is not always possible. Not all Foundations Benchmark recommendations can be applied at the same time, and not all recommendations will be relevant to your environment. Use the recommendation Profile Levels and your understanding of your unique environment architecture to determine which recommendations are in scope.
- **Step 2:** Use the Service Category Benchmarks for service-specific defense-in-depth recommendations. Apply recommendations only for the services **IN USE** in your environment. Use the recommendation Profile Levels, and your understanding of your unique environment architecture to determine which recommendations are in scope.</t>
  </si>
  <si>
    <t>1.1</t>
  </si>
  <si>
    <t>CIS Microsoft Azure Foundations Benchmarks</t>
  </si>
  <si>
    <t>The suggested approach for securing your Microsoft Azure cloud environment is to start with the **latest version** of the CIS Microsoft Azure Foundations Benchmark. Because CSP environments are constantly changing, previous versions of the Foundations Benchmarks should not be used. Previous releases may contain incorrect product names, outdated procedures, deprecated features, and other inaccuracies. The CIS Foundations Benchmark provides prescriptive guidance for configuring a subset of Microsoft Azure Services with an emphasis on foundational, testable, and architecture agnostic settings for services.
The Microsoft Azure Foundations Benchmark is what you should start with when beginning to secure your Azure environment. It is also the foundation for which all other Azure Service Category Benchmarks are built on so that as you grow your cloud presence and usage of the services offered you have the necessary guidance to securely configure your environment as it fits with your company’s policy.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</si>
  <si>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1.2</t>
  </si>
  <si>
    <t>CIS Microsoft Azure Service Category Benchmarks</t>
  </si>
  <si>
    <t>After configuring your environment with the CIS Microsoft Azure Foundations Benchmark, we suggest pursuing defense-in-depth and service-specific recommendations for your Azure Services by reviewing the Service Category Benchmarks. The Service Category Benchmarks are being produced with the vision that recommendations for all security-relevant products/services offered by a CSP should have a 'home,' but the Foundations Benchmarks should retain the most crucial recommendations and not be made vast, intimidating, and impractical.
The Service Category Benchmark recommendations should be applied **ONLY** for the CSP products and services that are actively **IN USE** in your environment. In each Service Category Benchmark, you may find that your environment uses none, or only a couple services from a list of many. Please review the services employed in your environment carefully to accurately scope the recommendations you apply. Failure to apply only the recommendations you need may introduce vulnerabilities, technical debt, and unnecessary expenses.
Using the Microsoft Azure Product Directory (https://azure.microsoft.com/en-us/products/) as a source of categorical grouping of these services, our vision is to produce a full set of CIS Microsoft Azure Service Category Benchmarks to cover all security-relevant services. A list of planned and published Service Category Benchmarks for the Azure Community can be found on the community dashboard here: https://workbench.cisecurity.org/communities/72.
**Your help is needed to bring this vision to life!** Please consider joining our CIS Microsoft Azure Community to contribute your expertise and knowledge in securing products and services from the Microsoft Azure product family.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</si>
  <si>
    <t>1.3</t>
  </si>
  <si>
    <t>Multiple Methods of Audit and Remediation</t>
  </si>
  <si>
    <t>Throughout the Benchmark, Audit and Remediation procedures are prescribed using up to five different methods. These multiple methods are presented for the convenience of readers who will be coming from different technical and experiential backgrounds. To perform any given Audit or Remediation, only one method needs to be performed. Not every method is available for every recommendation, and many that are available are not yet written for every recommendation. The methods presented in the Benchmark are formatted and titled as follows:
- "**From Azure Portal**" - This is the administrative GUI accessed at https://portal.azure.com.
- "**From Azure CLI**" - See additional detail in the next section.
- "**From PowerShell**" - See additional detail in the next section.
- "**From REST API**" - An Application Programming Interface (API) for HTTP operations on service endpoints.
- "**From Azure Policy**" - Azure Policy provides an object-based method of evaluating configuration states and other governance detail. Information for the purpose of automating Azure Policy evaluation can be found in the "Automating with Azure Policy" section below.
**Setting Up PowerShell and Azure CLI**
In order to use the Azure Command Line Interface (CLI) and the Azure PowerShell methods for audit and remediation procedures, the following permissions are required for the account running the procedures:
1. Global Reader
2. Security Reader
3. Subscription Contributor
4. Key Vault Get/List privileges on Keys, Secrets, Certificates, and Certificate Authorities
5. Network allow listing for any source IP address performing the audit activities
6. Permissions to use PowerShell and Azure CLI
These permissions can be directly assigned or assigned via Privileged Identity Management.
The Azure CLI tool can be installed from the following location: https://docs.microsoft.com/en-us/cli/azure/install-azure-cli-windows?tabs=azure-cli
For PowerShell, the following cmdlets are required:
1. Azure PowerShell: https://docs.microsoft.com/en-us/powershell/azure/install-az-ps-msi?view=azps-12.2.0
1. Microsoft Graph PowerShell: https://learn.microsoft.com/en-us/powershell/microsoftgraph/installation?view=graph-powershell-1.0
**Authenticating with Azure CLI**
Run the following command from either PowerShell or command prompt:
```
az login --tenant &lt;tenant id&gt; --subscription &lt;subscription ID&gt;
```
**Authenticating with PowerShell**
Login to the Azure tenant and subscription using the following command:
```
Connect-AzAccount
```
If you receive a message indicating `InteractiveBrowserCredential authentication failed`, disable web account manager (WAM) to force a browser authentication with the following command:
```
Update-AzConfig -EnableLoginByWam $false
```
Then attempt using 'Connect-AzAccount' again. 
If the browser-based login is not available, you may need to use device-code authentication, but this should be avoided and is not recommended because it is a persistent authentication method and specifically blocked by recommendations found in the Azure Benchmarks. Instructions for this method will not be provided as it is not recommended.
For the Graph PowerShell module, the log in method is the same.
```
Connect-MgGraph
```</t>
  </si>
  <si>
    <t>1.4</t>
  </si>
  <si>
    <t>Automating with Azure Policy</t>
  </si>
  <si>
    <t>Azure Policy provides built-in objects ("Policy Definitions") and a platform for "Policy as Code" that can be used to evaluate and/or enforce configuration states for individual resources or groups of resources. Where a relevant Azure Policy Definition or multiple Policy Definitions have been identified as applicable to a recommendation in this Benchmark, the Policy ID(s) and associated Policy Name will be listed in the "From Azure Policy" method header. 
Interfacing with Azure Policy can be performed through the Azure Portal, Azure CLI, Azure PowerShell, REST API, Azure Resource Manager, Bicep, Terraform, or using GitHub Actions. Azure Policy Definitions can be batched together and structured using an "Initiative Definition" (aka: "Initiative" or "Compliance Initiative" or "Policy Set") which is constructed in a JSON file. Scoping and filtering an Azure Policy Initiative is necessary to ensure that the query is relevant to the architecture and requirements of an organization. 
Microsoft provides some pre-built Initiative Definitions as a starting point intended to assist in achieving governance and compliance objectives - from Security Frameworks to CIS Benchmarks. These pre-built Initiative Definitions provide a structured set of Policy Definitions with additional metadata to evaluate resource states and configurations, then present the results in an easily readable format. While the Initiatives are a very valuable starting point, they will likely require additional attention for your specific environment, so it is a valuable investment in time to understand how to interact with them to create, remove, update, and delete policy definitions and modify enforcement effects. With some effort and care, policies within an initiative which start by default in an "audit" or "auditIfNotExists" effect can be matured into enforcement effects of "deny," "modify," or "deployIfNotExists" but each individual Policy Definition should be well understood before modifying the effect. In environments that have an advanced posture and custom policy needs, custom Policy Definitions can be created for specialized resource evaluations.
Building an Initiative Definition that fits the needs of your organization is generally a great way to improve overall security posture and has the potential to bring and keep your organization closer to compliance and best practice standards.
**NOTE On Outdated Policy Initiatives of CIS Benchmarks:** 
CIS is aware that outdated versions of the CIS Benchmark are made available through the built-in Policy Initiatives offered in Azure. We always recommend using only the **latest available version** of the CIS Microsoft Azure Foundations Benchmark at all times and **using the latest published version of this Benchmark to update and maintain the policy initiative in your environments**. Cloud service provider environments are in a constant state of change, so best practice guidance - including Azure Policy recommendations - is also in a constant state of reconsideration and possible change.
**General references for Azure Policy:**
- Microsoft Learn - General Azure Policy Documentation: https://learn.microsoft.com/en-us/azure/governance/policy/
- Designing Policy as Code workflows: https://learn.microsoft.com/en-us/azure/governance/policy/concepts/policy-as-code
- Retrieving Azure Policy information: https://learn.microsoft.com/en-us/azure/governance/policy/how-to/get-compliance-data
- AzPolicyAdvertizer - a very well curated database of Azure Policy Definitions, Initiatives, and related material: https://www.azadvertizer.net/azpolicyadvertizer_all.html
**Azure Policy GUI**
- The Azure Policy GUI interface can be found in the Azure Admin Portal - simply search for `Policy` and select the Policy service.
**Azure Policy from Azure CLI**
- Azure CLI commands: https://learn.microsoft.com/en-us/cli/azure/policy?view=azure-cli-latest
**Azure Policy from PowerShell**
- PowerShell commands: https://learn.microsoft.com/en-us/powershell/module/az.resources#policy
**Azure Policy from REST API**
- REST API reference: https://learn.microsoft.com/en-us/rest/api/policy/
**Azure Policy from GitHub Actions**
- Azure Policy GitHub Actions: https://github.com/marketplace/actions/azure-policy-compliance-scan
**Azure Policy from Terraform**
- Provider: azurerm 
- Reference: https://registry.terraform.io/providers/hashicorp/azurerm/latest/docs/resources/policy_definition</t>
  </si>
  <si>
    <t>2</t>
  </si>
  <si>
    <t>Analytics Services</t>
  </si>
  <si>
    <t>To better understand the relationship between the Foundations Benchmark and Services Benchmarks, please read the "Introduction" section of this document.
Azure Product Directory Reference: https://azure.microsoft.com/en-us/products#analytics
**FEEDBACK REQUEST:** Is there a specific service or recommendation in this section that you'd like to see addressed or improved? Let us know by making a ticket or starting a discussion in the CIS Microsoft Azure Community (https://workbench.cisecurity.org/communities/72).</t>
  </si>
  <si>
    <t>2.1</t>
  </si>
  <si>
    <t>Azure Databricks</t>
  </si>
  <si>
    <t>2.1.1</t>
  </si>
  <si>
    <t>Ensure that Azure Databricks is deployed in a customer-managed virtual network (VNet)</t>
  </si>
  <si>
    <t>Automated</t>
  </si>
  <si>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</si>
  <si>
    <t>Using a customer-managed VNet ensures better control over network security and aligns with zero-trust architecture principles. It allows for:
- Restricted outbound internet access to prevent unauthorized data exfiltration.
- Integration with on-premises networks via VPN or ExpressRoute for hybrid connectivity.
- Fine-grained NSG policies to restrict access at the subnet level.
- Private Link for secure API access, avoiding public internet exposure.</t>
  </si>
  <si>
    <t>'- Requires additional configuration during Databricks workspace deployment.
- Might increase operational overhead for network maintenance.
- May impact connectivity if misconfigured (e.g., restrictive NSG rules or missing routes).</t>
  </si>
  <si>
    <t>**Remediate from Azure Portal**
1. Delete the existing Databricks workspace (migration required).
1. Create a new Databricks workspace with VNet Injection:
1. Go to Azure Portal → Create Databricks Workspace.
1. Select Advanced Networking.
1. Choose Deploy into your own Virtual Network.
1. Specify a customer-managed VNet and associated subnets.
1. Enable Private Link for secure API access.
**Remediate from Azure CLI**
Deploy a new Databricks workspace in a custom VNet:
```
az databricks workspace create --name &lt;databricks-workspace-name&gt; \
 --resource-group &lt;resource-group-name&gt; \
 --location &lt;region&gt; \
 --managed-resource-group &lt;managed-rg-name&gt; \
 --enable-no-public-ip true \
 --network-security-group-rule "NoAzureServices" \
 --public-network-access Disabled \
 --custom-virtual-network-id /subscriptions/&lt;subscription-id&gt;/resourceGroups/&lt;resource-group-name&gt;/providers/Microsoft.Network/virtualNetworks/&lt;vnet-name&gt;
```
Ensure NSG Rules are correctly configured:
```
az network nsg rule create --resource-group &lt;resource-group-name&gt; \
 --nsg-name &lt;nsg-name&gt; \
 --name "DenyAllOutbound" \
 --direction Outbound \
 --access Deny \
 --priority 4096
```
**Remediate from PowerShell**
```
New-AzDatabricksWorkspace -ResourceGroupName &lt;resource-group-name&gt; -Name &lt;databricks-workspace-name&gt; -Location &lt;region&gt; -ManagedResourceGroupName &lt;managed-rg-name&gt; -CustomVirtualNetworkId "/subscriptions/&lt;subscription-id&gt;/resourceGroups/&lt;resource-group-name&gt;/providers/Microsoft.Network/virtualNetworks/&lt;vnet-name&gt;"
```</t>
  </si>
  <si>
    <t>**Audit from Azure Portal**
1. Go to Azure Portal → Search for Databricks Workspaces.
1. Select the Databricks Workspace to audit.
1. Under Networking, check if the workspace is deployed in a Customer-Managed VNet.
1. If the Virtual Network field shows Databricks-Managed VNet, it is non-compliant.
1. Verify NSG rules and Private Endpoints for fine-grained access control.
**Audit from Azure CLI**
Run the following command to check if Databricks is using a customer-managed VNet:
```
az network vnet show --resource-group &lt;resource-group-name&gt; --name &lt;vnet-name&gt;
```
Ensure that Databricks subnets are present in the VNet configuration.
Validate NSG rules attached to the Databricks subnets.
**Audit from PowerShell**
```
Get-AzDatabricksWorkspace -ResourceGroupName &lt;resource-group-name&gt; -Name &lt;databricks-workspace-name&gt; | Select-Object VirtualNetworkId
```
If VirtualNetworkId is null or shows a Databricks-Managed VNet, it is non-compliant.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[9c25c9e4-ee12-4882-afd2-11fb9d87893f](https://portal.azure.com/#view/Microsoft_Azure_Policy/PolicyDetailBlade/definitionId/%2Fproviders%2FMicrosoft.Authorization%2FpolicyDefinitions%2F9c25c9e4-ee12-4882-afd2-11fb9d87893f) **- Name:** 'Azure Databricks Workspaces should be in a virtual network'</t>
  </si>
  <si>
    <t>TITLE:Establish and Maintain a Secure Network Architecture CONTROL:v8 12.2 DESCRIPTION:Establish and maintain a secure network architecture. A secure network architecture must address segmentation, least privilege, and availability, at a minimum.;TITLE:Segment the Network Based on Sensitivity CONTROL:v7 14.1 DESCRIPTION:Segment the network based on the label or classification level of the information stored on the servers, locate all sensitive information on separated Virtual Local Area Networks (VLANs).;</t>
  </si>
  <si>
    <t>X</t>
  </si>
  <si>
    <t>By default, Azure Databricks uses a Databricks-Managed VNet.</t>
  </si>
  <si>
    <t>2.1.2</t>
  </si>
  <si>
    <t>Ensure that network security groups are configured for Databricks subnets</t>
  </si>
  <si>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</si>
  <si>
    <t>Using NSGs with both explicit allow and deny rules provides clear documentation and control over permitted and prohibited traffic. While Azure NSGs implicitly deny all traffic not explicitly allowed, defining explicit deny rules for known malicious or unnecessary sources enhances clarity, simplifies troubleshooting, and supports compliance audits. This layered approach strengthens the security posture of Databricks environments by ensuring only essential communication is permitted.</t>
  </si>
  <si>
    <t>'- NSGs require ongoing maintenance to ensure rule accuracy and alignment with evolving business and security requirements.
- Misconfigured NSGs—especially overly broad allow rules or missing explicit denies—can inadvertently expose Databricks resources or block legitimate traffic.
- Relying solely on implicit deny may obscure the intent behind traffic restrictions, making it harder to audit or troubleshoot network behavior.</t>
  </si>
  <si>
    <t>**Remediate from Azure Portal**
1. Assign NSG to Databricks subnets under Networking &gt; NSG Settings.</t>
  </si>
  <si>
    <t>**Audit from Azure Portal**
1. Navigate to Virtual Networks &gt; Subnets, and review NSG assignments.
**Audit from Azure CLI**
```
az network nsg list --query "[].{Name:name, Rules:securityRules}"
```
**Audit from PowerShell**
```
Get-AzNetworkSecurityGroup -ResourceGroupName &lt;resource-group-name&gt;
```</t>
  </si>
  <si>
    <t>TITLE:Implement and Manage a Firewall on Servers CONTROL:v8 4.4 DESCRIPTION:Implement and manage a firewall on servers, where supported. Example implementations include a virtual firewall, operating system firewall, or a third-party firewall agent.;TITLE:Apply Host-based Firewalls or Port Filtering CONTROL:v7 9.4 DESCRIPTION:Apply host-based firewalls or port filtering tools on end systems, with a default-deny rule that drops all traffic except those services and ports that are explicitly allowed.;</t>
  </si>
  <si>
    <t>https://learn.microsoft.com/en-us/security/benchmark/azure/baselines/azure-databricks-security-baseline:https://learn.microsoft.com/en-us/azure/databricks/security/network/classic/vnet-inject#network-security-group-rules</t>
  </si>
  <si>
    <t>By default, Databricks subnets do not have NSGs assigned.</t>
  </si>
  <si>
    <t>2.1.4</t>
  </si>
  <si>
    <t>Ensure that users and groups are synced from Microsoft Entra ID to Azure Databricks</t>
  </si>
  <si>
    <t>Manual</t>
  </si>
  <si>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</si>
  <si>
    <t>Syncing users and groups from Microsoft Entra ID centralizes access control, enforces the least privilege principle by automatically revoking unnecessary access, reduces administrative overhead by eliminating manual user management, and ensures auditability and compliance with industry regulations.</t>
  </si>
  <si>
    <t>SCIM provisioning requires role mapping to avoid misconfigured user privileges.</t>
  </si>
  <si>
    <t>**Remediate from Azure Portal**
Enable provisioning in Azure Portal:
1. Go to `Microsoft Entra ID`.
1. Under `Manage`, click `Enterprise applications`.
1. Click the name of the Azure Databricks SCIM application.
1. Under `Provisioning`, select `Automatic` and enter the SCIM endpoint and API token from Databricks.
Enable provisioning in Databricks:
5. Navigate to `Admin Console` &gt; `Identity and Access Management`.
6. Enable SCIM provisioning and generate an API token.
Configure role assignments:
7. Ensure groups from Entra ID are mapped to appropriate Databricks roles.
8. Restrict administrative privileges to designated security groups.
Regularly monitor sync logs:
9. Periodically review sync logs in Microsoft Entra ID and Databricks Admin Console.
10. Configure Azure Monitor alerts for provisioning failures.
Disable manual user creation in Databricks:
11. Ensure that all user management is controlled via SCIM sync from Entra ID.
12. Disable personal access token usage for authentication.
**Remediate from Azure CLI**
Enable SCIM User and Group Provisioning in Azure Databricks:
```
az ad app update --id &lt;databricks-app-id&gt; --set provisioning.provisioningMode=Automatic
```</t>
  </si>
  <si>
    <t>**Audit from Azure Portal**
Verify SCIM provisioning is enabled:
1. Go to `Microsoft Entra ID`.
1. Under `Manage`, click `Enterprise applications`.
1. Click the name of the Azure Databricks SCIM application.
1. Under `Provisioning`, confirm that SCIM provisioning is enabled and running.
Check user sync status in Azure Portal:
5. Under `Provisioning Logs`, verify the last successful sync and any failed entries.
Check user sync status in Databricks:
6. Go to `Admin Console` &gt; `Identity and Access Management`.
7. Confirm that Users and Groups match those assigned in Microsoft Entra ID.
Ensure role-based access control (RBAC) mapping is correct:
8. Verify that users are assigned appropriate Databricks roles (e.g. Admin, User, Contributor).
9. Confirm that groups are mapped to workspace access roles.</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</si>
  <si>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</si>
  <si>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https://learn.microsoft.com/en-us/azure/databricks/administration-guide/users-groups/scim/aad</t>
  </si>
  <si>
    <t>By default, Azure Databricks does not sync users and groups from Microsoft Entra ID.</t>
  </si>
  <si>
    <t>2.1.5</t>
  </si>
  <si>
    <t>Ensure that Unity Catalog is configured for Azure Databricks</t>
  </si>
  <si>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</si>
  <si>
    <t>* Enforces centralized access control policies and reduces data security risks.
* Enables identity-based authentication via Microsoft Entra ID.
* Improves compliance with industry regulations (e.g. GDPR, HIPAA, SOC 2) by providing audit logs and access visibility.
* Prevents unauthorized data access through table-, row-, and column-level security (RLS &amp; CLS).</t>
  </si>
  <si>
    <t>* Improperly configured permissions may lead to data exfiltration or unauthorized access.
* Unity Catalog requires structured governance policies to be effective and prevent overly permissive access.</t>
  </si>
  <si>
    <t>Use the remediation procedure written in this article: https://learn.microsoft.com/en-us/azure/databricks/data-governance/unity-catalog/get-started.</t>
  </si>
  <si>
    <t>Method 1: Verify unity catalog deployment:
1. As an Azure Databricks account admin, log into the account console.
1. Click Workspaces.
1. Find your workspace and check the Metastore column. If a metastore name is present, your workspace is attached to a Unity Catalog metastore and therefore enabled for Unity Catalog.
Method 2: Run a SQL query to confirm Unity Catalog enablement
Run the following SQL query in the SQL query editor or a notebook that is attached to a Unity Catalog-enabled compute resource. No admin role is required.
```
SELECT CURRENT_METASTORE();
```
If the query returns a metastore ID like the following, then your workspace is attached to a Unity Catalog metastore and therefore enabled for Unity Catalog.</t>
  </si>
  <si>
    <t>TITLE:Centralize Account Management CONTROL:v8 5.6 DESCRIPTION:Centralize account management through a directory or identity service.;TITLE:Centralize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</si>
  <si>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https://learn.microsoft.com/en-us/azure/databricks/data-governance/unity-catalog/:https://learn.microsoft.com/en-us/azure/databricks/admin/users-groups/:https://learn.microsoft.com/en-us/azure/databricks/data-governance/unity-catalog/enable-workspaces</t>
  </si>
  <si>
    <t>New workspaces have Unity Catalog enabled by default. Existing workspaces may require manual enablement.</t>
  </si>
  <si>
    <t>2.1.6</t>
  </si>
  <si>
    <t>Ensure that usage is restricted and expiry is enforced for Databricks personal access tokens</t>
  </si>
  <si>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</si>
  <si>
    <t>Restricting usage and enforcing expiry for personal access tokens reduces exposure to long-lived tokens, minimizes the risk of API abuse if compromised, and aligns with security best practices through controlled issuance and enforced expiry.</t>
  </si>
  <si>
    <t>If revoked improperly, applications relying on these tokens may fail, requiring a remediation plan for token rotation. Increased administrative effort is required to track and manage API tokens effectively.</t>
  </si>
  <si>
    <t>**Remediate from Azure Portal**
Disable personal access tokens:
If your workspace does not require PATs, you can disable them entirely to prevent their use.​
1. Navigate to your Azure Databricks workspace.
1. Click the `Settings` icon and select `Admin Console`.
1. Go to the `Advanced` tab.
1. Under `Personal Access Tokens`, toggle the setting to `Disabled`.
Databricks CLI:
```
databricks workspace-conf set-status --json '{"enableTokens": "false"}'
```
Control who can create and use personal access tokens:
Define which users or groups are authorized to create and utilize PATs.​
1. Navigate to your Azure Databricks workspace.
1. Click the `Settings` icon and select `Admin Console`.
1. Go to the `Advanced` tab.
1. Click on `Personal Access Tokens` and then `Permissions`.
1. Assign the appropriate permissions (e.g. No Permissions, Can Use, Can Manage) to users or groups.
Set maximum lifetime for new personal access tokens:
Limit the validity period of new tokens to reduce potential misuse.​
Databricks CLI:
```
databricks workspace-conf set-status --json '{"maxTokenLifetimeDays": "90"}'
```
Monitor and revoke personal access tokens:
Periodically review active tokens and revoke any that are unnecessary or potentially compromised.​
Databricks CLI:
```
databricks token list
```
```
databricks token delete --token-id &lt;token-id&gt;
```
Transition to OAuth for enhanced security:
Utilize OAuth tokens for authentication, offering improved security features over PATs.</t>
  </si>
  <si>
    <t>Azure Databricks administrators can monitor and revoke personal access tokens within their workspace. Detailed instructions are available in the "Monitor and Revoke Personal Access Tokens" section of the Microsoft documentation: https://learn.microsoft.com/en-us/azure/databricks/admin/access-control/tokens.
To evaluate the usage of personal access tokens in your Azure Databricks account, you can utilize the provided notebook that lists all PATs not rotated or updated in the last 90 days, allowing you to identify tokens that may require revocation. This process is detailed here: https://learn.microsoft.com/en-us/azure/databricks/admin/access-control/tokens.
Implementing diagnostic logging provides a comprehensive reference of audit log services and events, enabling you to track activities related to personal access tokens. More information can be found in the diagnostic log reference section: https://learn.microsoft.com/en-us/azure/databricks/admin/account-settings/audit-logs.</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</si>
  <si>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</si>
  <si>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https://learn.microsoft.com/en-us/azure/databricks/administration-guide/access-control/tokens:https://learn.microsoft.com/en-us/azure/databricks/dev-tools/auth/</t>
  </si>
  <si>
    <t>By default, personal access tokens are enabled and users can create the Personal access token and their expiry time.</t>
  </si>
  <si>
    <t>2.1.7</t>
  </si>
  <si>
    <t>Ensure that diagnostic log delivery is configured for Azure Databricks</t>
  </si>
  <si>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</si>
  <si>
    <t>Diagnostic logging provides visibility into security and operational activities within Databricks workspaces while maintaining an audit trail for forensic investigations, and it supports compliance with regulatory standards that require logging and monitoring.</t>
  </si>
  <si>
    <t>Logs consume storage and may require additional monitoring tools, leading to increased operational overhead and costs. Incomplete log configurations may result in missing critical events, reducing monitoring effectiveness.</t>
  </si>
  <si>
    <t>**Remediate from Azure Portal**
Enable diagnostic logging for Azure Databricks:
1. Navigate to your Azure Databricks workspace.
1. In the left-hand menu, select `Monitoring` &gt; `Diagnostic settings`.
1. Click `+ Add diagnostic setting`.
1. Under `Category details`, select the log categories you wish to capture, such as AuditLogs, Clusters, Notebooks, and Jobs.
1. Choose a destination for the logs: 
 - `Log Analytics workspace`: For advanced querying and monitoring.
 - `Storage account`: For long-term retention.
 - `Event Hub`: For integration with third-party systems.
1. Provide a `Name` for the diagnostic setting.
1. Click `Save`.
Implement log retention policies:
1. Navigate to your Log Analytics workspace.
1. Under `General`, select `Usage and estimated costs`.
1. Click `Data Retention`.
1. Adjust the retention period slider to the desired number of days (up to 730 days).
1. Click `OK`.
Monitor logs for anomalies:
1. Navigate to `Azure Monitor`.
1. Select `Alerts` &gt; `+ New alert rule`.
1. Under `Scope`, specify the Databricks resource.
1. Define `Condition` based on log queries that identify anomalies (e.g. unauthorized access attempts).
1. Configure `Actions` to notify stakeholders or trigger automated responses.
1. Provide an Alert rule `name` and `description`.
1. Click `Create alert rule`.
**Remediate from Azure CLI**
Enable diagnostic logging for Azure Databricks:
```
az monitor diagnostic-settings create --name "DatabricksLogging" --resource &lt;databricks-resource-id&gt; --logs '[{"category": "accounts", "enabled": true}, {"category": "Clusters", "enabled": true}, {"category": "Notebooks", "enabled": true}, {"category": "Jobs", "enabled": true}]' --workspace &lt;log-analytics-id&gt;
```
Implement log retention policies:
```
az monitor log-analytics workspace update --resource-group &lt;resource-group&gt; --name &lt;log-analytics-name&gt; --retention-time 365
```
Monitor logs for anomalies:
```
az monitor activity-log alert create --name "DatabricksAnomalyAlert" --resource-group &lt;resource-group&gt; --scopes &lt;databricks-resource-id&gt; --condition "contains 'UnauthorizedAccess'"
```</t>
  </si>
  <si>
    <t>**Audit from Azure Portal**
Check if diagnostic logging is enabled for the Databricks workspace:
1. Go to `Azure Databricks`.
1. Select a workspace.
1. In the left-hand menu, select `Monitoring` &gt; `Diagnostic settings`.
1. Verify if a diagnostic setting is configured. If not, diagnostic logging is not enabled.
Ensure that logging is enabled for the following categories:​
* `accounts`: User account activities.
* `Filesystem`: Databricks Filesystem Logs
* `clusters`: Cluster state changes and errors.
* `notebook`: Execution events.
* `jobs`: Job execution tracking.
Verify that logs are being sent to one or more of the following destinations:​
* `Azure Log Analytics workspace`: For analysis and querying.
* `Azure Storage Account`: For long-term retention.
* `Azure Event Hubs`: For integration with SIEM tools.
**Audit from Azure CLI**
Check if diagnostic logging is enabled for the Databricks workspace:
```
az monitor diagnostic-settings list --resource &lt;databricks-resource-id&gt;
```
If the output is empty, no diagnostic settings are configured.
Verify log categories being collected:
```
az monitor diagnostic-settings show --name &lt;setting-name&gt; --resource &lt;databricks-resource-id&gt;
```
Review the output to confirm that the necessary log categories are enabled.
Check if logs are stored securely in an approved location:
```
az monitor diagnostic-settings list --resource &lt;databricks-resource-id&gt;
```
Review the storageAccountId, workspaceId, and eventHubAuthorizationRuleId fields in the output to confirm the log destinations.
**Audit from PowerShell**
Check if diagnostic logging is enabled for the Databricks workspace:
```
Get-AzDiagnosticSetting -ResourceId &lt;databricks-resource-id&gt;
```
An empty result indicates that diagnostic logging is not enabled.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[138ff14d-b687-4faa-a81c-898c91a87fa2](https://portal.azure.com/#view/Microsoft_Azure_Policy/PolicyDetailBlade/definitionId/%2Fproviders%2FMicrosoft.Authorization%2FpolicyDefinitions%2F138ff14d-b687-4faa-a81c-898c91a87fa2) **- Name:** 'Resource logs in Azure Databricks Workspaces should be enabled'</t>
  </si>
  <si>
    <t>* Ensure that the Azure Databricks workspace is on the Premium plan to utilize diagnostic logging features. 
* Regularly review and update alert rules to adapt to evolving security threats and operational requirements.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</si>
  <si>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
  </si>
  <si>
    <t>https://learn.microsoft.com/en-us/azure/databricks/admin/account-settings/audit-log-delivery:https://learn.microsoft.com/en-us/troubleshoot/azure/azure-monitor/log-analytics/billing/configure-data-retention:https://docs.azure.cn/en-us/databricks/admin/account-settings/audit-logs:https://learn.microsoft.com/en-us/azure/azure-monitor/reference/supported-logs/microsoft-databricks-workspaces-logs</t>
  </si>
  <si>
    <t>2.1.9</t>
  </si>
  <si>
    <t>Ensure 'No Public IP' is set to 'Enabled'</t>
  </si>
  <si>
    <t>Enable secure cluster connectivity (also known as no public IP) on Azure Databricks workspaces to ensure that clusters do not have public IP addresses and communicate with the control plane over a secure connection.</t>
  </si>
  <si>
    <t>Enabling secure cluster connectivity limits exposure to the public internet, improving security and reducing the risk of external attacks.</t>
  </si>
  <si>
    <t>Enabling secure cluster connectivity requires careful network configuration. Before secure cluster connectivity can be enabled, Azure Databricks workspaces must be deployed in a customer-managed virtual network (VNet injection)—refer to the recommendation `Ensure that Azure Databricks is deployed in a customer-managed virtual network (VNet)`.</t>
  </si>
  <si>
    <t>**Remediate from Azure Portal**
1. Go to `Azure Databricks`.
1. Click the name of a workspace.
1. Under `Settings`, click `Networking`.
1. Under `Network access`, next to `Deploy Azure Databricks workspace with Secure Cluster Connectivity (No Public IP)`, click the radio button next to `Enabled`.
1. Click `Save`.
1. Repeat steps 1-5 for each workspace requiring remediation.
**Remediate from Azure CLI**
For each workspace requiring remediation, run the following command to set `enableNoPublicIp` to `true`:
```
az databricks workspace update --resource-group &lt;resource-group&gt; --name &lt;workspace&gt; --enable-no-public-ip true
```
**Remediate from PowerShell**
For each workspace requiring remediation, run the following command to set `EnableNoPublicIP` to `True`:
```
Update-AzDatabricksWorkspace -ResourceGroupName &lt;resource-group&gt; -Name &lt;workspace&gt; -EnableNoPublicIP
```</t>
  </si>
  <si>
    <t>**Audit from Azure Portal**
1. Go to `Azure Databricks`.
1. Click the name of a workspace.
1. Under `Settings`, click `Networking`.
1. Under `Network access`, ensure that `Deploy Azure Databricks workspace with Secure Cluster Connectivity (No Public IP)` is set to `Enabled`.
1. Repeat steps 1-4 for each workspace.
**Audit from Azure CLI**
Run the following command to list workspaces:
```
az databricks workspace list
```
For each workspace, run the following command to get the `enableNoPublicIp` setting:
```
az databricks workspace show --resource-group &lt;resource-group&gt; --name &lt;workspace&gt; --query parameters.enableNoPublicIp.value
```
Ensure that `true`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`EnableNoPublicIp` setting:
```
$workspace.EnableNoPublicIP
```
Ensure that `True`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[51c1490f-3319-459c-bbbc-7f391bbed753](https://portal.azure.com/#view/Microsoft_Azure_Policy/PolicyDetailBlade/definitionId/%2Fproviders%2FMicrosoft.Authorization%2FpolicyDefinitions%2F51c1490f-3319-459c-bbbc-7f391bbed753) **- Name:** 'Azure Databricks Clusters should disable public IP'</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</si>
  <si>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</si>
  <si>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https://learn.microsoft.com/en-us/azure/databricks/security/network/classic/secure-cluster-connectivity:https://learn.microsoft.com/en-us/cli/azure/databricks/workspace:https://learn.microsoft.com/en-us/powershell/module/az.databricks</t>
  </si>
  <si>
    <t>`No Public IP` is set to `Enabled` by default.</t>
  </si>
  <si>
    <t>2.1.10</t>
  </si>
  <si>
    <t>Ensure 'Allow Public Network Access' is set to 'Disabled'</t>
  </si>
  <si>
    <t>Disable public network access to prevent exposure to the internet and reduce the risk of unauthorized access. Use private endpoints to securely manage access within trusted networks.</t>
  </si>
  <si>
    <t>Disabling public network access improves security by ensuring that Azure Databricks workspaces are not exposed on the public internet.</t>
  </si>
  <si>
    <t>**NOTE:** Prior to disabling public network access, it is strongly recommended that, for each workspace, either:
- virtual network integration is completed as described in **"Ensure that Azure Databricks is deployed in a customer-managed virtual network (VNet)"**
OR
- private endpoints/links are set up as described in **"Ensure private endpoints are used to access Azure Databricks workspaces."**
Disabling public network access restricts access to the service. This enhances security but will require the configuration of a virtual network and/or private endpoints for any services or users needing access within trusted networks.
Before public network access can be disabled, Azure Databricks workspaces must be deployed in a customer-managed virtual network (VNet injection)—refer to the recommendation `Ensure that Azure Databricks is deployed in a customer-managed virtual network (VNet)`, and `requiredNsgRules` must be set to a value other than `AllRules`.</t>
  </si>
  <si>
    <t>**Remediate from Azure Portal**
1. Go to `Azure Databricks`.
1. Click the name of a workspace.
1. Under `Settings` click `Networking`.
1. Under `Network access`, next to `Allow Public Network Access`, click the radio button next to `Disabled`.
1. Click `Save`.
1. Repeat steps 1-5 for each workspace requiring remediation. 
**Remediate from Azure CLI**
For each workspace requiring remediation, run the following command to set `publicNetworkAccess` to `Disabled`:
```
az databricks workspace update --resource-group &lt;resource-group&gt; --name &lt;workspace&gt; --public-network-access Disabled
```
**Remediate from PowerShell**
For each workspace requiring remediation, run the following command to set `PublicNetworkAccess` to `Disabled`:
```
Update-AzDatabricksWorkspace -ResourceGroupName &lt;resource-group&gt; -Name &lt;workspace&gt; -PublicNetworkAccess Disabled
```</t>
  </si>
  <si>
    <t>**Audit from Azure Portal**
1. Go to `Azure Databricks`.
1. Click the name of a workspace.
1. Under `Settings` click `Networking`.
1. Under `Network access`, ensure `Allow Public Network Access` is set to `Disabled`.
1. Repeat steps 1-4 for each workspace.
**Audit from Azure CLI**
Run the following command to list workspaces:
```
az databricks workspace list
```
For each workspace, run the following command to get the `publicNetworkAccess` setting:
```
az databricks workspace show --resource-group &lt;resource-group&gt; --name &lt;workspace&gt; --query publicNetworkAccess
```
Ensure that `"Disabled"` is returned.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`PublicNetworkAccess` setting:
```
$workspace.PublicNetworkAccess
```
Ensure that `Disabled` is returned.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[0e7849de-b939-4c50-ab48-fc6b0f5eeba2](https://portal.azure.com/#view/Microsoft_Azure_Policy/PolicyDetailBlade/definitionId/%2Fproviders%2FMicrosoft.Authorization%2FpolicyDefinitions%2F0e7849de-b939-4c50-ab48-fc6b0f5eeba2) **- Name:** 'Azure Databricks Workspaces should disable public network access'</t>
  </si>
  <si>
    <t>This recommendation is based on the Common Reference Recommendation `Ensure public network access is Disabled`, from the `Common Reference Recommendations &gt; Networking &gt; Virtual Networks (VNets)` section.</t>
  </si>
  <si>
    <t>https://learn.microsoft.com/en-us/cli/azure/databricks/workspace:https://learn.microsoft.com/en-us/powershell/module/az.databricks</t>
  </si>
  <si>
    <t>`Allow Public Network Access` is set to `Enabled` by default.</t>
  </si>
  <si>
    <t>3</t>
  </si>
  <si>
    <t>Compute Services</t>
  </si>
  <si>
    <t>**SERVICE CATEGORY BENCHMARK AVAILABLE**: 
- "CIS Microsoft Azure Compute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Compute services have been relocated to a Benchmark titled **CIS Microsoft Azure Compute Services Benchmark**. This Compute Services section now provides a **foundational set** of secure configuration recommendations for products from Azure Product Directory's "Compute" category of services.
After applying foundational recommendations, take inventory of the entire set of Compute Services in use by your organization, then look to the Benchmarks section of the CIS Microsoft Azure Community (https://workbench.cisecurity.org/communities/72) for defense-in-depth guidance for those specific services in the **CIS Microsoft Azure Compute Services Benchmark**.
Services addressed in the **CIS Microsoft Azure Compute Services Benchmark**:
- App Service
- Azure Container Instances
- Azure CycleCloud
- Azure Dedicated Host
- Azure Functions
- Azure Kubernetes Service (AKS)
- Azure Quantum
- Azure Service Fabric
- Azure Spot Virtual Machines
- Azure Spring Apps
- Azure Virtual Desktop
- Azure VM Image Builder
- Azure VMware Solution
- Batch
- Cloud Services
- Linux Virtual Machines
- SQL Server on Azure Virtual Machines
- Static Web Apps
- Virtual Machine Scale Sets
- Virtual Machines
Azure Product Directory Reference: https://azure.microsoft.com/en-us/products#compute
**FEEDBACK REQUEST:** Is there a specific service or recommendation in this section that you'd like to see addressed or improved? Let us know by making a ticket or starting a discussion in the CIS Microsoft Azure Community (https://workbench.cisecurity.org/communities/72).</t>
  </si>
  <si>
    <t>3.1</t>
  </si>
  <si>
    <t>Virtual Machines</t>
  </si>
  <si>
    <t>This section covers security recommendations to follow for the configuration of Virtual Machines on an Azure subscription.</t>
  </si>
  <si>
    <t>4</t>
  </si>
  <si>
    <t>Database Services (reference)</t>
  </si>
  <si>
    <t>**SERVICE CATEGORY BENCHMARK AVAILABLE**: 
- "CIS Microsoft Azure Database Services Benchmark"
To better understand the relationship between the Foundations Benchmark and Services Benchmarks, please read the "Introduction" section of this document.
`FULL RELOCATION - BE ADVISED!`
**- ALL -** recommendations previously covered in the CIS Microsoft Azure Foundations Benchmark (this document) related to products in the Database category of services have been relocated to a Benchmark titled **CIS Microsoft Azure Database Services Benchmark**. This section now serves only as a reference.
Services addressed in the **CIS Microsoft Azure Database Services Benchmark**:
- Azure Cache for Redis
- Azure Cosmos DB
- Azure Data Factory
- Azure Database for MariaDB
- Azure Database for MySQL
- Azure Database for PostgreSQL
- Azure Database Migration Service
- Azure SQL
- Azure SQL Database
- Azure SQL Edge
- Azure SQL Managed Instance
- SQL Server on Azure Virtual Machines
- Table Storage
- Azure Managed Instance for Apache Cassandra
- Azure confidential ledger
Azure Product Directory Reference: https://azure.microsoft.com/en-us/products#databases
**FEEDBACK REQUEST:** Is there a specific service or recommendation in this section that you'd like to see addressed or improved? Let us know by making a ticket or starting a discussion in the CIS Microsoft Azure Community (https://workbench.cisecurity.org/communities/72).</t>
  </si>
  <si>
    <t>5</t>
  </si>
  <si>
    <t>Identity Services</t>
  </si>
  <si>
    <t>To better understand the relationship between the Foundations Benchmark and Services Benchmarks, please read the "Introduction" section of this document.
This section covers security best practice recommendations for products in the Azure Identity services category.
Azure Product Directory Reference: https://azure.microsoft.com/en-us/products#identity
**FEEDBACK REQUEST:** Is there a specific service or recommendation in this section that you'd like to see addressed or improved? Let us know by making a ticket or starting a discussion in the CIS Microsoft Azure Community (https://workbench.cisecurity.org/communities/72).</t>
  </si>
  <si>
    <t>5.4</t>
  </si>
  <si>
    <t>Ensure that 'Restrict non-admin users from creating tenants' is set to 'Yes'</t>
  </si>
  <si>
    <t>Require administrators or appropriately delegated users to create new tenants.</t>
  </si>
  <si>
    <t>It is recommended to only allow an administrator to create new tenants. This prevent users from creating new Microsoft Entra ID or Azure AD B2C tenants and ensures that only authorized users are able to do so.</t>
  </si>
  <si>
    <t>Enforcing this setting will ensure that only authorized users are able to create new tenants.</t>
  </si>
  <si>
    <t>**Remediate from Azure Portal**
1. From Azure Home select the Portal Menu
1. Select `Microsoft Entra ID`
1. Under `Manage`, select `Users`
1. Under `Manage`, select `User settings`
1. Set `Restrict non-admin users from creating tenants ` to `Yes`
1. Click `Save`
**Remediate from PowerShell**
```
Import-Module Microsoft.Graph.Identity.SignIns 
Connect-MgGraph -Scopes 'Policy.ReadWrite.Authorization' 
Select-MgProfile -Name beta 
$params = @{ 
DefaultUserRolePermissions = @{ 
AllowedToCreateTenants = $false 
} 
} 
Update-MgPolicyAuthorizationPolicy -AuthorizationPolicyId -BodyParameter $params 
```</t>
  </si>
  <si>
    <t>**Audit from Azure Portal**
1. From Azure Home select the Portal Menu
1. Select `Microsoft Entra ID`
1. Under `Manage`, select `Users`
1. Under `Manage`, select `User settings`
1. Ensure that `Restrict non-admin users from creating tenants` is set to `Yes`
**Audit from PowerShell**
```
Import-Module Microsoft.Graph.Identity.SignIns 
Connect-MgGraph -Scopes 'Policy.ReadWrite.Authorization' 
Get-MgPolicyAuthorizationPolicy | Select-Object -ExpandProperty DefaultUserRolePermissions | Format-List
```
Review the "DefaultUserRolePermissions" section of the output. Ensure that `AllowedToCreateTenants` is not `"True"`.</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</si>
  <si>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</si>
  <si>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entra/fundamentals/users-default-permissions:https://learn.microsoft.com/en-us/entra/identity/role-based-access-control/permissions-reference#tenant-creator:https://blog.admindroid.com/disable-users-creating-new-azure-ad-tenants-in-microsoft-365/</t>
  </si>
  <si>
    <t>5.5</t>
  </si>
  <si>
    <t>Ensure that 'Number of methods required to reset' is set to '2'</t>
  </si>
  <si>
    <t>Ensures that two alternate forms of identification are provided before allowing a password reset.</t>
  </si>
  <si>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</si>
  <si>
    <t>There may be administrative overhead, as users who lose access to their secondary authentication methods will need an administrator with permissions to remove it. There will also need to be organization-wide security policies and training to teach administrators to verify the identity of the requesting user so that social engineering cannot render this setting useless.</t>
  </si>
  <si>
    <t>**Remediate from Azure Portal**
1. From Azure Home select the Portal Menu
1. Select `Microsoft Entra ID`
1. Under `Manage`, select `Users`
1. Under `Manage`, select `Password reset`
1. Select `Authentication methods`
1. Set the `Number of methods required to reset` to `2`
1. Click `Save`</t>
  </si>
  <si>
    <t>**Audit from Azure Portal**
1. From Azure Home select the Portal Menu
1. Select `Microsoft Entra ID`
1. Under `Manage`, select `Users`
1. Under `Manage`, select `Password reset`
1. Select `Authentication methods`
1. Ensure that `Number of methods required to reset` is set to `2`</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</si>
  <si>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Multi-factor Authentication CONTROL:v7 16.3 DESCRIPTION:Require multi-factor authentication for all user accounts, on all systems, whether managed onsite or by a third-party provider.;</t>
  </si>
  <si>
    <t>https://learn.microsoft.com/en-us/entra/identity/authentication/tutorial-enable-sspr:https://learn.microsoft.com/en-us/entra/identity/authentication/concept-registration-mfa-sspr-combined:https://learn.microsoft.com/en-us/security/benchmark/azure/mcsb-identity-management#im-6-use-strong-authentication-controls:https://learn.microsoft.com/en-us/entra/identity/authentication/passwords-faq#password-reset-registration:https://support.microsoft.com/en-us/account-billing/reset-your-work-or-school-password-using-security-info-23dde81f-08bb-4776-ba72-e6b72b9dda9e:https://learn.microsoft.com/en-us/entra/identity/authentication/concept-authentication-methods</t>
  </si>
  <si>
    <t>By default, the `Number of methods required to reset` is `1`.</t>
  </si>
  <si>
    <t>5.6</t>
  </si>
  <si>
    <t>Ensure that account 'Lockout threshold' is less than or equal to '10'</t>
  </si>
  <si>
    <t>The account lockout threshold determines how many failed login attempts are permitted prior to placing the account in a locked-out state and initiating a variable lockout duration.</t>
  </si>
  <si>
    <t>Account lockout is a method of protecting against brute-force and password spray attacks. Once the lockout threshold has been exceeded, the account enters a locked-out state which prevents all login attempts for a variable duration. The lockout in combination with a reasonable duration reduces the total number of failed login attempts that a malicious actor can execute in a given period of time.</t>
  </si>
  <si>
    <t>If account lockout threshold is set too low (less than 3), users may experience frequent lockout events and the resulting security alerts may contribute to alert fatigue.
If account lockout threshold is set too high (more than 10), malicious actors can programmatically execute more password attempts in a given period of time.</t>
  </si>
  <si>
    <t>**Remediate from Azure Portal**
1. From Azure Home select the Portal Menu.
1. Select `Microsoft Entra ID`.
1. Under `Manage`, select `Security`.
1. Under `Manage`, select `Authentication methods`.
1. Under `Manage`, select `Password protection`.
1. Set the `Lockout threshold` to `10` or fewer.
1. Click `Save`.
**Remediate from PowerShell**
```
Connect-MgGraph -Scopes "Policy.ReadWrite.AuthenticationMethod"
Update-MgPolicyAuthenticationMethodsPolicy -PasswordProtection @{
 LockoutThreshold = 10
 LockoutDuration = "PT1M"
}
```
**Remediate from Azure CLI**
```
az rest --method patch \
 --url 'https://graph.microsoft.com/v1.0/policies/authenticationMethodsPolicy' \
 --headers 'Content-Type=application/json' \
 --body '{"passwordProtection":{"lockoutThreshold":10,"lockoutDuration":"PT1M"}}'
```</t>
  </si>
  <si>
    <t>**Audit from Azure Portal**
1. From Azure Home select the Portal Menu.
1. Select `Microsoft Entra ID`.
1. Under `Manage`, select `Security`.
1. Under `Manage`, select `Authentication methods`.
1. Under `Manage`, select `Password protection`.
1. Ensure that `Lockout threshold` is set to `10` or fewer.
**Audit from PowerShell**
```
Connect-MgGraph -Scopes "Policy.ReadWrite.AuthenticationMethod"
$p = (Get-MgPolicyAuthenticationMethodsPolicy).PasswordProtection
if ($p.LockoutThreshold -gt 10) {
 Update-MgPolicyAuthenticationMethodsPolicy -BodyParameter @{
 passwordProtection = @{
 lockoutThreshold = 10
 lockoutDuration = [Math]::Max($p.LockoutDuration, 60)
 }
 }
}
Disconnect-MgGraph
```
**Audit from Azure CLI**
```
az rest --method get \
 --url 'https://graph.microsoft.com/v1.0/policies/authenticationMethodsPolicy' \
 --query 'passwordProtection.lockoutThreshold'
```</t>
  </si>
  <si>
    <t>**NOTE:** The variable number for failed login attempts allowed before lockout is prescribed by many security and compliance frameworks. The **appropriate** setting for this variable should be determined by the most restrictive security or compliance framework that your organization follows.</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</si>
  <si>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</si>
  <si>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https://learn.microsoft.com/en-us/entra/identity/authentication/howto-password-smart-lockout#manage-microsoft-entra-smart-lockout-values</t>
  </si>
  <si>
    <t>By default, Lockout threshold is set to `10`.</t>
  </si>
  <si>
    <t>5.7</t>
  </si>
  <si>
    <t>Ensure that account 'Lockout duration in seconds' is greater than or equal to '60'</t>
  </si>
  <si>
    <t>The account lockout duration value determines how long an account retains the status of lockout, and therefore how long before a user can continue to attempt to login after passing the lockout threshold.</t>
  </si>
  <si>
    <t>If account lockout duration is set too low (less than 60 seconds), malicious actors can perform more password spray and brute-force attempts over a given period of time. 
If the account lockout duration is set too high (more than 300 seconds) users may experience inconvenient delays during lockout.</t>
  </si>
  <si>
    <t>**Remediate from Azure Portal**
1. From Azure Home select the Portal Menu.
1. Select `Microsoft Entra ID`.
1. Under `Manage`, select `Security`.
1. Under `Manage`, select `Authentication methods`.
1. Under `Manage`, select `Password protection`.
1. Set the `Lockout duration in seconds` to `60` or higher.
1. Click `Save`.</t>
  </si>
  <si>
    <t>**Audit from Azure Portal**
1. From Azure Home select the Portal Menu.
1. Select `Microsoft Entra ID`.
1. Under `Manage`, select `Security`.
1. Under `Manage`, select `Authentication methods`.
1. Under `Manage`, select `Password protection`.
1. Ensure that `Lockout duration in seconds` is set to `60` or higher.</t>
  </si>
  <si>
    <t>By default, Lockout duration in seconds is set to `60`.</t>
  </si>
  <si>
    <t>5.8</t>
  </si>
  <si>
    <t>Ensure that a 'Custom banned password list' is set to 'Enforce'</t>
  </si>
  <si>
    <t>Microsoft Azure applies a default global banned password list to all user and admin accounts that are created and managed directly in Microsoft Entra ID.
The Microsoft Entra password policy does not apply to user accounts that are synchronized from an on-premises Active Directory environment, unless Microsoft Entra ID Connect is used and `EnforceCloudPasswordPolicyForPasswordSyncedUsers` is enabled.
Review the `Default Value` section for more detail on the password policy.
For increased password security, a custom banned password list is recommended</t>
  </si>
  <si>
    <t>Implementing a custom banned password list gives your organization further control over the password policy. Disallowing easy-to-guess passwords increases the security of your Azure resources.</t>
  </si>
  <si>
    <t>Increasing password complexity may increase user account administration overhead. Utilizing the default global banned password list and a custom list requires a Microsoft Entra ID P1 or P2 license. On-premises Active Directory Domain Services users who aren't synchronized to Microsoft Entra ID still benefit from Microsoft Entra ID Password Protection based on the existing licensing of synchronized users.</t>
  </si>
  <si>
    <t>**Remediate from Azure Portal**
1. From Azure Home select the Portal Menu.
1. Select `Microsoft Entra ID`.
1. Under `Manage`, select `Security`.
1. Under `Manage`, select `Authentication methods`.
1. Under `Manage`, select `Password protection`.
1. Set the `Enforce custom list` option to `Yes`.
1. Click in the `Custom banned password list` text box.
1. Add a list of words, one per line, to prevent users from using in passwords.
1. Click `Save`.</t>
  </si>
  <si>
    <t>**Audit from Azure Portal**
1. From Azure Home select the Portal Menu.
1. Select `Microsoft Entra ID`.
1. Under `Manage`, select `Security`.
1. Under `Manage`, select `Authentication methods`.
1. Under `Manage`, select `Password protection`.
1. Ensure `Enforce custom list` is set to `Yes`.
1. Review the list of words banned from use in passwords.</t>
  </si>
  <si>
    <t>TITLE:Use Unique Passwords CONTROL:v8 5.2 DESCRIPTION:Use unique passwords for all enterprise assets. Best practice implementation includes, at a minimum, an 8-character password for accounts using MFA and a 14-character password for accounts not using MFA. ;TITLE:Centralize Access Control CONTROL:v8 6.7 DESCRIPTION:Centralize access control for all enterprise assets through a directory service or SSO provider, where supported.;TITLE:Use Unique Passwords CONTROL:v7 4.4 DESCRIPTION:Where multi-factor authentication is not supported (such as local administrator, root, or service accounts), accounts will use passwords that are unique to that system.;</t>
  </si>
  <si>
    <t>https://learn.microsoft.com/en-us/entra/identity/authentication/concept-password-ban-bad-combined-policy:https://learn.microsoft.com/en-us/entra/identity/authentication/concept-password-ban-bad:https://learn.microsoft.com/en-us/powershell/module/azuread/:https://www.microsoft.com/en-us/research/publication/password-guidance/:https://learn.microsoft.com/en-us/entra/identity/authentication/tutorial-configure-custom-password-protection:https://learn.microsoft.com/en-us/security/benchmark/azure/mcsb-identity-management#im-6-use-strong-authentication-controls</t>
  </si>
  <si>
    <t>By default the custom banned password list is not 'Enabled'.
Organization-specific terms can be added to the custom banned password list, such as the following examples:
- Brand names
- Product names
- Locations, such as company headquarters
- Company-specific terms
- Abbreviations that have specific company meaning
- Months and weekdays with your company's local languages
The default global banned password list is already applied to your resources which applies the following basic requirements:
**Characters allowed:** 
- Uppercase characters (A - Z)
- Lowercase characters (a - z)
- Numbers (0 - 9)
- Symbols:
- @ # $ % ^ &amp; * - _ ! + = [ ] { } | \ : ' , . ? / ` ~ " ( ) ; &lt; &gt;
- blank space
**Characters not allowed:**
- Unicode characters
**Password length:**
Passwords require:
- A minimum of eight characters
- A maximum of 256 characters
**Password complexity:**
Passwords require three out of four of the following categories:
- Uppercase characters
- Lowercase characters
- Numbers
- Symbols
Note: Password complexity check isn't required for Education tenants.
**Password not recently used:**
- When a user changes or resets their password, the new password can't be the same as the current or recently used passwords.
- Password isn't banned by Entra ID Password Protection.
- The password can't be on the global list of banned passwords for Azure AD Password Protection, or on the customizable list of banned passwords specific to your organization.
**Evaluation**
New passwords are evaluated for strength and complexity by validating against the combined list of terms from the global and custom banned password lists. Even if a user's password contains a banned password, the password may be accepted if the overall password is otherwise strong enough.</t>
  </si>
  <si>
    <t>5.9</t>
  </si>
  <si>
    <t>Ensure that 'Number of days before users are asked to re-confirm their authentication information' is not set to '0'</t>
  </si>
  <si>
    <t>Ensure that the number of days before users are asked to re-confirm their authentication information is not set to 0.</t>
  </si>
  <si>
    <t>This setting is necessary if 'Require users to register when signing in' is enabled. If authentication re-confirmation is disabled, registered users will never be prompted to re-confirm their existing authentication information. If the authentication information for a user changes, such as a phone number or email, then the password reset information for that user reverts to the previously registered authentication information.</t>
  </si>
  <si>
    <t>Users will be prompted to re-confirm their authentication information after the number of days specified.</t>
  </si>
  <si>
    <t>**Remediate from Azure Portal**
1. From Azure Home select the Portal Menu.
1. Select `Microsoft Entra ID`.
1. Under `Manage`, select `Users`.
1. Select `Password reset`.
1. Under `Manage`, select `Registration`.
1. Set the `Number of days before users are asked to re-confirm their authentication information` to your organization-defined frequency.
1. Click `Save`.</t>
  </si>
  <si>
    <t>**Audit from Azure Portal**
1. From Azure Home select the Portal Menu.
1. Select `Microsoft Entra ID`.
1. Under `Manage`, select `Users`.
1. Select `Password reset`.
1. Under `Manage`, select `Registration`.
1. Ensure that `Number of days before users are asked to re-confirm their authentication information` is not set to `0`.</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</si>
  <si>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All Accounts Have An Expiration Date CONTROL:v7 16.10 DESCRIPTION:Ensure that all accounts have an expiration date that is monitored and enforced.;</t>
  </si>
  <si>
    <t>https://learn.microsoft.com/en-us/entra/identity/authentication/concept-sspr-howitworks#registration:https://support.microsoft.com/en-us/account-billing/reset-your-work-or-school-password-using-security-info-23dde81f-08bb-4776-ba72-e6b72b9dda9e:https://learn.microsoft.com/en-us/security/benchmark/azure/mcsb-governance-strategy#gs-6-define-and-implement-identity-and-privileged-access-strategy:https://learn.microsoft.com/en-us/entra/identity/authentication/concept-authentication-methods</t>
  </si>
  <si>
    <t>By default, the `Number of days before users are asked to re-confirm their authentication information` is set to "180 days".</t>
  </si>
  <si>
    <t>5.10</t>
  </si>
  <si>
    <t>Ensure that 'Notify users on password resets?' is set to 'Yes'</t>
  </si>
  <si>
    <t>Ensure that users are notified on their primary and alternate emails on password resets.</t>
  </si>
  <si>
    <t>User notification on password reset is a proactive way of confirming password reset activity. It helps the user to recognize unauthorized password reset activities.</t>
  </si>
  <si>
    <t>Users will receive emails alerting them to password changes to both their primary and alternate emails.</t>
  </si>
  <si>
    <t>**Remediate from Azure Portal**
1. From Azure Home select the Portal Menu
1. Select `Microsoft Entra ID`
1. Under `Manage`, select `Users`
1. Under `Manage`, select `Password reset`
1. Under `Manage`, select `Notifications`
1. Set `Notify users on password resets?` to `Yes`
1. Click `Save`</t>
  </si>
  <si>
    <t>**Audit from Azure Portal**
1. From Azure Home select the Portal Menu
1. Select `Microsoft Entra ID`
1. Under `Manage`, select `Users`
1. Under `Manage`, select `Password reset`
1. Under `Manage`, select `Notifications`
1. Ensure that `Notify users on password resets?` is set to `Yes`</t>
  </si>
  <si>
    <t>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</si>
  <si>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https://learn.microsoft.com/en-us/entra/identity/authentication/tutorial-enable-sspr#set-up-notifications-and-customizations: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t>
  </si>
  <si>
    <t>By default, `Notify users on password resets?` is set to "Yes".</t>
  </si>
  <si>
    <t>5.11</t>
  </si>
  <si>
    <t>Ensure that 'Notify all admins when other admins reset their password?' is set to 'Yes'</t>
  </si>
  <si>
    <t>Ensure that all Global Administrators are notified if any other administrator resets their password.</t>
  </si>
  <si>
    <t>Administrator accounts are sensitive. Any password reset activity notification, when sent to all Administrators, ensures that all Global Administrators can passively confirm if such a reset is a common pattern within their group. For example, if all Administrators change their password every 30 days, any password reset activity before that may require administrator(s) to evaluate any unusual activity and confirm its origin.</t>
  </si>
  <si>
    <t>All Global Administrators will receive a notification from Azure every time a password is reset. This is useful for auditing procedures to confirm that there are no out of the ordinary password resets for Administrators. There is additional overhead, however, in the time required for Global Administrators to audit the notifications. This setting is only useful if all Global Administrators pay attention to the notifications and audit each one.</t>
  </si>
  <si>
    <t>**Remediate from Azure Portal**
1. From Azure Home select the Portal Menu
1. Select `Microsoft Entra ID`
1. Under `Manage`, select `Users`
1. Under `Manage`, select `Password reset`
1. Under `Manage`, select `Notifications`
1. Set `Notify all admins when other admins reset their password?` to `Yes`
1. Click `Save`</t>
  </si>
  <si>
    <t>**Audit from Azure Portal**
1. From Azure Home select the Portal Menu
1. Select `Microsoft Entra ID`
1. Under `Manage`, select `Users`
1. Under `Manage`, select `Password reset`
1. Under `Manage`, select `Notifications`
1. Ensure that `Notify all admins when other admins reset their password?`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</si>
  <si>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account.;TITLE:Centralize Access Control CONTROL:v8 6.7 DESCRIPTION:Centralize access control for all enterprise assets through a directory service or SSO provider, where supported.;TITLE:Log and Alert on Changes to Administrative Group Membership CONTROL:v7 4.8 DESCRIPTION:Configure systems to issue a log entry and alert when an account is added to or removed from any group assigned administrative privileges.;</t>
  </si>
  <si>
    <t>https://learn.microsoft.com/en-us/entra/identity/authentication/concept-sspr-howitworks#notifications:https://support.microsoft.com/en-us/account-billing/reset-your-work-or-school-password-using-security-info-23dde81f-08bb-4776-ba72-e6b72b9dda9e:https://learn.microsoft.com/en-us/security/benchmark/azure/mcsb-governance-strategy#gs-6-define-and-implement-identity-and-privileged-access-strategy:https://learn.microsoft.com/en-us/security/benchmark/azure/mcsb-privileged-access#pa-1-separate-and-limit-highly-privilegedadministrative-users:https://learn.microsoft.com/en-us/entra/identity/authentication/tutorial-enable-sspr#set-up-notifications-and-customizations</t>
  </si>
  <si>
    <t>By default, `Notify all admins when other admins reset their password?` is set to "No".</t>
  </si>
  <si>
    <t>5.12</t>
  </si>
  <si>
    <t>Ensure that 'User consent for applications' is set to 'Do not allow user consent'</t>
  </si>
  <si>
    <t>Require administrators to provide consent for applications before use.</t>
  </si>
  <si>
    <t>If Microsoft Entra ID is running as an identity provider for third-party applications, permissions and consent should be limited to administrators or pre-approved. Malicious applications may attempt to exfiltrate data or abuse privileged user accounts.</t>
  </si>
  <si>
    <t>Enforcing this setting may create additional requests that administrators need to review.</t>
  </si>
  <si>
    <t>**Remediate from Azure Portal**
1. From Azure Home select the Portal Menu
1. Select `Microsoft Entra ID`
1. Under `Manage`, select `Enterprise applications`
1. Under `Security`, select `Consent and permissions`
1. Under `Manage`, select `User consent settings`
1. Set `User consent for applications` to `Do not allow user consent`
1. Click `Save`</t>
  </si>
  <si>
    <t>**Audit from Azure Portal**
1. From Azure Home select the Portal Menu
1. Select `Microsoft Entra ID`
1. Under `Manage`, select `Enterprise applications`
1. Under `Security`, select `Consent and permissions`
1. Under `Manage`, select `User consent settings`
1. Ensure `User consent for applications` is set to `Do not allow user consent`
**Audit from PowerShell**
```
Connect-MgGraph
(Get-MgPolicyAuthorizationPolicy).DefaultUserRolePermissions | Select-Object -ExpandProperty PermissionGrantPoliciesAssigned
```
If the command returns no values in response, the configuration complies with the recommendation.</t>
  </si>
  <si>
    <t>TITLE:Address Unauthorized Software CONTROL:v8 2.3 DESCRIPTION:Ensure that unauthorized software is either removed from use on enterprise assets or receives a documented exception. Review monthly, or more frequently.;TITLE:Establish an Access Granting Process CONTROL:v8 6.1 DESCRIPTION:Establish and follow a process, preferably automated, for granting access to enterprise assets upon new hire, rights grant, or role change of a user.;TITLE:Address unapproved software CONTROL:v7 2.6 DESCRIPTION:Ensure that unauthorized software is either removed or the inventory is updated in a timely manner;</t>
  </si>
  <si>
    <t>https://learn.microsoft.com/en-us/entra/identity/enterprise-apps/configure-user-consent?pivots=ms-powershell#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</si>
  <si>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`Users consent for applications` is set to `Allow user consent for apps`.</t>
  </si>
  <si>
    <t>5.14</t>
  </si>
  <si>
    <t>Ensure that 'Users can register applications' is set to 'No'</t>
  </si>
  <si>
    <t>Require administrators or appropriately delegated users to register third-party applications.</t>
  </si>
  <si>
    <t>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</si>
  <si>
    <t>Enforcing this setting will create additional requests for approval that will need to be addressed by an administrator. If permissions are delegated, a user may approve a malevolent third party application, potentially giving it access to your data.</t>
  </si>
  <si>
    <t>**Remediate from Azure Portal**
1. From Azure Home select the Portal Menu
1. Select `Microsoft Entra ID`
1. Under `Manage`, select `Users`
1. Under `Manage`, select `User settings`
1. Set `Users can register applications` to `No`
1. Click `Save`
**Remediate from PowerShell**
```
$param = @{ AllowedToCreateApps = "$false" } 
Update-MgPolicyAuthorizationPolicy -DefaultUserRolePermissions $param
```</t>
  </si>
  <si>
    <t>**Audit from Azure Portal**
1. From Azure Home select the Portal Menu
1. Select `Microsoft Entra ID`
1. Under `Manage`, select `Users`
1. Under `Manage`, select `User settings`
1. Ensure that `Users can register applications` is set to `No`
**Audit from PowerShell**
```
(Get-MgPolicyAuthorizationPolicy).DefaultUserRolePermissions | Format-List AllowedToCreateApps
```
Command should return the value of `False`</t>
  </si>
  <si>
    <t>TITLE:Address Unauthorized Software CONTROL:v8 2.3 DESCRIPTION:Ensure that unauthorized software is either removed from use on enterprise assets or receives a documented exception. Review monthly, or more frequently.;TITLE:Utilize Automated Software Inventory Tools CONTROL:v8 2.4 DESCRIPTION:Utilize software inventory tools, when possible, throughout the enterprise to automate the discovery and documentation of installed software. ;TITLE:Centralize Access Control CONTROL:v8 6.7 DESCRIPTION:Centralize access control for all enterprise assets through a directory service or SSO provider, where supported.;TITLE:Address unapproved software CONTROL:v7 2.6 DESCRIPTION:Ensure that unauthorized software is either removed or the inventory is updated in a timely manner;</t>
  </si>
  <si>
    <t>https://learn.microsoft.com/en-us/entra/identity/role-based-access-control/delegate-app-roles#restrict-who-can-create-applications:https://learn.microsoft.com/en-us/entra/identity-platform/how-applications-are-added#who-has-permission-to-add-applications-to-my-azure-ad-instance:https://learn.microsoft.com/en-us/security/benchmark/azure/mcsb-governance-strategy#gs-6-define-and-implement-identity-and-privileged-access-strategy:https://learn.microsoft.com/en-us/security/benchmark/azure/mcsb-privileged-access#pa-1-separate-and-limit-highly-privilegedadministrative-users:https://learn.microsoft.com/en-us/powershell/module/microsoft.graph.identity.signins/get-mgpolicyauthorizationpolicy?view=graph-powershell-1.0</t>
  </si>
  <si>
    <t>By default, `Users can register applications` is set to "Yes".</t>
  </si>
  <si>
    <t>5.15</t>
  </si>
  <si>
    <t>Ensure that 'Guest users access restrictions' is set to 'Guest user access is restricted to properties and memberships of their own directory objects'</t>
  </si>
  <si>
    <t>Limit guest user permissions.</t>
  </si>
  <si>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(default value),
3. Guest user access is restricted to properties and memberships of their own directory objects (most restrictive).
The recommended option is the 3rd, most restrictive: "Guest user access is restricted to their own directory object".</t>
  </si>
  <si>
    <t>This may create additional requests for permissions to access resources that administrators will need to approve.
According to https://learn.microsoft.com/en-us/entra/identity/users/users-restrict-guest-permissions#services-currently-not-supported
Service without current support might have compatibility issues with the new guest restriction setting.
- Forms
- Project
- Yammer
- Planner in SharePoint</t>
  </si>
  <si>
    <t>**Remediate from Azure Portal**
1. From Azure Home select the Portal Menu
1. Select `Microsoft Entra ID`
1. Under `Manage`, select `External Identities`
1. Select `External collaboration settings`
1. Under `Guest user access`, set `Guest user access restrictions` to `Guest user access is restricted to properties and memberships of their own directory objects`
1. Click `Save`
**Remediate from PowerShell**
1. Enter the following to update the policy ID:
 ```
 Update-MgPolicyAuthorizationPolicy -GuestUserRoleId "2af84b1e-32c8-42b7-82bc-daa82404023b"
 ```
2. Check the GuestUserRoleId again:
 ```
 (Get-MgPolicyAuthorizationPolicy).GuestUserRoleId
 ```
3. Ensure that the GuestUserRoleId is equal to the earlier entered value of `2af84b1e-32c8-42b7-82bc-daa82404023b`.</t>
  </si>
  <si>
    <t>**Audit from Azure Portal**
1. From Azure Home select the Portal Menu
1. Select `Microsoft Entra ID`
1. Under `Manage`, select `External Identities`
1. Select `External collaboration settings`
1. Under `Guest user access`, ensure that `Guest user access restrictions ` is set to `Guest user access is restricted to properties and memberships of their own directory objects`
**Audit from PowerShell**
Enter the following: 
```
Connect-MgGraph
(Get-MgPolicyAuthorizationPolicy).GuestUserRoleId
```
Which will give a result like:
```
Id : authorizationPolicy
OdataType :
Description : Used to manage authorization related settings across the company.
DisplayName : Authorization Policy
EnabledPreviewFeatures : {}
GuestUserRoleId : 10dae51f-b6af-4016-8d66-8c2a99b929b3
PermissionGrantPolicyIdsAssignedToDefaultUserRole : {user-default-legacy}
```
If the GuestUserRoleID property does not equal `2af84b1e-32c8-42b7-82bc-daa82404023b` then it is not set to most restrictive.</t>
  </si>
  <si>
    <t>TITLE:Configure Data Access Control Lists CONTROL:v8 3.3 DESCRIPTION:Configure data access control lists based on a user’s need to know. Apply data access control lists, also known as access permissions, to local and remote file systems, databases, and applications.;TITLE:Define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</si>
  <si>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learn.microsoft.com/en-us/entra/fundamentals/users-default-permissions#member-and-guest-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entra/identity/users/users-restrict-guest-permissions</t>
  </si>
  <si>
    <t>By default, `Guest user access restrictions` is set to `Guest users have limited access to properties and memberships of directory objects`.</t>
  </si>
  <si>
    <t>5.17</t>
  </si>
  <si>
    <t>Ensure that 'Restrict access to Microsoft Entra admin center' is set to 'Yes'</t>
  </si>
  <si>
    <t>Restrict access to the Microsoft Entra ID administration center to administrators only.
**NOTE**: This only affects access to the Entra ID administrator's web portal. This setting does not prohibit privileged users from using other methods such as Rest API or Powershell to obtain sensitive information from Microsoft Entra ID.</t>
  </si>
  <si>
    <t>The Microsoft Entra ID administrative center has sensitive data and permission settings. All non-administrators should be prohibited from accessing any Microsoft Entra ID data in the administration center to avoid exposure.</t>
  </si>
  <si>
    <t>All administrative tasks will need to be done by Administrators, causing additional overhead in management of users and resources.</t>
  </si>
  <si>
    <t>**Remediate from Azure Portal**
1. From Azure Home select the Portal Menu
1. Select `Microsoft Entra ID`
1. Under `Manage`, select `Users`
1. Under `Manage`, select `User settings`
1. Under `Administration centre`, set `Restrict access to Microsoft Entra admin center` to `Yes`
1. Click `Save`</t>
  </si>
  <si>
    <t>**Audit from Azure Portal**
1. From Azure Home select the Portal Menu
1. Select `Microsoft Entra ID`
1. Under `Manage`, select `Users`
1. Under `Manage`, select `User settings`
1. Under `Administration centre`, ensure that `Restrict access to Microsoft Entra admin center`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</si>
  <si>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</si>
  <si>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entra/identity/role-based-access-control/permissions-reference: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-1-separate-and-limit-highly-privilegedadministrative-users</t>
  </si>
  <si>
    <t>By default, `Restrict access to Microsoft Entra admin center` is set to `No`</t>
  </si>
  <si>
    <t>5.22</t>
  </si>
  <si>
    <t>Ensure that 'Require Multifactor Authentication to register or join devices with Microsoft Entra' is set to 'Yes'</t>
  </si>
  <si>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</si>
  <si>
    <t>Multi-factor authentication is recommended when adding devices to Microsoft Entra ID. When set to `Yes`, users who are adding devices from the internet must first use the second method of authentication before their device is successfully added to the directory. This ensures that rogue devices are not added to the domain using a compromised user account.</t>
  </si>
  <si>
    <t>A slight impact of additional overhead, as Administrators will now have to approve every access to the domain.</t>
  </si>
  <si>
    <t>**Remediate from Azure Portal**
1. From Azure Home select the Portal Menu
1. Select `Microsoft Entra ID`
1. Under `Manage`, select `Devices`
1. Under `Manage`, select `Device settings`
1. Under `Microsoft Entra join and registration settings`, set `Require Multifactor Authentication to register or join devices with Microsoft Entra` to `Yes`
1. Click `Save`</t>
  </si>
  <si>
    <t>**Audit from Azure Portal**
1. From Azure Home select the Portal Menu
1. Select `Microsoft Entra ID`
1. Under `Manage`, select `Devices`
1. Under `Manage`, select `Device settings`
1. Under `Microsoft Entra join and registration settings`, ensure that `Require Multifactor Authentication to register or join devices with Microsoft Entra` is set to `Yes`</t>
  </si>
  <si>
    <t>If Conditional Access is available, this recommendation should be bypassed in favor of the Conditional Access implementation of requiring Multifactor Authentication to register or join devices with Microsoft Entra.
https://learn.microsoft.com/en-us/entra/identity/conditional-access/policy-all-users-device-registration</t>
  </si>
  <si>
    <t>https://learn.microsoft.com/en-us/entra/identity/conditional-access/policy-all-users-device-registration:https://learn.microsoft.com/en-us/security/benchmark/azure/mcsb-identity-management#im-6-use-strong-authentication-controls</t>
  </si>
  <si>
    <t>By default, `Require Multifactor Authentication to register or join devices with Microsoft Entra` is set to `No`.</t>
  </si>
  <si>
    <t>5.23</t>
  </si>
  <si>
    <t>Ensure that no custom subscription administrator roles exist</t>
  </si>
  <si>
    <t>The principle of least privilege should be followed and only necessary privileges should be assigned instead of allowing full administrative access.</t>
  </si>
  <si>
    <t>Custom roles in Azure with administrative access can obfuscate the permissions granted and introduce complexity and blind spots to the management of privileged identities. For less mature security programs without regular identity audits, the creation of Custom roles should be avoided entirely. For more mature security programs with regular identity audits, Custom Roles should be audited for use and assignment, used minimally, and the principle of least privilege should be observed when granting permissions</t>
  </si>
  <si>
    <t>Subscriptions will need to be handled by Administrators with permissions.</t>
  </si>
  <si>
    <t>**Remediate from Azure Portal**
1. From Azure Home select the Portal Menu.
1. Select `Subscriptions`.
1. Select a subscription.
1. Select `Access control (IAM)`.
1. Select `Roles`.
1. Click `Type` and select `Custom role` from the drop-down menu.
1. Check the box next to each role which grants subscription administrator privileges.
1. Select `Delete`.
1. Select `Yes`.
**Remediate from Azure CLI**
List custom roles:
```
az role definition list --custom-role-only True
```
Check for entries with `assignableScope` of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</si>
  <si>
    <t>**Audit from Azure Portal**
1. From Azure Home select the Portal Menu.
1. Select `Subscriptions`.
1. Select a subscription.
1. Select `Access control (IAM)`.
1. Select `Roles`.
1. Click `Type` and select `Custom role` from the drop-down menu.
1. Select `View` next to a role.
1. Select `JSON`.
1. Check for `assignableScopes` set to the subscription, and `actions` set to `*`.
1. Repeat steps 7-9 for each custom role.
**Audit from Azure CLI**
List custom roles:
```
az role definition list --custom-role-only True
```
Check for entries with `assignableScope` of the `subscription`, and an action of `*`
**Audit from PowerShell**
```
Connect-AzAccount
Get-AzRoleDefinition |Where-Object {($_.IsCustom -eq $true) -and ($_.Actions.contains('*'))}
```
Check the output for `AssignableScopes` value set to the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[a451c1ef-c6ca-483d-87ed-f49761e3ffb5](https://portal.azure.com/#view/Microsoft_Azure_Policy/PolicyDetailBlade/definitionId/%2Fproviders%2FMicrosoft.Authorization%2FpolicyDefinitions%2Fa451c1ef-c6ca-483d-87ed-f49761e3ffb5) **- Name:** 'Audit usage of custom RBAC roles'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</si>
  <si>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</si>
  <si>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cost-management-billing/manage/add-change-subscription-administrator: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security/benchmark/azure/mcsb-privileged-access#pa-7-follow-just-enough-administration-least-privilege-principle</t>
  </si>
  <si>
    <t>By default, no custom owner roles are created.</t>
  </si>
  <si>
    <t>5.26</t>
  </si>
  <si>
    <t>Ensure fewer than 5 users have global administrator assignment</t>
  </si>
  <si>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</si>
  <si>
    <t>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
For any accounts assigned the Global Administrator role, at least one strong authentication method such as a FIDO2 key or certificate is strongly advised. Additional detail on strong passwordless authentication methods is provided in the recommendation titled "Ensure passwordless authentication methods are considered" and a link can be found in references for more detail about emergency access accounts.</t>
  </si>
  <si>
    <t>Implementing this recommendation may require changes in administrative workflows or the redistribution of roles and responsibilities. Adequate training and awareness should be provided to all Global Administrators.
NOTE: If an organization's tenant is using a third-party identity provider, the audit and remediation procedures presented here may not be relevant. The principle of the recommendation is still relevant, and compensating controls that are relevant to the third-party identity provider should be implemented.</t>
  </si>
  <si>
    <t>**Remediate from Azure Portal** 
1. From Azure Home select the Portal Menu
1. Select `Microsoft Entra ID`
1. Under `Manage`, select `Roles and administrators`
1. Under `Administrative Roles`, select `Global Administrator`
If more than 4 users are assigned:
1. Remove Global Administrator role for users which do not or no longer require the role.
1. Assign Global Administrator role via PIM which can be activated when required.
1. Assign more granular roles to users to conduct their duties.
If only one user is assigned:
1. Provide the Global Administrator role to a trusted user or create a break glass admin account.</t>
  </si>
  <si>
    <t>**Audit from Azure Portal**
1. From Azure Home select the Portal Menu
1. Select `Microsoft Entra ID`
1. Under `Manage`, select `Roles and administrators`
1. Under `Administrative Roles`, select `Global Administrator`
1. Ensure less than 5 users are actively assigned the role.
1. Ensure that at least 2 users are actively assigned the role.</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</si>
  <si>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</si>
  <si>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entra/identity/role-based-access-control/best-practices#5-limit-the-number-of-global-administrators-to-less-than-5:https://learn.microsoft.com/en-us/microsoft-365/admin/add-users/about-admin-roles?view=o365-worldwide#security-guidelines-for-assigning-roles:https://learn.microsoft.com/en-us/entra/identity/role-based-access-control/security-emergency-access:https://learn.microsoft.com/en-us/security/benchmark/azure/mcsb-privileged-access#pa-1-separate-and-limit-highly-privilegedadministrative-users</t>
  </si>
  <si>
    <t>5.27</t>
  </si>
  <si>
    <t>Ensure there are between 2 and 3 subscription owners</t>
  </si>
  <si>
    <t>The Owner role in Azure grants full control over all resources in a subscription, including the ability to assign roles to others.</t>
  </si>
  <si>
    <t>Limit the number of security principals (users, groups, service principals, and managed identities) assigned the Owner role to between 2 and 3. If groups are used, ensure their membership is tightly controlled and regularly reviewed to avoid privilege sprawl.</t>
  </si>
  <si>
    <t>Implementation may require changes in administrative workflows or the redistribution of roles and responsibilities.
The recommendation to have between 2 and 3 Owners per subscription must account for all security principals that can be assigned the Owner role, not just individual users. This includes:
- User accounts
- Entra ID groups
- Service principals (used by applications or automation)
- Managed identities (system-assigned or user-assigned)</t>
  </si>
  <si>
    <t>**Remediate from Azure Portal**
1. Go to `Subscriptions`.
1. Click the name of a subscription.
1. Click `Access Controls (IAM)`.
1. Click `Role assignments`.
1. Click `Role : All`.
1. Click the arrow next to `All`.
1. Click `Owner`.
1. Check the box next to members from whom the owner role should be removed. 
1. Click `Delete`.
1. Click `Yes`.
1. Repeat steps 1-10 for each subscription requiring remediation.
**Remediate from Azure CLI**
Run the following command to delete role assignments by role assignment id:
```
az role assignment delete --ids &lt;role-assignment-ids&gt;
```</t>
  </si>
  <si>
    <t>**Audit from Azure Portal**
1. Go to `Subscriptions`.
1. Click the name of a subscription.
1. Click `Access Controls (IAM)`.
1. Click `Role assignments`.
1. Click `Role : All`.
1. Click the arrow next to `All`.
1. Click `Owner`.
1. Ensure a minimum of 2 and a maximum of 3 members are returned.
1. Repeat steps 1-8 for each subscription.
**Audit from Azure CLI**
Run the following command to list members with role `Owner` at a given subscription scope:
```
az role assignment list --role Owner --scope /subscriptions/&lt;subscription-id&gt; --query "[].{PrincipalName:principalName, Type:principalType}"
```
Ensure a minimum of 2 and a maximum of 3 members are returned.
For each Owner assignment, check:
If principalType == Group, review group membership.
If principalType == ServicePrincipal or ManagedIdentity, validate necessity and scope.
Repeat for each subscription.
**Audit from PowerShell**
Run the following command to list members with role `Owner` at a given subscription scope:
```
Get-AzRoleAssignment -RoleDefinitionName Owner -Scope /subscriptions/&lt;subscription-id&gt;
```
Ensure a minimum of 2 and a maximum of 3 members are returned.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[09024ccc-0c5f-475e-9457-b7c0d9ed487b](https://portal.azure.com/#view/Microsoft_Azure_Policy/PolicyDetailBlade/definitionId/%2Fproviders%2FMicrosoft.Authorization%2FpolicyDefinitions%2F09024ccc-0c5f-475e-9457-b7c0d9ed487b) **- Name:** 'There should be more than one owner assigned to your subscription'
- **Policy ID:** [4f11b553-d42e-4e3a-89be-32ca364cad4c](https://portal.azure.com/#view/Microsoft_Azure_Policy/PolicyDetailBlade/definitionId/%2Fproviders%2FMicrosoft.Authorization%2FpolicyDefinitions%2F4f11b553-d42e-4e3a-89be-32ca364cad4c) **- Name:** 'A maximum of 3 owners should be designated for your subscription'</t>
  </si>
  <si>
    <t>https://learn.microsoft.com/en-us/cli/azure/role/assignment:https://learn.microsoft.com/en-us/powershell/module/az.resources/get-azroleassignment:https://learn.microsoft.com/en-us/azure/role-based-access-control/built-in-roles/privileged#owner:https://learn.microsoft.com/en-us/azure/role-based-access-control/role-assignments-portal-subscription-admin</t>
  </si>
  <si>
    <t>A subscription has 1 owner by default.</t>
  </si>
  <si>
    <t>5.1</t>
  </si>
  <si>
    <t>Security Defaults (Per-User MFA)</t>
  </si>
  <si>
    <t>**IMPORTANT: READ BELOW BEFORE PROCEEDING!** 
-----
- If your organization pays for Microsoft Entra ID licensing (included in Microsoft 365 E3, E5, F5, or Business Premium, and EM&amp;S E3 or E5 licenses) and **CAN** use Conditional Access, ignore the recommendations in this section and proceed to the Conditional Access section.
- If your organization is using the free tier of Entra ID (Office 365 E1, E3, or E5, and Microsoft 365 F1 or F3 licenses) and **CAN NOT** use Conditional Access, proceed with the Security Defaults guidance in this section, and ignore the recommendations in the Conditional Access section.
Conditional Access is preferred, but Security Defaults (Per-User MFA) is recommended only if Conditional Access isn't available.
Why is this **IMPORTANT**?
The Azure "Security Defaults" recommendations represent an entry-level set of recommendations (such as Multi-Factor Authentication) which will be relevant to organizations and tenants that are either just starting to use Azure, or are only utilizing a bare minimum feature set, and rely on the free license tier of Microsoft Entra ID. Security Defaults recommendations are intended to ensure that these use cases are still capable of establishing a strong baseline of secure configuration.
**If your subscription is licensed to use Microsoft Entra ID P1 or P2, it is strongly recommended that the "Security Defaults" section (this section and the recommendations therein) be bypassed in favor of the use of "Conditional Access."**
-----
**IMPORTANT: READ ABOVE BEFORE PROCEEDING!**</t>
  </si>
  <si>
    <t>5.1.1</t>
  </si>
  <si>
    <t>Ensure that 'security defaults' is enabled in Microsoft Entra ID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</si>
  <si>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</si>
  <si>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</si>
  <si>
    <t>This recommendation should be implemented initially and then may be overridden by other service/product specific CIS Benchmarks. Administrators should also be aware that certain configurations in Microsoft Entra ID may impact other Microsoft services such as Microsoft 365.</t>
  </si>
  <si>
    <t>**Remediate from Azure Portal**
To enable security defaults in your directory:
1. From Azure Home select the Portal Menu.
1. Browse to `Microsoft Entra ID` &gt; `Properties`.
1. Select `Manage security defaults`.
1. Under `Security defaults`, select `Enabled (recommended)`.
1. Select `Save`.
**Remediate from Powershell**
```
Connect-MgGraph -Scopes "Policy.ReadWrite.ApplicationConfiguration"
Update-MgPolicyIdentitySecurityDefaultEnforcementPolicy -IsEnabled $true
(Get-MgPolicyIdentitySecurityDefaultEnforcementPolicy).IsEnabled
```
**Remediate from Azure CLI**
```
az rest --method patch --url 'https://graph.microsoft.com/v1.0/policies/identitySecurityDefaultsEnforcementPolicy' --body '{"isEnabled":true}'
az rest --method get --url 'https://graph.microsoft.com/v1.0/policies/identitySecurityDefaultsEnforcementPolicy' --query "isEnabled"
```</t>
  </si>
  <si>
    <t>**Audit from Azure Portal**
To ensure security defaults is enabled in your directory:
1. From Azure Home select the Portal Menu.
2. Browse to `Microsoft Entra ID` &gt; `Properties`.
3. Select `Manage security defaults`.
4. Under `Security defaults`, verify that `Enabled (recommended)` is selected.
**Audit from Powershell**
```
Connect-MgGraph -Scopes "Policy.Read.All"
(Get-MgPolicyIdentitySecurityDefaultEnforcementPolicy).IsEnabled
```
Returned value should be `true`.
**Audit from Azure CLI**
```
az login
az rest --method get --url 'https://graph.microsoft.com/v1.0/policies/identitySecurityDefaultsEnforcementPolicy' --query "isEnabled"
```
Returned value should be `true`.</t>
  </si>
  <si>
    <t>This recommendation differs from the [Microsoft 365 Benchmark](https://workbench.cisecurity.org/benchmarks/5741). This is because the potential impact associated with disabling Security Defaults is dependent upon the security settings implemented in the environment. It is recommended that organizations disabling Security Defaults implement appropriate security settings to replace the settings configured by Security Defaults.</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</si>
  <si>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</si>
  <si>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https://learn.microsoft.com/en-us/entra/fundamentals/security-defaults:https://techcommunity.microsoft.com/t5/azure-active-directory-identity/introducing-security-defaults/ba-p/1061414:https://learn.microsoft.com/en-us/security/benchmark/azure/mcsb-identity-management#im-2-protect-identity-and-authentication-systems</t>
  </si>
  <si>
    <t>If your tenant was created on or after October 22, 2019, security defaults may already be enabled in your tenant.</t>
  </si>
  <si>
    <t>5.1.2</t>
  </si>
  <si>
    <t>Ensure that 'multifactor authentication' is 'enabled' for all users</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</si>
  <si>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</si>
  <si>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</si>
  <si>
    <t>Users would require two forms of authentication before any access is granted. Additional administrative time will be required for managing dual forms of authentication when enabling multifactor authentication.</t>
  </si>
  <si>
    <t>**Remediate from Azure Portal**
1. Go to `Microsoft Entra ID`.
1. Under `Manage`, click `Users`.
1. Click `Per-user MFA` from the top menu.
1. Click the box next to a user with `Status` `disabled`.
1. Click `Enable MFA`.
1. Click `Enable`.
1. Repeat steps 1-6 for each user requiring remediation.
**Other options within Azure Portal**
- [https://learn.microsoft.com/en-us/entra/identity/authentication/tutorial-enable-azure-mfa](https://learn.microsoft.com/en-us/entra/identity/authentication/tutorial-enable-azure-mfa)
- [https://learn.microsoft.com/en-us/entra/identity/authentication/howto-mfa-mfasettings](https://learn.microsoft.com/en-us/entra/identity/authentication/howto-mfa-mfasettings)
- [https://learn.microsoft.com/en-us/entra/identity/conditional-access/policy-old-require-mfa-admin](https://learn.microsoft.com/en-us/entra/identity/conditional-access/policy-old-require-mfa-admin)
- [https://learn.microsoft.com/en-us/entra/identity/authentication/howto-mfa-getstarted#enable-multi-factor-authentication-with-conditional-access](https://learn.microsoft.com/en-us/entra/identity/authentication/howto-mfa-getstarted#enable-multi-factor-authentication-with-conditional-access)</t>
  </si>
  <si>
    <t>**Audit from Azure Portal**
1. Go to `Microsoft Entra ID`.
1. Under `Manage`, click `Users`.
1. Click `Per-user MFA` from the top menu.
1. Ensure that `Status` is `enabled` for all users.
**Audit from PowerShell**
Run the following Graph PowerShell command: 
```
get-mguser -All | where {$_.StrongAuthenticationMethods.Count -eq 0} | Select-Object -Property UserPrincipalName
```
If the output contains any `UserPrincipalName`, then this recommendation is non-compliant.</t>
  </si>
  <si>
    <t>https://learn.microsoft.com/en-us/entra/identity/authentication/concept-mfa-howitworks:https://learn.microsoft.com/en-us/entra/identity/authentication/concept-mandatory-multifactor-authentication:https://azure.microsoft.com/en-us/blog/announcing-mandatory-multi-factor-authentication-for-azure-sign-in/:https://learn.microsoft.com/en-us/security/benchmark/azure/mcsb-identity-management#im-4-authenticate-server-and-services</t>
  </si>
  <si>
    <t>Multifactor authentication is not enabled for all users by default. 
Starting in 2024, multifactor authentication is enabled for administrative accounts by default.</t>
  </si>
  <si>
    <t>5.1.3</t>
  </si>
  <si>
    <t>Ensure that 'Allow users to remember multifactor authentication on devices they trust' is disabled</t>
  </si>
  <si>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</si>
  <si>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</si>
  <si>
    <t>For every login attempt, the user will be required to perform multi-factor authentication.</t>
  </si>
  <si>
    <t>**Remediate from Azure Portal**
1. From Azure Home select the Portal Menu
1. Select `Microsoft Entra ID`
1. Under `Manage`, click `Users`
1. Click the `Per-user MFA` button on the top bar
1. Click on `Service settings`
1. Uncheck the box next to `Allow users to remember multi-factor authentication on devices they trust`
1. Click `Save`</t>
  </si>
  <si>
    <t>**Audit from Azure Portal**
1. From Azure Home select the Portal Menu
1. Select `Microsoft Entra ID`
1. Under `Manage`, click `Users`
1. Click the `Per-user MFA` button on the top bar
1. Click on `Service settings`
1. Ensure that `Allow users to remember multi-factor authentication on devices they trust` is not enabled</t>
  </si>
  <si>
    <t>https://learn.microsoft.com/en-us/entra/identity/authentication/howto-mfa-mfasettings#remember-multi-factor-authentication-for-devices-that-users-trust:https://learn.microsoft.com/en-us/security/benchmark/azure/security-controls-v3-identity-management#im-4-use-strong-authentication-controls-for-all-azure-active-directory-based-access:https://learn.microsoft.com/en-us/security/benchmark/azure/mcsb-identity-management#im-6-use-strong-authentication-controls</t>
  </si>
  <si>
    <t>By default, `Allow users to remember multi-factor authentication on devices they trust` is disabled.</t>
  </si>
  <si>
    <t>5.2</t>
  </si>
  <si>
    <t>Conditional Access</t>
  </si>
  <si>
    <t>For most Azure tenants, and certainly for organizations with a significant use of Microsoft Entra ID, Conditional Access policies are recommended and preferred. To use Conditional Access Policies, a licensing plan is required, and **Security Defaults must be disabled**. Because of the licensing requirement, all Conditional Access policies are assigned a profile of "Level 2."
Conditional Access requires one of the following plans:
- Microsoft Entra ID P1 or P2
- Microsoft 365 Business Premium
- Microsoft 365 E3 or E5
- Microsoft 365 F1, F3, F5 Security and F5 Security + Compliance
- Enterprise Mobility &amp; Security E3 or E5</t>
  </si>
  <si>
    <t>5.3</t>
  </si>
  <si>
    <t>Periodic Identity Reviews</t>
  </si>
  <si>
    <t>Security Best Practices for Identity services should include operational reviews that periodically ensure the integrity and necessity of accounts and permissions. These operational practices should be performed regularly on a cadence that is based on your organization's policy or compliance requirements.
**NOTE:** The recommendations in this section may not have a precise audit or remediation procedure because they may not be a configurable setting as much as they are an operative task that should be performed on a periodic basis.</t>
  </si>
  <si>
    <t>5.3.1</t>
  </si>
  <si>
    <t>Ensure that Azure admin accounts are not used for daily operations</t>
  </si>
  <si>
    <t>Microsoft Azure admin accounts should not be used for routine, non-administrative tasks.</t>
  </si>
  <si>
    <t>Using admin accounts for daily operations increases the risk of accidental misconfigurations and security breaches.</t>
  </si>
  <si>
    <t>Minor administrative overhead includes managing separate accounts, enforcing stricter access controls, and potential licensing costs for advanced security features.</t>
  </si>
  <si>
    <t>If admin accounts are being used for daily operations, consider the following:
- Monitor and alert on unusual activity.
- Enforce the principle of least privilege.
- Revoke any unnecessary administrative access.
- Use Conditional Access to limit access to resources.
- Ensure that administrators have separate admin and user accounts.
- Use Microsoft Entra ID Protection to detect, investigate, and remediate identity-based risks.
- Use Privileged Identity Management (PIM) in Microsoft Entra ID to limit standing administrator access to privileged roles, discover who has access, and review privileged access.</t>
  </si>
  <si>
    <t>**Audit from Azure Portal**
Monitor:
1. Go to `Monitor`.
1. Click `Activity log`.
1. Review the activity log and ensure that admin accounts are not being used for daily operations.
Microsoft Entra ID:
1. Go to `Microsoft Entra ID`.
1. Under `Monitoring`, click `Sign-in logs`.
1. Review the sign-in logs and ensure that admin accounts are not being accessed more frequently than necessary.</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</si>
  <si>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</si>
  <si>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https://learn.microsoft.com/en-us/security/privileged-access-workstations/critical-impact-accounts</t>
  </si>
  <si>
    <t>5.3.2</t>
  </si>
  <si>
    <t>Ensure that guest users are reviewed on a regular basis</t>
  </si>
  <si>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</si>
  <si>
    <t>Guest users are typically added outside your employee on-boarding/off-boarding process and could potentially be overlooked indefinitely. To prevent this, guest users should be reviewed on a regular basis. During this audit, guest users should also be determined to not have administrative privileges.</t>
  </si>
  <si>
    <t>Before removing guest users, determine their use and scope. Like removing any user, there may be unforeseen consequences to systems if an account is removed without careful consideration.</t>
  </si>
  <si>
    <t>**Remediate from Azure Portal**
1. From Azure Home select the Portal Menu
1. Select `Microsoft Entra ID`
1. Under `Manage`, select `Users`
1. Click on `Add filter`
1. Select `User type`
1. Select `Guest` from the Value dropdown
1. Click `Apply`
1. Check the box next to all `Guest` users that are no longer required or are inactive
1. Click `Delete`
1. Click `OK`
**Remediate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**Remediate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</si>
  <si>
    <t>**Audit from Azure Portal**
1. From Azure Home select the Portal Menu
1. Select `Microsoft Entra ID`
1. Under `Manage`, select `Users`
1. Click on `Add filter`
1. Select `User type`
1. Select `Guest` from the Value dropdown
1. Click `Apply`
1. Audit the listed guest users
**Audit from Azure CLI**
```
az ad user list --query "[?userType=='Guest']"
```
Ensure all users listed are still required and not inactive.
**Audit from Azure PowerShell**
```
Get-AzureADUser |Where-Object {$_.UserType -like "Guest"} |Select-Object DisplayName, UserPrincipalName, UserType -Unique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[e9ac8f8e-ce22-4355-8f04-99b911d6be52](https://portal.azure.com/#view/Microsoft_Azure_Policy/PolicyDetailBlade/definitionId/%2Fproviders%2FMicrosoft.Authorization%2FpolicyDefinitions%2Fe9ac8f8e-ce22-4355-8f04-99b911d6be52) **- Name:** 'Guest accounts with read permissions on Azure resources should be removed'
- **Policy ID:** [94e1c2ac-cbbe-4cac-a2b5-389c812dee87](https://portal.azure.com/#view/Microsoft_Azure_Policy/PolicyDetailBlade/definitionId/%2Fproviders%2FMicrosoft.Authorization%2FpolicyDefinitions%2F94e1c2ac-cbbe-4cac-a2b5-389c812dee87) **- Name:** 'Guest accounts with write permissions on Azure resources should be removed'
- **Policy ID:** [339353f6-2387-4a45-abe4-7f529d121046](https://portal.azure.com/#view/Microsoft_Azure_Policy/PolicyDetailBlade/definitionId/%2Fproviders%2FMicrosoft.Authorization%2FpolicyDefinitions%2F339353f6-2387-4a45-abe4-7f529d121046) **- Name:** 'Guest accounts with owner permissions on Azure resources should be removed'</t>
  </si>
  <si>
    <t>It is good practice to use a dynamic security group to manage guest users.
To create the dynamic security group:
1. Navigate to the 'Microsoft Entra ID' blade in the Azure Portal
2. Select the 'Groups' item
3. Create new
4. Type of 'dynamic'
5. Use the following dynamic selection rule. "(user.userType -eq "Guest")"
6. Once the group has been created, select access reviews option and create a new access review with a period of monthly and send to relevant administrators for review.</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</si>
  <si>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frequently.;TITLE:Disable Dormant Accounts CONTROL:v8 5.3 DESCRIPTION:Delete or disable any dormant accounts after a period of 45 days of inactivity, where supported.;TITLE:Maintain an Inventory of Accounts CONTROL:v7 16.6 DESCRIPTION:Maintain an inventory of all accounts organized by authentication system.;TITLE:Disable Any Unassociated Accounts CONTROL:v7 16.8 DESCRIPTION:Disable any account that cannot be associated with a business process or business owner.;</t>
  </si>
  <si>
    <t>https://learn.microsoft.com/en-us/entra/external-id/user-properties:https://learn.microsoft.com/en-us/entra/fundamentals/how-to-create-delete-users#delete-a-user:https://learn.microsoft.com/en-us/security/benchmark/azure/mcsb-privileged-access#pa-4-review-and-reconcile-user-access-regularly:https://www.microsoft.com/en-us/security/business/microsoft-entra-pricing:https://learn.microsoft.com/en-us/entra/identity/monitoring-health/howto-manage-inactive-user-accounts:https://learn.microsoft.com/en-us/entra/fundamentals/users-restore</t>
  </si>
  <si>
    <t>By default no guest users are created.</t>
  </si>
  <si>
    <t>5.3.3</t>
  </si>
  <si>
    <t>Ensure that use of the 'User Access Administrator' role is restricted</t>
  </si>
  <si>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</si>
  <si>
    <t>The User Access Administrator role provides extensive access control privileges. Unnecessary assignments heighten the risk of privilege escalation and unauthorized access. Removing the role immediately after use minimizes security exposure.</t>
  </si>
  <si>
    <t>Increased administrative effort to manage and remove role assignments appropriately.</t>
  </si>
  <si>
    <t>**Remediate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1. Click `View role assignments`.
1. Click `Remove`.
**Remediate from Azure CLI**
Run the following command:
```
az role assignment delete --role "User Access Administrator" --scope "/"
```</t>
  </si>
  <si>
    <t>**Audit from Azure Portal**
1. From Azure Home select the Portal Menu.
1. Select `Subscriptions`.
1. Select a subscription.
1. Select `Access control (IAM)`.
1. Look for the following banner at the top of the page: `Action required: X users have elevated access in your tenant. You should take immediate action and remove all role assignments with elevated access.` If the banner is displayed, the `User Access Administrator` is assigned.
**Audit from Azure CLI**
Run the following command:
```
az role assignment list --role "User Access Administrator" --scope "/"
```
Ensure that the command does not return any `User Access Administrator` role assignment information.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</si>
  <si>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</si>
  <si>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https://learn.microsoft.com/en-us/azure/role-based-access-control/built-in-roles:https://learn.microsoft.com/en-us/azure/role-based-access-control/elevate-access-global-admin</t>
  </si>
  <si>
    <t>5.3.4</t>
  </si>
  <si>
    <t>Ensure that all 'privileged' role assignments are periodically reviewed</t>
  </si>
  <si>
    <t>Periodic review of privileged role assignments is performed to ensure that the privileged roles assigned to users are accurate and appropriate.</t>
  </si>
  <si>
    <t>Privileged roles are crown jewel assets that can be used by malicious insiders, threat actors, and even through mistake to significantly damage an organization in numerous ways. These roles should be periodically reviewed to:
- identify lingering permissions assignment (e.g. an administrator has been terminated, the administrator account is being retained, but the permissions are no longer necessary and has not been properly addressed by process)
- detect lateral movement through privilege escalation (e.g. an account with administrative permission has been compromised and is elevating other accounts in an attempt to circumvent detection mechanisms)</t>
  </si>
  <si>
    <t>**Audit from Azure Portal**
1. From Azure Home select the Portal Menu.
1. Select `Subscriptions`.
1. Select a subscription.
1. Select `Access control (IAM)`.
1. Look for the number under the word `Privileged` accompanied by a link titled `View Assignments.` Click the `View assignments` link.
1. For each privileged role listed, evaluate whether the assignment is appropriate and current for each User, Group, or App assigned to each privileged role. 
**NOTE:** The judgement of what constitutes 'appropriate and current' assignments requires a clear understanding of your organization's personnel, systems, policy, and security requirements. This cannot be effectively prescribed in procedure.</t>
  </si>
  <si>
    <t>https://learn.microsoft.com/en-us/azure/role-based-access-control/built-in-roles</t>
  </si>
  <si>
    <t>5.3.5</t>
  </si>
  <si>
    <t>Ensure disabled user accounts do not have read, write, or owner permissions</t>
  </si>
  <si>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</si>
  <si>
    <t>Disabled accounts should not retain access to resources, as this poses a security risk. Removing role assignments mitigates potential unauthorized access and enforces the principle of least privilege.</t>
  </si>
  <si>
    <t>Ensure disabled accounts are not relied on for break glass or automated processes before removing roles to avoid service disruption.</t>
  </si>
  <si>
    <t>**Remediate from Azure Portal**
1. Go to `Microsoft Entra ID`.
1. Under `Manage`, click `Users`.
1. Click `Add filter`.
1. Click `Account enabled`.
1. Click the toggle switch to set the value to `No`.
1. Click `Apply`.
1. Click the `Display name` of a disabled user account with read, write, or owner roles assigned.
1. Click `Azure role assignments`.
1. Click the name of a read, write, or owner role.
1. Click `Assignments`.
1. Click `Remove` in the row for the disabled user account.
1. Click `Yes`.
1. Repeat steps 7-12 for disabled user accounts requiring remediation.
**Remediate from PowerShell**
For each account requiring remediation, run the following command to remove an assigned role:
```
Remove-AzRoleAssignment -ObjectId $user.ObjectId -RoleDefinitionName &lt;role-definition-name&gt;
```</t>
  </si>
  <si>
    <t>**Audit from Azure Portal**
1. Go to `Microsoft Entra ID`.
1. Under `Manage`, click `Users`.
1. Click `Add filter`.
1. Click `Account enabled`.
1. Click the toggle switch to set the value to `No`.
1. Click `Apply`.
1. Click the `Display name` of a disabled user account.
1. Click `Azure role assignments`.
1. Ensure that no read, write, or owner roles are assigned to the user account.
1. Repeat steps 7-9 for each disabled user account.
**Audit from PowerShell**
Run the following command to connect to Microsoft Entra ID:
```
Connect-AzureAD
```
Run the following command to list users:
```
Get-AzureADUser
```
Run the following command to get a user:
```
$user = Get-AzureADUser -ObjectId &lt;object-id&gt;
```
Run the following command to get the `AccountEnabled` setting for the user:
```
$user.AccountEnabled
```
If `AccountEnabled` is `False`, run the following command to get the role assignments for the user:
```
Get-AzRoleAssignment -ObjectId $user.ObjectId
```
Ensure that no read, write, or owner roles are assigned to the user.
Repeat for each user.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[0cfea604-3201-4e14-88fc-fae4c427a6c5](https://portal.azure.com/#view/Microsoft_Azure_Policy/PolicyDetailBlade/definitionId/%2Fproviders%2FMicrosoft.Authorization%2FpolicyDefinitions%2F0cfea604-3201-4e14-88fc-fae4c427a6c5) **- Name:** 'Blocked accounts with owner permissions on Azure resources should be removed'
- **Policy ID:** [8d7e1fde-fe26-4b5f-8108-f8e432cbc2be](https://portal.azure.com/#view/Microsoft_Azure_Policy/PolicyDetailBlade/definitionId/%2Fproviders%2FMicrosoft.Authorization%2FpolicyDefinitions%2F8d7e1fde-fe26-4b5f-8108-f8e432cbc2be) **- Name:** 'Blocked accounts with read and write permissions on Azure resources should be removed'</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</si>
  <si>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an Inventory of Accounts CONTROL:v7 16.6 DESCRIPTION:Maintain an inventory of all accounts organized by authentication system.;</t>
  </si>
  <si>
    <t>https://learn.microsoft.com/en-us/powershell/module/az.resources/get-azaduser:https://learn.microsoft.com/en-us/powershell/module/az.resources/get-azroleassignment:https://learn.microsoft.com/en-us/powershell/module/az.resources/remove-azroleassignment</t>
  </si>
  <si>
    <t>Disabled user accounts retain their prior role assignments.</t>
  </si>
  <si>
    <t>5.3.6</t>
  </si>
  <si>
    <t>Ensure 'Tenant Creator' role assignments are periodically reviewed</t>
  </si>
  <si>
    <t>Perform a periodic review of the Tenant Creator role assignment to ensure that the assignments are accurate and appropriate.
This recommendation should be applied alongside the recommendation **"Ensure that 'Restrict non-admin users from creating tenants' is set to 'Yes'"**.</t>
  </si>
  <si>
    <t>Unnecessary assignments increase the risk of privilege escalation and unauthorized access.</t>
  </si>
  <si>
    <t>Verify that the Tenant Creator role is no longer required by any assignments before removal to avoid disruption of critical functions.</t>
  </si>
  <si>
    <t>**Remediate from Azure Portal**
1. Go to `Microsoft Entra ID`.
1. Under `Manage`, click `Roles and administrators`.
1. In the search bar, type `Tenant Creator`.
1. Click the role.
1. Click the name of an assignment.
1. Check the box next to the `Tenant Creator` role.
1. Click `X Remove assignments`.
1. Click `Yes`.
1. Repeat steps 1-8 for each assignment requiring remediation.</t>
  </si>
  <si>
    <t>**Audit from Azure Portal**
1. Go to `Microsoft Entra ID`.
1. Under `Manage`, click `Roles and administrators`.
1. In the search bar, type `Tenant Creator`.
1. Click the role.
1. Review the assignments and ensure that they are appropriate.</t>
  </si>
  <si>
    <t>https://learn.microsoft.com/en-us/azure/active-directory-b2c/tenant-management-check-tenant-creation-permission:https://learn.microsoft.com/en-us/entra/identity/role-based-access-control/permissions-reference#tenant-creator</t>
  </si>
  <si>
    <t>The Tenant Creator role is not assigned by default.</t>
  </si>
  <si>
    <t>5.3.7</t>
  </si>
  <si>
    <t>Ensure all non-privileged role assignments are periodically reviewed</t>
  </si>
  <si>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</si>
  <si>
    <t>To ensure the principle of least privilege is followed, non-privileged role assignments should be reviewed periodically to confirm that users are granted only the minimum level of permissions they need to perform their tasks.</t>
  </si>
  <si>
    <t>**Remediate from Azure Portal**
1. Go to `Subscriptions`.
1. Click the name of a subscription.
1. Click `Access control (IAM)`.
1. Click `Role assignments`.
1. Click `Job function roles`.
1. Check the box next to any inappropriate assignments.
1. Click `Delete`.
1. Click `Yes`.
1. Repeat steps 1-8 for each subscription.</t>
  </si>
  <si>
    <t>**Audit from Azure Portal**
1. Go to `Subscriptions`.
1. Click the name of a subscription.
1. Click `Access control (IAM)`.
1. Click `Role assignments`.
1. Click `Job function roles`.
1. For each role, ensure the assignments are appropriate.
1. Repeat steps 1-6 for each subscription.</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</si>
  <si>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an Inventory of Accounts CONTROL:v7 16.6 DESCRIPTION:Maintain an inventory of all accounts organized by authentication system.;</t>
  </si>
  <si>
    <t>https://learn.microsoft.com/en-us/azure/role-based-access-control/role-assignments</t>
  </si>
  <si>
    <t>Users do not have non-privileged roles assigned to them by default.</t>
  </si>
  <si>
    <t>6</t>
  </si>
  <si>
    <t>Management and Governance Services</t>
  </si>
  <si>
    <t>To better understand the relationship between the Foundations Benchmark and Services Benchmarks, please read the "Introduction" section of this document.
Azure Product Directory Reference: https://azure.microsoft.com/en-us/products#management-and-governance
**FEEDBACK REQUEST:** Is there a specific service or recommendation in this section that you'd like to see addressed or improved? Let us know by making a ticket or starting a discussion in the CIS Microsoft Azure Community (https://workbench.cisecurity.org/communities/72).</t>
  </si>
  <si>
    <t>6.1</t>
  </si>
  <si>
    <t>Logging and Monitoring</t>
  </si>
  <si>
    <t>This section covers security recommendations to follow for logging and monitoring policies on an Azure Subscription.
**Scoping: A necessary exercise for effective and efficient use of Logging and Monitoring**
For recommendations contained in this section, it is crucial that your organization consider and settle on the scope of application for each recommendation individually. The scope of application cannot be realistically written in a generic prescriptive way within these recommendations, so a scoping exercise is strongly recommended. A scoping exercise will help you determine which resources are "in scope" and will receive partial or complete logging and monitoring treatment, and which resources are "out of scope" and will not receive any logging and monitoring treatment. 
Your objectives with the scoping exercise should be to:
- Produce a clear classification of resources 
- Understand the control requirements of any relevant security or compliance frameworks
- Ensure the appropriate personnel can detect and react to threats
- Ensure relevant resources have a historical register for accountability and investigation
- Minimize alert fatigue and cost 
Release Environments provide a helpful context for understanding scope from a DevOps perspective. For example:
1. Production Environment
1. Staging Environment
1. Testing Environment
1. Development Environment
While resources considered in the scope of a Production Environment might have a full set of recommendations applied for logging and monitoring, other release environments might have a limited set of recommendations applied for the sake of accountability. The names of these environments and which resources are in the scope of each environment will vary from one organization to another.</t>
  </si>
  <si>
    <t>6.1.4</t>
  </si>
  <si>
    <t>Ensure that Azure Monitor Resource Logging is Enabled for All Services that Support it</t>
  </si>
  <si>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</si>
  <si>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
This recommendation's Level 1 profile is dependent upon the free level of retention of 30 days. More than 30 days retention of resource logs will increase the cost of this recommendation.</t>
  </si>
  <si>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</si>
  <si>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**Remediate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**Remediate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**Remediate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</si>
  <si>
    <t>**Audit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**Audit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**Audit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
- **Policy ID:** [91a78b24-f231-4a8a-8da9-02c35b2b6510](https://portal.azure.com/#view/Microsoft_Azure_Policy/PolicyDetailBlade/definitionId/%2Fproviders%2FMicrosoft.Authorization%2FpolicyDefinitions%2F91a78b24-f231-4a8a-8da9-02c35b2b6510) **- Name:** 'App Service apps should have resource logs enabled'
- **Policy ID:** [428256e6-1fac-4f48-a757-df34c2b3336d](https://portal.azure.com/#view/Microsoft_Azure_Policy/PolicyDetailBlade/definitionId/%2Fproviders%2FMicrosoft.Authorization%2FpolicyDefinitions%2F428256e6-1fac-4f48-a757-df34c2b3336d) **- Name:** 'Resource logs in Batch accounts should be enabled'
- **Policy ID:** [057ef27e-665e-4328-8ea3-04b3122bd9fb](https://portal.azure.com/#view/Microsoft_Azure_Policy/PolicyDetailBlade/definitionId/%2Fproviders%2FMicrosoft.Authorization%2FpolicyDefinitions%2F057ef27e-665e-4328-8ea3-04b3122bd9fb) **- Name:** 'Resource logs in Azure Data Lake Store should be enabled'
- **Policy ID:** [c95c74d9-38fe-4f0d-af86-0c7d626a315c](https://portal.azure.com/#view/Microsoft_Azure_Policy/PolicyDetailBlade/definitionId/%2Fproviders%2FMicrosoft.Authorization%2FpolicyDefinitions%2Fc95c74d9-38fe-4f0d-af86-0c7d626a315c) **- Name:** 'Resource logs in Data Lake Analytics should be enabled'
- **Policy ID:** [83a214f7-d01a-484b-91a9-ed54470c9a6a](https://portal.azure.com/#view/Microsoft_Azure_Policy/PolicyDetailBlade/definitionId/%2Fproviders%2FMicrosoft.Authorization%2FpolicyDefinitions%2F83a214f7-d01a-484b-91a9-ed54470c9a6a) **- Name:** 'Resource logs in Event Hub should be enabled'
- **Policy ID:** [383856f8-de7f-44a2-81fc-e5135b5c2aa4](https://portal.azure.com/#view/Microsoft_Azure_Policy/PolicyDetailBlade/definitionId/%2Fproviders%2FMicrosoft.Authorization%2FpolicyDefinitions%2F383856f8-de7f-44a2-81fc-e5135b5c2aa4) **- Name:** 'Resource logs in IoT Hub should be enabled'
- **Policy ID:** [34f95f76-5386-4de7-b824-0d8478470c9d](https://portal.azure.com/#view/Microsoft_Azure_Policy/PolicyDetailBlade/definitionId/%2Fproviders%2FMicrosoft.Authorization%2FpolicyDefinitions%2F34f95f76-5386-4de7-b824-0d8478470c9d) **- Name:** 'Resource logs in Logic Apps should be enabled'
- **Policy ID:** [b4330a05-a843-4bc8-bf9a-cacce50c67f4](https://portal.azure.com/#view/Microsoft_Azure_Policy/PolicyDetailBlade/definitionId/%2Fproviders%2FMicrosoft.Authorization%2FpolicyDefinitions%2Fb4330a05-a843-4bc8-bf9a-cacce50c67f4) **- Name:** 'Resource logs in Search services should be enabled'
- **Policy ID:** [f8d36e2f-389b-4ee4-898d-21aeb69a0f45](https://portal.azure.com/#view/Microsoft_Azure_Policy/PolicyDetailBlade/definitionId/%2Fproviders%2FMicrosoft.Authorization%2FpolicyDefinitions%2Ff8d36e2f-389b-4ee4-898d-21aeb69a0f45) **- Name:** 'Resource logs in Service Bus should be enabled'
- **Policy ID:** [f9be5368-9bf5-4b84-9e0a-7850da98bb46](https://portal.azure.com/#view/Microsoft_Azure_Policy/PolicyDetailBlade/definitionId/%2Fproviders%2FMicrosoft.Authorization%2FpolicyDefinitions%2Ff9be5368-9bf5-4b84-9e0a-7850da98bb46) **- Name:** 'Resource logs in Azure Stream Analytics should be enabled'
- **Policy ID:** [8a04f872-51e9-4313-97fb-fc1c3543011c](https://portal.azure.com/#view/Microsoft_Azure_Policy/PolicyDetailBlade/definitionId/%2Fproviders%2FMicrosoft.Authorization%2FpolicyDefinitions%2F8a04f872-51e9-4313-97fb-fc1c3543011c) **- Name:** 'Azure Application Gateway should have Resource logs enabled'</t>
  </si>
  <si>
    <t>For an up-to-date list of Azure resources which support Azure Monitor, refer to the "Supported Log Categories" reference.</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</si>
  <si>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investigation.;TITLE:Centralize Audit Logs CONTROL:v8 8.9 DESCRIPTION:Centralize, to the extent possible, audit log collection and retention across enterprise assets.;TITLE:Enable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
  </si>
  <si>
    <t>https://learn.microsoft.com/en-us/security/benchmark/azure/mcsb-logging-threat-detection#lt-3-enable-logging-for-security-investigation:https://learn.microsoft.com/en-us/security/benchmark/azure/mcsb-logging-threat-detection#lt-5-centralize-security-log-management-and-analysis:https://learn.microsoft.com/en-us/azure/azure-monitor/essentials/monitor-azure-resource:Supported Log Categories: https://learn.microsoft.com/en-us/azure/azure-monitor/reference/logs-index:Logs and Audit - Fundamentals: https://learn.microsoft.com/en-us/azure/security/fundamentals/log-audit:Collecting Logs: https://learn.microsoft.com/en-us/azure/azure-monitor/essentials/activity-log:Key Vault Logging: https://learn.microsoft.com/en-us/azure/key-vault/general/logging:Monitor Diagnostic Settings: https://learn.microsoft.com/en-us/cli/azure/monitor/diagnostic-settings:Overview of Diagnostic Logs: https://learn.microsoft.com/en-us/azure/azure-monitor/fundamentals/data-sources:Supported Services for Diagnostic Logs: https://learn.microsoft.com/en-us/azure/azure-monitor/essentials/resource-logs-schema:Diagnostic Logs for CDNs: https://learn.microsoft.com/en-us/azure/cdn/cdn-azure-diagnostic-logs</t>
  </si>
  <si>
    <t>By default, Azure Monitor Resource Logs are 'Disabled' for all resources.</t>
  </si>
  <si>
    <t>6.1.1</t>
  </si>
  <si>
    <t>Configuring Diagnostic Settings</t>
  </si>
  <si>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workspace,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provides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</si>
  <si>
    <t>6.1.1.1</t>
  </si>
  <si>
    <t>Ensure that a 'Diagnostic Setting' exists for Subscription Activity Logs</t>
  </si>
  <si>
    <t>Enable Diagnostic settings for exporting activity logs.
Diagnostic settings are available for each individual resource within a subscription. Settings should be configured for all appropriate resources for your environment.</t>
  </si>
  <si>
    <t>A diagnostic setting controls how a diagnostic log is exported. By default, logs are retained only for 90 days. Diagnostic settings should be defined so that logs can be exported and stored for a longer duration to analyze security activities within an Azure subscription.</t>
  </si>
  <si>
    <t>**Remediate from Azure Portal**
To enable Diagnostic Settings on a Subscription:
1. Go to `Monitor`
2. Click on `Activity log`
3. Click on `Export Activity Logs`
4. Click `+ Add diagnostic setting`
5. Enter a `Diagnostic setting name`
6. Select `Categories` for the diagnostic setting
7. Select the appropriate `Destination details` (this may be Log Analytics, Storage Account, Event Hub, or Partner solution)
8. Click `Save`
To enable Diagnostic Settings on a specific resource:
1. Go to `Monitoring`
1. Click `Diagnostic settings`
1. Select `Add diagnostic setting`
1. Enter a `Diagnostic setting name`
1. Select the appropriate log, metric, and destination (this may be Log Analytics, Storage Account, Event Hub, or Partner solution)
1. Click `Save`
Repeat these step for all resources as needed.
**Remediate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**Remediate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</si>
  <si>
    <t>**Audit from Azure Portal**
To identify Diagnostic Settings on a subscription:
1. Go to `Monitor`
2. Click `Activity Log`
3. Click `Export Activity Logs`
4. Select a `Subscription`
5. Ensure a `Diagnostic setting` exists for the selected Subscription
To identify Diagnostic Settings on specific resources:
1. Go to `Monitoring`
2. Click `Diagnostic settings`
3. Ensure a `Diagnostic setting` exists for all appropriate resources.
**Audit from Azure CLI**
To identify Diagnostic Settings on a subscription:
```
az monitor diagnostic-settings subscription list --subscription &lt;subscription-id&gt;
```
To identify Diagnostic Settings on a resource
```
az monitor diagnostic-settings list --resource &lt;resource-id&gt;
```
**Audit from PowerShell**
To identify Diagnostic Settings on a Subscription:
```
Get-AzSubscriptionDiagnosticSetting -SubscriptionId &lt;subscription-id&gt;
```
To identify Diagnostic Settings on a specific resource:
```
Get-AzDiagnosticSetting -ResourceId &lt;resource-id&gt;
```</t>
  </si>
  <si>
    <t>TITLE:Centralize Audit Logs CONTROL:v8 8.9 DESCRIPTION:Centralize, to the extent possible, audit log collection and retention across enterprise assets.;TITLE:Central Log Management CONTROL:v7 6.5 DESCRIPTION:Ensure that appropriate logs are being aggregated to a central log management system for analysis and review.;</t>
  </si>
  <si>
    <t>https://learn.microsoft.com/en-us/azure/azure-monitor/fundamentals/data-sources:https://learn.microsoft.com/en-us/cli/azure/monitor/diagnostic-settings?view=azure-cli-latest:https://learn.microsoft.com/en-us/security/benchmark/azure/mcsb-logging-threat-detection#lt-3-enable-logging-for-security-investigation</t>
  </si>
  <si>
    <t>By default, diagnostic setting is not set.</t>
  </si>
  <si>
    <t>6.1.1.2</t>
  </si>
  <si>
    <t>Ensure Diagnostic Setting captures appropriate categories</t>
  </si>
  <si>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</si>
  <si>
    <t>A diagnostic setting controls how the diagnostic log is exported. Capturing the diagnostic setting categories for appropriate control/management plane activities allows proper alerting.</t>
  </si>
  <si>
    <t>**Remediate from Azure Portal**
1. Go to `Monitor`.
1. Click `Activity log`.
1. Click on `Export Activity Logs`.
1. Select the `Subscription` from the drop down menu.
1. Click `Edit setting` next to a diagnostic setting.
1. Check the following categories: `Administrative, Alert, Policy, and Security`.
1. Choose the destination details according to your organization's needs.
1. Click `Save`.
**Remediate from Azure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**Remediate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</si>
  <si>
    <t>**Audit from Azure Portal**
1. Go to `Monitor`.
1. Click `Activity log`.
1. Click on `Export Activity Logs`.
1. Select the appropriate `Subscription`.
1. Click `Edit setting` next to a diagnostic setting.
1. Ensure that the following categories are checked: `Administrative, Alert, Policy, and Security`.
**Audit from Azure CLI**
Ensure the categories `'Administrative', 'Alert', 'Policy', and 'Security'` set to: 'enabled: true'
```
az monitor diagnostic-settings subscription list --subscription &lt;subscription ID&gt;
```
**Audit from PowerShell**
Ensure the categories Administrative, Alert, Policy, and Security are set to Enabled:True 
```
Get-AzSubscriptionDiagnosticSetting -Subscription &lt;subscriptionID&gt;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</si>
  <si>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</si>
  <si>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https://learn.microsoft.com/en-us/azure/azure-monitor/essentials/diagnostic-settings:https://learn.microsoft.com/en-us/azure/azure-monitor/essentials/resource-manager-diagnostic-settings:https://learn.microsoft.com/en-us/security/benchmark/azure/mcsb-logging-threat-detection#lt-3-enable-logging-for-security-investigation:https://learn.microsoft.com/en-us/cli/azure/monitor/diagnostic-settings?view=azure-cli-latest:https://learn.microsoft.com/en-us/powershell/module/az.monitor/new-azsubscriptiondiagnosticsetting?view=azps-13.4.0</t>
  </si>
  <si>
    <t>When the diagnostic setting is created using Azure Portal, by default no categories are selected.</t>
  </si>
  <si>
    <t>6.1.1.4</t>
  </si>
  <si>
    <t>Ensure that logging for Azure Key Vault is 'Enabled'</t>
  </si>
  <si>
    <t>Enable AuditEvent logging for key vault instances to ensure interactions with key vaults are logged and available.</t>
  </si>
  <si>
    <t>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</si>
  <si>
    <t>**Remediate from Azure Portal**
1. Go to `Key vaults`.
2. Select a Key vault.
3. Under `Monitoring`, select `Diagnostic settings`.
4. Click `Edit setting` to update an existing diagnostic setting, or `Add diagnostic setting` to create a new one.
5. If creating a new diagnostic setting, provide a name.
6. Configure an appropriate destination.
7. Under `Category groups`, check `audit` and `allLogs`.
8. Click `Save`.
**Remediate from Azure CLI**
To update an existing `Diagnostic Settings`
```
az monitor diagnostic-settings update --name "&lt;diagnostic_setting_name&gt;" --resource &lt;key_vault_id&gt;
```
To create a new `Diagnostic Settings`
```
az monitor diagnostic-settings create --name "&lt;diagnostic_setting_name&gt;" --resource &lt;key_vault_id&gt; --logs "[{category:audit,enabled:true},{category:allLogs,enabled:true}]" --metrics "[{category:AllMetrics,enabled:true}]" &lt;[--event-hub &lt;event_hub_ID&gt; --event-hub-rule &lt;event_hub_auth_rule_ID&gt; | --storage-account &lt;storage_account_ID&gt; |--workspace &lt;log_analytics_workspace_ID&gt; | --marketplace-partner-id &lt;solution_resource_ID&gt;]&gt;
```
**Remediate from PowerShell**
Create the `Log` settings object
```
$logSettings = @()
$logSettings += New-AzDiagnosticSettingLogSettingsObject -Enabled $true -Category audit
$logSettings += New-AzDiagnosticSettingLogSettingsObject -Enabled $true -Category allLogs
```
Create the `Metric` settings object
```
$metricSettings = @()
$metricSettings += New-AzDiagnosticSettingMetricSettingsObject -Enabled $true -Category AllMetrics
```
Create the `Diagnostic Settings` for each `Key Vault`
```
New-AzDiagnosticSetting -Name "&lt;diagnostic_setting_name&gt;" -ResourceId &lt;key_vault_id&gt; -Log $logSettings -Metric $metricSettings [-StorageAccountId &lt;storage_account_ID&gt; | -EventHubName &lt;event_hub_name&gt; -EventHubAuthorizationRuleId &lt;event_hub_auth_rule_ID&gt; | -WorkSpaceId &lt;log analytics workspace ID&gt; | -MarketPlacePartnerId &lt;full resource ID for third-party solution&gt;]
```</t>
  </si>
  <si>
    <t>**Audit from Azure Portal**
1. Go to `Key vaults`.
1. For each Key vault, under `Monitoring`, go to `Diagnostic settings`.
1. Click `Edit setting` next to a diagnostic setting.
1. Ensure that a destination is configured.
1. Under `Category groups`, ensure that `audit` and `allLogs` are checked.
**Audit from Azure CLI**
List all key vaults
```
az keyvault list
```
For each keyvault `id`
```
az monitor diagnostic-settings list --resource &lt;id&gt;
```
Ensure that `storageAccountId` reflects your desired destination and that `categoryGroup` and `enabled` are set as follows in the sample outputs below.
```
"logs": [
{
 "categoryGroup": "audit",
 "enabled": true,
},
{
 "categoryGroup": "allLogs",
 "enabled": true,
}
```
**Audit from PowerShell** 
List the key vault(s) in the subscription
```
Get-AzKeyVault
```
For each key vault, run the following: 
```
Get-AzDiagnosticSetting -ResourceId &lt;key_vault_id&gt;
```
Ensure that `StorageAccountId`, `ServiceBusRuleId`, `MarketplacePartnerId`, or `WorkspaceId` is set as appropriate. Also, ensure that `enabled` is set to `true`, and that `categoryGroup` reflects both `audit` and `allLogs` category groups.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[cf820ca0-f99e-4f3e-84fb-66e913812d21](https://portal.azure.com/#view/Microsoft_Azure_Policy/PolicyDetailBlade/definitionId/%2Fproviders%2FMicrosoft.Authorization%2FpolicyDefinitions%2Fcf820ca0-f99e-4f3e-84fb-66e913812d21) **- Name:** 'Resource logs in Key Vault should be enabled'</t>
  </si>
  <si>
    <t>**DEPRECATION WARNING**
Retention rules for Key Vault logging is being migrated to Azure Storage Lifecycle Management. Retention rules should be set based on the needs of your organization and security or compliance frameworks. Please visit [https://learn.microsoft.com/en-us/azure/azure-monitor/essentials/migrate-to-azure-storage-lifecycle-policy?tabs=portal](https://learn.microsoft.com/en-us/azure/azure-monitor/essentials/migrate-to-azure-storage-lifecycle-policy?tabs=portal) for detail on migrating your retention rules.
Microsoft has provided the following deprecation timeline:
March 31, 2023 – The Diagnostic Settings Storage Retention feature will no longer be available to configure new retention rules for log data. This includes using the portal, CLI PowerShell, and ARM and Bicep templates. If you have configured retention settings, you'll still be able to see and change them in the portal.
March 31, 2024 – You will no longer be able to use the API (CLI, Powershell, or templates), or Azure portal to configure retention setting unless you're changing them to 0. Existing retention rules will still be respected.
September 30, 2025 – All retention functionality for the Diagnostic Settings Storage Retention feature will be disabled across all environments.</t>
  </si>
  <si>
    <t>https://learn.microsoft.com/en-us/azure/key-vault/general/howto-logging:https://learn.microsoft.com/en-us/security/benchmark/azure/mcsb-data-protection#dp-8-ensure-security-of-key-and-certificate-repository:https://learn.microsoft.com/en-us/security/benchmark/azure/mcsb-logging-threat-detection#lt-3-enable-logging-for-security-investigation</t>
  </si>
  <si>
    <t>By default, Diagnostic AuditEvent logging is not enabled for Key Vault instances.</t>
  </si>
  <si>
    <t>6.1.2</t>
  </si>
  <si>
    <t>Monitoring using Activity Log Alerts</t>
  </si>
  <si>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https://learn.microsoft.com/en-us/azure/azure-resource-manager/management/resource-providers-and-types
If you wish to create custom alerting rules for Activity Log Alerts or other alert types, please refer to Microsoft documentation:
- https://learn.microsoft.com/en-us/azure/azure-monitor/alerts/alerts-create-metric-alert-rule</t>
  </si>
  <si>
    <t>6.1.2.1</t>
  </si>
  <si>
    <t>Ensure that Activity Log Alert exists for Create Policy Assignment</t>
  </si>
  <si>
    <t>Create an activity log alert for the Create Policy Assignment event.</t>
  </si>
  <si>
    <t>Monitoring for create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</si>
  <si>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`Create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operationName=Microsoft.Authorization/policyAssignments/write&gt;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</si>
  <si>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name=Microsoft.Authorization/policyAssignments/write`.
1. Click on the Alert `Name` associated with the previous step.
1. Ensure the `Condition` panel displays the text `Whenever the Activity Log has an event with Category='Administrative', Operation name='Create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`Microsoft.Authorization/policyAssignments/write` in the output. If it's missing, generate a finding.
**Audit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</si>
  <si>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learn.microsoft.com/en-us/rest/api/policy/policy-assignments:https://learn.microsoft.com/en-us/azure/azure-monitor/alerts/alerts-create-log-alert-rule</t>
  </si>
  <si>
    <t>By default, no monitoring alerts are created.</t>
  </si>
  <si>
    <t>6.1.2.2</t>
  </si>
  <si>
    <t>Ensure that Activity Log Alert exists for Delete Policy Assignment</t>
  </si>
  <si>
    <t>Create an activity log alert for the Delete Policy Assignment event.</t>
  </si>
  <si>
    <t>Monitoring for delete policy assignment events gives insight into changes done in "azure policy - assignments" and can reduce the time it takes to detect unsolicited changes.</t>
  </si>
  <si>
    <t>**Remediate from Azure Portal**
1. Navigate to the `Monitor` blade.
1. Select `Alerts`.
1. Select `Create`.
1. Select `Alert rule`.
1. Choose a subscription.
1. Select `Apply`.
1. Select the `Condition` tab.
1. Click `See all signals`.
1. Select `Delete policy assignment (Policy assignment)`.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</si>
  <si>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name=Microsoft.Authorization/policyAssignments/delete`.
1. Click on the Alert `Name` associated with the previous step.
1. Ensure the `Condition` panel displays the text `Whenever the Activity Log has an event with Category='Administrative', Operation name='Delete policy assignment'`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`Microsoft.Authorization/policyAssignments/delete` in the output
**Audit from PowerShell**
```
Get-AzActivityLogAlert -SubscriptionId &lt;subscription ID&gt;|where-object {$_.ConditionAllOf.Equal -match "Microsoft.Authorization/policyAssignments/delete"}|select-object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[c5447c04-a4d7-4ba8-a263-c9ee321a6858](https://portal.azure.com/#view/Microsoft_Azure_Policy/PolicyDetailBlade/definitionId/%2Fproviders%2FMicrosoft.Authorization%2FpolicyDefinitions%2Fc5447c04-a4d7-4ba8-a263-c9ee321a6858) **- Name:** 'An activity log alert should exist for specific Policy operations'</t>
  </si>
  <si>
    <t>This log alert also applies for Azure Blueprints.</t>
  </si>
  <si>
    <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https://azure.microsoft.com/en-us/products/blueprints/</t>
  </si>
  <si>
    <t>6.1.2.3</t>
  </si>
  <si>
    <t>Ensure that Activity Log Alert exists for Create or Update Network Security Group</t>
  </si>
  <si>
    <t>Create an Activity Log Alert for the Create or Update Network Security Group event.</t>
  </si>
  <si>
    <t>Monitoring for Create or Update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</si>
  <si>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</si>
  <si>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name=Microsoft.Network/networkSecurityGroups/write`.
1. Click on the Alert `Name` associated with the previous step.
1. Ensure the `Condition` panel displays the text `Whenever the Activity Log has an event with Category='Administrative', Operation name='Create or Update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`Microsoft.Network/networkSecurityGroups/write` in the output
**Audit from PowerShell**
```
Get-AzActivityLogAlert -SubscriptionId &lt;subscription ID&gt;|where-object {$_.ConditionAllOf.Equal -match "Microsoft.Network/networkSecurityGroups/write"}|select-object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</si>
  <si>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https://azure.microsoft.com/en-us/updates?id=classic-alerting-monitoring-retirement:https://learn.microsoft.com/en-us/azure/azure-monitor/alerts/alerts-create-activity-log-alert-rule:https://learn.microsoft.com/en-us/rest/api/monitor/activity-log-alerts/create-or-update:https://learn.microsoft.com/en-us/rest/api/monitor/activity-log-alerts/list-by-subscription-id:https://learn.microsoft.com/en-us/security/benchmark/azure/mcsb-logging-threat-detection#lt-3-enable-logging-for-security-investigation</t>
  </si>
  <si>
    <t>6.1.2.4</t>
  </si>
  <si>
    <t>Ensure that Activity Log Alert exists for Delete Network Security Group</t>
  </si>
  <si>
    <t>Create an activity log alert for the Delete Network Security Group event.</t>
  </si>
  <si>
    <t>Monitoring for "Delete Network Security Group"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</si>
  <si>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Network Security Group (Network Security Group)`.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</si>
  <si>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name=Microsoft.Network/networkSecurityGroups/delete`.
1. Click on the Alert `Name` associated with the previous step.
1. Ensure the `Condition` panel displays the text `Whenever the Activity Log has an event with Category='Administrative', Operation name='Delete Network Security Group'`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`Microsoft.Network/networkSecurityGroups/delete` in the output
**Audit from PowerShell**
```
Get-AzActivityLogAlert -SubscriptionId &lt;subscription ID&gt;|where-object {$_.ConditionAllOf.Equal -match "Microsoft.Network/networkSecurityGroups/delete"}|select-object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</si>
  <si>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6.1.2.5</t>
  </si>
  <si>
    <t>Ensure that Activity Log Alert exists for Create or Update Security Solution</t>
  </si>
  <si>
    <t>Create an activity log alert for the Create or Update Security Solution event.</t>
  </si>
  <si>
    <t>Monitoring for Create or Update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</si>
  <si>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</si>
  <si>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name=Microsoft.Security/securitySolutions/write`.
1. Click on the Alert `Name` associated with the previous step.
1. Ensure the `Condition` panel displays the text `Whenever the Activity Log has an event with Category='Administrative', Operation name='Create or Update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`Microsoft.Security/securitySolutions/write` in the output
**Audit from PowerShell**
```
Get-AzActivityLogAlert -SubscriptionId &lt;subscription ID&gt;|where-object {$_.ConditionAllOf.Equal -match "Microsoft.Security/securitySolutions/write"}|select-object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</si>
  <si>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6.1.2.6</t>
  </si>
  <si>
    <t>Ensure that Activity Log Alert exists for Delete Security Solution</t>
  </si>
  <si>
    <t>Create an activity log alert for the Delete Security Solution event.</t>
  </si>
  <si>
    <t>Monitoring for Delete Security Solution events gives insight into changes to the active security solutions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</si>
  <si>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Security Solutions (Security Solutions)`.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</si>
  <si>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name=Microsoft.Security/securitySolutions/delete`.
1. Click on the Alert `Name` associated with the previous step.
1. Ensure the `Condition` panel displays the text `Whenever the Activity Log has an event with Category='Administrative', Operation name='Delete Security Solutions'`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`Microsoft.Security/securitySolutions/delete` in the output
**Audit from PowerShell**
```
Get-AzActivityLogAlert -SubscriptionId &lt;subscription ID&gt;|where-object {$_.ConditionAllOf.Equal -match "Microsoft.Security/securitySolutions/delete"}|select-object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[3b980d31-7904-4bb7-8575-5665739a8052](https://portal.azure.com/#view/Microsoft_Azure_Policy/PolicyDetailBlade/definitionId/%2Fproviders%2FMicrosoft.Authorization%2FpolicyDefinitions%2F3b980d31-7904-4bb7-8575-5665739a8052) **- Name:** 'An activity log alert should exist for specific Security operations'</t>
  </si>
  <si>
    <t>6.1.2.7</t>
  </si>
  <si>
    <t>Ensure that Activity Log Alert exists for Create or Update SQL Server Firewall Rule</t>
  </si>
  <si>
    <t>Create an activity log alert for the Create or Update SQL Server Firewall Rule event.</t>
  </si>
  <si>
    <t>Monitoring for Create or Update SQL Server Firewall Rule events gives insight into network access changes and may reduce the time it takes to detect suspicious activity.</t>
  </si>
  <si>
    <t>There will be a substantial increase in log size if there are a large number of administrative actions on a server.</t>
  </si>
  <si>
    <t>**Remediate from Azure Portal**
1. Navigate to the `Monitor` blade.
1. Select `Alerts`.
1. Select `Create`.
1. Select `Alert rule`.
1. Choose a subscription.
1. Select `Apply`.
1. Select the `Condition` tab.
1. Click `See all signals`.
1. Select `Create/Update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</si>
  <si>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name=Microsoft.Sql/servers/firewallRules/write`.
1. Click on the Alert `Name` associated with the previous step.
1. Ensure the `Condition` panel displays the text `Whenever the Activity Log has an event with Category='Administrative', Operation name='Create/Update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`Microsoft.Sql/servers/firewallRules/write` in the output
**Audit from PowerShell**
```
Get-AzActivityLogAlert -SubscriptionId &lt;subscription ID&gt;|where-object {$_.ConditionAllOf.Equal -match "Microsoft.Sql/servers/firewallRules/write"}|select-object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</si>
  <si>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6.1.2.8</t>
  </si>
  <si>
    <t>Ensure that Activity Log Alert exists for Delete SQL Server Firewall Rule</t>
  </si>
  <si>
    <t>Create an activity log alert for the "Delete SQL Server Firewall Rule."</t>
  </si>
  <si>
    <t>Monitoring for Delete SQL Server Firewall Rule events gives insight into SQL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</si>
  <si>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server firewall rule (Server Firewall Rule)`.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</si>
  <si>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name=Microsoft.Sql/servers/firewallRules/delete`.
1. Click on the Alert `Name` associated with the previous step.
1. Ensure the `Condition` panel displays the text `Whenever the Activity Log has an event with Category='Administrative', Operation name='Delete server firewall rule'`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`Microsoft.Sql/servers/firewallRules/delete` in the output
**Audit from PowerShell**
```
Get-AzActivityLogAlert -SubscriptionId &lt;subscription ID&gt;|where-object {$_.ConditionAllOf.Equal -match "Microsoft.Sql/servers/firewallRules/delete"}|select-object Location,Name,Enabled,ResourceGroupName,ConditionAllOf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[b954148f-4c11-4c38-8221-be76711e194a](https://portal.azure.com/#view/Microsoft_Azure_Policy/PolicyDetailBlade/definitionId/%2Fproviders%2FMicrosoft.Authorization%2FpolicyDefinitions%2Fb954148f-4c11-4c38-8221-be76711e194a) **- Name:** 'An activity log alert should exist for specific Administrative operations'</t>
  </si>
  <si>
    <t>6.1.2.9</t>
  </si>
  <si>
    <t>Ensure that Activity Log Alert exists for Create or Update Public IP Address rule</t>
  </si>
  <si>
    <t>Create an activity log alert for the Create or Update Public IP Addresses rule.</t>
  </si>
  <si>
    <t>Monitoring for Create or Update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</si>
  <si>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`Create or Update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</si>
  <si>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name=Microsoft.Network/publicIPAddresses/write`.
1. Click on the Alert `Name` associated with the previous step.
1. Ensure the `Condition` panel displays the text `Whenever the Activity Log has an event with Category='Administrative', Operation name='Create or Update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`Microsoft.Network/publicIPAddresses/write` in the output
**Audit from PowerShell**
```
Get-AzActivityLogAlert -SubscriptionId &lt;subscription ID&gt;|where-object {$_.ConditionAllOf.Equal -match "Microsoft.Network/publicIPAddresses/write"}|select-object Location,Name,Enabled,ResourceGroupName,ConditionAllOf
```</t>
  </si>
  <si>
    <t>6.1.2.10</t>
  </si>
  <si>
    <t>Ensure that Activity Log Alert exists for Delete Public IP Address rule</t>
  </si>
  <si>
    <t>Create an activity log alert for the Delete Public IP Address rule.</t>
  </si>
  <si>
    <t>Monitoring for Delete Public IP Address events gives insight into network access changes and may reduce the time it takes to detect suspicious activity.</t>
  </si>
  <si>
    <t>**Remediate from Azure Portal**
1. Navigate to the `Monitor` blade.
1. Select `Alerts`.
1. Select `Create`.
1. Select `Alert rule`.
1. Choose a subscription.
1. Select `Apply`.
1. Select the `Condition` tab.
1. Click `See all signals`.
1. Select `Delete Public Ip Address (Public Ip Address)`.
1. Click `Apply`.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**Remediate from Azure CLI**
```
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--subscription &lt;subscription id&gt; --action-group &lt;action group ID&gt;
```
**Remediate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</si>
  <si>
    <t>**Audit from Azure Portal**
1. Navigate to the `Monitor` blade.
1. Click on `Alerts`.
1. In the Alerts window, click on `Alert rules`.
1. Ensure an alert rule exists where the Condition column contains `Operation name=Microsoft.Network/publicIPAddresses/delete`.
1. Click on the Alert `Name` associated with the previous step.
1. Ensure the `Condition` panel displays the text `Whenever the Activity Log has an event with Category='Administrative', Operation name='Delete Public Ip Address'` and does not filter on `Level`, `Status` or `Caller`.
1. Ensure the `Actions` panel displays an Action group is assigned to notify the appropriate personnel in your organization.
**Audit from Azure CLI**
```
az monitor activity-log alert list --subscription &lt;subscription Id&gt; --query "[].{Name:name,Enabled:enabled,Condition:condition.allOf,Actions:actions}"
```
Look for `Microsoft.Network/publicIPAddresses/delete` in the output
**Audit from PowerShell**
```
Get-AzActivityLogAlert -SubscriptionId &lt;subscription ID&gt;|where-object {$_.ConditionAllOf.Equal -match "Microsoft.Network/publicIPAddresses/delete"}|select-object Location,Name,Enabled,ResourceGroupName,ConditionAllOf
```</t>
  </si>
  <si>
    <t>6.1.2.11</t>
  </si>
  <si>
    <t>Ensure that an Activity Log Alert exists for Service Health</t>
  </si>
  <si>
    <t>Create an activity log alert for Service Health.</t>
  </si>
  <si>
    <t>Monitoring for Service Health events provides insight into service issues, planned maintenance, security advisories, and other changes that may affect the Azure services and regions in use.</t>
  </si>
  <si>
    <t>There is no charge for creating activity log alert rules.</t>
  </si>
  <si>
    <t>**Remediate from Azure Portal**
1. Go to `Monitor`.
1. Click `Alerts`.
1. Click `+ Create`.
1. Select `Alert rule` from the drop-down menu.
1. Choose a subscription.
1. Click `Apply`.
1. Select the `Condition` tab.
1. Click `See all signals`.
1. Select `Service health`.
1. Click `Apply`.
1. Open the drop-down menu next to `Event types`.
1. Check the box next to `Select all`.
1. Select the `Actions` tab.
1. Click `Select action groups` to select an existing action group, or `Create action group` to create a new action group.
1. Follow the prompts to choose or create an action group.
1. Select the `Details` tab.
1. Select a `Resource group`, provide an `Alert rule name` and an optional `Alert rule description`.
1. Click `Review + create`.
1. Click `Create`.
1. Repeat steps 1-19 for each subscription requiring remediation.
**Remediate from Azure CLI**
For each subscription requiring remediation, run the following command to create a `ServiceHealth` alert rule for a subscription:
```
az monitor activity-log alert create --subscription &lt;subscription-id&gt; --resource-group &lt;resource-group&gt; --name &lt;alert-rule&gt; --condition category=ServiceHealth and properties.incidentType=Incident --scope /subscriptions/&lt;subscription-id&gt; --action-group &lt;action-group&gt;
```
**Remediate from PowerShell**
Create the `Conditions` object:
```
$conditions = @()
$conditions += New-AzActivityLogAlertAlertRuleAnyOfOrLeafConditionObject -Field category -Equal ServiceHealth
$conditions += New-AzActivityLogAlertAlertRuleAnyOfOrLeafConditionObject -Field properties.incidentType -Equal Incident
```
Retrieve the `Action Group` information and store in a variable:
```
$actionGroup = Get-AzActionGroup -ResourceGroupName &lt;resource-group&gt; -Name &lt;action-group&gt;
```
Create the `Actions` object:
```
$actionObject = New-AzActivityLogAlertActionGroupObject -Id $actionGroup.Id
```
Create the `Scope` object:
```
$scope = "/subscriptions/&lt;subscription-id&gt;"
```
Create the activity log alert rule:
```
New-AzActivityLogAlert -Name &lt;alert-rule&gt; -ResourceGroupName &lt;resource-group&gt; -Condition $conditions -Scope $scope -Location global -Action $actionObject -Subscription &lt;subscription-id&gt; -Enabled $true
```
Repeat for each subscription requiring remediation.</t>
  </si>
  <si>
    <t>**Audit from Azure Portal**
1. Go to `Monitor`.
1. Click `Alerts`.
1. Click `Alert rules`.
1. Ensure an alert rule exists for a subscription with `Condition` set to `Service names=All, Event types=All` and `Target resource type` set to `Subscription`.
1. If an alert rule is found for step 4, click the name of the alert rule.
1. Ensure the `Actions` panel displays an action group configured to notify appropriate personnel.
1. Repeat steps 1-6 for each subscription.
**Audit from Azure CLI**
Run the following command to list activity log alerts:
```
az monitor activity-log alert list --subscription &lt;subscription-id&gt;
```
For each activity log alert, run the following command:
```
az monitor activity-log alert show --subscription &lt;subscription-id&gt; --resource-group &lt;resource-group&gt; --activity-log-alert-name &lt;activity-log-alert&gt;
```
Ensure an alert exists for `ServiceHealth` with `scopes` set to a subscription ID.
Repeat for each subscription.
**Audit from PowerShell**
Run the following command to locate `ServiceHealth` alert rules for a subscription:
```
Get-AzActivityLogAlert -SubscriptionId &lt;subscription-id&gt; | where-object {$_.ConditionAllOf.Equal -match "ServiceHealth"} | select-object Location,Name,Enabled,ResourceGroupName,ConditionAllOf
```
Ensure that at least one `ServiceHealth` alert rule is returned.
Repeat for each subscription.</t>
  </si>
  <si>
    <t>M1047</t>
  </si>
  <si>
    <t>https://learn.microsoft.com/en-us/azure/service-health/overview:https://learn.microsoft.com/en-us/azure/service-health/alerts-activity-log-service-notifications-portal:https://azure.microsoft.com/en-us/pricing/details/monitor/#faq:https://learn.microsoft.com/en-us/cli/azure/monitor/activity-log/alert:https://learn.microsoft.com/en-us/powershell/module/az.monitor/get-azactivitylogalert:https://learn.microsoft.com/en-us/powershell/module/az.monitor/new-azactivitylogalert</t>
  </si>
  <si>
    <t>6.1.3</t>
  </si>
  <si>
    <t>Configuring Application Insights</t>
  </si>
  <si>
    <t>7</t>
  </si>
  <si>
    <t>Networking Services</t>
  </si>
  <si>
    <t>To better understand the relationship between the Foundations Benchmark and Services Benchmarks, please read the "Introduction" section of this document.
This section covers security recommendations to follow in order to set networking policies on an Azure subscription.
Azure Product Directory Reference: https://azure.microsoft.com/en-us/products#networking
**FEEDBACK REQUEST:** Is there a specific service or recommendation in this section that you'd like to see addressed or improved? Let us know by making a ticket or starting a discussion in the CIS Microsoft Azure Community (https://workbench.cisecurity.org/communities/72).</t>
  </si>
  <si>
    <t>7.1</t>
  </si>
  <si>
    <t>Ensure that RDP access from the Internet is evaluated and restricted</t>
  </si>
  <si>
    <t>Network security groups should be periodically evaluated for port misconfigurations. Where RDP is not explicitly required and narrowly configured for resources attached to a network security group, Internet-level access to Azure resources should be restricted or eliminated.</t>
  </si>
  <si>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</si>
  <si>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`3389` or range including 3389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</si>
  <si>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`3389` or range including 3389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3389 and destinationPortMax &gt;= 3389)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"3389", "*", or "&lt;range-including-3389&gt;"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</si>
  <si>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
  </si>
  <si>
    <t>https://learn.microsoft.com/en-us/azure/security/fundamentals/network-best-practices#disable-rdpssh-access-to-virtual-machines:https://learn.microsoft.com/en-us/security/benchmark/azure/mcsb-network-security#ns-1-establish-network-segmentation-boundaries:Express Route: https://learn.microsoft.com/en-us/azure/expressroute/:Site-to-Site VPN: https://learn.microsoft.com/en-us/azure/vpn-gateway/tutorial-site-to-site-portal:Point-to-Site VPN: https://learn.microsoft.com/en-us/azure/vpn-gateway/point-to-site-certificate-gateway</t>
  </si>
  <si>
    <t>By default, RDP access from internet is not `enabled`.</t>
  </si>
  <si>
    <t>7.2</t>
  </si>
  <si>
    <t>Ensure that SSH access from the Internet is evaluated and restricted</t>
  </si>
  <si>
    <t>Network security groups should be periodically evaluated for port misconfigurations. Where SSH is not explicitly required and narrowly configured for resources attached to a network security group, Internet-level access to Azure resources should be restricted or eliminated.</t>
  </si>
  <si>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</si>
  <si>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`22` or range including 22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</si>
  <si>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`22` or range including 22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22 and destinationPortMax &gt;= 22)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"22", "*", or "&lt;range-including-22&gt;"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[22730e10-96f6-4aac-ad84-9383d35b5917](https://portal.azure.com/#view/Microsoft_Azure_Policy/PolicyDetailBlade/definitionId/%2Fproviders%2FMicrosoft.Authorization%2FpolicyDefinitions%2F22730e10-96f6-4aac-ad84-9383d35b5917) **- Name:** 'Management ports should be closed on your virtual machines'</t>
  </si>
  <si>
    <t>By default, SSH access from internet is not `enabled`.</t>
  </si>
  <si>
    <t>7.3</t>
  </si>
  <si>
    <t>Ensure that UDP access from the Internet is evaluated and restricted</t>
  </si>
  <si>
    <t>Network security groups should be periodically evaluated for port misconfigurations. Where UDP is not explicitly required and narrowly configured for resources attached to a network security group, Internet-level access to Azure resources should be restricted or eliminated.</t>
  </si>
  <si>
    <t>The potential security problem with broadly exposing UDP services over the Internet is that attackers can use DDoS amplification techniques to reflect spoofed UDP traffic from Azure Virtual Machines. The most common types of these attacks exploit exposed DNS, NTP, SSDP, SNMP, CLDAP, and other UDP-based services as amplification sources to disrupt services on other machines within the Azure Virtual Network, or even attack networked devices outside of Azure.</t>
  </si>
  <si>
    <t>**Remediate from Azure Portal**
1. Go to `Network security groups`.
1. Click the name of a network security group.
1. Under `Settings`, click `Inbound security rules`.
1. Check the box next to any inbound security rule matching:
 - Port: Port: `53`, `123`, `161`, `389`, or `1900`, or range including `53`, `123`, `161`, `389`, or `1900`, or other vulnerable UDP-based services
 - Protocol: `UDP`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</si>
  <si>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`53`, `123`, `161`, `389`, or `1900`, or range including `53`, `123`, `161`, `389`, or `1900`, or other vulnerable UDP-based services
 - Protocol: `UDP`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("udp", "*") | mv-expand destinationPort | mv-expand sourceAddress | extend destinationPortMin = toint(split(destinationPort, "-")[0]), destinationPortMax = toint(split(destinationPort, "-")[-1]) | where (destinationPortMin &lt;= 53 and destinationPortMax &gt;= 53) or (destinationPortMin &lt;= 123 and destinationPortMax &gt;= 123) or (destinationPortMin &lt;= 161 and destinationPortMax &gt;= 161) or (destinationPortMin &lt;= 389 and destinationPortMax &gt;= 389) or (destinationPortMin &lt;= 1900 and destinationPortMax &gt;= 1900) or destinationPort == "" | where sourceAddress in~ ("*", "0.0.0.0", "internet", "any") or sourceAddress endswith "/0"
 ```
1. Click `Run query`.
1. Ensure that no results are returned.
**Audit from Azure CLI**
List network security groups with non-default security rules:
```
az network nsg list --query [*].[name,securityRules]
```
Ensure that no network security group has an inbound security rule that matches the following:
```
"access" : "Allow"
"destinationPortRange" : "53", "123", "161", "389", "1900", "*" or "&lt;range-including-53-123-161-389-1900-or-other-vulnerable-udp-based-services&gt;"
"direction" : "Inbound"
"protocol" : "UDP"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</si>
  <si>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https://learn.microsoft.com/en-us/azure/security/fundamentals/network-best-practices#secure-your-critical-azure-service-resources-to-only-your-virtual-networks:https://learn.microsoft.com/en-us/azure/ddos-protection/fundamental-best-practices:https://learn.microsoft.com/en-us/security/benchmark/azure/mcsb-network-security#ns-1-establish-network-segmentation-boundaries:ExpressRoute: https://learn.microsoft.com/en-us/azure/expressroute/:Site-to-site VPN: https://learn.microsoft.com/en-us/azure/vpn-gateway/tutorial-site-to-site-portal:Point-to-site VPN: https://learn.microsoft.com/en-us/azure/vpn-gateway/point-to-site-certificate-gateway</t>
  </si>
  <si>
    <t>By default, UDP access from internet is not `enabled`.</t>
  </si>
  <si>
    <t>7.4</t>
  </si>
  <si>
    <t>Ensure that HTTP(S) access from the Internet is evaluated and restricted</t>
  </si>
  <si>
    <t>Network security groups should be periodically evaluated for port misconfigurations. Where HTTP(S) is not explicitly required and narrowly configured for resources attached to a network security group, Internet-level access to Azure resources should be restricted or eliminated.</t>
  </si>
  <si>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</si>
  <si>
    <t>**Remediate from Azure Portal**
1. Go to `Network security groups`.
1. Click the name of a network security group.
1. Under `Settings`, click `Inbound security rules`.
1. Check the box next to any inbound security rule matching:
 - Port: `80`, `443`, or range including 80 or 443
 - Protocol: `TCP` or `Any`
 - Source: `0.0.0.0/0`, `Internet`, or `Any`
 - Action: `Allow`
1. Click `Delete`.
1. Click `Yes`.
1. Repeat steps 1-6 for each network security group requiring remediation.
**Remediate from Azure CLI**
For each network security group rule requiring remediation, run the following command to delete the rule:
```
az network nsg rule delete --resource-group &lt;resource-group&gt; --nsg-name &lt;network-security-group&gt; --name &lt;rule&gt;
```</t>
  </si>
  <si>
    <t>**Audit from Azure Portal**
1. Go to `Network security groups`.
1. Click the name of a network security group.
1. Under `Settings`, click `Inbound security rules`.
1. Ensure that no inbound security rule exists that matches the following:
 - Port: `80`, `443`, or range including 80 or 443
 - Protocol: `TCP` or `Any`
 - Source: `0.0.0.0/0`, `Internet`, or `Any`
 - Action: `Allow`
1. Repeat steps 1-4 for each network security group.
To audit from Azure Resource Graph:
1. Go to `Resource Graph Explorer`.
1. Click `New query`.
1. Paste the following into the query window:
 ```
 resources | where type =~ "microsoft.network/networksecuritygroups" | project id, name, securityRule = properties.securityRules | mv-expand securityRule | extend access = securityRule.properties.access, direction = securityRule.properties.direction, protocol = securityRule.properties.protocol, destinationPort = case(isempty(securityRule.properties.destinationPortRange), securityRule.properties.destinationPortRanges, securityRule.properties.destinationPortRange), sourceAddress = case(isempty(securityRule.properties.sourceAddressPrefix), securityRule.properties.sourceAddressPrefixes, securityRule.properties.sourceAddressPrefix) | where access =~ "Allow" and direction =~ "Inbound" and protocol in~ ("tcp", "*") | mv-expand destinationPort | mv-expand sourceAddress | extend destinationPortMin = toint(split(destinationPort, "-")[0]), destinationPortMax = toint(split(destinationPort, "-")[-1]) | where (destinationPortMin &lt;= 80 and destinationPortMax &gt;= 80) or (destinationPortMin &lt;= 443 and destinationPortMax &gt;= 443) or destinationPort == "" | where sourceAddress in~ ("*", "0.0.0.0", "internet", "any") or sourceAddress endswith "/0"
 ```
1. Click `Run query`.
1. Ensure that no results are returned.
**Audit from Azure CLI**
List network security groups non-default security rules:
```
az network nsg list --query [*].[name,securityRules]
```
Ensure that no network security group has an inbound security rule that matches the following:
```
"access" : "Allow"
"destinationPortRange" : "80", "443", "*", or "&lt;range-including-80-or-443&gt;"
"direction" : "Inbound"
"protocol" : "TCP" or "*"
"sourceAddressPrefix" : "0.0.0.0/0", "Internet", or "*"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[9daedab3-fb2d-461e-b861-71790eead4f6](https://portal.azure.com/#view/Microsoft_Azure_Policy/PolicyDetailBlade/definitionId/%2Fproviders%2FMicrosoft.Authorization%2FpolicyDefinitions%2F9daedab3-fb2d-461e-b861-71790eead4f6) **- Name:** 'All network ports should be restricted on network security groups associated to your virtual machine'</t>
  </si>
  <si>
    <t>Express Route: https://learn.microsoft.com/en-us/azure/expressroute/:Site-to-Site VPN: https://learn.microsoft.com/en-us/azure/vpn-gateway/tutorial-site-to-site-portal:Point-to-Site VPN: https://learn.microsoft.com/en-us/azure/vpn-gateway/point-to-site-certificate-gateway:https://learn.microsoft.com/en-us/security/benchmark/azure/mcsb-network-security#ns-1-establish-network-segmentation-boundaries</t>
  </si>
  <si>
    <t>By default, HTTP(S) access from internet is not `enabled`.</t>
  </si>
  <si>
    <t>7.7</t>
  </si>
  <si>
    <t>Ensure that Public IP addresses are Evaluated on a Periodic Basis</t>
  </si>
  <si>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</si>
  <si>
    <t>Public IP Addresses allocated to the tenant should be periodically reviewed for necessity. Public IP Addresses that are not intentionally assigned and controlled present a publicly facing vector for threat actors and significant risk to the tenant.</t>
  </si>
  <si>
    <t>Remediation will vary significantly depending on your organization's security requirements for the resources attached to each individual Public IP address.</t>
  </si>
  <si>
    <t>**Audit 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**Audit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</si>
  <si>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support.;TITLE:Maintain an Inventory of Network Boundaries CONTROL:v7 12.1 DESCRIPTION:Maintain an up-to-date inventory of all of the organization's network boundaries.;</t>
  </si>
  <si>
    <t>https://learn.microsoft.com/en-us/cli/azure/network/public-ip:https://learn.microsoft.com/en-us/security/benchmark/azure/mcsb-network-security</t>
  </si>
  <si>
    <t>During Virtual Machine and Application creation, a setting may create and attach a public IP.</t>
  </si>
  <si>
    <t>7.11</t>
  </si>
  <si>
    <t>Ensure subnets are associated with network security groups</t>
  </si>
  <si>
    <t>Protect subnet resources by ensuring subnets are associated with network security groups, which can filter inbound and outbound traffic using security rules.</t>
  </si>
  <si>
    <t>Unprotected subnets can expose resources to unauthorized access.</t>
  </si>
  <si>
    <t>Minor administrative effort is required to ensure subnets are associated with network security groups. There is no cost to create or use network security groups.</t>
  </si>
  <si>
    <t>**Remediate from Azure Portal**
1. Go to `Virtual networks`.
1. Click the name of a virtual network.
1. Under `Settings`, click `Subnets`.
1. Click the name of a subnet.
1. Under `Security`, next to `Network security group`, click `None` to display the drop-down menu.
1. Select a network security group.
1. Click `Save`.
1. Repeat steps 1-7 for each virtual network and subnet requiring remediation.
**Remediate from Azure CLI**
For each subnet requiring remediation, run the following command to associate it with a network security group:
```
az network vnet subnet update --resource-group &lt;resource-group&gt; --vnet-name &lt;virtual-network&gt; --name &lt;subnet&gt; --network-security-group &lt;network-security-group&gt;
```</t>
  </si>
  <si>
    <t>**Audit from Azure Portal**
1. Go to `Virtual networks`.
1. Click the name of a virtual network.
1. Under `Settings`, click `Subnets`.
1. Click the name of a subnet.
1. Under `Security`, ensure `Network security group` is not set to `None`.
1. Repeat steps 1-5 for each virtual network and subnet.
**Audit from Azure CLI**
Run the following command to list virtual networks:
```
az network vnet list
```
For each virtual network, run the following command to list subnets:
```
az network vnet show --resource-group &lt;resource-group&gt; --name &lt;virtual-network&gt; --query subnets
```
For each subnet, run the following command to get the network security group id:
```
az network vnet subnet show --resource-group &lt;resource-group&gt; --vnet-name &lt;virtual-network&gt; --name &lt;subnet&gt; --query networkSecurityGroup.id 
```
Ensure a network security group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[e71308d3-144b-4262-b144-efdc3cc90517](https://portal.azure.com/#view/Microsoft_Azure_Policy/PolicyDetailBlade/definitionId/%2Fproviders%2FMicrosoft.Authorization%2FpolicyDefinitions%2Fe71308d3-144b-4262-b144-efdc3cc90517) **- Name:** 'Subnets should be associated with a Network Security Group'</t>
  </si>
  <si>
    <t>TITLE:Perform Traffic Filtering Between Network Segments CONTROL:v8 13.4 DESCRIPTION:Perform traffic filtering between network segments, where appropriate.;TITLE:Apply Host-based Firewalls or Port Filtering CONTROL:v7 9.4 DESCRIPTION:Apply host-based firewalls or port filtering tools on end systems, with a default-deny rule that drops all traffic except those services and ports that are explicitly allowed.;</t>
  </si>
  <si>
    <t>https://learn.microsoft.com/en-us/azure/virtual-network/network-security-groups-overview:https://learn.microsoft.com/en-us/cli/azure/network/vnet</t>
  </si>
  <si>
    <t>By default, a subnet is not associated with a network security group.</t>
  </si>
  <si>
    <t>7.12</t>
  </si>
  <si>
    <t>Ensure the SSL policy's 'Min protocol version' is set to 'TLSv1_2' or higher on Azure Application Gateway</t>
  </si>
  <si>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</si>
  <si>
    <t>TLS 1.0 and 1.1 are outdated and vulnerable to security risks. Since TLS 1.2 and TLS 1.3 provide enhanced security and improved performance, it is highly recommended to use TLS 1.2 or higher whenever possible.</t>
  </si>
  <si>
    <t>Using the latest TLS version may affect compatibility with clients and backend services.</t>
  </si>
  <si>
    <t>**Remediate from Azure Portal**
1. Go to `Application gateways`.
1. Click the name of an application gateway.
1. Under `Settings`, click `Listeners`.
1. Under `SSL Policy`, next to the `Selected SSL Policy` name, click `change`.
1. Select an appropriate SSL policy with a `Min protocol version` of `TLSv1_2` or higher.
1. Click `Save`.
1. Repeat steps 1-6 for each application gateway requiring remediation.
**Remediate from Azure CLI**
Run the following command to list available SSL policy options:
```
az network application-gateway ssl-policy list-options
```
Run the following command to list available predefined SSL policies:
```
az network application-gateway ssl-policy predefined list
```
For each application gateway requiring remediation, run the following command to set a predefined SSL policy:
```
az network application-gateway ssl-policy set --resource-group &lt;resource-group&gt; --gateway-name &lt;application-gateway&gt; --name &lt;ssl-policy&gt; --policy-type Predefined
```
Alternatively, run the following command to set a custom SSL policy:
```
az network application-gateway ssl-policy set --resource-group &lt;resource-group&gt; --gateway-name &lt;application-gateway&gt; --policy-type Custom --min-protocol-version &lt;min-protocol-version&gt; --cipher-suites &lt;cipher-suites&gt;
```</t>
  </si>
  <si>
    <t>**Audit from Azure Portal**
1. Go to `Application gateways`.
1. Click the name of an application gateway.
1. Under `Settings`, click `Listeners`.
1. Under `SSL Policy`, ensure `Min protocol version` is set to `TLSv1_2` or higher.
1. Repeat steps 1-4 for each application gateway.
**Audit from Azure CLI**
Run the following command to list application gateways:
```
az network application-gateway list
```
For each application gateway, run the following command to get the SSL policy:
```
az network application-gateway ssl-policy show --resource-group &lt;resource-group&gt; --gateway-name &lt;application-gateway&gt;
```
For each SSL policy, run the following command to get the `minProtocolVersion`:
```
az network application-gateway ssl-policy predefined show --name &lt;ssl-policy&gt; --query minProtocolVersion
```
Ensure `"TLSv1_2"` or higher is returned.</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</si>
  <si>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</si>
  <si>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https://learn.microsoft.com/en-us/azure/application-gateway/application-gateway-ssl-policy-overview:https://learn.microsoft.com/en-us/cli/azure/network/application-gateway</t>
  </si>
  <si>
    <t>`Min protocol version` is set to `TLSv1_2` by default.</t>
  </si>
  <si>
    <t>7.13</t>
  </si>
  <si>
    <t>Ensure 'HTTP2' is set to 'Enabled' on Azure Application Gateway</t>
  </si>
  <si>
    <t>Enable HTTP/2 for improved performance, efficiency, and security.
HTTP/2 protocol support is available to clients that connect to application gateway listeners only. Communication with backend server pools is always HTTP/1.1.</t>
  </si>
  <si>
    <t>Enabling HTTP/2 supports use of modern encrypted connections.</t>
  </si>
  <si>
    <t>Clients and backend services that do not support HTTP/2 will fall back to HTTP/1.1.</t>
  </si>
  <si>
    <t>**Remediate from Azure Portal**
1. Go to `Application gateways`.
1. Click the name of an application gateway.
1. Under `Settings`, click `Configuration`.
1. Under `HTTP2`, click `Enabled`.
1. Click `Save`.
1. Repeat steps 1-5 for each application gateway requiring remediation.
**Remediate from Azure CLI**
For each application gateway requiring remediation, run the following command to enable HTTP2:
```
az network application-gateway update --resource-group &lt;resource-group&gt; --name &lt;application-gateway&gt; --http2 Enabled
```
**Remediate from PowerShell**
Run the following command to get the application gateway in a resource group with a given name:
```
$gateway = Get-AzApplicationGateway -ResourceGroupName &lt;resource-group&gt; -Name &lt;application-gateway&gt;
```
Run the following command to enable HTTP2:
```
$gateway.EnableHttp2 = $true
```
Run the following command to apply the update:
```
Set-AzApplicationGateway -ApplicationGateway $gateway
```
Repeat for each application gateway requiring remediation.</t>
  </si>
  <si>
    <t>**Audit from Azure Portal**
1. Go to `Application gateways`.
1. Click the name of an application gateway.
1. Under `Settings`, click `Configuration`.
1. Ensure `HTTP2` is set to `Enabled`.
1. Repeat steps 1-4 for each application gateway.
**Audit from Azure CLI**
Run the following command to list application gateways:
```
az network application-gateway list
```
For each application gateway, run the following command to get the HTTP2 setting:
```
az network application-gateway show --resource-group &lt;resource-group&gt; --name &lt;application-gateway&gt; --query enableHttp2
```
Ensure `true` is returned.
**Audit from PowerShell**
Run the following command to list application gateways:
```
Get-AzApplicationGateway
```
Run the following command to get the application gateway in a resource group with a given name:
```
$gateway = Get-AzApplicationGateway -ResourceGroupName &lt;resource-group&gt; -Name &lt;application-gateway&gt;
```
Run the following command to get the HTTP2 setting:
```
$gateway.EnableHttp2
```
Ensure `True` is returned.
Repeat for each application gateway.</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</si>
  <si>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</si>
  <si>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https://learn.microsoft.com/en-us/azure/application-gateway/features#websocket-and-http2-traffic:https://learn.microsoft.com/en-us/cli/azure/network/application-gateway:https://learn.microsoft.com/en-us/powershell/module/az.network/get-azapplicationgateway:https://learn.microsoft.com/en-us/powershell/module/az.network/set-azapplicationgateway</t>
  </si>
  <si>
    <t>HTTP2 is enabled by default.</t>
  </si>
  <si>
    <t>8</t>
  </si>
  <si>
    <t>Security Services</t>
  </si>
  <si>
    <t>To better understand the relationship between the Foundations Benchmark and Services Benchmarks, please read the "Introduction" section of this document.
This section covers security best practice recommendations for products in the Azure Security services category.
Azure Product Directory Reference: https://azure.microsoft.com/en-us/products#security
**FEEDBACK REQUEST:** Is there a specific service or recommendation in this section that you'd like to see addressed or improved? Let us know by making a ticket or starting a discussion in the CIS Microsoft Azure Community (https://workbench.cisecurity.org/communities/72).</t>
  </si>
  <si>
    <t>8.1</t>
  </si>
  <si>
    <t>Microsoft Defender for Cloud</t>
  </si>
  <si>
    <t>This subsection provides guidance on the use of Microsoft Defender for Cloud and associated product plans. This guidance is intended to ensure that—at a minimum—the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which—if any—of these recommendations are relevant to their organization's needs. In consideration of the above, and because of the potential for increased cost and complexity, please be aware that all Microsoft Defender for Cloud and associated plan recommendations are profiled as "Level 2" recommendations.</t>
  </si>
  <si>
    <t>8.1.10</t>
  </si>
  <si>
    <t>Ensure that Microsoft Defender for Cloud is configured to check VM operating systems for updates</t>
  </si>
  <si>
    <t>Ensure that the latest OS patches for all virtual machines are applied.</t>
  </si>
  <si>
    <t>Windows and Linux virtual machines should be kept updated to: 
- Address a specific bug or flaw
- Improve an OS or application’s general stability
- Fix a security vulnerability
Microsoft Defender for Cloud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</si>
  <si>
    <t>Running Microsoft Defender for Cloud incurs additional charges for each resource monitored. Please see attached reference for exact charges per hour.</t>
  </si>
  <si>
    <t>Follow Microsoft Azure documentation to apply security patches from the security center. Alternatively, you can employ your own patch assessment and management tool to periodically assess, report, and install the required security patches for your OS.</t>
  </si>
  <si>
    <t>**Audit from Azure Portal**
1. From Azure Home select the Portal Menu
1. Select `Microsoft Defender for Cloud`
1. Then the `Recommendations` blade
1. Ensure that there are no recommendations for `System updates should be installed on your machines (powered by Update Center)`
Alternatively, you can employ your own patch assessment and management tool to periodically assess, report and install the required security patches for your OS.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[f85bf3e0-d513-442e-89c3-1784ad63382b](https://portal.azure.com/#view/Microsoft_Azure_Policy/PolicyDetailBlade/definitionId/%2Fproviders%2FMicrosoft.Authorization%2FpolicyDefinitions%2Ff85bf3e0-d513-442e-89c3-1784ad63382b) **- Name:** 'System updates should be installed on your machines (powered by Update Center)'
- **Policy ID:** [bd876905-5b84-4f73-ab2d-2e7a7c4568d9](https://portal.azure.com/#view/Microsoft_Azure_Policy/PolicyDetailBlade/definitionId/%2Fproviders%2FMicrosoft.Authorization%2FpolicyDefinitions%2Fbd876905-5b84-4f73-ab2d-2e7a7c4568d9) **- Name:** 'Machines should be configured to periodically check for missing system updates'</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</si>
  <si>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</si>
  <si>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https://learn.microsoft.com/en-us/security/benchmark/azure/mcsb-posture-vulnerability-management#pv-6-rapidly-and-automatically-remediate-vulnerabilities:https://azure.microsoft.com/en-us/pricing/details/defender-for-cloud/</t>
  </si>
  <si>
    <t>By default, patches are not automatically deployed.</t>
  </si>
  <si>
    <t>8.1.11</t>
  </si>
  <si>
    <t>Ensure that Microsoft Cloud Security Benchmark policies are not set to 'Disabled'</t>
  </si>
  <si>
    <t>The Microsoft Cloud Security Benchmark (or "MCSB") is an Azure Policy Initiative containing many security policies to evaluate resource configuration against best practice recommendations. If a policy in the MCSB is set with effect type `Disabled`, it is not evaluated and may prevent administrators from being informed of valuable security recommendations.</t>
  </si>
  <si>
    <t>A security policy defines the desired configuration of resources in your environment and helps ensure compliance with company or regulatory security requirements. The MCSB Policy Initiative a set of security recommendations based on best practices and is associated with every subscription by default. When a policy "Effect" is set to `Audit`, policies in the MCSB ensure that Defender for Cloud evaluates relevant resources for supported recommendations. To ensure that policies within the MCSB are not being missed when the Policy Initiative is evaluated, none of the policies should have an Effect of `Disabled`.</t>
  </si>
  <si>
    <t>Policies within the MCSB default to an effect of `Audit` and will evaluate—but not enforce—policy recommendations. Ensuring these policies are set to `Audit` simply ensures that the evaluation occurs to allow administrators to understand where an improvement may be possible. Administrators will need to determine if the recommendations are relevant and desirable for their environment, then manually take action to resolve the status if desired.</t>
  </si>
  <si>
    <t>**Remediate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Click the blue ellipsis `...` to the right of a policy name.
1. Click `Manage effect and parameters`.
1. Under `Policy effect`, select the radio button next to `Audit`.
1. Click `Save`.
1. Click `Refresh`.
1. Repeat steps 10-14 until all disabled policies are updated.
1. Repeat steps 1-15 for each Management Group or Subscription requiring remediation.</t>
  </si>
  <si>
    <t>**Audit from Azure Portal**
1. From Azure Home select the Portal Menu.
1. Select `Microsoft Defender for Cloud`.
1. Under `Management`, select `Environment settings`.
1. Click on the appropriate Management Group or Subscription.
1. Click on `Security policies` in the left column.
1. Click on `Microsoft cloud security benchmark`.
1. Click `Add filter` and select `Effect`.
1. Check the `Disabled` box to search for all disabled policies.
1. Click `Apply`.
1. Ensure that no policies are displayed, signifying that there are no disabled policies.
1. Repeat steps 1-10 for each Management Group or Subscription.</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</si>
  <si>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
  </si>
  <si>
    <t>https://learn.microsoft.com/en-us/azure/defender-for-cloud/security-policy-concept:https://learn.microsoft.com/en-us/azure/defender-for-cloud/implement-security-recommendations:https://learn.microsoft.com/en-us/rest/api/policy/policy-assignments/get:https://learn.microsoft.com/en-us/rest/api/policy/policy-assignments/create:https://learn.microsoft.com/en-us/security/benchmark/azure/mcsb-governance-strategy#gs-7-define-and-implement-logging-threat-detection-and-incident-response-strategy</t>
  </si>
  <si>
    <t>By default, the MCSB policy initiative is assigned on all subscriptions, and **most** policies will have an effect of `Audit`. Some policies will have a default effect of `Disabled`.</t>
  </si>
  <si>
    <t>8.1.12</t>
  </si>
  <si>
    <t>Ensure That 'All users with the following roles' is set to 'Owner'</t>
  </si>
  <si>
    <t>Enable security alert emails to subscription owners.</t>
  </si>
  <si>
    <t>Enabling security alert emails to subscription owners ensures that they receive security alert emails from Microsoft. This ensures that they are aware of any potential security issues and can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</si>
  <si>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In the drop down of the `All users with the following roles` field select `Owner`
1. Click `Save`
**Remediate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</si>
  <si>
    <t>**Audit from Azure Portal**
1. From Azure Home select the Portal Menu
1. Select `Microsoft Defender for Cloud`
1. Under `Management`, select `Environment Settings`
1. Click on the appropriate Management Group, Subscription, or Workspace
1. Click on `Email notifications`
1. Ensure that `All users with the following roles` is set to `Owner`
**Audit from Azure CLI**
Ensure the command below returns state of `On` and that `Owner` appears in roles.
```
az account get-access-token --query "{subscription:subscription,accessToken:accessToken}" --out tsv | xargs -L1 bash -c 'curl -X GET -H "Authorization: Bearer $1" -H "Content-Type: application/json" https://management.azure.com/subscriptions/$0/providers/Microsoft.Security/securityContacts?api-version=2020-01-01-preview'| jq '.[] | select(.name=="default").properties.notificationsByRole'
```</t>
  </si>
  <si>
    <t>Excluding any entries in the input.json properties block disables the specific setting by default.</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</si>
  <si>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up-to-date.;TITLE:Maintain Contact Information For Reporting Security Incidents CONTROL:v7 19.5 DESCRIPTION:Assemble and maintain information on third-party contact information to be used to report a security incident, such as Law Enforcement, relevant government departments, vendors, and ISAC partners.;</t>
  </si>
  <si>
    <t>https://learn.microsoft.com/en-us/azure/defender-for-cloud/configure-email-notifications:https://learn.microsoft.com/en-us/rest/api/defenderforcloud/security-contacts/list:https://learn.microsoft.com/en-us/rest/api/defenderforcloud/security-contacts:https://learn.microsoft.com/en-us/security/benchmark/azure/mcsb-incident-response#ir-2-preparation---setup-incident-notification</t>
  </si>
  <si>
    <t>By default, `Owner` is selected</t>
  </si>
  <si>
    <t>8.1.13</t>
  </si>
  <si>
    <t>Ensure 'Additional email addresses' is Configured with a Security Contact Email</t>
  </si>
  <si>
    <t>Microsoft Defender for Cloud emails the subscription owners whenever a high-severity alert is triggered for their subscription. You should provide a security contact email address as an additional email address.</t>
  </si>
  <si>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</si>
  <si>
    <t>**Remediate from Azure Portal**
1. From Azure Home select the Portal Menu.
1. Select `Microsoft Defender for Cloud`.
1. Under `Management`, select `Environment Settings`.
1. Click on the appropriate Management Group, Subscription, or Workspace.
1. Click on `Email notifications`.
1. Enter a valid security contact email address (or multiple addresses separated by commas) in the `Additional email addresses` field.
1. Click `Save`.
**Remediate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</si>
  <si>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Management Group, Subscription, or Workspace.
1. Click on `Email notifications`.
1. Ensure that a valid security contact email address is listed in the `Additional email addresses` field.
**Audit from Azure CLI**
Ensure the output of the below command is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[4f4f78b8-e367-4b10-a341-d9a4ad5cf1c7](https://portal.azure.com/#view/Microsoft_Azure_Policy/PolicyDetailBlade/definitionId/%2Fproviders%2FMicrosoft.Authorization%2FpolicyDefinitions%2F4f4f78b8-e367-4b10-a341-d9a4ad5cf1c7) **- Name:** 'Subscriptions should have a contact email address for security issues'</t>
  </si>
  <si>
    <t>Excluding any entries in the `input.json` properties block disables the specific setting by default.</t>
  </si>
  <si>
    <t>By default, there are no additional email addresses entered.</t>
  </si>
  <si>
    <t>8.1.14</t>
  </si>
  <si>
    <t>Ensure that 'Notify about alerts with the following severity (or higher)' is enabled</t>
  </si>
  <si>
    <t>Enables emailing security alerts to the subscription owner or other designated security contact.</t>
  </si>
  <si>
    <t>Enabling security alert emails ensures that security alert emails are sent by Microsoft. This ensures that the right people are aware of any potential security issues and can mitigate the risk.</t>
  </si>
  <si>
    <t>Enabling security alert emails can cause alert fatigue, increasing the risk of missing important alerts. Select an appropriate severity level to manage notifications. Azure aims to reduce alert fatigue by limiting the daily email volume per severity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</si>
  <si>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box next to `Notify about alerts with the following severity (or higher)` and select an appropriate severity level from the drop-down menu.
1. Click `Save`.
1. Repeat steps 1-7 for each Subscription requiring remediation.
**Remediate from Azure CLI**
Use the below command to enable `Send email notification for high severity alerts`: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"/subscriptions/&lt;subscriptionId&gt;/providers/Microsoft.Security/securityContacts/default",
 "name": "default",
 "type": "Microsoft.Security/securityContacts",
 "properties": {
 "email": "&lt;validEmailAddress&gt;",
 "alertNotifications": "On",
 "alertsToAdmins": "On"
 }
}
```</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</si>
  <si>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alerts with the following severity (or higher)` is checked, and an appropriate severity level is selected.
1. Repeat steps 1-6 for each Subscription.
**Audit from Azure CLI**
Including a Subscription ID at the `$0` in `/subscriptions/$0/providers`, ensure the below command returns `"state": "On"`, and that `"minimalSeverity"` is set to an appropriate severity level: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[6e2593d9-add6-4083-9c9b-4b7d2188c899](https://portal.azure.com/#view/Microsoft_Azure_Policy/PolicyDetailBlade/definitionId/%2Fproviders%2FMicrosoft.Authorization%2FpolicyDefinitions%2F6e2593d9-add6-4083-9c9b-4b7d2188c899) **- Name:** 'Email notification for high severity alerts should be enabled'
- **Policy ID:** [0b15565f-aa9e-48ba-8619-45960f2c314d](https://portal.azure.com/#view/Microsoft_Azure_Policy/PolicyDetailBlade/definitionId/%2Fproviders%2FMicrosoft.Authorization%2FpolicyDefinitions%2F0b15565f-aa9e-48ba-8619-45960f2c314d) **- Name:** 'Email notification to subscription owner for high severity alerts should be enabled'</t>
  </si>
  <si>
    <t>Excluding any entries in the `input.json` properties block disables the specific setting by default. This recommendation has been updated to reflect recent changes to Microsoft REST APIs for getting and updating security contact information.</t>
  </si>
  <si>
    <t>TITLE:Tune Security Event Alerting Thresholds CONTROL:v8 13.11 DESCRIPTION:Tune security event alerting thresholds monthly, or more frequently.;TITLE:Regularly Tune SIEM CONTROL:v7 6.8 DESCRIPTION:On a regular basis, tune your SIEM system to better identify actionable events and decrease event noise.;</t>
  </si>
  <si>
    <t>https://learn.microsoft.com/en-us/azure/defender-for-cloud/configure-email-notifications:https://learn.microsoft.com/en-us/rest/api/defenderforcloud/security-contacts:https://learn.microsoft.com/en-us/rest/api/defenderforcloud/security-contacts/list:https://learn.microsoft.com/en-us/security/benchmark/azure/mcsb-incident-response#ir-2-preparation---setup-incident-notification</t>
  </si>
  <si>
    <t>By default, subscription owners receive email notifications for high-severity alerts.</t>
  </si>
  <si>
    <t>8.1.15</t>
  </si>
  <si>
    <t>Ensure that 'Notify about attack paths with the following risk level (or higher)' is enabled</t>
  </si>
  <si>
    <t>Enables emailing attack paths to the subscription owner or other designated security contact.</t>
  </si>
  <si>
    <t>Enabling attack path emails ensures that attack path emails are sent by Microsoft. This ensures that the right people are aware of any potential security issues and can mitigate the risk.</t>
  </si>
  <si>
    <t>Enabling attack path emails can cause alert fatigue, increasing the risk of missing important alerts. Select an appropriate risk level to manage notifications. Azure aims to reduce alert fatigue by limiting the daily email volume per risk level. Learn more: https://learn.microsoft.com/en-us/azure/defender-for-cloud/configure-email-notifications#email-frequency.</t>
  </si>
  <si>
    <t>**Remediate from Azure Portal**
1. From Azure Home select the Portal Menu.
1. Select `Microsoft Defender for Cloud`.
1. Under `Management`, select `Environment settings`.
1. Click on the appropriate Subscription.
1. Click on `Email notifications`.
1. Under Notification types, check the box next to `Notify about attack paths with the following risk level (or higher)`, and select an appropriate risk level from the drop-down menu.
1. Repeat steps 1-6 for each Subscription.</t>
  </si>
  <si>
    <t>**Audit from Azure Portal**
1. From Azure Home select the Portal Menu.
1. Select `Microsoft Defender for Cloud`.
1. Under `Management`, select `Environment settings`.
1. Click on the appropriate Subscription.
1. Click on `Email notifications`.
1. Under Notification types, ensure that the box next to `Notify about attack paths with the following risk level (or higher)` is checked, and an appropriate risk level is selected.
1. Repeat steps 1-6 for each Subscription.
**Audit from Azure CLI**
Including a Subscription ID at the `$0` in `/subscriptions/$0/providers`, ensure the below command returns `"sourceType": "AttackPath"`, and that `"minimalRiskLevel"` is set to an appropriate risk level:
```
az account get-access-token --query "{subscription:subscription,accessToken:accessToken}" --out tsv | xargs -L1 bash -c 'curl -X GET -H "Authorization: Bearer $1" -H "Content-Type: application/json" https://management.azure.com/subscriptions/$0/providers/Microsoft.Security/securityContacts?api-version=2023-12-01-preview' | jq '.|.[]'
```</t>
  </si>
  <si>
    <t>https://learn.microsoft.com/en-us/azure/defender-for-cloud/configure-email-notifications:https://learn.microsoft.com/en-us/azure/defender-for-cloud/how-to-manage-attack-path:https://learn.microsoft.com/en-us/azure/defender-for-cloud/concept-attack-path</t>
  </si>
  <si>
    <t>8.1.1</t>
  </si>
  <si>
    <t>Microsoft Cloud Security Posture Management (CSPM)</t>
  </si>
  <si>
    <t>Microsoft Defender for Cloud offers foundational and advanced Cloud Security Posture Management (CSPM) solutions to protect across multi-cloud and hybrid environments. Both solutions cover PaaS as well as IaaS. CSPM provides reporting functionality on security and regulatory frameworks including NIST 800 series, ISO 27001, PCI-DSS, CIS Benchmarks and Controls, and many more. CSPM also provides the ability to create your own custom framework, but this will require significant work. Regulatory standards are reported in a compliance dashboard which offers a summarized view against deployed standards and presents the ability to download compliance reports in various formats.
CSPM has two types of implementations:
1. Foundational (Free): This implementation is free and enabled by default with a limited set of features including:
- Continuous assessment of the security configuration of cloud resources 
- Security recommendations to fix misconfigurations and weaknesses 
- Secure score summarizing current overall security posture
2. Full CSPM (Paid): Full CSPM is a paid product offering additional functionality including:
- Identity and role assignments discovery
- Network exposure detection 
- Attack path analysis 
- Cloud security explorer for risk hunting 
- Agentless vulnerability scanning 
- Agentless secrets scanning
- Governance rules to drive timely remediation and accountability 
- Regulatory compliance and industry best practices 
- Data-aware security posture 
- Agentless discovery for Kubernetes
- Agentless container vulnerability assessment
It is recommended that for full CSPM a cost review is undertaken particularly if your tenant is heavy on IaaS prior to implementing and matched to security requirements.</t>
  </si>
  <si>
    <t>8.1.2</t>
  </si>
  <si>
    <t>Defender Plan: APIs</t>
  </si>
  <si>
    <t>Defender for APIs in Microsoft Defender for Cloud offers full lifecycle protection, detection, and response coverage for APIs published in Azure API Management.
Defender for APIs helps you to gain visibility into business-critical APIs. You can investigate and improve your API security posture, prioritize vulnerability fixes, and quickly detect active real-time threats.
Defender for APIs requires additional configuration in the Microsoft API portal.
Note: There is a cost attached to using Defender for API.</t>
  </si>
  <si>
    <t>8.1.3</t>
  </si>
  <si>
    <t>Defender Plan: Servers</t>
  </si>
  <si>
    <t>8.1.4</t>
  </si>
  <si>
    <t>Defender Plan: Containers</t>
  </si>
  <si>
    <t>8.1.5</t>
  </si>
  <si>
    <t>Defender Plan: Storage</t>
  </si>
  <si>
    <t>8.1.6</t>
  </si>
  <si>
    <t>Defender Plan: App Service</t>
  </si>
  <si>
    <t>8.1.7</t>
  </si>
  <si>
    <t>Defender Plan: Databases</t>
  </si>
  <si>
    <t>8.1.8</t>
  </si>
  <si>
    <t>Defender Plan: Key Vault</t>
  </si>
  <si>
    <t>8.1.9</t>
  </si>
  <si>
    <t>Defender Plan: Resource Manager</t>
  </si>
  <si>
    <t>8.2</t>
  </si>
  <si>
    <t>Microsoft Defender for IoT</t>
  </si>
  <si>
    <t>8.3</t>
  </si>
  <si>
    <t>Key Vault</t>
  </si>
  <si>
    <t>This section covers security recommendations to follow for the configuration and use of Azure Key Vault.</t>
  </si>
  <si>
    <t>8.3.1</t>
  </si>
  <si>
    <t>Ensure that the Expiration Date is set for all Keys in RBAC Key Vaults</t>
  </si>
  <si>
    <t>Ensure that all Keys in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</si>
  <si>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</si>
  <si>
    <t>Keys cannot be used beyond their assigned expiration dates respectively. Keys need to be rotated periodically wherever they are used.</t>
  </si>
  <si>
    <t>**Remediate from Azure Portal**
1. Go to `Key vaults`.
2. For each Key vault, click on `Keys`.
3. In the main pane, ensure that an appropriate `Expiration date` is set for any keys that are `Enabled`.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the Key vault, click on Access Control (IAM).
2. Click on Add role assignment and assign the role of Key Vault Crypto Officer to the appropriate user.
**Remediate from PowerShell**
```
Set-AzKeyVaultKeyAttribute -VaultName &lt;VaultName&gt; -Name &lt;KeyName&gt; -Expires &lt;DateTime&gt;
```</t>
  </si>
  <si>
    <t>**Audit from Azure Portal**
1. Go to `Key vaults`.
2. For each Key vault, click on `Keys`.
3. In the main pane, ensure that an appropriate `Expiration date` is set for any keys that are `Enabled`.
**Audit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**Audit from PowerShell**
Retrieve a list of Azure Key vaults:
```
Get-AzKeyVault
```
For each Key vault run the following command to determine which vaults are configured to use RBAC.
```
Get-AzKeyVault -VaultName &lt;VaultName&gt;
```
For each Key vault with the `EnableRbacAuthorizatoin` setting set to `True`, run the following command.
```
Get-AzKeyVaultKey -VaultName &lt;VaultName&gt;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</si>
  <si>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</si>
  <si>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keyattribute</t>
  </si>
  <si>
    <t>By default, keys do not expire.</t>
  </si>
  <si>
    <t>8.3.2</t>
  </si>
  <si>
    <t>Ensure that the Expiration Date is set for all Keys in Non-RBAC Key Vaults.</t>
  </si>
  <si>
    <t>Ensure that all Keys in Non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</si>
  <si>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</si>
  <si>
    <t>**Remediate from Azure Portal**
1. Go to `Key vaults`.
2. For each Key vault, click on `Keys`.
3. In the main pane, ensure that the status of the key is `Enabled`.
4. For each enabled key, ensure that an appropriate `Expiration date` is set.
**Remediate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Key vault, click on `Access policies`.
2. Click on `Create` and add an access policy with the `Update` permission (in the Key Permissions - Key Management Operations section).
**Remediate from PowerShell**
```
Set-AzKeyVaultKeyAttribute -VaultName &lt;Vault Name&gt; -Name &lt;Key Name&gt; -Expires &lt;DateTime&gt;
```</t>
  </si>
  <si>
    <t>**Audit from Azure Portal**
1. Go to `Key vaults`.
2. For each Key vault, click on `Keys`.
3. In the main pane, ensure that the status of the key is `Enabled`.
4. For each enabled key, ensure that an appropriate `Expiration date` is set.
**Audit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**Audit from PowerShell**
Retrieve a list of Azure Key vaults:
```
Get-AzKeyVault
```
For each Key vault, run the following command to determine which vaults are configured to not use RBAC:
```
Get-AzKeyVault -VaultName &lt;Vault Name&gt;
```
For each Key vault with the `EnableRbacAuthorizatoin` setting set to `False` or empty, run the following command.
```
Get-AzKeyVaultKey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[152b15f7-8e1f-4c1f-ab71-8c010ba5dbc0](https://portal.azure.com/#view/Microsoft_Azure_Policy/PolicyDetailBlade/definitionId/%2Fproviders%2FMicrosoft.Authorization%2FpolicyDefinitions%2F152b15f7-8e1f-4c1f-ab71-8c010ba5dbc0) **- Name:** 'Key Vault keys should have an expiration date'</t>
  </si>
  <si>
    <t>8.3.3</t>
  </si>
  <si>
    <t>Ensure that the Expiration Date is set for all Secrets in RBAC Key Vaults</t>
  </si>
  <si>
    <t>Ensure that all Secrets in Role Based Access Control (RBAC) Azure Key Vaults have an expiration date set.</t>
  </si>
  <si>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</si>
  <si>
    <t>Secrets cannot be used beyond their assigned expiry date respectively. Secrets need to be rotated periodically wherever they are used.</t>
  </si>
  <si>
    <t>**Remediate from Azure Portal**
1. Go to `Key vaults`.
2. For each Key vault, click on `Secrets`.
3. In the main pane, ensure that the status of the secret is `Enabled`.
4. For each enabled secret, ensure that an appropriate `Expiration date` is set.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the Key vault, click on `Access Control (IAM)`.
2. Click on `Add role assignment` and assign the role of `Key Vault Secrets Officer` to the appropriate user.
**Remediate from PowerShell**
```
Set-AzKeyVaultSecretAttribute -VaultName &lt;vault_name&gt; -Name &lt;secret_name&gt; -Expires &lt;date_time&gt;
```</t>
  </si>
  <si>
    <t>**Audit from Azure Portal**
1. Go to `Key vaults`.
2. For each Key vault, click on `Secrets`.
3. In the main pane, ensure that the status of the secret is `Enabled`.
4. For each enabled secret, ensure that an appropriate `Expiration date` is set.
**Audit from Azure CLI**
Ensure that the output of the below command contains ID (id), enabled status as `true` and Expiration date (expires) is not empty or null:
```
az keyvault secret list --vault-name &lt;KEYVAULTNAME&gt;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`True`,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</si>
  <si>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attribute</t>
  </si>
  <si>
    <t>By default, secrets do not expire.</t>
  </si>
  <si>
    <t>8.3.4</t>
  </si>
  <si>
    <t>Ensure that the Expiration Date is set for all Secrets in Non-RBAC Key Vaults</t>
  </si>
  <si>
    <t>Ensure that all Secrets in Non Role Based Access Control (RBAC) Azure Key Vaults have an expiration date set.</t>
  </si>
  <si>
    <t>**Remediate from Azure Portal**
1. Go to `Key vaults`.
2. For each Key vault, click on `Secrets`.
3. In the main pane, ensure that the status of the secret is `Enabled`.
4. Set an appropriate `Expiration date` on all secrets.
**Remediate from Azure CLI**
Update the `Expiration date` for the secret using the below command:
```
az keyvault secret set-attributes --name &lt;secret_name&gt; --vault-name &lt;vault_name&gt; --expires Y-m-d'T'H:M:S'Z'
```
Note:
To view the expiration date on all secrets in a Key Vault using Microsoft API, the `List` Secret permission is required.
To update the expiration date for the secrets:
1. Go to Key vault, click on `Access policies`.
2. Click on `Create` and add an access policy with the `Update` permission (in the Secret Permissions - Secret Management Operations section).
**Remediate from PowerShell**
For each Key vault with the `EnableRbacAuthorization` setting set to `False` or empty, run the following command.
```
Set-AzKeyVaultSecret -VaultName &lt;vault_name&gt; -Name &lt;secret_name&gt; -Expires &lt;date_time&gt;
```</t>
  </si>
  <si>
    <t>**Audit from Azure Portal**
1. Go to `Key vaults`.
2. For each Key vault, click on `Secrets`.
3. In the main pane, ensure that the status of the secret is `Enabled`.
4. Set an appropriate `Expiration date` on all secrets.
**Audit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**Audit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[98728c90-32c7-4049-8429-847dc0f4fe37](https://portal.azure.com/#view/Microsoft_Azure_Policy/PolicyDetailBlade/definitionId/%2Fproviders%2FMicrosoft.Authorization%2FpolicyDefinitions%2F98728c90-32c7-4049-8429-847dc0f4fe37) **- Name:** 'Key Vault secrets should have an expiration date'</t>
  </si>
  <si>
    <t>https://learn.microsoft.com/en-us/azure/key-vault/general/basic-concepts:https://learn.microsoft.com/en-us/azure/key-vault/general/about-keys-secrets-certificates:https://learn.microsoft.com/en-us/security/benchmark/azure/mcsb-data-protection#dp-6-use-a-secure-key-management-process:https://learn.microsoft.com/en-us/powershell/module/az.keyvault/set-azkeyvaultsecret</t>
  </si>
  <si>
    <t>8.3.5</t>
  </si>
  <si>
    <t>Ensure 'Purge protection' is set to 'Enabled'</t>
  </si>
  <si>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</si>
  <si>
    <t>Users may accidentally run delete/purge commands on a key vault, or an attacker or malicious user may do so deliberately in order to cause disruption. Deleting or purging a key vault leads to immediate data loss, as keys encrypting data and secrets/certificates allowing access/services will become inaccessible. 
Enabling purge protection ensures that even if a key vault is deleted, the key vault and its objects remain recoverable during the configurable retention period. If no action is taken, the key vault and its objects will be purged once the retention period elapses.</t>
  </si>
  <si>
    <t>Once purge protection is enabled for a key vault, it cannot be disabled.</t>
  </si>
  <si>
    <t>**Note:** Once enabled, purge protection cannot be disabled.
**Remediate from Azure Portal**
1. Go to `Key Vaults`.
1. Click the name of a key vault.
1. Under `Settings`, click `Properties`.
1. Select the radio button next to `Enable purge protection (enforce a mandatory retention period for deleted vaults and vault objects)`. 
1. Click `Save`.
1. Repeat steps 1-5 for each key vault requiring remediation.
**Remediate from Azure CLI**
For each key vault requiring remediation, run the following command to enable purge protection:
```
az resource update --resource-group &lt;resource-group&gt; --name &lt;key-vault&gt; --resource-type "Microsoft.KeyVault/vaults" --set properties.enablePurgeProtection=true
```
**Remediate from PowerShell**
For each key vault requiring remediation, run the following command to enable purge protection:
```
Update-AzKeyVault -ResourceGroupName &lt;resource-group&gt; -VaultName &lt;key-vault&gt; -EnablePurgeProtection
```</t>
  </si>
  <si>
    <t>**Audit from Azure Portal**
1. Go to `Key Vaults`.
1. Click the name of a key vault.
1. Under `Settings`, click `Properties`.
1. Next to `Purge protection`, ensure that `Enable purge protection (enforce a mandatory retention period for deleted vaults and vault objects)` is selected.
1. Repeat steps 1-4 for each key vault.
**Audit from Azure CLI**
Run the following command to list key vaults:
```
az resource list --query "[?type=='Microsoft.KeyVault/vaults']"
```
For each key vault, run the following command to get the purge protection setting:
```
az resource show --resource-group &lt;resource-group&gt; --name &lt;key-vault&gt; --resource-type "Microsoft.KeyVault/vaults" --query properties.enablePurgeProtection
```
Ensure that `true` is returned.
**Audit from PowerShell**
Run the following command to list key vaults:
```
Get-AzKeyVault
```
For each key vault, run the following command to get the key vault details:
```
Get-AzKeyVault -ResourceGroupName &lt;resource-group&gt; -VaultName &lt;key-vault&gt;
```
Ensure `Purge Protection Enabled?`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[0b60c0b2-2dc2-4e1c-b5c9-abbed971de53](https://portal.azure.com/#view/Microsoft_Azure_Policy/PolicyDetailBlade/definitionId/%2Fproviders%2FMicrosoft.Authorization%2FpolicyDefinitions%2F0b60c0b2-2dc2-4e1c-b5c9-abbed971de53) **- Name:** 'Key vaults should have deletion protection enabled'</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</si>
  <si>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;TITLE:Perform Complete System Backups CONTROL:v7 10.2 DESCRIPTION:Ensure that each of the organization's key systems are backed up as a complete system, through processes such as imaging, to enable the quick recovery of an entire system.;</t>
  </si>
  <si>
    <t>https://learn.microsoft.com/en-us/azure/key-vault/general/key-vault-recovery:https://learn.microsoft.com/en-us/security/benchmark/azure/mcsb-governance-strategy#gs-8-define-and-implement-backup-and-recovery-strategy:https://learn.microsoft.com/en-us/security/benchmark/azure/mcsb-data-protection#dp-8-ensure-security-of-key-and-certificate-repository</t>
  </si>
  <si>
    <t>Purge protection is disabled by default.</t>
  </si>
  <si>
    <t>8.3.7</t>
  </si>
  <si>
    <t>Ensure Public Network Access is Disabled</t>
  </si>
  <si>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</si>
  <si>
    <t>Disabling public network access improves security by ensuring that a service is not exposed on the public internet.
Removing a point of interconnection from the internet edge to your key vault can strengthen the network security boundary of your system and reduce the risk of exposing the control plane or vault objects to untrusted clients.
Although Azure resources are never truly isolated from the public internet, disabling the public endpoint removes a line of sight from the public internet and increases the effort required for an attack.</t>
  </si>
  <si>
    <t>**NOTE:** Prior to disabling public network access, it is strongly recommended that, for each key vault, either:
- virtual network integration is completed
OR
- private endpoints/links are set up as described in **"Ensure Private Endpoints are used to access Azure Key Vault."**
Disabling public network access restricts access to the service. This enhances security but will require the configuration of a virtual network and/or private endpoints for any services or users needing access within trusted networks.</t>
  </si>
  <si>
    <t>**Remediate from Azure Portal**
1. Go to `Key vaults`.
1. Click the name of a key vault.
1. Under `Settings`, click `Networking`.
1. Under `Firewalls and virtual networks`, next to `Allow access from:`, click the radio button next to `Disable public access`.
1. Click `Apply`.
1. Repeat steps 1-5 for each key vault requiring remediation.
**Remediate from Azure CLI**
For each key vault requiring remediation, run the following command to disable public network access:
```
az keyvault update --resource-group &lt;resource-group&gt; --name &lt;key-vault&gt; --public-network-access Disabled
```
**Remediate from PowerShell**
For each key vault requiring remediation, run the following command to disable public network access:
```
Update-AzKeyVault -ResourceGroupName &lt;resource-group&gt; -VaultName &lt;vault-name&gt; -PublicNetworkAccess "Disabled"
```</t>
  </si>
  <si>
    <t>**Audit from Azure Portal**
1. Go to `Key vaults`.
1. Click the name of a key vault.
1. Under `Settings`, click `Networking`.
1. Under `Firewalls and virtual networks`, ensure that `Allow access from:` is set to `Disable public access`.
1. Repeat steps 1-4 for each key vault.
**Audit from Azure CLI**
Run the following command to list key vaults:
```
az keyvault list
```
For each key vault, run the following command to get the public network access setting:
```
az keyvault show --resource-group &lt;resource-group&gt; --name &lt;key-vault&gt; --query properties.publicNetworkAccess
```
Ensure that "Disabled" is returned.
**Audit from PowerShell**
Run the following command to list key vaults:
```
Get-AzKeyVault
```
Run the following command to get the key vault in a resource group with a given name:
```
$vault = Get-AzKeyVault -ResourceGroupName &lt;resource-group&gt; -Name &lt;key-vault&gt;
```
Run the following command to get the public network access setting for the key vault:
```
$vault.PublicNetworkAccess
```
Ensure that `Disabled` is returned.
Repeat for each key vault.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[405c5871-3e91-4644-8a63-58e19d68ff5b](https://portal.azure.com/#view/Microsoft_Azure_Policy/PolicyDetailBlade/definitionId/%2Fproviders%2FMicrosoft.Authorization%2FpolicyDefinitions%2F405c5871-3e91-4644-8a63-58e19d68ff5b) **- Name:** 'Azure Key Vault should disable public network access'</t>
  </si>
  <si>
    <t>https://learn.microsoft.com/en-us/azure/key-vault/general/network-security:https://learn.microsoft.com/en-us/azure/key-vault/general/private-link-service</t>
  </si>
  <si>
    <t>Public network access is enabled by default.</t>
  </si>
  <si>
    <t>8.3.11</t>
  </si>
  <si>
    <t>Ensure certificate 'Validity Period (in months)' is less than or equal to '12'</t>
  </si>
  <si>
    <t>Restrict the validity period of certificates stored in Azure Key Vault to 12 months or less.</t>
  </si>
  <si>
    <t>Limiting certificate validity reduces the risk of misuse if compromised and helps ensure timely renewal, improving security and reliability.</t>
  </si>
  <si>
    <t>Minor administrative effort required to ensure certificate renewal and lifecycle management.</t>
  </si>
  <si>
    <t>**Remediate from Azure Portal**
1. Go to `Key vaults`.
1. Click the name of a key vault.
1. Under `Objects`, click `Certificates`.
1. Click the name of a certificate.
1. Click `Issuance Policy`.
1. Set `Validity Period (in months)` to an integer between 1 and 12, inclusive.
1. Click `Save`.
1. Repeat steps 1-7 for each key vault and certificate requiring remediation.
**Remediate from PowerShell**
For each certificate requiring remediation, run the following command to set `ValidityInMonths` to an integer between 1 and 12, inclusive:
```
Set-AzKeyVaultCertificatePolicy -VaultName $vault.VaultName -Name &lt;certificate-name&gt; -ValidityInMonths &lt;validity-in-months&gt;
```</t>
  </si>
  <si>
    <t>**Audit from Azure Portal**
1. Go to `Key vaults`.
1. Click the name of a key vault.
1. Under `Objects`, click `Certificates`.
1. Click the name of a certificate.
1. Click `Issuance Policy`.
1. Ensure that `Validity Period (in months)` is set to 12 or less.
1. Repeat steps 1-6 for each key vault and certificate.
**Audit from Azure CLI**
Run the following command to list key vaults:
```
az keyvault list
```
For each key vault, run the following command to list certificates:
```
az keyvault certificate list --vault-name &lt;key-vault-name&gt;
```
For each certificate, run the following command to get the certificate policy's `validityInMonths` setting:
```
az keyvault certificate show --id &lt;certificate-id&gt; --query policy.x509CertificateProperties.validityInMonths
```
Ensure that 12 or less is returned.
**Audit from PowerShell**
Run the following command to list key vaults:
```
Get-AzKeyVault
```
Run the following command to get the key vault with a given name:
```
$vault = Get-AzKeyVault -Name &lt;key-vault-name&gt;
```
Run the following command to list certificates in the key vault:
```
Get-AzKeyVaultCertificate -VaultName $vault.VaultName
```
Run the following command to get the policy of a certificate with a given name:
```
$certificate = Get-AzKeyVaultCertificatePolicy -VaultName $vault.VaultName -Name &lt;certificate-name&gt;
```
Run the following command to get the certificate policy's `ValidityInMonths` setting:
```
$certificate.ValidityInMonths 
```
Ensure that 12 or less is returned.
Repeat for each key vault and certificate.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[0a075868-4c26-42ef-914c-5bc007359560](https://portal.azure.com/#view/Microsoft_Azure_Policy/PolicyDetailBlade/definitionId/%2Fproviders%2FMicrosoft.Authorization%2FpolicyDefinitions%2F0a075868-4c26-42ef-914c-5bc007359560) **- Name:** 'Certificates should have the specified maximum validity period'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</si>
  <si>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essential.;TITLE:Maintain an Inventory of Authentication Systems CONTROL:v7 16.1 DESCRIPTION:Maintain an inventory of each of the organization's authentication systems, including those located onsite or at a remote service provider.;</t>
  </si>
  <si>
    <t>https://learn.microsoft.com/en-us/azure/key-vault/certificates/about-certificates:https://learn.microsoft.com/en-us/cli/azure/keyvault:https://learn.microsoft.com/en-us/powershell/module/az.keyvault</t>
  </si>
  <si>
    <t>`Validity Period (in months)` is set to 12 by default.</t>
  </si>
  <si>
    <t>8.4</t>
  </si>
  <si>
    <t>Azure Bastion</t>
  </si>
  <si>
    <t>9</t>
  </si>
  <si>
    <t>Storage Services</t>
  </si>
  <si>
    <t>**SERVICE CATEGORY BENCHMARK AVAILABLE**
- "CIS Microsoft Azure Storage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Storage services have been relocated to a Benchmark titled **CIS Microsoft Azure Storage Services Benchmark**. This Storage Services section now provides a **foundational set** of secure configuration recommendations for products from Azure Product Directory's "Storage" category of services.
After applying foundational recommendations, take inventory of the entire set of Storage Services in use by your organization, then look to the Benchmarks section of the CIS Microsoft Azure Community (https://workbench.cisecurity.org/communities/72) for defense-in-depth guidance for those specific services in the **CIS Microsoft Azure Storage Services Benchmark**.
Services addressed in the **CIS Microsoft Azure Storage Services Benchmark**:
- Archive Storage
- Azure Backup
- Azure Blob Storage
- Azure Confidential Ledger
- Azure Container Storage
- Azure Data Box
- Azure Data Lake Storage
- Azure Data Share
- Azure Disk Storage
- Azure Elastic SAN
- Azure Files
- Azure Managed Lustre
- Azure NetApp Files
- Azure Storage Actions
- Queue Storage
- Storage Accounts
- Storage Explorer
Azure Product Directory Reference: https://azure.microsoft.com/en-us/products#storage
**FEEDBACK REQUEST:** Is there a specific service or recommendation in this section that you'd like to see addressed or improved? Let us know by making a ticket or starting a discussion in the CIS Microsoft Azure Community (https://workbench.cisecurity.org/communities/72).</t>
  </si>
  <si>
    <t>9.1</t>
  </si>
  <si>
    <t>Azure Files</t>
  </si>
  <si>
    <t>This section covers security best practice recommendations for Azure Files.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Resources for Azure Files
**Azure Product Page**: 
- https://azure.microsoft.com/en-us/products/storage/files/
**Azure Files service overview**: 
- https://learn.microsoft.com/en-us/azure/storage/files/storage-files-introduction
**Microsoft Cloud Security Baseline for Azure File Sync**:
- https://learn.microsoft.com/en-us/security/benchmark/azure/baselines/azure-file-sync-security-baseline</t>
  </si>
  <si>
    <t>9.1.1</t>
  </si>
  <si>
    <t>Ensure soft delete for Azure File Shares is Enabled</t>
  </si>
  <si>
    <t>Azure Files offers soft delete for file shares, allowing you to easily recover your data when it is mistakenly deleted by an application or another storage account user.</t>
  </si>
  <si>
    <t>Important data could be accidentally deleted or removed by a malicious actor. With soft delete enabled, the data is retained for the defined retention period before permanent deletion, allowing for recovery of the data.</t>
  </si>
  <si>
    <t>When a file share is soft-deleted, the used portion of the storage is charged for the indicated soft-deleted period. All other meters are not charged unless the share is restored.</t>
  </si>
  <si>
    <t>**Remediate from Azure Portal**
1. Go to `Storage Accounts`.
1. For each storage account with file shares, under `Data storage`, click `File shares`.
1. Under `File share settings`, click the value next to `Soft delete`.
1. Under `Soft delete for all file shares`, click the toggle to set it to `Enabled`.
1. Under `Retention policies`, set an appropriate number of days to retain soft deleted data between 1 and 365, inclusive.
1. Click `Save`.
**Remediate from Azure CLI**
For each storage account requiring remediation, run the following command to enable soft delete for file shares and set an appropriate number of days for deleted data to be retained, between 1 and 365, inclusive:
```
az storage account file-service-properties update --account-name &lt;storage-account&gt; --enable-delete-retention true --delete-retention-days &lt;retention-days&gt;
```
**Remediate from PowerShell**
For each storage account requiring remediation, run the following command to enable soft delete for file shares and set an appropriate number of days for deleted data to be retained, between 1 and 365, inclusive:
```
Update-AzStorageFileServiceProperty -ResourceGroupName &lt;resource-group&gt; -AccountName &lt;storage-account&gt; -EnableShareDeleteRetentionPolicy $true -ShareRetentionDays &lt;retention-days&gt; 
```</t>
  </si>
  <si>
    <t>**Audit from Azure Portal**
1. Go to `Storage Accounts`.
1. For each storage account with file shares, under `Data storage`, click on `File shares`.
1. Under `File share settings`, ensure the value for `Soft delete` shows a number of days between 1 and 365, inclusive.
**Audit from Azure CLI**
Run the following command to list storage accounts:
```
az storage account list
```
Run the following command to determine if a storage account has file shares:
```
az storage share list --account-name &lt;storage-account&gt;
```
For each storage account with file shares, run the following command: 
```
az storage account file-service-properties show --resource-group &lt;resource-group&gt; --account-name &lt;storage-account&gt;
```
Ensure that under `shareDeleteRetentionPolicy`, `enabled` is set to `true`, and `days` is set to an appropriate value between 1 and 365, inclusive.
**Audit from PowerShell**
Run the following command to list storage accounts: 
```
Get-AzStorageAccount -ResourceGroupName &lt;resource-group&gt;
```
With a storage account context set, run the following command to determine if a storage account has file shares:
```
Get-AzStorageShare
```
For each storage account with file shares, run the following command: 
```
Get-AzStorageFileServiceProperty -ResourceGroupName &lt;resource-group&gt; -AccountName &lt;storage-account&gt;
```
Ensure that `ShareDeleteRetentionPolicy.Enabled` is set to `True` and `ShareDeleteRetentionPolicy.Days` is set to an appropriate value between 1 and 365, inclusive.</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</si>
  <si>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Protection of Backups CONTROL:v7 10.4 DESCRIPTION:Ensure that backups are properly protected via physical security or encryption when they are stored, as well as when they are moved across the network. This includes remote backups and cloud services.;</t>
  </si>
  <si>
    <t>https://learn.microsoft.com/en-us/azure/storage/files/storage-files-enable-soft-delete:https://learn.microsoft.com/en-us/cli/azure/storage/account/file-service-properties:https://learn.microsoft.com/en-us/powershell/module/az.storage/get-azstoragefileserviceproperty:https://learn.microsoft.com/en-us/powershell/module/az.storage/update-azstoragefileserviceproperty:https://learn.microsoft.com/en-us/azure/storage/files/storage-files-prevent-file-share-deletion</t>
  </si>
  <si>
    <t>Soft delete is enabled by default at the storage account file share setting level.</t>
  </si>
  <si>
    <t>9.1.2</t>
  </si>
  <si>
    <t>Ensure 'SMB protocol version' is set to 'SMB 3.1.1' or higher for SMB file shares</t>
  </si>
  <si>
    <t>Ensure that SMB file shares are configured to use the latest supported SMB protocol version. Keeping the SMB protocol updated helps mitigate risks associated with older SMB versions, which may contain vulnerabilities and lack essential security controls.</t>
  </si>
  <si>
    <t>Using the latest supported SMB protocol version enhances the security of SMB file shares by preventing the exploitation of known vulnerabilities in outdated SMB versions.</t>
  </si>
  <si>
    <t>Using the latest SMB protocol version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</si>
  <si>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protocol versions`, uncheck the boxes next to `SMB 2.1` and `SMB 3.0`.
1. Click `Save`.
1. Repeat steps 1-7 for each storage account requiring remediation.
**Remediate from Azure CLI**
For each storage account requiring remediation, run the following command to set the SMB protocol version:
```
az storage account file-service-properties update --resource-group &lt;resource-group&gt; --account-name &lt;storage-account&gt; --versions SMB3.1.1
```
**Remediate from PowerShell**
For each storage account requiring remediation, run the following command to set the SMB protocol version:
```
Update-AzStorageFileServiceProperty -ResourceGroupName &lt;resource-group&gt; -StorageAccountName &lt;storage-account&gt; -SmbProtocolVersion SMB3.1.1
```</t>
  </si>
  <si>
    <t>**Audit from Azure Portal**
1. Go to `Storage accounts`.
1. Click the name of a storage account.
1. Under `Data storage`, click `File shares`.
1. Under `File share settings`, click the link next to `Security`.
1. Under `SMB protocol versions`, ensure that `SMB3.1.1` is the only checked protocol version.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`versions` is set to `SMB3.1.1;`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protocol version setting:
```
$storageaccountfileservice.ProtocolSettings.Smb.Versions
```
Ensure that the command returns `SMB3.1.1` only.
Repeat for each storage account.</t>
  </si>
  <si>
    <t>TITLE:Use of Secure Network Management and Communication Protocols  CONTROL:v8 12.6 DESCRIPTION:Use secure network management and communication protocols (e.g., 802.1X, Wi-Fi Protected Access 2 (WPA2) Enterprise or greater).;TITLE:Ensure Only Approved Ports, Protocols and Services Are Running CONTROL:v7 9.2 DESCRIPTION:Ensure that only network ports, protocols, and services listening on a system with validated business needs, are running on each system.;</t>
  </si>
  <si>
    <t>https://learn.microsoft.com/en-us/azure/well-architected/service-guides/azure-files#recommendations-for-smb-file-shares:https://learn.microsoft.com/en-us/azure/storage/files/files-smb-protocol#smb-security-settings:https://learn.microsoft.com/en-us/cli/azure/storage/account/file-service-properties:https://learn.microsoft.com/en-us/powershell/module/az.storage/get-azstoragefileserviceproperty:https://learn.microsoft.com/en-us/powershell/module/az.storage/update-azstoragefileserviceproperty</t>
  </si>
  <si>
    <t>By default, all SMB versions are allowed.</t>
  </si>
  <si>
    <t>9.1.3</t>
  </si>
  <si>
    <t>Ensure 'SMB channel encryption' is set to 'AES-256-GCM' or higher for SMB file shares</t>
  </si>
  <si>
    <t>Implement SMB channel encryption with AES-256-GCM for SMB file shares to ensure data confidentiality and integrity in transit. This method offers strong protection against eavesdropping and man-in-the-middle attacks, safeguarding sensitive information.</t>
  </si>
  <si>
    <t>AES-256-GCM encryption enhances the security of data transmitted over SMB channels by safeguarding it from unauthorized interception and tampering.</t>
  </si>
  <si>
    <t>Using the AES-256-GCM SMB channel encryption may impact client compatibility.</t>
  </si>
  <si>
    <t>**Remediate from Azure Portal**
1. Go to `Storage accounts`.
1. Click the name of a storage account.
1. Under `Data storage`, click `File shares`.
1. Under `File share settings`, click the link next to `Security`.
1. If `Profile` is set to `Maximum compatibility`, click the drop-down menu and select `Maximum security` or `Custom`.
1. If selecting `Custom`, under `SMB channel encryption`, uncheck the boxes next to `AES-128-CCM` and `AES-128-GCM`.
1. Click `Save`.
1. Repeat steps 1-7 for each storage account requiring remediation.
**Remediate from Azure CLI**
For each storage account requiring remediation, run the following command to set the SMB channel encryption:
```
az storage account file-service-properties update --resource-group &lt;resource-group&gt; --account-name &lt;storage-account&gt; --channel-encryption AES-256-GCM
```
**Remediate from PowerShell**
For each storage account requiring remediation, run the following command to set the SMB channel encryption:
```
Update-AzStorageFileServiceProperty -ResourceGroupName &lt;resource-group&gt; -StorageAccountName &lt;storage-account&gt; -SmbChannelEncryption AES-256-GCM
```</t>
  </si>
  <si>
    <t>**Audit from Azure Portal**
1. Go to `Storage accounts`.
1. Click the name of a storage account.
1. Under `Data storage`, click `File shares`.
1. Under `File share settings`, click the link next to `Security`.
1. Under `SMB channel encryption`, ensure that `AES-256-GCM`, or higher, is the only checked SMB channel encryption setting.
1. Repeat steps 1-5 for each storage account.
**Audit from Azure CLI**
Run the following command to list storage accounts:
```
az storage account list
```
For each storage account, run the following command:
```
az storage account file-service-properties show --resource-group &lt;resource-group&gt; --account-name &lt;storage-account&gt;
```
Ensure that under `protocolSettings` &gt; `smb`, `channelEncryption` is set to `AES-256-GCM;`, or higher, only.
**Audit from PowerShell**
Run the following command to list storage accounts:
```
Get-AzStorageAccount
```
Run the following command to get the file service properties for a storage account in a resource group with a given name:
```
$storageaccountfileservice = Get-AzStorageFileServiceProperty -ResourceGroupName &lt;resource-group&gt; -AccountName &lt;storage-account&gt;
```
Run the following command to get the SMB channel encryption setting:
```
$storageaccountfileservice.ProtocolSettings.Smb.ChannelEncryption
```
Ensure that the command returns `AES-256-GCM`, or higher, only.
Repeat for each storage account.</t>
  </si>
  <si>
    <t>https://learn.microsoft.com/en-us/azure/well-architected/service-guides/azure-files#recommendations-for-smb-file-shares:https://learn.microsoft.com/en-us/azure/storage/files/files-smb-protocol?tabs=azure-portal#smb-security-settings:https://learn.microsoft.com/en-us/cli/azure/storage/account/file-service-properties:https://learn.microsoft.com/en-us/powershell/module/az.storage/get-azstoragefileserviceproperty:https://learn.microsoft.com/en-us/powershell/module/az.storage/update-azstoragefileserviceproperty</t>
  </si>
  <si>
    <t>By default, the following SMB channel encryption algorithms are allowed:
- AES-128-CCM
- AES-128-GCM
- AES-256-GCM</t>
  </si>
  <si>
    <t>9.2</t>
  </si>
  <si>
    <t>Azure Blob Storage</t>
  </si>
  <si>
    <t>This section covers security best practice recommendations for Azure Blob Storage. Azure Blob Storage is a core storage service type for Azure Storage Accounts. Azure Data Lake services depend on the Azure Blob Service.
**NOTE:** If your organization is using Shared Access Signature (SAS) tokens, please review the CIS Microsoft Azure Storage Services Benchmark for best practice guidance on the configuration and use of those tokens.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Blob Storage
**Azure Product Page**: 
- https://azure.microsoft.com/en-us/products/storage/blobs/
**Azure Blob Storage service overview**: 
- https://learn.microsoft.com/en-us/azure/storage/blobs/storage-blobs-overview
**Microsoft Cloud Security Baseline for Storage**: 
- https://learn.microsoft.com/en-us/security/benchmark/azure/baselines/storage-security-baseline</t>
  </si>
  <si>
    <t>9.2.1</t>
  </si>
  <si>
    <t>Ensure that soft delete for blobs on Azure Blob Storage storage accounts is Enabled</t>
  </si>
  <si>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</si>
  <si>
    <t>Blobs can be deleted incorrectly. An attacker or malicious user may do this deliberately in order to cause disruption. Deleting an Azure storage blob results in immediate data loss. Enabling this configuration for Azure storage accounts ensures that even if blobs are deleted from the storage account, the blobs are recoverable for a specific period of time, which is defined in the "Retention policies," ranging from 7 to 365 days.</t>
  </si>
  <si>
    <t>All soft-deleted data is billed at the same rate as active data. Additional costs may be incurred for deleted blobs until the soft delete period ends and the data is permanently removed.</t>
  </si>
  <si>
    <t>**Remediate from Azure Portal**
1. Go to `Storage Accounts`.
1. For each Storage Account with blob storage, under `Data management`, go to `Data protection`.
1. Check the box next to `Enable soft delete for blobs`.
1. Set the retention period to a sufficient length for your organization.
1. Click `Save`.
**Remediate from Azure CLI**
For each storage account requiring remediation, run the following command to enable soft delete for blobs:
```
az storage blob service-properties delete-policy update --days-retained &lt;retention-days&gt; --account-name &lt;storage-account&gt; --enable true
```</t>
  </si>
  <si>
    <t>**Audit from Azure Portal**
1. Go to `Storage Accounts`.
1. For each Storage Account with blob storage, under `Data management`, go to `Data protection`.
1. Ensure that `Enable soft delete for blobs`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`"enabled": true` and `days` is not `null`:
```
az storage blob service-properties delete-policy show --account-name &lt;storage-account&gt;
```</t>
  </si>
  <si>
    <t>https://learn.microsoft.com/en-us/azure/storage/blobs/soft-delete-blob-overview</t>
  </si>
  <si>
    <t>Soft delete for blob storage is **enabled** by default on storage accounts created via the Azure Portal, and **disabled** by default on storage accounts created via Azure CLI or PowerShell.</t>
  </si>
  <si>
    <t>9.2.2</t>
  </si>
  <si>
    <t>Ensure that soft delete for containers on Azure Blob Storage storage accounts is Enabled</t>
  </si>
  <si>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</si>
  <si>
    <t>Containers can be deleted incorrectly. An attacker or malicious user may do this deliberately in order to cause disruption. Deleting a container results in immediate data loss. Enabling this configuration for Azure storage accounts ensures that even if containers are deleted from the storage account, the containers are recoverable for a specific period of time, which is defined in the "Retention policies," ranging from 7 to 365 days.</t>
  </si>
  <si>
    <t>All soft-deleted data is billed at the same rate as active data. Additional costs may be incurred for deleted containers until the soft delete period ends and the data is permanently removed.</t>
  </si>
  <si>
    <t>**Remediate from Azure Portal**
1. Go to `Storage accounts`.
1. For each Storage Account with blob storage, under `Data management`, go to `Data protection`.
1. Check the box next to `Enable soft delete for containers`.
1. Set the retention period to a sufficient length for your organization.
1. Click `Save`.
**Remediate from Azure CLI**
Run the following command to update container retention:
```
az storage account blob-service-properties update --resource-group &lt;resource-group&gt; --account-name &lt;storage-account&gt; --enable-container-delete-retention true --container-delete-retention-days &lt;retention-days&gt; 
```</t>
  </si>
  <si>
    <t>**Audit from Azure Portal**
1. Go to `Storage accounts`.
1. For each Storage Account with blob storage, under `Data management`, go to `Data protection`.
1. Ensure that `Enable soft delete for containers` is checked.
1. Ensure that the retention period is a sufficient length for your organization.
**Audit from Azure CLI**
Run the following command to list storage accounts:
```
az storage account list
```
Run the following command to determine if a storage account has containers:
```
az storage container list --account-name &lt;storage-account&gt;
```
For each storage account with containers, run the following command to get the retention settings:
```
az storage account blob-service-properties show --resource-group &lt;resource-group&gt; --account-name &lt;storage-account&gt; --query containerDeleteRetentionPolicy
```
Ensure that `enabled` is set to `true` and `days` is not `null`.</t>
  </si>
  <si>
    <t>https://learn.microsoft.com/en-us/azure/storage/blobs/soft-delete-container-overview:https://learn.microsoft.com/en-us/azure/storage/blobs/soft-delete-container-enable</t>
  </si>
  <si>
    <t>Soft delete for containers is **enabled** by default on storage accounts created via the Azure Portal, and **disabled** by default on storage accounts created via Azure CLI or PowerShell.</t>
  </si>
  <si>
    <t>9.3</t>
  </si>
  <si>
    <t>Storage Accounts</t>
  </si>
  <si>
    <t>This section covers security best practice recommendations for Storage Accounts in Azure. 
The recommendations in this section apply to the Storage Account, but not to the Storage Services which may be running on that account. Use the Storage Account recommendations as a starting place for securing the account, then proceed to apply the recommendations from the storage services section(s) that are relevant to the storage services running on your account.
Storage Accounts are a family of account types that support different Storage Services. The Storage Account types and their supported services follow:
- **Standard general-purpose v2** supported services: Blob Storage (including Data Lake Storage), Queue Storage, Table Storage, and Azure Files.
- **Premium block blobs** supported services: Blob Storage (including Data Lake Storage)
- **Premium file shares** supported services: Azure Files
- **Premium page blobs** supported services: Page blobs only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Storage Accounts
**Azure Product page**: 
- https://azure.microsoft.com/en-us/products/category/storage/
**Azure Storage Account overview**:
- https://learn.microsoft.com/en-us/azure/storage/common/storage-account-overview
**Microsoft Cloud Security Baseline for Storage**:
- https://learn.microsoft.com/en-us/security/benchmark/azure/baselines/storage-security-baseline</t>
  </si>
  <si>
    <t>9.3.4</t>
  </si>
  <si>
    <t>Ensure that 'Secure transfer required' is set to 'Enabled'</t>
  </si>
  <si>
    <t>Enable data encryption in transit.</t>
  </si>
  <si>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</si>
  <si>
    <t>**Remediate from Azure Portal**
1. Go to `Storage Accounts`.
1. For each storage account, under `Settings`, click `Configuration`.
1. Set `Secure transfer required` to `Enabled`.
1. Click `Save`.
**Remediate from Azure CLI**
Use the below command to enable `Secure transfer required` for a `Storage Account`
```
az storage account update --name &lt;storageAccountName&gt; --resource-group &lt;resourceGroupName&gt; --https-only true
```</t>
  </si>
  <si>
    <t>**Audit from Azure Portal**
1. Go to `Storage Accounts`.
1. For each storage account, under `Settings`, click `Configuration`.
1. Ensure that `Secure transfer required` is set to `Enabled`.
**Audit from Azure CLI**
Use the below command to ensure the `Secure transfer required` is enabled for all the `Storage Accounts` by ensuring the output contains `true` for each of the `Storage Accounts`.
```
az storage account list --query "[*].[name,enableHttpsTrafficOnly]"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[404c3081-a854-4457-ae30-26a93ef643f9](https://portal.azure.com/#view/Microsoft_Azure_Policy/PolicyDetailBlade/definitionId/%2Fproviders%2FMicrosoft.Authorization%2FpolicyDefinitions%2F404c3081-a854-4457-ae30-26a93ef643f9) **- Name:** 'Secure transfer to storage accounts should be enabled'</t>
  </si>
  <si>
    <t>https://learn.microsoft.com/en-us/azure/storage/blobs/security-recommendations:https://learn.microsoft.com/en-us/cli/azure/storage/account:https://learn.microsoft.com/en-us/security/benchmark/azure/mcsb-data-protection#dp-3-encrypt-sensitive-data-in-transit</t>
  </si>
  <si>
    <t>By default, `Secure transfer required` is set to `Disabled`.</t>
  </si>
  <si>
    <t>9.3.6</t>
  </si>
  <si>
    <t>Ensure the 'Minimum TLS version' for storage accounts is set to 'Version 1.2'</t>
  </si>
  <si>
    <t>In some cases, Azure Storage sets the minimum TLS version to be version 1.0 by default. TLS 1.0 is a legacy version and has known vulnerabilities. This minimum TLS version can be configured to be later protocols such as TLS 1.2.</t>
  </si>
  <si>
    <t>TLS 1.0 has known vulnerabilities and has been replaced by later versions of the TLS protocol. Continued use of this legacy protocol affects the security of data in transit.</t>
  </si>
  <si>
    <t>When set to TLS 1.2 all requests must leverage this version of the protocol. Applications leveraging legacy versions of the protocol will fail.</t>
  </si>
  <si>
    <t>**Remediate from Azure Portal**
1. Go to `Storage Accounts`.
1. For each storage account, under `Settings`, click `Configuration`.
1. Set the `Minimum TLS version` to `Version 1.2`.
1. Click `Save`.
**Remediate from Azure CLI**
```
az storage account update \
 --name &lt;storage-account&gt; \
 --resource-group &lt;resource-group&gt; \
 --min-tls-version TLS1_2
```
**Remediate from PowerShell**
To set the minimum TLS version, run the following command:
```
Set-AzStorageAccount -AccountName &lt;STORAGEACCOUNTNAME&gt; `
 -ResourceGroupName &lt;RESOURCEGROUPNAME&gt; `
 -MinimumTlsVersion TLS1_2
```</t>
  </si>
  <si>
    <t>**Audit from Azure Portal**
1. Go to `Storage Accounts`.
1. For each storage account, under `Settings`, click `Configuration`.
1. Ensure that the `Minimum TLS version` is set to `Version 1.2`.
**Audit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**Audit from PowerShell**
To get the minimum TLS version, run the following command:
```
(Get-AzStorageAccount -Name &lt;STORAGEACCOUNTNAME&gt; -ResourceGroupName &lt;RESOURCEGROUPNAME&gt;).MinimumTlsVersion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[fe83a0eb-a853-422d-aac2-1bffd182c5d0](https://portal.azure.com/#view/Microsoft_Azure_Policy/PolicyDetailBlade/definitionId/%2Fproviders%2FMicrosoft.Authorization%2FpolicyDefinitions%2Ffe83a0eb-a853-422d-aac2-1bffd182c5d0) **- Name:** 'Storage accounts should have the specified minimum TLS version'</t>
  </si>
  <si>
    <t>https://learn.microsoft.com/en-us/azure/storage/common/transport-layer-security-configure-minimum-version:https://learn.microsoft.com/en-us/security/benchmark/azure/mcsb-data-protection#dp-3-encrypt-sensitive-data-in-transit</t>
  </si>
  <si>
    <t>If a storage account is created through the portal, the MinimumTlsVersion property for that storage account will be set to TLS 1.2.
If a storage account is created through PowerShell or CLI, the MinimumTlsVersion property for that storage account will not be set, and defaults to TLS 1.0.</t>
  </si>
  <si>
    <t>9.3.7</t>
  </si>
  <si>
    <t>Ensure 'Cross Tenant Replication' is not enabled</t>
  </si>
  <si>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</si>
  <si>
    <t>Disabling Cross Tenant Replication minimizes the risk of unauthorized data access and ensures that data governance policies are strictly adhered to. This control is especially critical for organizations with stringent data security and privacy requirements, as it prevents the accidental sharing of sensitive information.</t>
  </si>
  <si>
    <t>Disabling Cross Tenant Replication may affect data availability and sharing across different Azure tenants. Ensure that this change aligns with your organizational data sharing and availability requirements.</t>
  </si>
  <si>
    <t>**Remediate from Azure Portal**
1. Go to `Storage Accounts`.
1. For each storage account, under `Data management`, click `Object replication`.
1. Click `Advanced settings`.
1. Uncheck `Allow cross-tenant replication`.
1. Click `OK`.
**Remediate from Azure CLI**
Replace the information within &lt;&gt; with appropriate values:
```
az storage account update --name &lt;storageAccountName&gt; --resource-group &lt;resourceGroupName&gt; --allow-cross-tenant-replication false
```</t>
  </si>
  <si>
    <t>**Audit from Azure Portal**
1. Go to `Storage Accounts`.
1. For each storage account, under `Data management`, click `Object replication`.
1. Click `Advanced settings`.
1. Ensure `Allow cross-tenant replication` is not checked.
**Audit from Azure CLI**
```
az storage account list --query "[*].[name,allowCrossTenantReplication]"
```
The value of `false` should be returned for each storage account listed.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[92a89a79-6c52-4a7e-a03f-61306fc49312](https://portal.azure.com/#view/Microsoft_Azure_Policy/PolicyDetailBlade/definitionId/%2Fproviders%2FMicrosoft.Authorization%2FpolicyDefinitions%2F92a89a79-6c52-4a7e-a03f-61306fc49312) **- Name:** 'Storage accounts should prevent cross tenant object replication'</t>
  </si>
  <si>
    <t>TITLE:Configure Data Access Control Lists CONTROL:v8 3.3 DESCRIPTION:Configure data access control lists based on a user’s need to know. Apply data access control lists, also known as access permissions, to local and remote file systems, databases, and applications.;TITLE:Only Allow Access to Authorized Cloud Storage or Email Providers CONTROL:v7 13.4 DESCRIPTION:Only allow access to authorized cloud storage or email providers.;</t>
  </si>
  <si>
    <t>https://learn.microsoft.com/en-us/azure/storage/blobs/object-replication-prevent-cross-tenant-policies</t>
  </si>
  <si>
    <t>For new storage accounts created after Dec 15, 2023 cross tenant replication is not enabled.</t>
  </si>
  <si>
    <t>9.3.8</t>
  </si>
  <si>
    <t>Ensure that 'Allow Blob Anonymous Access' is set to 'Disabled'</t>
  </si>
  <si>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</si>
  <si>
    <t>If "Allow Blob Anonymous Access" is enabled, blobs can be accessed by adding the blob name to the URL to see the contents. An attacker can enumerate a blob using methods, such as brute force, and access them.
Exfiltration of data by brute force enumeration of items from a storage account may occur if this setting is set to 'Enabled'.</t>
  </si>
  <si>
    <t>Additional consideration may be required for exceptional circumstances where elements of a storage account require public accessibility. In these circumstances, it is highly recommended that all data stored in the public facing storage account be reviewed for sensitive or potentially compromising data, and that sensitive or compromising data is never stored in these storage accounts.</t>
  </si>
  <si>
    <t>**Remediate from Azure Portal**
1. Go to `Storage Accounts`.
1. For each storage account, under `Settings`, click `Configuration`.
1. Set `Allow Blob Anonymous Access` to `Disabled`.
1. Click `Save`.
**Remediate from Powershell**
For every storage account in scope, run the following:
```
$storageAccount = Get-AzStorageAccount -ResourceGroupName "&lt;yourResourceGroup&gt;" -Name "&lt;yourStorageAccountName&gt;"
$storageAccount.AllowBlobPublicAccess = $false
Set-AzStorageAccount -InputObject $storageAccount
```</t>
  </si>
  <si>
    <t>**Audit from Azure Portal**
1. Go to `Storage Accounts`.
1. For each storage account, under `Settings`, click `Configuration`.
1. Ensure `Allow Blob Anonymous Access` is set to `Disabled`.
**Audit from Azure CLI**
For every storage account in scope:
```
az storage account show --name "&lt;yourStorageAccountName&gt;" --query allowBlobPublicAccess
```
Ensure that every storage account in scope returns `false` for the "allowBlobPublicAccess" setting.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[4fa4b6c0-31ca-4c0d-b10d-24b96f62a751](https://portal.azure.com/#view/Microsoft_Azure_Policy/PolicyDetailBlade/definitionId/%2Fproviders%2FMicrosoft.Authorization%2FpolicyDefinitions%2F4fa4b6c0-31ca-4c0d-b10d-24b96f62a751) **- Name:** 'Storage account public access should be disallowed'</t>
  </si>
  <si>
    <t>https://learn.microsoft.com/en-us/azure/storage/blobs/anonymous-read-access-prevent?tabs=portal:https://learn.microsoft.com/en-us/azure/storage/blobs/anonymous-read-access-prevent?source=recommendations&amp;tabs=portal</t>
  </si>
  <si>
    <t>Disabled</t>
  </si>
  <si>
    <t>9.3.9</t>
  </si>
  <si>
    <t>Ensure Azure Resource Manager Delete locks are applied to Azure Storage Accounts</t>
  </si>
  <si>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</si>
  <si>
    <t>Applying a _Delete_ lock on storage accounts protects the availability of data by preventing the accidental or unauthorized deletion of the entire storage account. It is a fundamental protective control that can prevent data loss</t>
  </si>
  <si>
    <t>'- Prevents the deletion of the Storage account Resource entirely.
- Prevents the deletion of the parent Resource Group containing the locked Storage account resource.
- Does not prevent other control plane operations, including modification of configurations, network settings, containers, and access.
- Does not prevent deletion of containers or other objects within the storage account.</t>
  </si>
  <si>
    <t>**Remediate from Azure Portal**
1. Navigate to the storage account in the Azure portal.
1. Under the `Settings` section, select `Locks`.
1. Select `Add`.
1. Provide a Name, and choose `Delete` for the type of lock. 
1. Add a note about the lock if desired.
**Remediate from Azure CLI**
Replace the information within &lt;&gt; with appropriate values:
```
az lock create --name &lt;lock&gt; \
 --resource-group &lt;resource-group&gt; \
 --resource &lt;storage-account&gt; \
 --lock-type CanNotDelete \
 --resource-type Microsoft.Storage/storageAccounts
```
**Remediate from PowerShell**
Replace the information within &lt;&gt; with appropriate values:
```
New-AzResourceLock -LockLevel CanNotDelete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</si>
  <si>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`Delete`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</si>
  <si>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TITLE:Data Protection CONTROL:v8 3 DESCRIPTION:Develop processes and technical controls to identify, classify, securely handle, retain, and dispose of data.;</t>
  </si>
  <si>
    <t>https://learn.microsoft.com/en-us/azure/storage/common/lock-account-resource:https://learn.microsoft.com/en-us/azure/azure-resource-manager/management/lock-resources</t>
  </si>
  <si>
    <t>By default, no locks are applied to Azure resources, including storage accounts. Locks must be manually configured after resource creation.</t>
  </si>
  <si>
    <t>9.3.1</t>
  </si>
  <si>
    <t>Secrets and Keys</t>
  </si>
  <si>
    <t>9.3.1.1</t>
  </si>
  <si>
    <t>Ensure that 'Enable key rotation reminders' is enabled for each Storage Account</t>
  </si>
  <si>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</si>
  <si>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</si>
  <si>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</si>
  <si>
    <t>**Remediate from Azure Portal**
1. Go to `Storage Accounts`
1. For each Storage Account that is not compliant, under `Security + networking`, go to `Access keys`
1. Click `Set rotation reminder`
1. Check `Enable key rotation reminders`
1. In the `Send reminders` field select `Custom`, then set the `Remind me every` field to `90` and the period drop down to `Days`
1. Click `Save`
**Remediate from Powershell**
```
$rgName = &lt;resource group name for the storage&gt;
$accountName = &lt;storage account name&gt;
$account = Get-AzStorageAccount -ResourceGroupName $rgName -Name $accountName
if ($account.KeyCreationTime.Key1 -eq $null -or $account.KeyCreationTime.Key2 -eq $null){
 Write-output ("You must regenerate both keys at least once before setting expiration policy")
} else {
 $account = Set-AzStorageAccount -ResourceGroupName $rgName -Name $accountName -KeyExpirationPeriodInDay 90
}
$account.KeyPolicy.KeyExpirationPeriodInDays
```</t>
  </si>
  <si>
    <t>**Audit from Azure Portal**
1. Go to `Storage Accounts`
2. For each Storage Account, under `Security + networking`, go to `Access keys`
3. If the button `Edit rotation reminder` is displayed, the Storage Account is compliant. Click `Edit rotation reminder` and review the `Remind me every` field for a desirable periodic setting that fits your security program's needs. If the button `Set rotation reminder` is displayed, the Storage Account is not compliant.
**Audit from Powershell**
```
$rgName = &lt;resource group name for the storage&gt;
$accountName = &lt;storage account name&gt;
$account = Get-AzStorageAccount -ResourceGroupName $rgName -Name $accountName
Write-Output $accountName -&gt;
Write-Output "Expiration Reminder set to: $($account.KeyPolicy.KeyExpirationPeriodInDays) Days"
Write-Output "Key1 Last Rotated: $($account.KeyCreationTime.Key1.ToShortDateString())"
Write-Output "Key2 Last Rotated: $($account.KeyCreationTime.Key2.ToShortDateString())"
```
Key rotation is recommended if the creation date for any key is empty. 
If the reminder is set, the period in days will be returned. The recommended period is 90 days.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</si>
  <si>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</si>
  <si>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https://learn.microsoft.com/en-us/azure/storage/common/storage-account-keys-manage:https://learn.microsoft.com/en-us/security/benchmark/azure/mcsb-privileged-access#pa-1-separate-and-limit-highly-privilegedadministrative-users:https://learn.microsoft.com/en-us/security/benchmark/azure/mcsb-identity-management#im-3-manage-application-identities-securely-and-automatically:https://learn.microsoft.com/en-us/security/benchmark/azure/mcsb-governance-strategy#gs-6-define-and-implement-identity-and-privileged-access-strategy:https://learn.microsoft.com/en-us/security/benchmark/azure/mcsb-identity-management#im-8-restrict-the-exposure-of-credentials-and-secrets:https://www.pcidssguide.com/pci-dss-key-rotation-requirements/:https://nvlpubs.nist.gov/nistpubs/SpecialPublications/NIST.SP.800-57pt1r5.pdf</t>
  </si>
  <si>
    <t>By default, Key rotation reminders are not configured.</t>
  </si>
  <si>
    <t>9.3.1.2</t>
  </si>
  <si>
    <t>Ensure that Storage Account access keys are periodically regenerated</t>
  </si>
  <si>
    <t>For increased security, regenerate storage account access keys periodically.</t>
  </si>
  <si>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</si>
  <si>
    <t>Regenerating access keys can affect services in Azure as well as the organization's applications that are dependent on the storage account. All clients who use the access key to access the storage account must be updated to use the new key.</t>
  </si>
  <si>
    <t>**Remediate from Azure Portal**
1. Go to `Storage Accounts`.
2. For each Storage Account with outdated keys, under `Security + networking`, go to `Access keys`.
3. Click `Rotate key` next to the outdated key, then click `Yes` to the prompt confirming that you want to regenerate the access key.
After Azure regenerates the Access Key, you can confirm that `Access keys` reflects a `Last rotated` date of `(0 days ago)`.</t>
  </si>
  <si>
    <t>**Audit from Azure Portal**
1. Go to `Storage Accounts`.
2. For each Storage Account, under `Security + networking`, go to `Access keys`.
3. Review the date and days in the `Last rotated` field for **each** key.
If the `Last rotated` field indicates a number or days greater than 90 [or greater than your organization's period of validity], the key should be rotated.
**Audit from Azure CLI**
1. Get a list of storage accounts
```
az storage account list --subscription &lt;subscription-id&gt;
```
Make a note of `id`, `name` and `resourceGroup`. 
2. For every storage account make sure that key is regenerated in the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[044985bb-afe1-42cd-8a36-9d5d42424537](https://portal.azure.com/#view/Microsoft_Azure_Policy/PolicyDetailBlade/definitionId/%2Fproviders%2FMicrosoft.Authorization%2FpolicyDefinitions%2F044985bb-afe1-42cd-8a36-9d5d42424537) **- Name:** 'Storage account keys should not be expired'</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</si>
  <si>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</si>
  <si>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torage-account-keys-manage:https://learn.microsoft.com/en-us/security/benchmark/azure/mcsb-privileged-access#pa-1-separate-and-limit-highly-privilegedadministrative-users:https://learn.microsoft.com/en-us/security/benchmark/azure/mcsb-identity-management#im-2-protect-identity-and-authentication-systems:https://learn.microsoft.com/en-us/security/benchmark/azure/mcsb-governance-strategy#gs-6-define-and-implement-identity-and-privileged-access-strategy:https://www.pcidssguide.com/pci-dss-key-rotation-requirements/:https://nvlpubs.nist.gov/nistpubs/SpecialPublications/NIST.SP.800-57pt1r5.pdf</t>
  </si>
  <si>
    <t>By default, access keys are not regenerated periodically.</t>
  </si>
  <si>
    <t>9.3.1.3</t>
  </si>
  <si>
    <t>Ensure 'Allow storage account key access' for Azure Storage Accounts is 'Disabled'</t>
  </si>
  <si>
    <t>Every secure request to an Azure Storage account must be authorized. By default, requests can be authorized with either Microsoft Entra credentials or by using the account access key for Shared Key authorization.</t>
  </si>
  <si>
    <t>Microsoft Entra ID provides superior security and ease of use compared to Shared Key and is recommended by Microsoft. To require clients to use Microsoft Entra ID for authorizing requests, you can disallow requests to the storage account that are authorized with Shared Key.</t>
  </si>
  <si>
    <t>When you disallow Shared Key authorization for a storage account, any requests to the account that are authorized with Shared Key, including shared access signatures (SAS), will be denied. Client applications that currently access the storage account using the Shared Key will no longer function.</t>
  </si>
  <si>
    <t>**Remediate from Azure Portal**
1. Go to `Storage accounts`.
1. Click on a storage account.
1. Under `Settings`, click `Configuration`.
1. Under `Allow storage account key access`, click the radio button next to `Disabled`.
1. Click `Save`.
1. Repeat steps 1-5 for each storage account requiring remediation.
**Remediate from Azure CLI**
For each storage account requiring remediation, run the following command to disallow shared key authorization:
```
az storage account update --resource-group &lt;resource-group&gt; --name &lt;storage-account&gt; --allow-shared-key-access false
```
**Remediate from PowerShell**
For each storage account requiring remediation, run the following command to disallow shared key authorization:
```
Set-AzStorageAccount -ResourceGroupName &lt;resource-group&gt; -Name &lt;storage-account&gt; -AllowSharedKeyAccess $false
```</t>
  </si>
  <si>
    <t>**Audit from Azure Portal**
1. Go to `Storage accounts`.
1. Click on a storage account.
1. Under `Settings`, click `Configuration`.
1. Under `Allow storage account key access`, ensure that the radio button next to `Disabled` is selected.
1. Repeat steps 1-4 for each storage account.
**Audit from Azure CLI**
Run the following command to list storage accounts:
```
az storage account list
```
For each storage account, run the following command:
```
az storage account show --resource-group &lt;resource-group&gt; --name &lt;storage-account&gt;
```
Ensure that `allowSharedKeyAccess` is set to `false`.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shared key access setting for the storage account:
```
$storageAccount.allowSharedKeyAccess
```
Ensure that the command returns `False`.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[8c6a50c6-9ffd-4ae7-986f-5fa6111f9a54](https://portal.azure.com/#view/Microsoft_Azure_Policy/PolicyDetailBlade/definitionId/%2Fproviders%2FMicrosoft.Authorization%2FpolicyDefinitions%2F8c6a50c6-9ffd-4ae7-986f-5fa6111f9a54) **- Name:** 'Storage accounts should prevent shared key access'</t>
  </si>
  <si>
    <t>TITLE:Configure Data Access Control Lists CONTROL:v8 3.3 DESCRIPTION:Configure data access control lists based on a user’s need to know. Apply data access control lists, also known as access permissions, to local and remote file systems, databases, and applications.;TITLE:Establish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</si>
  <si>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learn.microsoft.com/en-us/azure/storage/common/shared-key-authorization-prevent:https://learn.microsoft.com/en-us/cli/azure/storage/account:https://learn.microsoft.com/en-us/powershell/module/az.storage/get-azstorageaccount:https://learn.microsoft.com/en-us/powershell/module/az.storage/set-azstorageaccount</t>
  </si>
  <si>
    <t>The AllowSharedKeyAccess property of a storage account is not set by default and does not return a value until you explicitly set it. The storage account permits requests that are authorized with the Shared Key when the property value is **null** or when it is **true**.</t>
  </si>
  <si>
    <t>9.3.2</t>
  </si>
  <si>
    <t>Networking</t>
  </si>
  <si>
    <t>9.3.2.2</t>
  </si>
  <si>
    <t>Ensure that 'Public Network Access' is 'Disabled' for storage accounts</t>
  </si>
  <si>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</si>
  <si>
    <t>Disabling public network access improves security by ensuring that a storage account is not exposed on the public internet.
The default network configuration for a storage account permits a user with appropriate permissions to configure public network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public network access to storage accounts until, and unless, it is strongly desired. A shared access signature token or Azure AD RBAC should be used for providing controlled and timed access to blob containers.</t>
  </si>
  <si>
    <t>**NOTE:** Prior to disabling public network access, it is strongly recommended that, for each storage account, either:
- virtual network integration is completed
OR
- private endpoints/links are set up as described in **"Ensure Private Endpoints are used to access Storage Accounts."**
Disabling public network access restricts direct access to the service. This enhances security but will require the configuration of a virtual network and/or private endpoints for any services or users needing access within trusted networks.
Access will have to be managed using shared access signatures or via Azure AD RBAC.</t>
  </si>
  <si>
    <t>**Remediate from Azure Portal**
First, follow Microsoft documentation and create shared access signature tokens for your blob containers. Then, 
1. Go to `Storage Accounts`.
1. For each storage account, under the `Security + networking` section, click `Networking`.
1. Set `Public network access` to `Disabled`.
1. Click `Save`.
**Remediate from Azure CLI**
Set 'Public Network Access' to `Disabled` on the storage account 
```
az storage account update --name &lt;storage-account&gt; --resource-group &lt;resource-group&gt; --public-network-access Disabled
```
**Remediate from PowerShell**
For each Storage Account, run the following to set the `PublicNetworkAccess` setting to `Disabled`
```
Set-AzStorageAccount -ResourceGroupName &lt;resource group name&gt; -Name &lt;storage account name&gt; -PublicNetworkAccess Disabled
```</t>
  </si>
  <si>
    <t>**Audit from Azure Portal**
1. Go to `Storage Accounts`.
2. For each storage account, under the `Security + networking` section, click `Networking`.
3. Ensure the `Public network access` setting is set to `Disabled`.
**Audit from Azure CLI**
Ensure `publicNetworkAccess` is `Disabled` 
```
az storage account show --name &lt;storage-account&gt; --resource-group &lt;resource-group&gt; --query "{publicNetworkAccess:publicNetworkAccess}"
```
**Audit from PowerShell**
For each Storage Account, ensure `PublicNetworkAccess` is `Disabled`
```
Get-AzStorageAccount -Name &lt;storage account name&gt; -ResourceGroupName &lt;resource group name&gt; |select PublicNetworkAccess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[b2982f36-99f2-4db5-8eff-283140c09693](https://portal.azure.com/#view/Microsoft_Azure_Policy/PolicyDetailBlade/definitionId/%2Fproviders%2FMicrosoft.Authorization%2FpolicyDefinitions%2Fb2982f36-99f2-4db5-8eff-283140c09693) **- Name:** 'Storage accounts should disable public network access'</t>
  </si>
  <si>
    <t>https://learn.microsoft.com/en-us/azure/storage/blobs/anonymous-read-access-configure:https://learn.microsoft.com/en-us/security/benchmark/azure/mcsb-governance-strategy#gs-2-define-and-implement-enterprise-segmentationseparation-of-duties-strategy:https://learn.microsoft.com/en-us/security/benchmark/azure/mcsb-network-security#ns-2-secure-cloud-native-services-with-network-controls:https://learn.microsoft.com/en-us/azure/storage/blobs/assign-azure-role-data-access:https://learn.microsoft.com/en-us/azure/storage/common/storage-network-security</t>
  </si>
  <si>
    <t>By default, `Public Network Access` is set to `Enabled from all networks` for the Storage Account.</t>
  </si>
  <si>
    <t>9.3.2.3</t>
  </si>
  <si>
    <t>Ensure default network access rule for storage accounts is set to deny</t>
  </si>
  <si>
    <t>Restricting default network access helps to provide a new layer of security, since storage accounts accept connections from clients on any network. To limit access to selected networks, the default action must be changed.</t>
  </si>
  <si>
    <t>**NOTE:** This recommendation is only applicable if Public Network Access has not been disabled due to necessity or exception. 
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</si>
  <si>
    <t>All allowed networks will need to be whitelisted on each specific network, creating administrative overhead. This may result in loss of network connectivity, so do not turn on for critical resources during business hours.</t>
  </si>
  <si>
    <t>**Remediate from Azure Portal**
1. Go to `Storage Accounts`.
1. For each storage account, under `Security + networking`, click `Networking`.
1. Click the `Firewalls and virtual networks` heading.
1. Set `Public network access` to `Enabled from selected virtual networks and IP addresses`.
1. Add rules to allow traffic from specific networks and IP addresses.
1. Click `Save`.
**Remediate from Azure CLI**
Use the below command to update `default-action` to `Deny`.
```
 az storage account update --name &lt;StorageAccountName&gt; --resource-group &lt;resourceGroupName&gt; --default-action Deny
```</t>
  </si>
  <si>
    <t>**Audit from Azure Portal**
1. Go to Storage Accounts.
2. For each storage account, under `Security + networking`, click `Networking`.
4. Click the `Firewalls and virtual networks` heading.
3. Ensure that `Public network access` is not set to `Enabled from all networks`.
**Audit from Azure CLI**
Ensure `defaultAction` is not set to ` Allow`.
```
 az storage account list --query '[*].networkRuleSet'
```
**Audit from PowerShell**
```
Connect-AzAccount
Set-AzContext -Subscription &lt;subscription ID&gt;
Get-AzStorageAccountNetworkRuleset -ResourceGroupName &lt;resource group&gt; -Name &lt;storage account name&gt; |Select-Object DefaultAction
```
PowerShell Result - Non-Compliant
```
DefaultAction : Allow
```
PowerShell Result - Compliant
```
DefaultAction : Deny
```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[34c877ad-507e-4c82-993e-3452a6e0ad3c](https://portal.azure.com/#view/Microsoft_Azure_Policy/PolicyDetailBlade/definitionId/%2Fproviders%2FMicrosoft.Authorization%2FpolicyDefinitions%2F34c877ad-507e-4c82-993e-3452a6e0ad3c) **- Name:** 'Storage accounts should restrict network access'
- **Policy ID:** [2a1a9cdf-e04d-429a-8416-3bfb72a1b26f](https://portal.azure.com/#view/Microsoft_Azure_Policy/PolicyDetailBlade/definitionId/%2Fproviders%2FMicrosoft.Authorization%2FpolicyDefinitions%2F2a1a9cdf-e04d-429a-8416-3bfb72a1b26f) **- Name:** 'Storage accounts should restrict network access using virtual network rules'</t>
  </si>
  <si>
    <t>This recommendation is based on the Common Reference Recommendation `Ensure Network Access Rules are set to Deny-by-default`, from the `Common Reference Recommendations &gt; Networking &gt; Virtual Networks (VNets)` section.</t>
  </si>
  <si>
    <t>TITLE:Establish and Maintain a Secure Network Architecture CONTROL:v8 12.2 DESCRIPTION:Establish and maintain a secure network architecture. A secure network architecture must address segmentation, least privilege, and availability, at a minimum.;TITLE:Monitor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</si>
  <si>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governance-strategy#gs-2-define-and-implement-enterprise-segmentationseparation-of-duties-strategy:https://learn.microsoft.com/en-us/security/benchmark/azure/mcsb-network-security#ns-2-secure-cloud-native-services-with-network-controls</t>
  </si>
  <si>
    <t>By default, Storage Accounts will accept connections from clients on any network.</t>
  </si>
  <si>
    <t>9.3.3</t>
  </si>
  <si>
    <t>Identity and Access Management</t>
  </si>
  <si>
    <t>9.3.3.1</t>
  </si>
  <si>
    <t>Ensure that 'Default to Microsoft Entra authorization in the Azure portal' is set to 'Enabled'</t>
  </si>
  <si>
    <t>When this property is enabled, the Azure portal authorizes requests to blobs, files, queues, and tables with Microsoft Entra ID by default.</t>
  </si>
  <si>
    <t>Microsoft Entra ID provides superior security and ease of use over Shared Key.</t>
  </si>
  <si>
    <t>**Remediate from Azure Portal**
1. Go to `Storage accounts`.
1. Click the name of a storage account.
1. Under `Settings`, click `Configuration`.
1. Under `Default to Microsoft Entra authorization in the Azure portal`, click the radio button next to `Enabled`.
1. Click `Save`.
1. Repeat steps 1-5 for each storage account requiring remediation.
**Remediate from Azure CLI**
For each storage account requiring remediation, run the following command to enable `defaultToOAuthAuthentication`:
```
az storage account update --resource-group &lt;resource-group&gt; --name &lt;storage-account&gt; --set defaultToOAuthAuthentication=true
```</t>
  </si>
  <si>
    <t>**Audit from Azure Portal**
1. Go to `Storage accounts`.
1. Click the name of a storage account.
1. Under `Settings`, click `Configuration`.
1. Ensure that `Default to Microsoft Entra authorization in the Azure portal` is set to `Enabled`.
1. Repeat steps 1-4 for each storage account.
**Audit from Azure CLI**
Run the following command to get the `name` and `defaultToOAuthAuthentication` setting for each storage account:
```
az storage account list --query [*].[name,defaultToOAuthAuthentication]
```
Ensure that `true` is returned for each storage account.</t>
  </si>
  <si>
    <t>https://learn.microsoft.com/en-us/azure/storage/blobs/authorize-data-operations-portal#default-to-microsoft-entra-authorization-in-the-azure-portal:https://learn.microsoft.com/en-us/cli/azure/storage/account</t>
  </si>
  <si>
    <t>By default, `defaultToOAuthAuthentication` is disabled.</t>
  </si>
  <si>
    <t>2.1.3</t>
  </si>
  <si>
    <t>Ensure that traffic is encrypted between cluster worker nodes</t>
  </si>
  <si>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</si>
  <si>
    <t>* Protects sensitive data during transit between cluster nodes, mitigating risks of data interception or unauthorized access.
* Aligns with organizational security policies and compliance requirements that mandate encryption of data in transit.
* Enhances overall security posture by ensuring that all inter-node communications within the cluster are encrypted.</t>
  </si>
  <si>
    <t>* Enabling encryption may introduce a performance penalty due to the computational overhead associated with encrypting and decrypting traffic. This can result in longer query execution times, especially for data-intensive operations.
* Implementing encryption requires creating and managing init scripts, which adds complexity to cluster configuration and maintenance.
* The shared encryption secret is derived from the hash of the keystore stored in DBFS. If the keystore is updated or rotated, all running clusters must be restarted to prevent authentication failures between Spark workers and drivers.</t>
  </si>
  <si>
    <t>Create a JKS keystore:
1. Generate a Java KeyStore (JKS) file that will be used for SSL/TLS encryption.
2. Upload the keystore file to a secure directory in DBFS (e.g. /dbfs/&lt;keystore-directory&gt;/jetty_ssl_driver_keystore.jks).
Develop an init script:
3. Create an init script that performs the following tasks: 
 - Retrieves the JKS keystore file and password.
 - Derives a shared encryption secret from the keystore.
 - Configures Spark driver and executor settings to enable encryption.
4. Example init script:
 ```
 #!/bin/bash
 set -euo pipefail
 keystore_dbfs_file="/dbfs/&lt;keystore-directory&gt;/jetty_ssl_driver_keystore.jks"
 max_attempts=30
 while [ ! -f ${keystore_dbfs_file} ]; do
 if [ "$max_attempts" == 0 ]; then
 echo "ERROR: Unable to find the file : $keystore_dbfs_file. Failing the script."
 exit 1
 fi
 sleep 2s
 ((max_attempts--))
 done
 sasl_secret=$(sha256sum $keystore_dbfs_file | cut -d' ' -f1)
 if [ -z "${sasl_secret}" ]; then
 echo "ERROR: Unable to derive the secret. Failing the script."
 exit 1
 fi
 local_keystore_file="$DB_HOME/keys/jetty_ssl_driver_keystore.jks"
 local_keystore_password="gb1gQqZ9ZIHS"
 if [[ $DB_IS_DRIVER = "TRUE" ]]; then
 driver_conf=${DB_HOME}/driver/conf/spark-branch.conf
 echo "Configuring driver conf at $driver_conf"
 if [ ! -e $driver_conf ]; then
 echo "spark.authenticate true" &gt;&gt; $driver_conf
 echo "spark.authenticate.secret $sasl_secret" &gt;&gt; $driver_conf
 echo "spark.authenticate.enableSaslEncryption true" &gt;&gt; $driver_conf
 echo "spark.network.crypto.enabled true" &gt;&gt; $driver_conf
 echo "spark.network.crypto.keyLength 256" &gt;&gt; $driver_conf
 echo "spark.network.crypto.keyFactoryAlgorithm PBKDF2WithHmacSHA1" &gt;&gt; $driver_conf
 echo "spark.io.encryption.enabled true" &gt;&gt; $driver_conf
 echo "spark.ssl.enabled true" &gt;&gt; $driver_conf
 echo "spark.ssl.keyPassword $local_keystore_password" &gt;&gt; $driver_conf
 echo "spark.ssl.keyStore $local_keystore_file" &gt;&gt; $driver_conf
 echo "spark.ssl.keyStorePassword $local_keystore_password" &gt;&gt; $driver_conf
 echo "spark.ssl.protocol TLSv1.3" &gt;&gt; $driver_conf
 fi
 fi
 executor_conf=${DB_HOME}/conf/spark.executor.extraJavaOptions
 echo "Configuring executor conf at $executor_conf"
 if [ ! -e $executor_conf ]; then
 echo "-Dspark.authenticate=true" &gt;&gt; $executor_conf
 echo "-Dspark.authenticate.secret=$sasl_secret" &gt;&gt; $executor_conf
 echo "-Dspark.authenticate.enableSaslEncryption=true" &gt;&gt; $executor_conf
 echo "-Dspark.network.crypto.enabled=true" &gt;&gt; $executor_conf
 echo "-Dspark.network.crypto.keyLength=256" &gt;&gt; $executor_conf
 echo "-Dspark.network.crypto.keyFactoryAlgorithm=PBKDF2WithHmacSHA1" &gt;&gt; $executor_conf
 echo "-Dspark.io.encryption.enabled=true" &gt;&gt; $executor_conf
 echo "-Dspark.ssl.enabled=true" &gt;&gt; $executor_conf
 echo "-Dspark.ssl.keyPassword=$local_keystore_password" &gt;&gt; $executor_conf
 echo "-Dspark.ssl.keyStore=$local_keystore_file" &gt;&gt; $executor_conf
 echo "-Dspark.ssl.keyStorePassword=$local_keystore_password" &gt;&gt; $executor_conf
 echo "-Dspark.ssl.protocol=TLSv1.3" &gt;&gt; $executor_conf
 fi
 ```
5. Save.</t>
  </si>
  <si>
    <t>**Audit from Azure Portal**
Review cluster init scripts:
1. Navigate to your Azure Databricks workspace, go to the "Clusters" section, select a cluster, and check the "Advanced Options" for any init scripts that configure encryption settings.
Verify spark configuration:
2. Ensure that the following Spark configurations are set: 
 ```
 spark.authenticate true
 spark.authenticate.enableSaslEncryption true
 spark.network.crypto.enabled true
 spark.network.crypto.keyLength 256
 spark.network.crypto.keyFactoryAlgorithm PBKDF2WithHmacSHA1
 spark.io.encryption.enabled true
 ```
These settings can be found in the cluster's Spark configuration properties.
Check keystore management:
3. Verify that the Java KeyStore (JKS) file is securely stored in DBFS and that its integrity is maintained.
4. Ensure that the keystore password is securely managed and not hardcoded in scripts.</t>
  </si>
  <si>
    <t>https://learn.microsoft.com/en-us/azure/databricks/security/keys/encrypt-otw</t>
  </si>
  <si>
    <t>By default, traffic is not encrypted between cluster worker nodes.</t>
  </si>
  <si>
    <t>2.1.8</t>
  </si>
  <si>
    <t>Ensure critical data in Azure Databricks is encrypted with customer-managed keys (CMK)</t>
  </si>
  <si>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</si>
  <si>
    <t>By default in Azure, data at rest tends to be encrypted using Microsoft-managed keys. If your organization wants to control and manage encryption keys for compliance and defense-in-depth, customer-managed keys can be established.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</si>
  <si>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If the key expires due to setting the 'activation date' and 'expiration date', the key must be rotated manually.
Using customer-managed keys may also incur additional man-hour requirements to create, store, manage, and protect the keys as needed.</t>
  </si>
  <si>
    <t>**NOTE:** These remediations assume that an Azure KeyVault already exists in the subscription.
**Remediate from Azure CLI**
1. Create a dedicated key:
```
az keyvault key create --vault-name &lt;keyvault-name&gt; --name &lt;key-name&gt; --protection &lt;"software" or "hsm"&gt;
```
2. Assign permissions to Databricks:
```
az keyvault set-policy --name &lt;keyvault-name&gt; --resource-group &lt;resource-group-name&gt; --spn &lt;databricks-spn&gt; --key-permissions get wrapKey unwrapKey
```
3. Enable encryption with CMK:
```
az databricks workspace update --name &lt;databricks-workspace-name&gt; --resource-group &lt;resource-group-name&gt; --key-source "Microsoft.KeyVault" --key-name &lt;key-name&gt; --keyvault-uri &lt;keyvault-uri&gt;
```
**Remediate from PowerShell**
```
$Key = Add-AzKeyVaultKey -VaultName &lt;keyvault-name&gt; -Name &lt;key-name&gt; -Destination &lt;"software" or "hsm"&gt;
Set-AzDatabricksWorkspace -ResourceGroupName "&lt;resource-group-name&gt;" -WorkspaceName "&lt;databricks-workspace-name&gt;" -EncryptionKeySource "Microsoft.KeyVault" -KeyVaultUri $Key.Id
```</t>
  </si>
  <si>
    <t>**Audit from Azure Portal**
1. Go to Azure Portal → Databricks Workspaces.
1. Select a Databricks Workspace and go to Encryption settings.
1. Check if customer-managed keys (CMK) are enabled under "Managed Disk Encryption".
1. If CMK is not enabled, the workspace is non-compliant.
**Audit from Azure CLI**
Run the following command to check encryption settings for Databricks workspace:
```
az databricks workspace show --name &lt;databricks-workspace-name&gt; --resource-group &lt;resource-group-name&gt; --query encryption
```
Ensure that keySource is set to `Microsoft.KeyVault`.
**Audit from PowerShell**
```
Get-AzDatabricksWorkspace -ResourceGroupName "&lt;resource-group-name&gt;" -Name "&lt;databricks-workspace-name&gt;" | Select-Object Encryption
```
Verify that encryption is set to `Customer-Managed Keys (CMK)`.
**Audit from Databricks CLI**
```
databricks workspace get-metadata --workspace-id &lt;workspace-id&gt;
```
Ensure that encryption settings reflect a CMK setup.</t>
  </si>
  <si>
    <t>This recommendation is based on the Common Reference Recommendation `Ensure critical data is encrypted with customer-managed keys (CMK)`, from the `Common Reference Recommendations &gt; Secrets and Keys &gt; Encryption Key Management &gt; Customer Managed Keys` section.</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</si>
  <si>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</si>
  <si>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https://learn.microsoft.com/en-us/azure/security/fundamentals/data-encryption-best-practices#protect-data-at-rest:https://learn.microsoft.com/en-us/security/benchmark/azure/mcsb-data-protection#dp-5-use-customer-managed-key-option-in-data-at-rest-encryption-when-required:https://learn.microsoft.com/en-us/azure/databricks/security/keys/cmk-managed-disks-azure/cmk-managed-disks-azure</t>
  </si>
  <si>
    <t>By default, encryption type is set to Microsoft-managed keys.</t>
  </si>
  <si>
    <t>2.1.11</t>
  </si>
  <si>
    <t>Ensure private endpoints are used to access Azure Databricks workspaces</t>
  </si>
  <si>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</si>
  <si>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Using private endpoints for Azure Databricks workspaces ensures that all communication between clients, services, and data sources occurs over a secure, private IP space within an Azure Virtual Network (VNet). This approach eliminates exposure to the public internet, significantly reducing the attack surface and aligning with Zero Trust principles.
Additionally, integrating Databricks with a VNet enables network segmentation, fine-grained access control, and hybrid connectivity through VNet peering or VPN/ExpressRoute.</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</si>
  <si>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
Before a private endpoint can be configured, Azure Databricks workspaces:
- must be deployed in a customer-managed virtual network (VNet injection)—refer to the recommendation `Ensure that Azure Databricks is deployed in a customer-managed virtual network (VNet)`
- must have secure cluster connectivity enabled—refer to the recommendation `Ensure 'Enable No Public IP' is set to 'Yes'`
- must be on the Premium pricing tier
Ensure the requirements and concepts are considered carefully before applying this recommendation. Refer to https://learn.microsoft.com/en-us/azure/databricks/security/network/classic/private-link for more information.</t>
  </si>
  <si>
    <t>**Remediate from Azure Portal**
1. Go to `Azure Databricks`.
1. Click the name of a workspace.
1. Under `Settings`, click `Networking`.
1. Click `Private endpoint connections`.
1. Click `+ Private endpoint`.
1. Under `Project details`, select a `Subscription` and a `Resource group`.
1. Under `Instance details`, provide a `Name`, `Network Interface Name`, and select a `Region`.
1. Click `Next : Resource &gt;`.
1. Select a `Target sub-resource`.
1. Click `Next : Virtual Network &gt;`.
1. Under `Networking`, select a `Virtual network` and a `Subnet`.
1. Optionally, configure `Private IP configuration` and `Application security group`.
1. Click `Next : DNS &gt;`.
1. Optionally, configure `Private DNS integration`.
1. Click `Next : Tags &gt;`.
1. Optionally, configure tags.
1. Click `Next : Review + create &gt;`.
1. Click `Create`.
1. Repeat steps 1-18 for each workspace requiring remediation.
**Remediate from Azure CLI**
For each workspace requiring remediation, run the following command to create a private endpoint connection:
```
az network private-endpoint create --resource-group &lt;resource-group&gt; --name &lt;private-endpoint&gt; --location &lt;location&gt; --vnet-name &lt;virtual-network&gt; --subnet &lt;subnet&gt; --private-connection-resource-id &lt;workspace&gt; --connection-name &lt;private-endpoint-connection&gt; --group-id &lt;browser_authentication| databricks_ui_api&gt;
```</t>
  </si>
  <si>
    <t>**Audit from Azure Portal**
1. Go to `Azure Databricks`.
1. Click the name of a workspace.
1. Under `Settings`, click `Networking`.
1. Click `Private endpoint connections`.
1. Ensure a private endpoint connection exists with a connection state of `Approved`.
1. Repeat steps 1-5 for each workspace.
**Audit from Azure CLI**
Run the following command to list workspaces:
```
az databricks workspace list
```
For each workspace, run the following command to get the `privateEndpointConnections` configuration:
```
az databricks workspace show --resource-group &lt;resource-group&gt; --name &lt;workspace&gt; --query privateEndpointConnections
```
Ensure a private endpoint connection is returned with a `privateLinkServiceConnectionState` `status` of `Approved`.
**Audit from PowerShell**
Run the following command to list workspaces:
```
Get-AzDatabricksWorkspace
```
Run the following command to get the workspace in a resource group with a given name:
```
$workspace = Get-AzDatabricksWorkspace -ResourceGroupName &lt;resource-group&gt; -Name &lt;workspace&gt;
```
Run the following command to get the `PrivateEndpointConnection` configuration:
```
$workspace.PrivateEndpointConnection | Select-Object -Property Id,PrivateLinkServiceConnectionStateStatus
```
Ensure a private endpoint connection is returned with a `PrivateLinkServiceConnectionStateStatus` of `Approved`.
Repeat for each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[258823f2-4595-4b52-b333-cc96192710d8](https://portal.azure.com/#view/Microsoft_Azure_Policy/PolicyDetailBlade/definitionId/%2Fproviders%2FMicrosoft.Authorization%2FpolicyDefinitions%2F258823f2-4595-4b52-b333-cc96192710d8) **- Name:** 'Azure Databricks Workspaces should use private link'</t>
  </si>
  <si>
    <t>This recommendation is based on the Common Reference Recommendation `Ensure Private Endpoints are used to access {service}`, from the `Common Reference Recommendations &gt; Networking &gt; Private Endpoints` section.</t>
  </si>
  <si>
    <t>https://learn.microsoft.com/en-us/azure/databricks/security/network/classic/private-link:https://learn.microsoft.com/en-us/cli/azure/databricks/workspace:https://learn.microsoft.com/en-us/powershell/module/az.databricks</t>
  </si>
  <si>
    <t>Private endpoints are not configured for Azure Databricks workspaces by default.</t>
  </si>
  <si>
    <t>3.1.1</t>
  </si>
  <si>
    <t>Ensure only MFA enabled identities can access privileged Virtual Machine</t>
  </si>
  <si>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</si>
  <si>
    <t>Integrating multi-factor authentication (MFA) as part of the organizational policy can greatly reduce the risk of an identity gaining control of valid credentials that may be used for additional tactics such as initial access, lateral movement, and collecting information. MFA can also be used to restrict access to cloud resources and APIs.
An Adversary may log into accessible cloud services within a compromised environment using Valid Accounts that are synchronized to move laterally and perform actions with the virtual machine's managed identity. The adversary may then perform management actions or access cloud-hosted resources as the logged-on managed identity.</t>
  </si>
  <si>
    <t>This recommendation requires the Entra ID P2 license to implement.
Ensure that identities provisioned to a virtual machine utilize an RBAC/ABAC group and are allocated a role using Azure PIM, and that the role settings require MFA or use another third-party PAM solution for accessing virtual machines.</t>
  </si>
  <si>
    <t>**Remediate from Azure Portal**
1. Log in to the Azure portal.
2. This can be remediated by enabling MFA for user, Removing user access or Reducing access of managed identities attached to virtual machines.
- Case I : Enable MFA for users having access on virtual machines.
 1. Go to `Microsoft Entra ID`.
 1. For `Per-user MFA`:
 1. Under `Manage`, click `Users`.
 1. Click `Per-user MFA`.
 1. For each user requiring remediation, check the box next to their name.
 1. Click `Enable MFA`.
 1. Click `Enable`.
 1. For `Conditional Access`:
 1. Under `Manage`, click `Security`.
 1. Under `Protect`, click `Conditional Access`.
 1. Update the Conditional Access policy requiring MFA for all users, removing each user requiring remediation from the `Exclude` list.
- Case II : Removing user access on a virtual machine.
 1. Select the `Subscription`, then click on `Access control (IAM)`.
 2. Select `Role assignments` and search for `Virtual Machine Administrator Login` or `Virtual Machine User Login` or any role that provides access to log into virtual machines.
 3. Click on `Role Name`, Select `Assignments`, and remove identities with no MFA configured.
- Case III : Reducing access of managed identities attached to virtual machines.
 1. Select the `Subscription`, then click on `Access control (IAM)`.
 2. Select `Role Assignments` from the top menu and apply filters on `Assignment type` as `Privileged administrator roles` and `Type` as `Virtual Machines`.
 3. Click on `Role Name`, Select `Assignments`, and remove identities access make sure this follows the least privileges principal.</t>
  </si>
  <si>
    <t>**Audit from Azure Portal**
1. Log in to the Azure portal.
1. Select the `Subscription`, then click on `Access control (IAM)`.
1. Click `Role : All` and click `All` to display the drop-down menu.
1. Type `Virtual Machine Administrator Login` and select `Virtual Machine Administrator Login`.
1. Review the list of identities that have been assigned the `Virtual Machine Administrator Login` role.
1. Go to `Microsoft Entra ID`.
1. For `Per-user MFA`:
 1. Under `Manage`, click `Users`.
 1. Click `Per-user MFA`.
 1. Ensure that none of the identities assigned the `Virtual Machine Administrator Login` role from step 4 have `Status` set to `disabled`.
1. For `Conditional Access`:
 1. Under `Manage`, click `Security`.
 1. Under `Protect`, click `Conditional Access`.
 1. Ensure that none of the identities assigned the `Virtual Machine Administrator Login` role from step 4 are exempt from a Conditional Access policy requiring MFA for all users.</t>
  </si>
  <si>
    <t>TITLE:Require MFA for Administrative Access CONTROL:v8 6.5 DESCRIPTION:Require MFA for all administrative access accounts, where supported, on all enterprise assets, whether managed on-site or through a third-party provider.;TITLE:Use Multifactor Authentication For All Administrative Access CONTROL:v7 4.5 DESCRIPTION:Use multi-factor authentication and encrypted channels for all administrative account access.;</t>
  </si>
  <si>
    <t>5.13</t>
  </si>
  <si>
    <t>Ensure that 'User consent for applications' is set to 'Allow user consent for apps from verified publishers, for selected permissions'</t>
  </si>
  <si>
    <t>Allow users to provide consent for selected permissions when a request is coming from a verified publisher.</t>
  </si>
  <si>
    <t>**Remediate from Azure Portal**
1. From Azure Home select the Portal Menu
1. Select `Microsoft Entra ID`
1. Under `Manage`, select `Enterprise applications`
1. Under `Security, select `Consent and permissions`
1. Under `Manage`, select `User consent settings`
1. Under `User consent for applications`, select `Allow user consent for apps from verified publishers, for selected permissions`
1. Click `Save`</t>
  </si>
  <si>
    <t>**Audit from Azure Portal**
1. From Azure Home select the Portal Menu
1. Select `Microsoft Entra ID`
1. Under `Manage`, select `Enterprise applications`
1. Under `Security, select `Consent and permissions`
1. Under `Manage`, select `User consent settings`
1. Under `User consent for applications`, ensure `Allow user consent for apps from verified publishers, for selected permissions` is selected
**Audit from PowerShell**
```
Connect-MgGraph
(Get-MgPolicyAuthorizationPolicy).DefaultUserRolePermissions | Select-Object -ExpandProperty PermissionGrantPoliciesAssigned
```
The command should return either `ManagePermissionGrantsForSelf.microsoft-user-default-low` or a custom app consent policy id if one is in use.</t>
  </si>
  <si>
    <t>TITLE:Address Unauthorized Software CONTROL:v8 2.3 DESCRIPTION:Ensure that unauthorized software is either removed from use on enterprise assets or receives a documented exception. Review monthly, or more frequently.;TITLE:Allowlist Authorized Software CONTROL:v8 2.5 DESCRIPTION:Use technical controls, such as application allowlisting, to ensure that only authorized software can execute or be accessed. Reassess bi-annually, or more frequently.;TITLE:Address unapproved software CONTROL:v7 2.6 DESCRIPTION:Ensure that unauthorized software is either removed or the inventory is updated in a timely manner;TITLE:Utilize Application Whitelisting CONTROL:v7 2.7 DESCRIPTION:Utilize application whitelisting technology on all assets to ensure that only authorized software executes and all unauthorized software is blocked from executing on assets.;</t>
  </si>
  <si>
    <t>https://learn.microsoft.com/en-us/entra/identity/enterprise-apps/configure-user-consent?pivots=ms-graph#configure-user-consent-to-applications:https://learn.microsoft.com/en-us/security/benchmark/azure/mcsb-privileged-access#pa-1-separate-and-limit-highly-privilegedadministrative-users:https://learn.microsoft.com/en-us/security/benchmark/azure/mcsb-governance-strategy#gs-2-define-and-implement-enterprise-segmentationseparation-of-duties-strategy:https://learn.microsoft.com/en-us/security/benchmark/azure/mcsb-governance-strategy#gs-6-define-and-implement-identity-and-privileged-access-strategy:https://learn.microsoft.com/en-us/powershell/module/microsoft.graph.identity.signins/get-mgpolicyauthorizationpolicy?view=graph-powershell-1.0</t>
  </si>
  <si>
    <t>By default, `User consent for applications` is set to `Allow user consent for apps`.</t>
  </si>
  <si>
    <t>5.16</t>
  </si>
  <si>
    <t>Ensure that 'Guest invite restrictions' is set to 'Only users assigned to specific admin roles [...]' or 'No one [..]'</t>
  </si>
  <si>
    <t>Restrict invitations to either users with specific administrative roles or no one.</t>
  </si>
  <si>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</si>
  <si>
    <t>With the option of `Only users assigned to specific admin roles can invite guest users` selected, users with specific admin roles will be in charge of sending invitations to the external users, requiring additional overhead by them to manage user accounts. This will mean coordinating with other departments as they are onboarding new users.</t>
  </si>
  <si>
    <t>**Remediate from Azure Portal**
1. From Azure Home select the Portal Menu
1. Select `Microsoft Entra ID`
1. Under `Manage`, select `External Identities`
1. Select `External collaboration settings`
1. Under `Guest invite settings`, set `Guest invite restrictions` to either `Only users assigned to specific admin roles can invite guest users` or `No one in the organization [...]`
1. Click `Save`
**Remediate from Powershell**
Enter the following:
```
Connect-MgGraph
Update-MgPolicyAuthorizationPolicy -AllowInvitesFrom "adminsAndGuestInviters"
```
Alternatively, to set this to the most restrictive `No one in the organization [...]` enter the following:
```
Connect-MgGraph
Update-MgPolicyAuthorizationPolicy -AllowInvitesFrom "none"
```</t>
  </si>
  <si>
    <t>Note: This setting has 4 levels of restriction, which include:
-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
**Audit from Azure Portal**
1. From Azure Home select the Portal Menu
1. Select `Microsoft Entra ID`
1. Under `Manage`, select `External Identities`
1. Select `External collaboration settings`
1. Under `Guest invite settings`, ensure that `Guest invite restrictions` is set to either `Only users assigned to specific admin roles can invite guest users` or `No one in the organization [...]`
**Audit from Powershell**
Enter the following:
```
Connect-MgGraph
(Get-MgPolicyAuthorizationPolicy).AllowInvitesFrom
```
If the resulting value is `adminsAndGuestInviters` or `none` the configuration complies.</t>
  </si>
  <si>
    <t>TITLE:Establish an Access Granting Process CONTROL:v8 6.1 DESCRIPTION:Establish and follow a process, preferably automated, for granting access to enterprise assets upon new hire, rights grant, or role change of a user.;TITLE:Define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frequently.;TITLE:Configure Centralized Point of Authentication CONTROL:v7 16.2 DESCRIPTION:Configure access for all accounts through as few centralized points of authentication as possible, including network, security, and cloud systems.;</t>
  </si>
  <si>
    <t>https://learn.microsoft.com/en-us/entra/external-id/external-collaboration-settings-configur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-3-manage-lifecycle-of-identities-and-entitlements:https://learn.microsoft.com/en-us/powershell/module/microsoft.graph.identity.signins/update-mgpolicyauthorizationpolicy?view=graph-powershell-1.0</t>
  </si>
  <si>
    <t>By default, `Guest invite restrictions` is set to `Anyone in the organization can invite guest users including guests and non-admins`</t>
  </si>
  <si>
    <t>5.18</t>
  </si>
  <si>
    <t>Ensure that 'Restrict user ability to access groups features in My Groups' is set to 'Yes'</t>
  </si>
  <si>
    <t>Restrict access to group web interface in the Access Panel portal.</t>
  </si>
  <si>
    <t>Self-service group management enables users to create and manage security groups or Office 365 groups in Microsoft Entra ID. Unless a business requires this day-to-day delegation for some users, self-service group management should be disabled. Any user can access the Access Panel, where they can reset their passwords, view their information, etc. By default, users are also allowed to access the Group feature, which shows groups, members, related resources (SharePoint URL, Group email address, Yammer URL, and Teams URL). By setting this feature to 'Yes', users will no longer have access to the web interface, but still have access to the data using the API. This is useful to prevent non-technical users from enumerating groups-related information, but technical users will still be able to access this information using APIs.</t>
  </si>
  <si>
    <t>Setting to `Yes` could create administrative overhead by customers seeking certain group memberships that will have to be manually managed by administrators with appropriate permissions.</t>
  </si>
  <si>
    <t>**Remediate from Azure Portal**
1. From Azure Home select the Portal Menu
1. Select `Microsoft Entra ID`
1. Under `Manage`, select `Groups`
1. Under `Settings`, select `General`
1. Under `Self Service Group Management`, set `Restrict user ability to access groups features in My Groups` to `Yes`
1. Click `Save`</t>
  </si>
  <si>
    <t>**Audit from Azure Portal**
1. From Azure Home select the Portal Menu
1. Select `Microsoft Entra ID`
1. Under `Manage`, select `Groups`
1. Under `Settings`, select `General`
1. Under `Self Service Group Management`, ensure that `Restrict user ability to access groups features in My Groups` is set to `Yes`</t>
  </si>
  <si>
    <t>https://learn.microsoft.com/en-us/entra/identity/users/groups-self-service-management: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</si>
  <si>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`Restrict user ability to access groups features in the Access Pane` is set to `No`</t>
  </si>
  <si>
    <t>5.19</t>
  </si>
  <si>
    <t>Ensure that 'Users can create security groups in Azure portals, API or PowerShell' is set to 'No'</t>
  </si>
  <si>
    <t>Restrict security group creation to administrators only.</t>
  </si>
  <si>
    <t>When creating security groups is enabled, all users in the directory are allowed to create new security groups and add members to those groups. Unless a business requires this day-to-day delegation, security group creation should be restricted to administrators only.</t>
  </si>
  <si>
    <t>Enabling this setting could create a number of requests that would need to be managed by an administrator.</t>
  </si>
  <si>
    <t>**Remediate from Azure Portal**
1. From Azure Home select the Portal Menu
1. Select `Microsoft Entra ID`
1. Under `Manage`, select `Groups`
1. Under `Settings`, select `General`
1. Under `Security Groups`, set `Users can create security groups in Azure portals, API or PowerShell` to `No`
1. Click `Save`</t>
  </si>
  <si>
    <t>**Audit from Azure Portal**
1. From Azure Home select the Portal Menu
1. Select `Microsoft Entra ID`
1. Under `Manage`, select `Groups`
1. Under `Settings`, select `General`
1. Under `Security Groups`, ensure that `Users can create security groups in Azure portals, API or PowerShell` is set to `No`</t>
  </si>
  <si>
    <t>https://learn.microsoft.com/en-us/entra/identity/users/groups-self-service-management#making-a-group-available-for-end-user-self-service: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</si>
  <si>
    <t>By default, `Users can create security groups in Azure portals, API or PowerShell` is set to `Yes`</t>
  </si>
  <si>
    <t>5.20</t>
  </si>
  <si>
    <t>Ensure that 'Owners can manage group membership requests in My Groups' is set to 'No'</t>
  </si>
  <si>
    <t>Restrict security group management to administrators only.</t>
  </si>
  <si>
    <t>Restricting security group management to administrators only prohibits users from making changes to security groups. This ensures that security groups are appropriately managed and their management is not delegated to non-administrators.</t>
  </si>
  <si>
    <t>Group Membership for user accounts will need to be handled by Admins and cause administrative overhead.</t>
  </si>
  <si>
    <t>**Remediate from Azure Portal**
1. From Azure Home select the Portal Menu
1. Select `Microsoft Entra ID`
1. Under `Manage`, select `Groups`
1. Under `Settings`, select `General`
1. Under `Self Service Group Management`, set `Owners can manage group membership requests in My Groups` to `No`
1. Click `Save`</t>
  </si>
  <si>
    <t>**Audit from Azure Portal**
1. From Azure Home select the Portal Menu
1. Select `Microsoft Entra ID`
1. Under `Manage`, select `Groups`
1. Under `Settings`, select `General`
1. Under `Self Service Group Management`, ensure that `Owners can manage group membership requests in My Groups` is set to `No`</t>
  </si>
  <si>
    <t>https://learn.microsoft.com/en-us/entra/identity/users/groups-self-service-management#making-a-group-available-for-end-user-self-service:https://learn.microsoft.com/en-us/security/benchmark/azure/mcsb-privileged-access#pa-1-separate-and-limit-highly-privilegedadministrative-users:https://learn.microsoft.com/en-us/security/benchmark/azure/mcsb-privileged-access#pa-3-manage-lifecycle-of-identities-and-entitlements:https://learn.microsoft.com/en-us/security/benchmark/azure/mcsb-privileged-access#pa-8-determine-access-process-for-cloud-provider-support:https://learn.microsoft.com/en-us/security/benchmark/azure/mcsb-governance-strategy#gs-2-define-and-implement-enterprise-segmentationseparation-of-duties-strategy:https://learn.microsoft.com/en-us/security/benchmark/azure/mcsb-governance-strategy#gs-6-define-and-implement-identity-and-privileged-access-strategy</t>
  </si>
  <si>
    <t>By default, `Owners can manage group membership requests in My Groups` is set to `No`.</t>
  </si>
  <si>
    <t>5.21</t>
  </si>
  <si>
    <t>Ensure that 'Users can create Microsoft 365 groups in Azure portals, API or PowerShell' is set to 'No'</t>
  </si>
  <si>
    <t>Restrict Microsoft 365 group creation to administrators only.</t>
  </si>
  <si>
    <t>Restricting Microsoft 365 group creation to administrators only ensures that creation of Microsoft 365 groups is controlled by the administrator. Appropriate groups should be created and managed by the administrator and group creation rights should not be delegated to any other user.</t>
  </si>
  <si>
    <t>**Remediate from Azure Portal**
1. From Azure Home select the Portal Menu
1. Select `Microsoft Entra ID`
1. Under `Manage`, select `Groups`
1. Under `Settings`, select `General`
1. Under `Microsoft 365 Groups`, set `Users can create Microsoft 365 groups in Azure portals, API or PowerShell` to `No`
1. Click `Save`</t>
  </si>
  <si>
    <t>**Audit from Azure Portal**
1. From Azure Home select the Portal Menu
1. Select `Microsoft Entra ID`
1. Under `Manage`, select `Groups`
1. Under `Settings`, select `General`
1. Under `Microsoft 365 Groups`, ensure that `Users can create Microsoft 365 groups in Azure portals, API or PowerShell` is set to `No`</t>
  </si>
  <si>
    <t>https://learn.microsoft.com/en-us/microsoft-365/solutions/manage-creation-of-groups:https://learn.microsoft.com/en-us/security/benchmark/azure/mcsb-governance-strategy#gs-6-define-and-implement-identity-and-privileged-access-strategy:https://learn.microsoft.com/en-us/security/benchmark/azure/mcsb-governance-strategy#gs-2-define-and-implement-enterprise-segmentationseparation-of-duties-strategy:https://learn.microsoft.com/en-us/security/benchmark/azure/mcsb-privileged-access#pa-1-separate-and-limit-highly-privilegedadministrative-users:https://learn.microsoft.com/en-us/security/benchmark/azure/mcsb-privileged-access#pa-3-manage-lifecycle-of-identities-and-entitlements</t>
  </si>
  <si>
    <t>By default, `Users can create Microsoft 365 groups in Azure portals, API or PowerShell` is set to `Yes`.</t>
  </si>
  <si>
    <t>5.24</t>
  </si>
  <si>
    <t>Ensure that a custom role is assigned permissions for administering resource locks</t>
  </si>
  <si>
    <t>Resource locking is a powerful protection mechanism that can prevent inadvertent modification or deletion of resources within Azure subscriptions and resource groups, and it is a recommended NIST configuration.</t>
  </si>
  <si>
    <t>Given that the resource lock functionality is outside of standard Role-Based Access Control (RBAC), it would be prudent to create a resource lock administrator role to prevent inadvertent unlocking of resources.</t>
  </si>
  <si>
    <t>By adding this role, specific permissions may be granted for managing only resource locks rather than needing to provide the broad Owner or User Access Administrator role, reducing the risk of the user being able to cause unintentional damage.</t>
  </si>
  <si>
    <t>**Remediate from Azure Portal**
1. In the Azure portal, navigate to a subscription or resource group.
1. Click `Access control (IAM)`.
1. Click `+ Add`.
1. Click `Add custom role`.
1. In the `Custom role name` field enter `Resource Lock Administrator`.
1. In the `Description` field enter `Can Administer Resource Locks`.
1. For `Baseline permissions` select `Start from scratch`.
1. Click `Next`.
1. Click `Add permissions`.
1. In the `Search for a permission` box, type `Microsoft.Authorization/locks`.
1. Click the result.
1. Check the box next to `Permission`.
1. Click `Add`.
1. Click `Review + create`.
1. Click `Create`.
1. Click `OK`.
1. Click `+ Add`.
1. Click `Add role assignment`.
1. In the `Search by role name, description, permission, or ID` box, type `Resource Lock Administrator`.
1. Select the role.
1. Click `Next`.
1. Click `+ Select members`.
1. Select appropriate members.
1. Click `Select`.
1. Click `Review + assign`.
1. Click `Review + assign` again.
1. Repeat steps 1-26 for each subscription or resource group requiring remediation.
**Remediate from PowerShell:**
Below is a PowerShell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</si>
  <si>
    <t>**Audit from Azure Portal**
1. In the Azure portal, navigate to a subscription or resource group.
1. Click `Access control (IAM)`.
1. Click `Roles`.
1. Click `Type : All`.
1. Click to view the drop-down menu.
1. Select `Custom role`.
1. Click `View` in the `Details` column of a custom role.
1. Review the role permissions.
1. Click `Assignments` and review the assignments.
1. Click the `X` to exit the custom role details page.
1. Repeat steps 7-10. Ensure that at least one custom role exists that assigns the `Microsoft.Authorization/locks` permission to appropriate members.
1. Repeat steps 1-11 for each subscription or resource group.</t>
  </si>
  <si>
    <t>https://learn.microsoft.com/en-us/azure/role-based-access-control/custom-roles:https://learn.microsoft.com/en-us/azure/role-based-access-control/check-access:https://learn.microsoft.com/en-us/security/benchmark/azure/mcsb-privileged-access#pa-1-separate-and-limit-highly-privilegedadministrative-users:https://learn.microsoft.com/en-us/security/benchmark/azure/mcsb-privileged-access#pa-7-follow-just-enough-administration-least-privilege-principle:https://learn.microsoft.com/en-us/security/benchmark/azure/mcsb-privileged-access#pa-3-manage-lifecycle-of-identities-and-entitlements:https://learn.microsoft.com/en-us/security/benchmark/azure/mcsb-governance-strategy#gs-2-define-and-implement-enterprise-segmentationseparation-of-duties-strategy:https://learn.microsoft.com/en-us/security/benchmark/azure/mcsb-governance-strategy#gs-6-define-and-implement-identity-and-privileged-access-strategy</t>
  </si>
  <si>
    <t>A role for administering resource locks does not exist by default.</t>
  </si>
  <si>
    <t>5.25</t>
  </si>
  <si>
    <t>Ensure that 'Subscription leaving Microsoft Entra tenant' and 'Subscription entering Microsoft Entra tenant' is set to 'Permit no one'</t>
  </si>
  <si>
    <t>Users who are set as subscription owners are able to make administrative changes to the subscriptions and move them into and out of Microsoft Entra ID.</t>
  </si>
  <si>
    <t>Permissions to move subscriptions in and out of a Microsoft Entra tenant must only be given to appropriate administrative personnel. A subscription that is moved into a Microsoft Entra tenant may be within a folder to which other users have elevated permissions. This prevents loss of data or unapproved changes of the objects within by potential bad actors.</t>
  </si>
  <si>
    <t>Subscriptions will need to have these settings turned off to be moved.</t>
  </si>
  <si>
    <t>**Remediate from Azure Portal**
1. From the Azure Portal Home select the portal menu
1. Select `Subscriptions`
1. In the `Advanced options` drop-down menu, select `Manage Policies`
1. Set `Subscription leaving Microsoft Entra tenant` and `Subscription entering Microsoft Entra tenant` to `Permit no one`
1. Click `Save changes`</t>
  </si>
  <si>
    <t>**Audit from Azure Portal**
1. From the Azure Portal Home select the portal menu
1. Select `Subscriptions`
1. In the `Advanced options` drop-down menu, select `Manage Policies`
1. Ensure `Subscription leaving Microsoft Entra tenant` and `Subscription entering Microsoft Entra tenant` are set to `Permit no one`</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</si>
  <si>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account.;TITLE:Establish an Access Granting Process CONTROL:v8 6.1 DESCRIPTION:Establish and follow a process, preferably automated, for granting access to enterprise assets upon new hire, rights grant, or role change of a user.;TITLE:Establish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</si>
  <si>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learn.microsoft.com/en-us/azure/cost-management-billing/manage/manage-azure-subscription-policy:https://learn.microsoft.com/en-us/entra/fundamentals/how-subscriptions-associated-directory:https://learn.microsoft.com/en-us/security/benchmark/azure/mcsb-identity-management#im-2-protect-identity-and-authentication-systems</t>
  </si>
  <si>
    <t>By default `Subscription leaving Microsoft Entra tenant` and `Subscription entering Microsoft Entra tenant` are set to `Allow everyone (default)`</t>
  </si>
  <si>
    <t>5.28</t>
  </si>
  <si>
    <t>Ensure passwordless authentication methods are considered</t>
  </si>
  <si>
    <t>Passwordless authentication methods improve security and user experience by replacing passwords with something you have (e.g., a hardware key), something you are (biometrics), or something you know, offering a convenient and secure way to access resources.
Microsoft Entra ID and Azure Government integrate the following passwordless authentication options:
- Windows Hello for Business
- Platform Credential for macOS
- Platform single sign-on (PSSO) for macOS with smart card authentication
- Microsoft Authenticator
- Passkeys (FIDO2)
- Certificate-based authentication</t>
  </si>
  <si>
    <t>Using passwordless authentication makes sign-in easier and more secure by removing passwords, helping to protect organizations from attacks and improving the user experience.</t>
  </si>
  <si>
    <t>Implementing passwordless authentication requires administrative effort and may incur costs for some methods. It has the potential to save time and money by improving user convenience and productivity and by reducing the need for password support.</t>
  </si>
  <si>
    <t>1. Review the passwordless authentication method options: https://learn.microsoft.com/en-us/entra/identity/authentication/concept-authentication-passwordless.
1. Choose a passwordless authentication method: https://learn.microsoft.com/en-us/entra/identity/authentication/concept-authentication-passwordless#choose-a-passwordless-method.
1. Implement the chosen passwordless authentication method.
 1. Microsoft Authenticator: https://learn.microsoft.com/en-us/entra/identity/authentication/how-to-enable-authenticator-passkey.
 1. Passkeys (FIDO2): https://learn.microsoft.com/en-us/entra/identity/authentication/how-to-enable-passkey-fido2.</t>
  </si>
  <si>
    <t>**Audit from Azure Portal**
1. Go to `Microsoft Entra ID`.
1. Click `Authentication methods`.
1. Under `Manage`, click `Policies`.
1. If appropriate for your organization, ensure a passwordless authentication method policy is configured.</t>
  </si>
  <si>
    <t>TITLE:Require MFA for Administrative Access CONTROL:v8 6.5 DESCRIPTION:Require MFA for all administrative access accounts, where supported, on all enterprise assets, whether managed on-site or through a third-party provider.;TITLE:Require Multi-factor Authentication CONTROL:v7 16.3 DESCRIPTION:Require multi-factor authentication for all user accounts, on all systems, whether managed onsite or by a third-party provider.;</t>
  </si>
  <si>
    <t>https://learn.microsoft.com/en-us/entra/identity/authentication/concept-authentication-methods:https://learn.microsoft.com/en-us/entra/identity/authentication/concept-authentication-passwordless</t>
  </si>
  <si>
    <t>Passwordless authentication is not enabled by default.</t>
  </si>
  <si>
    <t>5.2.1</t>
  </si>
  <si>
    <t>Ensure that 'trusted locations' are defined</t>
  </si>
  <si>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</si>
  <si>
    <t>Defining trusted source IP addresses or ranges helps organizations create and enforce Conditional Access policies around those trusted or untrusted IP addresses and ranges. Users authenticating from trusted IP addresses and/or ranges may have less access restrictions or access requirements when compared to users that try to authenticate to Microsoft Entra ID from untrusted locations or untrusted source IP addresses/ranges.
Note on Assessment Status: Because the determination of entities to be included or excluded is specific and unique to each organization, assessment status for this recommendation is considered 'Manual' even though some elements for automation (CLI, PowerShell) are provided.</t>
  </si>
  <si>
    <t>When configuring `Named locations`, the organization can create locations using Geographical location data or by defining source IP addresses or ranges. Configuring `Named locations` using a Country location does not provide the organization the ability to mark those locations as trusted, and any Conditional Access policy relying on those `Countries location` setting will not be able to use the `All trusted locations` setting within the Conditional Access policy. They instead will have to rely on the `Select locations` setting. This may add additional resource requirements when configuring and will require thorough organizational testing.
In general, Conditional Access policies may completely prevent users from authenticating to Microsoft Entra ID, and thorough testing is recommended. To avoid complete lockout, a 'Break Glass' account with full Global Administrator rights is recommended in the event all other administrators are locked out of authenticating to Microsoft Entra ID. This 'Break Glass' account should be excluded from Conditional Access Policies and should be configured with the longest pass phrase feasible in addition to a FIDO2 security key or certificate kept in a very secure physical location. This account should only be used in the event of an emergency and complete administrator lockout.
**NOTE:** Starting July 2024, Microsoft will begin requiring MFA for All Users - including Break Glass Accounts. Physical FIDO2 security keys, or a certificate kept on secure removable storage can fulfill this MFA requirement. If opting for a physical device, that device should be kept in a very secure, documented physical location.</t>
  </si>
  <si>
    <t>**Remediate from Azure Portal**
1. In the Azure Portal, navigate to `Microsoft Entra ID`
1. Under `Manage`, click `Security`
1. Under `Protect`, click `Conditional Access`
1. Under `Manage`, click `Named locations`
1. Within the `Named locations` blade, click on `IP ranges location`
1. Enter a name for this location setting in the `Name` text box
1. Click on the `+` sign
1. Add an IP Address Range in CIDR notation inside the text box that appears
1. Click on the `Add` button
1. Repeat steps 7 through 9 for each IP Range that needs to be added
1. If the information entered are trusted ranges, select the `Mark as trusted location` check box
1. Once finished, click on `Create`
**Remediate from PowerShell**
Create a new trusted IP-based Named location policy
```
[System.Collections.Generic.List`1[Microsoft.Open.MSGraph.Model.IpRange]]$ipRanges = @()
$ipRanges.Add("&lt;first IP range in CIDR notation&gt;")
$ipRanges.Add("&lt;second IP range in CIDR notation&gt;")
$ipRanges.Add("&lt;third IP range in CIDR notation&gt;")
New-MgIdentityConditionalAccessNamedLocation -dataType "#microsoft.graph.ipNamedLocation" -DisplayName "&lt;name of IP Named location policy&gt;" -IsTrusted $true -IpRanges $ipRanges
```
Set an existing IP-based Named location policy to trusted
```
Update-MgIdentityConditionalAccessNamedLocation -PolicyId "&lt;ID of the policy&gt;" -dataType "#microsoft.graph.ipNamedLocation" -IsTrusted $true
```</t>
  </si>
  <si>
    <t>**Audit from Azure Portal**
1. In the Azure Portal, navigate to `Microsoft Entra ID`
1. Under `Manage`, click `Security`
1. Under `Protect`, click `Conditional Access`
1. Under `Manage`, click `Named locations`
Ensure there are `IP ranges location` settings configured and marked as `Trusted`
**Audit from PowerShell**
```
Get-MgIdentityConditionalAccessNamedLocation
```
In the output from the above command, for each Named location group, make sure at least one entry contains the `IsTrusted` parameter with a value of `True`. Otherwise, if there is no output as a result of the above command or all of the entries contain the `IsTrusted` parameter with an empty value, a `NULL` value, or a value of `False`, the results are out of compliance with this check.</t>
  </si>
  <si>
    <t>TITLE:Centralize Access Control CONTROL:v8 6.7 DESCRIPTION:Centralize access control for all enterprise assets through a directory service or SSO provider, where supported.;TITLE:Establish and Maintain a Secure Network Architecture CONTROL:v8 12.2 DESCRIPTION:Establish and maintain a secure network architecture. A secure network architecture must address segmentation, least privilege, and availability, at a minimum.;TITLE:Maintain Standard Security Configurations for Network Devices CONTROL:v7 11.1 DESCRIPTION:Maintain standard, documented security configuration standards for all authorized network devices.;</t>
  </si>
  <si>
    <t>https://learn.microsoft.com/en-us/entra/identity/conditional-access/concept-assignment-network:https://learn.microsoft.com/en-us/security/benchmark/azure/mcsb-identity-management#im-7-restrict-resource-access-based-on--conditions:https://learn.microsoft.com/en-us/entra/identity/role-based-access-control/security-emergency-access</t>
  </si>
  <si>
    <t>By default, no locations are configured under the `Named locations` blade within the Microsoft Entra ID Conditional Access blade.</t>
  </si>
  <si>
    <t>5.2.2</t>
  </si>
  <si>
    <t>Ensure that an exclusionary geographic Conditional Access policy is considered</t>
  </si>
  <si>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</si>
  <si>
    <t>Conditional Access, when used as a deny list for the tenant or subscription, is able to prevent ingress or egress of traffic to countries that are outside of the scope of interest (e.g.: customers, suppliers) or jurisdiction of an organization. This is an effective way to prevent unnecessary and long-lasting exposure to international threats such as APTs.
Note on Assessment Status: Because the determination of entities to be included or excluded is specific and unique to each organization, assessment status for this recommendation is considered 'Manual' even though some elements for automation (CLI, PowerShell) are provided.</t>
  </si>
  <si>
    <t>Microsoft Entra ID P1 or P2 is required. Limiting access geographically will deny access to users that are traveling or working remotely in a different part of the world. A point-to-site or site to site tunnel such as a VPN is recommended to address exceptions to geographic access policies.</t>
  </si>
  <si>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and service accounts (**NOTE**: Service accounts are excluded here because service accounts are non-interactive and cannot complete MFA)
1. Under `Assignments`, select `Target resources` then:
 - Under `Include`, select `All cloud apps`
 - Leave `Exclude` blank unless you have a well defined exception
1. Under `Conditions`, select `Locations` then:
 - Select `Include`, then add entries for locations for those that should be **blocked**
 - Select `Exclude`, then add entries for those that should be allowed (**IMPORTANT**: Ensure that all Trusted Locations are in the `Exclude` list.)
1. Under `Access Controls`, select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legitimate locations are being blocked and investigation is needed for exception).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location origin was not blocked)
1. If the above conditions are present, navigate back to the policy name in Conditional Access and open it.
1. Toggle the policy from `Report-only` to `On`.
1. Click `Save`.
**Remediate from PowerShell**
First, set up the conditions objects values before updating an existing conditional access policy or before creating a new one. You may need to use additional PowerShell cmdlets to retrieve specific IDs such as the `Get-MgIdentityConditionalAccessNamedLocation` which outputs the `Location IDs` for use with conditional access policies.
```
$conditions = New-Object -TypeName Microsoft.Open.MSGraph.Model.ConditionalAccessConditionSet
$conditions.Applications = New-Object -TypeName Microsoft.Open.MSGraph.Model.ConditionalAccessApplicationCondition
$conditions.Applications.IncludeApplications = &lt;"All" | "Office365" | "app ID" | @("app ID 1", "app ID 2", etc...&gt;
$conditions.Applications.ExcludeApplications = &lt;"Office365" | "app ID" | @("app ID 1", "app ID 2", etc...)&gt;
$conditions.Users = New-Object -TypeName Microsoft.Open.MSGraph.Model.ConditionalAccessUserCondition
$conditions.Users.IncludeUsers = &lt;"All" | "None" | "GuestsOrExternalUsers" | "Specific User ID" | @("User ID 1", "User ID 2", etc.)&gt;
$conditions.Users.ExcludeUsers = &lt;"GuestsOrExternalUsers" | "Specific User ID" | @("User ID 1", "User ID 2", etc.)&gt;
$conditions.Users.IncludeGroups = &lt;"group ID" | "All" | @("Group ID 1", "Group ID 2", etc...)&gt;
$conditions.Users.ExcludeGroups = &lt;"group ID" | @("Group ID 1", "Group ID 2", etc...)&gt;
$conditions.Users.IncludeRoles = &lt;"Role ID" | "All" | @("Role ID 1", "Role ID 2", etc...)&gt;
$conditions.Users.ExcludeRoles = &lt;"Role ID" | @("Role ID 1", "Role ID 2", etc...)&gt;
$conditions.Locations = New-Object -TypeName Microsoft.Open.MSGraph.Model.ConditionalAccessLocationCondition
$conditions.Locations.IncludeLocations = &lt;"Location ID" | @("Location ID 1", "Location ID 2", etc...) &gt;
$conditions.Locations.ExcludeLocations = &lt;"AllTrusted" | "Location ID" | @("Location ID 1", "Location ID 2", etc...)&gt;
$controls = New-Object -TypeName Microsoft.Open.MSGraph.Model.ConditionalAccessGrantControls
$controls._Operator = "OR"
$controls.BuiltInControls = "block"
```
Next, update the existing conditional access policy with the condition set options configured with the previous commands.
```
Update-MgIdentityConditionalAccessPolicy -PolicyId &lt;policy ID&gt; -Conditions $conditions -GrantControls $controls
```
To create a new conditional access policy that complies with this best practice, run the following commands after creating the condition set above
```
New-MgIdentityConditionalAccessPolicy -Name "Policy Name" -State &lt;enabled|disabled&gt; -Conditions $conditions -GrantControls $controls
```</t>
  </si>
  <si>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`Locations`, Review the `Include` locations for those that should be **blocked**
 - Under `Conditions` &gt; `Locations`, Review the `Exclude` locations for those that should be allowed (Note: locations set up in the previous recommendation for Trusted Location should be in the `Exclude` list.)
 - Under `Access Controls` &gt; `Grant` - Confirm that `Block access` is selected.
**Audit from Azure CLI**
```
As of this writing there are no subcommands for Conditional Access Policies within the Azure CLI
```
**Audit from PowerShell**
```
$conditionalAccessPolicies = Get-MgIdentityConditionalAccessPolicy 
foreach($policy in $conditionalAccessPolicies) {$policy | Select-Object @{N='Policy ID'; E={$policy.id}}, @{N="Included Locations"; E={$policy.Conditions.Locations.IncludeLocations}}, @{N="Excluded Locations"; E={$policy.Conditions.Locations.ExcludeLocations}}, @{N="BuiltIn GrantControls"; E={$policy.GrantControls.BuiltInControls}}}
```
Make sure there is at least 1 row in the output of the above PowerShell command that contains `Block` under the `BuiltIn GrantControls` column and location IDs under the `Included Locations` and `Excluded Locations` columns. If not, a policy containing these options has not been created and is considered a finding.</t>
  </si>
  <si>
    <t>These policies should be tested by using the What If tool in the References. Setting these can and will create issues with logging in for users until they use an MFA device linked to their accounts. Further testing can also be done via the insights and reporting resource in References which monitors Azure sign ins.</t>
  </si>
  <si>
    <t>TITLE:Centralize Access Control CONTROL:v8 6.7 DESCRIPTION:Centralize access control for all enterprise assets through a directory service or SSO provider, where supported.;TITLE:Maintain an Inventory of Network Boundaries CONTROL:v7 12.1 DESCRIPTION:Maintain an up-to-date inventory of all of the organization's network boundaries.;</t>
  </si>
  <si>
    <t>https://learn.microsoft.com/en-us/entra/identity/conditional-access/policy-block-by-location:https://learn.microsoft.com/en-us/entra/identity/conditional-access/concept-conditional-access-report-only:https://learn.microsoft.com/en-us/security/benchmark/azure/mcsb-identity-management#im-7-restrict-resource-access-based-on--conditions</t>
  </si>
  <si>
    <t>This policy does not exist by default.</t>
  </si>
  <si>
    <t>5.2.3</t>
  </si>
  <si>
    <t>Ensure that an exclusionary device code flow policy is considered</t>
  </si>
  <si>
    <t>Conditional Access Policies can be used to prevent the Device code authentication flow. Device code flow should be permitted only for users that regularly perform duties that explicitly require the use of Device Code to authenticate, such as utilizing Azure with PowerShell.</t>
  </si>
  <si>
    <t>Attackers use Device code flow in phishing attacks and, if successful, results in the attacker gaining access tokens and refresh tokens which are scoped to "user_impersonation", which can perform any action the user has permission to perform.</t>
  </si>
  <si>
    <t>Microsoft Entra ID P1 or P2 is required. 
This policy should be tested using the `Report-only mode` before implementation. Without a full and careful understanding of the accounts and personnel who require Device code authentication flow, implementing this policy can block authentication for users and devices who rely on Device code flow. For users and devices that rely on device code flow authentication, more secure alternatives should be implemented wherever possible.</t>
  </si>
  <si>
    <t>**Remediate from Azure Portal**
Part 1 of 2 - Create the policy and enable it in `Report-only` mode.
1. From Azure Home open the portal menu in the top left and select `Microsoft Entra ID`.
1. Scroll down in the menu on the left and select `Security`.
1. Select on the left side `Conditional Access`.
1. Select `Policies`.
1. Click the `+ New policy` button, then:
1. Provide a name for the policy. 
1. Under `Assignments`, select `Users` then:
 - Under `Include`, select `All users`
 - Under `Exclude`, check Users and groups and only select emergency access accounts
1. Under `Assignments`, select `Target resources` then:
 - Under `Include`, select `All cloud apps`
 - Leave `Exclude` blank unless you have a well defined exception
1. Under `Conditions` &gt; `Authentication Flows`, set Configure to `Yes` then:
 - Select `Device code flow`
 - Select `Done`
1. Under `Access Controls` &gt; `Grant`, select `Block Access`.
1. Set `Enable policy` to `Report-only`.
1. Click `Create`.
Allow some time to pass to ensure the sign-in logs capture relevant conditional access events. These events will need to be reviewed to determine if additional considerations are necessary for your organization (e.g. many legitimate use cases of device code authentication are observed).
**NOTE:** The policy is not yet 'live,' since `Report-only` is being used to audit the effect of the policy.
Part 2 of 2 - Confirm that the policy is not blocking access that should be granted, then toggle to `On`.
1. With your policy now in report-only mode, return to the Microsoft Entra blade and click on `Sign-in logs`.
1. Review the recent sign-in events - click an event then review the event details (specifically the `Report-only` tab) to ensure:
 - The sign-in event you're reviewing occurred **after** turning on the policy in report-only mode
 - The policy name from step 6 above is listed in the `Policy Name` column
 - The `Result` column for the new policy shows that the policy was `Not applied` (indicating the device code authentication flow was not blocked)
1. If the above conditions are present, navigate back to the policy name in Conditional Access and open it.
1. Toggle the policy from `Report-only` to `On`.
1. Click `Save`.</t>
  </si>
  <si>
    <t>**Audit from Azure Portal**
1. From Azure Home open the Portal menu in the top left and select `Microsoft Entra ID`.
1. Scroll down in the menu on the left and select `Security`.
1. Select on the left side `Conditional Access`.
1. Select `Policies`.
1. Select the policy you wish to audit, then:
 - Under `Assignments` &gt; `Users`, review the users and groups for the personnel the policy will apply to
 - Under `Assignments` &gt; `Target resources`, review the cloud apps or actions for the systems the policy will apply to
 - Under `Conditions` &gt; `Authentication Flows`, review the configuration to ensure `Device code flow` is selected
 - Under `Access Controls` &gt; `Grant` - Confirm that `Block access` is selected.</t>
  </si>
  <si>
    <t>TITLE:Establish an Access Granting Process CONTROL:v8 6.1 DESCRIPTION:Establish and follow a process, preferably automated, for granting access to enterprise assets upon new hire, rights grant, or role change of a user.;TITLE:Deny Communication over Unauthorized Ports CONTROL:v7 12.4 DESCRIPTION:Deny communication over unauthorized TCP or UDP ports or application traffic to ensure that only authorized protocols are allowed to cross the network boundary in or out of the network at each of the organization's network boundaries.;</t>
  </si>
  <si>
    <t>https://learn.microsoft.com/en-us/entra/identity/conditional-access/concept-authentication-flows#device-code-flow:https://learn.microsoft.com/en-us/security/benchmark/azure/mcsb-identity-management#im-7-restrict-resource-access-based-on--conditions:https://learn.microsoft.com/en-us/entra/identity/conditional-access/concept-conditional-access-report-only:https://learn.microsoft.com/en-us/entra/identity/conditional-access/policy-block-authentication-flows</t>
  </si>
  <si>
    <t>5.2.4</t>
  </si>
  <si>
    <t>Ensure that a multifactor authentication policy exists for all users</t>
  </si>
  <si>
    <t>A Conditional Access policy can be enabled to ensure that users are required to use Multifactor Authentication (MFA) to login.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</si>
  <si>
    <t>Multifactor authentication is strongly recommended to increase the confidence that a claimed identity can be proven to be the subject of the identity. This results in a stronger authentication chain and reduced likelihood of exploitation.</t>
  </si>
  <si>
    <t>There is an increased cost associated with Conditional Access policies because of the requirement of Microsoft Entra ID P1 or P2 licenses. Additional support overhead may also need to be considered.</t>
  </si>
  <si>
    <t>**Remediate from Azure Portal**
1. From Azure Home open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`Grant`.
1. Under `Grant access`, check `Require multifactor authentication` and click `Select`.
1. Set `Enable policy` to `Report-only`.
1. Click `Create`.
After testing the policy in report-only mode, update the `Enable policy` setting from `Report-only` to `On`.</t>
  </si>
  <si>
    <t>**Audit from Azure Portal**
1. From Azure Home open the Portal Menu in the top left, and select `Microsoft Entra ID`.
1. Scroll down in the menu on the left, and select `Security`.
1. Select on the left side `Conditional Access`.
1. Select `Policies`.
1. Select the policy you wish to audit.
1. Click the blue text under `Users`.
1. Under `Include` ensure that `All Users` is specified.
1. Under `Exclude` ensure that no users or groups are specified. If there are users or groups specified for exclusion, a very strong justification should exist for each exception, and all excepted account-level objects should be recorded in documentation along with the justification for comparison in future audits.</t>
  </si>
  <si>
    <t>These policies should be tested by using the What If tool in the References. Setting these can and will create issues with logging in for users until they use an MFA device linked to their accounts. Further testing can also be done via the insights and reporting resource in the References which monitors Azure sign ins.</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</si>
  <si>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access.;TITLE:Use Multifactor Authentication For All Administrative Access CONTROL:v7 4.5 DESCRIPTION:Use multi-factor authentication and encrypted channels for all administrative account access.;TITLE:Require Multi-factor Authentication CONTROL:v7 16.3 DESCRIPTION:Require multi-factor authentication for all user accounts, on all systems, whether managed onsite or by a third-party provider.;</t>
  </si>
  <si>
    <t>https://learn.microsoft.com/en-us/entra/identity/conditional-access/policy-all-users-mfa-strength: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t>
  </si>
  <si>
    <t>Starting October 2024, MFA will be required for all accounts by default.</t>
  </si>
  <si>
    <t>5.2.5</t>
  </si>
  <si>
    <t>Ensure that multifactor authentication is required for risky sign-ins</t>
  </si>
  <si>
    <t>Entra ID tracks the behavior of sign-in events. If the Entra ID domain is licensed with P2, the sign-in behavior can be used as a detection mechanism for additional scrutiny during the sign-in event. If this policy is set up, then Risky Sign-in events will prompt users to use multi-factor authentication (MFA) tokens on login for additional verification.</t>
  </si>
  <si>
    <t>Enabling multi-factor authentication is a recommended setting to limit the potential of accounts being compromised and limiting access to authenticated personnel. Enabling this policy allows Entra ID's risk-detection mechanisms to force additional scrutiny on the login event, providing a deterrent response to potentially malicious sign-in events, and adding an additional authentication layer as a reaction to potentially malicious behavior.</t>
  </si>
  <si>
    <t>Risk Policies for Conditional Access require Microsoft Entra ID P2. Additional overhead to support or maintain these policies may also be required if users lose access to their MFA tokens.</t>
  </si>
  <si>
    <t>**Remediate from Azure Portal** 
1. From Azure Home select the Portal Menu in the top left and select `Microsoft Entra ID`.
1. Select `Security`
1. Select `Conditional Access`.
1. Select `Policies`.
1. Click `+ New policy`.
1. Enter a name for the policy.
1. Click the blue text under `Users`.
1. Under `Include`, select `All users`.
1. Under `Exclude`, check `Users and groups`.
1. Select users this policy should not apply to and click `Select`.
1. Click the blue text under `Target resources`.
1. Select `All cloud apps`.
1. Click the blue text under `Conditions`.
1. Select `Sign-in risk`.
1. Update the `Configure` toggle to `Yes`.
1. Check the sign-in risk level this policy should apply to, e.g. `High` and `Medium`.
1. Select `Done`.
1. Click the blue text under `Grant` and check `Require multifactor authentication` then click the `Select` button.
1. Click the blue text under `Session` then check `Sign-in frequency` and select `Every time` and click the `Select` button. 
1. Set `Enable policy` to `Report-only`.
1. Click `Create`.
After testing the policy in report-only mode, update the `Enable policy` setting from `Report-only` to `On`.</t>
  </si>
  <si>
    <t>**Audit from Azure Portal**
1. From Azure Home select the Portal Menu in the top left and select `Microsoft Entra ID`.
1. Select `Security`.
1. Select on the left side `Conditional Access`.
1. Select `Policies`.
1. Select the policy you wish to audit.
1. Click the blue text under `Users`.
1. View under `Include` the corresponding users and groups to whom the policy is applied.
1. View under `Exclude` to determine which users and groups to whom the policy is not applied.</t>
  </si>
  <si>
    <t>These policies should be tested by using the What If tool in the References. Setting these can and will create issues with logging in for users until they use an MFA device linked to their accounts. Further testing can also be done via the insights and reporting resource the in References which monitors Azure sign ins.</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</si>
  <si>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access.;TITLE:Centralize Access Control CONTROL:v8 6.7 DESCRIPTION:Centralize access control for all enterprise assets through a directory service or SSO provider, where supported.;TITLE:Require Multi-factor Authentication CONTROL:v7 16.3 DESCRIPTION:Require multi-factor authentication for all user accounts, on all systems, whether managed onsite or by a third-party provider.;</t>
  </si>
  <si>
    <t>https://learn.microsoft.com/en-us/entra/identity/conditional-access/policy-risk-based-sign-in:https://learn.microsoft.com/en-us/entra/identity/conditional-access/troubleshoot-conditional-access-what-if:https://learn.microsoft.com/en-us/entra/identity/conditional-access/howto-conditional-access-insights-reporting:https://learn.microsoft.com/en-us/security/benchmark/azure/mcsb-identity-management#im-7-restrict-resource-access-based-on--conditions:https://learn.microsoft.com/en-us/entra/id-protection/overview-identity-protection#license-requirements</t>
  </si>
  <si>
    <t>MFA is not enabled by default.</t>
  </si>
  <si>
    <t>5.2.6</t>
  </si>
  <si>
    <t>Ensure that multifactor authentication is required for Windows Azure Service Management API</t>
  </si>
  <si>
    <t>This recommendation ensures that users accessing the Windows Azure Service Management API (i.e. Azure Powershell, Azure CLI, Azure Resource Manager API, etc.) are required to use multi-factor authentication (MFA) credentials when accessing resources through the Windows Azure Service Management API.</t>
  </si>
  <si>
    <t>Administrative access to the Windows Azure Service Management API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the Azure Service Management API.</t>
  </si>
  <si>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regularly reviewed or investigated.</t>
  </si>
  <si>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`Windows Azure Service Management APIs`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</si>
  <si>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that the `Select apps` radio button is selected.
1. Under `Select`, ensure that `Windows Azure Service Management API` is listed.</t>
  </si>
  <si>
    <t>These policies should be tested by using the What If tool in the References. Setting these can and will create issues with administrators changing settings until they use an MFA device linked to their accounts. An emergency access account is recommended for this eventuality if all administrators are locked out. Please see the documentation in the references for further information. Similarly further testing can also be done via the insights and reporting resource in References which monitors Azure sign ins.</t>
  </si>
  <si>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zure-mgmt:https://learn.microsoft.com/en-us/entra/identity/conditional-access/concept-conditional-access-cloud-apps#windows-azure-service-management-api</t>
  </si>
  <si>
    <t>MFA is not enabled by default for administrative actions.</t>
  </si>
  <si>
    <t>5.2.7</t>
  </si>
  <si>
    <t>Ensure that multifactor authentication is required to access Microsoft Admin Portals</t>
  </si>
  <si>
    <t>This recommendation ensures that users accessing Microsoft Admin Portals (i.e. Microsoft 365 Admin, Microsoft 365 Defender, Exchange Admin Center, Azure Portal, etc.) are required to use multi-factor authentication (MFA) credentials when logging into an Admin Portal.</t>
  </si>
  <si>
    <t>Administrative Portals for Microsoft Azure should be secured with a higher level of scrutiny to authenticating mechanisms. Enabling multi-factor authentication is recommended to reduce the potential for abuse of Administrative actions, and to prevent intruders or compromised admin credentials from changing administrative settings.
**IMPORTANT**: While this recommendation allows exceptions to specific Users or Groups, they should be very carefully tracked and reviewed for necessity on a regular interval through an Access Review process. It is important that this rule be built to include "All Users" to ensure that all users not specifically excepted will be required to use MFA to access Admin Portals.</t>
  </si>
  <si>
    <t>Conditional Access policies require Microsoft Entra ID P1 or P2 licenses. Similarly, they may require additional overhead to maintain if users lose access to their MFA. Any users or groups which are granted an exception to this policy should be carefully tracked, be granted only minimal necessary privileges, and conditional access exceptions should be reviewed or investigated.</t>
  </si>
  <si>
    <t>**Remediate from Azure Portal**
1. From the Azure Admin Portal dashboard, open `Microsoft Entra ID`.
1. Click `Security` in the Entra ID blade.
1. Click `Conditional Access` in the Security blade.
1. Click `Policies` in the Conditional Access blade.
1. Click `+ New policy`.
1. Enter a name for the policy.
1. Click the blue text under `Users`.
1. Under `Include`, select `All users`.
1. Under `Exclude`, check `Users and groups`.
1. Select users or groups to be exempted from this policy (e.g. break-glass emergency accounts, and non-interactive service accounts) then click the `Select` button.
1. Click the blue text under `Target resources`.
1. Under `Include`, click the `Select apps` radio button.
1. Click the blue text under `Select`.
1. Check the box next to `Microsoft Admin Portals` then click the `Select` button.
1. Click the blue text under `Grant`.
1. Under `Grant access` check the box for `Require multifactor authentication` then click the `Select` button.
1. Before creating, set `Enable policy` to `Report-only`.
1. Click `Create`.
After testing the policy in report-only mode, update the `Enable policy` setting from `Report-only` to `On`.</t>
  </si>
  <si>
    <t>**Audit from Azure Portal**
1. From the Azure Admin Portal dashboard, open `Microsoft Entra ID`.
1. In the menu on the left of the Entra ID blade, click `Security`.
1. In the menu on the left of the Security blade, click `Conditional Access`.
1. In the menu on the left of the Conditional Access blade, click `Policies`.
1. Click on the name of the policy you wish to audit.
1. Click the blue text under `Users`.
1. Under the `Include` section of Users, review `Users and Groups` to ensure that `All Users` is selected.
1. Under the `Exclude` section of Users, review the `Users and Groups` that are excluded from the policy (NOTE: this should be limited to break-glass emergency access accounts, non-interactive service accounts, and other carefully considered exceptions).
1. On the left side, click the blue text under `Target Resources`.
1. Under the `Include` section of Target resources, ensure the `Select apps` radio button is selected.
1. Under `Select`, ensure `Microsoft Admin Portals` is listed.</t>
  </si>
  <si>
    <t>https://learn.microsoft.com/en-us/security/benchmark/azure/mcsb-identity-management#im-7-restrict-resource-access-based-on--conditions:https://learn.microsoft.com/en-us/entra/identity/conditional-access/concept-conditional-access-users-groups:https://learn.microsoft.com/en-us/entra/identity/conditional-access/policy-old-require-mfa-admin-portals</t>
  </si>
  <si>
    <t>5.2.8</t>
  </si>
  <si>
    <t>Ensure a Token Protection Conditional Access policy is considered</t>
  </si>
  <si>
    <t>This recommendation ensures that issued tokens are only issued to the intended device.</t>
  </si>
  <si>
    <t>When properly configured, conditional access can aid in preventing attacks involving token theft, via hijacking or reply, as part of the attack flow. Although currently considered a rare event, the impact from token impersonation can be severe.</t>
  </si>
  <si>
    <t>A Microsoft Entra ID P1 or P2 license is required.
Start with a Conditional Access policy in "Report Only" mode prior to enforcing for all users.</t>
  </si>
  <si>
    <t>**Remediate from Azure Portal**
1. Sign in to the Microsoft Entra admin center as at least a `Conditional Access Administrator`.
1. Browse to `Protection` &gt; `Conditional Access` &gt; `Policies`.
1. Select `New policy`.
1. Give your policy a name. 
1. Under `Assignments`, select `Users or workload identities`.
 1. Under `Include`, select the users or groups to apply this policy.
 1. Under `Exclude`, select Users and groups and choose your organization's emergency access or break-glass accounts (if applicable).
1. Under `Target resources` &gt; `Resources` &gt; `Include` &gt; `Select resources`
 1. Under `Select`, select the following applications:
 1. Office 365 Exchange Online
 1. Office 365 SharePoint Online
 1. Choose `Select`
1. Under `Conditions`:
 1. Under `Device platforms`
 1. Set `Configure` to `Yes`.
 1. `Include` &gt; `Select device platforms` &gt; `Windows`.
 1. Select `Done`.
 1. Under `Client apps`:
 1. Set `Configure` to `Yes`
 1. Under Modern authentication clients, only select `Mobile apps and desktop clients`.
 1. Select `Done`
1. Under `Access controls` &gt; `Session`, select `Require token protection for sign-in sessions` and select `Select`.
1. Confirm your settings and set Enable policy to `On`.
1. Select `Create` to enable your policy.</t>
  </si>
  <si>
    <t>**Audit from Azure Portal**
1. Sign in to the Microsoft Entra admin center as at least a `Conditional Access Administrator`.
1. Browse to `Protection` &gt; `Conditional Access` &gt; `Policies`.
1. Review existing policies to ensure that at least one policy contains the following configuration:
4. Under `Assignments`, review `Users or workload identities` and
 - Under `Include`, ensure the scope of the users or groups is appropriate for your organization
 - Under `Exclude`, ensure only necessary users and groups (your organization's emergency access or break-glass accounts) are excepted.
5. Under `Target resources` &gt; `Resources` &gt; `Include` &gt; `Select resources`: Ensure that both `Office 365 Exchange Online` and `Office 365 SharePoint Online` are selected.
6. Under `Conditions` &gt; `Device Platforms`: Ensure `Configure` is set to `Yes` and `Include` indicates `Windows` platforms.
7. Under `Conditions` &gt; `Client Apps`: Ensure `Configure` is set to `Yes` and `Mobile Apps and Desktop Clients` is selected under Modern Authentication Clients
8. Under `Access controls` &gt; `Session`, ensure that `Require token protection for sign-in sessions` is selected.</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</si>
  <si>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
  </si>
  <si>
    <t>https://learn.microsoft.com/en-us/entra/identity/conditional-access/concept-token-protection:https://www.microsoft.com/en-gb/security/business/microsoft-entra-pricing</t>
  </si>
  <si>
    <t>A Token Protection Conditional Access policy does not exist by default.</t>
  </si>
  <si>
    <t>6.2</t>
  </si>
  <si>
    <t>Ensure that Resource Locks are set for Mission-Critical Azure Resources</t>
  </si>
  <si>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</si>
  <si>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</si>
  <si>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</si>
  <si>
    <t>**Remediate from Azure Portal**
1. Navigate to the specific Azure Resource or Resource Group.
2. For each mission critical resource, click on `Locks`.
3. Click `Add`.
4. Give the lock a name and a description, then select the type, `Read-only` or `Delete` as appropriate.
5. Click OK.
**Remediate from Azure CLI**
To lock a resource, provide the name of the resource, its resource type, and its resource group name.
```
az lock create --name &lt;LockName&gt; --lock-type &lt;CanNotDelete/Read-only&gt; --resource-group &lt;resourceGroupName&gt; --resource-name &lt;resourceName&gt; --resource-type &lt;resourceType&gt;
```
**Remediate from PowerShell**
```
Get-AzResourceLock -ResourceName &lt;Resource Name&gt; -ResourceType &lt;Resource Type&gt; -ResourceGroupName &lt;Resource Group Name&gt; -Locktype &lt;CanNotDelete/Read-only&gt;
```</t>
  </si>
  <si>
    <t>**Audit from Azure Portal**
1. Navigate to the specific Azure Resource or Resource Group.
2. Click on `Locks`.
3. Ensure the lock is defined with name and description, with type `Read-only` or `Delete` as appropriate.
**Audit from Azure CLI**
Review the list of all locks set currently:
```
az lock list --resource-group &lt;resourcegroupname&gt; --resource-name &lt;resourcename&gt; --namespace &lt;Namespace&gt; --resource-type &lt;type&gt; --parent ""
```
**Audit from PowerShell**
Run the following command to list all resources.
```
Get-AzResource
```
For each resource, run the following command to check for Resource Locks.
```
Get-AzResourceLock -ResourceName &lt;Resource Name&gt; -ResourceType &lt;Resource Type&gt; -ResourceGroupName &lt;Resource Group Name&gt;
```
Review the output of the `Properties` setting. Compliant settings will have the `CanNotDelete` or `ReadOnly` value.</t>
  </si>
  <si>
    <t>https://learn.microsoft.com/en-us/azure/azure-resource-manager/management/lock-resources:https://learn.microsoft.com/en-us/azure/cloud-adoption-framework/ready/landing-zone/design-area/management-platform#inventory-and-visibility-recommendations:https://learn.microsoft.com/en-us/azure/governance/blueprints/concepts/resource-locking:https://learn.microsoft.com/en-us/security/benchmark/azure/mcsb-asset-management#am-4-limit-access-to-asset-management</t>
  </si>
  <si>
    <t>By default, no locks are set.</t>
  </si>
  <si>
    <t>6.1.5</t>
  </si>
  <si>
    <t>Ensure that SKU Basic/Consumption is not used on artifacts that need to be monitored (Particularly for Production Workloads)</t>
  </si>
  <si>
    <t>The use of Basic or Free SKUs in Azure whilst cost effective have significant limitations in terms of what can be monitored and what support can be realized from Microsoft. Typically, these SKUs do not have a service SLA and Microsoft may refuse to provide support for them. Consequently Basic/Free SKUs should never be used for production workloads.
While an automated assessment procedure exists for this recommendation, the assessment status remains manual. Determining appropriate SKUs depends on the context and requirements of each organization and environment.</t>
  </si>
  <si>
    <t>Typically, production workloads need to be monitored and should have an SLA with Microsoft, using Basic SKUs for any deployed product will mean that that these capabilities do not exist.
The following resource types should use standard SKUs as a minimum.
- Public IP Addresses
- Network Load Balancers
- REDIS Cache
- SQL PaaS Databases
- VPN Gateways</t>
  </si>
  <si>
    <t>The impact of enforcing Standard SKUs is twofold
1) There will be a cost increase
2) The monitoring and service level agreements will be available and will support the production service.
All resources should be either tagged or in separate Management Groups/Subscriptions</t>
  </si>
  <si>
    <t>Each resource has its own process for upgrading from basic to standard SKUs that should be followed if required.
- Public IP Address: https://learn.microsoft.com/en-us/azure/virtual-network/ip-services/public-ip-upgrade.
- Basic Load Balancer: https://learn.microsoft.com/en-us/azure/load-balancer/load-balancer-basic-upgrade-guidance.
- Azure Cache for Redis: https://learn.microsoft.com/en-us/azure/azure-cache-for-redis/cache-how-to-scale.
- Azure SQL Database: https://learn.microsoft.com/en-us/azure/azure-sql/database/scale-resources.
- VPN Gateway: https://learn.microsoft.com/en-us/azure/vpn-gateway/gateway-sku-resize.</t>
  </si>
  <si>
    <t>This needs to be audited by Azure Policy (one for each resource type) and denied for each artifact that is production.
**Audit from Azure Portal**
1. Open `Azure Resource Graph Explorer`
1. Click `New query`
1. Paste the following into the query window:
```
Resources
| where sku contains 'Basic' or sku contains 'consumption'
| order by type
```
4. Click `Run query` then evaluate the results in the results window.
5. Ensure that no production artifacts are returned.
**Audit from Azure CLI**
```
az graph query -q "Resources | where sku contains 'Basic' or sku contains 'consumption' | order by type"
```
Alternatively, to filter on a specific resource group:
```
az graph query -q "Resources | where resourceGroup == '&lt;resourceGroupName&gt;' | where sku contains 'Basic' or sku contains 'consumption' | order by type"
```
Ensure that no production artifacts are returned. 
**Audit from PowerShell**
```
Get-AzResource | ?{ $_.Sku -EQ "Basic"}
```
Ensure that no production artifacts are returned.</t>
  </si>
  <si>
    <t>https://azure.microsoft.com/en-us/support/plans:https://azure.microsoft.com/en-us/support/plans/response/:https://learn.microsoft.com/en-us/azure/virtual-network/ip-services/public-ip-upgrade:https://learn.microsoft.com/en-us/azure/load-balancer/load-balancer-basic-upgrade-guidance:https://learn.microsoft.com/en-us/azure/azure-cache-for-redis/cache-how-to-scale:https://learn.microsoft.com/en-us/azure/azure-sql/database/scale-resources:https://learn.microsoft.com/en-us/azure/vpn-gateway/gateway-sku-resize</t>
  </si>
  <si>
    <t>Policy should enforce standard SKUs for the following artifacts:
- Public IP Addresses
- Network Load Balancers
- REDIS Cache
- SQL PaaS Databases
- VPN Gateways</t>
  </si>
  <si>
    <t>6.1.1.3</t>
  </si>
  <si>
    <t>Ensure the storage account containing the container with activity logs is encrypted with customer-managed key (CMK)</t>
  </si>
  <si>
    <t>By default in Azure, data at rest tends to be encrypted using Microsoft-managed keys. If your organization wants to control and manage encryption keys for compliance and defense-in-depth, customer-managed keys can be established.
Configuring the storage account with the activity log export container to use CMKs provides additional confidentiality controls on log data, as a given user must have read permission on the corresponding storage account and must be granted decrypt permission by the CMK.
While it is possible to automate the assessment of this recommendation, the assessment status for this recommendation remains 'Manual' due to ideally limited scope. The scope of application—which workloads CMK is applied to—should be carefully considered to account for organizational capacity and targeted to workloads with specific need for CMK.</t>
  </si>
  <si>
    <t>**Remediate from Azure Portal**
1. Go to `Monitor`.
1. Select `Activity log`.
1. Select `Export Activity Logs`.
1. Select a `Subscription`.
1. Note the name of the `Storage Account` for the diagnostic setting.
1. Navigate to `Storage accounts`.
1. Click on the storage account.
1. Under `Security + networking`, click `Encryption`.
1. Next to `Encryption type`, select `Customer-managed keys`.
1. Complete the steps to configure a customer-managed key for encryption of the storage account.
**Remediate from Azure CLI**
```
az storage account update --name &lt;name of the storage account&gt; --resource-group &lt;resource group for a storage account&gt; --encryption-key-source=Microsoft.Keyvault --encryption-key-vault &lt;Key Vault URI&gt; --encryption-key-name &lt;KeyName&gt; --encryption-key-version &lt;Key Version&gt; 
```
**Remediate from PowerShell**
```
Set-AzStorageAccount -ResourceGroupName &lt;resource group name&gt; -Name &lt;storage account name&gt; -KeyvaultEncryption -KeyVaultUri &lt;key vault URI&gt; -KeyName &lt;key name&gt;
```</t>
  </si>
  <si>
    <t>**Audit from Azure Portal**
1. Go to `Monitor`.
1. Select `Activity log`.
1. Select `Export Activity Logs`.
1. Select a `Subscription`.
1. Note the name of the `Storage Account` for the diagnostic setting.
1. Navigate to `Storage accounts`.
1. Click on the storage account name noted in Step 5.
1. Under `Security + networking`, click `Encryption`.
1. Ensure `Customer-managed keys` is selected and a key is set.
**Audit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**Audit from PowerShell**
```
Get-AzStorageAccount -ResourceGroupName &lt;resource group name&gt; -Name &lt;storage account name&gt;|select-object -ExpandProperty encryption|format-list
```
Ensure the value of `KeyVaultProperties` is not `null` or empty, and ensure `KeySource` is not set to `Microsoft.Storage`.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[fbb99e8e-e444-4da0-9ff1-75c92f5a85b2](https://portal.azure.com/#view/Microsoft_Azure_Policy/PolicyDetailBlade/definitionId/%2Fproviders%2FMicrosoft.Authorization%2FpolicyDefinitions%2Ffbb99e8e-e444-4da0-9ff1-75c92f5a85b2) **- Name:** 'Storage account containing the container with activity logs must be encrypted with BYOK'</t>
  </si>
  <si>
    <t>https://learn.microsoft.com/en-us/azure/security/fundamentals/data-encryption-best-practices#protect-data-at-rest:https://learn.microsoft.com/en-us/security/benchmark/azure/mcsb-data-protection#dp-5-use-customer-managed-key-option-in-data-at-rest-encryption-when-required:https://learn.microsoft.com/en-us/azure/azure-monitor/essentials/activity-log?tabs=cli#managing-legacy-log-profiles</t>
  </si>
  <si>
    <t>6.1.1.5</t>
  </si>
  <si>
    <t>Ensure that Network Security Group Flow logs are captured and sent to Log Analytics</t>
  </si>
  <si>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</si>
  <si>
    <t>Network Flow Logs provide valuable insight into the flow of traffic around your network and feed into both Azure Monitor and Azure Sentinel (if in use), permitting the generation of visual flow diagrams to aid with analyzing for lateral movement, etc.</t>
  </si>
  <si>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</si>
  <si>
    <t>As of June 30, 2025, creating new NSG flow logs is no longer possible. Azure recommends migrating to virtual network flow logs. Consider applying the recommendation, `Ensure that virtual network flow logs are captured and sent to Log Analytics`, from this section.</t>
  </si>
  <si>
    <t>**Audit from Azure Portal**
1. Navigate to `Network Watcher`.
1. Under `Logs`, select `Flow logs`.
1. Click `Add filter`.
1. From the `Filter` drop-down, select `Flow log type`.
1. From the `Value` drop-down, check `Network security group` only.
1. Click `Apply`.
1. Ensure that at least one network security group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[27960feb-a23c-4577-8d36-ef8b5f35e0be](https://portal.azure.com/#view/Microsoft_Azure_Policy/PolicyDetailBlade/definitionId/%2Fproviders%2FMicrosoft.Authorization%2FpolicyDefinitions%2F27960feb-a23c-4577-8d36-ef8b5f35e0be) **- Name:** 'All flow log resources should be in enabled state'
- **Policy ID:** [c251913d-7d24-4958-af87-478ed3b9ba41](https://portal.azure.com/#view/Microsoft_Azure_Policy/PolicyDetailBlade/definitionId/%2Fproviders%2FMicrosoft.Authorization%2FpolicyDefinitions%2Fc251913d-7d24-4958-af87-478ed3b9ba41) **- Name:** 'Flow logs should be configured for every network security group'
- **Policy ID:** [4c3c6c5f-0d47-4402-99b8-aa543dd8bcee](https://portal.azure.com/#view/Microsoft_Azure_Policy/PolicyDetailBlade/definitionId/%2Fproviders%2FMicrosoft.Authorization%2FpolicyDefinitions%2F4c3c6c5f-0d47-4402-99b8-aa543dd8bcee) **- Name:** 'Flow logs should be configured for every virtual network'</t>
  </si>
  <si>
    <t>TITLE:Collect Network Traffic Flow Logs CONTROL:v8 13.6 DESCRIPTION:Collect network traffic flow logs and/or network traffic to review and alert upon from network devices.;TITLE:Deploy NetFlow Collection on Networking Boundary Devices CONTROL:v7 12.8 DESCRIPTION:Enable the collection of NetFlow and logging data on all network boundary devices.;</t>
  </si>
  <si>
    <t>https://learn.microsoft.com/en-us/azure/network-watcher/nsg-flow-logs-tutorial:https://learn.microsoft.com/en-us/security/benchmark/azure/mcsb-logging-threat-detection#lt-4-enable-network-logging-for-security-investigation</t>
  </si>
  <si>
    <t>By default Network Security Group logs are not sent to Log Analytics.</t>
  </si>
  <si>
    <t>6.1.1.6</t>
  </si>
  <si>
    <t>Ensure that logging for Azure AppService 'HTTP logs' is enabled</t>
  </si>
  <si>
    <t>Enable AppServiceHTTPLogs diagnostic log category for Azure App Service instances to ensure all http requests are captured and centrally logged.</t>
  </si>
  <si>
    <t>Capturing web requests can be important supporting information for security analysts performing monitoring and incident response activities. Once logging, these logs can be ingested into SIEM or other central aggregation point for the organization.</t>
  </si>
  <si>
    <t>Log consumption and processing will incur additional cost.</t>
  </si>
  <si>
    <t>**Remediate from Azure Portal**
1. Go to `App Services`.
For each `App Service`:
2. Under `Monitoring`, go to `Diagnostic settings`.
3. To update an existing diagnostic setting, click `Edit setting` against the setting. To create a new diagnostic setting, click `Add diagnostic setting` and provide a name for the new setting.
4. Check the checkbox next to `HTTP logs`.
5. Configure a destination based on your specific logging consumption capability (for example Stream to an event hub and then consuming with SIEM integration for Event Hub logging).
6. Click `Save`.</t>
  </si>
  <si>
    <t>**Audit from Azure Portal**
1. Go to `App Services`.
For each `App Service`:
2. Under `Monitoring`, go to `Diagnostic settings`.
3. Ensure a diagnostic setting exists that logs `HTTP logs` to a destination aligned to your environment's approach to log consumption (event hub, storage account, etc. dependent on what is consuming the logs such as SIEM or other log aggregation utility).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[91a78b24-f231-4a8a-8da9-02c35b2b6510](https://portal.azure.com/#view/Microsoft_Azure_Policy/PolicyDetailBlade/definitionId/%2Fproviders%2FMicrosoft.Authorization%2FpolicyDefinitions%2F91a78b24-f231-4a8a-8da9-02c35b2b6510) **- Name:** 'App Service apps should have resource logs enabled'
- **Policy ID:** [d639b3af-a535-4bef-8dcf-15078cddf5e2](https://portal.azure.com/#view/Microsoft_Azure_Policy/PolicyDetailBlade/definitionId/%2Fproviders%2FMicrosoft.Authorization%2FpolicyDefinitions%2Fd639b3af-a535-4bef-8dcf-15078cddf5e2) **- Name:** 'App Service app slots should have resource logs enabled'</t>
  </si>
  <si>
    <t>TITLE:Collect URL Request Audit Logs CONTROL:v8 8.7 DESCRIPTION:Collect URL request audit logs on enterprise assets, where appropriate and supported.;TITLE:Log all URL requests CONTROL:v7 7.6 DESCRIPTION:Log all URL requests from each of the organization's systems, whether onsite or a mobile device, in order to identify potentially malicious activity and assist incident handlers with identifying potentially compromised systems.;</t>
  </si>
  <si>
    <t>https://learn.microsoft.com/en-us/azure/app-service/troubleshoot-diagnostic-logs:https://learn.microsoft.com/en-us/security/benchmark/azure/mcsb-logging-threat-detection#lt-3-enable-logging-for-security-investigation</t>
  </si>
  <si>
    <t>Not configured.</t>
  </si>
  <si>
    <t>6.1.1.7</t>
  </si>
  <si>
    <t>Ensure that virtual network flow logs are captured and sent to Log Analytics</t>
  </si>
  <si>
    <t>Ensure that virtual network flow logs are captured and fed into a central log analytics workspace.</t>
  </si>
  <si>
    <t>Virtual network flow logs provide critical visibility into traffic patterns. Sending logs to a Log Analytics workspace enables centralized analysis, correlation, and alerting for faster threat detection and response.</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</si>
  <si>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t>
  </si>
  <si>
    <t>**Remediate from Azure Portal**
1. Go to `Network Watcher`.
1. Under `Logs`, click `Flow logs`.
1. Click `+ Create`.
1. Select a subscription.
1. Next to `Flow log type`, select `Virtual network`.
1. Click `+ Select target resource`.
1. Select `Virtual network`.
1. Select a virtual network.
1. Click `Confirm selection`.
1. Select a storage account, or create a new storage account.
1. Set the retention in days for the storage account.
1. Click `Next`.
1. Under `Analytics`, for `Flow logs version`, select `Version 2`.
1. Check the box next to `Enable traffic analytics`.
1. Select a processing interval.
1. Select a `Log Analytics Workspace`.
1. Click `Next`.
1. Optionally, add `Tags`.
1. Click `Review + create`.
1. Click `Create`.
1. Repeat steps 1-20 for each subscription or virtual network requiring remediation.</t>
  </si>
  <si>
    <t>**Audit from Azure Portal**
1. Go to `Network Watcher`.
1. Under `Logs`, select `Flow logs`.
1. Click `Add filter`.
1. From the `Filter` drop-down menu, select `Flow log type`.
1. From the `Value` drop-down menu, check `Virtual network` only.
1. Click `Apply`.
1. Ensure that at least one virtual network flow log is listed and is configured to send logs to a `Log Analytics Workspace`.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[2f080164-9f4d-497e-9db6-416dc9f7b48a](https://portal.azure.com/#view/Microsoft_Azure_Policy/PolicyDetailBlade/definitionId/%2Fproviders%2FMicrosoft.Authorization%2FpolicyDefinitions%2F2f080164-9f4d-497e-9db6-416dc9f7b48a) **- Name:** 'Network Watcher flow logs should have traffic analytics enabled'
- **Policy ID:** [4c3c6c5f-0d47-4402-99b8-aa543dd8bcee](https://portal.azure.com/#view/Microsoft_Azure_Policy/PolicyDetailBlade/definitionId/%2Fproviders%2FMicrosoft.Authorization%2FpolicyDefinitions%2F4c3c6c5f-0d47-4402-99b8-aa543dd8bcee) **- Name:** 'Audit flow logs configuration for every virtual network'</t>
  </si>
  <si>
    <t>On September 30, 2027, network security group (NSG) flow logs will be retired. As of June 30, 2025, creating new NSG flow logs is no longer possible. Azure recommends migrating to virtual network flow logs. After retirement, traffic analytics using NSG flow logs will no longer be supported, and existing NSG flow log resources will be deleted. Previously collected NSG flow log records will remain available per their retention policies. Review https://azure.microsoft.com/en-us/updates?id=Azure-NSG-flow-logs-Retirement for more information.</t>
  </si>
  <si>
    <t>https://learn.microsoft.com/en-us/azure/network-watcher/vnet-flow-logs-overview:https://learn.microsoft.com/en-us/azure/network-watcher/vnet-flow-logs-cli</t>
  </si>
  <si>
    <t>6.1.1.8</t>
  </si>
  <si>
    <t>Ensure that a Microsoft Entra diagnostic setting exists to send Microsoft Graph activity logs to an appropriate destination</t>
  </si>
  <si>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</si>
  <si>
    <t>Microsoft Graph activity logs provide visibility into HTTP requests made to the Microsoft Graph service, helping detect unauthorized access, suspicious activity, and security threats. Configuring diagnostic settings in Microsoft Entra ensures these logs are collected and sent to an appropriate destination for monitoring, analysis, and retention.</t>
  </si>
  <si>
    <t>A Microsoft Entra ID P1 or P2 tenant license is required to access the Microsoft Graph activity logs.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</si>
  <si>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`MicrosoftGraphActivityLogs`.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</si>
  <si>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`MicrosoftGraphActivityLogs` to an appropriate destination.</t>
  </si>
  <si>
    <t>https://learn.microsoft.com/en-us/entra/identity/monitoring-health/howto-configure-diagnostic-settings:https://learn.microsoft.com/en-us/graph/microsoft-graph-activity-logs-overview:https://learn.microsoft.com/en-us/azure/azure-monitor/logs/cost-logs#pricing-model:https://azure.microsoft.com/en-us/pricing/details/storage/blobs/:https://azure.microsoft.com/en-us/pricing/details/event-hubs/</t>
  </si>
  <si>
    <t>By default, Microsoft Entra diagnostic settings do not exist.</t>
  </si>
  <si>
    <t>6.1.1.9</t>
  </si>
  <si>
    <t>Ensure that a Microsoft Entra diagnostic setting exists to send Microsoft Entra activity logs to an appropriate destination</t>
  </si>
  <si>
    <t>Ensure that a Microsoft Entra diagnostic setting is configured to send Microsoft Entra activity logs to a suitable destination, such as a Log Analytics workspace, storage account, or event hub. This enables centralized monitoring and analysis of Microsoft Entra activity logs.</t>
  </si>
  <si>
    <t>Microsoft Entra activity logs enables you to assess many aspects of your Microsoft Entra tenant. Configuring diagnostic settings in Microsoft Entra ensures these logs are collected and sent to an appropriate destination for monitoring, analysis, and retention.</t>
  </si>
  <si>
    <t>To export sign-in data, your organization needs an Azure AD P1 or P2 license.
The amount of data logged and, thus, the cost incurred can vary significantly depending on the tenant size.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</si>
  <si>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**Remediate from Azure Portal**
1. Go to `Microsoft Entra ID`.
1. Under `Monitoring`, click `Diagnostic settings`.
1. Click `+ Add diagnostic setting`.
1. Provide a `Diagnostic setting name`.
1. Under `Logs &gt; Categories`, check the box next to each of the following logs: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
1. Configure an appropriate destination for the logs.
1. Click `Save`.</t>
  </si>
  <si>
    <t>**Audit from Azure Portal**
1. Go to `Microsoft Entra ID`.
1. Under `Monitoring`, click `Diagnostic settings`.
1. Next to each diagnostic setting, click `Edit setting`, and review the selected log categories and destination details.
1. Ensure that at least one diagnostic setting is configured to send the following logs to an appropriate destination:
 - `AuditLogs`
 - `SignInLogs`
 - `NonInteractiveUserSignInLogs`
 - `ServicePrincipalSignInLogs`
 - `ManagedIdentitySignInLogs`
 - `ProvisioningLogs`
 - `ADFSSignInLogs`
 - `RiskyUsers`
 - `UserRiskEvents`
 - `NetworkAccessTrafficLogs`
 - `RiskyServicePrincipals`
 - `ServicePrincipalRiskEvents`
 - `EnrichedOffice365AuditLogs`
 - `MicrosoftGraphActivityLogs`
 - `RemoteNetworkHealthLogs`
 - `NetworkAccessAlerts`</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</si>
  <si>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</si>
  <si>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https://learn.microsoft.com/en-us/entra/identity/monitoring-health/howto-configure-diagnostic-settings:https://learn.microsoft.com/en-us/entra/identity/monitoring-health/howto-access-activity-logs</t>
  </si>
  <si>
    <t>6.1.1.10</t>
  </si>
  <si>
    <t>Ensure that Intune logs are captured and sent to Log Analytics</t>
  </si>
  <si>
    <t>Ensure that Intune logs are captured and fed into a central log analytics workspace.</t>
  </si>
  <si>
    <t>Intune includes built-in logs that provide information about your environments. Sending logs to a Log Analytics workspace enables centralized analysis, correlation, and alerting for faster threat detection and response.</t>
  </si>
  <si>
    <t>A Microsoft Intune plan is required to access Intune: https://www.microsoft.com/en-us/security/business/microsoft-intune-pricing. 
The amount of data logged and, thus, the cost incurred can vary significantly depending on the tenant size.
For information on Log Analytics workspace costs, visit: https://learn.microsoft.com/en-us/azure/azure-monitor/logs/cost-logs.</t>
  </si>
  <si>
    <t>**Remediate from Azure Portal**
1. Go to `Intune`.
1. Click `Reports`.
1. Under `Azure monitor`, click `Diagnostic settings`.
1. Click `+ Add diagnostic setting`.
1. Provide a `Diagnostic setting name`.
1. Under `Logs &gt; Categories`, check the box next to each of the following logs:
 - `AuditLogs`
 - `OperationalLogs`
 - `DeviceComplianceOrg`
 - `Devices`
 - `Windows365AuditLogs`
1. Under `Destination details`, check the box next to `Send to Log Analytics workspace`.
1. Select a `Subscription`.
1. Select a `Log Analytics workspace`.
1. Click `Save`.</t>
  </si>
  <si>
    <t>**Audit from Azure Portal**
1. Go to `Intune`.
1. Click `Reports`.
1. Under `Azure monitor`, click `Diagnostic settings`.
1. Next to each diagnostic setting, click `Edit setting`, and review the selected log categories and destination details.
1. Ensure that at least one diagnostic setting is configured to send the following logs to a Log Analytics workspace:
 - `AuditLogs`
 - `OperationalLogs`
 - `DeviceComplianceOrg`
 - `Devices`
 - `Windows365AuditLogs`</t>
  </si>
  <si>
    <t>https://learn.microsoft.com/en-us/intune/intune-service/fundamentals/review-logs-using-azure-monitor:https://www.microsoft.com/en-us/security/business/microsoft-intune-pricing:https://learn.microsoft.com/en-us/azure/azure-monitor/logs/cost-logs</t>
  </si>
  <si>
    <t>By default, Intune diagnostic settings do not exist.</t>
  </si>
  <si>
    <t>6.1.3.1</t>
  </si>
  <si>
    <t>Ensure Application Insights are Configured</t>
  </si>
  <si>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</si>
  <si>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</si>
  <si>
    <t>Because Application Insights relies on a Log Analytics Workspace, an organization will incur additional expenses when using this service.</t>
  </si>
  <si>
    <t>**Remediate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**Remediate from Azure CLI**
```
az monitor app-insights component create --app &lt;app name&gt; --resource-group &lt;resource group name&gt; --location &lt;location&gt; --kind "web" --retention-time &lt;INT days to retain logs&gt; --workspace &lt;log analytics workspace ID&gt; --subscription &lt;subscription ID&gt;
```
**Remediate from PowerShell**
```
New-AzApplicationInsights -Kind "web" -ResourceGroupName &lt;resource group name&gt; -Name &lt;app insights name&gt; -location &lt;location&gt; -RetentionInDays &lt;INT days to retain logs&gt; -SubscriptionID &lt;subscription ID&gt; -WorkspaceResourceId &lt;log analytics workspace ID&gt;
```</t>
  </si>
  <si>
    <t>**Audit from Azure Portal** 
1. Navigate to `Application Insights`.
2. Ensure an `Application Insights` service is configured and exists.
**Audit from Azure CLI**
```
az monitor app-insights component show --query "[].{ID:appId, Name:name, Tenant:tenantId, Location:location, Provisioning_State:provisioningState}"
```
Ensure the above command produces output, otherwise `Application Insights` has not been configured.
**Audit from PowerShell**
```
Get-AzApplicationInsights|select location,name,appid,provisioningState,tenantid
```</t>
  </si>
  <si>
    <t>https://learn.microsoft.com/en-us/azure/azure-monitor/app/app-insights-overview</t>
  </si>
  <si>
    <t>Application Insights are not enabled by default.</t>
  </si>
  <si>
    <t>7.5</t>
  </si>
  <si>
    <t>Ensure that network security group flow log retention days is set to greater than or equal to 90</t>
  </si>
  <si>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</si>
  <si>
    <t>Flow logs enable capturing information about IP traffic flowing in and out of network security groups. Logs can be used to check for anomalies and give insight into suspected breaches.</t>
  </si>
  <si>
    <t>This will keep IP traffic logs for 90 days or longer. As a level 2, first determine your need to retain data, then apply your selection here. As this is data stored for a longer period, your monthly storage costs will increase depending on your data use.</t>
  </si>
  <si>
    <t>**Remediate from Azure Portal**
1. Go to `Network Watcher`.
1. Under `Logs`, select `Flow logs`.
1. Click the name of a network security group flow log.
1. Set `Status` to `On`.
1. Set `Retention days` to `0`, `90`, or a number greater than 90. If `Retention days` is set to `0`, the logs are retained indefinitely with no retention policy.
1. Click `Save`.
1. Repeat steps 1-6 for each network security flow log requiring remediation.
**Remediate from Azure CLI**
For each network security group flow log requiring remediation, run the following command to enable the flow log and set `retention` to `0`, `90`, or a number greater than 90:
```
az network watcher flow-log configure --nsg &lt;network-security-group&gt; --enabled true --resource-group &lt;resource-group&gt; --retention &lt;number-of-days&gt; --storage-account &lt;storage-account&gt;
```</t>
  </si>
  <si>
    <t>**Audit from Azure Portal**
1. Go to `Network Watcher`.
1. Under `Logs`, select `Flow logs`.
1. Click the name of a network security group flow log.
1. Ensure that `Status` is set to `On`.
1. Ensure that `Retention days` is set to `0`, `90`, or a number greater than 90. If `Retention days` is set to `0`, the logs are retained indefinitely with no retention policy.
1. Repeat steps 1-5 for each network security group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network security group flow log, ensure that `enabled` is set to `true`, and days is set to `0`, `90`, or a number greater than 90. If `days` is set to `0`, the logs are retained indefinitely with no retention policy.</t>
  </si>
  <si>
    <t>TITLE:Ensure Adequate Audit Log Storage CONTROL:v8 8.3 DESCRIPTION:Ensure that logging destinations maintain adequate storage to comply with the enterprise’s audit log management process.;TITLE:Retain Audit Logs CONTROL:v8 8.10 DESCRIPTION:Retain audit logs across enterprise assets for a minimum of 90 days.;TITLE:Ensure adequate storage for logs CONTROL:v7 6.4 DESCRIPTION:Ensure that all systems that store logs have adequate storage space for the logs generated.;</t>
  </si>
  <si>
    <t>https://learn.microsoft.com/en-us/azure/network-watcher/nsg-flow-logs-overview:https://learn.microsoft.com/en-us/cli/azure/network/watcher/flow-log:https://learn.microsoft.com/en-us/security/benchmark/azure/mcsb-logging-threat-detection#lt-6-configure-log-storage-retention:https://learn.microsoft.com/en-gb/azure/network-watcher/nsg-flow-logs-migrate</t>
  </si>
  <si>
    <t>By default, network security group flow logs are `disabled`.</t>
  </si>
  <si>
    <t>7.6</t>
  </si>
  <si>
    <t>Ensure that Network Watcher is 'Enabled' for Azure Regions that are in use</t>
  </si>
  <si>
    <t>Enable Network Watcher for physical regions in Azure subscriptions.</t>
  </si>
  <si>
    <t>Network diagnostic and visualization tools available with Network Watcher help users understand, diagnose, and gain insights to the network in Azure.</t>
  </si>
  <si>
    <t>There are additional costs per transaction to run and store network data. For high-volume networks these charges will add up quickly.</t>
  </si>
  <si>
    <t>Opting out of Network Watcher automatic enablement is a permanent change. Once you opt-out you cannot opt-in without contacting support.
To manually enable Network Watcher in each region where you want to use Network Watcher capabilities, follow the steps below.
**Remediate from Azure Portal**
1. Use the Search bar to search for and click on the `Network Watcher` service.
1. Click `Create`.
1. Select a `Region` from the drop-down menu.
1. Click `Add`.
**Remediate from Azure CLI**
```
az network watcher configure --locations &lt;region&gt; --enabled true --resource-group &lt;resource_group&gt;
```</t>
  </si>
  <si>
    <t>**Audit from Azure Portal**
1. Use the Search bar to search for and click on the `Network Watcher` service.
1. From the Overview menu item, review each Network Watcher listed, and ensure that a network watcher is listed for each region in use by the subscription.
**Audit from Azure CLI**
```
az network watcher list --query "[].{Location:location,State:provisioningState}" -o table
```
This will list all network watchers and their provisioning state.
Ensure `provisioningState` is `Succeeded` for each network watcher. 
```
az account list-locations --query "[?metadata.regionType=='Physical'].{Name:name,DisplayName:regionalDisplayName}" -o table
```
This will list all physical regions that exist in the subscription.
Compare this list to the previous one to ensure that for each region in use, a network watcher exists with `provisioningState` set to `Succeeded`.
**Audit from PowerShell**
Get a list of Network Watchers
```
Get-AzNetworkWatcher
```
Make sure each watcher is set with the `ProvisioningState` setting set to `Succeeded` and all `Locations` that are in use by the subscription are using a watcher.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[b6e2945c-0b7b-40f5-9233-7a5323b5cdc6](https://portal.azure.com/#view/Microsoft_Azure_Policy/PolicyDetailBlade/definitionId/%2Fproviders%2FMicrosoft.Authorization%2FpolicyDefinitions%2Fb6e2945c-0b7b-40f5-9233-7a5323b5cdc6) **- Name:** 'Network Watcher should be enabled'</t>
  </si>
  <si>
    <t>TITLE:Establish and Maintain a Secure Network Architecture CONTROL:v8 12.2 DESCRIPTION:Establish and maintain a secure network architecture. A secure network architecture must address segmentation, least privilege, and availability, at a minimum.;TITLE:Establish and Maintain Architecture Diagram(s) CONTROL:v8 12.4 DESCRIPTION:Establish and maintain architecture diagram(s) and/or other network system documentation. Review and update documentation annually, or when significant enterprise changes occur that could impact this Safeguard.;TITLE:Document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Network Boundaries CONTROL:v7 12.1 DESCRIPTION:Maintain an up-to-date inventory of all of the organization's network boundaries.;</t>
  </si>
  <si>
    <t>https://learn.microsoft.com/en-us/azure/network-watcher/network-watcher-overview:https://learn.microsoft.com/en-us/cli/azure/network/watcher:https://learn.microsoft.com/en-us/cli/azure/network/watcher#az-network-watcher-configure:https://learn.microsoft.com/en-us/azure/network-watcher/network-watcher-create:https://learn.microsoft.com/en-us/security/benchmark/azure/mcsb-logging-threat-detection#lt-4-enable-network-logging-for-security-investigation:https://azure.microsoft.com/en-us/pricing/details/network-watcher/</t>
  </si>
  <si>
    <t>Network Watcher is automatically enabled.
When you create or update a virtual network in your subscription, Network Watcher will be enabled automatically in your Virtual Network's region. There is no impact to your resources or associated charge for automatically enabling Network Watcher.</t>
  </si>
  <si>
    <t>7.8</t>
  </si>
  <si>
    <t>Ensure that virtual network flow log retention days is set to greater than or equal to 90</t>
  </si>
  <si>
    <t>Ensure that virtual network flow logs are retained for greater than or equal to 90 days.</t>
  </si>
  <si>
    <t>Virtual network flow logs provide critical visibility into traffic patterns. Logs can be used to check for anomalies and give insight into suspected breaches.</t>
  </si>
  <si>
    <t>* Virtual network flow logs are charged per gigabyte of network flow logs collected and come with a free tier of 5 GB/month per subscription.
* If traffic analytics is enabled with virtual network flow logs, traffic analytics pricing applies at per gigabyte processing rates.
* The storage of logs is charged separately, and the cost will depend on the amount of logs and the retention period.</t>
  </si>
  <si>
    <t>**Remediate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set `Retention days` to `0`, `90`, or a number greater than 90. If `Retention days` is set to `0`, the logs are retained indefinitely with no retention policy.
1. Repeat steps 7 and 8 for each virtual network flow log requiring remediation.
**Remediate from Azure CLI**
Run the following command update the retention policy for a flow log in a network watcher, setting `retention` to `0`, `90`, or a number greater than 90:
```
az network watcher flow-log update --location &lt;location&gt; --name &lt;flow-log&gt; --retention &lt;number-of-days&gt;
```
Repeat for each virtual network flow log requiring remediation.</t>
  </si>
  <si>
    <t>**Audit from Azure Portal**
1. Go to `Network Watcher`.
1. Under `Logs`, select `Flow logs`.
1. Click `Add filter`.
1. From the `Filter` drop-down menu, select `Flow log type`.
1. From the `Value` drop-down menu, check `Virtual network` only.
1. Click `Apply`.
1. Click the name of a virtual network flow log.
1. Under `Storage Account`, ensure that `Retention days` is set to `0`, `90`, or a number greater than 90. If `Retention days` is set to `0`, the logs are retained indefinitely with no retention policy.
1. Repeat steps 7 and 8 for each virtual network flow log.
**Audit from Azure CLI**
Run the following command to list network watchers:
```
az network watcher list
```
Run the following command to list the name and retention policy of flow logs in a network watcher:
```
az network watcher flow-log list --location &lt;location&gt; --query [*].[name,retentionPolicy]
```
For each flow log, ensure that `days` is set to `0`, `90`, or a number greater than 90. If `days` is set to `0`, the logs are retained indefinitely with no retention policy.
Repeat for each network watcher.</t>
  </si>
  <si>
    <t>As network security group flow logs are on the retirement path, Azure recommends migrating to virtual network flow logs.</t>
  </si>
  <si>
    <t>https://learn.microsoft.com/en-us/azure/network-watcher/vnet-flow-logs-manage:https://learn.microsoft.com/en-us/cli/azure/network/watcher/flow-log</t>
  </si>
  <si>
    <t>When a virtual network flow log is created using the Azure CLI, retention days is set to 0 by default. When creating via the Azure Portal, retention days must be specified by the creator.</t>
  </si>
  <si>
    <t>7.9</t>
  </si>
  <si>
    <t>Ensure 'Authentication type' is set to 'Azure Active Directory' only for Azure VPN Gateway point-to-site configuration</t>
  </si>
  <si>
    <t>Enable only 'Azure Active Directory' (Microsoft Entra ID) authentication for Azure VPN Gateway point-to-site connections.</t>
  </si>
  <si>
    <t>Microsoft Entra ID authentication provides strong security and centralized identity management, and reduces risks associated with static credentials and certificate management.</t>
  </si>
  <si>
    <t>Azure VPN Gateways incur hourly charges, with additional costs for point-to-site connections and data transfer. Pricing varies by SKU and usage. Refer to https://azure.microsoft.com/en-us/pricing/details/vpn-gateway/ for details.</t>
  </si>
  <si>
    <t>**Remediate from Azure Portal**
1. Go to `Virtual network gateways`.
1. Under `VPN gateway`, click `VPN gateways`.
1. Click the name of a VPN gateway.
1. Under `Settings`, click `Point-to-site configuration`.
1. Ensure `Authentication type` click to expand the drop-down menu.
1. Check the box next to `Azure Active Directory`, and uncheck the boxes next to `Azure certificate` and `RADIUS authentication`.
1. Provide a `Tenant`, `Audience`, and `Issuer` for the `Azure Active Directory` configuration.
1. Click `Save`.
1. Repeat steps 1-8 for each VPN gateway requiring remediation.</t>
  </si>
  <si>
    <t>**Audit from Azure Portal**
1. Go to `Virtual network gateways`.
1. Under `VPN gateway`, click `VPN gateways`.
1. Click the name of a VPN gateway.
1. Under `Settings`, click `Point-to-site configuration`.
1. Ensure `Authentication type` is set to `Azure Active Directory` only.
1. Repeat steps 1-5 for each VPN gateway.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[21a6bc25-125e-4d13-b82d-2e19b7208ab7](https://portal.azure.com/#view/Microsoft_Azure_Policy/PolicyDetailBlade/definitionId/%2Fproviders%2FMicrosoft.Authorization%2FpolicyDefinitions%2F21a6bc25-125e-4d13-b82d-2e19b7208ab7) **- Name:** 'VPN gateways should use only Azure Active Directory (Azure AD) authentication for point-to-site users'</t>
  </si>
  <si>
    <t>https://learn.microsoft.com/en-us/azure/vpn-gateway/vpn-gateway-about-vpngateways:https://learn.microsoft.com/en-us/azure/vpn-gateway/point-to-site-entra-gateway:https://learn.microsoft.com/en-us/azure/vpn-gateway/openvpn-azure-ad-tenant</t>
  </si>
  <si>
    <t>'Authentication type' is selected during creation of point-to-site configuration.</t>
  </si>
  <si>
    <t>7.10</t>
  </si>
  <si>
    <t>Ensure Azure Web Application Firewall (WAF) is enabled on Azure Application Gateway</t>
  </si>
  <si>
    <t>Azure Web Application Firewall helps protect applications from common exploits and attacks by inspecting and filtering incoming traffic.</t>
  </si>
  <si>
    <t>Using Azure Web Application Firewall with Azure Application Gateway reduces exposure to external threats by mitigating attacks on public facing applications.</t>
  </si>
  <si>
    <t>The `WAF V2` tier for Azure Application Gateways costs more than the `Basic` and `Standard V2` tiers. Pricing includes a fixed hourly charge plus a charge per capacity-unit hour. Refer to https://azure.microsoft.com/en-gb/pricing/details/application-gateway/ for details.</t>
  </si>
  <si>
    <t>**Note:** `Basic` tier application gateways cannot be upgraded to the `WAF V2` tier. Create a new `WAF V2` tier application gateway to replace a `Basic` tier application gateway.
**Remediate from Azure Portal**
To remediate a `Standard V2` tier application gateway:
1. Go to `Application gateways`.
1. Click `Add filter`.
1. From the `Filter` drop-down menu, select `SKU size`.
1. Check the box next to `Standard_v2` only.
1. Click `Apply`.
1. Click the name of an application gateway.
1. Under `Settings`, click `Web application firewall`.
1. Under `Configure`, next to `Tier`, click `WAF V2`.
1. Select an existing or create a new `WAF policy`.
1. Click `Save`.
1. Repeat steps 1-10 for each `Standard V2` tier application gateway requiring remediation.</t>
  </si>
  <si>
    <t>**Audit from Azure Portal**
1. Go to `Application gateways`.
1. Click the name of an application gateway.
1. In the `Overview`, under `Essentials`, ensure `Tier` is set to `WAF V2`.
1. Repeat steps 1-3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Ensure a firewall policy id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[564feb30-bf6a-4854-b4bb-0d2d2d1e6c66](https://portal.azure.com/#view/Microsoft_Azure_Policy/PolicyDetailBlade/definitionId/%2Fproviders%2FMicrosoft.Authorization%2FpolicyDefinitions%2F564feb30-bf6a-4854-b4bb-0d2d2d1e6c66) **- Name:** 'Web Application Firewall (WAF) should be enabled for Application Gateway'</t>
  </si>
  <si>
    <t>TITLE:Perform Application Layer Filtering CONTROL:v8 13.10 DESCRIPTION:Perform application layer filtering. Example implementations include a filtering proxy, application layer firewall, or gateway.;TITLE:Deploy Application Layer Filtering Proxy Server CONTROL:v7 12.9 DESCRIPTION:Ensure that all network traffic to or from the Internet passes through an authenticated application layer proxy that is configured to filter unauthorized connections.;</t>
  </si>
  <si>
    <t>https://learn.microsoft.com/en-us/azure/application-gateway/features:https://learn.microsoft.com/en-us/cli/azure/network/application-gateway:https://azure.microsoft.com/en-us/pricing/details/application-gateway</t>
  </si>
  <si>
    <t>Azure Web Application Firewall is enabled by default for the `WAF V2` tier of Azure Application Gateway. It is not available in the `Basic` tier. Application gateways deployed using the `Standard V2` tier can be upgraded to the `WAF V2` tier to enable Azure Web Application Firewall.</t>
  </si>
  <si>
    <t>7.14</t>
  </si>
  <si>
    <t>Ensure request body inspection is enabled in Azure Web Application Firewall policy on Azure Application Gateway</t>
  </si>
  <si>
    <t>Enable request body inspection so that the Web Application Firewall evaluates the contents of HTTP message bodies for potential threats.</t>
  </si>
  <si>
    <t>Enabling request body inspection strengthens security by allowing the Web Application Firewall to detect common attacks, such as SQL injection and cross-site scripting.</t>
  </si>
  <si>
    <t>Minor performance impact on the Web Application Firewall. Additional effort may be required to monitor findings.</t>
  </si>
  <si>
    <t>**Remediate from Azure Portal**
1. Go to `Application gateways`.
1. Click the name of an application gateway.
1. Under `Settings`, click `Web application firewall`.
1. Under `Associated web application firewall policy`, click the policy name.
1. Under `Settings`, click `Policy settings`.
1. Check the box next to `Enforce request body inspection`.
1. Click `Save`.
1. Repeat steps 1-7 for each application gateway and firewall policy requiring remediation.
**Remediate from Azure CLI**
For each firewall policy requiring remediation, run the following command to enable request body inspection:
```
az network application-gateway waf-policy update --ids &lt;firewall-policy&gt; --policy-settings request-body-check=true
```</t>
  </si>
  <si>
    <t>**Audit from Azure Portal**
1. Go to `Application gateways`.
1. Click the name of an application gateway.
1. Under `Settings`, click `Web application firewall`.
1. Under `Associated web application firewall policy`, click the policy name.
1. Under `Settings`, click `Policy settings`.
1. Ensure the box next to `Enforce request body inspection` is checked.
1. Repeat steps 1-6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request body inspection setting:
```
az network application-gateway waf-policy show --ids &lt;firewall-policy&gt; --query policySettings.requestBodyCheck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[ca85ef9a-741d-461d-8b7a-18c2da82c666](https://portal.azure.com/#view/Microsoft_Azure_Policy/PolicyDetailBlade/definitionId/%2Fproviders%2FMicrosoft.Authorization%2FpolicyDefinitions%2Fca85ef9a-741d-461d-8b7a-18c2da82c666) **- Name:** 'Azure Web Application Firewall on Azure Application Gateway should have request body inspection enabled'</t>
  </si>
  <si>
    <t>https://learn.microsoft.com/en-gb/azure/web-application-firewall/ag/application-gateway-waf-request-size-limits#request-body-inspection:https://learn.microsoft.com/en-us/cli/azure/network/application-gateway:https://learn.microsoft.com/en-us/cli/azure/network/application-gateway/waf-policy</t>
  </si>
  <si>
    <t>Request body inspection is enabled by default on Azure Application Gateways with Web Application Firewall.</t>
  </si>
  <si>
    <t>7.15</t>
  </si>
  <si>
    <t>Ensure bot protection is enabled in Azure Web Application Firewall policy on Azure Application Gateway</t>
  </si>
  <si>
    <t>Enable bot protection on the Web Application Firewall to block or log requests from known malicious IP addresses identified through the Microsoft Threat Intelligence feed.</t>
  </si>
  <si>
    <t>Internet traffic from bots can scrape, scan, and search for application vulnerabilities. Enabling bot protection stops requests from known malicious IP addresses and enhances the overall security of your application by reducing exposure to automated attacks.</t>
  </si>
  <si>
    <t>May require monitoring to identify false positives.</t>
  </si>
  <si>
    <t>**Remediate from Azure Portal**
1. Go to `Application gateways`.
1. Click the name of an application gateway.
1. Under `Settings`, click `Web application firewall`.
1. Under `Associated web application firewall policy`, click the policy name.
1. Under `Settings`, click `Managed rules`.
1. Click `Assign`.
1. Under `Bot Management ruleset`, click to display the drop-down menu.
1. Select a `Microsoft_BotManagerRuleSet`.
1. Click `Save`.
1. Click `X` to close the panel.
1. Repeat steps 1-10 for each application gateway and firewall policy requiring remediation.
**Remediate from Azure CLI**
For each firewall policy requiring remediation, run the following command to enable bot protection:
```
az network application-gateway waf-policy managed-rule rule-set add --resource-group &lt;resource-group&gt; --policy-name &lt;firewall-policy&gt; --type Microsoft_BotManagerRuleSet --version &lt;0.1|1.0|1.1&gt;
```</t>
  </si>
  <si>
    <t>**Audit from Azure Portal**
1. Go to `Application gateways`.
1. Click the name of an application gateway.
1. Under `Settings`, click `Web application firewall`.
1. Under `Associated web application firewall policy`, click the policy name.
1. Under `Settings`, click `Managed rules`.
1. Ensure a `Rule Id` containing `Microsoft_BotManagerRuleSet` is listed.
1. Click the `&gt;` to expand the row.
1. Ensure the `Status` for `Malicious Bots` is set to `Enabled`.
1. Repeat steps 1-8 for each application gateway.
**Audit from Azure CLI**
Run the following command to list application gateways:
```
az network application-gateway list
```
For each application gateway, run the following command to get the firewall policy id:
```
az network application-gateway show --resource-group &lt;resource-group&gt; --name &lt;application-gateway&gt; --query firewallPolicy.id
```
For each firewall policy, run the following command to get the managed rule sets:
```
az network application-gateway waf-policy show --ids &lt;firewall-policy&gt; --query managedRules.managedRuleSets
```
Ensure a managed rule set with `ruleSetType` of `Microsoft_BotManagerRuleSet` is returned, and that no `ruleGroupOverrides` for `ruleGroupName` `KnownBadBots` with `state` `Disabled` are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[ebea0d86-7fbd-42e3-8a46-27e7568c2525](https://portal.azure.com/#view/Microsoft_Azure_Policy/PolicyDetailBlade/definitionId/%2Fproviders%2FMicrosoft.Authorization%2FpolicyDefinitions%2Febea0d86-7fbd-42e3-8a46-27e7568c2525) **- Name:** 'Bot Protection should be enabled for Azure Application Gateway WAF'</t>
  </si>
  <si>
    <t>https://learn.microsoft.com/en-us/azure/web-application-firewall/ag/bot-protection-overview:https://learn.microsoft.com/en-us/azure/web-application-firewall/ag/bot-protection:https://learn.microsoft.com/en-us/cli/azure/network/application-gateway:https://learn.microsoft.com/en-us/cli/azure/network/application-gateway/waf-policy:https://learn.microsoft.com/en-us/cli/azure/network/application-gateway/waf-policy/managed-rule/rule-set</t>
  </si>
  <si>
    <t>Bot protection is disabled by default on Azure Application Gateways with Web Application Firewall.</t>
  </si>
  <si>
    <t>7.16</t>
  </si>
  <si>
    <t>Ensure Azure Network Security Perimeter is used to secure Azure platform-as-a-service resources</t>
  </si>
  <si>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</si>
  <si>
    <t>Network security perimeter denies public access to PaaS resources, reducing exposure and mitigating data exfiltration risks.</t>
  </si>
  <si>
    <t>Implementation requires administrative effort to configure and maintain network security perimeter profiles and resource assignments. Azure does not list any additional charges for using network security perimeters.</t>
  </si>
  <si>
    <t>**Remediate from Azure Portal**
Create and associate PaaS resources with a new network security perimeter:
1. Go to `Network Security Perimeters`.
1. Click `+ Create`.
1. Select a `Subscription` and `Resource group`, provide a `Name`, select a `Region`, and provide a `Profile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Associate PaaS resources with an existing network security perimeter:
1. Go to `Network Security Perimeters`.
1. Click the name of a network security perimeter.
1. Under `Settings`, click `Associated resources`.
1. Click `+ Add`.
1. Select `Associate resources with a new profile` or `Associate resources with an existing profile`.
1. To associate resources with a new profile:
 1. Provide a `Name`.
 1. Click `Next`.
 1. Click `+ Add`.
 1. Check the box next to a PaaS resource to associate it with the network security perimeter.
 1. Click `Select`.
 1. Click `Next`.
 1. Configure appropriate `Inbound access rules` for your organization.
 1. Click `Next`.
 1. Configure appropriate `Outbound access rules` for your organization.
 1. Click `Review + create`.
 1. Click `Create`.
1. To associate resources with an existing profile:
 1. Next to `Profile`, click `Select` to display the drop-down menu.
 1. Select a profile.
 1. Click `+ Add`.
 1. Check the box next to a PaaS resource to associate it with the network security perimeter.
 1. Click `Select`.
 1. Click `Associate`.
**Remediate from Azure CLI**
Use `az network perimeter profile list` or `az network perimeter profile create` to list existing or create a new network security perimeter profile.
For each PaaS resource requiring association with a network security perimeter, run the following command:
```
az network perimeter association create --resource-group &lt;resource-group&gt; --perimeter-name &lt;network-security-perimeter&gt; --association-name &lt;association&gt; --private-link-resource "{id:&lt;paas-resource-id&gt;}" --profile "{&lt;profile-id&gt;}"
```</t>
  </si>
  <si>
    <t>**Audit from Azure Portal**
1. Go to `Resource groups`.
1. Click the name of a resource group.
1. Take note of PaaS resources.
1. Go to `Network Security Perimeters`.
1. Click the name of a network security perimeter.
1. Under `Settings`, click `Associated resources`.
1. Take note of the associated resources.
1. Repeat steps 1-7 and ensure each PaaS resource is associated with a network security perimeter.
**Audit from Azure CLI**
Run the following command to list resource groups:
```
az group list
```
For each resource group, run the following command to list resources:
```
az resource list --resource-group &lt;resource-group&gt;
```
Take note of PaaS resources.
For each resource group, run the following command to list network security perimeters:
```
az network perimeter list --resource-group &lt;resource-group&gt;
```
For each network security perimeter, run the following command to list resources:
```
az network perimeter association list --resource-group &lt;resource-group&gt; --perimeter-name &lt;network-security-perimeter&gt;
```
Ensure each PaaS resource is associated with a network security perimeter.</t>
  </si>
  <si>
    <t>The current list of resources that can be associated with a network security perimeter are as follows:
- Azure Monitor
- Azure AI Search
- Cosmos DB
- Event Hubs
- Key Vault
- SQL DB
- Storage
- Azure OpenAI Service
While network security perimeter is generally available, Cosmos DB, SQL DB, and Azure OpenAI Service are in public preview.</t>
  </si>
  <si>
    <t>https://learn.microsoft.com/en-us/azure/private-link/network-security-perimeter-concepts:https://learn.microsoft.com/en-us/azure/private-link/create-network-security-perimeter-portal:https://learn.microsoft.com/en-us/cli/azure/group:https://learn.microsoft.com/en-us/cli/azure/resource:https://learn.microsoft.com/en-us/cli/azure/network/perimeter</t>
  </si>
  <si>
    <t>PaaS resources are not associated with a network security perimeter by default.</t>
  </si>
  <si>
    <t>8.5</t>
  </si>
  <si>
    <t>Ensure Azure DDoS Network Protection is enabled on virtual networks</t>
  </si>
  <si>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</si>
  <si>
    <t>Virtual networks and resources are protected against attacks, helping to ensure reliability and availability for critical workloads.</t>
  </si>
  <si>
    <t>Azure DDoS Network Protection incurs a significant fixed monthly charge, with additional charges if more than 100 public IP resources are protected. Careful consideration and analysis should be applied before enabling DDoS protection. Refer to https://azure.microsoft.com/en-us/pricing/details/ddos-protection for detailed pricing information.</t>
  </si>
  <si>
    <t>**Remediate from Azure Portal**
1. Go to `Virtual networks`.
1. Click the name of a virtual network.
1. Under `Settings`, click `DDoS protection`.
1. Next to `DDoS Network Protection`, click `Enable`.
1. Provide a DDoS protection plan resource ID, or select a DDoS protection plan from the drop-down menu.
1. Click `Save`.
1. Repeat steps 1-6 for each virtual network requiring remediation.
**Remediate from Azure CLI**
For each virtual network requiring remediation, run the following command to enable DDoS protection:
```
az network vnet update --resource-group &lt;resource-group&gt; --name &lt;virtual-network&gt; --ddos-protection true --ddos-protection-plan &lt;ddos-protection-plan&gt;
```</t>
  </si>
  <si>
    <t>**Audit from Azure Portal**
1. Go to `Virtual networks`.
1. Click the name of a virtual network.
1. Under `Settings`, click `DDoS protection`.
1. Ensure `DDoS Network Protection` is set to `Enable`.
1. Repeat steps 1-4 for each virtual network.
**Audit from Azure CLI**
Run the following command to list virtual networks:
```
az network vnet list
```
For each virtual network, run the following command to get the DDoS protection setting:
```
az network vnet show --resource-group &lt;resource-group&gt; --name &lt;virtual-network&gt; --query enableDdosProtection
```
Ensure `true`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[a7aca53f-2ed4-4466-a25e-0b45ade68efd](https://portal.azure.com/#view/Microsoft_Azure_Policy/PolicyDetailBlade/definitionId/%2Fproviders%2FMicrosoft.Authorization%2FpolicyDefinitions%2Fa7aca53f-2ed4-4466-a25e-0b45ade68efd) **- Name:** 'Azure DDoS Protection should be enabled'</t>
  </si>
  <si>
    <t>TITLE:Deploy a Network Intrusion Prevention Solution CONTROL:v8 13.8 DESCRIPTION:Deploy a network intrusion prevention solution, where appropriate. Example implementations include the use of a Network Intrusion Prevention System (NIPS) or equivalent CSP service.;TITLE:Deploy Network-Based Intrusion Prevention Systems CONTROL:v7 12.7 DESCRIPTION:Deploy network-based Intrusion Prevention Systems (IPS) to block malicious network traffic at each of the organization's network boundaries.;</t>
  </si>
  <si>
    <t>https://learn.microsoft.com/en-us/azure/ddos-protection/ddos-protection-overview:https://learn.microsoft.com/en-us/azure/ddos-protection/manage-ddos-protection:https://azure.microsoft.com/en-us/pricing/details/ddos-protection:https://learn.microsoft.com/en-us/cli/azure/network/vnet</t>
  </si>
  <si>
    <t>DDoS protection is disabled by default.</t>
  </si>
  <si>
    <t>8.1.16</t>
  </si>
  <si>
    <t>Ensure that Microsoft Defender External Attack Surface Monitoring (EASM) is enabled</t>
  </si>
  <si>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</si>
  <si>
    <t>This tool can monitor the externally exposed resources of an organization, provide valuable insights, and export these findings in a variety of formats (including CSV) for use in vulnerability management operations and red/purple team exercises.</t>
  </si>
  <si>
    <t>Microsoft Defender EASM workspaces are currently available as Azure Resources with a 30-day free trial period but can quickly accrue significant charges. The costs are calculated daily as (Number of "billable" inventory items) x (item cost per day).
Estimated cost is not provided within the tool, and users are strongly advised to contact their Microsoft sales representative for pricing and set a calendar reminder for the end of the trial period.
If the workspace is deleted by the last day of a free trial period, no charges are billed.</t>
  </si>
  <si>
    <t>**Remediate from Azure Portal**
1. Go to `Microsoft Defender EASM`.
1. Click `+ Create`.
1. Under `Project details`, select a subscription.
1. Select or create a resource group.
1. Under `Instance details`, enter a name for the workspace.
1. Select a region.
1. Click `Review + create`.
1. Click `Create`.
1. Once the deployment has completed, go to `Microsoft Defender EASM`.
1. Click the workspace name.
1. Configure the workspace appropriately for your environment and organization.</t>
  </si>
  <si>
    <t>**Audit from Azure Portal**
1. Go to `Microsoft Defender EASM`.
1. Ensure that at least one Microsoft Defender EASM workspace is listed.
1. Click the name of a workspace.
1. Ensure the workspace is configured appropriately for your environment and organization.
1. Repeat steps 3-4 for each workspace.</t>
  </si>
  <si>
    <t>Microsoft added its Defender for External Attack Surface management (EASM) offering to Azure following its 2022 acquisition of EASM SaaS tool company RiskIQ.</t>
  </si>
  <si>
    <t>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</si>
  <si>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external-attack-surface-management/:https://learn.microsoft.com/en-us/azure/external-attack-surface-management/deploying-the-defender-easm-azure-resource:https://www.microsoft.com/en-us/security/blog/2022/08/02/microsoft-announces-new-solutions-for-threat-intelligence-and-attack-surface-management/</t>
  </si>
  <si>
    <t>Microsoft Defender EASM is an optional, paid Azure Resource that must be created and configured inside a Subscription and Resource Group.</t>
  </si>
  <si>
    <t>8.1.1.1</t>
  </si>
  <si>
    <t>Ensure Microsoft Defender CSPM is set to 'On'</t>
  </si>
  <si>
    <t>Enable Microsoft Defender CSPM to continuously assess cloud resources for security misconfigurations, compliance risks, and exposure to threats.</t>
  </si>
  <si>
    <t>Microsoft Defender CSPM provides detailed visibility into the security state of assets and workloads and offers hardening guidance to help improve security posture.</t>
  </si>
  <si>
    <t>Enabling Microsoft Defender CSPM incurs hourly charges for each billable compute, database, and storage resource. This can lead to significant costs in larger environments. Careful planning and cost analysis are recommended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</si>
  <si>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Security Posture Management (CSPM)`, in the row for `Defender CSPM`, set the toggle switch for `Status` to `On`.
1. Click `Save`.
**Remediate from Azure CLI**
Run the following command to enable Defender CSPM:
```
az security pricing create --name CloudPosture --tier Standard --extensions name=ApiPosture isEnabled=true
```
**Remediate from PowerShell**
Run the following command to enable Defender CSPM:
```
Set-AzSecurityPricing -Name CloudPosture -PricingTier Standard -Extension '[{"name":"ApiPosture","isEnabled":"True"}]'
```</t>
  </si>
  <si>
    <t>**Audit from Azure Portal**
1. Go to `Microsoft Defender for Cloud`.
1. Under `Management`, click `Environment settings`.
1. Click the name of a subscription.
1. Select the `Defender plans` blade.
1. Under `Cloud Security Posture Management (CSPM)`, in the row for `Defender CSPM`, ensure `Status` is set to `On`.
**Audit from Azure CLI**
Run the following command to get the `CloudPosture` plan pricing tier:
```
az security pricing show --name CloudPosture --query pricingTier
```
Ensure `"Standard"` is returned.
**Audit from PowerShell**
Run the following command to get the `CloudPosture` plan pricing tier:
```
Get-AzSecurityPricing -Name CloudPosture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[1f90fc71-a595-4066-8974-d4d0802e8ef0](https://portal.azure.com/#view/Microsoft_Azure_Policy/PolicyDetailBlade/definitionId/%2Fproviders%2FMicrosoft.Authorization%2FpolicyDefinitions%2F1f90fc71-a595-4066-8974-d4d0802e8ef0) **- Name:** 'Microsoft Defender CSPM should be enabled'</t>
  </si>
  <si>
    <t>https://learn.microsoft.com/en-us/azure/defender-for-cloud/concept-cloud-security-posture-management:https://learn.microsoft.com/en-us/azure/defender-for-cloud/tutorial-enable-cspm-plan:https://azure.microsoft.com/en-us/pricing/details/defender-for-cloud/#pricing:https://learn.microsoft.com/en-us/cli/azure/security/pricing:https://learn.microsoft.com/en-us/powershell/module/az.security/get-azsecuritypricing:https://learn.microsoft.com/en-us/powershell/module/az.security/set-azsecuritypricing</t>
  </si>
  <si>
    <t>Defender CSPM is disabled by default.</t>
  </si>
  <si>
    <t>8.1.2.1</t>
  </si>
  <si>
    <t>Ensure Microsoft Defender for APIs is set to 'On'</t>
  </si>
  <si>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</si>
  <si>
    <t>Microsoft Defender for APIs helps provide visibility into business-critical APIs, assess and improve their security posture, prioritize vulnerability remediation, and detect threats in real time.</t>
  </si>
  <si>
    <t>Microsoft Defender for APIs uses a tiered pricing model, billed per subscription per hour, with each tier allowing a set limit of API calls. In high-traffic environments, this may result in significant or prohibitive costs. Careful evaluation of API usage patterns and pricing tiers is essential before enabling the service. Refer to https://azure.microsoft.com/en-us/pricing/details/defender-for-cloud/#pricing for pricing information.</t>
  </si>
  <si>
    <t>**Remediate from Azure Portal**
1. Go to `Microsoft Defender for Cloud`.
1. Under `Management`, click `Environment settings`.
1. Click the name of a subscription.
1. Select the `Defender plans` blade.
1. Under `Cloud Workload Protection (CWP)`, in the row for `APIs`, set the toggle switch for `Status` to `On`.
1. Select a plan.
1. Click `Save` to save the plan selection.
1. Click `Save` to enable Defender for APIs.
**Remediate from Azure CLI**
Run the following command to enable Defender for APIs:
```
az security pricing create --name Api --tier Standard --subplan &lt;subplan&gt;
```
Valid subplan values: `P1`, `P2`, `P3`, `P4`, and `P5`.
**Remediate from PowerShell**
Run the following command to enable Defender for APIs:
```
Set-AzSecurityPricing -Name Api -PricingTier Standard -SubPlan &lt;subplan&gt;
```
Valid SubPlan values: `P1`, `P2`, `P3`, `P4`, and `P5`.</t>
  </si>
  <si>
    <t>**Audit from Azure Portal**
1. Go to `Microsoft Defender for Cloud`.
1. Under `Management`, click `Environment settings`.
1. Click the name of a subscription.
1. Select the `Defender plans` blade.
1. Under `Cloud Workload Protection (CWP)`, in the row for `APIs`, ensure the `Status` is set to `On`.
**Audit from Azure CLI**
Run the following command to get the `Api` plan pricing tier:
```
az security pricing show --name Api --query pricingTier
```
Ensure `"Standard"` is returned.
**Audit from PowerShell**
Run the following command to get the `Api` plan pricing tier:
```
Get-AzSecurityPricing -Name Api | Select-Object PricingTier
```
Ensure `Standard` is returned.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[7926a6d1-b268-4586-8197-e8ae90c877d7](https://portal.azure.com/#view/Microsoft_Azure_Policy/PolicyDetailBlade/definitionId/%2Fproviders%2FMicrosoft.Authorization%2FpolicyDefinitions%2F7926a6d1-b268-4586-8197-e8ae90c877d7) **- Name:** 'Microsoft Defender for APIs should be enabled'</t>
  </si>
  <si>
    <t>TITLE:Establish and Maintain a Process to Accept and Address Software Vulnerabilities CONTROL:v8 16.2 DESCRIPTION:Establish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;TITLE:Establish a Process to Accept and Address Reports of Software Vulnerabilities CONTROL:v7 18.8 DESCRIPTION:Establish a process to accept and address reports of software vulnerabilities, including providing a means for external entities to contact your security group.;</t>
  </si>
  <si>
    <t>https://learn.microsoft.com/en-us/azure/defender-for-cloud/defender-for-apis-introduction:https://azure.microsoft.com/en-us/pricing/details/defender-for-cloud/#pricing:https://learn.microsoft.com/en-us/cli/azure/security/pricing:https://learn.microsoft.com/en-us/powershell/module/az.security/get-azsecuritypricing:https://learn.microsoft.com/en-us/powershell/module/az.security/set-azsecuritypricing</t>
  </si>
  <si>
    <t>Defender for APIs is disabled by default.</t>
  </si>
  <si>
    <t>8.1.3.1</t>
  </si>
  <si>
    <t>Ensure that Defender for Servers is set to 'On'</t>
  </si>
  <si>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</si>
  <si>
    <t>Enabling Defender for Servers allows for greater defense-in-depth, with threat detection provided by the Microsoft Security Response Center (MSRC).</t>
  </si>
  <si>
    <t>Enabling Defender for Servers in Microsoft Defender for Cloud incurs an additional cost per resource. Refer to https://azure.microsoft.com/en-us/pricing/details/defender-for-cloud/ and https://azure.microsoft.com/en-us/pricing/calculator/ to estimate potential costs.
- Plan 1: Subscription only
- Plan 2: Subscription and workspace</t>
  </si>
  <si>
    <t>**Remediate from Azure Portal**
1. Go to `Microsoft Defender for Cloud`.
1. Under `Management`, select `Environment settings`.
1. Click on a subscription name.
1. Click `Defender plans` in the left pane.
1. Under `Cloud Workload Protection (CWP)`, locate `Servers` in the Plan column, set Status to `On`.
1. Select `Save`.
1. Repeat steps 1-6 for each subscription requiring remediation.
**Remediate from Azure CLI**
Run the following command:
```
az security pricing create -n VirtualMachines --tier 'standard'
```
**Remediate from PowerShell**
Run the following command:
```
Set-AzSecurityPricing -Name 'VirtualMachines' -PricingTier 'Standard'
```</t>
  </si>
  <si>
    <t>**Audit from Azure Portal**
1. Go to `Microsoft Defender for Cloud`.
1. Under `Management`, select `Environment settings`.
1. Click on a subscription name.
1. Select `Defender plans` in the left pane.
1. Under `Cloud Workload Protection (CWP)`, locate `Servers` in the Plan column, ensure Status is set to `On`.
1. Repeat steps 1-5 for each subscription.
**Audit from Azure CLI**
Run the following command:
```
az security pricing show -n VirtualMachines --query pricingTier
```
If the tenant is licensed and enabled, the output will indicate `Standard`.
**Audit from PowerShell**
Run the following command:
```
Get-AzSecurityPricing -Name 'VirtualMachines' |Select-Object Name,PricingTier
```
If the tenant is licensed and enabled, the `-PricingTier` parameter will indicate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[4da35fc9-c9e7-4960-aec9-797fe7d9051d](https://portal.azure.com/#view/Microsoft_Azure_Policy/PolicyDetailBlade/definitionId/%2Fproviders%2FMicrosoft.Authorization%2FpolicyDefinitions%2F4da35fc9-c9e7-4960-aec9-797fe7d9051d) **- Name:** 'Azure Defender for servers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</si>
  <si>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systems.;TITLE:Utilize Centrally Managed Anti-malware Software CONTROL:v7 8.1 DESCRIPTION:Utilize centrally managed anti-malware software to continuously monitor and defend each of the organization's workstations and servers.;</t>
  </si>
  <si>
    <t>https://learn.microsoft.com/en-us/azure/defender-for-cloud/defender-for-servers-overview:https://learn.microsoft.com/en-us/azure/defender-for-cloud/plan-defender-for-servers:https://learn.microsoft.com/en-us/rest/api/defenderforcloud/pricings/list:https://learn.microsoft.com/en-us/rest/api/defenderforcloud/pricings/update:https://learn.microsoft.com/en-us/powershell/module/az.security/get-azsecuritypricing:https://learn.microsoft.com/en-us/powershell/module/az.security/set-azsecuritypricing:https://learn.microsoft.com/en-us/security/benchmark/azure/mcsb-endpoint-security#es-1-use-endpoint-detection-and-response-edr</t>
  </si>
  <si>
    <t>By default, the Defender for Servers plan is disabled.</t>
  </si>
  <si>
    <t>8.1.3.2</t>
  </si>
  <si>
    <t>Ensure that 'Vulnerability assessment for machines' component status is set to 'On'</t>
  </si>
  <si>
    <t>Enable vulnerability assessment for machines on both Azure and hybrid (Arc enabled) machines.</t>
  </si>
  <si>
    <t>Vulnerability assessment for machines scans for various security-related configurations and events such as system updates, OS vulnerabilities, and endpoint protection, then produces alerts on threat and vulnerability findings.</t>
  </si>
  <si>
    <t>Microsoft Defender for Servers plan 2 licensing is required, and configuration of Azure Arc introduces complexity beyond this recommendation.</t>
  </si>
  <si>
    <t>**Remediate from Azure Portal**
1. From Azure Home select the Portal Menu
1. Select `Microsoft Defender for Cloud`
1. Under `Management`, select `Environment Settings`
1. Select a subscription
1. Click on `Settings &amp; Monitoring`
1. Set the `Status` of `Vulnerability assessment for machines` to `On`
1. Click `Continue`
Repeat the above for any additional subscriptions.</t>
  </si>
  <si>
    <t>**Audit from Azure Portal**
1. From Azure Home select the Portal Menu
1. Select `Microsoft Defender for Cloud`
1. Under `Management`, select `Environment Settings`
1. Select a subscription
1. Click on `Settings &amp; monitoring`
1. Ensure that `Vulnerability assessment for machines` is set to `On`
Repeat the above for any additional subscriptions.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[501541f7-f7e7-4cd6-868c-4190fdad3ac9](https://portal.azure.com/#view/Microsoft_Azure_Policy/PolicyDetailBlade/definitionId/%2Fproviders%2FMicrosoft.Authorization%2FpolicyDefinitions%2F501541f7-f7e7-4cd6-868c-4190fdad3ac9) **- Name:** 'A vulnerability assessment solution should be enabled on your virtual machines'</t>
  </si>
  <si>
    <t>While this feature is generally available as of publication, it is not yet available for Azure Government tenants.</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</si>
  <si>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</si>
  <si>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monitoring-components:https://learn.microsoft.com/en-us/rest/api/defenderforcloud/auto-provisioning-settings/list:https://learn.microsoft.com/en-us/rest/api/defenderforcloud/auto-provisioning-settings/create:https://learn.microsoft.com/en-us/security/benchmark/azure/mcsb-posture-vulnerability-management#pv-5-perform-vulnerability-assessments</t>
  </si>
  <si>
    <t>By default, `Automatic provisioning of monitoring agent` is set to `Off`.</t>
  </si>
  <si>
    <t>8.1.3.3</t>
  </si>
  <si>
    <t>Ensure that 'Endpoint protection' component status is set to 'On'</t>
  </si>
  <si>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</si>
  <si>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</si>
  <si>
    <t>Endpoint protection requires licensing and is included in these plans:
- Defender for Servers plan 1
- Defender for Servers plan 2</t>
  </si>
  <si>
    <t>**Remediate from Azure Portal**
1. From Azure Home select the Portal Menu.
1. Go to `Microsoft Defender for Cloud`.
1. Under `Management`, select `Environment Settings`.
1. Click on the subscription name.
1. Click `Settings &amp; monitoring`.
1. Set the `Status` for `Endpoint protection` to `On`.
1. Click `Continue`.
**Remediate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https://management.azure.com/subscriptions/&lt;subscriptionID&gt;/providers/Microsoft.Security/settings/WDATP?api-version=2022-05-01 -d@"input.json"'
```
Where input.json contains the Request body json data as mentioned below.
```
{
 "id": "/subscriptions/&lt;Your_Subscription_Id&gt;/providers/Microsoft.Security/settings/WDATP",
 "kind": "DataExportSettings",
 "type": "Microsoft.Security/settings",
 "properties": {
 "enabled": true
 }
}
```</t>
  </si>
  <si>
    <t>**Audit from Azure Portal**
1. From Azure Home select the Portal Menu.
1. Select `Microsoft Defender for Cloud`.
1. Under `Management`, select `Environment Settings`.
1. Click on the subscription name.
1. Click `Settings &amp; monitoring`.
1. Ensure the `Status` for `Endpoint protection` is set to `On`.
**Audit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https://management.azure.com/subscriptions/&lt;subscriptionID&gt;/providers/Microsoft.Security/settings?api-version=2022-05-01' | jq '.|.value[] | select(.name=="WDATP")'|jq '.properties.enabled'
```
**Audit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</si>
  <si>
    <t>**IMPORTANT:**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
NOTE: "Microsoft Defender for Endpoint (MDE)" was formerly known as "Windows Defender Advanced Threat Protection (WDATP)." There are a number of places (e.g. Azure CLI) where the "WDATP" acronym is still used within Azure.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</si>
  <si>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assets.;TITLE:Deploy a Host-Based Intrusion Detection Solution CONTROL:v8 13.2 DESCRIPTION:Deploy a host-based intrusion detection solution on enterprise assets, where appropriate and/or supported.;TITLE:Run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</si>
  <si>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integration-defender-for-endpoint:https://learn.microsoft.com/en-us/rest/api/defenderforcloud/settings/list:https://learn.microsoft.com/en-us/rest/api/defenderforcloud/settings/update:https://learn.microsoft.com/en-us/security/benchmark/azure/mcsb-endpoint-security#es-1-use-endpoint-detection-and-response-edr:https://learn.microsoft.com/en-us/security/benchmark/azure/mcsb-endpoint-security#es-2-use-modern-anti-malware-software</t>
  </si>
  <si>
    <t>By default, Endpoint protection is `off`.</t>
  </si>
  <si>
    <t>8.1.3.4</t>
  </si>
  <si>
    <t>Ensure that 'Agentless scanning for machines' component status is set to 'On'</t>
  </si>
  <si>
    <t>Using disk snapshots, the agentless scanner scans for installed software, vulnerabilities, and plain text secrets.</t>
  </si>
  <si>
    <t>The Microsoft Defender for Cloud agentless machine scanner provides threat detection, vulnerability detection, and discovery of sensitive information.</t>
  </si>
  <si>
    <t>Agentless scanning for machines requires licensing and is included in these plans:
- Defender CSPM
- Defender for Servers plan 2</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</si>
  <si>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</si>
  <si>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`Agentless scanning for machines`
1. Ensure that `On` is selected
Repeat the above for any additional subscriptions.</t>
  </si>
  <si>
    <t>https://learn.microsoft.com/en-us/azure/defender-for-cloud/concept-agentless-data-collection:https://learn.microsoft.com/en-us/security/benchmark/azure/mcsb-incident-response#ir-2-preparation---setup-incident-notification:https://learn.microsoft.com/en-us/azure/defender-for-cloud/enable-agentless-scanning-vms</t>
  </si>
  <si>
    <t>By default, Agentless scanning for machines is `off`.</t>
  </si>
  <si>
    <t>8.1.3.5</t>
  </si>
  <si>
    <t>Ensure that 'File Integrity Monitoring' component status is set to 'On'</t>
  </si>
  <si>
    <t>File Integrity Monitoring (FIM) is a feature that monitors critical system files in Windows or Linux for potential signs of attack or compromise.</t>
  </si>
  <si>
    <t>FIM provides a detection mechanism for compromised files. When FIM is enabled, critical system files are monitored for changes that might indicate a threat actor is attempting to modify system files for lateral compromise within a host operating system.</t>
  </si>
  <si>
    <t>File Integrity Monitoring requires licensing and is included in the following plan:
- Defender for Servers plan 2</t>
  </si>
  <si>
    <t>**Remediate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Select `On`
1. Click `Continue` in the top left 
Repeat the above for any additional subscriptions.</t>
  </si>
  <si>
    <t>**Audit from Azure Portal**
1. From the Azure Portal `Home` page, select `Microsoft Defender for Cloud`
1. Under `Management` select `Environment Settings`
1. Select a subscription
1. Under `Settings` &gt; `Defender Plans`, click `Settings &amp; monitoring`
1. Under the Component column, locate the row for `File Integrity Monitoring`
1. Ensure that `On` is selected
Repeat the above for any additional subscriptions.</t>
  </si>
  <si>
    <t>https://learn.microsoft.com/en-us/azure/defender-for-cloud/file-integrity-monitoring-overview:https://learn.microsoft.com/en-us/security/benchmark/azure/mcsb-incident-response#ir-2-preparation---setup-incident-notification:https://learn.microsoft.com/en-us/azure/defender-for-cloud/file-integrity-monitoring-enable-defender-endpoint</t>
  </si>
  <si>
    <t>By default, File Integrity Monitoring is `Off`.</t>
  </si>
  <si>
    <t>8.1.4.1</t>
  </si>
  <si>
    <t>Ensure That Microsoft Defender for Containers Is Set To 'On'</t>
  </si>
  <si>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</si>
  <si>
    <t>Enabling Microsoft Defender for Containers enhances defense-in-depth by providing advanced threat detection, vulnerability assessment, and security monitoring for containerized environments, leveraging insights from the Microsoft Security Response Center (MSRC).</t>
  </si>
  <si>
    <t>Microsoft Defender for Containers incurs a charge per vCore. Refer to https://azure.microsoft.com/en-us/pricing/details/defender-for-cloud/ and https://azure.microsoft.com/en-us/pricing/calculator/ to estimate potential costs.</t>
  </si>
  <si>
    <t>**Remediate from Azure Portal**
1. Go to `Microsoft Defender for Cloud`.
1. Under `Management`, click `Environment settings`.
1. Click the name of a subscription.
1. Under `Settings`, click `Defender plans`.
1. Under `Cloud Workload Protection (CWP)`, in the row for `Containers`, click `On` in the `Status` column.
1. If `Monitoring coverage` displays `Partial`, click `Settings` under `Partial`.
1. Set the status of each of the components to `On`.
1. Click `Continue`.
1. Click `Save`.
1. Repeat steps 1-9 for each subscription.
**Remediate from Azure CLI**
**Note:** Microsoft Defender for Container Registries ('ContainerRegistry') is deprecated and has been replaced by Microsoft Defender for Containers ('Containers').
Run the below command to enable the Microsoft Defender for Containers plan and its components:
```
az security pricing create -n 'Containers' --tier 'standard' --extensions name=ContainerRegistriesVulnerabilityAssessments isEnabled=True --extensions name=AgentlessDiscoveryForKubernetes isEnabled=True --extensions name=AgentlessVmScanning isEnabled=True --extensions name=ContainerSensor isEnabled=True
```
**Remediate from PowerShell**
**Note:** Microsoft Defender for Container Registries ('ContainerRegistry') is deprecated and has been replaced by Microsoft Defender for Containers ('Containers').
Run the below command to enable the Microsoft Defender for Containers plan and its components:
```
Set-AzSecurityPricing -Name 'Containers' -PricingTier 'Standard' -Extension '[{"name":"ContainerRegistriesVulnerabilityAssessments","isEnabled":"True"},{"name":"AgentlessDiscoveryForKubernetes","isEnabled":"True"},{"name":"AgentlessVmScanning","isEnabled":"True"},{"name":"ContainerSensor","isEnabled":"True"}]'
```</t>
  </si>
  <si>
    <t>**Audit from Azure Portal**
1. Go to `Microsoft Defender for Cloud`.
1. Under `Management`, click `Environment settings`.
1. Click the name of a subscription.
1. Under `Settings`, click `Defender plans`.
1. Under `Cloud Workload Protection (CWP)`, in the row for `Containers`, ensure that the `Status` is set to `On` and `Monitoring coverage` displays `Full`.
1. Repeat steps 1-5 for each subscription.
**Audit from Azure CLI**
For Microsoft Defender for Container Registries (deprecated), run the following command:
```
az security pricing show --name "ContainerRegistry" --query pricingTier
```
Ensure that the command returns `Standard`.
For Microsoft Defender for Containers, run the following command:
```
az security pricing show --name "Containers" --query [pricingTier,extensions[*].[name,isEnabled]]
```
Ensure that the command returns `Standard`, and that each of the extensions (ContainerRegistriesVulnerabilityAssessments, AgentlessDiscoveryForKubernetes, AgentlessVmScanning, ContainerSensor) returns `True`.
Repeat for each subscription.
**Audit from PowerShell**
For Microsoft Defender for Container Registries (deprecated), run the following command:
```
Get-AzSecurityPricing -Name 'ContainerRegistry' | Select-Object Name,PricingTier
```
Ensure the command returns `PricingTier` `Standard`.
For Microsoft Defender for Containers, run the following command:
```
Get-AzSecurityPricing -Name 'Containers'
```
Ensure that `PricingTier` is set to `Standard`, and that each of the extensions (ContainerRegistriesVulnerabilityAssessments, AgentlessDiscoveryForKubernetes, AgentlessVmScanning, ContainerSensor) has `isEnabled` set to `True`.
Repeat for each subscription.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[1c988dd6-ade4-430f-a608-2a3e5b0a6d38](https://portal.azure.com/#view/Microsoft_Azure_Policy/PolicyDetailBlade/definitionId/%2Fproviders%2FMicrosoft.Authorization%2FpolicyDefinitions%2F1c988dd6-ade4-430f-a608-2a3e5b0a6d38) **- Name:** 'Microsoft Defender for Containers should be enabled'</t>
  </si>
  <si>
    <t>The Azure Policy 'Microsoft Defender for Containers should be enabled' checks only that the `pricingTier` for `Containers` is set to `Standard`. It does not check the status of the plan's components.</t>
  </si>
  <si>
    <t>https://learn.microsoft.com/en-us/cli/azure/security/pricing:https://learn.microsoft.com/en-us/powershell/module/az.security/get-azsecuritypricing:https://learn.microsoft.com/en-us/powershell/module/az.security/set-azsecuritypricing:https://learn.microsoft.com/en-us/azure/defender-for-cloud/defender-for-containers-introduction:https://learn.microsoft.com/en-us/azure/defender-for-cloud/tutorial-enable-containers-azure:https://learn.microsoft.com/en-us/security/benchmark/azure/mcsb-logging-threat-detection#lt-1-enable-threat-detection-capabilities</t>
  </si>
  <si>
    <t>The Microsoft Defender for Containers plan is disabled by default.</t>
  </si>
  <si>
    <t>8.1.5.1</t>
  </si>
  <si>
    <t>Ensure That Microsoft Defender for Storage Is Set To 'On'</t>
  </si>
  <si>
    <t>Turning on Microsoft Defender for Storage enables threat detection for Storage, providing threat intelligence, anomaly detection, and behavior analytics in the Microsoft Defender for Cloud.</t>
  </si>
  <si>
    <t>Enabling Microsoft Defender for Storage allows for greater defense-in-depth, with threat detection provided by the Microsoft Security Response Center (MSRC).</t>
  </si>
  <si>
    <t>Turning on Microsoft Defender for Storage incurs an additional cost per resource.</t>
  </si>
  <si>
    <t>**Remediate from Azure Portal**
1. Go to `Microsoft Defender for Cloud`.
2. Under `Management`, select `Environment Settings`.
3. Click on the subscription name.
4. Select the `Defender plans` blade.
5. Set `Status` to `On` for `Storage`.
6. Select `Save`.
**Remediate from Azure CLI**
Ensure the output of the below command is Standard
```
az security pricing create -n StorageAccounts --tier 'standard'
```
**Remediate from PowerShell**
```
Set-AzSecurityPricing -Name 'StorageAccounts' -PricingTier 'Standard'
```</t>
  </si>
  <si>
    <t>**Audit from Azure Portal**
1. Go to `Microsoft Defender for Cloud`.
2. Under `Management`, select `Environment Settings`.
3. Click on the subscription name.
4. Select the `Defender plans` blade.
5. Ensure `Status` is set to `On` for `Storage`.
**Audit from Azure CLI**
Ensure the output of the below command is Standard
```
az security pricing show -n StorageAccounts
```
**Audit from PowerShell**
```
Get-AzSecurityPricing -Name 'StorageAccounts' | Select-Object Name,PricingTier
```
Ensure output for `Name PricingTier` is `StorageAccounts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[640d2586-54d2-465f-877f-9ffc1d2109f4](https://portal.azure.com/#view/Microsoft_Azure_Policy/PolicyDetailBlade/definitionId/%2Fproviders%2FMicrosoft.Authorization%2FpolicyDefinitions%2F640d2586-54d2-465f-877f-9ffc1d2109f4) **- Name:** 'Microsoft Defender for Storage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</si>
  <si>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</si>
  <si>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logging-threat-detection#lt-1-enable-threat-detection-capabilities</t>
  </si>
  <si>
    <t>By default, Microsoft Defender plan is off.</t>
  </si>
  <si>
    <t>8.1.5.2</t>
  </si>
  <si>
    <t>Ensure Advanced Threat Protection Alerts for Storage Accounts Are Monitored</t>
  </si>
  <si>
    <t>After enabling Microsoft Defender for Storage, configure an alert monitoring and response process to ensure that alerts are actioned in a timely manner. Integrate with SIEM solutions like Microsoft Sentinel, or configure email/webhook notifications to security teams.</t>
  </si>
  <si>
    <t>Enabling Microsoft Defender for Storage without a monitoring process limits its value. Continuous monitoring and alert triage ensure that detected threats are acted upon quickly, reducing risk exposure.</t>
  </si>
  <si>
    <t>Requires integration effort with SIEM or alerting tools and a defined incident response process.
The amount of data logged and, thus, the cost incurred can vary significantly depending on the tenant size and the applications in your tenant that interact with the Microsoft Graph APIs.
See the following pricing calculations for respective services:
- Log Analytics: https://learn.microsoft.com/en-us/azure/azure-monitor/logs/cost-logs#pricing-model.
- Azure Storage: https://azure.microsoft.com/en-us/pricing/details/storage/blobs/.
- Event Hubs: https://azure.microsoft.com/en-us/pricing/details/event-hubs/.</t>
  </si>
  <si>
    <t>Connect Microsoft Defender for Cloud to a SIEM such as Microsoft Sentinel or another log analytics solution.
**Remediate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1. Select either `Event Hub,` `Log Analytics Workspace,` or both depending on your environment. 
1. Set `Export enabled` to `On` 
1. Under Exported data types, ensure that **at least** `Security Alerts (Medium and High)` is checked.
1. Under Export target, set the target Event Hub or Log Analytics Workspace which is tied to a SIEM that is configured to monitor and alert for security alerts. 
Ensure security alerts are included in the security operations workflow and incident response plan.</t>
  </si>
  <si>
    <t>**Audit from Azure Portal**
1. Go to `Microsoft Defender for Cloud`.
1. Under `Management`, click `Environment Settings`.
1. Expand the Tenant Root Group(s) to reveal subscriptions. 
For each subscription listed:
1. Click the subscription name to open the `Defender Plans` settings
1. In the settings on the left, click `Continuous Export`
Ensure that `Export enabled` is set to `On` and delivering **at least** `Security Alerts (Medium and High)` to an Event Hub or Log Analytics Workspace which is tied to a SIEM that is configured to monitor and alert for security alerts.</t>
  </si>
  <si>
    <t>https://learn.microsoft.com/azure/defender-for-cloud/alerts-overview:https://learn.microsoft.com/azure/sentinel/connect-defender-for-cloud:https://learn.microsoft.com/en-us/azure/defender-for-cloud/continuous-export</t>
  </si>
  <si>
    <t>By default, continuous export is `off.`</t>
  </si>
  <si>
    <t>8.1.6.1</t>
  </si>
  <si>
    <t>Ensure That Microsoft Defender for App Services Is Set To 'On'</t>
  </si>
  <si>
    <t>Turning on Microsoft Defender for App Service enables threat detection for App Service, providing threat intelligence, anomaly detection, and behavior analytics in the Microsoft Defender for Cloud.</t>
  </si>
  <si>
    <t>Enabling Microsoft Defender for App Service allows for greater defense-in-depth, with threat detection provided by the Microsoft Security Response Center (MSRC).</t>
  </si>
  <si>
    <t>Turning on Microsoft Defender for App Service incurs an additional cost per resource.</t>
  </si>
  <si>
    <t>**Remediate from Azure Portal**
1. Go to `Microsoft Defender for Cloud`
2. Under `Management`, select `Environment Settings`
3. Click on the subscription name
4. Select `Defender plans`
5. Set `App Service` Status to `On`
6. Select `Save`
**Remediate from Azure CLI**
Run the following command:
```
az security pricing create -n Appservices --tier 'standard'
```
**Remediate from PowerShell**
Run the following command:
```
Set-AzSecurityPricing -Name "AppServices" -PricingTier "Standard" 
```</t>
  </si>
  <si>
    <t>**Audit from Azure Portal**
1. Go to `Microsoft Defender for Cloud`
2. Under `Management`, select `Environment Settings`
3. Click on the subscription name
4. Select `Defender plans`
5. Ensure Status is `On` for `App Service`
**Audit from Azure CLI**
Run the following command:
```
az security pricing show -n AppServices
```
Ensure `-PricingTier` is set to `Standard`
**Audit from PowerShell**
Run the following command:
```
Get-AzSecurityPricing -Name 'AppServices'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[2913021d-f2fd-4f3d-b958-22354e2bdbcb](https://portal.azure.com/#view/Microsoft_Azure_Policy/PolicyDetailBlade/definitionId/%2Fproviders%2FMicrosoft.Authorization%2FpolicyDefinitions%2F2913021d-f2fd-4f3d-b958-22354e2bdbcb) **- Name:** 'Azure Defender for App Service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</si>
  <si>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</si>
  <si>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8.1.7.1</t>
  </si>
  <si>
    <t>Ensure That Microsoft Defender for Azure Cosmos DB Is Set To 'On'</t>
  </si>
  <si>
    <t>Microsoft Defender for Azure Cosmos DB scans all incoming network requests for threats to your Azure Cosmos DB resources.</t>
  </si>
  <si>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</si>
  <si>
    <t>Enabling Microsoft Defender for Azure Cosmos DB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</si>
  <si>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On the `Database` row click on `Select types &gt;`.
6. Set the toggle switch next to `Azure Cosmos DB` to `On`.
7. Click `Continue`.
8. Click `Save`.
**Remediate from Azure CLI**
Run the following command:
```
az security pricing create -n 'CosmosDbs' --tier 'standard'
```
**Remediate from PowerShell**
Use the below command to enable Standard pricing tier for Azure Cosmos DB
```
Set-AzSecurityPricing -Name 'CosmosDbs' -PricingTier 'Standard
```</t>
  </si>
  <si>
    <t>**Audit from Azure Portal**
1. Go to `Microsoft Defender for Cloud`.
2. Under `Management`, select `Environment Settings`.
3. Click on the subscription name.
4. Select the `Defender plans` blade.
5. On the `Database` row click on `Select types &gt;`.
6. Ensure the toggle switch next to `Azure Cosmos DB` is set to `On`.
**Audit from Azure CLI**
Ensure the output of the below command is Standard
```
az security pricing show -n CosmosDbs --query pricingTier
```
**Audit from PowerShell**
```
Get-AzSecurityPricing -Name 'CosmosDbs' | Select-Object Name,PricingTier 
```
Ensure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[adbe85b5-83e6-4350-ab58-bf3a4f736e5e](https://portal.azure.com/#view/Microsoft_Azure_Policy/PolicyDetailBlade/definitionId/%2Fproviders%2FMicrosoft.Authorization%2FpolicyDefinitions%2Fadbe85b5-83e6-4350-ab58-bf3a4f736e5e) **- Name:** 'Microsoft Defender for Azure Cosmos DB should be enabled'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</si>
  <si>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</si>
  <si>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azure.microsoft.com/en-us/pricing/details/defender-for-cloud/:https://learn.microsoft.com/en-us/azure/defender-for-cloud/connect-azure-subscription:https://learn.microsoft.com/en-us/azure/defender-for-cloud/alerts-overview:https://learn.microsoft.com/en-us/security/benchmark/azure/baselines/azure-cosmos-db-security-baseline:https://learn.microsoft.com/en-us/azure/defender-for-cloud/tutorial-enable-databases-plan:https://learn.microsoft.com/en-us/security/benchmark/azure/mcsb-logging-threat-detection#lt-1-enable-threat-detection-capabilities</t>
  </si>
  <si>
    <t>By default, Microsoft Defender for Azure Cosmos DB is not enabled.</t>
  </si>
  <si>
    <t>8.1.7.2</t>
  </si>
  <si>
    <t>Ensure That Microsoft Defender for Open-Source Relational Databases Is Set To 'On'</t>
  </si>
  <si>
    <t>Turning on Microsoft Defender for Open-source relational databases enables threat detection for Open-source relational databases, providing threat intelligence, anomaly detection, and behavior analytics in the Microsoft Defender for Cloud.</t>
  </si>
  <si>
    <t>Enabling Microsoft Defender for Open-source relational databases allows for greater defense-in-depth, with threat detection provided by the Microsoft Security Response Center (MSRC).</t>
  </si>
  <si>
    <t>Turning on Microsoft Defender for Open-source relational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</si>
  <si>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`Open-source relational databases` to `On`.
7. Select `Continue`.
8. Select `Save`.
**Remediate from Azure CLI**
Run the following command:
```
az security pricing create -n 'OpenSourceRelationalDatabases' --tier 'standard'
```
**Remediate from PowerShell**
Use the below command to enable Standard pricing tier for Open-source relational databases
```
set-azsecuritypricing -name "OpenSourceRelationalDatabases" -pricingtier "Standard"
```</t>
  </si>
  <si>
    <t>**Audit from Azure Portal**
1. Go to `Microsoft Defender for Cloud`.
1. Under `Management`, select `Environment Settings`.
1. Click on the subscription name.
1. Select the `Defender plans` blade.
1. Click `Select types &gt;` in the row for `Databases`.
1. Ensure the toggle switch next to `Open-source relational databases` is set to `On`.
**Audit from Azure CLI**
Run the following command:
```
az security pricing show -n OpenSourceRelationalDatabases --query pricingTier
```
**Audit from PowerShell**
```
Get-AzSecurityPricing | Where-Object {$_.Name -eq 'OpenSourceRelationalDatabases'} | Select-Object Name, PricingTier
```
Ensure output for `Name PricingTier` is `OpenSourceRelationalDatabases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[0a9fbe0d-c5c4-4da8-87d8-f4fd77338835](https://portal.azure.com/#view/Microsoft_Azure_Policy/PolicyDetailBlade/definitionId/%2Fproviders%2FMicrosoft.Authorization%2FpolicyDefinitions%2F0a9fbe0d-c5c4-4da8-87d8-f4fd77338835) **- Name:** 'Azure Defender for open-source relational databases should be enabled'</t>
  </si>
  <si>
    <t>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</si>
  <si>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8.1.7.3</t>
  </si>
  <si>
    <t>Ensure That Microsoft Defender for (Managed Instance) Azure SQL Databases Is Set To 'On'</t>
  </si>
  <si>
    <t>Turning on Microsoft Defender for Azure SQL Databases enables threat detection for Managed Instance Azure SQL databases, providing threat intelligence, anomaly detection, and behavior analytics in Microsoft Defender for Cloud.</t>
  </si>
  <si>
    <t>Enabling Microsoft Defender for Azure SQL Databases allows for greater defense-in-depth, includes functionality for discovering and classifying sensitive data, surfacing and mitigating potential database vulnerabilities, and detecting anomalous activities that could indicate a threat to your database.</t>
  </si>
  <si>
    <t>Turning on Microsoft Defender for Azure SQL Databases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</si>
  <si>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`Azure SQL Databases` to `On`.
7. Select `Continue`.
8. Select `Save`.
**Remediate from Azure CLI**
Run the following command:
```
az security pricing create -n SqlServers --tier 'standard'
```
**Remediate from PowerShell**
Run the following command:
```
Set-AzSecurityPricing -Name 'SqlServers'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</si>
  <si>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`Azure SQL Databases` is set to `On`.
**Audit from Azure CLI**
Run the following command:
```
az security pricing show -n SqlServers
```
Ensure `-PricingTier` is set to `Standard`
**Audit from PowerShell**
Run the following command:
```
Get-AzSecurityPricing -Name 'SqlServers'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[7fe3b40f-802b-4cdd-8bd4-fd799c948cc2](https://portal.azure.com/#view/Microsoft_Azure_Policy/PolicyDetailBlade/definitionId/%2Fproviders%2FMicrosoft.Authorization%2FpolicyDefinitions%2F7fe3b40f-802b-4cdd-8bd4-fd799c948cc2) **- Name:** 'Azure Defender for Azure SQL Database servers should be enabled'
- **Policy ID:** [abfb7388-5bf4-4ad7-ba99-2cd2f41cebb9](https://portal.azure.com/#view/Microsoft_Azure_Policy/PolicyDetailBlade/definitionId/%2Fproviders%2FMicrosoft.Authorization%2FpolicyDefinitions%2Fabfb7388-5bf4-4ad7-ba99-2cd2f41cebb9) **- Name:** 'Azure Defender for SQL should be enabled for unprotected SQL Managed Instances'
- **Policy ID:** [3bc8a0d5-38e0-4a3d-a657-2cb64468fc34](https://portal.azure.com/#view/Microsoft_Azure_Policy/PolicyDetailBlade/definitionId/%2Fproviders%2FMicrosoft.Authorization%2FpolicyDefinitions%2F3bc8a0d5-38e0-4a3d-a657-2cb64468fc34) **- Name:** 'Azure Defender for SQL should be enabled for unprotected MySQL flexible servers'
- **Policy ID:** [d38668f5-d155-42c7-ab3d-9b57b50f8fbf](https://portal.azure.com/#view/Microsoft_Azure_Policy/PolicyDetailBlade/definitionId/%2Fproviders%2FMicrosoft.Authorization%2FpolicyDefinitions%2Fd38668f5-d155-42c7-ab3d-9b57b50f8fbf) **- Name:** 'Azure Defender for SQL should be enabled for unprotected PostgreSQL flexible servers'
- **Policy ID:** [d31e5c31-63b2-4f12-887b-e49456834fa1](https://portal.azure.com/#view/Microsoft_Azure_Policy/PolicyDetailBlade/definitionId/%2Fproviders%2FMicrosoft.Authorization%2FpolicyDefinitions%2Fd31e5c31-63b2-4f12-887b-e49456834fa1) **- Name:** 'Microsoft Defender for SQL should be enabled for unprotected Synapse workspaces'
- **Policy ID:** [938c4981-c2c9-4168-9cd6-972b8675f906](https://portal.azure.com/#view/Microsoft_Azure_Policy/PolicyDetailBlade/definitionId/%2Fproviders%2FMicrosoft.Authorization%2FpolicyDefinitions%2F938c4981-c2c9-4168-9cd6-972b8675f906) **- Name:** 'Microsoft Defender for SQL status should be protected for Arc-enabled SQL Servers'</t>
  </si>
  <si>
    <t>https://learn.microsoft.com/en-us/azure/defender-for-cloud/alerts-overview:https://learn.microsoft.com/en-us/rest/api/defenderforcloud/pricings/list: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</si>
  <si>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8.1.7.4</t>
  </si>
  <si>
    <t>Ensure That Microsoft Defender for SQL Servers on Machines Is Set To 'On'</t>
  </si>
  <si>
    <t>Turning on Microsoft Defender for SQL servers on machines enables threat detection for SQL servers on machines, providing threat intelligence, anomaly detection, and behavior analytics in Microsoft Defender for Cloud.</t>
  </si>
  <si>
    <t>Enabling Microsoft Defender for SQL servers on machines allows for greater defense-in-depth, functionality for discovering and classifying sensitive data, surfacing and mitigating potential database vulnerabilities, and detecting anomalous activities that could indicate a threat to your database.</t>
  </si>
  <si>
    <t>Turning on Microsoft Defender for SQL servers on machines incurs an additional cost per resource.</t>
  </si>
  <si>
    <t>**Remediate from Azure Portal**
1. Go to `Microsoft Defender for Cloud`.
2. Under `Management`, select `Environment Settings`.
3. Click on the subscription name.
4. Select the `Defender plans` blade.
5. Click `Select types &gt;` in the row for `Databases`.
6. Set the toggle switch next to `SQL servers on machines` to `On`.
7. Select `Continue`.
8. Select `Save`.
**Remediate from Azure CLI**
Run the following command:
```
az security pricing create -n SqlServerVirtualMachines --tier 'standard'
```
**Remediate from PowerShell**
Run the following command:
```
Set-AzSecurityPricing -Name 'SqlServerVirtualMachines' -PricingTier 'Standard'
```</t>
  </si>
  <si>
    <t>**Audit from Azure Portal**
1. Go to `Microsoft Defender for Cloud`.
2. Under `Management`, select `Environment Settings`.
3. Click on the subscription name.
4. Select the `Defender plans` blade.
5. Click `Select types &gt;` in the row for `Databases`.
6. Ensure the toggle switch next to `SQL servers on machines` is set to `On`.
**Audit from Azure CLI**
Ensure Defender for SQL is licensed with the following command:
```
az security pricing show -n SqlServerVirtualMachines
```
Ensure the 'PricingTier' is set to 'Standard'
**Audit from PowerShell**
Run the following command:
```
Get-AzSecurityPricing -Name 'SqlServerVirtualMachines' | Select-Object Name,PricingTier
```
Ensure the 'PricingTier' is set to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[6581d072-105e-4418-827f-bd446d56421b](https://portal.azure.com/#view/Microsoft_Azure_Policy/PolicyDetailBlade/definitionId/%2Fproviders%2FMicrosoft.Authorization%2FpolicyDefinitions%2F6581d072-105e-4418-827f-bd446d56421b) **- Name:** 'Azure Defender for SQL servers on machines should be enabled'
- **Policy ID:** [abfb4388-5bf4-4ad7-ba82-2cd2f41ceae9](https://portal.azure.com/#view/Microsoft_Azure_Policy/PolicyDetailBlade/definitionId/%2Fproviders%2FMicrosoft.Authorization%2FpolicyDefinitions%2Fabfb4388-5bf4-4ad7-ba82-2cd2f41ceae9) **- Name:** 'Azure Defender for SQL should be enabled for unprotected Azure SQL servers'</t>
  </si>
  <si>
    <t>https://learn.microsoft.com/en-us/azure/defender-for-cloud/defender-for-sql-usage:https://learn.microsoft.com/en-us/azure/defender-for-cloud/alerts-overview:https://learn.microsoft.com/en-us/rest/api/defenderforcloud/pricings/update:https://learn.microsoft.com/en-us/powershell/module/az.security/get-azsecuritypricing:https://learn.microsoft.com/en-us/security/benchmark/azure/mcsb-data-protection#dp-2-monitor-anomalies-and-threats-targeting-sensitive-data:https://learn.microsoft.com/en-us/security/benchmark/azure/mcsb-logging-threat-detection#lt-1-enable-threat-detection-capabilities</t>
  </si>
  <si>
    <t>8.1.8.1</t>
  </si>
  <si>
    <t>Ensure That Microsoft Defender for Key Vault Is Set To 'On'</t>
  </si>
  <si>
    <t>Turning on Microsoft Defender for Key Vault enables threat detection for Key Vault, providing threat intelligence, anomaly detection, and behavior analytics in the Microsoft Defender for Cloud.</t>
  </si>
  <si>
    <t>Enabling Microsoft Defender for Key Vault allows for greater defense-in-depth, with threat detection provided by the Microsoft Security Response Center (MSRC).</t>
  </si>
  <si>
    <t>Turning on Microsoft Defender for Key Vault incurs an additional cost per resource.</t>
  </si>
  <si>
    <t>**Remediate from Azure Portal**
1. Go to `Microsoft Defender for Cloud`.
2. Under `Management`, select `Environment Settings`.
3. Click on the subscription name.
4. Select the `Defender plans` blade.
5. Select `On` under `Status` for `Key Vault`.
6. Select `Save`.
**Remediate from Azure CLI**
Enable Standard pricing tier for Key Vault:
```
az security pricing create -n 'KeyVaults' --tier 'Standard'
```
**Remediate from PowerShell**
Enable Standard pricing tier for Key Vault:
```
Set-AzSecurityPricing -Name 'KeyVaults' -PricingTier 'Standard'
```</t>
  </si>
  <si>
    <t>**Audit from Azure Portal**
1. Go to `Microsoft Defender for Cloud`.
2. Under `Management`, select `Environment Settings`.
3. Click on the subscription name.
4. Select the `Defender plans` blade.
5. Ensure `Status` is set to `On` for `Key Vault`.
**Audit from Azure CLI**
Ensure the output of the below command is Standard
```
az security pricing show -n 'KeyVaults' --query 'pricingTier'
```
**Audit from PowerShell**
```
Get-AzSecurityPricing -Name 'KeyVaults' | Select-Object Name,PricingTier
```
Ensure output for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[0e6763cc-5078-4e64-889d-ff4d9a839047](https://portal.azure.com/#view/Microsoft_Azure_Policy/PolicyDetailBlade/definitionId/%2Fproviders%2FMicrosoft.Authorization%2FpolicyDefinitions%2F0e6763cc-5078-4e64-889d-ff4d9a839047) **- Name:** 'Azure Defender for Key Vault should be enabled'</t>
  </si>
  <si>
    <t>8.1.9.1</t>
  </si>
  <si>
    <t>Ensure That Microsoft Defender for Resource Manager Is Set To 'On'</t>
  </si>
  <si>
    <t>Microsoft Defender for Resource Manager scans incoming administrative requests to change your infrastructure from both CLI and the Azure portal.</t>
  </si>
  <si>
    <t>Scanning resource requests lets you be alerted every time there is suspicious activity in order to prevent a security threat from being introduced.</t>
  </si>
  <si>
    <t>Enabling Microsoft Defender for Resource Manager requires enabling Microsoft Defender for your subscription. Both will incur additional charges.</t>
  </si>
  <si>
    <t>**Remediate from Azure Portal**
1. Go to `Microsoft Defender for Cloud`.
2. Under `Management`, select `Environment Settings`.
3. Click on the subscription name.
4. Select the `Defender plans` blade.
5. Select `On` under `Status` for `Resource Manager`.
6. Select `Save`.
**Remediate from Azure CLI**
Use the below command to enable Standard pricing tier for Defender for Resource Manager
```
az security pricing create -n 'Arm' --tier 'Standard'
```
**Remediate from PowerShell**
Use the below command to enable Standard pricing tier for Defender for Resource Manager
```
Set-AzSecurityPricing -Name 'Arm' -PricingTier 'Standard'
```</t>
  </si>
  <si>
    <t>**Audit from Azure Portal**
1. Go to `Microsoft Defender for Cloud`.
2. Under `Management`, select `Environment Settings`.
3. Click on the subscription name.
4. Select the `Defender plans` blade.
5. Ensure `Status` is set to `On` for `Resource Manager`.
**Audit from Azure CLI**
Ensure the output of the below command is Standard
```
az security pricing show -n 'Arm' --query 'pricingTier'
```
**Audit from PowerShell**
```
Get-AzSecurityPricing -Name 'Arm' | Select-Object Name,PricingTier
```
Ensure the output of `PricingTier` is `Standard`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[c3d20c29-b36d-48fe-808b-99a87530ad99](https://portal.azure.com/#view/Microsoft_Azure_Policy/PolicyDetailBlade/definitionId/%2Fproviders%2FMicrosoft.Authorization%2FpolicyDefinitions%2Fc3d20c29-b36d-48fe-808b-99a87530ad99) **- Name:** 'Azure Defender for Resource Manager should be enabled'</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</si>
  <si>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</si>
  <si>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learn.microsoft.com/en-us/azure/defender-for-cloud/connect-azure-subscription:https://learn.microsoft.com/en-us/azure/defender-for-cloud/defender-for-resource-manager-introduction:https://azure.microsoft.com/en-us/pricing/details/defender-for-cloud/:https://learn.microsoft.com/en-us/azure/defender-for-cloud/alerts-overview:https://learn.microsoft.com/en-us/security/benchmark/azure/mcsb-logging-threat-detection#lt-1-enable-threat-detection-capabilities</t>
  </si>
  <si>
    <t>By default, Microsoft Defender for Resource Manager is not enabled.</t>
  </si>
  <si>
    <t>8.2.1</t>
  </si>
  <si>
    <t>Ensure That Microsoft Defender for IoT Hub Is Set To 'On'</t>
  </si>
  <si>
    <t>Microsoft Defender for IoT acts as a central security hub for IoT devices within your organization.</t>
  </si>
  <si>
    <t>IoT devices are very rarely patched and can be potential attack vectors for enterprise networks. Updating their network configuration to use a central security hub allows for detection of these breaches.</t>
  </si>
  <si>
    <t>Enabling Microsoft Defender for IoT will incur additional charges dependent on the level of usage.</t>
  </si>
  <si>
    <t>**Remediate from Azure Portal**
1. Go to `IoT Hub`.
2. Select an `IoT Hub` to validate.
3. Select `Overview` in `Defender for IoT`.
4. Click on `Secure your IoT solution`, and complete the onboarding.</t>
  </si>
  <si>
    <t>**Audit from Azure Portal**
1. Go to `IoT Hub`.
2. Select an `IoT Hub` to validate.
3. Select `Overview` in `Defender for IoT`.
4. The Threat prevention and Threat detection screen will appear, if `Defender for IoT` is Enabled.</t>
  </si>
  <si>
    <t>There are additional configurations for Microsoft Defender for IoT that allow for types of deployments called hybrid or local. Both run on your physical infrastructure. These are complicated setups and are primarily outside of the scope of a purely Azure benchmark. Please see the references to consider these options for your organization.</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</si>
  <si>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tool.;TITLE:Collect Network Traffic Flow Logs CONTROL:v8 13.6 DESCRIPTION:Collect network traffic flow logs and/or network traffic to review and alert upon from network devices.;TITLE:Run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</si>
  <si>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www.microsoft.com/en-us/security/business/endpoint-security/microsoft-defender-iot#overview:https://learn.microsoft.com/en-us/azure/defender-for-iot/:https://www.microsoft.com/en-us/security/business/endpoint-security/microsoft-defender-iot-pricing:https://learn.microsoft.com/en-us/security/benchmark/azure/baselines/microsoft-defender-for-iot-security-baseline:https://learn.microsoft.com/en-us/cli/azure/iot:https://learn.microsoft.com/en-us/security/benchmark/azure/mcsb-logging-threat-detection#lt-1-enable-threat-detection-capabilities:https://learn.microsoft.com/en-us/azure/defender-for-iot/device-builders/quickstart-onboard-iot-hub</t>
  </si>
  <si>
    <t>By default, Microsoft Defender for IoT is not enabled.</t>
  </si>
  <si>
    <t>8.3.6</t>
  </si>
  <si>
    <t>Ensure that Role Based Access Control for Azure Key Vault is enabled</t>
  </si>
  <si>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</si>
  <si>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</si>
  <si>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</si>
  <si>
    <t>**Remediate from Azure Portal**
Key Vaults can be configured to use `Azure role-based access control` on creation.
For existing Key Vaults:
1. From Azure Home open the Portal Menu in the top left corner
2. Select `Key Vaults`
3. Select a Key Vault to audit
4. Select `Access configuration`
5. Set the Permission model radio button to `Azure role-based access control`, taking note of the warning message
6. Click `Save`
7. Select `Access Control (IAM)`
8. Select the `Role Assignments` tab
9. Reapply permissions as needed to groups or users
**Remediate from Azure CLI**
To enable RBAC Authorization for each Key Vault, run the following Azure CLI command:
```
az keyvault update --resource-group &lt;resource_group&gt; --name &lt;vault_name&gt; --enable-rbac-authorization true
```
**Remediate from PowerShell**
To enable RBAC authorization on each Key Vault, run the following PowerShell command:
```
Update-AzKeyVault -ResourceGroupName &lt;resource_group&gt; -VaultName &lt;vault_name&gt; -EnableRbacAuthorization $True
```</t>
  </si>
  <si>
    <t>**Audit from Azure Portal**
1. From Azure Home open the Portal Menu in the top left corner
2. Select Key Vaults
3. Select a Key Vault to audit
4. Select Access configuration
5. Ensure the Permission Model radio button is set to `Azure role-based access control`
**Audit from Azure CLI**
Run the following command for each Key Vault in each Resource Group:
```
az keyvault show --resource-group &lt;resource_group&gt; --name &lt;vault_name&gt;
```
Ensure the `enableRbacAuthorization` setting is set to `true` within the output of the above command.
**Audit from PowerShell**
Run the following PowerShell command:
```
Get-AzKeyVault -Vaultname &lt;vault_name&gt; -ResourceGroupName &lt;resource_group&gt;
```
Ensure the `Enabled For RBAC Authorization` setting is set to `True`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[12d4fa5e-1f9f-4c21-97a9-b99b3c6611b5](https://portal.azure.com/#view/Microsoft_Azure_Policy/PolicyDetailBlade/definitionId/%2Fproviders%2FMicrosoft.Authorization%2FpolicyDefinitions%2F12d4fa5e-1f9f-4c21-97a9-b99b3c6611b5) **- Name:** 'Azure Key Vault should use RBAC permission model'</t>
  </si>
  <si>
    <t>https://learn.microsoft.com/en-us/azure/key-vault/general/rbac-migration#vault-access-policy-to-azure-rbac-migration-steps:https://learn.microsoft.com/en-us/azure/role-based-access-control/role-assignments-portal:https://learn.microsoft.com/en-us/azure/role-based-access-control/overview:https://learn.microsoft.com/en-us/security/benchmark/azure/mcsb-data-protection#dp-8-ensure-security-of-key-and-certificate-repository</t>
  </si>
  <si>
    <t>The default value for Access control in Key Vaults is Vault Policy.</t>
  </si>
  <si>
    <t>8.3.8</t>
  </si>
  <si>
    <t>Ensure Private Endpoints are used to access Azure Key Vault</t>
  </si>
  <si>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</si>
  <si>
    <t>Securing traffic between services through encryption protects the data from easy interception and reading.
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</si>
  <si>
    <t>If an Azure Virtual Network is not implemented correctly, this may result in the loss of critical network traffic.
Private endpoints are charged per hour of use. Refer to https://azure.microsoft.com/en-us/pricing/details/private-link/ and https://azure.microsoft.com/en-us/pricing/calculator/ to estimate potential costs.</t>
  </si>
  <si>
    <t>**Please see the additional information about the requirements needed before starting this remediation procedure.**
**Remediate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**Remediate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3. Determine the Private Endpoint's IP address to connect the Key Vault to the Private DNS you have previously created:
4. Look for the property networkInterfaces then id; the value must be placed in the variable &lt;privateEndpointNIC&gt; within step 7.
```
az network private-endpoint show -g &lt;resourceGroupName&gt; -n &lt;privateEndpointName&gt; 
```
5. Look for the property networkInterfaces then id; the value must be placed on &lt;privateEndpointNIC&gt; in step 7.
```
az network nic show --ids &lt;privateEndpointName&gt; 
```
6. Create a Private DNS record within the DNS Zone you created for the Private Endpoint:
```
az network private-dns record-set a add-record -g &lt;resourcecGroupName&gt; -z "privatelink.vaultcore.azure.net" -n &lt;keyVaultName&gt; -a &lt;privateEndpointNIC&gt;
```
7. nslookup the private endpoint to determine if the DNS record is correct:
```
nslookup &lt;keyVaultName&gt;.vault.azure.net
nslookup &lt;keyVaultName&gt;.privatelink.vaultcore.azure.n
```</t>
  </si>
  <si>
    <t>**Audit from Azure Portal**
1. From Azure Home open the Portal Menu in the top left.
2. Select Key Vaults.
3. Select a Key Vault to audit.
4. Select `Networking` in the left column.
5. Select `Private endpoint connections` from the top row.
6. View if there is an endpoint attached.
**Audit from Azure CLI**
Run the following command within a subscription for each Key Vault you wish to audit.
```
az keyvault show --name &lt;keyVaultName&gt;
```
Ensure that `privateEndpointConnections` is not `null`.
**Audit from PowerShell**
Run the following command within a subscription for each Key Vault you wish to audit.
```
Get-AzPrivateEndpointConnection -PrivateLinkResourceId '/subscriptions/&lt;subscriptionNumber&gt;/resourceGroups/&lt;resourceGroup&gt;/providers/Microsoft.KeyVault/vaults/&lt;keyVaultName&gt;/'
```
Ensure that the response contains details of a private endpoint.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[a6abeaec-4d90-4a02-805f-6b26c4d3fbe9](https://portal.azure.com/#view/Microsoft_Azure_Policy/PolicyDetailBlade/definitionId/%2Fproviders%2FMicrosoft.Authorization%2FpolicyDefinitions%2Fa6abeaec-4d90-4a02-805f-6b26c4d3fbe9) **- Name:** 'Azure Key Vaults should use private link'</t>
  </si>
  <si>
    <t>This recommendation assumes that you have created a Resource Group containing a Virtual Network that the services are already associated with and configured private DNS. A Bastion on the virtual network is also required, and the service to which you are connecting must already have a Private Endpoint. For information concerning the installation of these services, please see the attached documentation.
Microsoft's own documentation lists the requirements as:
 A Key Vault.
 An Azure virtual network.
 A subnet in the virtual network.
 Owner or contributor permissions for both the Key Vault and the virtual network.
This recommendation is based on the Common Reference Recommendation `Ensure Private Endpoints are used to access {service}`, from the `Common Reference Recommendations &gt; Networking &gt; Private Endpoints` section.</t>
  </si>
  <si>
    <t>https://learn.microsoft.com/en-us/azure/private-link/private-endpoint-overview:https://learn.microsoft.com/en-us/azure/storage/common/storage-private-endpoints:https://azure.microsoft.com/en-us/pricing/details/private-link/:https://learn.microsoft.com/en-us/azure/key-vault/general/private-link-service:https://learn.microsoft.com/en-us/azure/virtual-network/quick-create-portal:https://learn.microsoft.com/en-us/azure/private-link/tutorial-private-endpoint-storage-portal:https://learn.microsoft.com/en-us/azure/bastion/bastion-overview:https://learn.microsoft.com/en-us/azure/dns/private-dns-getstarted-cli#create-an-additional-dns-record:https://learn.microsoft.com/en-us/security/benchmark/azure/mcsb-data-protection#dp-8-ensure-security-of-key-and-certificate-repository</t>
  </si>
  <si>
    <t>By default, Private Endpoints are not created for services.</t>
  </si>
  <si>
    <t>8.3.9</t>
  </si>
  <si>
    <t>Ensure automatic key rotation is enabled within Azure Key Vault</t>
  </si>
  <si>
    <t>Automated cryptographic key rotation in Key Vault allows users to configure Key Vault to automatically generate a new key version at a specified frequency. A key rotation policy can be defined for each individual key.</t>
  </si>
  <si>
    <t>Automatic key rotation reduces risk by ensuring that keys are rotated without manual intervention.
Azure and NIST recommend that keys be rotated every two years or less. Refer to 'Table 1: Suggested cryptoperiods for key types' on page 46 of the following document for more information: https://nvlpubs.nist.gov/nistpubs/SpecialPublications/NIST.SP.800-57pt1r5.pdf.</t>
  </si>
  <si>
    <t>There is an additional cost for each scheduled key rotation.</t>
  </si>
  <si>
    <t>**Note:**
Azure CLI and PowerShell use the ISO8601 duration format for time spans. The format is `P&lt;timespanInISO8601Format&gt;(Y,M,D)`. The leading P is required and is referred to as `period`. The `(Y,M,D)` are for the duration of Year, Month, and Day, respectively. A time frame of 2 years, 2 months, 2 days would be `P2Y2M2D`. For Azure CLI and PowerShell, it is easiest to supply the policy flags in a `.json file`, for example:
```
{
 "lifetimeActions": [
 {
 "trigger": {
 "timeAfterCreate": "P&lt;timespanInISO8601Format&gt;(Y,M,D)", 
 "timeBeforeExpiry" : null
 },
 "action": {
 "type": "Rotate"
 }
 },
 {
 "trigger": {
 "timeBeforeExpiry" : "P&lt;timespanInISO8601Format&gt;(Y,M,D)"
 },
 "action": {
 "type": "Notify"
 }
 }
 ],
 "attributes": {
 "expiryTime": "P&lt;timespanInISO8601Format&gt;(Y,M,D)"
 }
}
```
**Remediate from Azure Portal**
1. Go to `Key Vaults`.
1. Select a Key Vault. 
1. Under `Objects`, select `Keys`.
1. Select a key.
1. From the top row, select `Rotation policy`. 
1. Select an appropriate `Expiry time`.
1. Set `Enable auto rotation` to `Enabled`.
1. Set an appropriate `Rotation option` and `Rotation time`.
1. Optionally, set a `Notification time`.
1. Click `Save`.
1. Repeat steps 1-10 for each Key Vault and Key.
**Remediate from Azure CLI**
Run the following command for each key to enable automatic rotation:
```
az keyvault key rotation-policy update --vault-name &lt;vault-name&gt; --name &lt;key-name&gt; --value &lt;path/to/policy.json&gt;
```
**Remediate from PowerShell**
Run the following command for each key to enable automatic rotation:
```
Set-AzKeyVaultKeyRotationPolicy -VaultName &lt;vault-name&gt; -Name &lt;key-name&gt; -PolicyPath &lt;path/to/policy.json&gt;
```</t>
  </si>
  <si>
    <t>**Audit from Azure Portal**
1. Go to `Key Vaults`.
1. Select a Key Vault. 
1. Under `Objects`, select `Keys`.
1. Select a key.
1. From the top row, select `Rotation policy`. 
1. Ensure `Enable auto rotation` is set to `Enabled`.
1. Ensure the `Rotation time` is set to an appropriate value.
1. Repeat steps 1-7 for each Key Vault and Key.
**Audit from Azure CLI**
Run the following command:
```
az keyvault key rotation-policy show --vault-name &lt;vault-name&gt; --name &lt;key-name&gt;
```
Ensure that the response contains a `lifetimeAction` of `Rotate` and that `timeAfterCreate` is set to an appropriate value.
**Audit from PowerShell**
Run the following command:
```
Get-AzKeyVaultKeyRotationPolicy -VaultName &lt;vault-name&gt; -Name &lt;key-name&gt;
```
Ensure that the response contains a `LifetimeAction` of `Rotate` and that `TimeAfterCreate` is set to an appropriate value.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[d8cf8476-a2ec-4916-896e-992351803c44](https://portal.azure.com/#view/Microsoft_Azure_Policy/PolicyDetailBlade/definitionId/%2Fproviders%2FMicrosoft.Authorization%2FpolicyDefinitions%2Fd8cf8476-a2ec-4916-896e-992351803c44) **- Name:** 'Keys should have a rotation policy ensuring that their rotation is scheduled within the specified number of days after creation.'</t>
  </si>
  <si>
    <t>https://learn.microsoft.com/en-us/azure/key-vault/keys/how-to-configure-key-rotation:https://learn.microsoft.com/en-us/azure/storage/common/customer-managed-keys-overview#update-the-key-version:https://learn.microsoft.com/en-us/azure/virtual-machines/windows/disks-enable-customer-managed-keys-powershell#set-up-an-azure-key-vault-and-diskencryptionset-optionally-with-automatic-key-rotation:https://azure.microsoft.com/en-us/updates?id=public-preview-automatic-key-rotation-of-customermanaged-keys-for-encrypting-azure-managed-disks:https://learn.microsoft.com/en-us/cli/azure/keyvault/key/rotation-policy:https://learn.microsoft.com/en-us/powershell/module/az.keyvault/set-azkeyvaultkeyrotationpolicy:https://learn.microsoft.com/en-us/kusto/query/scalar-data-types/timespan:https://learn.microsoft.com/en-us/security/benchmark/azure/mcsb-data-protection#dp-6-use-a-secure-key-management-process:https://nvlpubs.nist.gov/nistpubs/SpecialPublications/NIST.SP.800-57pt1r5.pdf</t>
  </si>
  <si>
    <t>By default, automatic key rotation is not enabled.</t>
  </si>
  <si>
    <t>8.3.10</t>
  </si>
  <si>
    <t>Ensure that Azure Key Vault Managed HSM is used when required</t>
  </si>
  <si>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</si>
  <si>
    <t>Managed HSM is a fully managed, highly available, single-tenant service that ensures FIPS 140-2 Level 3 compliance. It provides centralized key management, isolated access control, and private endpoints for secure access. Integrated with Azure services, it supports migration from Key Vault, ensures data residency, and offers monitoring and auditing for enhanced security.</t>
  </si>
  <si>
    <t>Managed HSM incurs a cost per month for each actively used HSM-protected key, depending on the key type and quantity. Each key version is billed separately. Additionally, there is an hourly usage fee per Managed HSM pool. Refer to https://azure.microsoft.com/en-us/pricing/details/key-vault/ to estimate potential costs.</t>
  </si>
  <si>
    <t>**Remediate from Azure CLI**
Run the following command to set `oid` to be the `OID` of the signed-in user:
```
$oid = az ad signed-in-user show --query id -o tsv
```
Alternatively, prepare a space-separated list of OIDs to be provided as the `administrators` of the HSM.
Run the following command to create a Managed HSM:
```
az keyvault create --resource-group &lt;resource-group&gt; --hsm-name &lt;hsm-name&gt; --retention-days &lt;retention-days&gt; --administrators $oid
```
The command can take several minutes to complete.
After the HSM has been created, it must be activated before it can be used. Activation requires providing a minimum of three and a maximum of ten RSA key pairs, as well as the minimum number of keys required to decrypt the security domain (called a quorum).
OpenSSL can be used to generate the self-signed certificates, for example:
```
openssl req -newkey rsa:2048 -nodes -keyout cert_1.key -x509 -days 365 -out cert_1.cer
```
Run the following command to download the security domain and activate the Managed HSM:
```
az keyvault security-domain download --hsm-name &lt;managed-hsm&gt; --sd-wrapping-keys &lt;key-1&gt; &lt;key-2&gt; &lt;key-3&gt; --sd-quorum &lt;quorum&gt; --security-domain-file &lt;managed-hsm-security-domain&gt;.json
```
Store the security domain file and the RSA key pairs securely. They will be required for disaster recovery or for creating another Managed HSM that shares the same security domain so that the two can share keys.
The Managed HSM will now be in an active state and ready for use.</t>
  </si>
  <si>
    <t>**Audit from Azure CLI**
Run the following command to list key vaults:
```
az keyvault list --query [*].[name,type]
```
Ensure that at least one key vault with type `Microsoft.KeyVault/managedHSMs` exists.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[587c79fe-dd04-4a5e-9d0b-f89598c7261b](https://portal.azure.com/#view/Microsoft_Azure_Policy/PolicyDetailBlade/definitionId/%2Fproviders%2FMicrosoft.Authorization%2FpolicyDefinitions%2F587c79fe-dd04-4a5e-9d0b-f89598c7261b) **- Name:** 'Keys should be backed by a hardware security module (HSM)'</t>
  </si>
  <si>
    <t>TITLE:Segment Data Processing and Storage Based on Sensitivity CONTROL:v8 3.12 DESCRIPTION:Segment data processing and storage based on the sensitivity of the data. Do not process sensitive data on enterprise assets intended for lower sensitivity data.;TITLE:Physically or Logically Segregate High Risk Applications CONTROL:v7 2.10 DESCRIPTION:Physically or logically segregated systems should be used to isolate and run software that is required for business operations but incur higher risk for the organization.;</t>
  </si>
  <si>
    <t>https://learn.microsoft.com/en-us/azure/security/fundamentals/key-management-choose:https://learn.microsoft.com/en-us/azure/key-vault/managed-hsm/overview:https://azure.microsoft.com/en-us/pricing/details/key-vault/:https://learn.microsoft.com/en-us/azure/key-vault/managed-hsm/quick-create-cli:https://learn.microsoft.com/en-us/cli/azure/keyvault</t>
  </si>
  <si>
    <t>8.4.1</t>
  </si>
  <si>
    <t>Ensure an Azure Bastion Host Exists</t>
  </si>
  <si>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</si>
  <si>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</si>
  <si>
    <t>The Azure Bastion service incurs additional costs and requires a specific virtual network configuration. The `Standard` tier offers additional configuration options compared to the `Basic` tier and may incur additional costs for those added features.</t>
  </si>
  <si>
    <t>**Remediate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Select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**Remediate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**Remediate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</si>
  <si>
    <t>**Audit from Azure Portal**
1. Click on `Bastions`
2. Ensure there is at least one `Bastion` host listed under the `Name` column
**Audit from Azure CLI**
```
az network bastion list --subscription &lt;subscription ID&gt;
```
Ensure the output of the above command is not empty.
**Audit from PowerShell**
Retrieve the `Bastion` host(s) information for a specific `Resource Group`
```
Get-AzBastion -ResourceGroupName &lt;resource group name&gt;
```
Ensure the output of the above command is not empty.</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</si>
  <si>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</si>
  <si>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https://learn.microsoft.com/en-us/azure/bastion/bastion-overview#sku:https://learn.microsoft.com/en-us/powershell/module/az.network/get-azbastion?view=azps-9.2.0:https://learn.microsoft.com/en-us/cli/azure/network/bastion?view=azure-cli-latest</t>
  </si>
  <si>
    <t>By default, the Azure Bastion service is not configured.</t>
  </si>
  <si>
    <t>9.2.3</t>
  </si>
  <si>
    <t>Ensure 'Versioning' is set to 'Enabled' on Azure Blob Storage storage accounts</t>
  </si>
  <si>
    <t>Enabling blob versioning allows for the automatic retention of previous versions of objects. With blob versioning enabled, earlier versions of a blob are accessible for data recovery in the event of modifications or deletions.</t>
  </si>
  <si>
    <t>Blob versioning safeguards data integrity and enables recovery by retaining previous versions of stored objects, facilitating quick restoration from accidental deletion, modification, or malicious activity.</t>
  </si>
  <si>
    <t>Enabling blob versioning for a storage account creates a new version with each write operation to a blob, which can increase storage costs. To control these costs, a lifecycle management policy can be applied to automatically delete older versions.</t>
  </si>
  <si>
    <t>**Remediate from Azure Portal**
1. Go to `Storage accounts`.
1. Click the name of a storage account with blob storage.
1. In the `Overview` page, on the `Properties` tab, under `Blob service`, click `Disabled` next to `Versioning`.
1. Under `Tracking`, check the box next to `Enable versioning for blobs`.
1. Select the radio button next to `Keep all versions` or `Delete versions after (in days)`.
1. If selecting to delete versions, enter a number of in the box after which to delete blob versions.
1. Click `Save`.
1. Repeat steps 1-7 for each storage account with blob storage.
**Remediate from Azure CLI**
For each storage account requiring remediation, run the following command to enable blob versioning:
```
az storage account blob-service-properties update --account-name &lt;storage-account&gt; --enable-versioning true
```
**Remediate from PowerShell**
For each storage account requiring remediation, run the following command to enable blob versioning:
```
Update-AzStorageBlobServiceProperty -ResourceGroupName &lt;resource-group&gt; -StorageAccountName &lt;storage-account&gt; -IsVersioningEnabled $true
```</t>
  </si>
  <si>
    <t>**Audit from Azure Portal**
1. Go to `Storage accounts`.
1. Click the name of a storage account with blob storage.
1. In the `Overview` page, on the `Properties` tab, under `Blob service`, ensure `Versioning` is set to `Enabled`.
1. Repeat steps 1-3 for each storage account with blob storage.
**Audit from Azure CLI**
Run the following command to list storage accounts:
```
az storage account list
```
Run the following command to determine if a storage account has containers:
```
az storage container list --account-name &lt;storage-account&gt;
```
For each storage account with containers, ensure that the output of the below command contains `"isVersioningEnabled": true`:
```
az storage account blob-service-properties show --account-name &lt;storage-account&gt;
```
**Audit from PowerShell**
Run the following command to list storage accounts:
```
Get-AzStorageAccount
```
Run the following command to create an Azure Storage context for a storage account:
```
$context = New-AzStorageContext -StorageAccountName &lt;storage-account&gt;
```
Run the following command to list containers for the storage account:
```
Get-AzStorageContainer -Context $context
```
If the storage account has containers, run the following command to get the blob service properties of the storage account:
```
$account = Get-AzStorageBlobServiceProperty -ResourceGroupName &lt;resource-group&gt; -AccountName &lt;storage-account&gt;
```
Run the following command to get the blob versioning setting for the storage account:
```
$account.IsVersioningEnabled
```
Ensure that the command returns `True`.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[c36a325b-ae04-4863-ad4f-19c6678f8e08](https://portal.azure.com/#view/Microsoft_Azure_Policy/PolicyDetailBlade/definitionId/%2Fproviders%2FMicrosoft.Authorization%2FpolicyDefinitions%2Fc36a325b-ae04-4863-ad4f-19c6678f8e08) **- Name:** 'Configure your Storage account to enable blob versioning'</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</si>
  <si>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Regular Automated Back Ups CONTROL:v7 10.1 DESCRIPTION:Ensure that all system data is automatically backed up on regular basis.;</t>
  </si>
  <si>
    <t>https://learn.microsoft.com/en-us/cli/azure/storage/account:https://learn.microsoft.com/en-us/cli/azure/storage/account/blob-service-properties:https://learn.microsoft.com/en-us/powershell/module/az.storage/get-azstorageaccount:https://learn.microsoft.com/en-us/powershell/module/az.storage/new-azstoragecontext:https://learn.microsoft.com/en-us/powershell/module/az.storage/get-azstoragecontainer:https://learn.microsoft.com/en-us/powershell/module/az.storage/get-azstorageblobserviceproperty:https://learn.microsoft.com/en-us/powershell/module/az.storage/update-azstorageblobserviceproperty:https://learn.microsoft.com/en-us/azure/storage/blobs/versioning-overview:https://learn.microsoft.com/en-us/azure/storage/blobs/lifecycle-management-overview</t>
  </si>
  <si>
    <t>Blob versioning is disabled by default on storage accounts.</t>
  </si>
  <si>
    <t>9.3.5</t>
  </si>
  <si>
    <t>Ensure 'Allow Azure services on the trusted services list to access this storage account' is Enabled for Storage Account Access</t>
  </si>
  <si>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Azure services on the trusted services list to access this storage account`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</si>
  <si>
    <t>**NOTE:** If none of the services listed in the Description are in use in your environment, you may wish to make an exception to this recommendation and disable 'Allow Azure services on the trusted services list to access this storage account.' 
Turning on firewall rules for a storage account will block access to incoming requests for data, including from other Azure services. 
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t>
  </si>
  <si>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</si>
  <si>
    <t>**Remediate from Azure Portal**
1. Go to `Storage Accounts`.
1. For each storage account, under `Security + networking`, click `Networking`.
1. Click on the `Firewalls and virtual networks` heading.
1. Under `Exceptions`, check the box next to `Allow Azure services on the trusted services list to access this storage account`.
1. Click `Save`.
**Remediate from Azure CLI**
Use the below command to update `bypass` to `Azure services`.
```
az storage account update --name &lt;StorageAccountName&gt; --resource-group &lt;resourceGroupName&gt; --bypass AzureServices
```</t>
  </si>
  <si>
    <t>**Audit from Azure Portal**
1. Go to `Storage Accounts`.
1. For each storage account, under `Security + networking`, click `Networking`.
1. Click on the `Firewalls and virtual networks` heading.
1. Under `Exceptions`, ensure that `Allow Azure services on the trusted services list to access this storage account` is checked.
**Audit from Azure CLI**
Ensure `bypass` contains `AzureServices`
```
az storage account list --query '[*].networkRuleSet'
```
**Audit from PowerShell**
```
Connect-AzAccount
Set-AzContext -Subscription &lt;subscription ID&gt;
Get-AzStorageAccountNetworkRuleset -ResourceGroupName &lt;resource group&gt; -Name &lt;storage account name&gt; |Select-Object Bypass
```
If the response from the above command is `None`, the storage account configuration is out of compliance with this check. If the response is `AzureServices`, the storage account configuration is in compliance with this check.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[c9d007d0-c057-4772-b18c-01e546713bcd](https://portal.azure.com/#view/Microsoft_Azure_Policy/PolicyDetailBlade/definitionId/%2Fproviders%2FMicrosoft.Authorization%2FpolicyDefinitions%2Fc9d007d0-c057-4772-b18c-01e546713bcd) **- Name:** 'Storage accounts should allow access from trusted Microsoft services'</t>
  </si>
  <si>
    <t>TITLE:Configure Data Access Control Lists CONTROL:v8 3.3 DESCRIPTION:Configure data access control lists based on a user’s need to know. Apply data access control lists, also known as access permissions, to local and remote file systems, databases, and applications.;TITLE:Manage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;TITLE:Monitor and Block Unauthorized Network Traffic CONTROL:v7 13.3 DESCRIPTION:Deploy an automated tool on network perimeters that monitors for unauthorized transfer of sensitive information and blocks such transfers while alerting information security professionals.;</t>
  </si>
  <si>
    <t>https://learn.microsoft.com/en-us/azure/storage/common/storage-network-security:https://learn.microsoft.com/en-us/security/benchmark/azure/mcsb-network-security#ns-2-secure-cloud-native-services-with-network-controls</t>
  </si>
  <si>
    <t>9.3.10</t>
  </si>
  <si>
    <t>Ensure Azure Resource Manager ReadOnly locks are considered for Azure Storage Accounts</t>
  </si>
  <si>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</si>
  <si>
    <t>Applying a `ReadOnly` lock on storage accounts protects the confidentiality and availability of data by preventing the accidental or unauthorized deletion of the entire storage account and modification of the account, container properties, or access permissions. It can offer enhanced protection for blob and queue workloads with tradeoffs in usability and compatibility for clients using account shared access keys.</t>
  </si>
  <si>
    <t>'- Prevents the deletion of the Storage account Resource entirely.
- Prevents the deletion of the parent Resource Group containing the locked Storage account resource.
- Prevents clients from obtaining the storage account shared access keys using a `listKeys` operation.
- Requires Entra credentials to access blob and queue data in the Portal.
- Data in Azure Files or the Table service may be inaccessible to clients using the account shared access keys.
- Prevents modification of account properties, network settings, containers, and RBAC assignments.
- Does not prevent access using existing account shared access keys issued to clients.
- Does not prevent deletion of containers or other objects within the storage account.</t>
  </si>
  <si>
    <t>**Remediate from Azure Portal**
1. Navigate to the storage account in the Azure portal.
1. Under the `Settings` section, select `Locks`.
1. Select `Add`.
1. Provide a Name, and choose `ReadOnly` for the type of lock. 
1. Add a note about the lock if desired.
**Remediate from Azure CLI**
Replace the information within &lt;&gt; with appropriate values:
```
az lock create --name &lt;lock&gt; \
 --resource-group &lt;resource-group&gt; \
 --resource &lt;storage-account&gt; \
 --lock-type ReadOnly \
 --resource-type Microsoft.Storage/storageAccounts
```
**Remediate from PowerShell**
Replace the information within &lt;&gt; with appropriate values:
```
New-AzResourceLock -LockLevel ReadOnly `
 -LockName &lt;lock&gt; `
 -ResourceName &lt;storage-account&gt; `
 -ResourceType Microsoft.Storage/storageAccounts `
 -ResourceGroupName &lt;resource-group&gt;
```</t>
  </si>
  <si>
    <t>**Audit from Azure Portal**
1. Navigate to the storage account in the Azure portal.
1. For each storage account, under `Settings`, click `Locks`.
1. Ensure that a `ReadOnly` lock exists on the storage account.
**Audit from Azure CLI**
```
az lock list --resource-group &lt;resource-group&gt; \
 --resource-name &lt;storage-account&gt; \
 --resource-type "Microsoft.Storage/storageAccounts"
```
**Audit from PowerShell**
```
Get-AzResourceLock -ResourceGroupName &lt;RESOURCEGROUPNAME&gt; `
 -ResourceName &lt;STORAGEACCOUNTNAME&gt; `
 -ResourceType "Microsoft.Storage/storageAccounts"
```
**Audit from Azure Policy**
There is currently no built-in Microsoft policy to audit resource locks on storage accounts.
Custom and community policy definitions can check for the existence of a “Microsoft.Authorization/locks” resource with an AuditIfNotExists effect.</t>
  </si>
  <si>
    <t>https://learn.microsoft.com/en-us/azure/storage/common/lock-account-resource:https://learn.microsoft.com/en-us/azure/azure-resource-manager/management/lock-resources:https://github.com/Azure/azure-rest-api-specs/tree/main/specification/storage</t>
  </si>
  <si>
    <t>9.3.11</t>
  </si>
  <si>
    <t>Ensure Redundancy is set to 'geo-redundant storage (GRS)' on critical Azure Storage Accounts</t>
  </si>
  <si>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</si>
  <si>
    <t>Enabling GRS protects critical data from regional failures by maintaining a copy in a geographically separate location. This significantly reduces the risk of data loss, supports business continuity, and meets high availability requirements for disaster recovery.</t>
  </si>
  <si>
    <t>Enabling geo-redundant storage on Azure storage accounts increases costs due to cross-region data replication.</t>
  </si>
  <si>
    <t>**Remediate from Azure Portal**
1. Go to `Storage accounts`.
1. Click on a storage account.
1. Under `Data management`, click `Redundancy`.
1. From the `Redundancy` drop-down menu, select `Geo-redundant storage (GRS)`.
1. Click `Save`.
1. Repeat steps 1-5 for each storage account requiring remediation.
**Remediate from Azure CLI**
For each storage account requiring remediation, run the following command to enable geo-redundant storage:
```
az storage account update --resource-group &lt;resource-group&gt; --name &lt;storage-account&gt; --sku Standard_GRS
```
**Remediate from PowerShell**
For each storage account requiring remediation, run the following command to enable geo-redundant storage:
```
Set-AzStorageAccount -ResourceGroupName &lt;resource-group&gt; -Name &lt;storage-account&gt; -SkuName "Standard_GRS"
```</t>
  </si>
  <si>
    <t>**Audit from Azure Portal**
1. Go to `Storage accounts`.
1. Click on a storage account.
1. Under `Data management`, click `Redundancy`.
1. Ensure that `Redundancy` is set to `Geo-redundant storage (GRS)`.
1. Repeat steps 1-4 for each storage account.
**Audit from Azure CLI**
Run the following command to list storage accounts:
```
az storage account list
```
For each storage account, run the following command:
```
az storage account show --resource-group &lt;resource-group&gt; --name &lt;storage-account&gt;
```
Under `sku`, ensure that `name` is set to `Standard_GRS`.
**Audit from PowerShell**
Run the following command to list storage accounts:
```
Get-AzStorageAccount
```
Run the following command to get the storage account in a resource group with a given name:
```
$storageAccount = Get-AzStorageAccount -ResourceGroupName &lt;resource-group&gt; -Name &lt;storage-account&gt;
```
Run the following command to get the redundancy setting for the storage account:
```
$storageAccount.SKU.Name
```
Ensure that the command returns `Standard_GRS`.
Repeat for each storage account.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[bf045164-79ba-4215-8f95-f8048dc1780b](https://portal.azure.com/#view/Microsoft_Azure_Policy/PolicyDetailBlade/definitionId/%2Fproviders%2FMicrosoft.Authorization%2FpolicyDefinitions%2Fbf045164-79ba-4215-8f95-f8048dc1780b) **- Name:** 'Geo-redundant storage should be enabled for Storage Accounts'</t>
  </si>
  <si>
    <t>When choosing the best redundancy option, weigh the trade-offs between lower costs and higher availability. Key factors to consider include:
- The method of data replication within the primary region.
- The replication of data from a primary to a geographically distant secondary region for protection against regional disasters (geo-replication).
- The necessity for read access to replicated data in the secondary region during an outage in the primary region (geo-replication with read access).</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</si>
  <si>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;TITLE:Data Recovery Capabilities CONTROL:v7 10 DESCRIPTION:Data Recovery Capabilities;</t>
  </si>
  <si>
    <t>https://learn.microsoft.com/en-us/azure/storage/common/storage-redundancy:https://learn.microsoft.com/en-us/azure/storage/common/redundancy-migration:https://learn.microsoft.com/en-us/cli/azure/storage/account?view=azure-cli-latest#az-storage-account-update:https://learn.microsoft.com/en-us/powershell/module/az.storage/set-azstorageaccount:https://learn.microsoft.com/en-us/azure/storage/common/storage-disaster-recovery-guidance</t>
  </si>
  <si>
    <t>When creating a storage account in the Azure Portal, the default redundancy setting is geo-redundant storage (GRS). Using the Azure CLI, the default is read-access geo-redundant storage (RA-GRS). In PowerShell, a redundancy level must be explicitly specified during account creation.</t>
  </si>
  <si>
    <t>9.3.2.1</t>
  </si>
  <si>
    <t>Ensure Private Endpoints are used to access Storage Accounts</t>
  </si>
  <si>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</si>
  <si>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Securing traffic between services through encryption protects the data from easy interception and reading.</t>
  </si>
  <si>
    <t>**Remediate from Azure Portal**
1. Open the `Storage Accounts` blade
1. For each listed Storage Account, perform the following:
1. Under the `Security + networking` heading, click on `Networking` 
1. Click on the `Private endpoint connections` tab at the top of the networking window
1. Click the `+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**Remediate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**Remediate from Azure CLI**
```
az network private-endpoint create --resource-group &lt;ResourceGroupName&gt;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</si>
  <si>
    <t>**Audit 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**Audit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**Audit from Azure CLI**
```
az storage account show --name '&lt;storage account name&gt;' --query "privateEndpointConnections[0].id"
```
If the above command returns data, the Storage Account complies with this Benchmark, otherwise if the results are empty, the Storage Account generates a finding.
**Audit from Azure Policy**
If referencing a digital copy of this Benchmark, clicking a Policy ID will open a link to the associated Policy definition in Azure.
If referencing a printed copy, you can search Policy IDs from this URL: https://portal.azure.com/#view/Microsoft_Azure_Policy/PolicyMenuBlade/~/Definitions
- **Policy ID:** [6edd7eda-6dd8-40f7-810d-67160c639cd9](https://portal.azure.com/#view/Microsoft_Azure_Policy/PolicyDetailBlade/definitionId/%2Fproviders%2FMicrosoft.Authorization%2FpolicyDefinitions%2F6edd7eda-6dd8-40f7-810d-67160c639cd9) **- Name:** 'Storage accounts should use private link'</t>
  </si>
  <si>
    <t>A NAT gateway is the recommended solution for outbound internet access.
This recommendation is based on the Common Reference Recommendation `Ensure Private Endpoints are used to access {service}`, from the `Common Reference Recommendations &gt; Networking &gt; Private Endpoints` section.</t>
  </si>
  <si>
    <t>https://learn.microsoft.com/en-us/azure/storage/common/storage-private-endpoints:https://learn.microsoft.com/en-us/azure/virtual-network/virtual-networks-overview:https://learn.microsoft.com/en-us/azure/private-link/create-private-endpoint-portal:https://learn.microsoft.com/en-us/azure/private-link/create-private-endpoint-cli:https://learn.microsoft.com/en-us/azure/private-link/create-private-endpoint-powershell:https://learn.microsoft.com/en-us/azure/private-link/tutorial-private-endpoint-storage-portal:https://learn.microsoft.com/en-us/security/benchmark/azure/mcsb-network-security#ns-2-secure-cloud-native-services-with-network-controls</t>
  </si>
  <si>
    <t>By default, Private Endpoints are not created for Storage Accounts.</t>
  </si>
  <si>
    <t>profile</t>
  </si>
  <si>
    <t>Level 1</t>
  </si>
  <si>
    <t>Level 2</t>
  </si>
  <si>
    <t>TITLE:Retain Audit Logs CONTROL:v8 8.10 DESCRIPTION:Retain audit logs across enterprise assets for a minimum of 90 days.;TITLE:Ensure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</si>
  <si>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T1530</t>
  </si>
  <si>
    <t>TA0009</t>
  </si>
  <si>
    <t>T1537</t>
  </si>
  <si>
    <t>TA0010</t>
  </si>
  <si>
    <t>T1078.002</t>
  </si>
  <si>
    <t>TA0001</t>
  </si>
  <si>
    <t>M1032</t>
  </si>
  <si>
    <t>TA0003</t>
  </si>
  <si>
    <t>T1098</t>
  </si>
  <si>
    <t>M1026</t>
  </si>
  <si>
    <t>TA0007</t>
  </si>
  <si>
    <t>TA0005</t>
  </si>
  <si>
    <t>T1578</t>
  </si>
  <si>
    <t>TA0040</t>
  </si>
  <si>
    <t>T1078</t>
  </si>
  <si>
    <t>T1555</t>
  </si>
  <si>
    <t>TA0006</t>
  </si>
  <si>
    <t>M1030</t>
  </si>
  <si>
    <t>T1548</t>
  </si>
  <si>
    <t>T1485</t>
  </si>
  <si>
    <t>T1606</t>
  </si>
  <si>
    <t>TA0011</t>
  </si>
  <si>
    <t>T1190</t>
  </si>
  <si>
    <t>T1040</t>
  </si>
  <si>
    <t>T1498</t>
  </si>
  <si>
    <t>M1051</t>
  </si>
  <si>
    <t>T1580</t>
  </si>
  <si>
    <t>TA0008</t>
  </si>
  <si>
    <t>T1210</t>
  </si>
  <si>
    <t>T1552</t>
  </si>
  <si>
    <t>T1649</t>
  </si>
  <si>
    <t>T1557</t>
  </si>
  <si>
    <t>T1565.001</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</si>
  <si>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</si>
  <si>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</si>
  <si>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</si>
  <si>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</si>
  <si>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</si>
  <si>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</si>
  <si>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</si>
  <si>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</si>
  <si>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</si>
  <si>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</si>
  <si>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</si>
  <si>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</si>
  <si>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</si>
  <si>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</si>
  <si>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</si>
  <si>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</si>
  <si>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</si>
  <si>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</si>
  <si>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12.2</t>
  </si>
  <si>
    <t>14.1</t>
  </si>
  <si>
    <t>4.4</t>
  </si>
  <si>
    <t>9.4</t>
  </si>
  <si>
    <t>16.2</t>
  </si>
  <si>
    <t>6.7</t>
  </si>
  <si>
    <t>16.7</t>
  </si>
  <si>
    <t>3.3</t>
  </si>
  <si>
    <t>14.6</t>
  </si>
  <si>
    <t>6.8</t>
  </si>
  <si>
    <t>6.3</t>
  </si>
  <si>
    <t>6.4</t>
  </si>
  <si>
    <t>16.3</t>
  </si>
  <si>
    <t>4.10</t>
  </si>
  <si>
    <t>16.10</t>
  </si>
  <si>
    <t>4.8</t>
  </si>
  <si>
    <t>2.3</t>
  </si>
  <si>
    <t>2.6</t>
  </si>
  <si>
    <t>2.4</t>
  </si>
  <si>
    <t>4.3</t>
  </si>
  <si>
    <t>4.1</t>
  </si>
  <si>
    <t>16.6</t>
  </si>
  <si>
    <t>16.8</t>
  </si>
  <si>
    <t>8.9</t>
  </si>
  <si>
    <t>6.5</t>
  </si>
  <si>
    <t>13.4</t>
  </si>
  <si>
    <t>12.1</t>
  </si>
  <si>
    <t>3.10</t>
  </si>
  <si>
    <t>14.4</t>
  </si>
  <si>
    <t>2.2</t>
  </si>
  <si>
    <t>3.4</t>
  </si>
  <si>
    <t>4.2</t>
  </si>
  <si>
    <t>17.2</t>
  </si>
  <si>
    <t>19.5</t>
  </si>
  <si>
    <t>13.11</t>
  </si>
  <si>
    <t>11.1</t>
  </si>
  <si>
    <t>10.2</t>
  </si>
  <si>
    <t>4.6</t>
  </si>
  <si>
    <t>16.1</t>
  </si>
  <si>
    <t>10.4</t>
  </si>
  <si>
    <t>12.6</t>
  </si>
  <si>
    <t>11.3</t>
  </si>
  <si>
    <t>13.3</t>
  </si>
  <si>
    <t>3.11</t>
  </si>
  <si>
    <t>14.8</t>
  </si>
  <si>
    <t>4.5</t>
  </si>
  <si>
    <t>2.5</t>
  </si>
  <si>
    <t>2.7</t>
  </si>
  <si>
    <t>12.4</t>
  </si>
  <si>
    <t>13.6</t>
  </si>
  <si>
    <t>12.8</t>
  </si>
  <si>
    <t>8.7</t>
  </si>
  <si>
    <t>8.10</t>
  </si>
  <si>
    <t>11.2</t>
  </si>
  <si>
    <t>13.10</t>
  </si>
  <si>
    <t>12.9</t>
  </si>
  <si>
    <t>13.8</t>
  </si>
  <si>
    <t>12.7</t>
  </si>
  <si>
    <t>18.8</t>
  </si>
  <si>
    <t>10.1</t>
  </si>
  <si>
    <t>13.2</t>
  </si>
  <si>
    <t>16.11</t>
  </si>
  <si>
    <t>3.12</t>
  </si>
  <si>
    <t>2.10</t>
  </si>
  <si>
    <t>13.5</t>
  </si>
  <si>
    <t>10</t>
  </si>
  <si>
    <t>Profile</t>
  </si>
  <si>
    <t>MITRE ATT&amp;CK Tactic 1</t>
  </si>
  <si>
    <t>MITRE ATT&amp;CK Tactic 2</t>
  </si>
  <si>
    <t>MITRE ATT&amp;CK Technique 1</t>
  </si>
  <si>
    <t>MITRE ATT&amp;CK Technique 2</t>
  </si>
  <si>
    <t>MITRE ATT&amp;CK Mitigation 1</t>
  </si>
  <si>
    <t>MITRE ATT&amp;CK Mitigation 2</t>
  </si>
  <si>
    <t>MITRE Tactics (1 per cell):</t>
  </si>
  <si>
    <t>To filter by Tactic, add the Tactic ID to any cell from B1 through K1. Then use the drop down filter (row 5) to clear the blanks.</t>
  </si>
  <si>
    <t>MITRE Techniques (1 per cell):</t>
  </si>
  <si>
    <t>To filter by Technique, add the Technique ID to any cell from B2 through K2. Then use the drop down filter (row 5) to clear the blanks.</t>
  </si>
  <si>
    <t>MITRE Mitigations (1 per cell):</t>
  </si>
  <si>
    <t>To filter by Mitigation, add the Mitigation ID to any cell from B3 through K3. Then use the drop down filter (row 5) to clear the blanks.</t>
  </si>
  <si>
    <t>All Applicable Rec#</t>
  </si>
  <si>
    <t>Rec #1</t>
  </si>
  <si>
    <t>Rec #2</t>
  </si>
  <si>
    <t>Rec #3</t>
  </si>
  <si>
    <t>Rec #4</t>
  </si>
  <si>
    <t>Rec #5</t>
  </si>
  <si>
    <t>Rec #6</t>
  </si>
  <si>
    <t>Rec #7</t>
  </si>
  <si>
    <t>Rec #8</t>
  </si>
  <si>
    <t>Rec #9</t>
  </si>
  <si>
    <t>Rec #10</t>
  </si>
  <si>
    <t xml:space="preserve"> TA0009</t>
  </si>
  <si>
    <t xml:space="preserve"> M1041</t>
  </si>
  <si>
    <t xml:space="preserve"> M1037</t>
  </si>
  <si>
    <t xml:space="preserve"> TA0010</t>
  </si>
  <si>
    <t xml:space="preserve"> T1078.004</t>
  </si>
  <si>
    <t xml:space="preserve"> M1050</t>
  </si>
  <si>
    <t xml:space="preserve"> M1032</t>
  </si>
  <si>
    <t xml:space="preserve"> M1027</t>
  </si>
  <si>
    <t xml:space="preserve"> T1098</t>
  </si>
  <si>
    <t xml:space="preserve"> M1026</t>
  </si>
  <si>
    <t xml:space="preserve"> T1538</t>
  </si>
  <si>
    <t xml:space="preserve"> M1018</t>
  </si>
  <si>
    <t xml:space="preserve"> T1578</t>
  </si>
  <si>
    <t xml:space="preserve"> TA0003</t>
  </si>
  <si>
    <t xml:space="preserve"> T1098.003</t>
  </si>
  <si>
    <t xml:space="preserve"> TA0040</t>
  </si>
  <si>
    <t xml:space="preserve"> TA0004</t>
  </si>
  <si>
    <t xml:space="preserve"> TA0006</t>
  </si>
  <si>
    <t xml:space="preserve"> T1098.001</t>
  </si>
  <si>
    <t xml:space="preserve"> M1030</t>
  </si>
  <si>
    <t xml:space="preserve"> T1485</t>
  </si>
  <si>
    <t xml:space="preserve"> M1053</t>
  </si>
  <si>
    <t xml:space="preserve"> T1530</t>
  </si>
  <si>
    <t xml:space="preserve"> M1047</t>
  </si>
  <si>
    <t xml:space="preserve"> T1021.001</t>
  </si>
  <si>
    <t xml:space="preserve"> M1035</t>
  </si>
  <si>
    <t xml:space="preserve"> T1021.004</t>
  </si>
  <si>
    <t xml:space="preserve"> T1095</t>
  </si>
  <si>
    <t xml:space="preserve"> T1190</t>
  </si>
  <si>
    <t xml:space="preserve"> TA0001</t>
  </si>
  <si>
    <t xml:space="preserve"> TA0007</t>
  </si>
  <si>
    <t xml:space="preserve"> T1068</t>
  </si>
  <si>
    <t xml:space="preserve"> T1210</t>
  </si>
  <si>
    <t xml:space="preserve"> M1016</t>
  </si>
  <si>
    <t xml:space="preserve"> T1562</t>
  </si>
  <si>
    <t xml:space="preserve"> T1552</t>
  </si>
  <si>
    <t xml:space="preserve"> M1042</t>
  </si>
  <si>
    <t xml:space="preserve"> TA0008</t>
  </si>
  <si>
    <t xml:space="preserve"> TA1020</t>
  </si>
  <si>
    <t xml:space="preserve"> M1022</t>
  </si>
  <si>
    <t xml:space="preserve"> T1567</t>
  </si>
  <si>
    <t xml:space="preserve"> M1057</t>
  </si>
  <si>
    <t xml:space="preserve"> T1490</t>
  </si>
  <si>
    <t xml:space="preserve"> T1537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</si>
</sst>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9"/>
      <color rgb="FF000000"/>
      <name val="Helvetica"/>
    </font>
    <font>
      <b/>
      <sz val="9"/>
      <color rgb="FF000000"/>
      <name val="Helvetica"/>
    </font>
    <font>
      <b/>
      <sz val="11"/>
      <color rgb="FF000000"/>
      <name val="Calibri"/>
    </font>
    <font>
      <sz val="11"/>
      <color rgb="FF000000"/>
      <name val="Calibri"/>
      <family val="2"/>
    </font>
    <font>
      <b/>
      <sz val="11"/>
      <color rgb="FF000000"/>
      <name val="Calibri"/>
      <family val="2"/>
    </font>
    <font>
      <sz val="11"/>
      <color indexed="8"/>
      <name val="Calibri"/>
      <family val="2"/>
      <scheme val="minor"/>
    </font>
    <font>
      <b/>
      <sz val="9"/>
      <name val="Arial"/>
      <family val="2"/>
    </font>
    <font>
      <b/>
      <sz val="9"/>
      <color theme="1"/>
      <name val="Arial"/>
      <family val="2"/>
    </font>
    <font>
      <b/>
      <sz val="9"/>
      <name val="Helvetica"/>
      <family val="2"/>
    </font>
    <font>
      <sz val="9"/>
      <color rgb="FF000000"/>
      <name val="Helvetica"/>
      <family val="2"/>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10">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right/>
      <top/>
      <bottom style="thick">
        <color rgb="FF000000"/>
      </bottom>
      <diagonal/>
    </border>
    <border>
      <left style="hair">
        <color auto="1"/>
      </left>
      <right style="hair">
        <color auto="1"/>
      </right>
      <top style="hair">
        <color theme="1"/>
      </top>
      <bottom style="hair">
        <color theme="1"/>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28">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lignment horizontal="left" vertical="center"/>
    </xf>
    <xf numFmtId="0" fontId="1" fillId="3" borderId="3" xfId="0" applyFont="1" applyFill="1" applyBorder="1" applyAlignment="1">
      <alignment horizontal="left" vertical="center"/>
    </xf>
    <xf numFmtId="0" fontId="2" fillId="2" borderId="4" xfId="0" applyFont="1" applyFill="1" applyBorder="1" applyAlignment="1">
      <alignment horizontal="center" vertical="center"/>
    </xf>
    <xf numFmtId="0" fontId="3" fillId="2" borderId="5" xfId="0" applyFont="1" applyFill="1" applyBorder="1" applyAlignment="1">
      <alignment horizont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3" borderId="3" xfId="0" applyFont="1" applyFill="1" applyBorder="1" applyAlignment="1" applyProtection="1">
      <alignment horizontal="left" vertical="center" wrapText="1"/>
      <protection locked="0"/>
    </xf>
    <xf numFmtId="0" fontId="2" fillId="2" borderId="4" xfId="0" applyFont="1" applyFill="1" applyBorder="1" applyAlignment="1">
      <alignment horizontal="center" vertical="center" wrapText="1"/>
    </xf>
    <xf numFmtId="0" fontId="5" fillId="0" borderId="0" xfId="1" applyFont="1"/>
    <xf numFmtId="0" fontId="6" fillId="0" borderId="6" xfId="1" applyFont="1" applyBorder="1" applyAlignment="1">
      <alignment horizontal="left" vertical="center" wrapText="1"/>
    </xf>
    <xf numFmtId="0" fontId="7" fillId="0" borderId="7" xfId="1" applyFont="1" applyBorder="1" applyAlignment="1">
      <alignment wrapText="1"/>
    </xf>
    <xf numFmtId="0" fontId="4" fillId="0" borderId="0" xfId="1"/>
    <xf numFmtId="0" fontId="8" fillId="3" borderId="3" xfId="1" applyFont="1" applyFill="1" applyBorder="1" applyAlignment="1">
      <alignment horizontal="left" vertical="center"/>
    </xf>
    <xf numFmtId="0" fontId="5" fillId="0" borderId="8" xfId="1" applyFont="1" applyBorder="1"/>
    <xf numFmtId="0" fontId="7" fillId="0" borderId="9" xfId="1" applyFont="1" applyBorder="1" applyAlignment="1">
      <alignment wrapText="1"/>
    </xf>
    <xf numFmtId="0" fontId="4" fillId="0" borderId="8" xfId="1" applyBorder="1"/>
    <xf numFmtId="0" fontId="6" fillId="0" borderId="0" xfId="1" applyFont="1" applyAlignment="1">
      <alignment horizontal="left" vertical="center" wrapText="1"/>
    </xf>
    <xf numFmtId="0" fontId="4" fillId="0" borderId="0" xfId="1" applyAlignment="1">
      <alignment wrapText="1"/>
    </xf>
    <xf numFmtId="0" fontId="9" fillId="2" borderId="4" xfId="1" applyFont="1" applyFill="1" applyBorder="1" applyAlignment="1">
      <alignment horizontal="center" vertical="center"/>
    </xf>
    <xf numFmtId="0" fontId="9" fillId="2" borderId="4" xfId="1" applyFont="1" applyFill="1" applyBorder="1" applyAlignment="1">
      <alignment horizontal="left" vertical="center"/>
    </xf>
    <xf numFmtId="0" fontId="10" fillId="3" borderId="3" xfId="1" applyFont="1" applyFill="1" applyBorder="1" applyAlignment="1">
      <alignment horizontal="left" vertical="center"/>
    </xf>
    <xf numFmtId="0" fontId="10" fillId="0" borderId="3" xfId="1" applyFont="1" applyBorder="1" applyAlignment="1">
      <alignment horizontal="left" vertical="center"/>
    </xf>
  </cellXfs>
  <cellStyles count="2">
    <cellStyle name="Normal" xfId="0" builtinId="0"/>
    <cellStyle name="Normal 2" xfId="1" xr:uid="{E025D01B-B88B-4972-A386-C66C4C6CBB14}"/>
  </cellStyles>
  <dxfs count="14">
    <dxf>
      <font>
        <sz val="9"/>
        <name val="Helvetica"/>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dxf>
    <dxf>
      <font>
        <b/>
        <i val="0"/>
        <strike val="0"/>
        <condense val="0"/>
        <extend val="0"/>
        <outline val="0"/>
        <shadow val="0"/>
        <u val="none"/>
        <vertAlign val="baseline"/>
        <sz val="11"/>
        <color rgb="FF000000"/>
        <name val="Calibri"/>
        <scheme val="none"/>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centerforinternetsecurity-my.sharepoint.com/personal/ian_mcree_cisecurity_org/Documents/Documents/Benchmarks/2%20-%20Azure/!%20Foundations%20Benchmarks/Foundations%20v4_0/FINAL/CIS_Microsoft_Azure_Foundations_Benchmark_v4.0.0.xlsx" TargetMode="External"/><Relationship Id="rId2" Type="http://schemas.microsoft.com/office/2019/04/relationships/externalLinkLongPath" Target="/personal/ian_mcree_cisecurity_org/Documents/Documents/Benchmarks/2%20-%20Azure/!%20Foundations%20Benchmarks/Foundations%20v4_0/FINAL/CIS_Microsoft_Azure_Foundations_Benchmark_v4.0.0.xlsx?4544689A" TargetMode="External"/><Relationship Id="rId1" Type="http://schemas.openxmlformats.org/officeDocument/2006/relationships/externalLinkPath" Target="file:///\\4544689A\CIS_Microsoft_Azure_Foundations_Benchmark_v4.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White/Desktop/MITRE%20ATTACK%20Mapping%20CIS%20Windows%2010Final-HPW%20Mod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License"/>
      <sheetName val="Level 1"/>
      <sheetName val="Level 2"/>
      <sheetName val="Combined Profiles"/>
      <sheetName val="MITRE ATT&amp;CK Mappings"/>
      <sheetName val="MITRE ATT&amp;CK Filtering"/>
    </sheetNames>
    <sheetDataSet>
      <sheetData sheetId="0" refreshError="1"/>
      <sheetData sheetId="1" refreshError="1"/>
      <sheetData sheetId="2" refreshError="1"/>
      <sheetData sheetId="3" refreshError="1"/>
      <sheetData sheetId="4">
        <row r="2">
          <cell r="B2" t="str">
            <v>3.1.1</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RE ATT&amp;CK Mapping"/>
      <sheetName val="IG Def (7.1)"/>
      <sheetName val="Sheet1"/>
    </sheetNames>
    <sheetDataSet>
      <sheetData sheetId="0">
        <row r="5">
          <cell r="C5" t="str">
            <v>Account Policies</v>
          </cell>
        </row>
      </sheetData>
      <sheetData sheetId="1">
        <row r="1">
          <cell r="A1" t="str">
            <v>CIS Sub-Control</v>
          </cell>
        </row>
        <row r="2">
          <cell r="A2">
            <v>1.1000000000000001</v>
          </cell>
        </row>
        <row r="3">
          <cell r="A3">
            <v>1.2</v>
          </cell>
        </row>
        <row r="4">
          <cell r="A4">
            <v>1.3</v>
          </cell>
        </row>
        <row r="5">
          <cell r="A5">
            <v>1.4</v>
          </cell>
        </row>
        <row r="6">
          <cell r="A6">
            <v>1.5</v>
          </cell>
        </row>
        <row r="7">
          <cell r="A7">
            <v>1.6</v>
          </cell>
        </row>
        <row r="8">
          <cell r="A8">
            <v>1.7</v>
          </cell>
        </row>
        <row r="9">
          <cell r="A9">
            <v>1.8</v>
          </cell>
        </row>
        <row r="10">
          <cell r="A10">
            <v>2.1</v>
          </cell>
        </row>
        <row r="11">
          <cell r="A11">
            <v>2.2000000000000002</v>
          </cell>
        </row>
        <row r="12">
          <cell r="A12">
            <v>2.2999999999999998</v>
          </cell>
        </row>
        <row r="13">
          <cell r="A13">
            <v>2.4</v>
          </cell>
        </row>
        <row r="14">
          <cell r="A14">
            <v>2.5</v>
          </cell>
        </row>
        <row r="15">
          <cell r="A15">
            <v>2.6</v>
          </cell>
        </row>
        <row r="16">
          <cell r="A16">
            <v>2.7</v>
          </cell>
        </row>
        <row r="17">
          <cell r="A17">
            <v>2.8</v>
          </cell>
        </row>
        <row r="18">
          <cell r="A18" t="str">
            <v>2.9</v>
          </cell>
        </row>
        <row r="19">
          <cell r="A19" t="str">
            <v>2.10</v>
          </cell>
        </row>
        <row r="20">
          <cell r="A20">
            <v>3.1</v>
          </cell>
        </row>
        <row r="21">
          <cell r="A21">
            <v>3.2</v>
          </cell>
        </row>
        <row r="22">
          <cell r="A22">
            <v>3.3</v>
          </cell>
        </row>
        <row r="23">
          <cell r="A23">
            <v>3.4</v>
          </cell>
        </row>
        <row r="24">
          <cell r="A24">
            <v>3.5</v>
          </cell>
        </row>
        <row r="25">
          <cell r="A25">
            <v>3.6</v>
          </cell>
        </row>
        <row r="26">
          <cell r="A26">
            <v>3.7</v>
          </cell>
        </row>
        <row r="27">
          <cell r="A27">
            <v>4.0999999999999996</v>
          </cell>
        </row>
        <row r="28">
          <cell r="A28">
            <v>4.2</v>
          </cell>
        </row>
        <row r="29">
          <cell r="A29">
            <v>4.3</v>
          </cell>
        </row>
        <row r="30">
          <cell r="A30">
            <v>4.4000000000000004</v>
          </cell>
        </row>
        <row r="31">
          <cell r="A31">
            <v>4.5</v>
          </cell>
        </row>
        <row r="32">
          <cell r="A32">
            <v>4.5999999999999996</v>
          </cell>
        </row>
        <row r="33">
          <cell r="A33">
            <v>4.7</v>
          </cell>
        </row>
        <row r="34">
          <cell r="A34">
            <v>4.8</v>
          </cell>
        </row>
        <row r="35">
          <cell r="A35">
            <v>4.9000000000000004</v>
          </cell>
        </row>
        <row r="36">
          <cell r="A36">
            <v>5.0999999999999996</v>
          </cell>
        </row>
        <row r="37">
          <cell r="A37">
            <v>5.2</v>
          </cell>
        </row>
        <row r="38">
          <cell r="A38">
            <v>5.3</v>
          </cell>
        </row>
        <row r="39">
          <cell r="A39">
            <v>5.4</v>
          </cell>
        </row>
        <row r="40">
          <cell r="A40">
            <v>5.5</v>
          </cell>
        </row>
        <row r="41">
          <cell r="A41">
            <v>6.1</v>
          </cell>
        </row>
        <row r="42">
          <cell r="A42">
            <v>6.2</v>
          </cell>
        </row>
        <row r="43">
          <cell r="A43">
            <v>6.3</v>
          </cell>
        </row>
        <row r="44">
          <cell r="A44">
            <v>6.4</v>
          </cell>
        </row>
        <row r="45">
          <cell r="A45">
            <v>6.5</v>
          </cell>
        </row>
        <row r="46">
          <cell r="A46">
            <v>6.6</v>
          </cell>
        </row>
        <row r="47">
          <cell r="A47">
            <v>6.7</v>
          </cell>
        </row>
        <row r="48">
          <cell r="A48">
            <v>6.8</v>
          </cell>
        </row>
        <row r="49">
          <cell r="A49">
            <v>7.1</v>
          </cell>
        </row>
        <row r="50">
          <cell r="A50">
            <v>7.2</v>
          </cell>
        </row>
        <row r="51">
          <cell r="A51">
            <v>7.3</v>
          </cell>
        </row>
        <row r="52">
          <cell r="A52">
            <v>7.4</v>
          </cell>
        </row>
        <row r="53">
          <cell r="A53">
            <v>7.5</v>
          </cell>
        </row>
        <row r="54">
          <cell r="A54">
            <v>7.6</v>
          </cell>
        </row>
        <row r="55">
          <cell r="A55">
            <v>7.7</v>
          </cell>
        </row>
        <row r="56">
          <cell r="A56">
            <v>7.8</v>
          </cell>
        </row>
        <row r="57">
          <cell r="A57">
            <v>7.9</v>
          </cell>
        </row>
        <row r="58">
          <cell r="A58" t="str">
            <v>7.10</v>
          </cell>
        </row>
        <row r="59">
          <cell r="A59">
            <v>8.1</v>
          </cell>
        </row>
        <row r="60">
          <cell r="A60">
            <v>8.1999999999999993</v>
          </cell>
        </row>
        <row r="61">
          <cell r="A61">
            <v>8.3000000000000007</v>
          </cell>
        </row>
        <row r="62">
          <cell r="A62">
            <v>8.4</v>
          </cell>
        </row>
        <row r="63">
          <cell r="A63">
            <v>8.5</v>
          </cell>
        </row>
        <row r="64">
          <cell r="A64">
            <v>8.6</v>
          </cell>
        </row>
        <row r="65">
          <cell r="A65">
            <v>8.6999999999999993</v>
          </cell>
        </row>
        <row r="66">
          <cell r="A66">
            <v>8.8000000000000007</v>
          </cell>
        </row>
        <row r="67">
          <cell r="A67">
            <v>9.1</v>
          </cell>
        </row>
        <row r="68">
          <cell r="A68">
            <v>9.1999999999999993</v>
          </cell>
        </row>
        <row r="69">
          <cell r="A69">
            <v>9.3000000000000007</v>
          </cell>
        </row>
        <row r="70">
          <cell r="A70">
            <v>9.4</v>
          </cell>
        </row>
        <row r="71">
          <cell r="A71">
            <v>9.5</v>
          </cell>
        </row>
        <row r="72">
          <cell r="A72">
            <v>10.1</v>
          </cell>
        </row>
        <row r="73">
          <cell r="A73">
            <v>10.199999999999999</v>
          </cell>
        </row>
        <row r="74">
          <cell r="A74">
            <v>10.3</v>
          </cell>
        </row>
        <row r="75">
          <cell r="A75">
            <v>10.4</v>
          </cell>
        </row>
        <row r="76">
          <cell r="A76">
            <v>10.5</v>
          </cell>
        </row>
        <row r="77">
          <cell r="A77">
            <v>11.1</v>
          </cell>
        </row>
        <row r="78">
          <cell r="A78">
            <v>11.2</v>
          </cell>
        </row>
        <row r="79">
          <cell r="A79">
            <v>11.3</v>
          </cell>
        </row>
        <row r="80">
          <cell r="A80">
            <v>11.4</v>
          </cell>
        </row>
        <row r="81">
          <cell r="A81">
            <v>11.5</v>
          </cell>
        </row>
        <row r="82">
          <cell r="A82">
            <v>11.6</v>
          </cell>
        </row>
        <row r="83">
          <cell r="A83">
            <v>11.7</v>
          </cell>
        </row>
        <row r="84">
          <cell r="A84">
            <v>12.1</v>
          </cell>
        </row>
        <row r="85">
          <cell r="A85">
            <v>12.2</v>
          </cell>
        </row>
        <row r="86">
          <cell r="A86">
            <v>12.3</v>
          </cell>
        </row>
        <row r="87">
          <cell r="A87">
            <v>12.4</v>
          </cell>
        </row>
        <row r="88">
          <cell r="A88">
            <v>12.5</v>
          </cell>
        </row>
        <row r="89">
          <cell r="A89">
            <v>12.6</v>
          </cell>
        </row>
        <row r="90">
          <cell r="A90">
            <v>12.7</v>
          </cell>
        </row>
        <row r="91">
          <cell r="A91">
            <v>12.8</v>
          </cell>
        </row>
        <row r="92">
          <cell r="A92">
            <v>12.9</v>
          </cell>
        </row>
        <row r="93">
          <cell r="A93" t="str">
            <v>12.10</v>
          </cell>
        </row>
        <row r="94">
          <cell r="A94">
            <v>12.11</v>
          </cell>
        </row>
        <row r="95">
          <cell r="A95">
            <v>12.12</v>
          </cell>
        </row>
        <row r="96">
          <cell r="A96">
            <v>13.1</v>
          </cell>
        </row>
        <row r="97">
          <cell r="A97">
            <v>13.2</v>
          </cell>
        </row>
        <row r="98">
          <cell r="A98">
            <v>13.3</v>
          </cell>
        </row>
        <row r="99">
          <cell r="A99">
            <v>13.4</v>
          </cell>
        </row>
        <row r="100">
          <cell r="A100">
            <v>13.5</v>
          </cell>
        </row>
        <row r="101">
          <cell r="A101">
            <v>13.6</v>
          </cell>
        </row>
        <row r="102">
          <cell r="A102">
            <v>13.7</v>
          </cell>
        </row>
        <row r="103">
          <cell r="A103">
            <v>13.8</v>
          </cell>
        </row>
        <row r="104">
          <cell r="A104">
            <v>13.9</v>
          </cell>
        </row>
        <row r="105">
          <cell r="A105">
            <v>14.1</v>
          </cell>
        </row>
        <row r="106">
          <cell r="A106">
            <v>14.2</v>
          </cell>
        </row>
        <row r="107">
          <cell r="A107">
            <v>14.3</v>
          </cell>
        </row>
        <row r="108">
          <cell r="A108">
            <v>14.4</v>
          </cell>
        </row>
        <row r="109">
          <cell r="A109">
            <v>14.5</v>
          </cell>
        </row>
        <row r="110">
          <cell r="A110">
            <v>14.6</v>
          </cell>
        </row>
        <row r="111">
          <cell r="A111">
            <v>14.7</v>
          </cell>
        </row>
        <row r="112">
          <cell r="A112">
            <v>14.8</v>
          </cell>
        </row>
        <row r="113">
          <cell r="A113">
            <v>14.9</v>
          </cell>
        </row>
        <row r="114">
          <cell r="A114">
            <v>15.1</v>
          </cell>
        </row>
        <row r="115">
          <cell r="A115">
            <v>15.2</v>
          </cell>
        </row>
        <row r="116">
          <cell r="A116">
            <v>15.3</v>
          </cell>
        </row>
        <row r="117">
          <cell r="A117">
            <v>15.4</v>
          </cell>
        </row>
        <row r="118">
          <cell r="A118">
            <v>15.5</v>
          </cell>
        </row>
        <row r="119">
          <cell r="A119">
            <v>15.6</v>
          </cell>
        </row>
        <row r="120">
          <cell r="A120">
            <v>15.7</v>
          </cell>
        </row>
        <row r="121">
          <cell r="A121">
            <v>15.8</v>
          </cell>
        </row>
        <row r="122">
          <cell r="A122">
            <v>15.9</v>
          </cell>
        </row>
        <row r="123">
          <cell r="A123" t="str">
            <v>15.10</v>
          </cell>
        </row>
        <row r="124">
          <cell r="A124">
            <v>16.100000000000001</v>
          </cell>
        </row>
        <row r="125">
          <cell r="A125">
            <v>16.2</v>
          </cell>
        </row>
        <row r="126">
          <cell r="A126">
            <v>16.3</v>
          </cell>
        </row>
        <row r="127">
          <cell r="A127">
            <v>16.399999999999999</v>
          </cell>
        </row>
        <row r="128">
          <cell r="A128">
            <v>16.5</v>
          </cell>
        </row>
        <row r="129">
          <cell r="A129">
            <v>16.600000000000001</v>
          </cell>
        </row>
        <row r="130">
          <cell r="A130">
            <v>16.7</v>
          </cell>
        </row>
        <row r="131">
          <cell r="A131">
            <v>16.8</v>
          </cell>
        </row>
        <row r="132">
          <cell r="A132">
            <v>16.899999999999999</v>
          </cell>
        </row>
        <row r="133">
          <cell r="A133" t="str">
            <v>16.10</v>
          </cell>
        </row>
        <row r="134">
          <cell r="A134">
            <v>16.11</v>
          </cell>
        </row>
        <row r="135">
          <cell r="A135">
            <v>16.12</v>
          </cell>
        </row>
        <row r="136">
          <cell r="A136">
            <v>16.13</v>
          </cell>
        </row>
        <row r="137">
          <cell r="A137" t="str">
            <v>17.1</v>
          </cell>
        </row>
        <row r="138">
          <cell r="A138" t="str">
            <v>17.2</v>
          </cell>
        </row>
        <row r="139">
          <cell r="A139" t="str">
            <v>17.3</v>
          </cell>
        </row>
        <row r="140">
          <cell r="A140" t="str">
            <v>17.4</v>
          </cell>
        </row>
        <row r="141">
          <cell r="A141" t="str">
            <v>17.5</v>
          </cell>
        </row>
        <row r="142">
          <cell r="A142" t="str">
            <v>17.6</v>
          </cell>
        </row>
        <row r="143">
          <cell r="A143" t="str">
            <v>17.7</v>
          </cell>
        </row>
        <row r="144">
          <cell r="A144" t="str">
            <v>17.8</v>
          </cell>
        </row>
        <row r="145">
          <cell r="A145" t="str">
            <v>17.9</v>
          </cell>
        </row>
        <row r="146">
          <cell r="A146" t="str">
            <v>18.1</v>
          </cell>
        </row>
        <row r="147">
          <cell r="A147" t="str">
            <v>18.2</v>
          </cell>
        </row>
        <row r="148">
          <cell r="A148" t="str">
            <v>18.3</v>
          </cell>
        </row>
        <row r="149">
          <cell r="A149" t="str">
            <v>18.4</v>
          </cell>
        </row>
        <row r="150">
          <cell r="A150" t="str">
            <v>18.5</v>
          </cell>
        </row>
        <row r="151">
          <cell r="A151" t="str">
            <v>18.6</v>
          </cell>
        </row>
        <row r="152">
          <cell r="A152" t="str">
            <v>18.7</v>
          </cell>
        </row>
        <row r="153">
          <cell r="A153" t="str">
            <v>18.8</v>
          </cell>
        </row>
        <row r="154">
          <cell r="A154" t="str">
            <v>18.9</v>
          </cell>
        </row>
        <row r="155">
          <cell r="A155" t="str">
            <v>18.10</v>
          </cell>
        </row>
        <row r="156">
          <cell r="A156">
            <v>18.11</v>
          </cell>
        </row>
        <row r="157">
          <cell r="A157" t="str">
            <v>19.1</v>
          </cell>
        </row>
        <row r="158">
          <cell r="A158" t="str">
            <v>19.2</v>
          </cell>
        </row>
        <row r="159">
          <cell r="A159" t="str">
            <v>19.3</v>
          </cell>
        </row>
        <row r="160">
          <cell r="A160" t="str">
            <v>19.4</v>
          </cell>
        </row>
        <row r="161">
          <cell r="A161" t="str">
            <v>19.5</v>
          </cell>
        </row>
        <row r="162">
          <cell r="A162" t="str">
            <v>19.6</v>
          </cell>
        </row>
        <row r="163">
          <cell r="A163" t="str">
            <v>19.7</v>
          </cell>
        </row>
        <row r="164">
          <cell r="A164">
            <v>19.8</v>
          </cell>
        </row>
        <row r="165">
          <cell r="A165" t="str">
            <v>20.1</v>
          </cell>
        </row>
        <row r="166">
          <cell r="A166" t="str">
            <v>20.2</v>
          </cell>
        </row>
        <row r="167">
          <cell r="A167" t="str">
            <v>20.3</v>
          </cell>
        </row>
        <row r="168">
          <cell r="A168" t="str">
            <v>20.4</v>
          </cell>
        </row>
        <row r="169">
          <cell r="A169" t="str">
            <v>20.5</v>
          </cell>
        </row>
        <row r="170">
          <cell r="A170" t="str">
            <v>20.6</v>
          </cell>
        </row>
        <row r="171">
          <cell r="A171" t="str">
            <v>20.7</v>
          </cell>
        </row>
        <row r="172">
          <cell r="A172" t="str">
            <v>20.8</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03C4B-44A1-4ECD-AC14-DFE948C381D3}" name="Table7" displayName="Table7" ref="A5:L902" totalsRowShown="0" headerRowDxfId="13" dataDxfId="12">
  <autoFilter ref="A5:L902" xr:uid="{00000000-0009-0000-0100-000007000000}"/>
  <tableColumns count="12">
    <tableColumn id="1" xr3:uid="{938BA929-4B29-4DDE-AD35-6B837BA97A58}" name="All Applicable Rec#" dataDxfId="11">
      <calculatedColumnFormula>IF(COUNTIF(B6:K6,"="&amp;'MITRE ATT&amp;CK Mappings'!B2)&gt;0,'MITRE ATT&amp;CK Mappings'!B2,"")</calculatedColumnFormula>
    </tableColumn>
    <tableColumn id="2" xr3:uid="{457CA847-C624-43AF-86BE-435F493D56A2}" name="Rec #1" dataDxfId="10">
      <calculatedColumnFormula>IF(OR(OR(OR(OR(OR(ISNUMBER(SEARCH(IF(B$1&lt;&gt;"",B$1,"NA"),'MITRE ATT&amp;CK Mappings'!$E2)),ISNUMBER(SEARCH(IF(B$1&lt;&gt;"",B$1,"NA"),'MITRE ATT&amp;CK Mappings'!$F2))),ISNUMBER(SEARCH(IF(B$2&lt;&gt;"",B$2,"NA"),'MITRE ATT&amp;CK Mappings'!$G2))),ISNUMBER(SEARCH(IF(B$2&lt;&gt;"",B$2,"NA"),'MITRE ATT&amp;CK Mappings'!$H2))),ISNUMBER(SEARCH(IF(B$3&lt;&gt;"",B$3,"NA"),'MITRE ATT&amp;CK Mappings'!$I2))),ISNUMBER(SEARCH(IF(B$3&lt;&gt;"",B$3,"NA"),'MITRE ATT&amp;CK Mappings'!$J2))), 'MITRE ATT&amp;CK Mappings'!$B2,"")</calculatedColumnFormula>
    </tableColumn>
    <tableColumn id="3" xr3:uid="{C2951818-E595-49C1-8D13-735EDA0A24B1}" name="Rec #2" dataDxfId="9">
      <calculatedColumnFormula>IF(OR(OR(OR(OR(OR(ISNUMBER(SEARCH(IF(C$1&lt;&gt;"",C$1,"NA"),'MITRE ATT&amp;CK Mappings'!$E2)),ISNUMBER(SEARCH(IF(C$1&lt;&gt;"",C$1,"NA"),'MITRE ATT&amp;CK Mappings'!$F2))),ISNUMBER(SEARCH(IF(C$2&lt;&gt;"",C$2,"NA"),'MITRE ATT&amp;CK Mappings'!$G2))),ISNUMBER(SEARCH(IF(C$2&lt;&gt;"",C$2,"NA"),'MITRE ATT&amp;CK Mappings'!$H2))),ISNUMBER(SEARCH(IF(C$3&lt;&gt;"",C$3,"NA"),'MITRE ATT&amp;CK Mappings'!$I2))),ISNUMBER(SEARCH(IF(C$3&lt;&gt;"",C$3,"NA"),'MITRE ATT&amp;CK Mappings'!$J2))), 'MITRE ATT&amp;CK Mappings'!$B2,"")</calculatedColumnFormula>
    </tableColumn>
    <tableColumn id="4" xr3:uid="{1D1799BA-1584-4864-8AC1-B9730EF97882}" name="Rec #3" dataDxfId="8">
      <calculatedColumnFormula>IF(OR(OR(OR(OR(OR(ISNUMBER(SEARCH(IF(D$1&lt;&gt;"",D$1,"NA"),'MITRE ATT&amp;CK Mappings'!$E2)),ISNUMBER(SEARCH(IF(D$1&lt;&gt;"",D$1,"NA"),'MITRE ATT&amp;CK Mappings'!$F2))),ISNUMBER(SEARCH(IF(D$2&lt;&gt;"",D$2,"NA"),'MITRE ATT&amp;CK Mappings'!$G2))),ISNUMBER(SEARCH(IF(D$2&lt;&gt;"",D$2,"NA"),'MITRE ATT&amp;CK Mappings'!$H2))),ISNUMBER(SEARCH(IF(D$3&lt;&gt;"",D$3,"NA"),'MITRE ATT&amp;CK Mappings'!$I2))),ISNUMBER(SEARCH(IF(D$3&lt;&gt;"",D$3,"NA"),'MITRE ATT&amp;CK Mappings'!$J2))), 'MITRE ATT&amp;CK Mappings'!$B2,"")</calculatedColumnFormula>
    </tableColumn>
    <tableColumn id="5" xr3:uid="{3DC1C5E3-67A8-4FD9-A6EB-E10672272635}" name="Rec #4" dataDxfId="7">
      <calculatedColumnFormula>IF(OR(OR(OR(OR(OR(ISNUMBER(SEARCH(IF(E$1&lt;&gt;"",E$1,"NA"),'MITRE ATT&amp;CK Mappings'!$E2)),ISNUMBER(SEARCH(IF(E$1&lt;&gt;"",E$1,"NA"),'MITRE ATT&amp;CK Mappings'!$F2))),ISNUMBER(SEARCH(IF(E$2&lt;&gt;"",E$2,"NA"),'MITRE ATT&amp;CK Mappings'!$G2))),ISNUMBER(SEARCH(IF(E$2&lt;&gt;"",E$2,"NA"),'MITRE ATT&amp;CK Mappings'!$H2))),ISNUMBER(SEARCH(IF(E$3&lt;&gt;"",E$3,"NA"),'MITRE ATT&amp;CK Mappings'!$I2))),ISNUMBER(SEARCH(IF(E$3&lt;&gt;"",E$3,"NA"),'MITRE ATT&amp;CK Mappings'!$J2))), 'MITRE ATT&amp;CK Mappings'!$B2,"")</calculatedColumnFormula>
    </tableColumn>
    <tableColumn id="6" xr3:uid="{ED00C6B0-71D3-4BCC-85A4-E7361535F1AF}" name="Rec #5" dataDxfId="6">
      <calculatedColumnFormula>IF(OR(OR(OR(OR(OR(ISNUMBER(SEARCH(IF(F$1&lt;&gt;"",F$1,"NA"),'MITRE ATT&amp;CK Mappings'!$E2)),ISNUMBER(SEARCH(IF(F$1&lt;&gt;"",F$1,"NA"),'MITRE ATT&amp;CK Mappings'!$F2))),ISNUMBER(SEARCH(IF(F$2&lt;&gt;"",F$2,"NA"),'MITRE ATT&amp;CK Mappings'!$G2))),ISNUMBER(SEARCH(IF(F$2&lt;&gt;"",F$2,"NA"),'MITRE ATT&amp;CK Mappings'!$H2))),ISNUMBER(SEARCH(IF(F$3&lt;&gt;"",F$3,"NA"),'MITRE ATT&amp;CK Mappings'!$I2))),ISNUMBER(SEARCH(IF(F$3&lt;&gt;"",F$3,"NA"),'MITRE ATT&amp;CK Mappings'!$J2))), 'MITRE ATT&amp;CK Mappings'!$B2,"")</calculatedColumnFormula>
    </tableColumn>
    <tableColumn id="7" xr3:uid="{1652A1D6-55E1-4E2E-BAC1-13F339362931}" name="Rec #6" dataDxfId="5">
      <calculatedColumnFormula>IF(OR(OR(OR(OR(OR(ISNUMBER(SEARCH(IF(G$1&lt;&gt;"",G$1,"NA"),'MITRE ATT&amp;CK Mappings'!$E2)),ISNUMBER(SEARCH(IF(G$1&lt;&gt;"",G$1,"NA"),'MITRE ATT&amp;CK Mappings'!$F2))),ISNUMBER(SEARCH(IF(G$2&lt;&gt;"",G$2,"NA"),'MITRE ATT&amp;CK Mappings'!$G2))),ISNUMBER(SEARCH(IF(G$2&lt;&gt;"",G$2,"NA"),'MITRE ATT&amp;CK Mappings'!$H2))),ISNUMBER(SEARCH(IF(G$3&lt;&gt;"",G$3,"NA"),'MITRE ATT&amp;CK Mappings'!$I2))),ISNUMBER(SEARCH(IF(G$3&lt;&gt;"",G$3,"NA"),'MITRE ATT&amp;CK Mappings'!$J2))), 'MITRE ATT&amp;CK Mappings'!$B2,"")</calculatedColumnFormula>
    </tableColumn>
    <tableColumn id="8" xr3:uid="{6E8724DF-CCA9-4931-998C-EAD2895D0178}" name="Rec #7" dataDxfId="4">
      <calculatedColumnFormula>IF(OR(OR(OR(OR(OR(ISNUMBER(SEARCH(IF(H$1&lt;&gt;"",H$1,"NA"),'MITRE ATT&amp;CK Mappings'!$E2)),ISNUMBER(SEARCH(IF(H$1&lt;&gt;"",H$1,"NA"),'MITRE ATT&amp;CK Mappings'!$F2))),ISNUMBER(SEARCH(IF(H$2&lt;&gt;"",H$2,"NA"),'MITRE ATT&amp;CK Mappings'!$G2))),ISNUMBER(SEARCH(IF(H$2&lt;&gt;"",H$2,"NA"),'MITRE ATT&amp;CK Mappings'!$H2))),ISNUMBER(SEARCH(IF(H$3&lt;&gt;"",H$3,"NA"),'MITRE ATT&amp;CK Mappings'!$I2))),ISNUMBER(SEARCH(IF(H$3&lt;&gt;"",H$3,"NA"),'MITRE ATT&amp;CK Mappings'!$J2))), 'MITRE ATT&amp;CK Mappings'!$B2,"")</calculatedColumnFormula>
    </tableColumn>
    <tableColumn id="9" xr3:uid="{A9C0F0E4-F52B-4540-AA6D-B126636044F5}" name="Rec #8" dataDxfId="3">
      <calculatedColumnFormula>IF(OR(OR(OR(OR(OR(ISNUMBER(SEARCH(IF(I$1&lt;&gt;"",I$1,"NA"),'MITRE ATT&amp;CK Mappings'!$E2)),ISNUMBER(SEARCH(IF(I$1&lt;&gt;"",I$1,"NA"),'MITRE ATT&amp;CK Mappings'!$F2))),ISNUMBER(SEARCH(IF(I$2&lt;&gt;"",I$2,"NA"),'MITRE ATT&amp;CK Mappings'!$G2))),ISNUMBER(SEARCH(IF(I$2&lt;&gt;"",I$2,"NA"),'MITRE ATT&amp;CK Mappings'!$H2))),ISNUMBER(SEARCH(IF(I$3&lt;&gt;"",I$3,"NA"),'MITRE ATT&amp;CK Mappings'!$I2))),ISNUMBER(SEARCH(IF(I$3&lt;&gt;"",I$3,"NA"),'MITRE ATT&amp;CK Mappings'!$J2))), 'MITRE ATT&amp;CK Mappings'!$B2,"")</calculatedColumnFormula>
    </tableColumn>
    <tableColumn id="10" xr3:uid="{4A6C0922-1829-431D-BAF1-97B914E3E3F1}" name="Rec #9" dataDxfId="2">
      <calculatedColumnFormula>IF(OR(OR(OR(OR(OR(ISNUMBER(SEARCH(IF(J$1&lt;&gt;"",J$1,"NA"),'MITRE ATT&amp;CK Mappings'!$E2)),ISNUMBER(SEARCH(IF(J$1&lt;&gt;"",J$1,"NA"),'MITRE ATT&amp;CK Mappings'!$F2))),ISNUMBER(SEARCH(IF(J$2&lt;&gt;"",J$2,"NA"),'MITRE ATT&amp;CK Mappings'!$G2))),ISNUMBER(SEARCH(IF(J$2&lt;&gt;"",J$2,"NA"),'MITRE ATT&amp;CK Mappings'!$H2))),ISNUMBER(SEARCH(IF(J$3&lt;&gt;"",J$3,"NA"),'MITRE ATT&amp;CK Mappings'!$I2))),ISNUMBER(SEARCH(IF(J$3&lt;&gt;"",J$3,"NA"),'MITRE ATT&amp;CK Mappings'!$J2))), 'MITRE ATT&amp;CK Mappings'!$B2,"")</calculatedColumnFormula>
    </tableColumn>
    <tableColumn id="11" xr3:uid="{DACE1AF6-B12A-4CC8-A1FE-840E662728B0}" name="Rec #10" dataDxfId="1">
      <calculatedColumnFormula>IF(OR(OR(OR(OR(OR(ISNUMBER(SEARCH(IF(K$1&lt;&gt;"",K$1,"NA"),'MITRE ATT&amp;CK Mappings'!$E2)),ISNUMBER(SEARCH(IF(K$1&lt;&gt;"",K$1,"NA"),'MITRE ATT&amp;CK Mappings'!$F2))),ISNUMBER(SEARCH(IF(K$2&lt;&gt;"",K$2,"NA"),'MITRE ATT&amp;CK Mappings'!$G2))),ISNUMBER(SEARCH(IF(K$2&lt;&gt;"",K$2,"NA"),'MITRE ATT&amp;CK Mappings'!$H2))),ISNUMBER(SEARCH(IF(K$3&lt;&gt;"",K$3,"NA"),'MITRE ATT&amp;CK Mappings'!$I2))),ISNUMBER(SEARCH(IF(K$3&lt;&gt;"",K$3,"NA"),'MITRE ATT&amp;CK Mappings'!$J2))), 'MITRE ATT&amp;CK Mappings'!$B2,"")</calculatedColumnFormula>
    </tableColumn>
    <tableColumn id="12" xr3:uid="{35C5D2B9-5643-4820-979B-76ADD58D2C20}" name="Title" dataDxfId="0">
      <calculatedColumnFormula>IF('MITRE ATT&amp;CK Mappings'!D2 &lt;&gt;"",'MITRE ATT&amp;CK Mappings'!D2,""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pane ySplit="1" topLeftCell="A2" activePane="bottomLeft" state="frozen"/>
      <selection pane="bottomLeft"/>
    </sheetView>
  </sheetViews>
  <sheetFormatPr defaultRowHeight="15" x14ac:dyDescent="0.25"/>
  <cols>
    <col min="1" max="1" width="175" customWidth="1"/>
  </cols>
  <sheetData>
    <row r="1" spans="1:1" ht="30" customHeight="1" x14ac:dyDescent="0.25">
      <c r="A1" s="2" t="s">
        <v>0</v>
      </c>
    </row>
    <row r="2" spans="1:1" ht="409.6" customHeight="1" x14ac:dyDescent="0.25">
      <c r="A2" s="1" t="s">
        <v>1</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28"/>
  <sheetViews>
    <sheetView workbookViewId="0">
      <pane ySplit="1" topLeftCell="A2" activePane="bottomLeft" state="frozen"/>
      <selection pane="bottomLeft"/>
    </sheetView>
  </sheetViews>
  <sheetFormatPr defaultRowHeight="15" customHeight="1" x14ac:dyDescent="0.25"/>
  <cols>
    <col min="1" max="1" width="10" style="9" customWidth="1"/>
    <col min="2" max="2" width="15" style="9" customWidth="1"/>
    <col min="3" max="3" width="50" style="9" customWidth="1"/>
    <col min="4" max="4" width="12" style="9" customWidth="1"/>
    <col min="5" max="7" width="10" style="9" customWidth="1"/>
    <col min="8" max="8" width="12" style="9" customWidth="1"/>
    <col min="9" max="11" width="10" style="9" customWidth="1"/>
    <col min="12" max="14" width="12" style="9" customWidth="1"/>
    <col min="15" max="17" width="4" style="9" customWidth="1"/>
    <col min="18" max="20" width="12" style="9" customWidth="1"/>
    <col min="21" max="23" width="4" style="9" customWidth="1"/>
    <col min="24" max="25" width="40" style="9" customWidth="1"/>
  </cols>
  <sheetData>
    <row r="1" spans="1:25" s="9" customFormat="1" ht="56.1" customHeight="1" x14ac:dyDescent="0.25">
      <c r="A1" s="10" t="s">
        <v>1588</v>
      </c>
      <c r="B1" s="10" t="s">
        <v>1589</v>
      </c>
      <c r="C1" s="10" t="s">
        <v>1590</v>
      </c>
      <c r="D1" s="10" t="s">
        <v>1591</v>
      </c>
      <c r="E1" s="10" t="s">
        <v>1592</v>
      </c>
      <c r="F1" s="10" t="s">
        <v>1593</v>
      </c>
      <c r="G1" s="10" t="s">
        <v>1594</v>
      </c>
      <c r="H1" s="10" t="s">
        <v>1595</v>
      </c>
      <c r="I1" s="10" t="s">
        <v>1596</v>
      </c>
      <c r="J1" s="10" t="s">
        <v>1597</v>
      </c>
      <c r="K1" s="10" t="s">
        <v>5</v>
      </c>
      <c r="L1" s="10" t="s">
        <v>1598</v>
      </c>
      <c r="M1" s="10" t="s">
        <v>1599</v>
      </c>
      <c r="N1" s="10" t="s">
        <v>1600</v>
      </c>
      <c r="O1" s="10" t="s">
        <v>9</v>
      </c>
      <c r="P1" s="10" t="s">
        <v>10</v>
      </c>
      <c r="Q1" s="10" t="s">
        <v>11</v>
      </c>
      <c r="R1" s="10" t="s">
        <v>1601</v>
      </c>
      <c r="S1" s="10" t="s">
        <v>1602</v>
      </c>
      <c r="T1" s="10" t="s">
        <v>1603</v>
      </c>
      <c r="U1" s="10" t="s">
        <v>6</v>
      </c>
      <c r="V1" s="10" t="s">
        <v>7</v>
      </c>
      <c r="W1" s="10" t="s">
        <v>8</v>
      </c>
      <c r="X1" s="10" t="s">
        <v>1604</v>
      </c>
      <c r="Y1" s="10" t="s">
        <v>1605</v>
      </c>
    </row>
    <row r="2" spans="1:25" ht="15" customHeight="1" x14ac:dyDescent="0.25">
      <c r="A2" s="7" t="s">
        <v>12</v>
      </c>
      <c r="B2" s="7"/>
      <c r="C2" s="7" t="s">
        <v>13</v>
      </c>
      <c r="D2" s="7"/>
      <c r="E2" s="7" t="s">
        <v>14</v>
      </c>
      <c r="F2" s="7"/>
      <c r="G2" s="7"/>
      <c r="H2" s="7"/>
      <c r="I2" s="7"/>
      <c r="J2" s="7"/>
      <c r="K2" s="7"/>
      <c r="L2" s="7"/>
      <c r="M2" s="7"/>
      <c r="N2" s="7"/>
      <c r="O2" s="7"/>
      <c r="P2" s="7"/>
      <c r="Q2" s="7"/>
      <c r="R2" s="7"/>
      <c r="S2" s="7"/>
      <c r="T2" s="7"/>
      <c r="U2" s="7"/>
      <c r="V2" s="7"/>
      <c r="W2" s="7"/>
      <c r="X2" s="7"/>
      <c r="Y2" s="11"/>
    </row>
    <row r="3" spans="1:25" ht="15" customHeight="1" x14ac:dyDescent="0.25">
      <c r="A3" s="8" t="s">
        <v>15</v>
      </c>
      <c r="B3" s="8"/>
      <c r="C3" s="8" t="s">
        <v>16</v>
      </c>
      <c r="D3" s="8"/>
      <c r="E3" s="8" t="s">
        <v>17</v>
      </c>
      <c r="F3" s="8"/>
      <c r="G3" s="8"/>
      <c r="H3" s="8"/>
      <c r="I3" s="8"/>
      <c r="J3" s="8"/>
      <c r="K3" s="8"/>
      <c r="L3" s="8"/>
      <c r="M3" s="8"/>
      <c r="N3" s="8"/>
      <c r="O3" s="8"/>
      <c r="P3" s="8"/>
      <c r="Q3" s="8"/>
      <c r="R3" s="8"/>
      <c r="S3" s="8"/>
      <c r="T3" s="8"/>
      <c r="U3" s="8"/>
      <c r="V3" s="8"/>
      <c r="W3" s="8"/>
      <c r="X3" s="8"/>
      <c r="Y3" s="12"/>
    </row>
    <row r="4" spans="1:25" ht="15" customHeight="1" x14ac:dyDescent="0.25">
      <c r="A4" s="7" t="s">
        <v>18</v>
      </c>
      <c r="B4" s="7"/>
      <c r="C4" s="7" t="s">
        <v>19</v>
      </c>
      <c r="D4" s="7"/>
      <c r="E4" s="7" t="s">
        <v>20</v>
      </c>
      <c r="F4" s="7"/>
      <c r="G4" s="7"/>
      <c r="H4" s="7"/>
      <c r="I4" s="7"/>
      <c r="J4" s="7"/>
      <c r="K4" s="7"/>
      <c r="L4" s="7"/>
      <c r="M4" s="7"/>
      <c r="N4" s="7"/>
      <c r="O4" s="7"/>
      <c r="P4" s="7"/>
      <c r="Q4" s="7"/>
      <c r="R4" s="7"/>
      <c r="S4" s="7"/>
      <c r="T4" s="7"/>
      <c r="U4" s="7"/>
      <c r="V4" s="7"/>
      <c r="W4" s="7"/>
      <c r="X4" s="7"/>
      <c r="Y4" s="11"/>
    </row>
    <row r="5" spans="1:25" ht="15" customHeight="1" x14ac:dyDescent="0.25">
      <c r="A5" s="8" t="s">
        <v>21</v>
      </c>
      <c r="B5" s="8"/>
      <c r="C5" s="8" t="s">
        <v>22</v>
      </c>
      <c r="D5" s="8"/>
      <c r="E5" s="8" t="s">
        <v>23</v>
      </c>
      <c r="F5" s="8"/>
      <c r="G5" s="8"/>
      <c r="H5" s="8"/>
      <c r="I5" s="8"/>
      <c r="J5" s="8"/>
      <c r="K5" s="8"/>
      <c r="L5" s="8"/>
      <c r="M5" s="8"/>
      <c r="N5" s="8"/>
      <c r="O5" s="8"/>
      <c r="P5" s="8"/>
      <c r="Q5" s="8"/>
      <c r="R5" s="8"/>
      <c r="S5" s="8"/>
      <c r="T5" s="8"/>
      <c r="U5" s="8"/>
      <c r="V5" s="8"/>
      <c r="W5" s="8"/>
      <c r="X5" s="8"/>
      <c r="Y5" s="12"/>
    </row>
    <row r="6" spans="1:25" ht="15" customHeight="1" x14ac:dyDescent="0.25">
      <c r="A6" s="7" t="s">
        <v>24</v>
      </c>
      <c r="B6" s="7"/>
      <c r="C6" s="7" t="s">
        <v>25</v>
      </c>
      <c r="D6" s="7"/>
      <c r="E6" s="7" t="s">
        <v>26</v>
      </c>
      <c r="F6" s="7"/>
      <c r="G6" s="7"/>
      <c r="H6" s="7"/>
      <c r="I6" s="7"/>
      <c r="J6" s="7"/>
      <c r="K6" s="7"/>
      <c r="L6" s="7"/>
      <c r="M6" s="7"/>
      <c r="N6" s="7"/>
      <c r="O6" s="7"/>
      <c r="P6" s="7"/>
      <c r="Q6" s="7"/>
      <c r="R6" s="7"/>
      <c r="S6" s="7"/>
      <c r="T6" s="7"/>
      <c r="U6" s="7"/>
      <c r="V6" s="7"/>
      <c r="W6" s="7"/>
      <c r="X6" s="7"/>
      <c r="Y6" s="11"/>
    </row>
    <row r="7" spans="1:25" ht="15" customHeight="1" x14ac:dyDescent="0.25">
      <c r="A7" s="8" t="s">
        <v>27</v>
      </c>
      <c r="B7" s="8"/>
      <c r="C7" s="8" t="s">
        <v>28</v>
      </c>
      <c r="D7" s="8"/>
      <c r="E7" s="8" t="s">
        <v>29</v>
      </c>
      <c r="F7" s="8"/>
      <c r="G7" s="8"/>
      <c r="H7" s="8"/>
      <c r="I7" s="8"/>
      <c r="J7" s="8"/>
      <c r="K7" s="8"/>
      <c r="L7" s="8"/>
      <c r="M7" s="8"/>
      <c r="N7" s="8"/>
      <c r="O7" s="8"/>
      <c r="P7" s="8"/>
      <c r="Q7" s="8"/>
      <c r="R7" s="8"/>
      <c r="S7" s="8"/>
      <c r="T7" s="8"/>
      <c r="U7" s="8"/>
      <c r="V7" s="8"/>
      <c r="W7" s="8"/>
      <c r="X7" s="8"/>
      <c r="Y7" s="12"/>
    </row>
    <row r="8" spans="1:25" ht="15" customHeight="1" x14ac:dyDescent="0.25">
      <c r="A8" s="7" t="s">
        <v>30</v>
      </c>
      <c r="B8" s="7"/>
      <c r="C8" s="7" t="s">
        <v>31</v>
      </c>
      <c r="D8" s="7"/>
      <c r="E8" s="7"/>
      <c r="F8" s="7"/>
      <c r="G8" s="7"/>
      <c r="H8" s="7"/>
      <c r="I8" s="7"/>
      <c r="J8" s="7"/>
      <c r="K8" s="7"/>
      <c r="L8" s="7"/>
      <c r="M8" s="7"/>
      <c r="N8" s="7"/>
      <c r="O8" s="7"/>
      <c r="P8" s="7"/>
      <c r="Q8" s="7"/>
      <c r="R8" s="7"/>
      <c r="S8" s="7"/>
      <c r="T8" s="7"/>
      <c r="U8" s="7"/>
      <c r="V8" s="7"/>
      <c r="W8" s="7"/>
      <c r="X8" s="7"/>
      <c r="Y8" s="11"/>
    </row>
    <row r="9" spans="1:25" ht="15" customHeight="1" x14ac:dyDescent="0.25">
      <c r="A9" s="8" t="s">
        <v>30</v>
      </c>
      <c r="B9" s="8" t="s">
        <v>32</v>
      </c>
      <c r="C9" s="8" t="s">
        <v>33</v>
      </c>
      <c r="D9" s="8" t="s">
        <v>34</v>
      </c>
      <c r="E9" s="8" t="s">
        <v>35</v>
      </c>
      <c r="F9" s="8" t="s">
        <v>36</v>
      </c>
      <c r="G9" s="8" t="s">
        <v>37</v>
      </c>
      <c r="H9" s="8" t="s">
        <v>38</v>
      </c>
      <c r="I9" s="8" t="s">
        <v>39</v>
      </c>
      <c r="J9" s="8"/>
      <c r="K9" s="8" t="s">
        <v>40</v>
      </c>
      <c r="L9" s="8" t="s">
        <v>1606</v>
      </c>
      <c r="M9" s="8"/>
      <c r="N9" s="8"/>
      <c r="O9" s="8"/>
      <c r="P9" s="8" t="s">
        <v>41</v>
      </c>
      <c r="Q9" s="8" t="s">
        <v>41</v>
      </c>
      <c r="R9" s="8" t="s">
        <v>1607</v>
      </c>
      <c r="S9" s="8"/>
      <c r="T9" s="8"/>
      <c r="U9" s="8"/>
      <c r="V9" s="8" t="s">
        <v>41</v>
      </c>
      <c r="W9" s="8" t="s">
        <v>41</v>
      </c>
      <c r="X9" s="8"/>
      <c r="Y9" s="12" t="s">
        <v>42</v>
      </c>
    </row>
    <row r="10" spans="1:25" ht="15" customHeight="1" x14ac:dyDescent="0.25">
      <c r="A10" s="7" t="s">
        <v>30</v>
      </c>
      <c r="B10" s="7" t="s">
        <v>43</v>
      </c>
      <c r="C10" s="7" t="s">
        <v>44</v>
      </c>
      <c r="D10" s="7" t="s">
        <v>34</v>
      </c>
      <c r="E10" s="7" t="s">
        <v>45</v>
      </c>
      <c r="F10" s="7" t="s">
        <v>46</v>
      </c>
      <c r="G10" s="7" t="s">
        <v>47</v>
      </c>
      <c r="H10" s="7" t="s">
        <v>48</v>
      </c>
      <c r="I10" s="7" t="s">
        <v>49</v>
      </c>
      <c r="J10" s="7"/>
      <c r="K10" s="7" t="s">
        <v>50</v>
      </c>
      <c r="L10" s="7" t="s">
        <v>1608</v>
      </c>
      <c r="M10" s="7"/>
      <c r="N10" s="7"/>
      <c r="O10" s="7" t="s">
        <v>41</v>
      </c>
      <c r="P10" s="7" t="s">
        <v>41</v>
      </c>
      <c r="Q10" s="7" t="s">
        <v>41</v>
      </c>
      <c r="R10" s="7" t="s">
        <v>1609</v>
      </c>
      <c r="S10" s="7"/>
      <c r="T10" s="7"/>
      <c r="U10" s="7" t="s">
        <v>41</v>
      </c>
      <c r="V10" s="7" t="s">
        <v>41</v>
      </c>
      <c r="W10" s="7" t="s">
        <v>41</v>
      </c>
      <c r="X10" s="7" t="s">
        <v>51</v>
      </c>
      <c r="Y10" s="11" t="s">
        <v>52</v>
      </c>
    </row>
    <row r="11" spans="1:25" ht="15" customHeight="1" x14ac:dyDescent="0.25">
      <c r="A11" s="8" t="s">
        <v>30</v>
      </c>
      <c r="B11" s="8" t="s">
        <v>53</v>
      </c>
      <c r="C11" s="8" t="s">
        <v>54</v>
      </c>
      <c r="D11" s="8" t="s">
        <v>55</v>
      </c>
      <c r="E11" s="8" t="s">
        <v>56</v>
      </c>
      <c r="F11" s="8" t="s">
        <v>57</v>
      </c>
      <c r="G11" s="8" t="s">
        <v>58</v>
      </c>
      <c r="H11" s="8" t="s">
        <v>59</v>
      </c>
      <c r="I11" s="8" t="s">
        <v>60</v>
      </c>
      <c r="J11" s="8"/>
      <c r="K11" s="8" t="s">
        <v>61</v>
      </c>
      <c r="L11" s="8" t="s">
        <v>145</v>
      </c>
      <c r="M11" s="8"/>
      <c r="N11" s="8"/>
      <c r="O11" s="8"/>
      <c r="P11" s="8" t="s">
        <v>41</v>
      </c>
      <c r="Q11" s="8" t="s">
        <v>41</v>
      </c>
      <c r="R11" s="8" t="s">
        <v>1610</v>
      </c>
      <c r="S11" s="8"/>
      <c r="T11" s="8"/>
      <c r="U11" s="8"/>
      <c r="V11" s="8" t="s">
        <v>41</v>
      </c>
      <c r="W11" s="8" t="s">
        <v>41</v>
      </c>
      <c r="X11" s="8" t="s">
        <v>62</v>
      </c>
      <c r="Y11" s="12" t="s">
        <v>63</v>
      </c>
    </row>
    <row r="12" spans="1:25" ht="15" customHeight="1" x14ac:dyDescent="0.25">
      <c r="A12" s="7" t="s">
        <v>30</v>
      </c>
      <c r="B12" s="7" t="s">
        <v>64</v>
      </c>
      <c r="C12" s="7" t="s">
        <v>65</v>
      </c>
      <c r="D12" s="7" t="s">
        <v>55</v>
      </c>
      <c r="E12" s="7" t="s">
        <v>66</v>
      </c>
      <c r="F12" s="7" t="s">
        <v>67</v>
      </c>
      <c r="G12" s="7" t="s">
        <v>68</v>
      </c>
      <c r="H12" s="7" t="s">
        <v>69</v>
      </c>
      <c r="I12" s="7" t="s">
        <v>70</v>
      </c>
      <c r="J12" s="7"/>
      <c r="K12" s="7" t="s">
        <v>71</v>
      </c>
      <c r="L12" s="7" t="s">
        <v>145</v>
      </c>
      <c r="M12" s="7" t="s">
        <v>1611</v>
      </c>
      <c r="N12" s="7"/>
      <c r="O12" s="7"/>
      <c r="P12" s="7" t="s">
        <v>41</v>
      </c>
      <c r="Q12" s="7" t="s">
        <v>41</v>
      </c>
      <c r="R12" s="7" t="s">
        <v>1610</v>
      </c>
      <c r="S12" s="7"/>
      <c r="T12" s="7"/>
      <c r="U12" s="7"/>
      <c r="V12" s="7" t="s">
        <v>41</v>
      </c>
      <c r="W12" s="7" t="s">
        <v>41</v>
      </c>
      <c r="X12" s="7" t="s">
        <v>72</v>
      </c>
      <c r="Y12" s="11" t="s">
        <v>73</v>
      </c>
    </row>
    <row r="13" spans="1:25" ht="15" customHeight="1" x14ac:dyDescent="0.25">
      <c r="A13" s="8" t="s">
        <v>30</v>
      </c>
      <c r="B13" s="8" t="s">
        <v>74</v>
      </c>
      <c r="C13" s="8" t="s">
        <v>75</v>
      </c>
      <c r="D13" s="8" t="s">
        <v>55</v>
      </c>
      <c r="E13" s="8" t="s">
        <v>76</v>
      </c>
      <c r="F13" s="8" t="s">
        <v>77</v>
      </c>
      <c r="G13" s="8" t="s">
        <v>78</v>
      </c>
      <c r="H13" s="8" t="s">
        <v>79</v>
      </c>
      <c r="I13" s="8" t="s">
        <v>80</v>
      </c>
      <c r="J13" s="8"/>
      <c r="K13" s="8" t="s">
        <v>81</v>
      </c>
      <c r="L13" s="8" t="s">
        <v>1102</v>
      </c>
      <c r="M13" s="8"/>
      <c r="N13" s="8"/>
      <c r="O13" s="8" t="s">
        <v>41</v>
      </c>
      <c r="P13" s="8" t="s">
        <v>41</v>
      </c>
      <c r="Q13" s="8" t="s">
        <v>41</v>
      </c>
      <c r="R13" s="8" t="s">
        <v>1612</v>
      </c>
      <c r="S13" s="8"/>
      <c r="T13" s="8"/>
      <c r="U13" s="8"/>
      <c r="V13" s="8" t="s">
        <v>41</v>
      </c>
      <c r="W13" s="8" t="s">
        <v>41</v>
      </c>
      <c r="X13" s="8" t="s">
        <v>82</v>
      </c>
      <c r="Y13" s="12" t="s">
        <v>83</v>
      </c>
    </row>
    <row r="14" spans="1:25" ht="15" customHeight="1" x14ac:dyDescent="0.25">
      <c r="A14" s="7" t="s">
        <v>30</v>
      </c>
      <c r="B14" s="7" t="s">
        <v>84</v>
      </c>
      <c r="C14" s="7" t="s">
        <v>85</v>
      </c>
      <c r="D14" s="7" t="s">
        <v>34</v>
      </c>
      <c r="E14" s="7" t="s">
        <v>86</v>
      </c>
      <c r="F14" s="7" t="s">
        <v>87</v>
      </c>
      <c r="G14" s="7" t="s">
        <v>88</v>
      </c>
      <c r="H14" s="7" t="s">
        <v>89</v>
      </c>
      <c r="I14" s="7" t="s">
        <v>90</v>
      </c>
      <c r="J14" s="7" t="s">
        <v>91</v>
      </c>
      <c r="K14" s="7" t="s">
        <v>92</v>
      </c>
      <c r="L14" s="7" t="s">
        <v>666</v>
      </c>
      <c r="M14" s="7"/>
      <c r="N14" s="7"/>
      <c r="O14" s="7" t="s">
        <v>41</v>
      </c>
      <c r="P14" s="7" t="s">
        <v>41</v>
      </c>
      <c r="Q14" s="7" t="s">
        <v>41</v>
      </c>
      <c r="R14" s="7" t="s">
        <v>1102</v>
      </c>
      <c r="S14" s="7"/>
      <c r="T14" s="7"/>
      <c r="U14" s="7" t="s">
        <v>41</v>
      </c>
      <c r="V14" s="7" t="s">
        <v>41</v>
      </c>
      <c r="W14" s="7" t="s">
        <v>41</v>
      </c>
      <c r="X14" s="7" t="s">
        <v>93</v>
      </c>
      <c r="Y14" s="11"/>
    </row>
    <row r="15" spans="1:25" ht="15" customHeight="1" x14ac:dyDescent="0.25">
      <c r="A15" s="8" t="s">
        <v>30</v>
      </c>
      <c r="B15" s="8" t="s">
        <v>94</v>
      </c>
      <c r="C15" s="8" t="s">
        <v>95</v>
      </c>
      <c r="D15" s="8" t="s">
        <v>34</v>
      </c>
      <c r="E15" s="8" t="s">
        <v>96</v>
      </c>
      <c r="F15" s="8" t="s">
        <v>97</v>
      </c>
      <c r="G15" s="8" t="s">
        <v>98</v>
      </c>
      <c r="H15" s="8" t="s">
        <v>99</v>
      </c>
      <c r="I15" s="8" t="s">
        <v>100</v>
      </c>
      <c r="J15" s="8"/>
      <c r="K15" s="8" t="s">
        <v>101</v>
      </c>
      <c r="L15" s="8" t="s">
        <v>1613</v>
      </c>
      <c r="M15" s="8"/>
      <c r="N15" s="8"/>
      <c r="O15" s="8" t="s">
        <v>41</v>
      </c>
      <c r="P15" s="8" t="s">
        <v>41</v>
      </c>
      <c r="Q15" s="8" t="s">
        <v>41</v>
      </c>
      <c r="R15" s="8" t="s">
        <v>1614</v>
      </c>
      <c r="S15" s="8"/>
      <c r="T15" s="8"/>
      <c r="U15" s="8" t="s">
        <v>41</v>
      </c>
      <c r="V15" s="8" t="s">
        <v>41</v>
      </c>
      <c r="W15" s="8" t="s">
        <v>41</v>
      </c>
      <c r="X15" s="8" t="s">
        <v>102</v>
      </c>
      <c r="Y15" s="12" t="s">
        <v>103</v>
      </c>
    </row>
    <row r="16" spans="1:25" ht="15" customHeight="1" x14ac:dyDescent="0.25">
      <c r="A16" s="7" t="s">
        <v>30</v>
      </c>
      <c r="B16" s="7" t="s">
        <v>104</v>
      </c>
      <c r="C16" s="7" t="s">
        <v>105</v>
      </c>
      <c r="D16" s="7" t="s">
        <v>34</v>
      </c>
      <c r="E16" s="7" t="s">
        <v>106</v>
      </c>
      <c r="F16" s="7" t="s">
        <v>107</v>
      </c>
      <c r="G16" s="7" t="s">
        <v>108</v>
      </c>
      <c r="H16" s="7" t="s">
        <v>109</v>
      </c>
      <c r="I16" s="7" t="s">
        <v>110</v>
      </c>
      <c r="J16" s="7" t="s">
        <v>111</v>
      </c>
      <c r="K16" s="7" t="s">
        <v>101</v>
      </c>
      <c r="L16" s="7" t="s">
        <v>1613</v>
      </c>
      <c r="M16" s="7"/>
      <c r="N16" s="7"/>
      <c r="O16" s="7" t="s">
        <v>41</v>
      </c>
      <c r="P16" s="7" t="s">
        <v>41</v>
      </c>
      <c r="Q16" s="7" t="s">
        <v>41</v>
      </c>
      <c r="R16" s="7" t="s">
        <v>1614</v>
      </c>
      <c r="S16" s="7"/>
      <c r="T16" s="7"/>
      <c r="U16" s="7" t="s">
        <v>41</v>
      </c>
      <c r="V16" s="7" t="s">
        <v>41</v>
      </c>
      <c r="W16" s="7" t="s">
        <v>41</v>
      </c>
      <c r="X16" s="7" t="s">
        <v>112</v>
      </c>
      <c r="Y16" s="11" t="s">
        <v>113</v>
      </c>
    </row>
    <row r="17" spans="1:25" ht="15" customHeight="1" x14ac:dyDescent="0.25">
      <c r="A17" s="8" t="s">
        <v>114</v>
      </c>
      <c r="B17" s="8"/>
      <c r="C17" s="8" t="s">
        <v>115</v>
      </c>
      <c r="D17" s="8"/>
      <c r="E17" s="8" t="s">
        <v>116</v>
      </c>
      <c r="F17" s="8"/>
      <c r="G17" s="8"/>
      <c r="H17" s="8"/>
      <c r="I17" s="8"/>
      <c r="J17" s="8"/>
      <c r="K17" s="8"/>
      <c r="L17" s="8"/>
      <c r="M17" s="8"/>
      <c r="N17" s="8"/>
      <c r="O17" s="8"/>
      <c r="P17" s="8"/>
      <c r="Q17" s="8"/>
      <c r="R17" s="8"/>
      <c r="S17" s="8"/>
      <c r="T17" s="8"/>
      <c r="U17" s="8"/>
      <c r="V17" s="8"/>
      <c r="W17" s="8"/>
      <c r="X17" s="8"/>
      <c r="Y17" s="12"/>
    </row>
    <row r="18" spans="1:25" ht="15" customHeight="1" x14ac:dyDescent="0.25">
      <c r="A18" s="7" t="s">
        <v>117</v>
      </c>
      <c r="B18" s="7"/>
      <c r="C18" s="7" t="s">
        <v>118</v>
      </c>
      <c r="D18" s="7"/>
      <c r="E18" s="7" t="s">
        <v>119</v>
      </c>
      <c r="F18" s="7"/>
      <c r="G18" s="7"/>
      <c r="H18" s="7"/>
      <c r="I18" s="7"/>
      <c r="J18" s="7"/>
      <c r="K18" s="7"/>
      <c r="L18" s="7"/>
      <c r="M18" s="7"/>
      <c r="N18" s="7"/>
      <c r="O18" s="7"/>
      <c r="P18" s="7"/>
      <c r="Q18" s="7"/>
      <c r="R18" s="7"/>
      <c r="S18" s="7"/>
      <c r="T18" s="7"/>
      <c r="U18" s="7"/>
      <c r="V18" s="7"/>
      <c r="W18" s="7"/>
      <c r="X18" s="7"/>
      <c r="Y18" s="11"/>
    </row>
    <row r="19" spans="1:25" ht="15" customHeight="1" x14ac:dyDescent="0.25">
      <c r="A19" s="8" t="s">
        <v>120</v>
      </c>
      <c r="B19" s="8"/>
      <c r="C19" s="8" t="s">
        <v>121</v>
      </c>
      <c r="D19" s="8"/>
      <c r="E19" s="8" t="s">
        <v>122</v>
      </c>
      <c r="F19" s="8"/>
      <c r="G19" s="8"/>
      <c r="H19" s="8"/>
      <c r="I19" s="8"/>
      <c r="J19" s="8"/>
      <c r="K19" s="8"/>
      <c r="L19" s="8"/>
      <c r="M19" s="8"/>
      <c r="N19" s="8"/>
      <c r="O19" s="8"/>
      <c r="P19" s="8"/>
      <c r="Q19" s="8"/>
      <c r="R19" s="8"/>
      <c r="S19" s="8"/>
      <c r="T19" s="8"/>
      <c r="U19" s="8"/>
      <c r="V19" s="8"/>
      <c r="W19" s="8"/>
      <c r="X19" s="8"/>
      <c r="Y19" s="12"/>
    </row>
    <row r="20" spans="1:25" ht="15" customHeight="1" x14ac:dyDescent="0.25">
      <c r="A20" s="7" t="s">
        <v>123</v>
      </c>
      <c r="B20" s="7"/>
      <c r="C20" s="7" t="s">
        <v>124</v>
      </c>
      <c r="D20" s="7"/>
      <c r="E20" s="7" t="s">
        <v>125</v>
      </c>
      <c r="F20" s="7"/>
      <c r="G20" s="7"/>
      <c r="H20" s="7"/>
      <c r="I20" s="7"/>
      <c r="J20" s="7"/>
      <c r="K20" s="7"/>
      <c r="L20" s="7"/>
      <c r="M20" s="7"/>
      <c r="N20" s="7"/>
      <c r="O20" s="7"/>
      <c r="P20" s="7"/>
      <c r="Q20" s="7"/>
      <c r="R20" s="7"/>
      <c r="S20" s="7"/>
      <c r="T20" s="7"/>
      <c r="U20" s="7"/>
      <c r="V20" s="7"/>
      <c r="W20" s="7"/>
      <c r="X20" s="7"/>
      <c r="Y20" s="11"/>
    </row>
    <row r="21" spans="1:25" ht="15" customHeight="1" x14ac:dyDescent="0.25">
      <c r="A21" s="8" t="s">
        <v>123</v>
      </c>
      <c r="B21" s="8" t="s">
        <v>126</v>
      </c>
      <c r="C21" s="8" t="s">
        <v>127</v>
      </c>
      <c r="D21" s="8" t="s">
        <v>34</v>
      </c>
      <c r="E21" s="8" t="s">
        <v>128</v>
      </c>
      <c r="F21" s="8" t="s">
        <v>129</v>
      </c>
      <c r="G21" s="8" t="s">
        <v>130</v>
      </c>
      <c r="H21" s="8" t="s">
        <v>131</v>
      </c>
      <c r="I21" s="8" t="s">
        <v>132</v>
      </c>
      <c r="J21" s="8"/>
      <c r="K21" s="8" t="s">
        <v>133</v>
      </c>
      <c r="L21" s="8" t="s">
        <v>1615</v>
      </c>
      <c r="M21" s="8"/>
      <c r="N21" s="8"/>
      <c r="O21" s="8"/>
      <c r="P21" s="8"/>
      <c r="Q21" s="8" t="s">
        <v>41</v>
      </c>
      <c r="R21" s="8" t="s">
        <v>1614</v>
      </c>
      <c r="S21" s="8"/>
      <c r="T21" s="8"/>
      <c r="U21" s="8" t="s">
        <v>41</v>
      </c>
      <c r="V21" s="8" t="s">
        <v>41</v>
      </c>
      <c r="W21" s="8" t="s">
        <v>41</v>
      </c>
      <c r="X21" s="8" t="s">
        <v>134</v>
      </c>
      <c r="Y21" s="12"/>
    </row>
    <row r="22" spans="1:25" ht="15" customHeight="1" x14ac:dyDescent="0.25">
      <c r="A22" s="7" t="s">
        <v>123</v>
      </c>
      <c r="B22" s="7" t="s">
        <v>135</v>
      </c>
      <c r="C22" s="7" t="s">
        <v>136</v>
      </c>
      <c r="D22" s="7" t="s">
        <v>55</v>
      </c>
      <c r="E22" s="7" t="s">
        <v>137</v>
      </c>
      <c r="F22" s="7" t="s">
        <v>138</v>
      </c>
      <c r="G22" s="7" t="s">
        <v>139</v>
      </c>
      <c r="H22" s="7" t="s">
        <v>140</v>
      </c>
      <c r="I22" s="7" t="s">
        <v>141</v>
      </c>
      <c r="J22" s="7"/>
      <c r="K22" s="7" t="s">
        <v>142</v>
      </c>
      <c r="L22" s="7" t="s">
        <v>1616</v>
      </c>
      <c r="M22" s="7" t="s">
        <v>1617</v>
      </c>
      <c r="N22" s="7"/>
      <c r="O22" s="7" t="s">
        <v>41</v>
      </c>
      <c r="P22" s="7" t="s">
        <v>41</v>
      </c>
      <c r="Q22" s="7" t="s">
        <v>41</v>
      </c>
      <c r="R22" s="7" t="s">
        <v>1618</v>
      </c>
      <c r="S22" s="7"/>
      <c r="T22" s="7"/>
      <c r="U22" s="7"/>
      <c r="V22" s="7" t="s">
        <v>41</v>
      </c>
      <c r="W22" s="7" t="s">
        <v>41</v>
      </c>
      <c r="X22" s="7" t="s">
        <v>143</v>
      </c>
      <c r="Y22" s="11" t="s">
        <v>144</v>
      </c>
    </row>
    <row r="23" spans="1:25" ht="15" customHeight="1" x14ac:dyDescent="0.25">
      <c r="A23" s="8" t="s">
        <v>123</v>
      </c>
      <c r="B23" s="8" t="s">
        <v>145</v>
      </c>
      <c r="C23" s="8" t="s">
        <v>146</v>
      </c>
      <c r="D23" s="8" t="s">
        <v>55</v>
      </c>
      <c r="E23" s="8" t="s">
        <v>147</v>
      </c>
      <c r="F23" s="8" t="s">
        <v>148</v>
      </c>
      <c r="G23" s="8" t="s">
        <v>149</v>
      </c>
      <c r="H23" s="8" t="s">
        <v>150</v>
      </c>
      <c r="I23" s="8" t="s">
        <v>151</v>
      </c>
      <c r="J23" s="8" t="s">
        <v>152</v>
      </c>
      <c r="K23" s="8" t="s">
        <v>153</v>
      </c>
      <c r="L23" s="8" t="s">
        <v>1619</v>
      </c>
      <c r="M23" s="8"/>
      <c r="N23" s="8"/>
      <c r="O23" s="8"/>
      <c r="P23" s="8" t="s">
        <v>41</v>
      </c>
      <c r="Q23" s="8" t="s">
        <v>41</v>
      </c>
      <c r="R23" s="8"/>
      <c r="S23" s="8"/>
      <c r="T23" s="8"/>
      <c r="U23" s="8"/>
      <c r="V23" s="8"/>
      <c r="W23" s="8"/>
      <c r="X23" s="8" t="s">
        <v>154</v>
      </c>
      <c r="Y23" s="12" t="s">
        <v>155</v>
      </c>
    </row>
    <row r="24" spans="1:25" ht="15" customHeight="1" x14ac:dyDescent="0.25">
      <c r="A24" s="7" t="s">
        <v>123</v>
      </c>
      <c r="B24" s="7" t="s">
        <v>156</v>
      </c>
      <c r="C24" s="7" t="s">
        <v>157</v>
      </c>
      <c r="D24" s="7" t="s">
        <v>55</v>
      </c>
      <c r="E24" s="7" t="s">
        <v>158</v>
      </c>
      <c r="F24" s="7" t="s">
        <v>148</v>
      </c>
      <c r="G24" s="7" t="s">
        <v>159</v>
      </c>
      <c r="H24" s="7" t="s">
        <v>160</v>
      </c>
      <c r="I24" s="7" t="s">
        <v>161</v>
      </c>
      <c r="J24" s="7"/>
      <c r="K24" s="7" t="s">
        <v>153</v>
      </c>
      <c r="L24" s="7" t="s">
        <v>1619</v>
      </c>
      <c r="M24" s="7"/>
      <c r="N24" s="7"/>
      <c r="O24" s="7"/>
      <c r="P24" s="7" t="s">
        <v>41</v>
      </c>
      <c r="Q24" s="7" t="s">
        <v>41</v>
      </c>
      <c r="R24" s="7"/>
      <c r="S24" s="7"/>
      <c r="T24" s="7"/>
      <c r="U24" s="7"/>
      <c r="V24" s="7"/>
      <c r="W24" s="7"/>
      <c r="X24" s="7" t="s">
        <v>154</v>
      </c>
      <c r="Y24" s="11" t="s">
        <v>162</v>
      </c>
    </row>
    <row r="25" spans="1:25" ht="15" customHeight="1" x14ac:dyDescent="0.25">
      <c r="A25" s="8" t="s">
        <v>123</v>
      </c>
      <c r="B25" s="8" t="s">
        <v>163</v>
      </c>
      <c r="C25" s="8" t="s">
        <v>164</v>
      </c>
      <c r="D25" s="8" t="s">
        <v>55</v>
      </c>
      <c r="E25" s="8" t="s">
        <v>165</v>
      </c>
      <c r="F25" s="8" t="s">
        <v>166</v>
      </c>
      <c r="G25" s="8" t="s">
        <v>167</v>
      </c>
      <c r="H25" s="8" t="s">
        <v>168</v>
      </c>
      <c r="I25" s="8" t="s">
        <v>169</v>
      </c>
      <c r="J25" s="8"/>
      <c r="K25" s="8" t="s">
        <v>170</v>
      </c>
      <c r="L25" s="8" t="s">
        <v>313</v>
      </c>
      <c r="M25" s="8" t="s">
        <v>1611</v>
      </c>
      <c r="N25" s="8"/>
      <c r="O25" s="8" t="s">
        <v>41</v>
      </c>
      <c r="P25" s="8" t="s">
        <v>41</v>
      </c>
      <c r="Q25" s="8" t="s">
        <v>41</v>
      </c>
      <c r="R25" s="8" t="s">
        <v>1608</v>
      </c>
      <c r="S25" s="8"/>
      <c r="T25" s="8"/>
      <c r="U25" s="8"/>
      <c r="V25" s="8" t="s">
        <v>41</v>
      </c>
      <c r="W25" s="8" t="s">
        <v>41</v>
      </c>
      <c r="X25" s="8" t="s">
        <v>171</v>
      </c>
      <c r="Y25" s="12" t="s">
        <v>172</v>
      </c>
    </row>
    <row r="26" spans="1:25" ht="15" customHeight="1" x14ac:dyDescent="0.25">
      <c r="A26" s="7" t="s">
        <v>123</v>
      </c>
      <c r="B26" s="7" t="s">
        <v>173</v>
      </c>
      <c r="C26" s="7" t="s">
        <v>174</v>
      </c>
      <c r="D26" s="7" t="s">
        <v>55</v>
      </c>
      <c r="E26" s="7" t="s">
        <v>175</v>
      </c>
      <c r="F26" s="7" t="s">
        <v>176</v>
      </c>
      <c r="G26" s="7" t="s">
        <v>177</v>
      </c>
      <c r="H26" s="7" t="s">
        <v>178</v>
      </c>
      <c r="I26" s="7" t="s">
        <v>179</v>
      </c>
      <c r="J26" s="7"/>
      <c r="K26" s="7" t="s">
        <v>180</v>
      </c>
      <c r="L26" s="7" t="s">
        <v>1102</v>
      </c>
      <c r="M26" s="7"/>
      <c r="N26" s="7"/>
      <c r="O26" s="7" t="s">
        <v>41</v>
      </c>
      <c r="P26" s="7" t="s">
        <v>41</v>
      </c>
      <c r="Q26" s="7" t="s">
        <v>41</v>
      </c>
      <c r="R26" s="7" t="s">
        <v>1620</v>
      </c>
      <c r="S26" s="7"/>
      <c r="T26" s="7"/>
      <c r="U26" s="7"/>
      <c r="V26" s="7" t="s">
        <v>41</v>
      </c>
      <c r="W26" s="7" t="s">
        <v>41</v>
      </c>
      <c r="X26" s="7" t="s">
        <v>181</v>
      </c>
      <c r="Y26" s="11" t="s">
        <v>182</v>
      </c>
    </row>
    <row r="27" spans="1:25" ht="15" customHeight="1" x14ac:dyDescent="0.25">
      <c r="A27" s="8" t="s">
        <v>123</v>
      </c>
      <c r="B27" s="8" t="s">
        <v>183</v>
      </c>
      <c r="C27" s="8" t="s">
        <v>184</v>
      </c>
      <c r="D27" s="8" t="s">
        <v>55</v>
      </c>
      <c r="E27" s="8" t="s">
        <v>185</v>
      </c>
      <c r="F27" s="8" t="s">
        <v>186</v>
      </c>
      <c r="G27" s="8" t="s">
        <v>187</v>
      </c>
      <c r="H27" s="8" t="s">
        <v>188</v>
      </c>
      <c r="I27" s="8" t="s">
        <v>189</v>
      </c>
      <c r="J27" s="8"/>
      <c r="K27" s="8" t="s">
        <v>190</v>
      </c>
      <c r="L27" s="8" t="s">
        <v>1611</v>
      </c>
      <c r="M27" s="8"/>
      <c r="N27" s="8"/>
      <c r="O27" s="8"/>
      <c r="P27" s="8" t="s">
        <v>41</v>
      </c>
      <c r="Q27" s="8" t="s">
        <v>41</v>
      </c>
      <c r="R27" s="8" t="s">
        <v>1610</v>
      </c>
      <c r="S27" s="8"/>
      <c r="T27" s="8"/>
      <c r="U27" s="8"/>
      <c r="V27" s="8" t="s">
        <v>41</v>
      </c>
      <c r="W27" s="8" t="s">
        <v>41</v>
      </c>
      <c r="X27" s="8" t="s">
        <v>191</v>
      </c>
      <c r="Y27" s="12" t="s">
        <v>192</v>
      </c>
    </row>
    <row r="28" spans="1:25" ht="15" customHeight="1" x14ac:dyDescent="0.25">
      <c r="A28" s="7" t="s">
        <v>123</v>
      </c>
      <c r="B28" s="7" t="s">
        <v>193</v>
      </c>
      <c r="C28" s="7" t="s">
        <v>194</v>
      </c>
      <c r="D28" s="7" t="s">
        <v>55</v>
      </c>
      <c r="E28" s="7" t="s">
        <v>195</v>
      </c>
      <c r="F28" s="7" t="s">
        <v>196</v>
      </c>
      <c r="G28" s="7" t="s">
        <v>197</v>
      </c>
      <c r="H28" s="7" t="s">
        <v>198</v>
      </c>
      <c r="I28" s="7" t="s">
        <v>199</v>
      </c>
      <c r="J28" s="7"/>
      <c r="K28" s="7" t="s">
        <v>200</v>
      </c>
      <c r="L28" s="7" t="s">
        <v>126</v>
      </c>
      <c r="M28" s="7" t="s">
        <v>1611</v>
      </c>
      <c r="N28" s="7"/>
      <c r="O28" s="7" t="s">
        <v>41</v>
      </c>
      <c r="P28" s="7" t="s">
        <v>41</v>
      </c>
      <c r="Q28" s="7" t="s">
        <v>41</v>
      </c>
      <c r="R28" s="7" t="s">
        <v>1621</v>
      </c>
      <c r="S28" s="7"/>
      <c r="T28" s="7"/>
      <c r="U28" s="7"/>
      <c r="V28" s="7" t="s">
        <v>41</v>
      </c>
      <c r="W28" s="7" t="s">
        <v>41</v>
      </c>
      <c r="X28" s="7" t="s">
        <v>201</v>
      </c>
      <c r="Y28" s="11" t="s">
        <v>202</v>
      </c>
    </row>
    <row r="29" spans="1:25" ht="15" customHeight="1" x14ac:dyDescent="0.25">
      <c r="A29" s="8" t="s">
        <v>123</v>
      </c>
      <c r="B29" s="8" t="s">
        <v>203</v>
      </c>
      <c r="C29" s="8" t="s">
        <v>204</v>
      </c>
      <c r="D29" s="8" t="s">
        <v>55</v>
      </c>
      <c r="E29" s="8" t="s">
        <v>205</v>
      </c>
      <c r="F29" s="8" t="s">
        <v>206</v>
      </c>
      <c r="G29" s="8" t="s">
        <v>207</v>
      </c>
      <c r="H29" s="8" t="s">
        <v>208</v>
      </c>
      <c r="I29" s="8" t="s">
        <v>209</v>
      </c>
      <c r="J29" s="8"/>
      <c r="K29" s="8" t="s">
        <v>210</v>
      </c>
      <c r="L29" s="8" t="s">
        <v>1622</v>
      </c>
      <c r="M29" s="8" t="s">
        <v>385</v>
      </c>
      <c r="N29" s="8"/>
      <c r="O29" s="8" t="s">
        <v>41</v>
      </c>
      <c r="P29" s="8" t="s">
        <v>41</v>
      </c>
      <c r="Q29" s="8" t="s">
        <v>41</v>
      </c>
      <c r="R29" s="8" t="s">
        <v>1623</v>
      </c>
      <c r="S29" s="8"/>
      <c r="T29" s="8"/>
      <c r="U29" s="8" t="s">
        <v>41</v>
      </c>
      <c r="V29" s="8" t="s">
        <v>41</v>
      </c>
      <c r="W29" s="8" t="s">
        <v>41</v>
      </c>
      <c r="X29" s="8" t="s">
        <v>211</v>
      </c>
      <c r="Y29" s="12" t="s">
        <v>212</v>
      </c>
    </row>
    <row r="30" spans="1:25" ht="15" customHeight="1" x14ac:dyDescent="0.25">
      <c r="A30" s="7" t="s">
        <v>123</v>
      </c>
      <c r="B30" s="7" t="s">
        <v>213</v>
      </c>
      <c r="C30" s="7" t="s">
        <v>214</v>
      </c>
      <c r="D30" s="7" t="s">
        <v>34</v>
      </c>
      <c r="E30" s="7" t="s">
        <v>215</v>
      </c>
      <c r="F30" s="7" t="s">
        <v>216</v>
      </c>
      <c r="G30" s="7" t="s">
        <v>217</v>
      </c>
      <c r="H30" s="7" t="s">
        <v>218</v>
      </c>
      <c r="I30" s="7" t="s">
        <v>219</v>
      </c>
      <c r="J30" s="7"/>
      <c r="K30" s="7" t="s">
        <v>220</v>
      </c>
      <c r="L30" s="7" t="s">
        <v>1622</v>
      </c>
      <c r="M30" s="7" t="s">
        <v>1624</v>
      </c>
      <c r="N30" s="7" t="s">
        <v>1611</v>
      </c>
      <c r="O30" s="7" t="s">
        <v>41</v>
      </c>
      <c r="P30" s="7" t="s">
        <v>41</v>
      </c>
      <c r="Q30" s="7" t="s">
        <v>41</v>
      </c>
      <c r="R30" s="7" t="s">
        <v>1623</v>
      </c>
      <c r="S30" s="7"/>
      <c r="T30" s="7"/>
      <c r="U30" s="7" t="s">
        <v>41</v>
      </c>
      <c r="V30" s="7" t="s">
        <v>41</v>
      </c>
      <c r="W30" s="7" t="s">
        <v>41</v>
      </c>
      <c r="X30" s="7" t="s">
        <v>221</v>
      </c>
      <c r="Y30" s="11" t="s">
        <v>222</v>
      </c>
    </row>
    <row r="31" spans="1:25" ht="15" customHeight="1" x14ac:dyDescent="0.25">
      <c r="A31" s="8" t="s">
        <v>123</v>
      </c>
      <c r="B31" s="8" t="s">
        <v>223</v>
      </c>
      <c r="C31" s="8" t="s">
        <v>224</v>
      </c>
      <c r="D31" s="8" t="s">
        <v>34</v>
      </c>
      <c r="E31" s="8" t="s">
        <v>225</v>
      </c>
      <c r="F31" s="8" t="s">
        <v>226</v>
      </c>
      <c r="G31" s="8" t="s">
        <v>227</v>
      </c>
      <c r="H31" s="8" t="s">
        <v>228</v>
      </c>
      <c r="I31" s="8" t="s">
        <v>229</v>
      </c>
      <c r="J31" s="8"/>
      <c r="K31" s="8" t="s">
        <v>230</v>
      </c>
      <c r="L31" s="8" t="s">
        <v>1613</v>
      </c>
      <c r="M31" s="8" t="s">
        <v>1615</v>
      </c>
      <c r="N31" s="8"/>
      <c r="O31" s="8" t="s">
        <v>41</v>
      </c>
      <c r="P31" s="8" t="s">
        <v>41</v>
      </c>
      <c r="Q31" s="8" t="s">
        <v>41</v>
      </c>
      <c r="R31" s="8" t="s">
        <v>1614</v>
      </c>
      <c r="S31" s="8"/>
      <c r="T31" s="8"/>
      <c r="U31" s="8" t="s">
        <v>41</v>
      </c>
      <c r="V31" s="8" t="s">
        <v>41</v>
      </c>
      <c r="W31" s="8" t="s">
        <v>41</v>
      </c>
      <c r="X31" s="8" t="s">
        <v>231</v>
      </c>
      <c r="Y31" s="12" t="s">
        <v>232</v>
      </c>
    </row>
    <row r="32" spans="1:25" ht="15" customHeight="1" x14ac:dyDescent="0.25">
      <c r="A32" s="7" t="s">
        <v>123</v>
      </c>
      <c r="B32" s="7" t="s">
        <v>233</v>
      </c>
      <c r="C32" s="7" t="s">
        <v>234</v>
      </c>
      <c r="D32" s="7" t="s">
        <v>55</v>
      </c>
      <c r="E32" s="7" t="s">
        <v>235</v>
      </c>
      <c r="F32" s="7" t="s">
        <v>236</v>
      </c>
      <c r="G32" s="7" t="s">
        <v>237</v>
      </c>
      <c r="H32" s="7" t="s">
        <v>238</v>
      </c>
      <c r="I32" s="7" t="s">
        <v>239</v>
      </c>
      <c r="J32" s="7"/>
      <c r="K32" s="7" t="s">
        <v>240</v>
      </c>
      <c r="L32" s="7" t="s">
        <v>126</v>
      </c>
      <c r="M32" s="7" t="s">
        <v>1615</v>
      </c>
      <c r="N32" s="7"/>
      <c r="O32" s="7" t="s">
        <v>41</v>
      </c>
      <c r="P32" s="7" t="s">
        <v>41</v>
      </c>
      <c r="Q32" s="7" t="s">
        <v>41</v>
      </c>
      <c r="R32" s="7" t="s">
        <v>1625</v>
      </c>
      <c r="S32" s="7"/>
      <c r="T32" s="7"/>
      <c r="U32" s="7" t="s">
        <v>41</v>
      </c>
      <c r="V32" s="7" t="s">
        <v>41</v>
      </c>
      <c r="W32" s="7" t="s">
        <v>41</v>
      </c>
      <c r="X32" s="7" t="s">
        <v>241</v>
      </c>
      <c r="Y32" s="11" t="s">
        <v>242</v>
      </c>
    </row>
    <row r="33" spans="1:25" ht="15" customHeight="1" x14ac:dyDescent="0.25">
      <c r="A33" s="8" t="s">
        <v>123</v>
      </c>
      <c r="B33" s="8" t="s">
        <v>243</v>
      </c>
      <c r="C33" s="8" t="s">
        <v>244</v>
      </c>
      <c r="D33" s="8" t="s">
        <v>55</v>
      </c>
      <c r="E33" s="8" t="s">
        <v>245</v>
      </c>
      <c r="F33" s="8" t="s">
        <v>246</v>
      </c>
      <c r="G33" s="8" t="s">
        <v>247</v>
      </c>
      <c r="H33" s="8" t="s">
        <v>248</v>
      </c>
      <c r="I33" s="8" t="s">
        <v>249</v>
      </c>
      <c r="J33" s="8" t="s">
        <v>250</v>
      </c>
      <c r="K33" s="8" t="s">
        <v>142</v>
      </c>
      <c r="L33" s="8" t="s">
        <v>1616</v>
      </c>
      <c r="M33" s="8" t="s">
        <v>1617</v>
      </c>
      <c r="N33" s="8"/>
      <c r="O33" s="8" t="s">
        <v>41</v>
      </c>
      <c r="P33" s="8" t="s">
        <v>41</v>
      </c>
      <c r="Q33" s="8" t="s">
        <v>41</v>
      </c>
      <c r="R33" s="8" t="s">
        <v>1618</v>
      </c>
      <c r="S33" s="8"/>
      <c r="T33" s="8"/>
      <c r="U33" s="8"/>
      <c r="V33" s="8" t="s">
        <v>41</v>
      </c>
      <c r="W33" s="8" t="s">
        <v>41</v>
      </c>
      <c r="X33" s="8" t="s">
        <v>251</v>
      </c>
      <c r="Y33" s="12" t="s">
        <v>252</v>
      </c>
    </row>
    <row r="34" spans="1:25" ht="15" customHeight="1" x14ac:dyDescent="0.25">
      <c r="A34" s="7" t="s">
        <v>123</v>
      </c>
      <c r="B34" s="7" t="s">
        <v>253</v>
      </c>
      <c r="C34" s="7" t="s">
        <v>254</v>
      </c>
      <c r="D34" s="7" t="s">
        <v>34</v>
      </c>
      <c r="E34" s="7" t="s">
        <v>255</v>
      </c>
      <c r="F34" s="7" t="s">
        <v>256</v>
      </c>
      <c r="G34" s="7" t="s">
        <v>257</v>
      </c>
      <c r="H34" s="7" t="s">
        <v>258</v>
      </c>
      <c r="I34" s="7" t="s">
        <v>259</v>
      </c>
      <c r="J34" s="7"/>
      <c r="K34" s="7" t="s">
        <v>260</v>
      </c>
      <c r="L34" s="7" t="s">
        <v>126</v>
      </c>
      <c r="M34" s="7" t="s">
        <v>1615</v>
      </c>
      <c r="N34" s="7"/>
      <c r="O34" s="7" t="s">
        <v>41</v>
      </c>
      <c r="P34" s="7" t="s">
        <v>41</v>
      </c>
      <c r="Q34" s="7" t="s">
        <v>41</v>
      </c>
      <c r="R34" s="7" t="s">
        <v>1626</v>
      </c>
      <c r="S34" s="7"/>
      <c r="T34" s="7"/>
      <c r="U34" s="7"/>
      <c r="V34" s="7" t="s">
        <v>41</v>
      </c>
      <c r="W34" s="7" t="s">
        <v>41</v>
      </c>
      <c r="X34" s="7" t="s">
        <v>261</v>
      </c>
      <c r="Y34" s="11" t="s">
        <v>262</v>
      </c>
    </row>
    <row r="35" spans="1:25" ht="15" customHeight="1" x14ac:dyDescent="0.25">
      <c r="A35" s="8" t="s">
        <v>123</v>
      </c>
      <c r="B35" s="8" t="s">
        <v>263</v>
      </c>
      <c r="C35" s="8" t="s">
        <v>264</v>
      </c>
      <c r="D35" s="8" t="s">
        <v>55</v>
      </c>
      <c r="E35" s="8" t="s">
        <v>265</v>
      </c>
      <c r="F35" s="8" t="s">
        <v>266</v>
      </c>
      <c r="G35" s="8" t="s">
        <v>267</v>
      </c>
      <c r="H35" s="8" t="s">
        <v>268</v>
      </c>
      <c r="I35" s="8" t="s">
        <v>269</v>
      </c>
      <c r="J35" s="8"/>
      <c r="K35" s="8" t="s">
        <v>270</v>
      </c>
      <c r="L35" s="8" t="s">
        <v>281</v>
      </c>
      <c r="M35" s="8"/>
      <c r="N35" s="8"/>
      <c r="O35" s="8" t="s">
        <v>41</v>
      </c>
      <c r="P35" s="8" t="s">
        <v>41</v>
      </c>
      <c r="Q35" s="8" t="s">
        <v>41</v>
      </c>
      <c r="R35" s="8" t="s">
        <v>1626</v>
      </c>
      <c r="S35" s="8"/>
      <c r="T35" s="8"/>
      <c r="U35" s="8"/>
      <c r="V35" s="8" t="s">
        <v>41</v>
      </c>
      <c r="W35" s="8" t="s">
        <v>41</v>
      </c>
      <c r="X35" s="8" t="s">
        <v>271</v>
      </c>
      <c r="Y35" s="12"/>
    </row>
    <row r="36" spans="1:25" ht="15" customHeight="1" x14ac:dyDescent="0.25">
      <c r="A36" s="7" t="s">
        <v>123</v>
      </c>
      <c r="B36" s="7" t="s">
        <v>272</v>
      </c>
      <c r="C36" s="7" t="s">
        <v>273</v>
      </c>
      <c r="D36" s="7" t="s">
        <v>34</v>
      </c>
      <c r="E36" s="7" t="s">
        <v>274</v>
      </c>
      <c r="F36" s="7" t="s">
        <v>275</v>
      </c>
      <c r="G36" s="7" t="s">
        <v>276</v>
      </c>
      <c r="H36" s="7" t="s">
        <v>277</v>
      </c>
      <c r="I36" s="7" t="s">
        <v>278</v>
      </c>
      <c r="J36" s="7"/>
      <c r="K36" s="7" t="s">
        <v>270</v>
      </c>
      <c r="L36" s="7" t="s">
        <v>281</v>
      </c>
      <c r="M36" s="7"/>
      <c r="N36" s="7"/>
      <c r="O36" s="7" t="s">
        <v>41</v>
      </c>
      <c r="P36" s="7" t="s">
        <v>41</v>
      </c>
      <c r="Q36" s="7" t="s">
        <v>41</v>
      </c>
      <c r="R36" s="7" t="s">
        <v>1626</v>
      </c>
      <c r="S36" s="7"/>
      <c r="T36" s="7"/>
      <c r="U36" s="7"/>
      <c r="V36" s="7" t="s">
        <v>41</v>
      </c>
      <c r="W36" s="7" t="s">
        <v>41</v>
      </c>
      <c r="X36" s="7" t="s">
        <v>279</v>
      </c>
      <c r="Y36" s="11" t="s">
        <v>280</v>
      </c>
    </row>
    <row r="37" spans="1:25" ht="15" customHeight="1" x14ac:dyDescent="0.25">
      <c r="A37" s="8" t="s">
        <v>281</v>
      </c>
      <c r="B37" s="8"/>
      <c r="C37" s="8" t="s">
        <v>282</v>
      </c>
      <c r="D37" s="8"/>
      <c r="E37" s="8" t="s">
        <v>283</v>
      </c>
      <c r="F37" s="8"/>
      <c r="G37" s="8"/>
      <c r="H37" s="8"/>
      <c r="I37" s="8"/>
      <c r="J37" s="8"/>
      <c r="K37" s="8"/>
      <c r="L37" s="8"/>
      <c r="M37" s="8"/>
      <c r="N37" s="8"/>
      <c r="O37" s="8"/>
      <c r="P37" s="8"/>
      <c r="Q37" s="8"/>
      <c r="R37" s="8"/>
      <c r="S37" s="8"/>
      <c r="T37" s="8"/>
      <c r="U37" s="8"/>
      <c r="V37" s="8"/>
      <c r="W37" s="8"/>
      <c r="X37" s="8"/>
      <c r="Y37" s="12"/>
    </row>
    <row r="38" spans="1:25" ht="15" customHeight="1" x14ac:dyDescent="0.25">
      <c r="A38" s="7" t="s">
        <v>281</v>
      </c>
      <c r="B38" s="7" t="s">
        <v>284</v>
      </c>
      <c r="C38" s="7" t="s">
        <v>285</v>
      </c>
      <c r="D38" s="7" t="s">
        <v>34</v>
      </c>
      <c r="E38" s="7" t="s">
        <v>286</v>
      </c>
      <c r="F38" s="7" t="s">
        <v>287</v>
      </c>
      <c r="G38" s="7" t="s">
        <v>288</v>
      </c>
      <c r="H38" s="7" t="s">
        <v>289</v>
      </c>
      <c r="I38" s="7" t="s">
        <v>290</v>
      </c>
      <c r="J38" s="7" t="s">
        <v>291</v>
      </c>
      <c r="K38" s="7" t="s">
        <v>292</v>
      </c>
      <c r="L38" s="7" t="s">
        <v>1626</v>
      </c>
      <c r="M38" s="7"/>
      <c r="N38" s="7"/>
      <c r="O38" s="7" t="s">
        <v>41</v>
      </c>
      <c r="P38" s="7" t="s">
        <v>41</v>
      </c>
      <c r="Q38" s="7" t="s">
        <v>41</v>
      </c>
      <c r="R38" s="7" t="s">
        <v>281</v>
      </c>
      <c r="S38" s="7"/>
      <c r="T38" s="7"/>
      <c r="U38" s="7" t="s">
        <v>41</v>
      </c>
      <c r="V38" s="7" t="s">
        <v>41</v>
      </c>
      <c r="W38" s="7" t="s">
        <v>41</v>
      </c>
      <c r="X38" s="7" t="s">
        <v>293</v>
      </c>
      <c r="Y38" s="11" t="s">
        <v>294</v>
      </c>
    </row>
    <row r="39" spans="1:25" ht="15" customHeight="1" x14ac:dyDescent="0.25">
      <c r="A39" s="8" t="s">
        <v>281</v>
      </c>
      <c r="B39" s="8" t="s">
        <v>295</v>
      </c>
      <c r="C39" s="8" t="s">
        <v>296</v>
      </c>
      <c r="D39" s="8" t="s">
        <v>34</v>
      </c>
      <c r="E39" s="8" t="s">
        <v>297</v>
      </c>
      <c r="F39" s="8" t="s">
        <v>298</v>
      </c>
      <c r="G39" s="8" t="s">
        <v>299</v>
      </c>
      <c r="H39" s="8" t="s">
        <v>300</v>
      </c>
      <c r="I39" s="8" t="s">
        <v>301</v>
      </c>
      <c r="J39" s="8"/>
      <c r="K39" s="8" t="s">
        <v>142</v>
      </c>
      <c r="L39" s="8" t="s">
        <v>1616</v>
      </c>
      <c r="M39" s="8" t="s">
        <v>1617</v>
      </c>
      <c r="N39" s="8"/>
      <c r="O39" s="8" t="s">
        <v>41</v>
      </c>
      <c r="P39" s="8" t="s">
        <v>41</v>
      </c>
      <c r="Q39" s="8" t="s">
        <v>41</v>
      </c>
      <c r="R39" s="8" t="s">
        <v>1618</v>
      </c>
      <c r="S39" s="8"/>
      <c r="T39" s="8"/>
      <c r="U39" s="8"/>
      <c r="V39" s="8" t="s">
        <v>41</v>
      </c>
      <c r="W39" s="8" t="s">
        <v>41</v>
      </c>
      <c r="X39" s="8" t="s">
        <v>302</v>
      </c>
      <c r="Y39" s="12" t="s">
        <v>303</v>
      </c>
    </row>
    <row r="40" spans="1:25" ht="15" customHeight="1" x14ac:dyDescent="0.25">
      <c r="A40" s="7" t="s">
        <v>281</v>
      </c>
      <c r="B40" s="7" t="s">
        <v>304</v>
      </c>
      <c r="C40" s="7" t="s">
        <v>305</v>
      </c>
      <c r="D40" s="7" t="s">
        <v>55</v>
      </c>
      <c r="E40" s="7" t="s">
        <v>306</v>
      </c>
      <c r="F40" s="7" t="s">
        <v>307</v>
      </c>
      <c r="G40" s="7" t="s">
        <v>308</v>
      </c>
      <c r="H40" s="7" t="s">
        <v>309</v>
      </c>
      <c r="I40" s="7" t="s">
        <v>310</v>
      </c>
      <c r="J40" s="7"/>
      <c r="K40" s="7" t="s">
        <v>142</v>
      </c>
      <c r="L40" s="7" t="s">
        <v>1616</v>
      </c>
      <c r="M40" s="7" t="s">
        <v>1617</v>
      </c>
      <c r="N40" s="7"/>
      <c r="O40" s="7" t="s">
        <v>41</v>
      </c>
      <c r="P40" s="7" t="s">
        <v>41</v>
      </c>
      <c r="Q40" s="7" t="s">
        <v>41</v>
      </c>
      <c r="R40" s="7" t="s">
        <v>1618</v>
      </c>
      <c r="S40" s="7"/>
      <c r="T40" s="7"/>
      <c r="U40" s="7"/>
      <c r="V40" s="7" t="s">
        <v>41</v>
      </c>
      <c r="W40" s="7" t="s">
        <v>41</v>
      </c>
      <c r="X40" s="7" t="s">
        <v>311</v>
      </c>
      <c r="Y40" s="11" t="s">
        <v>312</v>
      </c>
    </row>
    <row r="41" spans="1:25" ht="15" customHeight="1" x14ac:dyDescent="0.25">
      <c r="A41" s="8" t="s">
        <v>313</v>
      </c>
      <c r="B41" s="8"/>
      <c r="C41" s="8" t="s">
        <v>314</v>
      </c>
      <c r="D41" s="8"/>
      <c r="E41" s="8" t="s">
        <v>315</v>
      </c>
      <c r="F41" s="8"/>
      <c r="G41" s="8"/>
      <c r="H41" s="8"/>
      <c r="I41" s="8"/>
      <c r="J41" s="8"/>
      <c r="K41" s="8"/>
      <c r="L41" s="8"/>
      <c r="M41" s="8"/>
      <c r="N41" s="8"/>
      <c r="O41" s="8"/>
      <c r="P41" s="8"/>
      <c r="Q41" s="8"/>
      <c r="R41" s="8"/>
      <c r="S41" s="8"/>
      <c r="T41" s="8"/>
      <c r="U41" s="8"/>
      <c r="V41" s="8"/>
      <c r="W41" s="8"/>
      <c r="X41" s="8"/>
      <c r="Y41" s="12"/>
    </row>
    <row r="42" spans="1:25" ht="15" customHeight="1" x14ac:dyDescent="0.25">
      <c r="A42" s="7" t="s">
        <v>316</v>
      </c>
      <c r="B42" s="7"/>
      <c r="C42" s="7" t="s">
        <v>317</v>
      </c>
      <c r="D42" s="7"/>
      <c r="E42" s="7" t="s">
        <v>318</v>
      </c>
      <c r="F42" s="7"/>
      <c r="G42" s="7"/>
      <c r="H42" s="7"/>
      <c r="I42" s="7"/>
      <c r="J42" s="7"/>
      <c r="K42" s="7"/>
      <c r="L42" s="7"/>
      <c r="M42" s="7"/>
      <c r="N42" s="7"/>
      <c r="O42" s="7"/>
      <c r="P42" s="7"/>
      <c r="Q42" s="7"/>
      <c r="R42" s="7"/>
      <c r="S42" s="7"/>
      <c r="T42" s="7"/>
      <c r="U42" s="7"/>
      <c r="V42" s="7"/>
      <c r="W42" s="7"/>
      <c r="X42" s="7"/>
      <c r="Y42" s="11"/>
    </row>
    <row r="43" spans="1:25" ht="15" customHeight="1" x14ac:dyDescent="0.25">
      <c r="A43" s="8" t="s">
        <v>316</v>
      </c>
      <c r="B43" s="8" t="s">
        <v>319</v>
      </c>
      <c r="C43" s="8" t="s">
        <v>320</v>
      </c>
      <c r="D43" s="8" t="s">
        <v>55</v>
      </c>
      <c r="E43" s="8" t="s">
        <v>321</v>
      </c>
      <c r="F43" s="8" t="s">
        <v>322</v>
      </c>
      <c r="G43" s="8" t="s">
        <v>323</v>
      </c>
      <c r="H43" s="8" t="s">
        <v>324</v>
      </c>
      <c r="I43" s="8" t="s">
        <v>325</v>
      </c>
      <c r="J43" s="8"/>
      <c r="K43" s="8" t="s">
        <v>326</v>
      </c>
      <c r="L43" s="8" t="s">
        <v>126</v>
      </c>
      <c r="M43" s="8"/>
      <c r="N43" s="8"/>
      <c r="O43" s="8" t="s">
        <v>41</v>
      </c>
      <c r="P43" s="8" t="s">
        <v>41</v>
      </c>
      <c r="Q43" s="8" t="s">
        <v>41</v>
      </c>
      <c r="R43" s="8" t="s">
        <v>1625</v>
      </c>
      <c r="S43" s="8"/>
      <c r="T43" s="8"/>
      <c r="U43" s="8" t="s">
        <v>41</v>
      </c>
      <c r="V43" s="8" t="s">
        <v>41</v>
      </c>
      <c r="W43" s="8" t="s">
        <v>41</v>
      </c>
      <c r="X43" s="8" t="s">
        <v>327</v>
      </c>
      <c r="Y43" s="12"/>
    </row>
    <row r="44" spans="1:25" ht="15" customHeight="1" x14ac:dyDescent="0.25">
      <c r="A44" s="7" t="s">
        <v>316</v>
      </c>
      <c r="B44" s="7" t="s">
        <v>328</v>
      </c>
      <c r="C44" s="7" t="s">
        <v>329</v>
      </c>
      <c r="D44" s="7" t="s">
        <v>55</v>
      </c>
      <c r="E44" s="7" t="s">
        <v>330</v>
      </c>
      <c r="F44" s="7" t="s">
        <v>331</v>
      </c>
      <c r="G44" s="7" t="s">
        <v>332</v>
      </c>
      <c r="H44" s="7" t="s">
        <v>333</v>
      </c>
      <c r="I44" s="7" t="s">
        <v>334</v>
      </c>
      <c r="J44" s="7" t="s">
        <v>335</v>
      </c>
      <c r="K44" s="7" t="s">
        <v>336</v>
      </c>
      <c r="L44" s="7" t="s">
        <v>281</v>
      </c>
      <c r="M44" s="7" t="s">
        <v>316</v>
      </c>
      <c r="N44" s="7"/>
      <c r="O44" s="7" t="s">
        <v>41</v>
      </c>
      <c r="P44" s="7" t="s">
        <v>41</v>
      </c>
      <c r="Q44" s="7" t="s">
        <v>41</v>
      </c>
      <c r="R44" s="7" t="s">
        <v>1627</v>
      </c>
      <c r="S44" s="7" t="s">
        <v>1628</v>
      </c>
      <c r="T44" s="7"/>
      <c r="U44" s="7" t="s">
        <v>41</v>
      </c>
      <c r="V44" s="7" t="s">
        <v>41</v>
      </c>
      <c r="W44" s="7" t="s">
        <v>41</v>
      </c>
      <c r="X44" s="7" t="s">
        <v>337</v>
      </c>
      <c r="Y44" s="11" t="s">
        <v>338</v>
      </c>
    </row>
    <row r="45" spans="1:25" ht="15" customHeight="1" x14ac:dyDescent="0.25">
      <c r="A45" s="8" t="s">
        <v>316</v>
      </c>
      <c r="B45" s="8" t="s">
        <v>339</v>
      </c>
      <c r="C45" s="8" t="s">
        <v>340</v>
      </c>
      <c r="D45" s="8" t="s">
        <v>34</v>
      </c>
      <c r="E45" s="8" t="s">
        <v>341</v>
      </c>
      <c r="F45" s="8" t="s">
        <v>342</v>
      </c>
      <c r="G45" s="8" t="s">
        <v>343</v>
      </c>
      <c r="H45" s="8" t="s">
        <v>344</v>
      </c>
      <c r="I45" s="8" t="s">
        <v>345</v>
      </c>
      <c r="J45" s="8"/>
      <c r="K45" s="8" t="s">
        <v>346</v>
      </c>
      <c r="L45" s="8" t="s">
        <v>1615</v>
      </c>
      <c r="M45" s="8"/>
      <c r="N45" s="8"/>
      <c r="O45" s="8"/>
      <c r="P45" s="8"/>
      <c r="Q45" s="8" t="s">
        <v>41</v>
      </c>
      <c r="R45" s="8" t="s">
        <v>1626</v>
      </c>
      <c r="S45" s="8"/>
      <c r="T45" s="8"/>
      <c r="U45" s="8"/>
      <c r="V45" s="8" t="s">
        <v>41</v>
      </c>
      <c r="W45" s="8" t="s">
        <v>41</v>
      </c>
      <c r="X45" s="8" t="s">
        <v>347</v>
      </c>
      <c r="Y45" s="12"/>
    </row>
    <row r="46" spans="1:25" ht="15" customHeight="1" x14ac:dyDescent="0.25">
      <c r="A46" s="7" t="s">
        <v>316</v>
      </c>
      <c r="B46" s="7" t="s">
        <v>348</v>
      </c>
      <c r="C46" s="7" t="s">
        <v>349</v>
      </c>
      <c r="D46" s="7" t="s">
        <v>55</v>
      </c>
      <c r="E46" s="7" t="s">
        <v>350</v>
      </c>
      <c r="F46" s="7" t="s">
        <v>351</v>
      </c>
      <c r="G46" s="7" t="s">
        <v>343</v>
      </c>
      <c r="H46" s="7"/>
      <c r="I46" s="7" t="s">
        <v>352</v>
      </c>
      <c r="J46" s="7"/>
      <c r="K46" s="7" t="s">
        <v>346</v>
      </c>
      <c r="L46" s="7" t="s">
        <v>1615</v>
      </c>
      <c r="M46" s="7"/>
      <c r="N46" s="7"/>
      <c r="O46" s="7"/>
      <c r="P46" s="7"/>
      <c r="Q46" s="7" t="s">
        <v>41</v>
      </c>
      <c r="R46" s="7" t="s">
        <v>1626</v>
      </c>
      <c r="S46" s="7"/>
      <c r="T46" s="7"/>
      <c r="U46" s="7"/>
      <c r="V46" s="7" t="s">
        <v>41</v>
      </c>
      <c r="W46" s="7" t="s">
        <v>41</v>
      </c>
      <c r="X46" s="7" t="s">
        <v>353</v>
      </c>
      <c r="Y46" s="11"/>
    </row>
    <row r="47" spans="1:25" ht="15" customHeight="1" x14ac:dyDescent="0.25">
      <c r="A47" s="8" t="s">
        <v>316</v>
      </c>
      <c r="B47" s="8" t="s">
        <v>354</v>
      </c>
      <c r="C47" s="8" t="s">
        <v>355</v>
      </c>
      <c r="D47" s="8" t="s">
        <v>55</v>
      </c>
      <c r="E47" s="8" t="s">
        <v>356</v>
      </c>
      <c r="F47" s="8" t="s">
        <v>357</v>
      </c>
      <c r="G47" s="8" t="s">
        <v>358</v>
      </c>
      <c r="H47" s="8" t="s">
        <v>359</v>
      </c>
      <c r="I47" s="8" t="s">
        <v>360</v>
      </c>
      <c r="J47" s="8"/>
      <c r="K47" s="8" t="s">
        <v>361</v>
      </c>
      <c r="L47" s="8" t="s">
        <v>281</v>
      </c>
      <c r="M47" s="8"/>
      <c r="N47" s="8"/>
      <c r="O47" s="8" t="s">
        <v>41</v>
      </c>
      <c r="P47" s="8" t="s">
        <v>41</v>
      </c>
      <c r="Q47" s="8" t="s">
        <v>41</v>
      </c>
      <c r="R47" s="8" t="s">
        <v>1627</v>
      </c>
      <c r="S47" s="8"/>
      <c r="T47" s="8"/>
      <c r="U47" s="8"/>
      <c r="V47" s="8" t="s">
        <v>41</v>
      </c>
      <c r="W47" s="8" t="s">
        <v>41</v>
      </c>
      <c r="X47" s="8" t="s">
        <v>362</v>
      </c>
      <c r="Y47" s="12" t="s">
        <v>363</v>
      </c>
    </row>
    <row r="48" spans="1:25" ht="15" customHeight="1" x14ac:dyDescent="0.25">
      <c r="A48" s="7" t="s">
        <v>316</v>
      </c>
      <c r="B48" s="7" t="s">
        <v>364</v>
      </c>
      <c r="C48" s="7" t="s">
        <v>365</v>
      </c>
      <c r="D48" s="7" t="s">
        <v>55</v>
      </c>
      <c r="E48" s="7" t="s">
        <v>366</v>
      </c>
      <c r="F48" s="7" t="s">
        <v>367</v>
      </c>
      <c r="G48" s="7" t="s">
        <v>368</v>
      </c>
      <c r="H48" s="7" t="s">
        <v>369</v>
      </c>
      <c r="I48" s="7" t="s">
        <v>370</v>
      </c>
      <c r="J48" s="7"/>
      <c r="K48" s="7" t="s">
        <v>326</v>
      </c>
      <c r="L48" s="7" t="s">
        <v>126</v>
      </c>
      <c r="M48" s="7"/>
      <c r="N48" s="7"/>
      <c r="O48" s="7" t="s">
        <v>41</v>
      </c>
      <c r="P48" s="7" t="s">
        <v>41</v>
      </c>
      <c r="Q48" s="7" t="s">
        <v>41</v>
      </c>
      <c r="R48" s="7" t="s">
        <v>1625</v>
      </c>
      <c r="S48" s="7"/>
      <c r="T48" s="7"/>
      <c r="U48" s="7" t="s">
        <v>41</v>
      </c>
      <c r="V48" s="7" t="s">
        <v>41</v>
      </c>
      <c r="W48" s="7" t="s">
        <v>41</v>
      </c>
      <c r="X48" s="7" t="s">
        <v>371</v>
      </c>
      <c r="Y48" s="11" t="s">
        <v>372</v>
      </c>
    </row>
    <row r="49" spans="1:25" ht="15" customHeight="1" x14ac:dyDescent="0.25">
      <c r="A49" s="8" t="s">
        <v>316</v>
      </c>
      <c r="B49" s="8" t="s">
        <v>373</v>
      </c>
      <c r="C49" s="8" t="s">
        <v>374</v>
      </c>
      <c r="D49" s="8" t="s">
        <v>55</v>
      </c>
      <c r="E49" s="8" t="s">
        <v>375</v>
      </c>
      <c r="F49" s="8" t="s">
        <v>376</v>
      </c>
      <c r="G49" s="8" t="s">
        <v>343</v>
      </c>
      <c r="H49" s="8" t="s">
        <v>377</v>
      </c>
      <c r="I49" s="8" t="s">
        <v>378</v>
      </c>
      <c r="J49" s="8"/>
      <c r="K49" s="8" t="s">
        <v>379</v>
      </c>
      <c r="L49" s="8" t="s">
        <v>1615</v>
      </c>
      <c r="M49" s="8"/>
      <c r="N49" s="8"/>
      <c r="O49" s="8"/>
      <c r="P49" s="8"/>
      <c r="Q49" s="8" t="s">
        <v>41</v>
      </c>
      <c r="R49" s="8" t="s">
        <v>1627</v>
      </c>
      <c r="S49" s="8"/>
      <c r="T49" s="8"/>
      <c r="U49" s="8"/>
      <c r="V49" s="8" t="s">
        <v>41</v>
      </c>
      <c r="W49" s="8" t="s">
        <v>41</v>
      </c>
      <c r="X49" s="8" t="s">
        <v>380</v>
      </c>
      <c r="Y49" s="12" t="s">
        <v>381</v>
      </c>
    </row>
    <row r="50" spans="1:25" ht="15" customHeight="1" x14ac:dyDescent="0.25">
      <c r="A50" s="7" t="s">
        <v>382</v>
      </c>
      <c r="B50" s="7"/>
      <c r="C50" s="7" t="s">
        <v>383</v>
      </c>
      <c r="D50" s="7"/>
      <c r="E50" s="7" t="s">
        <v>384</v>
      </c>
      <c r="F50" s="7"/>
      <c r="G50" s="7"/>
      <c r="H50" s="7"/>
      <c r="I50" s="7"/>
      <c r="J50" s="7"/>
      <c r="K50" s="7"/>
      <c r="L50" s="7"/>
      <c r="M50" s="7"/>
      <c r="N50" s="7"/>
      <c r="O50" s="7"/>
      <c r="P50" s="7"/>
      <c r="Q50" s="7"/>
      <c r="R50" s="7"/>
      <c r="S50" s="7"/>
      <c r="T50" s="7"/>
      <c r="U50" s="7"/>
      <c r="V50" s="7"/>
      <c r="W50" s="7"/>
      <c r="X50" s="7"/>
      <c r="Y50" s="11"/>
    </row>
    <row r="51" spans="1:25" ht="15" customHeight="1" x14ac:dyDescent="0.25">
      <c r="A51" s="8" t="s">
        <v>385</v>
      </c>
      <c r="B51" s="8"/>
      <c r="C51" s="8" t="s">
        <v>386</v>
      </c>
      <c r="D51" s="8"/>
      <c r="E51" s="8" t="s">
        <v>387</v>
      </c>
      <c r="F51" s="8"/>
      <c r="G51" s="8"/>
      <c r="H51" s="8"/>
      <c r="I51" s="8"/>
      <c r="J51" s="8"/>
      <c r="K51" s="8"/>
      <c r="L51" s="8"/>
      <c r="M51" s="8"/>
      <c r="N51" s="8"/>
      <c r="O51" s="8"/>
      <c r="P51" s="8"/>
      <c r="Q51" s="8"/>
      <c r="R51" s="8"/>
      <c r="S51" s="8"/>
      <c r="T51" s="8"/>
      <c r="U51" s="8"/>
      <c r="V51" s="8"/>
      <c r="W51" s="8"/>
      <c r="X51" s="8"/>
      <c r="Y51" s="12"/>
    </row>
    <row r="52" spans="1:25" ht="15" customHeight="1" x14ac:dyDescent="0.25">
      <c r="A52" s="7" t="s">
        <v>385</v>
      </c>
      <c r="B52" s="7" t="s">
        <v>388</v>
      </c>
      <c r="C52" s="7" t="s">
        <v>389</v>
      </c>
      <c r="D52" s="7" t="s">
        <v>55</v>
      </c>
      <c r="E52" s="7" t="s">
        <v>390</v>
      </c>
      <c r="F52" s="7" t="s">
        <v>391</v>
      </c>
      <c r="G52" s="7" t="s">
        <v>392</v>
      </c>
      <c r="H52" s="7" t="s">
        <v>393</v>
      </c>
      <c r="I52" s="7" t="s">
        <v>394</v>
      </c>
      <c r="J52" s="7" t="s">
        <v>395</v>
      </c>
      <c r="K52" s="7" t="s">
        <v>396</v>
      </c>
      <c r="L52" s="7" t="s">
        <v>1268</v>
      </c>
      <c r="M52" s="7" t="s">
        <v>1629</v>
      </c>
      <c r="N52" s="7"/>
      <c r="O52" s="7"/>
      <c r="P52" s="7" t="s">
        <v>41</v>
      </c>
      <c r="Q52" s="7" t="s">
        <v>41</v>
      </c>
      <c r="R52" s="7" t="s">
        <v>1616</v>
      </c>
      <c r="S52" s="7" t="s">
        <v>1630</v>
      </c>
      <c r="T52" s="7"/>
      <c r="U52" s="7"/>
      <c r="V52" s="7" t="s">
        <v>41</v>
      </c>
      <c r="W52" s="7" t="s">
        <v>41</v>
      </c>
      <c r="X52" s="7" t="s">
        <v>397</v>
      </c>
      <c r="Y52" s="11" t="s">
        <v>398</v>
      </c>
    </row>
    <row r="53" spans="1:25" ht="15" customHeight="1" x14ac:dyDescent="0.25">
      <c r="A53" s="8" t="s">
        <v>399</v>
      </c>
      <c r="B53" s="8"/>
      <c r="C53" s="8" t="s">
        <v>400</v>
      </c>
      <c r="D53" s="8"/>
      <c r="E53" s="8" t="s">
        <v>401</v>
      </c>
      <c r="F53" s="8"/>
      <c r="G53" s="8"/>
      <c r="H53" s="8"/>
      <c r="I53" s="8"/>
      <c r="J53" s="8"/>
      <c r="K53" s="8"/>
      <c r="L53" s="8"/>
      <c r="M53" s="8"/>
      <c r="N53" s="8"/>
      <c r="O53" s="8"/>
      <c r="P53" s="8"/>
      <c r="Q53" s="8"/>
      <c r="R53" s="8"/>
      <c r="S53" s="8"/>
      <c r="T53" s="8"/>
      <c r="U53" s="8"/>
      <c r="V53" s="8"/>
      <c r="W53" s="8"/>
      <c r="X53" s="8"/>
      <c r="Y53" s="12"/>
    </row>
    <row r="54" spans="1:25" ht="15" customHeight="1" x14ac:dyDescent="0.25">
      <c r="A54" s="7" t="s">
        <v>399</v>
      </c>
      <c r="B54" s="7" t="s">
        <v>402</v>
      </c>
      <c r="C54" s="7" t="s">
        <v>403</v>
      </c>
      <c r="D54" s="7" t="s">
        <v>34</v>
      </c>
      <c r="E54" s="7" t="s">
        <v>404</v>
      </c>
      <c r="F54" s="7" t="s">
        <v>405</v>
      </c>
      <c r="G54" s="7"/>
      <c r="H54" s="7" t="s">
        <v>406</v>
      </c>
      <c r="I54" s="7" t="s">
        <v>407</v>
      </c>
      <c r="J54" s="7"/>
      <c r="K54" s="7" t="s">
        <v>408</v>
      </c>
      <c r="L54" s="7" t="s">
        <v>1629</v>
      </c>
      <c r="M54" s="7"/>
      <c r="N54" s="7"/>
      <c r="O54" s="7"/>
      <c r="P54" s="7" t="s">
        <v>41</v>
      </c>
      <c r="Q54" s="7" t="s">
        <v>41</v>
      </c>
      <c r="R54" s="7" t="s">
        <v>1630</v>
      </c>
      <c r="S54" s="7"/>
      <c r="T54" s="7"/>
      <c r="U54" s="7"/>
      <c r="V54" s="7" t="s">
        <v>41</v>
      </c>
      <c r="W54" s="7" t="s">
        <v>41</v>
      </c>
      <c r="X54" s="7" t="s">
        <v>409</v>
      </c>
      <c r="Y54" s="11" t="s">
        <v>410</v>
      </c>
    </row>
    <row r="55" spans="1:25" ht="15" customHeight="1" x14ac:dyDescent="0.25">
      <c r="A55" s="8" t="s">
        <v>399</v>
      </c>
      <c r="B55" s="8" t="s">
        <v>411</v>
      </c>
      <c r="C55" s="8" t="s">
        <v>412</v>
      </c>
      <c r="D55" s="8" t="s">
        <v>34</v>
      </c>
      <c r="E55" s="8" t="s">
        <v>413</v>
      </c>
      <c r="F55" s="8" t="s">
        <v>414</v>
      </c>
      <c r="G55" s="8"/>
      <c r="H55" s="8" t="s">
        <v>415</v>
      </c>
      <c r="I55" s="8" t="s">
        <v>416</v>
      </c>
      <c r="J55" s="8"/>
      <c r="K55" s="8" t="s">
        <v>417</v>
      </c>
      <c r="L55" s="8" t="s">
        <v>1268</v>
      </c>
      <c r="M55" s="8"/>
      <c r="N55" s="8"/>
      <c r="O55" s="8"/>
      <c r="P55" s="8" t="s">
        <v>41</v>
      </c>
      <c r="Q55" s="8" t="s">
        <v>41</v>
      </c>
      <c r="R55" s="8" t="s">
        <v>1616</v>
      </c>
      <c r="S55" s="8"/>
      <c r="T55" s="8"/>
      <c r="U55" s="8"/>
      <c r="V55" s="8" t="s">
        <v>41</v>
      </c>
      <c r="W55" s="8" t="s">
        <v>41</v>
      </c>
      <c r="X55" s="8" t="s">
        <v>418</v>
      </c>
      <c r="Y55" s="12" t="s">
        <v>419</v>
      </c>
    </row>
    <row r="56" spans="1:25" ht="15" customHeight="1" x14ac:dyDescent="0.25">
      <c r="A56" s="7" t="s">
        <v>399</v>
      </c>
      <c r="B56" s="7" t="s">
        <v>420</v>
      </c>
      <c r="C56" s="7" t="s">
        <v>421</v>
      </c>
      <c r="D56" s="7" t="s">
        <v>34</v>
      </c>
      <c r="E56" s="7" t="s">
        <v>422</v>
      </c>
      <c r="F56" s="7" t="s">
        <v>423</v>
      </c>
      <c r="G56" s="7"/>
      <c r="H56" s="7" t="s">
        <v>424</v>
      </c>
      <c r="I56" s="7" t="s">
        <v>425</v>
      </c>
      <c r="J56" s="7" t="s">
        <v>426</v>
      </c>
      <c r="K56" s="7" t="s">
        <v>417</v>
      </c>
      <c r="L56" s="7" t="s">
        <v>1268</v>
      </c>
      <c r="M56" s="7"/>
      <c r="N56" s="7"/>
      <c r="O56" s="7"/>
      <c r="P56" s="7" t="s">
        <v>41</v>
      </c>
      <c r="Q56" s="7" t="s">
        <v>41</v>
      </c>
      <c r="R56" s="7" t="s">
        <v>1616</v>
      </c>
      <c r="S56" s="7"/>
      <c r="T56" s="7"/>
      <c r="U56" s="7"/>
      <c r="V56" s="7" t="s">
        <v>41</v>
      </c>
      <c r="W56" s="7" t="s">
        <v>41</v>
      </c>
      <c r="X56" s="7" t="s">
        <v>427</v>
      </c>
      <c r="Y56" s="11" t="s">
        <v>428</v>
      </c>
    </row>
    <row r="57" spans="1:25" ht="15" customHeight="1" x14ac:dyDescent="0.25">
      <c r="A57" s="8" t="s">
        <v>429</v>
      </c>
      <c r="B57" s="8"/>
      <c r="C57" s="8" t="s">
        <v>430</v>
      </c>
      <c r="D57" s="8"/>
      <c r="E57" s="8" t="s">
        <v>431</v>
      </c>
      <c r="F57" s="8"/>
      <c r="G57" s="8"/>
      <c r="H57" s="8"/>
      <c r="I57" s="8"/>
      <c r="J57" s="8"/>
      <c r="K57" s="8"/>
      <c r="L57" s="8"/>
      <c r="M57" s="8"/>
      <c r="N57" s="8"/>
      <c r="O57" s="8"/>
      <c r="P57" s="8"/>
      <c r="Q57" s="8"/>
      <c r="R57" s="8"/>
      <c r="S57" s="8"/>
      <c r="T57" s="8"/>
      <c r="U57" s="8"/>
      <c r="V57" s="8"/>
      <c r="W57" s="8"/>
      <c r="X57" s="8"/>
      <c r="Y57" s="12"/>
    </row>
    <row r="58" spans="1:25" ht="15" customHeight="1" x14ac:dyDescent="0.25">
      <c r="A58" s="7" t="s">
        <v>429</v>
      </c>
      <c r="B58" s="7" t="s">
        <v>432</v>
      </c>
      <c r="C58" s="7" t="s">
        <v>433</v>
      </c>
      <c r="D58" s="7" t="s">
        <v>34</v>
      </c>
      <c r="E58" s="7" t="s">
        <v>434</v>
      </c>
      <c r="F58" s="7" t="s">
        <v>435</v>
      </c>
      <c r="G58" s="7"/>
      <c r="H58" s="7" t="s">
        <v>436</v>
      </c>
      <c r="I58" s="7" t="s">
        <v>437</v>
      </c>
      <c r="J58" s="7"/>
      <c r="K58" s="7" t="s">
        <v>417</v>
      </c>
      <c r="L58" s="7" t="s">
        <v>1268</v>
      </c>
      <c r="M58" s="7"/>
      <c r="N58" s="7"/>
      <c r="O58" s="7"/>
      <c r="P58" s="7" t="s">
        <v>41</v>
      </c>
      <c r="Q58" s="7" t="s">
        <v>41</v>
      </c>
      <c r="R58" s="7" t="s">
        <v>1616</v>
      </c>
      <c r="S58" s="7"/>
      <c r="T58" s="7"/>
      <c r="U58" s="7"/>
      <c r="V58" s="7" t="s">
        <v>41</v>
      </c>
      <c r="W58" s="7" t="s">
        <v>41</v>
      </c>
      <c r="X58" s="7" t="s">
        <v>438</v>
      </c>
      <c r="Y58" s="11" t="s">
        <v>439</v>
      </c>
    </row>
    <row r="59" spans="1:25" ht="15" customHeight="1" x14ac:dyDescent="0.25">
      <c r="A59" s="8" t="s">
        <v>429</v>
      </c>
      <c r="B59" s="8" t="s">
        <v>440</v>
      </c>
      <c r="C59" s="8" t="s">
        <v>441</v>
      </c>
      <c r="D59" s="8" t="s">
        <v>34</v>
      </c>
      <c r="E59" s="8" t="s">
        <v>442</v>
      </c>
      <c r="F59" s="8" t="s">
        <v>443</v>
      </c>
      <c r="G59" s="8"/>
      <c r="H59" s="8" t="s">
        <v>444</v>
      </c>
      <c r="I59" s="8" t="s">
        <v>445</v>
      </c>
      <c r="J59" s="8" t="s">
        <v>446</v>
      </c>
      <c r="K59" s="8" t="s">
        <v>417</v>
      </c>
      <c r="L59" s="8" t="s">
        <v>1268</v>
      </c>
      <c r="M59" s="8"/>
      <c r="N59" s="8"/>
      <c r="O59" s="8"/>
      <c r="P59" s="8" t="s">
        <v>41</v>
      </c>
      <c r="Q59" s="8" t="s">
        <v>41</v>
      </c>
      <c r="R59" s="8" t="s">
        <v>1616</v>
      </c>
      <c r="S59" s="8"/>
      <c r="T59" s="8"/>
      <c r="U59" s="8"/>
      <c r="V59" s="8" t="s">
        <v>41</v>
      </c>
      <c r="W59" s="8" t="s">
        <v>41</v>
      </c>
      <c r="X59" s="8" t="s">
        <v>447</v>
      </c>
      <c r="Y59" s="12" t="s">
        <v>439</v>
      </c>
    </row>
    <row r="60" spans="1:25" ht="15" customHeight="1" x14ac:dyDescent="0.25">
      <c r="A60" s="7" t="s">
        <v>429</v>
      </c>
      <c r="B60" s="7" t="s">
        <v>448</v>
      </c>
      <c r="C60" s="7" t="s">
        <v>449</v>
      </c>
      <c r="D60" s="7" t="s">
        <v>34</v>
      </c>
      <c r="E60" s="7" t="s">
        <v>450</v>
      </c>
      <c r="F60" s="7" t="s">
        <v>451</v>
      </c>
      <c r="G60" s="7"/>
      <c r="H60" s="7" t="s">
        <v>452</v>
      </c>
      <c r="I60" s="7" t="s">
        <v>453</v>
      </c>
      <c r="J60" s="7"/>
      <c r="K60" s="7" t="s">
        <v>417</v>
      </c>
      <c r="L60" s="7" t="s">
        <v>1268</v>
      </c>
      <c r="M60" s="7"/>
      <c r="N60" s="7"/>
      <c r="O60" s="7"/>
      <c r="P60" s="7" t="s">
        <v>41</v>
      </c>
      <c r="Q60" s="7" t="s">
        <v>41</v>
      </c>
      <c r="R60" s="7" t="s">
        <v>1616</v>
      </c>
      <c r="S60" s="7"/>
      <c r="T60" s="7"/>
      <c r="U60" s="7"/>
      <c r="V60" s="7" t="s">
        <v>41</v>
      </c>
      <c r="W60" s="7" t="s">
        <v>41</v>
      </c>
      <c r="X60" s="7" t="s">
        <v>454</v>
      </c>
      <c r="Y60" s="11" t="s">
        <v>439</v>
      </c>
    </row>
    <row r="61" spans="1:25" ht="15" customHeight="1" x14ac:dyDescent="0.25">
      <c r="A61" s="8" t="s">
        <v>429</v>
      </c>
      <c r="B61" s="8" t="s">
        <v>455</v>
      </c>
      <c r="C61" s="8" t="s">
        <v>456</v>
      </c>
      <c r="D61" s="8" t="s">
        <v>34</v>
      </c>
      <c r="E61" s="8" t="s">
        <v>457</v>
      </c>
      <c r="F61" s="8" t="s">
        <v>458</v>
      </c>
      <c r="G61" s="8"/>
      <c r="H61" s="8" t="s">
        <v>459</v>
      </c>
      <c r="I61" s="8" t="s">
        <v>460</v>
      </c>
      <c r="J61" s="8"/>
      <c r="K61" s="8" t="s">
        <v>417</v>
      </c>
      <c r="L61" s="8" t="s">
        <v>1268</v>
      </c>
      <c r="M61" s="8"/>
      <c r="N61" s="8"/>
      <c r="O61" s="8"/>
      <c r="P61" s="8" t="s">
        <v>41</v>
      </c>
      <c r="Q61" s="8" t="s">
        <v>41</v>
      </c>
      <c r="R61" s="8" t="s">
        <v>1616</v>
      </c>
      <c r="S61" s="8"/>
      <c r="T61" s="8"/>
      <c r="U61" s="8"/>
      <c r="V61" s="8" t="s">
        <v>41</v>
      </c>
      <c r="W61" s="8" t="s">
        <v>41</v>
      </c>
      <c r="X61" s="8" t="s">
        <v>454</v>
      </c>
      <c r="Y61" s="12" t="s">
        <v>439</v>
      </c>
    </row>
    <row r="62" spans="1:25" ht="15" customHeight="1" x14ac:dyDescent="0.25">
      <c r="A62" s="7" t="s">
        <v>429</v>
      </c>
      <c r="B62" s="7" t="s">
        <v>461</v>
      </c>
      <c r="C62" s="7" t="s">
        <v>462</v>
      </c>
      <c r="D62" s="7" t="s">
        <v>34</v>
      </c>
      <c r="E62" s="7" t="s">
        <v>463</v>
      </c>
      <c r="F62" s="7" t="s">
        <v>464</v>
      </c>
      <c r="G62" s="7"/>
      <c r="H62" s="7" t="s">
        <v>465</v>
      </c>
      <c r="I62" s="7" t="s">
        <v>466</v>
      </c>
      <c r="J62" s="7"/>
      <c r="K62" s="7" t="s">
        <v>417</v>
      </c>
      <c r="L62" s="7" t="s">
        <v>1268</v>
      </c>
      <c r="M62" s="7"/>
      <c r="N62" s="7"/>
      <c r="O62" s="7"/>
      <c r="P62" s="7" t="s">
        <v>41</v>
      </c>
      <c r="Q62" s="7" t="s">
        <v>41</v>
      </c>
      <c r="R62" s="7" t="s">
        <v>1616</v>
      </c>
      <c r="S62" s="7"/>
      <c r="T62" s="7"/>
      <c r="U62" s="7"/>
      <c r="V62" s="7" t="s">
        <v>41</v>
      </c>
      <c r="W62" s="7" t="s">
        <v>41</v>
      </c>
      <c r="X62" s="7" t="s">
        <v>454</v>
      </c>
      <c r="Y62" s="11" t="s">
        <v>439</v>
      </c>
    </row>
    <row r="63" spans="1:25" ht="15" customHeight="1" x14ac:dyDescent="0.25">
      <c r="A63" s="8" t="s">
        <v>429</v>
      </c>
      <c r="B63" s="8" t="s">
        <v>467</v>
      </c>
      <c r="C63" s="8" t="s">
        <v>468</v>
      </c>
      <c r="D63" s="8" t="s">
        <v>34</v>
      </c>
      <c r="E63" s="8" t="s">
        <v>469</v>
      </c>
      <c r="F63" s="8" t="s">
        <v>470</v>
      </c>
      <c r="G63" s="8"/>
      <c r="H63" s="8" t="s">
        <v>471</v>
      </c>
      <c r="I63" s="8" t="s">
        <v>472</v>
      </c>
      <c r="J63" s="8"/>
      <c r="K63" s="8" t="s">
        <v>417</v>
      </c>
      <c r="L63" s="8" t="s">
        <v>1268</v>
      </c>
      <c r="M63" s="8"/>
      <c r="N63" s="8"/>
      <c r="O63" s="8"/>
      <c r="P63" s="8" t="s">
        <v>41</v>
      </c>
      <c r="Q63" s="8" t="s">
        <v>41</v>
      </c>
      <c r="R63" s="8" t="s">
        <v>1616</v>
      </c>
      <c r="S63" s="8"/>
      <c r="T63" s="8"/>
      <c r="U63" s="8"/>
      <c r="V63" s="8" t="s">
        <v>41</v>
      </c>
      <c r="W63" s="8" t="s">
        <v>41</v>
      </c>
      <c r="X63" s="8" t="s">
        <v>454</v>
      </c>
      <c r="Y63" s="12" t="s">
        <v>439</v>
      </c>
    </row>
    <row r="64" spans="1:25" ht="15" customHeight="1" x14ac:dyDescent="0.25">
      <c r="A64" s="7" t="s">
        <v>429</v>
      </c>
      <c r="B64" s="7" t="s">
        <v>473</v>
      </c>
      <c r="C64" s="7" t="s">
        <v>474</v>
      </c>
      <c r="D64" s="7" t="s">
        <v>34</v>
      </c>
      <c r="E64" s="7" t="s">
        <v>475</v>
      </c>
      <c r="F64" s="7" t="s">
        <v>476</v>
      </c>
      <c r="G64" s="7" t="s">
        <v>477</v>
      </c>
      <c r="H64" s="7" t="s">
        <v>478</v>
      </c>
      <c r="I64" s="7" t="s">
        <v>479</v>
      </c>
      <c r="J64" s="7"/>
      <c r="K64" s="7" t="s">
        <v>417</v>
      </c>
      <c r="L64" s="7" t="s">
        <v>1268</v>
      </c>
      <c r="M64" s="7"/>
      <c r="N64" s="7"/>
      <c r="O64" s="7"/>
      <c r="P64" s="7" t="s">
        <v>41</v>
      </c>
      <c r="Q64" s="7" t="s">
        <v>41</v>
      </c>
      <c r="R64" s="7" t="s">
        <v>1616</v>
      </c>
      <c r="S64" s="7"/>
      <c r="T64" s="7"/>
      <c r="U64" s="7"/>
      <c r="V64" s="7" t="s">
        <v>41</v>
      </c>
      <c r="W64" s="7" t="s">
        <v>41</v>
      </c>
      <c r="X64" s="7" t="s">
        <v>454</v>
      </c>
      <c r="Y64" s="11" t="s">
        <v>439</v>
      </c>
    </row>
    <row r="65" spans="1:25" ht="15" customHeight="1" x14ac:dyDescent="0.25">
      <c r="A65" s="8" t="s">
        <v>429</v>
      </c>
      <c r="B65" s="8" t="s">
        <v>480</v>
      </c>
      <c r="C65" s="8" t="s">
        <v>481</v>
      </c>
      <c r="D65" s="8" t="s">
        <v>34</v>
      </c>
      <c r="E65" s="8" t="s">
        <v>482</v>
      </c>
      <c r="F65" s="8" t="s">
        <v>483</v>
      </c>
      <c r="G65" s="8" t="s">
        <v>477</v>
      </c>
      <c r="H65" s="8" t="s">
        <v>484</v>
      </c>
      <c r="I65" s="8" t="s">
        <v>485</v>
      </c>
      <c r="J65" s="8"/>
      <c r="K65" s="8" t="s">
        <v>417</v>
      </c>
      <c r="L65" s="8" t="s">
        <v>1268</v>
      </c>
      <c r="M65" s="8"/>
      <c r="N65" s="8"/>
      <c r="O65" s="8"/>
      <c r="P65" s="8" t="s">
        <v>41</v>
      </c>
      <c r="Q65" s="8" t="s">
        <v>41</v>
      </c>
      <c r="R65" s="8" t="s">
        <v>1616</v>
      </c>
      <c r="S65" s="8"/>
      <c r="T65" s="8"/>
      <c r="U65" s="8"/>
      <c r="V65" s="8" t="s">
        <v>41</v>
      </c>
      <c r="W65" s="8" t="s">
        <v>41</v>
      </c>
      <c r="X65" s="8" t="s">
        <v>454</v>
      </c>
      <c r="Y65" s="12" t="s">
        <v>439</v>
      </c>
    </row>
    <row r="66" spans="1:25" ht="15" customHeight="1" x14ac:dyDescent="0.25">
      <c r="A66" s="7" t="s">
        <v>429</v>
      </c>
      <c r="B66" s="7" t="s">
        <v>486</v>
      </c>
      <c r="C66" s="7" t="s">
        <v>487</v>
      </c>
      <c r="D66" s="7" t="s">
        <v>34</v>
      </c>
      <c r="E66" s="7" t="s">
        <v>488</v>
      </c>
      <c r="F66" s="7" t="s">
        <v>489</v>
      </c>
      <c r="G66" s="7" t="s">
        <v>477</v>
      </c>
      <c r="H66" s="7" t="s">
        <v>490</v>
      </c>
      <c r="I66" s="7" t="s">
        <v>491</v>
      </c>
      <c r="J66" s="7"/>
      <c r="K66" s="7" t="s">
        <v>417</v>
      </c>
      <c r="L66" s="7" t="s">
        <v>1268</v>
      </c>
      <c r="M66" s="7"/>
      <c r="N66" s="7"/>
      <c r="O66" s="7"/>
      <c r="P66" s="7" t="s">
        <v>41</v>
      </c>
      <c r="Q66" s="7" t="s">
        <v>41</v>
      </c>
      <c r="R66" s="7" t="s">
        <v>1616</v>
      </c>
      <c r="S66" s="7"/>
      <c r="T66" s="7"/>
      <c r="U66" s="7"/>
      <c r="V66" s="7" t="s">
        <v>41</v>
      </c>
      <c r="W66" s="7" t="s">
        <v>41</v>
      </c>
      <c r="X66" s="7" t="s">
        <v>454</v>
      </c>
      <c r="Y66" s="11" t="s">
        <v>439</v>
      </c>
    </row>
    <row r="67" spans="1:25" ht="15" customHeight="1" x14ac:dyDescent="0.25">
      <c r="A67" s="8" t="s">
        <v>429</v>
      </c>
      <c r="B67" s="8" t="s">
        <v>492</v>
      </c>
      <c r="C67" s="8" t="s">
        <v>493</v>
      </c>
      <c r="D67" s="8" t="s">
        <v>34</v>
      </c>
      <c r="E67" s="8" t="s">
        <v>494</v>
      </c>
      <c r="F67" s="8" t="s">
        <v>495</v>
      </c>
      <c r="G67" s="8" t="s">
        <v>477</v>
      </c>
      <c r="H67" s="8" t="s">
        <v>496</v>
      </c>
      <c r="I67" s="8" t="s">
        <v>497</v>
      </c>
      <c r="J67" s="8"/>
      <c r="K67" s="8" t="s">
        <v>417</v>
      </c>
      <c r="L67" s="8" t="s">
        <v>1268</v>
      </c>
      <c r="M67" s="8"/>
      <c r="N67" s="8"/>
      <c r="O67" s="8"/>
      <c r="P67" s="8" t="s">
        <v>41</v>
      </c>
      <c r="Q67" s="8" t="s">
        <v>41</v>
      </c>
      <c r="R67" s="8" t="s">
        <v>1616</v>
      </c>
      <c r="S67" s="8"/>
      <c r="T67" s="8"/>
      <c r="U67" s="8"/>
      <c r="V67" s="8" t="s">
        <v>41</v>
      </c>
      <c r="W67" s="8" t="s">
        <v>41</v>
      </c>
      <c r="X67" s="8" t="s">
        <v>454</v>
      </c>
      <c r="Y67" s="12" t="s">
        <v>439</v>
      </c>
    </row>
    <row r="68" spans="1:25" ht="15" customHeight="1" x14ac:dyDescent="0.25">
      <c r="A68" s="7" t="s">
        <v>429</v>
      </c>
      <c r="B68" s="7" t="s">
        <v>498</v>
      </c>
      <c r="C68" s="7" t="s">
        <v>499</v>
      </c>
      <c r="D68" s="7" t="s">
        <v>34</v>
      </c>
      <c r="E68" s="7" t="s">
        <v>500</v>
      </c>
      <c r="F68" s="7" t="s">
        <v>501</v>
      </c>
      <c r="G68" s="7" t="s">
        <v>502</v>
      </c>
      <c r="H68" s="7" t="s">
        <v>503</v>
      </c>
      <c r="I68" s="7" t="s">
        <v>504</v>
      </c>
      <c r="J68" s="7"/>
      <c r="K68" s="7" t="s">
        <v>417</v>
      </c>
      <c r="L68" s="7" t="s">
        <v>1268</v>
      </c>
      <c r="M68" s="7"/>
      <c r="N68" s="7"/>
      <c r="O68" s="7"/>
      <c r="P68" s="7" t="s">
        <v>41</v>
      </c>
      <c r="Q68" s="7" t="s">
        <v>41</v>
      </c>
      <c r="R68" s="7" t="s">
        <v>1616</v>
      </c>
      <c r="S68" s="7"/>
      <c r="T68" s="7"/>
      <c r="U68" s="7"/>
      <c r="V68" s="7" t="s">
        <v>41</v>
      </c>
      <c r="W68" s="7" t="s">
        <v>41</v>
      </c>
      <c r="X68" s="7" t="s">
        <v>506</v>
      </c>
      <c r="Y68" s="11" t="s">
        <v>439</v>
      </c>
    </row>
    <row r="69" spans="1:25" ht="15" customHeight="1" x14ac:dyDescent="0.25">
      <c r="A69" s="8" t="s">
        <v>507</v>
      </c>
      <c r="B69" s="8"/>
      <c r="C69" s="8" t="s">
        <v>508</v>
      </c>
      <c r="D69" s="8"/>
      <c r="E69" s="8"/>
      <c r="F69" s="8"/>
      <c r="G69" s="8"/>
      <c r="H69" s="8"/>
      <c r="I69" s="8"/>
      <c r="J69" s="8"/>
      <c r="K69" s="8"/>
      <c r="L69" s="8"/>
      <c r="M69" s="8"/>
      <c r="N69" s="8"/>
      <c r="O69" s="8"/>
      <c r="P69" s="8"/>
      <c r="Q69" s="8"/>
      <c r="R69" s="8"/>
      <c r="S69" s="8"/>
      <c r="T69" s="8"/>
      <c r="U69" s="8"/>
      <c r="V69" s="8"/>
      <c r="W69" s="8"/>
      <c r="X69" s="8"/>
      <c r="Y69" s="12"/>
    </row>
    <row r="70" spans="1:25" ht="15" customHeight="1" x14ac:dyDescent="0.25">
      <c r="A70" s="7" t="s">
        <v>509</v>
      </c>
      <c r="B70" s="7"/>
      <c r="C70" s="7" t="s">
        <v>510</v>
      </c>
      <c r="D70" s="7"/>
      <c r="E70" s="7" t="s">
        <v>511</v>
      </c>
      <c r="F70" s="7"/>
      <c r="G70" s="7"/>
      <c r="H70" s="7"/>
      <c r="I70" s="7"/>
      <c r="J70" s="7"/>
      <c r="K70" s="7"/>
      <c r="L70" s="7"/>
      <c r="M70" s="7"/>
      <c r="N70" s="7"/>
      <c r="O70" s="7"/>
      <c r="P70" s="7"/>
      <c r="Q70" s="7"/>
      <c r="R70" s="7"/>
      <c r="S70" s="7"/>
      <c r="T70" s="7"/>
      <c r="U70" s="7"/>
      <c r="V70" s="7"/>
      <c r="W70" s="7"/>
      <c r="X70" s="7"/>
      <c r="Y70" s="11"/>
    </row>
    <row r="71" spans="1:25" ht="15" customHeight="1" x14ac:dyDescent="0.25">
      <c r="A71" s="8" t="s">
        <v>509</v>
      </c>
      <c r="B71" s="8" t="s">
        <v>512</v>
      </c>
      <c r="C71" s="8" t="s">
        <v>513</v>
      </c>
      <c r="D71" s="8" t="s">
        <v>34</v>
      </c>
      <c r="E71" s="8" t="s">
        <v>514</v>
      </c>
      <c r="F71" s="8" t="s">
        <v>515</v>
      </c>
      <c r="G71" s="8"/>
      <c r="H71" s="8" t="s">
        <v>516</v>
      </c>
      <c r="I71" s="8" t="s">
        <v>517</v>
      </c>
      <c r="J71" s="8"/>
      <c r="K71" s="8" t="s">
        <v>518</v>
      </c>
      <c r="L71" s="8" t="s">
        <v>1631</v>
      </c>
      <c r="M71" s="8"/>
      <c r="N71" s="8"/>
      <c r="O71" s="8"/>
      <c r="P71" s="8" t="s">
        <v>41</v>
      </c>
      <c r="Q71" s="8" t="s">
        <v>41</v>
      </c>
      <c r="R71" s="8" t="s">
        <v>768</v>
      </c>
      <c r="S71" s="8"/>
      <c r="T71" s="8"/>
      <c r="U71" s="8"/>
      <c r="V71" s="8" t="s">
        <v>41</v>
      </c>
      <c r="W71" s="8" t="s">
        <v>41</v>
      </c>
      <c r="X71" s="8" t="s">
        <v>519</v>
      </c>
      <c r="Y71" s="12" t="s">
        <v>520</v>
      </c>
    </row>
    <row r="72" spans="1:25" ht="15" customHeight="1" x14ac:dyDescent="0.25">
      <c r="A72" s="7" t="s">
        <v>509</v>
      </c>
      <c r="B72" s="7" t="s">
        <v>521</v>
      </c>
      <c r="C72" s="7" t="s">
        <v>522</v>
      </c>
      <c r="D72" s="7" t="s">
        <v>34</v>
      </c>
      <c r="E72" s="7" t="s">
        <v>523</v>
      </c>
      <c r="F72" s="7" t="s">
        <v>524</v>
      </c>
      <c r="G72" s="7"/>
      <c r="H72" s="7" t="s">
        <v>525</v>
      </c>
      <c r="I72" s="7" t="s">
        <v>526</v>
      </c>
      <c r="J72" s="7"/>
      <c r="K72" s="7" t="s">
        <v>518</v>
      </c>
      <c r="L72" s="7" t="s">
        <v>1631</v>
      </c>
      <c r="M72" s="7"/>
      <c r="N72" s="7"/>
      <c r="O72" s="7"/>
      <c r="P72" s="7" t="s">
        <v>41</v>
      </c>
      <c r="Q72" s="7" t="s">
        <v>41</v>
      </c>
      <c r="R72" s="7" t="s">
        <v>768</v>
      </c>
      <c r="S72" s="7"/>
      <c r="T72" s="7"/>
      <c r="U72" s="7"/>
      <c r="V72" s="7" t="s">
        <v>41</v>
      </c>
      <c r="W72" s="7" t="s">
        <v>41</v>
      </c>
      <c r="X72" s="7" t="s">
        <v>519</v>
      </c>
      <c r="Y72" s="11" t="s">
        <v>527</v>
      </c>
    </row>
    <row r="73" spans="1:25" ht="15" customHeight="1" x14ac:dyDescent="0.25">
      <c r="A73" s="8" t="s">
        <v>509</v>
      </c>
      <c r="B73" s="8" t="s">
        <v>528</v>
      </c>
      <c r="C73" s="8" t="s">
        <v>529</v>
      </c>
      <c r="D73" s="8" t="s">
        <v>34</v>
      </c>
      <c r="E73" s="8" t="s">
        <v>530</v>
      </c>
      <c r="F73" s="8" t="s">
        <v>531</v>
      </c>
      <c r="G73" s="8"/>
      <c r="H73" s="8" t="s">
        <v>532</v>
      </c>
      <c r="I73" s="8" t="s">
        <v>533</v>
      </c>
      <c r="J73" s="8"/>
      <c r="K73" s="8" t="s">
        <v>518</v>
      </c>
      <c r="L73" s="8" t="s">
        <v>1631</v>
      </c>
      <c r="M73" s="8"/>
      <c r="N73" s="8"/>
      <c r="O73" s="8"/>
      <c r="P73" s="8" t="s">
        <v>41</v>
      </c>
      <c r="Q73" s="8" t="s">
        <v>41</v>
      </c>
      <c r="R73" s="8" t="s">
        <v>768</v>
      </c>
      <c r="S73" s="8"/>
      <c r="T73" s="8"/>
      <c r="U73" s="8"/>
      <c r="V73" s="8" t="s">
        <v>41</v>
      </c>
      <c r="W73" s="8" t="s">
        <v>41</v>
      </c>
      <c r="X73" s="8" t="s">
        <v>534</v>
      </c>
      <c r="Y73" s="12" t="s">
        <v>535</v>
      </c>
    </row>
    <row r="74" spans="1:25" ht="15" customHeight="1" x14ac:dyDescent="0.25">
      <c r="A74" s="7" t="s">
        <v>509</v>
      </c>
      <c r="B74" s="7" t="s">
        <v>536</v>
      </c>
      <c r="C74" s="7" t="s">
        <v>537</v>
      </c>
      <c r="D74" s="7" t="s">
        <v>34</v>
      </c>
      <c r="E74" s="7" t="s">
        <v>538</v>
      </c>
      <c r="F74" s="7" t="s">
        <v>539</v>
      </c>
      <c r="G74" s="7"/>
      <c r="H74" s="7" t="s">
        <v>540</v>
      </c>
      <c r="I74" s="7" t="s">
        <v>541</v>
      </c>
      <c r="J74" s="7"/>
      <c r="K74" s="7" t="s">
        <v>518</v>
      </c>
      <c r="L74" s="7" t="s">
        <v>1631</v>
      </c>
      <c r="M74" s="7"/>
      <c r="N74" s="7"/>
      <c r="O74" s="7"/>
      <c r="P74" s="7" t="s">
        <v>41</v>
      </c>
      <c r="Q74" s="7" t="s">
        <v>41</v>
      </c>
      <c r="R74" s="7" t="s">
        <v>768</v>
      </c>
      <c r="S74" s="7"/>
      <c r="T74" s="7"/>
      <c r="U74" s="7"/>
      <c r="V74" s="7" t="s">
        <v>41</v>
      </c>
      <c r="W74" s="7" t="s">
        <v>41</v>
      </c>
      <c r="X74" s="7" t="s">
        <v>542</v>
      </c>
      <c r="Y74" s="11" t="s">
        <v>543</v>
      </c>
    </row>
    <row r="75" spans="1:25" ht="15" customHeight="1" x14ac:dyDescent="0.25">
      <c r="A75" s="8" t="s">
        <v>509</v>
      </c>
      <c r="B75" s="8" t="s">
        <v>544</v>
      </c>
      <c r="C75" s="8" t="s">
        <v>545</v>
      </c>
      <c r="D75" s="8" t="s">
        <v>55</v>
      </c>
      <c r="E75" s="8" t="s">
        <v>546</v>
      </c>
      <c r="F75" s="8" t="s">
        <v>547</v>
      </c>
      <c r="G75" s="8"/>
      <c r="H75" s="8" t="s">
        <v>548</v>
      </c>
      <c r="I75" s="8" t="s">
        <v>549</v>
      </c>
      <c r="J75" s="8"/>
      <c r="K75" s="8" t="s">
        <v>550</v>
      </c>
      <c r="L75" s="8" t="s">
        <v>1632</v>
      </c>
      <c r="M75" s="8"/>
      <c r="N75" s="8"/>
      <c r="O75" s="8" t="s">
        <v>41</v>
      </c>
      <c r="P75" s="8" t="s">
        <v>41</v>
      </c>
      <c r="Q75" s="8" t="s">
        <v>41</v>
      </c>
      <c r="R75" s="8" t="s">
        <v>1632</v>
      </c>
      <c r="S75" s="8"/>
      <c r="T75" s="8"/>
      <c r="U75" s="8" t="s">
        <v>41</v>
      </c>
      <c r="V75" s="8" t="s">
        <v>41</v>
      </c>
      <c r="W75" s="8" t="s">
        <v>41</v>
      </c>
      <c r="X75" s="8" t="s">
        <v>551</v>
      </c>
      <c r="Y75" s="12" t="s">
        <v>552</v>
      </c>
    </row>
    <row r="76" spans="1:25" ht="15" customHeight="1" x14ac:dyDescent="0.25">
      <c r="A76" s="7" t="s">
        <v>509</v>
      </c>
      <c r="B76" s="7" t="s">
        <v>553</v>
      </c>
      <c r="C76" s="7" t="s">
        <v>554</v>
      </c>
      <c r="D76" s="7" t="s">
        <v>34</v>
      </c>
      <c r="E76" s="7" t="s">
        <v>555</v>
      </c>
      <c r="F76" s="7" t="s">
        <v>556</v>
      </c>
      <c r="G76" s="7" t="s">
        <v>557</v>
      </c>
      <c r="H76" s="7" t="s">
        <v>558</v>
      </c>
      <c r="I76" s="7" t="s">
        <v>559</v>
      </c>
      <c r="J76" s="7"/>
      <c r="K76" s="7" t="s">
        <v>560</v>
      </c>
      <c r="L76" s="7" t="s">
        <v>1631</v>
      </c>
      <c r="M76" s="7"/>
      <c r="N76" s="7"/>
      <c r="O76" s="7"/>
      <c r="P76" s="7" t="s">
        <v>41</v>
      </c>
      <c r="Q76" s="7" t="s">
        <v>41</v>
      </c>
      <c r="R76" s="7" t="s">
        <v>1609</v>
      </c>
      <c r="S76" s="7"/>
      <c r="T76" s="7"/>
      <c r="U76" s="7" t="s">
        <v>41</v>
      </c>
      <c r="V76" s="7" t="s">
        <v>41</v>
      </c>
      <c r="W76" s="7" t="s">
        <v>41</v>
      </c>
      <c r="X76" s="7" t="s">
        <v>561</v>
      </c>
      <c r="Y76" s="11" t="s">
        <v>562</v>
      </c>
    </row>
    <row r="77" spans="1:25" ht="15" customHeight="1" x14ac:dyDescent="0.25">
      <c r="A77" s="8" t="s">
        <v>509</v>
      </c>
      <c r="B77" s="8" t="s">
        <v>563</v>
      </c>
      <c r="C77" s="8" t="s">
        <v>564</v>
      </c>
      <c r="D77" s="8" t="s">
        <v>34</v>
      </c>
      <c r="E77" s="8" t="s">
        <v>565</v>
      </c>
      <c r="F77" s="8" t="s">
        <v>566</v>
      </c>
      <c r="G77" s="8" t="s">
        <v>567</v>
      </c>
      <c r="H77" s="8" t="s">
        <v>568</v>
      </c>
      <c r="I77" s="8" t="s">
        <v>569</v>
      </c>
      <c r="J77" s="8"/>
      <c r="K77" s="8" t="s">
        <v>570</v>
      </c>
      <c r="L77" s="8" t="s">
        <v>1633</v>
      </c>
      <c r="M77" s="8"/>
      <c r="N77" s="8"/>
      <c r="O77" s="8"/>
      <c r="P77" s="8" t="s">
        <v>41</v>
      </c>
      <c r="Q77" s="8" t="s">
        <v>41</v>
      </c>
      <c r="R77" s="8" t="s">
        <v>1634</v>
      </c>
      <c r="S77" s="8"/>
      <c r="T77" s="8"/>
      <c r="U77" s="8"/>
      <c r="V77" s="8" t="s">
        <v>41</v>
      </c>
      <c r="W77" s="8" t="s">
        <v>41</v>
      </c>
      <c r="X77" s="8" t="s">
        <v>571</v>
      </c>
      <c r="Y77" s="12" t="s">
        <v>572</v>
      </c>
    </row>
    <row r="78" spans="1:25" ht="15" customHeight="1" x14ac:dyDescent="0.25">
      <c r="A78" s="7" t="s">
        <v>509</v>
      </c>
      <c r="B78" s="7" t="s">
        <v>573</v>
      </c>
      <c r="C78" s="7" t="s">
        <v>574</v>
      </c>
      <c r="D78" s="7" t="s">
        <v>34</v>
      </c>
      <c r="E78" s="7" t="s">
        <v>575</v>
      </c>
      <c r="F78" s="7" t="s">
        <v>576</v>
      </c>
      <c r="G78" s="7" t="s">
        <v>577</v>
      </c>
      <c r="H78" s="7" t="s">
        <v>578</v>
      </c>
      <c r="I78" s="7" t="s">
        <v>579</v>
      </c>
      <c r="J78" s="7"/>
      <c r="K78" s="7" t="s">
        <v>580</v>
      </c>
      <c r="L78" s="7" t="s">
        <v>1635</v>
      </c>
      <c r="M78" s="7"/>
      <c r="N78" s="7"/>
      <c r="O78" s="7" t="s">
        <v>41</v>
      </c>
      <c r="P78" s="7" t="s">
        <v>41</v>
      </c>
      <c r="Q78" s="7" t="s">
        <v>41</v>
      </c>
      <c r="R78" s="7" t="s">
        <v>1635</v>
      </c>
      <c r="S78" s="7"/>
      <c r="T78" s="7"/>
      <c r="U78" s="7" t="s">
        <v>41</v>
      </c>
      <c r="V78" s="7" t="s">
        <v>41</v>
      </c>
      <c r="W78" s="7" t="s">
        <v>41</v>
      </c>
      <c r="X78" s="7" t="s">
        <v>581</v>
      </c>
      <c r="Y78" s="11" t="s">
        <v>582</v>
      </c>
    </row>
    <row r="79" spans="1:25" ht="15" customHeight="1" x14ac:dyDescent="0.25">
      <c r="A79" s="8" t="s">
        <v>583</v>
      </c>
      <c r="B79" s="8"/>
      <c r="C79" s="8" t="s">
        <v>584</v>
      </c>
      <c r="D79" s="8"/>
      <c r="E79" s="8" t="s">
        <v>585</v>
      </c>
      <c r="F79" s="8"/>
      <c r="G79" s="8"/>
      <c r="H79" s="8"/>
      <c r="I79" s="8"/>
      <c r="J79" s="8"/>
      <c r="K79" s="8"/>
      <c r="L79" s="8"/>
      <c r="M79" s="8"/>
      <c r="N79" s="8"/>
      <c r="O79" s="8"/>
      <c r="P79" s="8"/>
      <c r="Q79" s="8"/>
      <c r="R79" s="8"/>
      <c r="S79" s="8"/>
      <c r="T79" s="8"/>
      <c r="U79" s="8"/>
      <c r="V79" s="8"/>
      <c r="W79" s="8"/>
      <c r="X79" s="8"/>
      <c r="Y79" s="12"/>
    </row>
    <row r="80" spans="1:25" ht="15" customHeight="1" x14ac:dyDescent="0.25">
      <c r="A80" s="7" t="s">
        <v>586</v>
      </c>
      <c r="B80" s="7"/>
      <c r="C80" s="7" t="s">
        <v>587</v>
      </c>
      <c r="D80" s="7"/>
      <c r="E80" s="7" t="s">
        <v>588</v>
      </c>
      <c r="F80" s="7"/>
      <c r="G80" s="7"/>
      <c r="H80" s="7"/>
      <c r="I80" s="7"/>
      <c r="J80" s="7"/>
      <c r="K80" s="7"/>
      <c r="L80" s="7"/>
      <c r="M80" s="7"/>
      <c r="N80" s="7"/>
      <c r="O80" s="7"/>
      <c r="P80" s="7"/>
      <c r="Q80" s="7"/>
      <c r="R80" s="7"/>
      <c r="S80" s="7"/>
      <c r="T80" s="7"/>
      <c r="U80" s="7"/>
      <c r="V80" s="7"/>
      <c r="W80" s="7"/>
      <c r="X80" s="7"/>
      <c r="Y80" s="11"/>
    </row>
    <row r="81" spans="1:25" ht="15" customHeight="1" x14ac:dyDescent="0.25">
      <c r="A81" s="8" t="s">
        <v>586</v>
      </c>
      <c r="B81" s="8" t="s">
        <v>589</v>
      </c>
      <c r="C81" s="8" t="s">
        <v>590</v>
      </c>
      <c r="D81" s="8" t="s">
        <v>34</v>
      </c>
      <c r="E81" s="8" t="s">
        <v>591</v>
      </c>
      <c r="F81" s="8" t="s">
        <v>592</v>
      </c>
      <c r="G81" s="8" t="s">
        <v>593</v>
      </c>
      <c r="H81" s="8" t="s">
        <v>594</v>
      </c>
      <c r="I81" s="8" t="s">
        <v>595</v>
      </c>
      <c r="J81" s="8"/>
      <c r="K81" s="8" t="s">
        <v>596</v>
      </c>
      <c r="L81" s="8" t="s">
        <v>528</v>
      </c>
      <c r="M81" s="8"/>
      <c r="N81" s="8"/>
      <c r="O81" s="8" t="s">
        <v>41</v>
      </c>
      <c r="P81" s="8" t="s">
        <v>41</v>
      </c>
      <c r="Q81" s="8" t="s">
        <v>41</v>
      </c>
      <c r="R81" s="8" t="s">
        <v>1636</v>
      </c>
      <c r="S81" s="8"/>
      <c r="T81" s="8"/>
      <c r="U81" s="8" t="s">
        <v>41</v>
      </c>
      <c r="V81" s="8" t="s">
        <v>41</v>
      </c>
      <c r="W81" s="8" t="s">
        <v>41</v>
      </c>
      <c r="X81" s="8" t="s">
        <v>597</v>
      </c>
      <c r="Y81" s="12" t="s">
        <v>598</v>
      </c>
    </row>
    <row r="82" spans="1:25" ht="15" customHeight="1" x14ac:dyDescent="0.25">
      <c r="A82" s="7" t="s">
        <v>586</v>
      </c>
      <c r="B82" s="7" t="s">
        <v>599</v>
      </c>
      <c r="C82" s="7" t="s">
        <v>600</v>
      </c>
      <c r="D82" s="7" t="s">
        <v>55</v>
      </c>
      <c r="E82" s="7" t="s">
        <v>601</v>
      </c>
      <c r="F82" s="7" t="s">
        <v>602</v>
      </c>
      <c r="G82" s="7" t="s">
        <v>603</v>
      </c>
      <c r="H82" s="7" t="s">
        <v>604</v>
      </c>
      <c r="I82" s="7" t="s">
        <v>605</v>
      </c>
      <c r="J82" s="7"/>
      <c r="K82" s="7" t="s">
        <v>606</v>
      </c>
      <c r="L82" s="7" t="s">
        <v>1626</v>
      </c>
      <c r="M82" s="7" t="s">
        <v>1637</v>
      </c>
      <c r="N82" s="7"/>
      <c r="O82" s="7" t="s">
        <v>41</v>
      </c>
      <c r="P82" s="7" t="s">
        <v>41</v>
      </c>
      <c r="Q82" s="7" t="s">
        <v>41</v>
      </c>
      <c r="R82" s="7" t="s">
        <v>281</v>
      </c>
      <c r="S82" s="7" t="s">
        <v>135</v>
      </c>
      <c r="T82" s="7"/>
      <c r="U82" s="7" t="s">
        <v>41</v>
      </c>
      <c r="V82" s="7" t="s">
        <v>41</v>
      </c>
      <c r="W82" s="7" t="s">
        <v>41</v>
      </c>
      <c r="X82" s="7" t="s">
        <v>607</v>
      </c>
      <c r="Y82" s="11" t="s">
        <v>608</v>
      </c>
    </row>
    <row r="83" spans="1:25" ht="15" customHeight="1" x14ac:dyDescent="0.25">
      <c r="A83" s="8" t="s">
        <v>586</v>
      </c>
      <c r="B83" s="8" t="s">
        <v>609</v>
      </c>
      <c r="C83" s="8" t="s">
        <v>610</v>
      </c>
      <c r="D83" s="8" t="s">
        <v>34</v>
      </c>
      <c r="E83" s="8" t="s">
        <v>611</v>
      </c>
      <c r="F83" s="8" t="s">
        <v>612</v>
      </c>
      <c r="G83" s="8"/>
      <c r="H83" s="8" t="s">
        <v>613</v>
      </c>
      <c r="I83" s="8" t="s">
        <v>614</v>
      </c>
      <c r="J83" s="8" t="s">
        <v>615</v>
      </c>
      <c r="K83" s="8" t="s">
        <v>616</v>
      </c>
      <c r="L83" s="8" t="s">
        <v>1638</v>
      </c>
      <c r="M83" s="8"/>
      <c r="N83" s="8"/>
      <c r="O83" s="8" t="s">
        <v>41</v>
      </c>
      <c r="P83" s="8" t="s">
        <v>41</v>
      </c>
      <c r="Q83" s="8" t="s">
        <v>41</v>
      </c>
      <c r="R83" s="8" t="s">
        <v>1639</v>
      </c>
      <c r="S83" s="8"/>
      <c r="T83" s="8"/>
      <c r="U83" s="8" t="s">
        <v>41</v>
      </c>
      <c r="V83" s="8" t="s">
        <v>41</v>
      </c>
      <c r="W83" s="8" t="s">
        <v>41</v>
      </c>
      <c r="X83" s="8" t="s">
        <v>617</v>
      </c>
      <c r="Y83" s="12" t="s">
        <v>618</v>
      </c>
    </row>
    <row r="84" spans="1:25" ht="15" customHeight="1" x14ac:dyDescent="0.25">
      <c r="A84" s="7" t="s">
        <v>586</v>
      </c>
      <c r="B84" s="7" t="s">
        <v>619</v>
      </c>
      <c r="C84" s="7" t="s">
        <v>620</v>
      </c>
      <c r="D84" s="7" t="s">
        <v>34</v>
      </c>
      <c r="E84" s="7" t="s">
        <v>621</v>
      </c>
      <c r="F84" s="7" t="s">
        <v>622</v>
      </c>
      <c r="G84" s="7"/>
      <c r="H84" s="7" t="s">
        <v>623</v>
      </c>
      <c r="I84" s="7" t="s">
        <v>624</v>
      </c>
      <c r="J84" s="7" t="s">
        <v>625</v>
      </c>
      <c r="K84" s="7" t="s">
        <v>616</v>
      </c>
      <c r="L84" s="7" t="s">
        <v>1638</v>
      </c>
      <c r="M84" s="7"/>
      <c r="N84" s="7"/>
      <c r="O84" s="7" t="s">
        <v>41</v>
      </c>
      <c r="P84" s="7" t="s">
        <v>41</v>
      </c>
      <c r="Q84" s="7" t="s">
        <v>41</v>
      </c>
      <c r="R84" s="7" t="s">
        <v>1639</v>
      </c>
      <c r="S84" s="7"/>
      <c r="T84" s="7"/>
      <c r="U84" s="7" t="s">
        <v>41</v>
      </c>
      <c r="V84" s="7" t="s">
        <v>41</v>
      </c>
      <c r="W84" s="7" t="s">
        <v>41</v>
      </c>
      <c r="X84" s="7" t="s">
        <v>617</v>
      </c>
      <c r="Y84" s="11" t="s">
        <v>626</v>
      </c>
    </row>
    <row r="85" spans="1:25" ht="15" customHeight="1" x14ac:dyDescent="0.25">
      <c r="A85" s="8" t="s">
        <v>586</v>
      </c>
      <c r="B85" s="8" t="s">
        <v>627</v>
      </c>
      <c r="C85" s="8" t="s">
        <v>628</v>
      </c>
      <c r="D85" s="8" t="s">
        <v>34</v>
      </c>
      <c r="E85" s="8" t="s">
        <v>629</v>
      </c>
      <c r="F85" s="8" t="s">
        <v>630</v>
      </c>
      <c r="G85" s="8" t="s">
        <v>631</v>
      </c>
      <c r="H85" s="8" t="s">
        <v>632</v>
      </c>
      <c r="I85" s="8" t="s">
        <v>633</v>
      </c>
      <c r="J85" s="8" t="s">
        <v>634</v>
      </c>
      <c r="K85" s="8" t="s">
        <v>635</v>
      </c>
      <c r="L85" s="8" t="s">
        <v>1640</v>
      </c>
      <c r="M85" s="8"/>
      <c r="N85" s="8"/>
      <c r="O85" s="8"/>
      <c r="P85" s="8"/>
      <c r="Q85" s="8" t="s">
        <v>41</v>
      </c>
      <c r="R85" s="8" t="s">
        <v>1615</v>
      </c>
      <c r="S85" s="8"/>
      <c r="T85" s="8"/>
      <c r="U85" s="8"/>
      <c r="V85" s="8"/>
      <c r="W85" s="8" t="s">
        <v>41</v>
      </c>
      <c r="X85" s="8" t="s">
        <v>636</v>
      </c>
      <c r="Y85" s="12" t="s">
        <v>637</v>
      </c>
    </row>
    <row r="86" spans="1:25" ht="15" customHeight="1" x14ac:dyDescent="0.25">
      <c r="A86" s="7" t="s">
        <v>586</v>
      </c>
      <c r="B86" s="7" t="s">
        <v>638</v>
      </c>
      <c r="C86" s="7" t="s">
        <v>639</v>
      </c>
      <c r="D86" s="7" t="s">
        <v>34</v>
      </c>
      <c r="E86" s="7" t="s">
        <v>640</v>
      </c>
      <c r="F86" s="7" t="s">
        <v>641</v>
      </c>
      <c r="G86" s="7" t="s">
        <v>642</v>
      </c>
      <c r="H86" s="7" t="s">
        <v>643</v>
      </c>
      <c r="I86" s="7" t="s">
        <v>644</v>
      </c>
      <c r="J86" s="7"/>
      <c r="K86" s="7" t="s">
        <v>635</v>
      </c>
      <c r="L86" s="7" t="s">
        <v>1640</v>
      </c>
      <c r="M86" s="7"/>
      <c r="N86" s="7"/>
      <c r="O86" s="7"/>
      <c r="P86" s="7"/>
      <c r="Q86" s="7" t="s">
        <v>41</v>
      </c>
      <c r="R86" s="7" t="s">
        <v>1615</v>
      </c>
      <c r="S86" s="7"/>
      <c r="T86" s="7"/>
      <c r="U86" s="7"/>
      <c r="V86" s="7"/>
      <c r="W86" s="7" t="s">
        <v>41</v>
      </c>
      <c r="X86" s="7" t="s">
        <v>645</v>
      </c>
      <c r="Y86" s="11"/>
    </row>
    <row r="87" spans="1:25" ht="15" customHeight="1" x14ac:dyDescent="0.25">
      <c r="A87" s="8" t="s">
        <v>646</v>
      </c>
      <c r="B87" s="8"/>
      <c r="C87" s="8" t="s">
        <v>647</v>
      </c>
      <c r="D87" s="8"/>
      <c r="E87" s="8" t="s">
        <v>648</v>
      </c>
      <c r="F87" s="8"/>
      <c r="G87" s="8"/>
      <c r="H87" s="8"/>
      <c r="I87" s="8"/>
      <c r="J87" s="8"/>
      <c r="K87" s="8"/>
      <c r="L87" s="8"/>
      <c r="M87" s="8"/>
      <c r="N87" s="8"/>
      <c r="O87" s="8"/>
      <c r="P87" s="8"/>
      <c r="Q87" s="8"/>
      <c r="R87" s="8"/>
      <c r="S87" s="8"/>
      <c r="T87" s="8"/>
      <c r="U87" s="8"/>
      <c r="V87" s="8"/>
      <c r="W87" s="8"/>
      <c r="X87" s="8"/>
      <c r="Y87" s="12"/>
    </row>
    <row r="88" spans="1:25" ht="15" customHeight="1" x14ac:dyDescent="0.25">
      <c r="A88" s="7" t="s">
        <v>649</v>
      </c>
      <c r="B88" s="7"/>
      <c r="C88" s="7" t="s">
        <v>650</v>
      </c>
      <c r="D88" s="7"/>
      <c r="E88" s="7" t="s">
        <v>651</v>
      </c>
      <c r="F88" s="7"/>
      <c r="G88" s="7"/>
      <c r="H88" s="7"/>
      <c r="I88" s="7"/>
      <c r="J88" s="7"/>
      <c r="K88" s="7"/>
      <c r="L88" s="7"/>
      <c r="M88" s="7"/>
      <c r="N88" s="7"/>
      <c r="O88" s="7"/>
      <c r="P88" s="7"/>
      <c r="Q88" s="7"/>
      <c r="R88" s="7"/>
      <c r="S88" s="7"/>
      <c r="T88" s="7"/>
      <c r="U88" s="7"/>
      <c r="V88" s="7"/>
      <c r="W88" s="7"/>
      <c r="X88" s="7"/>
      <c r="Y88" s="11"/>
    </row>
    <row r="89" spans="1:25" ht="15" customHeight="1" x14ac:dyDescent="0.25">
      <c r="A89" s="8" t="s">
        <v>652</v>
      </c>
      <c r="B89" s="8"/>
      <c r="C89" s="8" t="s">
        <v>653</v>
      </c>
      <c r="D89" s="8"/>
      <c r="E89" s="8"/>
      <c r="F89" s="8"/>
      <c r="G89" s="8"/>
      <c r="H89" s="8"/>
      <c r="I89" s="8"/>
      <c r="J89" s="8"/>
      <c r="K89" s="8"/>
      <c r="L89" s="8"/>
      <c r="M89" s="8"/>
      <c r="N89" s="8"/>
      <c r="O89" s="8"/>
      <c r="P89" s="8"/>
      <c r="Q89" s="8"/>
      <c r="R89" s="8"/>
      <c r="S89" s="8"/>
      <c r="T89" s="8"/>
      <c r="U89" s="8"/>
      <c r="V89" s="8"/>
      <c r="W89" s="8"/>
      <c r="X89" s="8"/>
      <c r="Y89" s="12"/>
    </row>
    <row r="90" spans="1:25" ht="15" customHeight="1" x14ac:dyDescent="0.25">
      <c r="A90" s="7" t="s">
        <v>654</v>
      </c>
      <c r="B90" s="7"/>
      <c r="C90" s="7" t="s">
        <v>655</v>
      </c>
      <c r="D90" s="7"/>
      <c r="E90" s="7"/>
      <c r="F90" s="7"/>
      <c r="G90" s="7"/>
      <c r="H90" s="7"/>
      <c r="I90" s="7"/>
      <c r="J90" s="7"/>
      <c r="K90" s="7"/>
      <c r="L90" s="7"/>
      <c r="M90" s="7"/>
      <c r="N90" s="7"/>
      <c r="O90" s="7"/>
      <c r="P90" s="7"/>
      <c r="Q90" s="7"/>
      <c r="R90" s="7"/>
      <c r="S90" s="7"/>
      <c r="T90" s="7"/>
      <c r="U90" s="7"/>
      <c r="V90" s="7"/>
      <c r="W90" s="7"/>
      <c r="X90" s="7"/>
      <c r="Y90" s="11"/>
    </row>
    <row r="91" spans="1:25" ht="15" customHeight="1" x14ac:dyDescent="0.25">
      <c r="A91" s="8" t="s">
        <v>656</v>
      </c>
      <c r="B91" s="8"/>
      <c r="C91" s="8" t="s">
        <v>657</v>
      </c>
      <c r="D91" s="8"/>
      <c r="E91" s="8"/>
      <c r="F91" s="8"/>
      <c r="G91" s="8"/>
      <c r="H91" s="8"/>
      <c r="I91" s="8"/>
      <c r="J91" s="8"/>
      <c r="K91" s="8"/>
      <c r="L91" s="8"/>
      <c r="M91" s="8"/>
      <c r="N91" s="8"/>
      <c r="O91" s="8"/>
      <c r="P91" s="8"/>
      <c r="Q91" s="8"/>
      <c r="R91" s="8"/>
      <c r="S91" s="8"/>
      <c r="T91" s="8"/>
      <c r="U91" s="8"/>
      <c r="V91" s="8"/>
      <c r="W91" s="8"/>
      <c r="X91" s="8"/>
      <c r="Y91" s="12"/>
    </row>
    <row r="92" spans="1:25" ht="15" customHeight="1" x14ac:dyDescent="0.25">
      <c r="A92" s="7" t="s">
        <v>658</v>
      </c>
      <c r="B92" s="7"/>
      <c r="C92" s="7" t="s">
        <v>659</v>
      </c>
      <c r="D92" s="7"/>
      <c r="E92" s="7"/>
      <c r="F92" s="7"/>
      <c r="G92" s="7"/>
      <c r="H92" s="7"/>
      <c r="I92" s="7"/>
      <c r="J92" s="7"/>
      <c r="K92" s="7"/>
      <c r="L92" s="7"/>
      <c r="M92" s="7"/>
      <c r="N92" s="7"/>
      <c r="O92" s="7"/>
      <c r="P92" s="7"/>
      <c r="Q92" s="7"/>
      <c r="R92" s="7"/>
      <c r="S92" s="7"/>
      <c r="T92" s="7"/>
      <c r="U92" s="7"/>
      <c r="V92" s="7"/>
      <c r="W92" s="7"/>
      <c r="X92" s="7"/>
      <c r="Y92" s="11"/>
    </row>
    <row r="93" spans="1:25" ht="15" customHeight="1" x14ac:dyDescent="0.25">
      <c r="A93" s="8" t="s">
        <v>660</v>
      </c>
      <c r="B93" s="8"/>
      <c r="C93" s="8" t="s">
        <v>661</v>
      </c>
      <c r="D93" s="8"/>
      <c r="E93" s="8"/>
      <c r="F93" s="8"/>
      <c r="G93" s="8"/>
      <c r="H93" s="8"/>
      <c r="I93" s="8"/>
      <c r="J93" s="8"/>
      <c r="K93" s="8"/>
      <c r="L93" s="8"/>
      <c r="M93" s="8"/>
      <c r="N93" s="8"/>
      <c r="O93" s="8"/>
      <c r="P93" s="8"/>
      <c r="Q93" s="8"/>
      <c r="R93" s="8"/>
      <c r="S93" s="8"/>
      <c r="T93" s="8"/>
      <c r="U93" s="8"/>
      <c r="V93" s="8"/>
      <c r="W93" s="8"/>
      <c r="X93" s="8"/>
      <c r="Y93" s="12"/>
    </row>
    <row r="94" spans="1:25" ht="15" customHeight="1" x14ac:dyDescent="0.25">
      <c r="A94" s="7" t="s">
        <v>662</v>
      </c>
      <c r="B94" s="7"/>
      <c r="C94" s="7" t="s">
        <v>663</v>
      </c>
      <c r="D94" s="7"/>
      <c r="E94" s="7"/>
      <c r="F94" s="7"/>
      <c r="G94" s="7"/>
      <c r="H94" s="7"/>
      <c r="I94" s="7"/>
      <c r="J94" s="7"/>
      <c r="K94" s="7"/>
      <c r="L94" s="7"/>
      <c r="M94" s="7"/>
      <c r="N94" s="7"/>
      <c r="O94" s="7"/>
      <c r="P94" s="7"/>
      <c r="Q94" s="7"/>
      <c r="R94" s="7"/>
      <c r="S94" s="7"/>
      <c r="T94" s="7"/>
      <c r="U94" s="7"/>
      <c r="V94" s="7"/>
      <c r="W94" s="7"/>
      <c r="X94" s="7"/>
      <c r="Y94" s="11"/>
    </row>
    <row r="95" spans="1:25" ht="15" customHeight="1" x14ac:dyDescent="0.25">
      <c r="A95" s="8" t="s">
        <v>664</v>
      </c>
      <c r="B95" s="8"/>
      <c r="C95" s="8" t="s">
        <v>665</v>
      </c>
      <c r="D95" s="8"/>
      <c r="E95" s="8"/>
      <c r="F95" s="8"/>
      <c r="G95" s="8"/>
      <c r="H95" s="8"/>
      <c r="I95" s="8"/>
      <c r="J95" s="8"/>
      <c r="K95" s="8"/>
      <c r="L95" s="8"/>
      <c r="M95" s="8"/>
      <c r="N95" s="8"/>
      <c r="O95" s="8"/>
      <c r="P95" s="8"/>
      <c r="Q95" s="8"/>
      <c r="R95" s="8"/>
      <c r="S95" s="8"/>
      <c r="T95" s="8"/>
      <c r="U95" s="8"/>
      <c r="V95" s="8"/>
      <c r="W95" s="8"/>
      <c r="X95" s="8"/>
      <c r="Y95" s="12"/>
    </row>
    <row r="96" spans="1:25" ht="15" customHeight="1" x14ac:dyDescent="0.25">
      <c r="A96" s="7" t="s">
        <v>666</v>
      </c>
      <c r="B96" s="7"/>
      <c r="C96" s="7" t="s">
        <v>667</v>
      </c>
      <c r="D96" s="7"/>
      <c r="E96" s="7"/>
      <c r="F96" s="7"/>
      <c r="G96" s="7"/>
      <c r="H96" s="7"/>
      <c r="I96" s="7"/>
      <c r="J96" s="7"/>
      <c r="K96" s="7"/>
      <c r="L96" s="7"/>
      <c r="M96" s="7"/>
      <c r="N96" s="7"/>
      <c r="O96" s="7"/>
      <c r="P96" s="7"/>
      <c r="Q96" s="7"/>
      <c r="R96" s="7"/>
      <c r="S96" s="7"/>
      <c r="T96" s="7"/>
      <c r="U96" s="7"/>
      <c r="V96" s="7"/>
      <c r="W96" s="7"/>
      <c r="X96" s="7"/>
      <c r="Y96" s="11"/>
    </row>
    <row r="97" spans="1:25" ht="15" customHeight="1" x14ac:dyDescent="0.25">
      <c r="A97" s="8" t="s">
        <v>668</v>
      </c>
      <c r="B97" s="8"/>
      <c r="C97" s="8" t="s">
        <v>669</v>
      </c>
      <c r="D97" s="8"/>
      <c r="E97" s="8" t="s">
        <v>670</v>
      </c>
      <c r="F97" s="8"/>
      <c r="G97" s="8"/>
      <c r="H97" s="8"/>
      <c r="I97" s="8"/>
      <c r="J97" s="8"/>
      <c r="K97" s="8"/>
      <c r="L97" s="8"/>
      <c r="M97" s="8"/>
      <c r="N97" s="8"/>
      <c r="O97" s="8"/>
      <c r="P97" s="8"/>
      <c r="Q97" s="8"/>
      <c r="R97" s="8"/>
      <c r="S97" s="8"/>
      <c r="T97" s="8"/>
      <c r="U97" s="8"/>
      <c r="V97" s="8"/>
      <c r="W97" s="8"/>
      <c r="X97" s="8"/>
      <c r="Y97" s="12"/>
    </row>
    <row r="98" spans="1:25" ht="15" customHeight="1" x14ac:dyDescent="0.25">
      <c r="A98" s="7" t="s">
        <v>668</v>
      </c>
      <c r="B98" s="7" t="s">
        <v>671</v>
      </c>
      <c r="C98" s="7" t="s">
        <v>672</v>
      </c>
      <c r="D98" s="7" t="s">
        <v>34</v>
      </c>
      <c r="E98" s="7" t="s">
        <v>673</v>
      </c>
      <c r="F98" s="7" t="s">
        <v>674</v>
      </c>
      <c r="G98" s="7" t="s">
        <v>675</v>
      </c>
      <c r="H98" s="7" t="s">
        <v>676</v>
      </c>
      <c r="I98" s="7" t="s">
        <v>677</v>
      </c>
      <c r="J98" s="7"/>
      <c r="K98" s="7" t="s">
        <v>678</v>
      </c>
      <c r="L98" s="7" t="s">
        <v>117</v>
      </c>
      <c r="M98" s="7" t="s">
        <v>1102</v>
      </c>
      <c r="N98" s="7"/>
      <c r="O98" s="7" t="s">
        <v>41</v>
      </c>
      <c r="P98" s="7" t="s">
        <v>41</v>
      </c>
      <c r="Q98" s="7" t="s">
        <v>41</v>
      </c>
      <c r="R98" s="7" t="s">
        <v>1612</v>
      </c>
      <c r="S98" s="7"/>
      <c r="T98" s="7"/>
      <c r="U98" s="7"/>
      <c r="V98" s="7" t="s">
        <v>41</v>
      </c>
      <c r="W98" s="7" t="s">
        <v>41</v>
      </c>
      <c r="X98" s="7" t="s">
        <v>679</v>
      </c>
      <c r="Y98" s="11" t="s">
        <v>680</v>
      </c>
    </row>
    <row r="99" spans="1:25" ht="15" customHeight="1" x14ac:dyDescent="0.25">
      <c r="A99" s="8" t="s">
        <v>668</v>
      </c>
      <c r="B99" s="8" t="s">
        <v>681</v>
      </c>
      <c r="C99" s="8" t="s">
        <v>682</v>
      </c>
      <c r="D99" s="8" t="s">
        <v>34</v>
      </c>
      <c r="E99" s="8" t="s">
        <v>683</v>
      </c>
      <c r="F99" s="8" t="s">
        <v>684</v>
      </c>
      <c r="G99" s="8" t="s">
        <v>675</v>
      </c>
      <c r="H99" s="8" t="s">
        <v>685</v>
      </c>
      <c r="I99" s="8" t="s">
        <v>686</v>
      </c>
      <c r="J99" s="8"/>
      <c r="K99" s="8" t="s">
        <v>678</v>
      </c>
      <c r="L99" s="8" t="s">
        <v>117</v>
      </c>
      <c r="M99" s="8" t="s">
        <v>1102</v>
      </c>
      <c r="N99" s="8"/>
      <c r="O99" s="8" t="s">
        <v>41</v>
      </c>
      <c r="P99" s="8" t="s">
        <v>41</v>
      </c>
      <c r="Q99" s="8" t="s">
        <v>41</v>
      </c>
      <c r="R99" s="8" t="s">
        <v>1612</v>
      </c>
      <c r="S99" s="8"/>
      <c r="T99" s="8"/>
      <c r="U99" s="8"/>
      <c r="V99" s="8" t="s">
        <v>41</v>
      </c>
      <c r="W99" s="8" t="s">
        <v>41</v>
      </c>
      <c r="X99" s="8" t="s">
        <v>679</v>
      </c>
      <c r="Y99" s="12" t="s">
        <v>680</v>
      </c>
    </row>
    <row r="100" spans="1:25" ht="15" customHeight="1" x14ac:dyDescent="0.25">
      <c r="A100" s="7" t="s">
        <v>668</v>
      </c>
      <c r="B100" s="7" t="s">
        <v>687</v>
      </c>
      <c r="C100" s="7" t="s">
        <v>688</v>
      </c>
      <c r="D100" s="7" t="s">
        <v>34</v>
      </c>
      <c r="E100" s="7" t="s">
        <v>689</v>
      </c>
      <c r="F100" s="7" t="s">
        <v>690</v>
      </c>
      <c r="G100" s="7" t="s">
        <v>691</v>
      </c>
      <c r="H100" s="7" t="s">
        <v>692</v>
      </c>
      <c r="I100" s="7" t="s">
        <v>693</v>
      </c>
      <c r="J100" s="7"/>
      <c r="K100" s="7" t="s">
        <v>678</v>
      </c>
      <c r="L100" s="7" t="s">
        <v>117</v>
      </c>
      <c r="M100" s="7" t="s">
        <v>1102</v>
      </c>
      <c r="N100" s="7"/>
      <c r="O100" s="7" t="s">
        <v>41</v>
      </c>
      <c r="P100" s="7" t="s">
        <v>41</v>
      </c>
      <c r="Q100" s="7" t="s">
        <v>41</v>
      </c>
      <c r="R100" s="7" t="s">
        <v>1612</v>
      </c>
      <c r="S100" s="7"/>
      <c r="T100" s="7"/>
      <c r="U100" s="7"/>
      <c r="V100" s="7" t="s">
        <v>41</v>
      </c>
      <c r="W100" s="7" t="s">
        <v>41</v>
      </c>
      <c r="X100" s="7" t="s">
        <v>694</v>
      </c>
      <c r="Y100" s="11" t="s">
        <v>695</v>
      </c>
    </row>
    <row r="101" spans="1:25" ht="15" customHeight="1" x14ac:dyDescent="0.25">
      <c r="A101" s="8" t="s">
        <v>668</v>
      </c>
      <c r="B101" s="8" t="s">
        <v>696</v>
      </c>
      <c r="C101" s="8" t="s">
        <v>697</v>
      </c>
      <c r="D101" s="8" t="s">
        <v>34</v>
      </c>
      <c r="E101" s="8" t="s">
        <v>698</v>
      </c>
      <c r="F101" s="8" t="s">
        <v>690</v>
      </c>
      <c r="G101" s="8" t="s">
        <v>691</v>
      </c>
      <c r="H101" s="8" t="s">
        <v>699</v>
      </c>
      <c r="I101" s="8" t="s">
        <v>700</v>
      </c>
      <c r="J101" s="8"/>
      <c r="K101" s="8" t="s">
        <v>678</v>
      </c>
      <c r="L101" s="8" t="s">
        <v>117</v>
      </c>
      <c r="M101" s="8" t="s">
        <v>1102</v>
      </c>
      <c r="N101" s="8"/>
      <c r="O101" s="8" t="s">
        <v>41</v>
      </c>
      <c r="P101" s="8" t="s">
        <v>41</v>
      </c>
      <c r="Q101" s="8" t="s">
        <v>41</v>
      </c>
      <c r="R101" s="8" t="s">
        <v>1612</v>
      </c>
      <c r="S101" s="8"/>
      <c r="T101" s="8"/>
      <c r="U101" s="8"/>
      <c r="V101" s="8" t="s">
        <v>41</v>
      </c>
      <c r="W101" s="8" t="s">
        <v>41</v>
      </c>
      <c r="X101" s="8" t="s">
        <v>701</v>
      </c>
      <c r="Y101" s="12" t="s">
        <v>695</v>
      </c>
    </row>
    <row r="102" spans="1:25" ht="15" customHeight="1" x14ac:dyDescent="0.25">
      <c r="A102" s="7" t="s">
        <v>668</v>
      </c>
      <c r="B102" s="7" t="s">
        <v>702</v>
      </c>
      <c r="C102" s="7" t="s">
        <v>703</v>
      </c>
      <c r="D102" s="7" t="s">
        <v>34</v>
      </c>
      <c r="E102" s="7" t="s">
        <v>704</v>
      </c>
      <c r="F102" s="7" t="s">
        <v>705</v>
      </c>
      <c r="G102" s="7" t="s">
        <v>706</v>
      </c>
      <c r="H102" s="7" t="s">
        <v>707</v>
      </c>
      <c r="I102" s="7" t="s">
        <v>708</v>
      </c>
      <c r="J102" s="7"/>
      <c r="K102" s="7" t="s">
        <v>709</v>
      </c>
      <c r="L102" s="7" t="s">
        <v>1641</v>
      </c>
      <c r="M102" s="7"/>
      <c r="N102" s="7"/>
      <c r="O102" s="7" t="s">
        <v>41</v>
      </c>
      <c r="P102" s="7" t="s">
        <v>41</v>
      </c>
      <c r="Q102" s="7" t="s">
        <v>41</v>
      </c>
      <c r="R102" s="7" t="s">
        <v>1642</v>
      </c>
      <c r="S102" s="7"/>
      <c r="T102" s="7"/>
      <c r="U102" s="7" t="s">
        <v>41</v>
      </c>
      <c r="V102" s="7" t="s">
        <v>41</v>
      </c>
      <c r="W102" s="7" t="s">
        <v>41</v>
      </c>
      <c r="X102" s="7" t="s">
        <v>710</v>
      </c>
      <c r="Y102" s="11" t="s">
        <v>711</v>
      </c>
    </row>
    <row r="103" spans="1:25" ht="15" customHeight="1" x14ac:dyDescent="0.25">
      <c r="A103" s="8" t="s">
        <v>668</v>
      </c>
      <c r="B103" s="8" t="s">
        <v>712</v>
      </c>
      <c r="C103" s="8" t="s">
        <v>713</v>
      </c>
      <c r="D103" s="8" t="s">
        <v>34</v>
      </c>
      <c r="E103" s="8" t="s">
        <v>714</v>
      </c>
      <c r="F103" s="8" t="s">
        <v>715</v>
      </c>
      <c r="G103" s="8" t="s">
        <v>716</v>
      </c>
      <c r="H103" s="8" t="s">
        <v>717</v>
      </c>
      <c r="I103" s="8" t="s">
        <v>718</v>
      </c>
      <c r="J103" s="8" t="s">
        <v>111</v>
      </c>
      <c r="K103" s="8" t="s">
        <v>101</v>
      </c>
      <c r="L103" s="8" t="s">
        <v>1613</v>
      </c>
      <c r="M103" s="8"/>
      <c r="N103" s="8"/>
      <c r="O103" s="8" t="s">
        <v>41</v>
      </c>
      <c r="P103" s="8" t="s">
        <v>41</v>
      </c>
      <c r="Q103" s="8" t="s">
        <v>41</v>
      </c>
      <c r="R103" s="8" t="s">
        <v>1614</v>
      </c>
      <c r="S103" s="8"/>
      <c r="T103" s="8"/>
      <c r="U103" s="8" t="s">
        <v>41</v>
      </c>
      <c r="V103" s="8" t="s">
        <v>41</v>
      </c>
      <c r="W103" s="8" t="s">
        <v>41</v>
      </c>
      <c r="X103" s="8" t="s">
        <v>719</v>
      </c>
      <c r="Y103" s="12" t="s">
        <v>720</v>
      </c>
    </row>
    <row r="104" spans="1:25" ht="15" customHeight="1" x14ac:dyDescent="0.25">
      <c r="A104" s="7" t="s">
        <v>668</v>
      </c>
      <c r="B104" s="7" t="s">
        <v>721</v>
      </c>
      <c r="C104" s="7" t="s">
        <v>722</v>
      </c>
      <c r="D104" s="7" t="s">
        <v>34</v>
      </c>
      <c r="E104" s="7" t="s">
        <v>723</v>
      </c>
      <c r="F104" s="7" t="s">
        <v>724</v>
      </c>
      <c r="G104" s="7" t="s">
        <v>725</v>
      </c>
      <c r="H104" s="7" t="s">
        <v>726</v>
      </c>
      <c r="I104" s="7" t="s">
        <v>727</v>
      </c>
      <c r="J104" s="7"/>
      <c r="K104" s="7" t="s">
        <v>728</v>
      </c>
      <c r="L104" s="7" t="s">
        <v>1643</v>
      </c>
      <c r="M104" s="7"/>
      <c r="N104" s="7"/>
      <c r="O104" s="7" t="s">
        <v>41</v>
      </c>
      <c r="P104" s="7" t="s">
        <v>41</v>
      </c>
      <c r="Q104" s="7" t="s">
        <v>41</v>
      </c>
      <c r="R104" s="7" t="s">
        <v>1644</v>
      </c>
      <c r="S104" s="7"/>
      <c r="T104" s="7"/>
      <c r="U104" s="7"/>
      <c r="V104" s="7" t="s">
        <v>41</v>
      </c>
      <c r="W104" s="7" t="s">
        <v>41</v>
      </c>
      <c r="X104" s="7" t="s">
        <v>729</v>
      </c>
      <c r="Y104" s="11" t="s">
        <v>730</v>
      </c>
    </row>
    <row r="105" spans="1:25" ht="15" customHeight="1" x14ac:dyDescent="0.25">
      <c r="A105" s="8" t="s">
        <v>731</v>
      </c>
      <c r="B105" s="8"/>
      <c r="C105" s="8" t="s">
        <v>732</v>
      </c>
      <c r="D105" s="8"/>
      <c r="E105" s="8"/>
      <c r="F105" s="8"/>
      <c r="G105" s="8"/>
      <c r="H105" s="8"/>
      <c r="I105" s="8"/>
      <c r="J105" s="8"/>
      <c r="K105" s="8"/>
      <c r="L105" s="8"/>
      <c r="M105" s="8"/>
      <c r="N105" s="8"/>
      <c r="O105" s="8"/>
      <c r="P105" s="8"/>
      <c r="Q105" s="8"/>
      <c r="R105" s="8"/>
      <c r="S105" s="8"/>
      <c r="T105" s="8"/>
      <c r="U105" s="8"/>
      <c r="V105" s="8"/>
      <c r="W105" s="8"/>
      <c r="X105" s="8"/>
      <c r="Y105" s="12"/>
    </row>
    <row r="106" spans="1:25" ht="15" customHeight="1" x14ac:dyDescent="0.25">
      <c r="A106" s="7" t="s">
        <v>733</v>
      </c>
      <c r="B106" s="7"/>
      <c r="C106" s="7" t="s">
        <v>734</v>
      </c>
      <c r="D106" s="7"/>
      <c r="E106" s="7" t="s">
        <v>735</v>
      </c>
      <c r="F106" s="7"/>
      <c r="G106" s="7"/>
      <c r="H106" s="7"/>
      <c r="I106" s="7"/>
      <c r="J106" s="7"/>
      <c r="K106" s="7"/>
      <c r="L106" s="7"/>
      <c r="M106" s="7"/>
      <c r="N106" s="7"/>
      <c r="O106" s="7"/>
      <c r="P106" s="7"/>
      <c r="Q106" s="7"/>
      <c r="R106" s="7"/>
      <c r="S106" s="7"/>
      <c r="T106" s="7"/>
      <c r="U106" s="7"/>
      <c r="V106" s="7"/>
      <c r="W106" s="7"/>
      <c r="X106" s="7"/>
      <c r="Y106" s="11"/>
    </row>
    <row r="107" spans="1:25" ht="15" customHeight="1" x14ac:dyDescent="0.25">
      <c r="A107" s="8" t="s">
        <v>736</v>
      </c>
      <c r="B107" s="8"/>
      <c r="C107" s="8" t="s">
        <v>737</v>
      </c>
      <c r="D107" s="8"/>
      <c r="E107" s="8" t="s">
        <v>738</v>
      </c>
      <c r="F107" s="8"/>
      <c r="G107" s="8"/>
      <c r="H107" s="8"/>
      <c r="I107" s="8"/>
      <c r="J107" s="8"/>
      <c r="K107" s="8"/>
      <c r="L107" s="8"/>
      <c r="M107" s="8"/>
      <c r="N107" s="8"/>
      <c r="O107" s="8"/>
      <c r="P107" s="8"/>
      <c r="Q107" s="8"/>
      <c r="R107" s="8"/>
      <c r="S107" s="8"/>
      <c r="T107" s="8"/>
      <c r="U107" s="8"/>
      <c r="V107" s="8"/>
      <c r="W107" s="8"/>
      <c r="X107" s="8"/>
      <c r="Y107" s="12"/>
    </row>
    <row r="108" spans="1:25" ht="15" customHeight="1" x14ac:dyDescent="0.25">
      <c r="A108" s="7" t="s">
        <v>736</v>
      </c>
      <c r="B108" s="7" t="s">
        <v>739</v>
      </c>
      <c r="C108" s="7" t="s">
        <v>740</v>
      </c>
      <c r="D108" s="7" t="s">
        <v>34</v>
      </c>
      <c r="E108" s="7" t="s">
        <v>741</v>
      </c>
      <c r="F108" s="7" t="s">
        <v>742</v>
      </c>
      <c r="G108" s="7" t="s">
        <v>743</v>
      </c>
      <c r="H108" s="7" t="s">
        <v>744</v>
      </c>
      <c r="I108" s="7" t="s">
        <v>745</v>
      </c>
      <c r="J108" s="7"/>
      <c r="K108" s="7" t="s">
        <v>746</v>
      </c>
      <c r="L108" s="7" t="s">
        <v>1641</v>
      </c>
      <c r="M108" s="7"/>
      <c r="N108" s="7"/>
      <c r="O108" s="7" t="s">
        <v>41</v>
      </c>
      <c r="P108" s="7" t="s">
        <v>41</v>
      </c>
      <c r="Q108" s="7" t="s">
        <v>41</v>
      </c>
      <c r="R108" s="7" t="s">
        <v>1645</v>
      </c>
      <c r="S108" s="7"/>
      <c r="T108" s="7"/>
      <c r="U108" s="7" t="s">
        <v>41</v>
      </c>
      <c r="V108" s="7" t="s">
        <v>41</v>
      </c>
      <c r="W108" s="7" t="s">
        <v>41</v>
      </c>
      <c r="X108" s="7" t="s">
        <v>747</v>
      </c>
      <c r="Y108" s="11" t="s">
        <v>748</v>
      </c>
    </row>
    <row r="109" spans="1:25" ht="15" customHeight="1" x14ac:dyDescent="0.25">
      <c r="A109" s="8" t="s">
        <v>736</v>
      </c>
      <c r="B109" s="8" t="s">
        <v>749</v>
      </c>
      <c r="C109" s="8" t="s">
        <v>750</v>
      </c>
      <c r="D109" s="8" t="s">
        <v>34</v>
      </c>
      <c r="E109" s="8" t="s">
        <v>751</v>
      </c>
      <c r="F109" s="8" t="s">
        <v>752</v>
      </c>
      <c r="G109" s="8" t="s">
        <v>753</v>
      </c>
      <c r="H109" s="8" t="s">
        <v>754</v>
      </c>
      <c r="I109" s="8" t="s">
        <v>755</v>
      </c>
      <c r="J109" s="8"/>
      <c r="K109" s="8" t="s">
        <v>756</v>
      </c>
      <c r="L109" s="8" t="s">
        <v>1646</v>
      </c>
      <c r="M109" s="8"/>
      <c r="N109" s="8"/>
      <c r="O109" s="8"/>
      <c r="P109" s="8" t="s">
        <v>41</v>
      </c>
      <c r="Q109" s="8" t="s">
        <v>41</v>
      </c>
      <c r="R109" s="8" t="s">
        <v>768</v>
      </c>
      <c r="S109" s="8"/>
      <c r="T109" s="8"/>
      <c r="U109" s="8"/>
      <c r="V109" s="8" t="s">
        <v>41</v>
      </c>
      <c r="W109" s="8" t="s">
        <v>41</v>
      </c>
      <c r="X109" s="8" t="s">
        <v>757</v>
      </c>
      <c r="Y109" s="12" t="s">
        <v>758</v>
      </c>
    </row>
    <row r="110" spans="1:25" ht="15" customHeight="1" x14ac:dyDescent="0.25">
      <c r="A110" s="7" t="s">
        <v>736</v>
      </c>
      <c r="B110" s="7" t="s">
        <v>759</v>
      </c>
      <c r="C110" s="7" t="s">
        <v>760</v>
      </c>
      <c r="D110" s="7" t="s">
        <v>34</v>
      </c>
      <c r="E110" s="7" t="s">
        <v>761</v>
      </c>
      <c r="F110" s="7" t="s">
        <v>762</v>
      </c>
      <c r="G110" s="7" t="s">
        <v>763</v>
      </c>
      <c r="H110" s="7" t="s">
        <v>764</v>
      </c>
      <c r="I110" s="7" t="s">
        <v>765</v>
      </c>
      <c r="J110" s="7"/>
      <c r="K110" s="7" t="s">
        <v>570</v>
      </c>
      <c r="L110" s="7" t="s">
        <v>1633</v>
      </c>
      <c r="M110" s="7"/>
      <c r="N110" s="7"/>
      <c r="O110" s="7"/>
      <c r="P110" s="7" t="s">
        <v>41</v>
      </c>
      <c r="Q110" s="7" t="s">
        <v>41</v>
      </c>
      <c r="R110" s="7" t="s">
        <v>1634</v>
      </c>
      <c r="S110" s="7"/>
      <c r="T110" s="7"/>
      <c r="U110" s="7"/>
      <c r="V110" s="7" t="s">
        <v>41</v>
      </c>
      <c r="W110" s="7" t="s">
        <v>41</v>
      </c>
      <c r="X110" s="7" t="s">
        <v>766</v>
      </c>
      <c r="Y110" s="11" t="s">
        <v>767</v>
      </c>
    </row>
    <row r="111" spans="1:25" ht="15" customHeight="1" x14ac:dyDescent="0.25">
      <c r="A111" s="8" t="s">
        <v>768</v>
      </c>
      <c r="B111" s="8"/>
      <c r="C111" s="8" t="s">
        <v>769</v>
      </c>
      <c r="D111" s="8"/>
      <c r="E111" s="8" t="s">
        <v>770</v>
      </c>
      <c r="F111" s="8"/>
      <c r="G111" s="8"/>
      <c r="H111" s="8"/>
      <c r="I111" s="8"/>
      <c r="J111" s="8"/>
      <c r="K111" s="8"/>
      <c r="L111" s="8"/>
      <c r="M111" s="8"/>
      <c r="N111" s="8"/>
      <c r="O111" s="8"/>
      <c r="P111" s="8"/>
      <c r="Q111" s="8"/>
      <c r="R111" s="8"/>
      <c r="S111" s="8"/>
      <c r="T111" s="8"/>
      <c r="U111" s="8"/>
      <c r="V111" s="8"/>
      <c r="W111" s="8"/>
      <c r="X111" s="8"/>
      <c r="Y111" s="12"/>
    </row>
    <row r="112" spans="1:25" ht="15" customHeight="1" x14ac:dyDescent="0.25">
      <c r="A112" s="7" t="s">
        <v>768</v>
      </c>
      <c r="B112" s="7" t="s">
        <v>771</v>
      </c>
      <c r="C112" s="7" t="s">
        <v>772</v>
      </c>
      <c r="D112" s="7" t="s">
        <v>34</v>
      </c>
      <c r="E112" s="7" t="s">
        <v>773</v>
      </c>
      <c r="F112" s="7" t="s">
        <v>774</v>
      </c>
      <c r="G112" s="7" t="s">
        <v>775</v>
      </c>
      <c r="H112" s="7" t="s">
        <v>776</v>
      </c>
      <c r="I112" s="7" t="s">
        <v>777</v>
      </c>
      <c r="J112" s="7"/>
      <c r="K112" s="7" t="s">
        <v>746</v>
      </c>
      <c r="L112" s="7" t="s">
        <v>1641</v>
      </c>
      <c r="M112" s="7"/>
      <c r="N112" s="7"/>
      <c r="O112" s="7" t="s">
        <v>41</v>
      </c>
      <c r="P112" s="7" t="s">
        <v>41</v>
      </c>
      <c r="Q112" s="7" t="s">
        <v>41</v>
      </c>
      <c r="R112" s="7" t="s">
        <v>1645</v>
      </c>
      <c r="S112" s="7"/>
      <c r="T112" s="7"/>
      <c r="U112" s="7" t="s">
        <v>41</v>
      </c>
      <c r="V112" s="7" t="s">
        <v>41</v>
      </c>
      <c r="W112" s="7" t="s">
        <v>41</v>
      </c>
      <c r="X112" s="7" t="s">
        <v>778</v>
      </c>
      <c r="Y112" s="11" t="s">
        <v>779</v>
      </c>
    </row>
    <row r="113" spans="1:25" ht="15" customHeight="1" x14ac:dyDescent="0.25">
      <c r="A113" s="8" t="s">
        <v>768</v>
      </c>
      <c r="B113" s="8" t="s">
        <v>780</v>
      </c>
      <c r="C113" s="8" t="s">
        <v>781</v>
      </c>
      <c r="D113" s="8" t="s">
        <v>34</v>
      </c>
      <c r="E113" s="8" t="s">
        <v>782</v>
      </c>
      <c r="F113" s="8" t="s">
        <v>783</v>
      </c>
      <c r="G113" s="8" t="s">
        <v>784</v>
      </c>
      <c r="H113" s="8" t="s">
        <v>785</v>
      </c>
      <c r="I113" s="8" t="s">
        <v>786</v>
      </c>
      <c r="J113" s="8"/>
      <c r="K113" s="8" t="s">
        <v>746</v>
      </c>
      <c r="L113" s="8" t="s">
        <v>1641</v>
      </c>
      <c r="M113" s="8"/>
      <c r="N113" s="8"/>
      <c r="O113" s="8" t="s">
        <v>41</v>
      </c>
      <c r="P113" s="8" t="s">
        <v>41</v>
      </c>
      <c r="Q113" s="8" t="s">
        <v>41</v>
      </c>
      <c r="R113" s="8" t="s">
        <v>1645</v>
      </c>
      <c r="S113" s="8"/>
      <c r="T113" s="8"/>
      <c r="U113" s="8" t="s">
        <v>41</v>
      </c>
      <c r="V113" s="8" t="s">
        <v>41</v>
      </c>
      <c r="W113" s="8" t="s">
        <v>41</v>
      </c>
      <c r="X113" s="8" t="s">
        <v>787</v>
      </c>
      <c r="Y113" s="12" t="s">
        <v>788</v>
      </c>
    </row>
    <row r="114" spans="1:25" ht="15" customHeight="1" x14ac:dyDescent="0.25">
      <c r="A114" s="7" t="s">
        <v>789</v>
      </c>
      <c r="B114" s="7"/>
      <c r="C114" s="7" t="s">
        <v>790</v>
      </c>
      <c r="D114" s="7"/>
      <c r="E114" s="7" t="s">
        <v>791</v>
      </c>
      <c r="F114" s="7"/>
      <c r="G114" s="7"/>
      <c r="H114" s="7"/>
      <c r="I114" s="7"/>
      <c r="J114" s="7"/>
      <c r="K114" s="7"/>
      <c r="L114" s="7"/>
      <c r="M114" s="7"/>
      <c r="N114" s="7"/>
      <c r="O114" s="7"/>
      <c r="P114" s="7"/>
      <c r="Q114" s="7"/>
      <c r="R114" s="7"/>
      <c r="S114" s="7"/>
      <c r="T114" s="7"/>
      <c r="U114" s="7"/>
      <c r="V114" s="7"/>
      <c r="W114" s="7"/>
      <c r="X114" s="7"/>
      <c r="Y114" s="11"/>
    </row>
    <row r="115" spans="1:25" ht="15" customHeight="1" x14ac:dyDescent="0.25">
      <c r="A115" s="8" t="s">
        <v>789</v>
      </c>
      <c r="B115" s="8" t="s">
        <v>792</v>
      </c>
      <c r="C115" s="8" t="s">
        <v>793</v>
      </c>
      <c r="D115" s="8" t="s">
        <v>34</v>
      </c>
      <c r="E115" s="8" t="s">
        <v>794</v>
      </c>
      <c r="F115" s="8" t="s">
        <v>795</v>
      </c>
      <c r="G115" s="8"/>
      <c r="H115" s="8" t="s">
        <v>796</v>
      </c>
      <c r="I115" s="8" t="s">
        <v>797</v>
      </c>
      <c r="J115" s="8"/>
      <c r="K115" s="8" t="s">
        <v>570</v>
      </c>
      <c r="L115" s="8" t="s">
        <v>1633</v>
      </c>
      <c r="M115" s="8"/>
      <c r="N115" s="8"/>
      <c r="O115" s="8"/>
      <c r="P115" s="8" t="s">
        <v>41</v>
      </c>
      <c r="Q115" s="8" t="s">
        <v>41</v>
      </c>
      <c r="R115" s="8" t="s">
        <v>1634</v>
      </c>
      <c r="S115" s="8"/>
      <c r="T115" s="8"/>
      <c r="U115" s="8"/>
      <c r="V115" s="8" t="s">
        <v>41</v>
      </c>
      <c r="W115" s="8" t="s">
        <v>41</v>
      </c>
      <c r="X115" s="8" t="s">
        <v>798</v>
      </c>
      <c r="Y115" s="12" t="s">
        <v>799</v>
      </c>
    </row>
    <row r="116" spans="1:25" ht="15" customHeight="1" x14ac:dyDescent="0.25">
      <c r="A116" s="7" t="s">
        <v>789</v>
      </c>
      <c r="B116" s="7" t="s">
        <v>800</v>
      </c>
      <c r="C116" s="7" t="s">
        <v>801</v>
      </c>
      <c r="D116" s="7" t="s">
        <v>34</v>
      </c>
      <c r="E116" s="7" t="s">
        <v>802</v>
      </c>
      <c r="F116" s="7" t="s">
        <v>803</v>
      </c>
      <c r="G116" s="7" t="s">
        <v>804</v>
      </c>
      <c r="H116" s="7" t="s">
        <v>805</v>
      </c>
      <c r="I116" s="7" t="s">
        <v>806</v>
      </c>
      <c r="J116" s="7"/>
      <c r="K116" s="7" t="s">
        <v>570</v>
      </c>
      <c r="L116" s="7" t="s">
        <v>1633</v>
      </c>
      <c r="M116" s="7"/>
      <c r="N116" s="7"/>
      <c r="O116" s="7"/>
      <c r="P116" s="7" t="s">
        <v>41</v>
      </c>
      <c r="Q116" s="7" t="s">
        <v>41</v>
      </c>
      <c r="R116" s="7" t="s">
        <v>1634</v>
      </c>
      <c r="S116" s="7"/>
      <c r="T116" s="7"/>
      <c r="U116" s="7"/>
      <c r="V116" s="7" t="s">
        <v>41</v>
      </c>
      <c r="W116" s="7" t="s">
        <v>41</v>
      </c>
      <c r="X116" s="7" t="s">
        <v>807</v>
      </c>
      <c r="Y116" s="11" t="s">
        <v>808</v>
      </c>
    </row>
    <row r="117" spans="1:25" ht="15" customHeight="1" x14ac:dyDescent="0.25">
      <c r="A117" s="8" t="s">
        <v>789</v>
      </c>
      <c r="B117" s="8" t="s">
        <v>809</v>
      </c>
      <c r="C117" s="8" t="s">
        <v>810</v>
      </c>
      <c r="D117" s="8" t="s">
        <v>34</v>
      </c>
      <c r="E117" s="8" t="s">
        <v>811</v>
      </c>
      <c r="F117" s="8" t="s">
        <v>812</v>
      </c>
      <c r="G117" s="8" t="s">
        <v>813</v>
      </c>
      <c r="H117" s="8" t="s">
        <v>814</v>
      </c>
      <c r="I117" s="8" t="s">
        <v>815</v>
      </c>
      <c r="J117" s="8"/>
      <c r="K117" s="8" t="s">
        <v>816</v>
      </c>
      <c r="L117" s="8" t="s">
        <v>1613</v>
      </c>
      <c r="M117" s="8"/>
      <c r="N117" s="8"/>
      <c r="O117" s="8" t="s">
        <v>41</v>
      </c>
      <c r="P117" s="8" t="s">
        <v>41</v>
      </c>
      <c r="Q117" s="8" t="s">
        <v>41</v>
      </c>
      <c r="R117" s="8" t="s">
        <v>1631</v>
      </c>
      <c r="S117" s="8"/>
      <c r="T117" s="8"/>
      <c r="U117" s="8"/>
      <c r="V117" s="8" t="s">
        <v>41</v>
      </c>
      <c r="W117" s="8" t="s">
        <v>41</v>
      </c>
      <c r="X117" s="8" t="s">
        <v>817</v>
      </c>
      <c r="Y117" s="12" t="s">
        <v>818</v>
      </c>
    </row>
    <row r="118" spans="1:25" ht="15" customHeight="1" x14ac:dyDescent="0.25">
      <c r="A118" s="7" t="s">
        <v>789</v>
      </c>
      <c r="B118" s="7" t="s">
        <v>819</v>
      </c>
      <c r="C118" s="7" t="s">
        <v>820</v>
      </c>
      <c r="D118" s="7" t="s">
        <v>34</v>
      </c>
      <c r="E118" s="7" t="s">
        <v>821</v>
      </c>
      <c r="F118" s="7" t="s">
        <v>822</v>
      </c>
      <c r="G118" s="7" t="s">
        <v>823</v>
      </c>
      <c r="H118" s="7" t="s">
        <v>824</v>
      </c>
      <c r="I118" s="7" t="s">
        <v>825</v>
      </c>
      <c r="J118" s="7"/>
      <c r="K118" s="7" t="s">
        <v>101</v>
      </c>
      <c r="L118" s="7" t="s">
        <v>1613</v>
      </c>
      <c r="M118" s="7"/>
      <c r="N118" s="7"/>
      <c r="O118" s="7" t="s">
        <v>41</v>
      </c>
      <c r="P118" s="7" t="s">
        <v>41</v>
      </c>
      <c r="Q118" s="7" t="s">
        <v>41</v>
      </c>
      <c r="R118" s="7" t="s">
        <v>1614</v>
      </c>
      <c r="S118" s="7"/>
      <c r="T118" s="7"/>
      <c r="U118" s="7" t="s">
        <v>41</v>
      </c>
      <c r="V118" s="7" t="s">
        <v>41</v>
      </c>
      <c r="W118" s="7" t="s">
        <v>41</v>
      </c>
      <c r="X118" s="7" t="s">
        <v>826</v>
      </c>
      <c r="Y118" s="11" t="s">
        <v>827</v>
      </c>
    </row>
    <row r="119" spans="1:25" ht="15" customHeight="1" x14ac:dyDescent="0.25">
      <c r="A119" s="8" t="s">
        <v>789</v>
      </c>
      <c r="B119" s="8" t="s">
        <v>828</v>
      </c>
      <c r="C119" s="8" t="s">
        <v>829</v>
      </c>
      <c r="D119" s="8" t="s">
        <v>55</v>
      </c>
      <c r="E119" s="8" t="s">
        <v>830</v>
      </c>
      <c r="F119" s="8" t="s">
        <v>831</v>
      </c>
      <c r="G119" s="8" t="s">
        <v>832</v>
      </c>
      <c r="H119" s="8" t="s">
        <v>833</v>
      </c>
      <c r="I119" s="8" t="s">
        <v>834</v>
      </c>
      <c r="J119" s="8"/>
      <c r="K119" s="8" t="s">
        <v>835</v>
      </c>
      <c r="L119" s="8" t="s">
        <v>114</v>
      </c>
      <c r="M119" s="8"/>
      <c r="N119" s="8"/>
      <c r="O119" s="8"/>
      <c r="P119" s="8"/>
      <c r="Q119" s="8"/>
      <c r="R119" s="8"/>
      <c r="S119" s="8"/>
      <c r="T119" s="8"/>
      <c r="U119" s="8"/>
      <c r="V119" s="8"/>
      <c r="W119" s="8"/>
      <c r="X119" s="8" t="s">
        <v>836</v>
      </c>
      <c r="Y119" s="12" t="s">
        <v>837</v>
      </c>
    </row>
    <row r="120" spans="1:25" ht="15" customHeight="1" x14ac:dyDescent="0.25">
      <c r="A120" s="7" t="s">
        <v>838</v>
      </c>
      <c r="B120" s="7"/>
      <c r="C120" s="7" t="s">
        <v>839</v>
      </c>
      <c r="D120" s="7"/>
      <c r="E120" s="7"/>
      <c r="F120" s="7"/>
      <c r="G120" s="7"/>
      <c r="H120" s="7"/>
      <c r="I120" s="7"/>
      <c r="J120" s="7"/>
      <c r="K120" s="7"/>
      <c r="L120" s="7"/>
      <c r="M120" s="7"/>
      <c r="N120" s="7"/>
      <c r="O120" s="7"/>
      <c r="P120" s="7"/>
      <c r="Q120" s="7"/>
      <c r="R120" s="7"/>
      <c r="S120" s="7"/>
      <c r="T120" s="7"/>
      <c r="U120" s="7"/>
      <c r="V120" s="7"/>
      <c r="W120" s="7"/>
      <c r="X120" s="7"/>
      <c r="Y120" s="11"/>
    </row>
    <row r="121" spans="1:25" ht="15" customHeight="1" x14ac:dyDescent="0.25">
      <c r="A121" s="8" t="s">
        <v>838</v>
      </c>
      <c r="B121" s="8" t="s">
        <v>840</v>
      </c>
      <c r="C121" s="8" t="s">
        <v>841</v>
      </c>
      <c r="D121" s="8" t="s">
        <v>34</v>
      </c>
      <c r="E121" s="8" t="s">
        <v>842</v>
      </c>
      <c r="F121" s="8" t="s">
        <v>843</v>
      </c>
      <c r="G121" s="8" t="s">
        <v>844</v>
      </c>
      <c r="H121" s="8" t="s">
        <v>845</v>
      </c>
      <c r="I121" s="8" t="s">
        <v>846</v>
      </c>
      <c r="J121" s="8"/>
      <c r="K121" s="8" t="s">
        <v>847</v>
      </c>
      <c r="L121" s="8" t="s">
        <v>1626</v>
      </c>
      <c r="M121" s="8"/>
      <c r="N121" s="8"/>
      <c r="O121" s="8" t="s">
        <v>41</v>
      </c>
      <c r="P121" s="8" t="s">
        <v>41</v>
      </c>
      <c r="Q121" s="8" t="s">
        <v>41</v>
      </c>
      <c r="R121" s="8" t="s">
        <v>1647</v>
      </c>
      <c r="S121" s="8"/>
      <c r="T121" s="8"/>
      <c r="U121" s="8"/>
      <c r="V121" s="8" t="s">
        <v>41</v>
      </c>
      <c r="W121" s="8" t="s">
        <v>41</v>
      </c>
      <c r="X121" s="8" t="s">
        <v>848</v>
      </c>
      <c r="Y121" s="12" t="s">
        <v>849</v>
      </c>
    </row>
    <row r="122" spans="1:25" ht="15" customHeight="1" x14ac:dyDescent="0.25">
      <c r="A122" s="7" t="s">
        <v>838</v>
      </c>
      <c r="B122" s="7" t="s">
        <v>850</v>
      </c>
      <c r="C122" s="7" t="s">
        <v>851</v>
      </c>
      <c r="D122" s="7" t="s">
        <v>34</v>
      </c>
      <c r="E122" s="7" t="s">
        <v>852</v>
      </c>
      <c r="F122" s="7" t="s">
        <v>853</v>
      </c>
      <c r="G122" s="7" t="s">
        <v>854</v>
      </c>
      <c r="H122" s="7" t="s">
        <v>855</v>
      </c>
      <c r="I122" s="7" t="s">
        <v>856</v>
      </c>
      <c r="J122" s="7"/>
      <c r="K122" s="7" t="s">
        <v>857</v>
      </c>
      <c r="L122" s="7" t="s">
        <v>1643</v>
      </c>
      <c r="M122" s="7" t="s">
        <v>1102</v>
      </c>
      <c r="N122" s="7"/>
      <c r="O122" s="7" t="s">
        <v>41</v>
      </c>
      <c r="P122" s="7" t="s">
        <v>41</v>
      </c>
      <c r="Q122" s="7" t="s">
        <v>41</v>
      </c>
      <c r="R122" s="7" t="s">
        <v>1612</v>
      </c>
      <c r="S122" s="7"/>
      <c r="T122" s="7"/>
      <c r="U122" s="7"/>
      <c r="V122" s="7" t="s">
        <v>41</v>
      </c>
      <c r="W122" s="7" t="s">
        <v>41</v>
      </c>
      <c r="X122" s="7" t="s">
        <v>858</v>
      </c>
      <c r="Y122" s="11" t="s">
        <v>859</v>
      </c>
    </row>
    <row r="123" spans="1:25" ht="15" customHeight="1" x14ac:dyDescent="0.25">
      <c r="A123" s="8" t="s">
        <v>838</v>
      </c>
      <c r="B123" s="8" t="s">
        <v>860</v>
      </c>
      <c r="C123" s="8" t="s">
        <v>861</v>
      </c>
      <c r="D123" s="8" t="s">
        <v>34</v>
      </c>
      <c r="E123" s="8" t="s">
        <v>862</v>
      </c>
      <c r="F123" s="8" t="s">
        <v>863</v>
      </c>
      <c r="G123" s="8" t="s">
        <v>864</v>
      </c>
      <c r="H123" s="8" t="s">
        <v>865</v>
      </c>
      <c r="I123" s="8" t="s">
        <v>866</v>
      </c>
      <c r="J123" s="8"/>
      <c r="K123" s="8" t="s">
        <v>867</v>
      </c>
      <c r="L123" s="8" t="s">
        <v>1613</v>
      </c>
      <c r="M123" s="8" t="s">
        <v>1102</v>
      </c>
      <c r="N123" s="8"/>
      <c r="O123" s="8" t="s">
        <v>41</v>
      </c>
      <c r="P123" s="8" t="s">
        <v>41</v>
      </c>
      <c r="Q123" s="8" t="s">
        <v>41</v>
      </c>
      <c r="R123" s="8" t="s">
        <v>1614</v>
      </c>
      <c r="S123" s="8" t="s">
        <v>1612</v>
      </c>
      <c r="T123" s="8"/>
      <c r="U123" s="8" t="s">
        <v>41</v>
      </c>
      <c r="V123" s="8" t="s">
        <v>41</v>
      </c>
      <c r="W123" s="8" t="s">
        <v>41</v>
      </c>
      <c r="X123" s="8" t="s">
        <v>868</v>
      </c>
      <c r="Y123" s="12" t="s">
        <v>869</v>
      </c>
    </row>
    <row r="124" spans="1:25" ht="15" customHeight="1" x14ac:dyDescent="0.25">
      <c r="A124" s="7" t="s">
        <v>870</v>
      </c>
      <c r="B124" s="7"/>
      <c r="C124" s="7" t="s">
        <v>871</v>
      </c>
      <c r="D124" s="7"/>
      <c r="E124" s="7"/>
      <c r="F124" s="7"/>
      <c r="G124" s="7"/>
      <c r="H124" s="7"/>
      <c r="I124" s="7"/>
      <c r="J124" s="7"/>
      <c r="K124" s="7"/>
      <c r="L124" s="7"/>
      <c r="M124" s="7"/>
      <c r="N124" s="7"/>
      <c r="O124" s="7"/>
      <c r="P124" s="7"/>
      <c r="Q124" s="7"/>
      <c r="R124" s="7"/>
      <c r="S124" s="7"/>
      <c r="T124" s="7"/>
      <c r="U124" s="7"/>
      <c r="V124" s="7"/>
      <c r="W124" s="7"/>
      <c r="X124" s="7"/>
      <c r="Y124" s="11"/>
    </row>
    <row r="125" spans="1:25" ht="15" customHeight="1" x14ac:dyDescent="0.25">
      <c r="A125" s="8" t="s">
        <v>870</v>
      </c>
      <c r="B125" s="8" t="s">
        <v>872</v>
      </c>
      <c r="C125" s="8" t="s">
        <v>873</v>
      </c>
      <c r="D125" s="8" t="s">
        <v>34</v>
      </c>
      <c r="E125" s="8" t="s">
        <v>874</v>
      </c>
      <c r="F125" s="8" t="s">
        <v>875</v>
      </c>
      <c r="G125" s="8" t="s">
        <v>876</v>
      </c>
      <c r="H125" s="8" t="s">
        <v>877</v>
      </c>
      <c r="I125" s="8" t="s">
        <v>878</v>
      </c>
      <c r="J125" s="8" t="s">
        <v>111</v>
      </c>
      <c r="K125" s="8" t="s">
        <v>101</v>
      </c>
      <c r="L125" s="8" t="s">
        <v>1613</v>
      </c>
      <c r="M125" s="8"/>
      <c r="N125" s="8"/>
      <c r="O125" s="8" t="s">
        <v>41</v>
      </c>
      <c r="P125" s="8" t="s">
        <v>41</v>
      </c>
      <c r="Q125" s="8" t="s">
        <v>41</v>
      </c>
      <c r="R125" s="8" t="s">
        <v>1614</v>
      </c>
      <c r="S125" s="8"/>
      <c r="T125" s="8"/>
      <c r="U125" s="8" t="s">
        <v>41</v>
      </c>
      <c r="V125" s="8" t="s">
        <v>41</v>
      </c>
      <c r="W125" s="8" t="s">
        <v>41</v>
      </c>
      <c r="X125" s="8" t="s">
        <v>879</v>
      </c>
      <c r="Y125" s="12" t="s">
        <v>880</v>
      </c>
    </row>
    <row r="126" spans="1:25" ht="15" customHeight="1" x14ac:dyDescent="0.25">
      <c r="A126" s="7" t="s">
        <v>870</v>
      </c>
      <c r="B126" s="7" t="s">
        <v>881</v>
      </c>
      <c r="C126" s="7" t="s">
        <v>882</v>
      </c>
      <c r="D126" s="7" t="s">
        <v>34</v>
      </c>
      <c r="E126" s="7" t="s">
        <v>883</v>
      </c>
      <c r="F126" s="7" t="s">
        <v>884</v>
      </c>
      <c r="G126" s="7" t="s">
        <v>885</v>
      </c>
      <c r="H126" s="7" t="s">
        <v>886</v>
      </c>
      <c r="I126" s="7" t="s">
        <v>887</v>
      </c>
      <c r="J126" s="7" t="s">
        <v>888</v>
      </c>
      <c r="K126" s="7" t="s">
        <v>889</v>
      </c>
      <c r="L126" s="7" t="s">
        <v>1606</v>
      </c>
      <c r="M126" s="7"/>
      <c r="N126" s="7"/>
      <c r="O126" s="7"/>
      <c r="P126" s="7" t="s">
        <v>41</v>
      </c>
      <c r="Q126" s="7" t="s">
        <v>41</v>
      </c>
      <c r="R126" s="7" t="s">
        <v>1648</v>
      </c>
      <c r="S126" s="7"/>
      <c r="T126" s="7"/>
      <c r="U126" s="7"/>
      <c r="V126" s="7"/>
      <c r="W126" s="7" t="s">
        <v>41</v>
      </c>
      <c r="X126" s="7" t="s">
        <v>890</v>
      </c>
      <c r="Y126" s="11" t="s">
        <v>891</v>
      </c>
    </row>
    <row r="127" spans="1:25" ht="15" customHeight="1" x14ac:dyDescent="0.25">
      <c r="A127" s="8" t="s">
        <v>892</v>
      </c>
      <c r="B127" s="8"/>
      <c r="C127" s="8" t="s">
        <v>893</v>
      </c>
      <c r="D127" s="8"/>
      <c r="E127" s="8"/>
      <c r="F127" s="8"/>
      <c r="G127" s="8"/>
      <c r="H127" s="8"/>
      <c r="I127" s="8"/>
      <c r="J127" s="8"/>
      <c r="K127" s="8"/>
      <c r="L127" s="8"/>
      <c r="M127" s="8"/>
      <c r="N127" s="8"/>
      <c r="O127" s="8"/>
      <c r="P127" s="8"/>
      <c r="Q127" s="8"/>
      <c r="R127" s="8"/>
      <c r="S127" s="8"/>
      <c r="T127" s="8"/>
      <c r="U127" s="8"/>
      <c r="V127" s="8"/>
      <c r="W127" s="8"/>
      <c r="X127" s="8"/>
      <c r="Y127" s="12"/>
    </row>
    <row r="128" spans="1:25" ht="15" customHeight="1" x14ac:dyDescent="0.25">
      <c r="A128" s="7" t="s">
        <v>892</v>
      </c>
      <c r="B128" s="7" t="s">
        <v>894</v>
      </c>
      <c r="C128" s="7" t="s">
        <v>895</v>
      </c>
      <c r="D128" s="7" t="s">
        <v>34</v>
      </c>
      <c r="E128" s="7" t="s">
        <v>896</v>
      </c>
      <c r="F128" s="7" t="s">
        <v>897</v>
      </c>
      <c r="G128" s="7"/>
      <c r="H128" s="7" t="s">
        <v>898</v>
      </c>
      <c r="I128" s="7" t="s">
        <v>899</v>
      </c>
      <c r="J128" s="7"/>
      <c r="K128" s="7" t="s">
        <v>101</v>
      </c>
      <c r="L128" s="7" t="s">
        <v>1613</v>
      </c>
      <c r="M128" s="7"/>
      <c r="N128" s="7"/>
      <c r="O128" s="7" t="s">
        <v>41</v>
      </c>
      <c r="P128" s="7" t="s">
        <v>41</v>
      </c>
      <c r="Q128" s="7" t="s">
        <v>41</v>
      </c>
      <c r="R128" s="7" t="s">
        <v>1614</v>
      </c>
      <c r="S128" s="7"/>
      <c r="T128" s="7"/>
      <c r="U128" s="7" t="s">
        <v>41</v>
      </c>
      <c r="V128" s="7" t="s">
        <v>41</v>
      </c>
      <c r="W128" s="7" t="s">
        <v>41</v>
      </c>
      <c r="X128" s="7" t="s">
        <v>900</v>
      </c>
      <c r="Y128" s="11" t="s">
        <v>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11"/>
  <sheetViews>
    <sheetView workbookViewId="0">
      <pane ySplit="1" topLeftCell="A2" activePane="bottomLeft" state="frozen"/>
      <selection pane="bottomLeft"/>
    </sheetView>
  </sheetViews>
  <sheetFormatPr defaultRowHeight="15" customHeight="1" x14ac:dyDescent="0.25"/>
  <cols>
    <col min="1" max="1" width="10" style="9" customWidth="1"/>
    <col min="2" max="2" width="15" style="9" customWidth="1"/>
    <col min="3" max="3" width="50" style="9" customWidth="1"/>
    <col min="4" max="4" width="12" style="9" customWidth="1"/>
    <col min="5" max="7" width="10" style="9" customWidth="1"/>
    <col min="8" max="8" width="12" style="9" customWidth="1"/>
    <col min="9" max="11" width="10" style="9" customWidth="1"/>
    <col min="12" max="14" width="12" style="9" customWidth="1"/>
    <col min="15" max="17" width="4" style="9" customWidth="1"/>
    <col min="18" max="20" width="12" style="9" customWidth="1"/>
    <col min="21" max="23" width="4" style="9" customWidth="1"/>
    <col min="24" max="25" width="40" style="9" customWidth="1"/>
  </cols>
  <sheetData>
    <row r="1" spans="1:25" s="9" customFormat="1" ht="56.1" customHeight="1" x14ac:dyDescent="0.25">
      <c r="A1" s="10" t="s">
        <v>1588</v>
      </c>
      <c r="B1" s="10" t="s">
        <v>1589</v>
      </c>
      <c r="C1" s="10" t="s">
        <v>1590</v>
      </c>
      <c r="D1" s="10" t="s">
        <v>1591</v>
      </c>
      <c r="E1" s="10" t="s">
        <v>1592</v>
      </c>
      <c r="F1" s="10" t="s">
        <v>1593</v>
      </c>
      <c r="G1" s="10" t="s">
        <v>1594</v>
      </c>
      <c r="H1" s="10" t="s">
        <v>1595</v>
      </c>
      <c r="I1" s="10" t="s">
        <v>1596</v>
      </c>
      <c r="J1" s="10" t="s">
        <v>1597</v>
      </c>
      <c r="K1" s="10" t="s">
        <v>5</v>
      </c>
      <c r="L1" s="10" t="s">
        <v>1598</v>
      </c>
      <c r="M1" s="10" t="s">
        <v>1599</v>
      </c>
      <c r="N1" s="10" t="s">
        <v>1600</v>
      </c>
      <c r="O1" s="10" t="s">
        <v>9</v>
      </c>
      <c r="P1" s="10" t="s">
        <v>10</v>
      </c>
      <c r="Q1" s="10" t="s">
        <v>11</v>
      </c>
      <c r="R1" s="10" t="s">
        <v>1601</v>
      </c>
      <c r="S1" s="10" t="s">
        <v>1602</v>
      </c>
      <c r="T1" s="10" t="s">
        <v>1603</v>
      </c>
      <c r="U1" s="10" t="s">
        <v>6</v>
      </c>
      <c r="V1" s="10" t="s">
        <v>7</v>
      </c>
      <c r="W1" s="10" t="s">
        <v>8</v>
      </c>
      <c r="X1" s="10" t="s">
        <v>1604</v>
      </c>
      <c r="Y1" s="10" t="s">
        <v>1605</v>
      </c>
    </row>
    <row r="2" spans="1:25" ht="15" customHeight="1" x14ac:dyDescent="0.25">
      <c r="A2" s="7" t="s">
        <v>12</v>
      </c>
      <c r="B2" s="7"/>
      <c r="C2" s="7" t="s">
        <v>13</v>
      </c>
      <c r="D2" s="7"/>
      <c r="E2" s="7" t="s">
        <v>14</v>
      </c>
      <c r="F2" s="7"/>
      <c r="G2" s="7"/>
      <c r="H2" s="7"/>
      <c r="I2" s="7"/>
      <c r="J2" s="7"/>
      <c r="K2" s="7"/>
      <c r="L2" s="7"/>
      <c r="M2" s="7"/>
      <c r="N2" s="7"/>
      <c r="O2" s="7"/>
      <c r="P2" s="7"/>
      <c r="Q2" s="7"/>
      <c r="R2" s="7"/>
      <c r="S2" s="7"/>
      <c r="T2" s="7"/>
      <c r="U2" s="7"/>
      <c r="V2" s="7"/>
      <c r="W2" s="7"/>
      <c r="X2" s="7"/>
      <c r="Y2" s="11"/>
    </row>
    <row r="3" spans="1:25" ht="15" customHeight="1" x14ac:dyDescent="0.25">
      <c r="A3" s="8" t="s">
        <v>15</v>
      </c>
      <c r="B3" s="8"/>
      <c r="C3" s="8" t="s">
        <v>16</v>
      </c>
      <c r="D3" s="8"/>
      <c r="E3" s="8" t="s">
        <v>17</v>
      </c>
      <c r="F3" s="8"/>
      <c r="G3" s="8"/>
      <c r="H3" s="8"/>
      <c r="I3" s="8"/>
      <c r="J3" s="8"/>
      <c r="K3" s="8"/>
      <c r="L3" s="8"/>
      <c r="M3" s="8"/>
      <c r="N3" s="8"/>
      <c r="O3" s="8"/>
      <c r="P3" s="8"/>
      <c r="Q3" s="8"/>
      <c r="R3" s="8"/>
      <c r="S3" s="8"/>
      <c r="T3" s="8"/>
      <c r="U3" s="8"/>
      <c r="V3" s="8"/>
      <c r="W3" s="8"/>
      <c r="X3" s="8"/>
      <c r="Y3" s="12"/>
    </row>
    <row r="4" spans="1:25" ht="15" customHeight="1" x14ac:dyDescent="0.25">
      <c r="A4" s="7" t="s">
        <v>18</v>
      </c>
      <c r="B4" s="7"/>
      <c r="C4" s="7" t="s">
        <v>19</v>
      </c>
      <c r="D4" s="7"/>
      <c r="E4" s="7" t="s">
        <v>20</v>
      </c>
      <c r="F4" s="7"/>
      <c r="G4" s="7"/>
      <c r="H4" s="7"/>
      <c r="I4" s="7"/>
      <c r="J4" s="7"/>
      <c r="K4" s="7"/>
      <c r="L4" s="7"/>
      <c r="M4" s="7"/>
      <c r="N4" s="7"/>
      <c r="O4" s="7"/>
      <c r="P4" s="7"/>
      <c r="Q4" s="7"/>
      <c r="R4" s="7"/>
      <c r="S4" s="7"/>
      <c r="T4" s="7"/>
      <c r="U4" s="7"/>
      <c r="V4" s="7"/>
      <c r="W4" s="7"/>
      <c r="X4" s="7"/>
      <c r="Y4" s="11"/>
    </row>
    <row r="5" spans="1:25" ht="15" customHeight="1" x14ac:dyDescent="0.25">
      <c r="A5" s="8" t="s">
        <v>21</v>
      </c>
      <c r="B5" s="8"/>
      <c r="C5" s="8" t="s">
        <v>22</v>
      </c>
      <c r="D5" s="8"/>
      <c r="E5" s="8" t="s">
        <v>23</v>
      </c>
      <c r="F5" s="8"/>
      <c r="G5" s="8"/>
      <c r="H5" s="8"/>
      <c r="I5" s="8"/>
      <c r="J5" s="8"/>
      <c r="K5" s="8"/>
      <c r="L5" s="8"/>
      <c r="M5" s="8"/>
      <c r="N5" s="8"/>
      <c r="O5" s="8"/>
      <c r="P5" s="8"/>
      <c r="Q5" s="8"/>
      <c r="R5" s="8"/>
      <c r="S5" s="8"/>
      <c r="T5" s="8"/>
      <c r="U5" s="8"/>
      <c r="V5" s="8"/>
      <c r="W5" s="8"/>
      <c r="X5" s="8"/>
      <c r="Y5" s="12"/>
    </row>
    <row r="6" spans="1:25" ht="15" customHeight="1" x14ac:dyDescent="0.25">
      <c r="A6" s="7" t="s">
        <v>24</v>
      </c>
      <c r="B6" s="7"/>
      <c r="C6" s="7" t="s">
        <v>25</v>
      </c>
      <c r="D6" s="7"/>
      <c r="E6" s="7" t="s">
        <v>26</v>
      </c>
      <c r="F6" s="7"/>
      <c r="G6" s="7"/>
      <c r="H6" s="7"/>
      <c r="I6" s="7"/>
      <c r="J6" s="7"/>
      <c r="K6" s="7"/>
      <c r="L6" s="7"/>
      <c r="M6" s="7"/>
      <c r="N6" s="7"/>
      <c r="O6" s="7"/>
      <c r="P6" s="7"/>
      <c r="Q6" s="7"/>
      <c r="R6" s="7"/>
      <c r="S6" s="7"/>
      <c r="T6" s="7"/>
      <c r="U6" s="7"/>
      <c r="V6" s="7"/>
      <c r="W6" s="7"/>
      <c r="X6" s="7"/>
      <c r="Y6" s="11"/>
    </row>
    <row r="7" spans="1:25" ht="15" customHeight="1" x14ac:dyDescent="0.25">
      <c r="A7" s="8" t="s">
        <v>27</v>
      </c>
      <c r="B7" s="8"/>
      <c r="C7" s="8" t="s">
        <v>28</v>
      </c>
      <c r="D7" s="8"/>
      <c r="E7" s="8" t="s">
        <v>29</v>
      </c>
      <c r="F7" s="8"/>
      <c r="G7" s="8"/>
      <c r="H7" s="8"/>
      <c r="I7" s="8"/>
      <c r="J7" s="8"/>
      <c r="K7" s="8"/>
      <c r="L7" s="8"/>
      <c r="M7" s="8"/>
      <c r="N7" s="8"/>
      <c r="O7" s="8"/>
      <c r="P7" s="8"/>
      <c r="Q7" s="8"/>
      <c r="R7" s="8"/>
      <c r="S7" s="8"/>
      <c r="T7" s="8"/>
      <c r="U7" s="8"/>
      <c r="V7" s="8"/>
      <c r="W7" s="8"/>
      <c r="X7" s="8"/>
      <c r="Y7" s="12"/>
    </row>
    <row r="8" spans="1:25" ht="15" customHeight="1" x14ac:dyDescent="0.25">
      <c r="A8" s="7" t="s">
        <v>30</v>
      </c>
      <c r="B8" s="7"/>
      <c r="C8" s="7" t="s">
        <v>31</v>
      </c>
      <c r="D8" s="7"/>
      <c r="E8" s="7"/>
      <c r="F8" s="7"/>
      <c r="G8" s="7"/>
      <c r="H8" s="7"/>
      <c r="I8" s="7"/>
      <c r="J8" s="7"/>
      <c r="K8" s="7"/>
      <c r="L8" s="7"/>
      <c r="M8" s="7"/>
      <c r="N8" s="7"/>
      <c r="O8" s="7"/>
      <c r="P8" s="7"/>
      <c r="Q8" s="7"/>
      <c r="R8" s="7"/>
      <c r="S8" s="7"/>
      <c r="T8" s="7"/>
      <c r="U8" s="7"/>
      <c r="V8" s="7"/>
      <c r="W8" s="7"/>
      <c r="X8" s="7"/>
      <c r="Y8" s="11"/>
    </row>
    <row r="9" spans="1:25" ht="15" customHeight="1" x14ac:dyDescent="0.25">
      <c r="A9" s="8" t="s">
        <v>30</v>
      </c>
      <c r="B9" s="8" t="s">
        <v>902</v>
      </c>
      <c r="C9" s="8" t="s">
        <v>903</v>
      </c>
      <c r="D9" s="8" t="s">
        <v>55</v>
      </c>
      <c r="E9" s="8" t="s">
        <v>904</v>
      </c>
      <c r="F9" s="8" t="s">
        <v>905</v>
      </c>
      <c r="G9" s="8" t="s">
        <v>906</v>
      </c>
      <c r="H9" s="8" t="s">
        <v>907</v>
      </c>
      <c r="I9" s="8" t="s">
        <v>908</v>
      </c>
      <c r="J9" s="8"/>
      <c r="K9" s="8" t="s">
        <v>570</v>
      </c>
      <c r="L9" s="8" t="s">
        <v>1633</v>
      </c>
      <c r="M9" s="8"/>
      <c r="N9" s="8"/>
      <c r="O9" s="8"/>
      <c r="P9" s="8" t="s">
        <v>41</v>
      </c>
      <c r="Q9" s="8" t="s">
        <v>41</v>
      </c>
      <c r="R9" s="8" t="s">
        <v>1634</v>
      </c>
      <c r="S9" s="8"/>
      <c r="T9" s="8"/>
      <c r="U9" s="8"/>
      <c r="V9" s="8" t="s">
        <v>41</v>
      </c>
      <c r="W9" s="8" t="s">
        <v>41</v>
      </c>
      <c r="X9" s="8" t="s">
        <v>909</v>
      </c>
      <c r="Y9" s="12" t="s">
        <v>910</v>
      </c>
    </row>
    <row r="10" spans="1:25" ht="15" customHeight="1" x14ac:dyDescent="0.25">
      <c r="A10" s="7" t="s">
        <v>30</v>
      </c>
      <c r="B10" s="7" t="s">
        <v>911</v>
      </c>
      <c r="C10" s="7" t="s">
        <v>912</v>
      </c>
      <c r="D10" s="7" t="s">
        <v>55</v>
      </c>
      <c r="E10" s="7" t="s">
        <v>913</v>
      </c>
      <c r="F10" s="7" t="s">
        <v>914</v>
      </c>
      <c r="G10" s="7" t="s">
        <v>915</v>
      </c>
      <c r="H10" s="7" t="s">
        <v>916</v>
      </c>
      <c r="I10" s="7" t="s">
        <v>917</v>
      </c>
      <c r="J10" s="7" t="s">
        <v>918</v>
      </c>
      <c r="K10" s="7" t="s">
        <v>919</v>
      </c>
      <c r="L10" s="7" t="s">
        <v>1649</v>
      </c>
      <c r="M10" s="7"/>
      <c r="N10" s="7"/>
      <c r="O10" s="7"/>
      <c r="P10" s="7" t="s">
        <v>41</v>
      </c>
      <c r="Q10" s="7" t="s">
        <v>41</v>
      </c>
      <c r="R10" s="7" t="s">
        <v>1650</v>
      </c>
      <c r="S10" s="7"/>
      <c r="T10" s="7"/>
      <c r="U10" s="7"/>
      <c r="V10" s="7"/>
      <c r="W10" s="7" t="s">
        <v>41</v>
      </c>
      <c r="X10" s="7" t="s">
        <v>920</v>
      </c>
      <c r="Y10" s="11" t="s">
        <v>921</v>
      </c>
    </row>
    <row r="11" spans="1:25" ht="15" customHeight="1" x14ac:dyDescent="0.25">
      <c r="A11" s="8" t="s">
        <v>30</v>
      </c>
      <c r="B11" s="8" t="s">
        <v>922</v>
      </c>
      <c r="C11" s="8" t="s">
        <v>923</v>
      </c>
      <c r="D11" s="8" t="s">
        <v>34</v>
      </c>
      <c r="E11" s="8" t="s">
        <v>924</v>
      </c>
      <c r="F11" s="8" t="s">
        <v>925</v>
      </c>
      <c r="G11" s="8" t="s">
        <v>926</v>
      </c>
      <c r="H11" s="8" t="s">
        <v>927</v>
      </c>
      <c r="I11" s="8" t="s">
        <v>928</v>
      </c>
      <c r="J11" s="8" t="s">
        <v>929</v>
      </c>
      <c r="K11" s="8" t="s">
        <v>40</v>
      </c>
      <c r="L11" s="8" t="s">
        <v>1606</v>
      </c>
      <c r="M11" s="8"/>
      <c r="N11" s="8"/>
      <c r="O11" s="8"/>
      <c r="P11" s="8" t="s">
        <v>41</v>
      </c>
      <c r="Q11" s="8" t="s">
        <v>41</v>
      </c>
      <c r="R11" s="8" t="s">
        <v>1607</v>
      </c>
      <c r="S11" s="8"/>
      <c r="T11" s="8"/>
      <c r="U11" s="8"/>
      <c r="V11" s="8" t="s">
        <v>41</v>
      </c>
      <c r="W11" s="8" t="s">
        <v>41</v>
      </c>
      <c r="X11" s="8" t="s">
        <v>930</v>
      </c>
      <c r="Y11" s="12" t="s">
        <v>931</v>
      </c>
    </row>
    <row r="12" spans="1:25" ht="15" customHeight="1" x14ac:dyDescent="0.25">
      <c r="A12" s="7" t="s">
        <v>114</v>
      </c>
      <c r="B12" s="7"/>
      <c r="C12" s="7" t="s">
        <v>115</v>
      </c>
      <c r="D12" s="7"/>
      <c r="E12" s="7" t="s">
        <v>116</v>
      </c>
      <c r="F12" s="7"/>
      <c r="G12" s="7"/>
      <c r="H12" s="7"/>
      <c r="I12" s="7"/>
      <c r="J12" s="7"/>
      <c r="K12" s="7"/>
      <c r="L12" s="7"/>
      <c r="M12" s="7"/>
      <c r="N12" s="7"/>
      <c r="O12" s="7"/>
      <c r="P12" s="7"/>
      <c r="Q12" s="7"/>
      <c r="R12" s="7"/>
      <c r="S12" s="7"/>
      <c r="T12" s="7"/>
      <c r="U12" s="7"/>
      <c r="V12" s="7"/>
      <c r="W12" s="7"/>
      <c r="X12" s="7"/>
      <c r="Y12" s="11"/>
    </row>
    <row r="13" spans="1:25" ht="15" customHeight="1" x14ac:dyDescent="0.25">
      <c r="A13" s="8" t="s">
        <v>117</v>
      </c>
      <c r="B13" s="8"/>
      <c r="C13" s="8" t="s">
        <v>118</v>
      </c>
      <c r="D13" s="8"/>
      <c r="E13" s="8" t="s">
        <v>119</v>
      </c>
      <c r="F13" s="8"/>
      <c r="G13" s="8"/>
      <c r="H13" s="8"/>
      <c r="I13" s="8"/>
      <c r="J13" s="8"/>
      <c r="K13" s="8"/>
      <c r="L13" s="8"/>
      <c r="M13" s="8"/>
      <c r="N13" s="8"/>
      <c r="O13" s="8"/>
      <c r="P13" s="8"/>
      <c r="Q13" s="8"/>
      <c r="R13" s="8"/>
      <c r="S13" s="8"/>
      <c r="T13" s="8"/>
      <c r="U13" s="8"/>
      <c r="V13" s="8"/>
      <c r="W13" s="8"/>
      <c r="X13" s="8"/>
      <c r="Y13" s="12"/>
    </row>
    <row r="14" spans="1:25" ht="15" customHeight="1" x14ac:dyDescent="0.25">
      <c r="A14" s="7" t="s">
        <v>117</v>
      </c>
      <c r="B14" s="7" t="s">
        <v>932</v>
      </c>
      <c r="C14" s="7" t="s">
        <v>933</v>
      </c>
      <c r="D14" s="7" t="s">
        <v>55</v>
      </c>
      <c r="E14" s="7" t="s">
        <v>934</v>
      </c>
      <c r="F14" s="7" t="s">
        <v>935</v>
      </c>
      <c r="G14" s="7" t="s">
        <v>936</v>
      </c>
      <c r="H14" s="7" t="s">
        <v>937</v>
      </c>
      <c r="I14" s="7" t="s">
        <v>938</v>
      </c>
      <c r="J14" s="7"/>
      <c r="K14" s="7" t="s">
        <v>939</v>
      </c>
      <c r="L14" s="7" t="s">
        <v>1630</v>
      </c>
      <c r="M14" s="7"/>
      <c r="N14" s="7"/>
      <c r="O14" s="7" t="s">
        <v>41</v>
      </c>
      <c r="P14" s="7" t="s">
        <v>41</v>
      </c>
      <c r="Q14" s="7" t="s">
        <v>41</v>
      </c>
      <c r="R14" s="7" t="s">
        <v>1651</v>
      </c>
      <c r="S14" s="7"/>
      <c r="T14" s="7"/>
      <c r="U14" s="7"/>
      <c r="V14" s="7" t="s">
        <v>41</v>
      </c>
      <c r="W14" s="7" t="s">
        <v>41</v>
      </c>
      <c r="X14" s="7"/>
      <c r="Y14" s="11"/>
    </row>
    <row r="15" spans="1:25" ht="15" customHeight="1" x14ac:dyDescent="0.25">
      <c r="A15" s="8" t="s">
        <v>120</v>
      </c>
      <c r="B15" s="8"/>
      <c r="C15" s="8" t="s">
        <v>121</v>
      </c>
      <c r="D15" s="8"/>
      <c r="E15" s="8" t="s">
        <v>122</v>
      </c>
      <c r="F15" s="8"/>
      <c r="G15" s="8"/>
      <c r="H15" s="8"/>
      <c r="I15" s="8"/>
      <c r="J15" s="8"/>
      <c r="K15" s="8"/>
      <c r="L15" s="8"/>
      <c r="M15" s="8"/>
      <c r="N15" s="8"/>
      <c r="O15" s="8"/>
      <c r="P15" s="8"/>
      <c r="Q15" s="8"/>
      <c r="R15" s="8"/>
      <c r="S15" s="8"/>
      <c r="T15" s="8"/>
      <c r="U15" s="8"/>
      <c r="V15" s="8"/>
      <c r="W15" s="8"/>
      <c r="X15" s="8"/>
      <c r="Y15" s="12"/>
    </row>
    <row r="16" spans="1:25" ht="15" customHeight="1" x14ac:dyDescent="0.25">
      <c r="A16" s="7" t="s">
        <v>123</v>
      </c>
      <c r="B16" s="7"/>
      <c r="C16" s="7" t="s">
        <v>124</v>
      </c>
      <c r="D16" s="7"/>
      <c r="E16" s="7" t="s">
        <v>125</v>
      </c>
      <c r="F16" s="7"/>
      <c r="G16" s="7"/>
      <c r="H16" s="7"/>
      <c r="I16" s="7"/>
      <c r="J16" s="7"/>
      <c r="K16" s="7"/>
      <c r="L16" s="7"/>
      <c r="M16" s="7"/>
      <c r="N16" s="7"/>
      <c r="O16" s="7"/>
      <c r="P16" s="7"/>
      <c r="Q16" s="7"/>
      <c r="R16" s="7"/>
      <c r="S16" s="7"/>
      <c r="T16" s="7"/>
      <c r="U16" s="7"/>
      <c r="V16" s="7"/>
      <c r="W16" s="7"/>
      <c r="X16" s="7"/>
      <c r="Y16" s="11"/>
    </row>
    <row r="17" spans="1:25" ht="15" customHeight="1" x14ac:dyDescent="0.25">
      <c r="A17" s="8" t="s">
        <v>123</v>
      </c>
      <c r="B17" s="8" t="s">
        <v>940</v>
      </c>
      <c r="C17" s="8" t="s">
        <v>941</v>
      </c>
      <c r="D17" s="8" t="s">
        <v>55</v>
      </c>
      <c r="E17" s="8" t="s">
        <v>942</v>
      </c>
      <c r="F17" s="8" t="s">
        <v>206</v>
      </c>
      <c r="G17" s="8" t="s">
        <v>207</v>
      </c>
      <c r="H17" s="8" t="s">
        <v>943</v>
      </c>
      <c r="I17" s="8" t="s">
        <v>944</v>
      </c>
      <c r="J17" s="8"/>
      <c r="K17" s="8" t="s">
        <v>945</v>
      </c>
      <c r="L17" s="8" t="s">
        <v>1622</v>
      </c>
      <c r="M17" s="8" t="s">
        <v>1652</v>
      </c>
      <c r="N17" s="8"/>
      <c r="O17" s="8" t="s">
        <v>41</v>
      </c>
      <c r="P17" s="8" t="s">
        <v>41</v>
      </c>
      <c r="Q17" s="8" t="s">
        <v>41</v>
      </c>
      <c r="R17" s="8" t="s">
        <v>1623</v>
      </c>
      <c r="S17" s="8" t="s">
        <v>1653</v>
      </c>
      <c r="T17" s="8"/>
      <c r="U17" s="8" t="s">
        <v>41</v>
      </c>
      <c r="V17" s="8" t="s">
        <v>41</v>
      </c>
      <c r="W17" s="8" t="s">
        <v>41</v>
      </c>
      <c r="X17" s="8" t="s">
        <v>946</v>
      </c>
      <c r="Y17" s="12" t="s">
        <v>947</v>
      </c>
    </row>
    <row r="18" spans="1:25" ht="15" customHeight="1" x14ac:dyDescent="0.25">
      <c r="A18" s="7" t="s">
        <v>123</v>
      </c>
      <c r="B18" s="7" t="s">
        <v>948</v>
      </c>
      <c r="C18" s="7" t="s">
        <v>949</v>
      </c>
      <c r="D18" s="7" t="s">
        <v>34</v>
      </c>
      <c r="E18" s="7" t="s">
        <v>950</v>
      </c>
      <c r="F18" s="7" t="s">
        <v>951</v>
      </c>
      <c r="G18" s="7" t="s">
        <v>952</v>
      </c>
      <c r="H18" s="7" t="s">
        <v>953</v>
      </c>
      <c r="I18" s="7" t="s">
        <v>954</v>
      </c>
      <c r="J18" s="7"/>
      <c r="K18" s="7" t="s">
        <v>955</v>
      </c>
      <c r="L18" s="7" t="s">
        <v>385</v>
      </c>
      <c r="M18" s="7" t="s">
        <v>1615</v>
      </c>
      <c r="N18" s="7"/>
      <c r="O18" s="7" t="s">
        <v>41</v>
      </c>
      <c r="P18" s="7" t="s">
        <v>41</v>
      </c>
      <c r="Q18" s="7" t="s">
        <v>41</v>
      </c>
      <c r="R18" s="7" t="s">
        <v>1610</v>
      </c>
      <c r="S18" s="7"/>
      <c r="T18" s="7"/>
      <c r="U18" s="7"/>
      <c r="V18" s="7" t="s">
        <v>41</v>
      </c>
      <c r="W18" s="7" t="s">
        <v>41</v>
      </c>
      <c r="X18" s="7" t="s">
        <v>956</v>
      </c>
      <c r="Y18" s="11" t="s">
        <v>957</v>
      </c>
    </row>
    <row r="19" spans="1:25" ht="15" customHeight="1" x14ac:dyDescent="0.25">
      <c r="A19" s="8" t="s">
        <v>123</v>
      </c>
      <c r="B19" s="8" t="s">
        <v>958</v>
      </c>
      <c r="C19" s="8" t="s">
        <v>959</v>
      </c>
      <c r="D19" s="8" t="s">
        <v>55</v>
      </c>
      <c r="E19" s="8" t="s">
        <v>960</v>
      </c>
      <c r="F19" s="8" t="s">
        <v>961</v>
      </c>
      <c r="G19" s="8" t="s">
        <v>962</v>
      </c>
      <c r="H19" s="8" t="s">
        <v>963</v>
      </c>
      <c r="I19" s="8" t="s">
        <v>964</v>
      </c>
      <c r="J19" s="8"/>
      <c r="K19" s="8" t="s">
        <v>133</v>
      </c>
      <c r="L19" s="8" t="s">
        <v>1615</v>
      </c>
      <c r="M19" s="8"/>
      <c r="N19" s="8"/>
      <c r="O19" s="8"/>
      <c r="P19" s="8"/>
      <c r="Q19" s="8" t="s">
        <v>41</v>
      </c>
      <c r="R19" s="8" t="s">
        <v>1614</v>
      </c>
      <c r="S19" s="8"/>
      <c r="T19" s="8"/>
      <c r="U19" s="8" t="s">
        <v>41</v>
      </c>
      <c r="V19" s="8" t="s">
        <v>41</v>
      </c>
      <c r="W19" s="8" t="s">
        <v>41</v>
      </c>
      <c r="X19" s="8" t="s">
        <v>965</v>
      </c>
      <c r="Y19" s="12" t="s">
        <v>966</v>
      </c>
    </row>
    <row r="20" spans="1:25" ht="15" customHeight="1" x14ac:dyDescent="0.25">
      <c r="A20" s="7" t="s">
        <v>123</v>
      </c>
      <c r="B20" s="7" t="s">
        <v>967</v>
      </c>
      <c r="C20" s="7" t="s">
        <v>968</v>
      </c>
      <c r="D20" s="7" t="s">
        <v>55</v>
      </c>
      <c r="E20" s="7" t="s">
        <v>969</v>
      </c>
      <c r="F20" s="7" t="s">
        <v>970</v>
      </c>
      <c r="G20" s="7" t="s">
        <v>971</v>
      </c>
      <c r="H20" s="7" t="s">
        <v>972</v>
      </c>
      <c r="I20" s="7" t="s">
        <v>973</v>
      </c>
      <c r="J20" s="7"/>
      <c r="K20" s="7" t="s">
        <v>133</v>
      </c>
      <c r="L20" s="7" t="s">
        <v>1615</v>
      </c>
      <c r="M20" s="7"/>
      <c r="N20" s="7"/>
      <c r="O20" s="7"/>
      <c r="P20" s="7"/>
      <c r="Q20" s="7" t="s">
        <v>41</v>
      </c>
      <c r="R20" s="7" t="s">
        <v>1614</v>
      </c>
      <c r="S20" s="7"/>
      <c r="T20" s="7"/>
      <c r="U20" s="7" t="s">
        <v>41</v>
      </c>
      <c r="V20" s="7" t="s">
        <v>41</v>
      </c>
      <c r="W20" s="7" t="s">
        <v>41</v>
      </c>
      <c r="X20" s="7" t="s">
        <v>974</v>
      </c>
      <c r="Y20" s="11" t="s">
        <v>975</v>
      </c>
    </row>
    <row r="21" spans="1:25" ht="15" customHeight="1" x14ac:dyDescent="0.25">
      <c r="A21" s="8" t="s">
        <v>123</v>
      </c>
      <c r="B21" s="8" t="s">
        <v>976</v>
      </c>
      <c r="C21" s="8" t="s">
        <v>977</v>
      </c>
      <c r="D21" s="8" t="s">
        <v>55</v>
      </c>
      <c r="E21" s="8" t="s">
        <v>978</v>
      </c>
      <c r="F21" s="8" t="s">
        <v>979</v>
      </c>
      <c r="G21" s="8" t="s">
        <v>980</v>
      </c>
      <c r="H21" s="8" t="s">
        <v>981</v>
      </c>
      <c r="I21" s="8" t="s">
        <v>982</v>
      </c>
      <c r="J21" s="8"/>
      <c r="K21" s="8" t="s">
        <v>133</v>
      </c>
      <c r="L21" s="8" t="s">
        <v>1615</v>
      </c>
      <c r="M21" s="8"/>
      <c r="N21" s="8"/>
      <c r="O21" s="8"/>
      <c r="P21" s="8"/>
      <c r="Q21" s="8" t="s">
        <v>41</v>
      </c>
      <c r="R21" s="8" t="s">
        <v>1614</v>
      </c>
      <c r="S21" s="8"/>
      <c r="T21" s="8"/>
      <c r="U21" s="8" t="s">
        <v>41</v>
      </c>
      <c r="V21" s="8" t="s">
        <v>41</v>
      </c>
      <c r="W21" s="8" t="s">
        <v>41</v>
      </c>
      <c r="X21" s="8" t="s">
        <v>983</v>
      </c>
      <c r="Y21" s="12" t="s">
        <v>984</v>
      </c>
    </row>
    <row r="22" spans="1:25" ht="15" customHeight="1" x14ac:dyDescent="0.25">
      <c r="A22" s="7" t="s">
        <v>123</v>
      </c>
      <c r="B22" s="7" t="s">
        <v>985</v>
      </c>
      <c r="C22" s="7" t="s">
        <v>986</v>
      </c>
      <c r="D22" s="7" t="s">
        <v>55</v>
      </c>
      <c r="E22" s="7" t="s">
        <v>987</v>
      </c>
      <c r="F22" s="7" t="s">
        <v>988</v>
      </c>
      <c r="G22" s="7" t="s">
        <v>971</v>
      </c>
      <c r="H22" s="7" t="s">
        <v>989</v>
      </c>
      <c r="I22" s="7" t="s">
        <v>990</v>
      </c>
      <c r="J22" s="7"/>
      <c r="K22" s="7" t="s">
        <v>133</v>
      </c>
      <c r="L22" s="7" t="s">
        <v>1615</v>
      </c>
      <c r="M22" s="7"/>
      <c r="N22" s="7"/>
      <c r="O22" s="7"/>
      <c r="P22" s="7"/>
      <c r="Q22" s="7" t="s">
        <v>41</v>
      </c>
      <c r="R22" s="7" t="s">
        <v>1614</v>
      </c>
      <c r="S22" s="7"/>
      <c r="T22" s="7"/>
      <c r="U22" s="7" t="s">
        <v>41</v>
      </c>
      <c r="V22" s="7" t="s">
        <v>41</v>
      </c>
      <c r="W22" s="7" t="s">
        <v>41</v>
      </c>
      <c r="X22" s="7" t="s">
        <v>991</v>
      </c>
      <c r="Y22" s="11" t="s">
        <v>992</v>
      </c>
    </row>
    <row r="23" spans="1:25" ht="15" customHeight="1" x14ac:dyDescent="0.25">
      <c r="A23" s="8" t="s">
        <v>123</v>
      </c>
      <c r="B23" s="8" t="s">
        <v>993</v>
      </c>
      <c r="C23" s="8" t="s">
        <v>994</v>
      </c>
      <c r="D23" s="8" t="s">
        <v>55</v>
      </c>
      <c r="E23" s="8" t="s">
        <v>995</v>
      </c>
      <c r="F23" s="8" t="s">
        <v>996</v>
      </c>
      <c r="G23" s="8" t="s">
        <v>997</v>
      </c>
      <c r="H23" s="8" t="s">
        <v>998</v>
      </c>
      <c r="I23" s="8" t="s">
        <v>999</v>
      </c>
      <c r="J23" s="8"/>
      <c r="K23" s="8" t="s">
        <v>230</v>
      </c>
      <c r="L23" s="8" t="s">
        <v>1613</v>
      </c>
      <c r="M23" s="8" t="s">
        <v>1615</v>
      </c>
      <c r="N23" s="8"/>
      <c r="O23" s="8" t="s">
        <v>41</v>
      </c>
      <c r="P23" s="8" t="s">
        <v>41</v>
      </c>
      <c r="Q23" s="8" t="s">
        <v>41</v>
      </c>
      <c r="R23" s="8" t="s">
        <v>1614</v>
      </c>
      <c r="S23" s="8"/>
      <c r="T23" s="8"/>
      <c r="U23" s="8" t="s">
        <v>41</v>
      </c>
      <c r="V23" s="8" t="s">
        <v>41</v>
      </c>
      <c r="W23" s="8" t="s">
        <v>41</v>
      </c>
      <c r="X23" s="8" t="s">
        <v>1000</v>
      </c>
      <c r="Y23" s="12" t="s">
        <v>1001</v>
      </c>
    </row>
    <row r="24" spans="1:25" ht="15" customHeight="1" x14ac:dyDescent="0.25">
      <c r="A24" s="7" t="s">
        <v>123</v>
      </c>
      <c r="B24" s="7" t="s">
        <v>1002</v>
      </c>
      <c r="C24" s="7" t="s">
        <v>1003</v>
      </c>
      <c r="D24" s="7" t="s">
        <v>55</v>
      </c>
      <c r="E24" s="7" t="s">
        <v>1004</v>
      </c>
      <c r="F24" s="7" t="s">
        <v>1005</v>
      </c>
      <c r="G24" s="7" t="s">
        <v>1006</v>
      </c>
      <c r="H24" s="7" t="s">
        <v>1007</v>
      </c>
      <c r="I24" s="7" t="s">
        <v>1008</v>
      </c>
      <c r="J24" s="7"/>
      <c r="K24" s="7" t="s">
        <v>1009</v>
      </c>
      <c r="L24" s="7" t="s">
        <v>126</v>
      </c>
      <c r="M24" s="7" t="s">
        <v>385</v>
      </c>
      <c r="N24" s="7" t="s">
        <v>1102</v>
      </c>
      <c r="O24" s="7" t="s">
        <v>41</v>
      </c>
      <c r="P24" s="7" t="s">
        <v>41</v>
      </c>
      <c r="Q24" s="7" t="s">
        <v>41</v>
      </c>
      <c r="R24" s="7" t="s">
        <v>1625</v>
      </c>
      <c r="S24" s="7"/>
      <c r="T24" s="7"/>
      <c r="U24" s="7" t="s">
        <v>41</v>
      </c>
      <c r="V24" s="7" t="s">
        <v>41</v>
      </c>
      <c r="W24" s="7" t="s">
        <v>41</v>
      </c>
      <c r="X24" s="7" t="s">
        <v>1010</v>
      </c>
      <c r="Y24" s="11" t="s">
        <v>1011</v>
      </c>
    </row>
    <row r="25" spans="1:25" ht="15" customHeight="1" x14ac:dyDescent="0.25">
      <c r="A25" s="8" t="s">
        <v>123</v>
      </c>
      <c r="B25" s="8" t="s">
        <v>1012</v>
      </c>
      <c r="C25" s="8" t="s">
        <v>1013</v>
      </c>
      <c r="D25" s="8" t="s">
        <v>55</v>
      </c>
      <c r="E25" s="8" t="s">
        <v>1014</v>
      </c>
      <c r="F25" s="8" t="s">
        <v>1015</v>
      </c>
      <c r="G25" s="8" t="s">
        <v>1016</v>
      </c>
      <c r="H25" s="8" t="s">
        <v>1017</v>
      </c>
      <c r="I25" s="8" t="s">
        <v>1018</v>
      </c>
      <c r="J25" s="8"/>
      <c r="K25" s="8" t="s">
        <v>1019</v>
      </c>
      <c r="L25" s="8" t="s">
        <v>1630</v>
      </c>
      <c r="M25" s="8"/>
      <c r="N25" s="8"/>
      <c r="O25" s="8" t="s">
        <v>41</v>
      </c>
      <c r="P25" s="8" t="s">
        <v>41</v>
      </c>
      <c r="Q25" s="8" t="s">
        <v>41</v>
      </c>
      <c r="R25" s="8" t="s">
        <v>1618</v>
      </c>
      <c r="S25" s="8"/>
      <c r="T25" s="8"/>
      <c r="U25" s="8"/>
      <c r="V25" s="8" t="s">
        <v>41</v>
      </c>
      <c r="W25" s="8" t="s">
        <v>41</v>
      </c>
      <c r="X25" s="8" t="s">
        <v>1020</v>
      </c>
      <c r="Y25" s="12" t="s">
        <v>1021</v>
      </c>
    </row>
    <row r="26" spans="1:25" ht="15" customHeight="1" x14ac:dyDescent="0.25">
      <c r="A26" s="7" t="s">
        <v>281</v>
      </c>
      <c r="B26" s="7"/>
      <c r="C26" s="7" t="s">
        <v>282</v>
      </c>
      <c r="D26" s="7"/>
      <c r="E26" s="7" t="s">
        <v>283</v>
      </c>
      <c r="F26" s="7"/>
      <c r="G26" s="7"/>
      <c r="H26" s="7"/>
      <c r="I26" s="7"/>
      <c r="J26" s="7"/>
      <c r="K26" s="7"/>
      <c r="L26" s="7"/>
      <c r="M26" s="7"/>
      <c r="N26" s="7"/>
      <c r="O26" s="7"/>
      <c r="P26" s="7"/>
      <c r="Q26" s="7"/>
      <c r="R26" s="7"/>
      <c r="S26" s="7"/>
      <c r="T26" s="7"/>
      <c r="U26" s="7"/>
      <c r="V26" s="7"/>
      <c r="W26" s="7"/>
      <c r="X26" s="7"/>
      <c r="Y26" s="11"/>
    </row>
    <row r="27" spans="1:25" ht="15" customHeight="1" x14ac:dyDescent="0.25">
      <c r="A27" s="8" t="s">
        <v>313</v>
      </c>
      <c r="B27" s="8"/>
      <c r="C27" s="8" t="s">
        <v>314</v>
      </c>
      <c r="D27" s="8"/>
      <c r="E27" s="8" t="s">
        <v>315</v>
      </c>
      <c r="F27" s="8"/>
      <c r="G27" s="8"/>
      <c r="H27" s="8"/>
      <c r="I27" s="8"/>
      <c r="J27" s="8"/>
      <c r="K27" s="8"/>
      <c r="L27" s="8"/>
      <c r="M27" s="8"/>
      <c r="N27" s="8"/>
      <c r="O27" s="8"/>
      <c r="P27" s="8"/>
      <c r="Q27" s="8"/>
      <c r="R27" s="8"/>
      <c r="S27" s="8"/>
      <c r="T27" s="8"/>
      <c r="U27" s="8"/>
      <c r="V27" s="8"/>
      <c r="W27" s="8"/>
      <c r="X27" s="8"/>
      <c r="Y27" s="12"/>
    </row>
    <row r="28" spans="1:25" ht="15" customHeight="1" x14ac:dyDescent="0.25">
      <c r="A28" s="7" t="s">
        <v>313</v>
      </c>
      <c r="B28" s="7" t="s">
        <v>1022</v>
      </c>
      <c r="C28" s="7" t="s">
        <v>1023</v>
      </c>
      <c r="D28" s="7" t="s">
        <v>55</v>
      </c>
      <c r="E28" s="7" t="s">
        <v>1024</v>
      </c>
      <c r="F28" s="7" t="s">
        <v>1025</v>
      </c>
      <c r="G28" s="7" t="s">
        <v>1026</v>
      </c>
      <c r="H28" s="7" t="s">
        <v>1027</v>
      </c>
      <c r="I28" s="7" t="s">
        <v>1028</v>
      </c>
      <c r="J28" s="7"/>
      <c r="K28" s="7" t="s">
        <v>1029</v>
      </c>
      <c r="L28" s="7" t="s">
        <v>1611</v>
      </c>
      <c r="M28" s="7" t="s">
        <v>1606</v>
      </c>
      <c r="N28" s="7"/>
      <c r="O28" s="7"/>
      <c r="P28" s="7" t="s">
        <v>41</v>
      </c>
      <c r="Q28" s="7" t="s">
        <v>41</v>
      </c>
      <c r="R28" s="7" t="s">
        <v>1641</v>
      </c>
      <c r="S28" s="7"/>
      <c r="T28" s="7"/>
      <c r="U28" s="7"/>
      <c r="V28" s="7" t="s">
        <v>41</v>
      </c>
      <c r="W28" s="7" t="s">
        <v>41</v>
      </c>
      <c r="X28" s="7" t="s">
        <v>1030</v>
      </c>
      <c r="Y28" s="11" t="s">
        <v>1031</v>
      </c>
    </row>
    <row r="29" spans="1:25" ht="15" customHeight="1" x14ac:dyDescent="0.25">
      <c r="A29" s="8" t="s">
        <v>313</v>
      </c>
      <c r="B29" s="8" t="s">
        <v>1032</v>
      </c>
      <c r="C29" s="8" t="s">
        <v>1033</v>
      </c>
      <c r="D29" s="8" t="s">
        <v>55</v>
      </c>
      <c r="E29" s="8" t="s">
        <v>1034</v>
      </c>
      <c r="F29" s="8" t="s">
        <v>1035</v>
      </c>
      <c r="G29" s="8" t="s">
        <v>1036</v>
      </c>
      <c r="H29" s="8" t="s">
        <v>1037</v>
      </c>
      <c r="I29" s="8" t="s">
        <v>1038</v>
      </c>
      <c r="J29" s="8" t="s">
        <v>1039</v>
      </c>
      <c r="K29" s="8" t="s">
        <v>1040</v>
      </c>
      <c r="L29" s="8" t="s">
        <v>1611</v>
      </c>
      <c r="M29" s="8"/>
      <c r="N29" s="8"/>
      <c r="O29" s="8"/>
      <c r="P29" s="8" t="s">
        <v>41</v>
      </c>
      <c r="Q29" s="8" t="s">
        <v>41</v>
      </c>
      <c r="R29" s="8" t="s">
        <v>1632</v>
      </c>
      <c r="S29" s="8"/>
      <c r="T29" s="8"/>
      <c r="U29" s="8" t="s">
        <v>41</v>
      </c>
      <c r="V29" s="8" t="s">
        <v>41</v>
      </c>
      <c r="W29" s="8" t="s">
        <v>41</v>
      </c>
      <c r="X29" s="8" t="s">
        <v>1041</v>
      </c>
      <c r="Y29" s="12" t="s">
        <v>1042</v>
      </c>
    </row>
    <row r="30" spans="1:25" ht="15" customHeight="1" x14ac:dyDescent="0.25">
      <c r="A30" s="7" t="s">
        <v>313</v>
      </c>
      <c r="B30" s="7" t="s">
        <v>1043</v>
      </c>
      <c r="C30" s="7" t="s">
        <v>1044</v>
      </c>
      <c r="D30" s="7" t="s">
        <v>55</v>
      </c>
      <c r="E30" s="7" t="s">
        <v>1045</v>
      </c>
      <c r="F30" s="7" t="s">
        <v>1046</v>
      </c>
      <c r="G30" s="7" t="s">
        <v>1047</v>
      </c>
      <c r="H30" s="7" t="s">
        <v>1048</v>
      </c>
      <c r="I30" s="7" t="s">
        <v>1049</v>
      </c>
      <c r="J30" s="7" t="s">
        <v>1039</v>
      </c>
      <c r="K30" s="7" t="s">
        <v>1050</v>
      </c>
      <c r="L30" s="7" t="s">
        <v>385</v>
      </c>
      <c r="M30" s="7"/>
      <c r="N30" s="7"/>
      <c r="O30" s="7" t="s">
        <v>41</v>
      </c>
      <c r="P30" s="7" t="s">
        <v>41</v>
      </c>
      <c r="Q30" s="7" t="s">
        <v>41</v>
      </c>
      <c r="R30" s="7" t="s">
        <v>1654</v>
      </c>
      <c r="S30" s="7"/>
      <c r="T30" s="7"/>
      <c r="U30" s="7" t="s">
        <v>41</v>
      </c>
      <c r="V30" s="7" t="s">
        <v>41</v>
      </c>
      <c r="W30" s="7" t="s">
        <v>41</v>
      </c>
      <c r="X30" s="7" t="s">
        <v>1051</v>
      </c>
      <c r="Y30" s="11" t="s">
        <v>1042</v>
      </c>
    </row>
    <row r="31" spans="1:25" ht="15" customHeight="1" x14ac:dyDescent="0.25">
      <c r="A31" s="8" t="s">
        <v>313</v>
      </c>
      <c r="B31" s="8" t="s">
        <v>1052</v>
      </c>
      <c r="C31" s="8" t="s">
        <v>1053</v>
      </c>
      <c r="D31" s="8" t="s">
        <v>55</v>
      </c>
      <c r="E31" s="8" t="s">
        <v>1054</v>
      </c>
      <c r="F31" s="8" t="s">
        <v>1055</v>
      </c>
      <c r="G31" s="8" t="s">
        <v>1056</v>
      </c>
      <c r="H31" s="8" t="s">
        <v>1057</v>
      </c>
      <c r="I31" s="8" t="s">
        <v>1058</v>
      </c>
      <c r="J31" s="8" t="s">
        <v>1059</v>
      </c>
      <c r="K31" s="8" t="s">
        <v>1060</v>
      </c>
      <c r="L31" s="8" t="s">
        <v>1616</v>
      </c>
      <c r="M31" s="8" t="s">
        <v>1617</v>
      </c>
      <c r="N31" s="8"/>
      <c r="O31" s="8" t="s">
        <v>41</v>
      </c>
      <c r="P31" s="8" t="s">
        <v>41</v>
      </c>
      <c r="Q31" s="8" t="s">
        <v>41</v>
      </c>
      <c r="R31" s="8" t="s">
        <v>1651</v>
      </c>
      <c r="S31" s="8" t="s">
        <v>1618</v>
      </c>
      <c r="T31" s="8"/>
      <c r="U31" s="8"/>
      <c r="V31" s="8" t="s">
        <v>41</v>
      </c>
      <c r="W31" s="8" t="s">
        <v>41</v>
      </c>
      <c r="X31" s="8" t="s">
        <v>1061</v>
      </c>
      <c r="Y31" s="12" t="s">
        <v>1062</v>
      </c>
    </row>
    <row r="32" spans="1:25" ht="15" customHeight="1" x14ac:dyDescent="0.25">
      <c r="A32" s="7" t="s">
        <v>313</v>
      </c>
      <c r="B32" s="7" t="s">
        <v>1063</v>
      </c>
      <c r="C32" s="7" t="s">
        <v>1064</v>
      </c>
      <c r="D32" s="7" t="s">
        <v>55</v>
      </c>
      <c r="E32" s="7" t="s">
        <v>1065</v>
      </c>
      <c r="F32" s="7" t="s">
        <v>1066</v>
      </c>
      <c r="G32" s="7" t="s">
        <v>1067</v>
      </c>
      <c r="H32" s="7" t="s">
        <v>1068</v>
      </c>
      <c r="I32" s="7" t="s">
        <v>1069</v>
      </c>
      <c r="J32" s="7" t="s">
        <v>1070</v>
      </c>
      <c r="K32" s="7" t="s">
        <v>1071</v>
      </c>
      <c r="L32" s="7" t="s">
        <v>1616</v>
      </c>
      <c r="M32" s="7" t="s">
        <v>1617</v>
      </c>
      <c r="N32" s="7" t="s">
        <v>1611</v>
      </c>
      <c r="O32" s="7" t="s">
        <v>41</v>
      </c>
      <c r="P32" s="7" t="s">
        <v>41</v>
      </c>
      <c r="Q32" s="7" t="s">
        <v>41</v>
      </c>
      <c r="R32" s="7" t="s">
        <v>1618</v>
      </c>
      <c r="S32" s="7"/>
      <c r="T32" s="7"/>
      <c r="U32" s="7"/>
      <c r="V32" s="7" t="s">
        <v>41</v>
      </c>
      <c r="W32" s="7" t="s">
        <v>41</v>
      </c>
      <c r="X32" s="7" t="s">
        <v>1072</v>
      </c>
      <c r="Y32" s="11" t="s">
        <v>1073</v>
      </c>
    </row>
    <row r="33" spans="1:25" ht="15" customHeight="1" x14ac:dyDescent="0.25">
      <c r="A33" s="8" t="s">
        <v>313</v>
      </c>
      <c r="B33" s="8" t="s">
        <v>1074</v>
      </c>
      <c r="C33" s="8" t="s">
        <v>1075</v>
      </c>
      <c r="D33" s="8" t="s">
        <v>55</v>
      </c>
      <c r="E33" s="8" t="s">
        <v>1076</v>
      </c>
      <c r="F33" s="8" t="s">
        <v>1077</v>
      </c>
      <c r="G33" s="8" t="s">
        <v>1078</v>
      </c>
      <c r="H33" s="8" t="s">
        <v>1079</v>
      </c>
      <c r="I33" s="8" t="s">
        <v>1080</v>
      </c>
      <c r="J33" s="8" t="s">
        <v>1081</v>
      </c>
      <c r="K33" s="8" t="s">
        <v>939</v>
      </c>
      <c r="L33" s="8" t="s">
        <v>1630</v>
      </c>
      <c r="M33" s="8"/>
      <c r="N33" s="8"/>
      <c r="O33" s="8" t="s">
        <v>41</v>
      </c>
      <c r="P33" s="8" t="s">
        <v>41</v>
      </c>
      <c r="Q33" s="8" t="s">
        <v>41</v>
      </c>
      <c r="R33" s="8" t="s">
        <v>1651</v>
      </c>
      <c r="S33" s="8"/>
      <c r="T33" s="8"/>
      <c r="U33" s="8"/>
      <c r="V33" s="8" t="s">
        <v>41</v>
      </c>
      <c r="W33" s="8" t="s">
        <v>41</v>
      </c>
      <c r="X33" s="8" t="s">
        <v>1082</v>
      </c>
      <c r="Y33" s="12" t="s">
        <v>1083</v>
      </c>
    </row>
    <row r="34" spans="1:25" ht="15" customHeight="1" x14ac:dyDescent="0.25">
      <c r="A34" s="7" t="s">
        <v>313</v>
      </c>
      <c r="B34" s="7" t="s">
        <v>1084</v>
      </c>
      <c r="C34" s="7" t="s">
        <v>1085</v>
      </c>
      <c r="D34" s="7" t="s">
        <v>55</v>
      </c>
      <c r="E34" s="7" t="s">
        <v>1086</v>
      </c>
      <c r="F34" s="7" t="s">
        <v>1087</v>
      </c>
      <c r="G34" s="7" t="s">
        <v>1088</v>
      </c>
      <c r="H34" s="7" t="s">
        <v>1089</v>
      </c>
      <c r="I34" s="7" t="s">
        <v>1090</v>
      </c>
      <c r="J34" s="7" t="s">
        <v>1081</v>
      </c>
      <c r="K34" s="7" t="s">
        <v>939</v>
      </c>
      <c r="L34" s="7" t="s">
        <v>1630</v>
      </c>
      <c r="M34" s="7"/>
      <c r="N34" s="7"/>
      <c r="O34" s="7" t="s">
        <v>41</v>
      </c>
      <c r="P34" s="7" t="s">
        <v>41</v>
      </c>
      <c r="Q34" s="7" t="s">
        <v>41</v>
      </c>
      <c r="R34" s="7" t="s">
        <v>1651</v>
      </c>
      <c r="S34" s="7"/>
      <c r="T34" s="7"/>
      <c r="U34" s="7"/>
      <c r="V34" s="7" t="s">
        <v>41</v>
      </c>
      <c r="W34" s="7" t="s">
        <v>41</v>
      </c>
      <c r="X34" s="7" t="s">
        <v>1091</v>
      </c>
      <c r="Y34" s="11" t="s">
        <v>1083</v>
      </c>
    </row>
    <row r="35" spans="1:25" ht="15" customHeight="1" x14ac:dyDescent="0.25">
      <c r="A35" s="8" t="s">
        <v>313</v>
      </c>
      <c r="B35" s="8" t="s">
        <v>1092</v>
      </c>
      <c r="C35" s="8" t="s">
        <v>1093</v>
      </c>
      <c r="D35" s="8" t="s">
        <v>55</v>
      </c>
      <c r="E35" s="8" t="s">
        <v>1094</v>
      </c>
      <c r="F35" s="8" t="s">
        <v>1095</v>
      </c>
      <c r="G35" s="8" t="s">
        <v>1096</v>
      </c>
      <c r="H35" s="8" t="s">
        <v>1097</v>
      </c>
      <c r="I35" s="8" t="s">
        <v>1098</v>
      </c>
      <c r="J35" s="8"/>
      <c r="K35" s="8" t="s">
        <v>1099</v>
      </c>
      <c r="L35" s="8" t="s">
        <v>1616</v>
      </c>
      <c r="M35" s="8" t="s">
        <v>1617</v>
      </c>
      <c r="N35" s="8"/>
      <c r="O35" s="8" t="s">
        <v>41</v>
      </c>
      <c r="P35" s="8" t="s">
        <v>41</v>
      </c>
      <c r="Q35" s="8" t="s">
        <v>41</v>
      </c>
      <c r="R35" s="8"/>
      <c r="S35" s="8"/>
      <c r="T35" s="8"/>
      <c r="U35" s="8"/>
      <c r="V35" s="8"/>
      <c r="W35" s="8"/>
      <c r="X35" s="8" t="s">
        <v>1100</v>
      </c>
      <c r="Y35" s="12" t="s">
        <v>1101</v>
      </c>
    </row>
    <row r="36" spans="1:25" ht="15" customHeight="1" x14ac:dyDescent="0.25">
      <c r="A36" s="7" t="s">
        <v>316</v>
      </c>
      <c r="B36" s="7"/>
      <c r="C36" s="7" t="s">
        <v>317</v>
      </c>
      <c r="D36" s="7"/>
      <c r="E36" s="7" t="s">
        <v>318</v>
      </c>
      <c r="F36" s="7"/>
      <c r="G36" s="7"/>
      <c r="H36" s="7"/>
      <c r="I36" s="7"/>
      <c r="J36" s="7"/>
      <c r="K36" s="7"/>
      <c r="L36" s="7"/>
      <c r="M36" s="7"/>
      <c r="N36" s="7"/>
      <c r="O36" s="7"/>
      <c r="P36" s="7"/>
      <c r="Q36" s="7"/>
      <c r="R36" s="7"/>
      <c r="S36" s="7"/>
      <c r="T36" s="7"/>
      <c r="U36" s="7"/>
      <c r="V36" s="7"/>
      <c r="W36" s="7"/>
      <c r="X36" s="7"/>
      <c r="Y36" s="11"/>
    </row>
    <row r="37" spans="1:25" ht="15" customHeight="1" x14ac:dyDescent="0.25">
      <c r="A37" s="8" t="s">
        <v>382</v>
      </c>
      <c r="B37" s="8"/>
      <c r="C37" s="8" t="s">
        <v>383</v>
      </c>
      <c r="D37" s="8"/>
      <c r="E37" s="8" t="s">
        <v>384</v>
      </c>
      <c r="F37" s="8"/>
      <c r="G37" s="8"/>
      <c r="H37" s="8"/>
      <c r="I37" s="8"/>
      <c r="J37" s="8"/>
      <c r="K37" s="8"/>
      <c r="L37" s="8"/>
      <c r="M37" s="8"/>
      <c r="N37" s="8"/>
      <c r="O37" s="8"/>
      <c r="P37" s="8"/>
      <c r="Q37" s="8"/>
      <c r="R37" s="8"/>
      <c r="S37" s="8"/>
      <c r="T37" s="8"/>
      <c r="U37" s="8"/>
      <c r="V37" s="8"/>
      <c r="W37" s="8"/>
      <c r="X37" s="8"/>
      <c r="Y37" s="12"/>
    </row>
    <row r="38" spans="1:25" ht="15" customHeight="1" x14ac:dyDescent="0.25">
      <c r="A38" s="7" t="s">
        <v>382</v>
      </c>
      <c r="B38" s="7" t="s">
        <v>1102</v>
      </c>
      <c r="C38" s="7" t="s">
        <v>1103</v>
      </c>
      <c r="D38" s="7" t="s">
        <v>55</v>
      </c>
      <c r="E38" s="7" t="s">
        <v>1104</v>
      </c>
      <c r="F38" s="7" t="s">
        <v>1105</v>
      </c>
      <c r="G38" s="7" t="s">
        <v>1106</v>
      </c>
      <c r="H38" s="7" t="s">
        <v>1107</v>
      </c>
      <c r="I38" s="7" t="s">
        <v>1108</v>
      </c>
      <c r="J38" s="7"/>
      <c r="K38" s="7" t="s">
        <v>101</v>
      </c>
      <c r="L38" s="7" t="s">
        <v>1613</v>
      </c>
      <c r="M38" s="7"/>
      <c r="N38" s="7"/>
      <c r="O38" s="7" t="s">
        <v>41</v>
      </c>
      <c r="P38" s="7" t="s">
        <v>41</v>
      </c>
      <c r="Q38" s="7" t="s">
        <v>41</v>
      </c>
      <c r="R38" s="7" t="s">
        <v>1614</v>
      </c>
      <c r="S38" s="7"/>
      <c r="T38" s="7"/>
      <c r="U38" s="7" t="s">
        <v>41</v>
      </c>
      <c r="V38" s="7" t="s">
        <v>41</v>
      </c>
      <c r="W38" s="7" t="s">
        <v>41</v>
      </c>
      <c r="X38" s="7" t="s">
        <v>1109</v>
      </c>
      <c r="Y38" s="11" t="s">
        <v>1110</v>
      </c>
    </row>
    <row r="39" spans="1:25" ht="15" customHeight="1" x14ac:dyDescent="0.25">
      <c r="A39" s="8" t="s">
        <v>385</v>
      </c>
      <c r="B39" s="8"/>
      <c r="C39" s="8" t="s">
        <v>386</v>
      </c>
      <c r="D39" s="8"/>
      <c r="E39" s="8" t="s">
        <v>387</v>
      </c>
      <c r="F39" s="8"/>
      <c r="G39" s="8"/>
      <c r="H39" s="8"/>
      <c r="I39" s="8"/>
      <c r="J39" s="8"/>
      <c r="K39" s="8"/>
      <c r="L39" s="8"/>
      <c r="M39" s="8"/>
      <c r="N39" s="8"/>
      <c r="O39" s="8"/>
      <c r="P39" s="8"/>
      <c r="Q39" s="8"/>
      <c r="R39" s="8"/>
      <c r="S39" s="8"/>
      <c r="T39" s="8"/>
      <c r="U39" s="8"/>
      <c r="V39" s="8"/>
      <c r="W39" s="8"/>
      <c r="X39" s="8"/>
      <c r="Y39" s="12"/>
    </row>
    <row r="40" spans="1:25" ht="15" customHeight="1" x14ac:dyDescent="0.25">
      <c r="A40" s="7" t="s">
        <v>385</v>
      </c>
      <c r="B40" s="7" t="s">
        <v>1111</v>
      </c>
      <c r="C40" s="7" t="s">
        <v>1112</v>
      </c>
      <c r="D40" s="7" t="s">
        <v>55</v>
      </c>
      <c r="E40" s="7" t="s">
        <v>1113</v>
      </c>
      <c r="F40" s="7" t="s">
        <v>1114</v>
      </c>
      <c r="G40" s="7" t="s">
        <v>1115</v>
      </c>
      <c r="H40" s="7" t="s">
        <v>1116</v>
      </c>
      <c r="I40" s="7" t="s">
        <v>1117</v>
      </c>
      <c r="J40" s="7"/>
      <c r="K40" s="7" t="s">
        <v>580</v>
      </c>
      <c r="L40" s="7" t="s">
        <v>1635</v>
      </c>
      <c r="M40" s="7"/>
      <c r="N40" s="7"/>
      <c r="O40" s="7" t="s">
        <v>41</v>
      </c>
      <c r="P40" s="7" t="s">
        <v>41</v>
      </c>
      <c r="Q40" s="7" t="s">
        <v>41</v>
      </c>
      <c r="R40" s="7" t="s">
        <v>1635</v>
      </c>
      <c r="S40" s="7"/>
      <c r="T40" s="7"/>
      <c r="U40" s="7" t="s">
        <v>41</v>
      </c>
      <c r="V40" s="7" t="s">
        <v>41</v>
      </c>
      <c r="W40" s="7" t="s">
        <v>41</v>
      </c>
      <c r="X40" s="7" t="s">
        <v>1118</v>
      </c>
      <c r="Y40" s="11" t="s">
        <v>1119</v>
      </c>
    </row>
    <row r="41" spans="1:25" ht="15" customHeight="1" x14ac:dyDescent="0.25">
      <c r="A41" s="8" t="s">
        <v>399</v>
      </c>
      <c r="B41" s="8"/>
      <c r="C41" s="8" t="s">
        <v>400</v>
      </c>
      <c r="D41" s="8"/>
      <c r="E41" s="8" t="s">
        <v>401</v>
      </c>
      <c r="F41" s="8"/>
      <c r="G41" s="8"/>
      <c r="H41" s="8"/>
      <c r="I41" s="8"/>
      <c r="J41" s="8"/>
      <c r="K41" s="8"/>
      <c r="L41" s="8"/>
      <c r="M41" s="8"/>
      <c r="N41" s="8"/>
      <c r="O41" s="8"/>
      <c r="P41" s="8"/>
      <c r="Q41" s="8"/>
      <c r="R41" s="8"/>
      <c r="S41" s="8"/>
      <c r="T41" s="8"/>
      <c r="U41" s="8"/>
      <c r="V41" s="8"/>
      <c r="W41" s="8"/>
      <c r="X41" s="8"/>
      <c r="Y41" s="12"/>
    </row>
    <row r="42" spans="1:25" ht="15" customHeight="1" x14ac:dyDescent="0.25">
      <c r="A42" s="7" t="s">
        <v>399</v>
      </c>
      <c r="B42" s="7" t="s">
        <v>1120</v>
      </c>
      <c r="C42" s="7" t="s">
        <v>1121</v>
      </c>
      <c r="D42" s="7" t="s">
        <v>55</v>
      </c>
      <c r="E42" s="7" t="s">
        <v>913</v>
      </c>
      <c r="F42" s="7" t="s">
        <v>1122</v>
      </c>
      <c r="G42" s="7" t="s">
        <v>915</v>
      </c>
      <c r="H42" s="7" t="s">
        <v>1123</v>
      </c>
      <c r="I42" s="7" t="s">
        <v>1124</v>
      </c>
      <c r="J42" s="7" t="s">
        <v>918</v>
      </c>
      <c r="K42" s="7" t="s">
        <v>919</v>
      </c>
      <c r="L42" s="7" t="s">
        <v>1649</v>
      </c>
      <c r="M42" s="7"/>
      <c r="N42" s="7"/>
      <c r="O42" s="7"/>
      <c r="P42" s="7" t="s">
        <v>41</v>
      </c>
      <c r="Q42" s="7" t="s">
        <v>41</v>
      </c>
      <c r="R42" s="7" t="s">
        <v>1650</v>
      </c>
      <c r="S42" s="7"/>
      <c r="T42" s="7"/>
      <c r="U42" s="7"/>
      <c r="V42" s="7"/>
      <c r="W42" s="7" t="s">
        <v>41</v>
      </c>
      <c r="X42" s="7" t="s">
        <v>1125</v>
      </c>
      <c r="Y42" s="11" t="s">
        <v>921</v>
      </c>
    </row>
    <row r="43" spans="1:25" ht="15" customHeight="1" x14ac:dyDescent="0.25">
      <c r="A43" s="8" t="s">
        <v>399</v>
      </c>
      <c r="B43" s="8" t="s">
        <v>1126</v>
      </c>
      <c r="C43" s="8" t="s">
        <v>1127</v>
      </c>
      <c r="D43" s="8" t="s">
        <v>55</v>
      </c>
      <c r="E43" s="8" t="s">
        <v>1128</v>
      </c>
      <c r="F43" s="8" t="s">
        <v>1129</v>
      </c>
      <c r="G43" s="8" t="s">
        <v>1130</v>
      </c>
      <c r="H43" s="8" t="s">
        <v>1131</v>
      </c>
      <c r="I43" s="8" t="s">
        <v>1132</v>
      </c>
      <c r="J43" s="8"/>
      <c r="K43" s="8" t="s">
        <v>1133</v>
      </c>
      <c r="L43" s="8" t="s">
        <v>1655</v>
      </c>
      <c r="M43" s="8"/>
      <c r="N43" s="8"/>
      <c r="O43" s="8"/>
      <c r="P43" s="8" t="s">
        <v>41</v>
      </c>
      <c r="Q43" s="8" t="s">
        <v>41</v>
      </c>
      <c r="R43" s="8" t="s">
        <v>1656</v>
      </c>
      <c r="S43" s="8"/>
      <c r="T43" s="8"/>
      <c r="U43" s="8"/>
      <c r="V43" s="8" t="s">
        <v>41</v>
      </c>
      <c r="W43" s="8" t="s">
        <v>41</v>
      </c>
      <c r="X43" s="8" t="s">
        <v>1134</v>
      </c>
      <c r="Y43" s="12" t="s">
        <v>1135</v>
      </c>
    </row>
    <row r="44" spans="1:25" ht="15" customHeight="1" x14ac:dyDescent="0.25">
      <c r="A44" s="7" t="s">
        <v>399</v>
      </c>
      <c r="B44" s="7" t="s">
        <v>1136</v>
      </c>
      <c r="C44" s="7" t="s">
        <v>1137</v>
      </c>
      <c r="D44" s="7" t="s">
        <v>34</v>
      </c>
      <c r="E44" s="7" t="s">
        <v>1138</v>
      </c>
      <c r="F44" s="7" t="s">
        <v>1139</v>
      </c>
      <c r="G44" s="7" t="s">
        <v>1140</v>
      </c>
      <c r="H44" s="7" t="s">
        <v>1141</v>
      </c>
      <c r="I44" s="7" t="s">
        <v>1142</v>
      </c>
      <c r="J44" s="7"/>
      <c r="K44" s="7" t="s">
        <v>1143</v>
      </c>
      <c r="L44" s="7" t="s">
        <v>1657</v>
      </c>
      <c r="M44" s="7"/>
      <c r="N44" s="7"/>
      <c r="O44" s="7"/>
      <c r="P44" s="7" t="s">
        <v>41</v>
      </c>
      <c r="Q44" s="7" t="s">
        <v>41</v>
      </c>
      <c r="R44" s="7" t="s">
        <v>1201</v>
      </c>
      <c r="S44" s="7"/>
      <c r="T44" s="7"/>
      <c r="U44" s="7"/>
      <c r="V44" s="7" t="s">
        <v>41</v>
      </c>
      <c r="W44" s="7" t="s">
        <v>41</v>
      </c>
      <c r="X44" s="7" t="s">
        <v>1144</v>
      </c>
      <c r="Y44" s="11" t="s">
        <v>1145</v>
      </c>
    </row>
    <row r="45" spans="1:25" ht="15" customHeight="1" x14ac:dyDescent="0.25">
      <c r="A45" s="8" t="s">
        <v>399</v>
      </c>
      <c r="B45" s="8" t="s">
        <v>1146</v>
      </c>
      <c r="C45" s="8" t="s">
        <v>1147</v>
      </c>
      <c r="D45" s="8" t="s">
        <v>55</v>
      </c>
      <c r="E45" s="8" t="s">
        <v>1148</v>
      </c>
      <c r="F45" s="8" t="s">
        <v>1149</v>
      </c>
      <c r="G45" s="8" t="s">
        <v>1150</v>
      </c>
      <c r="H45" s="8" t="s">
        <v>1151</v>
      </c>
      <c r="I45" s="8" t="s">
        <v>1152</v>
      </c>
      <c r="J45" s="8" t="s">
        <v>1153</v>
      </c>
      <c r="K45" s="8" t="s">
        <v>1133</v>
      </c>
      <c r="L45" s="8" t="s">
        <v>1655</v>
      </c>
      <c r="M45" s="8"/>
      <c r="N45" s="8"/>
      <c r="O45" s="8"/>
      <c r="P45" s="8" t="s">
        <v>41</v>
      </c>
      <c r="Q45" s="8" t="s">
        <v>41</v>
      </c>
      <c r="R45" s="8" t="s">
        <v>1656</v>
      </c>
      <c r="S45" s="8"/>
      <c r="T45" s="8"/>
      <c r="U45" s="8"/>
      <c r="V45" s="8" t="s">
        <v>41</v>
      </c>
      <c r="W45" s="8" t="s">
        <v>41</v>
      </c>
      <c r="X45" s="8" t="s">
        <v>1154</v>
      </c>
      <c r="Y45" s="12"/>
    </row>
    <row r="46" spans="1:25" ht="15" customHeight="1" x14ac:dyDescent="0.25">
      <c r="A46" s="7" t="s">
        <v>399</v>
      </c>
      <c r="B46" s="7" t="s">
        <v>1155</v>
      </c>
      <c r="C46" s="7" t="s">
        <v>1156</v>
      </c>
      <c r="D46" s="7" t="s">
        <v>55</v>
      </c>
      <c r="E46" s="7" t="s">
        <v>1157</v>
      </c>
      <c r="F46" s="7" t="s">
        <v>1158</v>
      </c>
      <c r="G46" s="7" t="s">
        <v>1159</v>
      </c>
      <c r="H46" s="7" t="s">
        <v>1160</v>
      </c>
      <c r="I46" s="7" t="s">
        <v>1161</v>
      </c>
      <c r="J46" s="7"/>
      <c r="K46" s="7" t="s">
        <v>92</v>
      </c>
      <c r="L46" s="7" t="s">
        <v>666</v>
      </c>
      <c r="M46" s="7"/>
      <c r="N46" s="7"/>
      <c r="O46" s="7" t="s">
        <v>41</v>
      </c>
      <c r="P46" s="7" t="s">
        <v>41</v>
      </c>
      <c r="Q46" s="7" t="s">
        <v>41</v>
      </c>
      <c r="R46" s="7" t="s">
        <v>1102</v>
      </c>
      <c r="S46" s="7"/>
      <c r="T46" s="7"/>
      <c r="U46" s="7" t="s">
        <v>41</v>
      </c>
      <c r="V46" s="7" t="s">
        <v>41</v>
      </c>
      <c r="W46" s="7" t="s">
        <v>41</v>
      </c>
      <c r="X46" s="7" t="s">
        <v>1162</v>
      </c>
      <c r="Y46" s="11" t="s">
        <v>1163</v>
      </c>
    </row>
    <row r="47" spans="1:25" ht="15" customHeight="1" x14ac:dyDescent="0.25">
      <c r="A47" s="8" t="s">
        <v>399</v>
      </c>
      <c r="B47" s="8" t="s">
        <v>1164</v>
      </c>
      <c r="C47" s="8" t="s">
        <v>1165</v>
      </c>
      <c r="D47" s="8" t="s">
        <v>55</v>
      </c>
      <c r="E47" s="8" t="s">
        <v>1166</v>
      </c>
      <c r="F47" s="8" t="s">
        <v>1167</v>
      </c>
      <c r="G47" s="8" t="s">
        <v>1168</v>
      </c>
      <c r="H47" s="8" t="s">
        <v>1169</v>
      </c>
      <c r="I47" s="8" t="s">
        <v>1170</v>
      </c>
      <c r="J47" s="8"/>
      <c r="K47" s="8" t="s">
        <v>1171</v>
      </c>
      <c r="L47" s="8" t="s">
        <v>666</v>
      </c>
      <c r="M47" s="8"/>
      <c r="N47" s="8"/>
      <c r="O47" s="8" t="s">
        <v>41</v>
      </c>
      <c r="P47" s="8" t="s">
        <v>41</v>
      </c>
      <c r="Q47" s="8" t="s">
        <v>41</v>
      </c>
      <c r="R47" s="8" t="s">
        <v>1102</v>
      </c>
      <c r="S47" s="8" t="s">
        <v>1616</v>
      </c>
      <c r="T47" s="8"/>
      <c r="U47" s="8" t="s">
        <v>41</v>
      </c>
      <c r="V47" s="8" t="s">
        <v>41</v>
      </c>
      <c r="W47" s="8" t="s">
        <v>41</v>
      </c>
      <c r="X47" s="8" t="s">
        <v>1172</v>
      </c>
      <c r="Y47" s="12" t="s">
        <v>1163</v>
      </c>
    </row>
    <row r="48" spans="1:25" ht="15" customHeight="1" x14ac:dyDescent="0.25">
      <c r="A48" s="7" t="s">
        <v>399</v>
      </c>
      <c r="B48" s="7" t="s">
        <v>1173</v>
      </c>
      <c r="C48" s="7" t="s">
        <v>1174</v>
      </c>
      <c r="D48" s="7" t="s">
        <v>55</v>
      </c>
      <c r="E48" s="7" t="s">
        <v>1175</v>
      </c>
      <c r="F48" s="7" t="s">
        <v>1176</v>
      </c>
      <c r="G48" s="7" t="s">
        <v>1177</v>
      </c>
      <c r="H48" s="7" t="s">
        <v>1178</v>
      </c>
      <c r="I48" s="7" t="s">
        <v>1179</v>
      </c>
      <c r="J48" s="7"/>
      <c r="K48" s="7" t="s">
        <v>92</v>
      </c>
      <c r="L48" s="7" t="s">
        <v>666</v>
      </c>
      <c r="M48" s="7"/>
      <c r="N48" s="7"/>
      <c r="O48" s="7" t="s">
        <v>41</v>
      </c>
      <c r="P48" s="7" t="s">
        <v>41</v>
      </c>
      <c r="Q48" s="7" t="s">
        <v>41</v>
      </c>
      <c r="R48" s="7" t="s">
        <v>1102</v>
      </c>
      <c r="S48" s="7"/>
      <c r="T48" s="7"/>
      <c r="U48" s="7" t="s">
        <v>41</v>
      </c>
      <c r="V48" s="7" t="s">
        <v>41</v>
      </c>
      <c r="W48" s="7" t="s">
        <v>41</v>
      </c>
      <c r="X48" s="7" t="s">
        <v>1180</v>
      </c>
      <c r="Y48" s="11" t="s">
        <v>1181</v>
      </c>
    </row>
    <row r="49" spans="1:25" ht="15" customHeight="1" x14ac:dyDescent="0.25">
      <c r="A49" s="8" t="s">
        <v>429</v>
      </c>
      <c r="B49" s="8"/>
      <c r="C49" s="8" t="s">
        <v>430</v>
      </c>
      <c r="D49" s="8"/>
      <c r="E49" s="8" t="s">
        <v>431</v>
      </c>
      <c r="F49" s="8"/>
      <c r="G49" s="8"/>
      <c r="H49" s="8"/>
      <c r="I49" s="8"/>
      <c r="J49" s="8"/>
      <c r="K49" s="8"/>
      <c r="L49" s="8"/>
      <c r="M49" s="8"/>
      <c r="N49" s="8"/>
      <c r="O49" s="8"/>
      <c r="P49" s="8"/>
      <c r="Q49" s="8"/>
      <c r="R49" s="8"/>
      <c r="S49" s="8"/>
      <c r="T49" s="8"/>
      <c r="U49" s="8"/>
      <c r="V49" s="8"/>
      <c r="W49" s="8"/>
      <c r="X49" s="8"/>
      <c r="Y49" s="12"/>
    </row>
    <row r="50" spans="1:25" ht="15" customHeight="1" x14ac:dyDescent="0.25">
      <c r="A50" s="7" t="s">
        <v>507</v>
      </c>
      <c r="B50" s="7"/>
      <c r="C50" s="7" t="s">
        <v>508</v>
      </c>
      <c r="D50" s="7"/>
      <c r="E50" s="7"/>
      <c r="F50" s="7"/>
      <c r="G50" s="7"/>
      <c r="H50" s="7"/>
      <c r="I50" s="7"/>
      <c r="J50" s="7"/>
      <c r="K50" s="7"/>
      <c r="L50" s="7"/>
      <c r="M50" s="7"/>
      <c r="N50" s="7"/>
      <c r="O50" s="7"/>
      <c r="P50" s="7"/>
      <c r="Q50" s="7"/>
      <c r="R50" s="7"/>
      <c r="S50" s="7"/>
      <c r="T50" s="7"/>
      <c r="U50" s="7"/>
      <c r="V50" s="7"/>
      <c r="W50" s="7"/>
      <c r="X50" s="7"/>
      <c r="Y50" s="11"/>
    </row>
    <row r="51" spans="1:25" ht="15" customHeight="1" x14ac:dyDescent="0.25">
      <c r="A51" s="8" t="s">
        <v>507</v>
      </c>
      <c r="B51" s="8" t="s">
        <v>1182</v>
      </c>
      <c r="C51" s="8" t="s">
        <v>1183</v>
      </c>
      <c r="D51" s="8" t="s">
        <v>34</v>
      </c>
      <c r="E51" s="8" t="s">
        <v>1184</v>
      </c>
      <c r="F51" s="8" t="s">
        <v>1185</v>
      </c>
      <c r="G51" s="8" t="s">
        <v>1186</v>
      </c>
      <c r="H51" s="8" t="s">
        <v>1187</v>
      </c>
      <c r="I51" s="8" t="s">
        <v>1188</v>
      </c>
      <c r="J51" s="8"/>
      <c r="K51" s="8" t="s">
        <v>92</v>
      </c>
      <c r="L51" s="8" t="s">
        <v>666</v>
      </c>
      <c r="M51" s="8"/>
      <c r="N51" s="8"/>
      <c r="O51" s="8" t="s">
        <v>41</v>
      </c>
      <c r="P51" s="8" t="s">
        <v>41</v>
      </c>
      <c r="Q51" s="8" t="s">
        <v>41</v>
      </c>
      <c r="R51" s="8" t="s">
        <v>1102</v>
      </c>
      <c r="S51" s="8"/>
      <c r="T51" s="8"/>
      <c r="U51" s="8" t="s">
        <v>41</v>
      </c>
      <c r="V51" s="8" t="s">
        <v>41</v>
      </c>
      <c r="W51" s="8" t="s">
        <v>41</v>
      </c>
      <c r="X51" s="8" t="s">
        <v>1189</v>
      </c>
      <c r="Y51" s="12" t="s">
        <v>1190</v>
      </c>
    </row>
    <row r="52" spans="1:25" ht="15" customHeight="1" x14ac:dyDescent="0.25">
      <c r="A52" s="7" t="s">
        <v>509</v>
      </c>
      <c r="B52" s="7"/>
      <c r="C52" s="7" t="s">
        <v>510</v>
      </c>
      <c r="D52" s="7"/>
      <c r="E52" s="7" t="s">
        <v>511</v>
      </c>
      <c r="F52" s="7"/>
      <c r="G52" s="7"/>
      <c r="H52" s="7"/>
      <c r="I52" s="7"/>
      <c r="J52" s="7"/>
      <c r="K52" s="7"/>
      <c r="L52" s="7"/>
      <c r="M52" s="7"/>
      <c r="N52" s="7"/>
      <c r="O52" s="7"/>
      <c r="P52" s="7"/>
      <c r="Q52" s="7"/>
      <c r="R52" s="7"/>
      <c r="S52" s="7"/>
      <c r="T52" s="7"/>
      <c r="U52" s="7"/>
      <c r="V52" s="7"/>
      <c r="W52" s="7"/>
      <c r="X52" s="7"/>
      <c r="Y52" s="11"/>
    </row>
    <row r="53" spans="1:25" ht="15" customHeight="1" x14ac:dyDescent="0.25">
      <c r="A53" s="8" t="s">
        <v>509</v>
      </c>
      <c r="B53" s="8" t="s">
        <v>1191</v>
      </c>
      <c r="C53" s="8" t="s">
        <v>1192</v>
      </c>
      <c r="D53" s="8" t="s">
        <v>34</v>
      </c>
      <c r="E53" s="8" t="s">
        <v>1193</v>
      </c>
      <c r="F53" s="8" t="s">
        <v>1194</v>
      </c>
      <c r="G53" s="8" t="s">
        <v>1195</v>
      </c>
      <c r="H53" s="8" t="s">
        <v>1196</v>
      </c>
      <c r="I53" s="8" t="s">
        <v>1197</v>
      </c>
      <c r="J53" s="8"/>
      <c r="K53" s="8" t="s">
        <v>1198</v>
      </c>
      <c r="L53" s="8" t="s">
        <v>668</v>
      </c>
      <c r="M53" s="8" t="s">
        <v>1658</v>
      </c>
      <c r="N53" s="8"/>
      <c r="O53" s="8" t="s">
        <v>41</v>
      </c>
      <c r="P53" s="8" t="s">
        <v>41</v>
      </c>
      <c r="Q53" s="8" t="s">
        <v>41</v>
      </c>
      <c r="R53" s="8" t="s">
        <v>1617</v>
      </c>
      <c r="S53" s="8"/>
      <c r="T53" s="8"/>
      <c r="U53" s="8"/>
      <c r="V53" s="8" t="s">
        <v>41</v>
      </c>
      <c r="W53" s="8" t="s">
        <v>41</v>
      </c>
      <c r="X53" s="8" t="s">
        <v>1199</v>
      </c>
      <c r="Y53" s="12" t="s">
        <v>1200</v>
      </c>
    </row>
    <row r="54" spans="1:25" ht="15" customHeight="1" x14ac:dyDescent="0.25">
      <c r="A54" s="7" t="s">
        <v>509</v>
      </c>
      <c r="B54" s="7" t="s">
        <v>1201</v>
      </c>
      <c r="C54" s="7" t="s">
        <v>1202</v>
      </c>
      <c r="D54" s="7" t="s">
        <v>34</v>
      </c>
      <c r="E54" s="7" t="s">
        <v>1203</v>
      </c>
      <c r="F54" s="7" t="s">
        <v>1204</v>
      </c>
      <c r="G54" s="7" t="s">
        <v>1205</v>
      </c>
      <c r="H54" s="7" t="s">
        <v>1206</v>
      </c>
      <c r="I54" s="7" t="s">
        <v>1207</v>
      </c>
      <c r="J54" s="7"/>
      <c r="K54" s="7" t="s">
        <v>1208</v>
      </c>
      <c r="L54" s="7" t="s">
        <v>1606</v>
      </c>
      <c r="M54" s="7" t="s">
        <v>1654</v>
      </c>
      <c r="N54" s="7"/>
      <c r="O54" s="7"/>
      <c r="P54" s="7" t="s">
        <v>41</v>
      </c>
      <c r="Q54" s="7" t="s">
        <v>41</v>
      </c>
      <c r="R54" s="7" t="s">
        <v>1659</v>
      </c>
      <c r="S54" s="7" t="s">
        <v>1632</v>
      </c>
      <c r="T54" s="7"/>
      <c r="U54" s="7" t="s">
        <v>41</v>
      </c>
      <c r="V54" s="7" t="s">
        <v>41</v>
      </c>
      <c r="W54" s="7" t="s">
        <v>41</v>
      </c>
      <c r="X54" s="7" t="s">
        <v>1209</v>
      </c>
      <c r="Y54" s="11" t="s">
        <v>1210</v>
      </c>
    </row>
    <row r="55" spans="1:25" ht="15" customHeight="1" x14ac:dyDescent="0.25">
      <c r="A55" s="8" t="s">
        <v>509</v>
      </c>
      <c r="B55" s="8" t="s">
        <v>1211</v>
      </c>
      <c r="C55" s="8" t="s">
        <v>1212</v>
      </c>
      <c r="D55" s="8" t="s">
        <v>34</v>
      </c>
      <c r="E55" s="8" t="s">
        <v>1213</v>
      </c>
      <c r="F55" s="8" t="s">
        <v>1214</v>
      </c>
      <c r="G55" s="8" t="s">
        <v>1215</v>
      </c>
      <c r="H55" s="8" t="s">
        <v>1216</v>
      </c>
      <c r="I55" s="8" t="s">
        <v>1217</v>
      </c>
      <c r="J55" s="8" t="s">
        <v>1218</v>
      </c>
      <c r="K55" s="8" t="s">
        <v>1198</v>
      </c>
      <c r="L55" s="8" t="s">
        <v>668</v>
      </c>
      <c r="M55" s="8" t="s">
        <v>1658</v>
      </c>
      <c r="N55" s="8"/>
      <c r="O55" s="8" t="s">
        <v>41</v>
      </c>
      <c r="P55" s="8" t="s">
        <v>41</v>
      </c>
      <c r="Q55" s="8" t="s">
        <v>41</v>
      </c>
      <c r="R55" s="8" t="s">
        <v>1617</v>
      </c>
      <c r="S55" s="8"/>
      <c r="T55" s="8"/>
      <c r="U55" s="8"/>
      <c r="V55" s="8" t="s">
        <v>41</v>
      </c>
      <c r="W55" s="8" t="s">
        <v>41</v>
      </c>
      <c r="X55" s="8" t="s">
        <v>1219</v>
      </c>
      <c r="Y55" s="12" t="s">
        <v>1220</v>
      </c>
    </row>
    <row r="56" spans="1:25" ht="15" customHeight="1" x14ac:dyDescent="0.25">
      <c r="A56" s="7" t="s">
        <v>509</v>
      </c>
      <c r="B56" s="7" t="s">
        <v>1221</v>
      </c>
      <c r="C56" s="7" t="s">
        <v>1222</v>
      </c>
      <c r="D56" s="7" t="s">
        <v>55</v>
      </c>
      <c r="E56" s="7" t="s">
        <v>1223</v>
      </c>
      <c r="F56" s="7" t="s">
        <v>1224</v>
      </c>
      <c r="G56" s="7" t="s">
        <v>1225</v>
      </c>
      <c r="H56" s="7" t="s">
        <v>1226</v>
      </c>
      <c r="I56" s="7" t="s">
        <v>1227</v>
      </c>
      <c r="J56" s="7"/>
      <c r="K56" s="7" t="s">
        <v>61</v>
      </c>
      <c r="L56" s="7" t="s">
        <v>145</v>
      </c>
      <c r="M56" s="7"/>
      <c r="N56" s="7"/>
      <c r="O56" s="7"/>
      <c r="P56" s="7" t="s">
        <v>41</v>
      </c>
      <c r="Q56" s="7" t="s">
        <v>41</v>
      </c>
      <c r="R56" s="7" t="s">
        <v>1610</v>
      </c>
      <c r="S56" s="7"/>
      <c r="T56" s="7"/>
      <c r="U56" s="7"/>
      <c r="V56" s="7" t="s">
        <v>41</v>
      </c>
      <c r="W56" s="7" t="s">
        <v>41</v>
      </c>
      <c r="X56" s="7" t="s">
        <v>1228</v>
      </c>
      <c r="Y56" s="11" t="s">
        <v>1229</v>
      </c>
    </row>
    <row r="57" spans="1:25" ht="15" customHeight="1" x14ac:dyDescent="0.25">
      <c r="A57" s="8" t="s">
        <v>509</v>
      </c>
      <c r="B57" s="8" t="s">
        <v>1230</v>
      </c>
      <c r="C57" s="8" t="s">
        <v>1231</v>
      </c>
      <c r="D57" s="8" t="s">
        <v>34</v>
      </c>
      <c r="E57" s="8" t="s">
        <v>1232</v>
      </c>
      <c r="F57" s="8" t="s">
        <v>1233</v>
      </c>
      <c r="G57" s="8" t="s">
        <v>1234</v>
      </c>
      <c r="H57" s="8" t="s">
        <v>1235</v>
      </c>
      <c r="I57" s="8" t="s">
        <v>1236</v>
      </c>
      <c r="J57" s="8"/>
      <c r="K57" s="8" t="s">
        <v>1237</v>
      </c>
      <c r="L57" s="8" t="s">
        <v>1660</v>
      </c>
      <c r="M57" s="8"/>
      <c r="N57" s="8"/>
      <c r="O57" s="8"/>
      <c r="P57" s="8"/>
      <c r="Q57" s="8" t="s">
        <v>41</v>
      </c>
      <c r="R57" s="8" t="s">
        <v>1661</v>
      </c>
      <c r="S57" s="8"/>
      <c r="T57" s="8"/>
      <c r="U57" s="8"/>
      <c r="V57" s="8"/>
      <c r="W57" s="8" t="s">
        <v>41</v>
      </c>
      <c r="X57" s="8" t="s">
        <v>1238</v>
      </c>
      <c r="Y57" s="12" t="s">
        <v>1239</v>
      </c>
    </row>
    <row r="58" spans="1:25" ht="15" customHeight="1" x14ac:dyDescent="0.25">
      <c r="A58" s="7" t="s">
        <v>509</v>
      </c>
      <c r="B58" s="7" t="s">
        <v>1240</v>
      </c>
      <c r="C58" s="7" t="s">
        <v>1241</v>
      </c>
      <c r="D58" s="7" t="s">
        <v>34</v>
      </c>
      <c r="E58" s="7" t="s">
        <v>1242</v>
      </c>
      <c r="F58" s="7" t="s">
        <v>1243</v>
      </c>
      <c r="G58" s="7" t="s">
        <v>1244</v>
      </c>
      <c r="H58" s="7" t="s">
        <v>1245</v>
      </c>
      <c r="I58" s="7" t="s">
        <v>1246</v>
      </c>
      <c r="J58" s="7"/>
      <c r="K58" s="7" t="s">
        <v>1237</v>
      </c>
      <c r="L58" s="7" t="s">
        <v>1660</v>
      </c>
      <c r="M58" s="7"/>
      <c r="N58" s="7"/>
      <c r="O58" s="7"/>
      <c r="P58" s="7"/>
      <c r="Q58" s="7" t="s">
        <v>41</v>
      </c>
      <c r="R58" s="7" t="s">
        <v>1661</v>
      </c>
      <c r="S58" s="7"/>
      <c r="T58" s="7"/>
      <c r="U58" s="7"/>
      <c r="V58" s="7"/>
      <c r="W58" s="7" t="s">
        <v>41</v>
      </c>
      <c r="X58" s="7" t="s">
        <v>1247</v>
      </c>
      <c r="Y58" s="11" t="s">
        <v>1248</v>
      </c>
    </row>
    <row r="59" spans="1:25" ht="15" customHeight="1" x14ac:dyDescent="0.25">
      <c r="A59" s="8" t="s">
        <v>509</v>
      </c>
      <c r="B59" s="8" t="s">
        <v>1249</v>
      </c>
      <c r="C59" s="8" t="s">
        <v>1250</v>
      </c>
      <c r="D59" s="8" t="s">
        <v>34</v>
      </c>
      <c r="E59" s="8" t="s">
        <v>1251</v>
      </c>
      <c r="F59" s="8" t="s">
        <v>1252</v>
      </c>
      <c r="G59" s="8" t="s">
        <v>1253</v>
      </c>
      <c r="H59" s="8" t="s">
        <v>1254</v>
      </c>
      <c r="I59" s="8" t="s">
        <v>1255</v>
      </c>
      <c r="J59" s="8"/>
      <c r="K59" s="8" t="s">
        <v>1237</v>
      </c>
      <c r="L59" s="8" t="s">
        <v>1660</v>
      </c>
      <c r="M59" s="8"/>
      <c r="N59" s="8"/>
      <c r="O59" s="8"/>
      <c r="P59" s="8"/>
      <c r="Q59" s="8" t="s">
        <v>41</v>
      </c>
      <c r="R59" s="8" t="s">
        <v>1661</v>
      </c>
      <c r="S59" s="8"/>
      <c r="T59" s="8"/>
      <c r="U59" s="8"/>
      <c r="V59" s="8"/>
      <c r="W59" s="8" t="s">
        <v>41</v>
      </c>
      <c r="X59" s="8" t="s">
        <v>1256</v>
      </c>
      <c r="Y59" s="12" t="s">
        <v>1257</v>
      </c>
    </row>
    <row r="60" spans="1:25" ht="15" customHeight="1" x14ac:dyDescent="0.25">
      <c r="A60" s="7" t="s">
        <v>509</v>
      </c>
      <c r="B60" s="7" t="s">
        <v>1258</v>
      </c>
      <c r="C60" s="7" t="s">
        <v>1259</v>
      </c>
      <c r="D60" s="7" t="s">
        <v>55</v>
      </c>
      <c r="E60" s="7" t="s">
        <v>1260</v>
      </c>
      <c r="F60" s="7" t="s">
        <v>1261</v>
      </c>
      <c r="G60" s="7" t="s">
        <v>1262</v>
      </c>
      <c r="H60" s="7" t="s">
        <v>1263</v>
      </c>
      <c r="I60" s="7" t="s">
        <v>1264</v>
      </c>
      <c r="J60" s="7" t="s">
        <v>1265</v>
      </c>
      <c r="K60" s="7" t="s">
        <v>560</v>
      </c>
      <c r="L60" s="7" t="s">
        <v>1631</v>
      </c>
      <c r="M60" s="7"/>
      <c r="N60" s="7"/>
      <c r="O60" s="7"/>
      <c r="P60" s="7" t="s">
        <v>41</v>
      </c>
      <c r="Q60" s="7" t="s">
        <v>41</v>
      </c>
      <c r="R60" s="7" t="s">
        <v>1609</v>
      </c>
      <c r="S60" s="7"/>
      <c r="T60" s="7"/>
      <c r="U60" s="7" t="s">
        <v>41</v>
      </c>
      <c r="V60" s="7" t="s">
        <v>41</v>
      </c>
      <c r="W60" s="7" t="s">
        <v>41</v>
      </c>
      <c r="X60" s="7" t="s">
        <v>1266</v>
      </c>
      <c r="Y60" s="11" t="s">
        <v>1267</v>
      </c>
    </row>
    <row r="61" spans="1:25" ht="15" customHeight="1" x14ac:dyDescent="0.25">
      <c r="A61" s="8" t="s">
        <v>583</v>
      </c>
      <c r="B61" s="8"/>
      <c r="C61" s="8" t="s">
        <v>584</v>
      </c>
      <c r="D61" s="8"/>
      <c r="E61" s="8" t="s">
        <v>585</v>
      </c>
      <c r="F61" s="8"/>
      <c r="G61" s="8"/>
      <c r="H61" s="8"/>
      <c r="I61" s="8"/>
      <c r="J61" s="8"/>
      <c r="K61" s="8"/>
      <c r="L61" s="8"/>
      <c r="M61" s="8"/>
      <c r="N61" s="8"/>
      <c r="O61" s="8"/>
      <c r="P61" s="8"/>
      <c r="Q61" s="8"/>
      <c r="R61" s="8"/>
      <c r="S61" s="8"/>
      <c r="T61" s="8"/>
      <c r="U61" s="8"/>
      <c r="V61" s="8"/>
      <c r="W61" s="8"/>
      <c r="X61" s="8"/>
      <c r="Y61" s="12"/>
    </row>
    <row r="62" spans="1:25" ht="15" customHeight="1" x14ac:dyDescent="0.25">
      <c r="A62" s="7" t="s">
        <v>583</v>
      </c>
      <c r="B62" s="7" t="s">
        <v>1268</v>
      </c>
      <c r="C62" s="7" t="s">
        <v>1269</v>
      </c>
      <c r="D62" s="7" t="s">
        <v>34</v>
      </c>
      <c r="E62" s="7" t="s">
        <v>1270</v>
      </c>
      <c r="F62" s="7" t="s">
        <v>1271</v>
      </c>
      <c r="G62" s="7" t="s">
        <v>1272</v>
      </c>
      <c r="H62" s="7" t="s">
        <v>1273</v>
      </c>
      <c r="I62" s="7" t="s">
        <v>1274</v>
      </c>
      <c r="J62" s="7"/>
      <c r="K62" s="7" t="s">
        <v>1275</v>
      </c>
      <c r="L62" s="7" t="s">
        <v>1662</v>
      </c>
      <c r="M62" s="7"/>
      <c r="N62" s="7"/>
      <c r="O62" s="7"/>
      <c r="P62" s="7"/>
      <c r="Q62" s="7" t="s">
        <v>41</v>
      </c>
      <c r="R62" s="7" t="s">
        <v>1663</v>
      </c>
      <c r="S62" s="7"/>
      <c r="T62" s="7"/>
      <c r="U62" s="7"/>
      <c r="V62" s="7"/>
      <c r="W62" s="7" t="s">
        <v>41</v>
      </c>
      <c r="X62" s="7" t="s">
        <v>1276</v>
      </c>
      <c r="Y62" s="11" t="s">
        <v>1277</v>
      </c>
    </row>
    <row r="63" spans="1:25" ht="15" customHeight="1" x14ac:dyDescent="0.25">
      <c r="A63" s="8" t="s">
        <v>586</v>
      </c>
      <c r="B63" s="8"/>
      <c r="C63" s="8" t="s">
        <v>587</v>
      </c>
      <c r="D63" s="8"/>
      <c r="E63" s="8" t="s">
        <v>588</v>
      </c>
      <c r="F63" s="8"/>
      <c r="G63" s="8"/>
      <c r="H63" s="8"/>
      <c r="I63" s="8"/>
      <c r="J63" s="8"/>
      <c r="K63" s="8"/>
      <c r="L63" s="8"/>
      <c r="M63" s="8"/>
      <c r="N63" s="8"/>
      <c r="O63" s="8"/>
      <c r="P63" s="8"/>
      <c r="Q63" s="8"/>
      <c r="R63" s="8"/>
      <c r="S63" s="8"/>
      <c r="T63" s="8"/>
      <c r="U63" s="8"/>
      <c r="V63" s="8"/>
      <c r="W63" s="8"/>
      <c r="X63" s="8"/>
      <c r="Y63" s="12"/>
    </row>
    <row r="64" spans="1:25" ht="15" customHeight="1" x14ac:dyDescent="0.25">
      <c r="A64" s="7" t="s">
        <v>586</v>
      </c>
      <c r="B64" s="7" t="s">
        <v>1278</v>
      </c>
      <c r="C64" s="7" t="s">
        <v>1279</v>
      </c>
      <c r="D64" s="7" t="s">
        <v>55</v>
      </c>
      <c r="E64" s="7" t="s">
        <v>1280</v>
      </c>
      <c r="F64" s="7" t="s">
        <v>1281</v>
      </c>
      <c r="G64" s="7" t="s">
        <v>1282</v>
      </c>
      <c r="H64" s="7" t="s">
        <v>1283</v>
      </c>
      <c r="I64" s="7" t="s">
        <v>1284</v>
      </c>
      <c r="J64" s="7" t="s">
        <v>1285</v>
      </c>
      <c r="K64" s="7" t="s">
        <v>1286</v>
      </c>
      <c r="L64" s="7" t="s">
        <v>1201</v>
      </c>
      <c r="M64" s="7"/>
      <c r="N64" s="7"/>
      <c r="O64" s="7"/>
      <c r="P64" s="7" t="s">
        <v>41</v>
      </c>
      <c r="Q64" s="7" t="s">
        <v>41</v>
      </c>
      <c r="R64" s="7" t="s">
        <v>117</v>
      </c>
      <c r="S64" s="7"/>
      <c r="T64" s="7"/>
      <c r="U64" s="7"/>
      <c r="V64" s="7" t="s">
        <v>41</v>
      </c>
      <c r="W64" s="7" t="s">
        <v>41</v>
      </c>
      <c r="X64" s="7" t="s">
        <v>1287</v>
      </c>
      <c r="Y64" s="11" t="s">
        <v>1288</v>
      </c>
    </row>
    <row r="65" spans="1:25" ht="15" customHeight="1" x14ac:dyDescent="0.25">
      <c r="A65" s="8" t="s">
        <v>646</v>
      </c>
      <c r="B65" s="8"/>
      <c r="C65" s="8" t="s">
        <v>647</v>
      </c>
      <c r="D65" s="8"/>
      <c r="E65" s="8" t="s">
        <v>648</v>
      </c>
      <c r="F65" s="8"/>
      <c r="G65" s="8"/>
      <c r="H65" s="8"/>
      <c r="I65" s="8"/>
      <c r="J65" s="8"/>
      <c r="K65" s="8"/>
      <c r="L65" s="8"/>
      <c r="M65" s="8"/>
      <c r="N65" s="8"/>
      <c r="O65" s="8"/>
      <c r="P65" s="8"/>
      <c r="Q65" s="8"/>
      <c r="R65" s="8"/>
      <c r="S65" s="8"/>
      <c r="T65" s="8"/>
      <c r="U65" s="8"/>
      <c r="V65" s="8"/>
      <c r="W65" s="8"/>
      <c r="X65" s="8"/>
      <c r="Y65" s="12"/>
    </row>
    <row r="66" spans="1:25" ht="15" customHeight="1" x14ac:dyDescent="0.25">
      <c r="A66" s="7" t="s">
        <v>646</v>
      </c>
      <c r="B66" s="7" t="s">
        <v>1289</v>
      </c>
      <c r="C66" s="7" t="s">
        <v>1290</v>
      </c>
      <c r="D66" s="7" t="s">
        <v>34</v>
      </c>
      <c r="E66" s="7" t="s">
        <v>1291</v>
      </c>
      <c r="F66" s="7" t="s">
        <v>1292</v>
      </c>
      <c r="G66" s="7" t="s">
        <v>1293</v>
      </c>
      <c r="H66" s="7" t="s">
        <v>1294</v>
      </c>
      <c r="I66" s="7" t="s">
        <v>1295</v>
      </c>
      <c r="J66" s="7"/>
      <c r="K66" s="7" t="s">
        <v>292</v>
      </c>
      <c r="L66" s="7" t="s">
        <v>1626</v>
      </c>
      <c r="M66" s="7"/>
      <c r="N66" s="7"/>
      <c r="O66" s="7" t="s">
        <v>41</v>
      </c>
      <c r="P66" s="7" t="s">
        <v>41</v>
      </c>
      <c r="Q66" s="7" t="s">
        <v>41</v>
      </c>
      <c r="R66" s="7" t="s">
        <v>281</v>
      </c>
      <c r="S66" s="7"/>
      <c r="T66" s="7"/>
      <c r="U66" s="7" t="s">
        <v>41</v>
      </c>
      <c r="V66" s="7" t="s">
        <v>41</v>
      </c>
      <c r="W66" s="7" t="s">
        <v>41</v>
      </c>
      <c r="X66" s="7" t="s">
        <v>1296</v>
      </c>
      <c r="Y66" s="11" t="s">
        <v>1297</v>
      </c>
    </row>
    <row r="67" spans="1:25" ht="15" customHeight="1" x14ac:dyDescent="0.25">
      <c r="A67" s="8" t="s">
        <v>649</v>
      </c>
      <c r="B67" s="8"/>
      <c r="C67" s="8" t="s">
        <v>650</v>
      </c>
      <c r="D67" s="8"/>
      <c r="E67" s="8" t="s">
        <v>651</v>
      </c>
      <c r="F67" s="8"/>
      <c r="G67" s="8"/>
      <c r="H67" s="8"/>
      <c r="I67" s="8"/>
      <c r="J67" s="8"/>
      <c r="K67" s="8"/>
      <c r="L67" s="8"/>
      <c r="M67" s="8"/>
      <c r="N67" s="8"/>
      <c r="O67" s="8"/>
      <c r="P67" s="8"/>
      <c r="Q67" s="8"/>
      <c r="R67" s="8"/>
      <c r="S67" s="8"/>
      <c r="T67" s="8"/>
      <c r="U67" s="8"/>
      <c r="V67" s="8"/>
      <c r="W67" s="8"/>
      <c r="X67" s="8"/>
      <c r="Y67" s="12"/>
    </row>
    <row r="68" spans="1:25" ht="15" customHeight="1" x14ac:dyDescent="0.25">
      <c r="A68" s="7" t="s">
        <v>649</v>
      </c>
      <c r="B68" s="7" t="s">
        <v>1298</v>
      </c>
      <c r="C68" s="7" t="s">
        <v>1299</v>
      </c>
      <c r="D68" s="7" t="s">
        <v>34</v>
      </c>
      <c r="E68" s="7" t="s">
        <v>1300</v>
      </c>
      <c r="F68" s="7" t="s">
        <v>1301</v>
      </c>
      <c r="G68" s="7" t="s">
        <v>1302</v>
      </c>
      <c r="H68" s="7" t="s">
        <v>1303</v>
      </c>
      <c r="I68" s="7" t="s">
        <v>1304</v>
      </c>
      <c r="J68" s="7"/>
      <c r="K68" s="7" t="s">
        <v>1305</v>
      </c>
      <c r="L68" s="7" t="s">
        <v>1610</v>
      </c>
      <c r="M68" s="7"/>
      <c r="N68" s="7"/>
      <c r="O68" s="7"/>
      <c r="P68" s="7" t="s">
        <v>41</v>
      </c>
      <c r="Q68" s="7" t="s">
        <v>41</v>
      </c>
      <c r="R68" s="7" t="s">
        <v>1664</v>
      </c>
      <c r="S68" s="7"/>
      <c r="T68" s="7"/>
      <c r="U68" s="7"/>
      <c r="V68" s="7" t="s">
        <v>41</v>
      </c>
      <c r="W68" s="7" t="s">
        <v>41</v>
      </c>
      <c r="X68" s="7" t="s">
        <v>1306</v>
      </c>
      <c r="Y68" s="11" t="s">
        <v>1307</v>
      </c>
    </row>
    <row r="69" spans="1:25" ht="15" customHeight="1" x14ac:dyDescent="0.25">
      <c r="A69" s="8" t="s">
        <v>652</v>
      </c>
      <c r="B69" s="8"/>
      <c r="C69" s="8" t="s">
        <v>653</v>
      </c>
      <c r="D69" s="8"/>
      <c r="E69" s="8"/>
      <c r="F69" s="8"/>
      <c r="G69" s="8"/>
      <c r="H69" s="8"/>
      <c r="I69" s="8"/>
      <c r="J69" s="8"/>
      <c r="K69" s="8"/>
      <c r="L69" s="8"/>
      <c r="M69" s="8"/>
      <c r="N69" s="8"/>
      <c r="O69" s="8"/>
      <c r="P69" s="8"/>
      <c r="Q69" s="8"/>
      <c r="R69" s="8"/>
      <c r="S69" s="8"/>
      <c r="T69" s="8"/>
      <c r="U69" s="8"/>
      <c r="V69" s="8"/>
      <c r="W69" s="8"/>
      <c r="X69" s="8"/>
      <c r="Y69" s="12"/>
    </row>
    <row r="70" spans="1:25" ht="15" customHeight="1" x14ac:dyDescent="0.25">
      <c r="A70" s="7" t="s">
        <v>652</v>
      </c>
      <c r="B70" s="7" t="s">
        <v>1308</v>
      </c>
      <c r="C70" s="7" t="s">
        <v>1309</v>
      </c>
      <c r="D70" s="7" t="s">
        <v>34</v>
      </c>
      <c r="E70" s="7" t="s">
        <v>1310</v>
      </c>
      <c r="F70" s="7" t="s">
        <v>1311</v>
      </c>
      <c r="G70" s="7" t="s">
        <v>1312</v>
      </c>
      <c r="H70" s="7" t="s">
        <v>1313</v>
      </c>
      <c r="I70" s="7" t="s">
        <v>1314</v>
      </c>
      <c r="J70" s="7"/>
      <c r="K70" s="7" t="s">
        <v>1315</v>
      </c>
      <c r="L70" s="7" t="s">
        <v>1191</v>
      </c>
      <c r="M70" s="7" t="s">
        <v>1665</v>
      </c>
      <c r="N70" s="7"/>
      <c r="O70" s="7" t="s">
        <v>41</v>
      </c>
      <c r="P70" s="7" t="s">
        <v>41</v>
      </c>
      <c r="Q70" s="7" t="s">
        <v>41</v>
      </c>
      <c r="R70" s="7" t="s">
        <v>117</v>
      </c>
      <c r="S70" s="7" t="s">
        <v>586</v>
      </c>
      <c r="T70" s="7"/>
      <c r="U70" s="7"/>
      <c r="V70" s="7" t="s">
        <v>41</v>
      </c>
      <c r="W70" s="7" t="s">
        <v>41</v>
      </c>
      <c r="X70" s="7" t="s">
        <v>1316</v>
      </c>
      <c r="Y70" s="11" t="s">
        <v>1317</v>
      </c>
    </row>
    <row r="71" spans="1:25" ht="15" customHeight="1" x14ac:dyDescent="0.25">
      <c r="A71" s="8" t="s">
        <v>652</v>
      </c>
      <c r="B71" s="8" t="s">
        <v>1318</v>
      </c>
      <c r="C71" s="8" t="s">
        <v>1319</v>
      </c>
      <c r="D71" s="8" t="s">
        <v>55</v>
      </c>
      <c r="E71" s="8" t="s">
        <v>1320</v>
      </c>
      <c r="F71" s="8" t="s">
        <v>1321</v>
      </c>
      <c r="G71" s="8" t="s">
        <v>1322</v>
      </c>
      <c r="H71" s="8" t="s">
        <v>1323</v>
      </c>
      <c r="I71" s="8" t="s">
        <v>1324</v>
      </c>
      <c r="J71" s="8" t="s">
        <v>1325</v>
      </c>
      <c r="K71" s="8" t="s">
        <v>1326</v>
      </c>
      <c r="L71" s="8" t="s">
        <v>1191</v>
      </c>
      <c r="M71" s="8" t="s">
        <v>1201</v>
      </c>
      <c r="N71" s="8"/>
      <c r="O71" s="8"/>
      <c r="P71" s="8" t="s">
        <v>41</v>
      </c>
      <c r="Q71" s="8" t="s">
        <v>41</v>
      </c>
      <c r="R71" s="8" t="s">
        <v>117</v>
      </c>
      <c r="S71" s="8"/>
      <c r="T71" s="8"/>
      <c r="U71" s="8"/>
      <c r="V71" s="8" t="s">
        <v>41</v>
      </c>
      <c r="W71" s="8" t="s">
        <v>41</v>
      </c>
      <c r="X71" s="8" t="s">
        <v>1327</v>
      </c>
      <c r="Y71" s="12" t="s">
        <v>1328</v>
      </c>
    </row>
    <row r="72" spans="1:25" ht="15" customHeight="1" x14ac:dyDescent="0.25">
      <c r="A72" s="7" t="s">
        <v>652</v>
      </c>
      <c r="B72" s="7" t="s">
        <v>1329</v>
      </c>
      <c r="C72" s="7" t="s">
        <v>1330</v>
      </c>
      <c r="D72" s="7" t="s">
        <v>34</v>
      </c>
      <c r="E72" s="7" t="s">
        <v>1331</v>
      </c>
      <c r="F72" s="7" t="s">
        <v>1332</v>
      </c>
      <c r="G72" s="7" t="s">
        <v>1333</v>
      </c>
      <c r="H72" s="7" t="s">
        <v>1334</v>
      </c>
      <c r="I72" s="7" t="s">
        <v>1335</v>
      </c>
      <c r="J72" s="7" t="s">
        <v>1336</v>
      </c>
      <c r="K72" s="7" t="s">
        <v>1337</v>
      </c>
      <c r="L72" s="7" t="s">
        <v>1191</v>
      </c>
      <c r="M72" s="7" t="s">
        <v>1665</v>
      </c>
      <c r="N72" s="7" t="s">
        <v>1666</v>
      </c>
      <c r="O72" s="7" t="s">
        <v>41</v>
      </c>
      <c r="P72" s="7" t="s">
        <v>41</v>
      </c>
      <c r="Q72" s="7" t="s">
        <v>41</v>
      </c>
      <c r="R72" s="7" t="s">
        <v>117</v>
      </c>
      <c r="S72" s="7"/>
      <c r="T72" s="7"/>
      <c r="U72" s="7"/>
      <c r="V72" s="7" t="s">
        <v>41</v>
      </c>
      <c r="W72" s="7" t="s">
        <v>41</v>
      </c>
      <c r="X72" s="7" t="s">
        <v>1338</v>
      </c>
      <c r="Y72" s="11" t="s">
        <v>1339</v>
      </c>
    </row>
    <row r="73" spans="1:25" ht="15" customHeight="1" x14ac:dyDescent="0.25">
      <c r="A73" s="8" t="s">
        <v>652</v>
      </c>
      <c r="B73" s="8" t="s">
        <v>1340</v>
      </c>
      <c r="C73" s="8" t="s">
        <v>1341</v>
      </c>
      <c r="D73" s="8" t="s">
        <v>55</v>
      </c>
      <c r="E73" s="8" t="s">
        <v>1342</v>
      </c>
      <c r="F73" s="8" t="s">
        <v>1343</v>
      </c>
      <c r="G73" s="8" t="s">
        <v>1344</v>
      </c>
      <c r="H73" s="8" t="s">
        <v>1345</v>
      </c>
      <c r="I73" s="8" t="s">
        <v>1346</v>
      </c>
      <c r="J73" s="8"/>
      <c r="K73" s="8" t="s">
        <v>1326</v>
      </c>
      <c r="L73" s="8" t="s">
        <v>1191</v>
      </c>
      <c r="M73" s="8" t="s">
        <v>1201</v>
      </c>
      <c r="N73" s="8"/>
      <c r="O73" s="8"/>
      <c r="P73" s="8" t="s">
        <v>41</v>
      </c>
      <c r="Q73" s="8" t="s">
        <v>41</v>
      </c>
      <c r="R73" s="8" t="s">
        <v>117</v>
      </c>
      <c r="S73" s="8"/>
      <c r="T73" s="8"/>
      <c r="U73" s="8"/>
      <c r="V73" s="8" t="s">
        <v>41</v>
      </c>
      <c r="W73" s="8" t="s">
        <v>41</v>
      </c>
      <c r="X73" s="8" t="s">
        <v>1347</v>
      </c>
      <c r="Y73" s="12" t="s">
        <v>1348</v>
      </c>
    </row>
    <row r="74" spans="1:25" ht="15" customHeight="1" x14ac:dyDescent="0.25">
      <c r="A74" s="7" t="s">
        <v>652</v>
      </c>
      <c r="B74" s="7" t="s">
        <v>1349</v>
      </c>
      <c r="C74" s="7" t="s">
        <v>1350</v>
      </c>
      <c r="D74" s="7" t="s">
        <v>55</v>
      </c>
      <c r="E74" s="7" t="s">
        <v>1351</v>
      </c>
      <c r="F74" s="7" t="s">
        <v>1352</v>
      </c>
      <c r="G74" s="7" t="s">
        <v>1353</v>
      </c>
      <c r="H74" s="7" t="s">
        <v>1354</v>
      </c>
      <c r="I74" s="7" t="s">
        <v>1355</v>
      </c>
      <c r="J74" s="7"/>
      <c r="K74" s="7" t="s">
        <v>1326</v>
      </c>
      <c r="L74" s="7" t="s">
        <v>1191</v>
      </c>
      <c r="M74" s="7" t="s">
        <v>1201</v>
      </c>
      <c r="N74" s="7"/>
      <c r="O74" s="7"/>
      <c r="P74" s="7" t="s">
        <v>41</v>
      </c>
      <c r="Q74" s="7" t="s">
        <v>41</v>
      </c>
      <c r="R74" s="7" t="s">
        <v>117</v>
      </c>
      <c r="S74" s="7"/>
      <c r="T74" s="7"/>
      <c r="U74" s="7"/>
      <c r="V74" s="7" t="s">
        <v>41</v>
      </c>
      <c r="W74" s="7" t="s">
        <v>41</v>
      </c>
      <c r="X74" s="7" t="s">
        <v>1356</v>
      </c>
      <c r="Y74" s="11" t="s">
        <v>1357</v>
      </c>
    </row>
    <row r="75" spans="1:25" ht="15" customHeight="1" x14ac:dyDescent="0.25">
      <c r="A75" s="8" t="s">
        <v>654</v>
      </c>
      <c r="B75" s="8"/>
      <c r="C75" s="8" t="s">
        <v>655</v>
      </c>
      <c r="D75" s="8"/>
      <c r="E75" s="8"/>
      <c r="F75" s="8"/>
      <c r="G75" s="8"/>
      <c r="H75" s="8"/>
      <c r="I75" s="8"/>
      <c r="J75" s="8"/>
      <c r="K75" s="8"/>
      <c r="L75" s="8"/>
      <c r="M75" s="8"/>
      <c r="N75" s="8"/>
      <c r="O75" s="8"/>
      <c r="P75" s="8"/>
      <c r="Q75" s="8"/>
      <c r="R75" s="8"/>
      <c r="S75" s="8"/>
      <c r="T75" s="8"/>
      <c r="U75" s="8"/>
      <c r="V75" s="8"/>
      <c r="W75" s="8"/>
      <c r="X75" s="8"/>
      <c r="Y75" s="12"/>
    </row>
    <row r="76" spans="1:25" ht="15" customHeight="1" x14ac:dyDescent="0.25">
      <c r="A76" s="7" t="s">
        <v>654</v>
      </c>
      <c r="B76" s="7" t="s">
        <v>1358</v>
      </c>
      <c r="C76" s="7" t="s">
        <v>1359</v>
      </c>
      <c r="D76" s="7" t="s">
        <v>34</v>
      </c>
      <c r="E76" s="7" t="s">
        <v>1360</v>
      </c>
      <c r="F76" s="7" t="s">
        <v>1361</v>
      </c>
      <c r="G76" s="7" t="s">
        <v>1362</v>
      </c>
      <c r="H76" s="7" t="s">
        <v>1363</v>
      </c>
      <c r="I76" s="7" t="s">
        <v>1364</v>
      </c>
      <c r="J76" s="7" t="s">
        <v>1365</v>
      </c>
      <c r="K76" s="7" t="s">
        <v>1326</v>
      </c>
      <c r="L76" s="7" t="s">
        <v>1191</v>
      </c>
      <c r="M76" s="7" t="s">
        <v>1201</v>
      </c>
      <c r="N76" s="7"/>
      <c r="O76" s="7"/>
      <c r="P76" s="7" t="s">
        <v>41</v>
      </c>
      <c r="Q76" s="7" t="s">
        <v>41</v>
      </c>
      <c r="R76" s="7" t="s">
        <v>117</v>
      </c>
      <c r="S76" s="7"/>
      <c r="T76" s="7"/>
      <c r="U76" s="7"/>
      <c r="V76" s="7" t="s">
        <v>41</v>
      </c>
      <c r="W76" s="7" t="s">
        <v>41</v>
      </c>
      <c r="X76" s="7" t="s">
        <v>1366</v>
      </c>
      <c r="Y76" s="11" t="s">
        <v>1367</v>
      </c>
    </row>
    <row r="77" spans="1:25" ht="15" customHeight="1" x14ac:dyDescent="0.25">
      <c r="A77" s="8" t="s">
        <v>656</v>
      </c>
      <c r="B77" s="8"/>
      <c r="C77" s="8" t="s">
        <v>657</v>
      </c>
      <c r="D77" s="8"/>
      <c r="E77" s="8"/>
      <c r="F77" s="8"/>
      <c r="G77" s="8"/>
      <c r="H77" s="8"/>
      <c r="I77" s="8"/>
      <c r="J77" s="8"/>
      <c r="K77" s="8"/>
      <c r="L77" s="8"/>
      <c r="M77" s="8"/>
      <c r="N77" s="8"/>
      <c r="O77" s="8"/>
      <c r="P77" s="8"/>
      <c r="Q77" s="8"/>
      <c r="R77" s="8"/>
      <c r="S77" s="8"/>
      <c r="T77" s="8"/>
      <c r="U77" s="8"/>
      <c r="V77" s="8"/>
      <c r="W77" s="8"/>
      <c r="X77" s="8"/>
      <c r="Y77" s="12"/>
    </row>
    <row r="78" spans="1:25" ht="15" customHeight="1" x14ac:dyDescent="0.25">
      <c r="A78" s="7" t="s">
        <v>656</v>
      </c>
      <c r="B78" s="7" t="s">
        <v>1368</v>
      </c>
      <c r="C78" s="7" t="s">
        <v>1369</v>
      </c>
      <c r="D78" s="7" t="s">
        <v>34</v>
      </c>
      <c r="E78" s="7" t="s">
        <v>1370</v>
      </c>
      <c r="F78" s="7" t="s">
        <v>1371</v>
      </c>
      <c r="G78" s="7" t="s">
        <v>1372</v>
      </c>
      <c r="H78" s="7" t="s">
        <v>1373</v>
      </c>
      <c r="I78" s="7" t="s">
        <v>1374</v>
      </c>
      <c r="J78" s="7"/>
      <c r="K78" s="7" t="s">
        <v>1375</v>
      </c>
      <c r="L78" s="7" t="s">
        <v>1191</v>
      </c>
      <c r="M78" s="7"/>
      <c r="N78" s="7"/>
      <c r="O78" s="7"/>
      <c r="P78" s="7" t="s">
        <v>41</v>
      </c>
      <c r="Q78" s="7" t="s">
        <v>41</v>
      </c>
      <c r="R78" s="7" t="s">
        <v>117</v>
      </c>
      <c r="S78" s="7"/>
      <c r="T78" s="7"/>
      <c r="U78" s="7"/>
      <c r="V78" s="7" t="s">
        <v>41</v>
      </c>
      <c r="W78" s="7" t="s">
        <v>41</v>
      </c>
      <c r="X78" s="7" t="s">
        <v>1376</v>
      </c>
      <c r="Y78" s="11" t="s">
        <v>1377</v>
      </c>
    </row>
    <row r="79" spans="1:25" ht="15" customHeight="1" x14ac:dyDescent="0.25">
      <c r="A79" s="8" t="s">
        <v>656</v>
      </c>
      <c r="B79" s="8" t="s">
        <v>1378</v>
      </c>
      <c r="C79" s="8" t="s">
        <v>1379</v>
      </c>
      <c r="D79" s="8" t="s">
        <v>55</v>
      </c>
      <c r="E79" s="8" t="s">
        <v>1380</v>
      </c>
      <c r="F79" s="8" t="s">
        <v>1381</v>
      </c>
      <c r="G79" s="8" t="s">
        <v>1382</v>
      </c>
      <c r="H79" s="8" t="s">
        <v>1383</v>
      </c>
      <c r="I79" s="8" t="s">
        <v>1384</v>
      </c>
      <c r="J79" s="8"/>
      <c r="K79" s="8" t="s">
        <v>417</v>
      </c>
      <c r="L79" s="8" t="s">
        <v>1268</v>
      </c>
      <c r="M79" s="8"/>
      <c r="N79" s="8"/>
      <c r="O79" s="8"/>
      <c r="P79" s="8" t="s">
        <v>41</v>
      </c>
      <c r="Q79" s="8" t="s">
        <v>41</v>
      </c>
      <c r="R79" s="8" t="s">
        <v>1616</v>
      </c>
      <c r="S79" s="8"/>
      <c r="T79" s="8"/>
      <c r="U79" s="8"/>
      <c r="V79" s="8" t="s">
        <v>41</v>
      </c>
      <c r="W79" s="8" t="s">
        <v>41</v>
      </c>
      <c r="X79" s="8" t="s">
        <v>1385</v>
      </c>
      <c r="Y79" s="12" t="s">
        <v>1386</v>
      </c>
    </row>
    <row r="80" spans="1:25" ht="15" customHeight="1" x14ac:dyDescent="0.25">
      <c r="A80" s="7" t="s">
        <v>658</v>
      </c>
      <c r="B80" s="7"/>
      <c r="C80" s="7" t="s">
        <v>659</v>
      </c>
      <c r="D80" s="7"/>
      <c r="E80" s="7"/>
      <c r="F80" s="7"/>
      <c r="G80" s="7"/>
      <c r="H80" s="7"/>
      <c r="I80" s="7"/>
      <c r="J80" s="7"/>
      <c r="K80" s="7"/>
      <c r="L80" s="7"/>
      <c r="M80" s="7"/>
      <c r="N80" s="7"/>
      <c r="O80" s="7"/>
      <c r="P80" s="7"/>
      <c r="Q80" s="7"/>
      <c r="R80" s="7"/>
      <c r="S80" s="7"/>
      <c r="T80" s="7"/>
      <c r="U80" s="7"/>
      <c r="V80" s="7"/>
      <c r="W80" s="7"/>
      <c r="X80" s="7"/>
      <c r="Y80" s="11"/>
    </row>
    <row r="81" spans="1:25" ht="15" customHeight="1" x14ac:dyDescent="0.25">
      <c r="A81" s="8" t="s">
        <v>658</v>
      </c>
      <c r="B81" s="8" t="s">
        <v>1387</v>
      </c>
      <c r="C81" s="8" t="s">
        <v>1388</v>
      </c>
      <c r="D81" s="8" t="s">
        <v>34</v>
      </c>
      <c r="E81" s="8" t="s">
        <v>1389</v>
      </c>
      <c r="F81" s="8" t="s">
        <v>1390</v>
      </c>
      <c r="G81" s="8" t="s">
        <v>1391</v>
      </c>
      <c r="H81" s="8" t="s">
        <v>1392</v>
      </c>
      <c r="I81" s="8" t="s">
        <v>1393</v>
      </c>
      <c r="J81" s="8"/>
      <c r="K81" s="8" t="s">
        <v>1394</v>
      </c>
      <c r="L81" s="8" t="s">
        <v>1191</v>
      </c>
      <c r="M81" s="8" t="s">
        <v>1201</v>
      </c>
      <c r="N81" s="8" t="s">
        <v>1667</v>
      </c>
      <c r="O81" s="8"/>
      <c r="P81" s="8" t="s">
        <v>41</v>
      </c>
      <c r="Q81" s="8" t="s">
        <v>41</v>
      </c>
      <c r="R81" s="8" t="s">
        <v>117</v>
      </c>
      <c r="S81" s="8"/>
      <c r="T81" s="8"/>
      <c r="U81" s="8"/>
      <c r="V81" s="8" t="s">
        <v>41</v>
      </c>
      <c r="W81" s="8" t="s">
        <v>41</v>
      </c>
      <c r="X81" s="8" t="s">
        <v>1376</v>
      </c>
      <c r="Y81" s="12" t="s">
        <v>1377</v>
      </c>
    </row>
    <row r="82" spans="1:25" ht="15" customHeight="1" x14ac:dyDescent="0.25">
      <c r="A82" s="7" t="s">
        <v>660</v>
      </c>
      <c r="B82" s="7"/>
      <c r="C82" s="7" t="s">
        <v>661</v>
      </c>
      <c r="D82" s="7"/>
      <c r="E82" s="7"/>
      <c r="F82" s="7"/>
      <c r="G82" s="7"/>
      <c r="H82" s="7"/>
      <c r="I82" s="7"/>
      <c r="J82" s="7"/>
      <c r="K82" s="7"/>
      <c r="L82" s="7"/>
      <c r="M82" s="7"/>
      <c r="N82" s="7"/>
      <c r="O82" s="7"/>
      <c r="P82" s="7"/>
      <c r="Q82" s="7"/>
      <c r="R82" s="7"/>
      <c r="S82" s="7"/>
      <c r="T82" s="7"/>
      <c r="U82" s="7"/>
      <c r="V82" s="7"/>
      <c r="W82" s="7"/>
      <c r="X82" s="7"/>
      <c r="Y82" s="11"/>
    </row>
    <row r="83" spans="1:25" ht="15" customHeight="1" x14ac:dyDescent="0.25">
      <c r="A83" s="8" t="s">
        <v>660</v>
      </c>
      <c r="B83" s="8" t="s">
        <v>1395</v>
      </c>
      <c r="C83" s="8" t="s">
        <v>1396</v>
      </c>
      <c r="D83" s="8" t="s">
        <v>34</v>
      </c>
      <c r="E83" s="8" t="s">
        <v>1397</v>
      </c>
      <c r="F83" s="8" t="s">
        <v>1398</v>
      </c>
      <c r="G83" s="8" t="s">
        <v>1399</v>
      </c>
      <c r="H83" s="8" t="s">
        <v>1400</v>
      </c>
      <c r="I83" s="8" t="s">
        <v>1401</v>
      </c>
      <c r="J83" s="8"/>
      <c r="K83" s="8" t="s">
        <v>1402</v>
      </c>
      <c r="L83" s="8" t="s">
        <v>1191</v>
      </c>
      <c r="M83" s="8" t="s">
        <v>1667</v>
      </c>
      <c r="N83" s="8"/>
      <c r="O83" s="8"/>
      <c r="P83" s="8" t="s">
        <v>41</v>
      </c>
      <c r="Q83" s="8" t="s">
        <v>41</v>
      </c>
      <c r="R83" s="8" t="s">
        <v>117</v>
      </c>
      <c r="S83" s="8"/>
      <c r="T83" s="8"/>
      <c r="U83" s="8"/>
      <c r="V83" s="8" t="s">
        <v>41</v>
      </c>
      <c r="W83" s="8" t="s">
        <v>41</v>
      </c>
      <c r="X83" s="8" t="s">
        <v>1403</v>
      </c>
      <c r="Y83" s="12" t="s">
        <v>1404</v>
      </c>
    </row>
    <row r="84" spans="1:25" ht="15" customHeight="1" x14ac:dyDescent="0.25">
      <c r="A84" s="7" t="s">
        <v>660</v>
      </c>
      <c r="B84" s="7" t="s">
        <v>1405</v>
      </c>
      <c r="C84" s="7" t="s">
        <v>1406</v>
      </c>
      <c r="D84" s="7" t="s">
        <v>34</v>
      </c>
      <c r="E84" s="7" t="s">
        <v>1407</v>
      </c>
      <c r="F84" s="7" t="s">
        <v>1408</v>
      </c>
      <c r="G84" s="7" t="s">
        <v>1409</v>
      </c>
      <c r="H84" s="7" t="s">
        <v>1410</v>
      </c>
      <c r="I84" s="7" t="s">
        <v>1411</v>
      </c>
      <c r="J84" s="7"/>
      <c r="K84" s="7" t="s">
        <v>1402</v>
      </c>
      <c r="L84" s="7" t="s">
        <v>1191</v>
      </c>
      <c r="M84" s="7" t="s">
        <v>1667</v>
      </c>
      <c r="N84" s="7"/>
      <c r="O84" s="7"/>
      <c r="P84" s="7" t="s">
        <v>41</v>
      </c>
      <c r="Q84" s="7" t="s">
        <v>41</v>
      </c>
      <c r="R84" s="7" t="s">
        <v>117</v>
      </c>
      <c r="S84" s="7"/>
      <c r="T84" s="7"/>
      <c r="U84" s="7"/>
      <c r="V84" s="7" t="s">
        <v>41</v>
      </c>
      <c r="W84" s="7" t="s">
        <v>41</v>
      </c>
      <c r="X84" s="7" t="s">
        <v>1412</v>
      </c>
      <c r="Y84" s="11" t="s">
        <v>1377</v>
      </c>
    </row>
    <row r="85" spans="1:25" ht="15" customHeight="1" x14ac:dyDescent="0.25">
      <c r="A85" s="8" t="s">
        <v>660</v>
      </c>
      <c r="B85" s="8" t="s">
        <v>1413</v>
      </c>
      <c r="C85" s="8" t="s">
        <v>1414</v>
      </c>
      <c r="D85" s="8" t="s">
        <v>34</v>
      </c>
      <c r="E85" s="8" t="s">
        <v>1415</v>
      </c>
      <c r="F85" s="8" t="s">
        <v>1416</v>
      </c>
      <c r="G85" s="8" t="s">
        <v>1417</v>
      </c>
      <c r="H85" s="8" t="s">
        <v>1418</v>
      </c>
      <c r="I85" s="8" t="s">
        <v>1419</v>
      </c>
      <c r="J85" s="8"/>
      <c r="K85" s="8" t="s">
        <v>1402</v>
      </c>
      <c r="L85" s="8" t="s">
        <v>1191</v>
      </c>
      <c r="M85" s="8" t="s">
        <v>1667</v>
      </c>
      <c r="N85" s="8"/>
      <c r="O85" s="8"/>
      <c r="P85" s="8" t="s">
        <v>41</v>
      </c>
      <c r="Q85" s="8" t="s">
        <v>41</v>
      </c>
      <c r="R85" s="8" t="s">
        <v>117</v>
      </c>
      <c r="S85" s="8"/>
      <c r="T85" s="8"/>
      <c r="U85" s="8"/>
      <c r="V85" s="8" t="s">
        <v>41</v>
      </c>
      <c r="W85" s="8" t="s">
        <v>41</v>
      </c>
      <c r="X85" s="8" t="s">
        <v>1420</v>
      </c>
      <c r="Y85" s="12" t="s">
        <v>1377</v>
      </c>
    </row>
    <row r="86" spans="1:25" ht="15" customHeight="1" x14ac:dyDescent="0.25">
      <c r="A86" s="7" t="s">
        <v>660</v>
      </c>
      <c r="B86" s="7" t="s">
        <v>1421</v>
      </c>
      <c r="C86" s="7" t="s">
        <v>1422</v>
      </c>
      <c r="D86" s="7" t="s">
        <v>34</v>
      </c>
      <c r="E86" s="7" t="s">
        <v>1423</v>
      </c>
      <c r="F86" s="7" t="s">
        <v>1424</v>
      </c>
      <c r="G86" s="7" t="s">
        <v>1425</v>
      </c>
      <c r="H86" s="7" t="s">
        <v>1426</v>
      </c>
      <c r="I86" s="7" t="s">
        <v>1427</v>
      </c>
      <c r="J86" s="7"/>
      <c r="K86" s="7" t="s">
        <v>1402</v>
      </c>
      <c r="L86" s="7" t="s">
        <v>1191</v>
      </c>
      <c r="M86" s="7" t="s">
        <v>1667</v>
      </c>
      <c r="N86" s="7"/>
      <c r="O86" s="7"/>
      <c r="P86" s="7" t="s">
        <v>41</v>
      </c>
      <c r="Q86" s="7" t="s">
        <v>41</v>
      </c>
      <c r="R86" s="7" t="s">
        <v>117</v>
      </c>
      <c r="S86" s="7"/>
      <c r="T86" s="7"/>
      <c r="U86" s="7"/>
      <c r="V86" s="7" t="s">
        <v>41</v>
      </c>
      <c r="W86" s="7" t="s">
        <v>41</v>
      </c>
      <c r="X86" s="7" t="s">
        <v>1428</v>
      </c>
      <c r="Y86" s="11" t="s">
        <v>1377</v>
      </c>
    </row>
    <row r="87" spans="1:25" ht="15" customHeight="1" x14ac:dyDescent="0.25">
      <c r="A87" s="8" t="s">
        <v>662</v>
      </c>
      <c r="B87" s="8"/>
      <c r="C87" s="8" t="s">
        <v>663</v>
      </c>
      <c r="D87" s="8"/>
      <c r="E87" s="8"/>
      <c r="F87" s="8"/>
      <c r="G87" s="8"/>
      <c r="H87" s="8"/>
      <c r="I87" s="8"/>
      <c r="J87" s="8"/>
      <c r="K87" s="8"/>
      <c r="L87" s="8"/>
      <c r="M87" s="8"/>
      <c r="N87" s="8"/>
      <c r="O87" s="8"/>
      <c r="P87" s="8"/>
      <c r="Q87" s="8"/>
      <c r="R87" s="8"/>
      <c r="S87" s="8"/>
      <c r="T87" s="8"/>
      <c r="U87" s="8"/>
      <c r="V87" s="8"/>
      <c r="W87" s="8"/>
      <c r="X87" s="8"/>
      <c r="Y87" s="12"/>
    </row>
    <row r="88" spans="1:25" ht="15" customHeight="1" x14ac:dyDescent="0.25">
      <c r="A88" s="7" t="s">
        <v>662</v>
      </c>
      <c r="B88" s="7" t="s">
        <v>1429</v>
      </c>
      <c r="C88" s="7" t="s">
        <v>1430</v>
      </c>
      <c r="D88" s="7" t="s">
        <v>34</v>
      </c>
      <c r="E88" s="7" t="s">
        <v>1431</v>
      </c>
      <c r="F88" s="7" t="s">
        <v>1432</v>
      </c>
      <c r="G88" s="7" t="s">
        <v>1433</v>
      </c>
      <c r="H88" s="7" t="s">
        <v>1434</v>
      </c>
      <c r="I88" s="7" t="s">
        <v>1435</v>
      </c>
      <c r="J88" s="7"/>
      <c r="K88" s="7" t="s">
        <v>1375</v>
      </c>
      <c r="L88" s="7" t="s">
        <v>1191</v>
      </c>
      <c r="M88" s="7"/>
      <c r="N88" s="7"/>
      <c r="O88" s="7"/>
      <c r="P88" s="7" t="s">
        <v>41</v>
      </c>
      <c r="Q88" s="7" t="s">
        <v>41</v>
      </c>
      <c r="R88" s="7" t="s">
        <v>117</v>
      </c>
      <c r="S88" s="7"/>
      <c r="T88" s="7"/>
      <c r="U88" s="7"/>
      <c r="V88" s="7" t="s">
        <v>41</v>
      </c>
      <c r="W88" s="7" t="s">
        <v>41</v>
      </c>
      <c r="X88" s="7" t="s">
        <v>1376</v>
      </c>
      <c r="Y88" s="11" t="s">
        <v>1377</v>
      </c>
    </row>
    <row r="89" spans="1:25" ht="15" customHeight="1" x14ac:dyDescent="0.25">
      <c r="A89" s="8" t="s">
        <v>664</v>
      </c>
      <c r="B89" s="8"/>
      <c r="C89" s="8" t="s">
        <v>665</v>
      </c>
      <c r="D89" s="8"/>
      <c r="E89" s="8"/>
      <c r="F89" s="8"/>
      <c r="G89" s="8"/>
      <c r="H89" s="8"/>
      <c r="I89" s="8"/>
      <c r="J89" s="8"/>
      <c r="K89" s="8"/>
      <c r="L89" s="8"/>
      <c r="M89" s="8"/>
      <c r="N89" s="8"/>
      <c r="O89" s="8"/>
      <c r="P89" s="8"/>
      <c r="Q89" s="8"/>
      <c r="R89" s="8"/>
      <c r="S89" s="8"/>
      <c r="T89" s="8"/>
      <c r="U89" s="8"/>
      <c r="V89" s="8"/>
      <c r="W89" s="8"/>
      <c r="X89" s="8"/>
      <c r="Y89" s="12"/>
    </row>
    <row r="90" spans="1:25" ht="15" customHeight="1" x14ac:dyDescent="0.25">
      <c r="A90" s="7" t="s">
        <v>664</v>
      </c>
      <c r="B90" s="7" t="s">
        <v>1436</v>
      </c>
      <c r="C90" s="7" t="s">
        <v>1437</v>
      </c>
      <c r="D90" s="7" t="s">
        <v>34</v>
      </c>
      <c r="E90" s="7" t="s">
        <v>1438</v>
      </c>
      <c r="F90" s="7" t="s">
        <v>1439</v>
      </c>
      <c r="G90" s="7" t="s">
        <v>1440</v>
      </c>
      <c r="H90" s="7" t="s">
        <v>1441</v>
      </c>
      <c r="I90" s="7" t="s">
        <v>1442</v>
      </c>
      <c r="J90" s="7"/>
      <c r="K90" s="7" t="s">
        <v>1443</v>
      </c>
      <c r="L90" s="7" t="s">
        <v>126</v>
      </c>
      <c r="M90" s="7" t="s">
        <v>1191</v>
      </c>
      <c r="N90" s="7"/>
      <c r="O90" s="7" t="s">
        <v>41</v>
      </c>
      <c r="P90" s="7" t="s">
        <v>41</v>
      </c>
      <c r="Q90" s="7" t="s">
        <v>41</v>
      </c>
      <c r="R90" s="7" t="s">
        <v>117</v>
      </c>
      <c r="S90" s="7"/>
      <c r="T90" s="7"/>
      <c r="U90" s="7"/>
      <c r="V90" s="7" t="s">
        <v>41</v>
      </c>
      <c r="W90" s="7" t="s">
        <v>41</v>
      </c>
      <c r="X90" s="7" t="s">
        <v>1444</v>
      </c>
      <c r="Y90" s="11" t="s">
        <v>1445</v>
      </c>
    </row>
    <row r="91" spans="1:25" ht="15" customHeight="1" x14ac:dyDescent="0.25">
      <c r="A91" s="8" t="s">
        <v>666</v>
      </c>
      <c r="B91" s="8"/>
      <c r="C91" s="8" t="s">
        <v>667</v>
      </c>
      <c r="D91" s="8"/>
      <c r="E91" s="8"/>
      <c r="F91" s="8"/>
      <c r="G91" s="8"/>
      <c r="H91" s="8"/>
      <c r="I91" s="8"/>
      <c r="J91" s="8"/>
      <c r="K91" s="8"/>
      <c r="L91" s="8"/>
      <c r="M91" s="8"/>
      <c r="N91" s="8"/>
      <c r="O91" s="8"/>
      <c r="P91" s="8"/>
      <c r="Q91" s="8"/>
      <c r="R91" s="8"/>
      <c r="S91" s="8"/>
      <c r="T91" s="8"/>
      <c r="U91" s="8"/>
      <c r="V91" s="8"/>
      <c r="W91" s="8"/>
      <c r="X91" s="8"/>
      <c r="Y91" s="12"/>
    </row>
    <row r="92" spans="1:25" ht="15" customHeight="1" x14ac:dyDescent="0.25">
      <c r="A92" s="7" t="s">
        <v>666</v>
      </c>
      <c r="B92" s="7" t="s">
        <v>1446</v>
      </c>
      <c r="C92" s="7" t="s">
        <v>1447</v>
      </c>
      <c r="D92" s="7" t="s">
        <v>55</v>
      </c>
      <c r="E92" s="7" t="s">
        <v>1448</v>
      </c>
      <c r="F92" s="7" t="s">
        <v>1449</v>
      </c>
      <c r="G92" s="7" t="s">
        <v>1450</v>
      </c>
      <c r="H92" s="7" t="s">
        <v>1451</v>
      </c>
      <c r="I92" s="7" t="s">
        <v>1452</v>
      </c>
      <c r="J92" s="7" t="s">
        <v>1453</v>
      </c>
      <c r="K92" s="7" t="s">
        <v>1454</v>
      </c>
      <c r="L92" s="7" t="s">
        <v>1191</v>
      </c>
      <c r="M92" s="7" t="s">
        <v>1655</v>
      </c>
      <c r="N92" s="7"/>
      <c r="O92" s="7"/>
      <c r="P92" s="7" t="s">
        <v>41</v>
      </c>
      <c r="Q92" s="7" t="s">
        <v>41</v>
      </c>
      <c r="R92" s="7" t="s">
        <v>117</v>
      </c>
      <c r="S92" s="7"/>
      <c r="T92" s="7"/>
      <c r="U92" s="7"/>
      <c r="V92" s="7" t="s">
        <v>41</v>
      </c>
      <c r="W92" s="7" t="s">
        <v>41</v>
      </c>
      <c r="X92" s="7" t="s">
        <v>1455</v>
      </c>
      <c r="Y92" s="11" t="s">
        <v>1456</v>
      </c>
    </row>
    <row r="93" spans="1:25" ht="15" customHeight="1" x14ac:dyDescent="0.25">
      <c r="A93" s="8" t="s">
        <v>668</v>
      </c>
      <c r="B93" s="8"/>
      <c r="C93" s="8" t="s">
        <v>669</v>
      </c>
      <c r="D93" s="8"/>
      <c r="E93" s="8" t="s">
        <v>670</v>
      </c>
      <c r="F93" s="8"/>
      <c r="G93" s="8"/>
      <c r="H93" s="8"/>
      <c r="I93" s="8"/>
      <c r="J93" s="8"/>
      <c r="K93" s="8"/>
      <c r="L93" s="8"/>
      <c r="M93" s="8"/>
      <c r="N93" s="8"/>
      <c r="O93" s="8"/>
      <c r="P93" s="8"/>
      <c r="Q93" s="8"/>
      <c r="R93" s="8"/>
      <c r="S93" s="8"/>
      <c r="T93" s="8"/>
      <c r="U93" s="8"/>
      <c r="V93" s="8"/>
      <c r="W93" s="8"/>
      <c r="X93" s="8"/>
      <c r="Y93" s="12"/>
    </row>
    <row r="94" spans="1:25" ht="15" customHeight="1" x14ac:dyDescent="0.25">
      <c r="A94" s="7" t="s">
        <v>668</v>
      </c>
      <c r="B94" s="7" t="s">
        <v>1457</v>
      </c>
      <c r="C94" s="7" t="s">
        <v>1458</v>
      </c>
      <c r="D94" s="7" t="s">
        <v>34</v>
      </c>
      <c r="E94" s="7" t="s">
        <v>1459</v>
      </c>
      <c r="F94" s="7" t="s">
        <v>1460</v>
      </c>
      <c r="G94" s="7" t="s">
        <v>1461</v>
      </c>
      <c r="H94" s="7" t="s">
        <v>1462</v>
      </c>
      <c r="I94" s="7" t="s">
        <v>1463</v>
      </c>
      <c r="J94" s="7"/>
      <c r="K94" s="7" t="s">
        <v>230</v>
      </c>
      <c r="L94" s="7" t="s">
        <v>1613</v>
      </c>
      <c r="M94" s="7" t="s">
        <v>1615</v>
      </c>
      <c r="N94" s="7"/>
      <c r="O94" s="7" t="s">
        <v>41</v>
      </c>
      <c r="P94" s="7" t="s">
        <v>41</v>
      </c>
      <c r="Q94" s="7" t="s">
        <v>41</v>
      </c>
      <c r="R94" s="7" t="s">
        <v>1614</v>
      </c>
      <c r="S94" s="7"/>
      <c r="T94" s="7"/>
      <c r="U94" s="7" t="s">
        <v>41</v>
      </c>
      <c r="V94" s="7" t="s">
        <v>41</v>
      </c>
      <c r="W94" s="7" t="s">
        <v>41</v>
      </c>
      <c r="X94" s="7" t="s">
        <v>1464</v>
      </c>
      <c r="Y94" s="11" t="s">
        <v>1465</v>
      </c>
    </row>
    <row r="95" spans="1:25" ht="15" customHeight="1" x14ac:dyDescent="0.25">
      <c r="A95" s="8" t="s">
        <v>668</v>
      </c>
      <c r="B95" s="8" t="s">
        <v>1466</v>
      </c>
      <c r="C95" s="8" t="s">
        <v>1467</v>
      </c>
      <c r="D95" s="8" t="s">
        <v>34</v>
      </c>
      <c r="E95" s="8" t="s">
        <v>1468</v>
      </c>
      <c r="F95" s="8" t="s">
        <v>1469</v>
      </c>
      <c r="G95" s="8" t="s">
        <v>1470</v>
      </c>
      <c r="H95" s="8" t="s">
        <v>1471</v>
      </c>
      <c r="I95" s="8" t="s">
        <v>1472</v>
      </c>
      <c r="J95" s="8" t="s">
        <v>1473</v>
      </c>
      <c r="K95" s="8" t="s">
        <v>40</v>
      </c>
      <c r="L95" s="8" t="s">
        <v>1606</v>
      </c>
      <c r="M95" s="8"/>
      <c r="N95" s="8"/>
      <c r="O95" s="8"/>
      <c r="P95" s="8" t="s">
        <v>41</v>
      </c>
      <c r="Q95" s="8" t="s">
        <v>41</v>
      </c>
      <c r="R95" s="8" t="s">
        <v>1607</v>
      </c>
      <c r="S95" s="8"/>
      <c r="T95" s="8"/>
      <c r="U95" s="8"/>
      <c r="V95" s="8" t="s">
        <v>41</v>
      </c>
      <c r="W95" s="8" t="s">
        <v>41</v>
      </c>
      <c r="X95" s="8" t="s">
        <v>1474</v>
      </c>
      <c r="Y95" s="12" t="s">
        <v>1475</v>
      </c>
    </row>
    <row r="96" spans="1:25" ht="15" customHeight="1" x14ac:dyDescent="0.25">
      <c r="A96" s="7" t="s">
        <v>668</v>
      </c>
      <c r="B96" s="7" t="s">
        <v>1476</v>
      </c>
      <c r="C96" s="7" t="s">
        <v>1477</v>
      </c>
      <c r="D96" s="7" t="s">
        <v>34</v>
      </c>
      <c r="E96" s="7" t="s">
        <v>1478</v>
      </c>
      <c r="F96" s="7" t="s">
        <v>1479</v>
      </c>
      <c r="G96" s="7" t="s">
        <v>1480</v>
      </c>
      <c r="H96" s="7" t="s">
        <v>1481</v>
      </c>
      <c r="I96" s="7" t="s">
        <v>1482</v>
      </c>
      <c r="J96" s="7"/>
      <c r="K96" s="7" t="s">
        <v>81</v>
      </c>
      <c r="L96" s="7" t="s">
        <v>1102</v>
      </c>
      <c r="M96" s="7"/>
      <c r="N96" s="7"/>
      <c r="O96" s="7" t="s">
        <v>41</v>
      </c>
      <c r="P96" s="7" t="s">
        <v>41</v>
      </c>
      <c r="Q96" s="7" t="s">
        <v>41</v>
      </c>
      <c r="R96" s="7" t="s">
        <v>1612</v>
      </c>
      <c r="S96" s="7"/>
      <c r="T96" s="7"/>
      <c r="U96" s="7"/>
      <c r="V96" s="7" t="s">
        <v>41</v>
      </c>
      <c r="W96" s="7" t="s">
        <v>41</v>
      </c>
      <c r="X96" s="7" t="s">
        <v>1483</v>
      </c>
      <c r="Y96" s="11" t="s">
        <v>1484</v>
      </c>
    </row>
    <row r="97" spans="1:25" ht="15" customHeight="1" x14ac:dyDescent="0.25">
      <c r="A97" s="8" t="s">
        <v>668</v>
      </c>
      <c r="B97" s="8" t="s">
        <v>1485</v>
      </c>
      <c r="C97" s="8" t="s">
        <v>1486</v>
      </c>
      <c r="D97" s="8" t="s">
        <v>55</v>
      </c>
      <c r="E97" s="8" t="s">
        <v>1487</v>
      </c>
      <c r="F97" s="8" t="s">
        <v>1488</v>
      </c>
      <c r="G97" s="8" t="s">
        <v>1489</v>
      </c>
      <c r="H97" s="8" t="s">
        <v>1490</v>
      </c>
      <c r="I97" s="8" t="s">
        <v>1491</v>
      </c>
      <c r="J97" s="8"/>
      <c r="K97" s="8" t="s">
        <v>1492</v>
      </c>
      <c r="L97" s="8" t="s">
        <v>1668</v>
      </c>
      <c r="M97" s="8"/>
      <c r="N97" s="8"/>
      <c r="O97" s="8"/>
      <c r="P97" s="8" t="s">
        <v>41</v>
      </c>
      <c r="Q97" s="8" t="s">
        <v>41</v>
      </c>
      <c r="R97" s="8" t="s">
        <v>1669</v>
      </c>
      <c r="S97" s="8"/>
      <c r="T97" s="8"/>
      <c r="U97" s="8"/>
      <c r="V97" s="8"/>
      <c r="W97" s="8" t="s">
        <v>41</v>
      </c>
      <c r="X97" s="8" t="s">
        <v>1493</v>
      </c>
      <c r="Y97" s="12"/>
    </row>
    <row r="98" spans="1:25" ht="15" customHeight="1" x14ac:dyDescent="0.25">
      <c r="A98" s="7" t="s">
        <v>731</v>
      </c>
      <c r="B98" s="7"/>
      <c r="C98" s="7" t="s">
        <v>732</v>
      </c>
      <c r="D98" s="7"/>
      <c r="E98" s="7"/>
      <c r="F98" s="7"/>
      <c r="G98" s="7"/>
      <c r="H98" s="7"/>
      <c r="I98" s="7"/>
      <c r="J98" s="7"/>
      <c r="K98" s="7"/>
      <c r="L98" s="7"/>
      <c r="M98" s="7"/>
      <c r="N98" s="7"/>
      <c r="O98" s="7"/>
      <c r="P98" s="7"/>
      <c r="Q98" s="7"/>
      <c r="R98" s="7"/>
      <c r="S98" s="7"/>
      <c r="T98" s="7"/>
      <c r="U98" s="7"/>
      <c r="V98" s="7"/>
      <c r="W98" s="7"/>
      <c r="X98" s="7"/>
      <c r="Y98" s="11"/>
    </row>
    <row r="99" spans="1:25" ht="15" customHeight="1" x14ac:dyDescent="0.25">
      <c r="A99" s="8" t="s">
        <v>731</v>
      </c>
      <c r="B99" s="8" t="s">
        <v>1494</v>
      </c>
      <c r="C99" s="8" t="s">
        <v>1495</v>
      </c>
      <c r="D99" s="8" t="s">
        <v>34</v>
      </c>
      <c r="E99" s="8" t="s">
        <v>1496</v>
      </c>
      <c r="F99" s="8" t="s">
        <v>1497</v>
      </c>
      <c r="G99" s="8" t="s">
        <v>1498</v>
      </c>
      <c r="H99" s="8" t="s">
        <v>1499</v>
      </c>
      <c r="I99" s="8" t="s">
        <v>1500</v>
      </c>
      <c r="J99" s="8"/>
      <c r="K99" s="8" t="s">
        <v>1501</v>
      </c>
      <c r="L99" s="8" t="s">
        <v>1632</v>
      </c>
      <c r="M99" s="8" t="s">
        <v>1631</v>
      </c>
      <c r="N99" s="8"/>
      <c r="O99" s="8" t="s">
        <v>41</v>
      </c>
      <c r="P99" s="8" t="s">
        <v>41</v>
      </c>
      <c r="Q99" s="8" t="s">
        <v>41</v>
      </c>
      <c r="R99" s="8" t="s">
        <v>768</v>
      </c>
      <c r="S99" s="8" t="s">
        <v>1659</v>
      </c>
      <c r="T99" s="8"/>
      <c r="U99" s="8"/>
      <c r="V99" s="8" t="s">
        <v>41</v>
      </c>
      <c r="W99" s="8" t="s">
        <v>41</v>
      </c>
      <c r="X99" s="8" t="s">
        <v>1502</v>
      </c>
      <c r="Y99" s="12" t="s">
        <v>1503</v>
      </c>
    </row>
    <row r="100" spans="1:25" ht="15" customHeight="1" x14ac:dyDescent="0.25">
      <c r="A100" s="7" t="s">
        <v>733</v>
      </c>
      <c r="B100" s="7"/>
      <c r="C100" s="7" t="s">
        <v>734</v>
      </c>
      <c r="D100" s="7"/>
      <c r="E100" s="7" t="s">
        <v>735</v>
      </c>
      <c r="F100" s="7"/>
      <c r="G100" s="7"/>
      <c r="H100" s="7"/>
      <c r="I100" s="7"/>
      <c r="J100" s="7"/>
      <c r="K100" s="7"/>
      <c r="L100" s="7"/>
      <c r="M100" s="7"/>
      <c r="N100" s="7"/>
      <c r="O100" s="7"/>
      <c r="P100" s="7"/>
      <c r="Q100" s="7"/>
      <c r="R100" s="7"/>
      <c r="S100" s="7"/>
      <c r="T100" s="7"/>
      <c r="U100" s="7"/>
      <c r="V100" s="7"/>
      <c r="W100" s="7"/>
      <c r="X100" s="7"/>
      <c r="Y100" s="11"/>
    </row>
    <row r="101" spans="1:25" ht="15" customHeight="1" x14ac:dyDescent="0.25">
      <c r="A101" s="8" t="s">
        <v>736</v>
      </c>
      <c r="B101" s="8"/>
      <c r="C101" s="8" t="s">
        <v>737</v>
      </c>
      <c r="D101" s="8"/>
      <c r="E101" s="8" t="s">
        <v>738</v>
      </c>
      <c r="F101" s="8"/>
      <c r="G101" s="8"/>
      <c r="H101" s="8"/>
      <c r="I101" s="8"/>
      <c r="J101" s="8"/>
      <c r="K101" s="8"/>
      <c r="L101" s="8"/>
      <c r="M101" s="8"/>
      <c r="N101" s="8"/>
      <c r="O101" s="8"/>
      <c r="P101" s="8"/>
      <c r="Q101" s="8"/>
      <c r="R101" s="8"/>
      <c r="S101" s="8"/>
      <c r="T101" s="8"/>
      <c r="U101" s="8"/>
      <c r="V101" s="8"/>
      <c r="W101" s="8"/>
      <c r="X101" s="8"/>
      <c r="Y101" s="12"/>
    </row>
    <row r="102" spans="1:25" ht="15" customHeight="1" x14ac:dyDescent="0.25">
      <c r="A102" s="7" t="s">
        <v>768</v>
      </c>
      <c r="B102" s="7"/>
      <c r="C102" s="7" t="s">
        <v>769</v>
      </c>
      <c r="D102" s="7"/>
      <c r="E102" s="7" t="s">
        <v>770</v>
      </c>
      <c r="F102" s="7"/>
      <c r="G102" s="7"/>
      <c r="H102" s="7"/>
      <c r="I102" s="7"/>
      <c r="J102" s="7"/>
      <c r="K102" s="7"/>
      <c r="L102" s="7"/>
      <c r="M102" s="7"/>
      <c r="N102" s="7"/>
      <c r="O102" s="7"/>
      <c r="P102" s="7"/>
      <c r="Q102" s="7"/>
      <c r="R102" s="7"/>
      <c r="S102" s="7"/>
      <c r="T102" s="7"/>
      <c r="U102" s="7"/>
      <c r="V102" s="7"/>
      <c r="W102" s="7"/>
      <c r="X102" s="7"/>
      <c r="Y102" s="11"/>
    </row>
    <row r="103" spans="1:25" ht="15" customHeight="1" x14ac:dyDescent="0.25">
      <c r="A103" s="8" t="s">
        <v>768</v>
      </c>
      <c r="B103" s="8" t="s">
        <v>1504</v>
      </c>
      <c r="C103" s="8" t="s">
        <v>1505</v>
      </c>
      <c r="D103" s="8" t="s">
        <v>34</v>
      </c>
      <c r="E103" s="8" t="s">
        <v>1506</v>
      </c>
      <c r="F103" s="8" t="s">
        <v>1507</v>
      </c>
      <c r="G103" s="8" t="s">
        <v>1508</v>
      </c>
      <c r="H103" s="8" t="s">
        <v>1509</v>
      </c>
      <c r="I103" s="8" t="s">
        <v>1510</v>
      </c>
      <c r="J103" s="8"/>
      <c r="K103" s="8" t="s">
        <v>1511</v>
      </c>
      <c r="L103" s="8" t="s">
        <v>1641</v>
      </c>
      <c r="M103" s="8"/>
      <c r="N103" s="8"/>
      <c r="O103" s="8" t="s">
        <v>41</v>
      </c>
      <c r="P103" s="8" t="s">
        <v>41</v>
      </c>
      <c r="Q103" s="8" t="s">
        <v>41</v>
      </c>
      <c r="R103" s="8" t="s">
        <v>1665</v>
      </c>
      <c r="S103" s="8"/>
      <c r="T103" s="8"/>
      <c r="U103" s="8" t="s">
        <v>41</v>
      </c>
      <c r="V103" s="8" t="s">
        <v>41</v>
      </c>
      <c r="W103" s="8" t="s">
        <v>41</v>
      </c>
      <c r="X103" s="8" t="s">
        <v>1512</v>
      </c>
      <c r="Y103" s="12" t="s">
        <v>1513</v>
      </c>
    </row>
    <row r="104" spans="1:25" ht="15" customHeight="1" x14ac:dyDescent="0.25">
      <c r="A104" s="7" t="s">
        <v>789</v>
      </c>
      <c r="B104" s="7"/>
      <c r="C104" s="7" t="s">
        <v>790</v>
      </c>
      <c r="D104" s="7"/>
      <c r="E104" s="7" t="s">
        <v>791</v>
      </c>
      <c r="F104" s="7"/>
      <c r="G104" s="7"/>
      <c r="H104" s="7"/>
      <c r="I104" s="7"/>
      <c r="J104" s="7"/>
      <c r="K104" s="7"/>
      <c r="L104" s="7"/>
      <c r="M104" s="7"/>
      <c r="N104" s="7"/>
      <c r="O104" s="7"/>
      <c r="P104" s="7"/>
      <c r="Q104" s="7"/>
      <c r="R104" s="7"/>
      <c r="S104" s="7"/>
      <c r="T104" s="7"/>
      <c r="U104" s="7"/>
      <c r="V104" s="7"/>
      <c r="W104" s="7"/>
      <c r="X104" s="7"/>
      <c r="Y104" s="11"/>
    </row>
    <row r="105" spans="1:25" ht="15" customHeight="1" x14ac:dyDescent="0.25">
      <c r="A105" s="8" t="s">
        <v>789</v>
      </c>
      <c r="B105" s="8" t="s">
        <v>1514</v>
      </c>
      <c r="C105" s="8" t="s">
        <v>1515</v>
      </c>
      <c r="D105" s="8" t="s">
        <v>34</v>
      </c>
      <c r="E105" s="8" t="s">
        <v>1516</v>
      </c>
      <c r="F105" s="8" t="s">
        <v>1517</v>
      </c>
      <c r="G105" s="8" t="s">
        <v>1518</v>
      </c>
      <c r="H105" s="8" t="s">
        <v>1519</v>
      </c>
      <c r="I105" s="8" t="s">
        <v>1520</v>
      </c>
      <c r="J105" s="8"/>
      <c r="K105" s="8" t="s">
        <v>1521</v>
      </c>
      <c r="L105" s="8" t="s">
        <v>1613</v>
      </c>
      <c r="M105" s="8" t="s">
        <v>1670</v>
      </c>
      <c r="N105" s="8"/>
      <c r="O105" s="8" t="s">
        <v>41</v>
      </c>
      <c r="P105" s="8" t="s">
        <v>41</v>
      </c>
      <c r="Q105" s="8" t="s">
        <v>41</v>
      </c>
      <c r="R105" s="8" t="s">
        <v>1648</v>
      </c>
      <c r="S105" s="8"/>
      <c r="T105" s="8"/>
      <c r="U105" s="8"/>
      <c r="V105" s="8"/>
      <c r="W105" s="8" t="s">
        <v>41</v>
      </c>
      <c r="X105" s="8" t="s">
        <v>1522</v>
      </c>
      <c r="Y105" s="12" t="s">
        <v>891</v>
      </c>
    </row>
    <row r="106" spans="1:25" ht="15" customHeight="1" x14ac:dyDescent="0.25">
      <c r="A106" s="7" t="s">
        <v>789</v>
      </c>
      <c r="B106" s="7" t="s">
        <v>1523</v>
      </c>
      <c r="C106" s="7" t="s">
        <v>1524</v>
      </c>
      <c r="D106" s="7" t="s">
        <v>55</v>
      </c>
      <c r="E106" s="7" t="s">
        <v>1525</v>
      </c>
      <c r="F106" s="7" t="s">
        <v>1526</v>
      </c>
      <c r="G106" s="7" t="s">
        <v>1527</v>
      </c>
      <c r="H106" s="7" t="s">
        <v>1528</v>
      </c>
      <c r="I106" s="7" t="s">
        <v>1529</v>
      </c>
      <c r="J106" s="7"/>
      <c r="K106" s="7" t="s">
        <v>835</v>
      </c>
      <c r="L106" s="7" t="s">
        <v>114</v>
      </c>
      <c r="M106" s="7"/>
      <c r="N106" s="7"/>
      <c r="O106" s="7"/>
      <c r="P106" s="7"/>
      <c r="Q106" s="7"/>
      <c r="R106" s="7"/>
      <c r="S106" s="7"/>
      <c r="T106" s="7"/>
      <c r="U106" s="7"/>
      <c r="V106" s="7"/>
      <c r="W106" s="7"/>
      <c r="X106" s="7" t="s">
        <v>1530</v>
      </c>
      <c r="Y106" s="11" t="s">
        <v>837</v>
      </c>
    </row>
    <row r="107" spans="1:25" ht="15" customHeight="1" x14ac:dyDescent="0.25">
      <c r="A107" s="8" t="s">
        <v>789</v>
      </c>
      <c r="B107" s="8" t="s">
        <v>1531</v>
      </c>
      <c r="C107" s="8" t="s">
        <v>1532</v>
      </c>
      <c r="D107" s="8" t="s">
        <v>34</v>
      </c>
      <c r="E107" s="8" t="s">
        <v>1533</v>
      </c>
      <c r="F107" s="8" t="s">
        <v>1534</v>
      </c>
      <c r="G107" s="8" t="s">
        <v>1535</v>
      </c>
      <c r="H107" s="8" t="s">
        <v>1536</v>
      </c>
      <c r="I107" s="8" t="s">
        <v>1537</v>
      </c>
      <c r="J107" s="8" t="s">
        <v>1538</v>
      </c>
      <c r="K107" s="8" t="s">
        <v>1539</v>
      </c>
      <c r="L107" s="8" t="s">
        <v>1641</v>
      </c>
      <c r="M107" s="8"/>
      <c r="N107" s="8"/>
      <c r="O107" s="8" t="s">
        <v>41</v>
      </c>
      <c r="P107" s="8" t="s">
        <v>41</v>
      </c>
      <c r="Q107" s="8" t="s">
        <v>41</v>
      </c>
      <c r="R107" s="8" t="s">
        <v>1671</v>
      </c>
      <c r="S107" s="8"/>
      <c r="T107" s="8"/>
      <c r="U107" s="8"/>
      <c r="V107" s="8"/>
      <c r="W107" s="8"/>
      <c r="X107" s="8" t="s">
        <v>1540</v>
      </c>
      <c r="Y107" s="12" t="s">
        <v>1541</v>
      </c>
    </row>
    <row r="108" spans="1:25" ht="15" customHeight="1" x14ac:dyDescent="0.25">
      <c r="A108" s="7" t="s">
        <v>838</v>
      </c>
      <c r="B108" s="7"/>
      <c r="C108" s="7" t="s">
        <v>839</v>
      </c>
      <c r="D108" s="7"/>
      <c r="E108" s="7"/>
      <c r="F108" s="7"/>
      <c r="G108" s="7"/>
      <c r="H108" s="7"/>
      <c r="I108" s="7"/>
      <c r="J108" s="7"/>
      <c r="K108" s="7"/>
      <c r="L108" s="7"/>
      <c r="M108" s="7"/>
      <c r="N108" s="7"/>
      <c r="O108" s="7"/>
      <c r="P108" s="7"/>
      <c r="Q108" s="7"/>
      <c r="R108" s="7"/>
      <c r="S108" s="7"/>
      <c r="T108" s="7"/>
      <c r="U108" s="7"/>
      <c r="V108" s="7"/>
      <c r="W108" s="7"/>
      <c r="X108" s="7"/>
      <c r="Y108" s="11"/>
    </row>
    <row r="109" spans="1:25" ht="15" customHeight="1" x14ac:dyDescent="0.25">
      <c r="A109" s="8" t="s">
        <v>870</v>
      </c>
      <c r="B109" s="8"/>
      <c r="C109" s="8" t="s">
        <v>871</v>
      </c>
      <c r="D109" s="8"/>
      <c r="E109" s="8"/>
      <c r="F109" s="8"/>
      <c r="G109" s="8"/>
      <c r="H109" s="8"/>
      <c r="I109" s="8"/>
      <c r="J109" s="8"/>
      <c r="K109" s="8"/>
      <c r="L109" s="8"/>
      <c r="M109" s="8"/>
      <c r="N109" s="8"/>
      <c r="O109" s="8"/>
      <c r="P109" s="8"/>
      <c r="Q109" s="8"/>
      <c r="R109" s="8"/>
      <c r="S109" s="8"/>
      <c r="T109" s="8"/>
      <c r="U109" s="8"/>
      <c r="V109" s="8"/>
      <c r="W109" s="8"/>
      <c r="X109" s="8"/>
      <c r="Y109" s="12"/>
    </row>
    <row r="110" spans="1:25" ht="15" customHeight="1" x14ac:dyDescent="0.25">
      <c r="A110" s="7" t="s">
        <v>870</v>
      </c>
      <c r="B110" s="7" t="s">
        <v>1542</v>
      </c>
      <c r="C110" s="7" t="s">
        <v>1543</v>
      </c>
      <c r="D110" s="7" t="s">
        <v>34</v>
      </c>
      <c r="E110" s="7" t="s">
        <v>1544</v>
      </c>
      <c r="F110" s="7" t="s">
        <v>1545</v>
      </c>
      <c r="G110" s="7" t="s">
        <v>1470</v>
      </c>
      <c r="H110" s="7" t="s">
        <v>1546</v>
      </c>
      <c r="I110" s="7" t="s">
        <v>1547</v>
      </c>
      <c r="J110" s="7" t="s">
        <v>1548</v>
      </c>
      <c r="K110" s="7" t="s">
        <v>40</v>
      </c>
      <c r="L110" s="7" t="s">
        <v>1606</v>
      </c>
      <c r="M110" s="7"/>
      <c r="N110" s="7"/>
      <c r="O110" s="7"/>
      <c r="P110" s="7" t="s">
        <v>41</v>
      </c>
      <c r="Q110" s="7" t="s">
        <v>41</v>
      </c>
      <c r="R110" s="7" t="s">
        <v>1607</v>
      </c>
      <c r="S110" s="7"/>
      <c r="T110" s="7"/>
      <c r="U110" s="7"/>
      <c r="V110" s="7" t="s">
        <v>41</v>
      </c>
      <c r="W110" s="7" t="s">
        <v>41</v>
      </c>
      <c r="X110" s="7" t="s">
        <v>1549</v>
      </c>
      <c r="Y110" s="11" t="s">
        <v>1550</v>
      </c>
    </row>
    <row r="111" spans="1:25" ht="15" customHeight="1" x14ac:dyDescent="0.25">
      <c r="A111" s="8" t="s">
        <v>892</v>
      </c>
      <c r="B111" s="8"/>
      <c r="C111" s="8" t="s">
        <v>893</v>
      </c>
      <c r="D111" s="8"/>
      <c r="E111" s="8"/>
      <c r="F111" s="8"/>
      <c r="G111" s="8"/>
      <c r="H111" s="8"/>
      <c r="I111" s="8"/>
      <c r="J111" s="8"/>
      <c r="K111" s="8"/>
      <c r="L111" s="8"/>
      <c r="M111" s="8"/>
      <c r="N111" s="8"/>
      <c r="O111" s="8"/>
      <c r="P111" s="8"/>
      <c r="Q111" s="8"/>
      <c r="R111" s="8"/>
      <c r="S111" s="8"/>
      <c r="T111" s="8"/>
      <c r="U111" s="8"/>
      <c r="V111" s="8"/>
      <c r="W111" s="8"/>
      <c r="X111" s="8"/>
      <c r="Y11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97"/>
  <sheetViews>
    <sheetView workbookViewId="0">
      <pane ySplit="1" topLeftCell="A2" activePane="bottomLeft" state="frozen"/>
      <selection pane="bottomLeft"/>
    </sheetView>
  </sheetViews>
  <sheetFormatPr defaultRowHeight="15" customHeight="1" x14ac:dyDescent="0.25"/>
  <cols>
    <col min="1" max="1" width="10" style="9" customWidth="1"/>
    <col min="2" max="2" width="15" style="9" customWidth="1"/>
    <col min="3" max="3" width="9.140625" customWidth="1"/>
    <col min="4" max="4" width="50" style="9" customWidth="1"/>
    <col min="5" max="5" width="12" style="9" customWidth="1"/>
    <col min="6" max="8" width="10" style="9" customWidth="1"/>
    <col min="9" max="9" width="12" style="9" customWidth="1"/>
    <col min="10" max="12" width="10" style="9" customWidth="1"/>
    <col min="13" max="15" width="12" style="9" customWidth="1"/>
    <col min="16" max="18" width="4" style="9" customWidth="1"/>
    <col min="19" max="21" width="12" style="9" customWidth="1"/>
    <col min="22" max="24" width="4" style="9" customWidth="1"/>
    <col min="25" max="26" width="40" style="9" customWidth="1"/>
  </cols>
  <sheetData>
    <row r="1" spans="1:26" s="9" customFormat="1" ht="56.1" customHeight="1" x14ac:dyDescent="0.25">
      <c r="A1" s="10" t="s">
        <v>1588</v>
      </c>
      <c r="B1" s="10" t="s">
        <v>1589</v>
      </c>
      <c r="C1" s="10" t="s">
        <v>1672</v>
      </c>
      <c r="D1" s="10" t="s">
        <v>1590</v>
      </c>
      <c r="E1" s="10" t="s">
        <v>1591</v>
      </c>
      <c r="F1" s="10" t="s">
        <v>1592</v>
      </c>
      <c r="G1" s="10" t="s">
        <v>1593</v>
      </c>
      <c r="H1" s="10" t="s">
        <v>1594</v>
      </c>
      <c r="I1" s="10" t="s">
        <v>1595</v>
      </c>
      <c r="J1" s="10" t="s">
        <v>1596</v>
      </c>
      <c r="K1" s="10" t="s">
        <v>1597</v>
      </c>
      <c r="L1" s="10" t="s">
        <v>5</v>
      </c>
      <c r="M1" s="10" t="s">
        <v>1598</v>
      </c>
      <c r="N1" s="10" t="s">
        <v>1599</v>
      </c>
      <c r="O1" s="10" t="s">
        <v>1600</v>
      </c>
      <c r="P1" s="10" t="s">
        <v>9</v>
      </c>
      <c r="Q1" s="10" t="s">
        <v>10</v>
      </c>
      <c r="R1" s="10" t="s">
        <v>11</v>
      </c>
      <c r="S1" s="10" t="s">
        <v>1601</v>
      </c>
      <c r="T1" s="10" t="s">
        <v>1602</v>
      </c>
      <c r="U1" s="10" t="s">
        <v>1603</v>
      </c>
      <c r="V1" s="10" t="s">
        <v>6</v>
      </c>
      <c r="W1" s="10" t="s">
        <v>7</v>
      </c>
      <c r="X1" s="10" t="s">
        <v>8</v>
      </c>
      <c r="Y1" s="10" t="s">
        <v>1604</v>
      </c>
      <c r="Z1" s="10" t="s">
        <v>1605</v>
      </c>
    </row>
    <row r="2" spans="1:26" ht="15" customHeight="1" x14ac:dyDescent="0.25">
      <c r="A2" s="7" t="s">
        <v>12</v>
      </c>
      <c r="B2" s="7"/>
      <c r="C2" s="7"/>
      <c r="D2" s="7" t="s">
        <v>13</v>
      </c>
      <c r="E2" s="7"/>
      <c r="F2" s="7" t="s">
        <v>14</v>
      </c>
      <c r="G2" s="7"/>
      <c r="H2" s="7"/>
      <c r="I2" s="7"/>
      <c r="J2" s="7"/>
      <c r="K2" s="7"/>
      <c r="L2" s="7"/>
      <c r="M2" s="7"/>
      <c r="N2" s="7"/>
      <c r="O2" s="7"/>
      <c r="P2" s="7"/>
      <c r="Q2" s="7"/>
      <c r="R2" s="7"/>
      <c r="S2" s="7"/>
      <c r="T2" s="7"/>
      <c r="U2" s="7"/>
      <c r="V2" s="7"/>
      <c r="W2" s="7"/>
      <c r="X2" s="7"/>
      <c r="Y2" s="7"/>
      <c r="Z2" s="11"/>
    </row>
    <row r="3" spans="1:26" ht="15" customHeight="1" x14ac:dyDescent="0.25">
      <c r="A3" s="8" t="s">
        <v>15</v>
      </c>
      <c r="B3" s="8"/>
      <c r="C3" s="8"/>
      <c r="D3" s="8" t="s">
        <v>16</v>
      </c>
      <c r="E3" s="8"/>
      <c r="F3" s="8" t="s">
        <v>17</v>
      </c>
      <c r="G3" s="8"/>
      <c r="H3" s="8"/>
      <c r="I3" s="8"/>
      <c r="J3" s="8"/>
      <c r="K3" s="8"/>
      <c r="L3" s="8"/>
      <c r="M3" s="8"/>
      <c r="N3" s="8"/>
      <c r="O3" s="8"/>
      <c r="P3" s="8"/>
      <c r="Q3" s="8"/>
      <c r="R3" s="8"/>
      <c r="S3" s="8"/>
      <c r="T3" s="8"/>
      <c r="U3" s="8"/>
      <c r="V3" s="8"/>
      <c r="W3" s="8"/>
      <c r="X3" s="8"/>
      <c r="Y3" s="8"/>
      <c r="Z3" s="12"/>
    </row>
    <row r="4" spans="1:26" ht="15" customHeight="1" x14ac:dyDescent="0.25">
      <c r="A4" s="7" t="s">
        <v>18</v>
      </c>
      <c r="B4" s="7"/>
      <c r="C4" s="7"/>
      <c r="D4" s="7" t="s">
        <v>19</v>
      </c>
      <c r="E4" s="7"/>
      <c r="F4" s="7" t="s">
        <v>20</v>
      </c>
      <c r="G4" s="7"/>
      <c r="H4" s="7"/>
      <c r="I4" s="7"/>
      <c r="J4" s="7"/>
      <c r="K4" s="7"/>
      <c r="L4" s="7"/>
      <c r="M4" s="7"/>
      <c r="N4" s="7"/>
      <c r="O4" s="7"/>
      <c r="P4" s="7"/>
      <c r="Q4" s="7"/>
      <c r="R4" s="7"/>
      <c r="S4" s="7"/>
      <c r="T4" s="7"/>
      <c r="U4" s="7"/>
      <c r="V4" s="7"/>
      <c r="W4" s="7"/>
      <c r="X4" s="7"/>
      <c r="Y4" s="7"/>
      <c r="Z4" s="11"/>
    </row>
    <row r="5" spans="1:26" ht="15" customHeight="1" x14ac:dyDescent="0.25">
      <c r="A5" s="8" t="s">
        <v>21</v>
      </c>
      <c r="B5" s="8"/>
      <c r="C5" s="8"/>
      <c r="D5" s="8" t="s">
        <v>22</v>
      </c>
      <c r="E5" s="8"/>
      <c r="F5" s="8" t="s">
        <v>23</v>
      </c>
      <c r="G5" s="8"/>
      <c r="H5" s="8"/>
      <c r="I5" s="8"/>
      <c r="J5" s="8"/>
      <c r="K5" s="8"/>
      <c r="L5" s="8"/>
      <c r="M5" s="8"/>
      <c r="N5" s="8"/>
      <c r="O5" s="8"/>
      <c r="P5" s="8"/>
      <c r="Q5" s="8"/>
      <c r="R5" s="8"/>
      <c r="S5" s="8"/>
      <c r="T5" s="8"/>
      <c r="U5" s="8"/>
      <c r="V5" s="8"/>
      <c r="W5" s="8"/>
      <c r="X5" s="8"/>
      <c r="Y5" s="8"/>
      <c r="Z5" s="12"/>
    </row>
    <row r="6" spans="1:26" ht="15" customHeight="1" x14ac:dyDescent="0.25">
      <c r="A6" s="7" t="s">
        <v>24</v>
      </c>
      <c r="B6" s="7"/>
      <c r="C6" s="7"/>
      <c r="D6" s="7" t="s">
        <v>25</v>
      </c>
      <c r="E6" s="7"/>
      <c r="F6" s="7" t="s">
        <v>26</v>
      </c>
      <c r="G6" s="7"/>
      <c r="H6" s="7"/>
      <c r="I6" s="7"/>
      <c r="J6" s="7"/>
      <c r="K6" s="7"/>
      <c r="L6" s="7"/>
      <c r="M6" s="7"/>
      <c r="N6" s="7"/>
      <c r="O6" s="7"/>
      <c r="P6" s="7"/>
      <c r="Q6" s="7"/>
      <c r="R6" s="7"/>
      <c r="S6" s="7"/>
      <c r="T6" s="7"/>
      <c r="U6" s="7"/>
      <c r="V6" s="7"/>
      <c r="W6" s="7"/>
      <c r="X6" s="7"/>
      <c r="Y6" s="7"/>
      <c r="Z6" s="11"/>
    </row>
    <row r="7" spans="1:26" ht="15" customHeight="1" x14ac:dyDescent="0.25">
      <c r="A7" s="8" t="s">
        <v>27</v>
      </c>
      <c r="B7" s="8"/>
      <c r="C7" s="8"/>
      <c r="D7" s="8" t="s">
        <v>28</v>
      </c>
      <c r="E7" s="8"/>
      <c r="F7" s="8" t="s">
        <v>29</v>
      </c>
      <c r="G7" s="8"/>
      <c r="H7" s="8"/>
      <c r="I7" s="8"/>
      <c r="J7" s="8"/>
      <c r="K7" s="8"/>
      <c r="L7" s="8"/>
      <c r="M7" s="8"/>
      <c r="N7" s="8"/>
      <c r="O7" s="8"/>
      <c r="P7" s="8"/>
      <c r="Q7" s="8"/>
      <c r="R7" s="8"/>
      <c r="S7" s="8"/>
      <c r="T7" s="8"/>
      <c r="U7" s="8"/>
      <c r="V7" s="8"/>
      <c r="W7" s="8"/>
      <c r="X7" s="8"/>
      <c r="Y7" s="8"/>
      <c r="Z7" s="12"/>
    </row>
    <row r="8" spans="1:26" ht="15" customHeight="1" x14ac:dyDescent="0.25">
      <c r="A8" s="7" t="s">
        <v>30</v>
      </c>
      <c r="B8" s="7"/>
      <c r="C8" s="7"/>
      <c r="D8" s="7" t="s">
        <v>31</v>
      </c>
      <c r="E8" s="7"/>
      <c r="F8" s="7"/>
      <c r="G8" s="7"/>
      <c r="H8" s="7"/>
      <c r="I8" s="7"/>
      <c r="J8" s="7"/>
      <c r="K8" s="7"/>
      <c r="L8" s="7"/>
      <c r="M8" s="7"/>
      <c r="N8" s="7"/>
      <c r="O8" s="7"/>
      <c r="P8" s="7"/>
      <c r="Q8" s="7"/>
      <c r="R8" s="7"/>
      <c r="S8" s="7"/>
      <c r="T8" s="7"/>
      <c r="U8" s="7"/>
      <c r="V8" s="7"/>
      <c r="W8" s="7"/>
      <c r="X8" s="7"/>
      <c r="Y8" s="7"/>
      <c r="Z8" s="11"/>
    </row>
    <row r="9" spans="1:26" ht="15" customHeight="1" x14ac:dyDescent="0.25">
      <c r="A9" s="8" t="s">
        <v>30</v>
      </c>
      <c r="B9" s="8" t="s">
        <v>32</v>
      </c>
      <c r="C9" s="8" t="s">
        <v>1552</v>
      </c>
      <c r="D9" s="8" t="s">
        <v>33</v>
      </c>
      <c r="E9" s="8" t="s">
        <v>34</v>
      </c>
      <c r="F9" s="8" t="s">
        <v>35</v>
      </c>
      <c r="G9" s="8" t="s">
        <v>36</v>
      </c>
      <c r="H9" s="8" t="s">
        <v>37</v>
      </c>
      <c r="I9" s="8" t="s">
        <v>38</v>
      </c>
      <c r="J9" s="8" t="s">
        <v>39</v>
      </c>
      <c r="K9" s="8"/>
      <c r="L9" s="8" t="s">
        <v>40</v>
      </c>
      <c r="M9" s="8" t="s">
        <v>1606</v>
      </c>
      <c r="N9" s="8"/>
      <c r="O9" s="8"/>
      <c r="P9" s="8"/>
      <c r="Q9" s="8" t="s">
        <v>41</v>
      </c>
      <c r="R9" s="8" t="s">
        <v>41</v>
      </c>
      <c r="S9" s="8" t="s">
        <v>1607</v>
      </c>
      <c r="T9" s="8"/>
      <c r="U9" s="8"/>
      <c r="V9" s="8"/>
      <c r="W9" s="8" t="s">
        <v>41</v>
      </c>
      <c r="X9" s="8" t="s">
        <v>41</v>
      </c>
      <c r="Y9" s="8"/>
      <c r="Z9" s="12" t="s">
        <v>42</v>
      </c>
    </row>
    <row r="10" spans="1:26" ht="15" customHeight="1" x14ac:dyDescent="0.25">
      <c r="A10" s="7" t="s">
        <v>30</v>
      </c>
      <c r="B10" s="7" t="s">
        <v>43</v>
      </c>
      <c r="C10" s="7" t="s">
        <v>1552</v>
      </c>
      <c r="D10" s="7" t="s">
        <v>44</v>
      </c>
      <c r="E10" s="7" t="s">
        <v>34</v>
      </c>
      <c r="F10" s="7" t="s">
        <v>45</v>
      </c>
      <c r="G10" s="7" t="s">
        <v>46</v>
      </c>
      <c r="H10" s="7" t="s">
        <v>47</v>
      </c>
      <c r="I10" s="7" t="s">
        <v>48</v>
      </c>
      <c r="J10" s="7" t="s">
        <v>49</v>
      </c>
      <c r="K10" s="7"/>
      <c r="L10" s="7" t="s">
        <v>50</v>
      </c>
      <c r="M10" s="7" t="s">
        <v>1608</v>
      </c>
      <c r="N10" s="7"/>
      <c r="O10" s="7"/>
      <c r="P10" s="7" t="s">
        <v>41</v>
      </c>
      <c r="Q10" s="7" t="s">
        <v>41</v>
      </c>
      <c r="R10" s="7" t="s">
        <v>41</v>
      </c>
      <c r="S10" s="7" t="s">
        <v>1609</v>
      </c>
      <c r="T10" s="7"/>
      <c r="U10" s="7"/>
      <c r="V10" s="7" t="s">
        <v>41</v>
      </c>
      <c r="W10" s="7" t="s">
        <v>41</v>
      </c>
      <c r="X10" s="7" t="s">
        <v>41</v>
      </c>
      <c r="Y10" s="7" t="s">
        <v>51</v>
      </c>
      <c r="Z10" s="11" t="s">
        <v>52</v>
      </c>
    </row>
    <row r="11" spans="1:26" ht="15" customHeight="1" x14ac:dyDescent="0.25">
      <c r="A11" s="8" t="s">
        <v>30</v>
      </c>
      <c r="B11" s="8" t="s">
        <v>902</v>
      </c>
      <c r="C11" s="8" t="s">
        <v>1553</v>
      </c>
      <c r="D11" s="8" t="s">
        <v>903</v>
      </c>
      <c r="E11" s="8" t="s">
        <v>55</v>
      </c>
      <c r="F11" s="8" t="s">
        <v>904</v>
      </c>
      <c r="G11" s="8" t="s">
        <v>905</v>
      </c>
      <c r="H11" s="8" t="s">
        <v>906</v>
      </c>
      <c r="I11" s="8" t="s">
        <v>907</v>
      </c>
      <c r="J11" s="8" t="s">
        <v>908</v>
      </c>
      <c r="K11" s="8"/>
      <c r="L11" s="8" t="s">
        <v>570</v>
      </c>
      <c r="M11" s="8" t="s">
        <v>1633</v>
      </c>
      <c r="N11" s="8"/>
      <c r="O11" s="8"/>
      <c r="P11" s="8"/>
      <c r="Q11" s="8" t="s">
        <v>41</v>
      </c>
      <c r="R11" s="8" t="s">
        <v>41</v>
      </c>
      <c r="S11" s="8" t="s">
        <v>1634</v>
      </c>
      <c r="T11" s="8"/>
      <c r="U11" s="8"/>
      <c r="V11" s="8"/>
      <c r="W11" s="8" t="s">
        <v>41</v>
      </c>
      <c r="X11" s="8" t="s">
        <v>41</v>
      </c>
      <c r="Y11" s="8" t="s">
        <v>909</v>
      </c>
      <c r="Z11" s="12" t="s">
        <v>910</v>
      </c>
    </row>
    <row r="12" spans="1:26" ht="15" customHeight="1" x14ac:dyDescent="0.25">
      <c r="A12" s="7" t="s">
        <v>30</v>
      </c>
      <c r="B12" s="7" t="s">
        <v>53</v>
      </c>
      <c r="C12" s="7" t="s">
        <v>1552</v>
      </c>
      <c r="D12" s="7" t="s">
        <v>54</v>
      </c>
      <c r="E12" s="7" t="s">
        <v>55</v>
      </c>
      <c r="F12" s="7" t="s">
        <v>56</v>
      </c>
      <c r="G12" s="7" t="s">
        <v>57</v>
      </c>
      <c r="H12" s="7" t="s">
        <v>58</v>
      </c>
      <c r="I12" s="7" t="s">
        <v>59</v>
      </c>
      <c r="J12" s="7" t="s">
        <v>60</v>
      </c>
      <c r="K12" s="7"/>
      <c r="L12" s="7" t="s">
        <v>61</v>
      </c>
      <c r="M12" s="7" t="s">
        <v>145</v>
      </c>
      <c r="N12" s="7"/>
      <c r="O12" s="7"/>
      <c r="P12" s="7"/>
      <c r="Q12" s="7" t="s">
        <v>41</v>
      </c>
      <c r="R12" s="7" t="s">
        <v>41</v>
      </c>
      <c r="S12" s="7" t="s">
        <v>1610</v>
      </c>
      <c r="T12" s="7"/>
      <c r="U12" s="7"/>
      <c r="V12" s="7"/>
      <c r="W12" s="7" t="s">
        <v>41</v>
      </c>
      <c r="X12" s="7" t="s">
        <v>41</v>
      </c>
      <c r="Y12" s="7" t="s">
        <v>62</v>
      </c>
      <c r="Z12" s="11" t="s">
        <v>63</v>
      </c>
    </row>
    <row r="13" spans="1:26" ht="15" customHeight="1" x14ac:dyDescent="0.25">
      <c r="A13" s="8" t="s">
        <v>30</v>
      </c>
      <c r="B13" s="8" t="s">
        <v>64</v>
      </c>
      <c r="C13" s="8" t="s">
        <v>1552</v>
      </c>
      <c r="D13" s="8" t="s">
        <v>65</v>
      </c>
      <c r="E13" s="8" t="s">
        <v>55</v>
      </c>
      <c r="F13" s="8" t="s">
        <v>66</v>
      </c>
      <c r="G13" s="8" t="s">
        <v>67</v>
      </c>
      <c r="H13" s="8" t="s">
        <v>68</v>
      </c>
      <c r="I13" s="8" t="s">
        <v>69</v>
      </c>
      <c r="J13" s="8" t="s">
        <v>70</v>
      </c>
      <c r="K13" s="8"/>
      <c r="L13" s="8" t="s">
        <v>71</v>
      </c>
      <c r="M13" s="8" t="s">
        <v>145</v>
      </c>
      <c r="N13" s="8" t="s">
        <v>1611</v>
      </c>
      <c r="O13" s="8"/>
      <c r="P13" s="8"/>
      <c r="Q13" s="8" t="s">
        <v>41</v>
      </c>
      <c r="R13" s="8" t="s">
        <v>41</v>
      </c>
      <c r="S13" s="8" t="s">
        <v>1610</v>
      </c>
      <c r="T13" s="8"/>
      <c r="U13" s="8"/>
      <c r="V13" s="8"/>
      <c r="W13" s="8" t="s">
        <v>41</v>
      </c>
      <c r="X13" s="8" t="s">
        <v>41</v>
      </c>
      <c r="Y13" s="8" t="s">
        <v>72</v>
      </c>
      <c r="Z13" s="12" t="s">
        <v>73</v>
      </c>
    </row>
    <row r="14" spans="1:26" ht="15" customHeight="1" x14ac:dyDescent="0.25">
      <c r="A14" s="7" t="s">
        <v>30</v>
      </c>
      <c r="B14" s="7" t="s">
        <v>74</v>
      </c>
      <c r="C14" s="7" t="s">
        <v>1552</v>
      </c>
      <c r="D14" s="7" t="s">
        <v>75</v>
      </c>
      <c r="E14" s="7" t="s">
        <v>55</v>
      </c>
      <c r="F14" s="7" t="s">
        <v>76</v>
      </c>
      <c r="G14" s="7" t="s">
        <v>77</v>
      </c>
      <c r="H14" s="7" t="s">
        <v>78</v>
      </c>
      <c r="I14" s="7" t="s">
        <v>79</v>
      </c>
      <c r="J14" s="7" t="s">
        <v>80</v>
      </c>
      <c r="K14" s="7"/>
      <c r="L14" s="7" t="s">
        <v>81</v>
      </c>
      <c r="M14" s="7" t="s">
        <v>1102</v>
      </c>
      <c r="N14" s="7"/>
      <c r="O14" s="7"/>
      <c r="P14" s="7" t="s">
        <v>41</v>
      </c>
      <c r="Q14" s="7" t="s">
        <v>41</v>
      </c>
      <c r="R14" s="7" t="s">
        <v>41</v>
      </c>
      <c r="S14" s="7" t="s">
        <v>1612</v>
      </c>
      <c r="T14" s="7"/>
      <c r="U14" s="7"/>
      <c r="V14" s="7"/>
      <c r="W14" s="7" t="s">
        <v>41</v>
      </c>
      <c r="X14" s="7" t="s">
        <v>41</v>
      </c>
      <c r="Y14" s="7" t="s">
        <v>82</v>
      </c>
      <c r="Z14" s="11" t="s">
        <v>83</v>
      </c>
    </row>
    <row r="15" spans="1:26" ht="15" customHeight="1" x14ac:dyDescent="0.25">
      <c r="A15" s="8" t="s">
        <v>30</v>
      </c>
      <c r="B15" s="8" t="s">
        <v>84</v>
      </c>
      <c r="C15" s="8" t="s">
        <v>1552</v>
      </c>
      <c r="D15" s="8" t="s">
        <v>85</v>
      </c>
      <c r="E15" s="8" t="s">
        <v>34</v>
      </c>
      <c r="F15" s="8" t="s">
        <v>86</v>
      </c>
      <c r="G15" s="8" t="s">
        <v>87</v>
      </c>
      <c r="H15" s="8" t="s">
        <v>88</v>
      </c>
      <c r="I15" s="8" t="s">
        <v>89</v>
      </c>
      <c r="J15" s="8" t="s">
        <v>90</v>
      </c>
      <c r="K15" s="8" t="s">
        <v>91</v>
      </c>
      <c r="L15" s="8" t="s">
        <v>92</v>
      </c>
      <c r="M15" s="8" t="s">
        <v>666</v>
      </c>
      <c r="N15" s="8"/>
      <c r="O15" s="8"/>
      <c r="P15" s="8" t="s">
        <v>41</v>
      </c>
      <c r="Q15" s="8" t="s">
        <v>41</v>
      </c>
      <c r="R15" s="8" t="s">
        <v>41</v>
      </c>
      <c r="S15" s="8" t="s">
        <v>1102</v>
      </c>
      <c r="T15" s="8"/>
      <c r="U15" s="8"/>
      <c r="V15" s="8" t="s">
        <v>41</v>
      </c>
      <c r="W15" s="8" t="s">
        <v>41</v>
      </c>
      <c r="X15" s="8" t="s">
        <v>41</v>
      </c>
      <c r="Y15" s="8" t="s">
        <v>93</v>
      </c>
      <c r="Z15" s="12"/>
    </row>
    <row r="16" spans="1:26" ht="15" customHeight="1" x14ac:dyDescent="0.25">
      <c r="A16" s="7" t="s">
        <v>30</v>
      </c>
      <c r="B16" s="7" t="s">
        <v>911</v>
      </c>
      <c r="C16" s="7" t="s">
        <v>1553</v>
      </c>
      <c r="D16" s="7" t="s">
        <v>912</v>
      </c>
      <c r="E16" s="7" t="s">
        <v>55</v>
      </c>
      <c r="F16" s="7" t="s">
        <v>913</v>
      </c>
      <c r="G16" s="7" t="s">
        <v>914</v>
      </c>
      <c r="H16" s="7" t="s">
        <v>915</v>
      </c>
      <c r="I16" s="7" t="s">
        <v>916</v>
      </c>
      <c r="J16" s="7" t="s">
        <v>917</v>
      </c>
      <c r="K16" s="7" t="s">
        <v>918</v>
      </c>
      <c r="L16" s="7" t="s">
        <v>919</v>
      </c>
      <c r="M16" s="7" t="s">
        <v>1649</v>
      </c>
      <c r="N16" s="7"/>
      <c r="O16" s="7"/>
      <c r="P16" s="7"/>
      <c r="Q16" s="7" t="s">
        <v>41</v>
      </c>
      <c r="R16" s="7" t="s">
        <v>41</v>
      </c>
      <c r="S16" s="7" t="s">
        <v>1650</v>
      </c>
      <c r="T16" s="7"/>
      <c r="U16" s="7"/>
      <c r="V16" s="7"/>
      <c r="W16" s="7"/>
      <c r="X16" s="7" t="s">
        <v>41</v>
      </c>
      <c r="Y16" s="7" t="s">
        <v>920</v>
      </c>
      <c r="Z16" s="11" t="s">
        <v>921</v>
      </c>
    </row>
    <row r="17" spans="1:26" ht="15" customHeight="1" x14ac:dyDescent="0.25">
      <c r="A17" s="8" t="s">
        <v>30</v>
      </c>
      <c r="B17" s="8" t="s">
        <v>94</v>
      </c>
      <c r="C17" s="8" t="s">
        <v>1552</v>
      </c>
      <c r="D17" s="8" t="s">
        <v>95</v>
      </c>
      <c r="E17" s="8" t="s">
        <v>34</v>
      </c>
      <c r="F17" s="8" t="s">
        <v>96</v>
      </c>
      <c r="G17" s="8" t="s">
        <v>97</v>
      </c>
      <c r="H17" s="8" t="s">
        <v>98</v>
      </c>
      <c r="I17" s="8" t="s">
        <v>99</v>
      </c>
      <c r="J17" s="8" t="s">
        <v>100</v>
      </c>
      <c r="K17" s="8"/>
      <c r="L17" s="8" t="s">
        <v>101</v>
      </c>
      <c r="M17" s="8" t="s">
        <v>1613</v>
      </c>
      <c r="N17" s="8"/>
      <c r="O17" s="8"/>
      <c r="P17" s="8" t="s">
        <v>41</v>
      </c>
      <c r="Q17" s="8" t="s">
        <v>41</v>
      </c>
      <c r="R17" s="8" t="s">
        <v>41</v>
      </c>
      <c r="S17" s="8" t="s">
        <v>1614</v>
      </c>
      <c r="T17" s="8"/>
      <c r="U17" s="8"/>
      <c r="V17" s="8" t="s">
        <v>41</v>
      </c>
      <c r="W17" s="8" t="s">
        <v>41</v>
      </c>
      <c r="X17" s="8" t="s">
        <v>41</v>
      </c>
      <c r="Y17" s="8" t="s">
        <v>102</v>
      </c>
      <c r="Z17" s="12" t="s">
        <v>103</v>
      </c>
    </row>
    <row r="18" spans="1:26" ht="15" customHeight="1" x14ac:dyDescent="0.25">
      <c r="A18" s="7" t="s">
        <v>30</v>
      </c>
      <c r="B18" s="7" t="s">
        <v>104</v>
      </c>
      <c r="C18" s="7" t="s">
        <v>1552</v>
      </c>
      <c r="D18" s="7" t="s">
        <v>105</v>
      </c>
      <c r="E18" s="7" t="s">
        <v>34</v>
      </c>
      <c r="F18" s="7" t="s">
        <v>106</v>
      </c>
      <c r="G18" s="7" t="s">
        <v>107</v>
      </c>
      <c r="H18" s="7" t="s">
        <v>108</v>
      </c>
      <c r="I18" s="7" t="s">
        <v>109</v>
      </c>
      <c r="J18" s="7" t="s">
        <v>110</v>
      </c>
      <c r="K18" s="7" t="s">
        <v>111</v>
      </c>
      <c r="L18" s="7" t="s">
        <v>101</v>
      </c>
      <c r="M18" s="7" t="s">
        <v>1613</v>
      </c>
      <c r="N18" s="7"/>
      <c r="O18" s="7"/>
      <c r="P18" s="7" t="s">
        <v>41</v>
      </c>
      <c r="Q18" s="7" t="s">
        <v>41</v>
      </c>
      <c r="R18" s="7" t="s">
        <v>41</v>
      </c>
      <c r="S18" s="7" t="s">
        <v>1614</v>
      </c>
      <c r="T18" s="7"/>
      <c r="U18" s="7"/>
      <c r="V18" s="7" t="s">
        <v>41</v>
      </c>
      <c r="W18" s="7" t="s">
        <v>41</v>
      </c>
      <c r="X18" s="7" t="s">
        <v>41</v>
      </c>
      <c r="Y18" s="7" t="s">
        <v>112</v>
      </c>
      <c r="Z18" s="11" t="s">
        <v>113</v>
      </c>
    </row>
    <row r="19" spans="1:26" ht="15" customHeight="1" x14ac:dyDescent="0.25">
      <c r="A19" s="8" t="s">
        <v>30</v>
      </c>
      <c r="B19" s="8" t="s">
        <v>922</v>
      </c>
      <c r="C19" s="8" t="s">
        <v>1553</v>
      </c>
      <c r="D19" s="8" t="s">
        <v>923</v>
      </c>
      <c r="E19" s="8" t="s">
        <v>34</v>
      </c>
      <c r="F19" s="8" t="s">
        <v>924</v>
      </c>
      <c r="G19" s="8" t="s">
        <v>925</v>
      </c>
      <c r="H19" s="8" t="s">
        <v>926</v>
      </c>
      <c r="I19" s="8" t="s">
        <v>927</v>
      </c>
      <c r="J19" s="8" t="s">
        <v>928</v>
      </c>
      <c r="K19" s="8" t="s">
        <v>929</v>
      </c>
      <c r="L19" s="8" t="s">
        <v>40</v>
      </c>
      <c r="M19" s="8" t="s">
        <v>1606</v>
      </c>
      <c r="N19" s="8"/>
      <c r="O19" s="8"/>
      <c r="P19" s="8"/>
      <c r="Q19" s="8" t="s">
        <v>41</v>
      </c>
      <c r="R19" s="8" t="s">
        <v>41</v>
      </c>
      <c r="S19" s="8" t="s">
        <v>1607</v>
      </c>
      <c r="T19" s="8"/>
      <c r="U19" s="8"/>
      <c r="V19" s="8"/>
      <c r="W19" s="8" t="s">
        <v>41</v>
      </c>
      <c r="X19" s="8" t="s">
        <v>41</v>
      </c>
      <c r="Y19" s="8" t="s">
        <v>930</v>
      </c>
      <c r="Z19" s="12" t="s">
        <v>931</v>
      </c>
    </row>
    <row r="20" spans="1:26" ht="15" customHeight="1" x14ac:dyDescent="0.25">
      <c r="A20" s="7" t="s">
        <v>114</v>
      </c>
      <c r="B20" s="7"/>
      <c r="C20" s="7"/>
      <c r="D20" s="7" t="s">
        <v>115</v>
      </c>
      <c r="E20" s="7"/>
      <c r="F20" s="7" t="s">
        <v>116</v>
      </c>
      <c r="G20" s="7"/>
      <c r="H20" s="7"/>
      <c r="I20" s="7"/>
      <c r="J20" s="7"/>
      <c r="K20" s="7"/>
      <c r="L20" s="7"/>
      <c r="M20" s="7"/>
      <c r="N20" s="7"/>
      <c r="O20" s="7"/>
      <c r="P20" s="7"/>
      <c r="Q20" s="7"/>
      <c r="R20" s="7"/>
      <c r="S20" s="7"/>
      <c r="T20" s="7"/>
      <c r="U20" s="7"/>
      <c r="V20" s="7"/>
      <c r="W20" s="7"/>
      <c r="X20" s="7"/>
      <c r="Y20" s="7"/>
      <c r="Z20" s="11"/>
    </row>
    <row r="21" spans="1:26" ht="15" customHeight="1" x14ac:dyDescent="0.25">
      <c r="A21" s="8" t="s">
        <v>117</v>
      </c>
      <c r="B21" s="8"/>
      <c r="C21" s="8"/>
      <c r="D21" s="8" t="s">
        <v>118</v>
      </c>
      <c r="E21" s="8"/>
      <c r="F21" s="8" t="s">
        <v>119</v>
      </c>
      <c r="G21" s="8"/>
      <c r="H21" s="8"/>
      <c r="I21" s="8"/>
      <c r="J21" s="8"/>
      <c r="K21" s="8"/>
      <c r="L21" s="8"/>
      <c r="M21" s="8"/>
      <c r="N21" s="8"/>
      <c r="O21" s="8"/>
      <c r="P21" s="8"/>
      <c r="Q21" s="8"/>
      <c r="R21" s="8"/>
      <c r="S21" s="8"/>
      <c r="T21" s="8"/>
      <c r="U21" s="8"/>
      <c r="V21" s="8"/>
      <c r="W21" s="8"/>
      <c r="X21" s="8"/>
      <c r="Y21" s="8"/>
      <c r="Z21" s="12"/>
    </row>
    <row r="22" spans="1:26" ht="15" customHeight="1" x14ac:dyDescent="0.25">
      <c r="A22" s="7" t="s">
        <v>117</v>
      </c>
      <c r="B22" s="7" t="s">
        <v>932</v>
      </c>
      <c r="C22" s="7" t="s">
        <v>1553</v>
      </c>
      <c r="D22" s="7" t="s">
        <v>933</v>
      </c>
      <c r="E22" s="7" t="s">
        <v>55</v>
      </c>
      <c r="F22" s="7" t="s">
        <v>934</v>
      </c>
      <c r="G22" s="7" t="s">
        <v>935</v>
      </c>
      <c r="H22" s="7" t="s">
        <v>936</v>
      </c>
      <c r="I22" s="7" t="s">
        <v>937</v>
      </c>
      <c r="J22" s="7" t="s">
        <v>938</v>
      </c>
      <c r="K22" s="7"/>
      <c r="L22" s="7" t="s">
        <v>939</v>
      </c>
      <c r="M22" s="7" t="s">
        <v>1630</v>
      </c>
      <c r="N22" s="7"/>
      <c r="O22" s="7"/>
      <c r="P22" s="7" t="s">
        <v>41</v>
      </c>
      <c r="Q22" s="7" t="s">
        <v>41</v>
      </c>
      <c r="R22" s="7" t="s">
        <v>41</v>
      </c>
      <c r="S22" s="7" t="s">
        <v>1651</v>
      </c>
      <c r="T22" s="7"/>
      <c r="U22" s="7"/>
      <c r="V22" s="7"/>
      <c r="W22" s="7" t="s">
        <v>41</v>
      </c>
      <c r="X22" s="7" t="s">
        <v>41</v>
      </c>
      <c r="Y22" s="7"/>
      <c r="Z22" s="11"/>
    </row>
    <row r="23" spans="1:26" ht="15" customHeight="1" x14ac:dyDescent="0.25">
      <c r="A23" s="8" t="s">
        <v>120</v>
      </c>
      <c r="B23" s="8"/>
      <c r="C23" s="8"/>
      <c r="D23" s="8" t="s">
        <v>121</v>
      </c>
      <c r="E23" s="8"/>
      <c r="F23" s="8" t="s">
        <v>122</v>
      </c>
      <c r="G23" s="8"/>
      <c r="H23" s="8"/>
      <c r="I23" s="8"/>
      <c r="J23" s="8"/>
      <c r="K23" s="8"/>
      <c r="L23" s="8"/>
      <c r="M23" s="8"/>
      <c r="N23" s="8"/>
      <c r="O23" s="8"/>
      <c r="P23" s="8"/>
      <c r="Q23" s="8"/>
      <c r="R23" s="8"/>
      <c r="S23" s="8"/>
      <c r="T23" s="8"/>
      <c r="U23" s="8"/>
      <c r="V23" s="8"/>
      <c r="W23" s="8"/>
      <c r="X23" s="8"/>
      <c r="Y23" s="8"/>
      <c r="Z23" s="12"/>
    </row>
    <row r="24" spans="1:26" ht="15" customHeight="1" x14ac:dyDescent="0.25">
      <c r="A24" s="7" t="s">
        <v>123</v>
      </c>
      <c r="B24" s="7"/>
      <c r="C24" s="7"/>
      <c r="D24" s="7" t="s">
        <v>124</v>
      </c>
      <c r="E24" s="7"/>
      <c r="F24" s="7" t="s">
        <v>125</v>
      </c>
      <c r="G24" s="7"/>
      <c r="H24" s="7"/>
      <c r="I24" s="7"/>
      <c r="J24" s="7"/>
      <c r="K24" s="7"/>
      <c r="L24" s="7"/>
      <c r="M24" s="7"/>
      <c r="N24" s="7"/>
      <c r="O24" s="7"/>
      <c r="P24" s="7"/>
      <c r="Q24" s="7"/>
      <c r="R24" s="7"/>
      <c r="S24" s="7"/>
      <c r="T24" s="7"/>
      <c r="U24" s="7"/>
      <c r="V24" s="7"/>
      <c r="W24" s="7"/>
      <c r="X24" s="7"/>
      <c r="Y24" s="7"/>
      <c r="Z24" s="11"/>
    </row>
    <row r="25" spans="1:26" ht="15" customHeight="1" x14ac:dyDescent="0.25">
      <c r="A25" s="8" t="s">
        <v>123</v>
      </c>
      <c r="B25" s="8" t="s">
        <v>126</v>
      </c>
      <c r="C25" s="8" t="s">
        <v>1552</v>
      </c>
      <c r="D25" s="8" t="s">
        <v>127</v>
      </c>
      <c r="E25" s="8" t="s">
        <v>34</v>
      </c>
      <c r="F25" s="8" t="s">
        <v>128</v>
      </c>
      <c r="G25" s="8" t="s">
        <v>129</v>
      </c>
      <c r="H25" s="8" t="s">
        <v>130</v>
      </c>
      <c r="I25" s="8" t="s">
        <v>131</v>
      </c>
      <c r="J25" s="8" t="s">
        <v>132</v>
      </c>
      <c r="K25" s="8"/>
      <c r="L25" s="8" t="s">
        <v>133</v>
      </c>
      <c r="M25" s="8" t="s">
        <v>1615</v>
      </c>
      <c r="N25" s="8"/>
      <c r="O25" s="8"/>
      <c r="P25" s="8"/>
      <c r="Q25" s="8"/>
      <c r="R25" s="8" t="s">
        <v>41</v>
      </c>
      <c r="S25" s="8" t="s">
        <v>1614</v>
      </c>
      <c r="T25" s="8"/>
      <c r="U25" s="8"/>
      <c r="V25" s="8" t="s">
        <v>41</v>
      </c>
      <c r="W25" s="8" t="s">
        <v>41</v>
      </c>
      <c r="X25" s="8" t="s">
        <v>41</v>
      </c>
      <c r="Y25" s="8" t="s">
        <v>134</v>
      </c>
      <c r="Z25" s="12"/>
    </row>
    <row r="26" spans="1:26" ht="15" customHeight="1" x14ac:dyDescent="0.25">
      <c r="A26" s="7" t="s">
        <v>123</v>
      </c>
      <c r="B26" s="7" t="s">
        <v>135</v>
      </c>
      <c r="C26" s="7" t="s">
        <v>1552</v>
      </c>
      <c r="D26" s="7" t="s">
        <v>136</v>
      </c>
      <c r="E26" s="7" t="s">
        <v>55</v>
      </c>
      <c r="F26" s="7" t="s">
        <v>137</v>
      </c>
      <c r="G26" s="7" t="s">
        <v>138</v>
      </c>
      <c r="H26" s="7" t="s">
        <v>139</v>
      </c>
      <c r="I26" s="7" t="s">
        <v>140</v>
      </c>
      <c r="J26" s="7" t="s">
        <v>141</v>
      </c>
      <c r="K26" s="7"/>
      <c r="L26" s="7" t="s">
        <v>142</v>
      </c>
      <c r="M26" s="7" t="s">
        <v>1616</v>
      </c>
      <c r="N26" s="7" t="s">
        <v>1617</v>
      </c>
      <c r="O26" s="7"/>
      <c r="P26" s="7" t="s">
        <v>41</v>
      </c>
      <c r="Q26" s="7" t="s">
        <v>41</v>
      </c>
      <c r="R26" s="7" t="s">
        <v>41</v>
      </c>
      <c r="S26" s="7" t="s">
        <v>1618</v>
      </c>
      <c r="T26" s="7"/>
      <c r="U26" s="7"/>
      <c r="V26" s="7"/>
      <c r="W26" s="7" t="s">
        <v>41</v>
      </c>
      <c r="X26" s="7" t="s">
        <v>41</v>
      </c>
      <c r="Y26" s="7" t="s">
        <v>143</v>
      </c>
      <c r="Z26" s="11" t="s">
        <v>144</v>
      </c>
    </row>
    <row r="27" spans="1:26" ht="15" customHeight="1" x14ac:dyDescent="0.25">
      <c r="A27" s="8" t="s">
        <v>123</v>
      </c>
      <c r="B27" s="8" t="s">
        <v>145</v>
      </c>
      <c r="C27" s="8" t="s">
        <v>1552</v>
      </c>
      <c r="D27" s="8" t="s">
        <v>146</v>
      </c>
      <c r="E27" s="8" t="s">
        <v>55</v>
      </c>
      <c r="F27" s="8" t="s">
        <v>147</v>
      </c>
      <c r="G27" s="8" t="s">
        <v>148</v>
      </c>
      <c r="H27" s="8" t="s">
        <v>149</v>
      </c>
      <c r="I27" s="8" t="s">
        <v>150</v>
      </c>
      <c r="J27" s="8" t="s">
        <v>151</v>
      </c>
      <c r="K27" s="8" t="s">
        <v>152</v>
      </c>
      <c r="L27" s="8" t="s">
        <v>153</v>
      </c>
      <c r="M27" s="8" t="s">
        <v>1619</v>
      </c>
      <c r="N27" s="8"/>
      <c r="O27" s="8"/>
      <c r="P27" s="8"/>
      <c r="Q27" s="8" t="s">
        <v>41</v>
      </c>
      <c r="R27" s="8" t="s">
        <v>41</v>
      </c>
      <c r="S27" s="8"/>
      <c r="T27" s="8"/>
      <c r="U27" s="8"/>
      <c r="V27" s="8"/>
      <c r="W27" s="8"/>
      <c r="X27" s="8"/>
      <c r="Y27" s="8" t="s">
        <v>154</v>
      </c>
      <c r="Z27" s="12" t="s">
        <v>155</v>
      </c>
    </row>
    <row r="28" spans="1:26" ht="15" customHeight="1" x14ac:dyDescent="0.25">
      <c r="A28" s="7" t="s">
        <v>123</v>
      </c>
      <c r="B28" s="7" t="s">
        <v>156</v>
      </c>
      <c r="C28" s="7" t="s">
        <v>1552</v>
      </c>
      <c r="D28" s="7" t="s">
        <v>157</v>
      </c>
      <c r="E28" s="7" t="s">
        <v>55</v>
      </c>
      <c r="F28" s="7" t="s">
        <v>158</v>
      </c>
      <c r="G28" s="7" t="s">
        <v>148</v>
      </c>
      <c r="H28" s="7" t="s">
        <v>159</v>
      </c>
      <c r="I28" s="7" t="s">
        <v>160</v>
      </c>
      <c r="J28" s="7" t="s">
        <v>161</v>
      </c>
      <c r="K28" s="7"/>
      <c r="L28" s="7" t="s">
        <v>153</v>
      </c>
      <c r="M28" s="7" t="s">
        <v>1619</v>
      </c>
      <c r="N28" s="7"/>
      <c r="O28" s="7"/>
      <c r="P28" s="7"/>
      <c r="Q28" s="7" t="s">
        <v>41</v>
      </c>
      <c r="R28" s="7" t="s">
        <v>41</v>
      </c>
      <c r="S28" s="7"/>
      <c r="T28" s="7"/>
      <c r="U28" s="7"/>
      <c r="V28" s="7"/>
      <c r="W28" s="7"/>
      <c r="X28" s="7"/>
      <c r="Y28" s="7" t="s">
        <v>154</v>
      </c>
      <c r="Z28" s="11" t="s">
        <v>162</v>
      </c>
    </row>
    <row r="29" spans="1:26" ht="15" customHeight="1" x14ac:dyDescent="0.25">
      <c r="A29" s="8" t="s">
        <v>123</v>
      </c>
      <c r="B29" s="8" t="s">
        <v>163</v>
      </c>
      <c r="C29" s="8" t="s">
        <v>1552</v>
      </c>
      <c r="D29" s="8" t="s">
        <v>164</v>
      </c>
      <c r="E29" s="8" t="s">
        <v>55</v>
      </c>
      <c r="F29" s="8" t="s">
        <v>165</v>
      </c>
      <c r="G29" s="8" t="s">
        <v>166</v>
      </c>
      <c r="H29" s="8" t="s">
        <v>167</v>
      </c>
      <c r="I29" s="8" t="s">
        <v>168</v>
      </c>
      <c r="J29" s="8" t="s">
        <v>169</v>
      </c>
      <c r="K29" s="8"/>
      <c r="L29" s="8" t="s">
        <v>170</v>
      </c>
      <c r="M29" s="8" t="s">
        <v>313</v>
      </c>
      <c r="N29" s="8" t="s">
        <v>1611</v>
      </c>
      <c r="O29" s="8"/>
      <c r="P29" s="8" t="s">
        <v>41</v>
      </c>
      <c r="Q29" s="8" t="s">
        <v>41</v>
      </c>
      <c r="R29" s="8" t="s">
        <v>41</v>
      </c>
      <c r="S29" s="8" t="s">
        <v>1608</v>
      </c>
      <c r="T29" s="8"/>
      <c r="U29" s="8"/>
      <c r="V29" s="8"/>
      <c r="W29" s="8" t="s">
        <v>41</v>
      </c>
      <c r="X29" s="8" t="s">
        <v>41</v>
      </c>
      <c r="Y29" s="8" t="s">
        <v>171</v>
      </c>
      <c r="Z29" s="12" t="s">
        <v>172</v>
      </c>
    </row>
    <row r="30" spans="1:26" ht="15" customHeight="1" x14ac:dyDescent="0.25">
      <c r="A30" s="7" t="s">
        <v>123</v>
      </c>
      <c r="B30" s="7" t="s">
        <v>173</v>
      </c>
      <c r="C30" s="7" t="s">
        <v>1552</v>
      </c>
      <c r="D30" s="7" t="s">
        <v>174</v>
      </c>
      <c r="E30" s="7" t="s">
        <v>55</v>
      </c>
      <c r="F30" s="7" t="s">
        <v>175</v>
      </c>
      <c r="G30" s="7" t="s">
        <v>176</v>
      </c>
      <c r="H30" s="7" t="s">
        <v>177</v>
      </c>
      <c r="I30" s="7" t="s">
        <v>178</v>
      </c>
      <c r="J30" s="7" t="s">
        <v>179</v>
      </c>
      <c r="K30" s="7"/>
      <c r="L30" s="7" t="s">
        <v>180</v>
      </c>
      <c r="M30" s="7" t="s">
        <v>1102</v>
      </c>
      <c r="N30" s="7"/>
      <c r="O30" s="7"/>
      <c r="P30" s="7" t="s">
        <v>41</v>
      </c>
      <c r="Q30" s="7" t="s">
        <v>41</v>
      </c>
      <c r="R30" s="7" t="s">
        <v>41</v>
      </c>
      <c r="S30" s="7" t="s">
        <v>1620</v>
      </c>
      <c r="T30" s="7"/>
      <c r="U30" s="7"/>
      <c r="V30" s="7"/>
      <c r="W30" s="7" t="s">
        <v>41</v>
      </c>
      <c r="X30" s="7" t="s">
        <v>41</v>
      </c>
      <c r="Y30" s="7" t="s">
        <v>181</v>
      </c>
      <c r="Z30" s="11" t="s">
        <v>182</v>
      </c>
    </row>
    <row r="31" spans="1:26" ht="15" customHeight="1" x14ac:dyDescent="0.25">
      <c r="A31" s="8" t="s">
        <v>123</v>
      </c>
      <c r="B31" s="8" t="s">
        <v>183</v>
      </c>
      <c r="C31" s="8" t="s">
        <v>1552</v>
      </c>
      <c r="D31" s="8" t="s">
        <v>184</v>
      </c>
      <c r="E31" s="8" t="s">
        <v>55</v>
      </c>
      <c r="F31" s="8" t="s">
        <v>185</v>
      </c>
      <c r="G31" s="8" t="s">
        <v>186</v>
      </c>
      <c r="H31" s="8" t="s">
        <v>187</v>
      </c>
      <c r="I31" s="8" t="s">
        <v>188</v>
      </c>
      <c r="J31" s="8" t="s">
        <v>189</v>
      </c>
      <c r="K31" s="8"/>
      <c r="L31" s="8" t="s">
        <v>190</v>
      </c>
      <c r="M31" s="8" t="s">
        <v>1611</v>
      </c>
      <c r="N31" s="8"/>
      <c r="O31" s="8"/>
      <c r="P31" s="8"/>
      <c r="Q31" s="8" t="s">
        <v>41</v>
      </c>
      <c r="R31" s="8" t="s">
        <v>41</v>
      </c>
      <c r="S31" s="8" t="s">
        <v>1610</v>
      </c>
      <c r="T31" s="8"/>
      <c r="U31" s="8"/>
      <c r="V31" s="8"/>
      <c r="W31" s="8" t="s">
        <v>41</v>
      </c>
      <c r="X31" s="8" t="s">
        <v>41</v>
      </c>
      <c r="Y31" s="8" t="s">
        <v>191</v>
      </c>
      <c r="Z31" s="12" t="s">
        <v>192</v>
      </c>
    </row>
    <row r="32" spans="1:26" ht="15" customHeight="1" x14ac:dyDescent="0.25">
      <c r="A32" s="7" t="s">
        <v>123</v>
      </c>
      <c r="B32" s="7" t="s">
        <v>193</v>
      </c>
      <c r="C32" s="7" t="s">
        <v>1552</v>
      </c>
      <c r="D32" s="7" t="s">
        <v>194</v>
      </c>
      <c r="E32" s="7" t="s">
        <v>55</v>
      </c>
      <c r="F32" s="7" t="s">
        <v>195</v>
      </c>
      <c r="G32" s="7" t="s">
        <v>196</v>
      </c>
      <c r="H32" s="7" t="s">
        <v>197</v>
      </c>
      <c r="I32" s="7" t="s">
        <v>198</v>
      </c>
      <c r="J32" s="7" t="s">
        <v>199</v>
      </c>
      <c r="K32" s="7"/>
      <c r="L32" s="7" t="s">
        <v>200</v>
      </c>
      <c r="M32" s="7" t="s">
        <v>126</v>
      </c>
      <c r="N32" s="7" t="s">
        <v>1611</v>
      </c>
      <c r="O32" s="7"/>
      <c r="P32" s="7" t="s">
        <v>41</v>
      </c>
      <c r="Q32" s="7" t="s">
        <v>41</v>
      </c>
      <c r="R32" s="7" t="s">
        <v>41</v>
      </c>
      <c r="S32" s="7" t="s">
        <v>1621</v>
      </c>
      <c r="T32" s="7"/>
      <c r="U32" s="7"/>
      <c r="V32" s="7"/>
      <c r="W32" s="7" t="s">
        <v>41</v>
      </c>
      <c r="X32" s="7" t="s">
        <v>41</v>
      </c>
      <c r="Y32" s="7" t="s">
        <v>201</v>
      </c>
      <c r="Z32" s="11" t="s">
        <v>202</v>
      </c>
    </row>
    <row r="33" spans="1:26" ht="15" customHeight="1" x14ac:dyDescent="0.25">
      <c r="A33" s="8" t="s">
        <v>123</v>
      </c>
      <c r="B33" s="8" t="s">
        <v>203</v>
      </c>
      <c r="C33" s="8" t="s">
        <v>1552</v>
      </c>
      <c r="D33" s="8" t="s">
        <v>204</v>
      </c>
      <c r="E33" s="8" t="s">
        <v>55</v>
      </c>
      <c r="F33" s="8" t="s">
        <v>205</v>
      </c>
      <c r="G33" s="8" t="s">
        <v>206</v>
      </c>
      <c r="H33" s="8" t="s">
        <v>207</v>
      </c>
      <c r="I33" s="8" t="s">
        <v>208</v>
      </c>
      <c r="J33" s="8" t="s">
        <v>209</v>
      </c>
      <c r="K33" s="8"/>
      <c r="L33" s="8" t="s">
        <v>210</v>
      </c>
      <c r="M33" s="8" t="s">
        <v>1622</v>
      </c>
      <c r="N33" s="8" t="s">
        <v>385</v>
      </c>
      <c r="O33" s="8"/>
      <c r="P33" s="8" t="s">
        <v>41</v>
      </c>
      <c r="Q33" s="8" t="s">
        <v>41</v>
      </c>
      <c r="R33" s="8" t="s">
        <v>41</v>
      </c>
      <c r="S33" s="8" t="s">
        <v>1623</v>
      </c>
      <c r="T33" s="8"/>
      <c r="U33" s="8"/>
      <c r="V33" s="8" t="s">
        <v>41</v>
      </c>
      <c r="W33" s="8" t="s">
        <v>41</v>
      </c>
      <c r="X33" s="8" t="s">
        <v>41</v>
      </c>
      <c r="Y33" s="8" t="s">
        <v>211</v>
      </c>
      <c r="Z33" s="12" t="s">
        <v>212</v>
      </c>
    </row>
    <row r="34" spans="1:26" ht="15" customHeight="1" x14ac:dyDescent="0.25">
      <c r="A34" s="7" t="s">
        <v>123</v>
      </c>
      <c r="B34" s="7" t="s">
        <v>940</v>
      </c>
      <c r="C34" s="7" t="s">
        <v>1553</v>
      </c>
      <c r="D34" s="7" t="s">
        <v>941</v>
      </c>
      <c r="E34" s="7" t="s">
        <v>55</v>
      </c>
      <c r="F34" s="7" t="s">
        <v>942</v>
      </c>
      <c r="G34" s="7" t="s">
        <v>206</v>
      </c>
      <c r="H34" s="7" t="s">
        <v>207</v>
      </c>
      <c r="I34" s="7" t="s">
        <v>943</v>
      </c>
      <c r="J34" s="7" t="s">
        <v>944</v>
      </c>
      <c r="K34" s="7"/>
      <c r="L34" s="7" t="s">
        <v>945</v>
      </c>
      <c r="M34" s="7" t="s">
        <v>1622</v>
      </c>
      <c r="N34" s="7" t="s">
        <v>1652</v>
      </c>
      <c r="O34" s="7"/>
      <c r="P34" s="7" t="s">
        <v>41</v>
      </c>
      <c r="Q34" s="7" t="s">
        <v>41</v>
      </c>
      <c r="R34" s="7" t="s">
        <v>41</v>
      </c>
      <c r="S34" s="7" t="s">
        <v>1623</v>
      </c>
      <c r="T34" s="7" t="s">
        <v>1653</v>
      </c>
      <c r="U34" s="7"/>
      <c r="V34" s="7" t="s">
        <v>41</v>
      </c>
      <c r="W34" s="7" t="s">
        <v>41</v>
      </c>
      <c r="X34" s="7" t="s">
        <v>41</v>
      </c>
      <c r="Y34" s="7" t="s">
        <v>946</v>
      </c>
      <c r="Z34" s="11" t="s">
        <v>947</v>
      </c>
    </row>
    <row r="35" spans="1:26" ht="15" customHeight="1" x14ac:dyDescent="0.25">
      <c r="A35" s="8" t="s">
        <v>123</v>
      </c>
      <c r="B35" s="8" t="s">
        <v>213</v>
      </c>
      <c r="C35" s="8" t="s">
        <v>1552</v>
      </c>
      <c r="D35" s="8" t="s">
        <v>214</v>
      </c>
      <c r="E35" s="8" t="s">
        <v>34</v>
      </c>
      <c r="F35" s="8" t="s">
        <v>215</v>
      </c>
      <c r="G35" s="8" t="s">
        <v>216</v>
      </c>
      <c r="H35" s="8" t="s">
        <v>217</v>
      </c>
      <c r="I35" s="8" t="s">
        <v>218</v>
      </c>
      <c r="J35" s="8" t="s">
        <v>219</v>
      </c>
      <c r="K35" s="8"/>
      <c r="L35" s="8" t="s">
        <v>220</v>
      </c>
      <c r="M35" s="8" t="s">
        <v>1622</v>
      </c>
      <c r="N35" s="8" t="s">
        <v>1624</v>
      </c>
      <c r="O35" s="8" t="s">
        <v>1611</v>
      </c>
      <c r="P35" s="8" t="s">
        <v>41</v>
      </c>
      <c r="Q35" s="8" t="s">
        <v>41</v>
      </c>
      <c r="R35" s="8" t="s">
        <v>41</v>
      </c>
      <c r="S35" s="8" t="s">
        <v>1623</v>
      </c>
      <c r="T35" s="8"/>
      <c r="U35" s="8"/>
      <c r="V35" s="8" t="s">
        <v>41</v>
      </c>
      <c r="W35" s="8" t="s">
        <v>41</v>
      </c>
      <c r="X35" s="8" t="s">
        <v>41</v>
      </c>
      <c r="Y35" s="8" t="s">
        <v>221</v>
      </c>
      <c r="Z35" s="12" t="s">
        <v>222</v>
      </c>
    </row>
    <row r="36" spans="1:26" ht="15" customHeight="1" x14ac:dyDescent="0.25">
      <c r="A36" s="7" t="s">
        <v>123</v>
      </c>
      <c r="B36" s="7" t="s">
        <v>223</v>
      </c>
      <c r="C36" s="7" t="s">
        <v>1552</v>
      </c>
      <c r="D36" s="7" t="s">
        <v>224</v>
      </c>
      <c r="E36" s="7" t="s">
        <v>34</v>
      </c>
      <c r="F36" s="7" t="s">
        <v>225</v>
      </c>
      <c r="G36" s="7" t="s">
        <v>226</v>
      </c>
      <c r="H36" s="7" t="s">
        <v>227</v>
      </c>
      <c r="I36" s="7" t="s">
        <v>228</v>
      </c>
      <c r="J36" s="7" t="s">
        <v>229</v>
      </c>
      <c r="K36" s="7"/>
      <c r="L36" s="7" t="s">
        <v>230</v>
      </c>
      <c r="M36" s="7" t="s">
        <v>1613</v>
      </c>
      <c r="N36" s="7" t="s">
        <v>1615</v>
      </c>
      <c r="O36" s="7"/>
      <c r="P36" s="7" t="s">
        <v>41</v>
      </c>
      <c r="Q36" s="7" t="s">
        <v>41</v>
      </c>
      <c r="R36" s="7" t="s">
        <v>41</v>
      </c>
      <c r="S36" s="7" t="s">
        <v>1614</v>
      </c>
      <c r="T36" s="7"/>
      <c r="U36" s="7"/>
      <c r="V36" s="7" t="s">
        <v>41</v>
      </c>
      <c r="W36" s="7" t="s">
        <v>41</v>
      </c>
      <c r="X36" s="7" t="s">
        <v>41</v>
      </c>
      <c r="Y36" s="7" t="s">
        <v>231</v>
      </c>
      <c r="Z36" s="11" t="s">
        <v>232</v>
      </c>
    </row>
    <row r="37" spans="1:26" ht="15" customHeight="1" x14ac:dyDescent="0.25">
      <c r="A37" s="8" t="s">
        <v>123</v>
      </c>
      <c r="B37" s="8" t="s">
        <v>948</v>
      </c>
      <c r="C37" s="8" t="s">
        <v>1553</v>
      </c>
      <c r="D37" s="8" t="s">
        <v>949</v>
      </c>
      <c r="E37" s="8" t="s">
        <v>34</v>
      </c>
      <c r="F37" s="8" t="s">
        <v>950</v>
      </c>
      <c r="G37" s="8" t="s">
        <v>951</v>
      </c>
      <c r="H37" s="8" t="s">
        <v>952</v>
      </c>
      <c r="I37" s="8" t="s">
        <v>953</v>
      </c>
      <c r="J37" s="8" t="s">
        <v>954</v>
      </c>
      <c r="K37" s="8"/>
      <c r="L37" s="8" t="s">
        <v>955</v>
      </c>
      <c r="M37" s="8" t="s">
        <v>385</v>
      </c>
      <c r="N37" s="8" t="s">
        <v>1615</v>
      </c>
      <c r="O37" s="8"/>
      <c r="P37" s="8" t="s">
        <v>41</v>
      </c>
      <c r="Q37" s="8" t="s">
        <v>41</v>
      </c>
      <c r="R37" s="8" t="s">
        <v>41</v>
      </c>
      <c r="S37" s="8" t="s">
        <v>1610</v>
      </c>
      <c r="T37" s="8"/>
      <c r="U37" s="8"/>
      <c r="V37" s="8"/>
      <c r="W37" s="8" t="s">
        <v>41</v>
      </c>
      <c r="X37" s="8" t="s">
        <v>41</v>
      </c>
      <c r="Y37" s="8" t="s">
        <v>956</v>
      </c>
      <c r="Z37" s="12" t="s">
        <v>957</v>
      </c>
    </row>
    <row r="38" spans="1:26" ht="15" customHeight="1" x14ac:dyDescent="0.25">
      <c r="A38" s="7" t="s">
        <v>123</v>
      </c>
      <c r="B38" s="7" t="s">
        <v>233</v>
      </c>
      <c r="C38" s="7" t="s">
        <v>1552</v>
      </c>
      <c r="D38" s="7" t="s">
        <v>234</v>
      </c>
      <c r="E38" s="7" t="s">
        <v>55</v>
      </c>
      <c r="F38" s="7" t="s">
        <v>235</v>
      </c>
      <c r="G38" s="7" t="s">
        <v>236</v>
      </c>
      <c r="H38" s="7" t="s">
        <v>237</v>
      </c>
      <c r="I38" s="7" t="s">
        <v>238</v>
      </c>
      <c r="J38" s="7" t="s">
        <v>239</v>
      </c>
      <c r="K38" s="7"/>
      <c r="L38" s="7" t="s">
        <v>240</v>
      </c>
      <c r="M38" s="7" t="s">
        <v>126</v>
      </c>
      <c r="N38" s="7" t="s">
        <v>1615</v>
      </c>
      <c r="O38" s="7"/>
      <c r="P38" s="7" t="s">
        <v>41</v>
      </c>
      <c r="Q38" s="7" t="s">
        <v>41</v>
      </c>
      <c r="R38" s="7" t="s">
        <v>41</v>
      </c>
      <c r="S38" s="7" t="s">
        <v>1625</v>
      </c>
      <c r="T38" s="7"/>
      <c r="U38" s="7"/>
      <c r="V38" s="7" t="s">
        <v>41</v>
      </c>
      <c r="W38" s="7" t="s">
        <v>41</v>
      </c>
      <c r="X38" s="7" t="s">
        <v>41</v>
      </c>
      <c r="Y38" s="7" t="s">
        <v>241</v>
      </c>
      <c r="Z38" s="11" t="s">
        <v>242</v>
      </c>
    </row>
    <row r="39" spans="1:26" ht="15" customHeight="1" x14ac:dyDescent="0.25">
      <c r="A39" s="8" t="s">
        <v>123</v>
      </c>
      <c r="B39" s="8" t="s">
        <v>958</v>
      </c>
      <c r="C39" s="8" t="s">
        <v>1553</v>
      </c>
      <c r="D39" s="8" t="s">
        <v>959</v>
      </c>
      <c r="E39" s="8" t="s">
        <v>55</v>
      </c>
      <c r="F39" s="8" t="s">
        <v>960</v>
      </c>
      <c r="G39" s="8" t="s">
        <v>961</v>
      </c>
      <c r="H39" s="8" t="s">
        <v>962</v>
      </c>
      <c r="I39" s="8" t="s">
        <v>963</v>
      </c>
      <c r="J39" s="8" t="s">
        <v>964</v>
      </c>
      <c r="K39" s="8"/>
      <c r="L39" s="8" t="s">
        <v>133</v>
      </c>
      <c r="M39" s="8" t="s">
        <v>1615</v>
      </c>
      <c r="N39" s="8"/>
      <c r="O39" s="8"/>
      <c r="P39" s="8"/>
      <c r="Q39" s="8"/>
      <c r="R39" s="8" t="s">
        <v>41</v>
      </c>
      <c r="S39" s="8" t="s">
        <v>1614</v>
      </c>
      <c r="T39" s="8"/>
      <c r="U39" s="8"/>
      <c r="V39" s="8" t="s">
        <v>41</v>
      </c>
      <c r="W39" s="8" t="s">
        <v>41</v>
      </c>
      <c r="X39" s="8" t="s">
        <v>41</v>
      </c>
      <c r="Y39" s="8" t="s">
        <v>965</v>
      </c>
      <c r="Z39" s="12" t="s">
        <v>966</v>
      </c>
    </row>
    <row r="40" spans="1:26" ht="15" customHeight="1" x14ac:dyDescent="0.25">
      <c r="A40" s="7" t="s">
        <v>123</v>
      </c>
      <c r="B40" s="7" t="s">
        <v>967</v>
      </c>
      <c r="C40" s="7" t="s">
        <v>1553</v>
      </c>
      <c r="D40" s="7" t="s">
        <v>968</v>
      </c>
      <c r="E40" s="7" t="s">
        <v>55</v>
      </c>
      <c r="F40" s="7" t="s">
        <v>969</v>
      </c>
      <c r="G40" s="7" t="s">
        <v>970</v>
      </c>
      <c r="H40" s="7" t="s">
        <v>971</v>
      </c>
      <c r="I40" s="7" t="s">
        <v>972</v>
      </c>
      <c r="J40" s="7" t="s">
        <v>973</v>
      </c>
      <c r="K40" s="7"/>
      <c r="L40" s="7" t="s">
        <v>133</v>
      </c>
      <c r="M40" s="7" t="s">
        <v>1615</v>
      </c>
      <c r="N40" s="7"/>
      <c r="O40" s="7"/>
      <c r="P40" s="7"/>
      <c r="Q40" s="7"/>
      <c r="R40" s="7" t="s">
        <v>41</v>
      </c>
      <c r="S40" s="7" t="s">
        <v>1614</v>
      </c>
      <c r="T40" s="7"/>
      <c r="U40" s="7"/>
      <c r="V40" s="7" t="s">
        <v>41</v>
      </c>
      <c r="W40" s="7" t="s">
        <v>41</v>
      </c>
      <c r="X40" s="7" t="s">
        <v>41</v>
      </c>
      <c r="Y40" s="7" t="s">
        <v>974</v>
      </c>
      <c r="Z40" s="11" t="s">
        <v>975</v>
      </c>
    </row>
    <row r="41" spans="1:26" ht="15" customHeight="1" x14ac:dyDescent="0.25">
      <c r="A41" s="8" t="s">
        <v>123</v>
      </c>
      <c r="B41" s="8" t="s">
        <v>976</v>
      </c>
      <c r="C41" s="8" t="s">
        <v>1553</v>
      </c>
      <c r="D41" s="8" t="s">
        <v>977</v>
      </c>
      <c r="E41" s="8" t="s">
        <v>55</v>
      </c>
      <c r="F41" s="8" t="s">
        <v>978</v>
      </c>
      <c r="G41" s="8" t="s">
        <v>979</v>
      </c>
      <c r="H41" s="8" t="s">
        <v>980</v>
      </c>
      <c r="I41" s="8" t="s">
        <v>981</v>
      </c>
      <c r="J41" s="8" t="s">
        <v>982</v>
      </c>
      <c r="K41" s="8"/>
      <c r="L41" s="8" t="s">
        <v>133</v>
      </c>
      <c r="M41" s="8" t="s">
        <v>1615</v>
      </c>
      <c r="N41" s="8"/>
      <c r="O41" s="8"/>
      <c r="P41" s="8"/>
      <c r="Q41" s="8"/>
      <c r="R41" s="8" t="s">
        <v>41</v>
      </c>
      <c r="S41" s="8" t="s">
        <v>1614</v>
      </c>
      <c r="T41" s="8"/>
      <c r="U41" s="8"/>
      <c r="V41" s="8" t="s">
        <v>41</v>
      </c>
      <c r="W41" s="8" t="s">
        <v>41</v>
      </c>
      <c r="X41" s="8" t="s">
        <v>41</v>
      </c>
      <c r="Y41" s="8" t="s">
        <v>983</v>
      </c>
      <c r="Z41" s="12" t="s">
        <v>984</v>
      </c>
    </row>
    <row r="42" spans="1:26" ht="15" customHeight="1" x14ac:dyDescent="0.25">
      <c r="A42" s="7" t="s">
        <v>123</v>
      </c>
      <c r="B42" s="7" t="s">
        <v>985</v>
      </c>
      <c r="C42" s="7" t="s">
        <v>1553</v>
      </c>
      <c r="D42" s="7" t="s">
        <v>986</v>
      </c>
      <c r="E42" s="7" t="s">
        <v>55</v>
      </c>
      <c r="F42" s="7" t="s">
        <v>987</v>
      </c>
      <c r="G42" s="7" t="s">
        <v>988</v>
      </c>
      <c r="H42" s="7" t="s">
        <v>971</v>
      </c>
      <c r="I42" s="7" t="s">
        <v>989</v>
      </c>
      <c r="J42" s="7" t="s">
        <v>990</v>
      </c>
      <c r="K42" s="7"/>
      <c r="L42" s="7" t="s">
        <v>133</v>
      </c>
      <c r="M42" s="7" t="s">
        <v>1615</v>
      </c>
      <c r="N42" s="7"/>
      <c r="O42" s="7"/>
      <c r="P42" s="7"/>
      <c r="Q42" s="7"/>
      <c r="R42" s="7" t="s">
        <v>41</v>
      </c>
      <c r="S42" s="7" t="s">
        <v>1614</v>
      </c>
      <c r="T42" s="7"/>
      <c r="U42" s="7"/>
      <c r="V42" s="7" t="s">
        <v>41</v>
      </c>
      <c r="W42" s="7" t="s">
        <v>41</v>
      </c>
      <c r="X42" s="7" t="s">
        <v>41</v>
      </c>
      <c r="Y42" s="7" t="s">
        <v>991</v>
      </c>
      <c r="Z42" s="11" t="s">
        <v>992</v>
      </c>
    </row>
    <row r="43" spans="1:26" ht="15" customHeight="1" x14ac:dyDescent="0.25">
      <c r="A43" s="8" t="s">
        <v>123</v>
      </c>
      <c r="B43" s="8" t="s">
        <v>243</v>
      </c>
      <c r="C43" s="8" t="s">
        <v>1552</v>
      </c>
      <c r="D43" s="8" t="s">
        <v>244</v>
      </c>
      <c r="E43" s="8" t="s">
        <v>55</v>
      </c>
      <c r="F43" s="8" t="s">
        <v>245</v>
      </c>
      <c r="G43" s="8" t="s">
        <v>246</v>
      </c>
      <c r="H43" s="8" t="s">
        <v>247</v>
      </c>
      <c r="I43" s="8" t="s">
        <v>248</v>
      </c>
      <c r="J43" s="8" t="s">
        <v>249</v>
      </c>
      <c r="K43" s="8" t="s">
        <v>250</v>
      </c>
      <c r="L43" s="8" t="s">
        <v>142</v>
      </c>
      <c r="M43" s="8" t="s">
        <v>1616</v>
      </c>
      <c r="N43" s="8" t="s">
        <v>1617</v>
      </c>
      <c r="O43" s="8"/>
      <c r="P43" s="8" t="s">
        <v>41</v>
      </c>
      <c r="Q43" s="8" t="s">
        <v>41</v>
      </c>
      <c r="R43" s="8" t="s">
        <v>41</v>
      </c>
      <c r="S43" s="8" t="s">
        <v>1618</v>
      </c>
      <c r="T43" s="8"/>
      <c r="U43" s="8"/>
      <c r="V43" s="8"/>
      <c r="W43" s="8" t="s">
        <v>41</v>
      </c>
      <c r="X43" s="8" t="s">
        <v>41</v>
      </c>
      <c r="Y43" s="8" t="s">
        <v>251</v>
      </c>
      <c r="Z43" s="12" t="s">
        <v>252</v>
      </c>
    </row>
    <row r="44" spans="1:26" ht="15" customHeight="1" x14ac:dyDescent="0.25">
      <c r="A44" s="7" t="s">
        <v>123</v>
      </c>
      <c r="B44" s="7" t="s">
        <v>253</v>
      </c>
      <c r="C44" s="7" t="s">
        <v>1552</v>
      </c>
      <c r="D44" s="7" t="s">
        <v>254</v>
      </c>
      <c r="E44" s="7" t="s">
        <v>34</v>
      </c>
      <c r="F44" s="7" t="s">
        <v>255</v>
      </c>
      <c r="G44" s="7" t="s">
        <v>256</v>
      </c>
      <c r="H44" s="7" t="s">
        <v>257</v>
      </c>
      <c r="I44" s="7" t="s">
        <v>258</v>
      </c>
      <c r="J44" s="7" t="s">
        <v>259</v>
      </c>
      <c r="K44" s="7"/>
      <c r="L44" s="7" t="s">
        <v>260</v>
      </c>
      <c r="M44" s="7" t="s">
        <v>126</v>
      </c>
      <c r="N44" s="7" t="s">
        <v>1615</v>
      </c>
      <c r="O44" s="7"/>
      <c r="P44" s="7" t="s">
        <v>41</v>
      </c>
      <c r="Q44" s="7" t="s">
        <v>41</v>
      </c>
      <c r="R44" s="7" t="s">
        <v>41</v>
      </c>
      <c r="S44" s="7" t="s">
        <v>1626</v>
      </c>
      <c r="T44" s="7"/>
      <c r="U44" s="7"/>
      <c r="V44" s="7"/>
      <c r="W44" s="7" t="s">
        <v>41</v>
      </c>
      <c r="X44" s="7" t="s">
        <v>41</v>
      </c>
      <c r="Y44" s="7" t="s">
        <v>261</v>
      </c>
      <c r="Z44" s="11" t="s">
        <v>262</v>
      </c>
    </row>
    <row r="45" spans="1:26" ht="15" customHeight="1" x14ac:dyDescent="0.25">
      <c r="A45" s="8" t="s">
        <v>123</v>
      </c>
      <c r="B45" s="8" t="s">
        <v>993</v>
      </c>
      <c r="C45" s="8" t="s">
        <v>1553</v>
      </c>
      <c r="D45" s="8" t="s">
        <v>994</v>
      </c>
      <c r="E45" s="8" t="s">
        <v>55</v>
      </c>
      <c r="F45" s="8" t="s">
        <v>995</v>
      </c>
      <c r="G45" s="8" t="s">
        <v>996</v>
      </c>
      <c r="H45" s="8" t="s">
        <v>997</v>
      </c>
      <c r="I45" s="8" t="s">
        <v>998</v>
      </c>
      <c r="J45" s="8" t="s">
        <v>999</v>
      </c>
      <c r="K45" s="8"/>
      <c r="L45" s="8" t="s">
        <v>230</v>
      </c>
      <c r="M45" s="8" t="s">
        <v>1613</v>
      </c>
      <c r="N45" s="8" t="s">
        <v>1615</v>
      </c>
      <c r="O45" s="8"/>
      <c r="P45" s="8" t="s">
        <v>41</v>
      </c>
      <c r="Q45" s="8" t="s">
        <v>41</v>
      </c>
      <c r="R45" s="8" t="s">
        <v>41</v>
      </c>
      <c r="S45" s="8" t="s">
        <v>1614</v>
      </c>
      <c r="T45" s="8"/>
      <c r="U45" s="8"/>
      <c r="V45" s="8" t="s">
        <v>41</v>
      </c>
      <c r="W45" s="8" t="s">
        <v>41</v>
      </c>
      <c r="X45" s="8" t="s">
        <v>41</v>
      </c>
      <c r="Y45" s="8" t="s">
        <v>1000</v>
      </c>
      <c r="Z45" s="12" t="s">
        <v>1001</v>
      </c>
    </row>
    <row r="46" spans="1:26" ht="15" customHeight="1" x14ac:dyDescent="0.25">
      <c r="A46" s="7" t="s">
        <v>123</v>
      </c>
      <c r="B46" s="7" t="s">
        <v>1002</v>
      </c>
      <c r="C46" s="7" t="s">
        <v>1553</v>
      </c>
      <c r="D46" s="7" t="s">
        <v>1003</v>
      </c>
      <c r="E46" s="7" t="s">
        <v>55</v>
      </c>
      <c r="F46" s="7" t="s">
        <v>1004</v>
      </c>
      <c r="G46" s="7" t="s">
        <v>1005</v>
      </c>
      <c r="H46" s="7" t="s">
        <v>1006</v>
      </c>
      <c r="I46" s="7" t="s">
        <v>1007</v>
      </c>
      <c r="J46" s="7" t="s">
        <v>1008</v>
      </c>
      <c r="K46" s="7"/>
      <c r="L46" s="7" t="s">
        <v>1009</v>
      </c>
      <c r="M46" s="7" t="s">
        <v>126</v>
      </c>
      <c r="N46" s="7" t="s">
        <v>385</v>
      </c>
      <c r="O46" s="7" t="s">
        <v>1102</v>
      </c>
      <c r="P46" s="7" t="s">
        <v>41</v>
      </c>
      <c r="Q46" s="7" t="s">
        <v>41</v>
      </c>
      <c r="R46" s="7" t="s">
        <v>41</v>
      </c>
      <c r="S46" s="7" t="s">
        <v>1625</v>
      </c>
      <c r="T46" s="7"/>
      <c r="U46" s="7"/>
      <c r="V46" s="7" t="s">
        <v>41</v>
      </c>
      <c r="W46" s="7" t="s">
        <v>41</v>
      </c>
      <c r="X46" s="7" t="s">
        <v>41</v>
      </c>
      <c r="Y46" s="7" t="s">
        <v>1010</v>
      </c>
      <c r="Z46" s="11" t="s">
        <v>1011</v>
      </c>
    </row>
    <row r="47" spans="1:26" ht="15" customHeight="1" x14ac:dyDescent="0.25">
      <c r="A47" s="8" t="s">
        <v>123</v>
      </c>
      <c r="B47" s="8" t="s">
        <v>263</v>
      </c>
      <c r="C47" s="8" t="s">
        <v>1552</v>
      </c>
      <c r="D47" s="8" t="s">
        <v>264</v>
      </c>
      <c r="E47" s="8" t="s">
        <v>55</v>
      </c>
      <c r="F47" s="8" t="s">
        <v>265</v>
      </c>
      <c r="G47" s="8" t="s">
        <v>266</v>
      </c>
      <c r="H47" s="8" t="s">
        <v>267</v>
      </c>
      <c r="I47" s="8" t="s">
        <v>268</v>
      </c>
      <c r="J47" s="8" t="s">
        <v>269</v>
      </c>
      <c r="K47" s="8"/>
      <c r="L47" s="8" t="s">
        <v>270</v>
      </c>
      <c r="M47" s="8" t="s">
        <v>281</v>
      </c>
      <c r="N47" s="8"/>
      <c r="O47" s="8"/>
      <c r="P47" s="8" t="s">
        <v>41</v>
      </c>
      <c r="Q47" s="8" t="s">
        <v>41</v>
      </c>
      <c r="R47" s="8" t="s">
        <v>41</v>
      </c>
      <c r="S47" s="8" t="s">
        <v>1626</v>
      </c>
      <c r="T47" s="8"/>
      <c r="U47" s="8"/>
      <c r="V47" s="8"/>
      <c r="W47" s="8" t="s">
        <v>41</v>
      </c>
      <c r="X47" s="8" t="s">
        <v>41</v>
      </c>
      <c r="Y47" s="8" t="s">
        <v>271</v>
      </c>
      <c r="Z47" s="12"/>
    </row>
    <row r="48" spans="1:26" ht="15" customHeight="1" x14ac:dyDescent="0.25">
      <c r="A48" s="7" t="s">
        <v>123</v>
      </c>
      <c r="B48" s="7" t="s">
        <v>272</v>
      </c>
      <c r="C48" s="7" t="s">
        <v>1552</v>
      </c>
      <c r="D48" s="7" t="s">
        <v>273</v>
      </c>
      <c r="E48" s="7" t="s">
        <v>34</v>
      </c>
      <c r="F48" s="7" t="s">
        <v>274</v>
      </c>
      <c r="G48" s="7" t="s">
        <v>275</v>
      </c>
      <c r="H48" s="7" t="s">
        <v>276</v>
      </c>
      <c r="I48" s="7" t="s">
        <v>277</v>
      </c>
      <c r="J48" s="7" t="s">
        <v>278</v>
      </c>
      <c r="K48" s="7"/>
      <c r="L48" s="7" t="s">
        <v>270</v>
      </c>
      <c r="M48" s="7" t="s">
        <v>281</v>
      </c>
      <c r="N48" s="7"/>
      <c r="O48" s="7"/>
      <c r="P48" s="7" t="s">
        <v>41</v>
      </c>
      <c r="Q48" s="7" t="s">
        <v>41</v>
      </c>
      <c r="R48" s="7" t="s">
        <v>41</v>
      </c>
      <c r="S48" s="7" t="s">
        <v>1626</v>
      </c>
      <c r="T48" s="7"/>
      <c r="U48" s="7"/>
      <c r="V48" s="7"/>
      <c r="W48" s="7" t="s">
        <v>41</v>
      </c>
      <c r="X48" s="7" t="s">
        <v>41</v>
      </c>
      <c r="Y48" s="7" t="s">
        <v>279</v>
      </c>
      <c r="Z48" s="11" t="s">
        <v>280</v>
      </c>
    </row>
    <row r="49" spans="1:26" ht="15" customHeight="1" x14ac:dyDescent="0.25">
      <c r="A49" s="8" t="s">
        <v>123</v>
      </c>
      <c r="B49" s="8" t="s">
        <v>1012</v>
      </c>
      <c r="C49" s="8" t="s">
        <v>1553</v>
      </c>
      <c r="D49" s="8" t="s">
        <v>1013</v>
      </c>
      <c r="E49" s="8" t="s">
        <v>55</v>
      </c>
      <c r="F49" s="8" t="s">
        <v>1014</v>
      </c>
      <c r="G49" s="8" t="s">
        <v>1015</v>
      </c>
      <c r="H49" s="8" t="s">
        <v>1016</v>
      </c>
      <c r="I49" s="8" t="s">
        <v>1017</v>
      </c>
      <c r="J49" s="8" t="s">
        <v>1018</v>
      </c>
      <c r="K49" s="8"/>
      <c r="L49" s="8" t="s">
        <v>1019</v>
      </c>
      <c r="M49" s="8" t="s">
        <v>1630</v>
      </c>
      <c r="N49" s="8"/>
      <c r="O49" s="8"/>
      <c r="P49" s="8" t="s">
        <v>41</v>
      </c>
      <c r="Q49" s="8" t="s">
        <v>41</v>
      </c>
      <c r="R49" s="8" t="s">
        <v>41</v>
      </c>
      <c r="S49" s="8" t="s">
        <v>1618</v>
      </c>
      <c r="T49" s="8"/>
      <c r="U49" s="8"/>
      <c r="V49" s="8"/>
      <c r="W49" s="8" t="s">
        <v>41</v>
      </c>
      <c r="X49" s="8" t="s">
        <v>41</v>
      </c>
      <c r="Y49" s="8" t="s">
        <v>1020</v>
      </c>
      <c r="Z49" s="12" t="s">
        <v>1021</v>
      </c>
    </row>
    <row r="50" spans="1:26" ht="15" customHeight="1" x14ac:dyDescent="0.25">
      <c r="A50" s="7" t="s">
        <v>281</v>
      </c>
      <c r="B50" s="7"/>
      <c r="C50" s="7"/>
      <c r="D50" s="7" t="s">
        <v>282</v>
      </c>
      <c r="E50" s="7"/>
      <c r="F50" s="7" t="s">
        <v>283</v>
      </c>
      <c r="G50" s="7"/>
      <c r="H50" s="7"/>
      <c r="I50" s="7"/>
      <c r="J50" s="7"/>
      <c r="K50" s="7"/>
      <c r="L50" s="7"/>
      <c r="M50" s="7"/>
      <c r="N50" s="7"/>
      <c r="O50" s="7"/>
      <c r="P50" s="7"/>
      <c r="Q50" s="7"/>
      <c r="R50" s="7"/>
      <c r="S50" s="7"/>
      <c r="T50" s="7"/>
      <c r="U50" s="7"/>
      <c r="V50" s="7"/>
      <c r="W50" s="7"/>
      <c r="X50" s="7"/>
      <c r="Y50" s="7"/>
      <c r="Z50" s="11"/>
    </row>
    <row r="51" spans="1:26" ht="15" customHeight="1" x14ac:dyDescent="0.25">
      <c r="A51" s="8" t="s">
        <v>281</v>
      </c>
      <c r="B51" s="8" t="s">
        <v>284</v>
      </c>
      <c r="C51" s="8" t="s">
        <v>1552</v>
      </c>
      <c r="D51" s="8" t="s">
        <v>285</v>
      </c>
      <c r="E51" s="8" t="s">
        <v>34</v>
      </c>
      <c r="F51" s="8" t="s">
        <v>286</v>
      </c>
      <c r="G51" s="8" t="s">
        <v>287</v>
      </c>
      <c r="H51" s="8" t="s">
        <v>288</v>
      </c>
      <c r="I51" s="8" t="s">
        <v>289</v>
      </c>
      <c r="J51" s="8" t="s">
        <v>290</v>
      </c>
      <c r="K51" s="8" t="s">
        <v>291</v>
      </c>
      <c r="L51" s="8" t="s">
        <v>292</v>
      </c>
      <c r="M51" s="8" t="s">
        <v>1626</v>
      </c>
      <c r="N51" s="8"/>
      <c r="O51" s="8"/>
      <c r="P51" s="8" t="s">
        <v>41</v>
      </c>
      <c r="Q51" s="8" t="s">
        <v>41</v>
      </c>
      <c r="R51" s="8" t="s">
        <v>41</v>
      </c>
      <c r="S51" s="8" t="s">
        <v>281</v>
      </c>
      <c r="T51" s="8"/>
      <c r="U51" s="8"/>
      <c r="V51" s="8" t="s">
        <v>41</v>
      </c>
      <c r="W51" s="8" t="s">
        <v>41</v>
      </c>
      <c r="X51" s="8" t="s">
        <v>41</v>
      </c>
      <c r="Y51" s="8" t="s">
        <v>293</v>
      </c>
      <c r="Z51" s="12" t="s">
        <v>294</v>
      </c>
    </row>
    <row r="52" spans="1:26" ht="15" customHeight="1" x14ac:dyDescent="0.25">
      <c r="A52" s="7" t="s">
        <v>281</v>
      </c>
      <c r="B52" s="7" t="s">
        <v>295</v>
      </c>
      <c r="C52" s="7" t="s">
        <v>1552</v>
      </c>
      <c r="D52" s="7" t="s">
        <v>296</v>
      </c>
      <c r="E52" s="7" t="s">
        <v>34</v>
      </c>
      <c r="F52" s="7" t="s">
        <v>297</v>
      </c>
      <c r="G52" s="7" t="s">
        <v>298</v>
      </c>
      <c r="H52" s="7" t="s">
        <v>299</v>
      </c>
      <c r="I52" s="7" t="s">
        <v>300</v>
      </c>
      <c r="J52" s="7" t="s">
        <v>301</v>
      </c>
      <c r="K52" s="7"/>
      <c r="L52" s="7" t="s">
        <v>142</v>
      </c>
      <c r="M52" s="7" t="s">
        <v>1616</v>
      </c>
      <c r="N52" s="7" t="s">
        <v>1617</v>
      </c>
      <c r="O52" s="7"/>
      <c r="P52" s="7" t="s">
        <v>41</v>
      </c>
      <c r="Q52" s="7" t="s">
        <v>41</v>
      </c>
      <c r="R52" s="7" t="s">
        <v>41</v>
      </c>
      <c r="S52" s="7" t="s">
        <v>1618</v>
      </c>
      <c r="T52" s="7"/>
      <c r="U52" s="7"/>
      <c r="V52" s="7"/>
      <c r="W52" s="7" t="s">
        <v>41</v>
      </c>
      <c r="X52" s="7" t="s">
        <v>41</v>
      </c>
      <c r="Y52" s="7" t="s">
        <v>302</v>
      </c>
      <c r="Z52" s="11" t="s">
        <v>303</v>
      </c>
    </row>
    <row r="53" spans="1:26" ht="15" customHeight="1" x14ac:dyDescent="0.25">
      <c r="A53" s="8" t="s">
        <v>281</v>
      </c>
      <c r="B53" s="8" t="s">
        <v>304</v>
      </c>
      <c r="C53" s="8" t="s">
        <v>1552</v>
      </c>
      <c r="D53" s="8" t="s">
        <v>305</v>
      </c>
      <c r="E53" s="8" t="s">
        <v>55</v>
      </c>
      <c r="F53" s="8" t="s">
        <v>306</v>
      </c>
      <c r="G53" s="8" t="s">
        <v>307</v>
      </c>
      <c r="H53" s="8" t="s">
        <v>308</v>
      </c>
      <c r="I53" s="8" t="s">
        <v>309</v>
      </c>
      <c r="J53" s="8" t="s">
        <v>310</v>
      </c>
      <c r="K53" s="8"/>
      <c r="L53" s="8" t="s">
        <v>142</v>
      </c>
      <c r="M53" s="8" t="s">
        <v>1616</v>
      </c>
      <c r="N53" s="8" t="s">
        <v>1617</v>
      </c>
      <c r="O53" s="8"/>
      <c r="P53" s="8" t="s">
        <v>41</v>
      </c>
      <c r="Q53" s="8" t="s">
        <v>41</v>
      </c>
      <c r="R53" s="8" t="s">
        <v>41</v>
      </c>
      <c r="S53" s="8" t="s">
        <v>1618</v>
      </c>
      <c r="T53" s="8"/>
      <c r="U53" s="8"/>
      <c r="V53" s="8"/>
      <c r="W53" s="8" t="s">
        <v>41</v>
      </c>
      <c r="X53" s="8" t="s">
        <v>41</v>
      </c>
      <c r="Y53" s="8" t="s">
        <v>311</v>
      </c>
      <c r="Z53" s="12" t="s">
        <v>312</v>
      </c>
    </row>
    <row r="54" spans="1:26" ht="15" customHeight="1" x14ac:dyDescent="0.25">
      <c r="A54" s="7" t="s">
        <v>313</v>
      </c>
      <c r="B54" s="7"/>
      <c r="C54" s="7"/>
      <c r="D54" s="7" t="s">
        <v>314</v>
      </c>
      <c r="E54" s="7"/>
      <c r="F54" s="7" t="s">
        <v>315</v>
      </c>
      <c r="G54" s="7"/>
      <c r="H54" s="7"/>
      <c r="I54" s="7"/>
      <c r="J54" s="7"/>
      <c r="K54" s="7"/>
      <c r="L54" s="7"/>
      <c r="M54" s="7"/>
      <c r="N54" s="7"/>
      <c r="O54" s="7"/>
      <c r="P54" s="7"/>
      <c r="Q54" s="7"/>
      <c r="R54" s="7"/>
      <c r="S54" s="7"/>
      <c r="T54" s="7"/>
      <c r="U54" s="7"/>
      <c r="V54" s="7"/>
      <c r="W54" s="7"/>
      <c r="X54" s="7"/>
      <c r="Y54" s="7"/>
      <c r="Z54" s="11"/>
    </row>
    <row r="55" spans="1:26" ht="15" customHeight="1" x14ac:dyDescent="0.25">
      <c r="A55" s="8" t="s">
        <v>313</v>
      </c>
      <c r="B55" s="8" t="s">
        <v>1022</v>
      </c>
      <c r="C55" s="8" t="s">
        <v>1553</v>
      </c>
      <c r="D55" s="8" t="s">
        <v>1023</v>
      </c>
      <c r="E55" s="8" t="s">
        <v>55</v>
      </c>
      <c r="F55" s="8" t="s">
        <v>1024</v>
      </c>
      <c r="G55" s="8" t="s">
        <v>1025</v>
      </c>
      <c r="H55" s="8" t="s">
        <v>1026</v>
      </c>
      <c r="I55" s="8" t="s">
        <v>1027</v>
      </c>
      <c r="J55" s="8" t="s">
        <v>1028</v>
      </c>
      <c r="K55" s="8"/>
      <c r="L55" s="8" t="s">
        <v>1029</v>
      </c>
      <c r="M55" s="8" t="s">
        <v>1611</v>
      </c>
      <c r="N55" s="8" t="s">
        <v>1606</v>
      </c>
      <c r="O55" s="8"/>
      <c r="P55" s="8"/>
      <c r="Q55" s="8" t="s">
        <v>41</v>
      </c>
      <c r="R55" s="8" t="s">
        <v>41</v>
      </c>
      <c r="S55" s="8" t="s">
        <v>1641</v>
      </c>
      <c r="T55" s="8"/>
      <c r="U55" s="8"/>
      <c r="V55" s="8"/>
      <c r="W55" s="8" t="s">
        <v>41</v>
      </c>
      <c r="X55" s="8" t="s">
        <v>41</v>
      </c>
      <c r="Y55" s="8" t="s">
        <v>1030</v>
      </c>
      <c r="Z55" s="12" t="s">
        <v>1031</v>
      </c>
    </row>
    <row r="56" spans="1:26" ht="15" customHeight="1" x14ac:dyDescent="0.25">
      <c r="A56" s="7" t="s">
        <v>313</v>
      </c>
      <c r="B56" s="7" t="s">
        <v>1032</v>
      </c>
      <c r="C56" s="7" t="s">
        <v>1553</v>
      </c>
      <c r="D56" s="7" t="s">
        <v>1033</v>
      </c>
      <c r="E56" s="7" t="s">
        <v>55</v>
      </c>
      <c r="F56" s="7" t="s">
        <v>1034</v>
      </c>
      <c r="G56" s="7" t="s">
        <v>1035</v>
      </c>
      <c r="H56" s="7" t="s">
        <v>1036</v>
      </c>
      <c r="I56" s="7" t="s">
        <v>1037</v>
      </c>
      <c r="J56" s="7" t="s">
        <v>1038</v>
      </c>
      <c r="K56" s="7" t="s">
        <v>1039</v>
      </c>
      <c r="L56" s="7" t="s">
        <v>1040</v>
      </c>
      <c r="M56" s="7" t="s">
        <v>1611</v>
      </c>
      <c r="N56" s="7"/>
      <c r="O56" s="7"/>
      <c r="P56" s="7"/>
      <c r="Q56" s="7" t="s">
        <v>41</v>
      </c>
      <c r="R56" s="7" t="s">
        <v>41</v>
      </c>
      <c r="S56" s="7" t="s">
        <v>1632</v>
      </c>
      <c r="T56" s="7"/>
      <c r="U56" s="7"/>
      <c r="V56" s="7" t="s">
        <v>41</v>
      </c>
      <c r="W56" s="7" t="s">
        <v>41</v>
      </c>
      <c r="X56" s="7" t="s">
        <v>41</v>
      </c>
      <c r="Y56" s="7" t="s">
        <v>1041</v>
      </c>
      <c r="Z56" s="11" t="s">
        <v>1042</v>
      </c>
    </row>
    <row r="57" spans="1:26" ht="15" customHeight="1" x14ac:dyDescent="0.25">
      <c r="A57" s="8" t="s">
        <v>313</v>
      </c>
      <c r="B57" s="8" t="s">
        <v>1043</v>
      </c>
      <c r="C57" s="8" t="s">
        <v>1553</v>
      </c>
      <c r="D57" s="8" t="s">
        <v>1044</v>
      </c>
      <c r="E57" s="8" t="s">
        <v>55</v>
      </c>
      <c r="F57" s="8" t="s">
        <v>1045</v>
      </c>
      <c r="G57" s="8" t="s">
        <v>1046</v>
      </c>
      <c r="H57" s="8" t="s">
        <v>1047</v>
      </c>
      <c r="I57" s="8" t="s">
        <v>1048</v>
      </c>
      <c r="J57" s="8" t="s">
        <v>1049</v>
      </c>
      <c r="K57" s="8" t="s">
        <v>1039</v>
      </c>
      <c r="L57" s="8" t="s">
        <v>1050</v>
      </c>
      <c r="M57" s="8" t="s">
        <v>385</v>
      </c>
      <c r="N57" s="8"/>
      <c r="O57" s="8"/>
      <c r="P57" s="8" t="s">
        <v>41</v>
      </c>
      <c r="Q57" s="8" t="s">
        <v>41</v>
      </c>
      <c r="R57" s="8" t="s">
        <v>41</v>
      </c>
      <c r="S57" s="8" t="s">
        <v>1654</v>
      </c>
      <c r="T57" s="8"/>
      <c r="U57" s="8"/>
      <c r="V57" s="8" t="s">
        <v>41</v>
      </c>
      <c r="W57" s="8" t="s">
        <v>41</v>
      </c>
      <c r="X57" s="8" t="s">
        <v>41</v>
      </c>
      <c r="Y57" s="8" t="s">
        <v>1051</v>
      </c>
      <c r="Z57" s="12" t="s">
        <v>1042</v>
      </c>
    </row>
    <row r="58" spans="1:26" ht="15" customHeight="1" x14ac:dyDescent="0.25">
      <c r="A58" s="7" t="s">
        <v>313</v>
      </c>
      <c r="B58" s="7" t="s">
        <v>1052</v>
      </c>
      <c r="C58" s="7" t="s">
        <v>1553</v>
      </c>
      <c r="D58" s="7" t="s">
        <v>1053</v>
      </c>
      <c r="E58" s="7" t="s">
        <v>55</v>
      </c>
      <c r="F58" s="7" t="s">
        <v>1054</v>
      </c>
      <c r="G58" s="7" t="s">
        <v>1055</v>
      </c>
      <c r="H58" s="7" t="s">
        <v>1056</v>
      </c>
      <c r="I58" s="7" t="s">
        <v>1057</v>
      </c>
      <c r="J58" s="7" t="s">
        <v>1058</v>
      </c>
      <c r="K58" s="7" t="s">
        <v>1059</v>
      </c>
      <c r="L58" s="7" t="s">
        <v>1060</v>
      </c>
      <c r="M58" s="7" t="s">
        <v>1616</v>
      </c>
      <c r="N58" s="7" t="s">
        <v>1617</v>
      </c>
      <c r="O58" s="7"/>
      <c r="P58" s="7" t="s">
        <v>41</v>
      </c>
      <c r="Q58" s="7" t="s">
        <v>41</v>
      </c>
      <c r="R58" s="7" t="s">
        <v>41</v>
      </c>
      <c r="S58" s="7" t="s">
        <v>1651</v>
      </c>
      <c r="T58" s="7" t="s">
        <v>1618</v>
      </c>
      <c r="U58" s="7"/>
      <c r="V58" s="7"/>
      <c r="W58" s="7" t="s">
        <v>41</v>
      </c>
      <c r="X58" s="7" t="s">
        <v>41</v>
      </c>
      <c r="Y58" s="7" t="s">
        <v>1061</v>
      </c>
      <c r="Z58" s="11" t="s">
        <v>1062</v>
      </c>
    </row>
    <row r="59" spans="1:26" ht="15" customHeight="1" x14ac:dyDescent="0.25">
      <c r="A59" s="8" t="s">
        <v>313</v>
      </c>
      <c r="B59" s="8" t="s">
        <v>1063</v>
      </c>
      <c r="C59" s="8" t="s">
        <v>1553</v>
      </c>
      <c r="D59" s="8" t="s">
        <v>1064</v>
      </c>
      <c r="E59" s="8" t="s">
        <v>55</v>
      </c>
      <c r="F59" s="8" t="s">
        <v>1065</v>
      </c>
      <c r="G59" s="8" t="s">
        <v>1066</v>
      </c>
      <c r="H59" s="8" t="s">
        <v>1067</v>
      </c>
      <c r="I59" s="8" t="s">
        <v>1068</v>
      </c>
      <c r="J59" s="8" t="s">
        <v>1069</v>
      </c>
      <c r="K59" s="8" t="s">
        <v>1070</v>
      </c>
      <c r="L59" s="8" t="s">
        <v>1071</v>
      </c>
      <c r="M59" s="8" t="s">
        <v>1616</v>
      </c>
      <c r="N59" s="8" t="s">
        <v>1617</v>
      </c>
      <c r="O59" s="8" t="s">
        <v>1611</v>
      </c>
      <c r="P59" s="8" t="s">
        <v>41</v>
      </c>
      <c r="Q59" s="8" t="s">
        <v>41</v>
      </c>
      <c r="R59" s="8" t="s">
        <v>41</v>
      </c>
      <c r="S59" s="8" t="s">
        <v>1618</v>
      </c>
      <c r="T59" s="8"/>
      <c r="U59" s="8"/>
      <c r="V59" s="8"/>
      <c r="W59" s="8" t="s">
        <v>41</v>
      </c>
      <c r="X59" s="8" t="s">
        <v>41</v>
      </c>
      <c r="Y59" s="8" t="s">
        <v>1072</v>
      </c>
      <c r="Z59" s="12" t="s">
        <v>1073</v>
      </c>
    </row>
    <row r="60" spans="1:26" ht="15" customHeight="1" x14ac:dyDescent="0.25">
      <c r="A60" s="7" t="s">
        <v>313</v>
      </c>
      <c r="B60" s="7" t="s">
        <v>1074</v>
      </c>
      <c r="C60" s="7" t="s">
        <v>1553</v>
      </c>
      <c r="D60" s="7" t="s">
        <v>1075</v>
      </c>
      <c r="E60" s="7" t="s">
        <v>55</v>
      </c>
      <c r="F60" s="7" t="s">
        <v>1076</v>
      </c>
      <c r="G60" s="7" t="s">
        <v>1077</v>
      </c>
      <c r="H60" s="7" t="s">
        <v>1078</v>
      </c>
      <c r="I60" s="7" t="s">
        <v>1079</v>
      </c>
      <c r="J60" s="7" t="s">
        <v>1080</v>
      </c>
      <c r="K60" s="7" t="s">
        <v>1081</v>
      </c>
      <c r="L60" s="7" t="s">
        <v>939</v>
      </c>
      <c r="M60" s="7" t="s">
        <v>1630</v>
      </c>
      <c r="N60" s="7"/>
      <c r="O60" s="7"/>
      <c r="P60" s="7" t="s">
        <v>41</v>
      </c>
      <c r="Q60" s="7" t="s">
        <v>41</v>
      </c>
      <c r="R60" s="7" t="s">
        <v>41</v>
      </c>
      <c r="S60" s="7" t="s">
        <v>1651</v>
      </c>
      <c r="T60" s="7"/>
      <c r="U60" s="7"/>
      <c r="V60" s="7"/>
      <c r="W60" s="7" t="s">
        <v>41</v>
      </c>
      <c r="X60" s="7" t="s">
        <v>41</v>
      </c>
      <c r="Y60" s="7" t="s">
        <v>1082</v>
      </c>
      <c r="Z60" s="11" t="s">
        <v>1083</v>
      </c>
    </row>
    <row r="61" spans="1:26" ht="15" customHeight="1" x14ac:dyDescent="0.25">
      <c r="A61" s="8" t="s">
        <v>313</v>
      </c>
      <c r="B61" s="8" t="s">
        <v>1084</v>
      </c>
      <c r="C61" s="8" t="s">
        <v>1553</v>
      </c>
      <c r="D61" s="8" t="s">
        <v>1085</v>
      </c>
      <c r="E61" s="8" t="s">
        <v>55</v>
      </c>
      <c r="F61" s="8" t="s">
        <v>1086</v>
      </c>
      <c r="G61" s="8" t="s">
        <v>1087</v>
      </c>
      <c r="H61" s="8" t="s">
        <v>1088</v>
      </c>
      <c r="I61" s="8" t="s">
        <v>1089</v>
      </c>
      <c r="J61" s="8" t="s">
        <v>1090</v>
      </c>
      <c r="K61" s="8" t="s">
        <v>1081</v>
      </c>
      <c r="L61" s="8" t="s">
        <v>939</v>
      </c>
      <c r="M61" s="8" t="s">
        <v>1630</v>
      </c>
      <c r="N61" s="8"/>
      <c r="O61" s="8"/>
      <c r="P61" s="8" t="s">
        <v>41</v>
      </c>
      <c r="Q61" s="8" t="s">
        <v>41</v>
      </c>
      <c r="R61" s="8" t="s">
        <v>41</v>
      </c>
      <c r="S61" s="8" t="s">
        <v>1651</v>
      </c>
      <c r="T61" s="8"/>
      <c r="U61" s="8"/>
      <c r="V61" s="8"/>
      <c r="W61" s="8" t="s">
        <v>41</v>
      </c>
      <c r="X61" s="8" t="s">
        <v>41</v>
      </c>
      <c r="Y61" s="8" t="s">
        <v>1091</v>
      </c>
      <c r="Z61" s="12" t="s">
        <v>1083</v>
      </c>
    </row>
    <row r="62" spans="1:26" ht="15" customHeight="1" x14ac:dyDescent="0.25">
      <c r="A62" s="7" t="s">
        <v>313</v>
      </c>
      <c r="B62" s="7" t="s">
        <v>1092</v>
      </c>
      <c r="C62" s="7" t="s">
        <v>1553</v>
      </c>
      <c r="D62" s="7" t="s">
        <v>1093</v>
      </c>
      <c r="E62" s="7" t="s">
        <v>55</v>
      </c>
      <c r="F62" s="7" t="s">
        <v>1094</v>
      </c>
      <c r="G62" s="7" t="s">
        <v>1095</v>
      </c>
      <c r="H62" s="7" t="s">
        <v>1096</v>
      </c>
      <c r="I62" s="7" t="s">
        <v>1097</v>
      </c>
      <c r="J62" s="7" t="s">
        <v>1098</v>
      </c>
      <c r="K62" s="7"/>
      <c r="L62" s="7" t="s">
        <v>1099</v>
      </c>
      <c r="M62" s="7" t="s">
        <v>1616</v>
      </c>
      <c r="N62" s="7" t="s">
        <v>1617</v>
      </c>
      <c r="O62" s="7"/>
      <c r="P62" s="7" t="s">
        <v>41</v>
      </c>
      <c r="Q62" s="7" t="s">
        <v>41</v>
      </c>
      <c r="R62" s="7" t="s">
        <v>41</v>
      </c>
      <c r="S62" s="7"/>
      <c r="T62" s="7"/>
      <c r="U62" s="7"/>
      <c r="V62" s="7"/>
      <c r="W62" s="7"/>
      <c r="X62" s="7"/>
      <c r="Y62" s="7" t="s">
        <v>1100</v>
      </c>
      <c r="Z62" s="11" t="s">
        <v>1101</v>
      </c>
    </row>
    <row r="63" spans="1:26" ht="15" customHeight="1" x14ac:dyDescent="0.25">
      <c r="A63" s="8" t="s">
        <v>316</v>
      </c>
      <c r="B63" s="8"/>
      <c r="C63" s="8"/>
      <c r="D63" s="8" t="s">
        <v>317</v>
      </c>
      <c r="E63" s="8"/>
      <c r="F63" s="8" t="s">
        <v>318</v>
      </c>
      <c r="G63" s="8"/>
      <c r="H63" s="8"/>
      <c r="I63" s="8"/>
      <c r="J63" s="8"/>
      <c r="K63" s="8"/>
      <c r="L63" s="8"/>
      <c r="M63" s="8"/>
      <c r="N63" s="8"/>
      <c r="O63" s="8"/>
      <c r="P63" s="8"/>
      <c r="Q63" s="8"/>
      <c r="R63" s="8"/>
      <c r="S63" s="8"/>
      <c r="T63" s="8"/>
      <c r="U63" s="8"/>
      <c r="V63" s="8"/>
      <c r="W63" s="8"/>
      <c r="X63" s="8"/>
      <c r="Y63" s="8"/>
      <c r="Z63" s="12"/>
    </row>
    <row r="64" spans="1:26" ht="15" customHeight="1" x14ac:dyDescent="0.25">
      <c r="A64" s="7" t="s">
        <v>316</v>
      </c>
      <c r="B64" s="7" t="s">
        <v>319</v>
      </c>
      <c r="C64" s="7" t="s">
        <v>1552</v>
      </c>
      <c r="D64" s="7" t="s">
        <v>320</v>
      </c>
      <c r="E64" s="7" t="s">
        <v>55</v>
      </c>
      <c r="F64" s="7" t="s">
        <v>321</v>
      </c>
      <c r="G64" s="7" t="s">
        <v>322</v>
      </c>
      <c r="H64" s="7" t="s">
        <v>323</v>
      </c>
      <c r="I64" s="7" t="s">
        <v>324</v>
      </c>
      <c r="J64" s="7" t="s">
        <v>325</v>
      </c>
      <c r="K64" s="7"/>
      <c r="L64" s="7" t="s">
        <v>326</v>
      </c>
      <c r="M64" s="7" t="s">
        <v>126</v>
      </c>
      <c r="N64" s="7"/>
      <c r="O64" s="7"/>
      <c r="P64" s="7" t="s">
        <v>41</v>
      </c>
      <c r="Q64" s="7" t="s">
        <v>41</v>
      </c>
      <c r="R64" s="7" t="s">
        <v>41</v>
      </c>
      <c r="S64" s="7" t="s">
        <v>1625</v>
      </c>
      <c r="T64" s="7"/>
      <c r="U64" s="7"/>
      <c r="V64" s="7" t="s">
        <v>41</v>
      </c>
      <c r="W64" s="7" t="s">
        <v>41</v>
      </c>
      <c r="X64" s="7" t="s">
        <v>41</v>
      </c>
      <c r="Y64" s="7" t="s">
        <v>327</v>
      </c>
      <c r="Z64" s="11"/>
    </row>
    <row r="65" spans="1:26" ht="15" customHeight="1" x14ac:dyDescent="0.25">
      <c r="A65" s="8" t="s">
        <v>316</v>
      </c>
      <c r="B65" s="8" t="s">
        <v>328</v>
      </c>
      <c r="C65" s="8" t="s">
        <v>1552</v>
      </c>
      <c r="D65" s="8" t="s">
        <v>329</v>
      </c>
      <c r="E65" s="8" t="s">
        <v>55</v>
      </c>
      <c r="F65" s="8" t="s">
        <v>330</v>
      </c>
      <c r="G65" s="8" t="s">
        <v>331</v>
      </c>
      <c r="H65" s="8" t="s">
        <v>332</v>
      </c>
      <c r="I65" s="8" t="s">
        <v>333</v>
      </c>
      <c r="J65" s="8" t="s">
        <v>334</v>
      </c>
      <c r="K65" s="8" t="s">
        <v>335</v>
      </c>
      <c r="L65" s="8" t="s">
        <v>336</v>
      </c>
      <c r="M65" s="8" t="s">
        <v>281</v>
      </c>
      <c r="N65" s="8" t="s">
        <v>316</v>
      </c>
      <c r="O65" s="8"/>
      <c r="P65" s="8" t="s">
        <v>41</v>
      </c>
      <c r="Q65" s="8" t="s">
        <v>41</v>
      </c>
      <c r="R65" s="8" t="s">
        <v>41</v>
      </c>
      <c r="S65" s="8" t="s">
        <v>1627</v>
      </c>
      <c r="T65" s="8" t="s">
        <v>1628</v>
      </c>
      <c r="U65" s="8"/>
      <c r="V65" s="8" t="s">
        <v>41</v>
      </c>
      <c r="W65" s="8" t="s">
        <v>41</v>
      </c>
      <c r="X65" s="8" t="s">
        <v>41</v>
      </c>
      <c r="Y65" s="8" t="s">
        <v>337</v>
      </c>
      <c r="Z65" s="12" t="s">
        <v>338</v>
      </c>
    </row>
    <row r="66" spans="1:26" ht="15" customHeight="1" x14ac:dyDescent="0.25">
      <c r="A66" s="7" t="s">
        <v>316</v>
      </c>
      <c r="B66" s="7" t="s">
        <v>339</v>
      </c>
      <c r="C66" s="7" t="s">
        <v>1552</v>
      </c>
      <c r="D66" s="7" t="s">
        <v>340</v>
      </c>
      <c r="E66" s="7" t="s">
        <v>34</v>
      </c>
      <c r="F66" s="7" t="s">
        <v>341</v>
      </c>
      <c r="G66" s="7" t="s">
        <v>342</v>
      </c>
      <c r="H66" s="7" t="s">
        <v>343</v>
      </c>
      <c r="I66" s="7" t="s">
        <v>344</v>
      </c>
      <c r="J66" s="7" t="s">
        <v>345</v>
      </c>
      <c r="K66" s="7"/>
      <c r="L66" s="7" t="s">
        <v>346</v>
      </c>
      <c r="M66" s="7" t="s">
        <v>1615</v>
      </c>
      <c r="N66" s="7"/>
      <c r="O66" s="7"/>
      <c r="P66" s="7"/>
      <c r="Q66" s="7"/>
      <c r="R66" s="7" t="s">
        <v>41</v>
      </c>
      <c r="S66" s="7" t="s">
        <v>1626</v>
      </c>
      <c r="T66" s="7"/>
      <c r="U66" s="7"/>
      <c r="V66" s="7"/>
      <c r="W66" s="7" t="s">
        <v>41</v>
      </c>
      <c r="X66" s="7" t="s">
        <v>41</v>
      </c>
      <c r="Y66" s="7" t="s">
        <v>347</v>
      </c>
      <c r="Z66" s="11"/>
    </row>
    <row r="67" spans="1:26" ht="15" customHeight="1" x14ac:dyDescent="0.25">
      <c r="A67" s="8" t="s">
        <v>316</v>
      </c>
      <c r="B67" s="8" t="s">
        <v>348</v>
      </c>
      <c r="C67" s="8" t="s">
        <v>1552</v>
      </c>
      <c r="D67" s="8" t="s">
        <v>349</v>
      </c>
      <c r="E67" s="8" t="s">
        <v>55</v>
      </c>
      <c r="F67" s="8" t="s">
        <v>350</v>
      </c>
      <c r="G67" s="8" t="s">
        <v>351</v>
      </c>
      <c r="H67" s="8" t="s">
        <v>343</v>
      </c>
      <c r="I67" s="8"/>
      <c r="J67" s="8" t="s">
        <v>352</v>
      </c>
      <c r="K67" s="8"/>
      <c r="L67" s="8" t="s">
        <v>346</v>
      </c>
      <c r="M67" s="8" t="s">
        <v>1615</v>
      </c>
      <c r="N67" s="8"/>
      <c r="O67" s="8"/>
      <c r="P67" s="8"/>
      <c r="Q67" s="8"/>
      <c r="R67" s="8" t="s">
        <v>41</v>
      </c>
      <c r="S67" s="8" t="s">
        <v>1626</v>
      </c>
      <c r="T67" s="8"/>
      <c r="U67" s="8"/>
      <c r="V67" s="8"/>
      <c r="W67" s="8" t="s">
        <v>41</v>
      </c>
      <c r="X67" s="8" t="s">
        <v>41</v>
      </c>
      <c r="Y67" s="8" t="s">
        <v>353</v>
      </c>
      <c r="Z67" s="12"/>
    </row>
    <row r="68" spans="1:26" ht="15" customHeight="1" x14ac:dyDescent="0.25">
      <c r="A68" s="7" t="s">
        <v>316</v>
      </c>
      <c r="B68" s="7" t="s">
        <v>354</v>
      </c>
      <c r="C68" s="7" t="s">
        <v>1552</v>
      </c>
      <c r="D68" s="7" t="s">
        <v>355</v>
      </c>
      <c r="E68" s="7" t="s">
        <v>55</v>
      </c>
      <c r="F68" s="7" t="s">
        <v>356</v>
      </c>
      <c r="G68" s="7" t="s">
        <v>357</v>
      </c>
      <c r="H68" s="7" t="s">
        <v>358</v>
      </c>
      <c r="I68" s="7" t="s">
        <v>359</v>
      </c>
      <c r="J68" s="7" t="s">
        <v>360</v>
      </c>
      <c r="K68" s="7"/>
      <c r="L68" s="7" t="s">
        <v>361</v>
      </c>
      <c r="M68" s="7" t="s">
        <v>281</v>
      </c>
      <c r="N68" s="7"/>
      <c r="O68" s="7"/>
      <c r="P68" s="7" t="s">
        <v>41</v>
      </c>
      <c r="Q68" s="7" t="s">
        <v>41</v>
      </c>
      <c r="R68" s="7" t="s">
        <v>41</v>
      </c>
      <c r="S68" s="7" t="s">
        <v>1627</v>
      </c>
      <c r="T68" s="7"/>
      <c r="U68" s="7"/>
      <c r="V68" s="7"/>
      <c r="W68" s="7" t="s">
        <v>41</v>
      </c>
      <c r="X68" s="7" t="s">
        <v>41</v>
      </c>
      <c r="Y68" s="7" t="s">
        <v>362</v>
      </c>
      <c r="Z68" s="11" t="s">
        <v>363</v>
      </c>
    </row>
    <row r="69" spans="1:26" ht="15" customHeight="1" x14ac:dyDescent="0.25">
      <c r="A69" s="8" t="s">
        <v>316</v>
      </c>
      <c r="B69" s="8" t="s">
        <v>364</v>
      </c>
      <c r="C69" s="8" t="s">
        <v>1552</v>
      </c>
      <c r="D69" s="8" t="s">
        <v>365</v>
      </c>
      <c r="E69" s="8" t="s">
        <v>55</v>
      </c>
      <c r="F69" s="8" t="s">
        <v>366</v>
      </c>
      <c r="G69" s="8" t="s">
        <v>367</v>
      </c>
      <c r="H69" s="8" t="s">
        <v>368</v>
      </c>
      <c r="I69" s="8" t="s">
        <v>369</v>
      </c>
      <c r="J69" s="8" t="s">
        <v>370</v>
      </c>
      <c r="K69" s="8"/>
      <c r="L69" s="8" t="s">
        <v>326</v>
      </c>
      <c r="M69" s="8" t="s">
        <v>126</v>
      </c>
      <c r="N69" s="8"/>
      <c r="O69" s="8"/>
      <c r="P69" s="8" t="s">
        <v>41</v>
      </c>
      <c r="Q69" s="8" t="s">
        <v>41</v>
      </c>
      <c r="R69" s="8" t="s">
        <v>41</v>
      </c>
      <c r="S69" s="8" t="s">
        <v>1625</v>
      </c>
      <c r="T69" s="8"/>
      <c r="U69" s="8"/>
      <c r="V69" s="8" t="s">
        <v>41</v>
      </c>
      <c r="W69" s="8" t="s">
        <v>41</v>
      </c>
      <c r="X69" s="8" t="s">
        <v>41</v>
      </c>
      <c r="Y69" s="8" t="s">
        <v>371</v>
      </c>
      <c r="Z69" s="12" t="s">
        <v>372</v>
      </c>
    </row>
    <row r="70" spans="1:26" ht="15" customHeight="1" x14ac:dyDescent="0.25">
      <c r="A70" s="7" t="s">
        <v>316</v>
      </c>
      <c r="B70" s="7" t="s">
        <v>373</v>
      </c>
      <c r="C70" s="7" t="s">
        <v>1552</v>
      </c>
      <c r="D70" s="7" t="s">
        <v>374</v>
      </c>
      <c r="E70" s="7" t="s">
        <v>55</v>
      </c>
      <c r="F70" s="7" t="s">
        <v>375</v>
      </c>
      <c r="G70" s="7" t="s">
        <v>376</v>
      </c>
      <c r="H70" s="7" t="s">
        <v>343</v>
      </c>
      <c r="I70" s="7" t="s">
        <v>377</v>
      </c>
      <c r="J70" s="7" t="s">
        <v>378</v>
      </c>
      <c r="K70" s="7"/>
      <c r="L70" s="7" t="s">
        <v>379</v>
      </c>
      <c r="M70" s="7" t="s">
        <v>1615</v>
      </c>
      <c r="N70" s="7"/>
      <c r="O70" s="7"/>
      <c r="P70" s="7"/>
      <c r="Q70" s="7"/>
      <c r="R70" s="7" t="s">
        <v>41</v>
      </c>
      <c r="S70" s="7" t="s">
        <v>1627</v>
      </c>
      <c r="T70" s="7"/>
      <c r="U70" s="7"/>
      <c r="V70" s="7"/>
      <c r="W70" s="7" t="s">
        <v>41</v>
      </c>
      <c r="X70" s="7" t="s">
        <v>41</v>
      </c>
      <c r="Y70" s="7" t="s">
        <v>380</v>
      </c>
      <c r="Z70" s="11" t="s">
        <v>381</v>
      </c>
    </row>
    <row r="71" spans="1:26" ht="15" customHeight="1" x14ac:dyDescent="0.25">
      <c r="A71" s="8" t="s">
        <v>382</v>
      </c>
      <c r="B71" s="8"/>
      <c r="C71" s="8"/>
      <c r="D71" s="8" t="s">
        <v>383</v>
      </c>
      <c r="E71" s="8"/>
      <c r="F71" s="8" t="s">
        <v>384</v>
      </c>
      <c r="G71" s="8"/>
      <c r="H71" s="8"/>
      <c r="I71" s="8"/>
      <c r="J71" s="8"/>
      <c r="K71" s="8"/>
      <c r="L71" s="8"/>
      <c r="M71" s="8"/>
      <c r="N71" s="8"/>
      <c r="O71" s="8"/>
      <c r="P71" s="8"/>
      <c r="Q71" s="8"/>
      <c r="R71" s="8"/>
      <c r="S71" s="8"/>
      <c r="T71" s="8"/>
      <c r="U71" s="8"/>
      <c r="V71" s="8"/>
      <c r="W71" s="8"/>
      <c r="X71" s="8"/>
      <c r="Y71" s="8"/>
      <c r="Z71" s="12"/>
    </row>
    <row r="72" spans="1:26" ht="15" customHeight="1" x14ac:dyDescent="0.25">
      <c r="A72" s="7" t="s">
        <v>382</v>
      </c>
      <c r="B72" s="7" t="s">
        <v>1102</v>
      </c>
      <c r="C72" s="7" t="s">
        <v>1553</v>
      </c>
      <c r="D72" s="7" t="s">
        <v>1103</v>
      </c>
      <c r="E72" s="7" t="s">
        <v>55</v>
      </c>
      <c r="F72" s="7" t="s">
        <v>1104</v>
      </c>
      <c r="G72" s="7" t="s">
        <v>1105</v>
      </c>
      <c r="H72" s="7" t="s">
        <v>1106</v>
      </c>
      <c r="I72" s="7" t="s">
        <v>1107</v>
      </c>
      <c r="J72" s="7" t="s">
        <v>1108</v>
      </c>
      <c r="K72" s="7"/>
      <c r="L72" s="7" t="s">
        <v>101</v>
      </c>
      <c r="M72" s="7" t="s">
        <v>1613</v>
      </c>
      <c r="N72" s="7"/>
      <c r="O72" s="7"/>
      <c r="P72" s="7" t="s">
        <v>41</v>
      </c>
      <c r="Q72" s="7" t="s">
        <v>41</v>
      </c>
      <c r="R72" s="7" t="s">
        <v>41</v>
      </c>
      <c r="S72" s="7" t="s">
        <v>1614</v>
      </c>
      <c r="T72" s="7"/>
      <c r="U72" s="7"/>
      <c r="V72" s="7" t="s">
        <v>41</v>
      </c>
      <c r="W72" s="7" t="s">
        <v>41</v>
      </c>
      <c r="X72" s="7" t="s">
        <v>41</v>
      </c>
      <c r="Y72" s="7" t="s">
        <v>1109</v>
      </c>
      <c r="Z72" s="11" t="s">
        <v>1110</v>
      </c>
    </row>
    <row r="73" spans="1:26" ht="15" customHeight="1" x14ac:dyDescent="0.25">
      <c r="A73" s="8" t="s">
        <v>385</v>
      </c>
      <c r="B73" s="8"/>
      <c r="C73" s="8"/>
      <c r="D73" s="8" t="s">
        <v>386</v>
      </c>
      <c r="E73" s="8"/>
      <c r="F73" s="8" t="s">
        <v>387</v>
      </c>
      <c r="G73" s="8"/>
      <c r="H73" s="8"/>
      <c r="I73" s="8"/>
      <c r="J73" s="8"/>
      <c r="K73" s="8"/>
      <c r="L73" s="8"/>
      <c r="M73" s="8"/>
      <c r="N73" s="8"/>
      <c r="O73" s="8"/>
      <c r="P73" s="8"/>
      <c r="Q73" s="8"/>
      <c r="R73" s="8"/>
      <c r="S73" s="8"/>
      <c r="T73" s="8"/>
      <c r="U73" s="8"/>
      <c r="V73" s="8"/>
      <c r="W73" s="8"/>
      <c r="X73" s="8"/>
      <c r="Y73" s="8"/>
      <c r="Z73" s="12"/>
    </row>
    <row r="74" spans="1:26" ht="15" customHeight="1" x14ac:dyDescent="0.25">
      <c r="A74" s="7" t="s">
        <v>385</v>
      </c>
      <c r="B74" s="7" t="s">
        <v>388</v>
      </c>
      <c r="C74" s="7" t="s">
        <v>1552</v>
      </c>
      <c r="D74" s="7" t="s">
        <v>389</v>
      </c>
      <c r="E74" s="7" t="s">
        <v>55</v>
      </c>
      <c r="F74" s="7" t="s">
        <v>390</v>
      </c>
      <c r="G74" s="7" t="s">
        <v>391</v>
      </c>
      <c r="H74" s="7" t="s">
        <v>392</v>
      </c>
      <c r="I74" s="7" t="s">
        <v>393</v>
      </c>
      <c r="J74" s="7" t="s">
        <v>394</v>
      </c>
      <c r="K74" s="7" t="s">
        <v>395</v>
      </c>
      <c r="L74" s="7" t="s">
        <v>396</v>
      </c>
      <c r="M74" s="7" t="s">
        <v>1268</v>
      </c>
      <c r="N74" s="7" t="s">
        <v>1629</v>
      </c>
      <c r="O74" s="7"/>
      <c r="P74" s="7"/>
      <c r="Q74" s="7" t="s">
        <v>41</v>
      </c>
      <c r="R74" s="7" t="s">
        <v>41</v>
      </c>
      <c r="S74" s="7" t="s">
        <v>1616</v>
      </c>
      <c r="T74" s="7" t="s">
        <v>1630</v>
      </c>
      <c r="U74" s="7"/>
      <c r="V74" s="7"/>
      <c r="W74" s="7" t="s">
        <v>41</v>
      </c>
      <c r="X74" s="7" t="s">
        <v>41</v>
      </c>
      <c r="Y74" s="7" t="s">
        <v>397</v>
      </c>
      <c r="Z74" s="11" t="s">
        <v>398</v>
      </c>
    </row>
    <row r="75" spans="1:26" ht="15" customHeight="1" x14ac:dyDescent="0.25">
      <c r="A75" s="8" t="s">
        <v>385</v>
      </c>
      <c r="B75" s="8" t="s">
        <v>1111</v>
      </c>
      <c r="C75" s="8" t="s">
        <v>1553</v>
      </c>
      <c r="D75" s="8" t="s">
        <v>1112</v>
      </c>
      <c r="E75" s="8" t="s">
        <v>55</v>
      </c>
      <c r="F75" s="8" t="s">
        <v>1113</v>
      </c>
      <c r="G75" s="8" t="s">
        <v>1114</v>
      </c>
      <c r="H75" s="8" t="s">
        <v>1115</v>
      </c>
      <c r="I75" s="8" t="s">
        <v>1116</v>
      </c>
      <c r="J75" s="8" t="s">
        <v>1117</v>
      </c>
      <c r="K75" s="8"/>
      <c r="L75" s="8" t="s">
        <v>580</v>
      </c>
      <c r="M75" s="8" t="s">
        <v>1635</v>
      </c>
      <c r="N75" s="8"/>
      <c r="O75" s="8"/>
      <c r="P75" s="8" t="s">
        <v>41</v>
      </c>
      <c r="Q75" s="8" t="s">
        <v>41</v>
      </c>
      <c r="R75" s="8" t="s">
        <v>41</v>
      </c>
      <c r="S75" s="8" t="s">
        <v>1635</v>
      </c>
      <c r="T75" s="8"/>
      <c r="U75" s="8"/>
      <c r="V75" s="8" t="s">
        <v>41</v>
      </c>
      <c r="W75" s="8" t="s">
        <v>41</v>
      </c>
      <c r="X75" s="8" t="s">
        <v>41</v>
      </c>
      <c r="Y75" s="8" t="s">
        <v>1118</v>
      </c>
      <c r="Z75" s="12" t="s">
        <v>1119</v>
      </c>
    </row>
    <row r="76" spans="1:26" ht="15" customHeight="1" x14ac:dyDescent="0.25">
      <c r="A76" s="7" t="s">
        <v>399</v>
      </c>
      <c r="B76" s="7"/>
      <c r="C76" s="7"/>
      <c r="D76" s="7" t="s">
        <v>400</v>
      </c>
      <c r="E76" s="7"/>
      <c r="F76" s="7" t="s">
        <v>401</v>
      </c>
      <c r="G76" s="7"/>
      <c r="H76" s="7"/>
      <c r="I76" s="7"/>
      <c r="J76" s="7"/>
      <c r="K76" s="7"/>
      <c r="L76" s="7"/>
      <c r="M76" s="7"/>
      <c r="N76" s="7"/>
      <c r="O76" s="7"/>
      <c r="P76" s="7"/>
      <c r="Q76" s="7"/>
      <c r="R76" s="7"/>
      <c r="S76" s="7"/>
      <c r="T76" s="7"/>
      <c r="U76" s="7"/>
      <c r="V76" s="7"/>
      <c r="W76" s="7"/>
      <c r="X76" s="7"/>
      <c r="Y76" s="7"/>
      <c r="Z76" s="11"/>
    </row>
    <row r="77" spans="1:26" ht="15" customHeight="1" x14ac:dyDescent="0.25">
      <c r="A77" s="8" t="s">
        <v>399</v>
      </c>
      <c r="B77" s="8" t="s">
        <v>402</v>
      </c>
      <c r="C77" s="8" t="s">
        <v>1552</v>
      </c>
      <c r="D77" s="8" t="s">
        <v>403</v>
      </c>
      <c r="E77" s="8" t="s">
        <v>34</v>
      </c>
      <c r="F77" s="8" t="s">
        <v>404</v>
      </c>
      <c r="G77" s="8" t="s">
        <v>405</v>
      </c>
      <c r="H77" s="8"/>
      <c r="I77" s="8" t="s">
        <v>406</v>
      </c>
      <c r="J77" s="8" t="s">
        <v>407</v>
      </c>
      <c r="K77" s="8"/>
      <c r="L77" s="8" t="s">
        <v>408</v>
      </c>
      <c r="M77" s="8" t="s">
        <v>1629</v>
      </c>
      <c r="N77" s="8"/>
      <c r="O77" s="8"/>
      <c r="P77" s="8"/>
      <c r="Q77" s="8" t="s">
        <v>41</v>
      </c>
      <c r="R77" s="8" t="s">
        <v>41</v>
      </c>
      <c r="S77" s="8" t="s">
        <v>1630</v>
      </c>
      <c r="T77" s="8"/>
      <c r="U77" s="8"/>
      <c r="V77" s="8"/>
      <c r="W77" s="8" t="s">
        <v>41</v>
      </c>
      <c r="X77" s="8" t="s">
        <v>41</v>
      </c>
      <c r="Y77" s="8" t="s">
        <v>409</v>
      </c>
      <c r="Z77" s="12" t="s">
        <v>410</v>
      </c>
    </row>
    <row r="78" spans="1:26" ht="15" customHeight="1" x14ac:dyDescent="0.25">
      <c r="A78" s="7" t="s">
        <v>399</v>
      </c>
      <c r="B78" s="7" t="s">
        <v>411</v>
      </c>
      <c r="C78" s="7" t="s">
        <v>1552</v>
      </c>
      <c r="D78" s="7" t="s">
        <v>412</v>
      </c>
      <c r="E78" s="7" t="s">
        <v>34</v>
      </c>
      <c r="F78" s="7" t="s">
        <v>413</v>
      </c>
      <c r="G78" s="7" t="s">
        <v>414</v>
      </c>
      <c r="H78" s="7"/>
      <c r="I78" s="7" t="s">
        <v>415</v>
      </c>
      <c r="J78" s="7" t="s">
        <v>416</v>
      </c>
      <c r="K78" s="7"/>
      <c r="L78" s="7" t="s">
        <v>417</v>
      </c>
      <c r="M78" s="7" t="s">
        <v>1268</v>
      </c>
      <c r="N78" s="7"/>
      <c r="O78" s="7"/>
      <c r="P78" s="7"/>
      <c r="Q78" s="7" t="s">
        <v>41</v>
      </c>
      <c r="R78" s="7" t="s">
        <v>41</v>
      </c>
      <c r="S78" s="7" t="s">
        <v>1616</v>
      </c>
      <c r="T78" s="7"/>
      <c r="U78" s="7"/>
      <c r="V78" s="7"/>
      <c r="W78" s="7" t="s">
        <v>41</v>
      </c>
      <c r="X78" s="7" t="s">
        <v>41</v>
      </c>
      <c r="Y78" s="7" t="s">
        <v>418</v>
      </c>
      <c r="Z78" s="11" t="s">
        <v>419</v>
      </c>
    </row>
    <row r="79" spans="1:26" ht="15" customHeight="1" x14ac:dyDescent="0.25">
      <c r="A79" s="8" t="s">
        <v>399</v>
      </c>
      <c r="B79" s="8" t="s">
        <v>1120</v>
      </c>
      <c r="C79" s="8" t="s">
        <v>1553</v>
      </c>
      <c r="D79" s="8" t="s">
        <v>1121</v>
      </c>
      <c r="E79" s="8" t="s">
        <v>55</v>
      </c>
      <c r="F79" s="8" t="s">
        <v>913</v>
      </c>
      <c r="G79" s="8" t="s">
        <v>1122</v>
      </c>
      <c r="H79" s="8" t="s">
        <v>915</v>
      </c>
      <c r="I79" s="8" t="s">
        <v>1123</v>
      </c>
      <c r="J79" s="8" t="s">
        <v>1124</v>
      </c>
      <c r="K79" s="8" t="s">
        <v>918</v>
      </c>
      <c r="L79" s="8" t="s">
        <v>919</v>
      </c>
      <c r="M79" s="8" t="s">
        <v>1649</v>
      </c>
      <c r="N79" s="8"/>
      <c r="O79" s="8"/>
      <c r="P79" s="8"/>
      <c r="Q79" s="8" t="s">
        <v>41</v>
      </c>
      <c r="R79" s="8" t="s">
        <v>41</v>
      </c>
      <c r="S79" s="8" t="s">
        <v>1650</v>
      </c>
      <c r="T79" s="8"/>
      <c r="U79" s="8"/>
      <c r="V79" s="8"/>
      <c r="W79" s="8"/>
      <c r="X79" s="8" t="s">
        <v>41</v>
      </c>
      <c r="Y79" s="8" t="s">
        <v>1125</v>
      </c>
      <c r="Z79" s="12" t="s">
        <v>921</v>
      </c>
    </row>
    <row r="80" spans="1:26" ht="15" customHeight="1" x14ac:dyDescent="0.25">
      <c r="A80" s="7" t="s">
        <v>399</v>
      </c>
      <c r="B80" s="7" t="s">
        <v>420</v>
      </c>
      <c r="C80" s="7" t="s">
        <v>1552</v>
      </c>
      <c r="D80" s="7" t="s">
        <v>421</v>
      </c>
      <c r="E80" s="7" t="s">
        <v>34</v>
      </c>
      <c r="F80" s="7" t="s">
        <v>422</v>
      </c>
      <c r="G80" s="7" t="s">
        <v>423</v>
      </c>
      <c r="H80" s="7"/>
      <c r="I80" s="7" t="s">
        <v>424</v>
      </c>
      <c r="J80" s="7" t="s">
        <v>425</v>
      </c>
      <c r="K80" s="7" t="s">
        <v>426</v>
      </c>
      <c r="L80" s="7" t="s">
        <v>417</v>
      </c>
      <c r="M80" s="7" t="s">
        <v>1268</v>
      </c>
      <c r="N80" s="7"/>
      <c r="O80" s="7"/>
      <c r="P80" s="7"/>
      <c r="Q80" s="7" t="s">
        <v>41</v>
      </c>
      <c r="R80" s="7" t="s">
        <v>41</v>
      </c>
      <c r="S80" s="7" t="s">
        <v>1616</v>
      </c>
      <c r="T80" s="7"/>
      <c r="U80" s="7"/>
      <c r="V80" s="7"/>
      <c r="W80" s="7" t="s">
        <v>41</v>
      </c>
      <c r="X80" s="7" t="s">
        <v>41</v>
      </c>
      <c r="Y80" s="7" t="s">
        <v>427</v>
      </c>
      <c r="Z80" s="11" t="s">
        <v>428</v>
      </c>
    </row>
    <row r="81" spans="1:26" ht="15" customHeight="1" x14ac:dyDescent="0.25">
      <c r="A81" s="8" t="s">
        <v>399</v>
      </c>
      <c r="B81" s="8" t="s">
        <v>1126</v>
      </c>
      <c r="C81" s="8" t="s">
        <v>1553</v>
      </c>
      <c r="D81" s="8" t="s">
        <v>1127</v>
      </c>
      <c r="E81" s="8" t="s">
        <v>55</v>
      </c>
      <c r="F81" s="8" t="s">
        <v>1128</v>
      </c>
      <c r="G81" s="8" t="s">
        <v>1129</v>
      </c>
      <c r="H81" s="8" t="s">
        <v>1130</v>
      </c>
      <c r="I81" s="8" t="s">
        <v>1131</v>
      </c>
      <c r="J81" s="8" t="s">
        <v>1132</v>
      </c>
      <c r="K81" s="8"/>
      <c r="L81" s="8" t="s">
        <v>1133</v>
      </c>
      <c r="M81" s="8" t="s">
        <v>1655</v>
      </c>
      <c r="N81" s="8"/>
      <c r="O81" s="8"/>
      <c r="P81" s="8"/>
      <c r="Q81" s="8" t="s">
        <v>41</v>
      </c>
      <c r="R81" s="8" t="s">
        <v>41</v>
      </c>
      <c r="S81" s="8" t="s">
        <v>1656</v>
      </c>
      <c r="T81" s="8"/>
      <c r="U81" s="8"/>
      <c r="V81" s="8"/>
      <c r="W81" s="8" t="s">
        <v>41</v>
      </c>
      <c r="X81" s="8" t="s">
        <v>41</v>
      </c>
      <c r="Y81" s="8" t="s">
        <v>1134</v>
      </c>
      <c r="Z81" s="12" t="s">
        <v>1135</v>
      </c>
    </row>
    <row r="82" spans="1:26" ht="15" customHeight="1" x14ac:dyDescent="0.25">
      <c r="A82" s="7" t="s">
        <v>399</v>
      </c>
      <c r="B82" s="7" t="s">
        <v>1136</v>
      </c>
      <c r="C82" s="7" t="s">
        <v>1553</v>
      </c>
      <c r="D82" s="7" t="s">
        <v>1137</v>
      </c>
      <c r="E82" s="7" t="s">
        <v>34</v>
      </c>
      <c r="F82" s="7" t="s">
        <v>1138</v>
      </c>
      <c r="G82" s="7" t="s">
        <v>1139</v>
      </c>
      <c r="H82" s="7" t="s">
        <v>1140</v>
      </c>
      <c r="I82" s="7" t="s">
        <v>1141</v>
      </c>
      <c r="J82" s="7" t="s">
        <v>1142</v>
      </c>
      <c r="K82" s="7"/>
      <c r="L82" s="7" t="s">
        <v>1143</v>
      </c>
      <c r="M82" s="7" t="s">
        <v>1657</v>
      </c>
      <c r="N82" s="7"/>
      <c r="O82" s="7"/>
      <c r="P82" s="7"/>
      <c r="Q82" s="7" t="s">
        <v>41</v>
      </c>
      <c r="R82" s="7" t="s">
        <v>41</v>
      </c>
      <c r="S82" s="7" t="s">
        <v>1201</v>
      </c>
      <c r="T82" s="7"/>
      <c r="U82" s="7"/>
      <c r="V82" s="7"/>
      <c r="W82" s="7" t="s">
        <v>41</v>
      </c>
      <c r="X82" s="7" t="s">
        <v>41</v>
      </c>
      <c r="Y82" s="7" t="s">
        <v>1144</v>
      </c>
      <c r="Z82" s="11" t="s">
        <v>1145</v>
      </c>
    </row>
    <row r="83" spans="1:26" ht="15" customHeight="1" x14ac:dyDescent="0.25">
      <c r="A83" s="8" t="s">
        <v>399</v>
      </c>
      <c r="B83" s="8" t="s">
        <v>1146</v>
      </c>
      <c r="C83" s="8" t="s">
        <v>1553</v>
      </c>
      <c r="D83" s="8" t="s">
        <v>1147</v>
      </c>
      <c r="E83" s="8" t="s">
        <v>55</v>
      </c>
      <c r="F83" s="8" t="s">
        <v>1148</v>
      </c>
      <c r="G83" s="8" t="s">
        <v>1149</v>
      </c>
      <c r="H83" s="8" t="s">
        <v>1150</v>
      </c>
      <c r="I83" s="8" t="s">
        <v>1151</v>
      </c>
      <c r="J83" s="8" t="s">
        <v>1152</v>
      </c>
      <c r="K83" s="8" t="s">
        <v>1153</v>
      </c>
      <c r="L83" s="8" t="s">
        <v>1133</v>
      </c>
      <c r="M83" s="8" t="s">
        <v>1655</v>
      </c>
      <c r="N83" s="8"/>
      <c r="O83" s="8"/>
      <c r="P83" s="8"/>
      <c r="Q83" s="8" t="s">
        <v>41</v>
      </c>
      <c r="R83" s="8" t="s">
        <v>41</v>
      </c>
      <c r="S83" s="8" t="s">
        <v>1656</v>
      </c>
      <c r="T83" s="8"/>
      <c r="U83" s="8"/>
      <c r="V83" s="8"/>
      <c r="W83" s="8" t="s">
        <v>41</v>
      </c>
      <c r="X83" s="8" t="s">
        <v>41</v>
      </c>
      <c r="Y83" s="8" t="s">
        <v>1154</v>
      </c>
      <c r="Z83" s="12"/>
    </row>
    <row r="84" spans="1:26" ht="15" customHeight="1" x14ac:dyDescent="0.25">
      <c r="A84" s="7" t="s">
        <v>399</v>
      </c>
      <c r="B84" s="7" t="s">
        <v>1155</v>
      </c>
      <c r="C84" s="7" t="s">
        <v>1553</v>
      </c>
      <c r="D84" s="7" t="s">
        <v>1156</v>
      </c>
      <c r="E84" s="7" t="s">
        <v>55</v>
      </c>
      <c r="F84" s="7" t="s">
        <v>1157</v>
      </c>
      <c r="G84" s="7" t="s">
        <v>1158</v>
      </c>
      <c r="H84" s="7" t="s">
        <v>1159</v>
      </c>
      <c r="I84" s="7" t="s">
        <v>1160</v>
      </c>
      <c r="J84" s="7" t="s">
        <v>1161</v>
      </c>
      <c r="K84" s="7"/>
      <c r="L84" s="7" t="s">
        <v>92</v>
      </c>
      <c r="M84" s="7" t="s">
        <v>666</v>
      </c>
      <c r="N84" s="7"/>
      <c r="O84" s="7"/>
      <c r="P84" s="7" t="s">
        <v>41</v>
      </c>
      <c r="Q84" s="7" t="s">
        <v>41</v>
      </c>
      <c r="R84" s="7" t="s">
        <v>41</v>
      </c>
      <c r="S84" s="7" t="s">
        <v>1102</v>
      </c>
      <c r="T84" s="7"/>
      <c r="U84" s="7"/>
      <c r="V84" s="7" t="s">
        <v>41</v>
      </c>
      <c r="W84" s="7" t="s">
        <v>41</v>
      </c>
      <c r="X84" s="7" t="s">
        <v>41</v>
      </c>
      <c r="Y84" s="7" t="s">
        <v>1162</v>
      </c>
      <c r="Z84" s="11" t="s">
        <v>1163</v>
      </c>
    </row>
    <row r="85" spans="1:26" ht="15" customHeight="1" x14ac:dyDescent="0.25">
      <c r="A85" s="8" t="s">
        <v>399</v>
      </c>
      <c r="B85" s="8" t="s">
        <v>1164</v>
      </c>
      <c r="C85" s="8" t="s">
        <v>1553</v>
      </c>
      <c r="D85" s="8" t="s">
        <v>1165</v>
      </c>
      <c r="E85" s="8" t="s">
        <v>55</v>
      </c>
      <c r="F85" s="8" t="s">
        <v>1166</v>
      </c>
      <c r="G85" s="8" t="s">
        <v>1167</v>
      </c>
      <c r="H85" s="8" t="s">
        <v>1168</v>
      </c>
      <c r="I85" s="8" t="s">
        <v>1169</v>
      </c>
      <c r="J85" s="8" t="s">
        <v>1170</v>
      </c>
      <c r="K85" s="8"/>
      <c r="L85" s="8" t="s">
        <v>1171</v>
      </c>
      <c r="M85" s="8" t="s">
        <v>666</v>
      </c>
      <c r="N85" s="8"/>
      <c r="O85" s="8"/>
      <c r="P85" s="8" t="s">
        <v>41</v>
      </c>
      <c r="Q85" s="8" t="s">
        <v>41</v>
      </c>
      <c r="R85" s="8" t="s">
        <v>41</v>
      </c>
      <c r="S85" s="8" t="s">
        <v>1102</v>
      </c>
      <c r="T85" s="8" t="s">
        <v>1616</v>
      </c>
      <c r="U85" s="8"/>
      <c r="V85" s="8" t="s">
        <v>41</v>
      </c>
      <c r="W85" s="8" t="s">
        <v>41</v>
      </c>
      <c r="X85" s="8" t="s">
        <v>41</v>
      </c>
      <c r="Y85" s="8" t="s">
        <v>1172</v>
      </c>
      <c r="Z85" s="12" t="s">
        <v>1163</v>
      </c>
    </row>
    <row r="86" spans="1:26" ht="15" customHeight="1" x14ac:dyDescent="0.25">
      <c r="A86" s="7" t="s">
        <v>399</v>
      </c>
      <c r="B86" s="7" t="s">
        <v>1173</v>
      </c>
      <c r="C86" s="7" t="s">
        <v>1553</v>
      </c>
      <c r="D86" s="7" t="s">
        <v>1174</v>
      </c>
      <c r="E86" s="7" t="s">
        <v>55</v>
      </c>
      <c r="F86" s="7" t="s">
        <v>1175</v>
      </c>
      <c r="G86" s="7" t="s">
        <v>1176</v>
      </c>
      <c r="H86" s="7" t="s">
        <v>1177</v>
      </c>
      <c r="I86" s="7" t="s">
        <v>1178</v>
      </c>
      <c r="J86" s="7" t="s">
        <v>1179</v>
      </c>
      <c r="K86" s="7"/>
      <c r="L86" s="7" t="s">
        <v>92</v>
      </c>
      <c r="M86" s="7" t="s">
        <v>666</v>
      </c>
      <c r="N86" s="7"/>
      <c r="O86" s="7"/>
      <c r="P86" s="7" t="s">
        <v>41</v>
      </c>
      <c r="Q86" s="7" t="s">
        <v>41</v>
      </c>
      <c r="R86" s="7" t="s">
        <v>41</v>
      </c>
      <c r="S86" s="7" t="s">
        <v>1102</v>
      </c>
      <c r="T86" s="7"/>
      <c r="U86" s="7"/>
      <c r="V86" s="7" t="s">
        <v>41</v>
      </c>
      <c r="W86" s="7" t="s">
        <v>41</v>
      </c>
      <c r="X86" s="7" t="s">
        <v>41</v>
      </c>
      <c r="Y86" s="7" t="s">
        <v>1180</v>
      </c>
      <c r="Z86" s="11" t="s">
        <v>1181</v>
      </c>
    </row>
    <row r="87" spans="1:26" ht="15" customHeight="1" x14ac:dyDescent="0.25">
      <c r="A87" s="8" t="s">
        <v>429</v>
      </c>
      <c r="B87" s="8"/>
      <c r="C87" s="8"/>
      <c r="D87" s="8" t="s">
        <v>430</v>
      </c>
      <c r="E87" s="8"/>
      <c r="F87" s="8" t="s">
        <v>431</v>
      </c>
      <c r="G87" s="8"/>
      <c r="H87" s="8"/>
      <c r="I87" s="8"/>
      <c r="J87" s="8"/>
      <c r="K87" s="8"/>
      <c r="L87" s="8"/>
      <c r="M87" s="8"/>
      <c r="N87" s="8"/>
      <c r="O87" s="8"/>
      <c r="P87" s="8"/>
      <c r="Q87" s="8"/>
      <c r="R87" s="8"/>
      <c r="S87" s="8"/>
      <c r="T87" s="8"/>
      <c r="U87" s="8"/>
      <c r="V87" s="8"/>
      <c r="W87" s="8"/>
      <c r="X87" s="8"/>
      <c r="Y87" s="8"/>
      <c r="Z87" s="12"/>
    </row>
    <row r="88" spans="1:26" ht="15" customHeight="1" x14ac:dyDescent="0.25">
      <c r="A88" s="7" t="s">
        <v>429</v>
      </c>
      <c r="B88" s="7" t="s">
        <v>432</v>
      </c>
      <c r="C88" s="7" t="s">
        <v>1552</v>
      </c>
      <c r="D88" s="7" t="s">
        <v>433</v>
      </c>
      <c r="E88" s="7" t="s">
        <v>34</v>
      </c>
      <c r="F88" s="7" t="s">
        <v>434</v>
      </c>
      <c r="G88" s="7" t="s">
        <v>435</v>
      </c>
      <c r="H88" s="7"/>
      <c r="I88" s="7" t="s">
        <v>436</v>
      </c>
      <c r="J88" s="7" t="s">
        <v>437</v>
      </c>
      <c r="K88" s="7"/>
      <c r="L88" s="7" t="s">
        <v>417</v>
      </c>
      <c r="M88" s="7" t="s">
        <v>1268</v>
      </c>
      <c r="N88" s="7"/>
      <c r="O88" s="7"/>
      <c r="P88" s="7"/>
      <c r="Q88" s="7" t="s">
        <v>41</v>
      </c>
      <c r="R88" s="7" t="s">
        <v>41</v>
      </c>
      <c r="S88" s="7" t="s">
        <v>1616</v>
      </c>
      <c r="T88" s="7"/>
      <c r="U88" s="7"/>
      <c r="V88" s="7"/>
      <c r="W88" s="7" t="s">
        <v>41</v>
      </c>
      <c r="X88" s="7" t="s">
        <v>41</v>
      </c>
      <c r="Y88" s="7" t="s">
        <v>438</v>
      </c>
      <c r="Z88" s="11" t="s">
        <v>439</v>
      </c>
    </row>
    <row r="89" spans="1:26" ht="15" customHeight="1" x14ac:dyDescent="0.25">
      <c r="A89" s="8" t="s">
        <v>429</v>
      </c>
      <c r="B89" s="8" t="s">
        <v>440</v>
      </c>
      <c r="C89" s="8" t="s">
        <v>1552</v>
      </c>
      <c r="D89" s="8" t="s">
        <v>441</v>
      </c>
      <c r="E89" s="8" t="s">
        <v>34</v>
      </c>
      <c r="F89" s="8" t="s">
        <v>442</v>
      </c>
      <c r="G89" s="8" t="s">
        <v>443</v>
      </c>
      <c r="H89" s="8"/>
      <c r="I89" s="8" t="s">
        <v>444</v>
      </c>
      <c r="J89" s="8" t="s">
        <v>445</v>
      </c>
      <c r="K89" s="8" t="s">
        <v>446</v>
      </c>
      <c r="L89" s="8" t="s">
        <v>417</v>
      </c>
      <c r="M89" s="8" t="s">
        <v>1268</v>
      </c>
      <c r="N89" s="8"/>
      <c r="O89" s="8"/>
      <c r="P89" s="8"/>
      <c r="Q89" s="8" t="s">
        <v>41</v>
      </c>
      <c r="R89" s="8" t="s">
        <v>41</v>
      </c>
      <c r="S89" s="8" t="s">
        <v>1616</v>
      </c>
      <c r="T89" s="8"/>
      <c r="U89" s="8"/>
      <c r="V89" s="8"/>
      <c r="W89" s="8" t="s">
        <v>41</v>
      </c>
      <c r="X89" s="8" t="s">
        <v>41</v>
      </c>
      <c r="Y89" s="8" t="s">
        <v>447</v>
      </c>
      <c r="Z89" s="12" t="s">
        <v>439</v>
      </c>
    </row>
    <row r="90" spans="1:26" ht="15" customHeight="1" x14ac:dyDescent="0.25">
      <c r="A90" s="7" t="s">
        <v>429</v>
      </c>
      <c r="B90" s="7" t="s">
        <v>448</v>
      </c>
      <c r="C90" s="7" t="s">
        <v>1552</v>
      </c>
      <c r="D90" s="7" t="s">
        <v>449</v>
      </c>
      <c r="E90" s="7" t="s">
        <v>34</v>
      </c>
      <c r="F90" s="7" t="s">
        <v>450</v>
      </c>
      <c r="G90" s="7" t="s">
        <v>451</v>
      </c>
      <c r="H90" s="7"/>
      <c r="I90" s="7" t="s">
        <v>452</v>
      </c>
      <c r="J90" s="7" t="s">
        <v>453</v>
      </c>
      <c r="K90" s="7"/>
      <c r="L90" s="7" t="s">
        <v>417</v>
      </c>
      <c r="M90" s="7" t="s">
        <v>1268</v>
      </c>
      <c r="N90" s="7"/>
      <c r="O90" s="7"/>
      <c r="P90" s="7"/>
      <c r="Q90" s="7" t="s">
        <v>41</v>
      </c>
      <c r="R90" s="7" t="s">
        <v>41</v>
      </c>
      <c r="S90" s="7" t="s">
        <v>1616</v>
      </c>
      <c r="T90" s="7"/>
      <c r="U90" s="7"/>
      <c r="V90" s="7"/>
      <c r="W90" s="7" t="s">
        <v>41</v>
      </c>
      <c r="X90" s="7" t="s">
        <v>41</v>
      </c>
      <c r="Y90" s="7" t="s">
        <v>454</v>
      </c>
      <c r="Z90" s="11" t="s">
        <v>439</v>
      </c>
    </row>
    <row r="91" spans="1:26" ht="15" customHeight="1" x14ac:dyDescent="0.25">
      <c r="A91" s="8" t="s">
        <v>429</v>
      </c>
      <c r="B91" s="8" t="s">
        <v>455</v>
      </c>
      <c r="C91" s="8" t="s">
        <v>1552</v>
      </c>
      <c r="D91" s="8" t="s">
        <v>456</v>
      </c>
      <c r="E91" s="8" t="s">
        <v>34</v>
      </c>
      <c r="F91" s="8" t="s">
        <v>457</v>
      </c>
      <c r="G91" s="8" t="s">
        <v>458</v>
      </c>
      <c r="H91" s="8"/>
      <c r="I91" s="8" t="s">
        <v>459</v>
      </c>
      <c r="J91" s="8" t="s">
        <v>460</v>
      </c>
      <c r="K91" s="8"/>
      <c r="L91" s="8" t="s">
        <v>417</v>
      </c>
      <c r="M91" s="8" t="s">
        <v>1268</v>
      </c>
      <c r="N91" s="8"/>
      <c r="O91" s="8"/>
      <c r="P91" s="8"/>
      <c r="Q91" s="8" t="s">
        <v>41</v>
      </c>
      <c r="R91" s="8" t="s">
        <v>41</v>
      </c>
      <c r="S91" s="8" t="s">
        <v>1616</v>
      </c>
      <c r="T91" s="8"/>
      <c r="U91" s="8"/>
      <c r="V91" s="8"/>
      <c r="W91" s="8" t="s">
        <v>41</v>
      </c>
      <c r="X91" s="8" t="s">
        <v>41</v>
      </c>
      <c r="Y91" s="8" t="s">
        <v>454</v>
      </c>
      <c r="Z91" s="12" t="s">
        <v>439</v>
      </c>
    </row>
    <row r="92" spans="1:26" ht="15" customHeight="1" x14ac:dyDescent="0.25">
      <c r="A92" s="7" t="s">
        <v>429</v>
      </c>
      <c r="B92" s="7" t="s">
        <v>461</v>
      </c>
      <c r="C92" s="7" t="s">
        <v>1552</v>
      </c>
      <c r="D92" s="7" t="s">
        <v>462</v>
      </c>
      <c r="E92" s="7" t="s">
        <v>34</v>
      </c>
      <c r="F92" s="7" t="s">
        <v>463</v>
      </c>
      <c r="G92" s="7" t="s">
        <v>464</v>
      </c>
      <c r="H92" s="7"/>
      <c r="I92" s="7" t="s">
        <v>465</v>
      </c>
      <c r="J92" s="7" t="s">
        <v>466</v>
      </c>
      <c r="K92" s="7"/>
      <c r="L92" s="7" t="s">
        <v>417</v>
      </c>
      <c r="M92" s="7" t="s">
        <v>1268</v>
      </c>
      <c r="N92" s="7"/>
      <c r="O92" s="7"/>
      <c r="P92" s="7"/>
      <c r="Q92" s="7" t="s">
        <v>41</v>
      </c>
      <c r="R92" s="7" t="s">
        <v>41</v>
      </c>
      <c r="S92" s="7" t="s">
        <v>1616</v>
      </c>
      <c r="T92" s="7"/>
      <c r="U92" s="7"/>
      <c r="V92" s="7"/>
      <c r="W92" s="7" t="s">
        <v>41</v>
      </c>
      <c r="X92" s="7" t="s">
        <v>41</v>
      </c>
      <c r="Y92" s="7" t="s">
        <v>454</v>
      </c>
      <c r="Z92" s="11" t="s">
        <v>439</v>
      </c>
    </row>
    <row r="93" spans="1:26" ht="15" customHeight="1" x14ac:dyDescent="0.25">
      <c r="A93" s="8" t="s">
        <v>429</v>
      </c>
      <c r="B93" s="8" t="s">
        <v>467</v>
      </c>
      <c r="C93" s="8" t="s">
        <v>1552</v>
      </c>
      <c r="D93" s="8" t="s">
        <v>468</v>
      </c>
      <c r="E93" s="8" t="s">
        <v>34</v>
      </c>
      <c r="F93" s="8" t="s">
        <v>469</v>
      </c>
      <c r="G93" s="8" t="s">
        <v>470</v>
      </c>
      <c r="H93" s="8"/>
      <c r="I93" s="8" t="s">
        <v>471</v>
      </c>
      <c r="J93" s="8" t="s">
        <v>472</v>
      </c>
      <c r="K93" s="8"/>
      <c r="L93" s="8" t="s">
        <v>417</v>
      </c>
      <c r="M93" s="8" t="s">
        <v>1268</v>
      </c>
      <c r="N93" s="8"/>
      <c r="O93" s="8"/>
      <c r="P93" s="8"/>
      <c r="Q93" s="8" t="s">
        <v>41</v>
      </c>
      <c r="R93" s="8" t="s">
        <v>41</v>
      </c>
      <c r="S93" s="8" t="s">
        <v>1616</v>
      </c>
      <c r="T93" s="8"/>
      <c r="U93" s="8"/>
      <c r="V93" s="8"/>
      <c r="W93" s="8" t="s">
        <v>41</v>
      </c>
      <c r="X93" s="8" t="s">
        <v>41</v>
      </c>
      <c r="Y93" s="8" t="s">
        <v>454</v>
      </c>
      <c r="Z93" s="12" t="s">
        <v>439</v>
      </c>
    </row>
    <row r="94" spans="1:26" ht="15" customHeight="1" x14ac:dyDescent="0.25">
      <c r="A94" s="7" t="s">
        <v>429</v>
      </c>
      <c r="B94" s="7" t="s">
        <v>473</v>
      </c>
      <c r="C94" s="7" t="s">
        <v>1552</v>
      </c>
      <c r="D94" s="7" t="s">
        <v>474</v>
      </c>
      <c r="E94" s="7" t="s">
        <v>34</v>
      </c>
      <c r="F94" s="7" t="s">
        <v>475</v>
      </c>
      <c r="G94" s="7" t="s">
        <v>476</v>
      </c>
      <c r="H94" s="7" t="s">
        <v>477</v>
      </c>
      <c r="I94" s="7" t="s">
        <v>478</v>
      </c>
      <c r="J94" s="7" t="s">
        <v>479</v>
      </c>
      <c r="K94" s="7"/>
      <c r="L94" s="7" t="s">
        <v>417</v>
      </c>
      <c r="M94" s="7" t="s">
        <v>1268</v>
      </c>
      <c r="N94" s="7"/>
      <c r="O94" s="7"/>
      <c r="P94" s="7"/>
      <c r="Q94" s="7" t="s">
        <v>41</v>
      </c>
      <c r="R94" s="7" t="s">
        <v>41</v>
      </c>
      <c r="S94" s="7" t="s">
        <v>1616</v>
      </c>
      <c r="T94" s="7"/>
      <c r="U94" s="7"/>
      <c r="V94" s="7"/>
      <c r="W94" s="7" t="s">
        <v>41</v>
      </c>
      <c r="X94" s="7" t="s">
        <v>41</v>
      </c>
      <c r="Y94" s="7" t="s">
        <v>454</v>
      </c>
      <c r="Z94" s="11" t="s">
        <v>439</v>
      </c>
    </row>
    <row r="95" spans="1:26" ht="15" customHeight="1" x14ac:dyDescent="0.25">
      <c r="A95" s="8" t="s">
        <v>429</v>
      </c>
      <c r="B95" s="8" t="s">
        <v>480</v>
      </c>
      <c r="C95" s="8" t="s">
        <v>1552</v>
      </c>
      <c r="D95" s="8" t="s">
        <v>481</v>
      </c>
      <c r="E95" s="8" t="s">
        <v>34</v>
      </c>
      <c r="F95" s="8" t="s">
        <v>482</v>
      </c>
      <c r="G95" s="8" t="s">
        <v>483</v>
      </c>
      <c r="H95" s="8" t="s">
        <v>477</v>
      </c>
      <c r="I95" s="8" t="s">
        <v>484</v>
      </c>
      <c r="J95" s="8" t="s">
        <v>485</v>
      </c>
      <c r="K95" s="8"/>
      <c r="L95" s="8" t="s">
        <v>417</v>
      </c>
      <c r="M95" s="8" t="s">
        <v>1268</v>
      </c>
      <c r="N95" s="8"/>
      <c r="O95" s="8"/>
      <c r="P95" s="8"/>
      <c r="Q95" s="8" t="s">
        <v>41</v>
      </c>
      <c r="R95" s="8" t="s">
        <v>41</v>
      </c>
      <c r="S95" s="8" t="s">
        <v>1616</v>
      </c>
      <c r="T95" s="8"/>
      <c r="U95" s="8"/>
      <c r="V95" s="8"/>
      <c r="W95" s="8" t="s">
        <v>41</v>
      </c>
      <c r="X95" s="8" t="s">
        <v>41</v>
      </c>
      <c r="Y95" s="8" t="s">
        <v>454</v>
      </c>
      <c r="Z95" s="12" t="s">
        <v>439</v>
      </c>
    </row>
    <row r="96" spans="1:26" ht="15" customHeight="1" x14ac:dyDescent="0.25">
      <c r="A96" s="7" t="s">
        <v>429</v>
      </c>
      <c r="B96" s="7" t="s">
        <v>486</v>
      </c>
      <c r="C96" s="7" t="s">
        <v>1552</v>
      </c>
      <c r="D96" s="7" t="s">
        <v>487</v>
      </c>
      <c r="E96" s="7" t="s">
        <v>34</v>
      </c>
      <c r="F96" s="7" t="s">
        <v>488</v>
      </c>
      <c r="G96" s="7" t="s">
        <v>489</v>
      </c>
      <c r="H96" s="7" t="s">
        <v>477</v>
      </c>
      <c r="I96" s="7" t="s">
        <v>490</v>
      </c>
      <c r="J96" s="7" t="s">
        <v>491</v>
      </c>
      <c r="K96" s="7"/>
      <c r="L96" s="7" t="s">
        <v>417</v>
      </c>
      <c r="M96" s="7" t="s">
        <v>1268</v>
      </c>
      <c r="N96" s="7"/>
      <c r="O96" s="7"/>
      <c r="P96" s="7"/>
      <c r="Q96" s="7" t="s">
        <v>41</v>
      </c>
      <c r="R96" s="7" t="s">
        <v>41</v>
      </c>
      <c r="S96" s="7" t="s">
        <v>1616</v>
      </c>
      <c r="T96" s="7"/>
      <c r="U96" s="7"/>
      <c r="V96" s="7"/>
      <c r="W96" s="7" t="s">
        <v>41</v>
      </c>
      <c r="X96" s="7" t="s">
        <v>41</v>
      </c>
      <c r="Y96" s="7" t="s">
        <v>454</v>
      </c>
      <c r="Z96" s="11" t="s">
        <v>439</v>
      </c>
    </row>
    <row r="97" spans="1:26" ht="15" customHeight="1" x14ac:dyDescent="0.25">
      <c r="A97" s="8" t="s">
        <v>429</v>
      </c>
      <c r="B97" s="8" t="s">
        <v>492</v>
      </c>
      <c r="C97" s="8" t="s">
        <v>1552</v>
      </c>
      <c r="D97" s="8" t="s">
        <v>493</v>
      </c>
      <c r="E97" s="8" t="s">
        <v>34</v>
      </c>
      <c r="F97" s="8" t="s">
        <v>494</v>
      </c>
      <c r="G97" s="8" t="s">
        <v>495</v>
      </c>
      <c r="H97" s="8" t="s">
        <v>477</v>
      </c>
      <c r="I97" s="8" t="s">
        <v>496</v>
      </c>
      <c r="J97" s="8" t="s">
        <v>497</v>
      </c>
      <c r="K97" s="8"/>
      <c r="L97" s="8" t="s">
        <v>417</v>
      </c>
      <c r="M97" s="8" t="s">
        <v>1268</v>
      </c>
      <c r="N97" s="8"/>
      <c r="O97" s="8"/>
      <c r="P97" s="8"/>
      <c r="Q97" s="8" t="s">
        <v>41</v>
      </c>
      <c r="R97" s="8" t="s">
        <v>41</v>
      </c>
      <c r="S97" s="8" t="s">
        <v>1616</v>
      </c>
      <c r="T97" s="8"/>
      <c r="U97" s="8"/>
      <c r="V97" s="8"/>
      <c r="W97" s="8" t="s">
        <v>41</v>
      </c>
      <c r="X97" s="8" t="s">
        <v>41</v>
      </c>
      <c r="Y97" s="8" t="s">
        <v>454</v>
      </c>
      <c r="Z97" s="12" t="s">
        <v>439</v>
      </c>
    </row>
    <row r="98" spans="1:26" ht="15" customHeight="1" x14ac:dyDescent="0.25">
      <c r="A98" s="7" t="s">
        <v>429</v>
      </c>
      <c r="B98" s="7" t="s">
        <v>498</v>
      </c>
      <c r="C98" s="7" t="s">
        <v>1552</v>
      </c>
      <c r="D98" s="7" t="s">
        <v>499</v>
      </c>
      <c r="E98" s="7" t="s">
        <v>34</v>
      </c>
      <c r="F98" s="7" t="s">
        <v>500</v>
      </c>
      <c r="G98" s="7" t="s">
        <v>501</v>
      </c>
      <c r="H98" s="7" t="s">
        <v>502</v>
      </c>
      <c r="I98" s="7" t="s">
        <v>503</v>
      </c>
      <c r="J98" s="7" t="s">
        <v>504</v>
      </c>
      <c r="K98" s="7"/>
      <c r="L98" s="7" t="s">
        <v>417</v>
      </c>
      <c r="M98" s="7" t="s">
        <v>1268</v>
      </c>
      <c r="N98" s="7"/>
      <c r="O98" s="7"/>
      <c r="P98" s="7"/>
      <c r="Q98" s="7" t="s">
        <v>41</v>
      </c>
      <c r="R98" s="7" t="s">
        <v>41</v>
      </c>
      <c r="S98" s="7" t="s">
        <v>1616</v>
      </c>
      <c r="T98" s="7"/>
      <c r="U98" s="7"/>
      <c r="V98" s="7"/>
      <c r="W98" s="7" t="s">
        <v>41</v>
      </c>
      <c r="X98" s="7" t="s">
        <v>41</v>
      </c>
      <c r="Y98" s="7" t="s">
        <v>506</v>
      </c>
      <c r="Z98" s="11" t="s">
        <v>439</v>
      </c>
    </row>
    <row r="99" spans="1:26" ht="15" customHeight="1" x14ac:dyDescent="0.25">
      <c r="A99" s="8" t="s">
        <v>507</v>
      </c>
      <c r="B99" s="8"/>
      <c r="C99" s="8"/>
      <c r="D99" s="8" t="s">
        <v>508</v>
      </c>
      <c r="E99" s="8"/>
      <c r="F99" s="8"/>
      <c r="G99" s="8"/>
      <c r="H99" s="8"/>
      <c r="I99" s="8"/>
      <c r="J99" s="8"/>
      <c r="K99" s="8"/>
      <c r="L99" s="8"/>
      <c r="M99" s="8"/>
      <c r="N99" s="8"/>
      <c r="O99" s="8"/>
      <c r="P99" s="8"/>
      <c r="Q99" s="8"/>
      <c r="R99" s="8"/>
      <c r="S99" s="8"/>
      <c r="T99" s="8"/>
      <c r="U99" s="8"/>
      <c r="V99" s="8"/>
      <c r="W99" s="8"/>
      <c r="X99" s="8"/>
      <c r="Y99" s="8"/>
      <c r="Z99" s="12"/>
    </row>
    <row r="100" spans="1:26" ht="15" customHeight="1" x14ac:dyDescent="0.25">
      <c r="A100" s="7" t="s">
        <v>507</v>
      </c>
      <c r="B100" s="7" t="s">
        <v>1182</v>
      </c>
      <c r="C100" s="7" t="s">
        <v>1553</v>
      </c>
      <c r="D100" s="7" t="s">
        <v>1183</v>
      </c>
      <c r="E100" s="7" t="s">
        <v>34</v>
      </c>
      <c r="F100" s="7" t="s">
        <v>1184</v>
      </c>
      <c r="G100" s="7" t="s">
        <v>1185</v>
      </c>
      <c r="H100" s="7" t="s">
        <v>1186</v>
      </c>
      <c r="I100" s="7" t="s">
        <v>1187</v>
      </c>
      <c r="J100" s="7" t="s">
        <v>1188</v>
      </c>
      <c r="K100" s="7"/>
      <c r="L100" s="7" t="s">
        <v>92</v>
      </c>
      <c r="M100" s="7" t="s">
        <v>666</v>
      </c>
      <c r="N100" s="7"/>
      <c r="O100" s="7"/>
      <c r="P100" s="7" t="s">
        <v>41</v>
      </c>
      <c r="Q100" s="7" t="s">
        <v>41</v>
      </c>
      <c r="R100" s="7" t="s">
        <v>41</v>
      </c>
      <c r="S100" s="7" t="s">
        <v>1102</v>
      </c>
      <c r="T100" s="7"/>
      <c r="U100" s="7"/>
      <c r="V100" s="7" t="s">
        <v>41</v>
      </c>
      <c r="W100" s="7" t="s">
        <v>41</v>
      </c>
      <c r="X100" s="7" t="s">
        <v>41</v>
      </c>
      <c r="Y100" s="7" t="s">
        <v>1189</v>
      </c>
      <c r="Z100" s="11" t="s">
        <v>1190</v>
      </c>
    </row>
    <row r="101" spans="1:26" ht="15" customHeight="1" x14ac:dyDescent="0.25">
      <c r="A101" s="8" t="s">
        <v>509</v>
      </c>
      <c r="B101" s="8"/>
      <c r="C101" s="8"/>
      <c r="D101" s="8" t="s">
        <v>510</v>
      </c>
      <c r="E101" s="8"/>
      <c r="F101" s="8" t="s">
        <v>511</v>
      </c>
      <c r="G101" s="8"/>
      <c r="H101" s="8"/>
      <c r="I101" s="8"/>
      <c r="J101" s="8"/>
      <c r="K101" s="8"/>
      <c r="L101" s="8"/>
      <c r="M101" s="8"/>
      <c r="N101" s="8"/>
      <c r="O101" s="8"/>
      <c r="P101" s="8"/>
      <c r="Q101" s="8"/>
      <c r="R101" s="8"/>
      <c r="S101" s="8"/>
      <c r="T101" s="8"/>
      <c r="U101" s="8"/>
      <c r="V101" s="8"/>
      <c r="W101" s="8"/>
      <c r="X101" s="8"/>
      <c r="Y101" s="8"/>
      <c r="Z101" s="12"/>
    </row>
    <row r="102" spans="1:26" ht="15" customHeight="1" x14ac:dyDescent="0.25">
      <c r="A102" s="7" t="s">
        <v>509</v>
      </c>
      <c r="B102" s="7" t="s">
        <v>512</v>
      </c>
      <c r="C102" s="7" t="s">
        <v>1552</v>
      </c>
      <c r="D102" s="7" t="s">
        <v>513</v>
      </c>
      <c r="E102" s="7" t="s">
        <v>34</v>
      </c>
      <c r="F102" s="7" t="s">
        <v>514</v>
      </c>
      <c r="G102" s="7" t="s">
        <v>515</v>
      </c>
      <c r="H102" s="7"/>
      <c r="I102" s="7" t="s">
        <v>516</v>
      </c>
      <c r="J102" s="7" t="s">
        <v>517</v>
      </c>
      <c r="K102" s="7"/>
      <c r="L102" s="7" t="s">
        <v>518</v>
      </c>
      <c r="M102" s="7" t="s">
        <v>1631</v>
      </c>
      <c r="N102" s="7"/>
      <c r="O102" s="7"/>
      <c r="P102" s="7"/>
      <c r="Q102" s="7" t="s">
        <v>41</v>
      </c>
      <c r="R102" s="7" t="s">
        <v>41</v>
      </c>
      <c r="S102" s="7" t="s">
        <v>768</v>
      </c>
      <c r="T102" s="7"/>
      <c r="U102" s="7"/>
      <c r="V102" s="7"/>
      <c r="W102" s="7" t="s">
        <v>41</v>
      </c>
      <c r="X102" s="7" t="s">
        <v>41</v>
      </c>
      <c r="Y102" s="7" t="s">
        <v>519</v>
      </c>
      <c r="Z102" s="11" t="s">
        <v>520</v>
      </c>
    </row>
    <row r="103" spans="1:26" ht="15" customHeight="1" x14ac:dyDescent="0.25">
      <c r="A103" s="8" t="s">
        <v>509</v>
      </c>
      <c r="B103" s="8" t="s">
        <v>521</v>
      </c>
      <c r="C103" s="8" t="s">
        <v>1552</v>
      </c>
      <c r="D103" s="8" t="s">
        <v>522</v>
      </c>
      <c r="E103" s="8" t="s">
        <v>34</v>
      </c>
      <c r="F103" s="8" t="s">
        <v>523</v>
      </c>
      <c r="G103" s="8" t="s">
        <v>524</v>
      </c>
      <c r="H103" s="8"/>
      <c r="I103" s="8" t="s">
        <v>525</v>
      </c>
      <c r="J103" s="8" t="s">
        <v>526</v>
      </c>
      <c r="K103" s="8"/>
      <c r="L103" s="8" t="s">
        <v>518</v>
      </c>
      <c r="M103" s="8" t="s">
        <v>1631</v>
      </c>
      <c r="N103" s="8"/>
      <c r="O103" s="8"/>
      <c r="P103" s="8"/>
      <c r="Q103" s="8" t="s">
        <v>41</v>
      </c>
      <c r="R103" s="8" t="s">
        <v>41</v>
      </c>
      <c r="S103" s="8" t="s">
        <v>768</v>
      </c>
      <c r="T103" s="8"/>
      <c r="U103" s="8"/>
      <c r="V103" s="8"/>
      <c r="W103" s="8" t="s">
        <v>41</v>
      </c>
      <c r="X103" s="8" t="s">
        <v>41</v>
      </c>
      <c r="Y103" s="8" t="s">
        <v>519</v>
      </c>
      <c r="Z103" s="12" t="s">
        <v>527</v>
      </c>
    </row>
    <row r="104" spans="1:26" ht="15" customHeight="1" x14ac:dyDescent="0.25">
      <c r="A104" s="7" t="s">
        <v>509</v>
      </c>
      <c r="B104" s="7" t="s">
        <v>528</v>
      </c>
      <c r="C104" s="7" t="s">
        <v>1552</v>
      </c>
      <c r="D104" s="7" t="s">
        <v>529</v>
      </c>
      <c r="E104" s="7" t="s">
        <v>34</v>
      </c>
      <c r="F104" s="7" t="s">
        <v>530</v>
      </c>
      <c r="G104" s="7" t="s">
        <v>531</v>
      </c>
      <c r="H104" s="7"/>
      <c r="I104" s="7" t="s">
        <v>532</v>
      </c>
      <c r="J104" s="7" t="s">
        <v>533</v>
      </c>
      <c r="K104" s="7"/>
      <c r="L104" s="7" t="s">
        <v>518</v>
      </c>
      <c r="M104" s="7" t="s">
        <v>1631</v>
      </c>
      <c r="N104" s="7"/>
      <c r="O104" s="7"/>
      <c r="P104" s="7"/>
      <c r="Q104" s="7" t="s">
        <v>41</v>
      </c>
      <c r="R104" s="7" t="s">
        <v>41</v>
      </c>
      <c r="S104" s="7" t="s">
        <v>768</v>
      </c>
      <c r="T104" s="7"/>
      <c r="U104" s="7"/>
      <c r="V104" s="7"/>
      <c r="W104" s="7" t="s">
        <v>41</v>
      </c>
      <c r="X104" s="7" t="s">
        <v>41</v>
      </c>
      <c r="Y104" s="7" t="s">
        <v>534</v>
      </c>
      <c r="Z104" s="11" t="s">
        <v>535</v>
      </c>
    </row>
    <row r="105" spans="1:26" ht="15" customHeight="1" x14ac:dyDescent="0.25">
      <c r="A105" s="8" t="s">
        <v>509</v>
      </c>
      <c r="B105" s="8" t="s">
        <v>536</v>
      </c>
      <c r="C105" s="8" t="s">
        <v>1552</v>
      </c>
      <c r="D105" s="8" t="s">
        <v>537</v>
      </c>
      <c r="E105" s="8" t="s">
        <v>34</v>
      </c>
      <c r="F105" s="8" t="s">
        <v>538</v>
      </c>
      <c r="G105" s="8" t="s">
        <v>539</v>
      </c>
      <c r="H105" s="8"/>
      <c r="I105" s="8" t="s">
        <v>540</v>
      </c>
      <c r="J105" s="8" t="s">
        <v>541</v>
      </c>
      <c r="K105" s="8"/>
      <c r="L105" s="8" t="s">
        <v>518</v>
      </c>
      <c r="M105" s="8" t="s">
        <v>1631</v>
      </c>
      <c r="N105" s="8"/>
      <c r="O105" s="8"/>
      <c r="P105" s="8"/>
      <c r="Q105" s="8" t="s">
        <v>41</v>
      </c>
      <c r="R105" s="8" t="s">
        <v>41</v>
      </c>
      <c r="S105" s="8" t="s">
        <v>768</v>
      </c>
      <c r="T105" s="8"/>
      <c r="U105" s="8"/>
      <c r="V105" s="8"/>
      <c r="W105" s="8" t="s">
        <v>41</v>
      </c>
      <c r="X105" s="8" t="s">
        <v>41</v>
      </c>
      <c r="Y105" s="8" t="s">
        <v>542</v>
      </c>
      <c r="Z105" s="12" t="s">
        <v>543</v>
      </c>
    </row>
    <row r="106" spans="1:26" ht="15" customHeight="1" x14ac:dyDescent="0.25">
      <c r="A106" s="7" t="s">
        <v>509</v>
      </c>
      <c r="B106" s="7" t="s">
        <v>1191</v>
      </c>
      <c r="C106" s="7" t="s">
        <v>1553</v>
      </c>
      <c r="D106" s="7" t="s">
        <v>1192</v>
      </c>
      <c r="E106" s="7" t="s">
        <v>34</v>
      </c>
      <c r="F106" s="7" t="s">
        <v>1193</v>
      </c>
      <c r="G106" s="7" t="s">
        <v>1194</v>
      </c>
      <c r="H106" s="7" t="s">
        <v>1195</v>
      </c>
      <c r="I106" s="7" t="s">
        <v>1196</v>
      </c>
      <c r="J106" s="7" t="s">
        <v>1197</v>
      </c>
      <c r="K106" s="7"/>
      <c r="L106" s="7" t="s">
        <v>1554</v>
      </c>
      <c r="M106" s="7" t="s">
        <v>1658</v>
      </c>
      <c r="N106" s="7" t="s">
        <v>668</v>
      </c>
      <c r="O106" s="7"/>
      <c r="P106" s="7" t="s">
        <v>41</v>
      </c>
      <c r="Q106" s="7" t="s">
        <v>41</v>
      </c>
      <c r="R106" s="7" t="s">
        <v>41</v>
      </c>
      <c r="S106" s="7" t="s">
        <v>1617</v>
      </c>
      <c r="T106" s="7"/>
      <c r="U106" s="7"/>
      <c r="V106" s="7"/>
      <c r="W106" s="7" t="s">
        <v>41</v>
      </c>
      <c r="X106" s="7" t="s">
        <v>41</v>
      </c>
      <c r="Y106" s="7" t="s">
        <v>1199</v>
      </c>
      <c r="Z106" s="11" t="s">
        <v>1200</v>
      </c>
    </row>
    <row r="107" spans="1:26" ht="15" customHeight="1" x14ac:dyDescent="0.25">
      <c r="A107" s="8" t="s">
        <v>509</v>
      </c>
      <c r="B107" s="8" t="s">
        <v>1201</v>
      </c>
      <c r="C107" s="8" t="s">
        <v>1553</v>
      </c>
      <c r="D107" s="8" t="s">
        <v>1202</v>
      </c>
      <c r="E107" s="8" t="s">
        <v>34</v>
      </c>
      <c r="F107" s="8" t="s">
        <v>1203</v>
      </c>
      <c r="G107" s="8" t="s">
        <v>1204</v>
      </c>
      <c r="H107" s="8" t="s">
        <v>1205</v>
      </c>
      <c r="I107" s="8" t="s">
        <v>1206</v>
      </c>
      <c r="J107" s="8" t="s">
        <v>1207</v>
      </c>
      <c r="K107" s="8"/>
      <c r="L107" s="8" t="s">
        <v>1208</v>
      </c>
      <c r="M107" s="8" t="s">
        <v>1606</v>
      </c>
      <c r="N107" s="8" t="s">
        <v>1654</v>
      </c>
      <c r="O107" s="8"/>
      <c r="P107" s="8"/>
      <c r="Q107" s="8" t="s">
        <v>41</v>
      </c>
      <c r="R107" s="8" t="s">
        <v>41</v>
      </c>
      <c r="S107" s="8" t="s">
        <v>1659</v>
      </c>
      <c r="T107" s="8" t="s">
        <v>1632</v>
      </c>
      <c r="U107" s="8"/>
      <c r="V107" s="8" t="s">
        <v>41</v>
      </c>
      <c r="W107" s="8" t="s">
        <v>41</v>
      </c>
      <c r="X107" s="8" t="s">
        <v>41</v>
      </c>
      <c r="Y107" s="8" t="s">
        <v>1209</v>
      </c>
      <c r="Z107" s="12" t="s">
        <v>1210</v>
      </c>
    </row>
    <row r="108" spans="1:26" ht="15" customHeight="1" x14ac:dyDescent="0.25">
      <c r="A108" s="7" t="s">
        <v>509</v>
      </c>
      <c r="B108" s="7" t="s">
        <v>544</v>
      </c>
      <c r="C108" s="7" t="s">
        <v>1552</v>
      </c>
      <c r="D108" s="7" t="s">
        <v>545</v>
      </c>
      <c r="E108" s="7" t="s">
        <v>55</v>
      </c>
      <c r="F108" s="7" t="s">
        <v>546</v>
      </c>
      <c r="G108" s="7" t="s">
        <v>547</v>
      </c>
      <c r="H108" s="7"/>
      <c r="I108" s="7" t="s">
        <v>548</v>
      </c>
      <c r="J108" s="7" t="s">
        <v>549</v>
      </c>
      <c r="K108" s="7"/>
      <c r="L108" s="7" t="s">
        <v>550</v>
      </c>
      <c r="M108" s="7" t="s">
        <v>1632</v>
      </c>
      <c r="N108" s="7"/>
      <c r="O108" s="7"/>
      <c r="P108" s="7" t="s">
        <v>41</v>
      </c>
      <c r="Q108" s="7" t="s">
        <v>41</v>
      </c>
      <c r="R108" s="7" t="s">
        <v>41</v>
      </c>
      <c r="S108" s="7" t="s">
        <v>1632</v>
      </c>
      <c r="T108" s="7"/>
      <c r="U108" s="7"/>
      <c r="V108" s="7" t="s">
        <v>41</v>
      </c>
      <c r="W108" s="7" t="s">
        <v>41</v>
      </c>
      <c r="X108" s="7" t="s">
        <v>41</v>
      </c>
      <c r="Y108" s="7" t="s">
        <v>551</v>
      </c>
      <c r="Z108" s="11" t="s">
        <v>552</v>
      </c>
    </row>
    <row r="109" spans="1:26" ht="15" customHeight="1" x14ac:dyDescent="0.25">
      <c r="A109" s="8" t="s">
        <v>509</v>
      </c>
      <c r="B109" s="8" t="s">
        <v>1211</v>
      </c>
      <c r="C109" s="8" t="s">
        <v>1553</v>
      </c>
      <c r="D109" s="8" t="s">
        <v>1212</v>
      </c>
      <c r="E109" s="8" t="s">
        <v>34</v>
      </c>
      <c r="F109" s="8" t="s">
        <v>1213</v>
      </c>
      <c r="G109" s="8" t="s">
        <v>1214</v>
      </c>
      <c r="H109" s="8" t="s">
        <v>1215</v>
      </c>
      <c r="I109" s="8" t="s">
        <v>1216</v>
      </c>
      <c r="J109" s="8" t="s">
        <v>1217</v>
      </c>
      <c r="K109" s="8" t="s">
        <v>1218</v>
      </c>
      <c r="L109" s="8" t="s">
        <v>1554</v>
      </c>
      <c r="M109" s="8" t="s">
        <v>1658</v>
      </c>
      <c r="N109" s="8" t="s">
        <v>668</v>
      </c>
      <c r="O109" s="8"/>
      <c r="P109" s="8" t="s">
        <v>41</v>
      </c>
      <c r="Q109" s="8" t="s">
        <v>41</v>
      </c>
      <c r="R109" s="8" t="s">
        <v>41</v>
      </c>
      <c r="S109" s="8" t="s">
        <v>1617</v>
      </c>
      <c r="T109" s="8"/>
      <c r="U109" s="8"/>
      <c r="V109" s="8"/>
      <c r="W109" s="8" t="s">
        <v>41</v>
      </c>
      <c r="X109" s="8" t="s">
        <v>41</v>
      </c>
      <c r="Y109" s="8" t="s">
        <v>1219</v>
      </c>
      <c r="Z109" s="12" t="s">
        <v>1220</v>
      </c>
    </row>
    <row r="110" spans="1:26" ht="15" customHeight="1" x14ac:dyDescent="0.25">
      <c r="A110" s="7" t="s">
        <v>509</v>
      </c>
      <c r="B110" s="7" t="s">
        <v>1221</v>
      </c>
      <c r="C110" s="7" t="s">
        <v>1553</v>
      </c>
      <c r="D110" s="7" t="s">
        <v>1222</v>
      </c>
      <c r="E110" s="7" t="s">
        <v>55</v>
      </c>
      <c r="F110" s="7" t="s">
        <v>1223</v>
      </c>
      <c r="G110" s="7" t="s">
        <v>1224</v>
      </c>
      <c r="H110" s="7" t="s">
        <v>1225</v>
      </c>
      <c r="I110" s="7" t="s">
        <v>1226</v>
      </c>
      <c r="J110" s="7" t="s">
        <v>1227</v>
      </c>
      <c r="K110" s="7"/>
      <c r="L110" s="7" t="s">
        <v>61</v>
      </c>
      <c r="M110" s="7" t="s">
        <v>145</v>
      </c>
      <c r="N110" s="7"/>
      <c r="O110" s="7"/>
      <c r="P110" s="7"/>
      <c r="Q110" s="7" t="s">
        <v>41</v>
      </c>
      <c r="R110" s="7" t="s">
        <v>41</v>
      </c>
      <c r="S110" s="7" t="s">
        <v>1610</v>
      </c>
      <c r="T110" s="7"/>
      <c r="U110" s="7"/>
      <c r="V110" s="7"/>
      <c r="W110" s="7" t="s">
        <v>41</v>
      </c>
      <c r="X110" s="7" t="s">
        <v>41</v>
      </c>
      <c r="Y110" s="7" t="s">
        <v>1228</v>
      </c>
      <c r="Z110" s="11" t="s">
        <v>1229</v>
      </c>
    </row>
    <row r="111" spans="1:26" ht="15" customHeight="1" x14ac:dyDescent="0.25">
      <c r="A111" s="8" t="s">
        <v>509</v>
      </c>
      <c r="B111" s="8" t="s">
        <v>1230</v>
      </c>
      <c r="C111" s="8" t="s">
        <v>1553</v>
      </c>
      <c r="D111" s="8" t="s">
        <v>1231</v>
      </c>
      <c r="E111" s="8" t="s">
        <v>34</v>
      </c>
      <c r="F111" s="8" t="s">
        <v>1232</v>
      </c>
      <c r="G111" s="8" t="s">
        <v>1233</v>
      </c>
      <c r="H111" s="8" t="s">
        <v>1234</v>
      </c>
      <c r="I111" s="8" t="s">
        <v>1235</v>
      </c>
      <c r="J111" s="8" t="s">
        <v>1236</v>
      </c>
      <c r="K111" s="8"/>
      <c r="L111" s="8" t="s">
        <v>1237</v>
      </c>
      <c r="M111" s="8" t="s">
        <v>1660</v>
      </c>
      <c r="N111" s="8"/>
      <c r="O111" s="8"/>
      <c r="P111" s="8"/>
      <c r="Q111" s="8"/>
      <c r="R111" s="8" t="s">
        <v>41</v>
      </c>
      <c r="S111" s="8" t="s">
        <v>1661</v>
      </c>
      <c r="T111" s="8"/>
      <c r="U111" s="8"/>
      <c r="V111" s="8"/>
      <c r="W111" s="8"/>
      <c r="X111" s="8" t="s">
        <v>41</v>
      </c>
      <c r="Y111" s="8" t="s">
        <v>1238</v>
      </c>
      <c r="Z111" s="12" t="s">
        <v>1239</v>
      </c>
    </row>
    <row r="112" spans="1:26" ht="15" customHeight="1" x14ac:dyDescent="0.25">
      <c r="A112" s="7" t="s">
        <v>509</v>
      </c>
      <c r="B112" s="7" t="s">
        <v>553</v>
      </c>
      <c r="C112" s="7" t="s">
        <v>1552</v>
      </c>
      <c r="D112" s="7" t="s">
        <v>554</v>
      </c>
      <c r="E112" s="7" t="s">
        <v>34</v>
      </c>
      <c r="F112" s="7" t="s">
        <v>555</v>
      </c>
      <c r="G112" s="7" t="s">
        <v>556</v>
      </c>
      <c r="H112" s="7" t="s">
        <v>557</v>
      </c>
      <c r="I112" s="7" t="s">
        <v>558</v>
      </c>
      <c r="J112" s="7" t="s">
        <v>559</v>
      </c>
      <c r="K112" s="7"/>
      <c r="L112" s="7" t="s">
        <v>560</v>
      </c>
      <c r="M112" s="7" t="s">
        <v>1631</v>
      </c>
      <c r="N112" s="7"/>
      <c r="O112" s="7"/>
      <c r="P112" s="7"/>
      <c r="Q112" s="7" t="s">
        <v>41</v>
      </c>
      <c r="R112" s="7" t="s">
        <v>41</v>
      </c>
      <c r="S112" s="7" t="s">
        <v>1609</v>
      </c>
      <c r="T112" s="7"/>
      <c r="U112" s="7"/>
      <c r="V112" s="7" t="s">
        <v>41</v>
      </c>
      <c r="W112" s="7" t="s">
        <v>41</v>
      </c>
      <c r="X112" s="7" t="s">
        <v>41</v>
      </c>
      <c r="Y112" s="7" t="s">
        <v>561</v>
      </c>
      <c r="Z112" s="11" t="s">
        <v>562</v>
      </c>
    </row>
    <row r="113" spans="1:26" ht="15" customHeight="1" x14ac:dyDescent="0.25">
      <c r="A113" s="8" t="s">
        <v>509</v>
      </c>
      <c r="B113" s="8" t="s">
        <v>563</v>
      </c>
      <c r="C113" s="8" t="s">
        <v>1552</v>
      </c>
      <c r="D113" s="8" t="s">
        <v>564</v>
      </c>
      <c r="E113" s="8" t="s">
        <v>34</v>
      </c>
      <c r="F113" s="8" t="s">
        <v>565</v>
      </c>
      <c r="G113" s="8" t="s">
        <v>566</v>
      </c>
      <c r="H113" s="8" t="s">
        <v>567</v>
      </c>
      <c r="I113" s="8" t="s">
        <v>568</v>
      </c>
      <c r="J113" s="8" t="s">
        <v>569</v>
      </c>
      <c r="K113" s="8"/>
      <c r="L113" s="8" t="s">
        <v>570</v>
      </c>
      <c r="M113" s="8" t="s">
        <v>1633</v>
      </c>
      <c r="N113" s="8"/>
      <c r="O113" s="8"/>
      <c r="P113" s="8"/>
      <c r="Q113" s="8" t="s">
        <v>41</v>
      </c>
      <c r="R113" s="8" t="s">
        <v>41</v>
      </c>
      <c r="S113" s="8" t="s">
        <v>1634</v>
      </c>
      <c r="T113" s="8"/>
      <c r="U113" s="8"/>
      <c r="V113" s="8"/>
      <c r="W113" s="8" t="s">
        <v>41</v>
      </c>
      <c r="X113" s="8" t="s">
        <v>41</v>
      </c>
      <c r="Y113" s="8" t="s">
        <v>571</v>
      </c>
      <c r="Z113" s="12" t="s">
        <v>572</v>
      </c>
    </row>
    <row r="114" spans="1:26" ht="15" customHeight="1" x14ac:dyDescent="0.25">
      <c r="A114" s="7" t="s">
        <v>509</v>
      </c>
      <c r="B114" s="7" t="s">
        <v>573</v>
      </c>
      <c r="C114" s="7" t="s">
        <v>1552</v>
      </c>
      <c r="D114" s="7" t="s">
        <v>574</v>
      </c>
      <c r="E114" s="7" t="s">
        <v>34</v>
      </c>
      <c r="F114" s="7" t="s">
        <v>575</v>
      </c>
      <c r="G114" s="7" t="s">
        <v>576</v>
      </c>
      <c r="H114" s="7" t="s">
        <v>577</v>
      </c>
      <c r="I114" s="7" t="s">
        <v>578</v>
      </c>
      <c r="J114" s="7" t="s">
        <v>579</v>
      </c>
      <c r="K114" s="7"/>
      <c r="L114" s="7" t="s">
        <v>580</v>
      </c>
      <c r="M114" s="7" t="s">
        <v>1635</v>
      </c>
      <c r="N114" s="7"/>
      <c r="O114" s="7"/>
      <c r="P114" s="7" t="s">
        <v>41</v>
      </c>
      <c r="Q114" s="7" t="s">
        <v>41</v>
      </c>
      <c r="R114" s="7" t="s">
        <v>41</v>
      </c>
      <c r="S114" s="7" t="s">
        <v>1635</v>
      </c>
      <c r="T114" s="7"/>
      <c r="U114" s="7"/>
      <c r="V114" s="7" t="s">
        <v>41</v>
      </c>
      <c r="W114" s="7" t="s">
        <v>41</v>
      </c>
      <c r="X114" s="7" t="s">
        <v>41</v>
      </c>
      <c r="Y114" s="7" t="s">
        <v>581</v>
      </c>
      <c r="Z114" s="11" t="s">
        <v>582</v>
      </c>
    </row>
    <row r="115" spans="1:26" ht="15" customHeight="1" x14ac:dyDescent="0.25">
      <c r="A115" s="8" t="s">
        <v>509</v>
      </c>
      <c r="B115" s="8" t="s">
        <v>1240</v>
      </c>
      <c r="C115" s="8" t="s">
        <v>1553</v>
      </c>
      <c r="D115" s="8" t="s">
        <v>1241</v>
      </c>
      <c r="E115" s="8" t="s">
        <v>34</v>
      </c>
      <c r="F115" s="8" t="s">
        <v>1242</v>
      </c>
      <c r="G115" s="8" t="s">
        <v>1243</v>
      </c>
      <c r="H115" s="8" t="s">
        <v>1244</v>
      </c>
      <c r="I115" s="8" t="s">
        <v>1245</v>
      </c>
      <c r="J115" s="8" t="s">
        <v>1246</v>
      </c>
      <c r="K115" s="8"/>
      <c r="L115" s="8" t="s">
        <v>1237</v>
      </c>
      <c r="M115" s="8" t="s">
        <v>1660</v>
      </c>
      <c r="N115" s="8"/>
      <c r="O115" s="8"/>
      <c r="P115" s="8"/>
      <c r="Q115" s="8"/>
      <c r="R115" s="8" t="s">
        <v>41</v>
      </c>
      <c r="S115" s="8" t="s">
        <v>1661</v>
      </c>
      <c r="T115" s="8"/>
      <c r="U115" s="8"/>
      <c r="V115" s="8"/>
      <c r="W115" s="8"/>
      <c r="X115" s="8" t="s">
        <v>41</v>
      </c>
      <c r="Y115" s="8" t="s">
        <v>1247</v>
      </c>
      <c r="Z115" s="12" t="s">
        <v>1248</v>
      </c>
    </row>
    <row r="116" spans="1:26" ht="15" customHeight="1" x14ac:dyDescent="0.25">
      <c r="A116" s="7" t="s">
        <v>509</v>
      </c>
      <c r="B116" s="7" t="s">
        <v>1249</v>
      </c>
      <c r="C116" s="7" t="s">
        <v>1553</v>
      </c>
      <c r="D116" s="7" t="s">
        <v>1250</v>
      </c>
      <c r="E116" s="7" t="s">
        <v>34</v>
      </c>
      <c r="F116" s="7" t="s">
        <v>1251</v>
      </c>
      <c r="G116" s="7" t="s">
        <v>1252</v>
      </c>
      <c r="H116" s="7" t="s">
        <v>1253</v>
      </c>
      <c r="I116" s="7" t="s">
        <v>1254</v>
      </c>
      <c r="J116" s="7" t="s">
        <v>1255</v>
      </c>
      <c r="K116" s="7"/>
      <c r="L116" s="7" t="s">
        <v>1237</v>
      </c>
      <c r="M116" s="7" t="s">
        <v>1660</v>
      </c>
      <c r="N116" s="7"/>
      <c r="O116" s="7"/>
      <c r="P116" s="7"/>
      <c r="Q116" s="7"/>
      <c r="R116" s="7" t="s">
        <v>41</v>
      </c>
      <c r="S116" s="7" t="s">
        <v>1661</v>
      </c>
      <c r="T116" s="7"/>
      <c r="U116" s="7"/>
      <c r="V116" s="7"/>
      <c r="W116" s="7"/>
      <c r="X116" s="7" t="s">
        <v>41</v>
      </c>
      <c r="Y116" s="7" t="s">
        <v>1256</v>
      </c>
      <c r="Z116" s="11" t="s">
        <v>1257</v>
      </c>
    </row>
    <row r="117" spans="1:26" ht="15" customHeight="1" x14ac:dyDescent="0.25">
      <c r="A117" s="8" t="s">
        <v>509</v>
      </c>
      <c r="B117" s="8" t="s">
        <v>1258</v>
      </c>
      <c r="C117" s="8" t="s">
        <v>1553</v>
      </c>
      <c r="D117" s="8" t="s">
        <v>1259</v>
      </c>
      <c r="E117" s="8" t="s">
        <v>55</v>
      </c>
      <c r="F117" s="8" t="s">
        <v>1260</v>
      </c>
      <c r="G117" s="8" t="s">
        <v>1261</v>
      </c>
      <c r="H117" s="8" t="s">
        <v>1262</v>
      </c>
      <c r="I117" s="8" t="s">
        <v>1263</v>
      </c>
      <c r="J117" s="8" t="s">
        <v>1264</v>
      </c>
      <c r="K117" s="8" t="s">
        <v>1265</v>
      </c>
      <c r="L117" s="8" t="s">
        <v>560</v>
      </c>
      <c r="M117" s="8" t="s">
        <v>1631</v>
      </c>
      <c r="N117" s="8"/>
      <c r="O117" s="8"/>
      <c r="P117" s="8"/>
      <c r="Q117" s="8" t="s">
        <v>41</v>
      </c>
      <c r="R117" s="8" t="s">
        <v>41</v>
      </c>
      <c r="S117" s="8" t="s">
        <v>1609</v>
      </c>
      <c r="T117" s="8"/>
      <c r="U117" s="8"/>
      <c r="V117" s="8" t="s">
        <v>41</v>
      </c>
      <c r="W117" s="8" t="s">
        <v>41</v>
      </c>
      <c r="X117" s="8" t="s">
        <v>41</v>
      </c>
      <c r="Y117" s="8" t="s">
        <v>1266</v>
      </c>
      <c r="Z117" s="12" t="s">
        <v>1267</v>
      </c>
    </row>
    <row r="118" spans="1:26" ht="15" customHeight="1" x14ac:dyDescent="0.25">
      <c r="A118" s="7" t="s">
        <v>583</v>
      </c>
      <c r="B118" s="7"/>
      <c r="C118" s="7"/>
      <c r="D118" s="7" t="s">
        <v>584</v>
      </c>
      <c r="E118" s="7"/>
      <c r="F118" s="7" t="s">
        <v>585</v>
      </c>
      <c r="G118" s="7"/>
      <c r="H118" s="7"/>
      <c r="I118" s="7"/>
      <c r="J118" s="7"/>
      <c r="K118" s="7"/>
      <c r="L118" s="7"/>
      <c r="M118" s="7"/>
      <c r="N118" s="7"/>
      <c r="O118" s="7"/>
      <c r="P118" s="7"/>
      <c r="Q118" s="7"/>
      <c r="R118" s="7"/>
      <c r="S118" s="7"/>
      <c r="T118" s="7"/>
      <c r="U118" s="7"/>
      <c r="V118" s="7"/>
      <c r="W118" s="7"/>
      <c r="X118" s="7"/>
      <c r="Y118" s="7"/>
      <c r="Z118" s="11"/>
    </row>
    <row r="119" spans="1:26" ht="15" customHeight="1" x14ac:dyDescent="0.25">
      <c r="A119" s="8" t="s">
        <v>583</v>
      </c>
      <c r="B119" s="8" t="s">
        <v>1268</v>
      </c>
      <c r="C119" s="8" t="s">
        <v>1553</v>
      </c>
      <c r="D119" s="8" t="s">
        <v>1269</v>
      </c>
      <c r="E119" s="8" t="s">
        <v>34</v>
      </c>
      <c r="F119" s="8" t="s">
        <v>1270</v>
      </c>
      <c r="G119" s="8" t="s">
        <v>1271</v>
      </c>
      <c r="H119" s="8" t="s">
        <v>1272</v>
      </c>
      <c r="I119" s="8" t="s">
        <v>1273</v>
      </c>
      <c r="J119" s="8" t="s">
        <v>1274</v>
      </c>
      <c r="K119" s="8"/>
      <c r="L119" s="8" t="s">
        <v>1275</v>
      </c>
      <c r="M119" s="8" t="s">
        <v>1662</v>
      </c>
      <c r="N119" s="8"/>
      <c r="O119" s="8"/>
      <c r="P119" s="8"/>
      <c r="Q119" s="8"/>
      <c r="R119" s="8" t="s">
        <v>41</v>
      </c>
      <c r="S119" s="8" t="s">
        <v>1663</v>
      </c>
      <c r="T119" s="8"/>
      <c r="U119" s="8"/>
      <c r="V119" s="8"/>
      <c r="W119" s="8"/>
      <c r="X119" s="8" t="s">
        <v>41</v>
      </c>
      <c r="Y119" s="8" t="s">
        <v>1276</v>
      </c>
      <c r="Z119" s="12" t="s">
        <v>1277</v>
      </c>
    </row>
    <row r="120" spans="1:26" ht="15" customHeight="1" x14ac:dyDescent="0.25">
      <c r="A120" s="7" t="s">
        <v>586</v>
      </c>
      <c r="B120" s="7"/>
      <c r="C120" s="7"/>
      <c r="D120" s="7" t="s">
        <v>587</v>
      </c>
      <c r="E120" s="7"/>
      <c r="F120" s="7" t="s">
        <v>588</v>
      </c>
      <c r="G120" s="7"/>
      <c r="H120" s="7"/>
      <c r="I120" s="7"/>
      <c r="J120" s="7"/>
      <c r="K120" s="7"/>
      <c r="L120" s="7"/>
      <c r="M120" s="7"/>
      <c r="N120" s="7"/>
      <c r="O120" s="7"/>
      <c r="P120" s="7"/>
      <c r="Q120" s="7"/>
      <c r="R120" s="7"/>
      <c r="S120" s="7"/>
      <c r="T120" s="7"/>
      <c r="U120" s="7"/>
      <c r="V120" s="7"/>
      <c r="W120" s="7"/>
      <c r="X120" s="7"/>
      <c r="Y120" s="7"/>
      <c r="Z120" s="11"/>
    </row>
    <row r="121" spans="1:26" ht="15" customHeight="1" x14ac:dyDescent="0.25">
      <c r="A121" s="8" t="s">
        <v>586</v>
      </c>
      <c r="B121" s="8" t="s">
        <v>589</v>
      </c>
      <c r="C121" s="8" t="s">
        <v>1552</v>
      </c>
      <c r="D121" s="8" t="s">
        <v>590</v>
      </c>
      <c r="E121" s="8" t="s">
        <v>34</v>
      </c>
      <c r="F121" s="8" t="s">
        <v>591</v>
      </c>
      <c r="G121" s="8" t="s">
        <v>592</v>
      </c>
      <c r="H121" s="8" t="s">
        <v>593</v>
      </c>
      <c r="I121" s="8" t="s">
        <v>594</v>
      </c>
      <c r="J121" s="8" t="s">
        <v>595</v>
      </c>
      <c r="K121" s="8"/>
      <c r="L121" s="8" t="s">
        <v>596</v>
      </c>
      <c r="M121" s="8" t="s">
        <v>528</v>
      </c>
      <c r="N121" s="8"/>
      <c r="O121" s="8"/>
      <c r="P121" s="8" t="s">
        <v>41</v>
      </c>
      <c r="Q121" s="8" t="s">
        <v>41</v>
      </c>
      <c r="R121" s="8" t="s">
        <v>41</v>
      </c>
      <c r="S121" s="8" t="s">
        <v>1636</v>
      </c>
      <c r="T121" s="8"/>
      <c r="U121" s="8"/>
      <c r="V121" s="8" t="s">
        <v>41</v>
      </c>
      <c r="W121" s="8" t="s">
        <v>41</v>
      </c>
      <c r="X121" s="8" t="s">
        <v>41</v>
      </c>
      <c r="Y121" s="8" t="s">
        <v>597</v>
      </c>
      <c r="Z121" s="12" t="s">
        <v>598</v>
      </c>
    </row>
    <row r="122" spans="1:26" ht="15" customHeight="1" x14ac:dyDescent="0.25">
      <c r="A122" s="7" t="s">
        <v>586</v>
      </c>
      <c r="B122" s="7" t="s">
        <v>599</v>
      </c>
      <c r="C122" s="7" t="s">
        <v>1552</v>
      </c>
      <c r="D122" s="7" t="s">
        <v>600</v>
      </c>
      <c r="E122" s="7" t="s">
        <v>55</v>
      </c>
      <c r="F122" s="7" t="s">
        <v>601</v>
      </c>
      <c r="G122" s="7" t="s">
        <v>602</v>
      </c>
      <c r="H122" s="7" t="s">
        <v>603</v>
      </c>
      <c r="I122" s="7" t="s">
        <v>604</v>
      </c>
      <c r="J122" s="7" t="s">
        <v>605</v>
      </c>
      <c r="K122" s="7"/>
      <c r="L122" s="7" t="s">
        <v>606</v>
      </c>
      <c r="M122" s="7" t="s">
        <v>1626</v>
      </c>
      <c r="N122" s="7" t="s">
        <v>1637</v>
      </c>
      <c r="O122" s="7"/>
      <c r="P122" s="7" t="s">
        <v>41</v>
      </c>
      <c r="Q122" s="7" t="s">
        <v>41</v>
      </c>
      <c r="R122" s="7" t="s">
        <v>41</v>
      </c>
      <c r="S122" s="7" t="s">
        <v>281</v>
      </c>
      <c r="T122" s="7" t="s">
        <v>135</v>
      </c>
      <c r="U122" s="7"/>
      <c r="V122" s="7" t="s">
        <v>41</v>
      </c>
      <c r="W122" s="7" t="s">
        <v>41</v>
      </c>
      <c r="X122" s="7" t="s">
        <v>41</v>
      </c>
      <c r="Y122" s="7" t="s">
        <v>607</v>
      </c>
      <c r="Z122" s="11" t="s">
        <v>608</v>
      </c>
    </row>
    <row r="123" spans="1:26" ht="15" customHeight="1" x14ac:dyDescent="0.25">
      <c r="A123" s="8" t="s">
        <v>586</v>
      </c>
      <c r="B123" s="8" t="s">
        <v>609</v>
      </c>
      <c r="C123" s="8" t="s">
        <v>1552</v>
      </c>
      <c r="D123" s="8" t="s">
        <v>610</v>
      </c>
      <c r="E123" s="8" t="s">
        <v>34</v>
      </c>
      <c r="F123" s="8" t="s">
        <v>611</v>
      </c>
      <c r="G123" s="8" t="s">
        <v>612</v>
      </c>
      <c r="H123" s="8"/>
      <c r="I123" s="8" t="s">
        <v>613</v>
      </c>
      <c r="J123" s="8" t="s">
        <v>614</v>
      </c>
      <c r="K123" s="8" t="s">
        <v>615</v>
      </c>
      <c r="L123" s="8" t="s">
        <v>616</v>
      </c>
      <c r="M123" s="8" t="s">
        <v>1638</v>
      </c>
      <c r="N123" s="8"/>
      <c r="O123" s="8"/>
      <c r="P123" s="8" t="s">
        <v>41</v>
      </c>
      <c r="Q123" s="8" t="s">
        <v>41</v>
      </c>
      <c r="R123" s="8" t="s">
        <v>41</v>
      </c>
      <c r="S123" s="8" t="s">
        <v>1639</v>
      </c>
      <c r="T123" s="8"/>
      <c r="U123" s="8"/>
      <c r="V123" s="8" t="s">
        <v>41</v>
      </c>
      <c r="W123" s="8" t="s">
        <v>41</v>
      </c>
      <c r="X123" s="8" t="s">
        <v>41</v>
      </c>
      <c r="Y123" s="8" t="s">
        <v>617</v>
      </c>
      <c r="Z123" s="12" t="s">
        <v>618</v>
      </c>
    </row>
    <row r="124" spans="1:26" ht="15" customHeight="1" x14ac:dyDescent="0.25">
      <c r="A124" s="7" t="s">
        <v>586</v>
      </c>
      <c r="B124" s="7" t="s">
        <v>619</v>
      </c>
      <c r="C124" s="7" t="s">
        <v>1552</v>
      </c>
      <c r="D124" s="7" t="s">
        <v>620</v>
      </c>
      <c r="E124" s="7" t="s">
        <v>34</v>
      </c>
      <c r="F124" s="7" t="s">
        <v>621</v>
      </c>
      <c r="G124" s="7" t="s">
        <v>622</v>
      </c>
      <c r="H124" s="7"/>
      <c r="I124" s="7" t="s">
        <v>623</v>
      </c>
      <c r="J124" s="7" t="s">
        <v>624</v>
      </c>
      <c r="K124" s="7" t="s">
        <v>625</v>
      </c>
      <c r="L124" s="7" t="s">
        <v>616</v>
      </c>
      <c r="M124" s="7" t="s">
        <v>1638</v>
      </c>
      <c r="N124" s="7"/>
      <c r="O124" s="7"/>
      <c r="P124" s="7" t="s">
        <v>41</v>
      </c>
      <c r="Q124" s="7" t="s">
        <v>41</v>
      </c>
      <c r="R124" s="7" t="s">
        <v>41</v>
      </c>
      <c r="S124" s="7" t="s">
        <v>1639</v>
      </c>
      <c r="T124" s="7"/>
      <c r="U124" s="7"/>
      <c r="V124" s="7" t="s">
        <v>41</v>
      </c>
      <c r="W124" s="7" t="s">
        <v>41</v>
      </c>
      <c r="X124" s="7" t="s">
        <v>41</v>
      </c>
      <c r="Y124" s="7" t="s">
        <v>617</v>
      </c>
      <c r="Z124" s="11" t="s">
        <v>626</v>
      </c>
    </row>
    <row r="125" spans="1:26" ht="15" customHeight="1" x14ac:dyDescent="0.25">
      <c r="A125" s="8" t="s">
        <v>586</v>
      </c>
      <c r="B125" s="8" t="s">
        <v>627</v>
      </c>
      <c r="C125" s="8" t="s">
        <v>1552</v>
      </c>
      <c r="D125" s="8" t="s">
        <v>628</v>
      </c>
      <c r="E125" s="8" t="s">
        <v>34</v>
      </c>
      <c r="F125" s="8" t="s">
        <v>629</v>
      </c>
      <c r="G125" s="8" t="s">
        <v>630</v>
      </c>
      <c r="H125" s="8" t="s">
        <v>631</v>
      </c>
      <c r="I125" s="8" t="s">
        <v>632</v>
      </c>
      <c r="J125" s="8" t="s">
        <v>633</v>
      </c>
      <c r="K125" s="8" t="s">
        <v>634</v>
      </c>
      <c r="L125" s="8" t="s">
        <v>635</v>
      </c>
      <c r="M125" s="8" t="s">
        <v>1640</v>
      </c>
      <c r="N125" s="8"/>
      <c r="O125" s="8"/>
      <c r="P125" s="8"/>
      <c r="Q125" s="8"/>
      <c r="R125" s="8" t="s">
        <v>41</v>
      </c>
      <c r="S125" s="8" t="s">
        <v>1615</v>
      </c>
      <c r="T125" s="8"/>
      <c r="U125" s="8"/>
      <c r="V125" s="8"/>
      <c r="W125" s="8"/>
      <c r="X125" s="8" t="s">
        <v>41</v>
      </c>
      <c r="Y125" s="8" t="s">
        <v>636</v>
      </c>
      <c r="Z125" s="12" t="s">
        <v>637</v>
      </c>
    </row>
    <row r="126" spans="1:26" ht="15" customHeight="1" x14ac:dyDescent="0.25">
      <c r="A126" s="7" t="s">
        <v>586</v>
      </c>
      <c r="B126" s="7" t="s">
        <v>638</v>
      </c>
      <c r="C126" s="7" t="s">
        <v>1552</v>
      </c>
      <c r="D126" s="7" t="s">
        <v>639</v>
      </c>
      <c r="E126" s="7" t="s">
        <v>34</v>
      </c>
      <c r="F126" s="7" t="s">
        <v>640</v>
      </c>
      <c r="G126" s="7" t="s">
        <v>641</v>
      </c>
      <c r="H126" s="7" t="s">
        <v>642</v>
      </c>
      <c r="I126" s="7" t="s">
        <v>643</v>
      </c>
      <c r="J126" s="7" t="s">
        <v>644</v>
      </c>
      <c r="K126" s="7"/>
      <c r="L126" s="7" t="s">
        <v>635</v>
      </c>
      <c r="M126" s="7" t="s">
        <v>1640</v>
      </c>
      <c r="N126" s="7"/>
      <c r="O126" s="7"/>
      <c r="P126" s="7"/>
      <c r="Q126" s="7"/>
      <c r="R126" s="7" t="s">
        <v>41</v>
      </c>
      <c r="S126" s="7" t="s">
        <v>1615</v>
      </c>
      <c r="T126" s="7"/>
      <c r="U126" s="7"/>
      <c r="V126" s="7"/>
      <c r="W126" s="7"/>
      <c r="X126" s="7" t="s">
        <v>41</v>
      </c>
      <c r="Y126" s="7" t="s">
        <v>645</v>
      </c>
      <c r="Z126" s="11"/>
    </row>
    <row r="127" spans="1:26" ht="15" customHeight="1" x14ac:dyDescent="0.25">
      <c r="A127" s="8" t="s">
        <v>586</v>
      </c>
      <c r="B127" s="8" t="s">
        <v>1278</v>
      </c>
      <c r="C127" s="8" t="s">
        <v>1553</v>
      </c>
      <c r="D127" s="8" t="s">
        <v>1279</v>
      </c>
      <c r="E127" s="8" t="s">
        <v>55</v>
      </c>
      <c r="F127" s="8" t="s">
        <v>1280</v>
      </c>
      <c r="G127" s="8" t="s">
        <v>1281</v>
      </c>
      <c r="H127" s="8" t="s">
        <v>1282</v>
      </c>
      <c r="I127" s="8" t="s">
        <v>1283</v>
      </c>
      <c r="J127" s="8" t="s">
        <v>1284</v>
      </c>
      <c r="K127" s="8" t="s">
        <v>1285</v>
      </c>
      <c r="L127" s="8" t="s">
        <v>1286</v>
      </c>
      <c r="M127" s="8" t="s">
        <v>1201</v>
      </c>
      <c r="N127" s="8"/>
      <c r="O127" s="8"/>
      <c r="P127" s="8"/>
      <c r="Q127" s="8" t="s">
        <v>41</v>
      </c>
      <c r="R127" s="8" t="s">
        <v>41</v>
      </c>
      <c r="S127" s="8" t="s">
        <v>117</v>
      </c>
      <c r="T127" s="8"/>
      <c r="U127" s="8"/>
      <c r="V127" s="8"/>
      <c r="W127" s="8" t="s">
        <v>41</v>
      </c>
      <c r="X127" s="8" t="s">
        <v>41</v>
      </c>
      <c r="Y127" s="8" t="s">
        <v>1287</v>
      </c>
      <c r="Z127" s="12" t="s">
        <v>1288</v>
      </c>
    </row>
    <row r="128" spans="1:26" ht="15" customHeight="1" x14ac:dyDescent="0.25">
      <c r="A128" s="7" t="s">
        <v>646</v>
      </c>
      <c r="B128" s="7"/>
      <c r="C128" s="7"/>
      <c r="D128" s="7" t="s">
        <v>647</v>
      </c>
      <c r="E128" s="7"/>
      <c r="F128" s="7" t="s">
        <v>648</v>
      </c>
      <c r="G128" s="7"/>
      <c r="H128" s="7"/>
      <c r="I128" s="7"/>
      <c r="J128" s="7"/>
      <c r="K128" s="7"/>
      <c r="L128" s="7"/>
      <c r="M128" s="7"/>
      <c r="N128" s="7"/>
      <c r="O128" s="7"/>
      <c r="P128" s="7"/>
      <c r="Q128" s="7"/>
      <c r="R128" s="7"/>
      <c r="S128" s="7"/>
      <c r="T128" s="7"/>
      <c r="U128" s="7"/>
      <c r="V128" s="7"/>
      <c r="W128" s="7"/>
      <c r="X128" s="7"/>
      <c r="Y128" s="7"/>
      <c r="Z128" s="11"/>
    </row>
    <row r="129" spans="1:26" ht="15" customHeight="1" x14ac:dyDescent="0.25">
      <c r="A129" s="8" t="s">
        <v>646</v>
      </c>
      <c r="B129" s="8" t="s">
        <v>1289</v>
      </c>
      <c r="C129" s="8" t="s">
        <v>1553</v>
      </c>
      <c r="D129" s="8" t="s">
        <v>1290</v>
      </c>
      <c r="E129" s="8" t="s">
        <v>34</v>
      </c>
      <c r="F129" s="8" t="s">
        <v>1291</v>
      </c>
      <c r="G129" s="8" t="s">
        <v>1292</v>
      </c>
      <c r="H129" s="8" t="s">
        <v>1293</v>
      </c>
      <c r="I129" s="8" t="s">
        <v>1294</v>
      </c>
      <c r="J129" s="8" t="s">
        <v>1295</v>
      </c>
      <c r="K129" s="8"/>
      <c r="L129" s="8" t="s">
        <v>292</v>
      </c>
      <c r="M129" s="8" t="s">
        <v>1626</v>
      </c>
      <c r="N129" s="8"/>
      <c r="O129" s="8"/>
      <c r="P129" s="8" t="s">
        <v>41</v>
      </c>
      <c r="Q129" s="8" t="s">
        <v>41</v>
      </c>
      <c r="R129" s="8" t="s">
        <v>41</v>
      </c>
      <c r="S129" s="8" t="s">
        <v>281</v>
      </c>
      <c r="T129" s="8"/>
      <c r="U129" s="8"/>
      <c r="V129" s="8" t="s">
        <v>41</v>
      </c>
      <c r="W129" s="8" t="s">
        <v>41</v>
      </c>
      <c r="X129" s="8" t="s">
        <v>41</v>
      </c>
      <c r="Y129" s="8" t="s">
        <v>1296</v>
      </c>
      <c r="Z129" s="12" t="s">
        <v>1297</v>
      </c>
    </row>
    <row r="130" spans="1:26" ht="15" customHeight="1" x14ac:dyDescent="0.25">
      <c r="A130" s="7" t="s">
        <v>649</v>
      </c>
      <c r="B130" s="7"/>
      <c r="C130" s="7"/>
      <c r="D130" s="7" t="s">
        <v>650</v>
      </c>
      <c r="E130" s="7"/>
      <c r="F130" s="7" t="s">
        <v>651</v>
      </c>
      <c r="G130" s="7"/>
      <c r="H130" s="7"/>
      <c r="I130" s="7"/>
      <c r="J130" s="7"/>
      <c r="K130" s="7"/>
      <c r="L130" s="7"/>
      <c r="M130" s="7"/>
      <c r="N130" s="7"/>
      <c r="O130" s="7"/>
      <c r="P130" s="7"/>
      <c r="Q130" s="7"/>
      <c r="R130" s="7"/>
      <c r="S130" s="7"/>
      <c r="T130" s="7"/>
      <c r="U130" s="7"/>
      <c r="V130" s="7"/>
      <c r="W130" s="7"/>
      <c r="X130" s="7"/>
      <c r="Y130" s="7"/>
      <c r="Z130" s="11"/>
    </row>
    <row r="131" spans="1:26" ht="15" customHeight="1" x14ac:dyDescent="0.25">
      <c r="A131" s="8" t="s">
        <v>649</v>
      </c>
      <c r="B131" s="8" t="s">
        <v>1298</v>
      </c>
      <c r="C131" s="8" t="s">
        <v>1553</v>
      </c>
      <c r="D131" s="8" t="s">
        <v>1299</v>
      </c>
      <c r="E131" s="8" t="s">
        <v>34</v>
      </c>
      <c r="F131" s="8" t="s">
        <v>1300</v>
      </c>
      <c r="G131" s="8" t="s">
        <v>1301</v>
      </c>
      <c r="H131" s="8" t="s">
        <v>1302</v>
      </c>
      <c r="I131" s="8" t="s">
        <v>1303</v>
      </c>
      <c r="J131" s="8" t="s">
        <v>1304</v>
      </c>
      <c r="K131" s="8"/>
      <c r="L131" s="8" t="s">
        <v>1305</v>
      </c>
      <c r="M131" s="8" t="s">
        <v>1610</v>
      </c>
      <c r="N131" s="8"/>
      <c r="O131" s="8"/>
      <c r="P131" s="8"/>
      <c r="Q131" s="8" t="s">
        <v>41</v>
      </c>
      <c r="R131" s="8" t="s">
        <v>41</v>
      </c>
      <c r="S131" s="8" t="s">
        <v>1664</v>
      </c>
      <c r="T131" s="8"/>
      <c r="U131" s="8"/>
      <c r="V131" s="8"/>
      <c r="W131" s="8" t="s">
        <v>41</v>
      </c>
      <c r="X131" s="8" t="s">
        <v>41</v>
      </c>
      <c r="Y131" s="8" t="s">
        <v>1306</v>
      </c>
      <c r="Z131" s="12" t="s">
        <v>1307</v>
      </c>
    </row>
    <row r="132" spans="1:26" ht="15" customHeight="1" x14ac:dyDescent="0.25">
      <c r="A132" s="7" t="s">
        <v>652</v>
      </c>
      <c r="B132" s="7"/>
      <c r="C132" s="7"/>
      <c r="D132" s="7" t="s">
        <v>653</v>
      </c>
      <c r="E132" s="7"/>
      <c r="F132" s="7"/>
      <c r="G132" s="7"/>
      <c r="H132" s="7"/>
      <c r="I132" s="7"/>
      <c r="J132" s="7"/>
      <c r="K132" s="7"/>
      <c r="L132" s="7"/>
      <c r="M132" s="7"/>
      <c r="N132" s="7"/>
      <c r="O132" s="7"/>
      <c r="P132" s="7"/>
      <c r="Q132" s="7"/>
      <c r="R132" s="7"/>
      <c r="S132" s="7"/>
      <c r="T132" s="7"/>
      <c r="U132" s="7"/>
      <c r="V132" s="7"/>
      <c r="W132" s="7"/>
      <c r="X132" s="7"/>
      <c r="Y132" s="7"/>
      <c r="Z132" s="11"/>
    </row>
    <row r="133" spans="1:26" ht="15" customHeight="1" x14ac:dyDescent="0.25">
      <c r="A133" s="8" t="s">
        <v>652</v>
      </c>
      <c r="B133" s="8" t="s">
        <v>1308</v>
      </c>
      <c r="C133" s="8" t="s">
        <v>1553</v>
      </c>
      <c r="D133" s="8" t="s">
        <v>1309</v>
      </c>
      <c r="E133" s="8" t="s">
        <v>34</v>
      </c>
      <c r="F133" s="8" t="s">
        <v>1310</v>
      </c>
      <c r="G133" s="8" t="s">
        <v>1311</v>
      </c>
      <c r="H133" s="8" t="s">
        <v>1312</v>
      </c>
      <c r="I133" s="8" t="s">
        <v>1313</v>
      </c>
      <c r="J133" s="8" t="s">
        <v>1314</v>
      </c>
      <c r="K133" s="8"/>
      <c r="L133" s="8" t="s">
        <v>1315</v>
      </c>
      <c r="M133" s="8" t="s">
        <v>1191</v>
      </c>
      <c r="N133" s="8" t="s">
        <v>1665</v>
      </c>
      <c r="O133" s="8"/>
      <c r="P133" s="8" t="s">
        <v>41</v>
      </c>
      <c r="Q133" s="8" t="s">
        <v>41</v>
      </c>
      <c r="R133" s="8" t="s">
        <v>41</v>
      </c>
      <c r="S133" s="8" t="s">
        <v>117</v>
      </c>
      <c r="T133" s="8" t="s">
        <v>586</v>
      </c>
      <c r="U133" s="8"/>
      <c r="V133" s="8"/>
      <c r="W133" s="8" t="s">
        <v>41</v>
      </c>
      <c r="X133" s="8" t="s">
        <v>41</v>
      </c>
      <c r="Y133" s="8" t="s">
        <v>1316</v>
      </c>
      <c r="Z133" s="12" t="s">
        <v>1317</v>
      </c>
    </row>
    <row r="134" spans="1:26" ht="15" customHeight="1" x14ac:dyDescent="0.25">
      <c r="A134" s="7" t="s">
        <v>652</v>
      </c>
      <c r="B134" s="7" t="s">
        <v>1318</v>
      </c>
      <c r="C134" s="7" t="s">
        <v>1553</v>
      </c>
      <c r="D134" s="7" t="s">
        <v>1319</v>
      </c>
      <c r="E134" s="7" t="s">
        <v>55</v>
      </c>
      <c r="F134" s="7" t="s">
        <v>1320</v>
      </c>
      <c r="G134" s="7" t="s">
        <v>1321</v>
      </c>
      <c r="H134" s="7" t="s">
        <v>1322</v>
      </c>
      <c r="I134" s="7" t="s">
        <v>1323</v>
      </c>
      <c r="J134" s="7" t="s">
        <v>1324</v>
      </c>
      <c r="K134" s="7" t="s">
        <v>1325</v>
      </c>
      <c r="L134" s="7" t="s">
        <v>1326</v>
      </c>
      <c r="M134" s="7" t="s">
        <v>1191</v>
      </c>
      <c r="N134" s="7" t="s">
        <v>1201</v>
      </c>
      <c r="O134" s="7"/>
      <c r="P134" s="7"/>
      <c r="Q134" s="7" t="s">
        <v>41</v>
      </c>
      <c r="R134" s="7" t="s">
        <v>41</v>
      </c>
      <c r="S134" s="7" t="s">
        <v>117</v>
      </c>
      <c r="T134" s="7"/>
      <c r="U134" s="7"/>
      <c r="V134" s="7"/>
      <c r="W134" s="7" t="s">
        <v>41</v>
      </c>
      <c r="X134" s="7" t="s">
        <v>41</v>
      </c>
      <c r="Y134" s="7" t="s">
        <v>1327</v>
      </c>
      <c r="Z134" s="11" t="s">
        <v>1328</v>
      </c>
    </row>
    <row r="135" spans="1:26" ht="15" customHeight="1" x14ac:dyDescent="0.25">
      <c r="A135" s="8" t="s">
        <v>652</v>
      </c>
      <c r="B135" s="8" t="s">
        <v>1329</v>
      </c>
      <c r="C135" s="8" t="s">
        <v>1553</v>
      </c>
      <c r="D135" s="8" t="s">
        <v>1330</v>
      </c>
      <c r="E135" s="8" t="s">
        <v>34</v>
      </c>
      <c r="F135" s="8" t="s">
        <v>1331</v>
      </c>
      <c r="G135" s="8" t="s">
        <v>1332</v>
      </c>
      <c r="H135" s="8" t="s">
        <v>1333</v>
      </c>
      <c r="I135" s="8" t="s">
        <v>1334</v>
      </c>
      <c r="J135" s="8" t="s">
        <v>1335</v>
      </c>
      <c r="K135" s="8" t="s">
        <v>1336</v>
      </c>
      <c r="L135" s="8" t="s">
        <v>1337</v>
      </c>
      <c r="M135" s="8" t="s">
        <v>1191</v>
      </c>
      <c r="N135" s="8" t="s">
        <v>1665</v>
      </c>
      <c r="O135" s="8" t="s">
        <v>1666</v>
      </c>
      <c r="P135" s="8" t="s">
        <v>41</v>
      </c>
      <c r="Q135" s="8" t="s">
        <v>41</v>
      </c>
      <c r="R135" s="8" t="s">
        <v>41</v>
      </c>
      <c r="S135" s="8" t="s">
        <v>117</v>
      </c>
      <c r="T135" s="8"/>
      <c r="U135" s="8"/>
      <c r="V135" s="8"/>
      <c r="W135" s="8" t="s">
        <v>41</v>
      </c>
      <c r="X135" s="8" t="s">
        <v>41</v>
      </c>
      <c r="Y135" s="8" t="s">
        <v>1338</v>
      </c>
      <c r="Z135" s="12" t="s">
        <v>1339</v>
      </c>
    </row>
    <row r="136" spans="1:26" ht="15" customHeight="1" x14ac:dyDescent="0.25">
      <c r="A136" s="7" t="s">
        <v>652</v>
      </c>
      <c r="B136" s="7" t="s">
        <v>1340</v>
      </c>
      <c r="C136" s="7" t="s">
        <v>1553</v>
      </c>
      <c r="D136" s="7" t="s">
        <v>1341</v>
      </c>
      <c r="E136" s="7" t="s">
        <v>55</v>
      </c>
      <c r="F136" s="7" t="s">
        <v>1342</v>
      </c>
      <c r="G136" s="7" t="s">
        <v>1343</v>
      </c>
      <c r="H136" s="7" t="s">
        <v>1344</v>
      </c>
      <c r="I136" s="7" t="s">
        <v>1345</v>
      </c>
      <c r="J136" s="7" t="s">
        <v>1346</v>
      </c>
      <c r="K136" s="7"/>
      <c r="L136" s="7" t="s">
        <v>1326</v>
      </c>
      <c r="M136" s="7" t="s">
        <v>1191</v>
      </c>
      <c r="N136" s="7" t="s">
        <v>1201</v>
      </c>
      <c r="O136" s="7"/>
      <c r="P136" s="7"/>
      <c r="Q136" s="7" t="s">
        <v>41</v>
      </c>
      <c r="R136" s="7" t="s">
        <v>41</v>
      </c>
      <c r="S136" s="7" t="s">
        <v>117</v>
      </c>
      <c r="T136" s="7"/>
      <c r="U136" s="7"/>
      <c r="V136" s="7"/>
      <c r="W136" s="7" t="s">
        <v>41</v>
      </c>
      <c r="X136" s="7" t="s">
        <v>41</v>
      </c>
      <c r="Y136" s="7" t="s">
        <v>1347</v>
      </c>
      <c r="Z136" s="11" t="s">
        <v>1348</v>
      </c>
    </row>
    <row r="137" spans="1:26" ht="15" customHeight="1" x14ac:dyDescent="0.25">
      <c r="A137" s="8" t="s">
        <v>652</v>
      </c>
      <c r="B137" s="8" t="s">
        <v>1349</v>
      </c>
      <c r="C137" s="8" t="s">
        <v>1553</v>
      </c>
      <c r="D137" s="8" t="s">
        <v>1350</v>
      </c>
      <c r="E137" s="8" t="s">
        <v>55</v>
      </c>
      <c r="F137" s="8" t="s">
        <v>1351</v>
      </c>
      <c r="G137" s="8" t="s">
        <v>1352</v>
      </c>
      <c r="H137" s="8" t="s">
        <v>1353</v>
      </c>
      <c r="I137" s="8" t="s">
        <v>1354</v>
      </c>
      <c r="J137" s="8" t="s">
        <v>1355</v>
      </c>
      <c r="K137" s="8"/>
      <c r="L137" s="8" t="s">
        <v>1326</v>
      </c>
      <c r="M137" s="8" t="s">
        <v>1191</v>
      </c>
      <c r="N137" s="8" t="s">
        <v>1201</v>
      </c>
      <c r="O137" s="8"/>
      <c r="P137" s="8"/>
      <c r="Q137" s="8" t="s">
        <v>41</v>
      </c>
      <c r="R137" s="8" t="s">
        <v>41</v>
      </c>
      <c r="S137" s="8" t="s">
        <v>117</v>
      </c>
      <c r="T137" s="8"/>
      <c r="U137" s="8"/>
      <c r="V137" s="8"/>
      <c r="W137" s="8" t="s">
        <v>41</v>
      </c>
      <c r="X137" s="8" t="s">
        <v>41</v>
      </c>
      <c r="Y137" s="8" t="s">
        <v>1356</v>
      </c>
      <c r="Z137" s="12" t="s">
        <v>1357</v>
      </c>
    </row>
    <row r="138" spans="1:26" ht="15" customHeight="1" x14ac:dyDescent="0.25">
      <c r="A138" s="7" t="s">
        <v>654</v>
      </c>
      <c r="B138" s="7"/>
      <c r="C138" s="7"/>
      <c r="D138" s="7" t="s">
        <v>655</v>
      </c>
      <c r="E138" s="7"/>
      <c r="F138" s="7"/>
      <c r="G138" s="7"/>
      <c r="H138" s="7"/>
      <c r="I138" s="7"/>
      <c r="J138" s="7"/>
      <c r="K138" s="7"/>
      <c r="L138" s="7"/>
      <c r="M138" s="7"/>
      <c r="N138" s="7"/>
      <c r="O138" s="7"/>
      <c r="P138" s="7"/>
      <c r="Q138" s="7"/>
      <c r="R138" s="7"/>
      <c r="S138" s="7"/>
      <c r="T138" s="7"/>
      <c r="U138" s="7"/>
      <c r="V138" s="7"/>
      <c r="W138" s="7"/>
      <c r="X138" s="7"/>
      <c r="Y138" s="7"/>
      <c r="Z138" s="11"/>
    </row>
    <row r="139" spans="1:26" ht="15" customHeight="1" x14ac:dyDescent="0.25">
      <c r="A139" s="8" t="s">
        <v>654</v>
      </c>
      <c r="B139" s="8" t="s">
        <v>1358</v>
      </c>
      <c r="C139" s="8" t="s">
        <v>1553</v>
      </c>
      <c r="D139" s="8" t="s">
        <v>1359</v>
      </c>
      <c r="E139" s="8" t="s">
        <v>34</v>
      </c>
      <c r="F139" s="8" t="s">
        <v>1360</v>
      </c>
      <c r="G139" s="8" t="s">
        <v>1361</v>
      </c>
      <c r="H139" s="8" t="s">
        <v>1362</v>
      </c>
      <c r="I139" s="8" t="s">
        <v>1363</v>
      </c>
      <c r="J139" s="8" t="s">
        <v>1364</v>
      </c>
      <c r="K139" s="8" t="s">
        <v>1365</v>
      </c>
      <c r="L139" s="8" t="s">
        <v>1326</v>
      </c>
      <c r="M139" s="8" t="s">
        <v>1191</v>
      </c>
      <c r="N139" s="8" t="s">
        <v>1201</v>
      </c>
      <c r="O139" s="8"/>
      <c r="P139" s="8"/>
      <c r="Q139" s="8" t="s">
        <v>41</v>
      </c>
      <c r="R139" s="8" t="s">
        <v>41</v>
      </c>
      <c r="S139" s="8" t="s">
        <v>117</v>
      </c>
      <c r="T139" s="8"/>
      <c r="U139" s="8"/>
      <c r="V139" s="8"/>
      <c r="W139" s="8" t="s">
        <v>41</v>
      </c>
      <c r="X139" s="8" t="s">
        <v>41</v>
      </c>
      <c r="Y139" s="8" t="s">
        <v>1366</v>
      </c>
      <c r="Z139" s="12" t="s">
        <v>1367</v>
      </c>
    </row>
    <row r="140" spans="1:26" ht="15" customHeight="1" x14ac:dyDescent="0.25">
      <c r="A140" s="7" t="s">
        <v>656</v>
      </c>
      <c r="B140" s="7"/>
      <c r="C140" s="7"/>
      <c r="D140" s="7" t="s">
        <v>657</v>
      </c>
      <c r="E140" s="7"/>
      <c r="F140" s="7"/>
      <c r="G140" s="7"/>
      <c r="H140" s="7"/>
      <c r="I140" s="7"/>
      <c r="J140" s="7"/>
      <c r="K140" s="7"/>
      <c r="L140" s="7"/>
      <c r="M140" s="7"/>
      <c r="N140" s="7"/>
      <c r="O140" s="7"/>
      <c r="P140" s="7"/>
      <c r="Q140" s="7"/>
      <c r="R140" s="7"/>
      <c r="S140" s="7"/>
      <c r="T140" s="7"/>
      <c r="U140" s="7"/>
      <c r="V140" s="7"/>
      <c r="W140" s="7"/>
      <c r="X140" s="7"/>
      <c r="Y140" s="7"/>
      <c r="Z140" s="11"/>
    </row>
    <row r="141" spans="1:26" ht="15" customHeight="1" x14ac:dyDescent="0.25">
      <c r="A141" s="8" t="s">
        <v>656</v>
      </c>
      <c r="B141" s="8" t="s">
        <v>1368</v>
      </c>
      <c r="C141" s="8" t="s">
        <v>1553</v>
      </c>
      <c r="D141" s="8" t="s">
        <v>1369</v>
      </c>
      <c r="E141" s="8" t="s">
        <v>34</v>
      </c>
      <c r="F141" s="8" t="s">
        <v>1370</v>
      </c>
      <c r="G141" s="8" t="s">
        <v>1371</v>
      </c>
      <c r="H141" s="8" t="s">
        <v>1372</v>
      </c>
      <c r="I141" s="8" t="s">
        <v>1373</v>
      </c>
      <c r="J141" s="8" t="s">
        <v>1374</v>
      </c>
      <c r="K141" s="8"/>
      <c r="L141" s="8" t="s">
        <v>1375</v>
      </c>
      <c r="M141" s="8" t="s">
        <v>1191</v>
      </c>
      <c r="N141" s="8"/>
      <c r="O141" s="8"/>
      <c r="P141" s="8"/>
      <c r="Q141" s="8" t="s">
        <v>41</v>
      </c>
      <c r="R141" s="8" t="s">
        <v>41</v>
      </c>
      <c r="S141" s="8" t="s">
        <v>117</v>
      </c>
      <c r="T141" s="8"/>
      <c r="U141" s="8"/>
      <c r="V141" s="8"/>
      <c r="W141" s="8" t="s">
        <v>41</v>
      </c>
      <c r="X141" s="8" t="s">
        <v>41</v>
      </c>
      <c r="Y141" s="8" t="s">
        <v>1376</v>
      </c>
      <c r="Z141" s="12" t="s">
        <v>1377</v>
      </c>
    </row>
    <row r="142" spans="1:26" ht="15" customHeight="1" x14ac:dyDescent="0.25">
      <c r="A142" s="7" t="s">
        <v>656</v>
      </c>
      <c r="B142" s="7" t="s">
        <v>1378</v>
      </c>
      <c r="C142" s="7" t="s">
        <v>1553</v>
      </c>
      <c r="D142" s="7" t="s">
        <v>1379</v>
      </c>
      <c r="E142" s="7" t="s">
        <v>55</v>
      </c>
      <c r="F142" s="7" t="s">
        <v>1380</v>
      </c>
      <c r="G142" s="7" t="s">
        <v>1381</v>
      </c>
      <c r="H142" s="7" t="s">
        <v>1382</v>
      </c>
      <c r="I142" s="7" t="s">
        <v>1383</v>
      </c>
      <c r="J142" s="7" t="s">
        <v>1384</v>
      </c>
      <c r="K142" s="7"/>
      <c r="L142" s="7" t="s">
        <v>417</v>
      </c>
      <c r="M142" s="7" t="s">
        <v>1268</v>
      </c>
      <c r="N142" s="7"/>
      <c r="O142" s="7"/>
      <c r="P142" s="7"/>
      <c r="Q142" s="7" t="s">
        <v>41</v>
      </c>
      <c r="R142" s="7" t="s">
        <v>41</v>
      </c>
      <c r="S142" s="7" t="s">
        <v>1616</v>
      </c>
      <c r="T142" s="7"/>
      <c r="U142" s="7"/>
      <c r="V142" s="7"/>
      <c r="W142" s="7" t="s">
        <v>41</v>
      </c>
      <c r="X142" s="7" t="s">
        <v>41</v>
      </c>
      <c r="Y142" s="7" t="s">
        <v>1385</v>
      </c>
      <c r="Z142" s="11" t="s">
        <v>1386</v>
      </c>
    </row>
    <row r="143" spans="1:26" ht="15" customHeight="1" x14ac:dyDescent="0.25">
      <c r="A143" s="8" t="s">
        <v>658</v>
      </c>
      <c r="B143" s="8"/>
      <c r="C143" s="8"/>
      <c r="D143" s="8" t="s">
        <v>659</v>
      </c>
      <c r="E143" s="8"/>
      <c r="F143" s="8"/>
      <c r="G143" s="8"/>
      <c r="H143" s="8"/>
      <c r="I143" s="8"/>
      <c r="J143" s="8"/>
      <c r="K143" s="8"/>
      <c r="L143" s="8"/>
      <c r="M143" s="8"/>
      <c r="N143" s="8"/>
      <c r="O143" s="8"/>
      <c r="P143" s="8"/>
      <c r="Q143" s="8"/>
      <c r="R143" s="8"/>
      <c r="S143" s="8"/>
      <c r="T143" s="8"/>
      <c r="U143" s="8"/>
      <c r="V143" s="8"/>
      <c r="W143" s="8"/>
      <c r="X143" s="8"/>
      <c r="Y143" s="8"/>
      <c r="Z143" s="12"/>
    </row>
    <row r="144" spans="1:26" ht="15" customHeight="1" x14ac:dyDescent="0.25">
      <c r="A144" s="7" t="s">
        <v>658</v>
      </c>
      <c r="B144" s="7" t="s">
        <v>1387</v>
      </c>
      <c r="C144" s="7" t="s">
        <v>1553</v>
      </c>
      <c r="D144" s="7" t="s">
        <v>1388</v>
      </c>
      <c r="E144" s="7" t="s">
        <v>34</v>
      </c>
      <c r="F144" s="7" t="s">
        <v>1389</v>
      </c>
      <c r="G144" s="7" t="s">
        <v>1390</v>
      </c>
      <c r="H144" s="7" t="s">
        <v>1391</v>
      </c>
      <c r="I144" s="7" t="s">
        <v>1392</v>
      </c>
      <c r="J144" s="7" t="s">
        <v>1393</v>
      </c>
      <c r="K144" s="7"/>
      <c r="L144" s="7" t="s">
        <v>1394</v>
      </c>
      <c r="M144" s="7" t="s">
        <v>1191</v>
      </c>
      <c r="N144" s="7" t="s">
        <v>1201</v>
      </c>
      <c r="O144" s="7" t="s">
        <v>1667</v>
      </c>
      <c r="P144" s="7"/>
      <c r="Q144" s="7" t="s">
        <v>41</v>
      </c>
      <c r="R144" s="7" t="s">
        <v>41</v>
      </c>
      <c r="S144" s="7" t="s">
        <v>117</v>
      </c>
      <c r="T144" s="7"/>
      <c r="U144" s="7"/>
      <c r="V144" s="7"/>
      <c r="W144" s="7" t="s">
        <v>41</v>
      </c>
      <c r="X144" s="7" t="s">
        <v>41</v>
      </c>
      <c r="Y144" s="7" t="s">
        <v>1376</v>
      </c>
      <c r="Z144" s="11" t="s">
        <v>1377</v>
      </c>
    </row>
    <row r="145" spans="1:26" ht="15" customHeight="1" x14ac:dyDescent="0.25">
      <c r="A145" s="8" t="s">
        <v>660</v>
      </c>
      <c r="B145" s="8"/>
      <c r="C145" s="8"/>
      <c r="D145" s="8" t="s">
        <v>661</v>
      </c>
      <c r="E145" s="8"/>
      <c r="F145" s="8"/>
      <c r="G145" s="8"/>
      <c r="H145" s="8"/>
      <c r="I145" s="8"/>
      <c r="J145" s="8"/>
      <c r="K145" s="8"/>
      <c r="L145" s="8"/>
      <c r="M145" s="8"/>
      <c r="N145" s="8"/>
      <c r="O145" s="8"/>
      <c r="P145" s="8"/>
      <c r="Q145" s="8"/>
      <c r="R145" s="8"/>
      <c r="S145" s="8"/>
      <c r="T145" s="8"/>
      <c r="U145" s="8"/>
      <c r="V145" s="8"/>
      <c r="W145" s="8"/>
      <c r="X145" s="8"/>
      <c r="Y145" s="8"/>
      <c r="Z145" s="12"/>
    </row>
    <row r="146" spans="1:26" ht="15" customHeight="1" x14ac:dyDescent="0.25">
      <c r="A146" s="7" t="s">
        <v>660</v>
      </c>
      <c r="B146" s="7" t="s">
        <v>1395</v>
      </c>
      <c r="C146" s="7" t="s">
        <v>1553</v>
      </c>
      <c r="D146" s="7" t="s">
        <v>1396</v>
      </c>
      <c r="E146" s="7" t="s">
        <v>34</v>
      </c>
      <c r="F146" s="7" t="s">
        <v>1397</v>
      </c>
      <c r="G146" s="7" t="s">
        <v>1398</v>
      </c>
      <c r="H146" s="7" t="s">
        <v>1399</v>
      </c>
      <c r="I146" s="7" t="s">
        <v>1400</v>
      </c>
      <c r="J146" s="7" t="s">
        <v>1401</v>
      </c>
      <c r="K146" s="7"/>
      <c r="L146" s="7" t="s">
        <v>1402</v>
      </c>
      <c r="M146" s="7" t="s">
        <v>1191</v>
      </c>
      <c r="N146" s="7" t="s">
        <v>1667</v>
      </c>
      <c r="O146" s="7"/>
      <c r="P146" s="7"/>
      <c r="Q146" s="7" t="s">
        <v>41</v>
      </c>
      <c r="R146" s="7" t="s">
        <v>41</v>
      </c>
      <c r="S146" s="7" t="s">
        <v>117</v>
      </c>
      <c r="T146" s="7"/>
      <c r="U146" s="7"/>
      <c r="V146" s="7"/>
      <c r="W146" s="7" t="s">
        <v>41</v>
      </c>
      <c r="X146" s="7" t="s">
        <v>41</v>
      </c>
      <c r="Y146" s="7" t="s">
        <v>1403</v>
      </c>
      <c r="Z146" s="11" t="s">
        <v>1404</v>
      </c>
    </row>
    <row r="147" spans="1:26" ht="15" customHeight="1" x14ac:dyDescent="0.25">
      <c r="A147" s="8" t="s">
        <v>660</v>
      </c>
      <c r="B147" s="8" t="s">
        <v>1405</v>
      </c>
      <c r="C147" s="8" t="s">
        <v>1553</v>
      </c>
      <c r="D147" s="8" t="s">
        <v>1406</v>
      </c>
      <c r="E147" s="8" t="s">
        <v>34</v>
      </c>
      <c r="F147" s="8" t="s">
        <v>1407</v>
      </c>
      <c r="G147" s="8" t="s">
        <v>1408</v>
      </c>
      <c r="H147" s="8" t="s">
        <v>1409</v>
      </c>
      <c r="I147" s="8" t="s">
        <v>1410</v>
      </c>
      <c r="J147" s="8" t="s">
        <v>1411</v>
      </c>
      <c r="K147" s="8"/>
      <c r="L147" s="8" t="s">
        <v>1402</v>
      </c>
      <c r="M147" s="8" t="s">
        <v>1191</v>
      </c>
      <c r="N147" s="8" t="s">
        <v>1667</v>
      </c>
      <c r="O147" s="8"/>
      <c r="P147" s="8"/>
      <c r="Q147" s="8" t="s">
        <v>41</v>
      </c>
      <c r="R147" s="8" t="s">
        <v>41</v>
      </c>
      <c r="S147" s="8" t="s">
        <v>117</v>
      </c>
      <c r="T147" s="8"/>
      <c r="U147" s="8"/>
      <c r="V147" s="8"/>
      <c r="W147" s="8" t="s">
        <v>41</v>
      </c>
      <c r="X147" s="8" t="s">
        <v>41</v>
      </c>
      <c r="Y147" s="8" t="s">
        <v>1412</v>
      </c>
      <c r="Z147" s="12" t="s">
        <v>1377</v>
      </c>
    </row>
    <row r="148" spans="1:26" ht="15" customHeight="1" x14ac:dyDescent="0.25">
      <c r="A148" s="7" t="s">
        <v>660</v>
      </c>
      <c r="B148" s="7" t="s">
        <v>1413</v>
      </c>
      <c r="C148" s="7" t="s">
        <v>1553</v>
      </c>
      <c r="D148" s="7" t="s">
        <v>1414</v>
      </c>
      <c r="E148" s="7" t="s">
        <v>34</v>
      </c>
      <c r="F148" s="7" t="s">
        <v>1415</v>
      </c>
      <c r="G148" s="7" t="s">
        <v>1416</v>
      </c>
      <c r="H148" s="7" t="s">
        <v>1417</v>
      </c>
      <c r="I148" s="7" t="s">
        <v>1418</v>
      </c>
      <c r="J148" s="7" t="s">
        <v>1419</v>
      </c>
      <c r="K148" s="7"/>
      <c r="L148" s="7" t="s">
        <v>1402</v>
      </c>
      <c r="M148" s="7" t="s">
        <v>1191</v>
      </c>
      <c r="N148" s="7" t="s">
        <v>1667</v>
      </c>
      <c r="O148" s="7"/>
      <c r="P148" s="7"/>
      <c r="Q148" s="7" t="s">
        <v>41</v>
      </c>
      <c r="R148" s="7" t="s">
        <v>41</v>
      </c>
      <c r="S148" s="7" t="s">
        <v>117</v>
      </c>
      <c r="T148" s="7"/>
      <c r="U148" s="7"/>
      <c r="V148" s="7"/>
      <c r="W148" s="7" t="s">
        <v>41</v>
      </c>
      <c r="X148" s="7" t="s">
        <v>41</v>
      </c>
      <c r="Y148" s="7" t="s">
        <v>1420</v>
      </c>
      <c r="Z148" s="11" t="s">
        <v>1377</v>
      </c>
    </row>
    <row r="149" spans="1:26" ht="15" customHeight="1" x14ac:dyDescent="0.25">
      <c r="A149" s="8" t="s">
        <v>660</v>
      </c>
      <c r="B149" s="8" t="s">
        <v>1421</v>
      </c>
      <c r="C149" s="8" t="s">
        <v>1553</v>
      </c>
      <c r="D149" s="8" t="s">
        <v>1422</v>
      </c>
      <c r="E149" s="8" t="s">
        <v>34</v>
      </c>
      <c r="F149" s="8" t="s">
        <v>1423</v>
      </c>
      <c r="G149" s="8" t="s">
        <v>1424</v>
      </c>
      <c r="H149" s="8" t="s">
        <v>1425</v>
      </c>
      <c r="I149" s="8" t="s">
        <v>1426</v>
      </c>
      <c r="J149" s="8" t="s">
        <v>1427</v>
      </c>
      <c r="K149" s="8"/>
      <c r="L149" s="8" t="s">
        <v>1402</v>
      </c>
      <c r="M149" s="8" t="s">
        <v>1191</v>
      </c>
      <c r="N149" s="8" t="s">
        <v>1667</v>
      </c>
      <c r="O149" s="8"/>
      <c r="P149" s="8"/>
      <c r="Q149" s="8" t="s">
        <v>41</v>
      </c>
      <c r="R149" s="8" t="s">
        <v>41</v>
      </c>
      <c r="S149" s="8" t="s">
        <v>117</v>
      </c>
      <c r="T149" s="8"/>
      <c r="U149" s="8"/>
      <c r="V149" s="8"/>
      <c r="W149" s="8" t="s">
        <v>41</v>
      </c>
      <c r="X149" s="8" t="s">
        <v>41</v>
      </c>
      <c r="Y149" s="8" t="s">
        <v>1428</v>
      </c>
      <c r="Z149" s="12" t="s">
        <v>1377</v>
      </c>
    </row>
    <row r="150" spans="1:26" ht="15" customHeight="1" x14ac:dyDescent="0.25">
      <c r="A150" s="7" t="s">
        <v>662</v>
      </c>
      <c r="B150" s="7"/>
      <c r="C150" s="7"/>
      <c r="D150" s="7" t="s">
        <v>663</v>
      </c>
      <c r="E150" s="7"/>
      <c r="F150" s="7"/>
      <c r="G150" s="7"/>
      <c r="H150" s="7"/>
      <c r="I150" s="7"/>
      <c r="J150" s="7"/>
      <c r="K150" s="7"/>
      <c r="L150" s="7"/>
      <c r="M150" s="7"/>
      <c r="N150" s="7"/>
      <c r="O150" s="7"/>
      <c r="P150" s="7"/>
      <c r="Q150" s="7"/>
      <c r="R150" s="7"/>
      <c r="S150" s="7"/>
      <c r="T150" s="7"/>
      <c r="U150" s="7"/>
      <c r="V150" s="7"/>
      <c r="W150" s="7"/>
      <c r="X150" s="7"/>
      <c r="Y150" s="7"/>
      <c r="Z150" s="11"/>
    </row>
    <row r="151" spans="1:26" ht="15" customHeight="1" x14ac:dyDescent="0.25">
      <c r="A151" s="8" t="s">
        <v>662</v>
      </c>
      <c r="B151" s="8" t="s">
        <v>1429</v>
      </c>
      <c r="C151" s="8" t="s">
        <v>1553</v>
      </c>
      <c r="D151" s="8" t="s">
        <v>1430</v>
      </c>
      <c r="E151" s="8" t="s">
        <v>34</v>
      </c>
      <c r="F151" s="8" t="s">
        <v>1431</v>
      </c>
      <c r="G151" s="8" t="s">
        <v>1432</v>
      </c>
      <c r="H151" s="8" t="s">
        <v>1433</v>
      </c>
      <c r="I151" s="8" t="s">
        <v>1434</v>
      </c>
      <c r="J151" s="8" t="s">
        <v>1435</v>
      </c>
      <c r="K151" s="8"/>
      <c r="L151" s="8" t="s">
        <v>1375</v>
      </c>
      <c r="M151" s="8" t="s">
        <v>1191</v>
      </c>
      <c r="N151" s="8"/>
      <c r="O151" s="8"/>
      <c r="P151" s="8"/>
      <c r="Q151" s="8" t="s">
        <v>41</v>
      </c>
      <c r="R151" s="8" t="s">
        <v>41</v>
      </c>
      <c r="S151" s="8" t="s">
        <v>117</v>
      </c>
      <c r="T151" s="8"/>
      <c r="U151" s="8"/>
      <c r="V151" s="8"/>
      <c r="W151" s="8" t="s">
        <v>41</v>
      </c>
      <c r="X151" s="8" t="s">
        <v>41</v>
      </c>
      <c r="Y151" s="8" t="s">
        <v>1376</v>
      </c>
      <c r="Z151" s="12" t="s">
        <v>1377</v>
      </c>
    </row>
    <row r="152" spans="1:26" ht="15" customHeight="1" x14ac:dyDescent="0.25">
      <c r="A152" s="7" t="s">
        <v>664</v>
      </c>
      <c r="B152" s="7"/>
      <c r="C152" s="7"/>
      <c r="D152" s="7" t="s">
        <v>665</v>
      </c>
      <c r="E152" s="7"/>
      <c r="F152" s="7"/>
      <c r="G152" s="7"/>
      <c r="H152" s="7"/>
      <c r="I152" s="7"/>
      <c r="J152" s="7"/>
      <c r="K152" s="7"/>
      <c r="L152" s="7"/>
      <c r="M152" s="7"/>
      <c r="N152" s="7"/>
      <c r="O152" s="7"/>
      <c r="P152" s="7"/>
      <c r="Q152" s="7"/>
      <c r="R152" s="7"/>
      <c r="S152" s="7"/>
      <c r="T152" s="7"/>
      <c r="U152" s="7"/>
      <c r="V152" s="7"/>
      <c r="W152" s="7"/>
      <c r="X152" s="7"/>
      <c r="Y152" s="7"/>
      <c r="Z152" s="11"/>
    </row>
    <row r="153" spans="1:26" ht="15" customHeight="1" x14ac:dyDescent="0.25">
      <c r="A153" s="8" t="s">
        <v>664</v>
      </c>
      <c r="B153" s="8" t="s">
        <v>1436</v>
      </c>
      <c r="C153" s="8" t="s">
        <v>1553</v>
      </c>
      <c r="D153" s="8" t="s">
        <v>1437</v>
      </c>
      <c r="E153" s="8" t="s">
        <v>34</v>
      </c>
      <c r="F153" s="8" t="s">
        <v>1438</v>
      </c>
      <c r="G153" s="8" t="s">
        <v>1439</v>
      </c>
      <c r="H153" s="8" t="s">
        <v>1440</v>
      </c>
      <c r="I153" s="8" t="s">
        <v>1441</v>
      </c>
      <c r="J153" s="8" t="s">
        <v>1442</v>
      </c>
      <c r="K153" s="8"/>
      <c r="L153" s="8" t="s">
        <v>1443</v>
      </c>
      <c r="M153" s="8" t="s">
        <v>126</v>
      </c>
      <c r="N153" s="8" t="s">
        <v>1191</v>
      </c>
      <c r="O153" s="8"/>
      <c r="P153" s="8" t="s">
        <v>41</v>
      </c>
      <c r="Q153" s="8" t="s">
        <v>41</v>
      </c>
      <c r="R153" s="8" t="s">
        <v>41</v>
      </c>
      <c r="S153" s="8" t="s">
        <v>117</v>
      </c>
      <c r="T153" s="8"/>
      <c r="U153" s="8"/>
      <c r="V153" s="8"/>
      <c r="W153" s="8" t="s">
        <v>41</v>
      </c>
      <c r="X153" s="8" t="s">
        <v>41</v>
      </c>
      <c r="Y153" s="8" t="s">
        <v>1444</v>
      </c>
      <c r="Z153" s="12" t="s">
        <v>1445</v>
      </c>
    </row>
    <row r="154" spans="1:26" ht="15" customHeight="1" x14ac:dyDescent="0.25">
      <c r="A154" s="7" t="s">
        <v>666</v>
      </c>
      <c r="B154" s="7"/>
      <c r="C154" s="7"/>
      <c r="D154" s="7" t="s">
        <v>667</v>
      </c>
      <c r="E154" s="7"/>
      <c r="F154" s="7"/>
      <c r="G154" s="7"/>
      <c r="H154" s="7"/>
      <c r="I154" s="7"/>
      <c r="J154" s="7"/>
      <c r="K154" s="7"/>
      <c r="L154" s="7"/>
      <c r="M154" s="7"/>
      <c r="N154" s="7"/>
      <c r="O154" s="7"/>
      <c r="P154" s="7"/>
      <c r="Q154" s="7"/>
      <c r="R154" s="7"/>
      <c r="S154" s="7"/>
      <c r="T154" s="7"/>
      <c r="U154" s="7"/>
      <c r="V154" s="7"/>
      <c r="W154" s="7"/>
      <c r="X154" s="7"/>
      <c r="Y154" s="7"/>
      <c r="Z154" s="11"/>
    </row>
    <row r="155" spans="1:26" ht="15" customHeight="1" x14ac:dyDescent="0.25">
      <c r="A155" s="8" t="s">
        <v>666</v>
      </c>
      <c r="B155" s="8" t="s">
        <v>1446</v>
      </c>
      <c r="C155" s="8" t="s">
        <v>1553</v>
      </c>
      <c r="D155" s="8" t="s">
        <v>1447</v>
      </c>
      <c r="E155" s="8" t="s">
        <v>55</v>
      </c>
      <c r="F155" s="8" t="s">
        <v>1448</v>
      </c>
      <c r="G155" s="8" t="s">
        <v>1449</v>
      </c>
      <c r="H155" s="8" t="s">
        <v>1450</v>
      </c>
      <c r="I155" s="8" t="s">
        <v>1451</v>
      </c>
      <c r="J155" s="8" t="s">
        <v>1452</v>
      </c>
      <c r="K155" s="8" t="s">
        <v>1453</v>
      </c>
      <c r="L155" s="8" t="s">
        <v>1454</v>
      </c>
      <c r="M155" s="8" t="s">
        <v>1191</v>
      </c>
      <c r="N155" s="8" t="s">
        <v>1655</v>
      </c>
      <c r="O155" s="8"/>
      <c r="P155" s="8"/>
      <c r="Q155" s="8" t="s">
        <v>41</v>
      </c>
      <c r="R155" s="8" t="s">
        <v>41</v>
      </c>
      <c r="S155" s="8" t="s">
        <v>117</v>
      </c>
      <c r="T155" s="8"/>
      <c r="U155" s="8"/>
      <c r="V155" s="8"/>
      <c r="W155" s="8" t="s">
        <v>41</v>
      </c>
      <c r="X155" s="8" t="s">
        <v>41</v>
      </c>
      <c r="Y155" s="8" t="s">
        <v>1455</v>
      </c>
      <c r="Z155" s="12" t="s">
        <v>1456</v>
      </c>
    </row>
    <row r="156" spans="1:26" ht="15" customHeight="1" x14ac:dyDescent="0.25">
      <c r="A156" s="7" t="s">
        <v>668</v>
      </c>
      <c r="B156" s="7"/>
      <c r="C156" s="7"/>
      <c r="D156" s="7" t="s">
        <v>669</v>
      </c>
      <c r="E156" s="7"/>
      <c r="F156" s="7" t="s">
        <v>670</v>
      </c>
      <c r="G156" s="7"/>
      <c r="H156" s="7"/>
      <c r="I156" s="7"/>
      <c r="J156" s="7"/>
      <c r="K156" s="7"/>
      <c r="L156" s="7"/>
      <c r="M156" s="7"/>
      <c r="N156" s="7"/>
      <c r="O156" s="7"/>
      <c r="P156" s="7"/>
      <c r="Q156" s="7"/>
      <c r="R156" s="7"/>
      <c r="S156" s="7"/>
      <c r="T156" s="7"/>
      <c r="U156" s="7"/>
      <c r="V156" s="7"/>
      <c r="W156" s="7"/>
      <c r="X156" s="7"/>
      <c r="Y156" s="7"/>
      <c r="Z156" s="11"/>
    </row>
    <row r="157" spans="1:26" ht="15" customHeight="1" x14ac:dyDescent="0.25">
      <c r="A157" s="8" t="s">
        <v>668</v>
      </c>
      <c r="B157" s="8" t="s">
        <v>671</v>
      </c>
      <c r="C157" s="8" t="s">
        <v>1552</v>
      </c>
      <c r="D157" s="8" t="s">
        <v>672</v>
      </c>
      <c r="E157" s="8" t="s">
        <v>34</v>
      </c>
      <c r="F157" s="8" t="s">
        <v>673</v>
      </c>
      <c r="G157" s="8" t="s">
        <v>674</v>
      </c>
      <c r="H157" s="8" t="s">
        <v>675</v>
      </c>
      <c r="I157" s="8" t="s">
        <v>676</v>
      </c>
      <c r="J157" s="8" t="s">
        <v>677</v>
      </c>
      <c r="K157" s="8"/>
      <c r="L157" s="8" t="s">
        <v>678</v>
      </c>
      <c r="M157" s="8" t="s">
        <v>117</v>
      </c>
      <c r="N157" s="8" t="s">
        <v>1102</v>
      </c>
      <c r="O157" s="8"/>
      <c r="P157" s="8" t="s">
        <v>41</v>
      </c>
      <c r="Q157" s="8" t="s">
        <v>41</v>
      </c>
      <c r="R157" s="8" t="s">
        <v>41</v>
      </c>
      <c r="S157" s="8" t="s">
        <v>1612</v>
      </c>
      <c r="T157" s="8"/>
      <c r="U157" s="8"/>
      <c r="V157" s="8"/>
      <c r="W157" s="8" t="s">
        <v>41</v>
      </c>
      <c r="X157" s="8" t="s">
        <v>41</v>
      </c>
      <c r="Y157" s="8" t="s">
        <v>679</v>
      </c>
      <c r="Z157" s="12" t="s">
        <v>680</v>
      </c>
    </row>
    <row r="158" spans="1:26" ht="15" customHeight="1" x14ac:dyDescent="0.25">
      <c r="A158" s="7" t="s">
        <v>668</v>
      </c>
      <c r="B158" s="7" t="s">
        <v>681</v>
      </c>
      <c r="C158" s="7" t="s">
        <v>1552</v>
      </c>
      <c r="D158" s="7" t="s">
        <v>682</v>
      </c>
      <c r="E158" s="7" t="s">
        <v>34</v>
      </c>
      <c r="F158" s="7" t="s">
        <v>683</v>
      </c>
      <c r="G158" s="7" t="s">
        <v>684</v>
      </c>
      <c r="H158" s="7" t="s">
        <v>675</v>
      </c>
      <c r="I158" s="7" t="s">
        <v>685</v>
      </c>
      <c r="J158" s="7" t="s">
        <v>686</v>
      </c>
      <c r="K158" s="7"/>
      <c r="L158" s="7" t="s">
        <v>678</v>
      </c>
      <c r="M158" s="7" t="s">
        <v>117</v>
      </c>
      <c r="N158" s="7" t="s">
        <v>1102</v>
      </c>
      <c r="O158" s="7"/>
      <c r="P158" s="7" t="s">
        <v>41</v>
      </c>
      <c r="Q158" s="7" t="s">
        <v>41</v>
      </c>
      <c r="R158" s="7" t="s">
        <v>41</v>
      </c>
      <c r="S158" s="7" t="s">
        <v>1612</v>
      </c>
      <c r="T158" s="7"/>
      <c r="U158" s="7"/>
      <c r="V158" s="7"/>
      <c r="W158" s="7" t="s">
        <v>41</v>
      </c>
      <c r="X158" s="7" t="s">
        <v>41</v>
      </c>
      <c r="Y158" s="7" t="s">
        <v>679</v>
      </c>
      <c r="Z158" s="11" t="s">
        <v>680</v>
      </c>
    </row>
    <row r="159" spans="1:26" ht="15" customHeight="1" x14ac:dyDescent="0.25">
      <c r="A159" s="8" t="s">
        <v>668</v>
      </c>
      <c r="B159" s="8" t="s">
        <v>687</v>
      </c>
      <c r="C159" s="8" t="s">
        <v>1552</v>
      </c>
      <c r="D159" s="8" t="s">
        <v>688</v>
      </c>
      <c r="E159" s="8" t="s">
        <v>34</v>
      </c>
      <c r="F159" s="8" t="s">
        <v>689</v>
      </c>
      <c r="G159" s="8" t="s">
        <v>690</v>
      </c>
      <c r="H159" s="8" t="s">
        <v>691</v>
      </c>
      <c r="I159" s="8" t="s">
        <v>692</v>
      </c>
      <c r="J159" s="8" t="s">
        <v>693</v>
      </c>
      <c r="K159" s="8"/>
      <c r="L159" s="8" t="s">
        <v>678</v>
      </c>
      <c r="M159" s="8" t="s">
        <v>117</v>
      </c>
      <c r="N159" s="8" t="s">
        <v>1102</v>
      </c>
      <c r="O159" s="8"/>
      <c r="P159" s="8" t="s">
        <v>41</v>
      </c>
      <c r="Q159" s="8" t="s">
        <v>41</v>
      </c>
      <c r="R159" s="8" t="s">
        <v>41</v>
      </c>
      <c r="S159" s="8" t="s">
        <v>1612</v>
      </c>
      <c r="T159" s="8"/>
      <c r="U159" s="8"/>
      <c r="V159" s="8"/>
      <c r="W159" s="8" t="s">
        <v>41</v>
      </c>
      <c r="X159" s="8" t="s">
        <v>41</v>
      </c>
      <c r="Y159" s="8" t="s">
        <v>694</v>
      </c>
      <c r="Z159" s="12" t="s">
        <v>695</v>
      </c>
    </row>
    <row r="160" spans="1:26" ht="15" customHeight="1" x14ac:dyDescent="0.25">
      <c r="A160" s="7" t="s">
        <v>668</v>
      </c>
      <c r="B160" s="7" t="s">
        <v>696</v>
      </c>
      <c r="C160" s="7" t="s">
        <v>1552</v>
      </c>
      <c r="D160" s="7" t="s">
        <v>697</v>
      </c>
      <c r="E160" s="7" t="s">
        <v>34</v>
      </c>
      <c r="F160" s="7" t="s">
        <v>698</v>
      </c>
      <c r="G160" s="7" t="s">
        <v>690</v>
      </c>
      <c r="H160" s="7" t="s">
        <v>691</v>
      </c>
      <c r="I160" s="7" t="s">
        <v>699</v>
      </c>
      <c r="J160" s="7" t="s">
        <v>700</v>
      </c>
      <c r="K160" s="7"/>
      <c r="L160" s="7" t="s">
        <v>678</v>
      </c>
      <c r="M160" s="7" t="s">
        <v>117</v>
      </c>
      <c r="N160" s="7" t="s">
        <v>1102</v>
      </c>
      <c r="O160" s="7"/>
      <c r="P160" s="7" t="s">
        <v>41</v>
      </c>
      <c r="Q160" s="7" t="s">
        <v>41</v>
      </c>
      <c r="R160" s="7" t="s">
        <v>41</v>
      </c>
      <c r="S160" s="7" t="s">
        <v>1612</v>
      </c>
      <c r="T160" s="7"/>
      <c r="U160" s="7"/>
      <c r="V160" s="7"/>
      <c r="W160" s="7" t="s">
        <v>41</v>
      </c>
      <c r="X160" s="7" t="s">
        <v>41</v>
      </c>
      <c r="Y160" s="7" t="s">
        <v>701</v>
      </c>
      <c r="Z160" s="11" t="s">
        <v>695</v>
      </c>
    </row>
    <row r="161" spans="1:26" ht="15" customHeight="1" x14ac:dyDescent="0.25">
      <c r="A161" s="8" t="s">
        <v>668</v>
      </c>
      <c r="B161" s="8" t="s">
        <v>702</v>
      </c>
      <c r="C161" s="8" t="s">
        <v>1552</v>
      </c>
      <c r="D161" s="8" t="s">
        <v>703</v>
      </c>
      <c r="E161" s="8" t="s">
        <v>34</v>
      </c>
      <c r="F161" s="8" t="s">
        <v>704</v>
      </c>
      <c r="G161" s="8" t="s">
        <v>705</v>
      </c>
      <c r="H161" s="8" t="s">
        <v>706</v>
      </c>
      <c r="I161" s="8" t="s">
        <v>707</v>
      </c>
      <c r="J161" s="8" t="s">
        <v>708</v>
      </c>
      <c r="K161" s="8"/>
      <c r="L161" s="8" t="s">
        <v>709</v>
      </c>
      <c r="M161" s="8" t="s">
        <v>1641</v>
      </c>
      <c r="N161" s="8"/>
      <c r="O161" s="8"/>
      <c r="P161" s="8" t="s">
        <v>41</v>
      </c>
      <c r="Q161" s="8" t="s">
        <v>41</v>
      </c>
      <c r="R161" s="8" t="s">
        <v>41</v>
      </c>
      <c r="S161" s="8" t="s">
        <v>1642</v>
      </c>
      <c r="T161" s="8"/>
      <c r="U161" s="8"/>
      <c r="V161" s="8" t="s">
        <v>41</v>
      </c>
      <c r="W161" s="8" t="s">
        <v>41</v>
      </c>
      <c r="X161" s="8" t="s">
        <v>41</v>
      </c>
      <c r="Y161" s="8" t="s">
        <v>710</v>
      </c>
      <c r="Z161" s="12" t="s">
        <v>711</v>
      </c>
    </row>
    <row r="162" spans="1:26" ht="15" customHeight="1" x14ac:dyDescent="0.25">
      <c r="A162" s="7" t="s">
        <v>668</v>
      </c>
      <c r="B162" s="7" t="s">
        <v>1457</v>
      </c>
      <c r="C162" s="7" t="s">
        <v>1553</v>
      </c>
      <c r="D162" s="7" t="s">
        <v>1458</v>
      </c>
      <c r="E162" s="7" t="s">
        <v>34</v>
      </c>
      <c r="F162" s="7" t="s">
        <v>1459</v>
      </c>
      <c r="G162" s="7" t="s">
        <v>1460</v>
      </c>
      <c r="H162" s="7" t="s">
        <v>1461</v>
      </c>
      <c r="I162" s="7" t="s">
        <v>1462</v>
      </c>
      <c r="J162" s="7" t="s">
        <v>1463</v>
      </c>
      <c r="K162" s="7"/>
      <c r="L162" s="7" t="s">
        <v>230</v>
      </c>
      <c r="M162" s="7" t="s">
        <v>1613</v>
      </c>
      <c r="N162" s="7" t="s">
        <v>1615</v>
      </c>
      <c r="O162" s="7"/>
      <c r="P162" s="7" t="s">
        <v>41</v>
      </c>
      <c r="Q162" s="7" t="s">
        <v>41</v>
      </c>
      <c r="R162" s="7" t="s">
        <v>41</v>
      </c>
      <c r="S162" s="7" t="s">
        <v>1614</v>
      </c>
      <c r="T162" s="7"/>
      <c r="U162" s="7"/>
      <c r="V162" s="7" t="s">
        <v>41</v>
      </c>
      <c r="W162" s="7" t="s">
        <v>41</v>
      </c>
      <c r="X162" s="7" t="s">
        <v>41</v>
      </c>
      <c r="Y162" s="7" t="s">
        <v>1464</v>
      </c>
      <c r="Z162" s="11" t="s">
        <v>1465</v>
      </c>
    </row>
    <row r="163" spans="1:26" ht="15" customHeight="1" x14ac:dyDescent="0.25">
      <c r="A163" s="8" t="s">
        <v>668</v>
      </c>
      <c r="B163" s="8" t="s">
        <v>712</v>
      </c>
      <c r="C163" s="8" t="s">
        <v>1552</v>
      </c>
      <c r="D163" s="8" t="s">
        <v>713</v>
      </c>
      <c r="E163" s="8" t="s">
        <v>34</v>
      </c>
      <c r="F163" s="8" t="s">
        <v>714</v>
      </c>
      <c r="G163" s="8" t="s">
        <v>715</v>
      </c>
      <c r="H163" s="8" t="s">
        <v>716</v>
      </c>
      <c r="I163" s="8" t="s">
        <v>717</v>
      </c>
      <c r="J163" s="8" t="s">
        <v>718</v>
      </c>
      <c r="K163" s="8" t="s">
        <v>111</v>
      </c>
      <c r="L163" s="8" t="s">
        <v>101</v>
      </c>
      <c r="M163" s="8" t="s">
        <v>1613</v>
      </c>
      <c r="N163" s="8"/>
      <c r="O163" s="8"/>
      <c r="P163" s="8" t="s">
        <v>41</v>
      </c>
      <c r="Q163" s="8" t="s">
        <v>41</v>
      </c>
      <c r="R163" s="8" t="s">
        <v>41</v>
      </c>
      <c r="S163" s="8" t="s">
        <v>1614</v>
      </c>
      <c r="T163" s="8"/>
      <c r="U163" s="8"/>
      <c r="V163" s="8" t="s">
        <v>41</v>
      </c>
      <c r="W163" s="8" t="s">
        <v>41</v>
      </c>
      <c r="X163" s="8" t="s">
        <v>41</v>
      </c>
      <c r="Y163" s="8" t="s">
        <v>719</v>
      </c>
      <c r="Z163" s="12" t="s">
        <v>720</v>
      </c>
    </row>
    <row r="164" spans="1:26" ht="15" customHeight="1" x14ac:dyDescent="0.25">
      <c r="A164" s="7" t="s">
        <v>668</v>
      </c>
      <c r="B164" s="7" t="s">
        <v>1466</v>
      </c>
      <c r="C164" s="7" t="s">
        <v>1553</v>
      </c>
      <c r="D164" s="7" t="s">
        <v>1467</v>
      </c>
      <c r="E164" s="7" t="s">
        <v>34</v>
      </c>
      <c r="F164" s="7" t="s">
        <v>1468</v>
      </c>
      <c r="G164" s="7" t="s">
        <v>1469</v>
      </c>
      <c r="H164" s="7" t="s">
        <v>1470</v>
      </c>
      <c r="I164" s="7" t="s">
        <v>1471</v>
      </c>
      <c r="J164" s="7" t="s">
        <v>1472</v>
      </c>
      <c r="K164" s="7" t="s">
        <v>1473</v>
      </c>
      <c r="L164" s="7" t="s">
        <v>40</v>
      </c>
      <c r="M164" s="7" t="s">
        <v>1606</v>
      </c>
      <c r="N164" s="7"/>
      <c r="O164" s="7"/>
      <c r="P164" s="7"/>
      <c r="Q164" s="7" t="s">
        <v>41</v>
      </c>
      <c r="R164" s="7" t="s">
        <v>41</v>
      </c>
      <c r="S164" s="7" t="s">
        <v>1607</v>
      </c>
      <c r="T164" s="7"/>
      <c r="U164" s="7"/>
      <c r="V164" s="7"/>
      <c r="W164" s="7" t="s">
        <v>41</v>
      </c>
      <c r="X164" s="7" t="s">
        <v>41</v>
      </c>
      <c r="Y164" s="7" t="s">
        <v>1474</v>
      </c>
      <c r="Z164" s="11" t="s">
        <v>1475</v>
      </c>
    </row>
    <row r="165" spans="1:26" ht="15" customHeight="1" x14ac:dyDescent="0.25">
      <c r="A165" s="8" t="s">
        <v>668</v>
      </c>
      <c r="B165" s="8" t="s">
        <v>1476</v>
      </c>
      <c r="C165" s="8" t="s">
        <v>1553</v>
      </c>
      <c r="D165" s="8" t="s">
        <v>1477</v>
      </c>
      <c r="E165" s="8" t="s">
        <v>34</v>
      </c>
      <c r="F165" s="8" t="s">
        <v>1478</v>
      </c>
      <c r="G165" s="8" t="s">
        <v>1479</v>
      </c>
      <c r="H165" s="8" t="s">
        <v>1480</v>
      </c>
      <c r="I165" s="8" t="s">
        <v>1481</v>
      </c>
      <c r="J165" s="8" t="s">
        <v>1482</v>
      </c>
      <c r="K165" s="8"/>
      <c r="L165" s="8" t="s">
        <v>81</v>
      </c>
      <c r="M165" s="8" t="s">
        <v>1102</v>
      </c>
      <c r="N165" s="8"/>
      <c r="O165" s="8"/>
      <c r="P165" s="8" t="s">
        <v>41</v>
      </c>
      <c r="Q165" s="8" t="s">
        <v>41</v>
      </c>
      <c r="R165" s="8" t="s">
        <v>41</v>
      </c>
      <c r="S165" s="8" t="s">
        <v>1612</v>
      </c>
      <c r="T165" s="8"/>
      <c r="U165" s="8"/>
      <c r="V165" s="8"/>
      <c r="W165" s="8" t="s">
        <v>41</v>
      </c>
      <c r="X165" s="8" t="s">
        <v>41</v>
      </c>
      <c r="Y165" s="8" t="s">
        <v>1483</v>
      </c>
      <c r="Z165" s="12" t="s">
        <v>1484</v>
      </c>
    </row>
    <row r="166" spans="1:26" ht="15" customHeight="1" x14ac:dyDescent="0.25">
      <c r="A166" s="7" t="s">
        <v>668</v>
      </c>
      <c r="B166" s="7" t="s">
        <v>1485</v>
      </c>
      <c r="C166" s="7" t="s">
        <v>1553</v>
      </c>
      <c r="D166" s="7" t="s">
        <v>1486</v>
      </c>
      <c r="E166" s="7" t="s">
        <v>55</v>
      </c>
      <c r="F166" s="7" t="s">
        <v>1487</v>
      </c>
      <c r="G166" s="7" t="s">
        <v>1488</v>
      </c>
      <c r="H166" s="7" t="s">
        <v>1489</v>
      </c>
      <c r="I166" s="7" t="s">
        <v>1490</v>
      </c>
      <c r="J166" s="7" t="s">
        <v>1491</v>
      </c>
      <c r="K166" s="7"/>
      <c r="L166" s="7" t="s">
        <v>1492</v>
      </c>
      <c r="M166" s="7" t="s">
        <v>1668</v>
      </c>
      <c r="N166" s="7"/>
      <c r="O166" s="7"/>
      <c r="P166" s="7"/>
      <c r="Q166" s="7" t="s">
        <v>41</v>
      </c>
      <c r="R166" s="7" t="s">
        <v>41</v>
      </c>
      <c r="S166" s="7" t="s">
        <v>1669</v>
      </c>
      <c r="T166" s="7"/>
      <c r="U166" s="7"/>
      <c r="V166" s="7"/>
      <c r="W166" s="7"/>
      <c r="X166" s="7" t="s">
        <v>41</v>
      </c>
      <c r="Y166" s="7" t="s">
        <v>1493</v>
      </c>
      <c r="Z166" s="11"/>
    </row>
    <row r="167" spans="1:26" ht="15" customHeight="1" x14ac:dyDescent="0.25">
      <c r="A167" s="8" t="s">
        <v>668</v>
      </c>
      <c r="B167" s="8" t="s">
        <v>721</v>
      </c>
      <c r="C167" s="8" t="s">
        <v>1552</v>
      </c>
      <c r="D167" s="8" t="s">
        <v>722</v>
      </c>
      <c r="E167" s="8" t="s">
        <v>34</v>
      </c>
      <c r="F167" s="8" t="s">
        <v>723</v>
      </c>
      <c r="G167" s="8" t="s">
        <v>724</v>
      </c>
      <c r="H167" s="8" t="s">
        <v>725</v>
      </c>
      <c r="I167" s="8" t="s">
        <v>726</v>
      </c>
      <c r="J167" s="8" t="s">
        <v>727</v>
      </c>
      <c r="K167" s="8"/>
      <c r="L167" s="8" t="s">
        <v>728</v>
      </c>
      <c r="M167" s="8" t="s">
        <v>1643</v>
      </c>
      <c r="N167" s="8"/>
      <c r="O167" s="8"/>
      <c r="P167" s="8" t="s">
        <v>41</v>
      </c>
      <c r="Q167" s="8" t="s">
        <v>41</v>
      </c>
      <c r="R167" s="8" t="s">
        <v>41</v>
      </c>
      <c r="S167" s="8" t="s">
        <v>1644</v>
      </c>
      <c r="T167" s="8"/>
      <c r="U167" s="8"/>
      <c r="V167" s="8"/>
      <c r="W167" s="8" t="s">
        <v>41</v>
      </c>
      <c r="X167" s="8" t="s">
        <v>41</v>
      </c>
      <c r="Y167" s="8" t="s">
        <v>729</v>
      </c>
      <c r="Z167" s="12" t="s">
        <v>730</v>
      </c>
    </row>
    <row r="168" spans="1:26" ht="15" customHeight="1" x14ac:dyDescent="0.25">
      <c r="A168" s="7" t="s">
        <v>731</v>
      </c>
      <c r="B168" s="7"/>
      <c r="C168" s="7"/>
      <c r="D168" s="7" t="s">
        <v>732</v>
      </c>
      <c r="E168" s="7"/>
      <c r="F168" s="7"/>
      <c r="G168" s="7"/>
      <c r="H168" s="7"/>
      <c r="I168" s="7"/>
      <c r="J168" s="7"/>
      <c r="K168" s="7"/>
      <c r="L168" s="7"/>
      <c r="M168" s="7"/>
      <c r="N168" s="7"/>
      <c r="O168" s="7"/>
      <c r="P168" s="7"/>
      <c r="Q168" s="7"/>
      <c r="R168" s="7"/>
      <c r="S168" s="7"/>
      <c r="T168" s="7"/>
      <c r="U168" s="7"/>
      <c r="V168" s="7"/>
      <c r="W168" s="7"/>
      <c r="X168" s="7"/>
      <c r="Y168" s="7"/>
      <c r="Z168" s="11"/>
    </row>
    <row r="169" spans="1:26" ht="15" customHeight="1" x14ac:dyDescent="0.25">
      <c r="A169" s="8" t="s">
        <v>731</v>
      </c>
      <c r="B169" s="8" t="s">
        <v>1494</v>
      </c>
      <c r="C169" s="8" t="s">
        <v>1553</v>
      </c>
      <c r="D169" s="8" t="s">
        <v>1495</v>
      </c>
      <c r="E169" s="8" t="s">
        <v>34</v>
      </c>
      <c r="F169" s="8" t="s">
        <v>1496</v>
      </c>
      <c r="G169" s="8" t="s">
        <v>1497</v>
      </c>
      <c r="H169" s="8" t="s">
        <v>1498</v>
      </c>
      <c r="I169" s="8" t="s">
        <v>1499</v>
      </c>
      <c r="J169" s="8" t="s">
        <v>1500</v>
      </c>
      <c r="K169" s="8"/>
      <c r="L169" s="8" t="s">
        <v>1501</v>
      </c>
      <c r="M169" s="8" t="s">
        <v>1632</v>
      </c>
      <c r="N169" s="8" t="s">
        <v>1631</v>
      </c>
      <c r="O169" s="8"/>
      <c r="P169" s="8" t="s">
        <v>41</v>
      </c>
      <c r="Q169" s="8" t="s">
        <v>41</v>
      </c>
      <c r="R169" s="8" t="s">
        <v>41</v>
      </c>
      <c r="S169" s="8" t="s">
        <v>768</v>
      </c>
      <c r="T169" s="8" t="s">
        <v>1659</v>
      </c>
      <c r="U169" s="8"/>
      <c r="V169" s="8"/>
      <c r="W169" s="8" t="s">
        <v>41</v>
      </c>
      <c r="X169" s="8" t="s">
        <v>41</v>
      </c>
      <c r="Y169" s="8" t="s">
        <v>1502</v>
      </c>
      <c r="Z169" s="12" t="s">
        <v>1503</v>
      </c>
    </row>
    <row r="170" spans="1:26" ht="15" customHeight="1" x14ac:dyDescent="0.25">
      <c r="A170" s="7" t="s">
        <v>733</v>
      </c>
      <c r="B170" s="7"/>
      <c r="C170" s="7"/>
      <c r="D170" s="7" t="s">
        <v>734</v>
      </c>
      <c r="E170" s="7"/>
      <c r="F170" s="7" t="s">
        <v>735</v>
      </c>
      <c r="G170" s="7"/>
      <c r="H170" s="7"/>
      <c r="I170" s="7"/>
      <c r="J170" s="7"/>
      <c r="K170" s="7"/>
      <c r="L170" s="7"/>
      <c r="M170" s="7"/>
      <c r="N170" s="7"/>
      <c r="O170" s="7"/>
      <c r="P170" s="7"/>
      <c r="Q170" s="7"/>
      <c r="R170" s="7"/>
      <c r="S170" s="7"/>
      <c r="T170" s="7"/>
      <c r="U170" s="7"/>
      <c r="V170" s="7"/>
      <c r="W170" s="7"/>
      <c r="X170" s="7"/>
      <c r="Y170" s="7"/>
      <c r="Z170" s="11"/>
    </row>
    <row r="171" spans="1:26" ht="15" customHeight="1" x14ac:dyDescent="0.25">
      <c r="A171" s="8" t="s">
        <v>736</v>
      </c>
      <c r="B171" s="8"/>
      <c r="C171" s="8"/>
      <c r="D171" s="8" t="s">
        <v>737</v>
      </c>
      <c r="E171" s="8"/>
      <c r="F171" s="8" t="s">
        <v>738</v>
      </c>
      <c r="G171" s="8"/>
      <c r="H171" s="8"/>
      <c r="I171" s="8"/>
      <c r="J171" s="8"/>
      <c r="K171" s="8"/>
      <c r="L171" s="8"/>
      <c r="M171" s="8"/>
      <c r="N171" s="8"/>
      <c r="O171" s="8"/>
      <c r="P171" s="8"/>
      <c r="Q171" s="8"/>
      <c r="R171" s="8"/>
      <c r="S171" s="8"/>
      <c r="T171" s="8"/>
      <c r="U171" s="8"/>
      <c r="V171" s="8"/>
      <c r="W171" s="8"/>
      <c r="X171" s="8"/>
      <c r="Y171" s="8"/>
      <c r="Z171" s="12"/>
    </row>
    <row r="172" spans="1:26" ht="15" customHeight="1" x14ac:dyDescent="0.25">
      <c r="A172" s="7" t="s">
        <v>736</v>
      </c>
      <c r="B172" s="7" t="s">
        <v>739</v>
      </c>
      <c r="C172" s="7" t="s">
        <v>1552</v>
      </c>
      <c r="D172" s="7" t="s">
        <v>740</v>
      </c>
      <c r="E172" s="7" t="s">
        <v>34</v>
      </c>
      <c r="F172" s="7" t="s">
        <v>741</v>
      </c>
      <c r="G172" s="7" t="s">
        <v>742</v>
      </c>
      <c r="H172" s="7" t="s">
        <v>743</v>
      </c>
      <c r="I172" s="7" t="s">
        <v>744</v>
      </c>
      <c r="J172" s="7" t="s">
        <v>745</v>
      </c>
      <c r="K172" s="7"/>
      <c r="L172" s="7" t="s">
        <v>746</v>
      </c>
      <c r="M172" s="7" t="s">
        <v>1641</v>
      </c>
      <c r="N172" s="7"/>
      <c r="O172" s="7"/>
      <c r="P172" s="7" t="s">
        <v>41</v>
      </c>
      <c r="Q172" s="7" t="s">
        <v>41</v>
      </c>
      <c r="R172" s="7" t="s">
        <v>41</v>
      </c>
      <c r="S172" s="7" t="s">
        <v>1645</v>
      </c>
      <c r="T172" s="7"/>
      <c r="U172" s="7"/>
      <c r="V172" s="7" t="s">
        <v>41</v>
      </c>
      <c r="W172" s="7" t="s">
        <v>41</v>
      </c>
      <c r="X172" s="7" t="s">
        <v>41</v>
      </c>
      <c r="Y172" s="7" t="s">
        <v>747</v>
      </c>
      <c r="Z172" s="11" t="s">
        <v>748</v>
      </c>
    </row>
    <row r="173" spans="1:26" ht="15" customHeight="1" x14ac:dyDescent="0.25">
      <c r="A173" s="8" t="s">
        <v>736</v>
      </c>
      <c r="B173" s="8" t="s">
        <v>749</v>
      </c>
      <c r="C173" s="8" t="s">
        <v>1552</v>
      </c>
      <c r="D173" s="8" t="s">
        <v>750</v>
      </c>
      <c r="E173" s="8" t="s">
        <v>34</v>
      </c>
      <c r="F173" s="8" t="s">
        <v>751</v>
      </c>
      <c r="G173" s="8" t="s">
        <v>752</v>
      </c>
      <c r="H173" s="8" t="s">
        <v>753</v>
      </c>
      <c r="I173" s="8" t="s">
        <v>754</v>
      </c>
      <c r="J173" s="8" t="s">
        <v>755</v>
      </c>
      <c r="K173" s="8"/>
      <c r="L173" s="8" t="s">
        <v>756</v>
      </c>
      <c r="M173" s="8" t="s">
        <v>1646</v>
      </c>
      <c r="N173" s="8"/>
      <c r="O173" s="8"/>
      <c r="P173" s="8"/>
      <c r="Q173" s="8" t="s">
        <v>41</v>
      </c>
      <c r="R173" s="8" t="s">
        <v>41</v>
      </c>
      <c r="S173" s="8" t="s">
        <v>768</v>
      </c>
      <c r="T173" s="8"/>
      <c r="U173" s="8"/>
      <c r="V173" s="8"/>
      <c r="W173" s="8" t="s">
        <v>41</v>
      </c>
      <c r="X173" s="8" t="s">
        <v>41</v>
      </c>
      <c r="Y173" s="8" t="s">
        <v>757</v>
      </c>
      <c r="Z173" s="12" t="s">
        <v>758</v>
      </c>
    </row>
    <row r="174" spans="1:26" ht="15" customHeight="1" x14ac:dyDescent="0.25">
      <c r="A174" s="7" t="s">
        <v>736</v>
      </c>
      <c r="B174" s="7" t="s">
        <v>759</v>
      </c>
      <c r="C174" s="7" t="s">
        <v>1552</v>
      </c>
      <c r="D174" s="7" t="s">
        <v>760</v>
      </c>
      <c r="E174" s="7" t="s">
        <v>34</v>
      </c>
      <c r="F174" s="7" t="s">
        <v>761</v>
      </c>
      <c r="G174" s="7" t="s">
        <v>762</v>
      </c>
      <c r="H174" s="7" t="s">
        <v>763</v>
      </c>
      <c r="I174" s="7" t="s">
        <v>764</v>
      </c>
      <c r="J174" s="7" t="s">
        <v>765</v>
      </c>
      <c r="K174" s="7"/>
      <c r="L174" s="7" t="s">
        <v>570</v>
      </c>
      <c r="M174" s="7" t="s">
        <v>1633</v>
      </c>
      <c r="N174" s="7"/>
      <c r="O174" s="7"/>
      <c r="P174" s="7"/>
      <c r="Q174" s="7" t="s">
        <v>41</v>
      </c>
      <c r="R174" s="7" t="s">
        <v>41</v>
      </c>
      <c r="S174" s="7" t="s">
        <v>1634</v>
      </c>
      <c r="T174" s="7"/>
      <c r="U174" s="7"/>
      <c r="V174" s="7"/>
      <c r="W174" s="7" t="s">
        <v>41</v>
      </c>
      <c r="X174" s="7" t="s">
        <v>41</v>
      </c>
      <c r="Y174" s="7" t="s">
        <v>766</v>
      </c>
      <c r="Z174" s="11" t="s">
        <v>767</v>
      </c>
    </row>
    <row r="175" spans="1:26" ht="15" customHeight="1" x14ac:dyDescent="0.25">
      <c r="A175" s="8" t="s">
        <v>768</v>
      </c>
      <c r="B175" s="8"/>
      <c r="C175" s="8"/>
      <c r="D175" s="8" t="s">
        <v>769</v>
      </c>
      <c r="E175" s="8"/>
      <c r="F175" s="8" t="s">
        <v>770</v>
      </c>
      <c r="G175" s="8"/>
      <c r="H175" s="8"/>
      <c r="I175" s="8"/>
      <c r="J175" s="8"/>
      <c r="K175" s="8"/>
      <c r="L175" s="8"/>
      <c r="M175" s="8"/>
      <c r="N175" s="8"/>
      <c r="O175" s="8"/>
      <c r="P175" s="8"/>
      <c r="Q175" s="8"/>
      <c r="R175" s="8"/>
      <c r="S175" s="8"/>
      <c r="T175" s="8"/>
      <c r="U175" s="8"/>
      <c r="V175" s="8"/>
      <c r="W175" s="8"/>
      <c r="X175" s="8"/>
      <c r="Y175" s="8"/>
      <c r="Z175" s="12"/>
    </row>
    <row r="176" spans="1:26" ht="15" customHeight="1" x14ac:dyDescent="0.25">
      <c r="A176" s="7" t="s">
        <v>768</v>
      </c>
      <c r="B176" s="7" t="s">
        <v>771</v>
      </c>
      <c r="C176" s="7" t="s">
        <v>1552</v>
      </c>
      <c r="D176" s="7" t="s">
        <v>772</v>
      </c>
      <c r="E176" s="7" t="s">
        <v>34</v>
      </c>
      <c r="F176" s="7" t="s">
        <v>773</v>
      </c>
      <c r="G176" s="7" t="s">
        <v>774</v>
      </c>
      <c r="H176" s="7" t="s">
        <v>775</v>
      </c>
      <c r="I176" s="7" t="s">
        <v>776</v>
      </c>
      <c r="J176" s="7" t="s">
        <v>777</v>
      </c>
      <c r="K176" s="7"/>
      <c r="L176" s="7" t="s">
        <v>746</v>
      </c>
      <c r="M176" s="7" t="s">
        <v>1641</v>
      </c>
      <c r="N176" s="7"/>
      <c r="O176" s="7"/>
      <c r="P176" s="7" t="s">
        <v>41</v>
      </c>
      <c r="Q176" s="7" t="s">
        <v>41</v>
      </c>
      <c r="R176" s="7" t="s">
        <v>41</v>
      </c>
      <c r="S176" s="7" t="s">
        <v>1645</v>
      </c>
      <c r="T176" s="7"/>
      <c r="U176" s="7"/>
      <c r="V176" s="7" t="s">
        <v>41</v>
      </c>
      <c r="W176" s="7" t="s">
        <v>41</v>
      </c>
      <c r="X176" s="7" t="s">
        <v>41</v>
      </c>
      <c r="Y176" s="7" t="s">
        <v>778</v>
      </c>
      <c r="Z176" s="11" t="s">
        <v>779</v>
      </c>
    </row>
    <row r="177" spans="1:26" ht="15" customHeight="1" x14ac:dyDescent="0.25">
      <c r="A177" s="8" t="s">
        <v>768</v>
      </c>
      <c r="B177" s="8" t="s">
        <v>780</v>
      </c>
      <c r="C177" s="8" t="s">
        <v>1552</v>
      </c>
      <c r="D177" s="8" t="s">
        <v>781</v>
      </c>
      <c r="E177" s="8" t="s">
        <v>34</v>
      </c>
      <c r="F177" s="8" t="s">
        <v>782</v>
      </c>
      <c r="G177" s="8" t="s">
        <v>783</v>
      </c>
      <c r="H177" s="8" t="s">
        <v>784</v>
      </c>
      <c r="I177" s="8" t="s">
        <v>785</v>
      </c>
      <c r="J177" s="8" t="s">
        <v>786</v>
      </c>
      <c r="K177" s="8"/>
      <c r="L177" s="8" t="s">
        <v>746</v>
      </c>
      <c r="M177" s="8" t="s">
        <v>1641</v>
      </c>
      <c r="N177" s="8"/>
      <c r="O177" s="8"/>
      <c r="P177" s="8" t="s">
        <v>41</v>
      </c>
      <c r="Q177" s="8" t="s">
        <v>41</v>
      </c>
      <c r="R177" s="8" t="s">
        <v>41</v>
      </c>
      <c r="S177" s="8" t="s">
        <v>1645</v>
      </c>
      <c r="T177" s="8"/>
      <c r="U177" s="8"/>
      <c r="V177" s="8" t="s">
        <v>41</v>
      </c>
      <c r="W177" s="8" t="s">
        <v>41</v>
      </c>
      <c r="X177" s="8" t="s">
        <v>41</v>
      </c>
      <c r="Y177" s="8" t="s">
        <v>787</v>
      </c>
      <c r="Z177" s="12" t="s">
        <v>788</v>
      </c>
    </row>
    <row r="178" spans="1:26" ht="15" customHeight="1" x14ac:dyDescent="0.25">
      <c r="A178" s="7" t="s">
        <v>768</v>
      </c>
      <c r="B178" s="7" t="s">
        <v>1504</v>
      </c>
      <c r="C178" s="7" t="s">
        <v>1553</v>
      </c>
      <c r="D178" s="7" t="s">
        <v>1505</v>
      </c>
      <c r="E178" s="7" t="s">
        <v>34</v>
      </c>
      <c r="F178" s="7" t="s">
        <v>1506</v>
      </c>
      <c r="G178" s="7" t="s">
        <v>1507</v>
      </c>
      <c r="H178" s="7" t="s">
        <v>1508</v>
      </c>
      <c r="I178" s="7" t="s">
        <v>1509</v>
      </c>
      <c r="J178" s="7" t="s">
        <v>1510</v>
      </c>
      <c r="K178" s="7"/>
      <c r="L178" s="7" t="s">
        <v>1511</v>
      </c>
      <c r="M178" s="7" t="s">
        <v>1641</v>
      </c>
      <c r="N178" s="7"/>
      <c r="O178" s="7"/>
      <c r="P178" s="7" t="s">
        <v>41</v>
      </c>
      <c r="Q178" s="7" t="s">
        <v>41</v>
      </c>
      <c r="R178" s="7" t="s">
        <v>41</v>
      </c>
      <c r="S178" s="7" t="s">
        <v>1665</v>
      </c>
      <c r="T178" s="7"/>
      <c r="U178" s="7"/>
      <c r="V178" s="7" t="s">
        <v>41</v>
      </c>
      <c r="W178" s="7" t="s">
        <v>41</v>
      </c>
      <c r="X178" s="7" t="s">
        <v>41</v>
      </c>
      <c r="Y178" s="7" t="s">
        <v>1512</v>
      </c>
      <c r="Z178" s="11" t="s">
        <v>1513</v>
      </c>
    </row>
    <row r="179" spans="1:26" ht="15" customHeight="1" x14ac:dyDescent="0.25">
      <c r="A179" s="8" t="s">
        <v>789</v>
      </c>
      <c r="B179" s="8"/>
      <c r="C179" s="8"/>
      <c r="D179" s="8" t="s">
        <v>790</v>
      </c>
      <c r="E179" s="8"/>
      <c r="F179" s="8" t="s">
        <v>791</v>
      </c>
      <c r="G179" s="8"/>
      <c r="H179" s="8"/>
      <c r="I179" s="8"/>
      <c r="J179" s="8"/>
      <c r="K179" s="8"/>
      <c r="L179" s="8"/>
      <c r="M179" s="8"/>
      <c r="N179" s="8"/>
      <c r="O179" s="8"/>
      <c r="P179" s="8"/>
      <c r="Q179" s="8"/>
      <c r="R179" s="8"/>
      <c r="S179" s="8"/>
      <c r="T179" s="8"/>
      <c r="U179" s="8"/>
      <c r="V179" s="8"/>
      <c r="W179" s="8"/>
      <c r="X179" s="8"/>
      <c r="Y179" s="8"/>
      <c r="Z179" s="12"/>
    </row>
    <row r="180" spans="1:26" ht="15" customHeight="1" x14ac:dyDescent="0.25">
      <c r="A180" s="7" t="s">
        <v>789</v>
      </c>
      <c r="B180" s="7" t="s">
        <v>792</v>
      </c>
      <c r="C180" s="7" t="s">
        <v>1552</v>
      </c>
      <c r="D180" s="7" t="s">
        <v>793</v>
      </c>
      <c r="E180" s="7" t="s">
        <v>34</v>
      </c>
      <c r="F180" s="7" t="s">
        <v>794</v>
      </c>
      <c r="G180" s="7" t="s">
        <v>795</v>
      </c>
      <c r="H180" s="7"/>
      <c r="I180" s="7" t="s">
        <v>796</v>
      </c>
      <c r="J180" s="7" t="s">
        <v>797</v>
      </c>
      <c r="K180" s="7"/>
      <c r="L180" s="7" t="s">
        <v>570</v>
      </c>
      <c r="M180" s="7" t="s">
        <v>1633</v>
      </c>
      <c r="N180" s="7"/>
      <c r="O180" s="7"/>
      <c r="P180" s="7"/>
      <c r="Q180" s="7" t="s">
        <v>41</v>
      </c>
      <c r="R180" s="7" t="s">
        <v>41</v>
      </c>
      <c r="S180" s="7" t="s">
        <v>1634</v>
      </c>
      <c r="T180" s="7"/>
      <c r="U180" s="7"/>
      <c r="V180" s="7"/>
      <c r="W180" s="7" t="s">
        <v>41</v>
      </c>
      <c r="X180" s="7" t="s">
        <v>41</v>
      </c>
      <c r="Y180" s="7" t="s">
        <v>798</v>
      </c>
      <c r="Z180" s="11" t="s">
        <v>799</v>
      </c>
    </row>
    <row r="181" spans="1:26" ht="15" customHeight="1" x14ac:dyDescent="0.25">
      <c r="A181" s="8" t="s">
        <v>789</v>
      </c>
      <c r="B181" s="8" t="s">
        <v>1514</v>
      </c>
      <c r="C181" s="8" t="s">
        <v>1553</v>
      </c>
      <c r="D181" s="8" t="s">
        <v>1515</v>
      </c>
      <c r="E181" s="8" t="s">
        <v>34</v>
      </c>
      <c r="F181" s="8" t="s">
        <v>1516</v>
      </c>
      <c r="G181" s="8" t="s">
        <v>1517</v>
      </c>
      <c r="H181" s="8" t="s">
        <v>1518</v>
      </c>
      <c r="I181" s="8" t="s">
        <v>1519</v>
      </c>
      <c r="J181" s="8" t="s">
        <v>1520</v>
      </c>
      <c r="K181" s="8"/>
      <c r="L181" s="8" t="s">
        <v>1521</v>
      </c>
      <c r="M181" s="8" t="s">
        <v>1613</v>
      </c>
      <c r="N181" s="8" t="s">
        <v>1670</v>
      </c>
      <c r="O181" s="8"/>
      <c r="P181" s="8" t="s">
        <v>41</v>
      </c>
      <c r="Q181" s="8" t="s">
        <v>41</v>
      </c>
      <c r="R181" s="8" t="s">
        <v>41</v>
      </c>
      <c r="S181" s="8" t="s">
        <v>1648</v>
      </c>
      <c r="T181" s="8"/>
      <c r="U181" s="8"/>
      <c r="V181" s="8"/>
      <c r="W181" s="8"/>
      <c r="X181" s="8" t="s">
        <v>41</v>
      </c>
      <c r="Y181" s="8" t="s">
        <v>1522</v>
      </c>
      <c r="Z181" s="12" t="s">
        <v>891</v>
      </c>
    </row>
    <row r="182" spans="1:26" ht="15" customHeight="1" x14ac:dyDescent="0.25">
      <c r="A182" s="7" t="s">
        <v>789</v>
      </c>
      <c r="B182" s="7" t="s">
        <v>800</v>
      </c>
      <c r="C182" s="7" t="s">
        <v>1552</v>
      </c>
      <c r="D182" s="7" t="s">
        <v>801</v>
      </c>
      <c r="E182" s="7" t="s">
        <v>34</v>
      </c>
      <c r="F182" s="7" t="s">
        <v>802</v>
      </c>
      <c r="G182" s="7" t="s">
        <v>803</v>
      </c>
      <c r="H182" s="7" t="s">
        <v>804</v>
      </c>
      <c r="I182" s="7" t="s">
        <v>805</v>
      </c>
      <c r="J182" s="7" t="s">
        <v>806</v>
      </c>
      <c r="K182" s="7"/>
      <c r="L182" s="7" t="s">
        <v>570</v>
      </c>
      <c r="M182" s="7" t="s">
        <v>1633</v>
      </c>
      <c r="N182" s="7"/>
      <c r="O182" s="7"/>
      <c r="P182" s="7"/>
      <c r="Q182" s="7" t="s">
        <v>41</v>
      </c>
      <c r="R182" s="7" t="s">
        <v>41</v>
      </c>
      <c r="S182" s="7" t="s">
        <v>1634</v>
      </c>
      <c r="T182" s="7"/>
      <c r="U182" s="7"/>
      <c r="V182" s="7"/>
      <c r="W182" s="7" t="s">
        <v>41</v>
      </c>
      <c r="X182" s="7" t="s">
        <v>41</v>
      </c>
      <c r="Y182" s="7" t="s">
        <v>807</v>
      </c>
      <c r="Z182" s="11" t="s">
        <v>808</v>
      </c>
    </row>
    <row r="183" spans="1:26" ht="15" customHeight="1" x14ac:dyDescent="0.25">
      <c r="A183" s="8" t="s">
        <v>789</v>
      </c>
      <c r="B183" s="8" t="s">
        <v>809</v>
      </c>
      <c r="C183" s="8" t="s">
        <v>1552</v>
      </c>
      <c r="D183" s="8" t="s">
        <v>810</v>
      </c>
      <c r="E183" s="8" t="s">
        <v>34</v>
      </c>
      <c r="F183" s="8" t="s">
        <v>811</v>
      </c>
      <c r="G183" s="8" t="s">
        <v>812</v>
      </c>
      <c r="H183" s="8" t="s">
        <v>813</v>
      </c>
      <c r="I183" s="8" t="s">
        <v>814</v>
      </c>
      <c r="J183" s="8" t="s">
        <v>815</v>
      </c>
      <c r="K183" s="8"/>
      <c r="L183" s="8" t="s">
        <v>816</v>
      </c>
      <c r="M183" s="8" t="s">
        <v>1613</v>
      </c>
      <c r="N183" s="8"/>
      <c r="O183" s="8"/>
      <c r="P183" s="8" t="s">
        <v>41</v>
      </c>
      <c r="Q183" s="8" t="s">
        <v>41</v>
      </c>
      <c r="R183" s="8" t="s">
        <v>41</v>
      </c>
      <c r="S183" s="8" t="s">
        <v>1631</v>
      </c>
      <c r="T183" s="8"/>
      <c r="U183" s="8"/>
      <c r="V183" s="8"/>
      <c r="W183" s="8" t="s">
        <v>41</v>
      </c>
      <c r="X183" s="8" t="s">
        <v>41</v>
      </c>
      <c r="Y183" s="8" t="s">
        <v>817</v>
      </c>
      <c r="Z183" s="12" t="s">
        <v>818</v>
      </c>
    </row>
    <row r="184" spans="1:26" ht="15" customHeight="1" x14ac:dyDescent="0.25">
      <c r="A184" s="7" t="s">
        <v>789</v>
      </c>
      <c r="B184" s="7" t="s">
        <v>819</v>
      </c>
      <c r="C184" s="7" t="s">
        <v>1552</v>
      </c>
      <c r="D184" s="7" t="s">
        <v>820</v>
      </c>
      <c r="E184" s="7" t="s">
        <v>34</v>
      </c>
      <c r="F184" s="7" t="s">
        <v>821</v>
      </c>
      <c r="G184" s="7" t="s">
        <v>822</v>
      </c>
      <c r="H184" s="7" t="s">
        <v>823</v>
      </c>
      <c r="I184" s="7" t="s">
        <v>824</v>
      </c>
      <c r="J184" s="7" t="s">
        <v>825</v>
      </c>
      <c r="K184" s="7"/>
      <c r="L184" s="7" t="s">
        <v>101</v>
      </c>
      <c r="M184" s="7" t="s">
        <v>1613</v>
      </c>
      <c r="N184" s="7"/>
      <c r="O184" s="7"/>
      <c r="P184" s="7" t="s">
        <v>41</v>
      </c>
      <c r="Q184" s="7" t="s">
        <v>41</v>
      </c>
      <c r="R184" s="7" t="s">
        <v>41</v>
      </c>
      <c r="S184" s="7" t="s">
        <v>1614</v>
      </c>
      <c r="T184" s="7"/>
      <c r="U184" s="7"/>
      <c r="V184" s="7" t="s">
        <v>41</v>
      </c>
      <c r="W184" s="7" t="s">
        <v>41</v>
      </c>
      <c r="X184" s="7" t="s">
        <v>41</v>
      </c>
      <c r="Y184" s="7" t="s">
        <v>826</v>
      </c>
      <c r="Z184" s="11" t="s">
        <v>827</v>
      </c>
    </row>
    <row r="185" spans="1:26" ht="15" customHeight="1" x14ac:dyDescent="0.25">
      <c r="A185" s="8" t="s">
        <v>789</v>
      </c>
      <c r="B185" s="8" t="s">
        <v>828</v>
      </c>
      <c r="C185" s="8" t="s">
        <v>1552</v>
      </c>
      <c r="D185" s="8" t="s">
        <v>829</v>
      </c>
      <c r="E185" s="8" t="s">
        <v>55</v>
      </c>
      <c r="F185" s="8" t="s">
        <v>830</v>
      </c>
      <c r="G185" s="8" t="s">
        <v>831</v>
      </c>
      <c r="H185" s="8" t="s">
        <v>832</v>
      </c>
      <c r="I185" s="8" t="s">
        <v>833</v>
      </c>
      <c r="J185" s="8" t="s">
        <v>834</v>
      </c>
      <c r="K185" s="8"/>
      <c r="L185" s="8" t="s">
        <v>835</v>
      </c>
      <c r="M185" s="8" t="s">
        <v>114</v>
      </c>
      <c r="N185" s="8"/>
      <c r="O185" s="8"/>
      <c r="P185" s="8"/>
      <c r="Q185" s="8"/>
      <c r="R185" s="8"/>
      <c r="S185" s="8"/>
      <c r="T185" s="8"/>
      <c r="U185" s="8"/>
      <c r="V185" s="8"/>
      <c r="W185" s="8"/>
      <c r="X185" s="8"/>
      <c r="Y185" s="8" t="s">
        <v>836</v>
      </c>
      <c r="Z185" s="12" t="s">
        <v>837</v>
      </c>
    </row>
    <row r="186" spans="1:26" ht="15" customHeight="1" x14ac:dyDescent="0.25">
      <c r="A186" s="7" t="s">
        <v>789</v>
      </c>
      <c r="B186" s="7" t="s">
        <v>1523</v>
      </c>
      <c r="C186" s="7" t="s">
        <v>1553</v>
      </c>
      <c r="D186" s="7" t="s">
        <v>1524</v>
      </c>
      <c r="E186" s="7" t="s">
        <v>55</v>
      </c>
      <c r="F186" s="7" t="s">
        <v>1525</v>
      </c>
      <c r="G186" s="7" t="s">
        <v>1526</v>
      </c>
      <c r="H186" s="7" t="s">
        <v>1527</v>
      </c>
      <c r="I186" s="7" t="s">
        <v>1528</v>
      </c>
      <c r="J186" s="7" t="s">
        <v>1529</v>
      </c>
      <c r="K186" s="7"/>
      <c r="L186" s="7" t="s">
        <v>835</v>
      </c>
      <c r="M186" s="7" t="s">
        <v>114</v>
      </c>
      <c r="N186" s="7"/>
      <c r="O186" s="7"/>
      <c r="P186" s="7"/>
      <c r="Q186" s="7"/>
      <c r="R186" s="7"/>
      <c r="S186" s="7"/>
      <c r="T186" s="7"/>
      <c r="U186" s="7"/>
      <c r="V186" s="7"/>
      <c r="W186" s="7"/>
      <c r="X186" s="7"/>
      <c r="Y186" s="7" t="s">
        <v>1530</v>
      </c>
      <c r="Z186" s="11" t="s">
        <v>837</v>
      </c>
    </row>
    <row r="187" spans="1:26" ht="15" customHeight="1" x14ac:dyDescent="0.25">
      <c r="A187" s="8" t="s">
        <v>789</v>
      </c>
      <c r="B187" s="8" t="s">
        <v>1531</v>
      </c>
      <c r="C187" s="8" t="s">
        <v>1553</v>
      </c>
      <c r="D187" s="8" t="s">
        <v>1532</v>
      </c>
      <c r="E187" s="8" t="s">
        <v>34</v>
      </c>
      <c r="F187" s="8" t="s">
        <v>1533</v>
      </c>
      <c r="G187" s="8" t="s">
        <v>1534</v>
      </c>
      <c r="H187" s="8" t="s">
        <v>1535</v>
      </c>
      <c r="I187" s="8" t="s">
        <v>1536</v>
      </c>
      <c r="J187" s="8" t="s">
        <v>1537</v>
      </c>
      <c r="K187" s="8" t="s">
        <v>1538</v>
      </c>
      <c r="L187" s="8" t="s">
        <v>1539</v>
      </c>
      <c r="M187" s="8" t="s">
        <v>1641</v>
      </c>
      <c r="N187" s="8"/>
      <c r="O187" s="8"/>
      <c r="P187" s="8" t="s">
        <v>41</v>
      </c>
      <c r="Q187" s="8" t="s">
        <v>41</v>
      </c>
      <c r="R187" s="8" t="s">
        <v>41</v>
      </c>
      <c r="S187" s="8" t="s">
        <v>1671</v>
      </c>
      <c r="T187" s="8"/>
      <c r="U187" s="8"/>
      <c r="V187" s="8"/>
      <c r="W187" s="8"/>
      <c r="X187" s="8"/>
      <c r="Y187" s="8" t="s">
        <v>1540</v>
      </c>
      <c r="Z187" s="12" t="s">
        <v>1541</v>
      </c>
    </row>
    <row r="188" spans="1:26" ht="15" customHeight="1" x14ac:dyDescent="0.25">
      <c r="A188" s="7" t="s">
        <v>838</v>
      </c>
      <c r="B188" s="7"/>
      <c r="C188" s="7"/>
      <c r="D188" s="7" t="s">
        <v>839</v>
      </c>
      <c r="E188" s="7"/>
      <c r="F188" s="7"/>
      <c r="G188" s="7"/>
      <c r="H188" s="7"/>
      <c r="I188" s="7"/>
      <c r="J188" s="7"/>
      <c r="K188" s="7"/>
      <c r="L188" s="7"/>
      <c r="M188" s="7"/>
      <c r="N188" s="7"/>
      <c r="O188" s="7"/>
      <c r="P188" s="7"/>
      <c r="Q188" s="7"/>
      <c r="R188" s="7"/>
      <c r="S188" s="7"/>
      <c r="T188" s="7"/>
      <c r="U188" s="7"/>
      <c r="V188" s="7"/>
      <c r="W188" s="7"/>
      <c r="X188" s="7"/>
      <c r="Y188" s="7"/>
      <c r="Z188" s="11"/>
    </row>
    <row r="189" spans="1:26" ht="15" customHeight="1" x14ac:dyDescent="0.25">
      <c r="A189" s="8" t="s">
        <v>838</v>
      </c>
      <c r="B189" s="8" t="s">
        <v>840</v>
      </c>
      <c r="C189" s="8" t="s">
        <v>1552</v>
      </c>
      <c r="D189" s="8" t="s">
        <v>841</v>
      </c>
      <c r="E189" s="8" t="s">
        <v>34</v>
      </c>
      <c r="F189" s="8" t="s">
        <v>842</v>
      </c>
      <c r="G189" s="8" t="s">
        <v>843</v>
      </c>
      <c r="H189" s="8" t="s">
        <v>844</v>
      </c>
      <c r="I189" s="8" t="s">
        <v>845</v>
      </c>
      <c r="J189" s="8" t="s">
        <v>846</v>
      </c>
      <c r="K189" s="8"/>
      <c r="L189" s="8" t="s">
        <v>847</v>
      </c>
      <c r="M189" s="8" t="s">
        <v>1626</v>
      </c>
      <c r="N189" s="8"/>
      <c r="O189" s="8"/>
      <c r="P189" s="8" t="s">
        <v>41</v>
      </c>
      <c r="Q189" s="8" t="s">
        <v>41</v>
      </c>
      <c r="R189" s="8" t="s">
        <v>41</v>
      </c>
      <c r="S189" s="8" t="s">
        <v>1647</v>
      </c>
      <c r="T189" s="8"/>
      <c r="U189" s="8"/>
      <c r="V189" s="8"/>
      <c r="W189" s="8" t="s">
        <v>41</v>
      </c>
      <c r="X189" s="8" t="s">
        <v>41</v>
      </c>
      <c r="Y189" s="8" t="s">
        <v>848</v>
      </c>
      <c r="Z189" s="12" t="s">
        <v>849</v>
      </c>
    </row>
    <row r="190" spans="1:26" ht="15" customHeight="1" x14ac:dyDescent="0.25">
      <c r="A190" s="7" t="s">
        <v>838</v>
      </c>
      <c r="B190" s="7" t="s">
        <v>850</v>
      </c>
      <c r="C190" s="7" t="s">
        <v>1552</v>
      </c>
      <c r="D190" s="7" t="s">
        <v>851</v>
      </c>
      <c r="E190" s="7" t="s">
        <v>34</v>
      </c>
      <c r="F190" s="7" t="s">
        <v>852</v>
      </c>
      <c r="G190" s="7" t="s">
        <v>853</v>
      </c>
      <c r="H190" s="7" t="s">
        <v>854</v>
      </c>
      <c r="I190" s="7" t="s">
        <v>855</v>
      </c>
      <c r="J190" s="7" t="s">
        <v>856</v>
      </c>
      <c r="K190" s="7"/>
      <c r="L190" s="7" t="s">
        <v>857</v>
      </c>
      <c r="M190" s="7" t="s">
        <v>1643</v>
      </c>
      <c r="N190" s="7" t="s">
        <v>1102</v>
      </c>
      <c r="O190" s="7"/>
      <c r="P190" s="7" t="s">
        <v>41</v>
      </c>
      <c r="Q190" s="7" t="s">
        <v>41</v>
      </c>
      <c r="R190" s="7" t="s">
        <v>41</v>
      </c>
      <c r="S190" s="7" t="s">
        <v>1612</v>
      </c>
      <c r="T190" s="7"/>
      <c r="U190" s="7"/>
      <c r="V190" s="7"/>
      <c r="W190" s="7" t="s">
        <v>41</v>
      </c>
      <c r="X190" s="7" t="s">
        <v>41</v>
      </c>
      <c r="Y190" s="7" t="s">
        <v>858</v>
      </c>
      <c r="Z190" s="11" t="s">
        <v>859</v>
      </c>
    </row>
    <row r="191" spans="1:26" ht="15" customHeight="1" x14ac:dyDescent="0.25">
      <c r="A191" s="8" t="s">
        <v>838</v>
      </c>
      <c r="B191" s="8" t="s">
        <v>860</v>
      </c>
      <c r="C191" s="8" t="s">
        <v>1552</v>
      </c>
      <c r="D191" s="8" t="s">
        <v>861</v>
      </c>
      <c r="E191" s="8" t="s">
        <v>34</v>
      </c>
      <c r="F191" s="8" t="s">
        <v>862</v>
      </c>
      <c r="G191" s="8" t="s">
        <v>863</v>
      </c>
      <c r="H191" s="8" t="s">
        <v>864</v>
      </c>
      <c r="I191" s="8" t="s">
        <v>865</v>
      </c>
      <c r="J191" s="8" t="s">
        <v>866</v>
      </c>
      <c r="K191" s="8"/>
      <c r="L191" s="8" t="s">
        <v>867</v>
      </c>
      <c r="M191" s="8" t="s">
        <v>1613</v>
      </c>
      <c r="N191" s="8" t="s">
        <v>1102</v>
      </c>
      <c r="O191" s="8"/>
      <c r="P191" s="8" t="s">
        <v>41</v>
      </c>
      <c r="Q191" s="8" t="s">
        <v>41</v>
      </c>
      <c r="R191" s="8" t="s">
        <v>41</v>
      </c>
      <c r="S191" s="8" t="s">
        <v>1614</v>
      </c>
      <c r="T191" s="8" t="s">
        <v>1612</v>
      </c>
      <c r="U191" s="8"/>
      <c r="V191" s="8" t="s">
        <v>41</v>
      </c>
      <c r="W191" s="8" t="s">
        <v>41</v>
      </c>
      <c r="X191" s="8" t="s">
        <v>41</v>
      </c>
      <c r="Y191" s="8" t="s">
        <v>868</v>
      </c>
      <c r="Z191" s="12" t="s">
        <v>869</v>
      </c>
    </row>
    <row r="192" spans="1:26" ht="15" customHeight="1" x14ac:dyDescent="0.25">
      <c r="A192" s="7" t="s">
        <v>870</v>
      </c>
      <c r="B192" s="7"/>
      <c r="C192" s="7"/>
      <c r="D192" s="7" t="s">
        <v>871</v>
      </c>
      <c r="E192" s="7"/>
      <c r="F192" s="7"/>
      <c r="G192" s="7"/>
      <c r="H192" s="7"/>
      <c r="I192" s="7"/>
      <c r="J192" s="7"/>
      <c r="K192" s="7"/>
      <c r="L192" s="7"/>
      <c r="M192" s="7"/>
      <c r="N192" s="7"/>
      <c r="O192" s="7"/>
      <c r="P192" s="7"/>
      <c r="Q192" s="7"/>
      <c r="R192" s="7"/>
      <c r="S192" s="7"/>
      <c r="T192" s="7"/>
      <c r="U192" s="7"/>
      <c r="V192" s="7"/>
      <c r="W192" s="7"/>
      <c r="X192" s="7"/>
      <c r="Y192" s="7"/>
      <c r="Z192" s="11"/>
    </row>
    <row r="193" spans="1:26" ht="15" customHeight="1" x14ac:dyDescent="0.25">
      <c r="A193" s="8" t="s">
        <v>870</v>
      </c>
      <c r="B193" s="8" t="s">
        <v>1542</v>
      </c>
      <c r="C193" s="8" t="s">
        <v>1553</v>
      </c>
      <c r="D193" s="8" t="s">
        <v>1543</v>
      </c>
      <c r="E193" s="8" t="s">
        <v>34</v>
      </c>
      <c r="F193" s="8" t="s">
        <v>1544</v>
      </c>
      <c r="G193" s="8" t="s">
        <v>1545</v>
      </c>
      <c r="H193" s="8" t="s">
        <v>1470</v>
      </c>
      <c r="I193" s="8" t="s">
        <v>1546</v>
      </c>
      <c r="J193" s="8" t="s">
        <v>1547</v>
      </c>
      <c r="K193" s="8" t="s">
        <v>1548</v>
      </c>
      <c r="L193" s="8" t="s">
        <v>40</v>
      </c>
      <c r="M193" s="8" t="s">
        <v>1606</v>
      </c>
      <c r="N193" s="8"/>
      <c r="O193" s="8"/>
      <c r="P193" s="8"/>
      <c r="Q193" s="8" t="s">
        <v>41</v>
      </c>
      <c r="R193" s="8" t="s">
        <v>41</v>
      </c>
      <c r="S193" s="8" t="s">
        <v>1607</v>
      </c>
      <c r="T193" s="8"/>
      <c r="U193" s="8"/>
      <c r="V193" s="8"/>
      <c r="W193" s="8" t="s">
        <v>41</v>
      </c>
      <c r="X193" s="8" t="s">
        <v>41</v>
      </c>
      <c r="Y193" s="8" t="s">
        <v>1549</v>
      </c>
      <c r="Z193" s="12" t="s">
        <v>1550</v>
      </c>
    </row>
    <row r="194" spans="1:26" ht="15" customHeight="1" x14ac:dyDescent="0.25">
      <c r="A194" s="7" t="s">
        <v>870</v>
      </c>
      <c r="B194" s="7" t="s">
        <v>872</v>
      </c>
      <c r="C194" s="7" t="s">
        <v>1552</v>
      </c>
      <c r="D194" s="7" t="s">
        <v>873</v>
      </c>
      <c r="E194" s="7" t="s">
        <v>34</v>
      </c>
      <c r="F194" s="7" t="s">
        <v>874</v>
      </c>
      <c r="G194" s="7" t="s">
        <v>875</v>
      </c>
      <c r="H194" s="7" t="s">
        <v>876</v>
      </c>
      <c r="I194" s="7" t="s">
        <v>877</v>
      </c>
      <c r="J194" s="7" t="s">
        <v>878</v>
      </c>
      <c r="K194" s="7" t="s">
        <v>111</v>
      </c>
      <c r="L194" s="7" t="s">
        <v>101</v>
      </c>
      <c r="M194" s="7" t="s">
        <v>1613</v>
      </c>
      <c r="N194" s="7"/>
      <c r="O194" s="7"/>
      <c r="P194" s="7" t="s">
        <v>41</v>
      </c>
      <c r="Q194" s="7" t="s">
        <v>41</v>
      </c>
      <c r="R194" s="7" t="s">
        <v>41</v>
      </c>
      <c r="S194" s="7" t="s">
        <v>1614</v>
      </c>
      <c r="T194" s="7"/>
      <c r="U194" s="7"/>
      <c r="V194" s="7" t="s">
        <v>41</v>
      </c>
      <c r="W194" s="7" t="s">
        <v>41</v>
      </c>
      <c r="X194" s="7" t="s">
        <v>41</v>
      </c>
      <c r="Y194" s="7" t="s">
        <v>879</v>
      </c>
      <c r="Z194" s="11" t="s">
        <v>880</v>
      </c>
    </row>
    <row r="195" spans="1:26" ht="15" customHeight="1" x14ac:dyDescent="0.25">
      <c r="A195" s="8" t="s">
        <v>870</v>
      </c>
      <c r="B195" s="8" t="s">
        <v>881</v>
      </c>
      <c r="C195" s="8" t="s">
        <v>1552</v>
      </c>
      <c r="D195" s="8" t="s">
        <v>882</v>
      </c>
      <c r="E195" s="8" t="s">
        <v>34</v>
      </c>
      <c r="F195" s="8" t="s">
        <v>883</v>
      </c>
      <c r="G195" s="8" t="s">
        <v>884</v>
      </c>
      <c r="H195" s="8" t="s">
        <v>885</v>
      </c>
      <c r="I195" s="8" t="s">
        <v>886</v>
      </c>
      <c r="J195" s="8" t="s">
        <v>887</v>
      </c>
      <c r="K195" s="8" t="s">
        <v>888</v>
      </c>
      <c r="L195" s="8" t="s">
        <v>889</v>
      </c>
      <c r="M195" s="8" t="s">
        <v>1606</v>
      </c>
      <c r="N195" s="8"/>
      <c r="O195" s="8"/>
      <c r="P195" s="8"/>
      <c r="Q195" s="8" t="s">
        <v>41</v>
      </c>
      <c r="R195" s="8" t="s">
        <v>41</v>
      </c>
      <c r="S195" s="8" t="s">
        <v>1648</v>
      </c>
      <c r="T195" s="8"/>
      <c r="U195" s="8"/>
      <c r="V195" s="8"/>
      <c r="W195" s="8"/>
      <c r="X195" s="8" t="s">
        <v>41</v>
      </c>
      <c r="Y195" s="8" t="s">
        <v>890</v>
      </c>
      <c r="Z195" s="12" t="s">
        <v>891</v>
      </c>
    </row>
    <row r="196" spans="1:26" ht="15" customHeight="1" x14ac:dyDescent="0.25">
      <c r="A196" s="7" t="s">
        <v>892</v>
      </c>
      <c r="B196" s="7"/>
      <c r="C196" s="7"/>
      <c r="D196" s="7" t="s">
        <v>893</v>
      </c>
      <c r="E196" s="7"/>
      <c r="F196" s="7"/>
      <c r="G196" s="7"/>
      <c r="H196" s="7"/>
      <c r="I196" s="7"/>
      <c r="J196" s="7"/>
      <c r="K196" s="7"/>
      <c r="L196" s="7"/>
      <c r="M196" s="7"/>
      <c r="N196" s="7"/>
      <c r="O196" s="7"/>
      <c r="P196" s="7"/>
      <c r="Q196" s="7"/>
      <c r="R196" s="7"/>
      <c r="S196" s="7"/>
      <c r="T196" s="7"/>
      <c r="U196" s="7"/>
      <c r="V196" s="7"/>
      <c r="W196" s="7"/>
      <c r="X196" s="7"/>
      <c r="Y196" s="7"/>
      <c r="Z196" s="11"/>
    </row>
    <row r="197" spans="1:26" ht="15" customHeight="1" x14ac:dyDescent="0.25">
      <c r="A197" s="8" t="s">
        <v>892</v>
      </c>
      <c r="B197" s="8" t="s">
        <v>894</v>
      </c>
      <c r="C197" s="12" t="s">
        <v>1552</v>
      </c>
      <c r="D197" s="8" t="s">
        <v>895</v>
      </c>
      <c r="E197" s="8" t="s">
        <v>34</v>
      </c>
      <c r="F197" s="8" t="s">
        <v>896</v>
      </c>
      <c r="G197" s="8" t="s">
        <v>897</v>
      </c>
      <c r="H197" s="8"/>
      <c r="I197" s="8" t="s">
        <v>898</v>
      </c>
      <c r="J197" s="8" t="s">
        <v>899</v>
      </c>
      <c r="K197" s="8"/>
      <c r="L197" s="8" t="s">
        <v>101</v>
      </c>
      <c r="M197" s="8" t="s">
        <v>1613</v>
      </c>
      <c r="N197" s="8"/>
      <c r="O197" s="8"/>
      <c r="P197" s="8" t="s">
        <v>41</v>
      </c>
      <c r="Q197" s="8" t="s">
        <v>41</v>
      </c>
      <c r="R197" s="8" t="s">
        <v>41</v>
      </c>
      <c r="S197" s="8" t="s">
        <v>1614</v>
      </c>
      <c r="T197" s="8"/>
      <c r="U197" s="8"/>
      <c r="V197" s="8" t="s">
        <v>41</v>
      </c>
      <c r="W197" s="8" t="s">
        <v>41</v>
      </c>
      <c r="X197" s="8" t="s">
        <v>41</v>
      </c>
      <c r="Y197" s="8" t="s">
        <v>900</v>
      </c>
      <c r="Z197" s="12" t="s">
        <v>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2D01-A488-4500-97AE-58E3BB564327}">
  <dimension ref="A1:AB156"/>
  <sheetViews>
    <sheetView workbookViewId="0">
      <pane ySplit="1" topLeftCell="A2" activePane="bottomLeft" state="frozen"/>
      <selection pane="bottomLeft"/>
    </sheetView>
  </sheetViews>
  <sheetFormatPr defaultRowHeight="15" x14ac:dyDescent="0.25"/>
  <cols>
    <col min="1" max="1" width="7.85546875" bestFit="1" customWidth="1"/>
    <col min="2" max="2" width="15.28515625" bestFit="1" customWidth="1"/>
    <col min="3" max="3" width="6.7109375" bestFit="1" customWidth="1"/>
    <col min="4" max="4" width="86.7109375" customWidth="1"/>
    <col min="5" max="10" width="14.7109375" customWidth="1"/>
  </cols>
  <sheetData>
    <row r="1" spans="1:28" ht="30" customHeight="1" thickBot="1" x14ac:dyDescent="0.3">
      <c r="A1" s="5" t="s">
        <v>2</v>
      </c>
      <c r="B1" s="5" t="s">
        <v>3</v>
      </c>
      <c r="C1" s="5" t="s">
        <v>1551</v>
      </c>
      <c r="D1" s="5" t="s">
        <v>4</v>
      </c>
      <c r="E1" s="13" t="s">
        <v>1673</v>
      </c>
      <c r="F1" s="13" t="s">
        <v>1674</v>
      </c>
      <c r="G1" s="13" t="s">
        <v>1675</v>
      </c>
      <c r="H1" s="13" t="s">
        <v>1676</v>
      </c>
      <c r="I1" s="13" t="s">
        <v>1677</v>
      </c>
      <c r="J1" s="13" t="s">
        <v>1678</v>
      </c>
      <c r="K1" s="6"/>
      <c r="L1" s="6"/>
      <c r="M1" s="6"/>
      <c r="N1" s="6"/>
      <c r="O1" s="6"/>
      <c r="P1" s="6"/>
      <c r="Q1" s="6"/>
      <c r="R1" s="6"/>
      <c r="S1" s="6"/>
      <c r="T1" s="6"/>
      <c r="U1" s="6"/>
      <c r="V1" s="6"/>
      <c r="W1" s="6"/>
      <c r="X1" s="6"/>
      <c r="Y1" s="6"/>
      <c r="Z1" s="6"/>
      <c r="AA1" s="6"/>
      <c r="AB1" s="6"/>
    </row>
    <row r="2" spans="1:28" ht="15.75" thickTop="1" x14ac:dyDescent="0.25">
      <c r="A2" s="4" t="s">
        <v>30</v>
      </c>
      <c r="B2" s="4" t="s">
        <v>32</v>
      </c>
      <c r="C2" s="4" t="s">
        <v>1552</v>
      </c>
      <c r="D2" s="4" t="s">
        <v>33</v>
      </c>
      <c r="E2" s="4"/>
      <c r="F2" s="4"/>
      <c r="G2" s="4"/>
      <c r="H2" s="4"/>
      <c r="I2" s="4"/>
      <c r="J2" s="4"/>
    </row>
    <row r="3" spans="1:28" x14ac:dyDescent="0.25">
      <c r="A3" s="3" t="s">
        <v>30</v>
      </c>
      <c r="B3" s="3" t="s">
        <v>43</v>
      </c>
      <c r="C3" s="3" t="s">
        <v>1552</v>
      </c>
      <c r="D3" s="3" t="s">
        <v>44</v>
      </c>
      <c r="E3" s="3"/>
      <c r="F3" s="3"/>
      <c r="G3" s="3"/>
      <c r="H3" s="3"/>
      <c r="I3" s="3"/>
      <c r="J3" s="3"/>
    </row>
    <row r="4" spans="1:28" x14ac:dyDescent="0.25">
      <c r="A4" s="4" t="s">
        <v>30</v>
      </c>
      <c r="B4" s="4" t="s">
        <v>902</v>
      </c>
      <c r="C4" s="4" t="s">
        <v>1553</v>
      </c>
      <c r="D4" s="4" t="s">
        <v>903</v>
      </c>
      <c r="E4" s="4"/>
      <c r="F4" s="4"/>
      <c r="G4" s="4"/>
      <c r="H4" s="4"/>
      <c r="I4" s="4"/>
      <c r="J4" s="4"/>
    </row>
    <row r="5" spans="1:28" x14ac:dyDescent="0.25">
      <c r="A5" s="3" t="s">
        <v>30</v>
      </c>
      <c r="B5" s="3" t="s">
        <v>53</v>
      </c>
      <c r="C5" s="3" t="s">
        <v>1552</v>
      </c>
      <c r="D5" s="3" t="s">
        <v>54</v>
      </c>
      <c r="E5" s="3"/>
      <c r="F5" s="3"/>
      <c r="G5" s="3"/>
      <c r="H5" s="3"/>
      <c r="I5" s="3"/>
      <c r="J5" s="3"/>
    </row>
    <row r="6" spans="1:28" x14ac:dyDescent="0.25">
      <c r="A6" s="4" t="s">
        <v>30</v>
      </c>
      <c r="B6" s="4" t="s">
        <v>64</v>
      </c>
      <c r="C6" s="4" t="s">
        <v>1552</v>
      </c>
      <c r="D6" s="4" t="s">
        <v>65</v>
      </c>
      <c r="E6" s="4"/>
      <c r="F6" s="4"/>
      <c r="G6" s="4"/>
      <c r="H6" s="4"/>
      <c r="I6" s="4"/>
      <c r="J6" s="4"/>
    </row>
    <row r="7" spans="1:28" x14ac:dyDescent="0.25">
      <c r="A7" s="3" t="s">
        <v>30</v>
      </c>
      <c r="B7" s="3" t="s">
        <v>74</v>
      </c>
      <c r="C7" s="3" t="s">
        <v>1552</v>
      </c>
      <c r="D7" s="3" t="s">
        <v>75</v>
      </c>
      <c r="E7" s="3"/>
      <c r="F7" s="3"/>
      <c r="G7" s="3"/>
      <c r="H7" s="3"/>
      <c r="I7" s="3"/>
      <c r="J7" s="3"/>
    </row>
    <row r="8" spans="1:28" x14ac:dyDescent="0.25">
      <c r="A8" s="4" t="s">
        <v>30</v>
      </c>
      <c r="B8" s="4" t="s">
        <v>84</v>
      </c>
      <c r="C8" s="4" t="s">
        <v>1552</v>
      </c>
      <c r="D8" s="4" t="s">
        <v>85</v>
      </c>
      <c r="E8" s="4"/>
      <c r="F8" s="4"/>
      <c r="G8" s="4"/>
      <c r="H8" s="4"/>
      <c r="I8" s="4"/>
      <c r="J8" s="4"/>
    </row>
    <row r="9" spans="1:28" x14ac:dyDescent="0.25">
      <c r="A9" s="3" t="s">
        <v>30</v>
      </c>
      <c r="B9" s="3" t="s">
        <v>911</v>
      </c>
      <c r="C9" s="3" t="s">
        <v>1553</v>
      </c>
      <c r="D9" s="3" t="s">
        <v>912</v>
      </c>
      <c r="E9" s="3" t="s">
        <v>1696</v>
      </c>
      <c r="F9" s="3"/>
      <c r="G9" s="3" t="s">
        <v>1555</v>
      </c>
      <c r="H9" s="3"/>
      <c r="I9" s="3" t="s">
        <v>1697</v>
      </c>
      <c r="J9" s="3"/>
    </row>
    <row r="10" spans="1:28" x14ac:dyDescent="0.25">
      <c r="A10" s="4" t="s">
        <v>30</v>
      </c>
      <c r="B10" s="4" t="s">
        <v>94</v>
      </c>
      <c r="C10" s="4" t="s">
        <v>1552</v>
      </c>
      <c r="D10" s="4" t="s">
        <v>95</v>
      </c>
      <c r="E10" s="4" t="s">
        <v>1696</v>
      </c>
      <c r="F10" s="4"/>
      <c r="G10" s="4" t="s">
        <v>1555</v>
      </c>
      <c r="H10" s="4"/>
      <c r="I10" s="4" t="s">
        <v>1698</v>
      </c>
      <c r="J10" s="4"/>
    </row>
    <row r="11" spans="1:28" x14ac:dyDescent="0.25">
      <c r="A11" s="3" t="s">
        <v>30</v>
      </c>
      <c r="B11" s="3" t="s">
        <v>104</v>
      </c>
      <c r="C11" s="3" t="s">
        <v>1552</v>
      </c>
      <c r="D11" s="3" t="s">
        <v>105</v>
      </c>
      <c r="E11" s="3" t="s">
        <v>1696</v>
      </c>
      <c r="F11" s="3"/>
      <c r="G11" s="3" t="s">
        <v>1555</v>
      </c>
      <c r="H11" s="3"/>
      <c r="I11" s="3" t="s">
        <v>1698</v>
      </c>
      <c r="J11" s="3"/>
    </row>
    <row r="12" spans="1:28" x14ac:dyDescent="0.25">
      <c r="A12" s="4" t="s">
        <v>30</v>
      </c>
      <c r="B12" s="4" t="s">
        <v>922</v>
      </c>
      <c r="C12" s="4" t="s">
        <v>1553</v>
      </c>
      <c r="D12" s="4" t="s">
        <v>923</v>
      </c>
      <c r="E12" s="4" t="s">
        <v>1699</v>
      </c>
      <c r="F12" s="4"/>
      <c r="G12" s="4" t="s">
        <v>1557</v>
      </c>
      <c r="H12" s="4"/>
      <c r="I12" s="4" t="s">
        <v>1698</v>
      </c>
      <c r="J12" s="4"/>
    </row>
    <row r="13" spans="1:28" x14ac:dyDescent="0.25">
      <c r="A13" s="3" t="s">
        <v>117</v>
      </c>
      <c r="B13" s="3" t="s">
        <v>932</v>
      </c>
      <c r="C13" s="3" t="s">
        <v>1553</v>
      </c>
      <c r="D13" s="3" t="s">
        <v>933</v>
      </c>
      <c r="E13" s="3"/>
      <c r="F13" s="3"/>
      <c r="G13" s="3" t="s">
        <v>1559</v>
      </c>
      <c r="H13" s="3" t="s">
        <v>1700</v>
      </c>
      <c r="I13" s="3"/>
      <c r="J13" s="3"/>
    </row>
    <row r="14" spans="1:28" x14ac:dyDescent="0.25">
      <c r="A14" s="4" t="s">
        <v>123</v>
      </c>
      <c r="B14" s="4" t="s">
        <v>126</v>
      </c>
      <c r="C14" s="4" t="s">
        <v>1552</v>
      </c>
      <c r="D14" s="4" t="s">
        <v>127</v>
      </c>
      <c r="E14" s="4"/>
      <c r="F14" s="4"/>
      <c r="G14" s="4"/>
      <c r="H14" s="4"/>
      <c r="I14" s="4"/>
      <c r="J14" s="4"/>
    </row>
    <row r="15" spans="1:28" x14ac:dyDescent="0.25">
      <c r="A15" s="3" t="s">
        <v>123</v>
      </c>
      <c r="B15" s="3" t="s">
        <v>135</v>
      </c>
      <c r="C15" s="3" t="s">
        <v>1552</v>
      </c>
      <c r="D15" s="3" t="s">
        <v>136</v>
      </c>
      <c r="E15" s="3" t="s">
        <v>1560</v>
      </c>
      <c r="F15" s="3"/>
      <c r="G15" s="3" t="s">
        <v>1700</v>
      </c>
      <c r="H15" s="3"/>
      <c r="I15" s="3" t="s">
        <v>1702</v>
      </c>
      <c r="J15" s="3"/>
    </row>
    <row r="16" spans="1:28" x14ac:dyDescent="0.25">
      <c r="A16" s="4" t="s">
        <v>123</v>
      </c>
      <c r="B16" s="4" t="s">
        <v>145</v>
      </c>
      <c r="C16" s="4" t="s">
        <v>1552</v>
      </c>
      <c r="D16" s="4" t="s">
        <v>146</v>
      </c>
      <c r="E16" s="4"/>
      <c r="F16" s="4"/>
      <c r="G16" s="4"/>
      <c r="H16" s="4"/>
      <c r="I16" s="4"/>
      <c r="J16" s="4"/>
    </row>
    <row r="17" spans="1:10" x14ac:dyDescent="0.25">
      <c r="A17" s="3" t="s">
        <v>123</v>
      </c>
      <c r="B17" s="3" t="s">
        <v>156</v>
      </c>
      <c r="C17" s="3" t="s">
        <v>1552</v>
      </c>
      <c r="D17" s="3" t="s">
        <v>157</v>
      </c>
      <c r="E17" s="3"/>
      <c r="F17" s="3"/>
      <c r="G17" s="3"/>
      <c r="H17" s="3"/>
      <c r="I17" s="3"/>
      <c r="J17" s="3"/>
    </row>
    <row r="18" spans="1:10" x14ac:dyDescent="0.25">
      <c r="A18" s="4" t="s">
        <v>123</v>
      </c>
      <c r="B18" s="4" t="s">
        <v>163</v>
      </c>
      <c r="C18" s="4" t="s">
        <v>1552</v>
      </c>
      <c r="D18" s="4" t="s">
        <v>164</v>
      </c>
      <c r="E18" s="4" t="s">
        <v>1560</v>
      </c>
      <c r="F18" s="4"/>
      <c r="G18" s="4" t="s">
        <v>1700</v>
      </c>
      <c r="H18" s="4"/>
      <c r="I18" s="4" t="s">
        <v>1703</v>
      </c>
      <c r="J18" s="4"/>
    </row>
    <row r="19" spans="1:10" x14ac:dyDescent="0.25">
      <c r="A19" s="3" t="s">
        <v>123</v>
      </c>
      <c r="B19" s="3" t="s">
        <v>173</v>
      </c>
      <c r="C19" s="3" t="s">
        <v>1552</v>
      </c>
      <c r="D19" s="3" t="s">
        <v>174</v>
      </c>
      <c r="E19" s="3" t="s">
        <v>1560</v>
      </c>
      <c r="F19" s="3"/>
      <c r="G19" s="3" t="s">
        <v>1700</v>
      </c>
      <c r="H19" s="3"/>
      <c r="I19" s="3" t="s">
        <v>1703</v>
      </c>
      <c r="J19" s="3"/>
    </row>
    <row r="20" spans="1:10" x14ac:dyDescent="0.25">
      <c r="A20" s="4" t="s">
        <v>123</v>
      </c>
      <c r="B20" s="4" t="s">
        <v>183</v>
      </c>
      <c r="C20" s="4" t="s">
        <v>1552</v>
      </c>
      <c r="D20" s="4" t="s">
        <v>184</v>
      </c>
      <c r="E20" s="4" t="s">
        <v>1560</v>
      </c>
      <c r="F20" s="4"/>
      <c r="G20" s="4" t="s">
        <v>1700</v>
      </c>
      <c r="H20" s="4"/>
      <c r="I20" s="4" t="s">
        <v>1703</v>
      </c>
      <c r="J20" s="4"/>
    </row>
    <row r="21" spans="1:10" x14ac:dyDescent="0.25">
      <c r="A21" s="3" t="s">
        <v>123</v>
      </c>
      <c r="B21" s="3" t="s">
        <v>193</v>
      </c>
      <c r="C21" s="3" t="s">
        <v>1552</v>
      </c>
      <c r="D21" s="3" t="s">
        <v>194</v>
      </c>
      <c r="E21" s="3" t="s">
        <v>1562</v>
      </c>
      <c r="F21" s="3"/>
      <c r="G21" s="3" t="s">
        <v>1704</v>
      </c>
      <c r="H21" s="3"/>
      <c r="I21" s="3" t="s">
        <v>1705</v>
      </c>
      <c r="J21" s="3"/>
    </row>
    <row r="22" spans="1:10" x14ac:dyDescent="0.25">
      <c r="A22" s="4" t="s">
        <v>123</v>
      </c>
      <c r="B22" s="4" t="s">
        <v>203</v>
      </c>
      <c r="C22" s="4" t="s">
        <v>1552</v>
      </c>
      <c r="D22" s="4" t="s">
        <v>204</v>
      </c>
      <c r="E22" s="4"/>
      <c r="F22" s="4"/>
      <c r="G22" s="4"/>
      <c r="H22" s="4"/>
      <c r="I22" s="4"/>
      <c r="J22" s="4"/>
    </row>
    <row r="23" spans="1:10" x14ac:dyDescent="0.25">
      <c r="A23" s="3" t="s">
        <v>123</v>
      </c>
      <c r="B23" s="3" t="s">
        <v>940</v>
      </c>
      <c r="C23" s="3" t="s">
        <v>1553</v>
      </c>
      <c r="D23" s="3" t="s">
        <v>941</v>
      </c>
      <c r="E23" s="3"/>
      <c r="F23" s="3"/>
      <c r="G23" s="3"/>
      <c r="H23" s="3"/>
      <c r="I23" s="3"/>
      <c r="J23" s="3"/>
    </row>
    <row r="24" spans="1:10" x14ac:dyDescent="0.25">
      <c r="A24" s="4" t="s">
        <v>123</v>
      </c>
      <c r="B24" s="4" t="s">
        <v>213</v>
      </c>
      <c r="C24" s="4" t="s">
        <v>1552</v>
      </c>
      <c r="D24" s="4" t="s">
        <v>214</v>
      </c>
      <c r="E24" s="4"/>
      <c r="F24" s="4"/>
      <c r="G24" s="4"/>
      <c r="H24" s="4"/>
      <c r="I24" s="4"/>
      <c r="J24" s="4"/>
    </row>
    <row r="25" spans="1:10" x14ac:dyDescent="0.25">
      <c r="A25" s="3" t="s">
        <v>123</v>
      </c>
      <c r="B25" s="3" t="s">
        <v>223</v>
      </c>
      <c r="C25" s="3" t="s">
        <v>1552</v>
      </c>
      <c r="D25" s="3" t="s">
        <v>224</v>
      </c>
      <c r="E25" s="3" t="s">
        <v>1560</v>
      </c>
      <c r="F25" s="3"/>
      <c r="G25" s="3" t="s">
        <v>1700</v>
      </c>
      <c r="H25" s="3"/>
      <c r="I25" s="3" t="s">
        <v>1705</v>
      </c>
      <c r="J25" s="3"/>
    </row>
    <row r="26" spans="1:10" x14ac:dyDescent="0.25">
      <c r="A26" s="4" t="s">
        <v>123</v>
      </c>
      <c r="B26" s="4" t="s">
        <v>948</v>
      </c>
      <c r="C26" s="4" t="s">
        <v>1553</v>
      </c>
      <c r="D26" s="4" t="s">
        <v>949</v>
      </c>
      <c r="E26" s="4" t="s">
        <v>1560</v>
      </c>
      <c r="F26" s="4"/>
      <c r="G26" s="4" t="s">
        <v>1700</v>
      </c>
      <c r="H26" s="4"/>
      <c r="I26" s="4" t="s">
        <v>1705</v>
      </c>
      <c r="J26" s="4"/>
    </row>
    <row r="27" spans="1:10" x14ac:dyDescent="0.25">
      <c r="A27" s="3" t="s">
        <v>123</v>
      </c>
      <c r="B27" s="3" t="s">
        <v>233</v>
      </c>
      <c r="C27" s="3" t="s">
        <v>1552</v>
      </c>
      <c r="D27" s="3" t="s">
        <v>234</v>
      </c>
      <c r="E27" s="3" t="s">
        <v>1565</v>
      </c>
      <c r="F27" s="3"/>
      <c r="G27" s="3" t="s">
        <v>1706</v>
      </c>
      <c r="H27" s="3"/>
      <c r="I27" s="3" t="s">
        <v>1707</v>
      </c>
      <c r="J27" s="3"/>
    </row>
    <row r="28" spans="1:10" x14ac:dyDescent="0.25">
      <c r="A28" s="4" t="s">
        <v>123</v>
      </c>
      <c r="B28" s="4" t="s">
        <v>958</v>
      </c>
      <c r="C28" s="4" t="s">
        <v>1553</v>
      </c>
      <c r="D28" s="4" t="s">
        <v>959</v>
      </c>
      <c r="E28" s="4"/>
      <c r="F28" s="4"/>
      <c r="G28" s="4"/>
      <c r="H28" s="4"/>
      <c r="I28" s="4"/>
      <c r="J28" s="4"/>
    </row>
    <row r="29" spans="1:10" x14ac:dyDescent="0.25">
      <c r="A29" s="3" t="s">
        <v>123</v>
      </c>
      <c r="B29" s="3" t="s">
        <v>967</v>
      </c>
      <c r="C29" s="3" t="s">
        <v>1553</v>
      </c>
      <c r="D29" s="3" t="s">
        <v>968</v>
      </c>
      <c r="E29" s="3" t="s">
        <v>1566</v>
      </c>
      <c r="F29" s="3"/>
      <c r="G29" s="3" t="s">
        <v>1708</v>
      </c>
      <c r="H29" s="3"/>
      <c r="I29" s="3" t="s">
        <v>1707</v>
      </c>
      <c r="J29" s="3"/>
    </row>
    <row r="30" spans="1:10" x14ac:dyDescent="0.25">
      <c r="A30" s="4" t="s">
        <v>123</v>
      </c>
      <c r="B30" s="4" t="s">
        <v>976</v>
      </c>
      <c r="C30" s="4" t="s">
        <v>1553</v>
      </c>
      <c r="D30" s="4" t="s">
        <v>977</v>
      </c>
      <c r="E30" s="4"/>
      <c r="F30" s="4"/>
      <c r="G30" s="4"/>
      <c r="H30" s="4"/>
      <c r="I30" s="4"/>
      <c r="J30" s="4"/>
    </row>
    <row r="31" spans="1:10" x14ac:dyDescent="0.25">
      <c r="A31" s="3" t="s">
        <v>123</v>
      </c>
      <c r="B31" s="3" t="s">
        <v>985</v>
      </c>
      <c r="C31" s="3" t="s">
        <v>1553</v>
      </c>
      <c r="D31" s="3" t="s">
        <v>986</v>
      </c>
      <c r="E31" s="3" t="s">
        <v>1566</v>
      </c>
      <c r="F31" s="3"/>
      <c r="G31" s="3" t="s">
        <v>1708</v>
      </c>
      <c r="H31" s="3"/>
      <c r="I31" s="3" t="s">
        <v>1707</v>
      </c>
      <c r="J31" s="3"/>
    </row>
    <row r="32" spans="1:10" x14ac:dyDescent="0.25">
      <c r="A32" s="4" t="s">
        <v>123</v>
      </c>
      <c r="B32" s="4" t="s">
        <v>243</v>
      </c>
      <c r="C32" s="4" t="s">
        <v>1552</v>
      </c>
      <c r="D32" s="4" t="s">
        <v>244</v>
      </c>
      <c r="E32" s="4" t="s">
        <v>1560</v>
      </c>
      <c r="F32" s="4"/>
      <c r="G32" s="4" t="s">
        <v>1700</v>
      </c>
      <c r="H32" s="4"/>
      <c r="I32" s="4" t="s">
        <v>1702</v>
      </c>
      <c r="J32" s="4"/>
    </row>
    <row r="33" spans="1:10" x14ac:dyDescent="0.25">
      <c r="A33" s="3" t="s">
        <v>123</v>
      </c>
      <c r="B33" s="3" t="s">
        <v>253</v>
      </c>
      <c r="C33" s="3" t="s">
        <v>1552</v>
      </c>
      <c r="D33" s="3" t="s">
        <v>254</v>
      </c>
      <c r="E33" s="3" t="s">
        <v>1709</v>
      </c>
      <c r="F33" s="3"/>
      <c r="G33" s="3" t="s">
        <v>1710</v>
      </c>
      <c r="H33" s="3"/>
      <c r="I33" s="3" t="s">
        <v>1564</v>
      </c>
      <c r="J33" s="3"/>
    </row>
    <row r="34" spans="1:10" x14ac:dyDescent="0.25">
      <c r="A34" s="4" t="s">
        <v>123</v>
      </c>
      <c r="B34" s="4" t="s">
        <v>993</v>
      </c>
      <c r="C34" s="4" t="s">
        <v>1553</v>
      </c>
      <c r="D34" s="4" t="s">
        <v>994</v>
      </c>
      <c r="E34" s="4"/>
      <c r="F34" s="4"/>
      <c r="G34" s="4"/>
      <c r="H34" s="4"/>
      <c r="I34" s="4"/>
      <c r="J34" s="4"/>
    </row>
    <row r="35" spans="1:10" x14ac:dyDescent="0.25">
      <c r="A35" s="3" t="s">
        <v>123</v>
      </c>
      <c r="B35" s="3" t="s">
        <v>1002</v>
      </c>
      <c r="C35" s="3" t="s">
        <v>1553</v>
      </c>
      <c r="D35" s="3" t="s">
        <v>1003</v>
      </c>
      <c r="E35" s="3" t="s">
        <v>1711</v>
      </c>
      <c r="F35" s="3"/>
      <c r="G35" s="3" t="s">
        <v>1567</v>
      </c>
      <c r="H35" s="3"/>
      <c r="I35" s="3" t="s">
        <v>1707</v>
      </c>
      <c r="J35" s="3"/>
    </row>
    <row r="36" spans="1:10" x14ac:dyDescent="0.25">
      <c r="A36" s="4" t="s">
        <v>123</v>
      </c>
      <c r="B36" s="4" t="s">
        <v>263</v>
      </c>
      <c r="C36" s="4" t="s">
        <v>1552</v>
      </c>
      <c r="D36" s="4" t="s">
        <v>264</v>
      </c>
      <c r="E36" s="4"/>
      <c r="F36" s="4"/>
      <c r="G36" s="4"/>
      <c r="H36" s="4"/>
      <c r="I36" s="4"/>
      <c r="J36" s="4"/>
    </row>
    <row r="37" spans="1:10" x14ac:dyDescent="0.25">
      <c r="A37" s="3" t="s">
        <v>123</v>
      </c>
      <c r="B37" s="3" t="s">
        <v>272</v>
      </c>
      <c r="C37" s="3" t="s">
        <v>1552</v>
      </c>
      <c r="D37" s="3" t="s">
        <v>273</v>
      </c>
      <c r="E37" s="3" t="s">
        <v>1712</v>
      </c>
      <c r="F37" s="3"/>
      <c r="G37" s="3" t="s">
        <v>1569</v>
      </c>
      <c r="H37" s="3"/>
      <c r="I37" s="3" t="s">
        <v>1705</v>
      </c>
      <c r="J37" s="3"/>
    </row>
    <row r="38" spans="1:10" x14ac:dyDescent="0.25">
      <c r="A38" s="4" t="s">
        <v>123</v>
      </c>
      <c r="B38" s="4" t="s">
        <v>1012</v>
      </c>
      <c r="C38" s="4" t="s">
        <v>1553</v>
      </c>
      <c r="D38" s="4" t="s">
        <v>1013</v>
      </c>
      <c r="E38" s="4" t="s">
        <v>1713</v>
      </c>
      <c r="F38" s="4"/>
      <c r="G38" s="4" t="s">
        <v>1570</v>
      </c>
      <c r="H38" s="4"/>
      <c r="I38" s="4" t="s">
        <v>1703</v>
      </c>
      <c r="J38" s="4"/>
    </row>
    <row r="39" spans="1:10" x14ac:dyDescent="0.25">
      <c r="A39" s="3" t="s">
        <v>281</v>
      </c>
      <c r="B39" s="3" t="s">
        <v>284</v>
      </c>
      <c r="C39" s="3" t="s">
        <v>1552</v>
      </c>
      <c r="D39" s="3" t="s">
        <v>285</v>
      </c>
      <c r="E39" s="3"/>
      <c r="F39" s="3"/>
      <c r="G39" s="3"/>
      <c r="H39" s="3"/>
      <c r="I39" s="3"/>
      <c r="J39" s="3"/>
    </row>
    <row r="40" spans="1:10" x14ac:dyDescent="0.25">
      <c r="A40" s="4" t="s">
        <v>281</v>
      </c>
      <c r="B40" s="4" t="s">
        <v>295</v>
      </c>
      <c r="C40" s="4" t="s">
        <v>1552</v>
      </c>
      <c r="D40" s="4" t="s">
        <v>296</v>
      </c>
      <c r="E40" s="4" t="s">
        <v>1709</v>
      </c>
      <c r="F40" s="4"/>
      <c r="G40" s="4" t="s">
        <v>1704</v>
      </c>
      <c r="H40" s="4"/>
      <c r="I40" s="4" t="s">
        <v>1561</v>
      </c>
      <c r="J40" s="4"/>
    </row>
    <row r="41" spans="1:10" x14ac:dyDescent="0.25">
      <c r="A41" s="3" t="s">
        <v>281</v>
      </c>
      <c r="B41" s="3" t="s">
        <v>304</v>
      </c>
      <c r="C41" s="3" t="s">
        <v>1552</v>
      </c>
      <c r="D41" s="3" t="s">
        <v>305</v>
      </c>
      <c r="E41" s="3" t="s">
        <v>1562</v>
      </c>
      <c r="F41" s="3"/>
      <c r="G41" s="3" t="s">
        <v>1704</v>
      </c>
      <c r="H41" s="3"/>
      <c r="I41" s="3" t="s">
        <v>1702</v>
      </c>
      <c r="J41" s="3"/>
    </row>
    <row r="42" spans="1:10" x14ac:dyDescent="0.25">
      <c r="A42" s="4" t="s">
        <v>313</v>
      </c>
      <c r="B42" s="4" t="s">
        <v>1022</v>
      </c>
      <c r="C42" s="4" t="s">
        <v>1553</v>
      </c>
      <c r="D42" s="4" t="s">
        <v>1023</v>
      </c>
      <c r="E42" s="4" t="s">
        <v>1560</v>
      </c>
      <c r="F42" s="4"/>
      <c r="G42" s="4" t="s">
        <v>1714</v>
      </c>
      <c r="H42" s="4"/>
      <c r="I42" s="4" t="s">
        <v>1715</v>
      </c>
      <c r="J42" s="4"/>
    </row>
    <row r="43" spans="1:10" x14ac:dyDescent="0.25">
      <c r="A43" s="3" t="s">
        <v>313</v>
      </c>
      <c r="B43" s="3" t="s">
        <v>1032</v>
      </c>
      <c r="C43" s="3" t="s">
        <v>1553</v>
      </c>
      <c r="D43" s="3" t="s">
        <v>1033</v>
      </c>
      <c r="E43" s="3" t="s">
        <v>1560</v>
      </c>
      <c r="F43" s="3"/>
      <c r="G43" s="3" t="s">
        <v>1714</v>
      </c>
      <c r="H43" s="3"/>
      <c r="I43" s="3" t="s">
        <v>1715</v>
      </c>
      <c r="J43" s="3"/>
    </row>
    <row r="44" spans="1:10" x14ac:dyDescent="0.25">
      <c r="A44" s="4" t="s">
        <v>313</v>
      </c>
      <c r="B44" s="4" t="s">
        <v>1043</v>
      </c>
      <c r="C44" s="4" t="s">
        <v>1553</v>
      </c>
      <c r="D44" s="4" t="s">
        <v>1044</v>
      </c>
      <c r="E44" s="4"/>
      <c r="F44" s="4"/>
      <c r="G44" s="4"/>
      <c r="H44" s="4"/>
      <c r="I44" s="4"/>
      <c r="J44" s="4"/>
    </row>
    <row r="45" spans="1:10" x14ac:dyDescent="0.25">
      <c r="A45" s="3" t="s">
        <v>313</v>
      </c>
      <c r="B45" s="3" t="s">
        <v>1052</v>
      </c>
      <c r="C45" s="3" t="s">
        <v>1553</v>
      </c>
      <c r="D45" s="3" t="s">
        <v>1053</v>
      </c>
      <c r="E45" s="3" t="s">
        <v>1562</v>
      </c>
      <c r="F45" s="3"/>
      <c r="G45" s="3" t="s">
        <v>1704</v>
      </c>
      <c r="H45" s="3"/>
      <c r="I45" s="3" t="s">
        <v>1702</v>
      </c>
      <c r="J45" s="3"/>
    </row>
    <row r="46" spans="1:10" x14ac:dyDescent="0.25">
      <c r="A46" s="4" t="s">
        <v>313</v>
      </c>
      <c r="B46" s="4" t="s">
        <v>1063</v>
      </c>
      <c r="C46" s="4" t="s">
        <v>1553</v>
      </c>
      <c r="D46" s="4" t="s">
        <v>1064</v>
      </c>
      <c r="E46" s="4" t="s">
        <v>1562</v>
      </c>
      <c r="F46" s="4"/>
      <c r="G46" s="4" t="s">
        <v>1704</v>
      </c>
      <c r="H46" s="4"/>
      <c r="I46" s="4" t="s">
        <v>1702</v>
      </c>
      <c r="J46" s="4"/>
    </row>
    <row r="47" spans="1:10" x14ac:dyDescent="0.25">
      <c r="A47" s="3" t="s">
        <v>313</v>
      </c>
      <c r="B47" s="3" t="s">
        <v>1074</v>
      </c>
      <c r="C47" s="3" t="s">
        <v>1553</v>
      </c>
      <c r="D47" s="3" t="s">
        <v>1075</v>
      </c>
      <c r="E47" s="3" t="s">
        <v>1562</v>
      </c>
      <c r="F47" s="3"/>
      <c r="G47" s="3" t="s">
        <v>1704</v>
      </c>
      <c r="H47" s="3"/>
      <c r="I47" s="3" t="s">
        <v>1702</v>
      </c>
      <c r="J47" s="3"/>
    </row>
    <row r="48" spans="1:10" x14ac:dyDescent="0.25">
      <c r="A48" s="4" t="s">
        <v>313</v>
      </c>
      <c r="B48" s="4" t="s">
        <v>1084</v>
      </c>
      <c r="C48" s="4" t="s">
        <v>1553</v>
      </c>
      <c r="D48" s="4" t="s">
        <v>1085</v>
      </c>
      <c r="E48" s="4" t="s">
        <v>1562</v>
      </c>
      <c r="F48" s="4"/>
      <c r="G48" s="4" t="s">
        <v>1704</v>
      </c>
      <c r="H48" s="4"/>
      <c r="I48" s="4" t="s">
        <v>1702</v>
      </c>
      <c r="J48" s="4"/>
    </row>
    <row r="49" spans="1:10" x14ac:dyDescent="0.25">
      <c r="A49" s="3" t="s">
        <v>313</v>
      </c>
      <c r="B49" s="3" t="s">
        <v>1092</v>
      </c>
      <c r="C49" s="3" t="s">
        <v>1553</v>
      </c>
      <c r="D49" s="3" t="s">
        <v>1093</v>
      </c>
      <c r="E49" s="3"/>
      <c r="F49" s="3"/>
      <c r="G49" s="3"/>
      <c r="H49" s="3"/>
      <c r="I49" s="3"/>
      <c r="J49" s="3"/>
    </row>
    <row r="50" spans="1:10" x14ac:dyDescent="0.25">
      <c r="A50" s="4" t="s">
        <v>316</v>
      </c>
      <c r="B50" s="4" t="s">
        <v>319</v>
      </c>
      <c r="C50" s="4" t="s">
        <v>1552</v>
      </c>
      <c r="D50" s="4" t="s">
        <v>320</v>
      </c>
      <c r="E50" s="4" t="s">
        <v>1712</v>
      </c>
      <c r="F50" s="4"/>
      <c r="G50" s="4" t="s">
        <v>1563</v>
      </c>
      <c r="H50" s="4"/>
      <c r="I50" s="4" t="s">
        <v>1705</v>
      </c>
      <c r="J50" s="4"/>
    </row>
    <row r="51" spans="1:10" x14ac:dyDescent="0.25">
      <c r="A51" s="3" t="s">
        <v>316</v>
      </c>
      <c r="B51" s="3" t="s">
        <v>328</v>
      </c>
      <c r="C51" s="3" t="s">
        <v>1552</v>
      </c>
      <c r="D51" s="3" t="s">
        <v>329</v>
      </c>
      <c r="E51" s="3" t="s">
        <v>1560</v>
      </c>
      <c r="F51" s="3"/>
      <c r="G51" s="3" t="s">
        <v>1700</v>
      </c>
      <c r="H51" s="3"/>
      <c r="I51" s="3" t="s">
        <v>1707</v>
      </c>
      <c r="J51" s="3"/>
    </row>
    <row r="52" spans="1:10" x14ac:dyDescent="0.25">
      <c r="A52" s="4" t="s">
        <v>316</v>
      </c>
      <c r="B52" s="4" t="s">
        <v>339</v>
      </c>
      <c r="C52" s="4" t="s">
        <v>1552</v>
      </c>
      <c r="D52" s="4" t="s">
        <v>340</v>
      </c>
      <c r="E52" s="4" t="s">
        <v>1712</v>
      </c>
      <c r="F52" s="4"/>
      <c r="G52" s="4" t="s">
        <v>1573</v>
      </c>
      <c r="H52" s="4"/>
      <c r="I52" s="4" t="s">
        <v>1707</v>
      </c>
      <c r="J52" s="4"/>
    </row>
    <row r="53" spans="1:10" x14ac:dyDescent="0.25">
      <c r="A53" s="3" t="s">
        <v>316</v>
      </c>
      <c r="B53" s="3" t="s">
        <v>348</v>
      </c>
      <c r="C53" s="3" t="s">
        <v>1552</v>
      </c>
      <c r="D53" s="3" t="s">
        <v>349</v>
      </c>
      <c r="E53" s="3" t="s">
        <v>1712</v>
      </c>
      <c r="F53" s="3"/>
      <c r="G53" s="3" t="s">
        <v>1573</v>
      </c>
      <c r="H53" s="3"/>
      <c r="I53" s="3" t="s">
        <v>1707</v>
      </c>
      <c r="J53" s="3"/>
    </row>
    <row r="54" spans="1:10" x14ac:dyDescent="0.25">
      <c r="A54" s="4" t="s">
        <v>316</v>
      </c>
      <c r="B54" s="4" t="s">
        <v>354</v>
      </c>
      <c r="C54" s="4" t="s">
        <v>1552</v>
      </c>
      <c r="D54" s="4" t="s">
        <v>355</v>
      </c>
      <c r="E54" s="4" t="s">
        <v>1712</v>
      </c>
      <c r="F54" s="4"/>
      <c r="G54" s="4" t="s">
        <v>1569</v>
      </c>
      <c r="H54" s="4"/>
      <c r="I54" s="4" t="s">
        <v>1707</v>
      </c>
      <c r="J54" s="4"/>
    </row>
    <row r="55" spans="1:10" x14ac:dyDescent="0.25">
      <c r="A55" s="3" t="s">
        <v>316</v>
      </c>
      <c r="B55" s="3" t="s">
        <v>364</v>
      </c>
      <c r="C55" s="3" t="s">
        <v>1552</v>
      </c>
      <c r="D55" s="3" t="s">
        <v>365</v>
      </c>
      <c r="E55" s="3" t="s">
        <v>1712</v>
      </c>
      <c r="F55" s="3"/>
      <c r="G55" s="3" t="s">
        <v>1563</v>
      </c>
      <c r="H55" s="3"/>
      <c r="I55" s="3" t="s">
        <v>1705</v>
      </c>
      <c r="J55" s="3"/>
    </row>
    <row r="56" spans="1:10" x14ac:dyDescent="0.25">
      <c r="A56" s="4" t="s">
        <v>316</v>
      </c>
      <c r="B56" s="4" t="s">
        <v>373</v>
      </c>
      <c r="C56" s="4" t="s">
        <v>1552</v>
      </c>
      <c r="D56" s="4" t="s">
        <v>374</v>
      </c>
      <c r="E56" s="4" t="s">
        <v>1712</v>
      </c>
      <c r="F56" s="4"/>
      <c r="G56" s="4" t="s">
        <v>1573</v>
      </c>
      <c r="H56" s="4"/>
      <c r="I56" s="4" t="s">
        <v>1707</v>
      </c>
      <c r="J56" s="4"/>
    </row>
    <row r="57" spans="1:10" x14ac:dyDescent="0.25">
      <c r="A57" s="3" t="s">
        <v>382</v>
      </c>
      <c r="B57" s="3" t="s">
        <v>1102</v>
      </c>
      <c r="C57" s="3" t="s">
        <v>1553</v>
      </c>
      <c r="D57" s="3" t="s">
        <v>1103</v>
      </c>
      <c r="E57" s="3"/>
      <c r="F57" s="3"/>
      <c r="G57" s="3"/>
      <c r="H57" s="3"/>
      <c r="I57" s="3"/>
      <c r="J57" s="3"/>
    </row>
    <row r="58" spans="1:10" x14ac:dyDescent="0.25">
      <c r="A58" s="4" t="s">
        <v>385</v>
      </c>
      <c r="B58" s="4" t="s">
        <v>388</v>
      </c>
      <c r="C58" s="4" t="s">
        <v>1552</v>
      </c>
      <c r="D58" s="4" t="s">
        <v>389</v>
      </c>
      <c r="E58" s="4" t="s">
        <v>1568</v>
      </c>
      <c r="F58" s="4"/>
      <c r="G58" s="4" t="s">
        <v>1716</v>
      </c>
      <c r="H58" s="4"/>
      <c r="I58" s="4" t="s">
        <v>1717</v>
      </c>
      <c r="J58" s="4"/>
    </row>
    <row r="59" spans="1:10" x14ac:dyDescent="0.25">
      <c r="A59" s="3" t="s">
        <v>385</v>
      </c>
      <c r="B59" s="3" t="s">
        <v>1111</v>
      </c>
      <c r="C59" s="3" t="s">
        <v>1553</v>
      </c>
      <c r="D59" s="3" t="s">
        <v>1112</v>
      </c>
      <c r="E59" s="3"/>
      <c r="F59" s="3"/>
      <c r="G59" s="3"/>
      <c r="H59" s="3"/>
      <c r="I59" s="3"/>
      <c r="J59" s="3"/>
    </row>
    <row r="60" spans="1:10" x14ac:dyDescent="0.25">
      <c r="A60" s="4" t="s">
        <v>399</v>
      </c>
      <c r="B60" s="4" t="s">
        <v>402</v>
      </c>
      <c r="C60" s="4" t="s">
        <v>1552</v>
      </c>
      <c r="D60" s="4" t="s">
        <v>403</v>
      </c>
      <c r="E60" s="4" t="s">
        <v>1568</v>
      </c>
      <c r="F60" s="4"/>
      <c r="G60" s="4" t="s">
        <v>1716</v>
      </c>
      <c r="H60" s="4"/>
      <c r="I60" s="4" t="s">
        <v>1717</v>
      </c>
      <c r="J60" s="4"/>
    </row>
    <row r="61" spans="1:10" x14ac:dyDescent="0.25">
      <c r="A61" s="3" t="s">
        <v>399</v>
      </c>
      <c r="B61" s="3" t="s">
        <v>411</v>
      </c>
      <c r="C61" s="3" t="s">
        <v>1552</v>
      </c>
      <c r="D61" s="3" t="s">
        <v>412</v>
      </c>
      <c r="E61" s="3" t="s">
        <v>1568</v>
      </c>
      <c r="F61" s="3"/>
      <c r="G61" s="3" t="s">
        <v>1716</v>
      </c>
      <c r="H61" s="3"/>
      <c r="I61" s="3" t="s">
        <v>1717</v>
      </c>
      <c r="J61" s="3"/>
    </row>
    <row r="62" spans="1:10" x14ac:dyDescent="0.25">
      <c r="A62" s="4" t="s">
        <v>399</v>
      </c>
      <c r="B62" s="4" t="s">
        <v>1120</v>
      </c>
      <c r="C62" s="4" t="s">
        <v>1553</v>
      </c>
      <c r="D62" s="4" t="s">
        <v>1121</v>
      </c>
      <c r="E62" s="4" t="s">
        <v>1556</v>
      </c>
      <c r="F62" s="4"/>
      <c r="G62" s="4" t="s">
        <v>1718</v>
      </c>
      <c r="H62" s="4"/>
      <c r="I62" s="4" t="s">
        <v>1697</v>
      </c>
      <c r="J62" s="4"/>
    </row>
    <row r="63" spans="1:10" x14ac:dyDescent="0.25">
      <c r="A63" s="3" t="s">
        <v>399</v>
      </c>
      <c r="B63" s="3" t="s">
        <v>420</v>
      </c>
      <c r="C63" s="3" t="s">
        <v>1552</v>
      </c>
      <c r="D63" s="3" t="s">
        <v>421</v>
      </c>
      <c r="E63" s="3" t="s">
        <v>1568</v>
      </c>
      <c r="F63" s="3"/>
      <c r="G63" s="3" t="s">
        <v>1716</v>
      </c>
      <c r="H63" s="3"/>
      <c r="I63" s="3" t="s">
        <v>1717</v>
      </c>
      <c r="J63" s="3"/>
    </row>
    <row r="64" spans="1:10" x14ac:dyDescent="0.25">
      <c r="A64" s="4" t="s">
        <v>399</v>
      </c>
      <c r="B64" s="4" t="s">
        <v>1126</v>
      </c>
      <c r="C64" s="4" t="s">
        <v>1553</v>
      </c>
      <c r="D64" s="4" t="s">
        <v>1127</v>
      </c>
      <c r="E64" s="4"/>
      <c r="F64" s="4"/>
      <c r="G64" s="4"/>
      <c r="H64" s="4"/>
      <c r="I64" s="4"/>
      <c r="J64" s="4"/>
    </row>
    <row r="65" spans="1:10" x14ac:dyDescent="0.25">
      <c r="A65" s="3" t="s">
        <v>399</v>
      </c>
      <c r="B65" s="3" t="s">
        <v>1136</v>
      </c>
      <c r="C65" s="3" t="s">
        <v>1553</v>
      </c>
      <c r="D65" s="3" t="s">
        <v>1137</v>
      </c>
      <c r="E65" s="3"/>
      <c r="F65" s="3"/>
      <c r="G65" s="3"/>
      <c r="H65" s="3"/>
      <c r="I65" s="3"/>
      <c r="J65" s="3"/>
    </row>
    <row r="66" spans="1:10" x14ac:dyDescent="0.25">
      <c r="A66" s="4" t="s">
        <v>399</v>
      </c>
      <c r="B66" s="4" t="s">
        <v>1146</v>
      </c>
      <c r="C66" s="4" t="s">
        <v>1553</v>
      </c>
      <c r="D66" s="4" t="s">
        <v>1147</v>
      </c>
      <c r="E66" s="4"/>
      <c r="F66" s="4"/>
      <c r="G66" s="4"/>
      <c r="H66" s="4"/>
      <c r="I66" s="4" t="s">
        <v>505</v>
      </c>
      <c r="J66" s="4"/>
    </row>
    <row r="67" spans="1:10" x14ac:dyDescent="0.25">
      <c r="A67" s="3" t="s">
        <v>399</v>
      </c>
      <c r="B67" s="3" t="s">
        <v>1155</v>
      </c>
      <c r="C67" s="3" t="s">
        <v>1553</v>
      </c>
      <c r="D67" s="3" t="s">
        <v>1156</v>
      </c>
      <c r="E67" s="3"/>
      <c r="F67" s="3"/>
      <c r="G67" s="3"/>
      <c r="H67" s="3"/>
      <c r="I67" s="3" t="s">
        <v>505</v>
      </c>
      <c r="J67" s="3"/>
    </row>
    <row r="68" spans="1:10" x14ac:dyDescent="0.25">
      <c r="A68" s="4" t="s">
        <v>399</v>
      </c>
      <c r="B68" s="4" t="s">
        <v>1164</v>
      </c>
      <c r="C68" s="4" t="s">
        <v>1553</v>
      </c>
      <c r="D68" s="4" t="s">
        <v>1165</v>
      </c>
      <c r="E68" s="4"/>
      <c r="F68" s="4"/>
      <c r="G68" s="4"/>
      <c r="H68" s="4"/>
      <c r="I68" s="4" t="s">
        <v>505</v>
      </c>
      <c r="J68" s="4"/>
    </row>
    <row r="69" spans="1:10" x14ac:dyDescent="0.25">
      <c r="A69" s="3" t="s">
        <v>399</v>
      </c>
      <c r="B69" s="3" t="s">
        <v>1173</v>
      </c>
      <c r="C69" s="3" t="s">
        <v>1553</v>
      </c>
      <c r="D69" s="3" t="s">
        <v>1174</v>
      </c>
      <c r="E69" s="3"/>
      <c r="F69" s="3"/>
      <c r="G69" s="3"/>
      <c r="H69" s="3"/>
      <c r="I69" s="3" t="s">
        <v>505</v>
      </c>
      <c r="J69" s="3"/>
    </row>
    <row r="70" spans="1:10" x14ac:dyDescent="0.25">
      <c r="A70" s="4" t="s">
        <v>429</v>
      </c>
      <c r="B70" s="4" t="s">
        <v>432</v>
      </c>
      <c r="C70" s="4" t="s">
        <v>1552</v>
      </c>
      <c r="D70" s="4" t="s">
        <v>433</v>
      </c>
      <c r="E70" s="4"/>
      <c r="F70" s="4"/>
      <c r="G70" s="4"/>
      <c r="H70" s="4"/>
      <c r="I70" s="4"/>
      <c r="J70" s="4"/>
    </row>
    <row r="71" spans="1:10" x14ac:dyDescent="0.25">
      <c r="A71" s="3" t="s">
        <v>429</v>
      </c>
      <c r="B71" s="3" t="s">
        <v>440</v>
      </c>
      <c r="C71" s="3" t="s">
        <v>1552</v>
      </c>
      <c r="D71" s="3" t="s">
        <v>441</v>
      </c>
      <c r="E71" s="3"/>
      <c r="F71" s="3"/>
      <c r="G71" s="3"/>
      <c r="H71" s="3"/>
      <c r="I71" s="3"/>
      <c r="J71" s="3"/>
    </row>
    <row r="72" spans="1:10" x14ac:dyDescent="0.25">
      <c r="A72" s="4" t="s">
        <v>429</v>
      </c>
      <c r="B72" s="4" t="s">
        <v>448</v>
      </c>
      <c r="C72" s="4" t="s">
        <v>1552</v>
      </c>
      <c r="D72" s="4" t="s">
        <v>449</v>
      </c>
      <c r="E72" s="4"/>
      <c r="F72" s="4"/>
      <c r="G72" s="4"/>
      <c r="H72" s="4"/>
      <c r="I72" s="4"/>
      <c r="J72" s="4"/>
    </row>
    <row r="73" spans="1:10" x14ac:dyDescent="0.25">
      <c r="A73" s="3" t="s">
        <v>429</v>
      </c>
      <c r="B73" s="3" t="s">
        <v>455</v>
      </c>
      <c r="C73" s="3" t="s">
        <v>1552</v>
      </c>
      <c r="D73" s="3" t="s">
        <v>456</v>
      </c>
      <c r="E73" s="3"/>
      <c r="F73" s="3"/>
      <c r="G73" s="3"/>
      <c r="H73" s="3"/>
      <c r="I73" s="3"/>
      <c r="J73" s="3"/>
    </row>
    <row r="74" spans="1:10" x14ac:dyDescent="0.25">
      <c r="A74" s="4" t="s">
        <v>429</v>
      </c>
      <c r="B74" s="4" t="s">
        <v>461</v>
      </c>
      <c r="C74" s="4" t="s">
        <v>1552</v>
      </c>
      <c r="D74" s="4" t="s">
        <v>462</v>
      </c>
      <c r="E74" s="4"/>
      <c r="F74" s="4"/>
      <c r="G74" s="4"/>
      <c r="H74" s="4"/>
      <c r="I74" s="4"/>
      <c r="J74" s="4"/>
    </row>
    <row r="75" spans="1:10" x14ac:dyDescent="0.25">
      <c r="A75" s="3" t="s">
        <v>429</v>
      </c>
      <c r="B75" s="3" t="s">
        <v>467</v>
      </c>
      <c r="C75" s="3" t="s">
        <v>1552</v>
      </c>
      <c r="D75" s="3" t="s">
        <v>468</v>
      </c>
      <c r="E75" s="3"/>
      <c r="F75" s="3"/>
      <c r="G75" s="3"/>
      <c r="H75" s="3"/>
      <c r="I75" s="3"/>
      <c r="J75" s="3"/>
    </row>
    <row r="76" spans="1:10" x14ac:dyDescent="0.25">
      <c r="A76" s="4" t="s">
        <v>429</v>
      </c>
      <c r="B76" s="4" t="s">
        <v>473</v>
      </c>
      <c r="C76" s="4" t="s">
        <v>1552</v>
      </c>
      <c r="D76" s="4" t="s">
        <v>474</v>
      </c>
      <c r="E76" s="4"/>
      <c r="F76" s="4"/>
      <c r="G76" s="4"/>
      <c r="H76" s="4"/>
      <c r="I76" s="4"/>
      <c r="J76" s="4"/>
    </row>
    <row r="77" spans="1:10" x14ac:dyDescent="0.25">
      <c r="A77" s="3" t="s">
        <v>429</v>
      </c>
      <c r="B77" s="3" t="s">
        <v>480</v>
      </c>
      <c r="C77" s="3" t="s">
        <v>1552</v>
      </c>
      <c r="D77" s="3" t="s">
        <v>481</v>
      </c>
      <c r="E77" s="3"/>
      <c r="F77" s="3"/>
      <c r="G77" s="3"/>
      <c r="H77" s="3"/>
      <c r="I77" s="3"/>
      <c r="J77" s="3"/>
    </row>
    <row r="78" spans="1:10" x14ac:dyDescent="0.25">
      <c r="A78" s="4" t="s">
        <v>429</v>
      </c>
      <c r="B78" s="4" t="s">
        <v>486</v>
      </c>
      <c r="C78" s="4" t="s">
        <v>1552</v>
      </c>
      <c r="D78" s="4" t="s">
        <v>487</v>
      </c>
      <c r="E78" s="4"/>
      <c r="F78" s="4"/>
      <c r="G78" s="4"/>
      <c r="H78" s="4"/>
      <c r="I78" s="4"/>
      <c r="J78" s="4"/>
    </row>
    <row r="79" spans="1:10" x14ac:dyDescent="0.25">
      <c r="A79" s="3" t="s">
        <v>429</v>
      </c>
      <c r="B79" s="3" t="s">
        <v>492</v>
      </c>
      <c r="C79" s="3" t="s">
        <v>1552</v>
      </c>
      <c r="D79" s="3" t="s">
        <v>493</v>
      </c>
      <c r="E79" s="3"/>
      <c r="F79" s="3"/>
      <c r="G79" s="3"/>
      <c r="H79" s="3"/>
      <c r="I79" s="3"/>
      <c r="J79" s="3"/>
    </row>
    <row r="80" spans="1:10" x14ac:dyDescent="0.25">
      <c r="A80" s="4" t="s">
        <v>429</v>
      </c>
      <c r="B80" s="4" t="s">
        <v>498</v>
      </c>
      <c r="C80" s="4" t="s">
        <v>1552</v>
      </c>
      <c r="D80" s="4" t="s">
        <v>499</v>
      </c>
      <c r="E80" s="4"/>
      <c r="F80" s="4"/>
      <c r="G80" s="4"/>
      <c r="H80" s="4"/>
      <c r="I80" s="4" t="s">
        <v>505</v>
      </c>
      <c r="J80" s="4"/>
    </row>
    <row r="81" spans="1:10" x14ac:dyDescent="0.25">
      <c r="A81" s="3" t="s">
        <v>507</v>
      </c>
      <c r="B81" s="3" t="s">
        <v>1182</v>
      </c>
      <c r="C81" s="3" t="s">
        <v>1553</v>
      </c>
      <c r="D81" s="3" t="s">
        <v>1183</v>
      </c>
      <c r="E81" s="3" t="s">
        <v>1713</v>
      </c>
      <c r="F81" s="3"/>
      <c r="G81" s="3" t="s">
        <v>1575</v>
      </c>
      <c r="H81" s="3"/>
      <c r="I81" s="3" t="s">
        <v>1719</v>
      </c>
      <c r="J81" s="3"/>
    </row>
    <row r="82" spans="1:10" x14ac:dyDescent="0.25">
      <c r="A82" s="4" t="s">
        <v>509</v>
      </c>
      <c r="B82" s="4" t="s">
        <v>512</v>
      </c>
      <c r="C82" s="4" t="s">
        <v>1552</v>
      </c>
      <c r="D82" s="4" t="s">
        <v>513</v>
      </c>
      <c r="E82" s="4" t="s">
        <v>1560</v>
      </c>
      <c r="F82" s="4"/>
      <c r="G82" s="4" t="s">
        <v>1720</v>
      </c>
      <c r="H82" s="4"/>
      <c r="I82" s="4" t="s">
        <v>1721</v>
      </c>
      <c r="J82" s="4"/>
    </row>
    <row r="83" spans="1:10" x14ac:dyDescent="0.25">
      <c r="A83" s="3" t="s">
        <v>509</v>
      </c>
      <c r="B83" s="3" t="s">
        <v>521</v>
      </c>
      <c r="C83" s="3" t="s">
        <v>1552</v>
      </c>
      <c r="D83" s="3" t="s">
        <v>522</v>
      </c>
      <c r="E83" s="3" t="s">
        <v>1560</v>
      </c>
      <c r="F83" s="3"/>
      <c r="G83" s="3" t="s">
        <v>1722</v>
      </c>
      <c r="H83" s="3"/>
      <c r="I83" s="3" t="s">
        <v>1721</v>
      </c>
      <c r="J83" s="3"/>
    </row>
    <row r="84" spans="1:10" x14ac:dyDescent="0.25">
      <c r="A84" s="4" t="s">
        <v>509</v>
      </c>
      <c r="B84" s="4" t="s">
        <v>528</v>
      </c>
      <c r="C84" s="4" t="s">
        <v>1552</v>
      </c>
      <c r="D84" s="4" t="s">
        <v>529</v>
      </c>
      <c r="E84" s="4" t="s">
        <v>1576</v>
      </c>
      <c r="F84" s="4"/>
      <c r="G84" s="4" t="s">
        <v>1723</v>
      </c>
      <c r="H84" s="4"/>
      <c r="I84" s="4" t="s">
        <v>1698</v>
      </c>
      <c r="J84" s="4"/>
    </row>
    <row r="85" spans="1:10" x14ac:dyDescent="0.25">
      <c r="A85" s="3" t="s">
        <v>509</v>
      </c>
      <c r="B85" s="3" t="s">
        <v>536</v>
      </c>
      <c r="C85" s="3" t="s">
        <v>1552</v>
      </c>
      <c r="D85" s="3" t="s">
        <v>537</v>
      </c>
      <c r="E85" s="3" t="s">
        <v>1560</v>
      </c>
      <c r="F85" s="3"/>
      <c r="G85" s="3" t="s">
        <v>1724</v>
      </c>
      <c r="H85" s="3"/>
      <c r="I85" s="3" t="s">
        <v>1701</v>
      </c>
      <c r="J85" s="3"/>
    </row>
    <row r="86" spans="1:10" x14ac:dyDescent="0.25">
      <c r="A86" s="4" t="s">
        <v>509</v>
      </c>
      <c r="B86" s="4" t="s">
        <v>1191</v>
      </c>
      <c r="C86" s="4" t="s">
        <v>1553</v>
      </c>
      <c r="D86" s="4" t="s">
        <v>1192</v>
      </c>
      <c r="E86" s="4"/>
      <c r="F86" s="4"/>
      <c r="G86" s="4"/>
      <c r="H86" s="4"/>
      <c r="I86" s="4"/>
      <c r="J86" s="4"/>
    </row>
    <row r="87" spans="1:10" x14ac:dyDescent="0.25">
      <c r="A87" s="3" t="s">
        <v>509</v>
      </c>
      <c r="B87" s="3" t="s">
        <v>1201</v>
      </c>
      <c r="C87" s="3" t="s">
        <v>1553</v>
      </c>
      <c r="D87" s="3" t="s">
        <v>1202</v>
      </c>
      <c r="E87" s="3"/>
      <c r="F87" s="3"/>
      <c r="G87" s="3"/>
      <c r="H87" s="3"/>
      <c r="I87" s="3"/>
      <c r="J87" s="3"/>
    </row>
    <row r="88" spans="1:10" x14ac:dyDescent="0.25">
      <c r="A88" s="4" t="s">
        <v>509</v>
      </c>
      <c r="B88" s="4" t="s">
        <v>544</v>
      </c>
      <c r="C88" s="4" t="s">
        <v>1552</v>
      </c>
      <c r="D88" s="4" t="s">
        <v>545</v>
      </c>
      <c r="E88" s="4"/>
      <c r="F88" s="4"/>
      <c r="G88" s="4"/>
      <c r="H88" s="4"/>
      <c r="I88" s="4"/>
      <c r="J88" s="4"/>
    </row>
    <row r="89" spans="1:10" x14ac:dyDescent="0.25">
      <c r="A89" s="3" t="s">
        <v>509</v>
      </c>
      <c r="B89" s="3" t="s">
        <v>1211</v>
      </c>
      <c r="C89" s="3" t="s">
        <v>1553</v>
      </c>
      <c r="D89" s="3" t="s">
        <v>1212</v>
      </c>
      <c r="E89" s="3"/>
      <c r="F89" s="3"/>
      <c r="G89" s="3"/>
      <c r="H89" s="3"/>
      <c r="I89" s="3" t="s">
        <v>505</v>
      </c>
      <c r="J89" s="3"/>
    </row>
    <row r="90" spans="1:10" x14ac:dyDescent="0.25">
      <c r="A90" s="4" t="s">
        <v>509</v>
      </c>
      <c r="B90" s="4" t="s">
        <v>1221</v>
      </c>
      <c r="C90" s="4" t="s">
        <v>1553</v>
      </c>
      <c r="D90" s="4" t="s">
        <v>1222</v>
      </c>
      <c r="E90" s="4"/>
      <c r="F90" s="4"/>
      <c r="G90" s="4"/>
      <c r="H90" s="4"/>
      <c r="I90" s="4"/>
      <c r="J90" s="4"/>
    </row>
    <row r="91" spans="1:10" x14ac:dyDescent="0.25">
      <c r="A91" s="3" t="s">
        <v>509</v>
      </c>
      <c r="B91" s="3" t="s">
        <v>1230</v>
      </c>
      <c r="C91" s="3" t="s">
        <v>1553</v>
      </c>
      <c r="D91" s="3" t="s">
        <v>1231</v>
      </c>
      <c r="E91" s="3" t="s">
        <v>1725</v>
      </c>
      <c r="F91" s="3"/>
      <c r="G91" s="3" t="s">
        <v>1577</v>
      </c>
      <c r="H91" s="3"/>
      <c r="I91" s="3" t="s">
        <v>1715</v>
      </c>
      <c r="J91" s="3"/>
    </row>
    <row r="92" spans="1:10" x14ac:dyDescent="0.25">
      <c r="A92" s="4" t="s">
        <v>509</v>
      </c>
      <c r="B92" s="4" t="s">
        <v>553</v>
      </c>
      <c r="C92" s="4" t="s">
        <v>1552</v>
      </c>
      <c r="D92" s="4" t="s">
        <v>554</v>
      </c>
      <c r="E92" s="4" t="s">
        <v>1725</v>
      </c>
      <c r="F92" s="4"/>
      <c r="G92" s="4" t="s">
        <v>1724</v>
      </c>
      <c r="H92" s="4"/>
      <c r="I92" s="4" t="s">
        <v>1572</v>
      </c>
      <c r="J92" s="4"/>
    </row>
    <row r="93" spans="1:10" x14ac:dyDescent="0.25">
      <c r="A93" s="3" t="s">
        <v>509</v>
      </c>
      <c r="B93" s="3" t="s">
        <v>563</v>
      </c>
      <c r="C93" s="3" t="s">
        <v>1552</v>
      </c>
      <c r="D93" s="3" t="s">
        <v>564</v>
      </c>
      <c r="E93" s="3" t="s">
        <v>1726</v>
      </c>
      <c r="F93" s="3"/>
      <c r="G93" s="3" t="s">
        <v>1578</v>
      </c>
      <c r="H93" s="3"/>
      <c r="I93" s="3" t="s">
        <v>1697</v>
      </c>
      <c r="J93" s="3"/>
    </row>
    <row r="94" spans="1:10" x14ac:dyDescent="0.25">
      <c r="A94" s="4" t="s">
        <v>509</v>
      </c>
      <c r="B94" s="4" t="s">
        <v>573</v>
      </c>
      <c r="C94" s="4" t="s">
        <v>1552</v>
      </c>
      <c r="D94" s="4" t="s">
        <v>574</v>
      </c>
      <c r="E94" s="4"/>
      <c r="F94" s="4"/>
      <c r="G94" s="4"/>
      <c r="H94" s="4"/>
      <c r="I94" s="4"/>
      <c r="J94" s="4"/>
    </row>
    <row r="95" spans="1:10" x14ac:dyDescent="0.25">
      <c r="A95" s="3" t="s">
        <v>509</v>
      </c>
      <c r="B95" s="3" t="s">
        <v>1240</v>
      </c>
      <c r="C95" s="3" t="s">
        <v>1553</v>
      </c>
      <c r="D95" s="3" t="s">
        <v>1241</v>
      </c>
      <c r="E95" s="3" t="s">
        <v>1725</v>
      </c>
      <c r="F95" s="3"/>
      <c r="G95" s="3" t="s">
        <v>1577</v>
      </c>
      <c r="H95" s="3"/>
      <c r="I95" s="3" t="s">
        <v>1715</v>
      </c>
      <c r="J95" s="3"/>
    </row>
    <row r="96" spans="1:10" x14ac:dyDescent="0.25">
      <c r="A96" s="4" t="s">
        <v>509</v>
      </c>
      <c r="B96" s="4" t="s">
        <v>1249</v>
      </c>
      <c r="C96" s="4" t="s">
        <v>1553</v>
      </c>
      <c r="D96" s="4" t="s">
        <v>1250</v>
      </c>
      <c r="E96" s="4" t="s">
        <v>1725</v>
      </c>
      <c r="F96" s="4"/>
      <c r="G96" s="4" t="s">
        <v>1577</v>
      </c>
      <c r="H96" s="4"/>
      <c r="I96" s="4" t="s">
        <v>1715</v>
      </c>
      <c r="J96" s="4"/>
    </row>
    <row r="97" spans="1:10" x14ac:dyDescent="0.25">
      <c r="A97" s="3" t="s">
        <v>509</v>
      </c>
      <c r="B97" s="3" t="s">
        <v>1258</v>
      </c>
      <c r="C97" s="3" t="s">
        <v>1553</v>
      </c>
      <c r="D97" s="3" t="s">
        <v>1259</v>
      </c>
      <c r="E97" s="3" t="s">
        <v>1725</v>
      </c>
      <c r="F97" s="3"/>
      <c r="G97" s="3" t="s">
        <v>1577</v>
      </c>
      <c r="H97" s="3"/>
      <c r="I97" s="3" t="s">
        <v>1715</v>
      </c>
      <c r="J97" s="3"/>
    </row>
    <row r="98" spans="1:10" x14ac:dyDescent="0.25">
      <c r="A98" s="4" t="s">
        <v>583</v>
      </c>
      <c r="B98" s="4" t="s">
        <v>1268</v>
      </c>
      <c r="C98" s="4" t="s">
        <v>1553</v>
      </c>
      <c r="D98" s="4" t="s">
        <v>1269</v>
      </c>
      <c r="E98" s="4" t="s">
        <v>1711</v>
      </c>
      <c r="F98" s="4"/>
      <c r="G98" s="4" t="s">
        <v>1579</v>
      </c>
      <c r="H98" s="4"/>
      <c r="I98" s="4" t="s">
        <v>1698</v>
      </c>
      <c r="J98" s="4"/>
    </row>
    <row r="99" spans="1:10" x14ac:dyDescent="0.25">
      <c r="A99" s="3" t="s">
        <v>586</v>
      </c>
      <c r="B99" s="3" t="s">
        <v>589</v>
      </c>
      <c r="C99" s="3" t="s">
        <v>1552</v>
      </c>
      <c r="D99" s="3" t="s">
        <v>590</v>
      </c>
      <c r="E99" s="3" t="s">
        <v>1712</v>
      </c>
      <c r="F99" s="3"/>
      <c r="G99" s="3" t="s">
        <v>1727</v>
      </c>
      <c r="H99" s="3"/>
      <c r="I99" s="3" t="s">
        <v>1580</v>
      </c>
      <c r="J99" s="3"/>
    </row>
    <row r="100" spans="1:10" x14ac:dyDescent="0.25">
      <c r="A100" s="4" t="s">
        <v>586</v>
      </c>
      <c r="B100" s="4" t="s">
        <v>599</v>
      </c>
      <c r="C100" s="4" t="s">
        <v>1552</v>
      </c>
      <c r="D100" s="4" t="s">
        <v>600</v>
      </c>
      <c r="E100" s="4"/>
      <c r="F100" s="4"/>
      <c r="G100" s="4"/>
      <c r="H100" s="4"/>
      <c r="I100" s="4"/>
      <c r="J100" s="4"/>
    </row>
    <row r="101" spans="1:10" x14ac:dyDescent="0.25">
      <c r="A101" s="3" t="s">
        <v>586</v>
      </c>
      <c r="B101" s="3" t="s">
        <v>609</v>
      </c>
      <c r="C101" s="3" t="s">
        <v>1552</v>
      </c>
      <c r="D101" s="3" t="s">
        <v>610</v>
      </c>
      <c r="E101" s="3"/>
      <c r="F101" s="3"/>
      <c r="G101" s="3"/>
      <c r="H101" s="3"/>
      <c r="I101" s="3"/>
      <c r="J101" s="3"/>
    </row>
    <row r="102" spans="1:10" x14ac:dyDescent="0.25">
      <c r="A102" s="4" t="s">
        <v>586</v>
      </c>
      <c r="B102" s="4" t="s">
        <v>619</v>
      </c>
      <c r="C102" s="4" t="s">
        <v>1552</v>
      </c>
      <c r="D102" s="4" t="s">
        <v>620</v>
      </c>
      <c r="E102" s="4"/>
      <c r="F102" s="4"/>
      <c r="G102" s="4"/>
      <c r="H102" s="4"/>
      <c r="I102" s="4"/>
      <c r="J102" s="4"/>
    </row>
    <row r="103" spans="1:10" x14ac:dyDescent="0.25">
      <c r="A103" s="3" t="s">
        <v>586</v>
      </c>
      <c r="B103" s="3" t="s">
        <v>627</v>
      </c>
      <c r="C103" s="3" t="s">
        <v>1552</v>
      </c>
      <c r="D103" s="3" t="s">
        <v>628</v>
      </c>
      <c r="E103" s="3"/>
      <c r="F103" s="3"/>
      <c r="G103" s="3"/>
      <c r="H103" s="3"/>
      <c r="I103" s="3"/>
      <c r="J103" s="3"/>
    </row>
    <row r="104" spans="1:10" x14ac:dyDescent="0.25">
      <c r="A104" s="4" t="s">
        <v>586</v>
      </c>
      <c r="B104" s="4" t="s">
        <v>638</v>
      </c>
      <c r="C104" s="4" t="s">
        <v>1552</v>
      </c>
      <c r="D104" s="4" t="s">
        <v>639</v>
      </c>
      <c r="E104" s="4"/>
      <c r="F104" s="4"/>
      <c r="G104" s="4"/>
      <c r="H104" s="4"/>
      <c r="I104" s="4"/>
      <c r="J104" s="4"/>
    </row>
    <row r="105" spans="1:10" x14ac:dyDescent="0.25">
      <c r="A105" s="3" t="s">
        <v>586</v>
      </c>
      <c r="B105" s="3" t="s">
        <v>1278</v>
      </c>
      <c r="C105" s="3" t="s">
        <v>1553</v>
      </c>
      <c r="D105" s="3" t="s">
        <v>1279</v>
      </c>
      <c r="E105" s="3"/>
      <c r="F105" s="3"/>
      <c r="G105" s="3"/>
      <c r="H105" s="3"/>
      <c r="I105" s="3"/>
      <c r="J105" s="3"/>
    </row>
    <row r="106" spans="1:10" x14ac:dyDescent="0.25">
      <c r="A106" s="4" t="s">
        <v>646</v>
      </c>
      <c r="B106" s="4" t="s">
        <v>1289</v>
      </c>
      <c r="C106" s="4" t="s">
        <v>1553</v>
      </c>
      <c r="D106" s="4" t="s">
        <v>1290</v>
      </c>
      <c r="E106" s="4" t="s">
        <v>1726</v>
      </c>
      <c r="F106" s="4"/>
      <c r="G106" s="4" t="s">
        <v>1581</v>
      </c>
      <c r="H106" s="4"/>
      <c r="I106" s="4" t="s">
        <v>1707</v>
      </c>
      <c r="J106" s="4"/>
    </row>
    <row r="107" spans="1:10" x14ac:dyDescent="0.25">
      <c r="A107" s="3" t="s">
        <v>649</v>
      </c>
      <c r="B107" s="3" t="s">
        <v>1298</v>
      </c>
      <c r="C107" s="3" t="s">
        <v>1553</v>
      </c>
      <c r="D107" s="3" t="s">
        <v>1299</v>
      </c>
      <c r="E107" s="3"/>
      <c r="F107" s="3"/>
      <c r="G107" s="3"/>
      <c r="H107" s="3"/>
      <c r="I107" s="3"/>
      <c r="J107" s="3"/>
    </row>
    <row r="108" spans="1:10" x14ac:dyDescent="0.25">
      <c r="A108" s="4" t="s">
        <v>652</v>
      </c>
      <c r="B108" s="4" t="s">
        <v>1308</v>
      </c>
      <c r="C108" s="4" t="s">
        <v>1553</v>
      </c>
      <c r="D108" s="4" t="s">
        <v>1309</v>
      </c>
      <c r="E108" s="4" t="s">
        <v>1582</v>
      </c>
      <c r="F108" s="4"/>
      <c r="G108" s="4" t="s">
        <v>1728</v>
      </c>
      <c r="H108" s="4"/>
      <c r="I108" s="4" t="s">
        <v>1729</v>
      </c>
      <c r="J108" s="4" t="s">
        <v>1701</v>
      </c>
    </row>
    <row r="109" spans="1:10" x14ac:dyDescent="0.25">
      <c r="A109" s="3" t="s">
        <v>652</v>
      </c>
      <c r="B109" s="3" t="s">
        <v>1318</v>
      </c>
      <c r="C109" s="3" t="s">
        <v>1553</v>
      </c>
      <c r="D109" s="3" t="s">
        <v>1319</v>
      </c>
      <c r="E109" s="3"/>
      <c r="F109" s="3"/>
      <c r="G109" s="3"/>
      <c r="H109" s="3"/>
      <c r="I109" s="3"/>
      <c r="J109" s="3"/>
    </row>
    <row r="110" spans="1:10" x14ac:dyDescent="0.25">
      <c r="A110" s="4" t="s">
        <v>652</v>
      </c>
      <c r="B110" s="4" t="s">
        <v>1329</v>
      </c>
      <c r="C110" s="4" t="s">
        <v>1553</v>
      </c>
      <c r="D110" s="4" t="s">
        <v>1330</v>
      </c>
      <c r="E110" s="4" t="s">
        <v>1566</v>
      </c>
      <c r="F110" s="4"/>
      <c r="G110" s="4" t="s">
        <v>1730</v>
      </c>
      <c r="H110" s="4"/>
      <c r="I110" s="4"/>
      <c r="J110" s="4"/>
    </row>
    <row r="111" spans="1:10" x14ac:dyDescent="0.25">
      <c r="A111" s="3" t="s">
        <v>652</v>
      </c>
      <c r="B111" s="3" t="s">
        <v>1340</v>
      </c>
      <c r="C111" s="3" t="s">
        <v>1553</v>
      </c>
      <c r="D111" s="3" t="s">
        <v>1341</v>
      </c>
      <c r="E111" s="3"/>
      <c r="F111" s="3"/>
      <c r="G111" s="3"/>
      <c r="H111" s="3"/>
      <c r="I111" s="3"/>
      <c r="J111" s="3"/>
    </row>
    <row r="112" spans="1:10" x14ac:dyDescent="0.25">
      <c r="A112" s="4" t="s">
        <v>652</v>
      </c>
      <c r="B112" s="4" t="s">
        <v>1349</v>
      </c>
      <c r="C112" s="4" t="s">
        <v>1553</v>
      </c>
      <c r="D112" s="4" t="s">
        <v>1350</v>
      </c>
      <c r="E112" s="4"/>
      <c r="F112" s="4"/>
      <c r="G112" s="4"/>
      <c r="H112" s="4"/>
      <c r="I112" s="4"/>
      <c r="J112" s="4"/>
    </row>
    <row r="113" spans="1:10" x14ac:dyDescent="0.25">
      <c r="A113" s="3" t="s">
        <v>654</v>
      </c>
      <c r="B113" s="3" t="s">
        <v>1358</v>
      </c>
      <c r="C113" s="3" t="s">
        <v>1553</v>
      </c>
      <c r="D113" s="3" t="s">
        <v>1359</v>
      </c>
      <c r="E113" s="3" t="s">
        <v>1582</v>
      </c>
      <c r="F113" s="3"/>
      <c r="G113" s="3" t="s">
        <v>1728</v>
      </c>
      <c r="H113" s="3"/>
      <c r="I113" s="3" t="s">
        <v>1729</v>
      </c>
      <c r="J113" s="3" t="s">
        <v>1701</v>
      </c>
    </row>
    <row r="114" spans="1:10" x14ac:dyDescent="0.25">
      <c r="A114" s="4" t="s">
        <v>656</v>
      </c>
      <c r="B114" s="4" t="s">
        <v>1368</v>
      </c>
      <c r="C114" s="4" t="s">
        <v>1553</v>
      </c>
      <c r="D114" s="4" t="s">
        <v>1369</v>
      </c>
      <c r="E114" s="4" t="s">
        <v>1582</v>
      </c>
      <c r="F114" s="4"/>
      <c r="G114" s="4" t="s">
        <v>1728</v>
      </c>
      <c r="H114" s="4"/>
      <c r="I114" s="4" t="s">
        <v>1729</v>
      </c>
      <c r="J114" s="4" t="s">
        <v>1701</v>
      </c>
    </row>
    <row r="115" spans="1:10" x14ac:dyDescent="0.25">
      <c r="A115" s="3" t="s">
        <v>656</v>
      </c>
      <c r="B115" s="3" t="s">
        <v>1378</v>
      </c>
      <c r="C115" s="3" t="s">
        <v>1553</v>
      </c>
      <c r="D115" s="3" t="s">
        <v>1379</v>
      </c>
      <c r="E115" s="3"/>
      <c r="F115" s="3"/>
      <c r="G115" s="3"/>
      <c r="H115" s="3"/>
      <c r="I115" s="3"/>
      <c r="J115" s="3"/>
    </row>
    <row r="116" spans="1:10" x14ac:dyDescent="0.25">
      <c r="A116" s="4" t="s">
        <v>658</v>
      </c>
      <c r="B116" s="4" t="s">
        <v>1387</v>
      </c>
      <c r="C116" s="4" t="s">
        <v>1553</v>
      </c>
      <c r="D116" s="4" t="s">
        <v>1388</v>
      </c>
      <c r="E116" s="4" t="s">
        <v>1582</v>
      </c>
      <c r="F116" s="4"/>
      <c r="G116" s="4" t="s">
        <v>1728</v>
      </c>
      <c r="H116" s="4"/>
      <c r="I116" s="4" t="s">
        <v>1729</v>
      </c>
      <c r="J116" s="4" t="s">
        <v>1701</v>
      </c>
    </row>
    <row r="117" spans="1:10" x14ac:dyDescent="0.25">
      <c r="A117" s="3" t="s">
        <v>660</v>
      </c>
      <c r="B117" s="3" t="s">
        <v>1395</v>
      </c>
      <c r="C117" s="3" t="s">
        <v>1553</v>
      </c>
      <c r="D117" s="3" t="s">
        <v>1396</v>
      </c>
      <c r="E117" s="3" t="s">
        <v>1582</v>
      </c>
      <c r="F117" s="3"/>
      <c r="G117" s="3" t="s">
        <v>1728</v>
      </c>
      <c r="H117" s="3"/>
      <c r="I117" s="3" t="s">
        <v>1729</v>
      </c>
      <c r="J117" s="3" t="s">
        <v>1701</v>
      </c>
    </row>
    <row r="118" spans="1:10" x14ac:dyDescent="0.25">
      <c r="A118" s="4" t="s">
        <v>660</v>
      </c>
      <c r="B118" s="4" t="s">
        <v>1405</v>
      </c>
      <c r="C118" s="4" t="s">
        <v>1553</v>
      </c>
      <c r="D118" s="4" t="s">
        <v>1406</v>
      </c>
      <c r="E118" s="4" t="s">
        <v>1582</v>
      </c>
      <c r="F118" s="4"/>
      <c r="G118" s="4" t="s">
        <v>1728</v>
      </c>
      <c r="H118" s="4"/>
      <c r="I118" s="4" t="s">
        <v>1729</v>
      </c>
      <c r="J118" s="4" t="s">
        <v>1701</v>
      </c>
    </row>
    <row r="119" spans="1:10" x14ac:dyDescent="0.25">
      <c r="A119" s="3" t="s">
        <v>660</v>
      </c>
      <c r="B119" s="3" t="s">
        <v>1413</v>
      </c>
      <c r="C119" s="3" t="s">
        <v>1553</v>
      </c>
      <c r="D119" s="3" t="s">
        <v>1414</v>
      </c>
      <c r="E119" s="3" t="s">
        <v>1582</v>
      </c>
      <c r="F119" s="3"/>
      <c r="G119" s="3" t="s">
        <v>1728</v>
      </c>
      <c r="H119" s="3"/>
      <c r="I119" s="3" t="s">
        <v>1729</v>
      </c>
      <c r="J119" s="3" t="s">
        <v>1701</v>
      </c>
    </row>
    <row r="120" spans="1:10" x14ac:dyDescent="0.25">
      <c r="A120" s="4" t="s">
        <v>660</v>
      </c>
      <c r="B120" s="4" t="s">
        <v>1421</v>
      </c>
      <c r="C120" s="4" t="s">
        <v>1553</v>
      </c>
      <c r="D120" s="4" t="s">
        <v>1422</v>
      </c>
      <c r="E120" s="4" t="s">
        <v>1582</v>
      </c>
      <c r="F120" s="4"/>
      <c r="G120" s="4" t="s">
        <v>1728</v>
      </c>
      <c r="H120" s="4"/>
      <c r="I120" s="4" t="s">
        <v>1729</v>
      </c>
      <c r="J120" s="4" t="s">
        <v>1701</v>
      </c>
    </row>
    <row r="121" spans="1:10" x14ac:dyDescent="0.25">
      <c r="A121" s="3" t="s">
        <v>662</v>
      </c>
      <c r="B121" s="3" t="s">
        <v>1429</v>
      </c>
      <c r="C121" s="3" t="s">
        <v>1553</v>
      </c>
      <c r="D121" s="3" t="s">
        <v>1430</v>
      </c>
      <c r="E121" s="3" t="s">
        <v>1582</v>
      </c>
      <c r="F121" s="3"/>
      <c r="G121" s="3" t="s">
        <v>1728</v>
      </c>
      <c r="H121" s="3"/>
      <c r="I121" s="3" t="s">
        <v>1729</v>
      </c>
      <c r="J121" s="3" t="s">
        <v>1701</v>
      </c>
    </row>
    <row r="122" spans="1:10" x14ac:dyDescent="0.25">
      <c r="A122" s="4" t="s">
        <v>664</v>
      </c>
      <c r="B122" s="4" t="s">
        <v>1436</v>
      </c>
      <c r="C122" s="4" t="s">
        <v>1553</v>
      </c>
      <c r="D122" s="4" t="s">
        <v>1437</v>
      </c>
      <c r="E122" s="4" t="s">
        <v>1582</v>
      </c>
      <c r="F122" s="4"/>
      <c r="G122" s="4" t="s">
        <v>1728</v>
      </c>
      <c r="H122" s="4"/>
      <c r="I122" s="4" t="s">
        <v>1729</v>
      </c>
      <c r="J122" s="4" t="s">
        <v>1701</v>
      </c>
    </row>
    <row r="123" spans="1:10" x14ac:dyDescent="0.25">
      <c r="A123" s="3" t="s">
        <v>666</v>
      </c>
      <c r="B123" s="3" t="s">
        <v>1446</v>
      </c>
      <c r="C123" s="3" t="s">
        <v>1553</v>
      </c>
      <c r="D123" s="3" t="s">
        <v>1447</v>
      </c>
      <c r="E123" s="3"/>
      <c r="F123" s="3"/>
      <c r="G123" s="3"/>
      <c r="H123" s="3"/>
      <c r="I123" s="3"/>
      <c r="J123" s="3"/>
    </row>
    <row r="124" spans="1:10" x14ac:dyDescent="0.25">
      <c r="A124" s="4" t="s">
        <v>668</v>
      </c>
      <c r="B124" s="4" t="s">
        <v>671</v>
      </c>
      <c r="C124" s="4" t="s">
        <v>1552</v>
      </c>
      <c r="D124" s="4" t="s">
        <v>672</v>
      </c>
      <c r="E124" s="4" t="s">
        <v>1571</v>
      </c>
      <c r="F124" s="4"/>
      <c r="G124" s="4" t="s">
        <v>1731</v>
      </c>
      <c r="H124" s="4"/>
      <c r="I124" s="4" t="s">
        <v>1719</v>
      </c>
      <c r="J124" s="4"/>
    </row>
    <row r="125" spans="1:10" x14ac:dyDescent="0.25">
      <c r="A125" s="3" t="s">
        <v>668</v>
      </c>
      <c r="B125" s="3" t="s">
        <v>681</v>
      </c>
      <c r="C125" s="3" t="s">
        <v>1552</v>
      </c>
      <c r="D125" s="3" t="s">
        <v>682</v>
      </c>
      <c r="E125" s="3" t="s">
        <v>1571</v>
      </c>
      <c r="F125" s="3"/>
      <c r="G125" s="3" t="s">
        <v>1731</v>
      </c>
      <c r="H125" s="3"/>
      <c r="I125" s="3" t="s">
        <v>1719</v>
      </c>
      <c r="J125" s="3"/>
    </row>
    <row r="126" spans="1:10" x14ac:dyDescent="0.25">
      <c r="A126" s="4" t="s">
        <v>668</v>
      </c>
      <c r="B126" s="4" t="s">
        <v>687</v>
      </c>
      <c r="C126" s="4" t="s">
        <v>1552</v>
      </c>
      <c r="D126" s="4" t="s">
        <v>688</v>
      </c>
      <c r="E126" s="4" t="s">
        <v>1571</v>
      </c>
      <c r="F126" s="4"/>
      <c r="G126" s="4" t="s">
        <v>1731</v>
      </c>
      <c r="H126" s="4"/>
      <c r="I126" s="4" t="s">
        <v>1719</v>
      </c>
      <c r="J126" s="4"/>
    </row>
    <row r="127" spans="1:10" x14ac:dyDescent="0.25">
      <c r="A127" s="3" t="s">
        <v>668</v>
      </c>
      <c r="B127" s="3" t="s">
        <v>696</v>
      </c>
      <c r="C127" s="3" t="s">
        <v>1552</v>
      </c>
      <c r="D127" s="3" t="s">
        <v>697</v>
      </c>
      <c r="E127" s="3" t="s">
        <v>1571</v>
      </c>
      <c r="F127" s="3"/>
      <c r="G127" s="3" t="s">
        <v>1731</v>
      </c>
      <c r="H127" s="3"/>
      <c r="I127" s="3" t="s">
        <v>1719</v>
      </c>
      <c r="J127" s="3"/>
    </row>
    <row r="128" spans="1:10" x14ac:dyDescent="0.25">
      <c r="A128" s="4" t="s">
        <v>668</v>
      </c>
      <c r="B128" s="4" t="s">
        <v>702</v>
      </c>
      <c r="C128" s="4" t="s">
        <v>1552</v>
      </c>
      <c r="D128" s="4" t="s">
        <v>703</v>
      </c>
      <c r="E128" s="4" t="s">
        <v>1568</v>
      </c>
      <c r="F128" s="4"/>
      <c r="G128" s="4" t="s">
        <v>1716</v>
      </c>
      <c r="H128" s="4"/>
      <c r="I128" s="4" t="s">
        <v>1717</v>
      </c>
      <c r="J128" s="4"/>
    </row>
    <row r="129" spans="1:10" x14ac:dyDescent="0.25">
      <c r="A129" s="3" t="s">
        <v>668</v>
      </c>
      <c r="B129" s="3" t="s">
        <v>1457</v>
      </c>
      <c r="C129" s="3" t="s">
        <v>1553</v>
      </c>
      <c r="D129" s="3" t="s">
        <v>1458</v>
      </c>
      <c r="E129" s="3" t="s">
        <v>1571</v>
      </c>
      <c r="F129" s="3"/>
      <c r="G129" s="3" t="s">
        <v>1731</v>
      </c>
      <c r="H129" s="3"/>
      <c r="I129" s="3" t="s">
        <v>1719</v>
      </c>
      <c r="J129" s="3"/>
    </row>
    <row r="130" spans="1:10" x14ac:dyDescent="0.25">
      <c r="A130" s="4" t="s">
        <v>668</v>
      </c>
      <c r="B130" s="4" t="s">
        <v>712</v>
      </c>
      <c r="C130" s="4" t="s">
        <v>1552</v>
      </c>
      <c r="D130" s="4" t="s">
        <v>713</v>
      </c>
      <c r="E130" s="4" t="s">
        <v>1696</v>
      </c>
      <c r="F130" s="4"/>
      <c r="G130" s="4" t="s">
        <v>1555</v>
      </c>
      <c r="H130" s="4"/>
      <c r="I130" s="4" t="s">
        <v>1698</v>
      </c>
      <c r="J130" s="4"/>
    </row>
    <row r="131" spans="1:10" x14ac:dyDescent="0.25">
      <c r="A131" s="3" t="s">
        <v>668</v>
      </c>
      <c r="B131" s="3" t="s">
        <v>1466</v>
      </c>
      <c r="C131" s="3" t="s">
        <v>1553</v>
      </c>
      <c r="D131" s="3" t="s">
        <v>1467</v>
      </c>
      <c r="E131" s="3" t="s">
        <v>1699</v>
      </c>
      <c r="F131" s="3"/>
      <c r="G131" s="3" t="s">
        <v>1557</v>
      </c>
      <c r="H131" s="3"/>
      <c r="I131" s="3" t="s">
        <v>1698</v>
      </c>
      <c r="J131" s="3"/>
    </row>
    <row r="132" spans="1:10" x14ac:dyDescent="0.25">
      <c r="A132" s="4" t="s">
        <v>668</v>
      </c>
      <c r="B132" s="4" t="s">
        <v>1476</v>
      </c>
      <c r="C132" s="4" t="s">
        <v>1553</v>
      </c>
      <c r="D132" s="4" t="s">
        <v>1477</v>
      </c>
      <c r="E132" s="4" t="s">
        <v>1713</v>
      </c>
      <c r="F132" s="4"/>
      <c r="G132" s="4" t="s">
        <v>1584</v>
      </c>
      <c r="H132" s="4"/>
      <c r="I132" s="4" t="s">
        <v>1697</v>
      </c>
      <c r="J132" s="4"/>
    </row>
    <row r="133" spans="1:10" x14ac:dyDescent="0.25">
      <c r="A133" s="3" t="s">
        <v>668</v>
      </c>
      <c r="B133" s="3" t="s">
        <v>1485</v>
      </c>
      <c r="C133" s="3" t="s">
        <v>1553</v>
      </c>
      <c r="D133" s="3" t="s">
        <v>1486</v>
      </c>
      <c r="E133" s="3" t="s">
        <v>1713</v>
      </c>
      <c r="F133" s="3"/>
      <c r="G133" s="3" t="s">
        <v>1584</v>
      </c>
      <c r="H133" s="3"/>
      <c r="I133" s="3" t="s">
        <v>1697</v>
      </c>
      <c r="J133" s="3"/>
    </row>
    <row r="134" spans="1:10" x14ac:dyDescent="0.25">
      <c r="A134" s="4" t="s">
        <v>668</v>
      </c>
      <c r="B134" s="4" t="s">
        <v>721</v>
      </c>
      <c r="C134" s="4" t="s">
        <v>1552</v>
      </c>
      <c r="D134" s="4" t="s">
        <v>722</v>
      </c>
      <c r="E134" s="4" t="s">
        <v>1713</v>
      </c>
      <c r="F134" s="4"/>
      <c r="G134" s="4" t="s">
        <v>1585</v>
      </c>
      <c r="H134" s="4"/>
      <c r="I134" s="4" t="s">
        <v>1732</v>
      </c>
      <c r="J134" s="4"/>
    </row>
    <row r="135" spans="1:10" x14ac:dyDescent="0.25">
      <c r="A135" s="3" t="s">
        <v>731</v>
      </c>
      <c r="B135" s="3" t="s">
        <v>1494</v>
      </c>
      <c r="C135" s="3" t="s">
        <v>1553</v>
      </c>
      <c r="D135" s="3" t="s">
        <v>1495</v>
      </c>
      <c r="E135" s="3" t="s">
        <v>1713</v>
      </c>
      <c r="F135" s="3"/>
      <c r="G135" s="3" t="s">
        <v>1586</v>
      </c>
      <c r="H135" s="3"/>
      <c r="I135" s="3" t="s">
        <v>1721</v>
      </c>
      <c r="J135" s="3"/>
    </row>
    <row r="136" spans="1:10" x14ac:dyDescent="0.25">
      <c r="A136" s="4" t="s">
        <v>736</v>
      </c>
      <c r="B136" s="4" t="s">
        <v>739</v>
      </c>
      <c r="C136" s="4" t="s">
        <v>1552</v>
      </c>
      <c r="D136" s="4" t="s">
        <v>740</v>
      </c>
      <c r="E136" s="4" t="s">
        <v>1711</v>
      </c>
      <c r="F136" s="4"/>
      <c r="G136" s="4" t="s">
        <v>1574</v>
      </c>
      <c r="H136" s="4"/>
      <c r="I136" s="4" t="s">
        <v>1717</v>
      </c>
      <c r="J136" s="4"/>
    </row>
    <row r="137" spans="1:10" x14ac:dyDescent="0.25">
      <c r="A137" s="3" t="s">
        <v>736</v>
      </c>
      <c r="B137" s="3" t="s">
        <v>749</v>
      </c>
      <c r="C137" s="3" t="s">
        <v>1552</v>
      </c>
      <c r="D137" s="3" t="s">
        <v>750</v>
      </c>
      <c r="E137" s="3" t="s">
        <v>1733</v>
      </c>
      <c r="F137" s="3"/>
      <c r="G137" s="3" t="s">
        <v>1583</v>
      </c>
      <c r="H137" s="3"/>
      <c r="I137" s="3" t="s">
        <v>1732</v>
      </c>
      <c r="J137" s="3"/>
    </row>
    <row r="138" spans="1:10" x14ac:dyDescent="0.25">
      <c r="A138" s="4" t="s">
        <v>736</v>
      </c>
      <c r="B138" s="4" t="s">
        <v>759</v>
      </c>
      <c r="C138" s="4" t="s">
        <v>1552</v>
      </c>
      <c r="D138" s="4" t="s">
        <v>760</v>
      </c>
      <c r="E138" s="4" t="s">
        <v>1733</v>
      </c>
      <c r="F138" s="4"/>
      <c r="G138" s="4" t="s">
        <v>1583</v>
      </c>
      <c r="H138" s="4"/>
      <c r="I138" s="4" t="s">
        <v>1732</v>
      </c>
      <c r="J138" s="4"/>
    </row>
    <row r="139" spans="1:10" x14ac:dyDescent="0.25">
      <c r="A139" s="3" t="s">
        <v>768</v>
      </c>
      <c r="B139" s="3" t="s">
        <v>771</v>
      </c>
      <c r="C139" s="3" t="s">
        <v>1552</v>
      </c>
      <c r="D139" s="3" t="s">
        <v>772</v>
      </c>
      <c r="E139" s="3" t="s">
        <v>1568</v>
      </c>
      <c r="F139" s="3"/>
      <c r="G139" s="3" t="s">
        <v>1716</v>
      </c>
      <c r="H139" s="3"/>
      <c r="I139" s="3" t="s">
        <v>1717</v>
      </c>
      <c r="J139" s="3"/>
    </row>
    <row r="140" spans="1:10" x14ac:dyDescent="0.25">
      <c r="A140" s="4" t="s">
        <v>768</v>
      </c>
      <c r="B140" s="4" t="s">
        <v>780</v>
      </c>
      <c r="C140" s="4" t="s">
        <v>1552</v>
      </c>
      <c r="D140" s="4" t="s">
        <v>781</v>
      </c>
      <c r="E140" s="4" t="s">
        <v>1568</v>
      </c>
      <c r="F140" s="4"/>
      <c r="G140" s="4" t="s">
        <v>1716</v>
      </c>
      <c r="H140" s="4"/>
      <c r="I140" s="4" t="s">
        <v>1717</v>
      </c>
      <c r="J140" s="4"/>
    </row>
    <row r="141" spans="1:10" x14ac:dyDescent="0.25">
      <c r="A141" s="3" t="s">
        <v>768</v>
      </c>
      <c r="B141" s="3" t="s">
        <v>1504</v>
      </c>
      <c r="C141" s="3" t="s">
        <v>1553</v>
      </c>
      <c r="D141" s="3" t="s">
        <v>1505</v>
      </c>
      <c r="E141" s="3" t="s">
        <v>1711</v>
      </c>
      <c r="F141" s="3"/>
      <c r="G141" s="3" t="s">
        <v>1574</v>
      </c>
      <c r="H141" s="3"/>
      <c r="I141" s="3" t="s">
        <v>1717</v>
      </c>
      <c r="J141" s="3"/>
    </row>
    <row r="142" spans="1:10" x14ac:dyDescent="0.25">
      <c r="A142" s="4" t="s">
        <v>789</v>
      </c>
      <c r="B142" s="4" t="s">
        <v>792</v>
      </c>
      <c r="C142" s="4" t="s">
        <v>1552</v>
      </c>
      <c r="D142" s="4" t="s">
        <v>793</v>
      </c>
      <c r="E142" s="4"/>
      <c r="F142" s="4"/>
      <c r="G142" s="4"/>
      <c r="H142" s="4"/>
      <c r="I142" s="4"/>
      <c r="J142" s="4"/>
    </row>
    <row r="143" spans="1:10" x14ac:dyDescent="0.25">
      <c r="A143" s="3" t="s">
        <v>789</v>
      </c>
      <c r="B143" s="3" t="s">
        <v>1514</v>
      </c>
      <c r="C143" s="3" t="s">
        <v>1553</v>
      </c>
      <c r="D143" s="3" t="s">
        <v>1515</v>
      </c>
      <c r="E143" s="3" t="s">
        <v>1556</v>
      </c>
      <c r="F143" s="3"/>
      <c r="G143" s="3" t="s">
        <v>1718</v>
      </c>
      <c r="H143" s="3"/>
      <c r="I143" s="3" t="s">
        <v>1698</v>
      </c>
      <c r="J143" s="3"/>
    </row>
    <row r="144" spans="1:10" x14ac:dyDescent="0.25">
      <c r="A144" s="4" t="s">
        <v>789</v>
      </c>
      <c r="B144" s="4" t="s">
        <v>800</v>
      </c>
      <c r="C144" s="4" t="s">
        <v>1552</v>
      </c>
      <c r="D144" s="4" t="s">
        <v>801</v>
      </c>
      <c r="E144" s="4"/>
      <c r="F144" s="4"/>
      <c r="G144" s="4"/>
      <c r="H144" s="4"/>
      <c r="I144" s="4"/>
      <c r="J144" s="4"/>
    </row>
    <row r="145" spans="1:10" x14ac:dyDescent="0.25">
      <c r="A145" s="3" t="s">
        <v>789</v>
      </c>
      <c r="B145" s="3" t="s">
        <v>809</v>
      </c>
      <c r="C145" s="3" t="s">
        <v>1552</v>
      </c>
      <c r="D145" s="3" t="s">
        <v>810</v>
      </c>
      <c r="E145" s="3" t="s">
        <v>1734</v>
      </c>
      <c r="F145" s="3"/>
      <c r="G145" s="3" t="s">
        <v>1587</v>
      </c>
      <c r="H145" s="3"/>
      <c r="I145" s="3" t="s">
        <v>1735</v>
      </c>
      <c r="J145" s="3"/>
    </row>
    <row r="146" spans="1:10" x14ac:dyDescent="0.25">
      <c r="A146" s="4" t="s">
        <v>789</v>
      </c>
      <c r="B146" s="4" t="s">
        <v>819</v>
      </c>
      <c r="C146" s="4" t="s">
        <v>1552</v>
      </c>
      <c r="D146" s="4" t="s">
        <v>820</v>
      </c>
      <c r="E146" s="4" t="s">
        <v>1558</v>
      </c>
      <c r="F146" s="4"/>
      <c r="G146" s="4" t="s">
        <v>1736</v>
      </c>
      <c r="H146" s="4"/>
      <c r="I146" s="4" t="s">
        <v>1737</v>
      </c>
      <c r="J146" s="4"/>
    </row>
    <row r="147" spans="1:10" x14ac:dyDescent="0.25">
      <c r="A147" s="3" t="s">
        <v>789</v>
      </c>
      <c r="B147" s="3" t="s">
        <v>828</v>
      </c>
      <c r="C147" s="3" t="s">
        <v>1552</v>
      </c>
      <c r="D147" s="3" t="s">
        <v>829</v>
      </c>
      <c r="E147" s="3" t="s">
        <v>1711</v>
      </c>
      <c r="F147" s="3"/>
      <c r="G147" s="3" t="s">
        <v>1574</v>
      </c>
      <c r="H147" s="3" t="s">
        <v>1738</v>
      </c>
      <c r="I147" s="3"/>
      <c r="J147" s="3"/>
    </row>
    <row r="148" spans="1:10" x14ac:dyDescent="0.25">
      <c r="A148" s="4" t="s">
        <v>789</v>
      </c>
      <c r="B148" s="4" t="s">
        <v>1523</v>
      </c>
      <c r="C148" s="4" t="s">
        <v>1553</v>
      </c>
      <c r="D148" s="4" t="s">
        <v>1524</v>
      </c>
      <c r="E148" s="4"/>
      <c r="F148" s="4"/>
      <c r="G148" s="4"/>
      <c r="H148" s="4"/>
      <c r="I148" s="4"/>
      <c r="J148" s="4"/>
    </row>
    <row r="149" spans="1:10" x14ac:dyDescent="0.25">
      <c r="A149" s="3" t="s">
        <v>789</v>
      </c>
      <c r="B149" s="3" t="s">
        <v>1531</v>
      </c>
      <c r="C149" s="3" t="s">
        <v>1553</v>
      </c>
      <c r="D149" s="3" t="s">
        <v>1532</v>
      </c>
      <c r="E149" s="3" t="s">
        <v>1711</v>
      </c>
      <c r="F149" s="3"/>
      <c r="G149" s="3" t="s">
        <v>1574</v>
      </c>
      <c r="H149" s="3"/>
      <c r="I149" s="3" t="s">
        <v>1717</v>
      </c>
      <c r="J149" s="3"/>
    </row>
    <row r="150" spans="1:10" x14ac:dyDescent="0.25">
      <c r="A150" s="4" t="s">
        <v>838</v>
      </c>
      <c r="B150" s="4" t="s">
        <v>840</v>
      </c>
      <c r="C150" s="4" t="s">
        <v>1552</v>
      </c>
      <c r="D150" s="4" t="s">
        <v>841</v>
      </c>
      <c r="E150" s="4"/>
      <c r="F150" s="4"/>
      <c r="G150" s="4"/>
      <c r="H150" s="4"/>
      <c r="I150" s="4"/>
      <c r="J150" s="4"/>
    </row>
    <row r="151" spans="1:10" x14ac:dyDescent="0.25">
      <c r="A151" s="3" t="s">
        <v>838</v>
      </c>
      <c r="B151" s="3" t="s">
        <v>850</v>
      </c>
      <c r="C151" s="3" t="s">
        <v>1552</v>
      </c>
      <c r="D151" s="3" t="s">
        <v>851</v>
      </c>
      <c r="E151" s="3" t="s">
        <v>1562</v>
      </c>
      <c r="F151" s="3"/>
      <c r="G151" s="3" t="s">
        <v>1704</v>
      </c>
      <c r="H151" s="3"/>
      <c r="I151" s="3" t="s">
        <v>1705</v>
      </c>
      <c r="J151" s="3"/>
    </row>
    <row r="152" spans="1:10" x14ac:dyDescent="0.25">
      <c r="A152" s="4" t="s">
        <v>838</v>
      </c>
      <c r="B152" s="4" t="s">
        <v>860</v>
      </c>
      <c r="C152" s="4" t="s">
        <v>1552</v>
      </c>
      <c r="D152" s="4" t="s">
        <v>861</v>
      </c>
      <c r="E152" s="4" t="s">
        <v>1696</v>
      </c>
      <c r="F152" s="4"/>
      <c r="G152" s="4" t="s">
        <v>1555</v>
      </c>
      <c r="H152" s="4"/>
      <c r="I152" s="4" t="s">
        <v>1735</v>
      </c>
      <c r="J152" s="4"/>
    </row>
    <row r="153" spans="1:10" x14ac:dyDescent="0.25">
      <c r="A153" s="3" t="s">
        <v>870</v>
      </c>
      <c r="B153" s="3" t="s">
        <v>1542</v>
      </c>
      <c r="C153" s="3" t="s">
        <v>1553</v>
      </c>
      <c r="D153" s="3" t="s">
        <v>1543</v>
      </c>
      <c r="E153" s="3" t="s">
        <v>1558</v>
      </c>
      <c r="F153" s="3"/>
      <c r="G153" s="3" t="s">
        <v>1739</v>
      </c>
      <c r="H153" s="3"/>
      <c r="I153" s="3" t="s">
        <v>1698</v>
      </c>
      <c r="J153" s="3"/>
    </row>
    <row r="154" spans="1:10" x14ac:dyDescent="0.25">
      <c r="A154" s="4" t="s">
        <v>870</v>
      </c>
      <c r="B154" s="4" t="s">
        <v>872</v>
      </c>
      <c r="C154" s="4" t="s">
        <v>1552</v>
      </c>
      <c r="D154" s="4" t="s">
        <v>873</v>
      </c>
      <c r="E154" s="4" t="s">
        <v>1696</v>
      </c>
      <c r="F154" s="4"/>
      <c r="G154" s="4" t="s">
        <v>1555</v>
      </c>
      <c r="H154" s="4"/>
      <c r="I154" s="4" t="s">
        <v>1698</v>
      </c>
      <c r="J154" s="4"/>
    </row>
    <row r="155" spans="1:10" x14ac:dyDescent="0.25">
      <c r="A155" s="3" t="s">
        <v>870</v>
      </c>
      <c r="B155" s="3" t="s">
        <v>881</v>
      </c>
      <c r="C155" s="3" t="s">
        <v>1552</v>
      </c>
      <c r="D155" s="3" t="s">
        <v>882</v>
      </c>
      <c r="E155" s="3" t="s">
        <v>1556</v>
      </c>
      <c r="F155" s="3"/>
      <c r="G155" s="3" t="s">
        <v>1718</v>
      </c>
      <c r="H155" s="3"/>
      <c r="I155" s="3" t="s">
        <v>1698</v>
      </c>
      <c r="J155" s="3"/>
    </row>
    <row r="156" spans="1:10" x14ac:dyDescent="0.25">
      <c r="A156" s="4" t="s">
        <v>892</v>
      </c>
      <c r="B156" s="4" t="s">
        <v>894</v>
      </c>
      <c r="C156" s="4" t="s">
        <v>1552</v>
      </c>
      <c r="D156" s="4" t="s">
        <v>895</v>
      </c>
      <c r="E156" s="4" t="s">
        <v>1696</v>
      </c>
      <c r="F156" s="4"/>
      <c r="G156" s="4" t="s">
        <v>1555</v>
      </c>
      <c r="H156" s="4"/>
      <c r="I156" s="4" t="s">
        <v>1735</v>
      </c>
      <c r="J15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83BE-7096-4203-8A0D-1452BFB6B238}">
  <dimension ref="A1:L902"/>
  <sheetViews>
    <sheetView workbookViewId="0">
      <pane ySplit="5" topLeftCell="A6" activePane="bottomLeft" state="frozen"/>
      <selection pane="bottomLeft"/>
    </sheetView>
  </sheetViews>
  <sheetFormatPr defaultColWidth="9.140625" defaultRowHeight="15" x14ac:dyDescent="0.25"/>
  <cols>
    <col min="1" max="1" width="28" style="17" customWidth="1"/>
    <col min="2" max="11" width="11.5703125" style="17" customWidth="1"/>
    <col min="12" max="12" width="111.140625" style="23" customWidth="1"/>
    <col min="13" max="16384" width="9.140625" style="17"/>
  </cols>
  <sheetData>
    <row r="1" spans="1:12" x14ac:dyDescent="0.25">
      <c r="A1" s="14" t="s">
        <v>1679</v>
      </c>
      <c r="B1" s="15"/>
      <c r="C1" s="15"/>
      <c r="D1" s="15"/>
      <c r="E1" s="15"/>
      <c r="F1" s="15"/>
      <c r="G1" s="15"/>
      <c r="H1" s="15"/>
      <c r="I1" s="15"/>
      <c r="J1" s="15"/>
      <c r="K1" s="15"/>
      <c r="L1" s="16" t="s">
        <v>1680</v>
      </c>
    </row>
    <row r="2" spans="1:12" x14ac:dyDescent="0.25">
      <c r="A2" s="18" t="s">
        <v>1681</v>
      </c>
      <c r="B2" s="18"/>
      <c r="C2" s="18"/>
      <c r="D2" s="18"/>
      <c r="E2" s="4"/>
      <c r="F2" s="18"/>
      <c r="G2" s="18"/>
      <c r="H2" s="18"/>
      <c r="I2" s="18"/>
      <c r="J2" s="18"/>
      <c r="K2" s="18"/>
      <c r="L2" s="18" t="s">
        <v>1682</v>
      </c>
    </row>
    <row r="3" spans="1:12" s="21" customFormat="1" ht="15.75" thickBot="1" x14ac:dyDescent="0.3">
      <c r="A3" s="19" t="s">
        <v>1683</v>
      </c>
      <c r="B3" s="7"/>
      <c r="C3" s="15"/>
      <c r="D3" s="15"/>
      <c r="E3" s="15"/>
      <c r="F3" s="15"/>
      <c r="G3" s="15"/>
      <c r="H3" s="15"/>
      <c r="I3" s="15"/>
      <c r="J3" s="15"/>
      <c r="K3" s="15"/>
      <c r="L3" s="20" t="s">
        <v>1684</v>
      </c>
    </row>
    <row r="4" spans="1:12" hidden="1" x14ac:dyDescent="0.25">
      <c r="A4" s="14"/>
      <c r="B4" s="22"/>
      <c r="C4" s="22"/>
      <c r="D4" s="22"/>
      <c r="E4" s="22"/>
      <c r="F4" s="22"/>
      <c r="G4" s="22"/>
      <c r="H4" s="22"/>
      <c r="I4" s="22"/>
      <c r="J4" s="22"/>
      <c r="K4" s="22"/>
    </row>
    <row r="5" spans="1:12" ht="15.75" thickBot="1" x14ac:dyDescent="0.3">
      <c r="A5" s="24" t="s">
        <v>1685</v>
      </c>
      <c r="B5" s="24" t="s">
        <v>1686</v>
      </c>
      <c r="C5" s="24" t="s">
        <v>1687</v>
      </c>
      <c r="D5" s="24" t="s">
        <v>1688</v>
      </c>
      <c r="E5" s="24" t="s">
        <v>1689</v>
      </c>
      <c r="F5" s="24" t="s">
        <v>1690</v>
      </c>
      <c r="G5" s="24" t="s">
        <v>1691</v>
      </c>
      <c r="H5" s="24" t="s">
        <v>1692</v>
      </c>
      <c r="I5" s="24" t="s">
        <v>1693</v>
      </c>
      <c r="J5" s="24" t="s">
        <v>1694</v>
      </c>
      <c r="K5" s="24" t="s">
        <v>1695</v>
      </c>
      <c r="L5" s="25" t="s">
        <v>1590</v>
      </c>
    </row>
    <row r="6" spans="1:12" ht="15.75" thickTop="1" x14ac:dyDescent="0.25">
      <c r="A6" s="26" t="str">
        <f>IF(COUNTIF(B6:K6,"="&amp;'MITRE ATT&amp;CK Mappings'!B2)&gt;0,'MITRE ATT&amp;CK Mappings'!B2,"")</f>
        <v/>
      </c>
      <c r="B6" s="26" t="str">
        <f>IF(OR(OR(OR(OR(OR(ISNUMBER(SEARCH(IF(B$1&lt;&gt;"",B$1,"NA"),'MITRE ATT&amp;CK Mappings'!$E2)),ISNUMBER(SEARCH(IF(B$1&lt;&gt;"",B$1,"NA"),'MITRE ATT&amp;CK Mappings'!$F2))),ISNUMBER(SEARCH(IF(B$2&lt;&gt;"",B$2,"NA"),'MITRE ATT&amp;CK Mappings'!$G2))),ISNUMBER(SEARCH(IF(B$2&lt;&gt;"",B$2,"NA"),'MITRE ATT&amp;CK Mappings'!$H2))),ISNUMBER(SEARCH(IF(B$3&lt;&gt;"",B$3,"NA"),'MITRE ATT&amp;CK Mappings'!$I2))),ISNUMBER(SEARCH(IF(B$3&lt;&gt;"",B$3,"NA"),'MITRE ATT&amp;CK Mappings'!$J2))), 'MITRE ATT&amp;CK Mappings'!$B2,"")</f>
        <v/>
      </c>
      <c r="C6" s="26" t="str">
        <f>IF(OR(OR(OR(OR(OR(ISNUMBER(SEARCH(IF(C$1&lt;&gt;"",C$1,"NA"),'MITRE ATT&amp;CK Mappings'!$E2)),ISNUMBER(SEARCH(IF(C$1&lt;&gt;"",C$1,"NA"),'MITRE ATT&amp;CK Mappings'!$F2))),ISNUMBER(SEARCH(IF(C$2&lt;&gt;"",C$2,"NA"),'MITRE ATT&amp;CK Mappings'!$G2))),ISNUMBER(SEARCH(IF(C$2&lt;&gt;"",C$2,"NA"),'MITRE ATT&amp;CK Mappings'!$H2))),ISNUMBER(SEARCH(IF(C$3&lt;&gt;"",C$3,"NA"),'MITRE ATT&amp;CK Mappings'!$I2))),ISNUMBER(SEARCH(IF(C$3&lt;&gt;"",C$3,"NA"),'MITRE ATT&amp;CK Mappings'!$J2))), 'MITRE ATT&amp;CK Mappings'!$B2,"")</f>
        <v/>
      </c>
      <c r="D6" s="26" t="str">
        <f>IF(OR(OR(OR(OR(OR(ISNUMBER(SEARCH(IF(D$1&lt;&gt;"",D$1,"NA"),'MITRE ATT&amp;CK Mappings'!$E2)),ISNUMBER(SEARCH(IF(D$1&lt;&gt;"",D$1,"NA"),'MITRE ATT&amp;CK Mappings'!$F2))),ISNUMBER(SEARCH(IF(D$2&lt;&gt;"",D$2,"NA"),'MITRE ATT&amp;CK Mappings'!$G2))),ISNUMBER(SEARCH(IF(D$2&lt;&gt;"",D$2,"NA"),'MITRE ATT&amp;CK Mappings'!$H2))),ISNUMBER(SEARCH(IF(D$3&lt;&gt;"",D$3,"NA"),'MITRE ATT&amp;CK Mappings'!$I2))),ISNUMBER(SEARCH(IF(D$3&lt;&gt;"",D$3,"NA"),'MITRE ATT&amp;CK Mappings'!$J2))), 'MITRE ATT&amp;CK Mappings'!$B2,"")</f>
        <v/>
      </c>
      <c r="E6" s="26" t="str">
        <f>IF(OR(OR(OR(OR(OR(ISNUMBER(SEARCH(IF(E$1&lt;&gt;"",E$1,"NA"),'MITRE ATT&amp;CK Mappings'!$E2)),ISNUMBER(SEARCH(IF(E$1&lt;&gt;"",E$1,"NA"),'MITRE ATT&amp;CK Mappings'!$F2))),ISNUMBER(SEARCH(IF(E$2&lt;&gt;"",E$2,"NA"),'MITRE ATT&amp;CK Mappings'!$G2))),ISNUMBER(SEARCH(IF(E$2&lt;&gt;"",E$2,"NA"),'MITRE ATT&amp;CK Mappings'!$H2))),ISNUMBER(SEARCH(IF(E$3&lt;&gt;"",E$3,"NA"),'MITRE ATT&amp;CK Mappings'!$I2))),ISNUMBER(SEARCH(IF(E$3&lt;&gt;"",E$3,"NA"),'MITRE ATT&amp;CK Mappings'!$J2))), 'MITRE ATT&amp;CK Mappings'!$B2,"")</f>
        <v/>
      </c>
      <c r="F6" s="26" t="str">
        <f>IF(OR(OR(OR(OR(OR(ISNUMBER(SEARCH(IF(F$1&lt;&gt;"",F$1,"NA"),'MITRE ATT&amp;CK Mappings'!$E2)),ISNUMBER(SEARCH(IF(F$1&lt;&gt;"",F$1,"NA"),'MITRE ATT&amp;CK Mappings'!$F2))),ISNUMBER(SEARCH(IF(F$2&lt;&gt;"",F$2,"NA"),'MITRE ATT&amp;CK Mappings'!$G2))),ISNUMBER(SEARCH(IF(F$2&lt;&gt;"",F$2,"NA"),'MITRE ATT&amp;CK Mappings'!$H2))),ISNUMBER(SEARCH(IF(F$3&lt;&gt;"",F$3,"NA"),'MITRE ATT&amp;CK Mappings'!$I2))),ISNUMBER(SEARCH(IF(F$3&lt;&gt;"",F$3,"NA"),'MITRE ATT&amp;CK Mappings'!$J2))), 'MITRE ATT&amp;CK Mappings'!$B2,"")</f>
        <v/>
      </c>
      <c r="G6" s="26" t="str">
        <f>IF(OR(OR(OR(OR(OR(ISNUMBER(SEARCH(IF(G$1&lt;&gt;"",G$1,"NA"),'MITRE ATT&amp;CK Mappings'!$E2)),ISNUMBER(SEARCH(IF(G$1&lt;&gt;"",G$1,"NA"),'MITRE ATT&amp;CK Mappings'!$F2))),ISNUMBER(SEARCH(IF(G$2&lt;&gt;"",G$2,"NA"),'MITRE ATT&amp;CK Mappings'!$G2))),ISNUMBER(SEARCH(IF(G$2&lt;&gt;"",G$2,"NA"),'MITRE ATT&amp;CK Mappings'!$H2))),ISNUMBER(SEARCH(IF(G$3&lt;&gt;"",G$3,"NA"),'MITRE ATT&amp;CK Mappings'!$I2))),ISNUMBER(SEARCH(IF(G$3&lt;&gt;"",G$3,"NA"),'MITRE ATT&amp;CK Mappings'!$J2))), 'MITRE ATT&amp;CK Mappings'!$B2,"")</f>
        <v/>
      </c>
      <c r="H6" s="26" t="str">
        <f>IF(OR(OR(OR(OR(OR(ISNUMBER(SEARCH(IF(H$1&lt;&gt;"",H$1,"NA"),'MITRE ATT&amp;CK Mappings'!$E2)),ISNUMBER(SEARCH(IF(H$1&lt;&gt;"",H$1,"NA"),'MITRE ATT&amp;CK Mappings'!$F2))),ISNUMBER(SEARCH(IF(H$2&lt;&gt;"",H$2,"NA"),'MITRE ATT&amp;CK Mappings'!$G2))),ISNUMBER(SEARCH(IF(H$2&lt;&gt;"",H$2,"NA"),'MITRE ATT&amp;CK Mappings'!$H2))),ISNUMBER(SEARCH(IF(H$3&lt;&gt;"",H$3,"NA"),'MITRE ATT&amp;CK Mappings'!$I2))),ISNUMBER(SEARCH(IF(H$3&lt;&gt;"",H$3,"NA"),'MITRE ATT&amp;CK Mappings'!$J2))), 'MITRE ATT&amp;CK Mappings'!$B2,"")</f>
        <v/>
      </c>
      <c r="I6" s="26" t="str">
        <f>IF(OR(OR(OR(OR(OR(ISNUMBER(SEARCH(IF(I$1&lt;&gt;"",I$1,"NA"),'MITRE ATT&amp;CK Mappings'!$E2)),ISNUMBER(SEARCH(IF(I$1&lt;&gt;"",I$1,"NA"),'MITRE ATT&amp;CK Mappings'!$F2))),ISNUMBER(SEARCH(IF(I$2&lt;&gt;"",I$2,"NA"),'MITRE ATT&amp;CK Mappings'!$G2))),ISNUMBER(SEARCH(IF(I$2&lt;&gt;"",I$2,"NA"),'MITRE ATT&amp;CK Mappings'!$H2))),ISNUMBER(SEARCH(IF(I$3&lt;&gt;"",I$3,"NA"),'MITRE ATT&amp;CK Mappings'!$I2))),ISNUMBER(SEARCH(IF(I$3&lt;&gt;"",I$3,"NA"),'MITRE ATT&amp;CK Mappings'!$J2))), 'MITRE ATT&amp;CK Mappings'!$B2,"")</f>
        <v/>
      </c>
      <c r="J6" s="26" t="str">
        <f>IF(OR(OR(OR(OR(OR(ISNUMBER(SEARCH(IF(J$1&lt;&gt;"",J$1,"NA"),'MITRE ATT&amp;CK Mappings'!$E2)),ISNUMBER(SEARCH(IF(J$1&lt;&gt;"",J$1,"NA"),'MITRE ATT&amp;CK Mappings'!$F2))),ISNUMBER(SEARCH(IF(J$2&lt;&gt;"",J$2,"NA"),'MITRE ATT&amp;CK Mappings'!$G2))),ISNUMBER(SEARCH(IF(J$2&lt;&gt;"",J$2,"NA"),'MITRE ATT&amp;CK Mappings'!$H2))),ISNUMBER(SEARCH(IF(J$3&lt;&gt;"",J$3,"NA"),'MITRE ATT&amp;CK Mappings'!$I2))),ISNUMBER(SEARCH(IF(J$3&lt;&gt;"",J$3,"NA"),'MITRE ATT&amp;CK Mappings'!$J2))), 'MITRE ATT&amp;CK Mappings'!$B2,"")</f>
        <v/>
      </c>
      <c r="K6" s="26" t="str">
        <f>IF(OR(OR(OR(OR(OR(ISNUMBER(SEARCH(IF(K$1&lt;&gt;"",K$1,"NA"),'MITRE ATT&amp;CK Mappings'!$E2)),ISNUMBER(SEARCH(IF(K$1&lt;&gt;"",K$1,"NA"),'MITRE ATT&amp;CK Mappings'!$F2))),ISNUMBER(SEARCH(IF(K$2&lt;&gt;"",K$2,"NA"),'MITRE ATT&amp;CK Mappings'!$G2))),ISNUMBER(SEARCH(IF(K$2&lt;&gt;"",K$2,"NA"),'MITRE ATT&amp;CK Mappings'!$H2))),ISNUMBER(SEARCH(IF(K$3&lt;&gt;"",K$3,"NA"),'MITRE ATT&amp;CK Mappings'!$I2))),ISNUMBER(SEARCH(IF(K$3&lt;&gt;"",K$3,"NA"),'MITRE ATT&amp;CK Mappings'!$J2))), 'MITRE ATT&amp;CK Mappings'!$B2,"")</f>
        <v/>
      </c>
      <c r="L6" s="26" t="str">
        <f>IF('MITRE ATT&amp;CK Mappings'!D2 &lt;&gt;"",'MITRE ATT&amp;CK Mappings'!D2,"" )</f>
        <v>Ensure that Azure Databricks is deployed in a customer-managed virtual network (VNet)</v>
      </c>
    </row>
    <row r="7" spans="1:12" x14ac:dyDescent="0.25">
      <c r="A7" s="27" t="str">
        <f>IF(COUNTIF(B7:K7,"="&amp;'MITRE ATT&amp;CK Mappings'!B3)&gt;0,'MITRE ATT&amp;CK Mappings'!B3,"")</f>
        <v/>
      </c>
      <c r="B7" s="27" t="str">
        <f>IF(OR(OR(OR(OR(OR(ISNUMBER(SEARCH(IF(B$1&lt;&gt;"",B$1,"NA"),'MITRE ATT&amp;CK Mappings'!$E3)),ISNUMBER(SEARCH(IF(B$1&lt;&gt;"",B$1,"NA"),'MITRE ATT&amp;CK Mappings'!$F3))),ISNUMBER(SEARCH(IF(B$2&lt;&gt;"",B$2,"NA"),'MITRE ATT&amp;CK Mappings'!$G3))),ISNUMBER(SEARCH(IF(B$2&lt;&gt;"",B$2,"NA"),'MITRE ATT&amp;CK Mappings'!$H3))),ISNUMBER(SEARCH(IF(B$3&lt;&gt;"",B$3,"NA"),'MITRE ATT&amp;CK Mappings'!$I3))),ISNUMBER(SEARCH(IF(B$3&lt;&gt;"",B$3,"NA"),'MITRE ATT&amp;CK Mappings'!$J3))), 'MITRE ATT&amp;CK Mappings'!$B3,"")</f>
        <v/>
      </c>
      <c r="C7" s="27" t="str">
        <f>IF(OR(OR(OR(OR(OR(ISNUMBER(SEARCH(IF(C$1&lt;&gt;"",C$1,"NA"),'MITRE ATT&amp;CK Mappings'!$E3)),ISNUMBER(SEARCH(IF(C$1&lt;&gt;"",C$1,"NA"),'MITRE ATT&amp;CK Mappings'!$F3))),ISNUMBER(SEARCH(IF(C$2&lt;&gt;"",C$2,"NA"),'MITRE ATT&amp;CK Mappings'!$G3))),ISNUMBER(SEARCH(IF(C$2&lt;&gt;"",C$2,"NA"),'MITRE ATT&amp;CK Mappings'!$H3))),ISNUMBER(SEARCH(IF(C$3&lt;&gt;"",C$3,"NA"),'MITRE ATT&amp;CK Mappings'!$I3))),ISNUMBER(SEARCH(IF(C$3&lt;&gt;"",C$3,"NA"),'MITRE ATT&amp;CK Mappings'!$J3))), 'MITRE ATT&amp;CK Mappings'!$B3,"")</f>
        <v/>
      </c>
      <c r="D7" s="27" t="str">
        <f>IF(OR(OR(OR(OR(OR(ISNUMBER(SEARCH(IF(D$1&lt;&gt;"",D$1,"NA"),'MITRE ATT&amp;CK Mappings'!$E3)),ISNUMBER(SEARCH(IF(D$1&lt;&gt;"",D$1,"NA"),'MITRE ATT&amp;CK Mappings'!$F3))),ISNUMBER(SEARCH(IF(D$2&lt;&gt;"",D$2,"NA"),'MITRE ATT&amp;CK Mappings'!$G3))),ISNUMBER(SEARCH(IF(D$2&lt;&gt;"",D$2,"NA"),'MITRE ATT&amp;CK Mappings'!$H3))),ISNUMBER(SEARCH(IF(D$3&lt;&gt;"",D$3,"NA"),'MITRE ATT&amp;CK Mappings'!$I3))),ISNUMBER(SEARCH(IF(D$3&lt;&gt;"",D$3,"NA"),'MITRE ATT&amp;CK Mappings'!$J3))), 'MITRE ATT&amp;CK Mappings'!$B3,"")</f>
        <v/>
      </c>
      <c r="E7" s="27" t="str">
        <f>IF(OR(OR(OR(OR(OR(ISNUMBER(SEARCH(IF(E$1&lt;&gt;"",E$1,"NA"),'MITRE ATT&amp;CK Mappings'!$E3)),ISNUMBER(SEARCH(IF(E$1&lt;&gt;"",E$1,"NA"),'MITRE ATT&amp;CK Mappings'!$F3))),ISNUMBER(SEARCH(IF(E$2&lt;&gt;"",E$2,"NA"),'MITRE ATT&amp;CK Mappings'!$G3))),ISNUMBER(SEARCH(IF(E$2&lt;&gt;"",E$2,"NA"),'MITRE ATT&amp;CK Mappings'!$H3))),ISNUMBER(SEARCH(IF(E$3&lt;&gt;"",E$3,"NA"),'MITRE ATT&amp;CK Mappings'!$I3))),ISNUMBER(SEARCH(IF(E$3&lt;&gt;"",E$3,"NA"),'MITRE ATT&amp;CK Mappings'!$J3))), 'MITRE ATT&amp;CK Mappings'!$B3,"")</f>
        <v/>
      </c>
      <c r="F7" s="27" t="str">
        <f>IF(OR(OR(OR(OR(OR(ISNUMBER(SEARCH(IF(F$1&lt;&gt;"",F$1,"NA"),'MITRE ATT&amp;CK Mappings'!$E3)),ISNUMBER(SEARCH(IF(F$1&lt;&gt;"",F$1,"NA"),'MITRE ATT&amp;CK Mappings'!$F3))),ISNUMBER(SEARCH(IF(F$2&lt;&gt;"",F$2,"NA"),'MITRE ATT&amp;CK Mappings'!$G3))),ISNUMBER(SEARCH(IF(F$2&lt;&gt;"",F$2,"NA"),'MITRE ATT&amp;CK Mappings'!$H3))),ISNUMBER(SEARCH(IF(F$3&lt;&gt;"",F$3,"NA"),'MITRE ATT&amp;CK Mappings'!$I3))),ISNUMBER(SEARCH(IF(F$3&lt;&gt;"",F$3,"NA"),'MITRE ATT&amp;CK Mappings'!$J3))), 'MITRE ATT&amp;CK Mappings'!$B3,"")</f>
        <v/>
      </c>
      <c r="G7" s="27" t="str">
        <f>IF(OR(OR(OR(OR(OR(ISNUMBER(SEARCH(IF(G$1&lt;&gt;"",G$1,"NA"),'MITRE ATT&amp;CK Mappings'!$E3)),ISNUMBER(SEARCH(IF(G$1&lt;&gt;"",G$1,"NA"),'MITRE ATT&amp;CK Mappings'!$F3))),ISNUMBER(SEARCH(IF(G$2&lt;&gt;"",G$2,"NA"),'MITRE ATT&amp;CK Mappings'!$G3))),ISNUMBER(SEARCH(IF(G$2&lt;&gt;"",G$2,"NA"),'MITRE ATT&amp;CK Mappings'!$H3))),ISNUMBER(SEARCH(IF(G$3&lt;&gt;"",G$3,"NA"),'MITRE ATT&amp;CK Mappings'!$I3))),ISNUMBER(SEARCH(IF(G$3&lt;&gt;"",G$3,"NA"),'MITRE ATT&amp;CK Mappings'!$J3))), 'MITRE ATT&amp;CK Mappings'!$B3,"")</f>
        <v/>
      </c>
      <c r="H7" s="27" t="str">
        <f>IF(OR(OR(OR(OR(OR(ISNUMBER(SEARCH(IF(H$1&lt;&gt;"",H$1,"NA"),'MITRE ATT&amp;CK Mappings'!$E3)),ISNUMBER(SEARCH(IF(H$1&lt;&gt;"",H$1,"NA"),'MITRE ATT&amp;CK Mappings'!$F3))),ISNUMBER(SEARCH(IF(H$2&lt;&gt;"",H$2,"NA"),'MITRE ATT&amp;CK Mappings'!$G3))),ISNUMBER(SEARCH(IF(H$2&lt;&gt;"",H$2,"NA"),'MITRE ATT&amp;CK Mappings'!$H3))),ISNUMBER(SEARCH(IF(H$3&lt;&gt;"",H$3,"NA"),'MITRE ATT&amp;CK Mappings'!$I3))),ISNUMBER(SEARCH(IF(H$3&lt;&gt;"",H$3,"NA"),'MITRE ATT&amp;CK Mappings'!$J3))), 'MITRE ATT&amp;CK Mappings'!$B3,"")</f>
        <v/>
      </c>
      <c r="I7" s="27" t="str">
        <f>IF(OR(OR(OR(OR(OR(ISNUMBER(SEARCH(IF(I$1&lt;&gt;"",I$1,"NA"),'MITRE ATT&amp;CK Mappings'!$E3)),ISNUMBER(SEARCH(IF(I$1&lt;&gt;"",I$1,"NA"),'MITRE ATT&amp;CK Mappings'!$F3))),ISNUMBER(SEARCH(IF(I$2&lt;&gt;"",I$2,"NA"),'MITRE ATT&amp;CK Mappings'!$G3))),ISNUMBER(SEARCH(IF(I$2&lt;&gt;"",I$2,"NA"),'MITRE ATT&amp;CK Mappings'!$H3))),ISNUMBER(SEARCH(IF(I$3&lt;&gt;"",I$3,"NA"),'MITRE ATT&amp;CK Mappings'!$I3))),ISNUMBER(SEARCH(IF(I$3&lt;&gt;"",I$3,"NA"),'MITRE ATT&amp;CK Mappings'!$J3))), 'MITRE ATT&amp;CK Mappings'!$B3,"")</f>
        <v/>
      </c>
      <c r="J7" s="27" t="str">
        <f>IF(OR(OR(OR(OR(OR(ISNUMBER(SEARCH(IF(J$1&lt;&gt;"",J$1,"NA"),'MITRE ATT&amp;CK Mappings'!$E3)),ISNUMBER(SEARCH(IF(J$1&lt;&gt;"",J$1,"NA"),'MITRE ATT&amp;CK Mappings'!$F3))),ISNUMBER(SEARCH(IF(J$2&lt;&gt;"",J$2,"NA"),'MITRE ATT&amp;CK Mappings'!$G3))),ISNUMBER(SEARCH(IF(J$2&lt;&gt;"",J$2,"NA"),'MITRE ATT&amp;CK Mappings'!$H3))),ISNUMBER(SEARCH(IF(J$3&lt;&gt;"",J$3,"NA"),'MITRE ATT&amp;CK Mappings'!$I3))),ISNUMBER(SEARCH(IF(J$3&lt;&gt;"",J$3,"NA"),'MITRE ATT&amp;CK Mappings'!$J3))), 'MITRE ATT&amp;CK Mappings'!$B3,"")</f>
        <v/>
      </c>
      <c r="K7" s="27" t="str">
        <f>IF(OR(OR(OR(OR(OR(ISNUMBER(SEARCH(IF(K$1&lt;&gt;"",K$1,"NA"),'MITRE ATT&amp;CK Mappings'!$E3)),ISNUMBER(SEARCH(IF(K$1&lt;&gt;"",K$1,"NA"),'MITRE ATT&amp;CK Mappings'!$F3))),ISNUMBER(SEARCH(IF(K$2&lt;&gt;"",K$2,"NA"),'MITRE ATT&amp;CK Mappings'!$G3))),ISNUMBER(SEARCH(IF(K$2&lt;&gt;"",K$2,"NA"),'MITRE ATT&amp;CK Mappings'!$H3))),ISNUMBER(SEARCH(IF(K$3&lt;&gt;"",K$3,"NA"),'MITRE ATT&amp;CK Mappings'!$I3))),ISNUMBER(SEARCH(IF(K$3&lt;&gt;"",K$3,"NA"),'MITRE ATT&amp;CK Mappings'!$J3))), 'MITRE ATT&amp;CK Mappings'!$B3,"")</f>
        <v/>
      </c>
      <c r="L7" s="27" t="str">
        <f>IF('MITRE ATT&amp;CK Mappings'!D3 &lt;&gt;"",'MITRE ATT&amp;CK Mappings'!D3,"" )</f>
        <v>Ensure that network security groups are configured for Databricks subnets</v>
      </c>
    </row>
    <row r="8" spans="1:12" x14ac:dyDescent="0.25">
      <c r="A8" s="26" t="str">
        <f>IF(COUNTIF(B8:K8,"="&amp;'MITRE ATT&amp;CK Mappings'!B4)&gt;0,'MITRE ATT&amp;CK Mappings'!B4,"")</f>
        <v/>
      </c>
      <c r="B8" s="26" t="str">
        <f>IF(OR(OR(OR(OR(OR(ISNUMBER(SEARCH(IF(B$1&lt;&gt;"",B$1,"NA"),'MITRE ATT&amp;CK Mappings'!$E4)),ISNUMBER(SEARCH(IF(B$1&lt;&gt;"",B$1,"NA"),'MITRE ATT&amp;CK Mappings'!$F4))),ISNUMBER(SEARCH(IF(B$2&lt;&gt;"",B$2,"NA"),'MITRE ATT&amp;CK Mappings'!$G4))),ISNUMBER(SEARCH(IF(B$2&lt;&gt;"",B$2,"NA"),'MITRE ATT&amp;CK Mappings'!$H4))),ISNUMBER(SEARCH(IF(B$3&lt;&gt;"",B$3,"NA"),'MITRE ATT&amp;CK Mappings'!$I4))),ISNUMBER(SEARCH(IF(B$3&lt;&gt;"",B$3,"NA"),'MITRE ATT&amp;CK Mappings'!$J4))), 'MITRE ATT&amp;CK Mappings'!$B4,"")</f>
        <v/>
      </c>
      <c r="C8" s="26" t="str">
        <f>IF(OR(OR(OR(OR(OR(ISNUMBER(SEARCH(IF(C$1&lt;&gt;"",C$1,"NA"),'MITRE ATT&amp;CK Mappings'!$E4)),ISNUMBER(SEARCH(IF(C$1&lt;&gt;"",C$1,"NA"),'MITRE ATT&amp;CK Mappings'!$F4))),ISNUMBER(SEARCH(IF(C$2&lt;&gt;"",C$2,"NA"),'MITRE ATT&amp;CK Mappings'!$G4))),ISNUMBER(SEARCH(IF(C$2&lt;&gt;"",C$2,"NA"),'MITRE ATT&amp;CK Mappings'!$H4))),ISNUMBER(SEARCH(IF(C$3&lt;&gt;"",C$3,"NA"),'MITRE ATT&amp;CK Mappings'!$I4))),ISNUMBER(SEARCH(IF(C$3&lt;&gt;"",C$3,"NA"),'MITRE ATT&amp;CK Mappings'!$J4))), 'MITRE ATT&amp;CK Mappings'!$B4,"")</f>
        <v/>
      </c>
      <c r="D8" s="26" t="str">
        <f>IF(OR(OR(OR(OR(OR(ISNUMBER(SEARCH(IF(D$1&lt;&gt;"",D$1,"NA"),'MITRE ATT&amp;CK Mappings'!$E4)),ISNUMBER(SEARCH(IF(D$1&lt;&gt;"",D$1,"NA"),'MITRE ATT&amp;CK Mappings'!$F4))),ISNUMBER(SEARCH(IF(D$2&lt;&gt;"",D$2,"NA"),'MITRE ATT&amp;CK Mappings'!$G4))),ISNUMBER(SEARCH(IF(D$2&lt;&gt;"",D$2,"NA"),'MITRE ATT&amp;CK Mappings'!$H4))),ISNUMBER(SEARCH(IF(D$3&lt;&gt;"",D$3,"NA"),'MITRE ATT&amp;CK Mappings'!$I4))),ISNUMBER(SEARCH(IF(D$3&lt;&gt;"",D$3,"NA"),'MITRE ATT&amp;CK Mappings'!$J4))), 'MITRE ATT&amp;CK Mappings'!$B4,"")</f>
        <v/>
      </c>
      <c r="E8" s="26" t="str">
        <f>IF(OR(OR(OR(OR(OR(ISNUMBER(SEARCH(IF(E$1&lt;&gt;"",E$1,"NA"),'MITRE ATT&amp;CK Mappings'!$E4)),ISNUMBER(SEARCH(IF(E$1&lt;&gt;"",E$1,"NA"),'MITRE ATT&amp;CK Mappings'!$F4))),ISNUMBER(SEARCH(IF(E$2&lt;&gt;"",E$2,"NA"),'MITRE ATT&amp;CK Mappings'!$G4))),ISNUMBER(SEARCH(IF(E$2&lt;&gt;"",E$2,"NA"),'MITRE ATT&amp;CK Mappings'!$H4))),ISNUMBER(SEARCH(IF(E$3&lt;&gt;"",E$3,"NA"),'MITRE ATT&amp;CK Mappings'!$I4))),ISNUMBER(SEARCH(IF(E$3&lt;&gt;"",E$3,"NA"),'MITRE ATT&amp;CK Mappings'!$J4))), 'MITRE ATT&amp;CK Mappings'!$B4,"")</f>
        <v/>
      </c>
      <c r="F8" s="26" t="str">
        <f>IF(OR(OR(OR(OR(OR(ISNUMBER(SEARCH(IF(F$1&lt;&gt;"",F$1,"NA"),'MITRE ATT&amp;CK Mappings'!$E4)),ISNUMBER(SEARCH(IF(F$1&lt;&gt;"",F$1,"NA"),'MITRE ATT&amp;CK Mappings'!$F4))),ISNUMBER(SEARCH(IF(F$2&lt;&gt;"",F$2,"NA"),'MITRE ATT&amp;CK Mappings'!$G4))),ISNUMBER(SEARCH(IF(F$2&lt;&gt;"",F$2,"NA"),'MITRE ATT&amp;CK Mappings'!$H4))),ISNUMBER(SEARCH(IF(F$3&lt;&gt;"",F$3,"NA"),'MITRE ATT&amp;CK Mappings'!$I4))),ISNUMBER(SEARCH(IF(F$3&lt;&gt;"",F$3,"NA"),'MITRE ATT&amp;CK Mappings'!$J4))), 'MITRE ATT&amp;CK Mappings'!$B4,"")</f>
        <v/>
      </c>
      <c r="G8" s="26" t="str">
        <f>IF(OR(OR(OR(OR(OR(ISNUMBER(SEARCH(IF(G$1&lt;&gt;"",G$1,"NA"),'MITRE ATT&amp;CK Mappings'!$E4)),ISNUMBER(SEARCH(IF(G$1&lt;&gt;"",G$1,"NA"),'MITRE ATT&amp;CK Mappings'!$F4))),ISNUMBER(SEARCH(IF(G$2&lt;&gt;"",G$2,"NA"),'MITRE ATT&amp;CK Mappings'!$G4))),ISNUMBER(SEARCH(IF(G$2&lt;&gt;"",G$2,"NA"),'MITRE ATT&amp;CK Mappings'!$H4))),ISNUMBER(SEARCH(IF(G$3&lt;&gt;"",G$3,"NA"),'MITRE ATT&amp;CK Mappings'!$I4))),ISNUMBER(SEARCH(IF(G$3&lt;&gt;"",G$3,"NA"),'MITRE ATT&amp;CK Mappings'!$J4))), 'MITRE ATT&amp;CK Mappings'!$B4,"")</f>
        <v/>
      </c>
      <c r="H8" s="26" t="str">
        <f>IF(OR(OR(OR(OR(OR(ISNUMBER(SEARCH(IF(H$1&lt;&gt;"",H$1,"NA"),'MITRE ATT&amp;CK Mappings'!$E4)),ISNUMBER(SEARCH(IF(H$1&lt;&gt;"",H$1,"NA"),'MITRE ATT&amp;CK Mappings'!$F4))),ISNUMBER(SEARCH(IF(H$2&lt;&gt;"",H$2,"NA"),'MITRE ATT&amp;CK Mappings'!$G4))),ISNUMBER(SEARCH(IF(H$2&lt;&gt;"",H$2,"NA"),'MITRE ATT&amp;CK Mappings'!$H4))),ISNUMBER(SEARCH(IF(H$3&lt;&gt;"",H$3,"NA"),'MITRE ATT&amp;CK Mappings'!$I4))),ISNUMBER(SEARCH(IF(H$3&lt;&gt;"",H$3,"NA"),'MITRE ATT&amp;CK Mappings'!$J4))), 'MITRE ATT&amp;CK Mappings'!$B4,"")</f>
        <v/>
      </c>
      <c r="I8" s="26" t="str">
        <f>IF(OR(OR(OR(OR(OR(ISNUMBER(SEARCH(IF(I$1&lt;&gt;"",I$1,"NA"),'MITRE ATT&amp;CK Mappings'!$E4)),ISNUMBER(SEARCH(IF(I$1&lt;&gt;"",I$1,"NA"),'MITRE ATT&amp;CK Mappings'!$F4))),ISNUMBER(SEARCH(IF(I$2&lt;&gt;"",I$2,"NA"),'MITRE ATT&amp;CK Mappings'!$G4))),ISNUMBER(SEARCH(IF(I$2&lt;&gt;"",I$2,"NA"),'MITRE ATT&amp;CK Mappings'!$H4))),ISNUMBER(SEARCH(IF(I$3&lt;&gt;"",I$3,"NA"),'MITRE ATT&amp;CK Mappings'!$I4))),ISNUMBER(SEARCH(IF(I$3&lt;&gt;"",I$3,"NA"),'MITRE ATT&amp;CK Mappings'!$J4))), 'MITRE ATT&amp;CK Mappings'!$B4,"")</f>
        <v/>
      </c>
      <c r="J8" s="26" t="str">
        <f>IF(OR(OR(OR(OR(OR(ISNUMBER(SEARCH(IF(J$1&lt;&gt;"",J$1,"NA"),'MITRE ATT&amp;CK Mappings'!$E4)),ISNUMBER(SEARCH(IF(J$1&lt;&gt;"",J$1,"NA"),'MITRE ATT&amp;CK Mappings'!$F4))),ISNUMBER(SEARCH(IF(J$2&lt;&gt;"",J$2,"NA"),'MITRE ATT&amp;CK Mappings'!$G4))),ISNUMBER(SEARCH(IF(J$2&lt;&gt;"",J$2,"NA"),'MITRE ATT&amp;CK Mappings'!$H4))),ISNUMBER(SEARCH(IF(J$3&lt;&gt;"",J$3,"NA"),'MITRE ATT&amp;CK Mappings'!$I4))),ISNUMBER(SEARCH(IF(J$3&lt;&gt;"",J$3,"NA"),'MITRE ATT&amp;CK Mappings'!$J4))), 'MITRE ATT&amp;CK Mappings'!$B4,"")</f>
        <v/>
      </c>
      <c r="K8" s="26" t="str">
        <f>IF(OR(OR(OR(OR(OR(ISNUMBER(SEARCH(IF(K$1&lt;&gt;"",K$1,"NA"),'MITRE ATT&amp;CK Mappings'!$E4)),ISNUMBER(SEARCH(IF(K$1&lt;&gt;"",K$1,"NA"),'MITRE ATT&amp;CK Mappings'!$F4))),ISNUMBER(SEARCH(IF(K$2&lt;&gt;"",K$2,"NA"),'MITRE ATT&amp;CK Mappings'!$G4))),ISNUMBER(SEARCH(IF(K$2&lt;&gt;"",K$2,"NA"),'MITRE ATT&amp;CK Mappings'!$H4))),ISNUMBER(SEARCH(IF(K$3&lt;&gt;"",K$3,"NA"),'MITRE ATT&amp;CK Mappings'!$I4))),ISNUMBER(SEARCH(IF(K$3&lt;&gt;"",K$3,"NA"),'MITRE ATT&amp;CK Mappings'!$J4))), 'MITRE ATT&amp;CK Mappings'!$B4,"")</f>
        <v/>
      </c>
      <c r="L8" s="26" t="str">
        <f>IF('MITRE ATT&amp;CK Mappings'!D4 &lt;&gt;"",'MITRE ATT&amp;CK Mappings'!D4,"" )</f>
        <v>Ensure that traffic is encrypted between cluster worker nodes</v>
      </c>
    </row>
    <row r="9" spans="1:12" x14ac:dyDescent="0.25">
      <c r="A9" s="27" t="str">
        <f>IF(COUNTIF(B9:K9,"="&amp;'MITRE ATT&amp;CK Mappings'!B5)&gt;0,'MITRE ATT&amp;CK Mappings'!B5,"")</f>
        <v/>
      </c>
      <c r="B9" s="27" t="str">
        <f>IF(OR(OR(OR(OR(OR(ISNUMBER(SEARCH(IF(B$1&lt;&gt;"",B$1,"NA"),'MITRE ATT&amp;CK Mappings'!$E5)),ISNUMBER(SEARCH(IF(B$1&lt;&gt;"",B$1,"NA"),'MITRE ATT&amp;CK Mappings'!$F5))),ISNUMBER(SEARCH(IF(B$2&lt;&gt;"",B$2,"NA"),'MITRE ATT&amp;CK Mappings'!$G5))),ISNUMBER(SEARCH(IF(B$2&lt;&gt;"",B$2,"NA"),'MITRE ATT&amp;CK Mappings'!$H5))),ISNUMBER(SEARCH(IF(B$3&lt;&gt;"",B$3,"NA"),'MITRE ATT&amp;CK Mappings'!$I5))),ISNUMBER(SEARCH(IF(B$3&lt;&gt;"",B$3,"NA"),'MITRE ATT&amp;CK Mappings'!$J5))), 'MITRE ATT&amp;CK Mappings'!$B5,"")</f>
        <v/>
      </c>
      <c r="C9" s="27" t="str">
        <f>IF(OR(OR(OR(OR(OR(ISNUMBER(SEARCH(IF(C$1&lt;&gt;"",C$1,"NA"),'MITRE ATT&amp;CK Mappings'!$E5)),ISNUMBER(SEARCH(IF(C$1&lt;&gt;"",C$1,"NA"),'MITRE ATT&amp;CK Mappings'!$F5))),ISNUMBER(SEARCH(IF(C$2&lt;&gt;"",C$2,"NA"),'MITRE ATT&amp;CK Mappings'!$G5))),ISNUMBER(SEARCH(IF(C$2&lt;&gt;"",C$2,"NA"),'MITRE ATT&amp;CK Mappings'!$H5))),ISNUMBER(SEARCH(IF(C$3&lt;&gt;"",C$3,"NA"),'MITRE ATT&amp;CK Mappings'!$I5))),ISNUMBER(SEARCH(IF(C$3&lt;&gt;"",C$3,"NA"),'MITRE ATT&amp;CK Mappings'!$J5))), 'MITRE ATT&amp;CK Mappings'!$B5,"")</f>
        <v/>
      </c>
      <c r="D9" s="27" t="str">
        <f>IF(OR(OR(OR(OR(OR(ISNUMBER(SEARCH(IF(D$1&lt;&gt;"",D$1,"NA"),'MITRE ATT&amp;CK Mappings'!$E5)),ISNUMBER(SEARCH(IF(D$1&lt;&gt;"",D$1,"NA"),'MITRE ATT&amp;CK Mappings'!$F5))),ISNUMBER(SEARCH(IF(D$2&lt;&gt;"",D$2,"NA"),'MITRE ATT&amp;CK Mappings'!$G5))),ISNUMBER(SEARCH(IF(D$2&lt;&gt;"",D$2,"NA"),'MITRE ATT&amp;CK Mappings'!$H5))),ISNUMBER(SEARCH(IF(D$3&lt;&gt;"",D$3,"NA"),'MITRE ATT&amp;CK Mappings'!$I5))),ISNUMBER(SEARCH(IF(D$3&lt;&gt;"",D$3,"NA"),'MITRE ATT&amp;CK Mappings'!$J5))), 'MITRE ATT&amp;CK Mappings'!$B5,"")</f>
        <v/>
      </c>
      <c r="E9" s="27" t="str">
        <f>IF(OR(OR(OR(OR(OR(ISNUMBER(SEARCH(IF(E$1&lt;&gt;"",E$1,"NA"),'MITRE ATT&amp;CK Mappings'!$E5)),ISNUMBER(SEARCH(IF(E$1&lt;&gt;"",E$1,"NA"),'MITRE ATT&amp;CK Mappings'!$F5))),ISNUMBER(SEARCH(IF(E$2&lt;&gt;"",E$2,"NA"),'MITRE ATT&amp;CK Mappings'!$G5))),ISNUMBER(SEARCH(IF(E$2&lt;&gt;"",E$2,"NA"),'MITRE ATT&amp;CK Mappings'!$H5))),ISNUMBER(SEARCH(IF(E$3&lt;&gt;"",E$3,"NA"),'MITRE ATT&amp;CK Mappings'!$I5))),ISNUMBER(SEARCH(IF(E$3&lt;&gt;"",E$3,"NA"),'MITRE ATT&amp;CK Mappings'!$J5))), 'MITRE ATT&amp;CK Mappings'!$B5,"")</f>
        <v/>
      </c>
      <c r="F9" s="27" t="str">
        <f>IF(OR(OR(OR(OR(OR(ISNUMBER(SEARCH(IF(F$1&lt;&gt;"",F$1,"NA"),'MITRE ATT&amp;CK Mappings'!$E5)),ISNUMBER(SEARCH(IF(F$1&lt;&gt;"",F$1,"NA"),'MITRE ATT&amp;CK Mappings'!$F5))),ISNUMBER(SEARCH(IF(F$2&lt;&gt;"",F$2,"NA"),'MITRE ATT&amp;CK Mappings'!$G5))),ISNUMBER(SEARCH(IF(F$2&lt;&gt;"",F$2,"NA"),'MITRE ATT&amp;CK Mappings'!$H5))),ISNUMBER(SEARCH(IF(F$3&lt;&gt;"",F$3,"NA"),'MITRE ATT&amp;CK Mappings'!$I5))),ISNUMBER(SEARCH(IF(F$3&lt;&gt;"",F$3,"NA"),'MITRE ATT&amp;CK Mappings'!$J5))), 'MITRE ATT&amp;CK Mappings'!$B5,"")</f>
        <v/>
      </c>
      <c r="G9" s="27" t="str">
        <f>IF(OR(OR(OR(OR(OR(ISNUMBER(SEARCH(IF(G$1&lt;&gt;"",G$1,"NA"),'MITRE ATT&amp;CK Mappings'!$E5)),ISNUMBER(SEARCH(IF(G$1&lt;&gt;"",G$1,"NA"),'MITRE ATT&amp;CK Mappings'!$F5))),ISNUMBER(SEARCH(IF(G$2&lt;&gt;"",G$2,"NA"),'MITRE ATT&amp;CK Mappings'!$G5))),ISNUMBER(SEARCH(IF(G$2&lt;&gt;"",G$2,"NA"),'MITRE ATT&amp;CK Mappings'!$H5))),ISNUMBER(SEARCH(IF(G$3&lt;&gt;"",G$3,"NA"),'MITRE ATT&amp;CK Mappings'!$I5))),ISNUMBER(SEARCH(IF(G$3&lt;&gt;"",G$3,"NA"),'MITRE ATT&amp;CK Mappings'!$J5))), 'MITRE ATT&amp;CK Mappings'!$B5,"")</f>
        <v/>
      </c>
      <c r="H9" s="27" t="str">
        <f>IF(OR(OR(OR(OR(OR(ISNUMBER(SEARCH(IF(H$1&lt;&gt;"",H$1,"NA"),'MITRE ATT&amp;CK Mappings'!$E5)),ISNUMBER(SEARCH(IF(H$1&lt;&gt;"",H$1,"NA"),'MITRE ATT&amp;CK Mappings'!$F5))),ISNUMBER(SEARCH(IF(H$2&lt;&gt;"",H$2,"NA"),'MITRE ATT&amp;CK Mappings'!$G5))),ISNUMBER(SEARCH(IF(H$2&lt;&gt;"",H$2,"NA"),'MITRE ATT&amp;CK Mappings'!$H5))),ISNUMBER(SEARCH(IF(H$3&lt;&gt;"",H$3,"NA"),'MITRE ATT&amp;CK Mappings'!$I5))),ISNUMBER(SEARCH(IF(H$3&lt;&gt;"",H$3,"NA"),'MITRE ATT&amp;CK Mappings'!$J5))), 'MITRE ATT&amp;CK Mappings'!$B5,"")</f>
        <v/>
      </c>
      <c r="I9" s="27" t="str">
        <f>IF(OR(OR(OR(OR(OR(ISNUMBER(SEARCH(IF(I$1&lt;&gt;"",I$1,"NA"),'MITRE ATT&amp;CK Mappings'!$E5)),ISNUMBER(SEARCH(IF(I$1&lt;&gt;"",I$1,"NA"),'MITRE ATT&amp;CK Mappings'!$F5))),ISNUMBER(SEARCH(IF(I$2&lt;&gt;"",I$2,"NA"),'MITRE ATT&amp;CK Mappings'!$G5))),ISNUMBER(SEARCH(IF(I$2&lt;&gt;"",I$2,"NA"),'MITRE ATT&amp;CK Mappings'!$H5))),ISNUMBER(SEARCH(IF(I$3&lt;&gt;"",I$3,"NA"),'MITRE ATT&amp;CK Mappings'!$I5))),ISNUMBER(SEARCH(IF(I$3&lt;&gt;"",I$3,"NA"),'MITRE ATT&amp;CK Mappings'!$J5))), 'MITRE ATT&amp;CK Mappings'!$B5,"")</f>
        <v/>
      </c>
      <c r="J9" s="27" t="str">
        <f>IF(OR(OR(OR(OR(OR(ISNUMBER(SEARCH(IF(J$1&lt;&gt;"",J$1,"NA"),'MITRE ATT&amp;CK Mappings'!$E5)),ISNUMBER(SEARCH(IF(J$1&lt;&gt;"",J$1,"NA"),'MITRE ATT&amp;CK Mappings'!$F5))),ISNUMBER(SEARCH(IF(J$2&lt;&gt;"",J$2,"NA"),'MITRE ATT&amp;CK Mappings'!$G5))),ISNUMBER(SEARCH(IF(J$2&lt;&gt;"",J$2,"NA"),'MITRE ATT&amp;CK Mappings'!$H5))),ISNUMBER(SEARCH(IF(J$3&lt;&gt;"",J$3,"NA"),'MITRE ATT&amp;CK Mappings'!$I5))),ISNUMBER(SEARCH(IF(J$3&lt;&gt;"",J$3,"NA"),'MITRE ATT&amp;CK Mappings'!$J5))), 'MITRE ATT&amp;CK Mappings'!$B5,"")</f>
        <v/>
      </c>
      <c r="K9" s="27" t="str">
        <f>IF(OR(OR(OR(OR(OR(ISNUMBER(SEARCH(IF(K$1&lt;&gt;"",K$1,"NA"),'MITRE ATT&amp;CK Mappings'!$E5)),ISNUMBER(SEARCH(IF(K$1&lt;&gt;"",K$1,"NA"),'MITRE ATT&amp;CK Mappings'!$F5))),ISNUMBER(SEARCH(IF(K$2&lt;&gt;"",K$2,"NA"),'MITRE ATT&amp;CK Mappings'!$G5))),ISNUMBER(SEARCH(IF(K$2&lt;&gt;"",K$2,"NA"),'MITRE ATT&amp;CK Mappings'!$H5))),ISNUMBER(SEARCH(IF(K$3&lt;&gt;"",K$3,"NA"),'MITRE ATT&amp;CK Mappings'!$I5))),ISNUMBER(SEARCH(IF(K$3&lt;&gt;"",K$3,"NA"),'MITRE ATT&amp;CK Mappings'!$J5))), 'MITRE ATT&amp;CK Mappings'!$B5,"")</f>
        <v/>
      </c>
      <c r="L9" s="27" t="str">
        <f>IF('MITRE ATT&amp;CK Mappings'!D5 &lt;&gt;"",'MITRE ATT&amp;CK Mappings'!D5,"" )</f>
        <v>Ensure that users and groups are synced from Microsoft Entra ID to Azure Databricks</v>
      </c>
    </row>
    <row r="10" spans="1:12" x14ac:dyDescent="0.25">
      <c r="A10" s="26" t="str">
        <f>IF(COUNTIF(B10:K10,"="&amp;'MITRE ATT&amp;CK Mappings'!B6)&gt;0,'MITRE ATT&amp;CK Mappings'!B6,"")</f>
        <v/>
      </c>
      <c r="B10" s="26" t="str">
        <f>IF(OR(OR(OR(OR(OR(ISNUMBER(SEARCH(IF(B$1&lt;&gt;"",B$1,"NA"),'MITRE ATT&amp;CK Mappings'!$E6)),ISNUMBER(SEARCH(IF(B$1&lt;&gt;"",B$1,"NA"),'MITRE ATT&amp;CK Mappings'!$F6))),ISNUMBER(SEARCH(IF(B$2&lt;&gt;"",B$2,"NA"),'MITRE ATT&amp;CK Mappings'!$G6))),ISNUMBER(SEARCH(IF(B$2&lt;&gt;"",B$2,"NA"),'MITRE ATT&amp;CK Mappings'!$H6))),ISNUMBER(SEARCH(IF(B$3&lt;&gt;"",B$3,"NA"),'MITRE ATT&amp;CK Mappings'!$I6))),ISNUMBER(SEARCH(IF(B$3&lt;&gt;"",B$3,"NA"),'MITRE ATT&amp;CK Mappings'!$J6))), 'MITRE ATT&amp;CK Mappings'!$B6,"")</f>
        <v/>
      </c>
      <c r="C10" s="26" t="str">
        <f>IF(OR(OR(OR(OR(OR(ISNUMBER(SEARCH(IF(C$1&lt;&gt;"",C$1,"NA"),'MITRE ATT&amp;CK Mappings'!$E6)),ISNUMBER(SEARCH(IF(C$1&lt;&gt;"",C$1,"NA"),'MITRE ATT&amp;CK Mappings'!$F6))),ISNUMBER(SEARCH(IF(C$2&lt;&gt;"",C$2,"NA"),'MITRE ATT&amp;CK Mappings'!$G6))),ISNUMBER(SEARCH(IF(C$2&lt;&gt;"",C$2,"NA"),'MITRE ATT&amp;CK Mappings'!$H6))),ISNUMBER(SEARCH(IF(C$3&lt;&gt;"",C$3,"NA"),'MITRE ATT&amp;CK Mappings'!$I6))),ISNUMBER(SEARCH(IF(C$3&lt;&gt;"",C$3,"NA"),'MITRE ATT&amp;CK Mappings'!$J6))), 'MITRE ATT&amp;CK Mappings'!$B6,"")</f>
        <v/>
      </c>
      <c r="D10" s="26" t="str">
        <f>IF(OR(OR(OR(OR(OR(ISNUMBER(SEARCH(IF(D$1&lt;&gt;"",D$1,"NA"),'MITRE ATT&amp;CK Mappings'!$E6)),ISNUMBER(SEARCH(IF(D$1&lt;&gt;"",D$1,"NA"),'MITRE ATT&amp;CK Mappings'!$F6))),ISNUMBER(SEARCH(IF(D$2&lt;&gt;"",D$2,"NA"),'MITRE ATT&amp;CK Mappings'!$G6))),ISNUMBER(SEARCH(IF(D$2&lt;&gt;"",D$2,"NA"),'MITRE ATT&amp;CK Mappings'!$H6))),ISNUMBER(SEARCH(IF(D$3&lt;&gt;"",D$3,"NA"),'MITRE ATT&amp;CK Mappings'!$I6))),ISNUMBER(SEARCH(IF(D$3&lt;&gt;"",D$3,"NA"),'MITRE ATT&amp;CK Mappings'!$J6))), 'MITRE ATT&amp;CK Mappings'!$B6,"")</f>
        <v/>
      </c>
      <c r="E10" s="26" t="str">
        <f>IF(OR(OR(OR(OR(OR(ISNUMBER(SEARCH(IF(E$1&lt;&gt;"",E$1,"NA"),'MITRE ATT&amp;CK Mappings'!$E6)),ISNUMBER(SEARCH(IF(E$1&lt;&gt;"",E$1,"NA"),'MITRE ATT&amp;CK Mappings'!$F6))),ISNUMBER(SEARCH(IF(E$2&lt;&gt;"",E$2,"NA"),'MITRE ATT&amp;CK Mappings'!$G6))),ISNUMBER(SEARCH(IF(E$2&lt;&gt;"",E$2,"NA"),'MITRE ATT&amp;CK Mappings'!$H6))),ISNUMBER(SEARCH(IF(E$3&lt;&gt;"",E$3,"NA"),'MITRE ATT&amp;CK Mappings'!$I6))),ISNUMBER(SEARCH(IF(E$3&lt;&gt;"",E$3,"NA"),'MITRE ATT&amp;CK Mappings'!$J6))), 'MITRE ATT&amp;CK Mappings'!$B6,"")</f>
        <v/>
      </c>
      <c r="F10" s="26" t="str">
        <f>IF(OR(OR(OR(OR(OR(ISNUMBER(SEARCH(IF(F$1&lt;&gt;"",F$1,"NA"),'MITRE ATT&amp;CK Mappings'!$E6)),ISNUMBER(SEARCH(IF(F$1&lt;&gt;"",F$1,"NA"),'MITRE ATT&amp;CK Mappings'!$F6))),ISNUMBER(SEARCH(IF(F$2&lt;&gt;"",F$2,"NA"),'MITRE ATT&amp;CK Mappings'!$G6))),ISNUMBER(SEARCH(IF(F$2&lt;&gt;"",F$2,"NA"),'MITRE ATT&amp;CK Mappings'!$H6))),ISNUMBER(SEARCH(IF(F$3&lt;&gt;"",F$3,"NA"),'MITRE ATT&amp;CK Mappings'!$I6))),ISNUMBER(SEARCH(IF(F$3&lt;&gt;"",F$3,"NA"),'MITRE ATT&amp;CK Mappings'!$J6))), 'MITRE ATT&amp;CK Mappings'!$B6,"")</f>
        <v/>
      </c>
      <c r="G10" s="26" t="str">
        <f>IF(OR(OR(OR(OR(OR(ISNUMBER(SEARCH(IF(G$1&lt;&gt;"",G$1,"NA"),'MITRE ATT&amp;CK Mappings'!$E6)),ISNUMBER(SEARCH(IF(G$1&lt;&gt;"",G$1,"NA"),'MITRE ATT&amp;CK Mappings'!$F6))),ISNUMBER(SEARCH(IF(G$2&lt;&gt;"",G$2,"NA"),'MITRE ATT&amp;CK Mappings'!$G6))),ISNUMBER(SEARCH(IF(G$2&lt;&gt;"",G$2,"NA"),'MITRE ATT&amp;CK Mappings'!$H6))),ISNUMBER(SEARCH(IF(G$3&lt;&gt;"",G$3,"NA"),'MITRE ATT&amp;CK Mappings'!$I6))),ISNUMBER(SEARCH(IF(G$3&lt;&gt;"",G$3,"NA"),'MITRE ATT&amp;CK Mappings'!$J6))), 'MITRE ATT&amp;CK Mappings'!$B6,"")</f>
        <v/>
      </c>
      <c r="H10" s="26" t="str">
        <f>IF(OR(OR(OR(OR(OR(ISNUMBER(SEARCH(IF(H$1&lt;&gt;"",H$1,"NA"),'MITRE ATT&amp;CK Mappings'!$E6)),ISNUMBER(SEARCH(IF(H$1&lt;&gt;"",H$1,"NA"),'MITRE ATT&amp;CK Mappings'!$F6))),ISNUMBER(SEARCH(IF(H$2&lt;&gt;"",H$2,"NA"),'MITRE ATT&amp;CK Mappings'!$G6))),ISNUMBER(SEARCH(IF(H$2&lt;&gt;"",H$2,"NA"),'MITRE ATT&amp;CK Mappings'!$H6))),ISNUMBER(SEARCH(IF(H$3&lt;&gt;"",H$3,"NA"),'MITRE ATT&amp;CK Mappings'!$I6))),ISNUMBER(SEARCH(IF(H$3&lt;&gt;"",H$3,"NA"),'MITRE ATT&amp;CK Mappings'!$J6))), 'MITRE ATT&amp;CK Mappings'!$B6,"")</f>
        <v/>
      </c>
      <c r="I10" s="26" t="str">
        <f>IF(OR(OR(OR(OR(OR(ISNUMBER(SEARCH(IF(I$1&lt;&gt;"",I$1,"NA"),'MITRE ATT&amp;CK Mappings'!$E6)),ISNUMBER(SEARCH(IF(I$1&lt;&gt;"",I$1,"NA"),'MITRE ATT&amp;CK Mappings'!$F6))),ISNUMBER(SEARCH(IF(I$2&lt;&gt;"",I$2,"NA"),'MITRE ATT&amp;CK Mappings'!$G6))),ISNUMBER(SEARCH(IF(I$2&lt;&gt;"",I$2,"NA"),'MITRE ATT&amp;CK Mappings'!$H6))),ISNUMBER(SEARCH(IF(I$3&lt;&gt;"",I$3,"NA"),'MITRE ATT&amp;CK Mappings'!$I6))),ISNUMBER(SEARCH(IF(I$3&lt;&gt;"",I$3,"NA"),'MITRE ATT&amp;CK Mappings'!$J6))), 'MITRE ATT&amp;CK Mappings'!$B6,"")</f>
        <v/>
      </c>
      <c r="J10" s="26" t="str">
        <f>IF(OR(OR(OR(OR(OR(ISNUMBER(SEARCH(IF(J$1&lt;&gt;"",J$1,"NA"),'MITRE ATT&amp;CK Mappings'!$E6)),ISNUMBER(SEARCH(IF(J$1&lt;&gt;"",J$1,"NA"),'MITRE ATT&amp;CK Mappings'!$F6))),ISNUMBER(SEARCH(IF(J$2&lt;&gt;"",J$2,"NA"),'MITRE ATT&amp;CK Mappings'!$G6))),ISNUMBER(SEARCH(IF(J$2&lt;&gt;"",J$2,"NA"),'MITRE ATT&amp;CK Mappings'!$H6))),ISNUMBER(SEARCH(IF(J$3&lt;&gt;"",J$3,"NA"),'MITRE ATT&amp;CK Mappings'!$I6))),ISNUMBER(SEARCH(IF(J$3&lt;&gt;"",J$3,"NA"),'MITRE ATT&amp;CK Mappings'!$J6))), 'MITRE ATT&amp;CK Mappings'!$B6,"")</f>
        <v/>
      </c>
      <c r="K10" s="26" t="str">
        <f>IF(OR(OR(OR(OR(OR(ISNUMBER(SEARCH(IF(K$1&lt;&gt;"",K$1,"NA"),'MITRE ATT&amp;CK Mappings'!$E6)),ISNUMBER(SEARCH(IF(K$1&lt;&gt;"",K$1,"NA"),'MITRE ATT&amp;CK Mappings'!$F6))),ISNUMBER(SEARCH(IF(K$2&lt;&gt;"",K$2,"NA"),'MITRE ATT&amp;CK Mappings'!$G6))),ISNUMBER(SEARCH(IF(K$2&lt;&gt;"",K$2,"NA"),'MITRE ATT&amp;CK Mappings'!$H6))),ISNUMBER(SEARCH(IF(K$3&lt;&gt;"",K$3,"NA"),'MITRE ATT&amp;CK Mappings'!$I6))),ISNUMBER(SEARCH(IF(K$3&lt;&gt;"",K$3,"NA"),'MITRE ATT&amp;CK Mappings'!$J6))), 'MITRE ATT&amp;CK Mappings'!$B6,"")</f>
        <v/>
      </c>
      <c r="L10" s="26" t="str">
        <f>IF('MITRE ATT&amp;CK Mappings'!D6 &lt;&gt;"",'MITRE ATT&amp;CK Mappings'!D6,"" )</f>
        <v>Ensure that Unity Catalog is configured for Azure Databricks</v>
      </c>
    </row>
    <row r="11" spans="1:12" x14ac:dyDescent="0.25">
      <c r="A11" s="27" t="str">
        <f>IF(COUNTIF(B11:K11,"="&amp;'MITRE ATT&amp;CK Mappings'!B7)&gt;0,'MITRE ATT&amp;CK Mappings'!B7,"")</f>
        <v/>
      </c>
      <c r="B11" s="27" t="str">
        <f>IF(OR(OR(OR(OR(OR(ISNUMBER(SEARCH(IF(B$1&lt;&gt;"",B$1,"NA"),'MITRE ATT&amp;CK Mappings'!$E7)),ISNUMBER(SEARCH(IF(B$1&lt;&gt;"",B$1,"NA"),'MITRE ATT&amp;CK Mappings'!$F7))),ISNUMBER(SEARCH(IF(B$2&lt;&gt;"",B$2,"NA"),'MITRE ATT&amp;CK Mappings'!$G7))),ISNUMBER(SEARCH(IF(B$2&lt;&gt;"",B$2,"NA"),'MITRE ATT&amp;CK Mappings'!$H7))),ISNUMBER(SEARCH(IF(B$3&lt;&gt;"",B$3,"NA"),'MITRE ATT&amp;CK Mappings'!$I7))),ISNUMBER(SEARCH(IF(B$3&lt;&gt;"",B$3,"NA"),'MITRE ATT&amp;CK Mappings'!$J7))), 'MITRE ATT&amp;CK Mappings'!$B7,"")</f>
        <v/>
      </c>
      <c r="C11" s="27" t="str">
        <f>IF(OR(OR(OR(OR(OR(ISNUMBER(SEARCH(IF(C$1&lt;&gt;"",C$1,"NA"),'MITRE ATT&amp;CK Mappings'!$E7)),ISNUMBER(SEARCH(IF(C$1&lt;&gt;"",C$1,"NA"),'MITRE ATT&amp;CK Mappings'!$F7))),ISNUMBER(SEARCH(IF(C$2&lt;&gt;"",C$2,"NA"),'MITRE ATT&amp;CK Mappings'!$G7))),ISNUMBER(SEARCH(IF(C$2&lt;&gt;"",C$2,"NA"),'MITRE ATT&amp;CK Mappings'!$H7))),ISNUMBER(SEARCH(IF(C$3&lt;&gt;"",C$3,"NA"),'MITRE ATT&amp;CK Mappings'!$I7))),ISNUMBER(SEARCH(IF(C$3&lt;&gt;"",C$3,"NA"),'MITRE ATT&amp;CK Mappings'!$J7))), 'MITRE ATT&amp;CK Mappings'!$B7,"")</f>
        <v/>
      </c>
      <c r="D11" s="27" t="str">
        <f>IF(OR(OR(OR(OR(OR(ISNUMBER(SEARCH(IF(D$1&lt;&gt;"",D$1,"NA"),'MITRE ATT&amp;CK Mappings'!$E7)),ISNUMBER(SEARCH(IF(D$1&lt;&gt;"",D$1,"NA"),'MITRE ATT&amp;CK Mappings'!$F7))),ISNUMBER(SEARCH(IF(D$2&lt;&gt;"",D$2,"NA"),'MITRE ATT&amp;CK Mappings'!$G7))),ISNUMBER(SEARCH(IF(D$2&lt;&gt;"",D$2,"NA"),'MITRE ATT&amp;CK Mappings'!$H7))),ISNUMBER(SEARCH(IF(D$3&lt;&gt;"",D$3,"NA"),'MITRE ATT&amp;CK Mappings'!$I7))),ISNUMBER(SEARCH(IF(D$3&lt;&gt;"",D$3,"NA"),'MITRE ATT&amp;CK Mappings'!$J7))), 'MITRE ATT&amp;CK Mappings'!$B7,"")</f>
        <v/>
      </c>
      <c r="E11" s="27" t="str">
        <f>IF(OR(OR(OR(OR(OR(ISNUMBER(SEARCH(IF(E$1&lt;&gt;"",E$1,"NA"),'MITRE ATT&amp;CK Mappings'!$E7)),ISNUMBER(SEARCH(IF(E$1&lt;&gt;"",E$1,"NA"),'MITRE ATT&amp;CK Mappings'!$F7))),ISNUMBER(SEARCH(IF(E$2&lt;&gt;"",E$2,"NA"),'MITRE ATT&amp;CK Mappings'!$G7))),ISNUMBER(SEARCH(IF(E$2&lt;&gt;"",E$2,"NA"),'MITRE ATT&amp;CK Mappings'!$H7))),ISNUMBER(SEARCH(IF(E$3&lt;&gt;"",E$3,"NA"),'MITRE ATT&amp;CK Mappings'!$I7))),ISNUMBER(SEARCH(IF(E$3&lt;&gt;"",E$3,"NA"),'MITRE ATT&amp;CK Mappings'!$J7))), 'MITRE ATT&amp;CK Mappings'!$B7,"")</f>
        <v/>
      </c>
      <c r="F11" s="27" t="str">
        <f>IF(OR(OR(OR(OR(OR(ISNUMBER(SEARCH(IF(F$1&lt;&gt;"",F$1,"NA"),'MITRE ATT&amp;CK Mappings'!$E7)),ISNUMBER(SEARCH(IF(F$1&lt;&gt;"",F$1,"NA"),'MITRE ATT&amp;CK Mappings'!$F7))),ISNUMBER(SEARCH(IF(F$2&lt;&gt;"",F$2,"NA"),'MITRE ATT&amp;CK Mappings'!$G7))),ISNUMBER(SEARCH(IF(F$2&lt;&gt;"",F$2,"NA"),'MITRE ATT&amp;CK Mappings'!$H7))),ISNUMBER(SEARCH(IF(F$3&lt;&gt;"",F$3,"NA"),'MITRE ATT&amp;CK Mappings'!$I7))),ISNUMBER(SEARCH(IF(F$3&lt;&gt;"",F$3,"NA"),'MITRE ATT&amp;CK Mappings'!$J7))), 'MITRE ATT&amp;CK Mappings'!$B7,"")</f>
        <v/>
      </c>
      <c r="G11" s="27" t="str">
        <f>IF(OR(OR(OR(OR(OR(ISNUMBER(SEARCH(IF(G$1&lt;&gt;"",G$1,"NA"),'MITRE ATT&amp;CK Mappings'!$E7)),ISNUMBER(SEARCH(IF(G$1&lt;&gt;"",G$1,"NA"),'MITRE ATT&amp;CK Mappings'!$F7))),ISNUMBER(SEARCH(IF(G$2&lt;&gt;"",G$2,"NA"),'MITRE ATT&amp;CK Mappings'!$G7))),ISNUMBER(SEARCH(IF(G$2&lt;&gt;"",G$2,"NA"),'MITRE ATT&amp;CK Mappings'!$H7))),ISNUMBER(SEARCH(IF(G$3&lt;&gt;"",G$3,"NA"),'MITRE ATT&amp;CK Mappings'!$I7))),ISNUMBER(SEARCH(IF(G$3&lt;&gt;"",G$3,"NA"),'MITRE ATT&amp;CK Mappings'!$J7))), 'MITRE ATT&amp;CK Mappings'!$B7,"")</f>
        <v/>
      </c>
      <c r="H11" s="27" t="str">
        <f>IF(OR(OR(OR(OR(OR(ISNUMBER(SEARCH(IF(H$1&lt;&gt;"",H$1,"NA"),'MITRE ATT&amp;CK Mappings'!$E7)),ISNUMBER(SEARCH(IF(H$1&lt;&gt;"",H$1,"NA"),'MITRE ATT&amp;CK Mappings'!$F7))),ISNUMBER(SEARCH(IF(H$2&lt;&gt;"",H$2,"NA"),'MITRE ATT&amp;CK Mappings'!$G7))),ISNUMBER(SEARCH(IF(H$2&lt;&gt;"",H$2,"NA"),'MITRE ATT&amp;CK Mappings'!$H7))),ISNUMBER(SEARCH(IF(H$3&lt;&gt;"",H$3,"NA"),'MITRE ATT&amp;CK Mappings'!$I7))),ISNUMBER(SEARCH(IF(H$3&lt;&gt;"",H$3,"NA"),'MITRE ATT&amp;CK Mappings'!$J7))), 'MITRE ATT&amp;CK Mappings'!$B7,"")</f>
        <v/>
      </c>
      <c r="I11" s="27" t="str">
        <f>IF(OR(OR(OR(OR(OR(ISNUMBER(SEARCH(IF(I$1&lt;&gt;"",I$1,"NA"),'MITRE ATT&amp;CK Mappings'!$E7)),ISNUMBER(SEARCH(IF(I$1&lt;&gt;"",I$1,"NA"),'MITRE ATT&amp;CK Mappings'!$F7))),ISNUMBER(SEARCH(IF(I$2&lt;&gt;"",I$2,"NA"),'MITRE ATT&amp;CK Mappings'!$G7))),ISNUMBER(SEARCH(IF(I$2&lt;&gt;"",I$2,"NA"),'MITRE ATT&amp;CK Mappings'!$H7))),ISNUMBER(SEARCH(IF(I$3&lt;&gt;"",I$3,"NA"),'MITRE ATT&amp;CK Mappings'!$I7))),ISNUMBER(SEARCH(IF(I$3&lt;&gt;"",I$3,"NA"),'MITRE ATT&amp;CK Mappings'!$J7))), 'MITRE ATT&amp;CK Mappings'!$B7,"")</f>
        <v/>
      </c>
      <c r="J11" s="27" t="str">
        <f>IF(OR(OR(OR(OR(OR(ISNUMBER(SEARCH(IF(J$1&lt;&gt;"",J$1,"NA"),'MITRE ATT&amp;CK Mappings'!$E7)),ISNUMBER(SEARCH(IF(J$1&lt;&gt;"",J$1,"NA"),'MITRE ATT&amp;CK Mappings'!$F7))),ISNUMBER(SEARCH(IF(J$2&lt;&gt;"",J$2,"NA"),'MITRE ATT&amp;CK Mappings'!$G7))),ISNUMBER(SEARCH(IF(J$2&lt;&gt;"",J$2,"NA"),'MITRE ATT&amp;CK Mappings'!$H7))),ISNUMBER(SEARCH(IF(J$3&lt;&gt;"",J$3,"NA"),'MITRE ATT&amp;CK Mappings'!$I7))),ISNUMBER(SEARCH(IF(J$3&lt;&gt;"",J$3,"NA"),'MITRE ATT&amp;CK Mappings'!$J7))), 'MITRE ATT&amp;CK Mappings'!$B7,"")</f>
        <v/>
      </c>
      <c r="K11" s="27" t="str">
        <f>IF(OR(OR(OR(OR(OR(ISNUMBER(SEARCH(IF(K$1&lt;&gt;"",K$1,"NA"),'MITRE ATT&amp;CK Mappings'!$E7)),ISNUMBER(SEARCH(IF(K$1&lt;&gt;"",K$1,"NA"),'MITRE ATT&amp;CK Mappings'!$F7))),ISNUMBER(SEARCH(IF(K$2&lt;&gt;"",K$2,"NA"),'MITRE ATT&amp;CK Mappings'!$G7))),ISNUMBER(SEARCH(IF(K$2&lt;&gt;"",K$2,"NA"),'MITRE ATT&amp;CK Mappings'!$H7))),ISNUMBER(SEARCH(IF(K$3&lt;&gt;"",K$3,"NA"),'MITRE ATT&amp;CK Mappings'!$I7))),ISNUMBER(SEARCH(IF(K$3&lt;&gt;"",K$3,"NA"),'MITRE ATT&amp;CK Mappings'!$J7))), 'MITRE ATT&amp;CK Mappings'!$B7,"")</f>
        <v/>
      </c>
      <c r="L11" s="27" t="str">
        <f>IF('MITRE ATT&amp;CK Mappings'!D7 &lt;&gt;"",'MITRE ATT&amp;CK Mappings'!D7,"" )</f>
        <v>Ensure that usage is restricted and expiry is enforced for Databricks personal access tokens</v>
      </c>
    </row>
    <row r="12" spans="1:12" x14ac:dyDescent="0.25">
      <c r="A12" s="26" t="str">
        <f>IF(COUNTIF(B12:K12,"="&amp;'MITRE ATT&amp;CK Mappings'!B8)&gt;0,'MITRE ATT&amp;CK Mappings'!B8,"")</f>
        <v/>
      </c>
      <c r="B12" s="26" t="str">
        <f>IF(OR(OR(OR(OR(OR(ISNUMBER(SEARCH(IF(B$1&lt;&gt;"",B$1,"NA"),'MITRE ATT&amp;CK Mappings'!$E8)),ISNUMBER(SEARCH(IF(B$1&lt;&gt;"",B$1,"NA"),'MITRE ATT&amp;CK Mappings'!$F8))),ISNUMBER(SEARCH(IF(B$2&lt;&gt;"",B$2,"NA"),'MITRE ATT&amp;CK Mappings'!$G8))),ISNUMBER(SEARCH(IF(B$2&lt;&gt;"",B$2,"NA"),'MITRE ATT&amp;CK Mappings'!$H8))),ISNUMBER(SEARCH(IF(B$3&lt;&gt;"",B$3,"NA"),'MITRE ATT&amp;CK Mappings'!$I8))),ISNUMBER(SEARCH(IF(B$3&lt;&gt;"",B$3,"NA"),'MITRE ATT&amp;CK Mappings'!$J8))), 'MITRE ATT&amp;CK Mappings'!$B8,"")</f>
        <v/>
      </c>
      <c r="C12" s="26" t="str">
        <f>IF(OR(OR(OR(OR(OR(ISNUMBER(SEARCH(IF(C$1&lt;&gt;"",C$1,"NA"),'MITRE ATT&amp;CK Mappings'!$E8)),ISNUMBER(SEARCH(IF(C$1&lt;&gt;"",C$1,"NA"),'MITRE ATT&amp;CK Mappings'!$F8))),ISNUMBER(SEARCH(IF(C$2&lt;&gt;"",C$2,"NA"),'MITRE ATT&amp;CK Mappings'!$G8))),ISNUMBER(SEARCH(IF(C$2&lt;&gt;"",C$2,"NA"),'MITRE ATT&amp;CK Mappings'!$H8))),ISNUMBER(SEARCH(IF(C$3&lt;&gt;"",C$3,"NA"),'MITRE ATT&amp;CK Mappings'!$I8))),ISNUMBER(SEARCH(IF(C$3&lt;&gt;"",C$3,"NA"),'MITRE ATT&amp;CK Mappings'!$J8))), 'MITRE ATT&amp;CK Mappings'!$B8,"")</f>
        <v/>
      </c>
      <c r="D12" s="26" t="str">
        <f>IF(OR(OR(OR(OR(OR(ISNUMBER(SEARCH(IF(D$1&lt;&gt;"",D$1,"NA"),'MITRE ATT&amp;CK Mappings'!$E8)),ISNUMBER(SEARCH(IF(D$1&lt;&gt;"",D$1,"NA"),'MITRE ATT&amp;CK Mappings'!$F8))),ISNUMBER(SEARCH(IF(D$2&lt;&gt;"",D$2,"NA"),'MITRE ATT&amp;CK Mappings'!$G8))),ISNUMBER(SEARCH(IF(D$2&lt;&gt;"",D$2,"NA"),'MITRE ATT&amp;CK Mappings'!$H8))),ISNUMBER(SEARCH(IF(D$3&lt;&gt;"",D$3,"NA"),'MITRE ATT&amp;CK Mappings'!$I8))),ISNUMBER(SEARCH(IF(D$3&lt;&gt;"",D$3,"NA"),'MITRE ATT&amp;CK Mappings'!$J8))), 'MITRE ATT&amp;CK Mappings'!$B8,"")</f>
        <v/>
      </c>
      <c r="E12" s="26" t="str">
        <f>IF(OR(OR(OR(OR(OR(ISNUMBER(SEARCH(IF(E$1&lt;&gt;"",E$1,"NA"),'MITRE ATT&amp;CK Mappings'!$E8)),ISNUMBER(SEARCH(IF(E$1&lt;&gt;"",E$1,"NA"),'MITRE ATT&amp;CK Mappings'!$F8))),ISNUMBER(SEARCH(IF(E$2&lt;&gt;"",E$2,"NA"),'MITRE ATT&amp;CK Mappings'!$G8))),ISNUMBER(SEARCH(IF(E$2&lt;&gt;"",E$2,"NA"),'MITRE ATT&amp;CK Mappings'!$H8))),ISNUMBER(SEARCH(IF(E$3&lt;&gt;"",E$3,"NA"),'MITRE ATT&amp;CK Mappings'!$I8))),ISNUMBER(SEARCH(IF(E$3&lt;&gt;"",E$3,"NA"),'MITRE ATT&amp;CK Mappings'!$J8))), 'MITRE ATT&amp;CK Mappings'!$B8,"")</f>
        <v/>
      </c>
      <c r="F12" s="26" t="str">
        <f>IF(OR(OR(OR(OR(OR(ISNUMBER(SEARCH(IF(F$1&lt;&gt;"",F$1,"NA"),'MITRE ATT&amp;CK Mappings'!$E8)),ISNUMBER(SEARCH(IF(F$1&lt;&gt;"",F$1,"NA"),'MITRE ATT&amp;CK Mappings'!$F8))),ISNUMBER(SEARCH(IF(F$2&lt;&gt;"",F$2,"NA"),'MITRE ATT&amp;CK Mappings'!$G8))),ISNUMBER(SEARCH(IF(F$2&lt;&gt;"",F$2,"NA"),'MITRE ATT&amp;CK Mappings'!$H8))),ISNUMBER(SEARCH(IF(F$3&lt;&gt;"",F$3,"NA"),'MITRE ATT&amp;CK Mappings'!$I8))),ISNUMBER(SEARCH(IF(F$3&lt;&gt;"",F$3,"NA"),'MITRE ATT&amp;CK Mappings'!$J8))), 'MITRE ATT&amp;CK Mappings'!$B8,"")</f>
        <v/>
      </c>
      <c r="G12" s="26" t="str">
        <f>IF(OR(OR(OR(OR(OR(ISNUMBER(SEARCH(IF(G$1&lt;&gt;"",G$1,"NA"),'MITRE ATT&amp;CK Mappings'!$E8)),ISNUMBER(SEARCH(IF(G$1&lt;&gt;"",G$1,"NA"),'MITRE ATT&amp;CK Mappings'!$F8))),ISNUMBER(SEARCH(IF(G$2&lt;&gt;"",G$2,"NA"),'MITRE ATT&amp;CK Mappings'!$G8))),ISNUMBER(SEARCH(IF(G$2&lt;&gt;"",G$2,"NA"),'MITRE ATT&amp;CK Mappings'!$H8))),ISNUMBER(SEARCH(IF(G$3&lt;&gt;"",G$3,"NA"),'MITRE ATT&amp;CK Mappings'!$I8))),ISNUMBER(SEARCH(IF(G$3&lt;&gt;"",G$3,"NA"),'MITRE ATT&amp;CK Mappings'!$J8))), 'MITRE ATT&amp;CK Mappings'!$B8,"")</f>
        <v/>
      </c>
      <c r="H12" s="26" t="str">
        <f>IF(OR(OR(OR(OR(OR(ISNUMBER(SEARCH(IF(H$1&lt;&gt;"",H$1,"NA"),'MITRE ATT&amp;CK Mappings'!$E8)),ISNUMBER(SEARCH(IF(H$1&lt;&gt;"",H$1,"NA"),'MITRE ATT&amp;CK Mappings'!$F8))),ISNUMBER(SEARCH(IF(H$2&lt;&gt;"",H$2,"NA"),'MITRE ATT&amp;CK Mappings'!$G8))),ISNUMBER(SEARCH(IF(H$2&lt;&gt;"",H$2,"NA"),'MITRE ATT&amp;CK Mappings'!$H8))),ISNUMBER(SEARCH(IF(H$3&lt;&gt;"",H$3,"NA"),'MITRE ATT&amp;CK Mappings'!$I8))),ISNUMBER(SEARCH(IF(H$3&lt;&gt;"",H$3,"NA"),'MITRE ATT&amp;CK Mappings'!$J8))), 'MITRE ATT&amp;CK Mappings'!$B8,"")</f>
        <v/>
      </c>
      <c r="I12" s="26" t="str">
        <f>IF(OR(OR(OR(OR(OR(ISNUMBER(SEARCH(IF(I$1&lt;&gt;"",I$1,"NA"),'MITRE ATT&amp;CK Mappings'!$E8)),ISNUMBER(SEARCH(IF(I$1&lt;&gt;"",I$1,"NA"),'MITRE ATT&amp;CK Mappings'!$F8))),ISNUMBER(SEARCH(IF(I$2&lt;&gt;"",I$2,"NA"),'MITRE ATT&amp;CK Mappings'!$G8))),ISNUMBER(SEARCH(IF(I$2&lt;&gt;"",I$2,"NA"),'MITRE ATT&amp;CK Mappings'!$H8))),ISNUMBER(SEARCH(IF(I$3&lt;&gt;"",I$3,"NA"),'MITRE ATT&amp;CK Mappings'!$I8))),ISNUMBER(SEARCH(IF(I$3&lt;&gt;"",I$3,"NA"),'MITRE ATT&amp;CK Mappings'!$J8))), 'MITRE ATT&amp;CK Mappings'!$B8,"")</f>
        <v/>
      </c>
      <c r="J12" s="26" t="str">
        <f>IF(OR(OR(OR(OR(OR(ISNUMBER(SEARCH(IF(J$1&lt;&gt;"",J$1,"NA"),'MITRE ATT&amp;CK Mappings'!$E8)),ISNUMBER(SEARCH(IF(J$1&lt;&gt;"",J$1,"NA"),'MITRE ATT&amp;CK Mappings'!$F8))),ISNUMBER(SEARCH(IF(J$2&lt;&gt;"",J$2,"NA"),'MITRE ATT&amp;CK Mappings'!$G8))),ISNUMBER(SEARCH(IF(J$2&lt;&gt;"",J$2,"NA"),'MITRE ATT&amp;CK Mappings'!$H8))),ISNUMBER(SEARCH(IF(J$3&lt;&gt;"",J$3,"NA"),'MITRE ATT&amp;CK Mappings'!$I8))),ISNUMBER(SEARCH(IF(J$3&lt;&gt;"",J$3,"NA"),'MITRE ATT&amp;CK Mappings'!$J8))), 'MITRE ATT&amp;CK Mappings'!$B8,"")</f>
        <v/>
      </c>
      <c r="K12" s="26" t="str">
        <f>IF(OR(OR(OR(OR(OR(ISNUMBER(SEARCH(IF(K$1&lt;&gt;"",K$1,"NA"),'MITRE ATT&amp;CK Mappings'!$E8)),ISNUMBER(SEARCH(IF(K$1&lt;&gt;"",K$1,"NA"),'MITRE ATT&amp;CK Mappings'!$F8))),ISNUMBER(SEARCH(IF(K$2&lt;&gt;"",K$2,"NA"),'MITRE ATT&amp;CK Mappings'!$G8))),ISNUMBER(SEARCH(IF(K$2&lt;&gt;"",K$2,"NA"),'MITRE ATT&amp;CK Mappings'!$H8))),ISNUMBER(SEARCH(IF(K$3&lt;&gt;"",K$3,"NA"),'MITRE ATT&amp;CK Mappings'!$I8))),ISNUMBER(SEARCH(IF(K$3&lt;&gt;"",K$3,"NA"),'MITRE ATT&amp;CK Mappings'!$J8))), 'MITRE ATT&amp;CK Mappings'!$B8,"")</f>
        <v/>
      </c>
      <c r="L12" s="26" t="str">
        <f>IF('MITRE ATT&amp;CK Mappings'!D8 &lt;&gt;"",'MITRE ATT&amp;CK Mappings'!D8,"" )</f>
        <v>Ensure that diagnostic log delivery is configured for Azure Databricks</v>
      </c>
    </row>
    <row r="13" spans="1:12" x14ac:dyDescent="0.25">
      <c r="A13" s="27" t="str">
        <f>IF(COUNTIF(B13:K13,"="&amp;'MITRE ATT&amp;CK Mappings'!B9)&gt;0,'MITRE ATT&amp;CK Mappings'!B9,"")</f>
        <v/>
      </c>
      <c r="B13" s="27" t="str">
        <f>IF(OR(OR(OR(OR(OR(ISNUMBER(SEARCH(IF(B$1&lt;&gt;"",B$1,"NA"),'MITRE ATT&amp;CK Mappings'!$E9)),ISNUMBER(SEARCH(IF(B$1&lt;&gt;"",B$1,"NA"),'MITRE ATT&amp;CK Mappings'!$F9))),ISNUMBER(SEARCH(IF(B$2&lt;&gt;"",B$2,"NA"),'MITRE ATT&amp;CK Mappings'!$G9))),ISNUMBER(SEARCH(IF(B$2&lt;&gt;"",B$2,"NA"),'MITRE ATT&amp;CK Mappings'!$H9))),ISNUMBER(SEARCH(IF(B$3&lt;&gt;"",B$3,"NA"),'MITRE ATT&amp;CK Mappings'!$I9))),ISNUMBER(SEARCH(IF(B$3&lt;&gt;"",B$3,"NA"),'MITRE ATT&amp;CK Mappings'!$J9))), 'MITRE ATT&amp;CK Mappings'!$B9,"")</f>
        <v/>
      </c>
      <c r="C13" s="27" t="str">
        <f>IF(OR(OR(OR(OR(OR(ISNUMBER(SEARCH(IF(C$1&lt;&gt;"",C$1,"NA"),'MITRE ATT&amp;CK Mappings'!$E9)),ISNUMBER(SEARCH(IF(C$1&lt;&gt;"",C$1,"NA"),'MITRE ATT&amp;CK Mappings'!$F9))),ISNUMBER(SEARCH(IF(C$2&lt;&gt;"",C$2,"NA"),'MITRE ATT&amp;CK Mappings'!$G9))),ISNUMBER(SEARCH(IF(C$2&lt;&gt;"",C$2,"NA"),'MITRE ATT&amp;CK Mappings'!$H9))),ISNUMBER(SEARCH(IF(C$3&lt;&gt;"",C$3,"NA"),'MITRE ATT&amp;CK Mappings'!$I9))),ISNUMBER(SEARCH(IF(C$3&lt;&gt;"",C$3,"NA"),'MITRE ATT&amp;CK Mappings'!$J9))), 'MITRE ATT&amp;CK Mappings'!$B9,"")</f>
        <v/>
      </c>
      <c r="D13" s="27" t="str">
        <f>IF(OR(OR(OR(OR(OR(ISNUMBER(SEARCH(IF(D$1&lt;&gt;"",D$1,"NA"),'MITRE ATT&amp;CK Mappings'!$E9)),ISNUMBER(SEARCH(IF(D$1&lt;&gt;"",D$1,"NA"),'MITRE ATT&amp;CK Mappings'!$F9))),ISNUMBER(SEARCH(IF(D$2&lt;&gt;"",D$2,"NA"),'MITRE ATT&amp;CK Mappings'!$G9))),ISNUMBER(SEARCH(IF(D$2&lt;&gt;"",D$2,"NA"),'MITRE ATT&amp;CK Mappings'!$H9))),ISNUMBER(SEARCH(IF(D$3&lt;&gt;"",D$3,"NA"),'MITRE ATT&amp;CK Mappings'!$I9))),ISNUMBER(SEARCH(IF(D$3&lt;&gt;"",D$3,"NA"),'MITRE ATT&amp;CK Mappings'!$J9))), 'MITRE ATT&amp;CK Mappings'!$B9,"")</f>
        <v/>
      </c>
      <c r="E13" s="27" t="str">
        <f>IF(OR(OR(OR(OR(OR(ISNUMBER(SEARCH(IF(E$1&lt;&gt;"",E$1,"NA"),'MITRE ATT&amp;CK Mappings'!$E9)),ISNUMBER(SEARCH(IF(E$1&lt;&gt;"",E$1,"NA"),'MITRE ATT&amp;CK Mappings'!$F9))),ISNUMBER(SEARCH(IF(E$2&lt;&gt;"",E$2,"NA"),'MITRE ATT&amp;CK Mappings'!$G9))),ISNUMBER(SEARCH(IF(E$2&lt;&gt;"",E$2,"NA"),'MITRE ATT&amp;CK Mappings'!$H9))),ISNUMBER(SEARCH(IF(E$3&lt;&gt;"",E$3,"NA"),'MITRE ATT&amp;CK Mappings'!$I9))),ISNUMBER(SEARCH(IF(E$3&lt;&gt;"",E$3,"NA"),'MITRE ATT&amp;CK Mappings'!$J9))), 'MITRE ATT&amp;CK Mappings'!$B9,"")</f>
        <v/>
      </c>
      <c r="F13" s="27" t="str">
        <f>IF(OR(OR(OR(OR(OR(ISNUMBER(SEARCH(IF(F$1&lt;&gt;"",F$1,"NA"),'MITRE ATT&amp;CK Mappings'!$E9)),ISNUMBER(SEARCH(IF(F$1&lt;&gt;"",F$1,"NA"),'MITRE ATT&amp;CK Mappings'!$F9))),ISNUMBER(SEARCH(IF(F$2&lt;&gt;"",F$2,"NA"),'MITRE ATT&amp;CK Mappings'!$G9))),ISNUMBER(SEARCH(IF(F$2&lt;&gt;"",F$2,"NA"),'MITRE ATT&amp;CK Mappings'!$H9))),ISNUMBER(SEARCH(IF(F$3&lt;&gt;"",F$3,"NA"),'MITRE ATT&amp;CK Mappings'!$I9))),ISNUMBER(SEARCH(IF(F$3&lt;&gt;"",F$3,"NA"),'MITRE ATT&amp;CK Mappings'!$J9))), 'MITRE ATT&amp;CK Mappings'!$B9,"")</f>
        <v/>
      </c>
      <c r="G13" s="27" t="str">
        <f>IF(OR(OR(OR(OR(OR(ISNUMBER(SEARCH(IF(G$1&lt;&gt;"",G$1,"NA"),'MITRE ATT&amp;CK Mappings'!$E9)),ISNUMBER(SEARCH(IF(G$1&lt;&gt;"",G$1,"NA"),'MITRE ATT&amp;CK Mappings'!$F9))),ISNUMBER(SEARCH(IF(G$2&lt;&gt;"",G$2,"NA"),'MITRE ATT&amp;CK Mappings'!$G9))),ISNUMBER(SEARCH(IF(G$2&lt;&gt;"",G$2,"NA"),'MITRE ATT&amp;CK Mappings'!$H9))),ISNUMBER(SEARCH(IF(G$3&lt;&gt;"",G$3,"NA"),'MITRE ATT&amp;CK Mappings'!$I9))),ISNUMBER(SEARCH(IF(G$3&lt;&gt;"",G$3,"NA"),'MITRE ATT&amp;CK Mappings'!$J9))), 'MITRE ATT&amp;CK Mappings'!$B9,"")</f>
        <v/>
      </c>
      <c r="H13" s="27" t="str">
        <f>IF(OR(OR(OR(OR(OR(ISNUMBER(SEARCH(IF(H$1&lt;&gt;"",H$1,"NA"),'MITRE ATT&amp;CK Mappings'!$E9)),ISNUMBER(SEARCH(IF(H$1&lt;&gt;"",H$1,"NA"),'MITRE ATT&amp;CK Mappings'!$F9))),ISNUMBER(SEARCH(IF(H$2&lt;&gt;"",H$2,"NA"),'MITRE ATT&amp;CK Mappings'!$G9))),ISNUMBER(SEARCH(IF(H$2&lt;&gt;"",H$2,"NA"),'MITRE ATT&amp;CK Mappings'!$H9))),ISNUMBER(SEARCH(IF(H$3&lt;&gt;"",H$3,"NA"),'MITRE ATT&amp;CK Mappings'!$I9))),ISNUMBER(SEARCH(IF(H$3&lt;&gt;"",H$3,"NA"),'MITRE ATT&amp;CK Mappings'!$J9))), 'MITRE ATT&amp;CK Mappings'!$B9,"")</f>
        <v/>
      </c>
      <c r="I13" s="27" t="str">
        <f>IF(OR(OR(OR(OR(OR(ISNUMBER(SEARCH(IF(I$1&lt;&gt;"",I$1,"NA"),'MITRE ATT&amp;CK Mappings'!$E9)),ISNUMBER(SEARCH(IF(I$1&lt;&gt;"",I$1,"NA"),'MITRE ATT&amp;CK Mappings'!$F9))),ISNUMBER(SEARCH(IF(I$2&lt;&gt;"",I$2,"NA"),'MITRE ATT&amp;CK Mappings'!$G9))),ISNUMBER(SEARCH(IF(I$2&lt;&gt;"",I$2,"NA"),'MITRE ATT&amp;CK Mappings'!$H9))),ISNUMBER(SEARCH(IF(I$3&lt;&gt;"",I$3,"NA"),'MITRE ATT&amp;CK Mappings'!$I9))),ISNUMBER(SEARCH(IF(I$3&lt;&gt;"",I$3,"NA"),'MITRE ATT&amp;CK Mappings'!$J9))), 'MITRE ATT&amp;CK Mappings'!$B9,"")</f>
        <v/>
      </c>
      <c r="J13" s="27" t="str">
        <f>IF(OR(OR(OR(OR(OR(ISNUMBER(SEARCH(IF(J$1&lt;&gt;"",J$1,"NA"),'MITRE ATT&amp;CK Mappings'!$E9)),ISNUMBER(SEARCH(IF(J$1&lt;&gt;"",J$1,"NA"),'MITRE ATT&amp;CK Mappings'!$F9))),ISNUMBER(SEARCH(IF(J$2&lt;&gt;"",J$2,"NA"),'MITRE ATT&amp;CK Mappings'!$G9))),ISNUMBER(SEARCH(IF(J$2&lt;&gt;"",J$2,"NA"),'MITRE ATT&amp;CK Mappings'!$H9))),ISNUMBER(SEARCH(IF(J$3&lt;&gt;"",J$3,"NA"),'MITRE ATT&amp;CK Mappings'!$I9))),ISNUMBER(SEARCH(IF(J$3&lt;&gt;"",J$3,"NA"),'MITRE ATT&amp;CK Mappings'!$J9))), 'MITRE ATT&amp;CK Mappings'!$B9,"")</f>
        <v/>
      </c>
      <c r="K13" s="27" t="str">
        <f>IF(OR(OR(OR(OR(OR(ISNUMBER(SEARCH(IF(K$1&lt;&gt;"",K$1,"NA"),'MITRE ATT&amp;CK Mappings'!$E9)),ISNUMBER(SEARCH(IF(K$1&lt;&gt;"",K$1,"NA"),'MITRE ATT&amp;CK Mappings'!$F9))),ISNUMBER(SEARCH(IF(K$2&lt;&gt;"",K$2,"NA"),'MITRE ATT&amp;CK Mappings'!$G9))),ISNUMBER(SEARCH(IF(K$2&lt;&gt;"",K$2,"NA"),'MITRE ATT&amp;CK Mappings'!$H9))),ISNUMBER(SEARCH(IF(K$3&lt;&gt;"",K$3,"NA"),'MITRE ATT&amp;CK Mappings'!$I9))),ISNUMBER(SEARCH(IF(K$3&lt;&gt;"",K$3,"NA"),'MITRE ATT&amp;CK Mappings'!$J9))), 'MITRE ATT&amp;CK Mappings'!$B9,"")</f>
        <v/>
      </c>
      <c r="L13" s="27" t="str">
        <f>IF('MITRE ATT&amp;CK Mappings'!D9 &lt;&gt;"",'MITRE ATT&amp;CK Mappings'!D9,"" )</f>
        <v>Ensure critical data in Azure Databricks is encrypted with customer-managed keys (CMK)</v>
      </c>
    </row>
    <row r="14" spans="1:12" x14ac:dyDescent="0.25">
      <c r="A14" s="26" t="str">
        <f>IF(COUNTIF(B14:K14,"="&amp;'MITRE ATT&amp;CK Mappings'!B10)&gt;0,'MITRE ATT&amp;CK Mappings'!B10,"")</f>
        <v/>
      </c>
      <c r="B14" s="26" t="str">
        <f>IF(OR(OR(OR(OR(OR(ISNUMBER(SEARCH(IF(B$1&lt;&gt;"",B$1,"NA"),'MITRE ATT&amp;CK Mappings'!$E10)),ISNUMBER(SEARCH(IF(B$1&lt;&gt;"",B$1,"NA"),'MITRE ATT&amp;CK Mappings'!$F10))),ISNUMBER(SEARCH(IF(B$2&lt;&gt;"",B$2,"NA"),'MITRE ATT&amp;CK Mappings'!$G10))),ISNUMBER(SEARCH(IF(B$2&lt;&gt;"",B$2,"NA"),'MITRE ATT&amp;CK Mappings'!$H10))),ISNUMBER(SEARCH(IF(B$3&lt;&gt;"",B$3,"NA"),'MITRE ATT&amp;CK Mappings'!$I10))),ISNUMBER(SEARCH(IF(B$3&lt;&gt;"",B$3,"NA"),'MITRE ATT&amp;CK Mappings'!$J10))), 'MITRE ATT&amp;CK Mappings'!$B10,"")</f>
        <v/>
      </c>
      <c r="C14" s="26" t="str">
        <f>IF(OR(OR(OR(OR(OR(ISNUMBER(SEARCH(IF(C$1&lt;&gt;"",C$1,"NA"),'MITRE ATT&amp;CK Mappings'!$E10)),ISNUMBER(SEARCH(IF(C$1&lt;&gt;"",C$1,"NA"),'MITRE ATT&amp;CK Mappings'!$F10))),ISNUMBER(SEARCH(IF(C$2&lt;&gt;"",C$2,"NA"),'MITRE ATT&amp;CK Mappings'!$G10))),ISNUMBER(SEARCH(IF(C$2&lt;&gt;"",C$2,"NA"),'MITRE ATT&amp;CK Mappings'!$H10))),ISNUMBER(SEARCH(IF(C$3&lt;&gt;"",C$3,"NA"),'MITRE ATT&amp;CK Mappings'!$I10))),ISNUMBER(SEARCH(IF(C$3&lt;&gt;"",C$3,"NA"),'MITRE ATT&amp;CK Mappings'!$J10))), 'MITRE ATT&amp;CK Mappings'!$B10,"")</f>
        <v/>
      </c>
      <c r="D14" s="26" t="str">
        <f>IF(OR(OR(OR(OR(OR(ISNUMBER(SEARCH(IF(D$1&lt;&gt;"",D$1,"NA"),'MITRE ATT&amp;CK Mappings'!$E10)),ISNUMBER(SEARCH(IF(D$1&lt;&gt;"",D$1,"NA"),'MITRE ATT&amp;CK Mappings'!$F10))),ISNUMBER(SEARCH(IF(D$2&lt;&gt;"",D$2,"NA"),'MITRE ATT&amp;CK Mappings'!$G10))),ISNUMBER(SEARCH(IF(D$2&lt;&gt;"",D$2,"NA"),'MITRE ATT&amp;CK Mappings'!$H10))),ISNUMBER(SEARCH(IF(D$3&lt;&gt;"",D$3,"NA"),'MITRE ATT&amp;CK Mappings'!$I10))),ISNUMBER(SEARCH(IF(D$3&lt;&gt;"",D$3,"NA"),'MITRE ATT&amp;CK Mappings'!$J10))), 'MITRE ATT&amp;CK Mappings'!$B10,"")</f>
        <v/>
      </c>
      <c r="E14" s="26" t="str">
        <f>IF(OR(OR(OR(OR(OR(ISNUMBER(SEARCH(IF(E$1&lt;&gt;"",E$1,"NA"),'MITRE ATT&amp;CK Mappings'!$E10)),ISNUMBER(SEARCH(IF(E$1&lt;&gt;"",E$1,"NA"),'MITRE ATT&amp;CK Mappings'!$F10))),ISNUMBER(SEARCH(IF(E$2&lt;&gt;"",E$2,"NA"),'MITRE ATT&amp;CK Mappings'!$G10))),ISNUMBER(SEARCH(IF(E$2&lt;&gt;"",E$2,"NA"),'MITRE ATT&amp;CK Mappings'!$H10))),ISNUMBER(SEARCH(IF(E$3&lt;&gt;"",E$3,"NA"),'MITRE ATT&amp;CK Mappings'!$I10))),ISNUMBER(SEARCH(IF(E$3&lt;&gt;"",E$3,"NA"),'MITRE ATT&amp;CK Mappings'!$J10))), 'MITRE ATT&amp;CK Mappings'!$B10,"")</f>
        <v/>
      </c>
      <c r="F14" s="26" t="str">
        <f>IF(OR(OR(OR(OR(OR(ISNUMBER(SEARCH(IF(F$1&lt;&gt;"",F$1,"NA"),'MITRE ATT&amp;CK Mappings'!$E10)),ISNUMBER(SEARCH(IF(F$1&lt;&gt;"",F$1,"NA"),'MITRE ATT&amp;CK Mappings'!$F10))),ISNUMBER(SEARCH(IF(F$2&lt;&gt;"",F$2,"NA"),'MITRE ATT&amp;CK Mappings'!$G10))),ISNUMBER(SEARCH(IF(F$2&lt;&gt;"",F$2,"NA"),'MITRE ATT&amp;CK Mappings'!$H10))),ISNUMBER(SEARCH(IF(F$3&lt;&gt;"",F$3,"NA"),'MITRE ATT&amp;CK Mappings'!$I10))),ISNUMBER(SEARCH(IF(F$3&lt;&gt;"",F$3,"NA"),'MITRE ATT&amp;CK Mappings'!$J10))), 'MITRE ATT&amp;CK Mappings'!$B10,"")</f>
        <v/>
      </c>
      <c r="G14" s="26" t="str">
        <f>IF(OR(OR(OR(OR(OR(ISNUMBER(SEARCH(IF(G$1&lt;&gt;"",G$1,"NA"),'MITRE ATT&amp;CK Mappings'!$E10)),ISNUMBER(SEARCH(IF(G$1&lt;&gt;"",G$1,"NA"),'MITRE ATT&amp;CK Mappings'!$F10))),ISNUMBER(SEARCH(IF(G$2&lt;&gt;"",G$2,"NA"),'MITRE ATT&amp;CK Mappings'!$G10))),ISNUMBER(SEARCH(IF(G$2&lt;&gt;"",G$2,"NA"),'MITRE ATT&amp;CK Mappings'!$H10))),ISNUMBER(SEARCH(IF(G$3&lt;&gt;"",G$3,"NA"),'MITRE ATT&amp;CK Mappings'!$I10))),ISNUMBER(SEARCH(IF(G$3&lt;&gt;"",G$3,"NA"),'MITRE ATT&amp;CK Mappings'!$J10))), 'MITRE ATT&amp;CK Mappings'!$B10,"")</f>
        <v/>
      </c>
      <c r="H14" s="26" t="str">
        <f>IF(OR(OR(OR(OR(OR(ISNUMBER(SEARCH(IF(H$1&lt;&gt;"",H$1,"NA"),'MITRE ATT&amp;CK Mappings'!$E10)),ISNUMBER(SEARCH(IF(H$1&lt;&gt;"",H$1,"NA"),'MITRE ATT&amp;CK Mappings'!$F10))),ISNUMBER(SEARCH(IF(H$2&lt;&gt;"",H$2,"NA"),'MITRE ATT&amp;CK Mappings'!$G10))),ISNUMBER(SEARCH(IF(H$2&lt;&gt;"",H$2,"NA"),'MITRE ATT&amp;CK Mappings'!$H10))),ISNUMBER(SEARCH(IF(H$3&lt;&gt;"",H$3,"NA"),'MITRE ATT&amp;CK Mappings'!$I10))),ISNUMBER(SEARCH(IF(H$3&lt;&gt;"",H$3,"NA"),'MITRE ATT&amp;CK Mappings'!$J10))), 'MITRE ATT&amp;CK Mappings'!$B10,"")</f>
        <v/>
      </c>
      <c r="I14" s="26" t="str">
        <f>IF(OR(OR(OR(OR(OR(ISNUMBER(SEARCH(IF(I$1&lt;&gt;"",I$1,"NA"),'MITRE ATT&amp;CK Mappings'!$E10)),ISNUMBER(SEARCH(IF(I$1&lt;&gt;"",I$1,"NA"),'MITRE ATT&amp;CK Mappings'!$F10))),ISNUMBER(SEARCH(IF(I$2&lt;&gt;"",I$2,"NA"),'MITRE ATT&amp;CK Mappings'!$G10))),ISNUMBER(SEARCH(IF(I$2&lt;&gt;"",I$2,"NA"),'MITRE ATT&amp;CK Mappings'!$H10))),ISNUMBER(SEARCH(IF(I$3&lt;&gt;"",I$3,"NA"),'MITRE ATT&amp;CK Mappings'!$I10))),ISNUMBER(SEARCH(IF(I$3&lt;&gt;"",I$3,"NA"),'MITRE ATT&amp;CK Mappings'!$J10))), 'MITRE ATT&amp;CK Mappings'!$B10,"")</f>
        <v/>
      </c>
      <c r="J14" s="26" t="str">
        <f>IF(OR(OR(OR(OR(OR(ISNUMBER(SEARCH(IF(J$1&lt;&gt;"",J$1,"NA"),'MITRE ATT&amp;CK Mappings'!$E10)),ISNUMBER(SEARCH(IF(J$1&lt;&gt;"",J$1,"NA"),'MITRE ATT&amp;CK Mappings'!$F10))),ISNUMBER(SEARCH(IF(J$2&lt;&gt;"",J$2,"NA"),'MITRE ATT&amp;CK Mappings'!$G10))),ISNUMBER(SEARCH(IF(J$2&lt;&gt;"",J$2,"NA"),'MITRE ATT&amp;CK Mappings'!$H10))),ISNUMBER(SEARCH(IF(J$3&lt;&gt;"",J$3,"NA"),'MITRE ATT&amp;CK Mappings'!$I10))),ISNUMBER(SEARCH(IF(J$3&lt;&gt;"",J$3,"NA"),'MITRE ATT&amp;CK Mappings'!$J10))), 'MITRE ATT&amp;CK Mappings'!$B10,"")</f>
        <v/>
      </c>
      <c r="K14" s="26" t="str">
        <f>IF(OR(OR(OR(OR(OR(ISNUMBER(SEARCH(IF(K$1&lt;&gt;"",K$1,"NA"),'MITRE ATT&amp;CK Mappings'!$E10)),ISNUMBER(SEARCH(IF(K$1&lt;&gt;"",K$1,"NA"),'MITRE ATT&amp;CK Mappings'!$F10))),ISNUMBER(SEARCH(IF(K$2&lt;&gt;"",K$2,"NA"),'MITRE ATT&amp;CK Mappings'!$G10))),ISNUMBER(SEARCH(IF(K$2&lt;&gt;"",K$2,"NA"),'MITRE ATT&amp;CK Mappings'!$H10))),ISNUMBER(SEARCH(IF(K$3&lt;&gt;"",K$3,"NA"),'MITRE ATT&amp;CK Mappings'!$I10))),ISNUMBER(SEARCH(IF(K$3&lt;&gt;"",K$3,"NA"),'MITRE ATT&amp;CK Mappings'!$J10))), 'MITRE ATT&amp;CK Mappings'!$B10,"")</f>
        <v/>
      </c>
      <c r="L14" s="26" t="str">
        <f>IF('MITRE ATT&amp;CK Mappings'!D10 &lt;&gt;"",'MITRE ATT&amp;CK Mappings'!D10,"" )</f>
        <v>Ensure 'No Public IP' is set to 'Enabled'</v>
      </c>
    </row>
    <row r="15" spans="1:12" x14ac:dyDescent="0.25">
      <c r="A15" s="27" t="str">
        <f>IF(COUNTIF(B15:K15,"="&amp;'MITRE ATT&amp;CK Mappings'!B11)&gt;0,'MITRE ATT&amp;CK Mappings'!B11,"")</f>
        <v/>
      </c>
      <c r="B15" s="27" t="str">
        <f>IF(OR(OR(OR(OR(OR(ISNUMBER(SEARCH(IF(B$1&lt;&gt;"",B$1,"NA"),'MITRE ATT&amp;CK Mappings'!$E11)),ISNUMBER(SEARCH(IF(B$1&lt;&gt;"",B$1,"NA"),'MITRE ATT&amp;CK Mappings'!$F11))),ISNUMBER(SEARCH(IF(B$2&lt;&gt;"",B$2,"NA"),'MITRE ATT&amp;CK Mappings'!$G11))),ISNUMBER(SEARCH(IF(B$2&lt;&gt;"",B$2,"NA"),'MITRE ATT&amp;CK Mappings'!$H11))),ISNUMBER(SEARCH(IF(B$3&lt;&gt;"",B$3,"NA"),'MITRE ATT&amp;CK Mappings'!$I11))),ISNUMBER(SEARCH(IF(B$3&lt;&gt;"",B$3,"NA"),'MITRE ATT&amp;CK Mappings'!$J11))), 'MITRE ATT&amp;CK Mappings'!$B11,"")</f>
        <v/>
      </c>
      <c r="C15" s="27" t="str">
        <f>IF(OR(OR(OR(OR(OR(ISNUMBER(SEARCH(IF(C$1&lt;&gt;"",C$1,"NA"),'MITRE ATT&amp;CK Mappings'!$E11)),ISNUMBER(SEARCH(IF(C$1&lt;&gt;"",C$1,"NA"),'MITRE ATT&amp;CK Mappings'!$F11))),ISNUMBER(SEARCH(IF(C$2&lt;&gt;"",C$2,"NA"),'MITRE ATT&amp;CK Mappings'!$G11))),ISNUMBER(SEARCH(IF(C$2&lt;&gt;"",C$2,"NA"),'MITRE ATT&amp;CK Mappings'!$H11))),ISNUMBER(SEARCH(IF(C$3&lt;&gt;"",C$3,"NA"),'MITRE ATT&amp;CK Mappings'!$I11))),ISNUMBER(SEARCH(IF(C$3&lt;&gt;"",C$3,"NA"),'MITRE ATT&amp;CK Mappings'!$J11))), 'MITRE ATT&amp;CK Mappings'!$B11,"")</f>
        <v/>
      </c>
      <c r="D15" s="27" t="str">
        <f>IF(OR(OR(OR(OR(OR(ISNUMBER(SEARCH(IF(D$1&lt;&gt;"",D$1,"NA"),'MITRE ATT&amp;CK Mappings'!$E11)),ISNUMBER(SEARCH(IF(D$1&lt;&gt;"",D$1,"NA"),'MITRE ATT&amp;CK Mappings'!$F11))),ISNUMBER(SEARCH(IF(D$2&lt;&gt;"",D$2,"NA"),'MITRE ATT&amp;CK Mappings'!$G11))),ISNUMBER(SEARCH(IF(D$2&lt;&gt;"",D$2,"NA"),'MITRE ATT&amp;CK Mappings'!$H11))),ISNUMBER(SEARCH(IF(D$3&lt;&gt;"",D$3,"NA"),'MITRE ATT&amp;CK Mappings'!$I11))),ISNUMBER(SEARCH(IF(D$3&lt;&gt;"",D$3,"NA"),'MITRE ATT&amp;CK Mappings'!$J11))), 'MITRE ATT&amp;CK Mappings'!$B11,"")</f>
        <v/>
      </c>
      <c r="E15" s="27" t="str">
        <f>IF(OR(OR(OR(OR(OR(ISNUMBER(SEARCH(IF(E$1&lt;&gt;"",E$1,"NA"),'MITRE ATT&amp;CK Mappings'!$E11)),ISNUMBER(SEARCH(IF(E$1&lt;&gt;"",E$1,"NA"),'MITRE ATT&amp;CK Mappings'!$F11))),ISNUMBER(SEARCH(IF(E$2&lt;&gt;"",E$2,"NA"),'MITRE ATT&amp;CK Mappings'!$G11))),ISNUMBER(SEARCH(IF(E$2&lt;&gt;"",E$2,"NA"),'MITRE ATT&amp;CK Mappings'!$H11))),ISNUMBER(SEARCH(IF(E$3&lt;&gt;"",E$3,"NA"),'MITRE ATT&amp;CK Mappings'!$I11))),ISNUMBER(SEARCH(IF(E$3&lt;&gt;"",E$3,"NA"),'MITRE ATT&amp;CK Mappings'!$J11))), 'MITRE ATT&amp;CK Mappings'!$B11,"")</f>
        <v/>
      </c>
      <c r="F15" s="27" t="str">
        <f>IF(OR(OR(OR(OR(OR(ISNUMBER(SEARCH(IF(F$1&lt;&gt;"",F$1,"NA"),'MITRE ATT&amp;CK Mappings'!$E11)),ISNUMBER(SEARCH(IF(F$1&lt;&gt;"",F$1,"NA"),'MITRE ATT&amp;CK Mappings'!$F11))),ISNUMBER(SEARCH(IF(F$2&lt;&gt;"",F$2,"NA"),'MITRE ATT&amp;CK Mappings'!$G11))),ISNUMBER(SEARCH(IF(F$2&lt;&gt;"",F$2,"NA"),'MITRE ATT&amp;CK Mappings'!$H11))),ISNUMBER(SEARCH(IF(F$3&lt;&gt;"",F$3,"NA"),'MITRE ATT&amp;CK Mappings'!$I11))),ISNUMBER(SEARCH(IF(F$3&lt;&gt;"",F$3,"NA"),'MITRE ATT&amp;CK Mappings'!$J11))), 'MITRE ATT&amp;CK Mappings'!$B11,"")</f>
        <v/>
      </c>
      <c r="G15" s="27" t="str">
        <f>IF(OR(OR(OR(OR(OR(ISNUMBER(SEARCH(IF(G$1&lt;&gt;"",G$1,"NA"),'MITRE ATT&amp;CK Mappings'!$E11)),ISNUMBER(SEARCH(IF(G$1&lt;&gt;"",G$1,"NA"),'MITRE ATT&amp;CK Mappings'!$F11))),ISNUMBER(SEARCH(IF(G$2&lt;&gt;"",G$2,"NA"),'MITRE ATT&amp;CK Mappings'!$G11))),ISNUMBER(SEARCH(IF(G$2&lt;&gt;"",G$2,"NA"),'MITRE ATT&amp;CK Mappings'!$H11))),ISNUMBER(SEARCH(IF(G$3&lt;&gt;"",G$3,"NA"),'MITRE ATT&amp;CK Mappings'!$I11))),ISNUMBER(SEARCH(IF(G$3&lt;&gt;"",G$3,"NA"),'MITRE ATT&amp;CK Mappings'!$J11))), 'MITRE ATT&amp;CK Mappings'!$B11,"")</f>
        <v/>
      </c>
      <c r="H15" s="27" t="str">
        <f>IF(OR(OR(OR(OR(OR(ISNUMBER(SEARCH(IF(H$1&lt;&gt;"",H$1,"NA"),'MITRE ATT&amp;CK Mappings'!$E11)),ISNUMBER(SEARCH(IF(H$1&lt;&gt;"",H$1,"NA"),'MITRE ATT&amp;CK Mappings'!$F11))),ISNUMBER(SEARCH(IF(H$2&lt;&gt;"",H$2,"NA"),'MITRE ATT&amp;CK Mappings'!$G11))),ISNUMBER(SEARCH(IF(H$2&lt;&gt;"",H$2,"NA"),'MITRE ATT&amp;CK Mappings'!$H11))),ISNUMBER(SEARCH(IF(H$3&lt;&gt;"",H$3,"NA"),'MITRE ATT&amp;CK Mappings'!$I11))),ISNUMBER(SEARCH(IF(H$3&lt;&gt;"",H$3,"NA"),'MITRE ATT&amp;CK Mappings'!$J11))), 'MITRE ATT&amp;CK Mappings'!$B11,"")</f>
        <v/>
      </c>
      <c r="I15" s="27" t="str">
        <f>IF(OR(OR(OR(OR(OR(ISNUMBER(SEARCH(IF(I$1&lt;&gt;"",I$1,"NA"),'MITRE ATT&amp;CK Mappings'!$E11)),ISNUMBER(SEARCH(IF(I$1&lt;&gt;"",I$1,"NA"),'MITRE ATT&amp;CK Mappings'!$F11))),ISNUMBER(SEARCH(IF(I$2&lt;&gt;"",I$2,"NA"),'MITRE ATT&amp;CK Mappings'!$G11))),ISNUMBER(SEARCH(IF(I$2&lt;&gt;"",I$2,"NA"),'MITRE ATT&amp;CK Mappings'!$H11))),ISNUMBER(SEARCH(IF(I$3&lt;&gt;"",I$3,"NA"),'MITRE ATT&amp;CK Mappings'!$I11))),ISNUMBER(SEARCH(IF(I$3&lt;&gt;"",I$3,"NA"),'MITRE ATT&amp;CK Mappings'!$J11))), 'MITRE ATT&amp;CK Mappings'!$B11,"")</f>
        <v/>
      </c>
      <c r="J15" s="27" t="str">
        <f>IF(OR(OR(OR(OR(OR(ISNUMBER(SEARCH(IF(J$1&lt;&gt;"",J$1,"NA"),'MITRE ATT&amp;CK Mappings'!$E11)),ISNUMBER(SEARCH(IF(J$1&lt;&gt;"",J$1,"NA"),'MITRE ATT&amp;CK Mappings'!$F11))),ISNUMBER(SEARCH(IF(J$2&lt;&gt;"",J$2,"NA"),'MITRE ATT&amp;CK Mappings'!$G11))),ISNUMBER(SEARCH(IF(J$2&lt;&gt;"",J$2,"NA"),'MITRE ATT&amp;CK Mappings'!$H11))),ISNUMBER(SEARCH(IF(J$3&lt;&gt;"",J$3,"NA"),'MITRE ATT&amp;CK Mappings'!$I11))),ISNUMBER(SEARCH(IF(J$3&lt;&gt;"",J$3,"NA"),'MITRE ATT&amp;CK Mappings'!$J11))), 'MITRE ATT&amp;CK Mappings'!$B11,"")</f>
        <v/>
      </c>
      <c r="K15" s="27" t="str">
        <f>IF(OR(OR(OR(OR(OR(ISNUMBER(SEARCH(IF(K$1&lt;&gt;"",K$1,"NA"),'MITRE ATT&amp;CK Mappings'!$E11)),ISNUMBER(SEARCH(IF(K$1&lt;&gt;"",K$1,"NA"),'MITRE ATT&amp;CK Mappings'!$F11))),ISNUMBER(SEARCH(IF(K$2&lt;&gt;"",K$2,"NA"),'MITRE ATT&amp;CK Mappings'!$G11))),ISNUMBER(SEARCH(IF(K$2&lt;&gt;"",K$2,"NA"),'MITRE ATT&amp;CK Mappings'!$H11))),ISNUMBER(SEARCH(IF(K$3&lt;&gt;"",K$3,"NA"),'MITRE ATT&amp;CK Mappings'!$I11))),ISNUMBER(SEARCH(IF(K$3&lt;&gt;"",K$3,"NA"),'MITRE ATT&amp;CK Mappings'!$J11))), 'MITRE ATT&amp;CK Mappings'!$B11,"")</f>
        <v/>
      </c>
      <c r="L15" s="27" t="str">
        <f>IF('MITRE ATT&amp;CK Mappings'!D11 &lt;&gt;"",'MITRE ATT&amp;CK Mappings'!D11,"" )</f>
        <v>Ensure 'Allow Public Network Access' is set to 'Disabled'</v>
      </c>
    </row>
    <row r="16" spans="1:12" x14ac:dyDescent="0.25">
      <c r="A16" s="26" t="str">
        <f>IF(COUNTIF(B16:K16,"="&amp;'MITRE ATT&amp;CK Mappings'!B12)&gt;0,'MITRE ATT&amp;CK Mappings'!B12,"")</f>
        <v/>
      </c>
      <c r="B16" s="26" t="str">
        <f>IF(OR(OR(OR(OR(OR(ISNUMBER(SEARCH(IF(B$1&lt;&gt;"",B$1,"NA"),'MITRE ATT&amp;CK Mappings'!$E12)),ISNUMBER(SEARCH(IF(B$1&lt;&gt;"",B$1,"NA"),'MITRE ATT&amp;CK Mappings'!$F12))),ISNUMBER(SEARCH(IF(B$2&lt;&gt;"",B$2,"NA"),'MITRE ATT&amp;CK Mappings'!$G12))),ISNUMBER(SEARCH(IF(B$2&lt;&gt;"",B$2,"NA"),'MITRE ATT&amp;CK Mappings'!$H12))),ISNUMBER(SEARCH(IF(B$3&lt;&gt;"",B$3,"NA"),'MITRE ATT&amp;CK Mappings'!$I12))),ISNUMBER(SEARCH(IF(B$3&lt;&gt;"",B$3,"NA"),'MITRE ATT&amp;CK Mappings'!$J12))), 'MITRE ATT&amp;CK Mappings'!$B12,"")</f>
        <v/>
      </c>
      <c r="C16" s="26" t="str">
        <f>IF(OR(OR(OR(OR(OR(ISNUMBER(SEARCH(IF(C$1&lt;&gt;"",C$1,"NA"),'MITRE ATT&amp;CK Mappings'!$E12)),ISNUMBER(SEARCH(IF(C$1&lt;&gt;"",C$1,"NA"),'MITRE ATT&amp;CK Mappings'!$F12))),ISNUMBER(SEARCH(IF(C$2&lt;&gt;"",C$2,"NA"),'MITRE ATT&amp;CK Mappings'!$G12))),ISNUMBER(SEARCH(IF(C$2&lt;&gt;"",C$2,"NA"),'MITRE ATT&amp;CK Mappings'!$H12))),ISNUMBER(SEARCH(IF(C$3&lt;&gt;"",C$3,"NA"),'MITRE ATT&amp;CK Mappings'!$I12))),ISNUMBER(SEARCH(IF(C$3&lt;&gt;"",C$3,"NA"),'MITRE ATT&amp;CK Mappings'!$J12))), 'MITRE ATT&amp;CK Mappings'!$B12,"")</f>
        <v/>
      </c>
      <c r="D16" s="26" t="str">
        <f>IF(OR(OR(OR(OR(OR(ISNUMBER(SEARCH(IF(D$1&lt;&gt;"",D$1,"NA"),'MITRE ATT&amp;CK Mappings'!$E12)),ISNUMBER(SEARCH(IF(D$1&lt;&gt;"",D$1,"NA"),'MITRE ATT&amp;CK Mappings'!$F12))),ISNUMBER(SEARCH(IF(D$2&lt;&gt;"",D$2,"NA"),'MITRE ATT&amp;CK Mappings'!$G12))),ISNUMBER(SEARCH(IF(D$2&lt;&gt;"",D$2,"NA"),'MITRE ATT&amp;CK Mappings'!$H12))),ISNUMBER(SEARCH(IF(D$3&lt;&gt;"",D$3,"NA"),'MITRE ATT&amp;CK Mappings'!$I12))),ISNUMBER(SEARCH(IF(D$3&lt;&gt;"",D$3,"NA"),'MITRE ATT&amp;CK Mappings'!$J12))), 'MITRE ATT&amp;CK Mappings'!$B12,"")</f>
        <v/>
      </c>
      <c r="E16" s="26" t="str">
        <f>IF(OR(OR(OR(OR(OR(ISNUMBER(SEARCH(IF(E$1&lt;&gt;"",E$1,"NA"),'MITRE ATT&amp;CK Mappings'!$E12)),ISNUMBER(SEARCH(IF(E$1&lt;&gt;"",E$1,"NA"),'MITRE ATT&amp;CK Mappings'!$F12))),ISNUMBER(SEARCH(IF(E$2&lt;&gt;"",E$2,"NA"),'MITRE ATT&amp;CK Mappings'!$G12))),ISNUMBER(SEARCH(IF(E$2&lt;&gt;"",E$2,"NA"),'MITRE ATT&amp;CK Mappings'!$H12))),ISNUMBER(SEARCH(IF(E$3&lt;&gt;"",E$3,"NA"),'MITRE ATT&amp;CK Mappings'!$I12))),ISNUMBER(SEARCH(IF(E$3&lt;&gt;"",E$3,"NA"),'MITRE ATT&amp;CK Mappings'!$J12))), 'MITRE ATT&amp;CK Mappings'!$B12,"")</f>
        <v/>
      </c>
      <c r="F16" s="26" t="str">
        <f>IF(OR(OR(OR(OR(OR(ISNUMBER(SEARCH(IF(F$1&lt;&gt;"",F$1,"NA"),'MITRE ATT&amp;CK Mappings'!$E12)),ISNUMBER(SEARCH(IF(F$1&lt;&gt;"",F$1,"NA"),'MITRE ATT&amp;CK Mappings'!$F12))),ISNUMBER(SEARCH(IF(F$2&lt;&gt;"",F$2,"NA"),'MITRE ATT&amp;CK Mappings'!$G12))),ISNUMBER(SEARCH(IF(F$2&lt;&gt;"",F$2,"NA"),'MITRE ATT&amp;CK Mappings'!$H12))),ISNUMBER(SEARCH(IF(F$3&lt;&gt;"",F$3,"NA"),'MITRE ATT&amp;CK Mappings'!$I12))),ISNUMBER(SEARCH(IF(F$3&lt;&gt;"",F$3,"NA"),'MITRE ATT&amp;CK Mappings'!$J12))), 'MITRE ATT&amp;CK Mappings'!$B12,"")</f>
        <v/>
      </c>
      <c r="G16" s="26" t="str">
        <f>IF(OR(OR(OR(OR(OR(ISNUMBER(SEARCH(IF(G$1&lt;&gt;"",G$1,"NA"),'MITRE ATT&amp;CK Mappings'!$E12)),ISNUMBER(SEARCH(IF(G$1&lt;&gt;"",G$1,"NA"),'MITRE ATT&amp;CK Mappings'!$F12))),ISNUMBER(SEARCH(IF(G$2&lt;&gt;"",G$2,"NA"),'MITRE ATT&amp;CK Mappings'!$G12))),ISNUMBER(SEARCH(IF(G$2&lt;&gt;"",G$2,"NA"),'MITRE ATT&amp;CK Mappings'!$H12))),ISNUMBER(SEARCH(IF(G$3&lt;&gt;"",G$3,"NA"),'MITRE ATT&amp;CK Mappings'!$I12))),ISNUMBER(SEARCH(IF(G$3&lt;&gt;"",G$3,"NA"),'MITRE ATT&amp;CK Mappings'!$J12))), 'MITRE ATT&amp;CK Mappings'!$B12,"")</f>
        <v/>
      </c>
      <c r="H16" s="26" t="str">
        <f>IF(OR(OR(OR(OR(OR(ISNUMBER(SEARCH(IF(H$1&lt;&gt;"",H$1,"NA"),'MITRE ATT&amp;CK Mappings'!$E12)),ISNUMBER(SEARCH(IF(H$1&lt;&gt;"",H$1,"NA"),'MITRE ATT&amp;CK Mappings'!$F12))),ISNUMBER(SEARCH(IF(H$2&lt;&gt;"",H$2,"NA"),'MITRE ATT&amp;CK Mappings'!$G12))),ISNUMBER(SEARCH(IF(H$2&lt;&gt;"",H$2,"NA"),'MITRE ATT&amp;CK Mappings'!$H12))),ISNUMBER(SEARCH(IF(H$3&lt;&gt;"",H$3,"NA"),'MITRE ATT&amp;CK Mappings'!$I12))),ISNUMBER(SEARCH(IF(H$3&lt;&gt;"",H$3,"NA"),'MITRE ATT&amp;CK Mappings'!$J12))), 'MITRE ATT&amp;CK Mappings'!$B12,"")</f>
        <v/>
      </c>
      <c r="I16" s="26" t="str">
        <f>IF(OR(OR(OR(OR(OR(ISNUMBER(SEARCH(IF(I$1&lt;&gt;"",I$1,"NA"),'MITRE ATT&amp;CK Mappings'!$E12)),ISNUMBER(SEARCH(IF(I$1&lt;&gt;"",I$1,"NA"),'MITRE ATT&amp;CK Mappings'!$F12))),ISNUMBER(SEARCH(IF(I$2&lt;&gt;"",I$2,"NA"),'MITRE ATT&amp;CK Mappings'!$G12))),ISNUMBER(SEARCH(IF(I$2&lt;&gt;"",I$2,"NA"),'MITRE ATT&amp;CK Mappings'!$H12))),ISNUMBER(SEARCH(IF(I$3&lt;&gt;"",I$3,"NA"),'MITRE ATT&amp;CK Mappings'!$I12))),ISNUMBER(SEARCH(IF(I$3&lt;&gt;"",I$3,"NA"),'MITRE ATT&amp;CK Mappings'!$J12))), 'MITRE ATT&amp;CK Mappings'!$B12,"")</f>
        <v/>
      </c>
      <c r="J16" s="26" t="str">
        <f>IF(OR(OR(OR(OR(OR(ISNUMBER(SEARCH(IF(J$1&lt;&gt;"",J$1,"NA"),'MITRE ATT&amp;CK Mappings'!$E12)),ISNUMBER(SEARCH(IF(J$1&lt;&gt;"",J$1,"NA"),'MITRE ATT&amp;CK Mappings'!$F12))),ISNUMBER(SEARCH(IF(J$2&lt;&gt;"",J$2,"NA"),'MITRE ATT&amp;CK Mappings'!$G12))),ISNUMBER(SEARCH(IF(J$2&lt;&gt;"",J$2,"NA"),'MITRE ATT&amp;CK Mappings'!$H12))),ISNUMBER(SEARCH(IF(J$3&lt;&gt;"",J$3,"NA"),'MITRE ATT&amp;CK Mappings'!$I12))),ISNUMBER(SEARCH(IF(J$3&lt;&gt;"",J$3,"NA"),'MITRE ATT&amp;CK Mappings'!$J12))), 'MITRE ATT&amp;CK Mappings'!$B12,"")</f>
        <v/>
      </c>
      <c r="K16" s="26" t="str">
        <f>IF(OR(OR(OR(OR(OR(ISNUMBER(SEARCH(IF(K$1&lt;&gt;"",K$1,"NA"),'MITRE ATT&amp;CK Mappings'!$E12)),ISNUMBER(SEARCH(IF(K$1&lt;&gt;"",K$1,"NA"),'MITRE ATT&amp;CK Mappings'!$F12))),ISNUMBER(SEARCH(IF(K$2&lt;&gt;"",K$2,"NA"),'MITRE ATT&amp;CK Mappings'!$G12))),ISNUMBER(SEARCH(IF(K$2&lt;&gt;"",K$2,"NA"),'MITRE ATT&amp;CK Mappings'!$H12))),ISNUMBER(SEARCH(IF(K$3&lt;&gt;"",K$3,"NA"),'MITRE ATT&amp;CK Mappings'!$I12))),ISNUMBER(SEARCH(IF(K$3&lt;&gt;"",K$3,"NA"),'MITRE ATT&amp;CK Mappings'!$J12))), 'MITRE ATT&amp;CK Mappings'!$B12,"")</f>
        <v/>
      </c>
      <c r="L16" s="26" t="str">
        <f>IF('MITRE ATT&amp;CK Mappings'!D12 &lt;&gt;"",'MITRE ATT&amp;CK Mappings'!D12,"" )</f>
        <v>Ensure private endpoints are used to access Azure Databricks workspaces</v>
      </c>
    </row>
    <row r="17" spans="1:12" x14ac:dyDescent="0.25">
      <c r="A17" s="27" t="str">
        <f>IF(COUNTIF(B17:K17,"="&amp;'MITRE ATT&amp;CK Mappings'!B13)&gt;0,'MITRE ATT&amp;CK Mappings'!B13,"")</f>
        <v/>
      </c>
      <c r="B17" s="27" t="str">
        <f>IF(OR(OR(OR(OR(OR(ISNUMBER(SEARCH(IF(B$1&lt;&gt;"",B$1,"NA"),'MITRE ATT&amp;CK Mappings'!$E13)),ISNUMBER(SEARCH(IF(B$1&lt;&gt;"",B$1,"NA"),'MITRE ATT&amp;CK Mappings'!$F13))),ISNUMBER(SEARCH(IF(B$2&lt;&gt;"",B$2,"NA"),'MITRE ATT&amp;CK Mappings'!$G13))),ISNUMBER(SEARCH(IF(B$2&lt;&gt;"",B$2,"NA"),'MITRE ATT&amp;CK Mappings'!$H13))),ISNUMBER(SEARCH(IF(B$3&lt;&gt;"",B$3,"NA"),'MITRE ATT&amp;CK Mappings'!$I13))),ISNUMBER(SEARCH(IF(B$3&lt;&gt;"",B$3,"NA"),'MITRE ATT&amp;CK Mappings'!$J13))), 'MITRE ATT&amp;CK Mappings'!$B13,"")</f>
        <v/>
      </c>
      <c r="C17" s="27" t="str">
        <f>IF(OR(OR(OR(OR(OR(ISNUMBER(SEARCH(IF(C$1&lt;&gt;"",C$1,"NA"),'MITRE ATT&amp;CK Mappings'!$E13)),ISNUMBER(SEARCH(IF(C$1&lt;&gt;"",C$1,"NA"),'MITRE ATT&amp;CK Mappings'!$F13))),ISNUMBER(SEARCH(IF(C$2&lt;&gt;"",C$2,"NA"),'MITRE ATT&amp;CK Mappings'!$G13))),ISNUMBER(SEARCH(IF(C$2&lt;&gt;"",C$2,"NA"),'MITRE ATT&amp;CK Mappings'!$H13))),ISNUMBER(SEARCH(IF(C$3&lt;&gt;"",C$3,"NA"),'MITRE ATT&amp;CK Mappings'!$I13))),ISNUMBER(SEARCH(IF(C$3&lt;&gt;"",C$3,"NA"),'MITRE ATT&amp;CK Mappings'!$J13))), 'MITRE ATT&amp;CK Mappings'!$B13,"")</f>
        <v/>
      </c>
      <c r="D17" s="27" t="str">
        <f>IF(OR(OR(OR(OR(OR(ISNUMBER(SEARCH(IF(D$1&lt;&gt;"",D$1,"NA"),'MITRE ATT&amp;CK Mappings'!$E13)),ISNUMBER(SEARCH(IF(D$1&lt;&gt;"",D$1,"NA"),'MITRE ATT&amp;CK Mappings'!$F13))),ISNUMBER(SEARCH(IF(D$2&lt;&gt;"",D$2,"NA"),'MITRE ATT&amp;CK Mappings'!$G13))),ISNUMBER(SEARCH(IF(D$2&lt;&gt;"",D$2,"NA"),'MITRE ATT&amp;CK Mappings'!$H13))),ISNUMBER(SEARCH(IF(D$3&lt;&gt;"",D$3,"NA"),'MITRE ATT&amp;CK Mappings'!$I13))),ISNUMBER(SEARCH(IF(D$3&lt;&gt;"",D$3,"NA"),'MITRE ATT&amp;CK Mappings'!$J13))), 'MITRE ATT&amp;CK Mappings'!$B13,"")</f>
        <v/>
      </c>
      <c r="E17" s="27" t="str">
        <f>IF(OR(OR(OR(OR(OR(ISNUMBER(SEARCH(IF(E$1&lt;&gt;"",E$1,"NA"),'MITRE ATT&amp;CK Mappings'!$E13)),ISNUMBER(SEARCH(IF(E$1&lt;&gt;"",E$1,"NA"),'MITRE ATT&amp;CK Mappings'!$F13))),ISNUMBER(SEARCH(IF(E$2&lt;&gt;"",E$2,"NA"),'MITRE ATT&amp;CK Mappings'!$G13))),ISNUMBER(SEARCH(IF(E$2&lt;&gt;"",E$2,"NA"),'MITRE ATT&amp;CK Mappings'!$H13))),ISNUMBER(SEARCH(IF(E$3&lt;&gt;"",E$3,"NA"),'MITRE ATT&amp;CK Mappings'!$I13))),ISNUMBER(SEARCH(IF(E$3&lt;&gt;"",E$3,"NA"),'MITRE ATT&amp;CK Mappings'!$J13))), 'MITRE ATT&amp;CK Mappings'!$B13,"")</f>
        <v/>
      </c>
      <c r="F17" s="27" t="str">
        <f>IF(OR(OR(OR(OR(OR(ISNUMBER(SEARCH(IF(F$1&lt;&gt;"",F$1,"NA"),'MITRE ATT&amp;CK Mappings'!$E13)),ISNUMBER(SEARCH(IF(F$1&lt;&gt;"",F$1,"NA"),'MITRE ATT&amp;CK Mappings'!$F13))),ISNUMBER(SEARCH(IF(F$2&lt;&gt;"",F$2,"NA"),'MITRE ATT&amp;CK Mappings'!$G13))),ISNUMBER(SEARCH(IF(F$2&lt;&gt;"",F$2,"NA"),'MITRE ATT&amp;CK Mappings'!$H13))),ISNUMBER(SEARCH(IF(F$3&lt;&gt;"",F$3,"NA"),'MITRE ATT&amp;CK Mappings'!$I13))),ISNUMBER(SEARCH(IF(F$3&lt;&gt;"",F$3,"NA"),'MITRE ATT&amp;CK Mappings'!$J13))), 'MITRE ATT&amp;CK Mappings'!$B13,"")</f>
        <v/>
      </c>
      <c r="G17" s="27" t="str">
        <f>IF(OR(OR(OR(OR(OR(ISNUMBER(SEARCH(IF(G$1&lt;&gt;"",G$1,"NA"),'MITRE ATT&amp;CK Mappings'!$E13)),ISNUMBER(SEARCH(IF(G$1&lt;&gt;"",G$1,"NA"),'MITRE ATT&amp;CK Mappings'!$F13))),ISNUMBER(SEARCH(IF(G$2&lt;&gt;"",G$2,"NA"),'MITRE ATT&amp;CK Mappings'!$G13))),ISNUMBER(SEARCH(IF(G$2&lt;&gt;"",G$2,"NA"),'MITRE ATT&amp;CK Mappings'!$H13))),ISNUMBER(SEARCH(IF(G$3&lt;&gt;"",G$3,"NA"),'MITRE ATT&amp;CK Mappings'!$I13))),ISNUMBER(SEARCH(IF(G$3&lt;&gt;"",G$3,"NA"),'MITRE ATT&amp;CK Mappings'!$J13))), 'MITRE ATT&amp;CK Mappings'!$B13,"")</f>
        <v/>
      </c>
      <c r="H17" s="27" t="str">
        <f>IF(OR(OR(OR(OR(OR(ISNUMBER(SEARCH(IF(H$1&lt;&gt;"",H$1,"NA"),'MITRE ATT&amp;CK Mappings'!$E13)),ISNUMBER(SEARCH(IF(H$1&lt;&gt;"",H$1,"NA"),'MITRE ATT&amp;CK Mappings'!$F13))),ISNUMBER(SEARCH(IF(H$2&lt;&gt;"",H$2,"NA"),'MITRE ATT&amp;CK Mappings'!$G13))),ISNUMBER(SEARCH(IF(H$2&lt;&gt;"",H$2,"NA"),'MITRE ATT&amp;CK Mappings'!$H13))),ISNUMBER(SEARCH(IF(H$3&lt;&gt;"",H$3,"NA"),'MITRE ATT&amp;CK Mappings'!$I13))),ISNUMBER(SEARCH(IF(H$3&lt;&gt;"",H$3,"NA"),'MITRE ATT&amp;CK Mappings'!$J13))), 'MITRE ATT&amp;CK Mappings'!$B13,"")</f>
        <v/>
      </c>
      <c r="I17" s="27" t="str">
        <f>IF(OR(OR(OR(OR(OR(ISNUMBER(SEARCH(IF(I$1&lt;&gt;"",I$1,"NA"),'MITRE ATT&amp;CK Mappings'!$E13)),ISNUMBER(SEARCH(IF(I$1&lt;&gt;"",I$1,"NA"),'MITRE ATT&amp;CK Mappings'!$F13))),ISNUMBER(SEARCH(IF(I$2&lt;&gt;"",I$2,"NA"),'MITRE ATT&amp;CK Mappings'!$G13))),ISNUMBER(SEARCH(IF(I$2&lt;&gt;"",I$2,"NA"),'MITRE ATT&amp;CK Mappings'!$H13))),ISNUMBER(SEARCH(IF(I$3&lt;&gt;"",I$3,"NA"),'MITRE ATT&amp;CK Mappings'!$I13))),ISNUMBER(SEARCH(IF(I$3&lt;&gt;"",I$3,"NA"),'MITRE ATT&amp;CK Mappings'!$J13))), 'MITRE ATT&amp;CK Mappings'!$B13,"")</f>
        <v/>
      </c>
      <c r="J17" s="27" t="str">
        <f>IF(OR(OR(OR(OR(OR(ISNUMBER(SEARCH(IF(J$1&lt;&gt;"",J$1,"NA"),'MITRE ATT&amp;CK Mappings'!$E13)),ISNUMBER(SEARCH(IF(J$1&lt;&gt;"",J$1,"NA"),'MITRE ATT&amp;CK Mappings'!$F13))),ISNUMBER(SEARCH(IF(J$2&lt;&gt;"",J$2,"NA"),'MITRE ATT&amp;CK Mappings'!$G13))),ISNUMBER(SEARCH(IF(J$2&lt;&gt;"",J$2,"NA"),'MITRE ATT&amp;CK Mappings'!$H13))),ISNUMBER(SEARCH(IF(J$3&lt;&gt;"",J$3,"NA"),'MITRE ATT&amp;CK Mappings'!$I13))),ISNUMBER(SEARCH(IF(J$3&lt;&gt;"",J$3,"NA"),'MITRE ATT&amp;CK Mappings'!$J13))), 'MITRE ATT&amp;CK Mappings'!$B13,"")</f>
        <v/>
      </c>
      <c r="K17" s="27" t="str">
        <f>IF(OR(OR(OR(OR(OR(ISNUMBER(SEARCH(IF(K$1&lt;&gt;"",K$1,"NA"),'MITRE ATT&amp;CK Mappings'!$E13)),ISNUMBER(SEARCH(IF(K$1&lt;&gt;"",K$1,"NA"),'MITRE ATT&amp;CK Mappings'!$F13))),ISNUMBER(SEARCH(IF(K$2&lt;&gt;"",K$2,"NA"),'MITRE ATT&amp;CK Mappings'!$G13))),ISNUMBER(SEARCH(IF(K$2&lt;&gt;"",K$2,"NA"),'MITRE ATT&amp;CK Mappings'!$H13))),ISNUMBER(SEARCH(IF(K$3&lt;&gt;"",K$3,"NA"),'MITRE ATT&amp;CK Mappings'!$I13))),ISNUMBER(SEARCH(IF(K$3&lt;&gt;"",K$3,"NA"),'MITRE ATT&amp;CK Mappings'!$J13))), 'MITRE ATT&amp;CK Mappings'!$B13,"")</f>
        <v/>
      </c>
      <c r="L17" s="27" t="str">
        <f>IF('MITRE ATT&amp;CK Mappings'!D13 &lt;&gt;"",'MITRE ATT&amp;CK Mappings'!D13,"" )</f>
        <v>Ensure only MFA enabled identities can access privileged Virtual Machine</v>
      </c>
    </row>
    <row r="18" spans="1:12" x14ac:dyDescent="0.25">
      <c r="A18" s="26" t="str">
        <f>IF(COUNTIF(B18:K18,"="&amp;'MITRE ATT&amp;CK Mappings'!B14)&gt;0,'MITRE ATT&amp;CK Mappings'!B14,"")</f>
        <v/>
      </c>
      <c r="B18" s="26" t="str">
        <f>IF(OR(OR(OR(OR(OR(ISNUMBER(SEARCH(IF(B$1&lt;&gt;"",B$1,"NA"),'MITRE ATT&amp;CK Mappings'!$E14)),ISNUMBER(SEARCH(IF(B$1&lt;&gt;"",B$1,"NA"),'MITRE ATT&amp;CK Mappings'!$F14))),ISNUMBER(SEARCH(IF(B$2&lt;&gt;"",B$2,"NA"),'MITRE ATT&amp;CK Mappings'!$G14))),ISNUMBER(SEARCH(IF(B$2&lt;&gt;"",B$2,"NA"),'MITRE ATT&amp;CK Mappings'!$H14))),ISNUMBER(SEARCH(IF(B$3&lt;&gt;"",B$3,"NA"),'MITRE ATT&amp;CK Mappings'!$I14))),ISNUMBER(SEARCH(IF(B$3&lt;&gt;"",B$3,"NA"),'MITRE ATT&amp;CK Mappings'!$J14))), 'MITRE ATT&amp;CK Mappings'!$B14,"")</f>
        <v/>
      </c>
      <c r="C18" s="26" t="str">
        <f>IF(OR(OR(OR(OR(OR(ISNUMBER(SEARCH(IF(C$1&lt;&gt;"",C$1,"NA"),'MITRE ATT&amp;CK Mappings'!$E14)),ISNUMBER(SEARCH(IF(C$1&lt;&gt;"",C$1,"NA"),'MITRE ATT&amp;CK Mappings'!$F14))),ISNUMBER(SEARCH(IF(C$2&lt;&gt;"",C$2,"NA"),'MITRE ATT&amp;CK Mappings'!$G14))),ISNUMBER(SEARCH(IF(C$2&lt;&gt;"",C$2,"NA"),'MITRE ATT&amp;CK Mappings'!$H14))),ISNUMBER(SEARCH(IF(C$3&lt;&gt;"",C$3,"NA"),'MITRE ATT&amp;CK Mappings'!$I14))),ISNUMBER(SEARCH(IF(C$3&lt;&gt;"",C$3,"NA"),'MITRE ATT&amp;CK Mappings'!$J14))), 'MITRE ATT&amp;CK Mappings'!$B14,"")</f>
        <v/>
      </c>
      <c r="D18" s="26" t="str">
        <f>IF(OR(OR(OR(OR(OR(ISNUMBER(SEARCH(IF(D$1&lt;&gt;"",D$1,"NA"),'MITRE ATT&amp;CK Mappings'!$E14)),ISNUMBER(SEARCH(IF(D$1&lt;&gt;"",D$1,"NA"),'MITRE ATT&amp;CK Mappings'!$F14))),ISNUMBER(SEARCH(IF(D$2&lt;&gt;"",D$2,"NA"),'MITRE ATT&amp;CK Mappings'!$G14))),ISNUMBER(SEARCH(IF(D$2&lt;&gt;"",D$2,"NA"),'MITRE ATT&amp;CK Mappings'!$H14))),ISNUMBER(SEARCH(IF(D$3&lt;&gt;"",D$3,"NA"),'MITRE ATT&amp;CK Mappings'!$I14))),ISNUMBER(SEARCH(IF(D$3&lt;&gt;"",D$3,"NA"),'MITRE ATT&amp;CK Mappings'!$J14))), 'MITRE ATT&amp;CK Mappings'!$B14,"")</f>
        <v/>
      </c>
      <c r="E18" s="26" t="str">
        <f>IF(OR(OR(OR(OR(OR(ISNUMBER(SEARCH(IF(E$1&lt;&gt;"",E$1,"NA"),'MITRE ATT&amp;CK Mappings'!$E14)),ISNUMBER(SEARCH(IF(E$1&lt;&gt;"",E$1,"NA"),'MITRE ATT&amp;CK Mappings'!$F14))),ISNUMBER(SEARCH(IF(E$2&lt;&gt;"",E$2,"NA"),'MITRE ATT&amp;CK Mappings'!$G14))),ISNUMBER(SEARCH(IF(E$2&lt;&gt;"",E$2,"NA"),'MITRE ATT&amp;CK Mappings'!$H14))),ISNUMBER(SEARCH(IF(E$3&lt;&gt;"",E$3,"NA"),'MITRE ATT&amp;CK Mappings'!$I14))),ISNUMBER(SEARCH(IF(E$3&lt;&gt;"",E$3,"NA"),'MITRE ATT&amp;CK Mappings'!$J14))), 'MITRE ATT&amp;CK Mappings'!$B14,"")</f>
        <v/>
      </c>
      <c r="F18" s="26" t="str">
        <f>IF(OR(OR(OR(OR(OR(ISNUMBER(SEARCH(IF(F$1&lt;&gt;"",F$1,"NA"),'MITRE ATT&amp;CK Mappings'!$E14)),ISNUMBER(SEARCH(IF(F$1&lt;&gt;"",F$1,"NA"),'MITRE ATT&amp;CK Mappings'!$F14))),ISNUMBER(SEARCH(IF(F$2&lt;&gt;"",F$2,"NA"),'MITRE ATT&amp;CK Mappings'!$G14))),ISNUMBER(SEARCH(IF(F$2&lt;&gt;"",F$2,"NA"),'MITRE ATT&amp;CK Mappings'!$H14))),ISNUMBER(SEARCH(IF(F$3&lt;&gt;"",F$3,"NA"),'MITRE ATT&amp;CK Mappings'!$I14))),ISNUMBER(SEARCH(IF(F$3&lt;&gt;"",F$3,"NA"),'MITRE ATT&amp;CK Mappings'!$J14))), 'MITRE ATT&amp;CK Mappings'!$B14,"")</f>
        <v/>
      </c>
      <c r="G18" s="26" t="str">
        <f>IF(OR(OR(OR(OR(OR(ISNUMBER(SEARCH(IF(G$1&lt;&gt;"",G$1,"NA"),'MITRE ATT&amp;CK Mappings'!$E14)),ISNUMBER(SEARCH(IF(G$1&lt;&gt;"",G$1,"NA"),'MITRE ATT&amp;CK Mappings'!$F14))),ISNUMBER(SEARCH(IF(G$2&lt;&gt;"",G$2,"NA"),'MITRE ATT&amp;CK Mappings'!$G14))),ISNUMBER(SEARCH(IF(G$2&lt;&gt;"",G$2,"NA"),'MITRE ATT&amp;CK Mappings'!$H14))),ISNUMBER(SEARCH(IF(G$3&lt;&gt;"",G$3,"NA"),'MITRE ATT&amp;CK Mappings'!$I14))),ISNUMBER(SEARCH(IF(G$3&lt;&gt;"",G$3,"NA"),'MITRE ATT&amp;CK Mappings'!$J14))), 'MITRE ATT&amp;CK Mappings'!$B14,"")</f>
        <v/>
      </c>
      <c r="H18" s="26" t="str">
        <f>IF(OR(OR(OR(OR(OR(ISNUMBER(SEARCH(IF(H$1&lt;&gt;"",H$1,"NA"),'MITRE ATT&amp;CK Mappings'!$E14)),ISNUMBER(SEARCH(IF(H$1&lt;&gt;"",H$1,"NA"),'MITRE ATT&amp;CK Mappings'!$F14))),ISNUMBER(SEARCH(IF(H$2&lt;&gt;"",H$2,"NA"),'MITRE ATT&amp;CK Mappings'!$G14))),ISNUMBER(SEARCH(IF(H$2&lt;&gt;"",H$2,"NA"),'MITRE ATT&amp;CK Mappings'!$H14))),ISNUMBER(SEARCH(IF(H$3&lt;&gt;"",H$3,"NA"),'MITRE ATT&amp;CK Mappings'!$I14))),ISNUMBER(SEARCH(IF(H$3&lt;&gt;"",H$3,"NA"),'MITRE ATT&amp;CK Mappings'!$J14))), 'MITRE ATT&amp;CK Mappings'!$B14,"")</f>
        <v/>
      </c>
      <c r="I18" s="26" t="str">
        <f>IF(OR(OR(OR(OR(OR(ISNUMBER(SEARCH(IF(I$1&lt;&gt;"",I$1,"NA"),'MITRE ATT&amp;CK Mappings'!$E14)),ISNUMBER(SEARCH(IF(I$1&lt;&gt;"",I$1,"NA"),'MITRE ATT&amp;CK Mappings'!$F14))),ISNUMBER(SEARCH(IF(I$2&lt;&gt;"",I$2,"NA"),'MITRE ATT&amp;CK Mappings'!$G14))),ISNUMBER(SEARCH(IF(I$2&lt;&gt;"",I$2,"NA"),'MITRE ATT&amp;CK Mappings'!$H14))),ISNUMBER(SEARCH(IF(I$3&lt;&gt;"",I$3,"NA"),'MITRE ATT&amp;CK Mappings'!$I14))),ISNUMBER(SEARCH(IF(I$3&lt;&gt;"",I$3,"NA"),'MITRE ATT&amp;CK Mappings'!$J14))), 'MITRE ATT&amp;CK Mappings'!$B14,"")</f>
        <v/>
      </c>
      <c r="J18" s="26" t="str">
        <f>IF(OR(OR(OR(OR(OR(ISNUMBER(SEARCH(IF(J$1&lt;&gt;"",J$1,"NA"),'MITRE ATT&amp;CK Mappings'!$E14)),ISNUMBER(SEARCH(IF(J$1&lt;&gt;"",J$1,"NA"),'MITRE ATT&amp;CK Mappings'!$F14))),ISNUMBER(SEARCH(IF(J$2&lt;&gt;"",J$2,"NA"),'MITRE ATT&amp;CK Mappings'!$G14))),ISNUMBER(SEARCH(IF(J$2&lt;&gt;"",J$2,"NA"),'MITRE ATT&amp;CK Mappings'!$H14))),ISNUMBER(SEARCH(IF(J$3&lt;&gt;"",J$3,"NA"),'MITRE ATT&amp;CK Mappings'!$I14))),ISNUMBER(SEARCH(IF(J$3&lt;&gt;"",J$3,"NA"),'MITRE ATT&amp;CK Mappings'!$J14))), 'MITRE ATT&amp;CK Mappings'!$B14,"")</f>
        <v/>
      </c>
      <c r="K18" s="26" t="str">
        <f>IF(OR(OR(OR(OR(OR(ISNUMBER(SEARCH(IF(K$1&lt;&gt;"",K$1,"NA"),'MITRE ATT&amp;CK Mappings'!$E14)),ISNUMBER(SEARCH(IF(K$1&lt;&gt;"",K$1,"NA"),'MITRE ATT&amp;CK Mappings'!$F14))),ISNUMBER(SEARCH(IF(K$2&lt;&gt;"",K$2,"NA"),'MITRE ATT&amp;CK Mappings'!$G14))),ISNUMBER(SEARCH(IF(K$2&lt;&gt;"",K$2,"NA"),'MITRE ATT&amp;CK Mappings'!$H14))),ISNUMBER(SEARCH(IF(K$3&lt;&gt;"",K$3,"NA"),'MITRE ATT&amp;CK Mappings'!$I14))),ISNUMBER(SEARCH(IF(K$3&lt;&gt;"",K$3,"NA"),'MITRE ATT&amp;CK Mappings'!$J14))), 'MITRE ATT&amp;CK Mappings'!$B14,"")</f>
        <v/>
      </c>
      <c r="L18" s="26" t="str">
        <f>IF('MITRE ATT&amp;CK Mappings'!D14 &lt;&gt;"",'MITRE ATT&amp;CK Mappings'!D14,"" )</f>
        <v>Ensure that 'Restrict non-admin users from creating tenants' is set to 'Yes'</v>
      </c>
    </row>
    <row r="19" spans="1:12" x14ac:dyDescent="0.25">
      <c r="A19" s="27" t="str">
        <f>IF(COUNTIF(B19:K19,"="&amp;'MITRE ATT&amp;CK Mappings'!B15)&gt;0,'MITRE ATT&amp;CK Mappings'!B15,"")</f>
        <v/>
      </c>
      <c r="B19" s="27" t="str">
        <f>IF(OR(OR(OR(OR(OR(ISNUMBER(SEARCH(IF(B$1&lt;&gt;"",B$1,"NA"),'MITRE ATT&amp;CK Mappings'!$E15)),ISNUMBER(SEARCH(IF(B$1&lt;&gt;"",B$1,"NA"),'MITRE ATT&amp;CK Mappings'!$F15))),ISNUMBER(SEARCH(IF(B$2&lt;&gt;"",B$2,"NA"),'MITRE ATT&amp;CK Mappings'!$G15))),ISNUMBER(SEARCH(IF(B$2&lt;&gt;"",B$2,"NA"),'MITRE ATT&amp;CK Mappings'!$H15))),ISNUMBER(SEARCH(IF(B$3&lt;&gt;"",B$3,"NA"),'MITRE ATT&amp;CK Mappings'!$I15))),ISNUMBER(SEARCH(IF(B$3&lt;&gt;"",B$3,"NA"),'MITRE ATT&amp;CK Mappings'!$J15))), 'MITRE ATT&amp;CK Mappings'!$B15,"")</f>
        <v/>
      </c>
      <c r="C19" s="27" t="str">
        <f>IF(OR(OR(OR(OR(OR(ISNUMBER(SEARCH(IF(C$1&lt;&gt;"",C$1,"NA"),'MITRE ATT&amp;CK Mappings'!$E15)),ISNUMBER(SEARCH(IF(C$1&lt;&gt;"",C$1,"NA"),'MITRE ATT&amp;CK Mappings'!$F15))),ISNUMBER(SEARCH(IF(C$2&lt;&gt;"",C$2,"NA"),'MITRE ATT&amp;CK Mappings'!$G15))),ISNUMBER(SEARCH(IF(C$2&lt;&gt;"",C$2,"NA"),'MITRE ATT&amp;CK Mappings'!$H15))),ISNUMBER(SEARCH(IF(C$3&lt;&gt;"",C$3,"NA"),'MITRE ATT&amp;CK Mappings'!$I15))),ISNUMBER(SEARCH(IF(C$3&lt;&gt;"",C$3,"NA"),'MITRE ATT&amp;CK Mappings'!$J15))), 'MITRE ATT&amp;CK Mappings'!$B15,"")</f>
        <v/>
      </c>
      <c r="D19" s="27" t="str">
        <f>IF(OR(OR(OR(OR(OR(ISNUMBER(SEARCH(IF(D$1&lt;&gt;"",D$1,"NA"),'MITRE ATT&amp;CK Mappings'!$E15)),ISNUMBER(SEARCH(IF(D$1&lt;&gt;"",D$1,"NA"),'MITRE ATT&amp;CK Mappings'!$F15))),ISNUMBER(SEARCH(IF(D$2&lt;&gt;"",D$2,"NA"),'MITRE ATT&amp;CK Mappings'!$G15))),ISNUMBER(SEARCH(IF(D$2&lt;&gt;"",D$2,"NA"),'MITRE ATT&amp;CK Mappings'!$H15))),ISNUMBER(SEARCH(IF(D$3&lt;&gt;"",D$3,"NA"),'MITRE ATT&amp;CK Mappings'!$I15))),ISNUMBER(SEARCH(IF(D$3&lt;&gt;"",D$3,"NA"),'MITRE ATT&amp;CK Mappings'!$J15))), 'MITRE ATT&amp;CK Mappings'!$B15,"")</f>
        <v/>
      </c>
      <c r="E19" s="27" t="str">
        <f>IF(OR(OR(OR(OR(OR(ISNUMBER(SEARCH(IF(E$1&lt;&gt;"",E$1,"NA"),'MITRE ATT&amp;CK Mappings'!$E15)),ISNUMBER(SEARCH(IF(E$1&lt;&gt;"",E$1,"NA"),'MITRE ATT&amp;CK Mappings'!$F15))),ISNUMBER(SEARCH(IF(E$2&lt;&gt;"",E$2,"NA"),'MITRE ATT&amp;CK Mappings'!$G15))),ISNUMBER(SEARCH(IF(E$2&lt;&gt;"",E$2,"NA"),'MITRE ATT&amp;CK Mappings'!$H15))),ISNUMBER(SEARCH(IF(E$3&lt;&gt;"",E$3,"NA"),'MITRE ATT&amp;CK Mappings'!$I15))),ISNUMBER(SEARCH(IF(E$3&lt;&gt;"",E$3,"NA"),'MITRE ATT&amp;CK Mappings'!$J15))), 'MITRE ATT&amp;CK Mappings'!$B15,"")</f>
        <v/>
      </c>
      <c r="F19" s="27" t="str">
        <f>IF(OR(OR(OR(OR(OR(ISNUMBER(SEARCH(IF(F$1&lt;&gt;"",F$1,"NA"),'MITRE ATT&amp;CK Mappings'!$E15)),ISNUMBER(SEARCH(IF(F$1&lt;&gt;"",F$1,"NA"),'MITRE ATT&amp;CK Mappings'!$F15))),ISNUMBER(SEARCH(IF(F$2&lt;&gt;"",F$2,"NA"),'MITRE ATT&amp;CK Mappings'!$G15))),ISNUMBER(SEARCH(IF(F$2&lt;&gt;"",F$2,"NA"),'MITRE ATT&amp;CK Mappings'!$H15))),ISNUMBER(SEARCH(IF(F$3&lt;&gt;"",F$3,"NA"),'MITRE ATT&amp;CK Mappings'!$I15))),ISNUMBER(SEARCH(IF(F$3&lt;&gt;"",F$3,"NA"),'MITRE ATT&amp;CK Mappings'!$J15))), 'MITRE ATT&amp;CK Mappings'!$B15,"")</f>
        <v/>
      </c>
      <c r="G19" s="27" t="str">
        <f>IF(OR(OR(OR(OR(OR(ISNUMBER(SEARCH(IF(G$1&lt;&gt;"",G$1,"NA"),'MITRE ATT&amp;CK Mappings'!$E15)),ISNUMBER(SEARCH(IF(G$1&lt;&gt;"",G$1,"NA"),'MITRE ATT&amp;CK Mappings'!$F15))),ISNUMBER(SEARCH(IF(G$2&lt;&gt;"",G$2,"NA"),'MITRE ATT&amp;CK Mappings'!$G15))),ISNUMBER(SEARCH(IF(G$2&lt;&gt;"",G$2,"NA"),'MITRE ATT&amp;CK Mappings'!$H15))),ISNUMBER(SEARCH(IF(G$3&lt;&gt;"",G$3,"NA"),'MITRE ATT&amp;CK Mappings'!$I15))),ISNUMBER(SEARCH(IF(G$3&lt;&gt;"",G$3,"NA"),'MITRE ATT&amp;CK Mappings'!$J15))), 'MITRE ATT&amp;CK Mappings'!$B15,"")</f>
        <v/>
      </c>
      <c r="H19" s="27" t="str">
        <f>IF(OR(OR(OR(OR(OR(ISNUMBER(SEARCH(IF(H$1&lt;&gt;"",H$1,"NA"),'MITRE ATT&amp;CK Mappings'!$E15)),ISNUMBER(SEARCH(IF(H$1&lt;&gt;"",H$1,"NA"),'MITRE ATT&amp;CK Mappings'!$F15))),ISNUMBER(SEARCH(IF(H$2&lt;&gt;"",H$2,"NA"),'MITRE ATT&amp;CK Mappings'!$G15))),ISNUMBER(SEARCH(IF(H$2&lt;&gt;"",H$2,"NA"),'MITRE ATT&amp;CK Mappings'!$H15))),ISNUMBER(SEARCH(IF(H$3&lt;&gt;"",H$3,"NA"),'MITRE ATT&amp;CK Mappings'!$I15))),ISNUMBER(SEARCH(IF(H$3&lt;&gt;"",H$3,"NA"),'MITRE ATT&amp;CK Mappings'!$J15))), 'MITRE ATT&amp;CK Mappings'!$B15,"")</f>
        <v/>
      </c>
      <c r="I19" s="27" t="str">
        <f>IF(OR(OR(OR(OR(OR(ISNUMBER(SEARCH(IF(I$1&lt;&gt;"",I$1,"NA"),'MITRE ATT&amp;CK Mappings'!$E15)),ISNUMBER(SEARCH(IF(I$1&lt;&gt;"",I$1,"NA"),'MITRE ATT&amp;CK Mappings'!$F15))),ISNUMBER(SEARCH(IF(I$2&lt;&gt;"",I$2,"NA"),'MITRE ATT&amp;CK Mappings'!$G15))),ISNUMBER(SEARCH(IF(I$2&lt;&gt;"",I$2,"NA"),'MITRE ATT&amp;CK Mappings'!$H15))),ISNUMBER(SEARCH(IF(I$3&lt;&gt;"",I$3,"NA"),'MITRE ATT&amp;CK Mappings'!$I15))),ISNUMBER(SEARCH(IF(I$3&lt;&gt;"",I$3,"NA"),'MITRE ATT&amp;CK Mappings'!$J15))), 'MITRE ATT&amp;CK Mappings'!$B15,"")</f>
        <v/>
      </c>
      <c r="J19" s="27" t="str">
        <f>IF(OR(OR(OR(OR(OR(ISNUMBER(SEARCH(IF(J$1&lt;&gt;"",J$1,"NA"),'MITRE ATT&amp;CK Mappings'!$E15)),ISNUMBER(SEARCH(IF(J$1&lt;&gt;"",J$1,"NA"),'MITRE ATT&amp;CK Mappings'!$F15))),ISNUMBER(SEARCH(IF(J$2&lt;&gt;"",J$2,"NA"),'MITRE ATT&amp;CK Mappings'!$G15))),ISNUMBER(SEARCH(IF(J$2&lt;&gt;"",J$2,"NA"),'MITRE ATT&amp;CK Mappings'!$H15))),ISNUMBER(SEARCH(IF(J$3&lt;&gt;"",J$3,"NA"),'MITRE ATT&amp;CK Mappings'!$I15))),ISNUMBER(SEARCH(IF(J$3&lt;&gt;"",J$3,"NA"),'MITRE ATT&amp;CK Mappings'!$J15))), 'MITRE ATT&amp;CK Mappings'!$B15,"")</f>
        <v/>
      </c>
      <c r="K19" s="27" t="str">
        <f>IF(OR(OR(OR(OR(OR(ISNUMBER(SEARCH(IF(K$1&lt;&gt;"",K$1,"NA"),'MITRE ATT&amp;CK Mappings'!$E15)),ISNUMBER(SEARCH(IF(K$1&lt;&gt;"",K$1,"NA"),'MITRE ATT&amp;CK Mappings'!$F15))),ISNUMBER(SEARCH(IF(K$2&lt;&gt;"",K$2,"NA"),'MITRE ATT&amp;CK Mappings'!$G15))),ISNUMBER(SEARCH(IF(K$2&lt;&gt;"",K$2,"NA"),'MITRE ATT&amp;CK Mappings'!$H15))),ISNUMBER(SEARCH(IF(K$3&lt;&gt;"",K$3,"NA"),'MITRE ATT&amp;CK Mappings'!$I15))),ISNUMBER(SEARCH(IF(K$3&lt;&gt;"",K$3,"NA"),'MITRE ATT&amp;CK Mappings'!$J15))), 'MITRE ATT&amp;CK Mappings'!$B15,"")</f>
        <v/>
      </c>
      <c r="L19" s="27" t="str">
        <f>IF('MITRE ATT&amp;CK Mappings'!D15 &lt;&gt;"",'MITRE ATT&amp;CK Mappings'!D15,"" )</f>
        <v>Ensure that 'Number of methods required to reset' is set to '2'</v>
      </c>
    </row>
    <row r="20" spans="1:12" x14ac:dyDescent="0.25">
      <c r="A20" s="26" t="str">
        <f>IF(COUNTIF(B20:K20,"="&amp;'MITRE ATT&amp;CK Mappings'!B16)&gt;0,'MITRE ATT&amp;CK Mappings'!B16,"")</f>
        <v/>
      </c>
      <c r="B20" s="26" t="str">
        <f>IF(OR(OR(OR(OR(OR(ISNUMBER(SEARCH(IF(B$1&lt;&gt;"",B$1,"NA"),'MITRE ATT&amp;CK Mappings'!$E16)),ISNUMBER(SEARCH(IF(B$1&lt;&gt;"",B$1,"NA"),'MITRE ATT&amp;CK Mappings'!$F16))),ISNUMBER(SEARCH(IF(B$2&lt;&gt;"",B$2,"NA"),'MITRE ATT&amp;CK Mappings'!$G16))),ISNUMBER(SEARCH(IF(B$2&lt;&gt;"",B$2,"NA"),'MITRE ATT&amp;CK Mappings'!$H16))),ISNUMBER(SEARCH(IF(B$3&lt;&gt;"",B$3,"NA"),'MITRE ATT&amp;CK Mappings'!$I16))),ISNUMBER(SEARCH(IF(B$3&lt;&gt;"",B$3,"NA"),'MITRE ATT&amp;CK Mappings'!$J16))), 'MITRE ATT&amp;CK Mappings'!$B16,"")</f>
        <v/>
      </c>
      <c r="C20" s="26" t="str">
        <f>IF(OR(OR(OR(OR(OR(ISNUMBER(SEARCH(IF(C$1&lt;&gt;"",C$1,"NA"),'MITRE ATT&amp;CK Mappings'!$E16)),ISNUMBER(SEARCH(IF(C$1&lt;&gt;"",C$1,"NA"),'MITRE ATT&amp;CK Mappings'!$F16))),ISNUMBER(SEARCH(IF(C$2&lt;&gt;"",C$2,"NA"),'MITRE ATT&amp;CK Mappings'!$G16))),ISNUMBER(SEARCH(IF(C$2&lt;&gt;"",C$2,"NA"),'MITRE ATT&amp;CK Mappings'!$H16))),ISNUMBER(SEARCH(IF(C$3&lt;&gt;"",C$3,"NA"),'MITRE ATT&amp;CK Mappings'!$I16))),ISNUMBER(SEARCH(IF(C$3&lt;&gt;"",C$3,"NA"),'MITRE ATT&amp;CK Mappings'!$J16))), 'MITRE ATT&amp;CK Mappings'!$B16,"")</f>
        <v/>
      </c>
      <c r="D20" s="26" t="str">
        <f>IF(OR(OR(OR(OR(OR(ISNUMBER(SEARCH(IF(D$1&lt;&gt;"",D$1,"NA"),'MITRE ATT&amp;CK Mappings'!$E16)),ISNUMBER(SEARCH(IF(D$1&lt;&gt;"",D$1,"NA"),'MITRE ATT&amp;CK Mappings'!$F16))),ISNUMBER(SEARCH(IF(D$2&lt;&gt;"",D$2,"NA"),'MITRE ATT&amp;CK Mappings'!$G16))),ISNUMBER(SEARCH(IF(D$2&lt;&gt;"",D$2,"NA"),'MITRE ATT&amp;CK Mappings'!$H16))),ISNUMBER(SEARCH(IF(D$3&lt;&gt;"",D$3,"NA"),'MITRE ATT&amp;CK Mappings'!$I16))),ISNUMBER(SEARCH(IF(D$3&lt;&gt;"",D$3,"NA"),'MITRE ATT&amp;CK Mappings'!$J16))), 'MITRE ATT&amp;CK Mappings'!$B16,"")</f>
        <v/>
      </c>
      <c r="E20" s="26" t="str">
        <f>IF(OR(OR(OR(OR(OR(ISNUMBER(SEARCH(IF(E$1&lt;&gt;"",E$1,"NA"),'MITRE ATT&amp;CK Mappings'!$E16)),ISNUMBER(SEARCH(IF(E$1&lt;&gt;"",E$1,"NA"),'MITRE ATT&amp;CK Mappings'!$F16))),ISNUMBER(SEARCH(IF(E$2&lt;&gt;"",E$2,"NA"),'MITRE ATT&amp;CK Mappings'!$G16))),ISNUMBER(SEARCH(IF(E$2&lt;&gt;"",E$2,"NA"),'MITRE ATT&amp;CK Mappings'!$H16))),ISNUMBER(SEARCH(IF(E$3&lt;&gt;"",E$3,"NA"),'MITRE ATT&amp;CK Mappings'!$I16))),ISNUMBER(SEARCH(IF(E$3&lt;&gt;"",E$3,"NA"),'MITRE ATT&amp;CK Mappings'!$J16))), 'MITRE ATT&amp;CK Mappings'!$B16,"")</f>
        <v/>
      </c>
      <c r="F20" s="26" t="str">
        <f>IF(OR(OR(OR(OR(OR(ISNUMBER(SEARCH(IF(F$1&lt;&gt;"",F$1,"NA"),'MITRE ATT&amp;CK Mappings'!$E16)),ISNUMBER(SEARCH(IF(F$1&lt;&gt;"",F$1,"NA"),'MITRE ATT&amp;CK Mappings'!$F16))),ISNUMBER(SEARCH(IF(F$2&lt;&gt;"",F$2,"NA"),'MITRE ATT&amp;CK Mappings'!$G16))),ISNUMBER(SEARCH(IF(F$2&lt;&gt;"",F$2,"NA"),'MITRE ATT&amp;CK Mappings'!$H16))),ISNUMBER(SEARCH(IF(F$3&lt;&gt;"",F$3,"NA"),'MITRE ATT&amp;CK Mappings'!$I16))),ISNUMBER(SEARCH(IF(F$3&lt;&gt;"",F$3,"NA"),'MITRE ATT&amp;CK Mappings'!$J16))), 'MITRE ATT&amp;CK Mappings'!$B16,"")</f>
        <v/>
      </c>
      <c r="G20" s="26" t="str">
        <f>IF(OR(OR(OR(OR(OR(ISNUMBER(SEARCH(IF(G$1&lt;&gt;"",G$1,"NA"),'MITRE ATT&amp;CK Mappings'!$E16)),ISNUMBER(SEARCH(IF(G$1&lt;&gt;"",G$1,"NA"),'MITRE ATT&amp;CK Mappings'!$F16))),ISNUMBER(SEARCH(IF(G$2&lt;&gt;"",G$2,"NA"),'MITRE ATT&amp;CK Mappings'!$G16))),ISNUMBER(SEARCH(IF(G$2&lt;&gt;"",G$2,"NA"),'MITRE ATT&amp;CK Mappings'!$H16))),ISNUMBER(SEARCH(IF(G$3&lt;&gt;"",G$3,"NA"),'MITRE ATT&amp;CK Mappings'!$I16))),ISNUMBER(SEARCH(IF(G$3&lt;&gt;"",G$3,"NA"),'MITRE ATT&amp;CK Mappings'!$J16))), 'MITRE ATT&amp;CK Mappings'!$B16,"")</f>
        <v/>
      </c>
      <c r="H20" s="26" t="str">
        <f>IF(OR(OR(OR(OR(OR(ISNUMBER(SEARCH(IF(H$1&lt;&gt;"",H$1,"NA"),'MITRE ATT&amp;CK Mappings'!$E16)),ISNUMBER(SEARCH(IF(H$1&lt;&gt;"",H$1,"NA"),'MITRE ATT&amp;CK Mappings'!$F16))),ISNUMBER(SEARCH(IF(H$2&lt;&gt;"",H$2,"NA"),'MITRE ATT&amp;CK Mappings'!$G16))),ISNUMBER(SEARCH(IF(H$2&lt;&gt;"",H$2,"NA"),'MITRE ATT&amp;CK Mappings'!$H16))),ISNUMBER(SEARCH(IF(H$3&lt;&gt;"",H$3,"NA"),'MITRE ATT&amp;CK Mappings'!$I16))),ISNUMBER(SEARCH(IF(H$3&lt;&gt;"",H$3,"NA"),'MITRE ATT&amp;CK Mappings'!$J16))), 'MITRE ATT&amp;CK Mappings'!$B16,"")</f>
        <v/>
      </c>
      <c r="I20" s="26" t="str">
        <f>IF(OR(OR(OR(OR(OR(ISNUMBER(SEARCH(IF(I$1&lt;&gt;"",I$1,"NA"),'MITRE ATT&amp;CK Mappings'!$E16)),ISNUMBER(SEARCH(IF(I$1&lt;&gt;"",I$1,"NA"),'MITRE ATT&amp;CK Mappings'!$F16))),ISNUMBER(SEARCH(IF(I$2&lt;&gt;"",I$2,"NA"),'MITRE ATT&amp;CK Mappings'!$G16))),ISNUMBER(SEARCH(IF(I$2&lt;&gt;"",I$2,"NA"),'MITRE ATT&amp;CK Mappings'!$H16))),ISNUMBER(SEARCH(IF(I$3&lt;&gt;"",I$3,"NA"),'MITRE ATT&amp;CK Mappings'!$I16))),ISNUMBER(SEARCH(IF(I$3&lt;&gt;"",I$3,"NA"),'MITRE ATT&amp;CK Mappings'!$J16))), 'MITRE ATT&amp;CK Mappings'!$B16,"")</f>
        <v/>
      </c>
      <c r="J20" s="26" t="str">
        <f>IF(OR(OR(OR(OR(OR(ISNUMBER(SEARCH(IF(J$1&lt;&gt;"",J$1,"NA"),'MITRE ATT&amp;CK Mappings'!$E16)),ISNUMBER(SEARCH(IF(J$1&lt;&gt;"",J$1,"NA"),'MITRE ATT&amp;CK Mappings'!$F16))),ISNUMBER(SEARCH(IF(J$2&lt;&gt;"",J$2,"NA"),'MITRE ATT&amp;CK Mappings'!$G16))),ISNUMBER(SEARCH(IF(J$2&lt;&gt;"",J$2,"NA"),'MITRE ATT&amp;CK Mappings'!$H16))),ISNUMBER(SEARCH(IF(J$3&lt;&gt;"",J$3,"NA"),'MITRE ATT&amp;CK Mappings'!$I16))),ISNUMBER(SEARCH(IF(J$3&lt;&gt;"",J$3,"NA"),'MITRE ATT&amp;CK Mappings'!$J16))), 'MITRE ATT&amp;CK Mappings'!$B16,"")</f>
        <v/>
      </c>
      <c r="K20" s="26" t="str">
        <f>IF(OR(OR(OR(OR(OR(ISNUMBER(SEARCH(IF(K$1&lt;&gt;"",K$1,"NA"),'MITRE ATT&amp;CK Mappings'!$E16)),ISNUMBER(SEARCH(IF(K$1&lt;&gt;"",K$1,"NA"),'MITRE ATT&amp;CK Mappings'!$F16))),ISNUMBER(SEARCH(IF(K$2&lt;&gt;"",K$2,"NA"),'MITRE ATT&amp;CK Mappings'!$G16))),ISNUMBER(SEARCH(IF(K$2&lt;&gt;"",K$2,"NA"),'MITRE ATT&amp;CK Mappings'!$H16))),ISNUMBER(SEARCH(IF(K$3&lt;&gt;"",K$3,"NA"),'MITRE ATT&amp;CK Mappings'!$I16))),ISNUMBER(SEARCH(IF(K$3&lt;&gt;"",K$3,"NA"),'MITRE ATT&amp;CK Mappings'!$J16))), 'MITRE ATT&amp;CK Mappings'!$B16,"")</f>
        <v/>
      </c>
      <c r="L20" s="26" t="str">
        <f>IF('MITRE ATT&amp;CK Mappings'!D16 &lt;&gt;"",'MITRE ATT&amp;CK Mappings'!D16,"" )</f>
        <v>Ensure that account 'Lockout threshold' is less than or equal to '10'</v>
      </c>
    </row>
    <row r="21" spans="1:12" x14ac:dyDescent="0.25">
      <c r="A21" s="27" t="str">
        <f>IF(COUNTIF(B21:K21,"="&amp;'MITRE ATT&amp;CK Mappings'!B17)&gt;0,'MITRE ATT&amp;CK Mappings'!B17,"")</f>
        <v/>
      </c>
      <c r="B21" s="27" t="str">
        <f>IF(OR(OR(OR(OR(OR(ISNUMBER(SEARCH(IF(B$1&lt;&gt;"",B$1,"NA"),'MITRE ATT&amp;CK Mappings'!$E17)),ISNUMBER(SEARCH(IF(B$1&lt;&gt;"",B$1,"NA"),'MITRE ATT&amp;CK Mappings'!$F17))),ISNUMBER(SEARCH(IF(B$2&lt;&gt;"",B$2,"NA"),'MITRE ATT&amp;CK Mappings'!$G17))),ISNUMBER(SEARCH(IF(B$2&lt;&gt;"",B$2,"NA"),'MITRE ATT&amp;CK Mappings'!$H17))),ISNUMBER(SEARCH(IF(B$3&lt;&gt;"",B$3,"NA"),'MITRE ATT&amp;CK Mappings'!$I17))),ISNUMBER(SEARCH(IF(B$3&lt;&gt;"",B$3,"NA"),'MITRE ATT&amp;CK Mappings'!$J17))), 'MITRE ATT&amp;CK Mappings'!$B17,"")</f>
        <v/>
      </c>
      <c r="C21" s="27" t="str">
        <f>IF(OR(OR(OR(OR(OR(ISNUMBER(SEARCH(IF(C$1&lt;&gt;"",C$1,"NA"),'MITRE ATT&amp;CK Mappings'!$E17)),ISNUMBER(SEARCH(IF(C$1&lt;&gt;"",C$1,"NA"),'MITRE ATT&amp;CK Mappings'!$F17))),ISNUMBER(SEARCH(IF(C$2&lt;&gt;"",C$2,"NA"),'MITRE ATT&amp;CK Mappings'!$G17))),ISNUMBER(SEARCH(IF(C$2&lt;&gt;"",C$2,"NA"),'MITRE ATT&amp;CK Mappings'!$H17))),ISNUMBER(SEARCH(IF(C$3&lt;&gt;"",C$3,"NA"),'MITRE ATT&amp;CK Mappings'!$I17))),ISNUMBER(SEARCH(IF(C$3&lt;&gt;"",C$3,"NA"),'MITRE ATT&amp;CK Mappings'!$J17))), 'MITRE ATT&amp;CK Mappings'!$B17,"")</f>
        <v/>
      </c>
      <c r="D21" s="27" t="str">
        <f>IF(OR(OR(OR(OR(OR(ISNUMBER(SEARCH(IF(D$1&lt;&gt;"",D$1,"NA"),'MITRE ATT&amp;CK Mappings'!$E17)),ISNUMBER(SEARCH(IF(D$1&lt;&gt;"",D$1,"NA"),'MITRE ATT&amp;CK Mappings'!$F17))),ISNUMBER(SEARCH(IF(D$2&lt;&gt;"",D$2,"NA"),'MITRE ATT&amp;CK Mappings'!$G17))),ISNUMBER(SEARCH(IF(D$2&lt;&gt;"",D$2,"NA"),'MITRE ATT&amp;CK Mappings'!$H17))),ISNUMBER(SEARCH(IF(D$3&lt;&gt;"",D$3,"NA"),'MITRE ATT&amp;CK Mappings'!$I17))),ISNUMBER(SEARCH(IF(D$3&lt;&gt;"",D$3,"NA"),'MITRE ATT&amp;CK Mappings'!$J17))), 'MITRE ATT&amp;CK Mappings'!$B17,"")</f>
        <v/>
      </c>
      <c r="E21" s="27" t="str">
        <f>IF(OR(OR(OR(OR(OR(ISNUMBER(SEARCH(IF(E$1&lt;&gt;"",E$1,"NA"),'MITRE ATT&amp;CK Mappings'!$E17)),ISNUMBER(SEARCH(IF(E$1&lt;&gt;"",E$1,"NA"),'MITRE ATT&amp;CK Mappings'!$F17))),ISNUMBER(SEARCH(IF(E$2&lt;&gt;"",E$2,"NA"),'MITRE ATT&amp;CK Mappings'!$G17))),ISNUMBER(SEARCH(IF(E$2&lt;&gt;"",E$2,"NA"),'MITRE ATT&amp;CK Mappings'!$H17))),ISNUMBER(SEARCH(IF(E$3&lt;&gt;"",E$3,"NA"),'MITRE ATT&amp;CK Mappings'!$I17))),ISNUMBER(SEARCH(IF(E$3&lt;&gt;"",E$3,"NA"),'MITRE ATT&amp;CK Mappings'!$J17))), 'MITRE ATT&amp;CK Mappings'!$B17,"")</f>
        <v/>
      </c>
      <c r="F21" s="27" t="str">
        <f>IF(OR(OR(OR(OR(OR(ISNUMBER(SEARCH(IF(F$1&lt;&gt;"",F$1,"NA"),'MITRE ATT&amp;CK Mappings'!$E17)),ISNUMBER(SEARCH(IF(F$1&lt;&gt;"",F$1,"NA"),'MITRE ATT&amp;CK Mappings'!$F17))),ISNUMBER(SEARCH(IF(F$2&lt;&gt;"",F$2,"NA"),'MITRE ATT&amp;CK Mappings'!$G17))),ISNUMBER(SEARCH(IF(F$2&lt;&gt;"",F$2,"NA"),'MITRE ATT&amp;CK Mappings'!$H17))),ISNUMBER(SEARCH(IF(F$3&lt;&gt;"",F$3,"NA"),'MITRE ATT&amp;CK Mappings'!$I17))),ISNUMBER(SEARCH(IF(F$3&lt;&gt;"",F$3,"NA"),'MITRE ATT&amp;CK Mappings'!$J17))), 'MITRE ATT&amp;CK Mappings'!$B17,"")</f>
        <v/>
      </c>
      <c r="G21" s="27" t="str">
        <f>IF(OR(OR(OR(OR(OR(ISNUMBER(SEARCH(IF(G$1&lt;&gt;"",G$1,"NA"),'MITRE ATT&amp;CK Mappings'!$E17)),ISNUMBER(SEARCH(IF(G$1&lt;&gt;"",G$1,"NA"),'MITRE ATT&amp;CK Mappings'!$F17))),ISNUMBER(SEARCH(IF(G$2&lt;&gt;"",G$2,"NA"),'MITRE ATT&amp;CK Mappings'!$G17))),ISNUMBER(SEARCH(IF(G$2&lt;&gt;"",G$2,"NA"),'MITRE ATT&amp;CK Mappings'!$H17))),ISNUMBER(SEARCH(IF(G$3&lt;&gt;"",G$3,"NA"),'MITRE ATT&amp;CK Mappings'!$I17))),ISNUMBER(SEARCH(IF(G$3&lt;&gt;"",G$3,"NA"),'MITRE ATT&amp;CK Mappings'!$J17))), 'MITRE ATT&amp;CK Mappings'!$B17,"")</f>
        <v/>
      </c>
      <c r="H21" s="27" t="str">
        <f>IF(OR(OR(OR(OR(OR(ISNUMBER(SEARCH(IF(H$1&lt;&gt;"",H$1,"NA"),'MITRE ATT&amp;CK Mappings'!$E17)),ISNUMBER(SEARCH(IF(H$1&lt;&gt;"",H$1,"NA"),'MITRE ATT&amp;CK Mappings'!$F17))),ISNUMBER(SEARCH(IF(H$2&lt;&gt;"",H$2,"NA"),'MITRE ATT&amp;CK Mappings'!$G17))),ISNUMBER(SEARCH(IF(H$2&lt;&gt;"",H$2,"NA"),'MITRE ATT&amp;CK Mappings'!$H17))),ISNUMBER(SEARCH(IF(H$3&lt;&gt;"",H$3,"NA"),'MITRE ATT&amp;CK Mappings'!$I17))),ISNUMBER(SEARCH(IF(H$3&lt;&gt;"",H$3,"NA"),'MITRE ATT&amp;CK Mappings'!$J17))), 'MITRE ATT&amp;CK Mappings'!$B17,"")</f>
        <v/>
      </c>
      <c r="I21" s="27" t="str">
        <f>IF(OR(OR(OR(OR(OR(ISNUMBER(SEARCH(IF(I$1&lt;&gt;"",I$1,"NA"),'MITRE ATT&amp;CK Mappings'!$E17)),ISNUMBER(SEARCH(IF(I$1&lt;&gt;"",I$1,"NA"),'MITRE ATT&amp;CK Mappings'!$F17))),ISNUMBER(SEARCH(IF(I$2&lt;&gt;"",I$2,"NA"),'MITRE ATT&amp;CK Mappings'!$G17))),ISNUMBER(SEARCH(IF(I$2&lt;&gt;"",I$2,"NA"),'MITRE ATT&amp;CK Mappings'!$H17))),ISNUMBER(SEARCH(IF(I$3&lt;&gt;"",I$3,"NA"),'MITRE ATT&amp;CK Mappings'!$I17))),ISNUMBER(SEARCH(IF(I$3&lt;&gt;"",I$3,"NA"),'MITRE ATT&amp;CK Mappings'!$J17))), 'MITRE ATT&amp;CK Mappings'!$B17,"")</f>
        <v/>
      </c>
      <c r="J21" s="27" t="str">
        <f>IF(OR(OR(OR(OR(OR(ISNUMBER(SEARCH(IF(J$1&lt;&gt;"",J$1,"NA"),'MITRE ATT&amp;CK Mappings'!$E17)),ISNUMBER(SEARCH(IF(J$1&lt;&gt;"",J$1,"NA"),'MITRE ATT&amp;CK Mappings'!$F17))),ISNUMBER(SEARCH(IF(J$2&lt;&gt;"",J$2,"NA"),'MITRE ATT&amp;CK Mappings'!$G17))),ISNUMBER(SEARCH(IF(J$2&lt;&gt;"",J$2,"NA"),'MITRE ATT&amp;CK Mappings'!$H17))),ISNUMBER(SEARCH(IF(J$3&lt;&gt;"",J$3,"NA"),'MITRE ATT&amp;CK Mappings'!$I17))),ISNUMBER(SEARCH(IF(J$3&lt;&gt;"",J$3,"NA"),'MITRE ATT&amp;CK Mappings'!$J17))), 'MITRE ATT&amp;CK Mappings'!$B17,"")</f>
        <v/>
      </c>
      <c r="K21" s="27" t="str">
        <f>IF(OR(OR(OR(OR(OR(ISNUMBER(SEARCH(IF(K$1&lt;&gt;"",K$1,"NA"),'MITRE ATT&amp;CK Mappings'!$E17)),ISNUMBER(SEARCH(IF(K$1&lt;&gt;"",K$1,"NA"),'MITRE ATT&amp;CK Mappings'!$F17))),ISNUMBER(SEARCH(IF(K$2&lt;&gt;"",K$2,"NA"),'MITRE ATT&amp;CK Mappings'!$G17))),ISNUMBER(SEARCH(IF(K$2&lt;&gt;"",K$2,"NA"),'MITRE ATT&amp;CK Mappings'!$H17))),ISNUMBER(SEARCH(IF(K$3&lt;&gt;"",K$3,"NA"),'MITRE ATT&amp;CK Mappings'!$I17))),ISNUMBER(SEARCH(IF(K$3&lt;&gt;"",K$3,"NA"),'MITRE ATT&amp;CK Mappings'!$J17))), 'MITRE ATT&amp;CK Mappings'!$B17,"")</f>
        <v/>
      </c>
      <c r="L21" s="27" t="str">
        <f>IF('MITRE ATT&amp;CK Mappings'!D17 &lt;&gt;"",'MITRE ATT&amp;CK Mappings'!D17,"" )</f>
        <v>Ensure that account 'Lockout duration in seconds' is greater than or equal to '60'</v>
      </c>
    </row>
    <row r="22" spans="1:12" x14ac:dyDescent="0.25">
      <c r="A22" s="26" t="str">
        <f>IF(COUNTIF(B22:K22,"="&amp;'MITRE ATT&amp;CK Mappings'!B18)&gt;0,'MITRE ATT&amp;CK Mappings'!B18,"")</f>
        <v/>
      </c>
      <c r="B22" s="26" t="str">
        <f>IF(OR(OR(OR(OR(OR(ISNUMBER(SEARCH(IF(B$1&lt;&gt;"",B$1,"NA"),'MITRE ATT&amp;CK Mappings'!$E18)),ISNUMBER(SEARCH(IF(B$1&lt;&gt;"",B$1,"NA"),'MITRE ATT&amp;CK Mappings'!$F18))),ISNUMBER(SEARCH(IF(B$2&lt;&gt;"",B$2,"NA"),'MITRE ATT&amp;CK Mappings'!$G18))),ISNUMBER(SEARCH(IF(B$2&lt;&gt;"",B$2,"NA"),'MITRE ATT&amp;CK Mappings'!$H18))),ISNUMBER(SEARCH(IF(B$3&lt;&gt;"",B$3,"NA"),'MITRE ATT&amp;CK Mappings'!$I18))),ISNUMBER(SEARCH(IF(B$3&lt;&gt;"",B$3,"NA"),'MITRE ATT&amp;CK Mappings'!$J18))), 'MITRE ATT&amp;CK Mappings'!$B18,"")</f>
        <v/>
      </c>
      <c r="C22" s="26" t="str">
        <f>IF(OR(OR(OR(OR(OR(ISNUMBER(SEARCH(IF(C$1&lt;&gt;"",C$1,"NA"),'MITRE ATT&amp;CK Mappings'!$E18)),ISNUMBER(SEARCH(IF(C$1&lt;&gt;"",C$1,"NA"),'MITRE ATT&amp;CK Mappings'!$F18))),ISNUMBER(SEARCH(IF(C$2&lt;&gt;"",C$2,"NA"),'MITRE ATT&amp;CK Mappings'!$G18))),ISNUMBER(SEARCH(IF(C$2&lt;&gt;"",C$2,"NA"),'MITRE ATT&amp;CK Mappings'!$H18))),ISNUMBER(SEARCH(IF(C$3&lt;&gt;"",C$3,"NA"),'MITRE ATT&amp;CK Mappings'!$I18))),ISNUMBER(SEARCH(IF(C$3&lt;&gt;"",C$3,"NA"),'MITRE ATT&amp;CK Mappings'!$J18))), 'MITRE ATT&amp;CK Mappings'!$B18,"")</f>
        <v/>
      </c>
      <c r="D22" s="26" t="str">
        <f>IF(OR(OR(OR(OR(OR(ISNUMBER(SEARCH(IF(D$1&lt;&gt;"",D$1,"NA"),'MITRE ATT&amp;CK Mappings'!$E18)),ISNUMBER(SEARCH(IF(D$1&lt;&gt;"",D$1,"NA"),'MITRE ATT&amp;CK Mappings'!$F18))),ISNUMBER(SEARCH(IF(D$2&lt;&gt;"",D$2,"NA"),'MITRE ATT&amp;CK Mappings'!$G18))),ISNUMBER(SEARCH(IF(D$2&lt;&gt;"",D$2,"NA"),'MITRE ATT&amp;CK Mappings'!$H18))),ISNUMBER(SEARCH(IF(D$3&lt;&gt;"",D$3,"NA"),'MITRE ATT&amp;CK Mappings'!$I18))),ISNUMBER(SEARCH(IF(D$3&lt;&gt;"",D$3,"NA"),'MITRE ATT&amp;CK Mappings'!$J18))), 'MITRE ATT&amp;CK Mappings'!$B18,"")</f>
        <v/>
      </c>
      <c r="E22" s="26" t="str">
        <f>IF(OR(OR(OR(OR(OR(ISNUMBER(SEARCH(IF(E$1&lt;&gt;"",E$1,"NA"),'MITRE ATT&amp;CK Mappings'!$E18)),ISNUMBER(SEARCH(IF(E$1&lt;&gt;"",E$1,"NA"),'MITRE ATT&amp;CK Mappings'!$F18))),ISNUMBER(SEARCH(IF(E$2&lt;&gt;"",E$2,"NA"),'MITRE ATT&amp;CK Mappings'!$G18))),ISNUMBER(SEARCH(IF(E$2&lt;&gt;"",E$2,"NA"),'MITRE ATT&amp;CK Mappings'!$H18))),ISNUMBER(SEARCH(IF(E$3&lt;&gt;"",E$3,"NA"),'MITRE ATT&amp;CK Mappings'!$I18))),ISNUMBER(SEARCH(IF(E$3&lt;&gt;"",E$3,"NA"),'MITRE ATT&amp;CK Mappings'!$J18))), 'MITRE ATT&amp;CK Mappings'!$B18,"")</f>
        <v/>
      </c>
      <c r="F22" s="26" t="str">
        <f>IF(OR(OR(OR(OR(OR(ISNUMBER(SEARCH(IF(F$1&lt;&gt;"",F$1,"NA"),'MITRE ATT&amp;CK Mappings'!$E18)),ISNUMBER(SEARCH(IF(F$1&lt;&gt;"",F$1,"NA"),'MITRE ATT&amp;CK Mappings'!$F18))),ISNUMBER(SEARCH(IF(F$2&lt;&gt;"",F$2,"NA"),'MITRE ATT&amp;CK Mappings'!$G18))),ISNUMBER(SEARCH(IF(F$2&lt;&gt;"",F$2,"NA"),'MITRE ATT&amp;CK Mappings'!$H18))),ISNUMBER(SEARCH(IF(F$3&lt;&gt;"",F$3,"NA"),'MITRE ATT&amp;CK Mappings'!$I18))),ISNUMBER(SEARCH(IF(F$3&lt;&gt;"",F$3,"NA"),'MITRE ATT&amp;CK Mappings'!$J18))), 'MITRE ATT&amp;CK Mappings'!$B18,"")</f>
        <v/>
      </c>
      <c r="G22" s="26" t="str">
        <f>IF(OR(OR(OR(OR(OR(ISNUMBER(SEARCH(IF(G$1&lt;&gt;"",G$1,"NA"),'MITRE ATT&amp;CK Mappings'!$E18)),ISNUMBER(SEARCH(IF(G$1&lt;&gt;"",G$1,"NA"),'MITRE ATT&amp;CK Mappings'!$F18))),ISNUMBER(SEARCH(IF(G$2&lt;&gt;"",G$2,"NA"),'MITRE ATT&amp;CK Mappings'!$G18))),ISNUMBER(SEARCH(IF(G$2&lt;&gt;"",G$2,"NA"),'MITRE ATT&amp;CK Mappings'!$H18))),ISNUMBER(SEARCH(IF(G$3&lt;&gt;"",G$3,"NA"),'MITRE ATT&amp;CK Mappings'!$I18))),ISNUMBER(SEARCH(IF(G$3&lt;&gt;"",G$3,"NA"),'MITRE ATT&amp;CK Mappings'!$J18))), 'MITRE ATT&amp;CK Mappings'!$B18,"")</f>
        <v/>
      </c>
      <c r="H22" s="26" t="str">
        <f>IF(OR(OR(OR(OR(OR(ISNUMBER(SEARCH(IF(H$1&lt;&gt;"",H$1,"NA"),'MITRE ATT&amp;CK Mappings'!$E18)),ISNUMBER(SEARCH(IF(H$1&lt;&gt;"",H$1,"NA"),'MITRE ATT&amp;CK Mappings'!$F18))),ISNUMBER(SEARCH(IF(H$2&lt;&gt;"",H$2,"NA"),'MITRE ATT&amp;CK Mappings'!$G18))),ISNUMBER(SEARCH(IF(H$2&lt;&gt;"",H$2,"NA"),'MITRE ATT&amp;CK Mappings'!$H18))),ISNUMBER(SEARCH(IF(H$3&lt;&gt;"",H$3,"NA"),'MITRE ATT&amp;CK Mappings'!$I18))),ISNUMBER(SEARCH(IF(H$3&lt;&gt;"",H$3,"NA"),'MITRE ATT&amp;CK Mappings'!$J18))), 'MITRE ATT&amp;CK Mappings'!$B18,"")</f>
        <v/>
      </c>
      <c r="I22" s="26" t="str">
        <f>IF(OR(OR(OR(OR(OR(ISNUMBER(SEARCH(IF(I$1&lt;&gt;"",I$1,"NA"),'MITRE ATT&amp;CK Mappings'!$E18)),ISNUMBER(SEARCH(IF(I$1&lt;&gt;"",I$1,"NA"),'MITRE ATT&amp;CK Mappings'!$F18))),ISNUMBER(SEARCH(IF(I$2&lt;&gt;"",I$2,"NA"),'MITRE ATT&amp;CK Mappings'!$G18))),ISNUMBER(SEARCH(IF(I$2&lt;&gt;"",I$2,"NA"),'MITRE ATT&amp;CK Mappings'!$H18))),ISNUMBER(SEARCH(IF(I$3&lt;&gt;"",I$3,"NA"),'MITRE ATT&amp;CK Mappings'!$I18))),ISNUMBER(SEARCH(IF(I$3&lt;&gt;"",I$3,"NA"),'MITRE ATT&amp;CK Mappings'!$J18))), 'MITRE ATT&amp;CK Mappings'!$B18,"")</f>
        <v/>
      </c>
      <c r="J22" s="26" t="str">
        <f>IF(OR(OR(OR(OR(OR(ISNUMBER(SEARCH(IF(J$1&lt;&gt;"",J$1,"NA"),'MITRE ATT&amp;CK Mappings'!$E18)),ISNUMBER(SEARCH(IF(J$1&lt;&gt;"",J$1,"NA"),'MITRE ATT&amp;CK Mappings'!$F18))),ISNUMBER(SEARCH(IF(J$2&lt;&gt;"",J$2,"NA"),'MITRE ATT&amp;CK Mappings'!$G18))),ISNUMBER(SEARCH(IF(J$2&lt;&gt;"",J$2,"NA"),'MITRE ATT&amp;CK Mappings'!$H18))),ISNUMBER(SEARCH(IF(J$3&lt;&gt;"",J$3,"NA"),'MITRE ATT&amp;CK Mappings'!$I18))),ISNUMBER(SEARCH(IF(J$3&lt;&gt;"",J$3,"NA"),'MITRE ATT&amp;CK Mappings'!$J18))), 'MITRE ATT&amp;CK Mappings'!$B18,"")</f>
        <v/>
      </c>
      <c r="K22" s="26" t="str">
        <f>IF(OR(OR(OR(OR(OR(ISNUMBER(SEARCH(IF(K$1&lt;&gt;"",K$1,"NA"),'MITRE ATT&amp;CK Mappings'!$E18)),ISNUMBER(SEARCH(IF(K$1&lt;&gt;"",K$1,"NA"),'MITRE ATT&amp;CK Mappings'!$F18))),ISNUMBER(SEARCH(IF(K$2&lt;&gt;"",K$2,"NA"),'MITRE ATT&amp;CK Mappings'!$G18))),ISNUMBER(SEARCH(IF(K$2&lt;&gt;"",K$2,"NA"),'MITRE ATT&amp;CK Mappings'!$H18))),ISNUMBER(SEARCH(IF(K$3&lt;&gt;"",K$3,"NA"),'MITRE ATT&amp;CK Mappings'!$I18))),ISNUMBER(SEARCH(IF(K$3&lt;&gt;"",K$3,"NA"),'MITRE ATT&amp;CK Mappings'!$J18))), 'MITRE ATT&amp;CK Mappings'!$B18,"")</f>
        <v/>
      </c>
      <c r="L22" s="26" t="str">
        <f>IF('MITRE ATT&amp;CK Mappings'!D18 &lt;&gt;"",'MITRE ATT&amp;CK Mappings'!D18,"" )</f>
        <v>Ensure that a 'Custom banned password list' is set to 'Enforce'</v>
      </c>
    </row>
    <row r="23" spans="1:12" x14ac:dyDescent="0.25">
      <c r="A23" s="27" t="str">
        <f>IF(COUNTIF(B23:K23,"="&amp;'MITRE ATT&amp;CK Mappings'!B19)&gt;0,'MITRE ATT&amp;CK Mappings'!B19,"")</f>
        <v/>
      </c>
      <c r="B23" s="27" t="str">
        <f>IF(OR(OR(OR(OR(OR(ISNUMBER(SEARCH(IF(B$1&lt;&gt;"",B$1,"NA"),'MITRE ATT&amp;CK Mappings'!$E19)),ISNUMBER(SEARCH(IF(B$1&lt;&gt;"",B$1,"NA"),'MITRE ATT&amp;CK Mappings'!$F19))),ISNUMBER(SEARCH(IF(B$2&lt;&gt;"",B$2,"NA"),'MITRE ATT&amp;CK Mappings'!$G19))),ISNUMBER(SEARCH(IF(B$2&lt;&gt;"",B$2,"NA"),'MITRE ATT&amp;CK Mappings'!$H19))),ISNUMBER(SEARCH(IF(B$3&lt;&gt;"",B$3,"NA"),'MITRE ATT&amp;CK Mappings'!$I19))),ISNUMBER(SEARCH(IF(B$3&lt;&gt;"",B$3,"NA"),'MITRE ATT&amp;CK Mappings'!$J19))), 'MITRE ATT&amp;CK Mappings'!$B19,"")</f>
        <v/>
      </c>
      <c r="C23" s="27" t="str">
        <f>IF(OR(OR(OR(OR(OR(ISNUMBER(SEARCH(IF(C$1&lt;&gt;"",C$1,"NA"),'MITRE ATT&amp;CK Mappings'!$E19)),ISNUMBER(SEARCH(IF(C$1&lt;&gt;"",C$1,"NA"),'MITRE ATT&amp;CK Mappings'!$F19))),ISNUMBER(SEARCH(IF(C$2&lt;&gt;"",C$2,"NA"),'MITRE ATT&amp;CK Mappings'!$G19))),ISNUMBER(SEARCH(IF(C$2&lt;&gt;"",C$2,"NA"),'MITRE ATT&amp;CK Mappings'!$H19))),ISNUMBER(SEARCH(IF(C$3&lt;&gt;"",C$3,"NA"),'MITRE ATT&amp;CK Mappings'!$I19))),ISNUMBER(SEARCH(IF(C$3&lt;&gt;"",C$3,"NA"),'MITRE ATT&amp;CK Mappings'!$J19))), 'MITRE ATT&amp;CK Mappings'!$B19,"")</f>
        <v/>
      </c>
      <c r="D23" s="27" t="str">
        <f>IF(OR(OR(OR(OR(OR(ISNUMBER(SEARCH(IF(D$1&lt;&gt;"",D$1,"NA"),'MITRE ATT&amp;CK Mappings'!$E19)),ISNUMBER(SEARCH(IF(D$1&lt;&gt;"",D$1,"NA"),'MITRE ATT&amp;CK Mappings'!$F19))),ISNUMBER(SEARCH(IF(D$2&lt;&gt;"",D$2,"NA"),'MITRE ATT&amp;CK Mappings'!$G19))),ISNUMBER(SEARCH(IF(D$2&lt;&gt;"",D$2,"NA"),'MITRE ATT&amp;CK Mappings'!$H19))),ISNUMBER(SEARCH(IF(D$3&lt;&gt;"",D$3,"NA"),'MITRE ATT&amp;CK Mappings'!$I19))),ISNUMBER(SEARCH(IF(D$3&lt;&gt;"",D$3,"NA"),'MITRE ATT&amp;CK Mappings'!$J19))), 'MITRE ATT&amp;CK Mappings'!$B19,"")</f>
        <v/>
      </c>
      <c r="E23" s="27" t="str">
        <f>IF(OR(OR(OR(OR(OR(ISNUMBER(SEARCH(IF(E$1&lt;&gt;"",E$1,"NA"),'MITRE ATT&amp;CK Mappings'!$E19)),ISNUMBER(SEARCH(IF(E$1&lt;&gt;"",E$1,"NA"),'MITRE ATT&amp;CK Mappings'!$F19))),ISNUMBER(SEARCH(IF(E$2&lt;&gt;"",E$2,"NA"),'MITRE ATT&amp;CK Mappings'!$G19))),ISNUMBER(SEARCH(IF(E$2&lt;&gt;"",E$2,"NA"),'MITRE ATT&amp;CK Mappings'!$H19))),ISNUMBER(SEARCH(IF(E$3&lt;&gt;"",E$3,"NA"),'MITRE ATT&amp;CK Mappings'!$I19))),ISNUMBER(SEARCH(IF(E$3&lt;&gt;"",E$3,"NA"),'MITRE ATT&amp;CK Mappings'!$J19))), 'MITRE ATT&amp;CK Mappings'!$B19,"")</f>
        <v/>
      </c>
      <c r="F23" s="27" t="str">
        <f>IF(OR(OR(OR(OR(OR(ISNUMBER(SEARCH(IF(F$1&lt;&gt;"",F$1,"NA"),'MITRE ATT&amp;CK Mappings'!$E19)),ISNUMBER(SEARCH(IF(F$1&lt;&gt;"",F$1,"NA"),'MITRE ATT&amp;CK Mappings'!$F19))),ISNUMBER(SEARCH(IF(F$2&lt;&gt;"",F$2,"NA"),'MITRE ATT&amp;CK Mappings'!$G19))),ISNUMBER(SEARCH(IF(F$2&lt;&gt;"",F$2,"NA"),'MITRE ATT&amp;CK Mappings'!$H19))),ISNUMBER(SEARCH(IF(F$3&lt;&gt;"",F$3,"NA"),'MITRE ATT&amp;CK Mappings'!$I19))),ISNUMBER(SEARCH(IF(F$3&lt;&gt;"",F$3,"NA"),'MITRE ATT&amp;CK Mappings'!$J19))), 'MITRE ATT&amp;CK Mappings'!$B19,"")</f>
        <v/>
      </c>
      <c r="G23" s="27" t="str">
        <f>IF(OR(OR(OR(OR(OR(ISNUMBER(SEARCH(IF(G$1&lt;&gt;"",G$1,"NA"),'MITRE ATT&amp;CK Mappings'!$E19)),ISNUMBER(SEARCH(IF(G$1&lt;&gt;"",G$1,"NA"),'MITRE ATT&amp;CK Mappings'!$F19))),ISNUMBER(SEARCH(IF(G$2&lt;&gt;"",G$2,"NA"),'MITRE ATT&amp;CK Mappings'!$G19))),ISNUMBER(SEARCH(IF(G$2&lt;&gt;"",G$2,"NA"),'MITRE ATT&amp;CK Mappings'!$H19))),ISNUMBER(SEARCH(IF(G$3&lt;&gt;"",G$3,"NA"),'MITRE ATT&amp;CK Mappings'!$I19))),ISNUMBER(SEARCH(IF(G$3&lt;&gt;"",G$3,"NA"),'MITRE ATT&amp;CK Mappings'!$J19))), 'MITRE ATT&amp;CK Mappings'!$B19,"")</f>
        <v/>
      </c>
      <c r="H23" s="27" t="str">
        <f>IF(OR(OR(OR(OR(OR(ISNUMBER(SEARCH(IF(H$1&lt;&gt;"",H$1,"NA"),'MITRE ATT&amp;CK Mappings'!$E19)),ISNUMBER(SEARCH(IF(H$1&lt;&gt;"",H$1,"NA"),'MITRE ATT&amp;CK Mappings'!$F19))),ISNUMBER(SEARCH(IF(H$2&lt;&gt;"",H$2,"NA"),'MITRE ATT&amp;CK Mappings'!$G19))),ISNUMBER(SEARCH(IF(H$2&lt;&gt;"",H$2,"NA"),'MITRE ATT&amp;CK Mappings'!$H19))),ISNUMBER(SEARCH(IF(H$3&lt;&gt;"",H$3,"NA"),'MITRE ATT&amp;CK Mappings'!$I19))),ISNUMBER(SEARCH(IF(H$3&lt;&gt;"",H$3,"NA"),'MITRE ATT&amp;CK Mappings'!$J19))), 'MITRE ATT&amp;CK Mappings'!$B19,"")</f>
        <v/>
      </c>
      <c r="I23" s="27" t="str">
        <f>IF(OR(OR(OR(OR(OR(ISNUMBER(SEARCH(IF(I$1&lt;&gt;"",I$1,"NA"),'MITRE ATT&amp;CK Mappings'!$E19)),ISNUMBER(SEARCH(IF(I$1&lt;&gt;"",I$1,"NA"),'MITRE ATT&amp;CK Mappings'!$F19))),ISNUMBER(SEARCH(IF(I$2&lt;&gt;"",I$2,"NA"),'MITRE ATT&amp;CK Mappings'!$G19))),ISNUMBER(SEARCH(IF(I$2&lt;&gt;"",I$2,"NA"),'MITRE ATT&amp;CK Mappings'!$H19))),ISNUMBER(SEARCH(IF(I$3&lt;&gt;"",I$3,"NA"),'MITRE ATT&amp;CK Mappings'!$I19))),ISNUMBER(SEARCH(IF(I$3&lt;&gt;"",I$3,"NA"),'MITRE ATT&amp;CK Mappings'!$J19))), 'MITRE ATT&amp;CK Mappings'!$B19,"")</f>
        <v/>
      </c>
      <c r="J23" s="27" t="str">
        <f>IF(OR(OR(OR(OR(OR(ISNUMBER(SEARCH(IF(J$1&lt;&gt;"",J$1,"NA"),'MITRE ATT&amp;CK Mappings'!$E19)),ISNUMBER(SEARCH(IF(J$1&lt;&gt;"",J$1,"NA"),'MITRE ATT&amp;CK Mappings'!$F19))),ISNUMBER(SEARCH(IF(J$2&lt;&gt;"",J$2,"NA"),'MITRE ATT&amp;CK Mappings'!$G19))),ISNUMBER(SEARCH(IF(J$2&lt;&gt;"",J$2,"NA"),'MITRE ATT&amp;CK Mappings'!$H19))),ISNUMBER(SEARCH(IF(J$3&lt;&gt;"",J$3,"NA"),'MITRE ATT&amp;CK Mappings'!$I19))),ISNUMBER(SEARCH(IF(J$3&lt;&gt;"",J$3,"NA"),'MITRE ATT&amp;CK Mappings'!$J19))), 'MITRE ATT&amp;CK Mappings'!$B19,"")</f>
        <v/>
      </c>
      <c r="K23" s="27" t="str">
        <f>IF(OR(OR(OR(OR(OR(ISNUMBER(SEARCH(IF(K$1&lt;&gt;"",K$1,"NA"),'MITRE ATT&amp;CK Mappings'!$E19)),ISNUMBER(SEARCH(IF(K$1&lt;&gt;"",K$1,"NA"),'MITRE ATT&amp;CK Mappings'!$F19))),ISNUMBER(SEARCH(IF(K$2&lt;&gt;"",K$2,"NA"),'MITRE ATT&amp;CK Mappings'!$G19))),ISNUMBER(SEARCH(IF(K$2&lt;&gt;"",K$2,"NA"),'MITRE ATT&amp;CK Mappings'!$H19))),ISNUMBER(SEARCH(IF(K$3&lt;&gt;"",K$3,"NA"),'MITRE ATT&amp;CK Mappings'!$I19))),ISNUMBER(SEARCH(IF(K$3&lt;&gt;"",K$3,"NA"),'MITRE ATT&amp;CK Mappings'!$J19))), 'MITRE ATT&amp;CK Mappings'!$B19,"")</f>
        <v/>
      </c>
      <c r="L23" s="27" t="str">
        <f>IF('MITRE ATT&amp;CK Mappings'!D19 &lt;&gt;"",'MITRE ATT&amp;CK Mappings'!D19,"" )</f>
        <v>Ensure that 'Number of days before users are asked to re-confirm their authentication information' is not set to '0'</v>
      </c>
    </row>
    <row r="24" spans="1:12" x14ac:dyDescent="0.25">
      <c r="A24" s="26" t="str">
        <f>IF(COUNTIF(B24:K24,"="&amp;'MITRE ATT&amp;CK Mappings'!B20)&gt;0,'MITRE ATT&amp;CK Mappings'!B20,"")</f>
        <v/>
      </c>
      <c r="B24" s="26" t="str">
        <f>IF(OR(OR(OR(OR(OR(ISNUMBER(SEARCH(IF(B$1&lt;&gt;"",B$1,"NA"),'MITRE ATT&amp;CK Mappings'!$E20)),ISNUMBER(SEARCH(IF(B$1&lt;&gt;"",B$1,"NA"),'MITRE ATT&amp;CK Mappings'!$F20))),ISNUMBER(SEARCH(IF(B$2&lt;&gt;"",B$2,"NA"),'MITRE ATT&amp;CK Mappings'!$G20))),ISNUMBER(SEARCH(IF(B$2&lt;&gt;"",B$2,"NA"),'MITRE ATT&amp;CK Mappings'!$H20))),ISNUMBER(SEARCH(IF(B$3&lt;&gt;"",B$3,"NA"),'MITRE ATT&amp;CK Mappings'!$I20))),ISNUMBER(SEARCH(IF(B$3&lt;&gt;"",B$3,"NA"),'MITRE ATT&amp;CK Mappings'!$J20))), 'MITRE ATT&amp;CK Mappings'!$B20,"")</f>
        <v/>
      </c>
      <c r="C24" s="26" t="str">
        <f>IF(OR(OR(OR(OR(OR(ISNUMBER(SEARCH(IF(C$1&lt;&gt;"",C$1,"NA"),'MITRE ATT&amp;CK Mappings'!$E20)),ISNUMBER(SEARCH(IF(C$1&lt;&gt;"",C$1,"NA"),'MITRE ATT&amp;CK Mappings'!$F20))),ISNUMBER(SEARCH(IF(C$2&lt;&gt;"",C$2,"NA"),'MITRE ATT&amp;CK Mappings'!$G20))),ISNUMBER(SEARCH(IF(C$2&lt;&gt;"",C$2,"NA"),'MITRE ATT&amp;CK Mappings'!$H20))),ISNUMBER(SEARCH(IF(C$3&lt;&gt;"",C$3,"NA"),'MITRE ATT&amp;CK Mappings'!$I20))),ISNUMBER(SEARCH(IF(C$3&lt;&gt;"",C$3,"NA"),'MITRE ATT&amp;CK Mappings'!$J20))), 'MITRE ATT&amp;CK Mappings'!$B20,"")</f>
        <v/>
      </c>
      <c r="D24" s="26" t="str">
        <f>IF(OR(OR(OR(OR(OR(ISNUMBER(SEARCH(IF(D$1&lt;&gt;"",D$1,"NA"),'MITRE ATT&amp;CK Mappings'!$E20)),ISNUMBER(SEARCH(IF(D$1&lt;&gt;"",D$1,"NA"),'MITRE ATT&amp;CK Mappings'!$F20))),ISNUMBER(SEARCH(IF(D$2&lt;&gt;"",D$2,"NA"),'MITRE ATT&amp;CK Mappings'!$G20))),ISNUMBER(SEARCH(IF(D$2&lt;&gt;"",D$2,"NA"),'MITRE ATT&amp;CK Mappings'!$H20))),ISNUMBER(SEARCH(IF(D$3&lt;&gt;"",D$3,"NA"),'MITRE ATT&amp;CK Mappings'!$I20))),ISNUMBER(SEARCH(IF(D$3&lt;&gt;"",D$3,"NA"),'MITRE ATT&amp;CK Mappings'!$J20))), 'MITRE ATT&amp;CK Mappings'!$B20,"")</f>
        <v/>
      </c>
      <c r="E24" s="26" t="str">
        <f>IF(OR(OR(OR(OR(OR(ISNUMBER(SEARCH(IF(E$1&lt;&gt;"",E$1,"NA"),'MITRE ATT&amp;CK Mappings'!$E20)),ISNUMBER(SEARCH(IF(E$1&lt;&gt;"",E$1,"NA"),'MITRE ATT&amp;CK Mappings'!$F20))),ISNUMBER(SEARCH(IF(E$2&lt;&gt;"",E$2,"NA"),'MITRE ATT&amp;CK Mappings'!$G20))),ISNUMBER(SEARCH(IF(E$2&lt;&gt;"",E$2,"NA"),'MITRE ATT&amp;CK Mappings'!$H20))),ISNUMBER(SEARCH(IF(E$3&lt;&gt;"",E$3,"NA"),'MITRE ATT&amp;CK Mappings'!$I20))),ISNUMBER(SEARCH(IF(E$3&lt;&gt;"",E$3,"NA"),'MITRE ATT&amp;CK Mappings'!$J20))), 'MITRE ATT&amp;CK Mappings'!$B20,"")</f>
        <v/>
      </c>
      <c r="F24" s="26" t="str">
        <f>IF(OR(OR(OR(OR(OR(ISNUMBER(SEARCH(IF(F$1&lt;&gt;"",F$1,"NA"),'MITRE ATT&amp;CK Mappings'!$E20)),ISNUMBER(SEARCH(IF(F$1&lt;&gt;"",F$1,"NA"),'MITRE ATT&amp;CK Mappings'!$F20))),ISNUMBER(SEARCH(IF(F$2&lt;&gt;"",F$2,"NA"),'MITRE ATT&amp;CK Mappings'!$G20))),ISNUMBER(SEARCH(IF(F$2&lt;&gt;"",F$2,"NA"),'MITRE ATT&amp;CK Mappings'!$H20))),ISNUMBER(SEARCH(IF(F$3&lt;&gt;"",F$3,"NA"),'MITRE ATT&amp;CK Mappings'!$I20))),ISNUMBER(SEARCH(IF(F$3&lt;&gt;"",F$3,"NA"),'MITRE ATT&amp;CK Mappings'!$J20))), 'MITRE ATT&amp;CK Mappings'!$B20,"")</f>
        <v/>
      </c>
      <c r="G24" s="26" t="str">
        <f>IF(OR(OR(OR(OR(OR(ISNUMBER(SEARCH(IF(G$1&lt;&gt;"",G$1,"NA"),'MITRE ATT&amp;CK Mappings'!$E20)),ISNUMBER(SEARCH(IF(G$1&lt;&gt;"",G$1,"NA"),'MITRE ATT&amp;CK Mappings'!$F20))),ISNUMBER(SEARCH(IF(G$2&lt;&gt;"",G$2,"NA"),'MITRE ATT&amp;CK Mappings'!$G20))),ISNUMBER(SEARCH(IF(G$2&lt;&gt;"",G$2,"NA"),'MITRE ATT&amp;CK Mappings'!$H20))),ISNUMBER(SEARCH(IF(G$3&lt;&gt;"",G$3,"NA"),'MITRE ATT&amp;CK Mappings'!$I20))),ISNUMBER(SEARCH(IF(G$3&lt;&gt;"",G$3,"NA"),'MITRE ATT&amp;CK Mappings'!$J20))), 'MITRE ATT&amp;CK Mappings'!$B20,"")</f>
        <v/>
      </c>
      <c r="H24" s="26" t="str">
        <f>IF(OR(OR(OR(OR(OR(ISNUMBER(SEARCH(IF(H$1&lt;&gt;"",H$1,"NA"),'MITRE ATT&amp;CK Mappings'!$E20)),ISNUMBER(SEARCH(IF(H$1&lt;&gt;"",H$1,"NA"),'MITRE ATT&amp;CK Mappings'!$F20))),ISNUMBER(SEARCH(IF(H$2&lt;&gt;"",H$2,"NA"),'MITRE ATT&amp;CK Mappings'!$G20))),ISNUMBER(SEARCH(IF(H$2&lt;&gt;"",H$2,"NA"),'MITRE ATT&amp;CK Mappings'!$H20))),ISNUMBER(SEARCH(IF(H$3&lt;&gt;"",H$3,"NA"),'MITRE ATT&amp;CK Mappings'!$I20))),ISNUMBER(SEARCH(IF(H$3&lt;&gt;"",H$3,"NA"),'MITRE ATT&amp;CK Mappings'!$J20))), 'MITRE ATT&amp;CK Mappings'!$B20,"")</f>
        <v/>
      </c>
      <c r="I24" s="26" t="str">
        <f>IF(OR(OR(OR(OR(OR(ISNUMBER(SEARCH(IF(I$1&lt;&gt;"",I$1,"NA"),'MITRE ATT&amp;CK Mappings'!$E20)),ISNUMBER(SEARCH(IF(I$1&lt;&gt;"",I$1,"NA"),'MITRE ATT&amp;CK Mappings'!$F20))),ISNUMBER(SEARCH(IF(I$2&lt;&gt;"",I$2,"NA"),'MITRE ATT&amp;CK Mappings'!$G20))),ISNUMBER(SEARCH(IF(I$2&lt;&gt;"",I$2,"NA"),'MITRE ATT&amp;CK Mappings'!$H20))),ISNUMBER(SEARCH(IF(I$3&lt;&gt;"",I$3,"NA"),'MITRE ATT&amp;CK Mappings'!$I20))),ISNUMBER(SEARCH(IF(I$3&lt;&gt;"",I$3,"NA"),'MITRE ATT&amp;CK Mappings'!$J20))), 'MITRE ATT&amp;CK Mappings'!$B20,"")</f>
        <v/>
      </c>
      <c r="J24" s="26" t="str">
        <f>IF(OR(OR(OR(OR(OR(ISNUMBER(SEARCH(IF(J$1&lt;&gt;"",J$1,"NA"),'MITRE ATT&amp;CK Mappings'!$E20)),ISNUMBER(SEARCH(IF(J$1&lt;&gt;"",J$1,"NA"),'MITRE ATT&amp;CK Mappings'!$F20))),ISNUMBER(SEARCH(IF(J$2&lt;&gt;"",J$2,"NA"),'MITRE ATT&amp;CK Mappings'!$G20))),ISNUMBER(SEARCH(IF(J$2&lt;&gt;"",J$2,"NA"),'MITRE ATT&amp;CK Mappings'!$H20))),ISNUMBER(SEARCH(IF(J$3&lt;&gt;"",J$3,"NA"),'MITRE ATT&amp;CK Mappings'!$I20))),ISNUMBER(SEARCH(IF(J$3&lt;&gt;"",J$3,"NA"),'MITRE ATT&amp;CK Mappings'!$J20))), 'MITRE ATT&amp;CK Mappings'!$B20,"")</f>
        <v/>
      </c>
      <c r="K24" s="26" t="str">
        <f>IF(OR(OR(OR(OR(OR(ISNUMBER(SEARCH(IF(K$1&lt;&gt;"",K$1,"NA"),'MITRE ATT&amp;CK Mappings'!$E20)),ISNUMBER(SEARCH(IF(K$1&lt;&gt;"",K$1,"NA"),'MITRE ATT&amp;CK Mappings'!$F20))),ISNUMBER(SEARCH(IF(K$2&lt;&gt;"",K$2,"NA"),'MITRE ATT&amp;CK Mappings'!$G20))),ISNUMBER(SEARCH(IF(K$2&lt;&gt;"",K$2,"NA"),'MITRE ATT&amp;CK Mappings'!$H20))),ISNUMBER(SEARCH(IF(K$3&lt;&gt;"",K$3,"NA"),'MITRE ATT&amp;CK Mappings'!$I20))),ISNUMBER(SEARCH(IF(K$3&lt;&gt;"",K$3,"NA"),'MITRE ATT&amp;CK Mappings'!$J20))), 'MITRE ATT&amp;CK Mappings'!$B20,"")</f>
        <v/>
      </c>
      <c r="L24" s="26" t="str">
        <f>IF('MITRE ATT&amp;CK Mappings'!D20 &lt;&gt;"",'MITRE ATT&amp;CK Mappings'!D20,"" )</f>
        <v>Ensure that 'Notify users on password resets?' is set to 'Yes'</v>
      </c>
    </row>
    <row r="25" spans="1:12" x14ac:dyDescent="0.25">
      <c r="A25" s="27" t="str">
        <f>IF(COUNTIF(B25:K25,"="&amp;'MITRE ATT&amp;CK Mappings'!B21)&gt;0,'MITRE ATT&amp;CK Mappings'!B21,"")</f>
        <v/>
      </c>
      <c r="B25" s="27" t="str">
        <f>IF(OR(OR(OR(OR(OR(ISNUMBER(SEARCH(IF(B$1&lt;&gt;"",B$1,"NA"),'MITRE ATT&amp;CK Mappings'!$E21)),ISNUMBER(SEARCH(IF(B$1&lt;&gt;"",B$1,"NA"),'MITRE ATT&amp;CK Mappings'!$F21))),ISNUMBER(SEARCH(IF(B$2&lt;&gt;"",B$2,"NA"),'MITRE ATT&amp;CK Mappings'!$G21))),ISNUMBER(SEARCH(IF(B$2&lt;&gt;"",B$2,"NA"),'MITRE ATT&amp;CK Mappings'!$H21))),ISNUMBER(SEARCH(IF(B$3&lt;&gt;"",B$3,"NA"),'MITRE ATT&amp;CK Mappings'!$I21))),ISNUMBER(SEARCH(IF(B$3&lt;&gt;"",B$3,"NA"),'MITRE ATT&amp;CK Mappings'!$J21))), 'MITRE ATT&amp;CK Mappings'!$B21,"")</f>
        <v/>
      </c>
      <c r="C25" s="27" t="str">
        <f>IF(OR(OR(OR(OR(OR(ISNUMBER(SEARCH(IF(C$1&lt;&gt;"",C$1,"NA"),'MITRE ATT&amp;CK Mappings'!$E21)),ISNUMBER(SEARCH(IF(C$1&lt;&gt;"",C$1,"NA"),'MITRE ATT&amp;CK Mappings'!$F21))),ISNUMBER(SEARCH(IF(C$2&lt;&gt;"",C$2,"NA"),'MITRE ATT&amp;CK Mappings'!$G21))),ISNUMBER(SEARCH(IF(C$2&lt;&gt;"",C$2,"NA"),'MITRE ATT&amp;CK Mappings'!$H21))),ISNUMBER(SEARCH(IF(C$3&lt;&gt;"",C$3,"NA"),'MITRE ATT&amp;CK Mappings'!$I21))),ISNUMBER(SEARCH(IF(C$3&lt;&gt;"",C$3,"NA"),'MITRE ATT&amp;CK Mappings'!$J21))), 'MITRE ATT&amp;CK Mappings'!$B21,"")</f>
        <v/>
      </c>
      <c r="D25" s="27" t="str">
        <f>IF(OR(OR(OR(OR(OR(ISNUMBER(SEARCH(IF(D$1&lt;&gt;"",D$1,"NA"),'MITRE ATT&amp;CK Mappings'!$E21)),ISNUMBER(SEARCH(IF(D$1&lt;&gt;"",D$1,"NA"),'MITRE ATT&amp;CK Mappings'!$F21))),ISNUMBER(SEARCH(IF(D$2&lt;&gt;"",D$2,"NA"),'MITRE ATT&amp;CK Mappings'!$G21))),ISNUMBER(SEARCH(IF(D$2&lt;&gt;"",D$2,"NA"),'MITRE ATT&amp;CK Mappings'!$H21))),ISNUMBER(SEARCH(IF(D$3&lt;&gt;"",D$3,"NA"),'MITRE ATT&amp;CK Mappings'!$I21))),ISNUMBER(SEARCH(IF(D$3&lt;&gt;"",D$3,"NA"),'MITRE ATT&amp;CK Mappings'!$J21))), 'MITRE ATT&amp;CK Mappings'!$B21,"")</f>
        <v/>
      </c>
      <c r="E25" s="27" t="str">
        <f>IF(OR(OR(OR(OR(OR(ISNUMBER(SEARCH(IF(E$1&lt;&gt;"",E$1,"NA"),'MITRE ATT&amp;CK Mappings'!$E21)),ISNUMBER(SEARCH(IF(E$1&lt;&gt;"",E$1,"NA"),'MITRE ATT&amp;CK Mappings'!$F21))),ISNUMBER(SEARCH(IF(E$2&lt;&gt;"",E$2,"NA"),'MITRE ATT&amp;CK Mappings'!$G21))),ISNUMBER(SEARCH(IF(E$2&lt;&gt;"",E$2,"NA"),'MITRE ATT&amp;CK Mappings'!$H21))),ISNUMBER(SEARCH(IF(E$3&lt;&gt;"",E$3,"NA"),'MITRE ATT&amp;CK Mappings'!$I21))),ISNUMBER(SEARCH(IF(E$3&lt;&gt;"",E$3,"NA"),'MITRE ATT&amp;CK Mappings'!$J21))), 'MITRE ATT&amp;CK Mappings'!$B21,"")</f>
        <v/>
      </c>
      <c r="F25" s="27" t="str">
        <f>IF(OR(OR(OR(OR(OR(ISNUMBER(SEARCH(IF(F$1&lt;&gt;"",F$1,"NA"),'MITRE ATT&amp;CK Mappings'!$E21)),ISNUMBER(SEARCH(IF(F$1&lt;&gt;"",F$1,"NA"),'MITRE ATT&amp;CK Mappings'!$F21))),ISNUMBER(SEARCH(IF(F$2&lt;&gt;"",F$2,"NA"),'MITRE ATT&amp;CK Mappings'!$G21))),ISNUMBER(SEARCH(IF(F$2&lt;&gt;"",F$2,"NA"),'MITRE ATT&amp;CK Mappings'!$H21))),ISNUMBER(SEARCH(IF(F$3&lt;&gt;"",F$3,"NA"),'MITRE ATT&amp;CK Mappings'!$I21))),ISNUMBER(SEARCH(IF(F$3&lt;&gt;"",F$3,"NA"),'MITRE ATT&amp;CK Mappings'!$J21))), 'MITRE ATT&amp;CK Mappings'!$B21,"")</f>
        <v/>
      </c>
      <c r="G25" s="27" t="str">
        <f>IF(OR(OR(OR(OR(OR(ISNUMBER(SEARCH(IF(G$1&lt;&gt;"",G$1,"NA"),'MITRE ATT&amp;CK Mappings'!$E21)),ISNUMBER(SEARCH(IF(G$1&lt;&gt;"",G$1,"NA"),'MITRE ATT&amp;CK Mappings'!$F21))),ISNUMBER(SEARCH(IF(G$2&lt;&gt;"",G$2,"NA"),'MITRE ATT&amp;CK Mappings'!$G21))),ISNUMBER(SEARCH(IF(G$2&lt;&gt;"",G$2,"NA"),'MITRE ATT&amp;CK Mappings'!$H21))),ISNUMBER(SEARCH(IF(G$3&lt;&gt;"",G$3,"NA"),'MITRE ATT&amp;CK Mappings'!$I21))),ISNUMBER(SEARCH(IF(G$3&lt;&gt;"",G$3,"NA"),'MITRE ATT&amp;CK Mappings'!$J21))), 'MITRE ATT&amp;CK Mappings'!$B21,"")</f>
        <v/>
      </c>
      <c r="H25" s="27" t="str">
        <f>IF(OR(OR(OR(OR(OR(ISNUMBER(SEARCH(IF(H$1&lt;&gt;"",H$1,"NA"),'MITRE ATT&amp;CK Mappings'!$E21)),ISNUMBER(SEARCH(IF(H$1&lt;&gt;"",H$1,"NA"),'MITRE ATT&amp;CK Mappings'!$F21))),ISNUMBER(SEARCH(IF(H$2&lt;&gt;"",H$2,"NA"),'MITRE ATT&amp;CK Mappings'!$G21))),ISNUMBER(SEARCH(IF(H$2&lt;&gt;"",H$2,"NA"),'MITRE ATT&amp;CK Mappings'!$H21))),ISNUMBER(SEARCH(IF(H$3&lt;&gt;"",H$3,"NA"),'MITRE ATT&amp;CK Mappings'!$I21))),ISNUMBER(SEARCH(IF(H$3&lt;&gt;"",H$3,"NA"),'MITRE ATT&amp;CK Mappings'!$J21))), 'MITRE ATT&amp;CK Mappings'!$B21,"")</f>
        <v/>
      </c>
      <c r="I25" s="27" t="str">
        <f>IF(OR(OR(OR(OR(OR(ISNUMBER(SEARCH(IF(I$1&lt;&gt;"",I$1,"NA"),'MITRE ATT&amp;CK Mappings'!$E21)),ISNUMBER(SEARCH(IF(I$1&lt;&gt;"",I$1,"NA"),'MITRE ATT&amp;CK Mappings'!$F21))),ISNUMBER(SEARCH(IF(I$2&lt;&gt;"",I$2,"NA"),'MITRE ATT&amp;CK Mappings'!$G21))),ISNUMBER(SEARCH(IF(I$2&lt;&gt;"",I$2,"NA"),'MITRE ATT&amp;CK Mappings'!$H21))),ISNUMBER(SEARCH(IF(I$3&lt;&gt;"",I$3,"NA"),'MITRE ATT&amp;CK Mappings'!$I21))),ISNUMBER(SEARCH(IF(I$3&lt;&gt;"",I$3,"NA"),'MITRE ATT&amp;CK Mappings'!$J21))), 'MITRE ATT&amp;CK Mappings'!$B21,"")</f>
        <v/>
      </c>
      <c r="J25" s="27" t="str">
        <f>IF(OR(OR(OR(OR(OR(ISNUMBER(SEARCH(IF(J$1&lt;&gt;"",J$1,"NA"),'MITRE ATT&amp;CK Mappings'!$E21)),ISNUMBER(SEARCH(IF(J$1&lt;&gt;"",J$1,"NA"),'MITRE ATT&amp;CK Mappings'!$F21))),ISNUMBER(SEARCH(IF(J$2&lt;&gt;"",J$2,"NA"),'MITRE ATT&amp;CK Mappings'!$G21))),ISNUMBER(SEARCH(IF(J$2&lt;&gt;"",J$2,"NA"),'MITRE ATT&amp;CK Mappings'!$H21))),ISNUMBER(SEARCH(IF(J$3&lt;&gt;"",J$3,"NA"),'MITRE ATT&amp;CK Mappings'!$I21))),ISNUMBER(SEARCH(IF(J$3&lt;&gt;"",J$3,"NA"),'MITRE ATT&amp;CK Mappings'!$J21))), 'MITRE ATT&amp;CK Mappings'!$B21,"")</f>
        <v/>
      </c>
      <c r="K25" s="27" t="str">
        <f>IF(OR(OR(OR(OR(OR(ISNUMBER(SEARCH(IF(K$1&lt;&gt;"",K$1,"NA"),'MITRE ATT&amp;CK Mappings'!$E21)),ISNUMBER(SEARCH(IF(K$1&lt;&gt;"",K$1,"NA"),'MITRE ATT&amp;CK Mappings'!$F21))),ISNUMBER(SEARCH(IF(K$2&lt;&gt;"",K$2,"NA"),'MITRE ATT&amp;CK Mappings'!$G21))),ISNUMBER(SEARCH(IF(K$2&lt;&gt;"",K$2,"NA"),'MITRE ATT&amp;CK Mappings'!$H21))),ISNUMBER(SEARCH(IF(K$3&lt;&gt;"",K$3,"NA"),'MITRE ATT&amp;CK Mappings'!$I21))),ISNUMBER(SEARCH(IF(K$3&lt;&gt;"",K$3,"NA"),'MITRE ATT&amp;CK Mappings'!$J21))), 'MITRE ATT&amp;CK Mappings'!$B21,"")</f>
        <v/>
      </c>
      <c r="L25" s="27" t="str">
        <f>IF('MITRE ATT&amp;CK Mappings'!D21 &lt;&gt;"",'MITRE ATT&amp;CK Mappings'!D21,"" )</f>
        <v>Ensure that 'Notify all admins when other admins reset their password?' is set to 'Yes'</v>
      </c>
    </row>
    <row r="26" spans="1:12" x14ac:dyDescent="0.25">
      <c r="A26" s="26" t="str">
        <f>IF(COUNTIF(B26:K26,"="&amp;'MITRE ATT&amp;CK Mappings'!B22)&gt;0,'MITRE ATT&amp;CK Mappings'!B22,"")</f>
        <v/>
      </c>
      <c r="B26" s="26" t="str">
        <f>IF(OR(OR(OR(OR(OR(ISNUMBER(SEARCH(IF(B$1&lt;&gt;"",B$1,"NA"),'MITRE ATT&amp;CK Mappings'!$E22)),ISNUMBER(SEARCH(IF(B$1&lt;&gt;"",B$1,"NA"),'MITRE ATT&amp;CK Mappings'!$F22))),ISNUMBER(SEARCH(IF(B$2&lt;&gt;"",B$2,"NA"),'MITRE ATT&amp;CK Mappings'!$G22))),ISNUMBER(SEARCH(IF(B$2&lt;&gt;"",B$2,"NA"),'MITRE ATT&amp;CK Mappings'!$H22))),ISNUMBER(SEARCH(IF(B$3&lt;&gt;"",B$3,"NA"),'MITRE ATT&amp;CK Mappings'!$I22))),ISNUMBER(SEARCH(IF(B$3&lt;&gt;"",B$3,"NA"),'MITRE ATT&amp;CK Mappings'!$J22))), 'MITRE ATT&amp;CK Mappings'!$B22,"")</f>
        <v/>
      </c>
      <c r="C26" s="26" t="str">
        <f>IF(OR(OR(OR(OR(OR(ISNUMBER(SEARCH(IF(C$1&lt;&gt;"",C$1,"NA"),'MITRE ATT&amp;CK Mappings'!$E22)),ISNUMBER(SEARCH(IF(C$1&lt;&gt;"",C$1,"NA"),'MITRE ATT&amp;CK Mappings'!$F22))),ISNUMBER(SEARCH(IF(C$2&lt;&gt;"",C$2,"NA"),'MITRE ATT&amp;CK Mappings'!$G22))),ISNUMBER(SEARCH(IF(C$2&lt;&gt;"",C$2,"NA"),'MITRE ATT&amp;CK Mappings'!$H22))),ISNUMBER(SEARCH(IF(C$3&lt;&gt;"",C$3,"NA"),'MITRE ATT&amp;CK Mappings'!$I22))),ISNUMBER(SEARCH(IF(C$3&lt;&gt;"",C$3,"NA"),'MITRE ATT&amp;CK Mappings'!$J22))), 'MITRE ATT&amp;CK Mappings'!$B22,"")</f>
        <v/>
      </c>
      <c r="D26" s="26" t="str">
        <f>IF(OR(OR(OR(OR(OR(ISNUMBER(SEARCH(IF(D$1&lt;&gt;"",D$1,"NA"),'MITRE ATT&amp;CK Mappings'!$E22)),ISNUMBER(SEARCH(IF(D$1&lt;&gt;"",D$1,"NA"),'MITRE ATT&amp;CK Mappings'!$F22))),ISNUMBER(SEARCH(IF(D$2&lt;&gt;"",D$2,"NA"),'MITRE ATT&amp;CK Mappings'!$G22))),ISNUMBER(SEARCH(IF(D$2&lt;&gt;"",D$2,"NA"),'MITRE ATT&amp;CK Mappings'!$H22))),ISNUMBER(SEARCH(IF(D$3&lt;&gt;"",D$3,"NA"),'MITRE ATT&amp;CK Mappings'!$I22))),ISNUMBER(SEARCH(IF(D$3&lt;&gt;"",D$3,"NA"),'MITRE ATT&amp;CK Mappings'!$J22))), 'MITRE ATT&amp;CK Mappings'!$B22,"")</f>
        <v/>
      </c>
      <c r="E26" s="26" t="str">
        <f>IF(OR(OR(OR(OR(OR(ISNUMBER(SEARCH(IF(E$1&lt;&gt;"",E$1,"NA"),'MITRE ATT&amp;CK Mappings'!$E22)),ISNUMBER(SEARCH(IF(E$1&lt;&gt;"",E$1,"NA"),'MITRE ATT&amp;CK Mappings'!$F22))),ISNUMBER(SEARCH(IF(E$2&lt;&gt;"",E$2,"NA"),'MITRE ATT&amp;CK Mappings'!$G22))),ISNUMBER(SEARCH(IF(E$2&lt;&gt;"",E$2,"NA"),'MITRE ATT&amp;CK Mappings'!$H22))),ISNUMBER(SEARCH(IF(E$3&lt;&gt;"",E$3,"NA"),'MITRE ATT&amp;CK Mappings'!$I22))),ISNUMBER(SEARCH(IF(E$3&lt;&gt;"",E$3,"NA"),'MITRE ATT&amp;CK Mappings'!$J22))), 'MITRE ATT&amp;CK Mappings'!$B22,"")</f>
        <v/>
      </c>
      <c r="F26" s="26" t="str">
        <f>IF(OR(OR(OR(OR(OR(ISNUMBER(SEARCH(IF(F$1&lt;&gt;"",F$1,"NA"),'MITRE ATT&amp;CK Mappings'!$E22)),ISNUMBER(SEARCH(IF(F$1&lt;&gt;"",F$1,"NA"),'MITRE ATT&amp;CK Mappings'!$F22))),ISNUMBER(SEARCH(IF(F$2&lt;&gt;"",F$2,"NA"),'MITRE ATT&amp;CK Mappings'!$G22))),ISNUMBER(SEARCH(IF(F$2&lt;&gt;"",F$2,"NA"),'MITRE ATT&amp;CK Mappings'!$H22))),ISNUMBER(SEARCH(IF(F$3&lt;&gt;"",F$3,"NA"),'MITRE ATT&amp;CK Mappings'!$I22))),ISNUMBER(SEARCH(IF(F$3&lt;&gt;"",F$3,"NA"),'MITRE ATT&amp;CK Mappings'!$J22))), 'MITRE ATT&amp;CK Mappings'!$B22,"")</f>
        <v/>
      </c>
      <c r="G26" s="26" t="str">
        <f>IF(OR(OR(OR(OR(OR(ISNUMBER(SEARCH(IF(G$1&lt;&gt;"",G$1,"NA"),'MITRE ATT&amp;CK Mappings'!$E22)),ISNUMBER(SEARCH(IF(G$1&lt;&gt;"",G$1,"NA"),'MITRE ATT&amp;CK Mappings'!$F22))),ISNUMBER(SEARCH(IF(G$2&lt;&gt;"",G$2,"NA"),'MITRE ATT&amp;CK Mappings'!$G22))),ISNUMBER(SEARCH(IF(G$2&lt;&gt;"",G$2,"NA"),'MITRE ATT&amp;CK Mappings'!$H22))),ISNUMBER(SEARCH(IF(G$3&lt;&gt;"",G$3,"NA"),'MITRE ATT&amp;CK Mappings'!$I22))),ISNUMBER(SEARCH(IF(G$3&lt;&gt;"",G$3,"NA"),'MITRE ATT&amp;CK Mappings'!$J22))), 'MITRE ATT&amp;CK Mappings'!$B22,"")</f>
        <v/>
      </c>
      <c r="H26" s="26" t="str">
        <f>IF(OR(OR(OR(OR(OR(ISNUMBER(SEARCH(IF(H$1&lt;&gt;"",H$1,"NA"),'MITRE ATT&amp;CK Mappings'!$E22)),ISNUMBER(SEARCH(IF(H$1&lt;&gt;"",H$1,"NA"),'MITRE ATT&amp;CK Mappings'!$F22))),ISNUMBER(SEARCH(IF(H$2&lt;&gt;"",H$2,"NA"),'MITRE ATT&amp;CK Mappings'!$G22))),ISNUMBER(SEARCH(IF(H$2&lt;&gt;"",H$2,"NA"),'MITRE ATT&amp;CK Mappings'!$H22))),ISNUMBER(SEARCH(IF(H$3&lt;&gt;"",H$3,"NA"),'MITRE ATT&amp;CK Mappings'!$I22))),ISNUMBER(SEARCH(IF(H$3&lt;&gt;"",H$3,"NA"),'MITRE ATT&amp;CK Mappings'!$J22))), 'MITRE ATT&amp;CK Mappings'!$B22,"")</f>
        <v/>
      </c>
      <c r="I26" s="26" t="str">
        <f>IF(OR(OR(OR(OR(OR(ISNUMBER(SEARCH(IF(I$1&lt;&gt;"",I$1,"NA"),'MITRE ATT&amp;CK Mappings'!$E22)),ISNUMBER(SEARCH(IF(I$1&lt;&gt;"",I$1,"NA"),'MITRE ATT&amp;CK Mappings'!$F22))),ISNUMBER(SEARCH(IF(I$2&lt;&gt;"",I$2,"NA"),'MITRE ATT&amp;CK Mappings'!$G22))),ISNUMBER(SEARCH(IF(I$2&lt;&gt;"",I$2,"NA"),'MITRE ATT&amp;CK Mappings'!$H22))),ISNUMBER(SEARCH(IF(I$3&lt;&gt;"",I$3,"NA"),'MITRE ATT&amp;CK Mappings'!$I22))),ISNUMBER(SEARCH(IF(I$3&lt;&gt;"",I$3,"NA"),'MITRE ATT&amp;CK Mappings'!$J22))), 'MITRE ATT&amp;CK Mappings'!$B22,"")</f>
        <v/>
      </c>
      <c r="J26" s="26" t="str">
        <f>IF(OR(OR(OR(OR(OR(ISNUMBER(SEARCH(IF(J$1&lt;&gt;"",J$1,"NA"),'MITRE ATT&amp;CK Mappings'!$E22)),ISNUMBER(SEARCH(IF(J$1&lt;&gt;"",J$1,"NA"),'MITRE ATT&amp;CK Mappings'!$F22))),ISNUMBER(SEARCH(IF(J$2&lt;&gt;"",J$2,"NA"),'MITRE ATT&amp;CK Mappings'!$G22))),ISNUMBER(SEARCH(IF(J$2&lt;&gt;"",J$2,"NA"),'MITRE ATT&amp;CK Mappings'!$H22))),ISNUMBER(SEARCH(IF(J$3&lt;&gt;"",J$3,"NA"),'MITRE ATT&amp;CK Mappings'!$I22))),ISNUMBER(SEARCH(IF(J$3&lt;&gt;"",J$3,"NA"),'MITRE ATT&amp;CK Mappings'!$J22))), 'MITRE ATT&amp;CK Mappings'!$B22,"")</f>
        <v/>
      </c>
      <c r="K26" s="26" t="str">
        <f>IF(OR(OR(OR(OR(OR(ISNUMBER(SEARCH(IF(K$1&lt;&gt;"",K$1,"NA"),'MITRE ATT&amp;CK Mappings'!$E22)),ISNUMBER(SEARCH(IF(K$1&lt;&gt;"",K$1,"NA"),'MITRE ATT&amp;CK Mappings'!$F22))),ISNUMBER(SEARCH(IF(K$2&lt;&gt;"",K$2,"NA"),'MITRE ATT&amp;CK Mappings'!$G22))),ISNUMBER(SEARCH(IF(K$2&lt;&gt;"",K$2,"NA"),'MITRE ATT&amp;CK Mappings'!$H22))),ISNUMBER(SEARCH(IF(K$3&lt;&gt;"",K$3,"NA"),'MITRE ATT&amp;CK Mappings'!$I22))),ISNUMBER(SEARCH(IF(K$3&lt;&gt;"",K$3,"NA"),'MITRE ATT&amp;CK Mappings'!$J22))), 'MITRE ATT&amp;CK Mappings'!$B22,"")</f>
        <v/>
      </c>
      <c r="L26" s="26" t="str">
        <f>IF('MITRE ATT&amp;CK Mappings'!D22 &lt;&gt;"",'MITRE ATT&amp;CK Mappings'!D22,"" )</f>
        <v>Ensure that 'User consent for applications' is set to 'Do not allow user consent'</v>
      </c>
    </row>
    <row r="27" spans="1:12" x14ac:dyDescent="0.25">
      <c r="A27" s="27" t="str">
        <f>IF(COUNTIF(B27:K27,"="&amp;'MITRE ATT&amp;CK Mappings'!B23)&gt;0,'MITRE ATT&amp;CK Mappings'!B23,"")</f>
        <v/>
      </c>
      <c r="B27" s="27" t="str">
        <f>IF(OR(OR(OR(OR(OR(ISNUMBER(SEARCH(IF(B$1&lt;&gt;"",B$1,"NA"),'MITRE ATT&amp;CK Mappings'!$E23)),ISNUMBER(SEARCH(IF(B$1&lt;&gt;"",B$1,"NA"),'MITRE ATT&amp;CK Mappings'!$F23))),ISNUMBER(SEARCH(IF(B$2&lt;&gt;"",B$2,"NA"),'MITRE ATT&amp;CK Mappings'!$G23))),ISNUMBER(SEARCH(IF(B$2&lt;&gt;"",B$2,"NA"),'MITRE ATT&amp;CK Mappings'!$H23))),ISNUMBER(SEARCH(IF(B$3&lt;&gt;"",B$3,"NA"),'MITRE ATT&amp;CK Mappings'!$I23))),ISNUMBER(SEARCH(IF(B$3&lt;&gt;"",B$3,"NA"),'MITRE ATT&amp;CK Mappings'!$J23))), 'MITRE ATT&amp;CK Mappings'!$B23,"")</f>
        <v/>
      </c>
      <c r="C27" s="27" t="str">
        <f>IF(OR(OR(OR(OR(OR(ISNUMBER(SEARCH(IF(C$1&lt;&gt;"",C$1,"NA"),'MITRE ATT&amp;CK Mappings'!$E23)),ISNUMBER(SEARCH(IF(C$1&lt;&gt;"",C$1,"NA"),'MITRE ATT&amp;CK Mappings'!$F23))),ISNUMBER(SEARCH(IF(C$2&lt;&gt;"",C$2,"NA"),'MITRE ATT&amp;CK Mappings'!$G23))),ISNUMBER(SEARCH(IF(C$2&lt;&gt;"",C$2,"NA"),'MITRE ATT&amp;CK Mappings'!$H23))),ISNUMBER(SEARCH(IF(C$3&lt;&gt;"",C$3,"NA"),'MITRE ATT&amp;CK Mappings'!$I23))),ISNUMBER(SEARCH(IF(C$3&lt;&gt;"",C$3,"NA"),'MITRE ATT&amp;CK Mappings'!$J23))), 'MITRE ATT&amp;CK Mappings'!$B23,"")</f>
        <v/>
      </c>
      <c r="D27" s="27" t="str">
        <f>IF(OR(OR(OR(OR(OR(ISNUMBER(SEARCH(IF(D$1&lt;&gt;"",D$1,"NA"),'MITRE ATT&amp;CK Mappings'!$E23)),ISNUMBER(SEARCH(IF(D$1&lt;&gt;"",D$1,"NA"),'MITRE ATT&amp;CK Mappings'!$F23))),ISNUMBER(SEARCH(IF(D$2&lt;&gt;"",D$2,"NA"),'MITRE ATT&amp;CK Mappings'!$G23))),ISNUMBER(SEARCH(IF(D$2&lt;&gt;"",D$2,"NA"),'MITRE ATT&amp;CK Mappings'!$H23))),ISNUMBER(SEARCH(IF(D$3&lt;&gt;"",D$3,"NA"),'MITRE ATT&amp;CK Mappings'!$I23))),ISNUMBER(SEARCH(IF(D$3&lt;&gt;"",D$3,"NA"),'MITRE ATT&amp;CK Mappings'!$J23))), 'MITRE ATT&amp;CK Mappings'!$B23,"")</f>
        <v/>
      </c>
      <c r="E27" s="27" t="str">
        <f>IF(OR(OR(OR(OR(OR(ISNUMBER(SEARCH(IF(E$1&lt;&gt;"",E$1,"NA"),'MITRE ATT&amp;CK Mappings'!$E23)),ISNUMBER(SEARCH(IF(E$1&lt;&gt;"",E$1,"NA"),'MITRE ATT&amp;CK Mappings'!$F23))),ISNUMBER(SEARCH(IF(E$2&lt;&gt;"",E$2,"NA"),'MITRE ATT&amp;CK Mappings'!$G23))),ISNUMBER(SEARCH(IF(E$2&lt;&gt;"",E$2,"NA"),'MITRE ATT&amp;CK Mappings'!$H23))),ISNUMBER(SEARCH(IF(E$3&lt;&gt;"",E$3,"NA"),'MITRE ATT&amp;CK Mappings'!$I23))),ISNUMBER(SEARCH(IF(E$3&lt;&gt;"",E$3,"NA"),'MITRE ATT&amp;CK Mappings'!$J23))), 'MITRE ATT&amp;CK Mappings'!$B23,"")</f>
        <v/>
      </c>
      <c r="F27" s="27" t="str">
        <f>IF(OR(OR(OR(OR(OR(ISNUMBER(SEARCH(IF(F$1&lt;&gt;"",F$1,"NA"),'MITRE ATT&amp;CK Mappings'!$E23)),ISNUMBER(SEARCH(IF(F$1&lt;&gt;"",F$1,"NA"),'MITRE ATT&amp;CK Mappings'!$F23))),ISNUMBER(SEARCH(IF(F$2&lt;&gt;"",F$2,"NA"),'MITRE ATT&amp;CK Mappings'!$G23))),ISNUMBER(SEARCH(IF(F$2&lt;&gt;"",F$2,"NA"),'MITRE ATT&amp;CK Mappings'!$H23))),ISNUMBER(SEARCH(IF(F$3&lt;&gt;"",F$3,"NA"),'MITRE ATT&amp;CK Mappings'!$I23))),ISNUMBER(SEARCH(IF(F$3&lt;&gt;"",F$3,"NA"),'MITRE ATT&amp;CK Mappings'!$J23))), 'MITRE ATT&amp;CK Mappings'!$B23,"")</f>
        <v/>
      </c>
      <c r="G27" s="27" t="str">
        <f>IF(OR(OR(OR(OR(OR(ISNUMBER(SEARCH(IF(G$1&lt;&gt;"",G$1,"NA"),'MITRE ATT&amp;CK Mappings'!$E23)),ISNUMBER(SEARCH(IF(G$1&lt;&gt;"",G$1,"NA"),'MITRE ATT&amp;CK Mappings'!$F23))),ISNUMBER(SEARCH(IF(G$2&lt;&gt;"",G$2,"NA"),'MITRE ATT&amp;CK Mappings'!$G23))),ISNUMBER(SEARCH(IF(G$2&lt;&gt;"",G$2,"NA"),'MITRE ATT&amp;CK Mappings'!$H23))),ISNUMBER(SEARCH(IF(G$3&lt;&gt;"",G$3,"NA"),'MITRE ATT&amp;CK Mappings'!$I23))),ISNUMBER(SEARCH(IF(G$3&lt;&gt;"",G$3,"NA"),'MITRE ATT&amp;CK Mappings'!$J23))), 'MITRE ATT&amp;CK Mappings'!$B23,"")</f>
        <v/>
      </c>
      <c r="H27" s="27" t="str">
        <f>IF(OR(OR(OR(OR(OR(ISNUMBER(SEARCH(IF(H$1&lt;&gt;"",H$1,"NA"),'MITRE ATT&amp;CK Mappings'!$E23)),ISNUMBER(SEARCH(IF(H$1&lt;&gt;"",H$1,"NA"),'MITRE ATT&amp;CK Mappings'!$F23))),ISNUMBER(SEARCH(IF(H$2&lt;&gt;"",H$2,"NA"),'MITRE ATT&amp;CK Mappings'!$G23))),ISNUMBER(SEARCH(IF(H$2&lt;&gt;"",H$2,"NA"),'MITRE ATT&amp;CK Mappings'!$H23))),ISNUMBER(SEARCH(IF(H$3&lt;&gt;"",H$3,"NA"),'MITRE ATT&amp;CK Mappings'!$I23))),ISNUMBER(SEARCH(IF(H$3&lt;&gt;"",H$3,"NA"),'MITRE ATT&amp;CK Mappings'!$J23))), 'MITRE ATT&amp;CK Mappings'!$B23,"")</f>
        <v/>
      </c>
      <c r="I27" s="27" t="str">
        <f>IF(OR(OR(OR(OR(OR(ISNUMBER(SEARCH(IF(I$1&lt;&gt;"",I$1,"NA"),'MITRE ATT&amp;CK Mappings'!$E23)),ISNUMBER(SEARCH(IF(I$1&lt;&gt;"",I$1,"NA"),'MITRE ATT&amp;CK Mappings'!$F23))),ISNUMBER(SEARCH(IF(I$2&lt;&gt;"",I$2,"NA"),'MITRE ATT&amp;CK Mappings'!$G23))),ISNUMBER(SEARCH(IF(I$2&lt;&gt;"",I$2,"NA"),'MITRE ATT&amp;CK Mappings'!$H23))),ISNUMBER(SEARCH(IF(I$3&lt;&gt;"",I$3,"NA"),'MITRE ATT&amp;CK Mappings'!$I23))),ISNUMBER(SEARCH(IF(I$3&lt;&gt;"",I$3,"NA"),'MITRE ATT&amp;CK Mappings'!$J23))), 'MITRE ATT&amp;CK Mappings'!$B23,"")</f>
        <v/>
      </c>
      <c r="J27" s="27" t="str">
        <f>IF(OR(OR(OR(OR(OR(ISNUMBER(SEARCH(IF(J$1&lt;&gt;"",J$1,"NA"),'MITRE ATT&amp;CK Mappings'!$E23)),ISNUMBER(SEARCH(IF(J$1&lt;&gt;"",J$1,"NA"),'MITRE ATT&amp;CK Mappings'!$F23))),ISNUMBER(SEARCH(IF(J$2&lt;&gt;"",J$2,"NA"),'MITRE ATT&amp;CK Mappings'!$G23))),ISNUMBER(SEARCH(IF(J$2&lt;&gt;"",J$2,"NA"),'MITRE ATT&amp;CK Mappings'!$H23))),ISNUMBER(SEARCH(IF(J$3&lt;&gt;"",J$3,"NA"),'MITRE ATT&amp;CK Mappings'!$I23))),ISNUMBER(SEARCH(IF(J$3&lt;&gt;"",J$3,"NA"),'MITRE ATT&amp;CK Mappings'!$J23))), 'MITRE ATT&amp;CK Mappings'!$B23,"")</f>
        <v/>
      </c>
      <c r="K27" s="27" t="str">
        <f>IF(OR(OR(OR(OR(OR(ISNUMBER(SEARCH(IF(K$1&lt;&gt;"",K$1,"NA"),'MITRE ATT&amp;CK Mappings'!$E23)),ISNUMBER(SEARCH(IF(K$1&lt;&gt;"",K$1,"NA"),'MITRE ATT&amp;CK Mappings'!$F23))),ISNUMBER(SEARCH(IF(K$2&lt;&gt;"",K$2,"NA"),'MITRE ATT&amp;CK Mappings'!$G23))),ISNUMBER(SEARCH(IF(K$2&lt;&gt;"",K$2,"NA"),'MITRE ATT&amp;CK Mappings'!$H23))),ISNUMBER(SEARCH(IF(K$3&lt;&gt;"",K$3,"NA"),'MITRE ATT&amp;CK Mappings'!$I23))),ISNUMBER(SEARCH(IF(K$3&lt;&gt;"",K$3,"NA"),'MITRE ATT&amp;CK Mappings'!$J23))), 'MITRE ATT&amp;CK Mappings'!$B23,"")</f>
        <v/>
      </c>
      <c r="L27" s="27" t="str">
        <f>IF('MITRE ATT&amp;CK Mappings'!D23 &lt;&gt;"",'MITRE ATT&amp;CK Mappings'!D23,"" )</f>
        <v>Ensure that 'User consent for applications' is set to 'Allow user consent for apps from verified publishers, for selected permissions'</v>
      </c>
    </row>
    <row r="28" spans="1:12" x14ac:dyDescent="0.25">
      <c r="A28" s="26" t="str">
        <f>IF(COUNTIF(B28:K28,"="&amp;'MITRE ATT&amp;CK Mappings'!B24)&gt;0,'MITRE ATT&amp;CK Mappings'!B24,"")</f>
        <v/>
      </c>
      <c r="B28" s="26" t="str">
        <f>IF(OR(OR(OR(OR(OR(ISNUMBER(SEARCH(IF(B$1&lt;&gt;"",B$1,"NA"),'MITRE ATT&amp;CK Mappings'!$E24)),ISNUMBER(SEARCH(IF(B$1&lt;&gt;"",B$1,"NA"),'MITRE ATT&amp;CK Mappings'!$F24))),ISNUMBER(SEARCH(IF(B$2&lt;&gt;"",B$2,"NA"),'MITRE ATT&amp;CK Mappings'!$G24))),ISNUMBER(SEARCH(IF(B$2&lt;&gt;"",B$2,"NA"),'MITRE ATT&amp;CK Mappings'!$H24))),ISNUMBER(SEARCH(IF(B$3&lt;&gt;"",B$3,"NA"),'MITRE ATT&amp;CK Mappings'!$I24))),ISNUMBER(SEARCH(IF(B$3&lt;&gt;"",B$3,"NA"),'MITRE ATT&amp;CK Mappings'!$J24))), 'MITRE ATT&amp;CK Mappings'!$B24,"")</f>
        <v/>
      </c>
      <c r="C28" s="26" t="str">
        <f>IF(OR(OR(OR(OR(OR(ISNUMBER(SEARCH(IF(C$1&lt;&gt;"",C$1,"NA"),'MITRE ATT&amp;CK Mappings'!$E24)),ISNUMBER(SEARCH(IF(C$1&lt;&gt;"",C$1,"NA"),'MITRE ATT&amp;CK Mappings'!$F24))),ISNUMBER(SEARCH(IF(C$2&lt;&gt;"",C$2,"NA"),'MITRE ATT&amp;CK Mappings'!$G24))),ISNUMBER(SEARCH(IF(C$2&lt;&gt;"",C$2,"NA"),'MITRE ATT&amp;CK Mappings'!$H24))),ISNUMBER(SEARCH(IF(C$3&lt;&gt;"",C$3,"NA"),'MITRE ATT&amp;CK Mappings'!$I24))),ISNUMBER(SEARCH(IF(C$3&lt;&gt;"",C$3,"NA"),'MITRE ATT&amp;CK Mappings'!$J24))), 'MITRE ATT&amp;CK Mappings'!$B24,"")</f>
        <v/>
      </c>
      <c r="D28" s="26" t="str">
        <f>IF(OR(OR(OR(OR(OR(ISNUMBER(SEARCH(IF(D$1&lt;&gt;"",D$1,"NA"),'MITRE ATT&amp;CK Mappings'!$E24)),ISNUMBER(SEARCH(IF(D$1&lt;&gt;"",D$1,"NA"),'MITRE ATT&amp;CK Mappings'!$F24))),ISNUMBER(SEARCH(IF(D$2&lt;&gt;"",D$2,"NA"),'MITRE ATT&amp;CK Mappings'!$G24))),ISNUMBER(SEARCH(IF(D$2&lt;&gt;"",D$2,"NA"),'MITRE ATT&amp;CK Mappings'!$H24))),ISNUMBER(SEARCH(IF(D$3&lt;&gt;"",D$3,"NA"),'MITRE ATT&amp;CK Mappings'!$I24))),ISNUMBER(SEARCH(IF(D$3&lt;&gt;"",D$3,"NA"),'MITRE ATT&amp;CK Mappings'!$J24))), 'MITRE ATT&amp;CK Mappings'!$B24,"")</f>
        <v/>
      </c>
      <c r="E28" s="26" t="str">
        <f>IF(OR(OR(OR(OR(OR(ISNUMBER(SEARCH(IF(E$1&lt;&gt;"",E$1,"NA"),'MITRE ATT&amp;CK Mappings'!$E24)),ISNUMBER(SEARCH(IF(E$1&lt;&gt;"",E$1,"NA"),'MITRE ATT&amp;CK Mappings'!$F24))),ISNUMBER(SEARCH(IF(E$2&lt;&gt;"",E$2,"NA"),'MITRE ATT&amp;CK Mappings'!$G24))),ISNUMBER(SEARCH(IF(E$2&lt;&gt;"",E$2,"NA"),'MITRE ATT&amp;CK Mappings'!$H24))),ISNUMBER(SEARCH(IF(E$3&lt;&gt;"",E$3,"NA"),'MITRE ATT&amp;CK Mappings'!$I24))),ISNUMBER(SEARCH(IF(E$3&lt;&gt;"",E$3,"NA"),'MITRE ATT&amp;CK Mappings'!$J24))), 'MITRE ATT&amp;CK Mappings'!$B24,"")</f>
        <v/>
      </c>
      <c r="F28" s="26" t="str">
        <f>IF(OR(OR(OR(OR(OR(ISNUMBER(SEARCH(IF(F$1&lt;&gt;"",F$1,"NA"),'MITRE ATT&amp;CK Mappings'!$E24)),ISNUMBER(SEARCH(IF(F$1&lt;&gt;"",F$1,"NA"),'MITRE ATT&amp;CK Mappings'!$F24))),ISNUMBER(SEARCH(IF(F$2&lt;&gt;"",F$2,"NA"),'MITRE ATT&amp;CK Mappings'!$G24))),ISNUMBER(SEARCH(IF(F$2&lt;&gt;"",F$2,"NA"),'MITRE ATT&amp;CK Mappings'!$H24))),ISNUMBER(SEARCH(IF(F$3&lt;&gt;"",F$3,"NA"),'MITRE ATT&amp;CK Mappings'!$I24))),ISNUMBER(SEARCH(IF(F$3&lt;&gt;"",F$3,"NA"),'MITRE ATT&amp;CK Mappings'!$J24))), 'MITRE ATT&amp;CK Mappings'!$B24,"")</f>
        <v/>
      </c>
      <c r="G28" s="26" t="str">
        <f>IF(OR(OR(OR(OR(OR(ISNUMBER(SEARCH(IF(G$1&lt;&gt;"",G$1,"NA"),'MITRE ATT&amp;CK Mappings'!$E24)),ISNUMBER(SEARCH(IF(G$1&lt;&gt;"",G$1,"NA"),'MITRE ATT&amp;CK Mappings'!$F24))),ISNUMBER(SEARCH(IF(G$2&lt;&gt;"",G$2,"NA"),'MITRE ATT&amp;CK Mappings'!$G24))),ISNUMBER(SEARCH(IF(G$2&lt;&gt;"",G$2,"NA"),'MITRE ATT&amp;CK Mappings'!$H24))),ISNUMBER(SEARCH(IF(G$3&lt;&gt;"",G$3,"NA"),'MITRE ATT&amp;CK Mappings'!$I24))),ISNUMBER(SEARCH(IF(G$3&lt;&gt;"",G$3,"NA"),'MITRE ATT&amp;CK Mappings'!$J24))), 'MITRE ATT&amp;CK Mappings'!$B24,"")</f>
        <v/>
      </c>
      <c r="H28" s="26" t="str">
        <f>IF(OR(OR(OR(OR(OR(ISNUMBER(SEARCH(IF(H$1&lt;&gt;"",H$1,"NA"),'MITRE ATT&amp;CK Mappings'!$E24)),ISNUMBER(SEARCH(IF(H$1&lt;&gt;"",H$1,"NA"),'MITRE ATT&amp;CK Mappings'!$F24))),ISNUMBER(SEARCH(IF(H$2&lt;&gt;"",H$2,"NA"),'MITRE ATT&amp;CK Mappings'!$G24))),ISNUMBER(SEARCH(IF(H$2&lt;&gt;"",H$2,"NA"),'MITRE ATT&amp;CK Mappings'!$H24))),ISNUMBER(SEARCH(IF(H$3&lt;&gt;"",H$3,"NA"),'MITRE ATT&amp;CK Mappings'!$I24))),ISNUMBER(SEARCH(IF(H$3&lt;&gt;"",H$3,"NA"),'MITRE ATT&amp;CK Mappings'!$J24))), 'MITRE ATT&amp;CK Mappings'!$B24,"")</f>
        <v/>
      </c>
      <c r="I28" s="26" t="str">
        <f>IF(OR(OR(OR(OR(OR(ISNUMBER(SEARCH(IF(I$1&lt;&gt;"",I$1,"NA"),'MITRE ATT&amp;CK Mappings'!$E24)),ISNUMBER(SEARCH(IF(I$1&lt;&gt;"",I$1,"NA"),'MITRE ATT&amp;CK Mappings'!$F24))),ISNUMBER(SEARCH(IF(I$2&lt;&gt;"",I$2,"NA"),'MITRE ATT&amp;CK Mappings'!$G24))),ISNUMBER(SEARCH(IF(I$2&lt;&gt;"",I$2,"NA"),'MITRE ATT&amp;CK Mappings'!$H24))),ISNUMBER(SEARCH(IF(I$3&lt;&gt;"",I$3,"NA"),'MITRE ATT&amp;CK Mappings'!$I24))),ISNUMBER(SEARCH(IF(I$3&lt;&gt;"",I$3,"NA"),'MITRE ATT&amp;CK Mappings'!$J24))), 'MITRE ATT&amp;CK Mappings'!$B24,"")</f>
        <v/>
      </c>
      <c r="J28" s="26" t="str">
        <f>IF(OR(OR(OR(OR(OR(ISNUMBER(SEARCH(IF(J$1&lt;&gt;"",J$1,"NA"),'MITRE ATT&amp;CK Mappings'!$E24)),ISNUMBER(SEARCH(IF(J$1&lt;&gt;"",J$1,"NA"),'MITRE ATT&amp;CK Mappings'!$F24))),ISNUMBER(SEARCH(IF(J$2&lt;&gt;"",J$2,"NA"),'MITRE ATT&amp;CK Mappings'!$G24))),ISNUMBER(SEARCH(IF(J$2&lt;&gt;"",J$2,"NA"),'MITRE ATT&amp;CK Mappings'!$H24))),ISNUMBER(SEARCH(IF(J$3&lt;&gt;"",J$3,"NA"),'MITRE ATT&amp;CK Mappings'!$I24))),ISNUMBER(SEARCH(IF(J$3&lt;&gt;"",J$3,"NA"),'MITRE ATT&amp;CK Mappings'!$J24))), 'MITRE ATT&amp;CK Mappings'!$B24,"")</f>
        <v/>
      </c>
      <c r="K28" s="26" t="str">
        <f>IF(OR(OR(OR(OR(OR(ISNUMBER(SEARCH(IF(K$1&lt;&gt;"",K$1,"NA"),'MITRE ATT&amp;CK Mappings'!$E24)),ISNUMBER(SEARCH(IF(K$1&lt;&gt;"",K$1,"NA"),'MITRE ATT&amp;CK Mappings'!$F24))),ISNUMBER(SEARCH(IF(K$2&lt;&gt;"",K$2,"NA"),'MITRE ATT&amp;CK Mappings'!$G24))),ISNUMBER(SEARCH(IF(K$2&lt;&gt;"",K$2,"NA"),'MITRE ATT&amp;CK Mappings'!$H24))),ISNUMBER(SEARCH(IF(K$3&lt;&gt;"",K$3,"NA"),'MITRE ATT&amp;CK Mappings'!$I24))),ISNUMBER(SEARCH(IF(K$3&lt;&gt;"",K$3,"NA"),'MITRE ATT&amp;CK Mappings'!$J24))), 'MITRE ATT&amp;CK Mappings'!$B24,"")</f>
        <v/>
      </c>
      <c r="L28" s="26" t="str">
        <f>IF('MITRE ATT&amp;CK Mappings'!D24 &lt;&gt;"",'MITRE ATT&amp;CK Mappings'!D24,"" )</f>
        <v>Ensure that 'Users can register applications' is set to 'No'</v>
      </c>
    </row>
    <row r="29" spans="1:12" x14ac:dyDescent="0.25">
      <c r="A29" s="27" t="str">
        <f>IF(COUNTIF(B29:K29,"="&amp;'MITRE ATT&amp;CK Mappings'!B25)&gt;0,'MITRE ATT&amp;CK Mappings'!B25,"")</f>
        <v/>
      </c>
      <c r="B29" s="27" t="str">
        <f>IF(OR(OR(OR(OR(OR(ISNUMBER(SEARCH(IF(B$1&lt;&gt;"",B$1,"NA"),'MITRE ATT&amp;CK Mappings'!$E25)),ISNUMBER(SEARCH(IF(B$1&lt;&gt;"",B$1,"NA"),'MITRE ATT&amp;CK Mappings'!$F25))),ISNUMBER(SEARCH(IF(B$2&lt;&gt;"",B$2,"NA"),'MITRE ATT&amp;CK Mappings'!$G25))),ISNUMBER(SEARCH(IF(B$2&lt;&gt;"",B$2,"NA"),'MITRE ATT&amp;CK Mappings'!$H25))),ISNUMBER(SEARCH(IF(B$3&lt;&gt;"",B$3,"NA"),'MITRE ATT&amp;CK Mappings'!$I25))),ISNUMBER(SEARCH(IF(B$3&lt;&gt;"",B$3,"NA"),'MITRE ATT&amp;CK Mappings'!$J25))), 'MITRE ATT&amp;CK Mappings'!$B25,"")</f>
        <v/>
      </c>
      <c r="C29" s="27" t="str">
        <f>IF(OR(OR(OR(OR(OR(ISNUMBER(SEARCH(IF(C$1&lt;&gt;"",C$1,"NA"),'MITRE ATT&amp;CK Mappings'!$E25)),ISNUMBER(SEARCH(IF(C$1&lt;&gt;"",C$1,"NA"),'MITRE ATT&amp;CK Mappings'!$F25))),ISNUMBER(SEARCH(IF(C$2&lt;&gt;"",C$2,"NA"),'MITRE ATT&amp;CK Mappings'!$G25))),ISNUMBER(SEARCH(IF(C$2&lt;&gt;"",C$2,"NA"),'MITRE ATT&amp;CK Mappings'!$H25))),ISNUMBER(SEARCH(IF(C$3&lt;&gt;"",C$3,"NA"),'MITRE ATT&amp;CK Mappings'!$I25))),ISNUMBER(SEARCH(IF(C$3&lt;&gt;"",C$3,"NA"),'MITRE ATT&amp;CK Mappings'!$J25))), 'MITRE ATT&amp;CK Mappings'!$B25,"")</f>
        <v/>
      </c>
      <c r="D29" s="27" t="str">
        <f>IF(OR(OR(OR(OR(OR(ISNUMBER(SEARCH(IF(D$1&lt;&gt;"",D$1,"NA"),'MITRE ATT&amp;CK Mappings'!$E25)),ISNUMBER(SEARCH(IF(D$1&lt;&gt;"",D$1,"NA"),'MITRE ATT&amp;CK Mappings'!$F25))),ISNUMBER(SEARCH(IF(D$2&lt;&gt;"",D$2,"NA"),'MITRE ATT&amp;CK Mappings'!$G25))),ISNUMBER(SEARCH(IF(D$2&lt;&gt;"",D$2,"NA"),'MITRE ATT&amp;CK Mappings'!$H25))),ISNUMBER(SEARCH(IF(D$3&lt;&gt;"",D$3,"NA"),'MITRE ATT&amp;CK Mappings'!$I25))),ISNUMBER(SEARCH(IF(D$3&lt;&gt;"",D$3,"NA"),'MITRE ATT&amp;CK Mappings'!$J25))), 'MITRE ATT&amp;CK Mappings'!$B25,"")</f>
        <v/>
      </c>
      <c r="E29" s="27" t="str">
        <f>IF(OR(OR(OR(OR(OR(ISNUMBER(SEARCH(IF(E$1&lt;&gt;"",E$1,"NA"),'MITRE ATT&amp;CK Mappings'!$E25)),ISNUMBER(SEARCH(IF(E$1&lt;&gt;"",E$1,"NA"),'MITRE ATT&amp;CK Mappings'!$F25))),ISNUMBER(SEARCH(IF(E$2&lt;&gt;"",E$2,"NA"),'MITRE ATT&amp;CK Mappings'!$G25))),ISNUMBER(SEARCH(IF(E$2&lt;&gt;"",E$2,"NA"),'MITRE ATT&amp;CK Mappings'!$H25))),ISNUMBER(SEARCH(IF(E$3&lt;&gt;"",E$3,"NA"),'MITRE ATT&amp;CK Mappings'!$I25))),ISNUMBER(SEARCH(IF(E$3&lt;&gt;"",E$3,"NA"),'MITRE ATT&amp;CK Mappings'!$J25))), 'MITRE ATT&amp;CK Mappings'!$B25,"")</f>
        <v/>
      </c>
      <c r="F29" s="27" t="str">
        <f>IF(OR(OR(OR(OR(OR(ISNUMBER(SEARCH(IF(F$1&lt;&gt;"",F$1,"NA"),'MITRE ATT&amp;CK Mappings'!$E25)),ISNUMBER(SEARCH(IF(F$1&lt;&gt;"",F$1,"NA"),'MITRE ATT&amp;CK Mappings'!$F25))),ISNUMBER(SEARCH(IF(F$2&lt;&gt;"",F$2,"NA"),'MITRE ATT&amp;CK Mappings'!$G25))),ISNUMBER(SEARCH(IF(F$2&lt;&gt;"",F$2,"NA"),'MITRE ATT&amp;CK Mappings'!$H25))),ISNUMBER(SEARCH(IF(F$3&lt;&gt;"",F$3,"NA"),'MITRE ATT&amp;CK Mappings'!$I25))),ISNUMBER(SEARCH(IF(F$3&lt;&gt;"",F$3,"NA"),'MITRE ATT&amp;CK Mappings'!$J25))), 'MITRE ATT&amp;CK Mappings'!$B25,"")</f>
        <v/>
      </c>
      <c r="G29" s="27" t="str">
        <f>IF(OR(OR(OR(OR(OR(ISNUMBER(SEARCH(IF(G$1&lt;&gt;"",G$1,"NA"),'MITRE ATT&amp;CK Mappings'!$E25)),ISNUMBER(SEARCH(IF(G$1&lt;&gt;"",G$1,"NA"),'MITRE ATT&amp;CK Mappings'!$F25))),ISNUMBER(SEARCH(IF(G$2&lt;&gt;"",G$2,"NA"),'MITRE ATT&amp;CK Mappings'!$G25))),ISNUMBER(SEARCH(IF(G$2&lt;&gt;"",G$2,"NA"),'MITRE ATT&amp;CK Mappings'!$H25))),ISNUMBER(SEARCH(IF(G$3&lt;&gt;"",G$3,"NA"),'MITRE ATT&amp;CK Mappings'!$I25))),ISNUMBER(SEARCH(IF(G$3&lt;&gt;"",G$3,"NA"),'MITRE ATT&amp;CK Mappings'!$J25))), 'MITRE ATT&amp;CK Mappings'!$B25,"")</f>
        <v/>
      </c>
      <c r="H29" s="27" t="str">
        <f>IF(OR(OR(OR(OR(OR(ISNUMBER(SEARCH(IF(H$1&lt;&gt;"",H$1,"NA"),'MITRE ATT&amp;CK Mappings'!$E25)),ISNUMBER(SEARCH(IF(H$1&lt;&gt;"",H$1,"NA"),'MITRE ATT&amp;CK Mappings'!$F25))),ISNUMBER(SEARCH(IF(H$2&lt;&gt;"",H$2,"NA"),'MITRE ATT&amp;CK Mappings'!$G25))),ISNUMBER(SEARCH(IF(H$2&lt;&gt;"",H$2,"NA"),'MITRE ATT&amp;CK Mappings'!$H25))),ISNUMBER(SEARCH(IF(H$3&lt;&gt;"",H$3,"NA"),'MITRE ATT&amp;CK Mappings'!$I25))),ISNUMBER(SEARCH(IF(H$3&lt;&gt;"",H$3,"NA"),'MITRE ATT&amp;CK Mappings'!$J25))), 'MITRE ATT&amp;CK Mappings'!$B25,"")</f>
        <v/>
      </c>
      <c r="I29" s="27" t="str">
        <f>IF(OR(OR(OR(OR(OR(ISNUMBER(SEARCH(IF(I$1&lt;&gt;"",I$1,"NA"),'MITRE ATT&amp;CK Mappings'!$E25)),ISNUMBER(SEARCH(IF(I$1&lt;&gt;"",I$1,"NA"),'MITRE ATT&amp;CK Mappings'!$F25))),ISNUMBER(SEARCH(IF(I$2&lt;&gt;"",I$2,"NA"),'MITRE ATT&amp;CK Mappings'!$G25))),ISNUMBER(SEARCH(IF(I$2&lt;&gt;"",I$2,"NA"),'MITRE ATT&amp;CK Mappings'!$H25))),ISNUMBER(SEARCH(IF(I$3&lt;&gt;"",I$3,"NA"),'MITRE ATT&amp;CK Mappings'!$I25))),ISNUMBER(SEARCH(IF(I$3&lt;&gt;"",I$3,"NA"),'MITRE ATT&amp;CK Mappings'!$J25))), 'MITRE ATT&amp;CK Mappings'!$B25,"")</f>
        <v/>
      </c>
      <c r="J29" s="27" t="str">
        <f>IF(OR(OR(OR(OR(OR(ISNUMBER(SEARCH(IF(J$1&lt;&gt;"",J$1,"NA"),'MITRE ATT&amp;CK Mappings'!$E25)),ISNUMBER(SEARCH(IF(J$1&lt;&gt;"",J$1,"NA"),'MITRE ATT&amp;CK Mappings'!$F25))),ISNUMBER(SEARCH(IF(J$2&lt;&gt;"",J$2,"NA"),'MITRE ATT&amp;CK Mappings'!$G25))),ISNUMBER(SEARCH(IF(J$2&lt;&gt;"",J$2,"NA"),'MITRE ATT&amp;CK Mappings'!$H25))),ISNUMBER(SEARCH(IF(J$3&lt;&gt;"",J$3,"NA"),'MITRE ATT&amp;CK Mappings'!$I25))),ISNUMBER(SEARCH(IF(J$3&lt;&gt;"",J$3,"NA"),'MITRE ATT&amp;CK Mappings'!$J25))), 'MITRE ATT&amp;CK Mappings'!$B25,"")</f>
        <v/>
      </c>
      <c r="K29" s="27" t="str">
        <f>IF(OR(OR(OR(OR(OR(ISNUMBER(SEARCH(IF(K$1&lt;&gt;"",K$1,"NA"),'MITRE ATT&amp;CK Mappings'!$E25)),ISNUMBER(SEARCH(IF(K$1&lt;&gt;"",K$1,"NA"),'MITRE ATT&amp;CK Mappings'!$F25))),ISNUMBER(SEARCH(IF(K$2&lt;&gt;"",K$2,"NA"),'MITRE ATT&amp;CK Mappings'!$G25))),ISNUMBER(SEARCH(IF(K$2&lt;&gt;"",K$2,"NA"),'MITRE ATT&amp;CK Mappings'!$H25))),ISNUMBER(SEARCH(IF(K$3&lt;&gt;"",K$3,"NA"),'MITRE ATT&amp;CK Mappings'!$I25))),ISNUMBER(SEARCH(IF(K$3&lt;&gt;"",K$3,"NA"),'MITRE ATT&amp;CK Mappings'!$J25))), 'MITRE ATT&amp;CK Mappings'!$B25,"")</f>
        <v/>
      </c>
      <c r="L29" s="27" t="str">
        <f>IF('MITRE ATT&amp;CK Mappings'!D25 &lt;&gt;"",'MITRE ATT&amp;CK Mappings'!D25,"" )</f>
        <v>Ensure that 'Guest users access restrictions' is set to 'Guest user access is restricted to properties and memberships of their own directory objects'</v>
      </c>
    </row>
    <row r="30" spans="1:12" x14ac:dyDescent="0.25">
      <c r="A30" s="26" t="str">
        <f>IF(COUNTIF(B30:K30,"="&amp;'MITRE ATT&amp;CK Mappings'!B26)&gt;0,'MITRE ATT&amp;CK Mappings'!B26,"")</f>
        <v/>
      </c>
      <c r="B30" s="26" t="str">
        <f>IF(OR(OR(OR(OR(OR(ISNUMBER(SEARCH(IF(B$1&lt;&gt;"",B$1,"NA"),'MITRE ATT&amp;CK Mappings'!$E26)),ISNUMBER(SEARCH(IF(B$1&lt;&gt;"",B$1,"NA"),'MITRE ATT&amp;CK Mappings'!$F26))),ISNUMBER(SEARCH(IF(B$2&lt;&gt;"",B$2,"NA"),'MITRE ATT&amp;CK Mappings'!$G26))),ISNUMBER(SEARCH(IF(B$2&lt;&gt;"",B$2,"NA"),'MITRE ATT&amp;CK Mappings'!$H26))),ISNUMBER(SEARCH(IF(B$3&lt;&gt;"",B$3,"NA"),'MITRE ATT&amp;CK Mappings'!$I26))),ISNUMBER(SEARCH(IF(B$3&lt;&gt;"",B$3,"NA"),'MITRE ATT&amp;CK Mappings'!$J26))), 'MITRE ATT&amp;CK Mappings'!$B26,"")</f>
        <v/>
      </c>
      <c r="C30" s="26" t="str">
        <f>IF(OR(OR(OR(OR(OR(ISNUMBER(SEARCH(IF(C$1&lt;&gt;"",C$1,"NA"),'MITRE ATT&amp;CK Mappings'!$E26)),ISNUMBER(SEARCH(IF(C$1&lt;&gt;"",C$1,"NA"),'MITRE ATT&amp;CK Mappings'!$F26))),ISNUMBER(SEARCH(IF(C$2&lt;&gt;"",C$2,"NA"),'MITRE ATT&amp;CK Mappings'!$G26))),ISNUMBER(SEARCH(IF(C$2&lt;&gt;"",C$2,"NA"),'MITRE ATT&amp;CK Mappings'!$H26))),ISNUMBER(SEARCH(IF(C$3&lt;&gt;"",C$3,"NA"),'MITRE ATT&amp;CK Mappings'!$I26))),ISNUMBER(SEARCH(IF(C$3&lt;&gt;"",C$3,"NA"),'MITRE ATT&amp;CK Mappings'!$J26))), 'MITRE ATT&amp;CK Mappings'!$B26,"")</f>
        <v/>
      </c>
      <c r="D30" s="26" t="str">
        <f>IF(OR(OR(OR(OR(OR(ISNUMBER(SEARCH(IF(D$1&lt;&gt;"",D$1,"NA"),'MITRE ATT&amp;CK Mappings'!$E26)),ISNUMBER(SEARCH(IF(D$1&lt;&gt;"",D$1,"NA"),'MITRE ATT&amp;CK Mappings'!$F26))),ISNUMBER(SEARCH(IF(D$2&lt;&gt;"",D$2,"NA"),'MITRE ATT&amp;CK Mappings'!$G26))),ISNUMBER(SEARCH(IF(D$2&lt;&gt;"",D$2,"NA"),'MITRE ATT&amp;CK Mappings'!$H26))),ISNUMBER(SEARCH(IF(D$3&lt;&gt;"",D$3,"NA"),'MITRE ATT&amp;CK Mappings'!$I26))),ISNUMBER(SEARCH(IF(D$3&lt;&gt;"",D$3,"NA"),'MITRE ATT&amp;CK Mappings'!$J26))), 'MITRE ATT&amp;CK Mappings'!$B26,"")</f>
        <v/>
      </c>
      <c r="E30" s="26" t="str">
        <f>IF(OR(OR(OR(OR(OR(ISNUMBER(SEARCH(IF(E$1&lt;&gt;"",E$1,"NA"),'MITRE ATT&amp;CK Mappings'!$E26)),ISNUMBER(SEARCH(IF(E$1&lt;&gt;"",E$1,"NA"),'MITRE ATT&amp;CK Mappings'!$F26))),ISNUMBER(SEARCH(IF(E$2&lt;&gt;"",E$2,"NA"),'MITRE ATT&amp;CK Mappings'!$G26))),ISNUMBER(SEARCH(IF(E$2&lt;&gt;"",E$2,"NA"),'MITRE ATT&amp;CK Mappings'!$H26))),ISNUMBER(SEARCH(IF(E$3&lt;&gt;"",E$3,"NA"),'MITRE ATT&amp;CK Mappings'!$I26))),ISNUMBER(SEARCH(IF(E$3&lt;&gt;"",E$3,"NA"),'MITRE ATT&amp;CK Mappings'!$J26))), 'MITRE ATT&amp;CK Mappings'!$B26,"")</f>
        <v/>
      </c>
      <c r="F30" s="26" t="str">
        <f>IF(OR(OR(OR(OR(OR(ISNUMBER(SEARCH(IF(F$1&lt;&gt;"",F$1,"NA"),'MITRE ATT&amp;CK Mappings'!$E26)),ISNUMBER(SEARCH(IF(F$1&lt;&gt;"",F$1,"NA"),'MITRE ATT&amp;CK Mappings'!$F26))),ISNUMBER(SEARCH(IF(F$2&lt;&gt;"",F$2,"NA"),'MITRE ATT&amp;CK Mappings'!$G26))),ISNUMBER(SEARCH(IF(F$2&lt;&gt;"",F$2,"NA"),'MITRE ATT&amp;CK Mappings'!$H26))),ISNUMBER(SEARCH(IF(F$3&lt;&gt;"",F$3,"NA"),'MITRE ATT&amp;CK Mappings'!$I26))),ISNUMBER(SEARCH(IF(F$3&lt;&gt;"",F$3,"NA"),'MITRE ATT&amp;CK Mappings'!$J26))), 'MITRE ATT&amp;CK Mappings'!$B26,"")</f>
        <v/>
      </c>
      <c r="G30" s="26" t="str">
        <f>IF(OR(OR(OR(OR(OR(ISNUMBER(SEARCH(IF(G$1&lt;&gt;"",G$1,"NA"),'MITRE ATT&amp;CK Mappings'!$E26)),ISNUMBER(SEARCH(IF(G$1&lt;&gt;"",G$1,"NA"),'MITRE ATT&amp;CK Mappings'!$F26))),ISNUMBER(SEARCH(IF(G$2&lt;&gt;"",G$2,"NA"),'MITRE ATT&amp;CK Mappings'!$G26))),ISNUMBER(SEARCH(IF(G$2&lt;&gt;"",G$2,"NA"),'MITRE ATT&amp;CK Mappings'!$H26))),ISNUMBER(SEARCH(IF(G$3&lt;&gt;"",G$3,"NA"),'MITRE ATT&amp;CK Mappings'!$I26))),ISNUMBER(SEARCH(IF(G$3&lt;&gt;"",G$3,"NA"),'MITRE ATT&amp;CK Mappings'!$J26))), 'MITRE ATT&amp;CK Mappings'!$B26,"")</f>
        <v/>
      </c>
      <c r="H30" s="26" t="str">
        <f>IF(OR(OR(OR(OR(OR(ISNUMBER(SEARCH(IF(H$1&lt;&gt;"",H$1,"NA"),'MITRE ATT&amp;CK Mappings'!$E26)),ISNUMBER(SEARCH(IF(H$1&lt;&gt;"",H$1,"NA"),'MITRE ATT&amp;CK Mappings'!$F26))),ISNUMBER(SEARCH(IF(H$2&lt;&gt;"",H$2,"NA"),'MITRE ATT&amp;CK Mappings'!$G26))),ISNUMBER(SEARCH(IF(H$2&lt;&gt;"",H$2,"NA"),'MITRE ATT&amp;CK Mappings'!$H26))),ISNUMBER(SEARCH(IF(H$3&lt;&gt;"",H$3,"NA"),'MITRE ATT&amp;CK Mappings'!$I26))),ISNUMBER(SEARCH(IF(H$3&lt;&gt;"",H$3,"NA"),'MITRE ATT&amp;CK Mappings'!$J26))), 'MITRE ATT&amp;CK Mappings'!$B26,"")</f>
        <v/>
      </c>
      <c r="I30" s="26" t="str">
        <f>IF(OR(OR(OR(OR(OR(ISNUMBER(SEARCH(IF(I$1&lt;&gt;"",I$1,"NA"),'MITRE ATT&amp;CK Mappings'!$E26)),ISNUMBER(SEARCH(IF(I$1&lt;&gt;"",I$1,"NA"),'MITRE ATT&amp;CK Mappings'!$F26))),ISNUMBER(SEARCH(IF(I$2&lt;&gt;"",I$2,"NA"),'MITRE ATT&amp;CK Mappings'!$G26))),ISNUMBER(SEARCH(IF(I$2&lt;&gt;"",I$2,"NA"),'MITRE ATT&amp;CK Mappings'!$H26))),ISNUMBER(SEARCH(IF(I$3&lt;&gt;"",I$3,"NA"),'MITRE ATT&amp;CK Mappings'!$I26))),ISNUMBER(SEARCH(IF(I$3&lt;&gt;"",I$3,"NA"),'MITRE ATT&amp;CK Mappings'!$J26))), 'MITRE ATT&amp;CK Mappings'!$B26,"")</f>
        <v/>
      </c>
      <c r="J30" s="26" t="str">
        <f>IF(OR(OR(OR(OR(OR(ISNUMBER(SEARCH(IF(J$1&lt;&gt;"",J$1,"NA"),'MITRE ATT&amp;CK Mappings'!$E26)),ISNUMBER(SEARCH(IF(J$1&lt;&gt;"",J$1,"NA"),'MITRE ATT&amp;CK Mappings'!$F26))),ISNUMBER(SEARCH(IF(J$2&lt;&gt;"",J$2,"NA"),'MITRE ATT&amp;CK Mappings'!$G26))),ISNUMBER(SEARCH(IF(J$2&lt;&gt;"",J$2,"NA"),'MITRE ATT&amp;CK Mappings'!$H26))),ISNUMBER(SEARCH(IF(J$3&lt;&gt;"",J$3,"NA"),'MITRE ATT&amp;CK Mappings'!$I26))),ISNUMBER(SEARCH(IF(J$3&lt;&gt;"",J$3,"NA"),'MITRE ATT&amp;CK Mappings'!$J26))), 'MITRE ATT&amp;CK Mappings'!$B26,"")</f>
        <v/>
      </c>
      <c r="K30" s="26" t="str">
        <f>IF(OR(OR(OR(OR(OR(ISNUMBER(SEARCH(IF(K$1&lt;&gt;"",K$1,"NA"),'MITRE ATT&amp;CK Mappings'!$E26)),ISNUMBER(SEARCH(IF(K$1&lt;&gt;"",K$1,"NA"),'MITRE ATT&amp;CK Mappings'!$F26))),ISNUMBER(SEARCH(IF(K$2&lt;&gt;"",K$2,"NA"),'MITRE ATT&amp;CK Mappings'!$G26))),ISNUMBER(SEARCH(IF(K$2&lt;&gt;"",K$2,"NA"),'MITRE ATT&amp;CK Mappings'!$H26))),ISNUMBER(SEARCH(IF(K$3&lt;&gt;"",K$3,"NA"),'MITRE ATT&amp;CK Mappings'!$I26))),ISNUMBER(SEARCH(IF(K$3&lt;&gt;"",K$3,"NA"),'MITRE ATT&amp;CK Mappings'!$J26))), 'MITRE ATT&amp;CK Mappings'!$B26,"")</f>
        <v/>
      </c>
      <c r="L30" s="26" t="str">
        <f>IF('MITRE ATT&amp;CK Mappings'!D26 &lt;&gt;"",'MITRE ATT&amp;CK Mappings'!D26,"" )</f>
        <v>Ensure that 'Guest invite restrictions' is set to 'Only users assigned to specific admin roles [...]' or 'No one [..]'</v>
      </c>
    </row>
    <row r="31" spans="1:12" x14ac:dyDescent="0.25">
      <c r="A31" s="27" t="str">
        <f>IF(COUNTIF(B31:K31,"="&amp;'MITRE ATT&amp;CK Mappings'!B27)&gt;0,'MITRE ATT&amp;CK Mappings'!B27,"")</f>
        <v/>
      </c>
      <c r="B31" s="27" t="str">
        <f>IF(OR(OR(OR(OR(OR(ISNUMBER(SEARCH(IF(B$1&lt;&gt;"",B$1,"NA"),'MITRE ATT&amp;CK Mappings'!$E27)),ISNUMBER(SEARCH(IF(B$1&lt;&gt;"",B$1,"NA"),'MITRE ATT&amp;CK Mappings'!$F27))),ISNUMBER(SEARCH(IF(B$2&lt;&gt;"",B$2,"NA"),'MITRE ATT&amp;CK Mappings'!$G27))),ISNUMBER(SEARCH(IF(B$2&lt;&gt;"",B$2,"NA"),'MITRE ATT&amp;CK Mappings'!$H27))),ISNUMBER(SEARCH(IF(B$3&lt;&gt;"",B$3,"NA"),'MITRE ATT&amp;CK Mappings'!$I27))),ISNUMBER(SEARCH(IF(B$3&lt;&gt;"",B$3,"NA"),'MITRE ATT&amp;CK Mappings'!$J27))), 'MITRE ATT&amp;CK Mappings'!$B27,"")</f>
        <v/>
      </c>
      <c r="C31" s="27" t="str">
        <f>IF(OR(OR(OR(OR(OR(ISNUMBER(SEARCH(IF(C$1&lt;&gt;"",C$1,"NA"),'MITRE ATT&amp;CK Mappings'!$E27)),ISNUMBER(SEARCH(IF(C$1&lt;&gt;"",C$1,"NA"),'MITRE ATT&amp;CK Mappings'!$F27))),ISNUMBER(SEARCH(IF(C$2&lt;&gt;"",C$2,"NA"),'MITRE ATT&amp;CK Mappings'!$G27))),ISNUMBER(SEARCH(IF(C$2&lt;&gt;"",C$2,"NA"),'MITRE ATT&amp;CK Mappings'!$H27))),ISNUMBER(SEARCH(IF(C$3&lt;&gt;"",C$3,"NA"),'MITRE ATT&amp;CK Mappings'!$I27))),ISNUMBER(SEARCH(IF(C$3&lt;&gt;"",C$3,"NA"),'MITRE ATT&amp;CK Mappings'!$J27))), 'MITRE ATT&amp;CK Mappings'!$B27,"")</f>
        <v/>
      </c>
      <c r="D31" s="27" t="str">
        <f>IF(OR(OR(OR(OR(OR(ISNUMBER(SEARCH(IF(D$1&lt;&gt;"",D$1,"NA"),'MITRE ATT&amp;CK Mappings'!$E27)),ISNUMBER(SEARCH(IF(D$1&lt;&gt;"",D$1,"NA"),'MITRE ATT&amp;CK Mappings'!$F27))),ISNUMBER(SEARCH(IF(D$2&lt;&gt;"",D$2,"NA"),'MITRE ATT&amp;CK Mappings'!$G27))),ISNUMBER(SEARCH(IF(D$2&lt;&gt;"",D$2,"NA"),'MITRE ATT&amp;CK Mappings'!$H27))),ISNUMBER(SEARCH(IF(D$3&lt;&gt;"",D$3,"NA"),'MITRE ATT&amp;CK Mappings'!$I27))),ISNUMBER(SEARCH(IF(D$3&lt;&gt;"",D$3,"NA"),'MITRE ATT&amp;CK Mappings'!$J27))), 'MITRE ATT&amp;CK Mappings'!$B27,"")</f>
        <v/>
      </c>
      <c r="E31" s="27" t="str">
        <f>IF(OR(OR(OR(OR(OR(ISNUMBER(SEARCH(IF(E$1&lt;&gt;"",E$1,"NA"),'MITRE ATT&amp;CK Mappings'!$E27)),ISNUMBER(SEARCH(IF(E$1&lt;&gt;"",E$1,"NA"),'MITRE ATT&amp;CK Mappings'!$F27))),ISNUMBER(SEARCH(IF(E$2&lt;&gt;"",E$2,"NA"),'MITRE ATT&amp;CK Mappings'!$G27))),ISNUMBER(SEARCH(IF(E$2&lt;&gt;"",E$2,"NA"),'MITRE ATT&amp;CK Mappings'!$H27))),ISNUMBER(SEARCH(IF(E$3&lt;&gt;"",E$3,"NA"),'MITRE ATT&amp;CK Mappings'!$I27))),ISNUMBER(SEARCH(IF(E$3&lt;&gt;"",E$3,"NA"),'MITRE ATT&amp;CK Mappings'!$J27))), 'MITRE ATT&amp;CK Mappings'!$B27,"")</f>
        <v/>
      </c>
      <c r="F31" s="27" t="str">
        <f>IF(OR(OR(OR(OR(OR(ISNUMBER(SEARCH(IF(F$1&lt;&gt;"",F$1,"NA"),'MITRE ATT&amp;CK Mappings'!$E27)),ISNUMBER(SEARCH(IF(F$1&lt;&gt;"",F$1,"NA"),'MITRE ATT&amp;CK Mappings'!$F27))),ISNUMBER(SEARCH(IF(F$2&lt;&gt;"",F$2,"NA"),'MITRE ATT&amp;CK Mappings'!$G27))),ISNUMBER(SEARCH(IF(F$2&lt;&gt;"",F$2,"NA"),'MITRE ATT&amp;CK Mappings'!$H27))),ISNUMBER(SEARCH(IF(F$3&lt;&gt;"",F$3,"NA"),'MITRE ATT&amp;CK Mappings'!$I27))),ISNUMBER(SEARCH(IF(F$3&lt;&gt;"",F$3,"NA"),'MITRE ATT&amp;CK Mappings'!$J27))), 'MITRE ATT&amp;CK Mappings'!$B27,"")</f>
        <v/>
      </c>
      <c r="G31" s="27" t="str">
        <f>IF(OR(OR(OR(OR(OR(ISNUMBER(SEARCH(IF(G$1&lt;&gt;"",G$1,"NA"),'MITRE ATT&amp;CK Mappings'!$E27)),ISNUMBER(SEARCH(IF(G$1&lt;&gt;"",G$1,"NA"),'MITRE ATT&amp;CK Mappings'!$F27))),ISNUMBER(SEARCH(IF(G$2&lt;&gt;"",G$2,"NA"),'MITRE ATT&amp;CK Mappings'!$G27))),ISNUMBER(SEARCH(IF(G$2&lt;&gt;"",G$2,"NA"),'MITRE ATT&amp;CK Mappings'!$H27))),ISNUMBER(SEARCH(IF(G$3&lt;&gt;"",G$3,"NA"),'MITRE ATT&amp;CK Mappings'!$I27))),ISNUMBER(SEARCH(IF(G$3&lt;&gt;"",G$3,"NA"),'MITRE ATT&amp;CK Mappings'!$J27))), 'MITRE ATT&amp;CK Mappings'!$B27,"")</f>
        <v/>
      </c>
      <c r="H31" s="27" t="str">
        <f>IF(OR(OR(OR(OR(OR(ISNUMBER(SEARCH(IF(H$1&lt;&gt;"",H$1,"NA"),'MITRE ATT&amp;CK Mappings'!$E27)),ISNUMBER(SEARCH(IF(H$1&lt;&gt;"",H$1,"NA"),'MITRE ATT&amp;CK Mappings'!$F27))),ISNUMBER(SEARCH(IF(H$2&lt;&gt;"",H$2,"NA"),'MITRE ATT&amp;CK Mappings'!$G27))),ISNUMBER(SEARCH(IF(H$2&lt;&gt;"",H$2,"NA"),'MITRE ATT&amp;CK Mappings'!$H27))),ISNUMBER(SEARCH(IF(H$3&lt;&gt;"",H$3,"NA"),'MITRE ATT&amp;CK Mappings'!$I27))),ISNUMBER(SEARCH(IF(H$3&lt;&gt;"",H$3,"NA"),'MITRE ATT&amp;CK Mappings'!$J27))), 'MITRE ATT&amp;CK Mappings'!$B27,"")</f>
        <v/>
      </c>
      <c r="I31" s="27" t="str">
        <f>IF(OR(OR(OR(OR(OR(ISNUMBER(SEARCH(IF(I$1&lt;&gt;"",I$1,"NA"),'MITRE ATT&amp;CK Mappings'!$E27)),ISNUMBER(SEARCH(IF(I$1&lt;&gt;"",I$1,"NA"),'MITRE ATT&amp;CK Mappings'!$F27))),ISNUMBER(SEARCH(IF(I$2&lt;&gt;"",I$2,"NA"),'MITRE ATT&amp;CK Mappings'!$G27))),ISNUMBER(SEARCH(IF(I$2&lt;&gt;"",I$2,"NA"),'MITRE ATT&amp;CK Mappings'!$H27))),ISNUMBER(SEARCH(IF(I$3&lt;&gt;"",I$3,"NA"),'MITRE ATT&amp;CK Mappings'!$I27))),ISNUMBER(SEARCH(IF(I$3&lt;&gt;"",I$3,"NA"),'MITRE ATT&amp;CK Mappings'!$J27))), 'MITRE ATT&amp;CK Mappings'!$B27,"")</f>
        <v/>
      </c>
      <c r="J31" s="27" t="str">
        <f>IF(OR(OR(OR(OR(OR(ISNUMBER(SEARCH(IF(J$1&lt;&gt;"",J$1,"NA"),'MITRE ATT&amp;CK Mappings'!$E27)),ISNUMBER(SEARCH(IF(J$1&lt;&gt;"",J$1,"NA"),'MITRE ATT&amp;CK Mappings'!$F27))),ISNUMBER(SEARCH(IF(J$2&lt;&gt;"",J$2,"NA"),'MITRE ATT&amp;CK Mappings'!$G27))),ISNUMBER(SEARCH(IF(J$2&lt;&gt;"",J$2,"NA"),'MITRE ATT&amp;CK Mappings'!$H27))),ISNUMBER(SEARCH(IF(J$3&lt;&gt;"",J$3,"NA"),'MITRE ATT&amp;CK Mappings'!$I27))),ISNUMBER(SEARCH(IF(J$3&lt;&gt;"",J$3,"NA"),'MITRE ATT&amp;CK Mappings'!$J27))), 'MITRE ATT&amp;CK Mappings'!$B27,"")</f>
        <v/>
      </c>
      <c r="K31" s="27" t="str">
        <f>IF(OR(OR(OR(OR(OR(ISNUMBER(SEARCH(IF(K$1&lt;&gt;"",K$1,"NA"),'MITRE ATT&amp;CK Mappings'!$E27)),ISNUMBER(SEARCH(IF(K$1&lt;&gt;"",K$1,"NA"),'MITRE ATT&amp;CK Mappings'!$F27))),ISNUMBER(SEARCH(IF(K$2&lt;&gt;"",K$2,"NA"),'MITRE ATT&amp;CK Mappings'!$G27))),ISNUMBER(SEARCH(IF(K$2&lt;&gt;"",K$2,"NA"),'MITRE ATT&amp;CK Mappings'!$H27))),ISNUMBER(SEARCH(IF(K$3&lt;&gt;"",K$3,"NA"),'MITRE ATT&amp;CK Mappings'!$I27))),ISNUMBER(SEARCH(IF(K$3&lt;&gt;"",K$3,"NA"),'MITRE ATT&amp;CK Mappings'!$J27))), 'MITRE ATT&amp;CK Mappings'!$B27,"")</f>
        <v/>
      </c>
      <c r="L31" s="27" t="str">
        <f>IF('MITRE ATT&amp;CK Mappings'!D27 &lt;&gt;"",'MITRE ATT&amp;CK Mappings'!D27,"" )</f>
        <v>Ensure that 'Restrict access to Microsoft Entra admin center' is set to 'Yes'</v>
      </c>
    </row>
    <row r="32" spans="1:12" x14ac:dyDescent="0.25">
      <c r="A32" s="26" t="str">
        <f>IF(COUNTIF(B32:K32,"="&amp;'MITRE ATT&amp;CK Mappings'!B28)&gt;0,'MITRE ATT&amp;CK Mappings'!B28,"")</f>
        <v/>
      </c>
      <c r="B32" s="26" t="str">
        <f>IF(OR(OR(OR(OR(OR(ISNUMBER(SEARCH(IF(B$1&lt;&gt;"",B$1,"NA"),'MITRE ATT&amp;CK Mappings'!$E28)),ISNUMBER(SEARCH(IF(B$1&lt;&gt;"",B$1,"NA"),'MITRE ATT&amp;CK Mappings'!$F28))),ISNUMBER(SEARCH(IF(B$2&lt;&gt;"",B$2,"NA"),'MITRE ATT&amp;CK Mappings'!$G28))),ISNUMBER(SEARCH(IF(B$2&lt;&gt;"",B$2,"NA"),'MITRE ATT&amp;CK Mappings'!$H28))),ISNUMBER(SEARCH(IF(B$3&lt;&gt;"",B$3,"NA"),'MITRE ATT&amp;CK Mappings'!$I28))),ISNUMBER(SEARCH(IF(B$3&lt;&gt;"",B$3,"NA"),'MITRE ATT&amp;CK Mappings'!$J28))), 'MITRE ATT&amp;CK Mappings'!$B28,"")</f>
        <v/>
      </c>
      <c r="C32" s="26" t="str">
        <f>IF(OR(OR(OR(OR(OR(ISNUMBER(SEARCH(IF(C$1&lt;&gt;"",C$1,"NA"),'MITRE ATT&amp;CK Mappings'!$E28)),ISNUMBER(SEARCH(IF(C$1&lt;&gt;"",C$1,"NA"),'MITRE ATT&amp;CK Mappings'!$F28))),ISNUMBER(SEARCH(IF(C$2&lt;&gt;"",C$2,"NA"),'MITRE ATT&amp;CK Mappings'!$G28))),ISNUMBER(SEARCH(IF(C$2&lt;&gt;"",C$2,"NA"),'MITRE ATT&amp;CK Mappings'!$H28))),ISNUMBER(SEARCH(IF(C$3&lt;&gt;"",C$3,"NA"),'MITRE ATT&amp;CK Mappings'!$I28))),ISNUMBER(SEARCH(IF(C$3&lt;&gt;"",C$3,"NA"),'MITRE ATT&amp;CK Mappings'!$J28))), 'MITRE ATT&amp;CK Mappings'!$B28,"")</f>
        <v/>
      </c>
      <c r="D32" s="26" t="str">
        <f>IF(OR(OR(OR(OR(OR(ISNUMBER(SEARCH(IF(D$1&lt;&gt;"",D$1,"NA"),'MITRE ATT&amp;CK Mappings'!$E28)),ISNUMBER(SEARCH(IF(D$1&lt;&gt;"",D$1,"NA"),'MITRE ATT&amp;CK Mappings'!$F28))),ISNUMBER(SEARCH(IF(D$2&lt;&gt;"",D$2,"NA"),'MITRE ATT&amp;CK Mappings'!$G28))),ISNUMBER(SEARCH(IF(D$2&lt;&gt;"",D$2,"NA"),'MITRE ATT&amp;CK Mappings'!$H28))),ISNUMBER(SEARCH(IF(D$3&lt;&gt;"",D$3,"NA"),'MITRE ATT&amp;CK Mappings'!$I28))),ISNUMBER(SEARCH(IF(D$3&lt;&gt;"",D$3,"NA"),'MITRE ATT&amp;CK Mappings'!$J28))), 'MITRE ATT&amp;CK Mappings'!$B28,"")</f>
        <v/>
      </c>
      <c r="E32" s="26" t="str">
        <f>IF(OR(OR(OR(OR(OR(ISNUMBER(SEARCH(IF(E$1&lt;&gt;"",E$1,"NA"),'MITRE ATT&amp;CK Mappings'!$E28)),ISNUMBER(SEARCH(IF(E$1&lt;&gt;"",E$1,"NA"),'MITRE ATT&amp;CK Mappings'!$F28))),ISNUMBER(SEARCH(IF(E$2&lt;&gt;"",E$2,"NA"),'MITRE ATT&amp;CK Mappings'!$G28))),ISNUMBER(SEARCH(IF(E$2&lt;&gt;"",E$2,"NA"),'MITRE ATT&amp;CK Mappings'!$H28))),ISNUMBER(SEARCH(IF(E$3&lt;&gt;"",E$3,"NA"),'MITRE ATT&amp;CK Mappings'!$I28))),ISNUMBER(SEARCH(IF(E$3&lt;&gt;"",E$3,"NA"),'MITRE ATT&amp;CK Mappings'!$J28))), 'MITRE ATT&amp;CK Mappings'!$B28,"")</f>
        <v/>
      </c>
      <c r="F32" s="26" t="str">
        <f>IF(OR(OR(OR(OR(OR(ISNUMBER(SEARCH(IF(F$1&lt;&gt;"",F$1,"NA"),'MITRE ATT&amp;CK Mappings'!$E28)),ISNUMBER(SEARCH(IF(F$1&lt;&gt;"",F$1,"NA"),'MITRE ATT&amp;CK Mappings'!$F28))),ISNUMBER(SEARCH(IF(F$2&lt;&gt;"",F$2,"NA"),'MITRE ATT&amp;CK Mappings'!$G28))),ISNUMBER(SEARCH(IF(F$2&lt;&gt;"",F$2,"NA"),'MITRE ATT&amp;CK Mappings'!$H28))),ISNUMBER(SEARCH(IF(F$3&lt;&gt;"",F$3,"NA"),'MITRE ATT&amp;CK Mappings'!$I28))),ISNUMBER(SEARCH(IF(F$3&lt;&gt;"",F$3,"NA"),'MITRE ATT&amp;CK Mappings'!$J28))), 'MITRE ATT&amp;CK Mappings'!$B28,"")</f>
        <v/>
      </c>
      <c r="G32" s="26" t="str">
        <f>IF(OR(OR(OR(OR(OR(ISNUMBER(SEARCH(IF(G$1&lt;&gt;"",G$1,"NA"),'MITRE ATT&amp;CK Mappings'!$E28)),ISNUMBER(SEARCH(IF(G$1&lt;&gt;"",G$1,"NA"),'MITRE ATT&amp;CK Mappings'!$F28))),ISNUMBER(SEARCH(IF(G$2&lt;&gt;"",G$2,"NA"),'MITRE ATT&amp;CK Mappings'!$G28))),ISNUMBER(SEARCH(IF(G$2&lt;&gt;"",G$2,"NA"),'MITRE ATT&amp;CK Mappings'!$H28))),ISNUMBER(SEARCH(IF(G$3&lt;&gt;"",G$3,"NA"),'MITRE ATT&amp;CK Mappings'!$I28))),ISNUMBER(SEARCH(IF(G$3&lt;&gt;"",G$3,"NA"),'MITRE ATT&amp;CK Mappings'!$J28))), 'MITRE ATT&amp;CK Mappings'!$B28,"")</f>
        <v/>
      </c>
      <c r="H32" s="26" t="str">
        <f>IF(OR(OR(OR(OR(OR(ISNUMBER(SEARCH(IF(H$1&lt;&gt;"",H$1,"NA"),'MITRE ATT&amp;CK Mappings'!$E28)),ISNUMBER(SEARCH(IF(H$1&lt;&gt;"",H$1,"NA"),'MITRE ATT&amp;CK Mappings'!$F28))),ISNUMBER(SEARCH(IF(H$2&lt;&gt;"",H$2,"NA"),'MITRE ATT&amp;CK Mappings'!$G28))),ISNUMBER(SEARCH(IF(H$2&lt;&gt;"",H$2,"NA"),'MITRE ATT&amp;CK Mappings'!$H28))),ISNUMBER(SEARCH(IF(H$3&lt;&gt;"",H$3,"NA"),'MITRE ATT&amp;CK Mappings'!$I28))),ISNUMBER(SEARCH(IF(H$3&lt;&gt;"",H$3,"NA"),'MITRE ATT&amp;CK Mappings'!$J28))), 'MITRE ATT&amp;CK Mappings'!$B28,"")</f>
        <v/>
      </c>
      <c r="I32" s="26" t="str">
        <f>IF(OR(OR(OR(OR(OR(ISNUMBER(SEARCH(IF(I$1&lt;&gt;"",I$1,"NA"),'MITRE ATT&amp;CK Mappings'!$E28)),ISNUMBER(SEARCH(IF(I$1&lt;&gt;"",I$1,"NA"),'MITRE ATT&amp;CK Mappings'!$F28))),ISNUMBER(SEARCH(IF(I$2&lt;&gt;"",I$2,"NA"),'MITRE ATT&amp;CK Mappings'!$G28))),ISNUMBER(SEARCH(IF(I$2&lt;&gt;"",I$2,"NA"),'MITRE ATT&amp;CK Mappings'!$H28))),ISNUMBER(SEARCH(IF(I$3&lt;&gt;"",I$3,"NA"),'MITRE ATT&amp;CK Mappings'!$I28))),ISNUMBER(SEARCH(IF(I$3&lt;&gt;"",I$3,"NA"),'MITRE ATT&amp;CK Mappings'!$J28))), 'MITRE ATT&amp;CK Mappings'!$B28,"")</f>
        <v/>
      </c>
      <c r="J32" s="26" t="str">
        <f>IF(OR(OR(OR(OR(OR(ISNUMBER(SEARCH(IF(J$1&lt;&gt;"",J$1,"NA"),'MITRE ATT&amp;CK Mappings'!$E28)),ISNUMBER(SEARCH(IF(J$1&lt;&gt;"",J$1,"NA"),'MITRE ATT&amp;CK Mappings'!$F28))),ISNUMBER(SEARCH(IF(J$2&lt;&gt;"",J$2,"NA"),'MITRE ATT&amp;CK Mappings'!$G28))),ISNUMBER(SEARCH(IF(J$2&lt;&gt;"",J$2,"NA"),'MITRE ATT&amp;CK Mappings'!$H28))),ISNUMBER(SEARCH(IF(J$3&lt;&gt;"",J$3,"NA"),'MITRE ATT&amp;CK Mappings'!$I28))),ISNUMBER(SEARCH(IF(J$3&lt;&gt;"",J$3,"NA"),'MITRE ATT&amp;CK Mappings'!$J28))), 'MITRE ATT&amp;CK Mappings'!$B28,"")</f>
        <v/>
      </c>
      <c r="K32" s="26" t="str">
        <f>IF(OR(OR(OR(OR(OR(ISNUMBER(SEARCH(IF(K$1&lt;&gt;"",K$1,"NA"),'MITRE ATT&amp;CK Mappings'!$E28)),ISNUMBER(SEARCH(IF(K$1&lt;&gt;"",K$1,"NA"),'MITRE ATT&amp;CK Mappings'!$F28))),ISNUMBER(SEARCH(IF(K$2&lt;&gt;"",K$2,"NA"),'MITRE ATT&amp;CK Mappings'!$G28))),ISNUMBER(SEARCH(IF(K$2&lt;&gt;"",K$2,"NA"),'MITRE ATT&amp;CK Mappings'!$H28))),ISNUMBER(SEARCH(IF(K$3&lt;&gt;"",K$3,"NA"),'MITRE ATT&amp;CK Mappings'!$I28))),ISNUMBER(SEARCH(IF(K$3&lt;&gt;"",K$3,"NA"),'MITRE ATT&amp;CK Mappings'!$J28))), 'MITRE ATT&amp;CK Mappings'!$B28,"")</f>
        <v/>
      </c>
      <c r="L32" s="26" t="str">
        <f>IF('MITRE ATT&amp;CK Mappings'!D28 &lt;&gt;"",'MITRE ATT&amp;CK Mappings'!D28,"" )</f>
        <v>Ensure that 'Restrict user ability to access groups features in My Groups' is set to 'Yes'</v>
      </c>
    </row>
    <row r="33" spans="1:12" x14ac:dyDescent="0.25">
      <c r="A33" s="27" t="str">
        <f>IF(COUNTIF(B33:K33,"="&amp;'MITRE ATT&amp;CK Mappings'!B29)&gt;0,'MITRE ATT&amp;CK Mappings'!B29,"")</f>
        <v/>
      </c>
      <c r="B33" s="27" t="str">
        <f>IF(OR(OR(OR(OR(OR(ISNUMBER(SEARCH(IF(B$1&lt;&gt;"",B$1,"NA"),'MITRE ATT&amp;CK Mappings'!$E29)),ISNUMBER(SEARCH(IF(B$1&lt;&gt;"",B$1,"NA"),'MITRE ATT&amp;CK Mappings'!$F29))),ISNUMBER(SEARCH(IF(B$2&lt;&gt;"",B$2,"NA"),'MITRE ATT&amp;CK Mappings'!$G29))),ISNUMBER(SEARCH(IF(B$2&lt;&gt;"",B$2,"NA"),'MITRE ATT&amp;CK Mappings'!$H29))),ISNUMBER(SEARCH(IF(B$3&lt;&gt;"",B$3,"NA"),'MITRE ATT&amp;CK Mappings'!$I29))),ISNUMBER(SEARCH(IF(B$3&lt;&gt;"",B$3,"NA"),'MITRE ATT&amp;CK Mappings'!$J29))), 'MITRE ATT&amp;CK Mappings'!$B29,"")</f>
        <v/>
      </c>
      <c r="C33" s="27" t="str">
        <f>IF(OR(OR(OR(OR(OR(ISNUMBER(SEARCH(IF(C$1&lt;&gt;"",C$1,"NA"),'MITRE ATT&amp;CK Mappings'!$E29)),ISNUMBER(SEARCH(IF(C$1&lt;&gt;"",C$1,"NA"),'MITRE ATT&amp;CK Mappings'!$F29))),ISNUMBER(SEARCH(IF(C$2&lt;&gt;"",C$2,"NA"),'MITRE ATT&amp;CK Mappings'!$G29))),ISNUMBER(SEARCH(IF(C$2&lt;&gt;"",C$2,"NA"),'MITRE ATT&amp;CK Mappings'!$H29))),ISNUMBER(SEARCH(IF(C$3&lt;&gt;"",C$3,"NA"),'MITRE ATT&amp;CK Mappings'!$I29))),ISNUMBER(SEARCH(IF(C$3&lt;&gt;"",C$3,"NA"),'MITRE ATT&amp;CK Mappings'!$J29))), 'MITRE ATT&amp;CK Mappings'!$B29,"")</f>
        <v/>
      </c>
      <c r="D33" s="27" t="str">
        <f>IF(OR(OR(OR(OR(OR(ISNUMBER(SEARCH(IF(D$1&lt;&gt;"",D$1,"NA"),'MITRE ATT&amp;CK Mappings'!$E29)),ISNUMBER(SEARCH(IF(D$1&lt;&gt;"",D$1,"NA"),'MITRE ATT&amp;CK Mappings'!$F29))),ISNUMBER(SEARCH(IF(D$2&lt;&gt;"",D$2,"NA"),'MITRE ATT&amp;CK Mappings'!$G29))),ISNUMBER(SEARCH(IF(D$2&lt;&gt;"",D$2,"NA"),'MITRE ATT&amp;CK Mappings'!$H29))),ISNUMBER(SEARCH(IF(D$3&lt;&gt;"",D$3,"NA"),'MITRE ATT&amp;CK Mappings'!$I29))),ISNUMBER(SEARCH(IF(D$3&lt;&gt;"",D$3,"NA"),'MITRE ATT&amp;CK Mappings'!$J29))), 'MITRE ATT&amp;CK Mappings'!$B29,"")</f>
        <v/>
      </c>
      <c r="E33" s="27" t="str">
        <f>IF(OR(OR(OR(OR(OR(ISNUMBER(SEARCH(IF(E$1&lt;&gt;"",E$1,"NA"),'MITRE ATT&amp;CK Mappings'!$E29)),ISNUMBER(SEARCH(IF(E$1&lt;&gt;"",E$1,"NA"),'MITRE ATT&amp;CK Mappings'!$F29))),ISNUMBER(SEARCH(IF(E$2&lt;&gt;"",E$2,"NA"),'MITRE ATT&amp;CK Mappings'!$G29))),ISNUMBER(SEARCH(IF(E$2&lt;&gt;"",E$2,"NA"),'MITRE ATT&amp;CK Mappings'!$H29))),ISNUMBER(SEARCH(IF(E$3&lt;&gt;"",E$3,"NA"),'MITRE ATT&amp;CK Mappings'!$I29))),ISNUMBER(SEARCH(IF(E$3&lt;&gt;"",E$3,"NA"),'MITRE ATT&amp;CK Mappings'!$J29))), 'MITRE ATT&amp;CK Mappings'!$B29,"")</f>
        <v/>
      </c>
      <c r="F33" s="27" t="str">
        <f>IF(OR(OR(OR(OR(OR(ISNUMBER(SEARCH(IF(F$1&lt;&gt;"",F$1,"NA"),'MITRE ATT&amp;CK Mappings'!$E29)),ISNUMBER(SEARCH(IF(F$1&lt;&gt;"",F$1,"NA"),'MITRE ATT&amp;CK Mappings'!$F29))),ISNUMBER(SEARCH(IF(F$2&lt;&gt;"",F$2,"NA"),'MITRE ATT&amp;CK Mappings'!$G29))),ISNUMBER(SEARCH(IF(F$2&lt;&gt;"",F$2,"NA"),'MITRE ATT&amp;CK Mappings'!$H29))),ISNUMBER(SEARCH(IF(F$3&lt;&gt;"",F$3,"NA"),'MITRE ATT&amp;CK Mappings'!$I29))),ISNUMBER(SEARCH(IF(F$3&lt;&gt;"",F$3,"NA"),'MITRE ATT&amp;CK Mappings'!$J29))), 'MITRE ATT&amp;CK Mappings'!$B29,"")</f>
        <v/>
      </c>
      <c r="G33" s="27" t="str">
        <f>IF(OR(OR(OR(OR(OR(ISNUMBER(SEARCH(IF(G$1&lt;&gt;"",G$1,"NA"),'MITRE ATT&amp;CK Mappings'!$E29)),ISNUMBER(SEARCH(IF(G$1&lt;&gt;"",G$1,"NA"),'MITRE ATT&amp;CK Mappings'!$F29))),ISNUMBER(SEARCH(IF(G$2&lt;&gt;"",G$2,"NA"),'MITRE ATT&amp;CK Mappings'!$G29))),ISNUMBER(SEARCH(IF(G$2&lt;&gt;"",G$2,"NA"),'MITRE ATT&amp;CK Mappings'!$H29))),ISNUMBER(SEARCH(IF(G$3&lt;&gt;"",G$3,"NA"),'MITRE ATT&amp;CK Mappings'!$I29))),ISNUMBER(SEARCH(IF(G$3&lt;&gt;"",G$3,"NA"),'MITRE ATT&amp;CK Mappings'!$J29))), 'MITRE ATT&amp;CK Mappings'!$B29,"")</f>
        <v/>
      </c>
      <c r="H33" s="27" t="str">
        <f>IF(OR(OR(OR(OR(OR(ISNUMBER(SEARCH(IF(H$1&lt;&gt;"",H$1,"NA"),'MITRE ATT&amp;CK Mappings'!$E29)),ISNUMBER(SEARCH(IF(H$1&lt;&gt;"",H$1,"NA"),'MITRE ATT&amp;CK Mappings'!$F29))),ISNUMBER(SEARCH(IF(H$2&lt;&gt;"",H$2,"NA"),'MITRE ATT&amp;CK Mappings'!$G29))),ISNUMBER(SEARCH(IF(H$2&lt;&gt;"",H$2,"NA"),'MITRE ATT&amp;CK Mappings'!$H29))),ISNUMBER(SEARCH(IF(H$3&lt;&gt;"",H$3,"NA"),'MITRE ATT&amp;CK Mappings'!$I29))),ISNUMBER(SEARCH(IF(H$3&lt;&gt;"",H$3,"NA"),'MITRE ATT&amp;CK Mappings'!$J29))), 'MITRE ATT&amp;CK Mappings'!$B29,"")</f>
        <v/>
      </c>
      <c r="I33" s="27" t="str">
        <f>IF(OR(OR(OR(OR(OR(ISNUMBER(SEARCH(IF(I$1&lt;&gt;"",I$1,"NA"),'MITRE ATT&amp;CK Mappings'!$E29)),ISNUMBER(SEARCH(IF(I$1&lt;&gt;"",I$1,"NA"),'MITRE ATT&amp;CK Mappings'!$F29))),ISNUMBER(SEARCH(IF(I$2&lt;&gt;"",I$2,"NA"),'MITRE ATT&amp;CK Mappings'!$G29))),ISNUMBER(SEARCH(IF(I$2&lt;&gt;"",I$2,"NA"),'MITRE ATT&amp;CK Mappings'!$H29))),ISNUMBER(SEARCH(IF(I$3&lt;&gt;"",I$3,"NA"),'MITRE ATT&amp;CK Mappings'!$I29))),ISNUMBER(SEARCH(IF(I$3&lt;&gt;"",I$3,"NA"),'MITRE ATT&amp;CK Mappings'!$J29))), 'MITRE ATT&amp;CK Mappings'!$B29,"")</f>
        <v/>
      </c>
      <c r="J33" s="27" t="str">
        <f>IF(OR(OR(OR(OR(OR(ISNUMBER(SEARCH(IF(J$1&lt;&gt;"",J$1,"NA"),'MITRE ATT&amp;CK Mappings'!$E29)),ISNUMBER(SEARCH(IF(J$1&lt;&gt;"",J$1,"NA"),'MITRE ATT&amp;CK Mappings'!$F29))),ISNUMBER(SEARCH(IF(J$2&lt;&gt;"",J$2,"NA"),'MITRE ATT&amp;CK Mappings'!$G29))),ISNUMBER(SEARCH(IF(J$2&lt;&gt;"",J$2,"NA"),'MITRE ATT&amp;CK Mappings'!$H29))),ISNUMBER(SEARCH(IF(J$3&lt;&gt;"",J$3,"NA"),'MITRE ATT&amp;CK Mappings'!$I29))),ISNUMBER(SEARCH(IF(J$3&lt;&gt;"",J$3,"NA"),'MITRE ATT&amp;CK Mappings'!$J29))), 'MITRE ATT&amp;CK Mappings'!$B29,"")</f>
        <v/>
      </c>
      <c r="K33" s="27" t="str">
        <f>IF(OR(OR(OR(OR(OR(ISNUMBER(SEARCH(IF(K$1&lt;&gt;"",K$1,"NA"),'MITRE ATT&amp;CK Mappings'!$E29)),ISNUMBER(SEARCH(IF(K$1&lt;&gt;"",K$1,"NA"),'MITRE ATT&amp;CK Mappings'!$F29))),ISNUMBER(SEARCH(IF(K$2&lt;&gt;"",K$2,"NA"),'MITRE ATT&amp;CK Mappings'!$G29))),ISNUMBER(SEARCH(IF(K$2&lt;&gt;"",K$2,"NA"),'MITRE ATT&amp;CK Mappings'!$H29))),ISNUMBER(SEARCH(IF(K$3&lt;&gt;"",K$3,"NA"),'MITRE ATT&amp;CK Mappings'!$I29))),ISNUMBER(SEARCH(IF(K$3&lt;&gt;"",K$3,"NA"),'MITRE ATT&amp;CK Mappings'!$J29))), 'MITRE ATT&amp;CK Mappings'!$B29,"")</f>
        <v/>
      </c>
      <c r="L33" s="27" t="str">
        <f>IF('MITRE ATT&amp;CK Mappings'!D29 &lt;&gt;"",'MITRE ATT&amp;CK Mappings'!D29,"" )</f>
        <v>Ensure that 'Users can create security groups in Azure portals, API or PowerShell' is set to 'No'</v>
      </c>
    </row>
    <row r="34" spans="1:12" x14ac:dyDescent="0.25">
      <c r="A34" s="26" t="str">
        <f>IF(COUNTIF(B34:K34,"="&amp;'MITRE ATT&amp;CK Mappings'!B30)&gt;0,'MITRE ATT&amp;CK Mappings'!B30,"")</f>
        <v/>
      </c>
      <c r="B34" s="26" t="str">
        <f>IF(OR(OR(OR(OR(OR(ISNUMBER(SEARCH(IF(B$1&lt;&gt;"",B$1,"NA"),'MITRE ATT&amp;CK Mappings'!$E30)),ISNUMBER(SEARCH(IF(B$1&lt;&gt;"",B$1,"NA"),'MITRE ATT&amp;CK Mappings'!$F30))),ISNUMBER(SEARCH(IF(B$2&lt;&gt;"",B$2,"NA"),'MITRE ATT&amp;CK Mappings'!$G30))),ISNUMBER(SEARCH(IF(B$2&lt;&gt;"",B$2,"NA"),'MITRE ATT&amp;CK Mappings'!$H30))),ISNUMBER(SEARCH(IF(B$3&lt;&gt;"",B$3,"NA"),'MITRE ATT&amp;CK Mappings'!$I30))),ISNUMBER(SEARCH(IF(B$3&lt;&gt;"",B$3,"NA"),'MITRE ATT&amp;CK Mappings'!$J30))), 'MITRE ATT&amp;CK Mappings'!$B30,"")</f>
        <v/>
      </c>
      <c r="C34" s="26" t="str">
        <f>IF(OR(OR(OR(OR(OR(ISNUMBER(SEARCH(IF(C$1&lt;&gt;"",C$1,"NA"),'MITRE ATT&amp;CK Mappings'!$E30)),ISNUMBER(SEARCH(IF(C$1&lt;&gt;"",C$1,"NA"),'MITRE ATT&amp;CK Mappings'!$F30))),ISNUMBER(SEARCH(IF(C$2&lt;&gt;"",C$2,"NA"),'MITRE ATT&amp;CK Mappings'!$G30))),ISNUMBER(SEARCH(IF(C$2&lt;&gt;"",C$2,"NA"),'MITRE ATT&amp;CK Mappings'!$H30))),ISNUMBER(SEARCH(IF(C$3&lt;&gt;"",C$3,"NA"),'MITRE ATT&amp;CK Mappings'!$I30))),ISNUMBER(SEARCH(IF(C$3&lt;&gt;"",C$3,"NA"),'MITRE ATT&amp;CK Mappings'!$J30))), 'MITRE ATT&amp;CK Mappings'!$B30,"")</f>
        <v/>
      </c>
      <c r="D34" s="26" t="str">
        <f>IF(OR(OR(OR(OR(OR(ISNUMBER(SEARCH(IF(D$1&lt;&gt;"",D$1,"NA"),'MITRE ATT&amp;CK Mappings'!$E30)),ISNUMBER(SEARCH(IF(D$1&lt;&gt;"",D$1,"NA"),'MITRE ATT&amp;CK Mappings'!$F30))),ISNUMBER(SEARCH(IF(D$2&lt;&gt;"",D$2,"NA"),'MITRE ATT&amp;CK Mappings'!$G30))),ISNUMBER(SEARCH(IF(D$2&lt;&gt;"",D$2,"NA"),'MITRE ATT&amp;CK Mappings'!$H30))),ISNUMBER(SEARCH(IF(D$3&lt;&gt;"",D$3,"NA"),'MITRE ATT&amp;CK Mappings'!$I30))),ISNUMBER(SEARCH(IF(D$3&lt;&gt;"",D$3,"NA"),'MITRE ATT&amp;CK Mappings'!$J30))), 'MITRE ATT&amp;CK Mappings'!$B30,"")</f>
        <v/>
      </c>
      <c r="E34" s="26" t="str">
        <f>IF(OR(OR(OR(OR(OR(ISNUMBER(SEARCH(IF(E$1&lt;&gt;"",E$1,"NA"),'MITRE ATT&amp;CK Mappings'!$E30)),ISNUMBER(SEARCH(IF(E$1&lt;&gt;"",E$1,"NA"),'MITRE ATT&amp;CK Mappings'!$F30))),ISNUMBER(SEARCH(IF(E$2&lt;&gt;"",E$2,"NA"),'MITRE ATT&amp;CK Mappings'!$G30))),ISNUMBER(SEARCH(IF(E$2&lt;&gt;"",E$2,"NA"),'MITRE ATT&amp;CK Mappings'!$H30))),ISNUMBER(SEARCH(IF(E$3&lt;&gt;"",E$3,"NA"),'MITRE ATT&amp;CK Mappings'!$I30))),ISNUMBER(SEARCH(IF(E$3&lt;&gt;"",E$3,"NA"),'MITRE ATT&amp;CK Mappings'!$J30))), 'MITRE ATT&amp;CK Mappings'!$B30,"")</f>
        <v/>
      </c>
      <c r="F34" s="26" t="str">
        <f>IF(OR(OR(OR(OR(OR(ISNUMBER(SEARCH(IF(F$1&lt;&gt;"",F$1,"NA"),'MITRE ATT&amp;CK Mappings'!$E30)),ISNUMBER(SEARCH(IF(F$1&lt;&gt;"",F$1,"NA"),'MITRE ATT&amp;CK Mappings'!$F30))),ISNUMBER(SEARCH(IF(F$2&lt;&gt;"",F$2,"NA"),'MITRE ATT&amp;CK Mappings'!$G30))),ISNUMBER(SEARCH(IF(F$2&lt;&gt;"",F$2,"NA"),'MITRE ATT&amp;CK Mappings'!$H30))),ISNUMBER(SEARCH(IF(F$3&lt;&gt;"",F$3,"NA"),'MITRE ATT&amp;CK Mappings'!$I30))),ISNUMBER(SEARCH(IF(F$3&lt;&gt;"",F$3,"NA"),'MITRE ATT&amp;CK Mappings'!$J30))), 'MITRE ATT&amp;CK Mappings'!$B30,"")</f>
        <v/>
      </c>
      <c r="G34" s="26" t="str">
        <f>IF(OR(OR(OR(OR(OR(ISNUMBER(SEARCH(IF(G$1&lt;&gt;"",G$1,"NA"),'MITRE ATT&amp;CK Mappings'!$E30)),ISNUMBER(SEARCH(IF(G$1&lt;&gt;"",G$1,"NA"),'MITRE ATT&amp;CK Mappings'!$F30))),ISNUMBER(SEARCH(IF(G$2&lt;&gt;"",G$2,"NA"),'MITRE ATT&amp;CK Mappings'!$G30))),ISNUMBER(SEARCH(IF(G$2&lt;&gt;"",G$2,"NA"),'MITRE ATT&amp;CK Mappings'!$H30))),ISNUMBER(SEARCH(IF(G$3&lt;&gt;"",G$3,"NA"),'MITRE ATT&amp;CK Mappings'!$I30))),ISNUMBER(SEARCH(IF(G$3&lt;&gt;"",G$3,"NA"),'MITRE ATT&amp;CK Mappings'!$J30))), 'MITRE ATT&amp;CK Mappings'!$B30,"")</f>
        <v/>
      </c>
      <c r="H34" s="26" t="str">
        <f>IF(OR(OR(OR(OR(OR(ISNUMBER(SEARCH(IF(H$1&lt;&gt;"",H$1,"NA"),'MITRE ATT&amp;CK Mappings'!$E30)),ISNUMBER(SEARCH(IF(H$1&lt;&gt;"",H$1,"NA"),'MITRE ATT&amp;CK Mappings'!$F30))),ISNUMBER(SEARCH(IF(H$2&lt;&gt;"",H$2,"NA"),'MITRE ATT&amp;CK Mappings'!$G30))),ISNUMBER(SEARCH(IF(H$2&lt;&gt;"",H$2,"NA"),'MITRE ATT&amp;CK Mappings'!$H30))),ISNUMBER(SEARCH(IF(H$3&lt;&gt;"",H$3,"NA"),'MITRE ATT&amp;CK Mappings'!$I30))),ISNUMBER(SEARCH(IF(H$3&lt;&gt;"",H$3,"NA"),'MITRE ATT&amp;CK Mappings'!$J30))), 'MITRE ATT&amp;CK Mappings'!$B30,"")</f>
        <v/>
      </c>
      <c r="I34" s="26" t="str">
        <f>IF(OR(OR(OR(OR(OR(ISNUMBER(SEARCH(IF(I$1&lt;&gt;"",I$1,"NA"),'MITRE ATT&amp;CK Mappings'!$E30)),ISNUMBER(SEARCH(IF(I$1&lt;&gt;"",I$1,"NA"),'MITRE ATT&amp;CK Mappings'!$F30))),ISNUMBER(SEARCH(IF(I$2&lt;&gt;"",I$2,"NA"),'MITRE ATT&amp;CK Mappings'!$G30))),ISNUMBER(SEARCH(IF(I$2&lt;&gt;"",I$2,"NA"),'MITRE ATT&amp;CK Mappings'!$H30))),ISNUMBER(SEARCH(IF(I$3&lt;&gt;"",I$3,"NA"),'MITRE ATT&amp;CK Mappings'!$I30))),ISNUMBER(SEARCH(IF(I$3&lt;&gt;"",I$3,"NA"),'MITRE ATT&amp;CK Mappings'!$J30))), 'MITRE ATT&amp;CK Mappings'!$B30,"")</f>
        <v/>
      </c>
      <c r="J34" s="26" t="str">
        <f>IF(OR(OR(OR(OR(OR(ISNUMBER(SEARCH(IF(J$1&lt;&gt;"",J$1,"NA"),'MITRE ATT&amp;CK Mappings'!$E30)),ISNUMBER(SEARCH(IF(J$1&lt;&gt;"",J$1,"NA"),'MITRE ATT&amp;CK Mappings'!$F30))),ISNUMBER(SEARCH(IF(J$2&lt;&gt;"",J$2,"NA"),'MITRE ATT&amp;CK Mappings'!$G30))),ISNUMBER(SEARCH(IF(J$2&lt;&gt;"",J$2,"NA"),'MITRE ATT&amp;CK Mappings'!$H30))),ISNUMBER(SEARCH(IF(J$3&lt;&gt;"",J$3,"NA"),'MITRE ATT&amp;CK Mappings'!$I30))),ISNUMBER(SEARCH(IF(J$3&lt;&gt;"",J$3,"NA"),'MITRE ATT&amp;CK Mappings'!$J30))), 'MITRE ATT&amp;CK Mappings'!$B30,"")</f>
        <v/>
      </c>
      <c r="K34" s="26" t="str">
        <f>IF(OR(OR(OR(OR(OR(ISNUMBER(SEARCH(IF(K$1&lt;&gt;"",K$1,"NA"),'MITRE ATT&amp;CK Mappings'!$E30)),ISNUMBER(SEARCH(IF(K$1&lt;&gt;"",K$1,"NA"),'MITRE ATT&amp;CK Mappings'!$F30))),ISNUMBER(SEARCH(IF(K$2&lt;&gt;"",K$2,"NA"),'MITRE ATT&amp;CK Mappings'!$G30))),ISNUMBER(SEARCH(IF(K$2&lt;&gt;"",K$2,"NA"),'MITRE ATT&amp;CK Mappings'!$H30))),ISNUMBER(SEARCH(IF(K$3&lt;&gt;"",K$3,"NA"),'MITRE ATT&amp;CK Mappings'!$I30))),ISNUMBER(SEARCH(IF(K$3&lt;&gt;"",K$3,"NA"),'MITRE ATT&amp;CK Mappings'!$J30))), 'MITRE ATT&amp;CK Mappings'!$B30,"")</f>
        <v/>
      </c>
      <c r="L34" s="26" t="str">
        <f>IF('MITRE ATT&amp;CK Mappings'!D30 &lt;&gt;"",'MITRE ATT&amp;CK Mappings'!D30,"" )</f>
        <v>Ensure that 'Owners can manage group membership requests in My Groups' is set to 'No'</v>
      </c>
    </row>
    <row r="35" spans="1:12" x14ac:dyDescent="0.25">
      <c r="A35" s="27" t="str">
        <f>IF(COUNTIF(B35:K35,"="&amp;'MITRE ATT&amp;CK Mappings'!B31)&gt;0,'MITRE ATT&amp;CK Mappings'!B31,"")</f>
        <v/>
      </c>
      <c r="B35" s="27" t="str">
        <f>IF(OR(OR(OR(OR(OR(ISNUMBER(SEARCH(IF(B$1&lt;&gt;"",B$1,"NA"),'MITRE ATT&amp;CK Mappings'!$E31)),ISNUMBER(SEARCH(IF(B$1&lt;&gt;"",B$1,"NA"),'MITRE ATT&amp;CK Mappings'!$F31))),ISNUMBER(SEARCH(IF(B$2&lt;&gt;"",B$2,"NA"),'MITRE ATT&amp;CK Mappings'!$G31))),ISNUMBER(SEARCH(IF(B$2&lt;&gt;"",B$2,"NA"),'MITRE ATT&amp;CK Mappings'!$H31))),ISNUMBER(SEARCH(IF(B$3&lt;&gt;"",B$3,"NA"),'MITRE ATT&amp;CK Mappings'!$I31))),ISNUMBER(SEARCH(IF(B$3&lt;&gt;"",B$3,"NA"),'MITRE ATT&amp;CK Mappings'!$J31))), 'MITRE ATT&amp;CK Mappings'!$B31,"")</f>
        <v/>
      </c>
      <c r="C35" s="27" t="str">
        <f>IF(OR(OR(OR(OR(OR(ISNUMBER(SEARCH(IF(C$1&lt;&gt;"",C$1,"NA"),'MITRE ATT&amp;CK Mappings'!$E31)),ISNUMBER(SEARCH(IF(C$1&lt;&gt;"",C$1,"NA"),'MITRE ATT&amp;CK Mappings'!$F31))),ISNUMBER(SEARCH(IF(C$2&lt;&gt;"",C$2,"NA"),'MITRE ATT&amp;CK Mappings'!$G31))),ISNUMBER(SEARCH(IF(C$2&lt;&gt;"",C$2,"NA"),'MITRE ATT&amp;CK Mappings'!$H31))),ISNUMBER(SEARCH(IF(C$3&lt;&gt;"",C$3,"NA"),'MITRE ATT&amp;CK Mappings'!$I31))),ISNUMBER(SEARCH(IF(C$3&lt;&gt;"",C$3,"NA"),'MITRE ATT&amp;CK Mappings'!$J31))), 'MITRE ATT&amp;CK Mappings'!$B31,"")</f>
        <v/>
      </c>
      <c r="D35" s="27" t="str">
        <f>IF(OR(OR(OR(OR(OR(ISNUMBER(SEARCH(IF(D$1&lt;&gt;"",D$1,"NA"),'MITRE ATT&amp;CK Mappings'!$E31)),ISNUMBER(SEARCH(IF(D$1&lt;&gt;"",D$1,"NA"),'MITRE ATT&amp;CK Mappings'!$F31))),ISNUMBER(SEARCH(IF(D$2&lt;&gt;"",D$2,"NA"),'MITRE ATT&amp;CK Mappings'!$G31))),ISNUMBER(SEARCH(IF(D$2&lt;&gt;"",D$2,"NA"),'MITRE ATT&amp;CK Mappings'!$H31))),ISNUMBER(SEARCH(IF(D$3&lt;&gt;"",D$3,"NA"),'MITRE ATT&amp;CK Mappings'!$I31))),ISNUMBER(SEARCH(IF(D$3&lt;&gt;"",D$3,"NA"),'MITRE ATT&amp;CK Mappings'!$J31))), 'MITRE ATT&amp;CK Mappings'!$B31,"")</f>
        <v/>
      </c>
      <c r="E35" s="27" t="str">
        <f>IF(OR(OR(OR(OR(OR(ISNUMBER(SEARCH(IF(E$1&lt;&gt;"",E$1,"NA"),'MITRE ATT&amp;CK Mappings'!$E31)),ISNUMBER(SEARCH(IF(E$1&lt;&gt;"",E$1,"NA"),'MITRE ATT&amp;CK Mappings'!$F31))),ISNUMBER(SEARCH(IF(E$2&lt;&gt;"",E$2,"NA"),'MITRE ATT&amp;CK Mappings'!$G31))),ISNUMBER(SEARCH(IF(E$2&lt;&gt;"",E$2,"NA"),'MITRE ATT&amp;CK Mappings'!$H31))),ISNUMBER(SEARCH(IF(E$3&lt;&gt;"",E$3,"NA"),'MITRE ATT&amp;CK Mappings'!$I31))),ISNUMBER(SEARCH(IF(E$3&lt;&gt;"",E$3,"NA"),'MITRE ATT&amp;CK Mappings'!$J31))), 'MITRE ATT&amp;CK Mappings'!$B31,"")</f>
        <v/>
      </c>
      <c r="F35" s="27" t="str">
        <f>IF(OR(OR(OR(OR(OR(ISNUMBER(SEARCH(IF(F$1&lt;&gt;"",F$1,"NA"),'MITRE ATT&amp;CK Mappings'!$E31)),ISNUMBER(SEARCH(IF(F$1&lt;&gt;"",F$1,"NA"),'MITRE ATT&amp;CK Mappings'!$F31))),ISNUMBER(SEARCH(IF(F$2&lt;&gt;"",F$2,"NA"),'MITRE ATT&amp;CK Mappings'!$G31))),ISNUMBER(SEARCH(IF(F$2&lt;&gt;"",F$2,"NA"),'MITRE ATT&amp;CK Mappings'!$H31))),ISNUMBER(SEARCH(IF(F$3&lt;&gt;"",F$3,"NA"),'MITRE ATT&amp;CK Mappings'!$I31))),ISNUMBER(SEARCH(IF(F$3&lt;&gt;"",F$3,"NA"),'MITRE ATT&amp;CK Mappings'!$J31))), 'MITRE ATT&amp;CK Mappings'!$B31,"")</f>
        <v/>
      </c>
      <c r="G35" s="27" t="str">
        <f>IF(OR(OR(OR(OR(OR(ISNUMBER(SEARCH(IF(G$1&lt;&gt;"",G$1,"NA"),'MITRE ATT&amp;CK Mappings'!$E31)),ISNUMBER(SEARCH(IF(G$1&lt;&gt;"",G$1,"NA"),'MITRE ATT&amp;CK Mappings'!$F31))),ISNUMBER(SEARCH(IF(G$2&lt;&gt;"",G$2,"NA"),'MITRE ATT&amp;CK Mappings'!$G31))),ISNUMBER(SEARCH(IF(G$2&lt;&gt;"",G$2,"NA"),'MITRE ATT&amp;CK Mappings'!$H31))),ISNUMBER(SEARCH(IF(G$3&lt;&gt;"",G$3,"NA"),'MITRE ATT&amp;CK Mappings'!$I31))),ISNUMBER(SEARCH(IF(G$3&lt;&gt;"",G$3,"NA"),'MITRE ATT&amp;CK Mappings'!$J31))), 'MITRE ATT&amp;CK Mappings'!$B31,"")</f>
        <v/>
      </c>
      <c r="H35" s="27" t="str">
        <f>IF(OR(OR(OR(OR(OR(ISNUMBER(SEARCH(IF(H$1&lt;&gt;"",H$1,"NA"),'MITRE ATT&amp;CK Mappings'!$E31)),ISNUMBER(SEARCH(IF(H$1&lt;&gt;"",H$1,"NA"),'MITRE ATT&amp;CK Mappings'!$F31))),ISNUMBER(SEARCH(IF(H$2&lt;&gt;"",H$2,"NA"),'MITRE ATT&amp;CK Mappings'!$G31))),ISNUMBER(SEARCH(IF(H$2&lt;&gt;"",H$2,"NA"),'MITRE ATT&amp;CK Mappings'!$H31))),ISNUMBER(SEARCH(IF(H$3&lt;&gt;"",H$3,"NA"),'MITRE ATT&amp;CK Mappings'!$I31))),ISNUMBER(SEARCH(IF(H$3&lt;&gt;"",H$3,"NA"),'MITRE ATT&amp;CK Mappings'!$J31))), 'MITRE ATT&amp;CK Mappings'!$B31,"")</f>
        <v/>
      </c>
      <c r="I35" s="27" t="str">
        <f>IF(OR(OR(OR(OR(OR(ISNUMBER(SEARCH(IF(I$1&lt;&gt;"",I$1,"NA"),'MITRE ATT&amp;CK Mappings'!$E31)),ISNUMBER(SEARCH(IF(I$1&lt;&gt;"",I$1,"NA"),'MITRE ATT&amp;CK Mappings'!$F31))),ISNUMBER(SEARCH(IF(I$2&lt;&gt;"",I$2,"NA"),'MITRE ATT&amp;CK Mappings'!$G31))),ISNUMBER(SEARCH(IF(I$2&lt;&gt;"",I$2,"NA"),'MITRE ATT&amp;CK Mappings'!$H31))),ISNUMBER(SEARCH(IF(I$3&lt;&gt;"",I$3,"NA"),'MITRE ATT&amp;CK Mappings'!$I31))),ISNUMBER(SEARCH(IF(I$3&lt;&gt;"",I$3,"NA"),'MITRE ATT&amp;CK Mappings'!$J31))), 'MITRE ATT&amp;CK Mappings'!$B31,"")</f>
        <v/>
      </c>
      <c r="J35" s="27" t="str">
        <f>IF(OR(OR(OR(OR(OR(ISNUMBER(SEARCH(IF(J$1&lt;&gt;"",J$1,"NA"),'MITRE ATT&amp;CK Mappings'!$E31)),ISNUMBER(SEARCH(IF(J$1&lt;&gt;"",J$1,"NA"),'MITRE ATT&amp;CK Mappings'!$F31))),ISNUMBER(SEARCH(IF(J$2&lt;&gt;"",J$2,"NA"),'MITRE ATT&amp;CK Mappings'!$G31))),ISNUMBER(SEARCH(IF(J$2&lt;&gt;"",J$2,"NA"),'MITRE ATT&amp;CK Mappings'!$H31))),ISNUMBER(SEARCH(IF(J$3&lt;&gt;"",J$3,"NA"),'MITRE ATT&amp;CK Mappings'!$I31))),ISNUMBER(SEARCH(IF(J$3&lt;&gt;"",J$3,"NA"),'MITRE ATT&amp;CK Mappings'!$J31))), 'MITRE ATT&amp;CK Mappings'!$B31,"")</f>
        <v/>
      </c>
      <c r="K35" s="27" t="str">
        <f>IF(OR(OR(OR(OR(OR(ISNUMBER(SEARCH(IF(K$1&lt;&gt;"",K$1,"NA"),'MITRE ATT&amp;CK Mappings'!$E31)),ISNUMBER(SEARCH(IF(K$1&lt;&gt;"",K$1,"NA"),'MITRE ATT&amp;CK Mappings'!$F31))),ISNUMBER(SEARCH(IF(K$2&lt;&gt;"",K$2,"NA"),'MITRE ATT&amp;CK Mappings'!$G31))),ISNUMBER(SEARCH(IF(K$2&lt;&gt;"",K$2,"NA"),'MITRE ATT&amp;CK Mappings'!$H31))),ISNUMBER(SEARCH(IF(K$3&lt;&gt;"",K$3,"NA"),'MITRE ATT&amp;CK Mappings'!$I31))),ISNUMBER(SEARCH(IF(K$3&lt;&gt;"",K$3,"NA"),'MITRE ATT&amp;CK Mappings'!$J31))), 'MITRE ATT&amp;CK Mappings'!$B31,"")</f>
        <v/>
      </c>
      <c r="L35" s="27" t="str">
        <f>IF('MITRE ATT&amp;CK Mappings'!D31 &lt;&gt;"",'MITRE ATT&amp;CK Mappings'!D31,"" )</f>
        <v>Ensure that 'Users can create Microsoft 365 groups in Azure portals, API or PowerShell' is set to 'No'</v>
      </c>
    </row>
    <row r="36" spans="1:12" x14ac:dyDescent="0.25">
      <c r="A36" s="26" t="str">
        <f>IF(COUNTIF(B36:K36,"="&amp;'MITRE ATT&amp;CK Mappings'!B32)&gt;0,'MITRE ATT&amp;CK Mappings'!B32,"")</f>
        <v/>
      </c>
      <c r="B36" s="26" t="str">
        <f>IF(OR(OR(OR(OR(OR(ISNUMBER(SEARCH(IF(B$1&lt;&gt;"",B$1,"NA"),'MITRE ATT&amp;CK Mappings'!$E32)),ISNUMBER(SEARCH(IF(B$1&lt;&gt;"",B$1,"NA"),'MITRE ATT&amp;CK Mappings'!$F32))),ISNUMBER(SEARCH(IF(B$2&lt;&gt;"",B$2,"NA"),'MITRE ATT&amp;CK Mappings'!$G32))),ISNUMBER(SEARCH(IF(B$2&lt;&gt;"",B$2,"NA"),'MITRE ATT&amp;CK Mappings'!$H32))),ISNUMBER(SEARCH(IF(B$3&lt;&gt;"",B$3,"NA"),'MITRE ATT&amp;CK Mappings'!$I32))),ISNUMBER(SEARCH(IF(B$3&lt;&gt;"",B$3,"NA"),'MITRE ATT&amp;CK Mappings'!$J32))), 'MITRE ATT&amp;CK Mappings'!$B32,"")</f>
        <v/>
      </c>
      <c r="C36" s="26" t="str">
        <f>IF(OR(OR(OR(OR(OR(ISNUMBER(SEARCH(IF(C$1&lt;&gt;"",C$1,"NA"),'MITRE ATT&amp;CK Mappings'!$E32)),ISNUMBER(SEARCH(IF(C$1&lt;&gt;"",C$1,"NA"),'MITRE ATT&amp;CK Mappings'!$F32))),ISNUMBER(SEARCH(IF(C$2&lt;&gt;"",C$2,"NA"),'MITRE ATT&amp;CK Mappings'!$G32))),ISNUMBER(SEARCH(IF(C$2&lt;&gt;"",C$2,"NA"),'MITRE ATT&amp;CK Mappings'!$H32))),ISNUMBER(SEARCH(IF(C$3&lt;&gt;"",C$3,"NA"),'MITRE ATT&amp;CK Mappings'!$I32))),ISNUMBER(SEARCH(IF(C$3&lt;&gt;"",C$3,"NA"),'MITRE ATT&amp;CK Mappings'!$J32))), 'MITRE ATT&amp;CK Mappings'!$B32,"")</f>
        <v/>
      </c>
      <c r="D36" s="26" t="str">
        <f>IF(OR(OR(OR(OR(OR(ISNUMBER(SEARCH(IF(D$1&lt;&gt;"",D$1,"NA"),'MITRE ATT&amp;CK Mappings'!$E32)),ISNUMBER(SEARCH(IF(D$1&lt;&gt;"",D$1,"NA"),'MITRE ATT&amp;CK Mappings'!$F32))),ISNUMBER(SEARCH(IF(D$2&lt;&gt;"",D$2,"NA"),'MITRE ATT&amp;CK Mappings'!$G32))),ISNUMBER(SEARCH(IF(D$2&lt;&gt;"",D$2,"NA"),'MITRE ATT&amp;CK Mappings'!$H32))),ISNUMBER(SEARCH(IF(D$3&lt;&gt;"",D$3,"NA"),'MITRE ATT&amp;CK Mappings'!$I32))),ISNUMBER(SEARCH(IF(D$3&lt;&gt;"",D$3,"NA"),'MITRE ATT&amp;CK Mappings'!$J32))), 'MITRE ATT&amp;CK Mappings'!$B32,"")</f>
        <v/>
      </c>
      <c r="E36" s="26" t="str">
        <f>IF(OR(OR(OR(OR(OR(ISNUMBER(SEARCH(IF(E$1&lt;&gt;"",E$1,"NA"),'MITRE ATT&amp;CK Mappings'!$E32)),ISNUMBER(SEARCH(IF(E$1&lt;&gt;"",E$1,"NA"),'MITRE ATT&amp;CK Mappings'!$F32))),ISNUMBER(SEARCH(IF(E$2&lt;&gt;"",E$2,"NA"),'MITRE ATT&amp;CK Mappings'!$G32))),ISNUMBER(SEARCH(IF(E$2&lt;&gt;"",E$2,"NA"),'MITRE ATT&amp;CK Mappings'!$H32))),ISNUMBER(SEARCH(IF(E$3&lt;&gt;"",E$3,"NA"),'MITRE ATT&amp;CK Mappings'!$I32))),ISNUMBER(SEARCH(IF(E$3&lt;&gt;"",E$3,"NA"),'MITRE ATT&amp;CK Mappings'!$J32))), 'MITRE ATT&amp;CK Mappings'!$B32,"")</f>
        <v/>
      </c>
      <c r="F36" s="26" t="str">
        <f>IF(OR(OR(OR(OR(OR(ISNUMBER(SEARCH(IF(F$1&lt;&gt;"",F$1,"NA"),'MITRE ATT&amp;CK Mappings'!$E32)),ISNUMBER(SEARCH(IF(F$1&lt;&gt;"",F$1,"NA"),'MITRE ATT&amp;CK Mappings'!$F32))),ISNUMBER(SEARCH(IF(F$2&lt;&gt;"",F$2,"NA"),'MITRE ATT&amp;CK Mappings'!$G32))),ISNUMBER(SEARCH(IF(F$2&lt;&gt;"",F$2,"NA"),'MITRE ATT&amp;CK Mappings'!$H32))),ISNUMBER(SEARCH(IF(F$3&lt;&gt;"",F$3,"NA"),'MITRE ATT&amp;CK Mappings'!$I32))),ISNUMBER(SEARCH(IF(F$3&lt;&gt;"",F$3,"NA"),'MITRE ATT&amp;CK Mappings'!$J32))), 'MITRE ATT&amp;CK Mappings'!$B32,"")</f>
        <v/>
      </c>
      <c r="G36" s="26" t="str">
        <f>IF(OR(OR(OR(OR(OR(ISNUMBER(SEARCH(IF(G$1&lt;&gt;"",G$1,"NA"),'MITRE ATT&amp;CK Mappings'!$E32)),ISNUMBER(SEARCH(IF(G$1&lt;&gt;"",G$1,"NA"),'MITRE ATT&amp;CK Mappings'!$F32))),ISNUMBER(SEARCH(IF(G$2&lt;&gt;"",G$2,"NA"),'MITRE ATT&amp;CK Mappings'!$G32))),ISNUMBER(SEARCH(IF(G$2&lt;&gt;"",G$2,"NA"),'MITRE ATT&amp;CK Mappings'!$H32))),ISNUMBER(SEARCH(IF(G$3&lt;&gt;"",G$3,"NA"),'MITRE ATT&amp;CK Mappings'!$I32))),ISNUMBER(SEARCH(IF(G$3&lt;&gt;"",G$3,"NA"),'MITRE ATT&amp;CK Mappings'!$J32))), 'MITRE ATT&amp;CK Mappings'!$B32,"")</f>
        <v/>
      </c>
      <c r="H36" s="26" t="str">
        <f>IF(OR(OR(OR(OR(OR(ISNUMBER(SEARCH(IF(H$1&lt;&gt;"",H$1,"NA"),'MITRE ATT&amp;CK Mappings'!$E32)),ISNUMBER(SEARCH(IF(H$1&lt;&gt;"",H$1,"NA"),'MITRE ATT&amp;CK Mappings'!$F32))),ISNUMBER(SEARCH(IF(H$2&lt;&gt;"",H$2,"NA"),'MITRE ATT&amp;CK Mappings'!$G32))),ISNUMBER(SEARCH(IF(H$2&lt;&gt;"",H$2,"NA"),'MITRE ATT&amp;CK Mappings'!$H32))),ISNUMBER(SEARCH(IF(H$3&lt;&gt;"",H$3,"NA"),'MITRE ATT&amp;CK Mappings'!$I32))),ISNUMBER(SEARCH(IF(H$3&lt;&gt;"",H$3,"NA"),'MITRE ATT&amp;CK Mappings'!$J32))), 'MITRE ATT&amp;CK Mappings'!$B32,"")</f>
        <v/>
      </c>
      <c r="I36" s="26" t="str">
        <f>IF(OR(OR(OR(OR(OR(ISNUMBER(SEARCH(IF(I$1&lt;&gt;"",I$1,"NA"),'MITRE ATT&amp;CK Mappings'!$E32)),ISNUMBER(SEARCH(IF(I$1&lt;&gt;"",I$1,"NA"),'MITRE ATT&amp;CK Mappings'!$F32))),ISNUMBER(SEARCH(IF(I$2&lt;&gt;"",I$2,"NA"),'MITRE ATT&amp;CK Mappings'!$G32))),ISNUMBER(SEARCH(IF(I$2&lt;&gt;"",I$2,"NA"),'MITRE ATT&amp;CK Mappings'!$H32))),ISNUMBER(SEARCH(IF(I$3&lt;&gt;"",I$3,"NA"),'MITRE ATT&amp;CK Mappings'!$I32))),ISNUMBER(SEARCH(IF(I$3&lt;&gt;"",I$3,"NA"),'MITRE ATT&amp;CK Mappings'!$J32))), 'MITRE ATT&amp;CK Mappings'!$B32,"")</f>
        <v/>
      </c>
      <c r="J36" s="26" t="str">
        <f>IF(OR(OR(OR(OR(OR(ISNUMBER(SEARCH(IF(J$1&lt;&gt;"",J$1,"NA"),'MITRE ATT&amp;CK Mappings'!$E32)),ISNUMBER(SEARCH(IF(J$1&lt;&gt;"",J$1,"NA"),'MITRE ATT&amp;CK Mappings'!$F32))),ISNUMBER(SEARCH(IF(J$2&lt;&gt;"",J$2,"NA"),'MITRE ATT&amp;CK Mappings'!$G32))),ISNUMBER(SEARCH(IF(J$2&lt;&gt;"",J$2,"NA"),'MITRE ATT&amp;CK Mappings'!$H32))),ISNUMBER(SEARCH(IF(J$3&lt;&gt;"",J$3,"NA"),'MITRE ATT&amp;CK Mappings'!$I32))),ISNUMBER(SEARCH(IF(J$3&lt;&gt;"",J$3,"NA"),'MITRE ATT&amp;CK Mappings'!$J32))), 'MITRE ATT&amp;CK Mappings'!$B32,"")</f>
        <v/>
      </c>
      <c r="K36" s="26" t="str">
        <f>IF(OR(OR(OR(OR(OR(ISNUMBER(SEARCH(IF(K$1&lt;&gt;"",K$1,"NA"),'MITRE ATT&amp;CK Mappings'!$E32)),ISNUMBER(SEARCH(IF(K$1&lt;&gt;"",K$1,"NA"),'MITRE ATT&amp;CK Mappings'!$F32))),ISNUMBER(SEARCH(IF(K$2&lt;&gt;"",K$2,"NA"),'MITRE ATT&amp;CK Mappings'!$G32))),ISNUMBER(SEARCH(IF(K$2&lt;&gt;"",K$2,"NA"),'MITRE ATT&amp;CK Mappings'!$H32))),ISNUMBER(SEARCH(IF(K$3&lt;&gt;"",K$3,"NA"),'MITRE ATT&amp;CK Mappings'!$I32))),ISNUMBER(SEARCH(IF(K$3&lt;&gt;"",K$3,"NA"),'MITRE ATT&amp;CK Mappings'!$J32))), 'MITRE ATT&amp;CK Mappings'!$B32,"")</f>
        <v/>
      </c>
      <c r="L36" s="26" t="str">
        <f>IF('MITRE ATT&amp;CK Mappings'!D32 &lt;&gt;"",'MITRE ATT&amp;CK Mappings'!D32,"" )</f>
        <v>Ensure that 'Require Multifactor Authentication to register or join devices with Microsoft Entra' is set to 'Yes'</v>
      </c>
    </row>
    <row r="37" spans="1:12" x14ac:dyDescent="0.25">
      <c r="A37" s="27" t="str">
        <f>IF(COUNTIF(B37:K37,"="&amp;'MITRE ATT&amp;CK Mappings'!B33)&gt;0,'MITRE ATT&amp;CK Mappings'!B33,"")</f>
        <v/>
      </c>
      <c r="B37" s="27" t="str">
        <f>IF(OR(OR(OR(OR(OR(ISNUMBER(SEARCH(IF(B$1&lt;&gt;"",B$1,"NA"),'MITRE ATT&amp;CK Mappings'!$E33)),ISNUMBER(SEARCH(IF(B$1&lt;&gt;"",B$1,"NA"),'MITRE ATT&amp;CK Mappings'!$F33))),ISNUMBER(SEARCH(IF(B$2&lt;&gt;"",B$2,"NA"),'MITRE ATT&amp;CK Mappings'!$G33))),ISNUMBER(SEARCH(IF(B$2&lt;&gt;"",B$2,"NA"),'MITRE ATT&amp;CK Mappings'!$H33))),ISNUMBER(SEARCH(IF(B$3&lt;&gt;"",B$3,"NA"),'MITRE ATT&amp;CK Mappings'!$I33))),ISNUMBER(SEARCH(IF(B$3&lt;&gt;"",B$3,"NA"),'MITRE ATT&amp;CK Mappings'!$J33))), 'MITRE ATT&amp;CK Mappings'!$B33,"")</f>
        <v/>
      </c>
      <c r="C37" s="27" t="str">
        <f>IF(OR(OR(OR(OR(OR(ISNUMBER(SEARCH(IF(C$1&lt;&gt;"",C$1,"NA"),'MITRE ATT&amp;CK Mappings'!$E33)),ISNUMBER(SEARCH(IF(C$1&lt;&gt;"",C$1,"NA"),'MITRE ATT&amp;CK Mappings'!$F33))),ISNUMBER(SEARCH(IF(C$2&lt;&gt;"",C$2,"NA"),'MITRE ATT&amp;CK Mappings'!$G33))),ISNUMBER(SEARCH(IF(C$2&lt;&gt;"",C$2,"NA"),'MITRE ATT&amp;CK Mappings'!$H33))),ISNUMBER(SEARCH(IF(C$3&lt;&gt;"",C$3,"NA"),'MITRE ATT&amp;CK Mappings'!$I33))),ISNUMBER(SEARCH(IF(C$3&lt;&gt;"",C$3,"NA"),'MITRE ATT&amp;CK Mappings'!$J33))), 'MITRE ATT&amp;CK Mappings'!$B33,"")</f>
        <v/>
      </c>
      <c r="D37" s="27" t="str">
        <f>IF(OR(OR(OR(OR(OR(ISNUMBER(SEARCH(IF(D$1&lt;&gt;"",D$1,"NA"),'MITRE ATT&amp;CK Mappings'!$E33)),ISNUMBER(SEARCH(IF(D$1&lt;&gt;"",D$1,"NA"),'MITRE ATT&amp;CK Mappings'!$F33))),ISNUMBER(SEARCH(IF(D$2&lt;&gt;"",D$2,"NA"),'MITRE ATT&amp;CK Mappings'!$G33))),ISNUMBER(SEARCH(IF(D$2&lt;&gt;"",D$2,"NA"),'MITRE ATT&amp;CK Mappings'!$H33))),ISNUMBER(SEARCH(IF(D$3&lt;&gt;"",D$3,"NA"),'MITRE ATT&amp;CK Mappings'!$I33))),ISNUMBER(SEARCH(IF(D$3&lt;&gt;"",D$3,"NA"),'MITRE ATT&amp;CK Mappings'!$J33))), 'MITRE ATT&amp;CK Mappings'!$B33,"")</f>
        <v/>
      </c>
      <c r="E37" s="27" t="str">
        <f>IF(OR(OR(OR(OR(OR(ISNUMBER(SEARCH(IF(E$1&lt;&gt;"",E$1,"NA"),'MITRE ATT&amp;CK Mappings'!$E33)),ISNUMBER(SEARCH(IF(E$1&lt;&gt;"",E$1,"NA"),'MITRE ATT&amp;CK Mappings'!$F33))),ISNUMBER(SEARCH(IF(E$2&lt;&gt;"",E$2,"NA"),'MITRE ATT&amp;CK Mappings'!$G33))),ISNUMBER(SEARCH(IF(E$2&lt;&gt;"",E$2,"NA"),'MITRE ATT&amp;CK Mappings'!$H33))),ISNUMBER(SEARCH(IF(E$3&lt;&gt;"",E$3,"NA"),'MITRE ATT&amp;CK Mappings'!$I33))),ISNUMBER(SEARCH(IF(E$3&lt;&gt;"",E$3,"NA"),'MITRE ATT&amp;CK Mappings'!$J33))), 'MITRE ATT&amp;CK Mappings'!$B33,"")</f>
        <v/>
      </c>
      <c r="F37" s="27" t="str">
        <f>IF(OR(OR(OR(OR(OR(ISNUMBER(SEARCH(IF(F$1&lt;&gt;"",F$1,"NA"),'MITRE ATT&amp;CK Mappings'!$E33)),ISNUMBER(SEARCH(IF(F$1&lt;&gt;"",F$1,"NA"),'MITRE ATT&amp;CK Mappings'!$F33))),ISNUMBER(SEARCH(IF(F$2&lt;&gt;"",F$2,"NA"),'MITRE ATT&amp;CK Mappings'!$G33))),ISNUMBER(SEARCH(IF(F$2&lt;&gt;"",F$2,"NA"),'MITRE ATT&amp;CK Mappings'!$H33))),ISNUMBER(SEARCH(IF(F$3&lt;&gt;"",F$3,"NA"),'MITRE ATT&amp;CK Mappings'!$I33))),ISNUMBER(SEARCH(IF(F$3&lt;&gt;"",F$3,"NA"),'MITRE ATT&amp;CK Mappings'!$J33))), 'MITRE ATT&amp;CK Mappings'!$B33,"")</f>
        <v/>
      </c>
      <c r="G37" s="27" t="str">
        <f>IF(OR(OR(OR(OR(OR(ISNUMBER(SEARCH(IF(G$1&lt;&gt;"",G$1,"NA"),'MITRE ATT&amp;CK Mappings'!$E33)),ISNUMBER(SEARCH(IF(G$1&lt;&gt;"",G$1,"NA"),'MITRE ATT&amp;CK Mappings'!$F33))),ISNUMBER(SEARCH(IF(G$2&lt;&gt;"",G$2,"NA"),'MITRE ATT&amp;CK Mappings'!$G33))),ISNUMBER(SEARCH(IF(G$2&lt;&gt;"",G$2,"NA"),'MITRE ATT&amp;CK Mappings'!$H33))),ISNUMBER(SEARCH(IF(G$3&lt;&gt;"",G$3,"NA"),'MITRE ATT&amp;CK Mappings'!$I33))),ISNUMBER(SEARCH(IF(G$3&lt;&gt;"",G$3,"NA"),'MITRE ATT&amp;CK Mappings'!$J33))), 'MITRE ATT&amp;CK Mappings'!$B33,"")</f>
        <v/>
      </c>
      <c r="H37" s="27" t="str">
        <f>IF(OR(OR(OR(OR(OR(ISNUMBER(SEARCH(IF(H$1&lt;&gt;"",H$1,"NA"),'MITRE ATT&amp;CK Mappings'!$E33)),ISNUMBER(SEARCH(IF(H$1&lt;&gt;"",H$1,"NA"),'MITRE ATT&amp;CK Mappings'!$F33))),ISNUMBER(SEARCH(IF(H$2&lt;&gt;"",H$2,"NA"),'MITRE ATT&amp;CK Mappings'!$G33))),ISNUMBER(SEARCH(IF(H$2&lt;&gt;"",H$2,"NA"),'MITRE ATT&amp;CK Mappings'!$H33))),ISNUMBER(SEARCH(IF(H$3&lt;&gt;"",H$3,"NA"),'MITRE ATT&amp;CK Mappings'!$I33))),ISNUMBER(SEARCH(IF(H$3&lt;&gt;"",H$3,"NA"),'MITRE ATT&amp;CK Mappings'!$J33))), 'MITRE ATT&amp;CK Mappings'!$B33,"")</f>
        <v/>
      </c>
      <c r="I37" s="27" t="str">
        <f>IF(OR(OR(OR(OR(OR(ISNUMBER(SEARCH(IF(I$1&lt;&gt;"",I$1,"NA"),'MITRE ATT&amp;CK Mappings'!$E33)),ISNUMBER(SEARCH(IF(I$1&lt;&gt;"",I$1,"NA"),'MITRE ATT&amp;CK Mappings'!$F33))),ISNUMBER(SEARCH(IF(I$2&lt;&gt;"",I$2,"NA"),'MITRE ATT&amp;CK Mappings'!$G33))),ISNUMBER(SEARCH(IF(I$2&lt;&gt;"",I$2,"NA"),'MITRE ATT&amp;CK Mappings'!$H33))),ISNUMBER(SEARCH(IF(I$3&lt;&gt;"",I$3,"NA"),'MITRE ATT&amp;CK Mappings'!$I33))),ISNUMBER(SEARCH(IF(I$3&lt;&gt;"",I$3,"NA"),'MITRE ATT&amp;CK Mappings'!$J33))), 'MITRE ATT&amp;CK Mappings'!$B33,"")</f>
        <v/>
      </c>
      <c r="J37" s="27" t="str">
        <f>IF(OR(OR(OR(OR(OR(ISNUMBER(SEARCH(IF(J$1&lt;&gt;"",J$1,"NA"),'MITRE ATT&amp;CK Mappings'!$E33)),ISNUMBER(SEARCH(IF(J$1&lt;&gt;"",J$1,"NA"),'MITRE ATT&amp;CK Mappings'!$F33))),ISNUMBER(SEARCH(IF(J$2&lt;&gt;"",J$2,"NA"),'MITRE ATT&amp;CK Mappings'!$G33))),ISNUMBER(SEARCH(IF(J$2&lt;&gt;"",J$2,"NA"),'MITRE ATT&amp;CK Mappings'!$H33))),ISNUMBER(SEARCH(IF(J$3&lt;&gt;"",J$3,"NA"),'MITRE ATT&amp;CK Mappings'!$I33))),ISNUMBER(SEARCH(IF(J$3&lt;&gt;"",J$3,"NA"),'MITRE ATT&amp;CK Mappings'!$J33))), 'MITRE ATT&amp;CK Mappings'!$B33,"")</f>
        <v/>
      </c>
      <c r="K37" s="27" t="str">
        <f>IF(OR(OR(OR(OR(OR(ISNUMBER(SEARCH(IF(K$1&lt;&gt;"",K$1,"NA"),'MITRE ATT&amp;CK Mappings'!$E33)),ISNUMBER(SEARCH(IF(K$1&lt;&gt;"",K$1,"NA"),'MITRE ATT&amp;CK Mappings'!$F33))),ISNUMBER(SEARCH(IF(K$2&lt;&gt;"",K$2,"NA"),'MITRE ATT&amp;CK Mappings'!$G33))),ISNUMBER(SEARCH(IF(K$2&lt;&gt;"",K$2,"NA"),'MITRE ATT&amp;CK Mappings'!$H33))),ISNUMBER(SEARCH(IF(K$3&lt;&gt;"",K$3,"NA"),'MITRE ATT&amp;CK Mappings'!$I33))),ISNUMBER(SEARCH(IF(K$3&lt;&gt;"",K$3,"NA"),'MITRE ATT&amp;CK Mappings'!$J33))), 'MITRE ATT&amp;CK Mappings'!$B33,"")</f>
        <v/>
      </c>
      <c r="L37" s="27" t="str">
        <f>IF('MITRE ATT&amp;CK Mappings'!D33 &lt;&gt;"",'MITRE ATT&amp;CK Mappings'!D33,"" )</f>
        <v>Ensure that no custom subscription administrator roles exist</v>
      </c>
    </row>
    <row r="38" spans="1:12" x14ac:dyDescent="0.25">
      <c r="A38" s="26" t="str">
        <f>IF(COUNTIF(B38:K38,"="&amp;'MITRE ATT&amp;CK Mappings'!B34)&gt;0,'MITRE ATT&amp;CK Mappings'!B34,"")</f>
        <v/>
      </c>
      <c r="B38" s="26" t="str">
        <f>IF(OR(OR(OR(OR(OR(ISNUMBER(SEARCH(IF(B$1&lt;&gt;"",B$1,"NA"),'MITRE ATT&amp;CK Mappings'!$E34)),ISNUMBER(SEARCH(IF(B$1&lt;&gt;"",B$1,"NA"),'MITRE ATT&amp;CK Mappings'!$F34))),ISNUMBER(SEARCH(IF(B$2&lt;&gt;"",B$2,"NA"),'MITRE ATT&amp;CK Mappings'!$G34))),ISNUMBER(SEARCH(IF(B$2&lt;&gt;"",B$2,"NA"),'MITRE ATT&amp;CK Mappings'!$H34))),ISNUMBER(SEARCH(IF(B$3&lt;&gt;"",B$3,"NA"),'MITRE ATT&amp;CK Mappings'!$I34))),ISNUMBER(SEARCH(IF(B$3&lt;&gt;"",B$3,"NA"),'MITRE ATT&amp;CK Mappings'!$J34))), 'MITRE ATT&amp;CK Mappings'!$B34,"")</f>
        <v/>
      </c>
      <c r="C38" s="26" t="str">
        <f>IF(OR(OR(OR(OR(OR(ISNUMBER(SEARCH(IF(C$1&lt;&gt;"",C$1,"NA"),'MITRE ATT&amp;CK Mappings'!$E34)),ISNUMBER(SEARCH(IF(C$1&lt;&gt;"",C$1,"NA"),'MITRE ATT&amp;CK Mappings'!$F34))),ISNUMBER(SEARCH(IF(C$2&lt;&gt;"",C$2,"NA"),'MITRE ATT&amp;CK Mappings'!$G34))),ISNUMBER(SEARCH(IF(C$2&lt;&gt;"",C$2,"NA"),'MITRE ATT&amp;CK Mappings'!$H34))),ISNUMBER(SEARCH(IF(C$3&lt;&gt;"",C$3,"NA"),'MITRE ATT&amp;CK Mappings'!$I34))),ISNUMBER(SEARCH(IF(C$3&lt;&gt;"",C$3,"NA"),'MITRE ATT&amp;CK Mappings'!$J34))), 'MITRE ATT&amp;CK Mappings'!$B34,"")</f>
        <v/>
      </c>
      <c r="D38" s="26" t="str">
        <f>IF(OR(OR(OR(OR(OR(ISNUMBER(SEARCH(IF(D$1&lt;&gt;"",D$1,"NA"),'MITRE ATT&amp;CK Mappings'!$E34)),ISNUMBER(SEARCH(IF(D$1&lt;&gt;"",D$1,"NA"),'MITRE ATT&amp;CK Mappings'!$F34))),ISNUMBER(SEARCH(IF(D$2&lt;&gt;"",D$2,"NA"),'MITRE ATT&amp;CK Mappings'!$G34))),ISNUMBER(SEARCH(IF(D$2&lt;&gt;"",D$2,"NA"),'MITRE ATT&amp;CK Mappings'!$H34))),ISNUMBER(SEARCH(IF(D$3&lt;&gt;"",D$3,"NA"),'MITRE ATT&amp;CK Mappings'!$I34))),ISNUMBER(SEARCH(IF(D$3&lt;&gt;"",D$3,"NA"),'MITRE ATT&amp;CK Mappings'!$J34))), 'MITRE ATT&amp;CK Mappings'!$B34,"")</f>
        <v/>
      </c>
      <c r="E38" s="26" t="str">
        <f>IF(OR(OR(OR(OR(OR(ISNUMBER(SEARCH(IF(E$1&lt;&gt;"",E$1,"NA"),'MITRE ATT&amp;CK Mappings'!$E34)),ISNUMBER(SEARCH(IF(E$1&lt;&gt;"",E$1,"NA"),'MITRE ATT&amp;CK Mappings'!$F34))),ISNUMBER(SEARCH(IF(E$2&lt;&gt;"",E$2,"NA"),'MITRE ATT&amp;CK Mappings'!$G34))),ISNUMBER(SEARCH(IF(E$2&lt;&gt;"",E$2,"NA"),'MITRE ATT&amp;CK Mappings'!$H34))),ISNUMBER(SEARCH(IF(E$3&lt;&gt;"",E$3,"NA"),'MITRE ATT&amp;CK Mappings'!$I34))),ISNUMBER(SEARCH(IF(E$3&lt;&gt;"",E$3,"NA"),'MITRE ATT&amp;CK Mappings'!$J34))), 'MITRE ATT&amp;CK Mappings'!$B34,"")</f>
        <v/>
      </c>
      <c r="F38" s="26" t="str">
        <f>IF(OR(OR(OR(OR(OR(ISNUMBER(SEARCH(IF(F$1&lt;&gt;"",F$1,"NA"),'MITRE ATT&amp;CK Mappings'!$E34)),ISNUMBER(SEARCH(IF(F$1&lt;&gt;"",F$1,"NA"),'MITRE ATT&amp;CK Mappings'!$F34))),ISNUMBER(SEARCH(IF(F$2&lt;&gt;"",F$2,"NA"),'MITRE ATT&amp;CK Mappings'!$G34))),ISNUMBER(SEARCH(IF(F$2&lt;&gt;"",F$2,"NA"),'MITRE ATT&amp;CK Mappings'!$H34))),ISNUMBER(SEARCH(IF(F$3&lt;&gt;"",F$3,"NA"),'MITRE ATT&amp;CK Mappings'!$I34))),ISNUMBER(SEARCH(IF(F$3&lt;&gt;"",F$3,"NA"),'MITRE ATT&amp;CK Mappings'!$J34))), 'MITRE ATT&amp;CK Mappings'!$B34,"")</f>
        <v/>
      </c>
      <c r="G38" s="26" t="str">
        <f>IF(OR(OR(OR(OR(OR(ISNUMBER(SEARCH(IF(G$1&lt;&gt;"",G$1,"NA"),'MITRE ATT&amp;CK Mappings'!$E34)),ISNUMBER(SEARCH(IF(G$1&lt;&gt;"",G$1,"NA"),'MITRE ATT&amp;CK Mappings'!$F34))),ISNUMBER(SEARCH(IF(G$2&lt;&gt;"",G$2,"NA"),'MITRE ATT&amp;CK Mappings'!$G34))),ISNUMBER(SEARCH(IF(G$2&lt;&gt;"",G$2,"NA"),'MITRE ATT&amp;CK Mappings'!$H34))),ISNUMBER(SEARCH(IF(G$3&lt;&gt;"",G$3,"NA"),'MITRE ATT&amp;CK Mappings'!$I34))),ISNUMBER(SEARCH(IF(G$3&lt;&gt;"",G$3,"NA"),'MITRE ATT&amp;CK Mappings'!$J34))), 'MITRE ATT&amp;CK Mappings'!$B34,"")</f>
        <v/>
      </c>
      <c r="H38" s="26" t="str">
        <f>IF(OR(OR(OR(OR(OR(ISNUMBER(SEARCH(IF(H$1&lt;&gt;"",H$1,"NA"),'MITRE ATT&amp;CK Mappings'!$E34)),ISNUMBER(SEARCH(IF(H$1&lt;&gt;"",H$1,"NA"),'MITRE ATT&amp;CK Mappings'!$F34))),ISNUMBER(SEARCH(IF(H$2&lt;&gt;"",H$2,"NA"),'MITRE ATT&amp;CK Mappings'!$G34))),ISNUMBER(SEARCH(IF(H$2&lt;&gt;"",H$2,"NA"),'MITRE ATT&amp;CK Mappings'!$H34))),ISNUMBER(SEARCH(IF(H$3&lt;&gt;"",H$3,"NA"),'MITRE ATT&amp;CK Mappings'!$I34))),ISNUMBER(SEARCH(IF(H$3&lt;&gt;"",H$3,"NA"),'MITRE ATT&amp;CK Mappings'!$J34))), 'MITRE ATT&amp;CK Mappings'!$B34,"")</f>
        <v/>
      </c>
      <c r="I38" s="26" t="str">
        <f>IF(OR(OR(OR(OR(OR(ISNUMBER(SEARCH(IF(I$1&lt;&gt;"",I$1,"NA"),'MITRE ATT&amp;CK Mappings'!$E34)),ISNUMBER(SEARCH(IF(I$1&lt;&gt;"",I$1,"NA"),'MITRE ATT&amp;CK Mappings'!$F34))),ISNUMBER(SEARCH(IF(I$2&lt;&gt;"",I$2,"NA"),'MITRE ATT&amp;CK Mappings'!$G34))),ISNUMBER(SEARCH(IF(I$2&lt;&gt;"",I$2,"NA"),'MITRE ATT&amp;CK Mappings'!$H34))),ISNUMBER(SEARCH(IF(I$3&lt;&gt;"",I$3,"NA"),'MITRE ATT&amp;CK Mappings'!$I34))),ISNUMBER(SEARCH(IF(I$3&lt;&gt;"",I$3,"NA"),'MITRE ATT&amp;CK Mappings'!$J34))), 'MITRE ATT&amp;CK Mappings'!$B34,"")</f>
        <v/>
      </c>
      <c r="J38" s="26" t="str">
        <f>IF(OR(OR(OR(OR(OR(ISNUMBER(SEARCH(IF(J$1&lt;&gt;"",J$1,"NA"),'MITRE ATT&amp;CK Mappings'!$E34)),ISNUMBER(SEARCH(IF(J$1&lt;&gt;"",J$1,"NA"),'MITRE ATT&amp;CK Mappings'!$F34))),ISNUMBER(SEARCH(IF(J$2&lt;&gt;"",J$2,"NA"),'MITRE ATT&amp;CK Mappings'!$G34))),ISNUMBER(SEARCH(IF(J$2&lt;&gt;"",J$2,"NA"),'MITRE ATT&amp;CK Mappings'!$H34))),ISNUMBER(SEARCH(IF(J$3&lt;&gt;"",J$3,"NA"),'MITRE ATT&amp;CK Mappings'!$I34))),ISNUMBER(SEARCH(IF(J$3&lt;&gt;"",J$3,"NA"),'MITRE ATT&amp;CK Mappings'!$J34))), 'MITRE ATT&amp;CK Mappings'!$B34,"")</f>
        <v/>
      </c>
      <c r="K38" s="26" t="str">
        <f>IF(OR(OR(OR(OR(OR(ISNUMBER(SEARCH(IF(K$1&lt;&gt;"",K$1,"NA"),'MITRE ATT&amp;CK Mappings'!$E34)),ISNUMBER(SEARCH(IF(K$1&lt;&gt;"",K$1,"NA"),'MITRE ATT&amp;CK Mappings'!$F34))),ISNUMBER(SEARCH(IF(K$2&lt;&gt;"",K$2,"NA"),'MITRE ATT&amp;CK Mappings'!$G34))),ISNUMBER(SEARCH(IF(K$2&lt;&gt;"",K$2,"NA"),'MITRE ATT&amp;CK Mappings'!$H34))),ISNUMBER(SEARCH(IF(K$3&lt;&gt;"",K$3,"NA"),'MITRE ATT&amp;CK Mappings'!$I34))),ISNUMBER(SEARCH(IF(K$3&lt;&gt;"",K$3,"NA"),'MITRE ATT&amp;CK Mappings'!$J34))), 'MITRE ATT&amp;CK Mappings'!$B34,"")</f>
        <v/>
      </c>
      <c r="L38" s="26" t="str">
        <f>IF('MITRE ATT&amp;CK Mappings'!D34 &lt;&gt;"",'MITRE ATT&amp;CK Mappings'!D34,"" )</f>
        <v>Ensure that a custom role is assigned permissions for administering resource locks</v>
      </c>
    </row>
    <row r="39" spans="1:12" x14ac:dyDescent="0.25">
      <c r="A39" s="27" t="str">
        <f>IF(COUNTIF(B39:K39,"="&amp;'MITRE ATT&amp;CK Mappings'!B35)&gt;0,'MITRE ATT&amp;CK Mappings'!B35,"")</f>
        <v/>
      </c>
      <c r="B39" s="27" t="str">
        <f>IF(OR(OR(OR(OR(OR(ISNUMBER(SEARCH(IF(B$1&lt;&gt;"",B$1,"NA"),'MITRE ATT&amp;CK Mappings'!$E35)),ISNUMBER(SEARCH(IF(B$1&lt;&gt;"",B$1,"NA"),'MITRE ATT&amp;CK Mappings'!$F35))),ISNUMBER(SEARCH(IF(B$2&lt;&gt;"",B$2,"NA"),'MITRE ATT&amp;CK Mappings'!$G35))),ISNUMBER(SEARCH(IF(B$2&lt;&gt;"",B$2,"NA"),'MITRE ATT&amp;CK Mappings'!$H35))),ISNUMBER(SEARCH(IF(B$3&lt;&gt;"",B$3,"NA"),'MITRE ATT&amp;CK Mappings'!$I35))),ISNUMBER(SEARCH(IF(B$3&lt;&gt;"",B$3,"NA"),'MITRE ATT&amp;CK Mappings'!$J35))), 'MITRE ATT&amp;CK Mappings'!$B35,"")</f>
        <v/>
      </c>
      <c r="C39" s="27" t="str">
        <f>IF(OR(OR(OR(OR(OR(ISNUMBER(SEARCH(IF(C$1&lt;&gt;"",C$1,"NA"),'MITRE ATT&amp;CK Mappings'!$E35)),ISNUMBER(SEARCH(IF(C$1&lt;&gt;"",C$1,"NA"),'MITRE ATT&amp;CK Mappings'!$F35))),ISNUMBER(SEARCH(IF(C$2&lt;&gt;"",C$2,"NA"),'MITRE ATT&amp;CK Mappings'!$G35))),ISNUMBER(SEARCH(IF(C$2&lt;&gt;"",C$2,"NA"),'MITRE ATT&amp;CK Mappings'!$H35))),ISNUMBER(SEARCH(IF(C$3&lt;&gt;"",C$3,"NA"),'MITRE ATT&amp;CK Mappings'!$I35))),ISNUMBER(SEARCH(IF(C$3&lt;&gt;"",C$3,"NA"),'MITRE ATT&amp;CK Mappings'!$J35))), 'MITRE ATT&amp;CK Mappings'!$B35,"")</f>
        <v/>
      </c>
      <c r="D39" s="27" t="str">
        <f>IF(OR(OR(OR(OR(OR(ISNUMBER(SEARCH(IF(D$1&lt;&gt;"",D$1,"NA"),'MITRE ATT&amp;CK Mappings'!$E35)),ISNUMBER(SEARCH(IF(D$1&lt;&gt;"",D$1,"NA"),'MITRE ATT&amp;CK Mappings'!$F35))),ISNUMBER(SEARCH(IF(D$2&lt;&gt;"",D$2,"NA"),'MITRE ATT&amp;CK Mappings'!$G35))),ISNUMBER(SEARCH(IF(D$2&lt;&gt;"",D$2,"NA"),'MITRE ATT&amp;CK Mappings'!$H35))),ISNUMBER(SEARCH(IF(D$3&lt;&gt;"",D$3,"NA"),'MITRE ATT&amp;CK Mappings'!$I35))),ISNUMBER(SEARCH(IF(D$3&lt;&gt;"",D$3,"NA"),'MITRE ATT&amp;CK Mappings'!$J35))), 'MITRE ATT&amp;CK Mappings'!$B35,"")</f>
        <v/>
      </c>
      <c r="E39" s="27" t="str">
        <f>IF(OR(OR(OR(OR(OR(ISNUMBER(SEARCH(IF(E$1&lt;&gt;"",E$1,"NA"),'MITRE ATT&amp;CK Mappings'!$E35)),ISNUMBER(SEARCH(IF(E$1&lt;&gt;"",E$1,"NA"),'MITRE ATT&amp;CK Mappings'!$F35))),ISNUMBER(SEARCH(IF(E$2&lt;&gt;"",E$2,"NA"),'MITRE ATT&amp;CK Mappings'!$G35))),ISNUMBER(SEARCH(IF(E$2&lt;&gt;"",E$2,"NA"),'MITRE ATT&amp;CK Mappings'!$H35))),ISNUMBER(SEARCH(IF(E$3&lt;&gt;"",E$3,"NA"),'MITRE ATT&amp;CK Mappings'!$I35))),ISNUMBER(SEARCH(IF(E$3&lt;&gt;"",E$3,"NA"),'MITRE ATT&amp;CK Mappings'!$J35))), 'MITRE ATT&amp;CK Mappings'!$B35,"")</f>
        <v/>
      </c>
      <c r="F39" s="27" t="str">
        <f>IF(OR(OR(OR(OR(OR(ISNUMBER(SEARCH(IF(F$1&lt;&gt;"",F$1,"NA"),'MITRE ATT&amp;CK Mappings'!$E35)),ISNUMBER(SEARCH(IF(F$1&lt;&gt;"",F$1,"NA"),'MITRE ATT&amp;CK Mappings'!$F35))),ISNUMBER(SEARCH(IF(F$2&lt;&gt;"",F$2,"NA"),'MITRE ATT&amp;CK Mappings'!$G35))),ISNUMBER(SEARCH(IF(F$2&lt;&gt;"",F$2,"NA"),'MITRE ATT&amp;CK Mappings'!$H35))),ISNUMBER(SEARCH(IF(F$3&lt;&gt;"",F$3,"NA"),'MITRE ATT&amp;CK Mappings'!$I35))),ISNUMBER(SEARCH(IF(F$3&lt;&gt;"",F$3,"NA"),'MITRE ATT&amp;CK Mappings'!$J35))), 'MITRE ATT&amp;CK Mappings'!$B35,"")</f>
        <v/>
      </c>
      <c r="G39" s="27" t="str">
        <f>IF(OR(OR(OR(OR(OR(ISNUMBER(SEARCH(IF(G$1&lt;&gt;"",G$1,"NA"),'MITRE ATT&amp;CK Mappings'!$E35)),ISNUMBER(SEARCH(IF(G$1&lt;&gt;"",G$1,"NA"),'MITRE ATT&amp;CK Mappings'!$F35))),ISNUMBER(SEARCH(IF(G$2&lt;&gt;"",G$2,"NA"),'MITRE ATT&amp;CK Mappings'!$G35))),ISNUMBER(SEARCH(IF(G$2&lt;&gt;"",G$2,"NA"),'MITRE ATT&amp;CK Mappings'!$H35))),ISNUMBER(SEARCH(IF(G$3&lt;&gt;"",G$3,"NA"),'MITRE ATT&amp;CK Mappings'!$I35))),ISNUMBER(SEARCH(IF(G$3&lt;&gt;"",G$3,"NA"),'MITRE ATT&amp;CK Mappings'!$J35))), 'MITRE ATT&amp;CK Mappings'!$B35,"")</f>
        <v/>
      </c>
      <c r="H39" s="27" t="str">
        <f>IF(OR(OR(OR(OR(OR(ISNUMBER(SEARCH(IF(H$1&lt;&gt;"",H$1,"NA"),'MITRE ATT&amp;CK Mappings'!$E35)),ISNUMBER(SEARCH(IF(H$1&lt;&gt;"",H$1,"NA"),'MITRE ATT&amp;CK Mappings'!$F35))),ISNUMBER(SEARCH(IF(H$2&lt;&gt;"",H$2,"NA"),'MITRE ATT&amp;CK Mappings'!$G35))),ISNUMBER(SEARCH(IF(H$2&lt;&gt;"",H$2,"NA"),'MITRE ATT&amp;CK Mappings'!$H35))),ISNUMBER(SEARCH(IF(H$3&lt;&gt;"",H$3,"NA"),'MITRE ATT&amp;CK Mappings'!$I35))),ISNUMBER(SEARCH(IF(H$3&lt;&gt;"",H$3,"NA"),'MITRE ATT&amp;CK Mappings'!$J35))), 'MITRE ATT&amp;CK Mappings'!$B35,"")</f>
        <v/>
      </c>
      <c r="I39" s="27" t="str">
        <f>IF(OR(OR(OR(OR(OR(ISNUMBER(SEARCH(IF(I$1&lt;&gt;"",I$1,"NA"),'MITRE ATT&amp;CK Mappings'!$E35)),ISNUMBER(SEARCH(IF(I$1&lt;&gt;"",I$1,"NA"),'MITRE ATT&amp;CK Mappings'!$F35))),ISNUMBER(SEARCH(IF(I$2&lt;&gt;"",I$2,"NA"),'MITRE ATT&amp;CK Mappings'!$G35))),ISNUMBER(SEARCH(IF(I$2&lt;&gt;"",I$2,"NA"),'MITRE ATT&amp;CK Mappings'!$H35))),ISNUMBER(SEARCH(IF(I$3&lt;&gt;"",I$3,"NA"),'MITRE ATT&amp;CK Mappings'!$I35))),ISNUMBER(SEARCH(IF(I$3&lt;&gt;"",I$3,"NA"),'MITRE ATT&amp;CK Mappings'!$J35))), 'MITRE ATT&amp;CK Mappings'!$B35,"")</f>
        <v/>
      </c>
      <c r="J39" s="27" t="str">
        <f>IF(OR(OR(OR(OR(OR(ISNUMBER(SEARCH(IF(J$1&lt;&gt;"",J$1,"NA"),'MITRE ATT&amp;CK Mappings'!$E35)),ISNUMBER(SEARCH(IF(J$1&lt;&gt;"",J$1,"NA"),'MITRE ATT&amp;CK Mappings'!$F35))),ISNUMBER(SEARCH(IF(J$2&lt;&gt;"",J$2,"NA"),'MITRE ATT&amp;CK Mappings'!$G35))),ISNUMBER(SEARCH(IF(J$2&lt;&gt;"",J$2,"NA"),'MITRE ATT&amp;CK Mappings'!$H35))),ISNUMBER(SEARCH(IF(J$3&lt;&gt;"",J$3,"NA"),'MITRE ATT&amp;CK Mappings'!$I35))),ISNUMBER(SEARCH(IF(J$3&lt;&gt;"",J$3,"NA"),'MITRE ATT&amp;CK Mappings'!$J35))), 'MITRE ATT&amp;CK Mappings'!$B35,"")</f>
        <v/>
      </c>
      <c r="K39" s="27" t="str">
        <f>IF(OR(OR(OR(OR(OR(ISNUMBER(SEARCH(IF(K$1&lt;&gt;"",K$1,"NA"),'MITRE ATT&amp;CK Mappings'!$E35)),ISNUMBER(SEARCH(IF(K$1&lt;&gt;"",K$1,"NA"),'MITRE ATT&amp;CK Mappings'!$F35))),ISNUMBER(SEARCH(IF(K$2&lt;&gt;"",K$2,"NA"),'MITRE ATT&amp;CK Mappings'!$G35))),ISNUMBER(SEARCH(IF(K$2&lt;&gt;"",K$2,"NA"),'MITRE ATT&amp;CK Mappings'!$H35))),ISNUMBER(SEARCH(IF(K$3&lt;&gt;"",K$3,"NA"),'MITRE ATT&amp;CK Mappings'!$I35))),ISNUMBER(SEARCH(IF(K$3&lt;&gt;"",K$3,"NA"),'MITRE ATT&amp;CK Mappings'!$J35))), 'MITRE ATT&amp;CK Mappings'!$B35,"")</f>
        <v/>
      </c>
      <c r="L39" s="27" t="str">
        <f>IF('MITRE ATT&amp;CK Mappings'!D35 &lt;&gt;"",'MITRE ATT&amp;CK Mappings'!D35,"" )</f>
        <v>Ensure that 'Subscription leaving Microsoft Entra tenant' and 'Subscription entering Microsoft Entra tenant' is set to 'Permit no one'</v>
      </c>
    </row>
    <row r="40" spans="1:12" x14ac:dyDescent="0.25">
      <c r="A40" s="26" t="str">
        <f>IF(COUNTIF(B40:K40,"="&amp;'MITRE ATT&amp;CK Mappings'!B36)&gt;0,'MITRE ATT&amp;CK Mappings'!B36,"")</f>
        <v/>
      </c>
      <c r="B40" s="26" t="str">
        <f>IF(OR(OR(OR(OR(OR(ISNUMBER(SEARCH(IF(B$1&lt;&gt;"",B$1,"NA"),'MITRE ATT&amp;CK Mappings'!$E36)),ISNUMBER(SEARCH(IF(B$1&lt;&gt;"",B$1,"NA"),'MITRE ATT&amp;CK Mappings'!$F36))),ISNUMBER(SEARCH(IF(B$2&lt;&gt;"",B$2,"NA"),'MITRE ATT&amp;CK Mappings'!$G36))),ISNUMBER(SEARCH(IF(B$2&lt;&gt;"",B$2,"NA"),'MITRE ATT&amp;CK Mappings'!$H36))),ISNUMBER(SEARCH(IF(B$3&lt;&gt;"",B$3,"NA"),'MITRE ATT&amp;CK Mappings'!$I36))),ISNUMBER(SEARCH(IF(B$3&lt;&gt;"",B$3,"NA"),'MITRE ATT&amp;CK Mappings'!$J36))), 'MITRE ATT&amp;CK Mappings'!$B36,"")</f>
        <v/>
      </c>
      <c r="C40" s="26" t="str">
        <f>IF(OR(OR(OR(OR(OR(ISNUMBER(SEARCH(IF(C$1&lt;&gt;"",C$1,"NA"),'MITRE ATT&amp;CK Mappings'!$E36)),ISNUMBER(SEARCH(IF(C$1&lt;&gt;"",C$1,"NA"),'MITRE ATT&amp;CK Mappings'!$F36))),ISNUMBER(SEARCH(IF(C$2&lt;&gt;"",C$2,"NA"),'MITRE ATT&amp;CK Mappings'!$G36))),ISNUMBER(SEARCH(IF(C$2&lt;&gt;"",C$2,"NA"),'MITRE ATT&amp;CK Mappings'!$H36))),ISNUMBER(SEARCH(IF(C$3&lt;&gt;"",C$3,"NA"),'MITRE ATT&amp;CK Mappings'!$I36))),ISNUMBER(SEARCH(IF(C$3&lt;&gt;"",C$3,"NA"),'MITRE ATT&amp;CK Mappings'!$J36))), 'MITRE ATT&amp;CK Mappings'!$B36,"")</f>
        <v/>
      </c>
      <c r="D40" s="26" t="str">
        <f>IF(OR(OR(OR(OR(OR(ISNUMBER(SEARCH(IF(D$1&lt;&gt;"",D$1,"NA"),'MITRE ATT&amp;CK Mappings'!$E36)),ISNUMBER(SEARCH(IF(D$1&lt;&gt;"",D$1,"NA"),'MITRE ATT&amp;CK Mappings'!$F36))),ISNUMBER(SEARCH(IF(D$2&lt;&gt;"",D$2,"NA"),'MITRE ATT&amp;CK Mappings'!$G36))),ISNUMBER(SEARCH(IF(D$2&lt;&gt;"",D$2,"NA"),'MITRE ATT&amp;CK Mappings'!$H36))),ISNUMBER(SEARCH(IF(D$3&lt;&gt;"",D$3,"NA"),'MITRE ATT&amp;CK Mappings'!$I36))),ISNUMBER(SEARCH(IF(D$3&lt;&gt;"",D$3,"NA"),'MITRE ATT&amp;CK Mappings'!$J36))), 'MITRE ATT&amp;CK Mappings'!$B36,"")</f>
        <v/>
      </c>
      <c r="E40" s="26" t="str">
        <f>IF(OR(OR(OR(OR(OR(ISNUMBER(SEARCH(IF(E$1&lt;&gt;"",E$1,"NA"),'MITRE ATT&amp;CK Mappings'!$E36)),ISNUMBER(SEARCH(IF(E$1&lt;&gt;"",E$1,"NA"),'MITRE ATT&amp;CK Mappings'!$F36))),ISNUMBER(SEARCH(IF(E$2&lt;&gt;"",E$2,"NA"),'MITRE ATT&amp;CK Mappings'!$G36))),ISNUMBER(SEARCH(IF(E$2&lt;&gt;"",E$2,"NA"),'MITRE ATT&amp;CK Mappings'!$H36))),ISNUMBER(SEARCH(IF(E$3&lt;&gt;"",E$3,"NA"),'MITRE ATT&amp;CK Mappings'!$I36))),ISNUMBER(SEARCH(IF(E$3&lt;&gt;"",E$3,"NA"),'MITRE ATT&amp;CK Mappings'!$J36))), 'MITRE ATT&amp;CK Mappings'!$B36,"")</f>
        <v/>
      </c>
      <c r="F40" s="26" t="str">
        <f>IF(OR(OR(OR(OR(OR(ISNUMBER(SEARCH(IF(F$1&lt;&gt;"",F$1,"NA"),'MITRE ATT&amp;CK Mappings'!$E36)),ISNUMBER(SEARCH(IF(F$1&lt;&gt;"",F$1,"NA"),'MITRE ATT&amp;CK Mappings'!$F36))),ISNUMBER(SEARCH(IF(F$2&lt;&gt;"",F$2,"NA"),'MITRE ATT&amp;CK Mappings'!$G36))),ISNUMBER(SEARCH(IF(F$2&lt;&gt;"",F$2,"NA"),'MITRE ATT&amp;CK Mappings'!$H36))),ISNUMBER(SEARCH(IF(F$3&lt;&gt;"",F$3,"NA"),'MITRE ATT&amp;CK Mappings'!$I36))),ISNUMBER(SEARCH(IF(F$3&lt;&gt;"",F$3,"NA"),'MITRE ATT&amp;CK Mappings'!$J36))), 'MITRE ATT&amp;CK Mappings'!$B36,"")</f>
        <v/>
      </c>
      <c r="G40" s="26" t="str">
        <f>IF(OR(OR(OR(OR(OR(ISNUMBER(SEARCH(IF(G$1&lt;&gt;"",G$1,"NA"),'MITRE ATT&amp;CK Mappings'!$E36)),ISNUMBER(SEARCH(IF(G$1&lt;&gt;"",G$1,"NA"),'MITRE ATT&amp;CK Mappings'!$F36))),ISNUMBER(SEARCH(IF(G$2&lt;&gt;"",G$2,"NA"),'MITRE ATT&amp;CK Mappings'!$G36))),ISNUMBER(SEARCH(IF(G$2&lt;&gt;"",G$2,"NA"),'MITRE ATT&amp;CK Mappings'!$H36))),ISNUMBER(SEARCH(IF(G$3&lt;&gt;"",G$3,"NA"),'MITRE ATT&amp;CK Mappings'!$I36))),ISNUMBER(SEARCH(IF(G$3&lt;&gt;"",G$3,"NA"),'MITRE ATT&amp;CK Mappings'!$J36))), 'MITRE ATT&amp;CK Mappings'!$B36,"")</f>
        <v/>
      </c>
      <c r="H40" s="26" t="str">
        <f>IF(OR(OR(OR(OR(OR(ISNUMBER(SEARCH(IF(H$1&lt;&gt;"",H$1,"NA"),'MITRE ATT&amp;CK Mappings'!$E36)),ISNUMBER(SEARCH(IF(H$1&lt;&gt;"",H$1,"NA"),'MITRE ATT&amp;CK Mappings'!$F36))),ISNUMBER(SEARCH(IF(H$2&lt;&gt;"",H$2,"NA"),'MITRE ATT&amp;CK Mappings'!$G36))),ISNUMBER(SEARCH(IF(H$2&lt;&gt;"",H$2,"NA"),'MITRE ATT&amp;CK Mappings'!$H36))),ISNUMBER(SEARCH(IF(H$3&lt;&gt;"",H$3,"NA"),'MITRE ATT&amp;CK Mappings'!$I36))),ISNUMBER(SEARCH(IF(H$3&lt;&gt;"",H$3,"NA"),'MITRE ATT&amp;CK Mappings'!$J36))), 'MITRE ATT&amp;CK Mappings'!$B36,"")</f>
        <v/>
      </c>
      <c r="I40" s="26" t="str">
        <f>IF(OR(OR(OR(OR(OR(ISNUMBER(SEARCH(IF(I$1&lt;&gt;"",I$1,"NA"),'MITRE ATT&amp;CK Mappings'!$E36)),ISNUMBER(SEARCH(IF(I$1&lt;&gt;"",I$1,"NA"),'MITRE ATT&amp;CK Mappings'!$F36))),ISNUMBER(SEARCH(IF(I$2&lt;&gt;"",I$2,"NA"),'MITRE ATT&amp;CK Mappings'!$G36))),ISNUMBER(SEARCH(IF(I$2&lt;&gt;"",I$2,"NA"),'MITRE ATT&amp;CK Mappings'!$H36))),ISNUMBER(SEARCH(IF(I$3&lt;&gt;"",I$3,"NA"),'MITRE ATT&amp;CK Mappings'!$I36))),ISNUMBER(SEARCH(IF(I$3&lt;&gt;"",I$3,"NA"),'MITRE ATT&amp;CK Mappings'!$J36))), 'MITRE ATT&amp;CK Mappings'!$B36,"")</f>
        <v/>
      </c>
      <c r="J40" s="26" t="str">
        <f>IF(OR(OR(OR(OR(OR(ISNUMBER(SEARCH(IF(J$1&lt;&gt;"",J$1,"NA"),'MITRE ATT&amp;CK Mappings'!$E36)),ISNUMBER(SEARCH(IF(J$1&lt;&gt;"",J$1,"NA"),'MITRE ATT&amp;CK Mappings'!$F36))),ISNUMBER(SEARCH(IF(J$2&lt;&gt;"",J$2,"NA"),'MITRE ATT&amp;CK Mappings'!$G36))),ISNUMBER(SEARCH(IF(J$2&lt;&gt;"",J$2,"NA"),'MITRE ATT&amp;CK Mappings'!$H36))),ISNUMBER(SEARCH(IF(J$3&lt;&gt;"",J$3,"NA"),'MITRE ATT&amp;CK Mappings'!$I36))),ISNUMBER(SEARCH(IF(J$3&lt;&gt;"",J$3,"NA"),'MITRE ATT&amp;CK Mappings'!$J36))), 'MITRE ATT&amp;CK Mappings'!$B36,"")</f>
        <v/>
      </c>
      <c r="K40" s="26" t="str">
        <f>IF(OR(OR(OR(OR(OR(ISNUMBER(SEARCH(IF(K$1&lt;&gt;"",K$1,"NA"),'MITRE ATT&amp;CK Mappings'!$E36)),ISNUMBER(SEARCH(IF(K$1&lt;&gt;"",K$1,"NA"),'MITRE ATT&amp;CK Mappings'!$F36))),ISNUMBER(SEARCH(IF(K$2&lt;&gt;"",K$2,"NA"),'MITRE ATT&amp;CK Mappings'!$G36))),ISNUMBER(SEARCH(IF(K$2&lt;&gt;"",K$2,"NA"),'MITRE ATT&amp;CK Mappings'!$H36))),ISNUMBER(SEARCH(IF(K$3&lt;&gt;"",K$3,"NA"),'MITRE ATT&amp;CK Mappings'!$I36))),ISNUMBER(SEARCH(IF(K$3&lt;&gt;"",K$3,"NA"),'MITRE ATT&amp;CK Mappings'!$J36))), 'MITRE ATT&amp;CK Mappings'!$B36,"")</f>
        <v/>
      </c>
      <c r="L40" s="26" t="str">
        <f>IF('MITRE ATT&amp;CK Mappings'!D36 &lt;&gt;"",'MITRE ATT&amp;CK Mappings'!D36,"" )</f>
        <v>Ensure fewer than 5 users have global administrator assignment</v>
      </c>
    </row>
    <row r="41" spans="1:12" x14ac:dyDescent="0.25">
      <c r="A41" s="27" t="str">
        <f>IF(COUNTIF(B41:K41,"="&amp;'MITRE ATT&amp;CK Mappings'!B37)&gt;0,'MITRE ATT&amp;CK Mappings'!B37,"")</f>
        <v/>
      </c>
      <c r="B41" s="27" t="str">
        <f>IF(OR(OR(OR(OR(OR(ISNUMBER(SEARCH(IF(B$1&lt;&gt;"",B$1,"NA"),'MITRE ATT&amp;CK Mappings'!$E37)),ISNUMBER(SEARCH(IF(B$1&lt;&gt;"",B$1,"NA"),'MITRE ATT&amp;CK Mappings'!$F37))),ISNUMBER(SEARCH(IF(B$2&lt;&gt;"",B$2,"NA"),'MITRE ATT&amp;CK Mappings'!$G37))),ISNUMBER(SEARCH(IF(B$2&lt;&gt;"",B$2,"NA"),'MITRE ATT&amp;CK Mappings'!$H37))),ISNUMBER(SEARCH(IF(B$3&lt;&gt;"",B$3,"NA"),'MITRE ATT&amp;CK Mappings'!$I37))),ISNUMBER(SEARCH(IF(B$3&lt;&gt;"",B$3,"NA"),'MITRE ATT&amp;CK Mappings'!$J37))), 'MITRE ATT&amp;CK Mappings'!$B37,"")</f>
        <v/>
      </c>
      <c r="C41" s="27" t="str">
        <f>IF(OR(OR(OR(OR(OR(ISNUMBER(SEARCH(IF(C$1&lt;&gt;"",C$1,"NA"),'MITRE ATT&amp;CK Mappings'!$E37)),ISNUMBER(SEARCH(IF(C$1&lt;&gt;"",C$1,"NA"),'MITRE ATT&amp;CK Mappings'!$F37))),ISNUMBER(SEARCH(IF(C$2&lt;&gt;"",C$2,"NA"),'MITRE ATT&amp;CK Mappings'!$G37))),ISNUMBER(SEARCH(IF(C$2&lt;&gt;"",C$2,"NA"),'MITRE ATT&amp;CK Mappings'!$H37))),ISNUMBER(SEARCH(IF(C$3&lt;&gt;"",C$3,"NA"),'MITRE ATT&amp;CK Mappings'!$I37))),ISNUMBER(SEARCH(IF(C$3&lt;&gt;"",C$3,"NA"),'MITRE ATT&amp;CK Mappings'!$J37))), 'MITRE ATT&amp;CK Mappings'!$B37,"")</f>
        <v/>
      </c>
      <c r="D41" s="27" t="str">
        <f>IF(OR(OR(OR(OR(OR(ISNUMBER(SEARCH(IF(D$1&lt;&gt;"",D$1,"NA"),'MITRE ATT&amp;CK Mappings'!$E37)),ISNUMBER(SEARCH(IF(D$1&lt;&gt;"",D$1,"NA"),'MITRE ATT&amp;CK Mappings'!$F37))),ISNUMBER(SEARCH(IF(D$2&lt;&gt;"",D$2,"NA"),'MITRE ATT&amp;CK Mappings'!$G37))),ISNUMBER(SEARCH(IF(D$2&lt;&gt;"",D$2,"NA"),'MITRE ATT&amp;CK Mappings'!$H37))),ISNUMBER(SEARCH(IF(D$3&lt;&gt;"",D$3,"NA"),'MITRE ATT&amp;CK Mappings'!$I37))),ISNUMBER(SEARCH(IF(D$3&lt;&gt;"",D$3,"NA"),'MITRE ATT&amp;CK Mappings'!$J37))), 'MITRE ATT&amp;CK Mappings'!$B37,"")</f>
        <v/>
      </c>
      <c r="E41" s="27" t="str">
        <f>IF(OR(OR(OR(OR(OR(ISNUMBER(SEARCH(IF(E$1&lt;&gt;"",E$1,"NA"),'MITRE ATT&amp;CK Mappings'!$E37)),ISNUMBER(SEARCH(IF(E$1&lt;&gt;"",E$1,"NA"),'MITRE ATT&amp;CK Mappings'!$F37))),ISNUMBER(SEARCH(IF(E$2&lt;&gt;"",E$2,"NA"),'MITRE ATT&amp;CK Mappings'!$G37))),ISNUMBER(SEARCH(IF(E$2&lt;&gt;"",E$2,"NA"),'MITRE ATT&amp;CK Mappings'!$H37))),ISNUMBER(SEARCH(IF(E$3&lt;&gt;"",E$3,"NA"),'MITRE ATT&amp;CK Mappings'!$I37))),ISNUMBER(SEARCH(IF(E$3&lt;&gt;"",E$3,"NA"),'MITRE ATT&amp;CK Mappings'!$J37))), 'MITRE ATT&amp;CK Mappings'!$B37,"")</f>
        <v/>
      </c>
      <c r="F41" s="27" t="str">
        <f>IF(OR(OR(OR(OR(OR(ISNUMBER(SEARCH(IF(F$1&lt;&gt;"",F$1,"NA"),'MITRE ATT&amp;CK Mappings'!$E37)),ISNUMBER(SEARCH(IF(F$1&lt;&gt;"",F$1,"NA"),'MITRE ATT&amp;CK Mappings'!$F37))),ISNUMBER(SEARCH(IF(F$2&lt;&gt;"",F$2,"NA"),'MITRE ATT&amp;CK Mappings'!$G37))),ISNUMBER(SEARCH(IF(F$2&lt;&gt;"",F$2,"NA"),'MITRE ATT&amp;CK Mappings'!$H37))),ISNUMBER(SEARCH(IF(F$3&lt;&gt;"",F$3,"NA"),'MITRE ATT&amp;CK Mappings'!$I37))),ISNUMBER(SEARCH(IF(F$3&lt;&gt;"",F$3,"NA"),'MITRE ATT&amp;CK Mappings'!$J37))), 'MITRE ATT&amp;CK Mappings'!$B37,"")</f>
        <v/>
      </c>
      <c r="G41" s="27" t="str">
        <f>IF(OR(OR(OR(OR(OR(ISNUMBER(SEARCH(IF(G$1&lt;&gt;"",G$1,"NA"),'MITRE ATT&amp;CK Mappings'!$E37)),ISNUMBER(SEARCH(IF(G$1&lt;&gt;"",G$1,"NA"),'MITRE ATT&amp;CK Mappings'!$F37))),ISNUMBER(SEARCH(IF(G$2&lt;&gt;"",G$2,"NA"),'MITRE ATT&amp;CK Mappings'!$G37))),ISNUMBER(SEARCH(IF(G$2&lt;&gt;"",G$2,"NA"),'MITRE ATT&amp;CK Mappings'!$H37))),ISNUMBER(SEARCH(IF(G$3&lt;&gt;"",G$3,"NA"),'MITRE ATT&amp;CK Mappings'!$I37))),ISNUMBER(SEARCH(IF(G$3&lt;&gt;"",G$3,"NA"),'MITRE ATT&amp;CK Mappings'!$J37))), 'MITRE ATT&amp;CK Mappings'!$B37,"")</f>
        <v/>
      </c>
      <c r="H41" s="27" t="str">
        <f>IF(OR(OR(OR(OR(OR(ISNUMBER(SEARCH(IF(H$1&lt;&gt;"",H$1,"NA"),'MITRE ATT&amp;CK Mappings'!$E37)),ISNUMBER(SEARCH(IF(H$1&lt;&gt;"",H$1,"NA"),'MITRE ATT&amp;CK Mappings'!$F37))),ISNUMBER(SEARCH(IF(H$2&lt;&gt;"",H$2,"NA"),'MITRE ATT&amp;CK Mappings'!$G37))),ISNUMBER(SEARCH(IF(H$2&lt;&gt;"",H$2,"NA"),'MITRE ATT&amp;CK Mappings'!$H37))),ISNUMBER(SEARCH(IF(H$3&lt;&gt;"",H$3,"NA"),'MITRE ATT&amp;CK Mappings'!$I37))),ISNUMBER(SEARCH(IF(H$3&lt;&gt;"",H$3,"NA"),'MITRE ATT&amp;CK Mappings'!$J37))), 'MITRE ATT&amp;CK Mappings'!$B37,"")</f>
        <v/>
      </c>
      <c r="I41" s="27" t="str">
        <f>IF(OR(OR(OR(OR(OR(ISNUMBER(SEARCH(IF(I$1&lt;&gt;"",I$1,"NA"),'MITRE ATT&amp;CK Mappings'!$E37)),ISNUMBER(SEARCH(IF(I$1&lt;&gt;"",I$1,"NA"),'MITRE ATT&amp;CK Mappings'!$F37))),ISNUMBER(SEARCH(IF(I$2&lt;&gt;"",I$2,"NA"),'MITRE ATT&amp;CK Mappings'!$G37))),ISNUMBER(SEARCH(IF(I$2&lt;&gt;"",I$2,"NA"),'MITRE ATT&amp;CK Mappings'!$H37))),ISNUMBER(SEARCH(IF(I$3&lt;&gt;"",I$3,"NA"),'MITRE ATT&amp;CK Mappings'!$I37))),ISNUMBER(SEARCH(IF(I$3&lt;&gt;"",I$3,"NA"),'MITRE ATT&amp;CK Mappings'!$J37))), 'MITRE ATT&amp;CK Mappings'!$B37,"")</f>
        <v/>
      </c>
      <c r="J41" s="27" t="str">
        <f>IF(OR(OR(OR(OR(OR(ISNUMBER(SEARCH(IF(J$1&lt;&gt;"",J$1,"NA"),'MITRE ATT&amp;CK Mappings'!$E37)),ISNUMBER(SEARCH(IF(J$1&lt;&gt;"",J$1,"NA"),'MITRE ATT&amp;CK Mappings'!$F37))),ISNUMBER(SEARCH(IF(J$2&lt;&gt;"",J$2,"NA"),'MITRE ATT&amp;CK Mappings'!$G37))),ISNUMBER(SEARCH(IF(J$2&lt;&gt;"",J$2,"NA"),'MITRE ATT&amp;CK Mappings'!$H37))),ISNUMBER(SEARCH(IF(J$3&lt;&gt;"",J$3,"NA"),'MITRE ATT&amp;CK Mappings'!$I37))),ISNUMBER(SEARCH(IF(J$3&lt;&gt;"",J$3,"NA"),'MITRE ATT&amp;CK Mappings'!$J37))), 'MITRE ATT&amp;CK Mappings'!$B37,"")</f>
        <v/>
      </c>
      <c r="K41" s="27" t="str">
        <f>IF(OR(OR(OR(OR(OR(ISNUMBER(SEARCH(IF(K$1&lt;&gt;"",K$1,"NA"),'MITRE ATT&amp;CK Mappings'!$E37)),ISNUMBER(SEARCH(IF(K$1&lt;&gt;"",K$1,"NA"),'MITRE ATT&amp;CK Mappings'!$F37))),ISNUMBER(SEARCH(IF(K$2&lt;&gt;"",K$2,"NA"),'MITRE ATT&amp;CK Mappings'!$G37))),ISNUMBER(SEARCH(IF(K$2&lt;&gt;"",K$2,"NA"),'MITRE ATT&amp;CK Mappings'!$H37))),ISNUMBER(SEARCH(IF(K$3&lt;&gt;"",K$3,"NA"),'MITRE ATT&amp;CK Mappings'!$I37))),ISNUMBER(SEARCH(IF(K$3&lt;&gt;"",K$3,"NA"),'MITRE ATT&amp;CK Mappings'!$J37))), 'MITRE ATT&amp;CK Mappings'!$B37,"")</f>
        <v/>
      </c>
      <c r="L41" s="27" t="str">
        <f>IF('MITRE ATT&amp;CK Mappings'!D37 &lt;&gt;"",'MITRE ATT&amp;CK Mappings'!D37,"" )</f>
        <v>Ensure there are between 2 and 3 subscription owners</v>
      </c>
    </row>
    <row r="42" spans="1:12" x14ac:dyDescent="0.25">
      <c r="A42" s="26" t="str">
        <f>IF(COUNTIF(B42:K42,"="&amp;'MITRE ATT&amp;CK Mappings'!B38)&gt;0,'MITRE ATT&amp;CK Mappings'!B38,"")</f>
        <v/>
      </c>
      <c r="B42" s="26" t="str">
        <f>IF(OR(OR(OR(OR(OR(ISNUMBER(SEARCH(IF(B$1&lt;&gt;"",B$1,"NA"),'MITRE ATT&amp;CK Mappings'!$E38)),ISNUMBER(SEARCH(IF(B$1&lt;&gt;"",B$1,"NA"),'MITRE ATT&amp;CK Mappings'!$F38))),ISNUMBER(SEARCH(IF(B$2&lt;&gt;"",B$2,"NA"),'MITRE ATT&amp;CK Mappings'!$G38))),ISNUMBER(SEARCH(IF(B$2&lt;&gt;"",B$2,"NA"),'MITRE ATT&amp;CK Mappings'!$H38))),ISNUMBER(SEARCH(IF(B$3&lt;&gt;"",B$3,"NA"),'MITRE ATT&amp;CK Mappings'!$I38))),ISNUMBER(SEARCH(IF(B$3&lt;&gt;"",B$3,"NA"),'MITRE ATT&amp;CK Mappings'!$J38))), 'MITRE ATT&amp;CK Mappings'!$B38,"")</f>
        <v/>
      </c>
      <c r="C42" s="26" t="str">
        <f>IF(OR(OR(OR(OR(OR(ISNUMBER(SEARCH(IF(C$1&lt;&gt;"",C$1,"NA"),'MITRE ATT&amp;CK Mappings'!$E38)),ISNUMBER(SEARCH(IF(C$1&lt;&gt;"",C$1,"NA"),'MITRE ATT&amp;CK Mappings'!$F38))),ISNUMBER(SEARCH(IF(C$2&lt;&gt;"",C$2,"NA"),'MITRE ATT&amp;CK Mappings'!$G38))),ISNUMBER(SEARCH(IF(C$2&lt;&gt;"",C$2,"NA"),'MITRE ATT&amp;CK Mappings'!$H38))),ISNUMBER(SEARCH(IF(C$3&lt;&gt;"",C$3,"NA"),'MITRE ATT&amp;CK Mappings'!$I38))),ISNUMBER(SEARCH(IF(C$3&lt;&gt;"",C$3,"NA"),'MITRE ATT&amp;CK Mappings'!$J38))), 'MITRE ATT&amp;CK Mappings'!$B38,"")</f>
        <v/>
      </c>
      <c r="D42" s="26" t="str">
        <f>IF(OR(OR(OR(OR(OR(ISNUMBER(SEARCH(IF(D$1&lt;&gt;"",D$1,"NA"),'MITRE ATT&amp;CK Mappings'!$E38)),ISNUMBER(SEARCH(IF(D$1&lt;&gt;"",D$1,"NA"),'MITRE ATT&amp;CK Mappings'!$F38))),ISNUMBER(SEARCH(IF(D$2&lt;&gt;"",D$2,"NA"),'MITRE ATT&amp;CK Mappings'!$G38))),ISNUMBER(SEARCH(IF(D$2&lt;&gt;"",D$2,"NA"),'MITRE ATT&amp;CK Mappings'!$H38))),ISNUMBER(SEARCH(IF(D$3&lt;&gt;"",D$3,"NA"),'MITRE ATT&amp;CK Mappings'!$I38))),ISNUMBER(SEARCH(IF(D$3&lt;&gt;"",D$3,"NA"),'MITRE ATT&amp;CK Mappings'!$J38))), 'MITRE ATT&amp;CK Mappings'!$B38,"")</f>
        <v/>
      </c>
      <c r="E42" s="26" t="str">
        <f>IF(OR(OR(OR(OR(OR(ISNUMBER(SEARCH(IF(E$1&lt;&gt;"",E$1,"NA"),'MITRE ATT&amp;CK Mappings'!$E38)),ISNUMBER(SEARCH(IF(E$1&lt;&gt;"",E$1,"NA"),'MITRE ATT&amp;CK Mappings'!$F38))),ISNUMBER(SEARCH(IF(E$2&lt;&gt;"",E$2,"NA"),'MITRE ATT&amp;CK Mappings'!$G38))),ISNUMBER(SEARCH(IF(E$2&lt;&gt;"",E$2,"NA"),'MITRE ATT&amp;CK Mappings'!$H38))),ISNUMBER(SEARCH(IF(E$3&lt;&gt;"",E$3,"NA"),'MITRE ATT&amp;CK Mappings'!$I38))),ISNUMBER(SEARCH(IF(E$3&lt;&gt;"",E$3,"NA"),'MITRE ATT&amp;CK Mappings'!$J38))), 'MITRE ATT&amp;CK Mappings'!$B38,"")</f>
        <v/>
      </c>
      <c r="F42" s="26" t="str">
        <f>IF(OR(OR(OR(OR(OR(ISNUMBER(SEARCH(IF(F$1&lt;&gt;"",F$1,"NA"),'MITRE ATT&amp;CK Mappings'!$E38)),ISNUMBER(SEARCH(IF(F$1&lt;&gt;"",F$1,"NA"),'MITRE ATT&amp;CK Mappings'!$F38))),ISNUMBER(SEARCH(IF(F$2&lt;&gt;"",F$2,"NA"),'MITRE ATT&amp;CK Mappings'!$G38))),ISNUMBER(SEARCH(IF(F$2&lt;&gt;"",F$2,"NA"),'MITRE ATT&amp;CK Mappings'!$H38))),ISNUMBER(SEARCH(IF(F$3&lt;&gt;"",F$3,"NA"),'MITRE ATT&amp;CK Mappings'!$I38))),ISNUMBER(SEARCH(IF(F$3&lt;&gt;"",F$3,"NA"),'MITRE ATT&amp;CK Mappings'!$J38))), 'MITRE ATT&amp;CK Mappings'!$B38,"")</f>
        <v/>
      </c>
      <c r="G42" s="26" t="str">
        <f>IF(OR(OR(OR(OR(OR(ISNUMBER(SEARCH(IF(G$1&lt;&gt;"",G$1,"NA"),'MITRE ATT&amp;CK Mappings'!$E38)),ISNUMBER(SEARCH(IF(G$1&lt;&gt;"",G$1,"NA"),'MITRE ATT&amp;CK Mappings'!$F38))),ISNUMBER(SEARCH(IF(G$2&lt;&gt;"",G$2,"NA"),'MITRE ATT&amp;CK Mappings'!$G38))),ISNUMBER(SEARCH(IF(G$2&lt;&gt;"",G$2,"NA"),'MITRE ATT&amp;CK Mappings'!$H38))),ISNUMBER(SEARCH(IF(G$3&lt;&gt;"",G$3,"NA"),'MITRE ATT&amp;CK Mappings'!$I38))),ISNUMBER(SEARCH(IF(G$3&lt;&gt;"",G$3,"NA"),'MITRE ATT&amp;CK Mappings'!$J38))), 'MITRE ATT&amp;CK Mappings'!$B38,"")</f>
        <v/>
      </c>
      <c r="H42" s="26" t="str">
        <f>IF(OR(OR(OR(OR(OR(ISNUMBER(SEARCH(IF(H$1&lt;&gt;"",H$1,"NA"),'MITRE ATT&amp;CK Mappings'!$E38)),ISNUMBER(SEARCH(IF(H$1&lt;&gt;"",H$1,"NA"),'MITRE ATT&amp;CK Mappings'!$F38))),ISNUMBER(SEARCH(IF(H$2&lt;&gt;"",H$2,"NA"),'MITRE ATT&amp;CK Mappings'!$G38))),ISNUMBER(SEARCH(IF(H$2&lt;&gt;"",H$2,"NA"),'MITRE ATT&amp;CK Mappings'!$H38))),ISNUMBER(SEARCH(IF(H$3&lt;&gt;"",H$3,"NA"),'MITRE ATT&amp;CK Mappings'!$I38))),ISNUMBER(SEARCH(IF(H$3&lt;&gt;"",H$3,"NA"),'MITRE ATT&amp;CK Mappings'!$J38))), 'MITRE ATT&amp;CK Mappings'!$B38,"")</f>
        <v/>
      </c>
      <c r="I42" s="26" t="str">
        <f>IF(OR(OR(OR(OR(OR(ISNUMBER(SEARCH(IF(I$1&lt;&gt;"",I$1,"NA"),'MITRE ATT&amp;CK Mappings'!$E38)),ISNUMBER(SEARCH(IF(I$1&lt;&gt;"",I$1,"NA"),'MITRE ATT&amp;CK Mappings'!$F38))),ISNUMBER(SEARCH(IF(I$2&lt;&gt;"",I$2,"NA"),'MITRE ATT&amp;CK Mappings'!$G38))),ISNUMBER(SEARCH(IF(I$2&lt;&gt;"",I$2,"NA"),'MITRE ATT&amp;CK Mappings'!$H38))),ISNUMBER(SEARCH(IF(I$3&lt;&gt;"",I$3,"NA"),'MITRE ATT&amp;CK Mappings'!$I38))),ISNUMBER(SEARCH(IF(I$3&lt;&gt;"",I$3,"NA"),'MITRE ATT&amp;CK Mappings'!$J38))), 'MITRE ATT&amp;CK Mappings'!$B38,"")</f>
        <v/>
      </c>
      <c r="J42" s="26" t="str">
        <f>IF(OR(OR(OR(OR(OR(ISNUMBER(SEARCH(IF(J$1&lt;&gt;"",J$1,"NA"),'MITRE ATT&amp;CK Mappings'!$E38)),ISNUMBER(SEARCH(IF(J$1&lt;&gt;"",J$1,"NA"),'MITRE ATT&amp;CK Mappings'!$F38))),ISNUMBER(SEARCH(IF(J$2&lt;&gt;"",J$2,"NA"),'MITRE ATT&amp;CK Mappings'!$G38))),ISNUMBER(SEARCH(IF(J$2&lt;&gt;"",J$2,"NA"),'MITRE ATT&amp;CK Mappings'!$H38))),ISNUMBER(SEARCH(IF(J$3&lt;&gt;"",J$3,"NA"),'MITRE ATT&amp;CK Mappings'!$I38))),ISNUMBER(SEARCH(IF(J$3&lt;&gt;"",J$3,"NA"),'MITRE ATT&amp;CK Mappings'!$J38))), 'MITRE ATT&amp;CK Mappings'!$B38,"")</f>
        <v/>
      </c>
      <c r="K42" s="26" t="str">
        <f>IF(OR(OR(OR(OR(OR(ISNUMBER(SEARCH(IF(K$1&lt;&gt;"",K$1,"NA"),'MITRE ATT&amp;CK Mappings'!$E38)),ISNUMBER(SEARCH(IF(K$1&lt;&gt;"",K$1,"NA"),'MITRE ATT&amp;CK Mappings'!$F38))),ISNUMBER(SEARCH(IF(K$2&lt;&gt;"",K$2,"NA"),'MITRE ATT&amp;CK Mappings'!$G38))),ISNUMBER(SEARCH(IF(K$2&lt;&gt;"",K$2,"NA"),'MITRE ATT&amp;CK Mappings'!$H38))),ISNUMBER(SEARCH(IF(K$3&lt;&gt;"",K$3,"NA"),'MITRE ATT&amp;CK Mappings'!$I38))),ISNUMBER(SEARCH(IF(K$3&lt;&gt;"",K$3,"NA"),'MITRE ATT&amp;CK Mappings'!$J38))), 'MITRE ATT&amp;CK Mappings'!$B38,"")</f>
        <v/>
      </c>
      <c r="L42" s="26" t="str">
        <f>IF('MITRE ATT&amp;CK Mappings'!D38 &lt;&gt;"",'MITRE ATT&amp;CK Mappings'!D38,"" )</f>
        <v>Ensure passwordless authentication methods are considered</v>
      </c>
    </row>
    <row r="43" spans="1:12" x14ac:dyDescent="0.25">
      <c r="A43" s="27" t="str">
        <f>IF(COUNTIF(B43:K43,"="&amp;'MITRE ATT&amp;CK Mappings'!B39)&gt;0,'MITRE ATT&amp;CK Mappings'!B39,"")</f>
        <v/>
      </c>
      <c r="B43" s="27" t="str">
        <f>IF(OR(OR(OR(OR(OR(ISNUMBER(SEARCH(IF(B$1&lt;&gt;"",B$1,"NA"),'MITRE ATT&amp;CK Mappings'!$E39)),ISNUMBER(SEARCH(IF(B$1&lt;&gt;"",B$1,"NA"),'MITRE ATT&amp;CK Mappings'!$F39))),ISNUMBER(SEARCH(IF(B$2&lt;&gt;"",B$2,"NA"),'MITRE ATT&amp;CK Mappings'!$G39))),ISNUMBER(SEARCH(IF(B$2&lt;&gt;"",B$2,"NA"),'MITRE ATT&amp;CK Mappings'!$H39))),ISNUMBER(SEARCH(IF(B$3&lt;&gt;"",B$3,"NA"),'MITRE ATT&amp;CK Mappings'!$I39))),ISNUMBER(SEARCH(IF(B$3&lt;&gt;"",B$3,"NA"),'MITRE ATT&amp;CK Mappings'!$J39))), 'MITRE ATT&amp;CK Mappings'!$B39,"")</f>
        <v/>
      </c>
      <c r="C43" s="27" t="str">
        <f>IF(OR(OR(OR(OR(OR(ISNUMBER(SEARCH(IF(C$1&lt;&gt;"",C$1,"NA"),'MITRE ATT&amp;CK Mappings'!$E39)),ISNUMBER(SEARCH(IF(C$1&lt;&gt;"",C$1,"NA"),'MITRE ATT&amp;CK Mappings'!$F39))),ISNUMBER(SEARCH(IF(C$2&lt;&gt;"",C$2,"NA"),'MITRE ATT&amp;CK Mappings'!$G39))),ISNUMBER(SEARCH(IF(C$2&lt;&gt;"",C$2,"NA"),'MITRE ATT&amp;CK Mappings'!$H39))),ISNUMBER(SEARCH(IF(C$3&lt;&gt;"",C$3,"NA"),'MITRE ATT&amp;CK Mappings'!$I39))),ISNUMBER(SEARCH(IF(C$3&lt;&gt;"",C$3,"NA"),'MITRE ATT&amp;CK Mappings'!$J39))), 'MITRE ATT&amp;CK Mappings'!$B39,"")</f>
        <v/>
      </c>
      <c r="D43" s="27" t="str">
        <f>IF(OR(OR(OR(OR(OR(ISNUMBER(SEARCH(IF(D$1&lt;&gt;"",D$1,"NA"),'MITRE ATT&amp;CK Mappings'!$E39)),ISNUMBER(SEARCH(IF(D$1&lt;&gt;"",D$1,"NA"),'MITRE ATT&amp;CK Mappings'!$F39))),ISNUMBER(SEARCH(IF(D$2&lt;&gt;"",D$2,"NA"),'MITRE ATT&amp;CK Mappings'!$G39))),ISNUMBER(SEARCH(IF(D$2&lt;&gt;"",D$2,"NA"),'MITRE ATT&amp;CK Mappings'!$H39))),ISNUMBER(SEARCH(IF(D$3&lt;&gt;"",D$3,"NA"),'MITRE ATT&amp;CK Mappings'!$I39))),ISNUMBER(SEARCH(IF(D$3&lt;&gt;"",D$3,"NA"),'MITRE ATT&amp;CK Mappings'!$J39))), 'MITRE ATT&amp;CK Mappings'!$B39,"")</f>
        <v/>
      </c>
      <c r="E43" s="27" t="str">
        <f>IF(OR(OR(OR(OR(OR(ISNUMBER(SEARCH(IF(E$1&lt;&gt;"",E$1,"NA"),'MITRE ATT&amp;CK Mappings'!$E39)),ISNUMBER(SEARCH(IF(E$1&lt;&gt;"",E$1,"NA"),'MITRE ATT&amp;CK Mappings'!$F39))),ISNUMBER(SEARCH(IF(E$2&lt;&gt;"",E$2,"NA"),'MITRE ATT&amp;CK Mappings'!$G39))),ISNUMBER(SEARCH(IF(E$2&lt;&gt;"",E$2,"NA"),'MITRE ATT&amp;CK Mappings'!$H39))),ISNUMBER(SEARCH(IF(E$3&lt;&gt;"",E$3,"NA"),'MITRE ATT&amp;CK Mappings'!$I39))),ISNUMBER(SEARCH(IF(E$3&lt;&gt;"",E$3,"NA"),'MITRE ATT&amp;CK Mappings'!$J39))), 'MITRE ATT&amp;CK Mappings'!$B39,"")</f>
        <v/>
      </c>
      <c r="F43" s="27" t="str">
        <f>IF(OR(OR(OR(OR(OR(ISNUMBER(SEARCH(IF(F$1&lt;&gt;"",F$1,"NA"),'MITRE ATT&amp;CK Mappings'!$E39)),ISNUMBER(SEARCH(IF(F$1&lt;&gt;"",F$1,"NA"),'MITRE ATT&amp;CK Mappings'!$F39))),ISNUMBER(SEARCH(IF(F$2&lt;&gt;"",F$2,"NA"),'MITRE ATT&amp;CK Mappings'!$G39))),ISNUMBER(SEARCH(IF(F$2&lt;&gt;"",F$2,"NA"),'MITRE ATT&amp;CK Mappings'!$H39))),ISNUMBER(SEARCH(IF(F$3&lt;&gt;"",F$3,"NA"),'MITRE ATT&amp;CK Mappings'!$I39))),ISNUMBER(SEARCH(IF(F$3&lt;&gt;"",F$3,"NA"),'MITRE ATT&amp;CK Mappings'!$J39))), 'MITRE ATT&amp;CK Mappings'!$B39,"")</f>
        <v/>
      </c>
      <c r="G43" s="27" t="str">
        <f>IF(OR(OR(OR(OR(OR(ISNUMBER(SEARCH(IF(G$1&lt;&gt;"",G$1,"NA"),'MITRE ATT&amp;CK Mappings'!$E39)),ISNUMBER(SEARCH(IF(G$1&lt;&gt;"",G$1,"NA"),'MITRE ATT&amp;CK Mappings'!$F39))),ISNUMBER(SEARCH(IF(G$2&lt;&gt;"",G$2,"NA"),'MITRE ATT&amp;CK Mappings'!$G39))),ISNUMBER(SEARCH(IF(G$2&lt;&gt;"",G$2,"NA"),'MITRE ATT&amp;CK Mappings'!$H39))),ISNUMBER(SEARCH(IF(G$3&lt;&gt;"",G$3,"NA"),'MITRE ATT&amp;CK Mappings'!$I39))),ISNUMBER(SEARCH(IF(G$3&lt;&gt;"",G$3,"NA"),'MITRE ATT&amp;CK Mappings'!$J39))), 'MITRE ATT&amp;CK Mappings'!$B39,"")</f>
        <v/>
      </c>
      <c r="H43" s="27" t="str">
        <f>IF(OR(OR(OR(OR(OR(ISNUMBER(SEARCH(IF(H$1&lt;&gt;"",H$1,"NA"),'MITRE ATT&amp;CK Mappings'!$E39)),ISNUMBER(SEARCH(IF(H$1&lt;&gt;"",H$1,"NA"),'MITRE ATT&amp;CK Mappings'!$F39))),ISNUMBER(SEARCH(IF(H$2&lt;&gt;"",H$2,"NA"),'MITRE ATT&amp;CK Mappings'!$G39))),ISNUMBER(SEARCH(IF(H$2&lt;&gt;"",H$2,"NA"),'MITRE ATT&amp;CK Mappings'!$H39))),ISNUMBER(SEARCH(IF(H$3&lt;&gt;"",H$3,"NA"),'MITRE ATT&amp;CK Mappings'!$I39))),ISNUMBER(SEARCH(IF(H$3&lt;&gt;"",H$3,"NA"),'MITRE ATT&amp;CK Mappings'!$J39))), 'MITRE ATT&amp;CK Mappings'!$B39,"")</f>
        <v/>
      </c>
      <c r="I43" s="27" t="str">
        <f>IF(OR(OR(OR(OR(OR(ISNUMBER(SEARCH(IF(I$1&lt;&gt;"",I$1,"NA"),'MITRE ATT&amp;CK Mappings'!$E39)),ISNUMBER(SEARCH(IF(I$1&lt;&gt;"",I$1,"NA"),'MITRE ATT&amp;CK Mappings'!$F39))),ISNUMBER(SEARCH(IF(I$2&lt;&gt;"",I$2,"NA"),'MITRE ATT&amp;CK Mappings'!$G39))),ISNUMBER(SEARCH(IF(I$2&lt;&gt;"",I$2,"NA"),'MITRE ATT&amp;CK Mappings'!$H39))),ISNUMBER(SEARCH(IF(I$3&lt;&gt;"",I$3,"NA"),'MITRE ATT&amp;CK Mappings'!$I39))),ISNUMBER(SEARCH(IF(I$3&lt;&gt;"",I$3,"NA"),'MITRE ATT&amp;CK Mappings'!$J39))), 'MITRE ATT&amp;CK Mappings'!$B39,"")</f>
        <v/>
      </c>
      <c r="J43" s="27" t="str">
        <f>IF(OR(OR(OR(OR(OR(ISNUMBER(SEARCH(IF(J$1&lt;&gt;"",J$1,"NA"),'MITRE ATT&amp;CK Mappings'!$E39)),ISNUMBER(SEARCH(IF(J$1&lt;&gt;"",J$1,"NA"),'MITRE ATT&amp;CK Mappings'!$F39))),ISNUMBER(SEARCH(IF(J$2&lt;&gt;"",J$2,"NA"),'MITRE ATT&amp;CK Mappings'!$G39))),ISNUMBER(SEARCH(IF(J$2&lt;&gt;"",J$2,"NA"),'MITRE ATT&amp;CK Mappings'!$H39))),ISNUMBER(SEARCH(IF(J$3&lt;&gt;"",J$3,"NA"),'MITRE ATT&amp;CK Mappings'!$I39))),ISNUMBER(SEARCH(IF(J$3&lt;&gt;"",J$3,"NA"),'MITRE ATT&amp;CK Mappings'!$J39))), 'MITRE ATT&amp;CK Mappings'!$B39,"")</f>
        <v/>
      </c>
      <c r="K43" s="27" t="str">
        <f>IF(OR(OR(OR(OR(OR(ISNUMBER(SEARCH(IF(K$1&lt;&gt;"",K$1,"NA"),'MITRE ATT&amp;CK Mappings'!$E39)),ISNUMBER(SEARCH(IF(K$1&lt;&gt;"",K$1,"NA"),'MITRE ATT&amp;CK Mappings'!$F39))),ISNUMBER(SEARCH(IF(K$2&lt;&gt;"",K$2,"NA"),'MITRE ATT&amp;CK Mappings'!$G39))),ISNUMBER(SEARCH(IF(K$2&lt;&gt;"",K$2,"NA"),'MITRE ATT&amp;CK Mappings'!$H39))),ISNUMBER(SEARCH(IF(K$3&lt;&gt;"",K$3,"NA"),'MITRE ATT&amp;CK Mappings'!$I39))),ISNUMBER(SEARCH(IF(K$3&lt;&gt;"",K$3,"NA"),'MITRE ATT&amp;CK Mappings'!$J39))), 'MITRE ATT&amp;CK Mappings'!$B39,"")</f>
        <v/>
      </c>
      <c r="L43" s="27" t="str">
        <f>IF('MITRE ATT&amp;CK Mappings'!D39 &lt;&gt;"",'MITRE ATT&amp;CK Mappings'!D39,"" )</f>
        <v>Ensure that 'security defaults' is enabled in Microsoft Entra ID</v>
      </c>
    </row>
    <row r="44" spans="1:12" x14ac:dyDescent="0.25">
      <c r="A44" s="26" t="str">
        <f>IF(COUNTIF(B44:K44,"="&amp;'MITRE ATT&amp;CK Mappings'!B40)&gt;0,'MITRE ATT&amp;CK Mappings'!B40,"")</f>
        <v/>
      </c>
      <c r="B44" s="26" t="str">
        <f>IF(OR(OR(OR(OR(OR(ISNUMBER(SEARCH(IF(B$1&lt;&gt;"",B$1,"NA"),'MITRE ATT&amp;CK Mappings'!$E40)),ISNUMBER(SEARCH(IF(B$1&lt;&gt;"",B$1,"NA"),'MITRE ATT&amp;CK Mappings'!$F40))),ISNUMBER(SEARCH(IF(B$2&lt;&gt;"",B$2,"NA"),'MITRE ATT&amp;CK Mappings'!$G40))),ISNUMBER(SEARCH(IF(B$2&lt;&gt;"",B$2,"NA"),'MITRE ATT&amp;CK Mappings'!$H40))),ISNUMBER(SEARCH(IF(B$3&lt;&gt;"",B$3,"NA"),'MITRE ATT&amp;CK Mappings'!$I40))),ISNUMBER(SEARCH(IF(B$3&lt;&gt;"",B$3,"NA"),'MITRE ATT&amp;CK Mappings'!$J40))), 'MITRE ATT&amp;CK Mappings'!$B40,"")</f>
        <v/>
      </c>
      <c r="C44" s="26" t="str">
        <f>IF(OR(OR(OR(OR(OR(ISNUMBER(SEARCH(IF(C$1&lt;&gt;"",C$1,"NA"),'MITRE ATT&amp;CK Mappings'!$E40)),ISNUMBER(SEARCH(IF(C$1&lt;&gt;"",C$1,"NA"),'MITRE ATT&amp;CK Mappings'!$F40))),ISNUMBER(SEARCH(IF(C$2&lt;&gt;"",C$2,"NA"),'MITRE ATT&amp;CK Mappings'!$G40))),ISNUMBER(SEARCH(IF(C$2&lt;&gt;"",C$2,"NA"),'MITRE ATT&amp;CK Mappings'!$H40))),ISNUMBER(SEARCH(IF(C$3&lt;&gt;"",C$3,"NA"),'MITRE ATT&amp;CK Mappings'!$I40))),ISNUMBER(SEARCH(IF(C$3&lt;&gt;"",C$3,"NA"),'MITRE ATT&amp;CK Mappings'!$J40))), 'MITRE ATT&amp;CK Mappings'!$B40,"")</f>
        <v/>
      </c>
      <c r="D44" s="26" t="str">
        <f>IF(OR(OR(OR(OR(OR(ISNUMBER(SEARCH(IF(D$1&lt;&gt;"",D$1,"NA"),'MITRE ATT&amp;CK Mappings'!$E40)),ISNUMBER(SEARCH(IF(D$1&lt;&gt;"",D$1,"NA"),'MITRE ATT&amp;CK Mappings'!$F40))),ISNUMBER(SEARCH(IF(D$2&lt;&gt;"",D$2,"NA"),'MITRE ATT&amp;CK Mappings'!$G40))),ISNUMBER(SEARCH(IF(D$2&lt;&gt;"",D$2,"NA"),'MITRE ATT&amp;CK Mappings'!$H40))),ISNUMBER(SEARCH(IF(D$3&lt;&gt;"",D$3,"NA"),'MITRE ATT&amp;CK Mappings'!$I40))),ISNUMBER(SEARCH(IF(D$3&lt;&gt;"",D$3,"NA"),'MITRE ATT&amp;CK Mappings'!$J40))), 'MITRE ATT&amp;CK Mappings'!$B40,"")</f>
        <v/>
      </c>
      <c r="E44" s="26" t="str">
        <f>IF(OR(OR(OR(OR(OR(ISNUMBER(SEARCH(IF(E$1&lt;&gt;"",E$1,"NA"),'MITRE ATT&amp;CK Mappings'!$E40)),ISNUMBER(SEARCH(IF(E$1&lt;&gt;"",E$1,"NA"),'MITRE ATT&amp;CK Mappings'!$F40))),ISNUMBER(SEARCH(IF(E$2&lt;&gt;"",E$2,"NA"),'MITRE ATT&amp;CK Mappings'!$G40))),ISNUMBER(SEARCH(IF(E$2&lt;&gt;"",E$2,"NA"),'MITRE ATT&amp;CK Mappings'!$H40))),ISNUMBER(SEARCH(IF(E$3&lt;&gt;"",E$3,"NA"),'MITRE ATT&amp;CK Mappings'!$I40))),ISNUMBER(SEARCH(IF(E$3&lt;&gt;"",E$3,"NA"),'MITRE ATT&amp;CK Mappings'!$J40))), 'MITRE ATT&amp;CK Mappings'!$B40,"")</f>
        <v/>
      </c>
      <c r="F44" s="26" t="str">
        <f>IF(OR(OR(OR(OR(OR(ISNUMBER(SEARCH(IF(F$1&lt;&gt;"",F$1,"NA"),'MITRE ATT&amp;CK Mappings'!$E40)),ISNUMBER(SEARCH(IF(F$1&lt;&gt;"",F$1,"NA"),'MITRE ATT&amp;CK Mappings'!$F40))),ISNUMBER(SEARCH(IF(F$2&lt;&gt;"",F$2,"NA"),'MITRE ATT&amp;CK Mappings'!$G40))),ISNUMBER(SEARCH(IF(F$2&lt;&gt;"",F$2,"NA"),'MITRE ATT&amp;CK Mappings'!$H40))),ISNUMBER(SEARCH(IF(F$3&lt;&gt;"",F$3,"NA"),'MITRE ATT&amp;CK Mappings'!$I40))),ISNUMBER(SEARCH(IF(F$3&lt;&gt;"",F$3,"NA"),'MITRE ATT&amp;CK Mappings'!$J40))), 'MITRE ATT&amp;CK Mappings'!$B40,"")</f>
        <v/>
      </c>
      <c r="G44" s="26" t="str">
        <f>IF(OR(OR(OR(OR(OR(ISNUMBER(SEARCH(IF(G$1&lt;&gt;"",G$1,"NA"),'MITRE ATT&amp;CK Mappings'!$E40)),ISNUMBER(SEARCH(IF(G$1&lt;&gt;"",G$1,"NA"),'MITRE ATT&amp;CK Mappings'!$F40))),ISNUMBER(SEARCH(IF(G$2&lt;&gt;"",G$2,"NA"),'MITRE ATT&amp;CK Mappings'!$G40))),ISNUMBER(SEARCH(IF(G$2&lt;&gt;"",G$2,"NA"),'MITRE ATT&amp;CK Mappings'!$H40))),ISNUMBER(SEARCH(IF(G$3&lt;&gt;"",G$3,"NA"),'MITRE ATT&amp;CK Mappings'!$I40))),ISNUMBER(SEARCH(IF(G$3&lt;&gt;"",G$3,"NA"),'MITRE ATT&amp;CK Mappings'!$J40))), 'MITRE ATT&amp;CK Mappings'!$B40,"")</f>
        <v/>
      </c>
      <c r="H44" s="26" t="str">
        <f>IF(OR(OR(OR(OR(OR(ISNUMBER(SEARCH(IF(H$1&lt;&gt;"",H$1,"NA"),'MITRE ATT&amp;CK Mappings'!$E40)),ISNUMBER(SEARCH(IF(H$1&lt;&gt;"",H$1,"NA"),'MITRE ATT&amp;CK Mappings'!$F40))),ISNUMBER(SEARCH(IF(H$2&lt;&gt;"",H$2,"NA"),'MITRE ATT&amp;CK Mappings'!$G40))),ISNUMBER(SEARCH(IF(H$2&lt;&gt;"",H$2,"NA"),'MITRE ATT&amp;CK Mappings'!$H40))),ISNUMBER(SEARCH(IF(H$3&lt;&gt;"",H$3,"NA"),'MITRE ATT&amp;CK Mappings'!$I40))),ISNUMBER(SEARCH(IF(H$3&lt;&gt;"",H$3,"NA"),'MITRE ATT&amp;CK Mappings'!$J40))), 'MITRE ATT&amp;CK Mappings'!$B40,"")</f>
        <v/>
      </c>
      <c r="I44" s="26" t="str">
        <f>IF(OR(OR(OR(OR(OR(ISNUMBER(SEARCH(IF(I$1&lt;&gt;"",I$1,"NA"),'MITRE ATT&amp;CK Mappings'!$E40)),ISNUMBER(SEARCH(IF(I$1&lt;&gt;"",I$1,"NA"),'MITRE ATT&amp;CK Mappings'!$F40))),ISNUMBER(SEARCH(IF(I$2&lt;&gt;"",I$2,"NA"),'MITRE ATT&amp;CK Mappings'!$G40))),ISNUMBER(SEARCH(IF(I$2&lt;&gt;"",I$2,"NA"),'MITRE ATT&amp;CK Mappings'!$H40))),ISNUMBER(SEARCH(IF(I$3&lt;&gt;"",I$3,"NA"),'MITRE ATT&amp;CK Mappings'!$I40))),ISNUMBER(SEARCH(IF(I$3&lt;&gt;"",I$3,"NA"),'MITRE ATT&amp;CK Mappings'!$J40))), 'MITRE ATT&amp;CK Mappings'!$B40,"")</f>
        <v/>
      </c>
      <c r="J44" s="26" t="str">
        <f>IF(OR(OR(OR(OR(OR(ISNUMBER(SEARCH(IF(J$1&lt;&gt;"",J$1,"NA"),'MITRE ATT&amp;CK Mappings'!$E40)),ISNUMBER(SEARCH(IF(J$1&lt;&gt;"",J$1,"NA"),'MITRE ATT&amp;CK Mappings'!$F40))),ISNUMBER(SEARCH(IF(J$2&lt;&gt;"",J$2,"NA"),'MITRE ATT&amp;CK Mappings'!$G40))),ISNUMBER(SEARCH(IF(J$2&lt;&gt;"",J$2,"NA"),'MITRE ATT&amp;CK Mappings'!$H40))),ISNUMBER(SEARCH(IF(J$3&lt;&gt;"",J$3,"NA"),'MITRE ATT&amp;CK Mappings'!$I40))),ISNUMBER(SEARCH(IF(J$3&lt;&gt;"",J$3,"NA"),'MITRE ATT&amp;CK Mappings'!$J40))), 'MITRE ATT&amp;CK Mappings'!$B40,"")</f>
        <v/>
      </c>
      <c r="K44" s="26" t="str">
        <f>IF(OR(OR(OR(OR(OR(ISNUMBER(SEARCH(IF(K$1&lt;&gt;"",K$1,"NA"),'MITRE ATT&amp;CK Mappings'!$E40)),ISNUMBER(SEARCH(IF(K$1&lt;&gt;"",K$1,"NA"),'MITRE ATT&amp;CK Mappings'!$F40))),ISNUMBER(SEARCH(IF(K$2&lt;&gt;"",K$2,"NA"),'MITRE ATT&amp;CK Mappings'!$G40))),ISNUMBER(SEARCH(IF(K$2&lt;&gt;"",K$2,"NA"),'MITRE ATT&amp;CK Mappings'!$H40))),ISNUMBER(SEARCH(IF(K$3&lt;&gt;"",K$3,"NA"),'MITRE ATT&amp;CK Mappings'!$I40))),ISNUMBER(SEARCH(IF(K$3&lt;&gt;"",K$3,"NA"),'MITRE ATT&amp;CK Mappings'!$J40))), 'MITRE ATT&amp;CK Mappings'!$B40,"")</f>
        <v/>
      </c>
      <c r="L44" s="26" t="str">
        <f>IF('MITRE ATT&amp;CK Mappings'!D40 &lt;&gt;"",'MITRE ATT&amp;CK Mappings'!D40,"" )</f>
        <v>Ensure that 'multifactor authentication' is 'enabled' for all users</v>
      </c>
    </row>
    <row r="45" spans="1:12" x14ac:dyDescent="0.25">
      <c r="A45" s="27" t="str">
        <f>IF(COUNTIF(B45:K45,"="&amp;'MITRE ATT&amp;CK Mappings'!B41)&gt;0,'MITRE ATT&amp;CK Mappings'!B41,"")</f>
        <v/>
      </c>
      <c r="B45" s="27" t="str">
        <f>IF(OR(OR(OR(OR(OR(ISNUMBER(SEARCH(IF(B$1&lt;&gt;"",B$1,"NA"),'MITRE ATT&amp;CK Mappings'!$E41)),ISNUMBER(SEARCH(IF(B$1&lt;&gt;"",B$1,"NA"),'MITRE ATT&amp;CK Mappings'!$F41))),ISNUMBER(SEARCH(IF(B$2&lt;&gt;"",B$2,"NA"),'MITRE ATT&amp;CK Mappings'!$G41))),ISNUMBER(SEARCH(IF(B$2&lt;&gt;"",B$2,"NA"),'MITRE ATT&amp;CK Mappings'!$H41))),ISNUMBER(SEARCH(IF(B$3&lt;&gt;"",B$3,"NA"),'MITRE ATT&amp;CK Mappings'!$I41))),ISNUMBER(SEARCH(IF(B$3&lt;&gt;"",B$3,"NA"),'MITRE ATT&amp;CK Mappings'!$J41))), 'MITRE ATT&amp;CK Mappings'!$B41,"")</f>
        <v/>
      </c>
      <c r="C45" s="27" t="str">
        <f>IF(OR(OR(OR(OR(OR(ISNUMBER(SEARCH(IF(C$1&lt;&gt;"",C$1,"NA"),'MITRE ATT&amp;CK Mappings'!$E41)),ISNUMBER(SEARCH(IF(C$1&lt;&gt;"",C$1,"NA"),'MITRE ATT&amp;CK Mappings'!$F41))),ISNUMBER(SEARCH(IF(C$2&lt;&gt;"",C$2,"NA"),'MITRE ATT&amp;CK Mappings'!$G41))),ISNUMBER(SEARCH(IF(C$2&lt;&gt;"",C$2,"NA"),'MITRE ATT&amp;CK Mappings'!$H41))),ISNUMBER(SEARCH(IF(C$3&lt;&gt;"",C$3,"NA"),'MITRE ATT&amp;CK Mappings'!$I41))),ISNUMBER(SEARCH(IF(C$3&lt;&gt;"",C$3,"NA"),'MITRE ATT&amp;CK Mappings'!$J41))), 'MITRE ATT&amp;CK Mappings'!$B41,"")</f>
        <v/>
      </c>
      <c r="D45" s="27" t="str">
        <f>IF(OR(OR(OR(OR(OR(ISNUMBER(SEARCH(IF(D$1&lt;&gt;"",D$1,"NA"),'MITRE ATT&amp;CK Mappings'!$E41)),ISNUMBER(SEARCH(IF(D$1&lt;&gt;"",D$1,"NA"),'MITRE ATT&amp;CK Mappings'!$F41))),ISNUMBER(SEARCH(IF(D$2&lt;&gt;"",D$2,"NA"),'MITRE ATT&amp;CK Mappings'!$G41))),ISNUMBER(SEARCH(IF(D$2&lt;&gt;"",D$2,"NA"),'MITRE ATT&amp;CK Mappings'!$H41))),ISNUMBER(SEARCH(IF(D$3&lt;&gt;"",D$3,"NA"),'MITRE ATT&amp;CK Mappings'!$I41))),ISNUMBER(SEARCH(IF(D$3&lt;&gt;"",D$3,"NA"),'MITRE ATT&amp;CK Mappings'!$J41))), 'MITRE ATT&amp;CK Mappings'!$B41,"")</f>
        <v/>
      </c>
      <c r="E45" s="27" t="str">
        <f>IF(OR(OR(OR(OR(OR(ISNUMBER(SEARCH(IF(E$1&lt;&gt;"",E$1,"NA"),'MITRE ATT&amp;CK Mappings'!$E41)),ISNUMBER(SEARCH(IF(E$1&lt;&gt;"",E$1,"NA"),'MITRE ATT&amp;CK Mappings'!$F41))),ISNUMBER(SEARCH(IF(E$2&lt;&gt;"",E$2,"NA"),'MITRE ATT&amp;CK Mappings'!$G41))),ISNUMBER(SEARCH(IF(E$2&lt;&gt;"",E$2,"NA"),'MITRE ATT&amp;CK Mappings'!$H41))),ISNUMBER(SEARCH(IF(E$3&lt;&gt;"",E$3,"NA"),'MITRE ATT&amp;CK Mappings'!$I41))),ISNUMBER(SEARCH(IF(E$3&lt;&gt;"",E$3,"NA"),'MITRE ATT&amp;CK Mappings'!$J41))), 'MITRE ATT&amp;CK Mappings'!$B41,"")</f>
        <v/>
      </c>
      <c r="F45" s="27" t="str">
        <f>IF(OR(OR(OR(OR(OR(ISNUMBER(SEARCH(IF(F$1&lt;&gt;"",F$1,"NA"),'MITRE ATT&amp;CK Mappings'!$E41)),ISNUMBER(SEARCH(IF(F$1&lt;&gt;"",F$1,"NA"),'MITRE ATT&amp;CK Mappings'!$F41))),ISNUMBER(SEARCH(IF(F$2&lt;&gt;"",F$2,"NA"),'MITRE ATT&amp;CK Mappings'!$G41))),ISNUMBER(SEARCH(IF(F$2&lt;&gt;"",F$2,"NA"),'MITRE ATT&amp;CK Mappings'!$H41))),ISNUMBER(SEARCH(IF(F$3&lt;&gt;"",F$3,"NA"),'MITRE ATT&amp;CK Mappings'!$I41))),ISNUMBER(SEARCH(IF(F$3&lt;&gt;"",F$3,"NA"),'MITRE ATT&amp;CK Mappings'!$J41))), 'MITRE ATT&amp;CK Mappings'!$B41,"")</f>
        <v/>
      </c>
      <c r="G45" s="27" t="str">
        <f>IF(OR(OR(OR(OR(OR(ISNUMBER(SEARCH(IF(G$1&lt;&gt;"",G$1,"NA"),'MITRE ATT&amp;CK Mappings'!$E41)),ISNUMBER(SEARCH(IF(G$1&lt;&gt;"",G$1,"NA"),'MITRE ATT&amp;CK Mappings'!$F41))),ISNUMBER(SEARCH(IF(G$2&lt;&gt;"",G$2,"NA"),'MITRE ATT&amp;CK Mappings'!$G41))),ISNUMBER(SEARCH(IF(G$2&lt;&gt;"",G$2,"NA"),'MITRE ATT&amp;CK Mappings'!$H41))),ISNUMBER(SEARCH(IF(G$3&lt;&gt;"",G$3,"NA"),'MITRE ATT&amp;CK Mappings'!$I41))),ISNUMBER(SEARCH(IF(G$3&lt;&gt;"",G$3,"NA"),'MITRE ATT&amp;CK Mappings'!$J41))), 'MITRE ATT&amp;CK Mappings'!$B41,"")</f>
        <v/>
      </c>
      <c r="H45" s="27" t="str">
        <f>IF(OR(OR(OR(OR(OR(ISNUMBER(SEARCH(IF(H$1&lt;&gt;"",H$1,"NA"),'MITRE ATT&amp;CK Mappings'!$E41)),ISNUMBER(SEARCH(IF(H$1&lt;&gt;"",H$1,"NA"),'MITRE ATT&amp;CK Mappings'!$F41))),ISNUMBER(SEARCH(IF(H$2&lt;&gt;"",H$2,"NA"),'MITRE ATT&amp;CK Mappings'!$G41))),ISNUMBER(SEARCH(IF(H$2&lt;&gt;"",H$2,"NA"),'MITRE ATT&amp;CK Mappings'!$H41))),ISNUMBER(SEARCH(IF(H$3&lt;&gt;"",H$3,"NA"),'MITRE ATT&amp;CK Mappings'!$I41))),ISNUMBER(SEARCH(IF(H$3&lt;&gt;"",H$3,"NA"),'MITRE ATT&amp;CK Mappings'!$J41))), 'MITRE ATT&amp;CK Mappings'!$B41,"")</f>
        <v/>
      </c>
      <c r="I45" s="27" t="str">
        <f>IF(OR(OR(OR(OR(OR(ISNUMBER(SEARCH(IF(I$1&lt;&gt;"",I$1,"NA"),'MITRE ATT&amp;CK Mappings'!$E41)),ISNUMBER(SEARCH(IF(I$1&lt;&gt;"",I$1,"NA"),'MITRE ATT&amp;CK Mappings'!$F41))),ISNUMBER(SEARCH(IF(I$2&lt;&gt;"",I$2,"NA"),'MITRE ATT&amp;CK Mappings'!$G41))),ISNUMBER(SEARCH(IF(I$2&lt;&gt;"",I$2,"NA"),'MITRE ATT&amp;CK Mappings'!$H41))),ISNUMBER(SEARCH(IF(I$3&lt;&gt;"",I$3,"NA"),'MITRE ATT&amp;CK Mappings'!$I41))),ISNUMBER(SEARCH(IF(I$3&lt;&gt;"",I$3,"NA"),'MITRE ATT&amp;CK Mappings'!$J41))), 'MITRE ATT&amp;CK Mappings'!$B41,"")</f>
        <v/>
      </c>
      <c r="J45" s="27" t="str">
        <f>IF(OR(OR(OR(OR(OR(ISNUMBER(SEARCH(IF(J$1&lt;&gt;"",J$1,"NA"),'MITRE ATT&amp;CK Mappings'!$E41)),ISNUMBER(SEARCH(IF(J$1&lt;&gt;"",J$1,"NA"),'MITRE ATT&amp;CK Mappings'!$F41))),ISNUMBER(SEARCH(IF(J$2&lt;&gt;"",J$2,"NA"),'MITRE ATT&amp;CK Mappings'!$G41))),ISNUMBER(SEARCH(IF(J$2&lt;&gt;"",J$2,"NA"),'MITRE ATT&amp;CK Mappings'!$H41))),ISNUMBER(SEARCH(IF(J$3&lt;&gt;"",J$3,"NA"),'MITRE ATT&amp;CK Mappings'!$I41))),ISNUMBER(SEARCH(IF(J$3&lt;&gt;"",J$3,"NA"),'MITRE ATT&amp;CK Mappings'!$J41))), 'MITRE ATT&amp;CK Mappings'!$B41,"")</f>
        <v/>
      </c>
      <c r="K45" s="27" t="str">
        <f>IF(OR(OR(OR(OR(OR(ISNUMBER(SEARCH(IF(K$1&lt;&gt;"",K$1,"NA"),'MITRE ATT&amp;CK Mappings'!$E41)),ISNUMBER(SEARCH(IF(K$1&lt;&gt;"",K$1,"NA"),'MITRE ATT&amp;CK Mappings'!$F41))),ISNUMBER(SEARCH(IF(K$2&lt;&gt;"",K$2,"NA"),'MITRE ATT&amp;CK Mappings'!$G41))),ISNUMBER(SEARCH(IF(K$2&lt;&gt;"",K$2,"NA"),'MITRE ATT&amp;CK Mappings'!$H41))),ISNUMBER(SEARCH(IF(K$3&lt;&gt;"",K$3,"NA"),'MITRE ATT&amp;CK Mappings'!$I41))),ISNUMBER(SEARCH(IF(K$3&lt;&gt;"",K$3,"NA"),'MITRE ATT&amp;CK Mappings'!$J41))), 'MITRE ATT&amp;CK Mappings'!$B41,"")</f>
        <v/>
      </c>
      <c r="L45" s="27" t="str">
        <f>IF('MITRE ATT&amp;CK Mappings'!D41 &lt;&gt;"",'MITRE ATT&amp;CK Mappings'!D41,"" )</f>
        <v>Ensure that 'Allow users to remember multifactor authentication on devices they trust' is disabled</v>
      </c>
    </row>
    <row r="46" spans="1:12" x14ac:dyDescent="0.25">
      <c r="A46" s="26" t="str">
        <f>IF(COUNTIF(B46:K46,"="&amp;'MITRE ATT&amp;CK Mappings'!B42)&gt;0,'MITRE ATT&amp;CK Mappings'!B42,"")</f>
        <v/>
      </c>
      <c r="B46" s="26" t="str">
        <f>IF(OR(OR(OR(OR(OR(ISNUMBER(SEARCH(IF(B$1&lt;&gt;"",B$1,"NA"),'MITRE ATT&amp;CK Mappings'!$E42)),ISNUMBER(SEARCH(IF(B$1&lt;&gt;"",B$1,"NA"),'MITRE ATT&amp;CK Mappings'!$F42))),ISNUMBER(SEARCH(IF(B$2&lt;&gt;"",B$2,"NA"),'MITRE ATT&amp;CK Mappings'!$G42))),ISNUMBER(SEARCH(IF(B$2&lt;&gt;"",B$2,"NA"),'MITRE ATT&amp;CK Mappings'!$H42))),ISNUMBER(SEARCH(IF(B$3&lt;&gt;"",B$3,"NA"),'MITRE ATT&amp;CK Mappings'!$I42))),ISNUMBER(SEARCH(IF(B$3&lt;&gt;"",B$3,"NA"),'MITRE ATT&amp;CK Mappings'!$J42))), 'MITRE ATT&amp;CK Mappings'!$B42,"")</f>
        <v/>
      </c>
      <c r="C46" s="26" t="str">
        <f>IF(OR(OR(OR(OR(OR(ISNUMBER(SEARCH(IF(C$1&lt;&gt;"",C$1,"NA"),'MITRE ATT&amp;CK Mappings'!$E42)),ISNUMBER(SEARCH(IF(C$1&lt;&gt;"",C$1,"NA"),'MITRE ATT&amp;CK Mappings'!$F42))),ISNUMBER(SEARCH(IF(C$2&lt;&gt;"",C$2,"NA"),'MITRE ATT&amp;CK Mappings'!$G42))),ISNUMBER(SEARCH(IF(C$2&lt;&gt;"",C$2,"NA"),'MITRE ATT&amp;CK Mappings'!$H42))),ISNUMBER(SEARCH(IF(C$3&lt;&gt;"",C$3,"NA"),'MITRE ATT&amp;CK Mappings'!$I42))),ISNUMBER(SEARCH(IF(C$3&lt;&gt;"",C$3,"NA"),'MITRE ATT&amp;CK Mappings'!$J42))), 'MITRE ATT&amp;CK Mappings'!$B42,"")</f>
        <v/>
      </c>
      <c r="D46" s="26" t="str">
        <f>IF(OR(OR(OR(OR(OR(ISNUMBER(SEARCH(IF(D$1&lt;&gt;"",D$1,"NA"),'MITRE ATT&amp;CK Mappings'!$E42)),ISNUMBER(SEARCH(IF(D$1&lt;&gt;"",D$1,"NA"),'MITRE ATT&amp;CK Mappings'!$F42))),ISNUMBER(SEARCH(IF(D$2&lt;&gt;"",D$2,"NA"),'MITRE ATT&amp;CK Mappings'!$G42))),ISNUMBER(SEARCH(IF(D$2&lt;&gt;"",D$2,"NA"),'MITRE ATT&amp;CK Mappings'!$H42))),ISNUMBER(SEARCH(IF(D$3&lt;&gt;"",D$3,"NA"),'MITRE ATT&amp;CK Mappings'!$I42))),ISNUMBER(SEARCH(IF(D$3&lt;&gt;"",D$3,"NA"),'MITRE ATT&amp;CK Mappings'!$J42))), 'MITRE ATT&amp;CK Mappings'!$B42,"")</f>
        <v/>
      </c>
      <c r="E46" s="26" t="str">
        <f>IF(OR(OR(OR(OR(OR(ISNUMBER(SEARCH(IF(E$1&lt;&gt;"",E$1,"NA"),'MITRE ATT&amp;CK Mappings'!$E42)),ISNUMBER(SEARCH(IF(E$1&lt;&gt;"",E$1,"NA"),'MITRE ATT&amp;CK Mappings'!$F42))),ISNUMBER(SEARCH(IF(E$2&lt;&gt;"",E$2,"NA"),'MITRE ATT&amp;CK Mappings'!$G42))),ISNUMBER(SEARCH(IF(E$2&lt;&gt;"",E$2,"NA"),'MITRE ATT&amp;CK Mappings'!$H42))),ISNUMBER(SEARCH(IF(E$3&lt;&gt;"",E$3,"NA"),'MITRE ATT&amp;CK Mappings'!$I42))),ISNUMBER(SEARCH(IF(E$3&lt;&gt;"",E$3,"NA"),'MITRE ATT&amp;CK Mappings'!$J42))), 'MITRE ATT&amp;CK Mappings'!$B42,"")</f>
        <v/>
      </c>
      <c r="F46" s="26" t="str">
        <f>IF(OR(OR(OR(OR(OR(ISNUMBER(SEARCH(IF(F$1&lt;&gt;"",F$1,"NA"),'MITRE ATT&amp;CK Mappings'!$E42)),ISNUMBER(SEARCH(IF(F$1&lt;&gt;"",F$1,"NA"),'MITRE ATT&amp;CK Mappings'!$F42))),ISNUMBER(SEARCH(IF(F$2&lt;&gt;"",F$2,"NA"),'MITRE ATT&amp;CK Mappings'!$G42))),ISNUMBER(SEARCH(IF(F$2&lt;&gt;"",F$2,"NA"),'MITRE ATT&amp;CK Mappings'!$H42))),ISNUMBER(SEARCH(IF(F$3&lt;&gt;"",F$3,"NA"),'MITRE ATT&amp;CK Mappings'!$I42))),ISNUMBER(SEARCH(IF(F$3&lt;&gt;"",F$3,"NA"),'MITRE ATT&amp;CK Mappings'!$J42))), 'MITRE ATT&amp;CK Mappings'!$B42,"")</f>
        <v/>
      </c>
      <c r="G46" s="26" t="str">
        <f>IF(OR(OR(OR(OR(OR(ISNUMBER(SEARCH(IF(G$1&lt;&gt;"",G$1,"NA"),'MITRE ATT&amp;CK Mappings'!$E42)),ISNUMBER(SEARCH(IF(G$1&lt;&gt;"",G$1,"NA"),'MITRE ATT&amp;CK Mappings'!$F42))),ISNUMBER(SEARCH(IF(G$2&lt;&gt;"",G$2,"NA"),'MITRE ATT&amp;CK Mappings'!$G42))),ISNUMBER(SEARCH(IF(G$2&lt;&gt;"",G$2,"NA"),'MITRE ATT&amp;CK Mappings'!$H42))),ISNUMBER(SEARCH(IF(G$3&lt;&gt;"",G$3,"NA"),'MITRE ATT&amp;CK Mappings'!$I42))),ISNUMBER(SEARCH(IF(G$3&lt;&gt;"",G$3,"NA"),'MITRE ATT&amp;CK Mappings'!$J42))), 'MITRE ATT&amp;CK Mappings'!$B42,"")</f>
        <v/>
      </c>
      <c r="H46" s="26" t="str">
        <f>IF(OR(OR(OR(OR(OR(ISNUMBER(SEARCH(IF(H$1&lt;&gt;"",H$1,"NA"),'MITRE ATT&amp;CK Mappings'!$E42)),ISNUMBER(SEARCH(IF(H$1&lt;&gt;"",H$1,"NA"),'MITRE ATT&amp;CK Mappings'!$F42))),ISNUMBER(SEARCH(IF(H$2&lt;&gt;"",H$2,"NA"),'MITRE ATT&amp;CK Mappings'!$G42))),ISNUMBER(SEARCH(IF(H$2&lt;&gt;"",H$2,"NA"),'MITRE ATT&amp;CK Mappings'!$H42))),ISNUMBER(SEARCH(IF(H$3&lt;&gt;"",H$3,"NA"),'MITRE ATT&amp;CK Mappings'!$I42))),ISNUMBER(SEARCH(IF(H$3&lt;&gt;"",H$3,"NA"),'MITRE ATT&amp;CK Mappings'!$J42))), 'MITRE ATT&amp;CK Mappings'!$B42,"")</f>
        <v/>
      </c>
      <c r="I46" s="26" t="str">
        <f>IF(OR(OR(OR(OR(OR(ISNUMBER(SEARCH(IF(I$1&lt;&gt;"",I$1,"NA"),'MITRE ATT&amp;CK Mappings'!$E42)),ISNUMBER(SEARCH(IF(I$1&lt;&gt;"",I$1,"NA"),'MITRE ATT&amp;CK Mappings'!$F42))),ISNUMBER(SEARCH(IF(I$2&lt;&gt;"",I$2,"NA"),'MITRE ATT&amp;CK Mappings'!$G42))),ISNUMBER(SEARCH(IF(I$2&lt;&gt;"",I$2,"NA"),'MITRE ATT&amp;CK Mappings'!$H42))),ISNUMBER(SEARCH(IF(I$3&lt;&gt;"",I$3,"NA"),'MITRE ATT&amp;CK Mappings'!$I42))),ISNUMBER(SEARCH(IF(I$3&lt;&gt;"",I$3,"NA"),'MITRE ATT&amp;CK Mappings'!$J42))), 'MITRE ATT&amp;CK Mappings'!$B42,"")</f>
        <v/>
      </c>
      <c r="J46" s="26" t="str">
        <f>IF(OR(OR(OR(OR(OR(ISNUMBER(SEARCH(IF(J$1&lt;&gt;"",J$1,"NA"),'MITRE ATT&amp;CK Mappings'!$E42)),ISNUMBER(SEARCH(IF(J$1&lt;&gt;"",J$1,"NA"),'MITRE ATT&amp;CK Mappings'!$F42))),ISNUMBER(SEARCH(IF(J$2&lt;&gt;"",J$2,"NA"),'MITRE ATT&amp;CK Mappings'!$G42))),ISNUMBER(SEARCH(IF(J$2&lt;&gt;"",J$2,"NA"),'MITRE ATT&amp;CK Mappings'!$H42))),ISNUMBER(SEARCH(IF(J$3&lt;&gt;"",J$3,"NA"),'MITRE ATT&amp;CK Mappings'!$I42))),ISNUMBER(SEARCH(IF(J$3&lt;&gt;"",J$3,"NA"),'MITRE ATT&amp;CK Mappings'!$J42))), 'MITRE ATT&amp;CK Mappings'!$B42,"")</f>
        <v/>
      </c>
      <c r="K46" s="26" t="str">
        <f>IF(OR(OR(OR(OR(OR(ISNUMBER(SEARCH(IF(K$1&lt;&gt;"",K$1,"NA"),'MITRE ATT&amp;CK Mappings'!$E42)),ISNUMBER(SEARCH(IF(K$1&lt;&gt;"",K$1,"NA"),'MITRE ATT&amp;CK Mappings'!$F42))),ISNUMBER(SEARCH(IF(K$2&lt;&gt;"",K$2,"NA"),'MITRE ATT&amp;CK Mappings'!$G42))),ISNUMBER(SEARCH(IF(K$2&lt;&gt;"",K$2,"NA"),'MITRE ATT&amp;CK Mappings'!$H42))),ISNUMBER(SEARCH(IF(K$3&lt;&gt;"",K$3,"NA"),'MITRE ATT&amp;CK Mappings'!$I42))),ISNUMBER(SEARCH(IF(K$3&lt;&gt;"",K$3,"NA"),'MITRE ATT&amp;CK Mappings'!$J42))), 'MITRE ATT&amp;CK Mappings'!$B42,"")</f>
        <v/>
      </c>
      <c r="L46" s="26" t="str">
        <f>IF('MITRE ATT&amp;CK Mappings'!D42 &lt;&gt;"",'MITRE ATT&amp;CK Mappings'!D42,"" )</f>
        <v>Ensure that 'trusted locations' are defined</v>
      </c>
    </row>
    <row r="47" spans="1:12" x14ac:dyDescent="0.25">
      <c r="A47" s="27" t="str">
        <f>IF(COUNTIF(B47:K47,"="&amp;'MITRE ATT&amp;CK Mappings'!B43)&gt;0,'MITRE ATT&amp;CK Mappings'!B43,"")</f>
        <v/>
      </c>
      <c r="B47" s="27" t="str">
        <f>IF(OR(OR(OR(OR(OR(ISNUMBER(SEARCH(IF(B$1&lt;&gt;"",B$1,"NA"),'MITRE ATT&amp;CK Mappings'!$E43)),ISNUMBER(SEARCH(IF(B$1&lt;&gt;"",B$1,"NA"),'MITRE ATT&amp;CK Mappings'!$F43))),ISNUMBER(SEARCH(IF(B$2&lt;&gt;"",B$2,"NA"),'MITRE ATT&amp;CK Mappings'!$G43))),ISNUMBER(SEARCH(IF(B$2&lt;&gt;"",B$2,"NA"),'MITRE ATT&amp;CK Mappings'!$H43))),ISNUMBER(SEARCH(IF(B$3&lt;&gt;"",B$3,"NA"),'MITRE ATT&amp;CK Mappings'!$I43))),ISNUMBER(SEARCH(IF(B$3&lt;&gt;"",B$3,"NA"),'MITRE ATT&amp;CK Mappings'!$J43))), 'MITRE ATT&amp;CK Mappings'!$B43,"")</f>
        <v/>
      </c>
      <c r="C47" s="27" t="str">
        <f>IF(OR(OR(OR(OR(OR(ISNUMBER(SEARCH(IF(C$1&lt;&gt;"",C$1,"NA"),'MITRE ATT&amp;CK Mappings'!$E43)),ISNUMBER(SEARCH(IF(C$1&lt;&gt;"",C$1,"NA"),'MITRE ATT&amp;CK Mappings'!$F43))),ISNUMBER(SEARCH(IF(C$2&lt;&gt;"",C$2,"NA"),'MITRE ATT&amp;CK Mappings'!$G43))),ISNUMBER(SEARCH(IF(C$2&lt;&gt;"",C$2,"NA"),'MITRE ATT&amp;CK Mappings'!$H43))),ISNUMBER(SEARCH(IF(C$3&lt;&gt;"",C$3,"NA"),'MITRE ATT&amp;CK Mappings'!$I43))),ISNUMBER(SEARCH(IF(C$3&lt;&gt;"",C$3,"NA"),'MITRE ATT&amp;CK Mappings'!$J43))), 'MITRE ATT&amp;CK Mappings'!$B43,"")</f>
        <v/>
      </c>
      <c r="D47" s="27" t="str">
        <f>IF(OR(OR(OR(OR(OR(ISNUMBER(SEARCH(IF(D$1&lt;&gt;"",D$1,"NA"),'MITRE ATT&amp;CK Mappings'!$E43)),ISNUMBER(SEARCH(IF(D$1&lt;&gt;"",D$1,"NA"),'MITRE ATT&amp;CK Mappings'!$F43))),ISNUMBER(SEARCH(IF(D$2&lt;&gt;"",D$2,"NA"),'MITRE ATT&amp;CK Mappings'!$G43))),ISNUMBER(SEARCH(IF(D$2&lt;&gt;"",D$2,"NA"),'MITRE ATT&amp;CK Mappings'!$H43))),ISNUMBER(SEARCH(IF(D$3&lt;&gt;"",D$3,"NA"),'MITRE ATT&amp;CK Mappings'!$I43))),ISNUMBER(SEARCH(IF(D$3&lt;&gt;"",D$3,"NA"),'MITRE ATT&amp;CK Mappings'!$J43))), 'MITRE ATT&amp;CK Mappings'!$B43,"")</f>
        <v/>
      </c>
      <c r="E47" s="27" t="str">
        <f>IF(OR(OR(OR(OR(OR(ISNUMBER(SEARCH(IF(E$1&lt;&gt;"",E$1,"NA"),'MITRE ATT&amp;CK Mappings'!$E43)),ISNUMBER(SEARCH(IF(E$1&lt;&gt;"",E$1,"NA"),'MITRE ATT&amp;CK Mappings'!$F43))),ISNUMBER(SEARCH(IF(E$2&lt;&gt;"",E$2,"NA"),'MITRE ATT&amp;CK Mappings'!$G43))),ISNUMBER(SEARCH(IF(E$2&lt;&gt;"",E$2,"NA"),'MITRE ATT&amp;CK Mappings'!$H43))),ISNUMBER(SEARCH(IF(E$3&lt;&gt;"",E$3,"NA"),'MITRE ATT&amp;CK Mappings'!$I43))),ISNUMBER(SEARCH(IF(E$3&lt;&gt;"",E$3,"NA"),'MITRE ATT&amp;CK Mappings'!$J43))), 'MITRE ATT&amp;CK Mappings'!$B43,"")</f>
        <v/>
      </c>
      <c r="F47" s="27" t="str">
        <f>IF(OR(OR(OR(OR(OR(ISNUMBER(SEARCH(IF(F$1&lt;&gt;"",F$1,"NA"),'MITRE ATT&amp;CK Mappings'!$E43)),ISNUMBER(SEARCH(IF(F$1&lt;&gt;"",F$1,"NA"),'MITRE ATT&amp;CK Mappings'!$F43))),ISNUMBER(SEARCH(IF(F$2&lt;&gt;"",F$2,"NA"),'MITRE ATT&amp;CK Mappings'!$G43))),ISNUMBER(SEARCH(IF(F$2&lt;&gt;"",F$2,"NA"),'MITRE ATT&amp;CK Mappings'!$H43))),ISNUMBER(SEARCH(IF(F$3&lt;&gt;"",F$3,"NA"),'MITRE ATT&amp;CK Mappings'!$I43))),ISNUMBER(SEARCH(IF(F$3&lt;&gt;"",F$3,"NA"),'MITRE ATT&amp;CK Mappings'!$J43))), 'MITRE ATT&amp;CK Mappings'!$B43,"")</f>
        <v/>
      </c>
      <c r="G47" s="27" t="str">
        <f>IF(OR(OR(OR(OR(OR(ISNUMBER(SEARCH(IF(G$1&lt;&gt;"",G$1,"NA"),'MITRE ATT&amp;CK Mappings'!$E43)),ISNUMBER(SEARCH(IF(G$1&lt;&gt;"",G$1,"NA"),'MITRE ATT&amp;CK Mappings'!$F43))),ISNUMBER(SEARCH(IF(G$2&lt;&gt;"",G$2,"NA"),'MITRE ATT&amp;CK Mappings'!$G43))),ISNUMBER(SEARCH(IF(G$2&lt;&gt;"",G$2,"NA"),'MITRE ATT&amp;CK Mappings'!$H43))),ISNUMBER(SEARCH(IF(G$3&lt;&gt;"",G$3,"NA"),'MITRE ATT&amp;CK Mappings'!$I43))),ISNUMBER(SEARCH(IF(G$3&lt;&gt;"",G$3,"NA"),'MITRE ATT&amp;CK Mappings'!$J43))), 'MITRE ATT&amp;CK Mappings'!$B43,"")</f>
        <v/>
      </c>
      <c r="H47" s="27" t="str">
        <f>IF(OR(OR(OR(OR(OR(ISNUMBER(SEARCH(IF(H$1&lt;&gt;"",H$1,"NA"),'MITRE ATT&amp;CK Mappings'!$E43)),ISNUMBER(SEARCH(IF(H$1&lt;&gt;"",H$1,"NA"),'MITRE ATT&amp;CK Mappings'!$F43))),ISNUMBER(SEARCH(IF(H$2&lt;&gt;"",H$2,"NA"),'MITRE ATT&amp;CK Mappings'!$G43))),ISNUMBER(SEARCH(IF(H$2&lt;&gt;"",H$2,"NA"),'MITRE ATT&amp;CK Mappings'!$H43))),ISNUMBER(SEARCH(IF(H$3&lt;&gt;"",H$3,"NA"),'MITRE ATT&amp;CK Mappings'!$I43))),ISNUMBER(SEARCH(IF(H$3&lt;&gt;"",H$3,"NA"),'MITRE ATT&amp;CK Mappings'!$J43))), 'MITRE ATT&amp;CK Mappings'!$B43,"")</f>
        <v/>
      </c>
      <c r="I47" s="27" t="str">
        <f>IF(OR(OR(OR(OR(OR(ISNUMBER(SEARCH(IF(I$1&lt;&gt;"",I$1,"NA"),'MITRE ATT&amp;CK Mappings'!$E43)),ISNUMBER(SEARCH(IF(I$1&lt;&gt;"",I$1,"NA"),'MITRE ATT&amp;CK Mappings'!$F43))),ISNUMBER(SEARCH(IF(I$2&lt;&gt;"",I$2,"NA"),'MITRE ATT&amp;CK Mappings'!$G43))),ISNUMBER(SEARCH(IF(I$2&lt;&gt;"",I$2,"NA"),'MITRE ATT&amp;CK Mappings'!$H43))),ISNUMBER(SEARCH(IF(I$3&lt;&gt;"",I$3,"NA"),'MITRE ATT&amp;CK Mappings'!$I43))),ISNUMBER(SEARCH(IF(I$3&lt;&gt;"",I$3,"NA"),'MITRE ATT&amp;CK Mappings'!$J43))), 'MITRE ATT&amp;CK Mappings'!$B43,"")</f>
        <v/>
      </c>
      <c r="J47" s="27" t="str">
        <f>IF(OR(OR(OR(OR(OR(ISNUMBER(SEARCH(IF(J$1&lt;&gt;"",J$1,"NA"),'MITRE ATT&amp;CK Mappings'!$E43)),ISNUMBER(SEARCH(IF(J$1&lt;&gt;"",J$1,"NA"),'MITRE ATT&amp;CK Mappings'!$F43))),ISNUMBER(SEARCH(IF(J$2&lt;&gt;"",J$2,"NA"),'MITRE ATT&amp;CK Mappings'!$G43))),ISNUMBER(SEARCH(IF(J$2&lt;&gt;"",J$2,"NA"),'MITRE ATT&amp;CK Mappings'!$H43))),ISNUMBER(SEARCH(IF(J$3&lt;&gt;"",J$3,"NA"),'MITRE ATT&amp;CK Mappings'!$I43))),ISNUMBER(SEARCH(IF(J$3&lt;&gt;"",J$3,"NA"),'MITRE ATT&amp;CK Mappings'!$J43))), 'MITRE ATT&amp;CK Mappings'!$B43,"")</f>
        <v/>
      </c>
      <c r="K47" s="27" t="str">
        <f>IF(OR(OR(OR(OR(OR(ISNUMBER(SEARCH(IF(K$1&lt;&gt;"",K$1,"NA"),'MITRE ATT&amp;CK Mappings'!$E43)),ISNUMBER(SEARCH(IF(K$1&lt;&gt;"",K$1,"NA"),'MITRE ATT&amp;CK Mappings'!$F43))),ISNUMBER(SEARCH(IF(K$2&lt;&gt;"",K$2,"NA"),'MITRE ATT&amp;CK Mappings'!$G43))),ISNUMBER(SEARCH(IF(K$2&lt;&gt;"",K$2,"NA"),'MITRE ATT&amp;CK Mappings'!$H43))),ISNUMBER(SEARCH(IF(K$3&lt;&gt;"",K$3,"NA"),'MITRE ATT&amp;CK Mappings'!$I43))),ISNUMBER(SEARCH(IF(K$3&lt;&gt;"",K$3,"NA"),'MITRE ATT&amp;CK Mappings'!$J43))), 'MITRE ATT&amp;CK Mappings'!$B43,"")</f>
        <v/>
      </c>
      <c r="L47" s="27" t="str">
        <f>IF('MITRE ATT&amp;CK Mappings'!D43 &lt;&gt;"",'MITRE ATT&amp;CK Mappings'!D43,"" )</f>
        <v>Ensure that an exclusionary geographic Conditional Access policy is considered</v>
      </c>
    </row>
    <row r="48" spans="1:12" x14ac:dyDescent="0.25">
      <c r="A48" s="26" t="str">
        <f>IF(COUNTIF(B48:K48,"="&amp;'MITRE ATT&amp;CK Mappings'!B44)&gt;0,'MITRE ATT&amp;CK Mappings'!B44,"")</f>
        <v/>
      </c>
      <c r="B48" s="26" t="str">
        <f>IF(OR(OR(OR(OR(OR(ISNUMBER(SEARCH(IF(B$1&lt;&gt;"",B$1,"NA"),'MITRE ATT&amp;CK Mappings'!$E44)),ISNUMBER(SEARCH(IF(B$1&lt;&gt;"",B$1,"NA"),'MITRE ATT&amp;CK Mappings'!$F44))),ISNUMBER(SEARCH(IF(B$2&lt;&gt;"",B$2,"NA"),'MITRE ATT&amp;CK Mappings'!$G44))),ISNUMBER(SEARCH(IF(B$2&lt;&gt;"",B$2,"NA"),'MITRE ATT&amp;CK Mappings'!$H44))),ISNUMBER(SEARCH(IF(B$3&lt;&gt;"",B$3,"NA"),'MITRE ATT&amp;CK Mappings'!$I44))),ISNUMBER(SEARCH(IF(B$3&lt;&gt;"",B$3,"NA"),'MITRE ATT&amp;CK Mappings'!$J44))), 'MITRE ATT&amp;CK Mappings'!$B44,"")</f>
        <v/>
      </c>
      <c r="C48" s="26" t="str">
        <f>IF(OR(OR(OR(OR(OR(ISNUMBER(SEARCH(IF(C$1&lt;&gt;"",C$1,"NA"),'MITRE ATT&amp;CK Mappings'!$E44)),ISNUMBER(SEARCH(IF(C$1&lt;&gt;"",C$1,"NA"),'MITRE ATT&amp;CK Mappings'!$F44))),ISNUMBER(SEARCH(IF(C$2&lt;&gt;"",C$2,"NA"),'MITRE ATT&amp;CK Mappings'!$G44))),ISNUMBER(SEARCH(IF(C$2&lt;&gt;"",C$2,"NA"),'MITRE ATT&amp;CK Mappings'!$H44))),ISNUMBER(SEARCH(IF(C$3&lt;&gt;"",C$3,"NA"),'MITRE ATT&amp;CK Mappings'!$I44))),ISNUMBER(SEARCH(IF(C$3&lt;&gt;"",C$3,"NA"),'MITRE ATT&amp;CK Mappings'!$J44))), 'MITRE ATT&amp;CK Mappings'!$B44,"")</f>
        <v/>
      </c>
      <c r="D48" s="26" t="str">
        <f>IF(OR(OR(OR(OR(OR(ISNUMBER(SEARCH(IF(D$1&lt;&gt;"",D$1,"NA"),'MITRE ATT&amp;CK Mappings'!$E44)),ISNUMBER(SEARCH(IF(D$1&lt;&gt;"",D$1,"NA"),'MITRE ATT&amp;CK Mappings'!$F44))),ISNUMBER(SEARCH(IF(D$2&lt;&gt;"",D$2,"NA"),'MITRE ATT&amp;CK Mappings'!$G44))),ISNUMBER(SEARCH(IF(D$2&lt;&gt;"",D$2,"NA"),'MITRE ATT&amp;CK Mappings'!$H44))),ISNUMBER(SEARCH(IF(D$3&lt;&gt;"",D$3,"NA"),'MITRE ATT&amp;CK Mappings'!$I44))),ISNUMBER(SEARCH(IF(D$3&lt;&gt;"",D$3,"NA"),'MITRE ATT&amp;CK Mappings'!$J44))), 'MITRE ATT&amp;CK Mappings'!$B44,"")</f>
        <v/>
      </c>
      <c r="E48" s="26" t="str">
        <f>IF(OR(OR(OR(OR(OR(ISNUMBER(SEARCH(IF(E$1&lt;&gt;"",E$1,"NA"),'MITRE ATT&amp;CK Mappings'!$E44)),ISNUMBER(SEARCH(IF(E$1&lt;&gt;"",E$1,"NA"),'MITRE ATT&amp;CK Mappings'!$F44))),ISNUMBER(SEARCH(IF(E$2&lt;&gt;"",E$2,"NA"),'MITRE ATT&amp;CK Mappings'!$G44))),ISNUMBER(SEARCH(IF(E$2&lt;&gt;"",E$2,"NA"),'MITRE ATT&amp;CK Mappings'!$H44))),ISNUMBER(SEARCH(IF(E$3&lt;&gt;"",E$3,"NA"),'MITRE ATT&amp;CK Mappings'!$I44))),ISNUMBER(SEARCH(IF(E$3&lt;&gt;"",E$3,"NA"),'MITRE ATT&amp;CK Mappings'!$J44))), 'MITRE ATT&amp;CK Mappings'!$B44,"")</f>
        <v/>
      </c>
      <c r="F48" s="26" t="str">
        <f>IF(OR(OR(OR(OR(OR(ISNUMBER(SEARCH(IF(F$1&lt;&gt;"",F$1,"NA"),'MITRE ATT&amp;CK Mappings'!$E44)),ISNUMBER(SEARCH(IF(F$1&lt;&gt;"",F$1,"NA"),'MITRE ATT&amp;CK Mappings'!$F44))),ISNUMBER(SEARCH(IF(F$2&lt;&gt;"",F$2,"NA"),'MITRE ATT&amp;CK Mappings'!$G44))),ISNUMBER(SEARCH(IF(F$2&lt;&gt;"",F$2,"NA"),'MITRE ATT&amp;CK Mappings'!$H44))),ISNUMBER(SEARCH(IF(F$3&lt;&gt;"",F$3,"NA"),'MITRE ATT&amp;CK Mappings'!$I44))),ISNUMBER(SEARCH(IF(F$3&lt;&gt;"",F$3,"NA"),'MITRE ATT&amp;CK Mappings'!$J44))), 'MITRE ATT&amp;CK Mappings'!$B44,"")</f>
        <v/>
      </c>
      <c r="G48" s="26" t="str">
        <f>IF(OR(OR(OR(OR(OR(ISNUMBER(SEARCH(IF(G$1&lt;&gt;"",G$1,"NA"),'MITRE ATT&amp;CK Mappings'!$E44)),ISNUMBER(SEARCH(IF(G$1&lt;&gt;"",G$1,"NA"),'MITRE ATT&amp;CK Mappings'!$F44))),ISNUMBER(SEARCH(IF(G$2&lt;&gt;"",G$2,"NA"),'MITRE ATT&amp;CK Mappings'!$G44))),ISNUMBER(SEARCH(IF(G$2&lt;&gt;"",G$2,"NA"),'MITRE ATT&amp;CK Mappings'!$H44))),ISNUMBER(SEARCH(IF(G$3&lt;&gt;"",G$3,"NA"),'MITRE ATT&amp;CK Mappings'!$I44))),ISNUMBER(SEARCH(IF(G$3&lt;&gt;"",G$3,"NA"),'MITRE ATT&amp;CK Mappings'!$J44))), 'MITRE ATT&amp;CK Mappings'!$B44,"")</f>
        <v/>
      </c>
      <c r="H48" s="26" t="str">
        <f>IF(OR(OR(OR(OR(OR(ISNUMBER(SEARCH(IF(H$1&lt;&gt;"",H$1,"NA"),'MITRE ATT&amp;CK Mappings'!$E44)),ISNUMBER(SEARCH(IF(H$1&lt;&gt;"",H$1,"NA"),'MITRE ATT&amp;CK Mappings'!$F44))),ISNUMBER(SEARCH(IF(H$2&lt;&gt;"",H$2,"NA"),'MITRE ATT&amp;CK Mappings'!$G44))),ISNUMBER(SEARCH(IF(H$2&lt;&gt;"",H$2,"NA"),'MITRE ATT&amp;CK Mappings'!$H44))),ISNUMBER(SEARCH(IF(H$3&lt;&gt;"",H$3,"NA"),'MITRE ATT&amp;CK Mappings'!$I44))),ISNUMBER(SEARCH(IF(H$3&lt;&gt;"",H$3,"NA"),'MITRE ATT&amp;CK Mappings'!$J44))), 'MITRE ATT&amp;CK Mappings'!$B44,"")</f>
        <v/>
      </c>
      <c r="I48" s="26" t="str">
        <f>IF(OR(OR(OR(OR(OR(ISNUMBER(SEARCH(IF(I$1&lt;&gt;"",I$1,"NA"),'MITRE ATT&amp;CK Mappings'!$E44)),ISNUMBER(SEARCH(IF(I$1&lt;&gt;"",I$1,"NA"),'MITRE ATT&amp;CK Mappings'!$F44))),ISNUMBER(SEARCH(IF(I$2&lt;&gt;"",I$2,"NA"),'MITRE ATT&amp;CK Mappings'!$G44))),ISNUMBER(SEARCH(IF(I$2&lt;&gt;"",I$2,"NA"),'MITRE ATT&amp;CK Mappings'!$H44))),ISNUMBER(SEARCH(IF(I$3&lt;&gt;"",I$3,"NA"),'MITRE ATT&amp;CK Mappings'!$I44))),ISNUMBER(SEARCH(IF(I$3&lt;&gt;"",I$3,"NA"),'MITRE ATT&amp;CK Mappings'!$J44))), 'MITRE ATT&amp;CK Mappings'!$B44,"")</f>
        <v/>
      </c>
      <c r="J48" s="26" t="str">
        <f>IF(OR(OR(OR(OR(OR(ISNUMBER(SEARCH(IF(J$1&lt;&gt;"",J$1,"NA"),'MITRE ATT&amp;CK Mappings'!$E44)),ISNUMBER(SEARCH(IF(J$1&lt;&gt;"",J$1,"NA"),'MITRE ATT&amp;CK Mappings'!$F44))),ISNUMBER(SEARCH(IF(J$2&lt;&gt;"",J$2,"NA"),'MITRE ATT&amp;CK Mappings'!$G44))),ISNUMBER(SEARCH(IF(J$2&lt;&gt;"",J$2,"NA"),'MITRE ATT&amp;CK Mappings'!$H44))),ISNUMBER(SEARCH(IF(J$3&lt;&gt;"",J$3,"NA"),'MITRE ATT&amp;CK Mappings'!$I44))),ISNUMBER(SEARCH(IF(J$3&lt;&gt;"",J$3,"NA"),'MITRE ATT&amp;CK Mappings'!$J44))), 'MITRE ATT&amp;CK Mappings'!$B44,"")</f>
        <v/>
      </c>
      <c r="K48" s="26" t="str">
        <f>IF(OR(OR(OR(OR(OR(ISNUMBER(SEARCH(IF(K$1&lt;&gt;"",K$1,"NA"),'MITRE ATT&amp;CK Mappings'!$E44)),ISNUMBER(SEARCH(IF(K$1&lt;&gt;"",K$1,"NA"),'MITRE ATT&amp;CK Mappings'!$F44))),ISNUMBER(SEARCH(IF(K$2&lt;&gt;"",K$2,"NA"),'MITRE ATT&amp;CK Mappings'!$G44))),ISNUMBER(SEARCH(IF(K$2&lt;&gt;"",K$2,"NA"),'MITRE ATT&amp;CK Mappings'!$H44))),ISNUMBER(SEARCH(IF(K$3&lt;&gt;"",K$3,"NA"),'MITRE ATT&amp;CK Mappings'!$I44))),ISNUMBER(SEARCH(IF(K$3&lt;&gt;"",K$3,"NA"),'MITRE ATT&amp;CK Mappings'!$J44))), 'MITRE ATT&amp;CK Mappings'!$B44,"")</f>
        <v/>
      </c>
      <c r="L48" s="26" t="str">
        <f>IF('MITRE ATT&amp;CK Mappings'!D44 &lt;&gt;"",'MITRE ATT&amp;CK Mappings'!D44,"" )</f>
        <v>Ensure that an exclusionary device code flow policy is considered</v>
      </c>
    </row>
    <row r="49" spans="1:12" x14ac:dyDescent="0.25">
      <c r="A49" s="27" t="str">
        <f>IF(COUNTIF(B49:K49,"="&amp;'MITRE ATT&amp;CK Mappings'!B45)&gt;0,'MITRE ATT&amp;CK Mappings'!B45,"")</f>
        <v/>
      </c>
      <c r="B49" s="27" t="str">
        <f>IF(OR(OR(OR(OR(OR(ISNUMBER(SEARCH(IF(B$1&lt;&gt;"",B$1,"NA"),'MITRE ATT&amp;CK Mappings'!$E45)),ISNUMBER(SEARCH(IF(B$1&lt;&gt;"",B$1,"NA"),'MITRE ATT&amp;CK Mappings'!$F45))),ISNUMBER(SEARCH(IF(B$2&lt;&gt;"",B$2,"NA"),'MITRE ATT&amp;CK Mappings'!$G45))),ISNUMBER(SEARCH(IF(B$2&lt;&gt;"",B$2,"NA"),'MITRE ATT&amp;CK Mappings'!$H45))),ISNUMBER(SEARCH(IF(B$3&lt;&gt;"",B$3,"NA"),'MITRE ATT&amp;CK Mappings'!$I45))),ISNUMBER(SEARCH(IF(B$3&lt;&gt;"",B$3,"NA"),'MITRE ATT&amp;CK Mappings'!$J45))), 'MITRE ATT&amp;CK Mappings'!$B45,"")</f>
        <v/>
      </c>
      <c r="C49" s="27" t="str">
        <f>IF(OR(OR(OR(OR(OR(ISNUMBER(SEARCH(IF(C$1&lt;&gt;"",C$1,"NA"),'MITRE ATT&amp;CK Mappings'!$E45)),ISNUMBER(SEARCH(IF(C$1&lt;&gt;"",C$1,"NA"),'MITRE ATT&amp;CK Mappings'!$F45))),ISNUMBER(SEARCH(IF(C$2&lt;&gt;"",C$2,"NA"),'MITRE ATT&amp;CK Mappings'!$G45))),ISNUMBER(SEARCH(IF(C$2&lt;&gt;"",C$2,"NA"),'MITRE ATT&amp;CK Mappings'!$H45))),ISNUMBER(SEARCH(IF(C$3&lt;&gt;"",C$3,"NA"),'MITRE ATT&amp;CK Mappings'!$I45))),ISNUMBER(SEARCH(IF(C$3&lt;&gt;"",C$3,"NA"),'MITRE ATT&amp;CK Mappings'!$J45))), 'MITRE ATT&amp;CK Mappings'!$B45,"")</f>
        <v/>
      </c>
      <c r="D49" s="27" t="str">
        <f>IF(OR(OR(OR(OR(OR(ISNUMBER(SEARCH(IF(D$1&lt;&gt;"",D$1,"NA"),'MITRE ATT&amp;CK Mappings'!$E45)),ISNUMBER(SEARCH(IF(D$1&lt;&gt;"",D$1,"NA"),'MITRE ATT&amp;CK Mappings'!$F45))),ISNUMBER(SEARCH(IF(D$2&lt;&gt;"",D$2,"NA"),'MITRE ATT&amp;CK Mappings'!$G45))),ISNUMBER(SEARCH(IF(D$2&lt;&gt;"",D$2,"NA"),'MITRE ATT&amp;CK Mappings'!$H45))),ISNUMBER(SEARCH(IF(D$3&lt;&gt;"",D$3,"NA"),'MITRE ATT&amp;CK Mappings'!$I45))),ISNUMBER(SEARCH(IF(D$3&lt;&gt;"",D$3,"NA"),'MITRE ATT&amp;CK Mappings'!$J45))), 'MITRE ATT&amp;CK Mappings'!$B45,"")</f>
        <v/>
      </c>
      <c r="E49" s="27" t="str">
        <f>IF(OR(OR(OR(OR(OR(ISNUMBER(SEARCH(IF(E$1&lt;&gt;"",E$1,"NA"),'MITRE ATT&amp;CK Mappings'!$E45)),ISNUMBER(SEARCH(IF(E$1&lt;&gt;"",E$1,"NA"),'MITRE ATT&amp;CK Mappings'!$F45))),ISNUMBER(SEARCH(IF(E$2&lt;&gt;"",E$2,"NA"),'MITRE ATT&amp;CK Mappings'!$G45))),ISNUMBER(SEARCH(IF(E$2&lt;&gt;"",E$2,"NA"),'MITRE ATT&amp;CK Mappings'!$H45))),ISNUMBER(SEARCH(IF(E$3&lt;&gt;"",E$3,"NA"),'MITRE ATT&amp;CK Mappings'!$I45))),ISNUMBER(SEARCH(IF(E$3&lt;&gt;"",E$3,"NA"),'MITRE ATT&amp;CK Mappings'!$J45))), 'MITRE ATT&amp;CK Mappings'!$B45,"")</f>
        <v/>
      </c>
      <c r="F49" s="27" t="str">
        <f>IF(OR(OR(OR(OR(OR(ISNUMBER(SEARCH(IF(F$1&lt;&gt;"",F$1,"NA"),'MITRE ATT&amp;CK Mappings'!$E45)),ISNUMBER(SEARCH(IF(F$1&lt;&gt;"",F$1,"NA"),'MITRE ATT&amp;CK Mappings'!$F45))),ISNUMBER(SEARCH(IF(F$2&lt;&gt;"",F$2,"NA"),'MITRE ATT&amp;CK Mappings'!$G45))),ISNUMBER(SEARCH(IF(F$2&lt;&gt;"",F$2,"NA"),'MITRE ATT&amp;CK Mappings'!$H45))),ISNUMBER(SEARCH(IF(F$3&lt;&gt;"",F$3,"NA"),'MITRE ATT&amp;CK Mappings'!$I45))),ISNUMBER(SEARCH(IF(F$3&lt;&gt;"",F$3,"NA"),'MITRE ATT&amp;CK Mappings'!$J45))), 'MITRE ATT&amp;CK Mappings'!$B45,"")</f>
        <v/>
      </c>
      <c r="G49" s="27" t="str">
        <f>IF(OR(OR(OR(OR(OR(ISNUMBER(SEARCH(IF(G$1&lt;&gt;"",G$1,"NA"),'MITRE ATT&amp;CK Mappings'!$E45)),ISNUMBER(SEARCH(IF(G$1&lt;&gt;"",G$1,"NA"),'MITRE ATT&amp;CK Mappings'!$F45))),ISNUMBER(SEARCH(IF(G$2&lt;&gt;"",G$2,"NA"),'MITRE ATT&amp;CK Mappings'!$G45))),ISNUMBER(SEARCH(IF(G$2&lt;&gt;"",G$2,"NA"),'MITRE ATT&amp;CK Mappings'!$H45))),ISNUMBER(SEARCH(IF(G$3&lt;&gt;"",G$3,"NA"),'MITRE ATT&amp;CK Mappings'!$I45))),ISNUMBER(SEARCH(IF(G$3&lt;&gt;"",G$3,"NA"),'MITRE ATT&amp;CK Mappings'!$J45))), 'MITRE ATT&amp;CK Mappings'!$B45,"")</f>
        <v/>
      </c>
      <c r="H49" s="27" t="str">
        <f>IF(OR(OR(OR(OR(OR(ISNUMBER(SEARCH(IF(H$1&lt;&gt;"",H$1,"NA"),'MITRE ATT&amp;CK Mappings'!$E45)),ISNUMBER(SEARCH(IF(H$1&lt;&gt;"",H$1,"NA"),'MITRE ATT&amp;CK Mappings'!$F45))),ISNUMBER(SEARCH(IF(H$2&lt;&gt;"",H$2,"NA"),'MITRE ATT&amp;CK Mappings'!$G45))),ISNUMBER(SEARCH(IF(H$2&lt;&gt;"",H$2,"NA"),'MITRE ATT&amp;CK Mappings'!$H45))),ISNUMBER(SEARCH(IF(H$3&lt;&gt;"",H$3,"NA"),'MITRE ATT&amp;CK Mappings'!$I45))),ISNUMBER(SEARCH(IF(H$3&lt;&gt;"",H$3,"NA"),'MITRE ATT&amp;CK Mappings'!$J45))), 'MITRE ATT&amp;CK Mappings'!$B45,"")</f>
        <v/>
      </c>
      <c r="I49" s="27" t="str">
        <f>IF(OR(OR(OR(OR(OR(ISNUMBER(SEARCH(IF(I$1&lt;&gt;"",I$1,"NA"),'MITRE ATT&amp;CK Mappings'!$E45)),ISNUMBER(SEARCH(IF(I$1&lt;&gt;"",I$1,"NA"),'MITRE ATT&amp;CK Mappings'!$F45))),ISNUMBER(SEARCH(IF(I$2&lt;&gt;"",I$2,"NA"),'MITRE ATT&amp;CK Mappings'!$G45))),ISNUMBER(SEARCH(IF(I$2&lt;&gt;"",I$2,"NA"),'MITRE ATT&amp;CK Mappings'!$H45))),ISNUMBER(SEARCH(IF(I$3&lt;&gt;"",I$3,"NA"),'MITRE ATT&amp;CK Mappings'!$I45))),ISNUMBER(SEARCH(IF(I$3&lt;&gt;"",I$3,"NA"),'MITRE ATT&amp;CK Mappings'!$J45))), 'MITRE ATT&amp;CK Mappings'!$B45,"")</f>
        <v/>
      </c>
      <c r="J49" s="27" t="str">
        <f>IF(OR(OR(OR(OR(OR(ISNUMBER(SEARCH(IF(J$1&lt;&gt;"",J$1,"NA"),'MITRE ATT&amp;CK Mappings'!$E45)),ISNUMBER(SEARCH(IF(J$1&lt;&gt;"",J$1,"NA"),'MITRE ATT&amp;CK Mappings'!$F45))),ISNUMBER(SEARCH(IF(J$2&lt;&gt;"",J$2,"NA"),'MITRE ATT&amp;CK Mappings'!$G45))),ISNUMBER(SEARCH(IF(J$2&lt;&gt;"",J$2,"NA"),'MITRE ATT&amp;CK Mappings'!$H45))),ISNUMBER(SEARCH(IF(J$3&lt;&gt;"",J$3,"NA"),'MITRE ATT&amp;CK Mappings'!$I45))),ISNUMBER(SEARCH(IF(J$3&lt;&gt;"",J$3,"NA"),'MITRE ATT&amp;CK Mappings'!$J45))), 'MITRE ATT&amp;CK Mappings'!$B45,"")</f>
        <v/>
      </c>
      <c r="K49" s="27" t="str">
        <f>IF(OR(OR(OR(OR(OR(ISNUMBER(SEARCH(IF(K$1&lt;&gt;"",K$1,"NA"),'MITRE ATT&amp;CK Mappings'!$E45)),ISNUMBER(SEARCH(IF(K$1&lt;&gt;"",K$1,"NA"),'MITRE ATT&amp;CK Mappings'!$F45))),ISNUMBER(SEARCH(IF(K$2&lt;&gt;"",K$2,"NA"),'MITRE ATT&amp;CK Mappings'!$G45))),ISNUMBER(SEARCH(IF(K$2&lt;&gt;"",K$2,"NA"),'MITRE ATT&amp;CK Mappings'!$H45))),ISNUMBER(SEARCH(IF(K$3&lt;&gt;"",K$3,"NA"),'MITRE ATT&amp;CK Mappings'!$I45))),ISNUMBER(SEARCH(IF(K$3&lt;&gt;"",K$3,"NA"),'MITRE ATT&amp;CK Mappings'!$J45))), 'MITRE ATT&amp;CK Mappings'!$B45,"")</f>
        <v/>
      </c>
      <c r="L49" s="27" t="str">
        <f>IF('MITRE ATT&amp;CK Mappings'!D45 &lt;&gt;"",'MITRE ATT&amp;CK Mappings'!D45,"" )</f>
        <v>Ensure that a multifactor authentication policy exists for all users</v>
      </c>
    </row>
    <row r="50" spans="1:12" x14ac:dyDescent="0.25">
      <c r="A50" s="26" t="str">
        <f>IF(COUNTIF(B50:K50,"="&amp;'MITRE ATT&amp;CK Mappings'!B46)&gt;0,'MITRE ATT&amp;CK Mappings'!B46,"")</f>
        <v/>
      </c>
      <c r="B50" s="26" t="str">
        <f>IF(OR(OR(OR(OR(OR(ISNUMBER(SEARCH(IF(B$1&lt;&gt;"",B$1,"NA"),'MITRE ATT&amp;CK Mappings'!$E46)),ISNUMBER(SEARCH(IF(B$1&lt;&gt;"",B$1,"NA"),'MITRE ATT&amp;CK Mappings'!$F46))),ISNUMBER(SEARCH(IF(B$2&lt;&gt;"",B$2,"NA"),'MITRE ATT&amp;CK Mappings'!$G46))),ISNUMBER(SEARCH(IF(B$2&lt;&gt;"",B$2,"NA"),'MITRE ATT&amp;CK Mappings'!$H46))),ISNUMBER(SEARCH(IF(B$3&lt;&gt;"",B$3,"NA"),'MITRE ATT&amp;CK Mappings'!$I46))),ISNUMBER(SEARCH(IF(B$3&lt;&gt;"",B$3,"NA"),'MITRE ATT&amp;CK Mappings'!$J46))), 'MITRE ATT&amp;CK Mappings'!$B46,"")</f>
        <v/>
      </c>
      <c r="C50" s="26" t="str">
        <f>IF(OR(OR(OR(OR(OR(ISNUMBER(SEARCH(IF(C$1&lt;&gt;"",C$1,"NA"),'MITRE ATT&amp;CK Mappings'!$E46)),ISNUMBER(SEARCH(IF(C$1&lt;&gt;"",C$1,"NA"),'MITRE ATT&amp;CK Mappings'!$F46))),ISNUMBER(SEARCH(IF(C$2&lt;&gt;"",C$2,"NA"),'MITRE ATT&amp;CK Mappings'!$G46))),ISNUMBER(SEARCH(IF(C$2&lt;&gt;"",C$2,"NA"),'MITRE ATT&amp;CK Mappings'!$H46))),ISNUMBER(SEARCH(IF(C$3&lt;&gt;"",C$3,"NA"),'MITRE ATT&amp;CK Mappings'!$I46))),ISNUMBER(SEARCH(IF(C$3&lt;&gt;"",C$3,"NA"),'MITRE ATT&amp;CK Mappings'!$J46))), 'MITRE ATT&amp;CK Mappings'!$B46,"")</f>
        <v/>
      </c>
      <c r="D50" s="26" t="str">
        <f>IF(OR(OR(OR(OR(OR(ISNUMBER(SEARCH(IF(D$1&lt;&gt;"",D$1,"NA"),'MITRE ATT&amp;CK Mappings'!$E46)),ISNUMBER(SEARCH(IF(D$1&lt;&gt;"",D$1,"NA"),'MITRE ATT&amp;CK Mappings'!$F46))),ISNUMBER(SEARCH(IF(D$2&lt;&gt;"",D$2,"NA"),'MITRE ATT&amp;CK Mappings'!$G46))),ISNUMBER(SEARCH(IF(D$2&lt;&gt;"",D$2,"NA"),'MITRE ATT&amp;CK Mappings'!$H46))),ISNUMBER(SEARCH(IF(D$3&lt;&gt;"",D$3,"NA"),'MITRE ATT&amp;CK Mappings'!$I46))),ISNUMBER(SEARCH(IF(D$3&lt;&gt;"",D$3,"NA"),'MITRE ATT&amp;CK Mappings'!$J46))), 'MITRE ATT&amp;CK Mappings'!$B46,"")</f>
        <v/>
      </c>
      <c r="E50" s="26" t="str">
        <f>IF(OR(OR(OR(OR(OR(ISNUMBER(SEARCH(IF(E$1&lt;&gt;"",E$1,"NA"),'MITRE ATT&amp;CK Mappings'!$E46)),ISNUMBER(SEARCH(IF(E$1&lt;&gt;"",E$1,"NA"),'MITRE ATT&amp;CK Mappings'!$F46))),ISNUMBER(SEARCH(IF(E$2&lt;&gt;"",E$2,"NA"),'MITRE ATT&amp;CK Mappings'!$G46))),ISNUMBER(SEARCH(IF(E$2&lt;&gt;"",E$2,"NA"),'MITRE ATT&amp;CK Mappings'!$H46))),ISNUMBER(SEARCH(IF(E$3&lt;&gt;"",E$3,"NA"),'MITRE ATT&amp;CK Mappings'!$I46))),ISNUMBER(SEARCH(IF(E$3&lt;&gt;"",E$3,"NA"),'MITRE ATT&amp;CK Mappings'!$J46))), 'MITRE ATT&amp;CK Mappings'!$B46,"")</f>
        <v/>
      </c>
      <c r="F50" s="26" t="str">
        <f>IF(OR(OR(OR(OR(OR(ISNUMBER(SEARCH(IF(F$1&lt;&gt;"",F$1,"NA"),'MITRE ATT&amp;CK Mappings'!$E46)),ISNUMBER(SEARCH(IF(F$1&lt;&gt;"",F$1,"NA"),'MITRE ATT&amp;CK Mappings'!$F46))),ISNUMBER(SEARCH(IF(F$2&lt;&gt;"",F$2,"NA"),'MITRE ATT&amp;CK Mappings'!$G46))),ISNUMBER(SEARCH(IF(F$2&lt;&gt;"",F$2,"NA"),'MITRE ATT&amp;CK Mappings'!$H46))),ISNUMBER(SEARCH(IF(F$3&lt;&gt;"",F$3,"NA"),'MITRE ATT&amp;CK Mappings'!$I46))),ISNUMBER(SEARCH(IF(F$3&lt;&gt;"",F$3,"NA"),'MITRE ATT&amp;CK Mappings'!$J46))), 'MITRE ATT&amp;CK Mappings'!$B46,"")</f>
        <v/>
      </c>
      <c r="G50" s="26" t="str">
        <f>IF(OR(OR(OR(OR(OR(ISNUMBER(SEARCH(IF(G$1&lt;&gt;"",G$1,"NA"),'MITRE ATT&amp;CK Mappings'!$E46)),ISNUMBER(SEARCH(IF(G$1&lt;&gt;"",G$1,"NA"),'MITRE ATT&amp;CK Mappings'!$F46))),ISNUMBER(SEARCH(IF(G$2&lt;&gt;"",G$2,"NA"),'MITRE ATT&amp;CK Mappings'!$G46))),ISNUMBER(SEARCH(IF(G$2&lt;&gt;"",G$2,"NA"),'MITRE ATT&amp;CK Mappings'!$H46))),ISNUMBER(SEARCH(IF(G$3&lt;&gt;"",G$3,"NA"),'MITRE ATT&amp;CK Mappings'!$I46))),ISNUMBER(SEARCH(IF(G$3&lt;&gt;"",G$3,"NA"),'MITRE ATT&amp;CK Mappings'!$J46))), 'MITRE ATT&amp;CK Mappings'!$B46,"")</f>
        <v/>
      </c>
      <c r="H50" s="26" t="str">
        <f>IF(OR(OR(OR(OR(OR(ISNUMBER(SEARCH(IF(H$1&lt;&gt;"",H$1,"NA"),'MITRE ATT&amp;CK Mappings'!$E46)),ISNUMBER(SEARCH(IF(H$1&lt;&gt;"",H$1,"NA"),'MITRE ATT&amp;CK Mappings'!$F46))),ISNUMBER(SEARCH(IF(H$2&lt;&gt;"",H$2,"NA"),'MITRE ATT&amp;CK Mappings'!$G46))),ISNUMBER(SEARCH(IF(H$2&lt;&gt;"",H$2,"NA"),'MITRE ATT&amp;CK Mappings'!$H46))),ISNUMBER(SEARCH(IF(H$3&lt;&gt;"",H$3,"NA"),'MITRE ATT&amp;CK Mappings'!$I46))),ISNUMBER(SEARCH(IF(H$3&lt;&gt;"",H$3,"NA"),'MITRE ATT&amp;CK Mappings'!$J46))), 'MITRE ATT&amp;CK Mappings'!$B46,"")</f>
        <v/>
      </c>
      <c r="I50" s="26" t="str">
        <f>IF(OR(OR(OR(OR(OR(ISNUMBER(SEARCH(IF(I$1&lt;&gt;"",I$1,"NA"),'MITRE ATT&amp;CK Mappings'!$E46)),ISNUMBER(SEARCH(IF(I$1&lt;&gt;"",I$1,"NA"),'MITRE ATT&amp;CK Mappings'!$F46))),ISNUMBER(SEARCH(IF(I$2&lt;&gt;"",I$2,"NA"),'MITRE ATT&amp;CK Mappings'!$G46))),ISNUMBER(SEARCH(IF(I$2&lt;&gt;"",I$2,"NA"),'MITRE ATT&amp;CK Mappings'!$H46))),ISNUMBER(SEARCH(IF(I$3&lt;&gt;"",I$3,"NA"),'MITRE ATT&amp;CK Mappings'!$I46))),ISNUMBER(SEARCH(IF(I$3&lt;&gt;"",I$3,"NA"),'MITRE ATT&amp;CK Mappings'!$J46))), 'MITRE ATT&amp;CK Mappings'!$B46,"")</f>
        <v/>
      </c>
      <c r="J50" s="26" t="str">
        <f>IF(OR(OR(OR(OR(OR(ISNUMBER(SEARCH(IF(J$1&lt;&gt;"",J$1,"NA"),'MITRE ATT&amp;CK Mappings'!$E46)),ISNUMBER(SEARCH(IF(J$1&lt;&gt;"",J$1,"NA"),'MITRE ATT&amp;CK Mappings'!$F46))),ISNUMBER(SEARCH(IF(J$2&lt;&gt;"",J$2,"NA"),'MITRE ATT&amp;CK Mappings'!$G46))),ISNUMBER(SEARCH(IF(J$2&lt;&gt;"",J$2,"NA"),'MITRE ATT&amp;CK Mappings'!$H46))),ISNUMBER(SEARCH(IF(J$3&lt;&gt;"",J$3,"NA"),'MITRE ATT&amp;CK Mappings'!$I46))),ISNUMBER(SEARCH(IF(J$3&lt;&gt;"",J$3,"NA"),'MITRE ATT&amp;CK Mappings'!$J46))), 'MITRE ATT&amp;CK Mappings'!$B46,"")</f>
        <v/>
      </c>
      <c r="K50" s="26" t="str">
        <f>IF(OR(OR(OR(OR(OR(ISNUMBER(SEARCH(IF(K$1&lt;&gt;"",K$1,"NA"),'MITRE ATT&amp;CK Mappings'!$E46)),ISNUMBER(SEARCH(IF(K$1&lt;&gt;"",K$1,"NA"),'MITRE ATT&amp;CK Mappings'!$F46))),ISNUMBER(SEARCH(IF(K$2&lt;&gt;"",K$2,"NA"),'MITRE ATT&amp;CK Mappings'!$G46))),ISNUMBER(SEARCH(IF(K$2&lt;&gt;"",K$2,"NA"),'MITRE ATT&amp;CK Mappings'!$H46))),ISNUMBER(SEARCH(IF(K$3&lt;&gt;"",K$3,"NA"),'MITRE ATT&amp;CK Mappings'!$I46))),ISNUMBER(SEARCH(IF(K$3&lt;&gt;"",K$3,"NA"),'MITRE ATT&amp;CK Mappings'!$J46))), 'MITRE ATT&amp;CK Mappings'!$B46,"")</f>
        <v/>
      </c>
      <c r="L50" s="26" t="str">
        <f>IF('MITRE ATT&amp;CK Mappings'!D46 &lt;&gt;"",'MITRE ATT&amp;CK Mappings'!D46,"" )</f>
        <v>Ensure that multifactor authentication is required for risky sign-ins</v>
      </c>
    </row>
    <row r="51" spans="1:12" x14ac:dyDescent="0.25">
      <c r="A51" s="27" t="str">
        <f>IF(COUNTIF(B51:K51,"="&amp;'MITRE ATT&amp;CK Mappings'!B47)&gt;0,'MITRE ATT&amp;CK Mappings'!B47,"")</f>
        <v/>
      </c>
      <c r="B51" s="27" t="str">
        <f>IF(OR(OR(OR(OR(OR(ISNUMBER(SEARCH(IF(B$1&lt;&gt;"",B$1,"NA"),'MITRE ATT&amp;CK Mappings'!$E47)),ISNUMBER(SEARCH(IF(B$1&lt;&gt;"",B$1,"NA"),'MITRE ATT&amp;CK Mappings'!$F47))),ISNUMBER(SEARCH(IF(B$2&lt;&gt;"",B$2,"NA"),'MITRE ATT&amp;CK Mappings'!$G47))),ISNUMBER(SEARCH(IF(B$2&lt;&gt;"",B$2,"NA"),'MITRE ATT&amp;CK Mappings'!$H47))),ISNUMBER(SEARCH(IF(B$3&lt;&gt;"",B$3,"NA"),'MITRE ATT&amp;CK Mappings'!$I47))),ISNUMBER(SEARCH(IF(B$3&lt;&gt;"",B$3,"NA"),'MITRE ATT&amp;CK Mappings'!$J47))), 'MITRE ATT&amp;CK Mappings'!$B47,"")</f>
        <v/>
      </c>
      <c r="C51" s="27" t="str">
        <f>IF(OR(OR(OR(OR(OR(ISNUMBER(SEARCH(IF(C$1&lt;&gt;"",C$1,"NA"),'MITRE ATT&amp;CK Mappings'!$E47)),ISNUMBER(SEARCH(IF(C$1&lt;&gt;"",C$1,"NA"),'MITRE ATT&amp;CK Mappings'!$F47))),ISNUMBER(SEARCH(IF(C$2&lt;&gt;"",C$2,"NA"),'MITRE ATT&amp;CK Mappings'!$G47))),ISNUMBER(SEARCH(IF(C$2&lt;&gt;"",C$2,"NA"),'MITRE ATT&amp;CK Mappings'!$H47))),ISNUMBER(SEARCH(IF(C$3&lt;&gt;"",C$3,"NA"),'MITRE ATT&amp;CK Mappings'!$I47))),ISNUMBER(SEARCH(IF(C$3&lt;&gt;"",C$3,"NA"),'MITRE ATT&amp;CK Mappings'!$J47))), 'MITRE ATT&amp;CK Mappings'!$B47,"")</f>
        <v/>
      </c>
      <c r="D51" s="27" t="str">
        <f>IF(OR(OR(OR(OR(OR(ISNUMBER(SEARCH(IF(D$1&lt;&gt;"",D$1,"NA"),'MITRE ATT&amp;CK Mappings'!$E47)),ISNUMBER(SEARCH(IF(D$1&lt;&gt;"",D$1,"NA"),'MITRE ATT&amp;CK Mappings'!$F47))),ISNUMBER(SEARCH(IF(D$2&lt;&gt;"",D$2,"NA"),'MITRE ATT&amp;CK Mappings'!$G47))),ISNUMBER(SEARCH(IF(D$2&lt;&gt;"",D$2,"NA"),'MITRE ATT&amp;CK Mappings'!$H47))),ISNUMBER(SEARCH(IF(D$3&lt;&gt;"",D$3,"NA"),'MITRE ATT&amp;CK Mappings'!$I47))),ISNUMBER(SEARCH(IF(D$3&lt;&gt;"",D$3,"NA"),'MITRE ATT&amp;CK Mappings'!$J47))), 'MITRE ATT&amp;CK Mappings'!$B47,"")</f>
        <v/>
      </c>
      <c r="E51" s="27" t="str">
        <f>IF(OR(OR(OR(OR(OR(ISNUMBER(SEARCH(IF(E$1&lt;&gt;"",E$1,"NA"),'MITRE ATT&amp;CK Mappings'!$E47)),ISNUMBER(SEARCH(IF(E$1&lt;&gt;"",E$1,"NA"),'MITRE ATT&amp;CK Mappings'!$F47))),ISNUMBER(SEARCH(IF(E$2&lt;&gt;"",E$2,"NA"),'MITRE ATT&amp;CK Mappings'!$G47))),ISNUMBER(SEARCH(IF(E$2&lt;&gt;"",E$2,"NA"),'MITRE ATT&amp;CK Mappings'!$H47))),ISNUMBER(SEARCH(IF(E$3&lt;&gt;"",E$3,"NA"),'MITRE ATT&amp;CK Mappings'!$I47))),ISNUMBER(SEARCH(IF(E$3&lt;&gt;"",E$3,"NA"),'MITRE ATT&amp;CK Mappings'!$J47))), 'MITRE ATT&amp;CK Mappings'!$B47,"")</f>
        <v/>
      </c>
      <c r="F51" s="27" t="str">
        <f>IF(OR(OR(OR(OR(OR(ISNUMBER(SEARCH(IF(F$1&lt;&gt;"",F$1,"NA"),'MITRE ATT&amp;CK Mappings'!$E47)),ISNUMBER(SEARCH(IF(F$1&lt;&gt;"",F$1,"NA"),'MITRE ATT&amp;CK Mappings'!$F47))),ISNUMBER(SEARCH(IF(F$2&lt;&gt;"",F$2,"NA"),'MITRE ATT&amp;CK Mappings'!$G47))),ISNUMBER(SEARCH(IF(F$2&lt;&gt;"",F$2,"NA"),'MITRE ATT&amp;CK Mappings'!$H47))),ISNUMBER(SEARCH(IF(F$3&lt;&gt;"",F$3,"NA"),'MITRE ATT&amp;CK Mappings'!$I47))),ISNUMBER(SEARCH(IF(F$3&lt;&gt;"",F$3,"NA"),'MITRE ATT&amp;CK Mappings'!$J47))), 'MITRE ATT&amp;CK Mappings'!$B47,"")</f>
        <v/>
      </c>
      <c r="G51" s="27" t="str">
        <f>IF(OR(OR(OR(OR(OR(ISNUMBER(SEARCH(IF(G$1&lt;&gt;"",G$1,"NA"),'MITRE ATT&amp;CK Mappings'!$E47)),ISNUMBER(SEARCH(IF(G$1&lt;&gt;"",G$1,"NA"),'MITRE ATT&amp;CK Mappings'!$F47))),ISNUMBER(SEARCH(IF(G$2&lt;&gt;"",G$2,"NA"),'MITRE ATT&amp;CK Mappings'!$G47))),ISNUMBER(SEARCH(IF(G$2&lt;&gt;"",G$2,"NA"),'MITRE ATT&amp;CK Mappings'!$H47))),ISNUMBER(SEARCH(IF(G$3&lt;&gt;"",G$3,"NA"),'MITRE ATT&amp;CK Mappings'!$I47))),ISNUMBER(SEARCH(IF(G$3&lt;&gt;"",G$3,"NA"),'MITRE ATT&amp;CK Mappings'!$J47))), 'MITRE ATT&amp;CK Mappings'!$B47,"")</f>
        <v/>
      </c>
      <c r="H51" s="27" t="str">
        <f>IF(OR(OR(OR(OR(OR(ISNUMBER(SEARCH(IF(H$1&lt;&gt;"",H$1,"NA"),'MITRE ATT&amp;CK Mappings'!$E47)),ISNUMBER(SEARCH(IF(H$1&lt;&gt;"",H$1,"NA"),'MITRE ATT&amp;CK Mappings'!$F47))),ISNUMBER(SEARCH(IF(H$2&lt;&gt;"",H$2,"NA"),'MITRE ATT&amp;CK Mappings'!$G47))),ISNUMBER(SEARCH(IF(H$2&lt;&gt;"",H$2,"NA"),'MITRE ATT&amp;CK Mappings'!$H47))),ISNUMBER(SEARCH(IF(H$3&lt;&gt;"",H$3,"NA"),'MITRE ATT&amp;CK Mappings'!$I47))),ISNUMBER(SEARCH(IF(H$3&lt;&gt;"",H$3,"NA"),'MITRE ATT&amp;CK Mappings'!$J47))), 'MITRE ATT&amp;CK Mappings'!$B47,"")</f>
        <v/>
      </c>
      <c r="I51" s="27" t="str">
        <f>IF(OR(OR(OR(OR(OR(ISNUMBER(SEARCH(IF(I$1&lt;&gt;"",I$1,"NA"),'MITRE ATT&amp;CK Mappings'!$E47)),ISNUMBER(SEARCH(IF(I$1&lt;&gt;"",I$1,"NA"),'MITRE ATT&amp;CK Mappings'!$F47))),ISNUMBER(SEARCH(IF(I$2&lt;&gt;"",I$2,"NA"),'MITRE ATT&amp;CK Mappings'!$G47))),ISNUMBER(SEARCH(IF(I$2&lt;&gt;"",I$2,"NA"),'MITRE ATT&amp;CK Mappings'!$H47))),ISNUMBER(SEARCH(IF(I$3&lt;&gt;"",I$3,"NA"),'MITRE ATT&amp;CK Mappings'!$I47))),ISNUMBER(SEARCH(IF(I$3&lt;&gt;"",I$3,"NA"),'MITRE ATT&amp;CK Mappings'!$J47))), 'MITRE ATT&amp;CK Mappings'!$B47,"")</f>
        <v/>
      </c>
      <c r="J51" s="27" t="str">
        <f>IF(OR(OR(OR(OR(OR(ISNUMBER(SEARCH(IF(J$1&lt;&gt;"",J$1,"NA"),'MITRE ATT&amp;CK Mappings'!$E47)),ISNUMBER(SEARCH(IF(J$1&lt;&gt;"",J$1,"NA"),'MITRE ATT&amp;CK Mappings'!$F47))),ISNUMBER(SEARCH(IF(J$2&lt;&gt;"",J$2,"NA"),'MITRE ATT&amp;CK Mappings'!$G47))),ISNUMBER(SEARCH(IF(J$2&lt;&gt;"",J$2,"NA"),'MITRE ATT&amp;CK Mappings'!$H47))),ISNUMBER(SEARCH(IF(J$3&lt;&gt;"",J$3,"NA"),'MITRE ATT&amp;CK Mappings'!$I47))),ISNUMBER(SEARCH(IF(J$3&lt;&gt;"",J$3,"NA"),'MITRE ATT&amp;CK Mappings'!$J47))), 'MITRE ATT&amp;CK Mappings'!$B47,"")</f>
        <v/>
      </c>
      <c r="K51" s="27" t="str">
        <f>IF(OR(OR(OR(OR(OR(ISNUMBER(SEARCH(IF(K$1&lt;&gt;"",K$1,"NA"),'MITRE ATT&amp;CK Mappings'!$E47)),ISNUMBER(SEARCH(IF(K$1&lt;&gt;"",K$1,"NA"),'MITRE ATT&amp;CK Mappings'!$F47))),ISNUMBER(SEARCH(IF(K$2&lt;&gt;"",K$2,"NA"),'MITRE ATT&amp;CK Mappings'!$G47))),ISNUMBER(SEARCH(IF(K$2&lt;&gt;"",K$2,"NA"),'MITRE ATT&amp;CK Mappings'!$H47))),ISNUMBER(SEARCH(IF(K$3&lt;&gt;"",K$3,"NA"),'MITRE ATT&amp;CK Mappings'!$I47))),ISNUMBER(SEARCH(IF(K$3&lt;&gt;"",K$3,"NA"),'MITRE ATT&amp;CK Mappings'!$J47))), 'MITRE ATT&amp;CK Mappings'!$B47,"")</f>
        <v/>
      </c>
      <c r="L51" s="27" t="str">
        <f>IF('MITRE ATT&amp;CK Mappings'!D47 &lt;&gt;"",'MITRE ATT&amp;CK Mappings'!D47,"" )</f>
        <v>Ensure that multifactor authentication is required for Windows Azure Service Management API</v>
      </c>
    </row>
    <row r="52" spans="1:12" x14ac:dyDescent="0.25">
      <c r="A52" s="26" t="str">
        <f>IF(COUNTIF(B52:K52,"="&amp;'MITRE ATT&amp;CK Mappings'!B48)&gt;0,'MITRE ATT&amp;CK Mappings'!B48,"")</f>
        <v/>
      </c>
      <c r="B52" s="26" t="str">
        <f>IF(OR(OR(OR(OR(OR(ISNUMBER(SEARCH(IF(B$1&lt;&gt;"",B$1,"NA"),'MITRE ATT&amp;CK Mappings'!$E48)),ISNUMBER(SEARCH(IF(B$1&lt;&gt;"",B$1,"NA"),'MITRE ATT&amp;CK Mappings'!$F48))),ISNUMBER(SEARCH(IF(B$2&lt;&gt;"",B$2,"NA"),'MITRE ATT&amp;CK Mappings'!$G48))),ISNUMBER(SEARCH(IF(B$2&lt;&gt;"",B$2,"NA"),'MITRE ATT&amp;CK Mappings'!$H48))),ISNUMBER(SEARCH(IF(B$3&lt;&gt;"",B$3,"NA"),'MITRE ATT&amp;CK Mappings'!$I48))),ISNUMBER(SEARCH(IF(B$3&lt;&gt;"",B$3,"NA"),'MITRE ATT&amp;CK Mappings'!$J48))), 'MITRE ATT&amp;CK Mappings'!$B48,"")</f>
        <v/>
      </c>
      <c r="C52" s="26" t="str">
        <f>IF(OR(OR(OR(OR(OR(ISNUMBER(SEARCH(IF(C$1&lt;&gt;"",C$1,"NA"),'MITRE ATT&amp;CK Mappings'!$E48)),ISNUMBER(SEARCH(IF(C$1&lt;&gt;"",C$1,"NA"),'MITRE ATT&amp;CK Mappings'!$F48))),ISNUMBER(SEARCH(IF(C$2&lt;&gt;"",C$2,"NA"),'MITRE ATT&amp;CK Mappings'!$G48))),ISNUMBER(SEARCH(IF(C$2&lt;&gt;"",C$2,"NA"),'MITRE ATT&amp;CK Mappings'!$H48))),ISNUMBER(SEARCH(IF(C$3&lt;&gt;"",C$3,"NA"),'MITRE ATT&amp;CK Mappings'!$I48))),ISNUMBER(SEARCH(IF(C$3&lt;&gt;"",C$3,"NA"),'MITRE ATT&amp;CK Mappings'!$J48))), 'MITRE ATT&amp;CK Mappings'!$B48,"")</f>
        <v/>
      </c>
      <c r="D52" s="26" t="str">
        <f>IF(OR(OR(OR(OR(OR(ISNUMBER(SEARCH(IF(D$1&lt;&gt;"",D$1,"NA"),'MITRE ATT&amp;CK Mappings'!$E48)),ISNUMBER(SEARCH(IF(D$1&lt;&gt;"",D$1,"NA"),'MITRE ATT&amp;CK Mappings'!$F48))),ISNUMBER(SEARCH(IF(D$2&lt;&gt;"",D$2,"NA"),'MITRE ATT&amp;CK Mappings'!$G48))),ISNUMBER(SEARCH(IF(D$2&lt;&gt;"",D$2,"NA"),'MITRE ATT&amp;CK Mappings'!$H48))),ISNUMBER(SEARCH(IF(D$3&lt;&gt;"",D$3,"NA"),'MITRE ATT&amp;CK Mappings'!$I48))),ISNUMBER(SEARCH(IF(D$3&lt;&gt;"",D$3,"NA"),'MITRE ATT&amp;CK Mappings'!$J48))), 'MITRE ATT&amp;CK Mappings'!$B48,"")</f>
        <v/>
      </c>
      <c r="E52" s="26" t="str">
        <f>IF(OR(OR(OR(OR(OR(ISNUMBER(SEARCH(IF(E$1&lt;&gt;"",E$1,"NA"),'MITRE ATT&amp;CK Mappings'!$E48)),ISNUMBER(SEARCH(IF(E$1&lt;&gt;"",E$1,"NA"),'MITRE ATT&amp;CK Mappings'!$F48))),ISNUMBER(SEARCH(IF(E$2&lt;&gt;"",E$2,"NA"),'MITRE ATT&amp;CK Mappings'!$G48))),ISNUMBER(SEARCH(IF(E$2&lt;&gt;"",E$2,"NA"),'MITRE ATT&amp;CK Mappings'!$H48))),ISNUMBER(SEARCH(IF(E$3&lt;&gt;"",E$3,"NA"),'MITRE ATT&amp;CK Mappings'!$I48))),ISNUMBER(SEARCH(IF(E$3&lt;&gt;"",E$3,"NA"),'MITRE ATT&amp;CK Mappings'!$J48))), 'MITRE ATT&amp;CK Mappings'!$B48,"")</f>
        <v/>
      </c>
      <c r="F52" s="26" t="str">
        <f>IF(OR(OR(OR(OR(OR(ISNUMBER(SEARCH(IF(F$1&lt;&gt;"",F$1,"NA"),'MITRE ATT&amp;CK Mappings'!$E48)),ISNUMBER(SEARCH(IF(F$1&lt;&gt;"",F$1,"NA"),'MITRE ATT&amp;CK Mappings'!$F48))),ISNUMBER(SEARCH(IF(F$2&lt;&gt;"",F$2,"NA"),'MITRE ATT&amp;CK Mappings'!$G48))),ISNUMBER(SEARCH(IF(F$2&lt;&gt;"",F$2,"NA"),'MITRE ATT&amp;CK Mappings'!$H48))),ISNUMBER(SEARCH(IF(F$3&lt;&gt;"",F$3,"NA"),'MITRE ATT&amp;CK Mappings'!$I48))),ISNUMBER(SEARCH(IF(F$3&lt;&gt;"",F$3,"NA"),'MITRE ATT&amp;CK Mappings'!$J48))), 'MITRE ATT&amp;CK Mappings'!$B48,"")</f>
        <v/>
      </c>
      <c r="G52" s="26" t="str">
        <f>IF(OR(OR(OR(OR(OR(ISNUMBER(SEARCH(IF(G$1&lt;&gt;"",G$1,"NA"),'MITRE ATT&amp;CK Mappings'!$E48)),ISNUMBER(SEARCH(IF(G$1&lt;&gt;"",G$1,"NA"),'MITRE ATT&amp;CK Mappings'!$F48))),ISNUMBER(SEARCH(IF(G$2&lt;&gt;"",G$2,"NA"),'MITRE ATT&amp;CK Mappings'!$G48))),ISNUMBER(SEARCH(IF(G$2&lt;&gt;"",G$2,"NA"),'MITRE ATT&amp;CK Mappings'!$H48))),ISNUMBER(SEARCH(IF(G$3&lt;&gt;"",G$3,"NA"),'MITRE ATT&amp;CK Mappings'!$I48))),ISNUMBER(SEARCH(IF(G$3&lt;&gt;"",G$3,"NA"),'MITRE ATT&amp;CK Mappings'!$J48))), 'MITRE ATT&amp;CK Mappings'!$B48,"")</f>
        <v/>
      </c>
      <c r="H52" s="26" t="str">
        <f>IF(OR(OR(OR(OR(OR(ISNUMBER(SEARCH(IF(H$1&lt;&gt;"",H$1,"NA"),'MITRE ATT&amp;CK Mappings'!$E48)),ISNUMBER(SEARCH(IF(H$1&lt;&gt;"",H$1,"NA"),'MITRE ATT&amp;CK Mappings'!$F48))),ISNUMBER(SEARCH(IF(H$2&lt;&gt;"",H$2,"NA"),'MITRE ATT&amp;CK Mappings'!$G48))),ISNUMBER(SEARCH(IF(H$2&lt;&gt;"",H$2,"NA"),'MITRE ATT&amp;CK Mappings'!$H48))),ISNUMBER(SEARCH(IF(H$3&lt;&gt;"",H$3,"NA"),'MITRE ATT&amp;CK Mappings'!$I48))),ISNUMBER(SEARCH(IF(H$3&lt;&gt;"",H$3,"NA"),'MITRE ATT&amp;CK Mappings'!$J48))), 'MITRE ATT&amp;CK Mappings'!$B48,"")</f>
        <v/>
      </c>
      <c r="I52" s="26" t="str">
        <f>IF(OR(OR(OR(OR(OR(ISNUMBER(SEARCH(IF(I$1&lt;&gt;"",I$1,"NA"),'MITRE ATT&amp;CK Mappings'!$E48)),ISNUMBER(SEARCH(IF(I$1&lt;&gt;"",I$1,"NA"),'MITRE ATT&amp;CK Mappings'!$F48))),ISNUMBER(SEARCH(IF(I$2&lt;&gt;"",I$2,"NA"),'MITRE ATT&amp;CK Mappings'!$G48))),ISNUMBER(SEARCH(IF(I$2&lt;&gt;"",I$2,"NA"),'MITRE ATT&amp;CK Mappings'!$H48))),ISNUMBER(SEARCH(IF(I$3&lt;&gt;"",I$3,"NA"),'MITRE ATT&amp;CK Mappings'!$I48))),ISNUMBER(SEARCH(IF(I$3&lt;&gt;"",I$3,"NA"),'MITRE ATT&amp;CK Mappings'!$J48))), 'MITRE ATT&amp;CK Mappings'!$B48,"")</f>
        <v/>
      </c>
      <c r="J52" s="26" t="str">
        <f>IF(OR(OR(OR(OR(OR(ISNUMBER(SEARCH(IF(J$1&lt;&gt;"",J$1,"NA"),'MITRE ATT&amp;CK Mappings'!$E48)),ISNUMBER(SEARCH(IF(J$1&lt;&gt;"",J$1,"NA"),'MITRE ATT&amp;CK Mappings'!$F48))),ISNUMBER(SEARCH(IF(J$2&lt;&gt;"",J$2,"NA"),'MITRE ATT&amp;CK Mappings'!$G48))),ISNUMBER(SEARCH(IF(J$2&lt;&gt;"",J$2,"NA"),'MITRE ATT&amp;CK Mappings'!$H48))),ISNUMBER(SEARCH(IF(J$3&lt;&gt;"",J$3,"NA"),'MITRE ATT&amp;CK Mappings'!$I48))),ISNUMBER(SEARCH(IF(J$3&lt;&gt;"",J$3,"NA"),'MITRE ATT&amp;CK Mappings'!$J48))), 'MITRE ATT&amp;CK Mappings'!$B48,"")</f>
        <v/>
      </c>
      <c r="K52" s="26" t="str">
        <f>IF(OR(OR(OR(OR(OR(ISNUMBER(SEARCH(IF(K$1&lt;&gt;"",K$1,"NA"),'MITRE ATT&amp;CK Mappings'!$E48)),ISNUMBER(SEARCH(IF(K$1&lt;&gt;"",K$1,"NA"),'MITRE ATT&amp;CK Mappings'!$F48))),ISNUMBER(SEARCH(IF(K$2&lt;&gt;"",K$2,"NA"),'MITRE ATT&amp;CK Mappings'!$G48))),ISNUMBER(SEARCH(IF(K$2&lt;&gt;"",K$2,"NA"),'MITRE ATT&amp;CK Mappings'!$H48))),ISNUMBER(SEARCH(IF(K$3&lt;&gt;"",K$3,"NA"),'MITRE ATT&amp;CK Mappings'!$I48))),ISNUMBER(SEARCH(IF(K$3&lt;&gt;"",K$3,"NA"),'MITRE ATT&amp;CK Mappings'!$J48))), 'MITRE ATT&amp;CK Mappings'!$B48,"")</f>
        <v/>
      </c>
      <c r="L52" s="26" t="str">
        <f>IF('MITRE ATT&amp;CK Mappings'!D48 &lt;&gt;"",'MITRE ATT&amp;CK Mappings'!D48,"" )</f>
        <v>Ensure that multifactor authentication is required to access Microsoft Admin Portals</v>
      </c>
    </row>
    <row r="53" spans="1:12" x14ac:dyDescent="0.25">
      <c r="A53" s="27" t="str">
        <f>IF(COUNTIF(B53:K53,"="&amp;'MITRE ATT&amp;CK Mappings'!B49)&gt;0,'MITRE ATT&amp;CK Mappings'!B49,"")</f>
        <v/>
      </c>
      <c r="B53" s="27" t="str">
        <f>IF(OR(OR(OR(OR(OR(ISNUMBER(SEARCH(IF(B$1&lt;&gt;"",B$1,"NA"),'MITRE ATT&amp;CK Mappings'!$E49)),ISNUMBER(SEARCH(IF(B$1&lt;&gt;"",B$1,"NA"),'MITRE ATT&amp;CK Mappings'!$F49))),ISNUMBER(SEARCH(IF(B$2&lt;&gt;"",B$2,"NA"),'MITRE ATT&amp;CK Mappings'!$G49))),ISNUMBER(SEARCH(IF(B$2&lt;&gt;"",B$2,"NA"),'MITRE ATT&amp;CK Mappings'!$H49))),ISNUMBER(SEARCH(IF(B$3&lt;&gt;"",B$3,"NA"),'MITRE ATT&amp;CK Mappings'!$I49))),ISNUMBER(SEARCH(IF(B$3&lt;&gt;"",B$3,"NA"),'MITRE ATT&amp;CK Mappings'!$J49))), 'MITRE ATT&amp;CK Mappings'!$B49,"")</f>
        <v/>
      </c>
      <c r="C53" s="27" t="str">
        <f>IF(OR(OR(OR(OR(OR(ISNUMBER(SEARCH(IF(C$1&lt;&gt;"",C$1,"NA"),'MITRE ATT&amp;CK Mappings'!$E49)),ISNUMBER(SEARCH(IF(C$1&lt;&gt;"",C$1,"NA"),'MITRE ATT&amp;CK Mappings'!$F49))),ISNUMBER(SEARCH(IF(C$2&lt;&gt;"",C$2,"NA"),'MITRE ATT&amp;CK Mappings'!$G49))),ISNUMBER(SEARCH(IF(C$2&lt;&gt;"",C$2,"NA"),'MITRE ATT&amp;CK Mappings'!$H49))),ISNUMBER(SEARCH(IF(C$3&lt;&gt;"",C$3,"NA"),'MITRE ATT&amp;CK Mappings'!$I49))),ISNUMBER(SEARCH(IF(C$3&lt;&gt;"",C$3,"NA"),'MITRE ATT&amp;CK Mappings'!$J49))), 'MITRE ATT&amp;CK Mappings'!$B49,"")</f>
        <v/>
      </c>
      <c r="D53" s="27" t="str">
        <f>IF(OR(OR(OR(OR(OR(ISNUMBER(SEARCH(IF(D$1&lt;&gt;"",D$1,"NA"),'MITRE ATT&amp;CK Mappings'!$E49)),ISNUMBER(SEARCH(IF(D$1&lt;&gt;"",D$1,"NA"),'MITRE ATT&amp;CK Mappings'!$F49))),ISNUMBER(SEARCH(IF(D$2&lt;&gt;"",D$2,"NA"),'MITRE ATT&amp;CK Mappings'!$G49))),ISNUMBER(SEARCH(IF(D$2&lt;&gt;"",D$2,"NA"),'MITRE ATT&amp;CK Mappings'!$H49))),ISNUMBER(SEARCH(IF(D$3&lt;&gt;"",D$3,"NA"),'MITRE ATT&amp;CK Mappings'!$I49))),ISNUMBER(SEARCH(IF(D$3&lt;&gt;"",D$3,"NA"),'MITRE ATT&amp;CK Mappings'!$J49))), 'MITRE ATT&amp;CK Mappings'!$B49,"")</f>
        <v/>
      </c>
      <c r="E53" s="27" t="str">
        <f>IF(OR(OR(OR(OR(OR(ISNUMBER(SEARCH(IF(E$1&lt;&gt;"",E$1,"NA"),'MITRE ATT&amp;CK Mappings'!$E49)),ISNUMBER(SEARCH(IF(E$1&lt;&gt;"",E$1,"NA"),'MITRE ATT&amp;CK Mappings'!$F49))),ISNUMBER(SEARCH(IF(E$2&lt;&gt;"",E$2,"NA"),'MITRE ATT&amp;CK Mappings'!$G49))),ISNUMBER(SEARCH(IF(E$2&lt;&gt;"",E$2,"NA"),'MITRE ATT&amp;CK Mappings'!$H49))),ISNUMBER(SEARCH(IF(E$3&lt;&gt;"",E$3,"NA"),'MITRE ATT&amp;CK Mappings'!$I49))),ISNUMBER(SEARCH(IF(E$3&lt;&gt;"",E$3,"NA"),'MITRE ATT&amp;CK Mappings'!$J49))), 'MITRE ATT&amp;CK Mappings'!$B49,"")</f>
        <v/>
      </c>
      <c r="F53" s="27" t="str">
        <f>IF(OR(OR(OR(OR(OR(ISNUMBER(SEARCH(IF(F$1&lt;&gt;"",F$1,"NA"),'MITRE ATT&amp;CK Mappings'!$E49)),ISNUMBER(SEARCH(IF(F$1&lt;&gt;"",F$1,"NA"),'MITRE ATT&amp;CK Mappings'!$F49))),ISNUMBER(SEARCH(IF(F$2&lt;&gt;"",F$2,"NA"),'MITRE ATT&amp;CK Mappings'!$G49))),ISNUMBER(SEARCH(IF(F$2&lt;&gt;"",F$2,"NA"),'MITRE ATT&amp;CK Mappings'!$H49))),ISNUMBER(SEARCH(IF(F$3&lt;&gt;"",F$3,"NA"),'MITRE ATT&amp;CK Mappings'!$I49))),ISNUMBER(SEARCH(IF(F$3&lt;&gt;"",F$3,"NA"),'MITRE ATT&amp;CK Mappings'!$J49))), 'MITRE ATT&amp;CK Mappings'!$B49,"")</f>
        <v/>
      </c>
      <c r="G53" s="27" t="str">
        <f>IF(OR(OR(OR(OR(OR(ISNUMBER(SEARCH(IF(G$1&lt;&gt;"",G$1,"NA"),'MITRE ATT&amp;CK Mappings'!$E49)),ISNUMBER(SEARCH(IF(G$1&lt;&gt;"",G$1,"NA"),'MITRE ATT&amp;CK Mappings'!$F49))),ISNUMBER(SEARCH(IF(G$2&lt;&gt;"",G$2,"NA"),'MITRE ATT&amp;CK Mappings'!$G49))),ISNUMBER(SEARCH(IF(G$2&lt;&gt;"",G$2,"NA"),'MITRE ATT&amp;CK Mappings'!$H49))),ISNUMBER(SEARCH(IF(G$3&lt;&gt;"",G$3,"NA"),'MITRE ATT&amp;CK Mappings'!$I49))),ISNUMBER(SEARCH(IF(G$3&lt;&gt;"",G$3,"NA"),'MITRE ATT&amp;CK Mappings'!$J49))), 'MITRE ATT&amp;CK Mappings'!$B49,"")</f>
        <v/>
      </c>
      <c r="H53" s="27" t="str">
        <f>IF(OR(OR(OR(OR(OR(ISNUMBER(SEARCH(IF(H$1&lt;&gt;"",H$1,"NA"),'MITRE ATT&amp;CK Mappings'!$E49)),ISNUMBER(SEARCH(IF(H$1&lt;&gt;"",H$1,"NA"),'MITRE ATT&amp;CK Mappings'!$F49))),ISNUMBER(SEARCH(IF(H$2&lt;&gt;"",H$2,"NA"),'MITRE ATT&amp;CK Mappings'!$G49))),ISNUMBER(SEARCH(IF(H$2&lt;&gt;"",H$2,"NA"),'MITRE ATT&amp;CK Mappings'!$H49))),ISNUMBER(SEARCH(IF(H$3&lt;&gt;"",H$3,"NA"),'MITRE ATT&amp;CK Mappings'!$I49))),ISNUMBER(SEARCH(IF(H$3&lt;&gt;"",H$3,"NA"),'MITRE ATT&amp;CK Mappings'!$J49))), 'MITRE ATT&amp;CK Mappings'!$B49,"")</f>
        <v/>
      </c>
      <c r="I53" s="27" t="str">
        <f>IF(OR(OR(OR(OR(OR(ISNUMBER(SEARCH(IF(I$1&lt;&gt;"",I$1,"NA"),'MITRE ATT&amp;CK Mappings'!$E49)),ISNUMBER(SEARCH(IF(I$1&lt;&gt;"",I$1,"NA"),'MITRE ATT&amp;CK Mappings'!$F49))),ISNUMBER(SEARCH(IF(I$2&lt;&gt;"",I$2,"NA"),'MITRE ATT&amp;CK Mappings'!$G49))),ISNUMBER(SEARCH(IF(I$2&lt;&gt;"",I$2,"NA"),'MITRE ATT&amp;CK Mappings'!$H49))),ISNUMBER(SEARCH(IF(I$3&lt;&gt;"",I$3,"NA"),'MITRE ATT&amp;CK Mappings'!$I49))),ISNUMBER(SEARCH(IF(I$3&lt;&gt;"",I$3,"NA"),'MITRE ATT&amp;CK Mappings'!$J49))), 'MITRE ATT&amp;CK Mappings'!$B49,"")</f>
        <v/>
      </c>
      <c r="J53" s="27" t="str">
        <f>IF(OR(OR(OR(OR(OR(ISNUMBER(SEARCH(IF(J$1&lt;&gt;"",J$1,"NA"),'MITRE ATT&amp;CK Mappings'!$E49)),ISNUMBER(SEARCH(IF(J$1&lt;&gt;"",J$1,"NA"),'MITRE ATT&amp;CK Mappings'!$F49))),ISNUMBER(SEARCH(IF(J$2&lt;&gt;"",J$2,"NA"),'MITRE ATT&amp;CK Mappings'!$G49))),ISNUMBER(SEARCH(IF(J$2&lt;&gt;"",J$2,"NA"),'MITRE ATT&amp;CK Mappings'!$H49))),ISNUMBER(SEARCH(IF(J$3&lt;&gt;"",J$3,"NA"),'MITRE ATT&amp;CK Mappings'!$I49))),ISNUMBER(SEARCH(IF(J$3&lt;&gt;"",J$3,"NA"),'MITRE ATT&amp;CK Mappings'!$J49))), 'MITRE ATT&amp;CK Mappings'!$B49,"")</f>
        <v/>
      </c>
      <c r="K53" s="27" t="str">
        <f>IF(OR(OR(OR(OR(OR(ISNUMBER(SEARCH(IF(K$1&lt;&gt;"",K$1,"NA"),'MITRE ATT&amp;CK Mappings'!$E49)),ISNUMBER(SEARCH(IF(K$1&lt;&gt;"",K$1,"NA"),'MITRE ATT&amp;CK Mappings'!$F49))),ISNUMBER(SEARCH(IF(K$2&lt;&gt;"",K$2,"NA"),'MITRE ATT&amp;CK Mappings'!$G49))),ISNUMBER(SEARCH(IF(K$2&lt;&gt;"",K$2,"NA"),'MITRE ATT&amp;CK Mappings'!$H49))),ISNUMBER(SEARCH(IF(K$3&lt;&gt;"",K$3,"NA"),'MITRE ATT&amp;CK Mappings'!$I49))),ISNUMBER(SEARCH(IF(K$3&lt;&gt;"",K$3,"NA"),'MITRE ATT&amp;CK Mappings'!$J49))), 'MITRE ATT&amp;CK Mappings'!$B49,"")</f>
        <v/>
      </c>
      <c r="L53" s="27" t="str">
        <f>IF('MITRE ATT&amp;CK Mappings'!D49 &lt;&gt;"",'MITRE ATT&amp;CK Mappings'!D49,"" )</f>
        <v>Ensure a Token Protection Conditional Access policy is considered</v>
      </c>
    </row>
    <row r="54" spans="1:12" x14ac:dyDescent="0.25">
      <c r="A54" s="26" t="str">
        <f>IF(COUNTIF(B54:K54,"="&amp;'MITRE ATT&amp;CK Mappings'!B50)&gt;0,'MITRE ATT&amp;CK Mappings'!B50,"")</f>
        <v/>
      </c>
      <c r="B54" s="26" t="str">
        <f>IF(OR(OR(OR(OR(OR(ISNUMBER(SEARCH(IF(B$1&lt;&gt;"",B$1,"NA"),'MITRE ATT&amp;CK Mappings'!$E50)),ISNUMBER(SEARCH(IF(B$1&lt;&gt;"",B$1,"NA"),'MITRE ATT&amp;CK Mappings'!$F50))),ISNUMBER(SEARCH(IF(B$2&lt;&gt;"",B$2,"NA"),'MITRE ATT&amp;CK Mappings'!$G50))),ISNUMBER(SEARCH(IF(B$2&lt;&gt;"",B$2,"NA"),'MITRE ATT&amp;CK Mappings'!$H50))),ISNUMBER(SEARCH(IF(B$3&lt;&gt;"",B$3,"NA"),'MITRE ATT&amp;CK Mappings'!$I50))),ISNUMBER(SEARCH(IF(B$3&lt;&gt;"",B$3,"NA"),'MITRE ATT&amp;CK Mappings'!$J50))), 'MITRE ATT&amp;CK Mappings'!$B50,"")</f>
        <v/>
      </c>
      <c r="C54" s="26" t="str">
        <f>IF(OR(OR(OR(OR(OR(ISNUMBER(SEARCH(IF(C$1&lt;&gt;"",C$1,"NA"),'MITRE ATT&amp;CK Mappings'!$E50)),ISNUMBER(SEARCH(IF(C$1&lt;&gt;"",C$1,"NA"),'MITRE ATT&amp;CK Mappings'!$F50))),ISNUMBER(SEARCH(IF(C$2&lt;&gt;"",C$2,"NA"),'MITRE ATT&amp;CK Mappings'!$G50))),ISNUMBER(SEARCH(IF(C$2&lt;&gt;"",C$2,"NA"),'MITRE ATT&amp;CK Mappings'!$H50))),ISNUMBER(SEARCH(IF(C$3&lt;&gt;"",C$3,"NA"),'MITRE ATT&amp;CK Mappings'!$I50))),ISNUMBER(SEARCH(IF(C$3&lt;&gt;"",C$3,"NA"),'MITRE ATT&amp;CK Mappings'!$J50))), 'MITRE ATT&amp;CK Mappings'!$B50,"")</f>
        <v/>
      </c>
      <c r="D54" s="26" t="str">
        <f>IF(OR(OR(OR(OR(OR(ISNUMBER(SEARCH(IF(D$1&lt;&gt;"",D$1,"NA"),'MITRE ATT&amp;CK Mappings'!$E50)),ISNUMBER(SEARCH(IF(D$1&lt;&gt;"",D$1,"NA"),'MITRE ATT&amp;CK Mappings'!$F50))),ISNUMBER(SEARCH(IF(D$2&lt;&gt;"",D$2,"NA"),'MITRE ATT&amp;CK Mappings'!$G50))),ISNUMBER(SEARCH(IF(D$2&lt;&gt;"",D$2,"NA"),'MITRE ATT&amp;CK Mappings'!$H50))),ISNUMBER(SEARCH(IF(D$3&lt;&gt;"",D$3,"NA"),'MITRE ATT&amp;CK Mappings'!$I50))),ISNUMBER(SEARCH(IF(D$3&lt;&gt;"",D$3,"NA"),'MITRE ATT&amp;CK Mappings'!$J50))), 'MITRE ATT&amp;CK Mappings'!$B50,"")</f>
        <v/>
      </c>
      <c r="E54" s="26" t="str">
        <f>IF(OR(OR(OR(OR(OR(ISNUMBER(SEARCH(IF(E$1&lt;&gt;"",E$1,"NA"),'MITRE ATT&amp;CK Mappings'!$E50)),ISNUMBER(SEARCH(IF(E$1&lt;&gt;"",E$1,"NA"),'MITRE ATT&amp;CK Mappings'!$F50))),ISNUMBER(SEARCH(IF(E$2&lt;&gt;"",E$2,"NA"),'MITRE ATT&amp;CK Mappings'!$G50))),ISNUMBER(SEARCH(IF(E$2&lt;&gt;"",E$2,"NA"),'MITRE ATT&amp;CK Mappings'!$H50))),ISNUMBER(SEARCH(IF(E$3&lt;&gt;"",E$3,"NA"),'MITRE ATT&amp;CK Mappings'!$I50))),ISNUMBER(SEARCH(IF(E$3&lt;&gt;"",E$3,"NA"),'MITRE ATT&amp;CK Mappings'!$J50))), 'MITRE ATT&amp;CK Mappings'!$B50,"")</f>
        <v/>
      </c>
      <c r="F54" s="26" t="str">
        <f>IF(OR(OR(OR(OR(OR(ISNUMBER(SEARCH(IF(F$1&lt;&gt;"",F$1,"NA"),'MITRE ATT&amp;CK Mappings'!$E50)),ISNUMBER(SEARCH(IF(F$1&lt;&gt;"",F$1,"NA"),'MITRE ATT&amp;CK Mappings'!$F50))),ISNUMBER(SEARCH(IF(F$2&lt;&gt;"",F$2,"NA"),'MITRE ATT&amp;CK Mappings'!$G50))),ISNUMBER(SEARCH(IF(F$2&lt;&gt;"",F$2,"NA"),'MITRE ATT&amp;CK Mappings'!$H50))),ISNUMBER(SEARCH(IF(F$3&lt;&gt;"",F$3,"NA"),'MITRE ATT&amp;CK Mappings'!$I50))),ISNUMBER(SEARCH(IF(F$3&lt;&gt;"",F$3,"NA"),'MITRE ATT&amp;CK Mappings'!$J50))), 'MITRE ATT&amp;CK Mappings'!$B50,"")</f>
        <v/>
      </c>
      <c r="G54" s="26" t="str">
        <f>IF(OR(OR(OR(OR(OR(ISNUMBER(SEARCH(IF(G$1&lt;&gt;"",G$1,"NA"),'MITRE ATT&amp;CK Mappings'!$E50)),ISNUMBER(SEARCH(IF(G$1&lt;&gt;"",G$1,"NA"),'MITRE ATT&amp;CK Mappings'!$F50))),ISNUMBER(SEARCH(IF(G$2&lt;&gt;"",G$2,"NA"),'MITRE ATT&amp;CK Mappings'!$G50))),ISNUMBER(SEARCH(IF(G$2&lt;&gt;"",G$2,"NA"),'MITRE ATT&amp;CK Mappings'!$H50))),ISNUMBER(SEARCH(IF(G$3&lt;&gt;"",G$3,"NA"),'MITRE ATT&amp;CK Mappings'!$I50))),ISNUMBER(SEARCH(IF(G$3&lt;&gt;"",G$3,"NA"),'MITRE ATT&amp;CK Mappings'!$J50))), 'MITRE ATT&amp;CK Mappings'!$B50,"")</f>
        <v/>
      </c>
      <c r="H54" s="26" t="str">
        <f>IF(OR(OR(OR(OR(OR(ISNUMBER(SEARCH(IF(H$1&lt;&gt;"",H$1,"NA"),'MITRE ATT&amp;CK Mappings'!$E50)),ISNUMBER(SEARCH(IF(H$1&lt;&gt;"",H$1,"NA"),'MITRE ATT&amp;CK Mappings'!$F50))),ISNUMBER(SEARCH(IF(H$2&lt;&gt;"",H$2,"NA"),'MITRE ATT&amp;CK Mappings'!$G50))),ISNUMBER(SEARCH(IF(H$2&lt;&gt;"",H$2,"NA"),'MITRE ATT&amp;CK Mappings'!$H50))),ISNUMBER(SEARCH(IF(H$3&lt;&gt;"",H$3,"NA"),'MITRE ATT&amp;CK Mappings'!$I50))),ISNUMBER(SEARCH(IF(H$3&lt;&gt;"",H$3,"NA"),'MITRE ATT&amp;CK Mappings'!$J50))), 'MITRE ATT&amp;CK Mappings'!$B50,"")</f>
        <v/>
      </c>
      <c r="I54" s="26" t="str">
        <f>IF(OR(OR(OR(OR(OR(ISNUMBER(SEARCH(IF(I$1&lt;&gt;"",I$1,"NA"),'MITRE ATT&amp;CK Mappings'!$E50)),ISNUMBER(SEARCH(IF(I$1&lt;&gt;"",I$1,"NA"),'MITRE ATT&amp;CK Mappings'!$F50))),ISNUMBER(SEARCH(IF(I$2&lt;&gt;"",I$2,"NA"),'MITRE ATT&amp;CK Mappings'!$G50))),ISNUMBER(SEARCH(IF(I$2&lt;&gt;"",I$2,"NA"),'MITRE ATT&amp;CK Mappings'!$H50))),ISNUMBER(SEARCH(IF(I$3&lt;&gt;"",I$3,"NA"),'MITRE ATT&amp;CK Mappings'!$I50))),ISNUMBER(SEARCH(IF(I$3&lt;&gt;"",I$3,"NA"),'MITRE ATT&amp;CK Mappings'!$J50))), 'MITRE ATT&amp;CK Mappings'!$B50,"")</f>
        <v/>
      </c>
      <c r="J54" s="26" t="str">
        <f>IF(OR(OR(OR(OR(OR(ISNUMBER(SEARCH(IF(J$1&lt;&gt;"",J$1,"NA"),'MITRE ATT&amp;CK Mappings'!$E50)),ISNUMBER(SEARCH(IF(J$1&lt;&gt;"",J$1,"NA"),'MITRE ATT&amp;CK Mappings'!$F50))),ISNUMBER(SEARCH(IF(J$2&lt;&gt;"",J$2,"NA"),'MITRE ATT&amp;CK Mappings'!$G50))),ISNUMBER(SEARCH(IF(J$2&lt;&gt;"",J$2,"NA"),'MITRE ATT&amp;CK Mappings'!$H50))),ISNUMBER(SEARCH(IF(J$3&lt;&gt;"",J$3,"NA"),'MITRE ATT&amp;CK Mappings'!$I50))),ISNUMBER(SEARCH(IF(J$3&lt;&gt;"",J$3,"NA"),'MITRE ATT&amp;CK Mappings'!$J50))), 'MITRE ATT&amp;CK Mappings'!$B50,"")</f>
        <v/>
      </c>
      <c r="K54" s="26" t="str">
        <f>IF(OR(OR(OR(OR(OR(ISNUMBER(SEARCH(IF(K$1&lt;&gt;"",K$1,"NA"),'MITRE ATT&amp;CK Mappings'!$E50)),ISNUMBER(SEARCH(IF(K$1&lt;&gt;"",K$1,"NA"),'MITRE ATT&amp;CK Mappings'!$F50))),ISNUMBER(SEARCH(IF(K$2&lt;&gt;"",K$2,"NA"),'MITRE ATT&amp;CK Mappings'!$G50))),ISNUMBER(SEARCH(IF(K$2&lt;&gt;"",K$2,"NA"),'MITRE ATT&amp;CK Mappings'!$H50))),ISNUMBER(SEARCH(IF(K$3&lt;&gt;"",K$3,"NA"),'MITRE ATT&amp;CK Mappings'!$I50))),ISNUMBER(SEARCH(IF(K$3&lt;&gt;"",K$3,"NA"),'MITRE ATT&amp;CK Mappings'!$J50))), 'MITRE ATT&amp;CK Mappings'!$B50,"")</f>
        <v/>
      </c>
      <c r="L54" s="26" t="str">
        <f>IF('MITRE ATT&amp;CK Mappings'!D50 &lt;&gt;"",'MITRE ATT&amp;CK Mappings'!D50,"" )</f>
        <v>Ensure that Azure admin accounts are not used for daily operations</v>
      </c>
    </row>
    <row r="55" spans="1:12" x14ac:dyDescent="0.25">
      <c r="A55" s="27" t="str">
        <f>IF(COUNTIF(B55:K55,"="&amp;'MITRE ATT&amp;CK Mappings'!B51)&gt;0,'MITRE ATT&amp;CK Mappings'!B51,"")</f>
        <v/>
      </c>
      <c r="B55" s="27" t="str">
        <f>IF(OR(OR(OR(OR(OR(ISNUMBER(SEARCH(IF(B$1&lt;&gt;"",B$1,"NA"),'MITRE ATT&amp;CK Mappings'!$E51)),ISNUMBER(SEARCH(IF(B$1&lt;&gt;"",B$1,"NA"),'MITRE ATT&amp;CK Mappings'!$F51))),ISNUMBER(SEARCH(IF(B$2&lt;&gt;"",B$2,"NA"),'MITRE ATT&amp;CK Mappings'!$G51))),ISNUMBER(SEARCH(IF(B$2&lt;&gt;"",B$2,"NA"),'MITRE ATT&amp;CK Mappings'!$H51))),ISNUMBER(SEARCH(IF(B$3&lt;&gt;"",B$3,"NA"),'MITRE ATT&amp;CK Mappings'!$I51))),ISNUMBER(SEARCH(IF(B$3&lt;&gt;"",B$3,"NA"),'MITRE ATT&amp;CK Mappings'!$J51))), 'MITRE ATT&amp;CK Mappings'!$B51,"")</f>
        <v/>
      </c>
      <c r="C55" s="27" t="str">
        <f>IF(OR(OR(OR(OR(OR(ISNUMBER(SEARCH(IF(C$1&lt;&gt;"",C$1,"NA"),'MITRE ATT&amp;CK Mappings'!$E51)),ISNUMBER(SEARCH(IF(C$1&lt;&gt;"",C$1,"NA"),'MITRE ATT&amp;CK Mappings'!$F51))),ISNUMBER(SEARCH(IF(C$2&lt;&gt;"",C$2,"NA"),'MITRE ATT&amp;CK Mappings'!$G51))),ISNUMBER(SEARCH(IF(C$2&lt;&gt;"",C$2,"NA"),'MITRE ATT&amp;CK Mappings'!$H51))),ISNUMBER(SEARCH(IF(C$3&lt;&gt;"",C$3,"NA"),'MITRE ATT&amp;CK Mappings'!$I51))),ISNUMBER(SEARCH(IF(C$3&lt;&gt;"",C$3,"NA"),'MITRE ATT&amp;CK Mappings'!$J51))), 'MITRE ATT&amp;CK Mappings'!$B51,"")</f>
        <v/>
      </c>
      <c r="D55" s="27" t="str">
        <f>IF(OR(OR(OR(OR(OR(ISNUMBER(SEARCH(IF(D$1&lt;&gt;"",D$1,"NA"),'MITRE ATT&amp;CK Mappings'!$E51)),ISNUMBER(SEARCH(IF(D$1&lt;&gt;"",D$1,"NA"),'MITRE ATT&amp;CK Mappings'!$F51))),ISNUMBER(SEARCH(IF(D$2&lt;&gt;"",D$2,"NA"),'MITRE ATT&amp;CK Mappings'!$G51))),ISNUMBER(SEARCH(IF(D$2&lt;&gt;"",D$2,"NA"),'MITRE ATT&amp;CK Mappings'!$H51))),ISNUMBER(SEARCH(IF(D$3&lt;&gt;"",D$3,"NA"),'MITRE ATT&amp;CK Mappings'!$I51))),ISNUMBER(SEARCH(IF(D$3&lt;&gt;"",D$3,"NA"),'MITRE ATT&amp;CK Mappings'!$J51))), 'MITRE ATT&amp;CK Mappings'!$B51,"")</f>
        <v/>
      </c>
      <c r="E55" s="27" t="str">
        <f>IF(OR(OR(OR(OR(OR(ISNUMBER(SEARCH(IF(E$1&lt;&gt;"",E$1,"NA"),'MITRE ATT&amp;CK Mappings'!$E51)),ISNUMBER(SEARCH(IF(E$1&lt;&gt;"",E$1,"NA"),'MITRE ATT&amp;CK Mappings'!$F51))),ISNUMBER(SEARCH(IF(E$2&lt;&gt;"",E$2,"NA"),'MITRE ATT&amp;CK Mappings'!$G51))),ISNUMBER(SEARCH(IF(E$2&lt;&gt;"",E$2,"NA"),'MITRE ATT&amp;CK Mappings'!$H51))),ISNUMBER(SEARCH(IF(E$3&lt;&gt;"",E$3,"NA"),'MITRE ATT&amp;CK Mappings'!$I51))),ISNUMBER(SEARCH(IF(E$3&lt;&gt;"",E$3,"NA"),'MITRE ATT&amp;CK Mappings'!$J51))), 'MITRE ATT&amp;CK Mappings'!$B51,"")</f>
        <v/>
      </c>
      <c r="F55" s="27" t="str">
        <f>IF(OR(OR(OR(OR(OR(ISNUMBER(SEARCH(IF(F$1&lt;&gt;"",F$1,"NA"),'MITRE ATT&amp;CK Mappings'!$E51)),ISNUMBER(SEARCH(IF(F$1&lt;&gt;"",F$1,"NA"),'MITRE ATT&amp;CK Mappings'!$F51))),ISNUMBER(SEARCH(IF(F$2&lt;&gt;"",F$2,"NA"),'MITRE ATT&amp;CK Mappings'!$G51))),ISNUMBER(SEARCH(IF(F$2&lt;&gt;"",F$2,"NA"),'MITRE ATT&amp;CK Mappings'!$H51))),ISNUMBER(SEARCH(IF(F$3&lt;&gt;"",F$3,"NA"),'MITRE ATT&amp;CK Mappings'!$I51))),ISNUMBER(SEARCH(IF(F$3&lt;&gt;"",F$3,"NA"),'MITRE ATT&amp;CK Mappings'!$J51))), 'MITRE ATT&amp;CK Mappings'!$B51,"")</f>
        <v/>
      </c>
      <c r="G55" s="27" t="str">
        <f>IF(OR(OR(OR(OR(OR(ISNUMBER(SEARCH(IF(G$1&lt;&gt;"",G$1,"NA"),'MITRE ATT&amp;CK Mappings'!$E51)),ISNUMBER(SEARCH(IF(G$1&lt;&gt;"",G$1,"NA"),'MITRE ATT&amp;CK Mappings'!$F51))),ISNUMBER(SEARCH(IF(G$2&lt;&gt;"",G$2,"NA"),'MITRE ATT&amp;CK Mappings'!$G51))),ISNUMBER(SEARCH(IF(G$2&lt;&gt;"",G$2,"NA"),'MITRE ATT&amp;CK Mappings'!$H51))),ISNUMBER(SEARCH(IF(G$3&lt;&gt;"",G$3,"NA"),'MITRE ATT&amp;CK Mappings'!$I51))),ISNUMBER(SEARCH(IF(G$3&lt;&gt;"",G$3,"NA"),'MITRE ATT&amp;CK Mappings'!$J51))), 'MITRE ATT&amp;CK Mappings'!$B51,"")</f>
        <v/>
      </c>
      <c r="H55" s="27" t="str">
        <f>IF(OR(OR(OR(OR(OR(ISNUMBER(SEARCH(IF(H$1&lt;&gt;"",H$1,"NA"),'MITRE ATT&amp;CK Mappings'!$E51)),ISNUMBER(SEARCH(IF(H$1&lt;&gt;"",H$1,"NA"),'MITRE ATT&amp;CK Mappings'!$F51))),ISNUMBER(SEARCH(IF(H$2&lt;&gt;"",H$2,"NA"),'MITRE ATT&amp;CK Mappings'!$G51))),ISNUMBER(SEARCH(IF(H$2&lt;&gt;"",H$2,"NA"),'MITRE ATT&amp;CK Mappings'!$H51))),ISNUMBER(SEARCH(IF(H$3&lt;&gt;"",H$3,"NA"),'MITRE ATT&amp;CK Mappings'!$I51))),ISNUMBER(SEARCH(IF(H$3&lt;&gt;"",H$3,"NA"),'MITRE ATT&amp;CK Mappings'!$J51))), 'MITRE ATT&amp;CK Mappings'!$B51,"")</f>
        <v/>
      </c>
      <c r="I55" s="27" t="str">
        <f>IF(OR(OR(OR(OR(OR(ISNUMBER(SEARCH(IF(I$1&lt;&gt;"",I$1,"NA"),'MITRE ATT&amp;CK Mappings'!$E51)),ISNUMBER(SEARCH(IF(I$1&lt;&gt;"",I$1,"NA"),'MITRE ATT&amp;CK Mappings'!$F51))),ISNUMBER(SEARCH(IF(I$2&lt;&gt;"",I$2,"NA"),'MITRE ATT&amp;CK Mappings'!$G51))),ISNUMBER(SEARCH(IF(I$2&lt;&gt;"",I$2,"NA"),'MITRE ATT&amp;CK Mappings'!$H51))),ISNUMBER(SEARCH(IF(I$3&lt;&gt;"",I$3,"NA"),'MITRE ATT&amp;CK Mappings'!$I51))),ISNUMBER(SEARCH(IF(I$3&lt;&gt;"",I$3,"NA"),'MITRE ATT&amp;CK Mappings'!$J51))), 'MITRE ATT&amp;CK Mappings'!$B51,"")</f>
        <v/>
      </c>
      <c r="J55" s="27" t="str">
        <f>IF(OR(OR(OR(OR(OR(ISNUMBER(SEARCH(IF(J$1&lt;&gt;"",J$1,"NA"),'MITRE ATT&amp;CK Mappings'!$E51)),ISNUMBER(SEARCH(IF(J$1&lt;&gt;"",J$1,"NA"),'MITRE ATT&amp;CK Mappings'!$F51))),ISNUMBER(SEARCH(IF(J$2&lt;&gt;"",J$2,"NA"),'MITRE ATT&amp;CK Mappings'!$G51))),ISNUMBER(SEARCH(IF(J$2&lt;&gt;"",J$2,"NA"),'MITRE ATT&amp;CK Mappings'!$H51))),ISNUMBER(SEARCH(IF(J$3&lt;&gt;"",J$3,"NA"),'MITRE ATT&amp;CK Mappings'!$I51))),ISNUMBER(SEARCH(IF(J$3&lt;&gt;"",J$3,"NA"),'MITRE ATT&amp;CK Mappings'!$J51))), 'MITRE ATT&amp;CK Mappings'!$B51,"")</f>
        <v/>
      </c>
      <c r="K55" s="27" t="str">
        <f>IF(OR(OR(OR(OR(OR(ISNUMBER(SEARCH(IF(K$1&lt;&gt;"",K$1,"NA"),'MITRE ATT&amp;CK Mappings'!$E51)),ISNUMBER(SEARCH(IF(K$1&lt;&gt;"",K$1,"NA"),'MITRE ATT&amp;CK Mappings'!$F51))),ISNUMBER(SEARCH(IF(K$2&lt;&gt;"",K$2,"NA"),'MITRE ATT&amp;CK Mappings'!$G51))),ISNUMBER(SEARCH(IF(K$2&lt;&gt;"",K$2,"NA"),'MITRE ATT&amp;CK Mappings'!$H51))),ISNUMBER(SEARCH(IF(K$3&lt;&gt;"",K$3,"NA"),'MITRE ATT&amp;CK Mappings'!$I51))),ISNUMBER(SEARCH(IF(K$3&lt;&gt;"",K$3,"NA"),'MITRE ATT&amp;CK Mappings'!$J51))), 'MITRE ATT&amp;CK Mappings'!$B51,"")</f>
        <v/>
      </c>
      <c r="L55" s="27" t="str">
        <f>IF('MITRE ATT&amp;CK Mappings'!D51 &lt;&gt;"",'MITRE ATT&amp;CK Mappings'!D51,"" )</f>
        <v>Ensure that guest users are reviewed on a regular basis</v>
      </c>
    </row>
    <row r="56" spans="1:12" x14ac:dyDescent="0.25">
      <c r="A56" s="26" t="str">
        <f>IF(COUNTIF(B56:K56,"="&amp;'MITRE ATT&amp;CK Mappings'!B52)&gt;0,'MITRE ATT&amp;CK Mappings'!B52,"")</f>
        <v/>
      </c>
      <c r="B56" s="26" t="str">
        <f>IF(OR(OR(OR(OR(OR(ISNUMBER(SEARCH(IF(B$1&lt;&gt;"",B$1,"NA"),'MITRE ATT&amp;CK Mappings'!$E52)),ISNUMBER(SEARCH(IF(B$1&lt;&gt;"",B$1,"NA"),'MITRE ATT&amp;CK Mappings'!$F52))),ISNUMBER(SEARCH(IF(B$2&lt;&gt;"",B$2,"NA"),'MITRE ATT&amp;CK Mappings'!$G52))),ISNUMBER(SEARCH(IF(B$2&lt;&gt;"",B$2,"NA"),'MITRE ATT&amp;CK Mappings'!$H52))),ISNUMBER(SEARCH(IF(B$3&lt;&gt;"",B$3,"NA"),'MITRE ATT&amp;CK Mappings'!$I52))),ISNUMBER(SEARCH(IF(B$3&lt;&gt;"",B$3,"NA"),'MITRE ATT&amp;CK Mappings'!$J52))), 'MITRE ATT&amp;CK Mappings'!$B52,"")</f>
        <v/>
      </c>
      <c r="C56" s="26" t="str">
        <f>IF(OR(OR(OR(OR(OR(ISNUMBER(SEARCH(IF(C$1&lt;&gt;"",C$1,"NA"),'MITRE ATT&amp;CK Mappings'!$E52)),ISNUMBER(SEARCH(IF(C$1&lt;&gt;"",C$1,"NA"),'MITRE ATT&amp;CK Mappings'!$F52))),ISNUMBER(SEARCH(IF(C$2&lt;&gt;"",C$2,"NA"),'MITRE ATT&amp;CK Mappings'!$G52))),ISNUMBER(SEARCH(IF(C$2&lt;&gt;"",C$2,"NA"),'MITRE ATT&amp;CK Mappings'!$H52))),ISNUMBER(SEARCH(IF(C$3&lt;&gt;"",C$3,"NA"),'MITRE ATT&amp;CK Mappings'!$I52))),ISNUMBER(SEARCH(IF(C$3&lt;&gt;"",C$3,"NA"),'MITRE ATT&amp;CK Mappings'!$J52))), 'MITRE ATT&amp;CK Mappings'!$B52,"")</f>
        <v/>
      </c>
      <c r="D56" s="26" t="str">
        <f>IF(OR(OR(OR(OR(OR(ISNUMBER(SEARCH(IF(D$1&lt;&gt;"",D$1,"NA"),'MITRE ATT&amp;CK Mappings'!$E52)),ISNUMBER(SEARCH(IF(D$1&lt;&gt;"",D$1,"NA"),'MITRE ATT&amp;CK Mappings'!$F52))),ISNUMBER(SEARCH(IF(D$2&lt;&gt;"",D$2,"NA"),'MITRE ATT&amp;CK Mappings'!$G52))),ISNUMBER(SEARCH(IF(D$2&lt;&gt;"",D$2,"NA"),'MITRE ATT&amp;CK Mappings'!$H52))),ISNUMBER(SEARCH(IF(D$3&lt;&gt;"",D$3,"NA"),'MITRE ATT&amp;CK Mappings'!$I52))),ISNUMBER(SEARCH(IF(D$3&lt;&gt;"",D$3,"NA"),'MITRE ATT&amp;CK Mappings'!$J52))), 'MITRE ATT&amp;CK Mappings'!$B52,"")</f>
        <v/>
      </c>
      <c r="E56" s="26" t="str">
        <f>IF(OR(OR(OR(OR(OR(ISNUMBER(SEARCH(IF(E$1&lt;&gt;"",E$1,"NA"),'MITRE ATT&amp;CK Mappings'!$E52)),ISNUMBER(SEARCH(IF(E$1&lt;&gt;"",E$1,"NA"),'MITRE ATT&amp;CK Mappings'!$F52))),ISNUMBER(SEARCH(IF(E$2&lt;&gt;"",E$2,"NA"),'MITRE ATT&amp;CK Mappings'!$G52))),ISNUMBER(SEARCH(IF(E$2&lt;&gt;"",E$2,"NA"),'MITRE ATT&amp;CK Mappings'!$H52))),ISNUMBER(SEARCH(IF(E$3&lt;&gt;"",E$3,"NA"),'MITRE ATT&amp;CK Mappings'!$I52))),ISNUMBER(SEARCH(IF(E$3&lt;&gt;"",E$3,"NA"),'MITRE ATT&amp;CK Mappings'!$J52))), 'MITRE ATT&amp;CK Mappings'!$B52,"")</f>
        <v/>
      </c>
      <c r="F56" s="26" t="str">
        <f>IF(OR(OR(OR(OR(OR(ISNUMBER(SEARCH(IF(F$1&lt;&gt;"",F$1,"NA"),'MITRE ATT&amp;CK Mappings'!$E52)),ISNUMBER(SEARCH(IF(F$1&lt;&gt;"",F$1,"NA"),'MITRE ATT&amp;CK Mappings'!$F52))),ISNUMBER(SEARCH(IF(F$2&lt;&gt;"",F$2,"NA"),'MITRE ATT&amp;CK Mappings'!$G52))),ISNUMBER(SEARCH(IF(F$2&lt;&gt;"",F$2,"NA"),'MITRE ATT&amp;CK Mappings'!$H52))),ISNUMBER(SEARCH(IF(F$3&lt;&gt;"",F$3,"NA"),'MITRE ATT&amp;CK Mappings'!$I52))),ISNUMBER(SEARCH(IF(F$3&lt;&gt;"",F$3,"NA"),'MITRE ATT&amp;CK Mappings'!$J52))), 'MITRE ATT&amp;CK Mappings'!$B52,"")</f>
        <v/>
      </c>
      <c r="G56" s="26" t="str">
        <f>IF(OR(OR(OR(OR(OR(ISNUMBER(SEARCH(IF(G$1&lt;&gt;"",G$1,"NA"),'MITRE ATT&amp;CK Mappings'!$E52)),ISNUMBER(SEARCH(IF(G$1&lt;&gt;"",G$1,"NA"),'MITRE ATT&amp;CK Mappings'!$F52))),ISNUMBER(SEARCH(IF(G$2&lt;&gt;"",G$2,"NA"),'MITRE ATT&amp;CK Mappings'!$G52))),ISNUMBER(SEARCH(IF(G$2&lt;&gt;"",G$2,"NA"),'MITRE ATT&amp;CK Mappings'!$H52))),ISNUMBER(SEARCH(IF(G$3&lt;&gt;"",G$3,"NA"),'MITRE ATT&amp;CK Mappings'!$I52))),ISNUMBER(SEARCH(IF(G$3&lt;&gt;"",G$3,"NA"),'MITRE ATT&amp;CK Mappings'!$J52))), 'MITRE ATT&amp;CK Mappings'!$B52,"")</f>
        <v/>
      </c>
      <c r="H56" s="26" t="str">
        <f>IF(OR(OR(OR(OR(OR(ISNUMBER(SEARCH(IF(H$1&lt;&gt;"",H$1,"NA"),'MITRE ATT&amp;CK Mappings'!$E52)),ISNUMBER(SEARCH(IF(H$1&lt;&gt;"",H$1,"NA"),'MITRE ATT&amp;CK Mappings'!$F52))),ISNUMBER(SEARCH(IF(H$2&lt;&gt;"",H$2,"NA"),'MITRE ATT&amp;CK Mappings'!$G52))),ISNUMBER(SEARCH(IF(H$2&lt;&gt;"",H$2,"NA"),'MITRE ATT&amp;CK Mappings'!$H52))),ISNUMBER(SEARCH(IF(H$3&lt;&gt;"",H$3,"NA"),'MITRE ATT&amp;CK Mappings'!$I52))),ISNUMBER(SEARCH(IF(H$3&lt;&gt;"",H$3,"NA"),'MITRE ATT&amp;CK Mappings'!$J52))), 'MITRE ATT&amp;CK Mappings'!$B52,"")</f>
        <v/>
      </c>
      <c r="I56" s="26" t="str">
        <f>IF(OR(OR(OR(OR(OR(ISNUMBER(SEARCH(IF(I$1&lt;&gt;"",I$1,"NA"),'MITRE ATT&amp;CK Mappings'!$E52)),ISNUMBER(SEARCH(IF(I$1&lt;&gt;"",I$1,"NA"),'MITRE ATT&amp;CK Mappings'!$F52))),ISNUMBER(SEARCH(IF(I$2&lt;&gt;"",I$2,"NA"),'MITRE ATT&amp;CK Mappings'!$G52))),ISNUMBER(SEARCH(IF(I$2&lt;&gt;"",I$2,"NA"),'MITRE ATT&amp;CK Mappings'!$H52))),ISNUMBER(SEARCH(IF(I$3&lt;&gt;"",I$3,"NA"),'MITRE ATT&amp;CK Mappings'!$I52))),ISNUMBER(SEARCH(IF(I$3&lt;&gt;"",I$3,"NA"),'MITRE ATT&amp;CK Mappings'!$J52))), 'MITRE ATT&amp;CK Mappings'!$B52,"")</f>
        <v/>
      </c>
      <c r="J56" s="26" t="str">
        <f>IF(OR(OR(OR(OR(OR(ISNUMBER(SEARCH(IF(J$1&lt;&gt;"",J$1,"NA"),'MITRE ATT&amp;CK Mappings'!$E52)),ISNUMBER(SEARCH(IF(J$1&lt;&gt;"",J$1,"NA"),'MITRE ATT&amp;CK Mappings'!$F52))),ISNUMBER(SEARCH(IF(J$2&lt;&gt;"",J$2,"NA"),'MITRE ATT&amp;CK Mappings'!$G52))),ISNUMBER(SEARCH(IF(J$2&lt;&gt;"",J$2,"NA"),'MITRE ATT&amp;CK Mappings'!$H52))),ISNUMBER(SEARCH(IF(J$3&lt;&gt;"",J$3,"NA"),'MITRE ATT&amp;CK Mappings'!$I52))),ISNUMBER(SEARCH(IF(J$3&lt;&gt;"",J$3,"NA"),'MITRE ATT&amp;CK Mappings'!$J52))), 'MITRE ATT&amp;CK Mappings'!$B52,"")</f>
        <v/>
      </c>
      <c r="K56" s="26" t="str">
        <f>IF(OR(OR(OR(OR(OR(ISNUMBER(SEARCH(IF(K$1&lt;&gt;"",K$1,"NA"),'MITRE ATT&amp;CK Mappings'!$E52)),ISNUMBER(SEARCH(IF(K$1&lt;&gt;"",K$1,"NA"),'MITRE ATT&amp;CK Mappings'!$F52))),ISNUMBER(SEARCH(IF(K$2&lt;&gt;"",K$2,"NA"),'MITRE ATT&amp;CK Mappings'!$G52))),ISNUMBER(SEARCH(IF(K$2&lt;&gt;"",K$2,"NA"),'MITRE ATT&amp;CK Mappings'!$H52))),ISNUMBER(SEARCH(IF(K$3&lt;&gt;"",K$3,"NA"),'MITRE ATT&amp;CK Mappings'!$I52))),ISNUMBER(SEARCH(IF(K$3&lt;&gt;"",K$3,"NA"),'MITRE ATT&amp;CK Mappings'!$J52))), 'MITRE ATT&amp;CK Mappings'!$B52,"")</f>
        <v/>
      </c>
      <c r="L56" s="26" t="str">
        <f>IF('MITRE ATT&amp;CK Mappings'!D52 &lt;&gt;"",'MITRE ATT&amp;CK Mappings'!D52,"" )</f>
        <v>Ensure that use of the 'User Access Administrator' role is restricted</v>
      </c>
    </row>
    <row r="57" spans="1:12" x14ac:dyDescent="0.25">
      <c r="A57" s="27" t="str">
        <f>IF(COUNTIF(B57:K57,"="&amp;'MITRE ATT&amp;CK Mappings'!B53)&gt;0,'MITRE ATT&amp;CK Mappings'!B53,"")</f>
        <v/>
      </c>
      <c r="B57" s="27" t="str">
        <f>IF(OR(OR(OR(OR(OR(ISNUMBER(SEARCH(IF(B$1&lt;&gt;"",B$1,"NA"),'MITRE ATT&amp;CK Mappings'!$E53)),ISNUMBER(SEARCH(IF(B$1&lt;&gt;"",B$1,"NA"),'MITRE ATT&amp;CK Mappings'!$F53))),ISNUMBER(SEARCH(IF(B$2&lt;&gt;"",B$2,"NA"),'MITRE ATT&amp;CK Mappings'!$G53))),ISNUMBER(SEARCH(IF(B$2&lt;&gt;"",B$2,"NA"),'MITRE ATT&amp;CK Mappings'!$H53))),ISNUMBER(SEARCH(IF(B$3&lt;&gt;"",B$3,"NA"),'MITRE ATT&amp;CK Mappings'!$I53))),ISNUMBER(SEARCH(IF(B$3&lt;&gt;"",B$3,"NA"),'MITRE ATT&amp;CK Mappings'!$J53))), 'MITRE ATT&amp;CK Mappings'!$B53,"")</f>
        <v/>
      </c>
      <c r="C57" s="27" t="str">
        <f>IF(OR(OR(OR(OR(OR(ISNUMBER(SEARCH(IF(C$1&lt;&gt;"",C$1,"NA"),'MITRE ATT&amp;CK Mappings'!$E53)),ISNUMBER(SEARCH(IF(C$1&lt;&gt;"",C$1,"NA"),'MITRE ATT&amp;CK Mappings'!$F53))),ISNUMBER(SEARCH(IF(C$2&lt;&gt;"",C$2,"NA"),'MITRE ATT&amp;CK Mappings'!$G53))),ISNUMBER(SEARCH(IF(C$2&lt;&gt;"",C$2,"NA"),'MITRE ATT&amp;CK Mappings'!$H53))),ISNUMBER(SEARCH(IF(C$3&lt;&gt;"",C$3,"NA"),'MITRE ATT&amp;CK Mappings'!$I53))),ISNUMBER(SEARCH(IF(C$3&lt;&gt;"",C$3,"NA"),'MITRE ATT&amp;CK Mappings'!$J53))), 'MITRE ATT&amp;CK Mappings'!$B53,"")</f>
        <v/>
      </c>
      <c r="D57" s="27" t="str">
        <f>IF(OR(OR(OR(OR(OR(ISNUMBER(SEARCH(IF(D$1&lt;&gt;"",D$1,"NA"),'MITRE ATT&amp;CK Mappings'!$E53)),ISNUMBER(SEARCH(IF(D$1&lt;&gt;"",D$1,"NA"),'MITRE ATT&amp;CK Mappings'!$F53))),ISNUMBER(SEARCH(IF(D$2&lt;&gt;"",D$2,"NA"),'MITRE ATT&amp;CK Mappings'!$G53))),ISNUMBER(SEARCH(IF(D$2&lt;&gt;"",D$2,"NA"),'MITRE ATT&amp;CK Mappings'!$H53))),ISNUMBER(SEARCH(IF(D$3&lt;&gt;"",D$3,"NA"),'MITRE ATT&amp;CK Mappings'!$I53))),ISNUMBER(SEARCH(IF(D$3&lt;&gt;"",D$3,"NA"),'MITRE ATT&amp;CK Mappings'!$J53))), 'MITRE ATT&amp;CK Mappings'!$B53,"")</f>
        <v/>
      </c>
      <c r="E57" s="27" t="str">
        <f>IF(OR(OR(OR(OR(OR(ISNUMBER(SEARCH(IF(E$1&lt;&gt;"",E$1,"NA"),'MITRE ATT&amp;CK Mappings'!$E53)),ISNUMBER(SEARCH(IF(E$1&lt;&gt;"",E$1,"NA"),'MITRE ATT&amp;CK Mappings'!$F53))),ISNUMBER(SEARCH(IF(E$2&lt;&gt;"",E$2,"NA"),'MITRE ATT&amp;CK Mappings'!$G53))),ISNUMBER(SEARCH(IF(E$2&lt;&gt;"",E$2,"NA"),'MITRE ATT&amp;CK Mappings'!$H53))),ISNUMBER(SEARCH(IF(E$3&lt;&gt;"",E$3,"NA"),'MITRE ATT&amp;CK Mappings'!$I53))),ISNUMBER(SEARCH(IF(E$3&lt;&gt;"",E$3,"NA"),'MITRE ATT&amp;CK Mappings'!$J53))), 'MITRE ATT&amp;CK Mappings'!$B53,"")</f>
        <v/>
      </c>
      <c r="F57" s="27" t="str">
        <f>IF(OR(OR(OR(OR(OR(ISNUMBER(SEARCH(IF(F$1&lt;&gt;"",F$1,"NA"),'MITRE ATT&amp;CK Mappings'!$E53)),ISNUMBER(SEARCH(IF(F$1&lt;&gt;"",F$1,"NA"),'MITRE ATT&amp;CK Mappings'!$F53))),ISNUMBER(SEARCH(IF(F$2&lt;&gt;"",F$2,"NA"),'MITRE ATT&amp;CK Mappings'!$G53))),ISNUMBER(SEARCH(IF(F$2&lt;&gt;"",F$2,"NA"),'MITRE ATT&amp;CK Mappings'!$H53))),ISNUMBER(SEARCH(IF(F$3&lt;&gt;"",F$3,"NA"),'MITRE ATT&amp;CK Mappings'!$I53))),ISNUMBER(SEARCH(IF(F$3&lt;&gt;"",F$3,"NA"),'MITRE ATT&amp;CK Mappings'!$J53))), 'MITRE ATT&amp;CK Mappings'!$B53,"")</f>
        <v/>
      </c>
      <c r="G57" s="27" t="str">
        <f>IF(OR(OR(OR(OR(OR(ISNUMBER(SEARCH(IF(G$1&lt;&gt;"",G$1,"NA"),'MITRE ATT&amp;CK Mappings'!$E53)),ISNUMBER(SEARCH(IF(G$1&lt;&gt;"",G$1,"NA"),'MITRE ATT&amp;CK Mappings'!$F53))),ISNUMBER(SEARCH(IF(G$2&lt;&gt;"",G$2,"NA"),'MITRE ATT&amp;CK Mappings'!$G53))),ISNUMBER(SEARCH(IF(G$2&lt;&gt;"",G$2,"NA"),'MITRE ATT&amp;CK Mappings'!$H53))),ISNUMBER(SEARCH(IF(G$3&lt;&gt;"",G$3,"NA"),'MITRE ATT&amp;CK Mappings'!$I53))),ISNUMBER(SEARCH(IF(G$3&lt;&gt;"",G$3,"NA"),'MITRE ATT&amp;CK Mappings'!$J53))), 'MITRE ATT&amp;CK Mappings'!$B53,"")</f>
        <v/>
      </c>
      <c r="H57" s="27" t="str">
        <f>IF(OR(OR(OR(OR(OR(ISNUMBER(SEARCH(IF(H$1&lt;&gt;"",H$1,"NA"),'MITRE ATT&amp;CK Mappings'!$E53)),ISNUMBER(SEARCH(IF(H$1&lt;&gt;"",H$1,"NA"),'MITRE ATT&amp;CK Mappings'!$F53))),ISNUMBER(SEARCH(IF(H$2&lt;&gt;"",H$2,"NA"),'MITRE ATT&amp;CK Mappings'!$G53))),ISNUMBER(SEARCH(IF(H$2&lt;&gt;"",H$2,"NA"),'MITRE ATT&amp;CK Mappings'!$H53))),ISNUMBER(SEARCH(IF(H$3&lt;&gt;"",H$3,"NA"),'MITRE ATT&amp;CK Mappings'!$I53))),ISNUMBER(SEARCH(IF(H$3&lt;&gt;"",H$3,"NA"),'MITRE ATT&amp;CK Mappings'!$J53))), 'MITRE ATT&amp;CK Mappings'!$B53,"")</f>
        <v/>
      </c>
      <c r="I57" s="27" t="str">
        <f>IF(OR(OR(OR(OR(OR(ISNUMBER(SEARCH(IF(I$1&lt;&gt;"",I$1,"NA"),'MITRE ATT&amp;CK Mappings'!$E53)),ISNUMBER(SEARCH(IF(I$1&lt;&gt;"",I$1,"NA"),'MITRE ATT&amp;CK Mappings'!$F53))),ISNUMBER(SEARCH(IF(I$2&lt;&gt;"",I$2,"NA"),'MITRE ATT&amp;CK Mappings'!$G53))),ISNUMBER(SEARCH(IF(I$2&lt;&gt;"",I$2,"NA"),'MITRE ATT&amp;CK Mappings'!$H53))),ISNUMBER(SEARCH(IF(I$3&lt;&gt;"",I$3,"NA"),'MITRE ATT&amp;CK Mappings'!$I53))),ISNUMBER(SEARCH(IF(I$3&lt;&gt;"",I$3,"NA"),'MITRE ATT&amp;CK Mappings'!$J53))), 'MITRE ATT&amp;CK Mappings'!$B53,"")</f>
        <v/>
      </c>
      <c r="J57" s="27" t="str">
        <f>IF(OR(OR(OR(OR(OR(ISNUMBER(SEARCH(IF(J$1&lt;&gt;"",J$1,"NA"),'MITRE ATT&amp;CK Mappings'!$E53)),ISNUMBER(SEARCH(IF(J$1&lt;&gt;"",J$1,"NA"),'MITRE ATT&amp;CK Mappings'!$F53))),ISNUMBER(SEARCH(IF(J$2&lt;&gt;"",J$2,"NA"),'MITRE ATT&amp;CK Mappings'!$G53))),ISNUMBER(SEARCH(IF(J$2&lt;&gt;"",J$2,"NA"),'MITRE ATT&amp;CK Mappings'!$H53))),ISNUMBER(SEARCH(IF(J$3&lt;&gt;"",J$3,"NA"),'MITRE ATT&amp;CK Mappings'!$I53))),ISNUMBER(SEARCH(IF(J$3&lt;&gt;"",J$3,"NA"),'MITRE ATT&amp;CK Mappings'!$J53))), 'MITRE ATT&amp;CK Mappings'!$B53,"")</f>
        <v/>
      </c>
      <c r="K57" s="27" t="str">
        <f>IF(OR(OR(OR(OR(OR(ISNUMBER(SEARCH(IF(K$1&lt;&gt;"",K$1,"NA"),'MITRE ATT&amp;CK Mappings'!$E53)),ISNUMBER(SEARCH(IF(K$1&lt;&gt;"",K$1,"NA"),'MITRE ATT&amp;CK Mappings'!$F53))),ISNUMBER(SEARCH(IF(K$2&lt;&gt;"",K$2,"NA"),'MITRE ATT&amp;CK Mappings'!$G53))),ISNUMBER(SEARCH(IF(K$2&lt;&gt;"",K$2,"NA"),'MITRE ATT&amp;CK Mappings'!$H53))),ISNUMBER(SEARCH(IF(K$3&lt;&gt;"",K$3,"NA"),'MITRE ATT&amp;CK Mappings'!$I53))),ISNUMBER(SEARCH(IF(K$3&lt;&gt;"",K$3,"NA"),'MITRE ATT&amp;CK Mappings'!$J53))), 'MITRE ATT&amp;CK Mappings'!$B53,"")</f>
        <v/>
      </c>
      <c r="L57" s="27" t="str">
        <f>IF('MITRE ATT&amp;CK Mappings'!D53 &lt;&gt;"",'MITRE ATT&amp;CK Mappings'!D53,"" )</f>
        <v>Ensure that all 'privileged' role assignments are periodically reviewed</v>
      </c>
    </row>
    <row r="58" spans="1:12" x14ac:dyDescent="0.25">
      <c r="A58" s="26" t="str">
        <f>IF(COUNTIF(B58:K58,"="&amp;'MITRE ATT&amp;CK Mappings'!B54)&gt;0,'MITRE ATT&amp;CK Mappings'!B54,"")</f>
        <v/>
      </c>
      <c r="B58" s="26" t="str">
        <f>IF(OR(OR(OR(OR(OR(ISNUMBER(SEARCH(IF(B$1&lt;&gt;"",B$1,"NA"),'MITRE ATT&amp;CK Mappings'!$E54)),ISNUMBER(SEARCH(IF(B$1&lt;&gt;"",B$1,"NA"),'MITRE ATT&amp;CK Mappings'!$F54))),ISNUMBER(SEARCH(IF(B$2&lt;&gt;"",B$2,"NA"),'MITRE ATT&amp;CK Mappings'!$G54))),ISNUMBER(SEARCH(IF(B$2&lt;&gt;"",B$2,"NA"),'MITRE ATT&amp;CK Mappings'!$H54))),ISNUMBER(SEARCH(IF(B$3&lt;&gt;"",B$3,"NA"),'MITRE ATT&amp;CK Mappings'!$I54))),ISNUMBER(SEARCH(IF(B$3&lt;&gt;"",B$3,"NA"),'MITRE ATT&amp;CK Mappings'!$J54))), 'MITRE ATT&amp;CK Mappings'!$B54,"")</f>
        <v/>
      </c>
      <c r="C58" s="26" t="str">
        <f>IF(OR(OR(OR(OR(OR(ISNUMBER(SEARCH(IF(C$1&lt;&gt;"",C$1,"NA"),'MITRE ATT&amp;CK Mappings'!$E54)),ISNUMBER(SEARCH(IF(C$1&lt;&gt;"",C$1,"NA"),'MITRE ATT&amp;CK Mappings'!$F54))),ISNUMBER(SEARCH(IF(C$2&lt;&gt;"",C$2,"NA"),'MITRE ATT&amp;CK Mappings'!$G54))),ISNUMBER(SEARCH(IF(C$2&lt;&gt;"",C$2,"NA"),'MITRE ATT&amp;CK Mappings'!$H54))),ISNUMBER(SEARCH(IF(C$3&lt;&gt;"",C$3,"NA"),'MITRE ATT&amp;CK Mappings'!$I54))),ISNUMBER(SEARCH(IF(C$3&lt;&gt;"",C$3,"NA"),'MITRE ATT&amp;CK Mappings'!$J54))), 'MITRE ATT&amp;CK Mappings'!$B54,"")</f>
        <v/>
      </c>
      <c r="D58" s="26" t="str">
        <f>IF(OR(OR(OR(OR(OR(ISNUMBER(SEARCH(IF(D$1&lt;&gt;"",D$1,"NA"),'MITRE ATT&amp;CK Mappings'!$E54)),ISNUMBER(SEARCH(IF(D$1&lt;&gt;"",D$1,"NA"),'MITRE ATT&amp;CK Mappings'!$F54))),ISNUMBER(SEARCH(IF(D$2&lt;&gt;"",D$2,"NA"),'MITRE ATT&amp;CK Mappings'!$G54))),ISNUMBER(SEARCH(IF(D$2&lt;&gt;"",D$2,"NA"),'MITRE ATT&amp;CK Mappings'!$H54))),ISNUMBER(SEARCH(IF(D$3&lt;&gt;"",D$3,"NA"),'MITRE ATT&amp;CK Mappings'!$I54))),ISNUMBER(SEARCH(IF(D$3&lt;&gt;"",D$3,"NA"),'MITRE ATT&amp;CK Mappings'!$J54))), 'MITRE ATT&amp;CK Mappings'!$B54,"")</f>
        <v/>
      </c>
      <c r="E58" s="26" t="str">
        <f>IF(OR(OR(OR(OR(OR(ISNUMBER(SEARCH(IF(E$1&lt;&gt;"",E$1,"NA"),'MITRE ATT&amp;CK Mappings'!$E54)),ISNUMBER(SEARCH(IF(E$1&lt;&gt;"",E$1,"NA"),'MITRE ATT&amp;CK Mappings'!$F54))),ISNUMBER(SEARCH(IF(E$2&lt;&gt;"",E$2,"NA"),'MITRE ATT&amp;CK Mappings'!$G54))),ISNUMBER(SEARCH(IF(E$2&lt;&gt;"",E$2,"NA"),'MITRE ATT&amp;CK Mappings'!$H54))),ISNUMBER(SEARCH(IF(E$3&lt;&gt;"",E$3,"NA"),'MITRE ATT&amp;CK Mappings'!$I54))),ISNUMBER(SEARCH(IF(E$3&lt;&gt;"",E$3,"NA"),'MITRE ATT&amp;CK Mappings'!$J54))), 'MITRE ATT&amp;CK Mappings'!$B54,"")</f>
        <v/>
      </c>
      <c r="F58" s="26" t="str">
        <f>IF(OR(OR(OR(OR(OR(ISNUMBER(SEARCH(IF(F$1&lt;&gt;"",F$1,"NA"),'MITRE ATT&amp;CK Mappings'!$E54)),ISNUMBER(SEARCH(IF(F$1&lt;&gt;"",F$1,"NA"),'MITRE ATT&amp;CK Mappings'!$F54))),ISNUMBER(SEARCH(IF(F$2&lt;&gt;"",F$2,"NA"),'MITRE ATT&amp;CK Mappings'!$G54))),ISNUMBER(SEARCH(IF(F$2&lt;&gt;"",F$2,"NA"),'MITRE ATT&amp;CK Mappings'!$H54))),ISNUMBER(SEARCH(IF(F$3&lt;&gt;"",F$3,"NA"),'MITRE ATT&amp;CK Mappings'!$I54))),ISNUMBER(SEARCH(IF(F$3&lt;&gt;"",F$3,"NA"),'MITRE ATT&amp;CK Mappings'!$J54))), 'MITRE ATT&amp;CK Mappings'!$B54,"")</f>
        <v/>
      </c>
      <c r="G58" s="26" t="str">
        <f>IF(OR(OR(OR(OR(OR(ISNUMBER(SEARCH(IF(G$1&lt;&gt;"",G$1,"NA"),'MITRE ATT&amp;CK Mappings'!$E54)),ISNUMBER(SEARCH(IF(G$1&lt;&gt;"",G$1,"NA"),'MITRE ATT&amp;CK Mappings'!$F54))),ISNUMBER(SEARCH(IF(G$2&lt;&gt;"",G$2,"NA"),'MITRE ATT&amp;CK Mappings'!$G54))),ISNUMBER(SEARCH(IF(G$2&lt;&gt;"",G$2,"NA"),'MITRE ATT&amp;CK Mappings'!$H54))),ISNUMBER(SEARCH(IF(G$3&lt;&gt;"",G$3,"NA"),'MITRE ATT&amp;CK Mappings'!$I54))),ISNUMBER(SEARCH(IF(G$3&lt;&gt;"",G$3,"NA"),'MITRE ATT&amp;CK Mappings'!$J54))), 'MITRE ATT&amp;CK Mappings'!$B54,"")</f>
        <v/>
      </c>
      <c r="H58" s="26" t="str">
        <f>IF(OR(OR(OR(OR(OR(ISNUMBER(SEARCH(IF(H$1&lt;&gt;"",H$1,"NA"),'MITRE ATT&amp;CK Mappings'!$E54)),ISNUMBER(SEARCH(IF(H$1&lt;&gt;"",H$1,"NA"),'MITRE ATT&amp;CK Mappings'!$F54))),ISNUMBER(SEARCH(IF(H$2&lt;&gt;"",H$2,"NA"),'MITRE ATT&amp;CK Mappings'!$G54))),ISNUMBER(SEARCH(IF(H$2&lt;&gt;"",H$2,"NA"),'MITRE ATT&amp;CK Mappings'!$H54))),ISNUMBER(SEARCH(IF(H$3&lt;&gt;"",H$3,"NA"),'MITRE ATT&amp;CK Mappings'!$I54))),ISNUMBER(SEARCH(IF(H$3&lt;&gt;"",H$3,"NA"),'MITRE ATT&amp;CK Mappings'!$J54))), 'MITRE ATT&amp;CK Mappings'!$B54,"")</f>
        <v/>
      </c>
      <c r="I58" s="26" t="str">
        <f>IF(OR(OR(OR(OR(OR(ISNUMBER(SEARCH(IF(I$1&lt;&gt;"",I$1,"NA"),'MITRE ATT&amp;CK Mappings'!$E54)),ISNUMBER(SEARCH(IF(I$1&lt;&gt;"",I$1,"NA"),'MITRE ATT&amp;CK Mappings'!$F54))),ISNUMBER(SEARCH(IF(I$2&lt;&gt;"",I$2,"NA"),'MITRE ATT&amp;CK Mappings'!$G54))),ISNUMBER(SEARCH(IF(I$2&lt;&gt;"",I$2,"NA"),'MITRE ATT&amp;CK Mappings'!$H54))),ISNUMBER(SEARCH(IF(I$3&lt;&gt;"",I$3,"NA"),'MITRE ATT&amp;CK Mappings'!$I54))),ISNUMBER(SEARCH(IF(I$3&lt;&gt;"",I$3,"NA"),'MITRE ATT&amp;CK Mappings'!$J54))), 'MITRE ATT&amp;CK Mappings'!$B54,"")</f>
        <v/>
      </c>
      <c r="J58" s="26" t="str">
        <f>IF(OR(OR(OR(OR(OR(ISNUMBER(SEARCH(IF(J$1&lt;&gt;"",J$1,"NA"),'MITRE ATT&amp;CK Mappings'!$E54)),ISNUMBER(SEARCH(IF(J$1&lt;&gt;"",J$1,"NA"),'MITRE ATT&amp;CK Mappings'!$F54))),ISNUMBER(SEARCH(IF(J$2&lt;&gt;"",J$2,"NA"),'MITRE ATT&amp;CK Mappings'!$G54))),ISNUMBER(SEARCH(IF(J$2&lt;&gt;"",J$2,"NA"),'MITRE ATT&amp;CK Mappings'!$H54))),ISNUMBER(SEARCH(IF(J$3&lt;&gt;"",J$3,"NA"),'MITRE ATT&amp;CK Mappings'!$I54))),ISNUMBER(SEARCH(IF(J$3&lt;&gt;"",J$3,"NA"),'MITRE ATT&amp;CK Mappings'!$J54))), 'MITRE ATT&amp;CK Mappings'!$B54,"")</f>
        <v/>
      </c>
      <c r="K58" s="26" t="str">
        <f>IF(OR(OR(OR(OR(OR(ISNUMBER(SEARCH(IF(K$1&lt;&gt;"",K$1,"NA"),'MITRE ATT&amp;CK Mappings'!$E54)),ISNUMBER(SEARCH(IF(K$1&lt;&gt;"",K$1,"NA"),'MITRE ATT&amp;CK Mappings'!$F54))),ISNUMBER(SEARCH(IF(K$2&lt;&gt;"",K$2,"NA"),'MITRE ATT&amp;CK Mappings'!$G54))),ISNUMBER(SEARCH(IF(K$2&lt;&gt;"",K$2,"NA"),'MITRE ATT&amp;CK Mappings'!$H54))),ISNUMBER(SEARCH(IF(K$3&lt;&gt;"",K$3,"NA"),'MITRE ATT&amp;CK Mappings'!$I54))),ISNUMBER(SEARCH(IF(K$3&lt;&gt;"",K$3,"NA"),'MITRE ATT&amp;CK Mappings'!$J54))), 'MITRE ATT&amp;CK Mappings'!$B54,"")</f>
        <v/>
      </c>
      <c r="L58" s="26" t="str">
        <f>IF('MITRE ATT&amp;CK Mappings'!D54 &lt;&gt;"",'MITRE ATT&amp;CK Mappings'!D54,"" )</f>
        <v>Ensure disabled user accounts do not have read, write, or owner permissions</v>
      </c>
    </row>
    <row r="59" spans="1:12" x14ac:dyDescent="0.25">
      <c r="A59" s="27" t="str">
        <f>IF(COUNTIF(B59:K59,"="&amp;'MITRE ATT&amp;CK Mappings'!B55)&gt;0,'MITRE ATT&amp;CK Mappings'!B55,"")</f>
        <v/>
      </c>
      <c r="B59" s="27" t="str">
        <f>IF(OR(OR(OR(OR(OR(ISNUMBER(SEARCH(IF(B$1&lt;&gt;"",B$1,"NA"),'MITRE ATT&amp;CK Mappings'!$E55)),ISNUMBER(SEARCH(IF(B$1&lt;&gt;"",B$1,"NA"),'MITRE ATT&amp;CK Mappings'!$F55))),ISNUMBER(SEARCH(IF(B$2&lt;&gt;"",B$2,"NA"),'MITRE ATT&amp;CK Mappings'!$G55))),ISNUMBER(SEARCH(IF(B$2&lt;&gt;"",B$2,"NA"),'MITRE ATT&amp;CK Mappings'!$H55))),ISNUMBER(SEARCH(IF(B$3&lt;&gt;"",B$3,"NA"),'MITRE ATT&amp;CK Mappings'!$I55))),ISNUMBER(SEARCH(IF(B$3&lt;&gt;"",B$3,"NA"),'MITRE ATT&amp;CK Mappings'!$J55))), 'MITRE ATT&amp;CK Mappings'!$B55,"")</f>
        <v/>
      </c>
      <c r="C59" s="27" t="str">
        <f>IF(OR(OR(OR(OR(OR(ISNUMBER(SEARCH(IF(C$1&lt;&gt;"",C$1,"NA"),'MITRE ATT&amp;CK Mappings'!$E55)),ISNUMBER(SEARCH(IF(C$1&lt;&gt;"",C$1,"NA"),'MITRE ATT&amp;CK Mappings'!$F55))),ISNUMBER(SEARCH(IF(C$2&lt;&gt;"",C$2,"NA"),'MITRE ATT&amp;CK Mappings'!$G55))),ISNUMBER(SEARCH(IF(C$2&lt;&gt;"",C$2,"NA"),'MITRE ATT&amp;CK Mappings'!$H55))),ISNUMBER(SEARCH(IF(C$3&lt;&gt;"",C$3,"NA"),'MITRE ATT&amp;CK Mappings'!$I55))),ISNUMBER(SEARCH(IF(C$3&lt;&gt;"",C$3,"NA"),'MITRE ATT&amp;CK Mappings'!$J55))), 'MITRE ATT&amp;CK Mappings'!$B55,"")</f>
        <v/>
      </c>
      <c r="D59" s="27" t="str">
        <f>IF(OR(OR(OR(OR(OR(ISNUMBER(SEARCH(IF(D$1&lt;&gt;"",D$1,"NA"),'MITRE ATT&amp;CK Mappings'!$E55)),ISNUMBER(SEARCH(IF(D$1&lt;&gt;"",D$1,"NA"),'MITRE ATT&amp;CK Mappings'!$F55))),ISNUMBER(SEARCH(IF(D$2&lt;&gt;"",D$2,"NA"),'MITRE ATT&amp;CK Mappings'!$G55))),ISNUMBER(SEARCH(IF(D$2&lt;&gt;"",D$2,"NA"),'MITRE ATT&amp;CK Mappings'!$H55))),ISNUMBER(SEARCH(IF(D$3&lt;&gt;"",D$3,"NA"),'MITRE ATT&amp;CK Mappings'!$I55))),ISNUMBER(SEARCH(IF(D$3&lt;&gt;"",D$3,"NA"),'MITRE ATT&amp;CK Mappings'!$J55))), 'MITRE ATT&amp;CK Mappings'!$B55,"")</f>
        <v/>
      </c>
      <c r="E59" s="27" t="str">
        <f>IF(OR(OR(OR(OR(OR(ISNUMBER(SEARCH(IF(E$1&lt;&gt;"",E$1,"NA"),'MITRE ATT&amp;CK Mappings'!$E55)),ISNUMBER(SEARCH(IF(E$1&lt;&gt;"",E$1,"NA"),'MITRE ATT&amp;CK Mappings'!$F55))),ISNUMBER(SEARCH(IF(E$2&lt;&gt;"",E$2,"NA"),'MITRE ATT&amp;CK Mappings'!$G55))),ISNUMBER(SEARCH(IF(E$2&lt;&gt;"",E$2,"NA"),'MITRE ATT&amp;CK Mappings'!$H55))),ISNUMBER(SEARCH(IF(E$3&lt;&gt;"",E$3,"NA"),'MITRE ATT&amp;CK Mappings'!$I55))),ISNUMBER(SEARCH(IF(E$3&lt;&gt;"",E$3,"NA"),'MITRE ATT&amp;CK Mappings'!$J55))), 'MITRE ATT&amp;CK Mappings'!$B55,"")</f>
        <v/>
      </c>
      <c r="F59" s="27" t="str">
        <f>IF(OR(OR(OR(OR(OR(ISNUMBER(SEARCH(IF(F$1&lt;&gt;"",F$1,"NA"),'MITRE ATT&amp;CK Mappings'!$E55)),ISNUMBER(SEARCH(IF(F$1&lt;&gt;"",F$1,"NA"),'MITRE ATT&amp;CK Mappings'!$F55))),ISNUMBER(SEARCH(IF(F$2&lt;&gt;"",F$2,"NA"),'MITRE ATT&amp;CK Mappings'!$G55))),ISNUMBER(SEARCH(IF(F$2&lt;&gt;"",F$2,"NA"),'MITRE ATT&amp;CK Mappings'!$H55))),ISNUMBER(SEARCH(IF(F$3&lt;&gt;"",F$3,"NA"),'MITRE ATT&amp;CK Mappings'!$I55))),ISNUMBER(SEARCH(IF(F$3&lt;&gt;"",F$3,"NA"),'MITRE ATT&amp;CK Mappings'!$J55))), 'MITRE ATT&amp;CK Mappings'!$B55,"")</f>
        <v/>
      </c>
      <c r="G59" s="27" t="str">
        <f>IF(OR(OR(OR(OR(OR(ISNUMBER(SEARCH(IF(G$1&lt;&gt;"",G$1,"NA"),'MITRE ATT&amp;CK Mappings'!$E55)),ISNUMBER(SEARCH(IF(G$1&lt;&gt;"",G$1,"NA"),'MITRE ATT&amp;CK Mappings'!$F55))),ISNUMBER(SEARCH(IF(G$2&lt;&gt;"",G$2,"NA"),'MITRE ATT&amp;CK Mappings'!$G55))),ISNUMBER(SEARCH(IF(G$2&lt;&gt;"",G$2,"NA"),'MITRE ATT&amp;CK Mappings'!$H55))),ISNUMBER(SEARCH(IF(G$3&lt;&gt;"",G$3,"NA"),'MITRE ATT&amp;CK Mappings'!$I55))),ISNUMBER(SEARCH(IF(G$3&lt;&gt;"",G$3,"NA"),'MITRE ATT&amp;CK Mappings'!$J55))), 'MITRE ATT&amp;CK Mappings'!$B55,"")</f>
        <v/>
      </c>
      <c r="H59" s="27" t="str">
        <f>IF(OR(OR(OR(OR(OR(ISNUMBER(SEARCH(IF(H$1&lt;&gt;"",H$1,"NA"),'MITRE ATT&amp;CK Mappings'!$E55)),ISNUMBER(SEARCH(IF(H$1&lt;&gt;"",H$1,"NA"),'MITRE ATT&amp;CK Mappings'!$F55))),ISNUMBER(SEARCH(IF(H$2&lt;&gt;"",H$2,"NA"),'MITRE ATT&amp;CK Mappings'!$G55))),ISNUMBER(SEARCH(IF(H$2&lt;&gt;"",H$2,"NA"),'MITRE ATT&amp;CK Mappings'!$H55))),ISNUMBER(SEARCH(IF(H$3&lt;&gt;"",H$3,"NA"),'MITRE ATT&amp;CK Mappings'!$I55))),ISNUMBER(SEARCH(IF(H$3&lt;&gt;"",H$3,"NA"),'MITRE ATT&amp;CK Mappings'!$J55))), 'MITRE ATT&amp;CK Mappings'!$B55,"")</f>
        <v/>
      </c>
      <c r="I59" s="27" t="str">
        <f>IF(OR(OR(OR(OR(OR(ISNUMBER(SEARCH(IF(I$1&lt;&gt;"",I$1,"NA"),'MITRE ATT&amp;CK Mappings'!$E55)),ISNUMBER(SEARCH(IF(I$1&lt;&gt;"",I$1,"NA"),'MITRE ATT&amp;CK Mappings'!$F55))),ISNUMBER(SEARCH(IF(I$2&lt;&gt;"",I$2,"NA"),'MITRE ATT&amp;CK Mappings'!$G55))),ISNUMBER(SEARCH(IF(I$2&lt;&gt;"",I$2,"NA"),'MITRE ATT&amp;CK Mappings'!$H55))),ISNUMBER(SEARCH(IF(I$3&lt;&gt;"",I$3,"NA"),'MITRE ATT&amp;CK Mappings'!$I55))),ISNUMBER(SEARCH(IF(I$3&lt;&gt;"",I$3,"NA"),'MITRE ATT&amp;CK Mappings'!$J55))), 'MITRE ATT&amp;CK Mappings'!$B55,"")</f>
        <v/>
      </c>
      <c r="J59" s="27" t="str">
        <f>IF(OR(OR(OR(OR(OR(ISNUMBER(SEARCH(IF(J$1&lt;&gt;"",J$1,"NA"),'MITRE ATT&amp;CK Mappings'!$E55)),ISNUMBER(SEARCH(IF(J$1&lt;&gt;"",J$1,"NA"),'MITRE ATT&amp;CK Mappings'!$F55))),ISNUMBER(SEARCH(IF(J$2&lt;&gt;"",J$2,"NA"),'MITRE ATT&amp;CK Mappings'!$G55))),ISNUMBER(SEARCH(IF(J$2&lt;&gt;"",J$2,"NA"),'MITRE ATT&amp;CK Mappings'!$H55))),ISNUMBER(SEARCH(IF(J$3&lt;&gt;"",J$3,"NA"),'MITRE ATT&amp;CK Mappings'!$I55))),ISNUMBER(SEARCH(IF(J$3&lt;&gt;"",J$3,"NA"),'MITRE ATT&amp;CK Mappings'!$J55))), 'MITRE ATT&amp;CK Mappings'!$B55,"")</f>
        <v/>
      </c>
      <c r="K59" s="27" t="str">
        <f>IF(OR(OR(OR(OR(OR(ISNUMBER(SEARCH(IF(K$1&lt;&gt;"",K$1,"NA"),'MITRE ATT&amp;CK Mappings'!$E55)),ISNUMBER(SEARCH(IF(K$1&lt;&gt;"",K$1,"NA"),'MITRE ATT&amp;CK Mappings'!$F55))),ISNUMBER(SEARCH(IF(K$2&lt;&gt;"",K$2,"NA"),'MITRE ATT&amp;CK Mappings'!$G55))),ISNUMBER(SEARCH(IF(K$2&lt;&gt;"",K$2,"NA"),'MITRE ATT&amp;CK Mappings'!$H55))),ISNUMBER(SEARCH(IF(K$3&lt;&gt;"",K$3,"NA"),'MITRE ATT&amp;CK Mappings'!$I55))),ISNUMBER(SEARCH(IF(K$3&lt;&gt;"",K$3,"NA"),'MITRE ATT&amp;CK Mappings'!$J55))), 'MITRE ATT&amp;CK Mappings'!$B55,"")</f>
        <v/>
      </c>
      <c r="L59" s="27" t="str">
        <f>IF('MITRE ATT&amp;CK Mappings'!D55 &lt;&gt;"",'MITRE ATT&amp;CK Mappings'!D55,"" )</f>
        <v>Ensure 'Tenant Creator' role assignments are periodically reviewed</v>
      </c>
    </row>
    <row r="60" spans="1:12" x14ac:dyDescent="0.25">
      <c r="A60" s="26" t="str">
        <f>IF(COUNTIF(B60:K60,"="&amp;'MITRE ATT&amp;CK Mappings'!B56)&gt;0,'MITRE ATT&amp;CK Mappings'!B56,"")</f>
        <v/>
      </c>
      <c r="B60" s="26" t="str">
        <f>IF(OR(OR(OR(OR(OR(ISNUMBER(SEARCH(IF(B$1&lt;&gt;"",B$1,"NA"),'MITRE ATT&amp;CK Mappings'!$E56)),ISNUMBER(SEARCH(IF(B$1&lt;&gt;"",B$1,"NA"),'MITRE ATT&amp;CK Mappings'!$F56))),ISNUMBER(SEARCH(IF(B$2&lt;&gt;"",B$2,"NA"),'MITRE ATT&amp;CK Mappings'!$G56))),ISNUMBER(SEARCH(IF(B$2&lt;&gt;"",B$2,"NA"),'MITRE ATT&amp;CK Mappings'!$H56))),ISNUMBER(SEARCH(IF(B$3&lt;&gt;"",B$3,"NA"),'MITRE ATT&amp;CK Mappings'!$I56))),ISNUMBER(SEARCH(IF(B$3&lt;&gt;"",B$3,"NA"),'MITRE ATT&amp;CK Mappings'!$J56))), 'MITRE ATT&amp;CK Mappings'!$B56,"")</f>
        <v/>
      </c>
      <c r="C60" s="26" t="str">
        <f>IF(OR(OR(OR(OR(OR(ISNUMBER(SEARCH(IF(C$1&lt;&gt;"",C$1,"NA"),'MITRE ATT&amp;CK Mappings'!$E56)),ISNUMBER(SEARCH(IF(C$1&lt;&gt;"",C$1,"NA"),'MITRE ATT&amp;CK Mappings'!$F56))),ISNUMBER(SEARCH(IF(C$2&lt;&gt;"",C$2,"NA"),'MITRE ATT&amp;CK Mappings'!$G56))),ISNUMBER(SEARCH(IF(C$2&lt;&gt;"",C$2,"NA"),'MITRE ATT&amp;CK Mappings'!$H56))),ISNUMBER(SEARCH(IF(C$3&lt;&gt;"",C$3,"NA"),'MITRE ATT&amp;CK Mappings'!$I56))),ISNUMBER(SEARCH(IF(C$3&lt;&gt;"",C$3,"NA"),'MITRE ATT&amp;CK Mappings'!$J56))), 'MITRE ATT&amp;CK Mappings'!$B56,"")</f>
        <v/>
      </c>
      <c r="D60" s="26" t="str">
        <f>IF(OR(OR(OR(OR(OR(ISNUMBER(SEARCH(IF(D$1&lt;&gt;"",D$1,"NA"),'MITRE ATT&amp;CK Mappings'!$E56)),ISNUMBER(SEARCH(IF(D$1&lt;&gt;"",D$1,"NA"),'MITRE ATT&amp;CK Mappings'!$F56))),ISNUMBER(SEARCH(IF(D$2&lt;&gt;"",D$2,"NA"),'MITRE ATT&amp;CK Mappings'!$G56))),ISNUMBER(SEARCH(IF(D$2&lt;&gt;"",D$2,"NA"),'MITRE ATT&amp;CK Mappings'!$H56))),ISNUMBER(SEARCH(IF(D$3&lt;&gt;"",D$3,"NA"),'MITRE ATT&amp;CK Mappings'!$I56))),ISNUMBER(SEARCH(IF(D$3&lt;&gt;"",D$3,"NA"),'MITRE ATT&amp;CK Mappings'!$J56))), 'MITRE ATT&amp;CK Mappings'!$B56,"")</f>
        <v/>
      </c>
      <c r="E60" s="26" t="str">
        <f>IF(OR(OR(OR(OR(OR(ISNUMBER(SEARCH(IF(E$1&lt;&gt;"",E$1,"NA"),'MITRE ATT&amp;CK Mappings'!$E56)),ISNUMBER(SEARCH(IF(E$1&lt;&gt;"",E$1,"NA"),'MITRE ATT&amp;CK Mappings'!$F56))),ISNUMBER(SEARCH(IF(E$2&lt;&gt;"",E$2,"NA"),'MITRE ATT&amp;CK Mappings'!$G56))),ISNUMBER(SEARCH(IF(E$2&lt;&gt;"",E$2,"NA"),'MITRE ATT&amp;CK Mappings'!$H56))),ISNUMBER(SEARCH(IF(E$3&lt;&gt;"",E$3,"NA"),'MITRE ATT&amp;CK Mappings'!$I56))),ISNUMBER(SEARCH(IF(E$3&lt;&gt;"",E$3,"NA"),'MITRE ATT&amp;CK Mappings'!$J56))), 'MITRE ATT&amp;CK Mappings'!$B56,"")</f>
        <v/>
      </c>
      <c r="F60" s="26" t="str">
        <f>IF(OR(OR(OR(OR(OR(ISNUMBER(SEARCH(IF(F$1&lt;&gt;"",F$1,"NA"),'MITRE ATT&amp;CK Mappings'!$E56)),ISNUMBER(SEARCH(IF(F$1&lt;&gt;"",F$1,"NA"),'MITRE ATT&amp;CK Mappings'!$F56))),ISNUMBER(SEARCH(IF(F$2&lt;&gt;"",F$2,"NA"),'MITRE ATT&amp;CK Mappings'!$G56))),ISNUMBER(SEARCH(IF(F$2&lt;&gt;"",F$2,"NA"),'MITRE ATT&amp;CK Mappings'!$H56))),ISNUMBER(SEARCH(IF(F$3&lt;&gt;"",F$3,"NA"),'MITRE ATT&amp;CK Mappings'!$I56))),ISNUMBER(SEARCH(IF(F$3&lt;&gt;"",F$3,"NA"),'MITRE ATT&amp;CK Mappings'!$J56))), 'MITRE ATT&amp;CK Mappings'!$B56,"")</f>
        <v/>
      </c>
      <c r="G60" s="26" t="str">
        <f>IF(OR(OR(OR(OR(OR(ISNUMBER(SEARCH(IF(G$1&lt;&gt;"",G$1,"NA"),'MITRE ATT&amp;CK Mappings'!$E56)),ISNUMBER(SEARCH(IF(G$1&lt;&gt;"",G$1,"NA"),'MITRE ATT&amp;CK Mappings'!$F56))),ISNUMBER(SEARCH(IF(G$2&lt;&gt;"",G$2,"NA"),'MITRE ATT&amp;CK Mappings'!$G56))),ISNUMBER(SEARCH(IF(G$2&lt;&gt;"",G$2,"NA"),'MITRE ATT&amp;CK Mappings'!$H56))),ISNUMBER(SEARCH(IF(G$3&lt;&gt;"",G$3,"NA"),'MITRE ATT&amp;CK Mappings'!$I56))),ISNUMBER(SEARCH(IF(G$3&lt;&gt;"",G$3,"NA"),'MITRE ATT&amp;CK Mappings'!$J56))), 'MITRE ATT&amp;CK Mappings'!$B56,"")</f>
        <v/>
      </c>
      <c r="H60" s="26" t="str">
        <f>IF(OR(OR(OR(OR(OR(ISNUMBER(SEARCH(IF(H$1&lt;&gt;"",H$1,"NA"),'MITRE ATT&amp;CK Mappings'!$E56)),ISNUMBER(SEARCH(IF(H$1&lt;&gt;"",H$1,"NA"),'MITRE ATT&amp;CK Mappings'!$F56))),ISNUMBER(SEARCH(IF(H$2&lt;&gt;"",H$2,"NA"),'MITRE ATT&amp;CK Mappings'!$G56))),ISNUMBER(SEARCH(IF(H$2&lt;&gt;"",H$2,"NA"),'MITRE ATT&amp;CK Mappings'!$H56))),ISNUMBER(SEARCH(IF(H$3&lt;&gt;"",H$3,"NA"),'MITRE ATT&amp;CK Mappings'!$I56))),ISNUMBER(SEARCH(IF(H$3&lt;&gt;"",H$3,"NA"),'MITRE ATT&amp;CK Mappings'!$J56))), 'MITRE ATT&amp;CK Mappings'!$B56,"")</f>
        <v/>
      </c>
      <c r="I60" s="26" t="str">
        <f>IF(OR(OR(OR(OR(OR(ISNUMBER(SEARCH(IF(I$1&lt;&gt;"",I$1,"NA"),'MITRE ATT&amp;CK Mappings'!$E56)),ISNUMBER(SEARCH(IF(I$1&lt;&gt;"",I$1,"NA"),'MITRE ATT&amp;CK Mappings'!$F56))),ISNUMBER(SEARCH(IF(I$2&lt;&gt;"",I$2,"NA"),'MITRE ATT&amp;CK Mappings'!$G56))),ISNUMBER(SEARCH(IF(I$2&lt;&gt;"",I$2,"NA"),'MITRE ATT&amp;CK Mappings'!$H56))),ISNUMBER(SEARCH(IF(I$3&lt;&gt;"",I$3,"NA"),'MITRE ATT&amp;CK Mappings'!$I56))),ISNUMBER(SEARCH(IF(I$3&lt;&gt;"",I$3,"NA"),'MITRE ATT&amp;CK Mappings'!$J56))), 'MITRE ATT&amp;CK Mappings'!$B56,"")</f>
        <v/>
      </c>
      <c r="J60" s="26" t="str">
        <f>IF(OR(OR(OR(OR(OR(ISNUMBER(SEARCH(IF(J$1&lt;&gt;"",J$1,"NA"),'MITRE ATT&amp;CK Mappings'!$E56)),ISNUMBER(SEARCH(IF(J$1&lt;&gt;"",J$1,"NA"),'MITRE ATT&amp;CK Mappings'!$F56))),ISNUMBER(SEARCH(IF(J$2&lt;&gt;"",J$2,"NA"),'MITRE ATT&amp;CK Mappings'!$G56))),ISNUMBER(SEARCH(IF(J$2&lt;&gt;"",J$2,"NA"),'MITRE ATT&amp;CK Mappings'!$H56))),ISNUMBER(SEARCH(IF(J$3&lt;&gt;"",J$3,"NA"),'MITRE ATT&amp;CK Mappings'!$I56))),ISNUMBER(SEARCH(IF(J$3&lt;&gt;"",J$3,"NA"),'MITRE ATT&amp;CK Mappings'!$J56))), 'MITRE ATT&amp;CK Mappings'!$B56,"")</f>
        <v/>
      </c>
      <c r="K60" s="26" t="str">
        <f>IF(OR(OR(OR(OR(OR(ISNUMBER(SEARCH(IF(K$1&lt;&gt;"",K$1,"NA"),'MITRE ATT&amp;CK Mappings'!$E56)),ISNUMBER(SEARCH(IF(K$1&lt;&gt;"",K$1,"NA"),'MITRE ATT&amp;CK Mappings'!$F56))),ISNUMBER(SEARCH(IF(K$2&lt;&gt;"",K$2,"NA"),'MITRE ATT&amp;CK Mappings'!$G56))),ISNUMBER(SEARCH(IF(K$2&lt;&gt;"",K$2,"NA"),'MITRE ATT&amp;CK Mappings'!$H56))),ISNUMBER(SEARCH(IF(K$3&lt;&gt;"",K$3,"NA"),'MITRE ATT&amp;CK Mappings'!$I56))),ISNUMBER(SEARCH(IF(K$3&lt;&gt;"",K$3,"NA"),'MITRE ATT&amp;CK Mappings'!$J56))), 'MITRE ATT&amp;CK Mappings'!$B56,"")</f>
        <v/>
      </c>
      <c r="L60" s="26" t="str">
        <f>IF('MITRE ATT&amp;CK Mappings'!D56 &lt;&gt;"",'MITRE ATT&amp;CK Mappings'!D56,"" )</f>
        <v>Ensure all non-privileged role assignments are periodically reviewed</v>
      </c>
    </row>
    <row r="61" spans="1:12" x14ac:dyDescent="0.25">
      <c r="A61" s="27" t="str">
        <f>IF(COUNTIF(B61:K61,"="&amp;'MITRE ATT&amp;CK Mappings'!B57)&gt;0,'MITRE ATT&amp;CK Mappings'!B57,"")</f>
        <v/>
      </c>
      <c r="B61" s="27" t="str">
        <f>IF(OR(OR(OR(OR(OR(ISNUMBER(SEARCH(IF(B$1&lt;&gt;"",B$1,"NA"),'MITRE ATT&amp;CK Mappings'!$E57)),ISNUMBER(SEARCH(IF(B$1&lt;&gt;"",B$1,"NA"),'MITRE ATT&amp;CK Mappings'!$F57))),ISNUMBER(SEARCH(IF(B$2&lt;&gt;"",B$2,"NA"),'MITRE ATT&amp;CK Mappings'!$G57))),ISNUMBER(SEARCH(IF(B$2&lt;&gt;"",B$2,"NA"),'MITRE ATT&amp;CK Mappings'!$H57))),ISNUMBER(SEARCH(IF(B$3&lt;&gt;"",B$3,"NA"),'MITRE ATT&amp;CK Mappings'!$I57))),ISNUMBER(SEARCH(IF(B$3&lt;&gt;"",B$3,"NA"),'MITRE ATT&amp;CK Mappings'!$J57))), 'MITRE ATT&amp;CK Mappings'!$B57,"")</f>
        <v/>
      </c>
      <c r="C61" s="27" t="str">
        <f>IF(OR(OR(OR(OR(OR(ISNUMBER(SEARCH(IF(C$1&lt;&gt;"",C$1,"NA"),'MITRE ATT&amp;CK Mappings'!$E57)),ISNUMBER(SEARCH(IF(C$1&lt;&gt;"",C$1,"NA"),'MITRE ATT&amp;CK Mappings'!$F57))),ISNUMBER(SEARCH(IF(C$2&lt;&gt;"",C$2,"NA"),'MITRE ATT&amp;CK Mappings'!$G57))),ISNUMBER(SEARCH(IF(C$2&lt;&gt;"",C$2,"NA"),'MITRE ATT&amp;CK Mappings'!$H57))),ISNUMBER(SEARCH(IF(C$3&lt;&gt;"",C$3,"NA"),'MITRE ATT&amp;CK Mappings'!$I57))),ISNUMBER(SEARCH(IF(C$3&lt;&gt;"",C$3,"NA"),'MITRE ATT&amp;CK Mappings'!$J57))), 'MITRE ATT&amp;CK Mappings'!$B57,"")</f>
        <v/>
      </c>
      <c r="D61" s="27" t="str">
        <f>IF(OR(OR(OR(OR(OR(ISNUMBER(SEARCH(IF(D$1&lt;&gt;"",D$1,"NA"),'MITRE ATT&amp;CK Mappings'!$E57)),ISNUMBER(SEARCH(IF(D$1&lt;&gt;"",D$1,"NA"),'MITRE ATT&amp;CK Mappings'!$F57))),ISNUMBER(SEARCH(IF(D$2&lt;&gt;"",D$2,"NA"),'MITRE ATT&amp;CK Mappings'!$G57))),ISNUMBER(SEARCH(IF(D$2&lt;&gt;"",D$2,"NA"),'MITRE ATT&amp;CK Mappings'!$H57))),ISNUMBER(SEARCH(IF(D$3&lt;&gt;"",D$3,"NA"),'MITRE ATT&amp;CK Mappings'!$I57))),ISNUMBER(SEARCH(IF(D$3&lt;&gt;"",D$3,"NA"),'MITRE ATT&amp;CK Mappings'!$J57))), 'MITRE ATT&amp;CK Mappings'!$B57,"")</f>
        <v/>
      </c>
      <c r="E61" s="27" t="str">
        <f>IF(OR(OR(OR(OR(OR(ISNUMBER(SEARCH(IF(E$1&lt;&gt;"",E$1,"NA"),'MITRE ATT&amp;CK Mappings'!$E57)),ISNUMBER(SEARCH(IF(E$1&lt;&gt;"",E$1,"NA"),'MITRE ATT&amp;CK Mappings'!$F57))),ISNUMBER(SEARCH(IF(E$2&lt;&gt;"",E$2,"NA"),'MITRE ATT&amp;CK Mappings'!$G57))),ISNUMBER(SEARCH(IF(E$2&lt;&gt;"",E$2,"NA"),'MITRE ATT&amp;CK Mappings'!$H57))),ISNUMBER(SEARCH(IF(E$3&lt;&gt;"",E$3,"NA"),'MITRE ATT&amp;CK Mappings'!$I57))),ISNUMBER(SEARCH(IF(E$3&lt;&gt;"",E$3,"NA"),'MITRE ATT&amp;CK Mappings'!$J57))), 'MITRE ATT&amp;CK Mappings'!$B57,"")</f>
        <v/>
      </c>
      <c r="F61" s="27" t="str">
        <f>IF(OR(OR(OR(OR(OR(ISNUMBER(SEARCH(IF(F$1&lt;&gt;"",F$1,"NA"),'MITRE ATT&amp;CK Mappings'!$E57)),ISNUMBER(SEARCH(IF(F$1&lt;&gt;"",F$1,"NA"),'MITRE ATT&amp;CK Mappings'!$F57))),ISNUMBER(SEARCH(IF(F$2&lt;&gt;"",F$2,"NA"),'MITRE ATT&amp;CK Mappings'!$G57))),ISNUMBER(SEARCH(IF(F$2&lt;&gt;"",F$2,"NA"),'MITRE ATT&amp;CK Mappings'!$H57))),ISNUMBER(SEARCH(IF(F$3&lt;&gt;"",F$3,"NA"),'MITRE ATT&amp;CK Mappings'!$I57))),ISNUMBER(SEARCH(IF(F$3&lt;&gt;"",F$3,"NA"),'MITRE ATT&amp;CK Mappings'!$J57))), 'MITRE ATT&amp;CK Mappings'!$B57,"")</f>
        <v/>
      </c>
      <c r="G61" s="27" t="str">
        <f>IF(OR(OR(OR(OR(OR(ISNUMBER(SEARCH(IF(G$1&lt;&gt;"",G$1,"NA"),'MITRE ATT&amp;CK Mappings'!$E57)),ISNUMBER(SEARCH(IF(G$1&lt;&gt;"",G$1,"NA"),'MITRE ATT&amp;CK Mappings'!$F57))),ISNUMBER(SEARCH(IF(G$2&lt;&gt;"",G$2,"NA"),'MITRE ATT&amp;CK Mappings'!$G57))),ISNUMBER(SEARCH(IF(G$2&lt;&gt;"",G$2,"NA"),'MITRE ATT&amp;CK Mappings'!$H57))),ISNUMBER(SEARCH(IF(G$3&lt;&gt;"",G$3,"NA"),'MITRE ATT&amp;CK Mappings'!$I57))),ISNUMBER(SEARCH(IF(G$3&lt;&gt;"",G$3,"NA"),'MITRE ATT&amp;CK Mappings'!$J57))), 'MITRE ATT&amp;CK Mappings'!$B57,"")</f>
        <v/>
      </c>
      <c r="H61" s="27" t="str">
        <f>IF(OR(OR(OR(OR(OR(ISNUMBER(SEARCH(IF(H$1&lt;&gt;"",H$1,"NA"),'MITRE ATT&amp;CK Mappings'!$E57)),ISNUMBER(SEARCH(IF(H$1&lt;&gt;"",H$1,"NA"),'MITRE ATT&amp;CK Mappings'!$F57))),ISNUMBER(SEARCH(IF(H$2&lt;&gt;"",H$2,"NA"),'MITRE ATT&amp;CK Mappings'!$G57))),ISNUMBER(SEARCH(IF(H$2&lt;&gt;"",H$2,"NA"),'MITRE ATT&amp;CK Mappings'!$H57))),ISNUMBER(SEARCH(IF(H$3&lt;&gt;"",H$3,"NA"),'MITRE ATT&amp;CK Mappings'!$I57))),ISNUMBER(SEARCH(IF(H$3&lt;&gt;"",H$3,"NA"),'MITRE ATT&amp;CK Mappings'!$J57))), 'MITRE ATT&amp;CK Mappings'!$B57,"")</f>
        <v/>
      </c>
      <c r="I61" s="27" t="str">
        <f>IF(OR(OR(OR(OR(OR(ISNUMBER(SEARCH(IF(I$1&lt;&gt;"",I$1,"NA"),'MITRE ATT&amp;CK Mappings'!$E57)),ISNUMBER(SEARCH(IF(I$1&lt;&gt;"",I$1,"NA"),'MITRE ATT&amp;CK Mappings'!$F57))),ISNUMBER(SEARCH(IF(I$2&lt;&gt;"",I$2,"NA"),'MITRE ATT&amp;CK Mappings'!$G57))),ISNUMBER(SEARCH(IF(I$2&lt;&gt;"",I$2,"NA"),'MITRE ATT&amp;CK Mappings'!$H57))),ISNUMBER(SEARCH(IF(I$3&lt;&gt;"",I$3,"NA"),'MITRE ATT&amp;CK Mappings'!$I57))),ISNUMBER(SEARCH(IF(I$3&lt;&gt;"",I$3,"NA"),'MITRE ATT&amp;CK Mappings'!$J57))), 'MITRE ATT&amp;CK Mappings'!$B57,"")</f>
        <v/>
      </c>
      <c r="J61" s="27" t="str">
        <f>IF(OR(OR(OR(OR(OR(ISNUMBER(SEARCH(IF(J$1&lt;&gt;"",J$1,"NA"),'MITRE ATT&amp;CK Mappings'!$E57)),ISNUMBER(SEARCH(IF(J$1&lt;&gt;"",J$1,"NA"),'MITRE ATT&amp;CK Mappings'!$F57))),ISNUMBER(SEARCH(IF(J$2&lt;&gt;"",J$2,"NA"),'MITRE ATT&amp;CK Mappings'!$G57))),ISNUMBER(SEARCH(IF(J$2&lt;&gt;"",J$2,"NA"),'MITRE ATT&amp;CK Mappings'!$H57))),ISNUMBER(SEARCH(IF(J$3&lt;&gt;"",J$3,"NA"),'MITRE ATT&amp;CK Mappings'!$I57))),ISNUMBER(SEARCH(IF(J$3&lt;&gt;"",J$3,"NA"),'MITRE ATT&amp;CK Mappings'!$J57))), 'MITRE ATT&amp;CK Mappings'!$B57,"")</f>
        <v/>
      </c>
      <c r="K61" s="27" t="str">
        <f>IF(OR(OR(OR(OR(OR(ISNUMBER(SEARCH(IF(K$1&lt;&gt;"",K$1,"NA"),'MITRE ATT&amp;CK Mappings'!$E57)),ISNUMBER(SEARCH(IF(K$1&lt;&gt;"",K$1,"NA"),'MITRE ATT&amp;CK Mappings'!$F57))),ISNUMBER(SEARCH(IF(K$2&lt;&gt;"",K$2,"NA"),'MITRE ATT&amp;CK Mappings'!$G57))),ISNUMBER(SEARCH(IF(K$2&lt;&gt;"",K$2,"NA"),'MITRE ATT&amp;CK Mappings'!$H57))),ISNUMBER(SEARCH(IF(K$3&lt;&gt;"",K$3,"NA"),'MITRE ATT&amp;CK Mappings'!$I57))),ISNUMBER(SEARCH(IF(K$3&lt;&gt;"",K$3,"NA"),'MITRE ATT&amp;CK Mappings'!$J57))), 'MITRE ATT&amp;CK Mappings'!$B57,"")</f>
        <v/>
      </c>
      <c r="L61" s="27" t="str">
        <f>IF('MITRE ATT&amp;CK Mappings'!D57 &lt;&gt;"",'MITRE ATT&amp;CK Mappings'!D57,"" )</f>
        <v>Ensure that Resource Locks are set for Mission-Critical Azure Resources</v>
      </c>
    </row>
    <row r="62" spans="1:12" x14ac:dyDescent="0.25">
      <c r="A62" s="26" t="str">
        <f>IF(COUNTIF(B62:K62,"="&amp;'MITRE ATT&amp;CK Mappings'!B58)&gt;0,'MITRE ATT&amp;CK Mappings'!B58,"")</f>
        <v/>
      </c>
      <c r="B62" s="26" t="str">
        <f>IF(OR(OR(OR(OR(OR(ISNUMBER(SEARCH(IF(B$1&lt;&gt;"",B$1,"NA"),'MITRE ATT&amp;CK Mappings'!$E58)),ISNUMBER(SEARCH(IF(B$1&lt;&gt;"",B$1,"NA"),'MITRE ATT&amp;CK Mappings'!$F58))),ISNUMBER(SEARCH(IF(B$2&lt;&gt;"",B$2,"NA"),'MITRE ATT&amp;CK Mappings'!$G58))),ISNUMBER(SEARCH(IF(B$2&lt;&gt;"",B$2,"NA"),'MITRE ATT&amp;CK Mappings'!$H58))),ISNUMBER(SEARCH(IF(B$3&lt;&gt;"",B$3,"NA"),'MITRE ATT&amp;CK Mappings'!$I58))),ISNUMBER(SEARCH(IF(B$3&lt;&gt;"",B$3,"NA"),'MITRE ATT&amp;CK Mappings'!$J58))), 'MITRE ATT&amp;CK Mappings'!$B58,"")</f>
        <v/>
      </c>
      <c r="C62" s="26" t="str">
        <f>IF(OR(OR(OR(OR(OR(ISNUMBER(SEARCH(IF(C$1&lt;&gt;"",C$1,"NA"),'MITRE ATT&amp;CK Mappings'!$E58)),ISNUMBER(SEARCH(IF(C$1&lt;&gt;"",C$1,"NA"),'MITRE ATT&amp;CK Mappings'!$F58))),ISNUMBER(SEARCH(IF(C$2&lt;&gt;"",C$2,"NA"),'MITRE ATT&amp;CK Mappings'!$G58))),ISNUMBER(SEARCH(IF(C$2&lt;&gt;"",C$2,"NA"),'MITRE ATT&amp;CK Mappings'!$H58))),ISNUMBER(SEARCH(IF(C$3&lt;&gt;"",C$3,"NA"),'MITRE ATT&amp;CK Mappings'!$I58))),ISNUMBER(SEARCH(IF(C$3&lt;&gt;"",C$3,"NA"),'MITRE ATT&amp;CK Mappings'!$J58))), 'MITRE ATT&amp;CK Mappings'!$B58,"")</f>
        <v/>
      </c>
      <c r="D62" s="26" t="str">
        <f>IF(OR(OR(OR(OR(OR(ISNUMBER(SEARCH(IF(D$1&lt;&gt;"",D$1,"NA"),'MITRE ATT&amp;CK Mappings'!$E58)),ISNUMBER(SEARCH(IF(D$1&lt;&gt;"",D$1,"NA"),'MITRE ATT&amp;CK Mappings'!$F58))),ISNUMBER(SEARCH(IF(D$2&lt;&gt;"",D$2,"NA"),'MITRE ATT&amp;CK Mappings'!$G58))),ISNUMBER(SEARCH(IF(D$2&lt;&gt;"",D$2,"NA"),'MITRE ATT&amp;CK Mappings'!$H58))),ISNUMBER(SEARCH(IF(D$3&lt;&gt;"",D$3,"NA"),'MITRE ATT&amp;CK Mappings'!$I58))),ISNUMBER(SEARCH(IF(D$3&lt;&gt;"",D$3,"NA"),'MITRE ATT&amp;CK Mappings'!$J58))), 'MITRE ATT&amp;CK Mappings'!$B58,"")</f>
        <v/>
      </c>
      <c r="E62" s="26" t="str">
        <f>IF(OR(OR(OR(OR(OR(ISNUMBER(SEARCH(IF(E$1&lt;&gt;"",E$1,"NA"),'MITRE ATT&amp;CK Mappings'!$E58)),ISNUMBER(SEARCH(IF(E$1&lt;&gt;"",E$1,"NA"),'MITRE ATT&amp;CK Mappings'!$F58))),ISNUMBER(SEARCH(IF(E$2&lt;&gt;"",E$2,"NA"),'MITRE ATT&amp;CK Mappings'!$G58))),ISNUMBER(SEARCH(IF(E$2&lt;&gt;"",E$2,"NA"),'MITRE ATT&amp;CK Mappings'!$H58))),ISNUMBER(SEARCH(IF(E$3&lt;&gt;"",E$3,"NA"),'MITRE ATT&amp;CK Mappings'!$I58))),ISNUMBER(SEARCH(IF(E$3&lt;&gt;"",E$3,"NA"),'MITRE ATT&amp;CK Mappings'!$J58))), 'MITRE ATT&amp;CK Mappings'!$B58,"")</f>
        <v/>
      </c>
      <c r="F62" s="26" t="str">
        <f>IF(OR(OR(OR(OR(OR(ISNUMBER(SEARCH(IF(F$1&lt;&gt;"",F$1,"NA"),'MITRE ATT&amp;CK Mappings'!$E58)),ISNUMBER(SEARCH(IF(F$1&lt;&gt;"",F$1,"NA"),'MITRE ATT&amp;CK Mappings'!$F58))),ISNUMBER(SEARCH(IF(F$2&lt;&gt;"",F$2,"NA"),'MITRE ATT&amp;CK Mappings'!$G58))),ISNUMBER(SEARCH(IF(F$2&lt;&gt;"",F$2,"NA"),'MITRE ATT&amp;CK Mappings'!$H58))),ISNUMBER(SEARCH(IF(F$3&lt;&gt;"",F$3,"NA"),'MITRE ATT&amp;CK Mappings'!$I58))),ISNUMBER(SEARCH(IF(F$3&lt;&gt;"",F$3,"NA"),'MITRE ATT&amp;CK Mappings'!$J58))), 'MITRE ATT&amp;CK Mappings'!$B58,"")</f>
        <v/>
      </c>
      <c r="G62" s="26" t="str">
        <f>IF(OR(OR(OR(OR(OR(ISNUMBER(SEARCH(IF(G$1&lt;&gt;"",G$1,"NA"),'MITRE ATT&amp;CK Mappings'!$E58)),ISNUMBER(SEARCH(IF(G$1&lt;&gt;"",G$1,"NA"),'MITRE ATT&amp;CK Mappings'!$F58))),ISNUMBER(SEARCH(IF(G$2&lt;&gt;"",G$2,"NA"),'MITRE ATT&amp;CK Mappings'!$G58))),ISNUMBER(SEARCH(IF(G$2&lt;&gt;"",G$2,"NA"),'MITRE ATT&amp;CK Mappings'!$H58))),ISNUMBER(SEARCH(IF(G$3&lt;&gt;"",G$3,"NA"),'MITRE ATT&amp;CK Mappings'!$I58))),ISNUMBER(SEARCH(IF(G$3&lt;&gt;"",G$3,"NA"),'MITRE ATT&amp;CK Mappings'!$J58))), 'MITRE ATT&amp;CK Mappings'!$B58,"")</f>
        <v/>
      </c>
      <c r="H62" s="26" t="str">
        <f>IF(OR(OR(OR(OR(OR(ISNUMBER(SEARCH(IF(H$1&lt;&gt;"",H$1,"NA"),'MITRE ATT&amp;CK Mappings'!$E58)),ISNUMBER(SEARCH(IF(H$1&lt;&gt;"",H$1,"NA"),'MITRE ATT&amp;CK Mappings'!$F58))),ISNUMBER(SEARCH(IF(H$2&lt;&gt;"",H$2,"NA"),'MITRE ATT&amp;CK Mappings'!$G58))),ISNUMBER(SEARCH(IF(H$2&lt;&gt;"",H$2,"NA"),'MITRE ATT&amp;CK Mappings'!$H58))),ISNUMBER(SEARCH(IF(H$3&lt;&gt;"",H$3,"NA"),'MITRE ATT&amp;CK Mappings'!$I58))),ISNUMBER(SEARCH(IF(H$3&lt;&gt;"",H$3,"NA"),'MITRE ATT&amp;CK Mappings'!$J58))), 'MITRE ATT&amp;CK Mappings'!$B58,"")</f>
        <v/>
      </c>
      <c r="I62" s="26" t="str">
        <f>IF(OR(OR(OR(OR(OR(ISNUMBER(SEARCH(IF(I$1&lt;&gt;"",I$1,"NA"),'MITRE ATT&amp;CK Mappings'!$E58)),ISNUMBER(SEARCH(IF(I$1&lt;&gt;"",I$1,"NA"),'MITRE ATT&amp;CK Mappings'!$F58))),ISNUMBER(SEARCH(IF(I$2&lt;&gt;"",I$2,"NA"),'MITRE ATT&amp;CK Mappings'!$G58))),ISNUMBER(SEARCH(IF(I$2&lt;&gt;"",I$2,"NA"),'MITRE ATT&amp;CK Mappings'!$H58))),ISNUMBER(SEARCH(IF(I$3&lt;&gt;"",I$3,"NA"),'MITRE ATT&amp;CK Mappings'!$I58))),ISNUMBER(SEARCH(IF(I$3&lt;&gt;"",I$3,"NA"),'MITRE ATT&amp;CK Mappings'!$J58))), 'MITRE ATT&amp;CK Mappings'!$B58,"")</f>
        <v/>
      </c>
      <c r="J62" s="26" t="str">
        <f>IF(OR(OR(OR(OR(OR(ISNUMBER(SEARCH(IF(J$1&lt;&gt;"",J$1,"NA"),'MITRE ATT&amp;CK Mappings'!$E58)),ISNUMBER(SEARCH(IF(J$1&lt;&gt;"",J$1,"NA"),'MITRE ATT&amp;CK Mappings'!$F58))),ISNUMBER(SEARCH(IF(J$2&lt;&gt;"",J$2,"NA"),'MITRE ATT&amp;CK Mappings'!$G58))),ISNUMBER(SEARCH(IF(J$2&lt;&gt;"",J$2,"NA"),'MITRE ATT&amp;CK Mappings'!$H58))),ISNUMBER(SEARCH(IF(J$3&lt;&gt;"",J$3,"NA"),'MITRE ATT&amp;CK Mappings'!$I58))),ISNUMBER(SEARCH(IF(J$3&lt;&gt;"",J$3,"NA"),'MITRE ATT&amp;CK Mappings'!$J58))), 'MITRE ATT&amp;CK Mappings'!$B58,"")</f>
        <v/>
      </c>
      <c r="K62" s="26" t="str">
        <f>IF(OR(OR(OR(OR(OR(ISNUMBER(SEARCH(IF(K$1&lt;&gt;"",K$1,"NA"),'MITRE ATT&amp;CK Mappings'!$E58)),ISNUMBER(SEARCH(IF(K$1&lt;&gt;"",K$1,"NA"),'MITRE ATT&amp;CK Mappings'!$F58))),ISNUMBER(SEARCH(IF(K$2&lt;&gt;"",K$2,"NA"),'MITRE ATT&amp;CK Mappings'!$G58))),ISNUMBER(SEARCH(IF(K$2&lt;&gt;"",K$2,"NA"),'MITRE ATT&amp;CK Mappings'!$H58))),ISNUMBER(SEARCH(IF(K$3&lt;&gt;"",K$3,"NA"),'MITRE ATT&amp;CK Mappings'!$I58))),ISNUMBER(SEARCH(IF(K$3&lt;&gt;"",K$3,"NA"),'MITRE ATT&amp;CK Mappings'!$J58))), 'MITRE ATT&amp;CK Mappings'!$B58,"")</f>
        <v/>
      </c>
      <c r="L62" s="26" t="str">
        <f>IF('MITRE ATT&amp;CK Mappings'!D58 &lt;&gt;"",'MITRE ATT&amp;CK Mappings'!D58,"" )</f>
        <v>Ensure that Azure Monitor Resource Logging is Enabled for All Services that Support it</v>
      </c>
    </row>
    <row r="63" spans="1:12" x14ac:dyDescent="0.25">
      <c r="A63" s="27" t="str">
        <f>IF(COUNTIF(B63:K63,"="&amp;'MITRE ATT&amp;CK Mappings'!B59)&gt;0,'MITRE ATT&amp;CK Mappings'!B59,"")</f>
        <v/>
      </c>
      <c r="B63" s="27" t="str">
        <f>IF(OR(OR(OR(OR(OR(ISNUMBER(SEARCH(IF(B$1&lt;&gt;"",B$1,"NA"),'MITRE ATT&amp;CK Mappings'!$E59)),ISNUMBER(SEARCH(IF(B$1&lt;&gt;"",B$1,"NA"),'MITRE ATT&amp;CK Mappings'!$F59))),ISNUMBER(SEARCH(IF(B$2&lt;&gt;"",B$2,"NA"),'MITRE ATT&amp;CK Mappings'!$G59))),ISNUMBER(SEARCH(IF(B$2&lt;&gt;"",B$2,"NA"),'MITRE ATT&amp;CK Mappings'!$H59))),ISNUMBER(SEARCH(IF(B$3&lt;&gt;"",B$3,"NA"),'MITRE ATT&amp;CK Mappings'!$I59))),ISNUMBER(SEARCH(IF(B$3&lt;&gt;"",B$3,"NA"),'MITRE ATT&amp;CK Mappings'!$J59))), 'MITRE ATT&amp;CK Mappings'!$B59,"")</f>
        <v/>
      </c>
      <c r="C63" s="27" t="str">
        <f>IF(OR(OR(OR(OR(OR(ISNUMBER(SEARCH(IF(C$1&lt;&gt;"",C$1,"NA"),'MITRE ATT&amp;CK Mappings'!$E59)),ISNUMBER(SEARCH(IF(C$1&lt;&gt;"",C$1,"NA"),'MITRE ATT&amp;CK Mappings'!$F59))),ISNUMBER(SEARCH(IF(C$2&lt;&gt;"",C$2,"NA"),'MITRE ATT&amp;CK Mappings'!$G59))),ISNUMBER(SEARCH(IF(C$2&lt;&gt;"",C$2,"NA"),'MITRE ATT&amp;CK Mappings'!$H59))),ISNUMBER(SEARCH(IF(C$3&lt;&gt;"",C$3,"NA"),'MITRE ATT&amp;CK Mappings'!$I59))),ISNUMBER(SEARCH(IF(C$3&lt;&gt;"",C$3,"NA"),'MITRE ATT&amp;CK Mappings'!$J59))), 'MITRE ATT&amp;CK Mappings'!$B59,"")</f>
        <v/>
      </c>
      <c r="D63" s="27" t="str">
        <f>IF(OR(OR(OR(OR(OR(ISNUMBER(SEARCH(IF(D$1&lt;&gt;"",D$1,"NA"),'MITRE ATT&amp;CK Mappings'!$E59)),ISNUMBER(SEARCH(IF(D$1&lt;&gt;"",D$1,"NA"),'MITRE ATT&amp;CK Mappings'!$F59))),ISNUMBER(SEARCH(IF(D$2&lt;&gt;"",D$2,"NA"),'MITRE ATT&amp;CK Mappings'!$G59))),ISNUMBER(SEARCH(IF(D$2&lt;&gt;"",D$2,"NA"),'MITRE ATT&amp;CK Mappings'!$H59))),ISNUMBER(SEARCH(IF(D$3&lt;&gt;"",D$3,"NA"),'MITRE ATT&amp;CK Mappings'!$I59))),ISNUMBER(SEARCH(IF(D$3&lt;&gt;"",D$3,"NA"),'MITRE ATT&amp;CK Mappings'!$J59))), 'MITRE ATT&amp;CK Mappings'!$B59,"")</f>
        <v/>
      </c>
      <c r="E63" s="27" t="str">
        <f>IF(OR(OR(OR(OR(OR(ISNUMBER(SEARCH(IF(E$1&lt;&gt;"",E$1,"NA"),'MITRE ATT&amp;CK Mappings'!$E59)),ISNUMBER(SEARCH(IF(E$1&lt;&gt;"",E$1,"NA"),'MITRE ATT&amp;CK Mappings'!$F59))),ISNUMBER(SEARCH(IF(E$2&lt;&gt;"",E$2,"NA"),'MITRE ATT&amp;CK Mappings'!$G59))),ISNUMBER(SEARCH(IF(E$2&lt;&gt;"",E$2,"NA"),'MITRE ATT&amp;CK Mappings'!$H59))),ISNUMBER(SEARCH(IF(E$3&lt;&gt;"",E$3,"NA"),'MITRE ATT&amp;CK Mappings'!$I59))),ISNUMBER(SEARCH(IF(E$3&lt;&gt;"",E$3,"NA"),'MITRE ATT&amp;CK Mappings'!$J59))), 'MITRE ATT&amp;CK Mappings'!$B59,"")</f>
        <v/>
      </c>
      <c r="F63" s="27" t="str">
        <f>IF(OR(OR(OR(OR(OR(ISNUMBER(SEARCH(IF(F$1&lt;&gt;"",F$1,"NA"),'MITRE ATT&amp;CK Mappings'!$E59)),ISNUMBER(SEARCH(IF(F$1&lt;&gt;"",F$1,"NA"),'MITRE ATT&amp;CK Mappings'!$F59))),ISNUMBER(SEARCH(IF(F$2&lt;&gt;"",F$2,"NA"),'MITRE ATT&amp;CK Mappings'!$G59))),ISNUMBER(SEARCH(IF(F$2&lt;&gt;"",F$2,"NA"),'MITRE ATT&amp;CK Mappings'!$H59))),ISNUMBER(SEARCH(IF(F$3&lt;&gt;"",F$3,"NA"),'MITRE ATT&amp;CK Mappings'!$I59))),ISNUMBER(SEARCH(IF(F$3&lt;&gt;"",F$3,"NA"),'MITRE ATT&amp;CK Mappings'!$J59))), 'MITRE ATT&amp;CK Mappings'!$B59,"")</f>
        <v/>
      </c>
      <c r="G63" s="27" t="str">
        <f>IF(OR(OR(OR(OR(OR(ISNUMBER(SEARCH(IF(G$1&lt;&gt;"",G$1,"NA"),'MITRE ATT&amp;CK Mappings'!$E59)),ISNUMBER(SEARCH(IF(G$1&lt;&gt;"",G$1,"NA"),'MITRE ATT&amp;CK Mappings'!$F59))),ISNUMBER(SEARCH(IF(G$2&lt;&gt;"",G$2,"NA"),'MITRE ATT&amp;CK Mappings'!$G59))),ISNUMBER(SEARCH(IF(G$2&lt;&gt;"",G$2,"NA"),'MITRE ATT&amp;CK Mappings'!$H59))),ISNUMBER(SEARCH(IF(G$3&lt;&gt;"",G$3,"NA"),'MITRE ATT&amp;CK Mappings'!$I59))),ISNUMBER(SEARCH(IF(G$3&lt;&gt;"",G$3,"NA"),'MITRE ATT&amp;CK Mappings'!$J59))), 'MITRE ATT&amp;CK Mappings'!$B59,"")</f>
        <v/>
      </c>
      <c r="H63" s="27" t="str">
        <f>IF(OR(OR(OR(OR(OR(ISNUMBER(SEARCH(IF(H$1&lt;&gt;"",H$1,"NA"),'MITRE ATT&amp;CK Mappings'!$E59)),ISNUMBER(SEARCH(IF(H$1&lt;&gt;"",H$1,"NA"),'MITRE ATT&amp;CK Mappings'!$F59))),ISNUMBER(SEARCH(IF(H$2&lt;&gt;"",H$2,"NA"),'MITRE ATT&amp;CK Mappings'!$G59))),ISNUMBER(SEARCH(IF(H$2&lt;&gt;"",H$2,"NA"),'MITRE ATT&amp;CK Mappings'!$H59))),ISNUMBER(SEARCH(IF(H$3&lt;&gt;"",H$3,"NA"),'MITRE ATT&amp;CK Mappings'!$I59))),ISNUMBER(SEARCH(IF(H$3&lt;&gt;"",H$3,"NA"),'MITRE ATT&amp;CK Mappings'!$J59))), 'MITRE ATT&amp;CK Mappings'!$B59,"")</f>
        <v/>
      </c>
      <c r="I63" s="27" t="str">
        <f>IF(OR(OR(OR(OR(OR(ISNUMBER(SEARCH(IF(I$1&lt;&gt;"",I$1,"NA"),'MITRE ATT&amp;CK Mappings'!$E59)),ISNUMBER(SEARCH(IF(I$1&lt;&gt;"",I$1,"NA"),'MITRE ATT&amp;CK Mappings'!$F59))),ISNUMBER(SEARCH(IF(I$2&lt;&gt;"",I$2,"NA"),'MITRE ATT&amp;CK Mappings'!$G59))),ISNUMBER(SEARCH(IF(I$2&lt;&gt;"",I$2,"NA"),'MITRE ATT&amp;CK Mappings'!$H59))),ISNUMBER(SEARCH(IF(I$3&lt;&gt;"",I$3,"NA"),'MITRE ATT&amp;CK Mappings'!$I59))),ISNUMBER(SEARCH(IF(I$3&lt;&gt;"",I$3,"NA"),'MITRE ATT&amp;CK Mappings'!$J59))), 'MITRE ATT&amp;CK Mappings'!$B59,"")</f>
        <v/>
      </c>
      <c r="J63" s="27" t="str">
        <f>IF(OR(OR(OR(OR(OR(ISNUMBER(SEARCH(IF(J$1&lt;&gt;"",J$1,"NA"),'MITRE ATT&amp;CK Mappings'!$E59)),ISNUMBER(SEARCH(IF(J$1&lt;&gt;"",J$1,"NA"),'MITRE ATT&amp;CK Mappings'!$F59))),ISNUMBER(SEARCH(IF(J$2&lt;&gt;"",J$2,"NA"),'MITRE ATT&amp;CK Mappings'!$G59))),ISNUMBER(SEARCH(IF(J$2&lt;&gt;"",J$2,"NA"),'MITRE ATT&amp;CK Mappings'!$H59))),ISNUMBER(SEARCH(IF(J$3&lt;&gt;"",J$3,"NA"),'MITRE ATT&amp;CK Mappings'!$I59))),ISNUMBER(SEARCH(IF(J$3&lt;&gt;"",J$3,"NA"),'MITRE ATT&amp;CK Mappings'!$J59))), 'MITRE ATT&amp;CK Mappings'!$B59,"")</f>
        <v/>
      </c>
      <c r="K63" s="27" t="str">
        <f>IF(OR(OR(OR(OR(OR(ISNUMBER(SEARCH(IF(K$1&lt;&gt;"",K$1,"NA"),'MITRE ATT&amp;CK Mappings'!$E59)),ISNUMBER(SEARCH(IF(K$1&lt;&gt;"",K$1,"NA"),'MITRE ATT&amp;CK Mappings'!$F59))),ISNUMBER(SEARCH(IF(K$2&lt;&gt;"",K$2,"NA"),'MITRE ATT&amp;CK Mappings'!$G59))),ISNUMBER(SEARCH(IF(K$2&lt;&gt;"",K$2,"NA"),'MITRE ATT&amp;CK Mappings'!$H59))),ISNUMBER(SEARCH(IF(K$3&lt;&gt;"",K$3,"NA"),'MITRE ATT&amp;CK Mappings'!$I59))),ISNUMBER(SEARCH(IF(K$3&lt;&gt;"",K$3,"NA"),'MITRE ATT&amp;CK Mappings'!$J59))), 'MITRE ATT&amp;CK Mappings'!$B59,"")</f>
        <v/>
      </c>
      <c r="L63" s="27" t="str">
        <f>IF('MITRE ATT&amp;CK Mappings'!D59 &lt;&gt;"",'MITRE ATT&amp;CK Mappings'!D59,"" )</f>
        <v>Ensure that SKU Basic/Consumption is not used on artifacts that need to be monitored (Particularly for Production Workloads)</v>
      </c>
    </row>
    <row r="64" spans="1:12" x14ac:dyDescent="0.25">
      <c r="A64" s="26" t="str">
        <f>IF(COUNTIF(B64:K64,"="&amp;'MITRE ATT&amp;CK Mappings'!B60)&gt;0,'MITRE ATT&amp;CK Mappings'!B60,"")</f>
        <v/>
      </c>
      <c r="B64" s="26" t="str">
        <f>IF(OR(OR(OR(OR(OR(ISNUMBER(SEARCH(IF(B$1&lt;&gt;"",B$1,"NA"),'MITRE ATT&amp;CK Mappings'!$E60)),ISNUMBER(SEARCH(IF(B$1&lt;&gt;"",B$1,"NA"),'MITRE ATT&amp;CK Mappings'!$F60))),ISNUMBER(SEARCH(IF(B$2&lt;&gt;"",B$2,"NA"),'MITRE ATT&amp;CK Mappings'!$G60))),ISNUMBER(SEARCH(IF(B$2&lt;&gt;"",B$2,"NA"),'MITRE ATT&amp;CK Mappings'!$H60))),ISNUMBER(SEARCH(IF(B$3&lt;&gt;"",B$3,"NA"),'MITRE ATT&amp;CK Mappings'!$I60))),ISNUMBER(SEARCH(IF(B$3&lt;&gt;"",B$3,"NA"),'MITRE ATT&amp;CK Mappings'!$J60))), 'MITRE ATT&amp;CK Mappings'!$B60,"")</f>
        <v/>
      </c>
      <c r="C64" s="26" t="str">
        <f>IF(OR(OR(OR(OR(OR(ISNUMBER(SEARCH(IF(C$1&lt;&gt;"",C$1,"NA"),'MITRE ATT&amp;CK Mappings'!$E60)),ISNUMBER(SEARCH(IF(C$1&lt;&gt;"",C$1,"NA"),'MITRE ATT&amp;CK Mappings'!$F60))),ISNUMBER(SEARCH(IF(C$2&lt;&gt;"",C$2,"NA"),'MITRE ATT&amp;CK Mappings'!$G60))),ISNUMBER(SEARCH(IF(C$2&lt;&gt;"",C$2,"NA"),'MITRE ATT&amp;CK Mappings'!$H60))),ISNUMBER(SEARCH(IF(C$3&lt;&gt;"",C$3,"NA"),'MITRE ATT&amp;CK Mappings'!$I60))),ISNUMBER(SEARCH(IF(C$3&lt;&gt;"",C$3,"NA"),'MITRE ATT&amp;CK Mappings'!$J60))), 'MITRE ATT&amp;CK Mappings'!$B60,"")</f>
        <v/>
      </c>
      <c r="D64" s="26" t="str">
        <f>IF(OR(OR(OR(OR(OR(ISNUMBER(SEARCH(IF(D$1&lt;&gt;"",D$1,"NA"),'MITRE ATT&amp;CK Mappings'!$E60)),ISNUMBER(SEARCH(IF(D$1&lt;&gt;"",D$1,"NA"),'MITRE ATT&amp;CK Mappings'!$F60))),ISNUMBER(SEARCH(IF(D$2&lt;&gt;"",D$2,"NA"),'MITRE ATT&amp;CK Mappings'!$G60))),ISNUMBER(SEARCH(IF(D$2&lt;&gt;"",D$2,"NA"),'MITRE ATT&amp;CK Mappings'!$H60))),ISNUMBER(SEARCH(IF(D$3&lt;&gt;"",D$3,"NA"),'MITRE ATT&amp;CK Mappings'!$I60))),ISNUMBER(SEARCH(IF(D$3&lt;&gt;"",D$3,"NA"),'MITRE ATT&amp;CK Mappings'!$J60))), 'MITRE ATT&amp;CK Mappings'!$B60,"")</f>
        <v/>
      </c>
      <c r="E64" s="26" t="str">
        <f>IF(OR(OR(OR(OR(OR(ISNUMBER(SEARCH(IF(E$1&lt;&gt;"",E$1,"NA"),'MITRE ATT&amp;CK Mappings'!$E60)),ISNUMBER(SEARCH(IF(E$1&lt;&gt;"",E$1,"NA"),'MITRE ATT&amp;CK Mappings'!$F60))),ISNUMBER(SEARCH(IF(E$2&lt;&gt;"",E$2,"NA"),'MITRE ATT&amp;CK Mappings'!$G60))),ISNUMBER(SEARCH(IF(E$2&lt;&gt;"",E$2,"NA"),'MITRE ATT&amp;CK Mappings'!$H60))),ISNUMBER(SEARCH(IF(E$3&lt;&gt;"",E$3,"NA"),'MITRE ATT&amp;CK Mappings'!$I60))),ISNUMBER(SEARCH(IF(E$3&lt;&gt;"",E$3,"NA"),'MITRE ATT&amp;CK Mappings'!$J60))), 'MITRE ATT&amp;CK Mappings'!$B60,"")</f>
        <v/>
      </c>
      <c r="F64" s="26" t="str">
        <f>IF(OR(OR(OR(OR(OR(ISNUMBER(SEARCH(IF(F$1&lt;&gt;"",F$1,"NA"),'MITRE ATT&amp;CK Mappings'!$E60)),ISNUMBER(SEARCH(IF(F$1&lt;&gt;"",F$1,"NA"),'MITRE ATT&amp;CK Mappings'!$F60))),ISNUMBER(SEARCH(IF(F$2&lt;&gt;"",F$2,"NA"),'MITRE ATT&amp;CK Mappings'!$G60))),ISNUMBER(SEARCH(IF(F$2&lt;&gt;"",F$2,"NA"),'MITRE ATT&amp;CK Mappings'!$H60))),ISNUMBER(SEARCH(IF(F$3&lt;&gt;"",F$3,"NA"),'MITRE ATT&amp;CK Mappings'!$I60))),ISNUMBER(SEARCH(IF(F$3&lt;&gt;"",F$3,"NA"),'MITRE ATT&amp;CK Mappings'!$J60))), 'MITRE ATT&amp;CK Mappings'!$B60,"")</f>
        <v/>
      </c>
      <c r="G64" s="26" t="str">
        <f>IF(OR(OR(OR(OR(OR(ISNUMBER(SEARCH(IF(G$1&lt;&gt;"",G$1,"NA"),'MITRE ATT&amp;CK Mappings'!$E60)),ISNUMBER(SEARCH(IF(G$1&lt;&gt;"",G$1,"NA"),'MITRE ATT&amp;CK Mappings'!$F60))),ISNUMBER(SEARCH(IF(G$2&lt;&gt;"",G$2,"NA"),'MITRE ATT&amp;CK Mappings'!$G60))),ISNUMBER(SEARCH(IF(G$2&lt;&gt;"",G$2,"NA"),'MITRE ATT&amp;CK Mappings'!$H60))),ISNUMBER(SEARCH(IF(G$3&lt;&gt;"",G$3,"NA"),'MITRE ATT&amp;CK Mappings'!$I60))),ISNUMBER(SEARCH(IF(G$3&lt;&gt;"",G$3,"NA"),'MITRE ATT&amp;CK Mappings'!$J60))), 'MITRE ATT&amp;CK Mappings'!$B60,"")</f>
        <v/>
      </c>
      <c r="H64" s="26" t="str">
        <f>IF(OR(OR(OR(OR(OR(ISNUMBER(SEARCH(IF(H$1&lt;&gt;"",H$1,"NA"),'MITRE ATT&amp;CK Mappings'!$E60)),ISNUMBER(SEARCH(IF(H$1&lt;&gt;"",H$1,"NA"),'MITRE ATT&amp;CK Mappings'!$F60))),ISNUMBER(SEARCH(IF(H$2&lt;&gt;"",H$2,"NA"),'MITRE ATT&amp;CK Mappings'!$G60))),ISNUMBER(SEARCH(IF(H$2&lt;&gt;"",H$2,"NA"),'MITRE ATT&amp;CK Mappings'!$H60))),ISNUMBER(SEARCH(IF(H$3&lt;&gt;"",H$3,"NA"),'MITRE ATT&amp;CK Mappings'!$I60))),ISNUMBER(SEARCH(IF(H$3&lt;&gt;"",H$3,"NA"),'MITRE ATT&amp;CK Mappings'!$J60))), 'MITRE ATT&amp;CK Mappings'!$B60,"")</f>
        <v/>
      </c>
      <c r="I64" s="26" t="str">
        <f>IF(OR(OR(OR(OR(OR(ISNUMBER(SEARCH(IF(I$1&lt;&gt;"",I$1,"NA"),'MITRE ATT&amp;CK Mappings'!$E60)),ISNUMBER(SEARCH(IF(I$1&lt;&gt;"",I$1,"NA"),'MITRE ATT&amp;CK Mappings'!$F60))),ISNUMBER(SEARCH(IF(I$2&lt;&gt;"",I$2,"NA"),'MITRE ATT&amp;CK Mappings'!$G60))),ISNUMBER(SEARCH(IF(I$2&lt;&gt;"",I$2,"NA"),'MITRE ATT&amp;CK Mappings'!$H60))),ISNUMBER(SEARCH(IF(I$3&lt;&gt;"",I$3,"NA"),'MITRE ATT&amp;CK Mappings'!$I60))),ISNUMBER(SEARCH(IF(I$3&lt;&gt;"",I$3,"NA"),'MITRE ATT&amp;CK Mappings'!$J60))), 'MITRE ATT&amp;CK Mappings'!$B60,"")</f>
        <v/>
      </c>
      <c r="J64" s="26" t="str">
        <f>IF(OR(OR(OR(OR(OR(ISNUMBER(SEARCH(IF(J$1&lt;&gt;"",J$1,"NA"),'MITRE ATT&amp;CK Mappings'!$E60)),ISNUMBER(SEARCH(IF(J$1&lt;&gt;"",J$1,"NA"),'MITRE ATT&amp;CK Mappings'!$F60))),ISNUMBER(SEARCH(IF(J$2&lt;&gt;"",J$2,"NA"),'MITRE ATT&amp;CK Mappings'!$G60))),ISNUMBER(SEARCH(IF(J$2&lt;&gt;"",J$2,"NA"),'MITRE ATT&amp;CK Mappings'!$H60))),ISNUMBER(SEARCH(IF(J$3&lt;&gt;"",J$3,"NA"),'MITRE ATT&amp;CK Mappings'!$I60))),ISNUMBER(SEARCH(IF(J$3&lt;&gt;"",J$3,"NA"),'MITRE ATT&amp;CK Mappings'!$J60))), 'MITRE ATT&amp;CK Mappings'!$B60,"")</f>
        <v/>
      </c>
      <c r="K64" s="26" t="str">
        <f>IF(OR(OR(OR(OR(OR(ISNUMBER(SEARCH(IF(K$1&lt;&gt;"",K$1,"NA"),'MITRE ATT&amp;CK Mappings'!$E60)),ISNUMBER(SEARCH(IF(K$1&lt;&gt;"",K$1,"NA"),'MITRE ATT&amp;CK Mappings'!$F60))),ISNUMBER(SEARCH(IF(K$2&lt;&gt;"",K$2,"NA"),'MITRE ATT&amp;CK Mappings'!$G60))),ISNUMBER(SEARCH(IF(K$2&lt;&gt;"",K$2,"NA"),'MITRE ATT&amp;CK Mappings'!$H60))),ISNUMBER(SEARCH(IF(K$3&lt;&gt;"",K$3,"NA"),'MITRE ATT&amp;CK Mappings'!$I60))),ISNUMBER(SEARCH(IF(K$3&lt;&gt;"",K$3,"NA"),'MITRE ATT&amp;CK Mappings'!$J60))), 'MITRE ATT&amp;CK Mappings'!$B60,"")</f>
        <v/>
      </c>
      <c r="L64" s="26" t="str">
        <f>IF('MITRE ATT&amp;CK Mappings'!D60 &lt;&gt;"",'MITRE ATT&amp;CK Mappings'!D60,"" )</f>
        <v>Ensure that a 'Diagnostic Setting' exists for Subscription Activity Logs</v>
      </c>
    </row>
    <row r="65" spans="1:12" x14ac:dyDescent="0.25">
      <c r="A65" s="27" t="str">
        <f>IF(COUNTIF(B65:K65,"="&amp;'MITRE ATT&amp;CK Mappings'!B61)&gt;0,'MITRE ATT&amp;CK Mappings'!B61,"")</f>
        <v/>
      </c>
      <c r="B65" s="27" t="str">
        <f>IF(OR(OR(OR(OR(OR(ISNUMBER(SEARCH(IF(B$1&lt;&gt;"",B$1,"NA"),'MITRE ATT&amp;CK Mappings'!$E61)),ISNUMBER(SEARCH(IF(B$1&lt;&gt;"",B$1,"NA"),'MITRE ATT&amp;CK Mappings'!$F61))),ISNUMBER(SEARCH(IF(B$2&lt;&gt;"",B$2,"NA"),'MITRE ATT&amp;CK Mappings'!$G61))),ISNUMBER(SEARCH(IF(B$2&lt;&gt;"",B$2,"NA"),'MITRE ATT&amp;CK Mappings'!$H61))),ISNUMBER(SEARCH(IF(B$3&lt;&gt;"",B$3,"NA"),'MITRE ATT&amp;CK Mappings'!$I61))),ISNUMBER(SEARCH(IF(B$3&lt;&gt;"",B$3,"NA"),'MITRE ATT&amp;CK Mappings'!$J61))), 'MITRE ATT&amp;CK Mappings'!$B61,"")</f>
        <v/>
      </c>
      <c r="C65" s="27" t="str">
        <f>IF(OR(OR(OR(OR(OR(ISNUMBER(SEARCH(IF(C$1&lt;&gt;"",C$1,"NA"),'MITRE ATT&amp;CK Mappings'!$E61)),ISNUMBER(SEARCH(IF(C$1&lt;&gt;"",C$1,"NA"),'MITRE ATT&amp;CK Mappings'!$F61))),ISNUMBER(SEARCH(IF(C$2&lt;&gt;"",C$2,"NA"),'MITRE ATT&amp;CK Mappings'!$G61))),ISNUMBER(SEARCH(IF(C$2&lt;&gt;"",C$2,"NA"),'MITRE ATT&amp;CK Mappings'!$H61))),ISNUMBER(SEARCH(IF(C$3&lt;&gt;"",C$3,"NA"),'MITRE ATT&amp;CK Mappings'!$I61))),ISNUMBER(SEARCH(IF(C$3&lt;&gt;"",C$3,"NA"),'MITRE ATT&amp;CK Mappings'!$J61))), 'MITRE ATT&amp;CK Mappings'!$B61,"")</f>
        <v/>
      </c>
      <c r="D65" s="27" t="str">
        <f>IF(OR(OR(OR(OR(OR(ISNUMBER(SEARCH(IF(D$1&lt;&gt;"",D$1,"NA"),'MITRE ATT&amp;CK Mappings'!$E61)),ISNUMBER(SEARCH(IF(D$1&lt;&gt;"",D$1,"NA"),'MITRE ATT&amp;CK Mappings'!$F61))),ISNUMBER(SEARCH(IF(D$2&lt;&gt;"",D$2,"NA"),'MITRE ATT&amp;CK Mappings'!$G61))),ISNUMBER(SEARCH(IF(D$2&lt;&gt;"",D$2,"NA"),'MITRE ATT&amp;CK Mappings'!$H61))),ISNUMBER(SEARCH(IF(D$3&lt;&gt;"",D$3,"NA"),'MITRE ATT&amp;CK Mappings'!$I61))),ISNUMBER(SEARCH(IF(D$3&lt;&gt;"",D$3,"NA"),'MITRE ATT&amp;CK Mappings'!$J61))), 'MITRE ATT&amp;CK Mappings'!$B61,"")</f>
        <v/>
      </c>
      <c r="E65" s="27" t="str">
        <f>IF(OR(OR(OR(OR(OR(ISNUMBER(SEARCH(IF(E$1&lt;&gt;"",E$1,"NA"),'MITRE ATT&amp;CK Mappings'!$E61)),ISNUMBER(SEARCH(IF(E$1&lt;&gt;"",E$1,"NA"),'MITRE ATT&amp;CK Mappings'!$F61))),ISNUMBER(SEARCH(IF(E$2&lt;&gt;"",E$2,"NA"),'MITRE ATT&amp;CK Mappings'!$G61))),ISNUMBER(SEARCH(IF(E$2&lt;&gt;"",E$2,"NA"),'MITRE ATT&amp;CK Mappings'!$H61))),ISNUMBER(SEARCH(IF(E$3&lt;&gt;"",E$3,"NA"),'MITRE ATT&amp;CK Mappings'!$I61))),ISNUMBER(SEARCH(IF(E$3&lt;&gt;"",E$3,"NA"),'MITRE ATT&amp;CK Mappings'!$J61))), 'MITRE ATT&amp;CK Mappings'!$B61,"")</f>
        <v/>
      </c>
      <c r="F65" s="27" t="str">
        <f>IF(OR(OR(OR(OR(OR(ISNUMBER(SEARCH(IF(F$1&lt;&gt;"",F$1,"NA"),'MITRE ATT&amp;CK Mappings'!$E61)),ISNUMBER(SEARCH(IF(F$1&lt;&gt;"",F$1,"NA"),'MITRE ATT&amp;CK Mappings'!$F61))),ISNUMBER(SEARCH(IF(F$2&lt;&gt;"",F$2,"NA"),'MITRE ATT&amp;CK Mappings'!$G61))),ISNUMBER(SEARCH(IF(F$2&lt;&gt;"",F$2,"NA"),'MITRE ATT&amp;CK Mappings'!$H61))),ISNUMBER(SEARCH(IF(F$3&lt;&gt;"",F$3,"NA"),'MITRE ATT&amp;CK Mappings'!$I61))),ISNUMBER(SEARCH(IF(F$3&lt;&gt;"",F$3,"NA"),'MITRE ATT&amp;CK Mappings'!$J61))), 'MITRE ATT&amp;CK Mappings'!$B61,"")</f>
        <v/>
      </c>
      <c r="G65" s="27" t="str">
        <f>IF(OR(OR(OR(OR(OR(ISNUMBER(SEARCH(IF(G$1&lt;&gt;"",G$1,"NA"),'MITRE ATT&amp;CK Mappings'!$E61)),ISNUMBER(SEARCH(IF(G$1&lt;&gt;"",G$1,"NA"),'MITRE ATT&amp;CK Mappings'!$F61))),ISNUMBER(SEARCH(IF(G$2&lt;&gt;"",G$2,"NA"),'MITRE ATT&amp;CK Mappings'!$G61))),ISNUMBER(SEARCH(IF(G$2&lt;&gt;"",G$2,"NA"),'MITRE ATT&amp;CK Mappings'!$H61))),ISNUMBER(SEARCH(IF(G$3&lt;&gt;"",G$3,"NA"),'MITRE ATT&amp;CK Mappings'!$I61))),ISNUMBER(SEARCH(IF(G$3&lt;&gt;"",G$3,"NA"),'MITRE ATT&amp;CK Mappings'!$J61))), 'MITRE ATT&amp;CK Mappings'!$B61,"")</f>
        <v/>
      </c>
      <c r="H65" s="27" t="str">
        <f>IF(OR(OR(OR(OR(OR(ISNUMBER(SEARCH(IF(H$1&lt;&gt;"",H$1,"NA"),'MITRE ATT&amp;CK Mappings'!$E61)),ISNUMBER(SEARCH(IF(H$1&lt;&gt;"",H$1,"NA"),'MITRE ATT&amp;CK Mappings'!$F61))),ISNUMBER(SEARCH(IF(H$2&lt;&gt;"",H$2,"NA"),'MITRE ATT&amp;CK Mappings'!$G61))),ISNUMBER(SEARCH(IF(H$2&lt;&gt;"",H$2,"NA"),'MITRE ATT&amp;CK Mappings'!$H61))),ISNUMBER(SEARCH(IF(H$3&lt;&gt;"",H$3,"NA"),'MITRE ATT&amp;CK Mappings'!$I61))),ISNUMBER(SEARCH(IF(H$3&lt;&gt;"",H$3,"NA"),'MITRE ATT&amp;CK Mappings'!$J61))), 'MITRE ATT&amp;CK Mappings'!$B61,"")</f>
        <v/>
      </c>
      <c r="I65" s="27" t="str">
        <f>IF(OR(OR(OR(OR(OR(ISNUMBER(SEARCH(IF(I$1&lt;&gt;"",I$1,"NA"),'MITRE ATT&amp;CK Mappings'!$E61)),ISNUMBER(SEARCH(IF(I$1&lt;&gt;"",I$1,"NA"),'MITRE ATT&amp;CK Mappings'!$F61))),ISNUMBER(SEARCH(IF(I$2&lt;&gt;"",I$2,"NA"),'MITRE ATT&amp;CK Mappings'!$G61))),ISNUMBER(SEARCH(IF(I$2&lt;&gt;"",I$2,"NA"),'MITRE ATT&amp;CK Mappings'!$H61))),ISNUMBER(SEARCH(IF(I$3&lt;&gt;"",I$3,"NA"),'MITRE ATT&amp;CK Mappings'!$I61))),ISNUMBER(SEARCH(IF(I$3&lt;&gt;"",I$3,"NA"),'MITRE ATT&amp;CK Mappings'!$J61))), 'MITRE ATT&amp;CK Mappings'!$B61,"")</f>
        <v/>
      </c>
      <c r="J65" s="27" t="str">
        <f>IF(OR(OR(OR(OR(OR(ISNUMBER(SEARCH(IF(J$1&lt;&gt;"",J$1,"NA"),'MITRE ATT&amp;CK Mappings'!$E61)),ISNUMBER(SEARCH(IF(J$1&lt;&gt;"",J$1,"NA"),'MITRE ATT&amp;CK Mappings'!$F61))),ISNUMBER(SEARCH(IF(J$2&lt;&gt;"",J$2,"NA"),'MITRE ATT&amp;CK Mappings'!$G61))),ISNUMBER(SEARCH(IF(J$2&lt;&gt;"",J$2,"NA"),'MITRE ATT&amp;CK Mappings'!$H61))),ISNUMBER(SEARCH(IF(J$3&lt;&gt;"",J$3,"NA"),'MITRE ATT&amp;CK Mappings'!$I61))),ISNUMBER(SEARCH(IF(J$3&lt;&gt;"",J$3,"NA"),'MITRE ATT&amp;CK Mappings'!$J61))), 'MITRE ATT&amp;CK Mappings'!$B61,"")</f>
        <v/>
      </c>
      <c r="K65" s="27" t="str">
        <f>IF(OR(OR(OR(OR(OR(ISNUMBER(SEARCH(IF(K$1&lt;&gt;"",K$1,"NA"),'MITRE ATT&amp;CK Mappings'!$E61)),ISNUMBER(SEARCH(IF(K$1&lt;&gt;"",K$1,"NA"),'MITRE ATT&amp;CK Mappings'!$F61))),ISNUMBER(SEARCH(IF(K$2&lt;&gt;"",K$2,"NA"),'MITRE ATT&amp;CK Mappings'!$G61))),ISNUMBER(SEARCH(IF(K$2&lt;&gt;"",K$2,"NA"),'MITRE ATT&amp;CK Mappings'!$H61))),ISNUMBER(SEARCH(IF(K$3&lt;&gt;"",K$3,"NA"),'MITRE ATT&amp;CK Mappings'!$I61))),ISNUMBER(SEARCH(IF(K$3&lt;&gt;"",K$3,"NA"),'MITRE ATT&amp;CK Mappings'!$J61))), 'MITRE ATT&amp;CK Mappings'!$B61,"")</f>
        <v/>
      </c>
      <c r="L65" s="27" t="str">
        <f>IF('MITRE ATT&amp;CK Mappings'!D61 &lt;&gt;"",'MITRE ATT&amp;CK Mappings'!D61,"" )</f>
        <v>Ensure Diagnostic Setting captures appropriate categories</v>
      </c>
    </row>
    <row r="66" spans="1:12" x14ac:dyDescent="0.25">
      <c r="A66" s="26" t="str">
        <f>IF(COUNTIF(B66:K66,"="&amp;'MITRE ATT&amp;CK Mappings'!B62)&gt;0,'MITRE ATT&amp;CK Mappings'!B62,"")</f>
        <v/>
      </c>
      <c r="B66" s="26" t="str">
        <f>IF(OR(OR(OR(OR(OR(ISNUMBER(SEARCH(IF(B$1&lt;&gt;"",B$1,"NA"),'MITRE ATT&amp;CK Mappings'!$E62)),ISNUMBER(SEARCH(IF(B$1&lt;&gt;"",B$1,"NA"),'MITRE ATT&amp;CK Mappings'!$F62))),ISNUMBER(SEARCH(IF(B$2&lt;&gt;"",B$2,"NA"),'MITRE ATT&amp;CK Mappings'!$G62))),ISNUMBER(SEARCH(IF(B$2&lt;&gt;"",B$2,"NA"),'MITRE ATT&amp;CK Mappings'!$H62))),ISNUMBER(SEARCH(IF(B$3&lt;&gt;"",B$3,"NA"),'MITRE ATT&amp;CK Mappings'!$I62))),ISNUMBER(SEARCH(IF(B$3&lt;&gt;"",B$3,"NA"),'MITRE ATT&amp;CK Mappings'!$J62))), 'MITRE ATT&amp;CK Mappings'!$B62,"")</f>
        <v/>
      </c>
      <c r="C66" s="26" t="str">
        <f>IF(OR(OR(OR(OR(OR(ISNUMBER(SEARCH(IF(C$1&lt;&gt;"",C$1,"NA"),'MITRE ATT&amp;CK Mappings'!$E62)),ISNUMBER(SEARCH(IF(C$1&lt;&gt;"",C$1,"NA"),'MITRE ATT&amp;CK Mappings'!$F62))),ISNUMBER(SEARCH(IF(C$2&lt;&gt;"",C$2,"NA"),'MITRE ATT&amp;CK Mappings'!$G62))),ISNUMBER(SEARCH(IF(C$2&lt;&gt;"",C$2,"NA"),'MITRE ATT&amp;CK Mappings'!$H62))),ISNUMBER(SEARCH(IF(C$3&lt;&gt;"",C$3,"NA"),'MITRE ATT&amp;CK Mappings'!$I62))),ISNUMBER(SEARCH(IF(C$3&lt;&gt;"",C$3,"NA"),'MITRE ATT&amp;CK Mappings'!$J62))), 'MITRE ATT&amp;CK Mappings'!$B62,"")</f>
        <v/>
      </c>
      <c r="D66" s="26" t="str">
        <f>IF(OR(OR(OR(OR(OR(ISNUMBER(SEARCH(IF(D$1&lt;&gt;"",D$1,"NA"),'MITRE ATT&amp;CK Mappings'!$E62)),ISNUMBER(SEARCH(IF(D$1&lt;&gt;"",D$1,"NA"),'MITRE ATT&amp;CK Mappings'!$F62))),ISNUMBER(SEARCH(IF(D$2&lt;&gt;"",D$2,"NA"),'MITRE ATT&amp;CK Mappings'!$G62))),ISNUMBER(SEARCH(IF(D$2&lt;&gt;"",D$2,"NA"),'MITRE ATT&amp;CK Mappings'!$H62))),ISNUMBER(SEARCH(IF(D$3&lt;&gt;"",D$3,"NA"),'MITRE ATT&amp;CK Mappings'!$I62))),ISNUMBER(SEARCH(IF(D$3&lt;&gt;"",D$3,"NA"),'MITRE ATT&amp;CK Mappings'!$J62))), 'MITRE ATT&amp;CK Mappings'!$B62,"")</f>
        <v/>
      </c>
      <c r="E66" s="26" t="str">
        <f>IF(OR(OR(OR(OR(OR(ISNUMBER(SEARCH(IF(E$1&lt;&gt;"",E$1,"NA"),'MITRE ATT&amp;CK Mappings'!$E62)),ISNUMBER(SEARCH(IF(E$1&lt;&gt;"",E$1,"NA"),'MITRE ATT&amp;CK Mappings'!$F62))),ISNUMBER(SEARCH(IF(E$2&lt;&gt;"",E$2,"NA"),'MITRE ATT&amp;CK Mappings'!$G62))),ISNUMBER(SEARCH(IF(E$2&lt;&gt;"",E$2,"NA"),'MITRE ATT&amp;CK Mappings'!$H62))),ISNUMBER(SEARCH(IF(E$3&lt;&gt;"",E$3,"NA"),'MITRE ATT&amp;CK Mappings'!$I62))),ISNUMBER(SEARCH(IF(E$3&lt;&gt;"",E$3,"NA"),'MITRE ATT&amp;CK Mappings'!$J62))), 'MITRE ATT&amp;CK Mappings'!$B62,"")</f>
        <v/>
      </c>
      <c r="F66" s="26" t="str">
        <f>IF(OR(OR(OR(OR(OR(ISNUMBER(SEARCH(IF(F$1&lt;&gt;"",F$1,"NA"),'MITRE ATT&amp;CK Mappings'!$E62)),ISNUMBER(SEARCH(IF(F$1&lt;&gt;"",F$1,"NA"),'MITRE ATT&amp;CK Mappings'!$F62))),ISNUMBER(SEARCH(IF(F$2&lt;&gt;"",F$2,"NA"),'MITRE ATT&amp;CK Mappings'!$G62))),ISNUMBER(SEARCH(IF(F$2&lt;&gt;"",F$2,"NA"),'MITRE ATT&amp;CK Mappings'!$H62))),ISNUMBER(SEARCH(IF(F$3&lt;&gt;"",F$3,"NA"),'MITRE ATT&amp;CK Mappings'!$I62))),ISNUMBER(SEARCH(IF(F$3&lt;&gt;"",F$3,"NA"),'MITRE ATT&amp;CK Mappings'!$J62))), 'MITRE ATT&amp;CK Mappings'!$B62,"")</f>
        <v/>
      </c>
      <c r="G66" s="26" t="str">
        <f>IF(OR(OR(OR(OR(OR(ISNUMBER(SEARCH(IF(G$1&lt;&gt;"",G$1,"NA"),'MITRE ATT&amp;CK Mappings'!$E62)),ISNUMBER(SEARCH(IF(G$1&lt;&gt;"",G$1,"NA"),'MITRE ATT&amp;CK Mappings'!$F62))),ISNUMBER(SEARCH(IF(G$2&lt;&gt;"",G$2,"NA"),'MITRE ATT&amp;CK Mappings'!$G62))),ISNUMBER(SEARCH(IF(G$2&lt;&gt;"",G$2,"NA"),'MITRE ATT&amp;CK Mappings'!$H62))),ISNUMBER(SEARCH(IF(G$3&lt;&gt;"",G$3,"NA"),'MITRE ATT&amp;CK Mappings'!$I62))),ISNUMBER(SEARCH(IF(G$3&lt;&gt;"",G$3,"NA"),'MITRE ATT&amp;CK Mappings'!$J62))), 'MITRE ATT&amp;CK Mappings'!$B62,"")</f>
        <v/>
      </c>
      <c r="H66" s="26" t="str">
        <f>IF(OR(OR(OR(OR(OR(ISNUMBER(SEARCH(IF(H$1&lt;&gt;"",H$1,"NA"),'MITRE ATT&amp;CK Mappings'!$E62)),ISNUMBER(SEARCH(IF(H$1&lt;&gt;"",H$1,"NA"),'MITRE ATT&amp;CK Mappings'!$F62))),ISNUMBER(SEARCH(IF(H$2&lt;&gt;"",H$2,"NA"),'MITRE ATT&amp;CK Mappings'!$G62))),ISNUMBER(SEARCH(IF(H$2&lt;&gt;"",H$2,"NA"),'MITRE ATT&amp;CK Mappings'!$H62))),ISNUMBER(SEARCH(IF(H$3&lt;&gt;"",H$3,"NA"),'MITRE ATT&amp;CK Mappings'!$I62))),ISNUMBER(SEARCH(IF(H$3&lt;&gt;"",H$3,"NA"),'MITRE ATT&amp;CK Mappings'!$J62))), 'MITRE ATT&amp;CK Mappings'!$B62,"")</f>
        <v/>
      </c>
      <c r="I66" s="26" t="str">
        <f>IF(OR(OR(OR(OR(OR(ISNUMBER(SEARCH(IF(I$1&lt;&gt;"",I$1,"NA"),'MITRE ATT&amp;CK Mappings'!$E62)),ISNUMBER(SEARCH(IF(I$1&lt;&gt;"",I$1,"NA"),'MITRE ATT&amp;CK Mappings'!$F62))),ISNUMBER(SEARCH(IF(I$2&lt;&gt;"",I$2,"NA"),'MITRE ATT&amp;CK Mappings'!$G62))),ISNUMBER(SEARCH(IF(I$2&lt;&gt;"",I$2,"NA"),'MITRE ATT&amp;CK Mappings'!$H62))),ISNUMBER(SEARCH(IF(I$3&lt;&gt;"",I$3,"NA"),'MITRE ATT&amp;CK Mappings'!$I62))),ISNUMBER(SEARCH(IF(I$3&lt;&gt;"",I$3,"NA"),'MITRE ATT&amp;CK Mappings'!$J62))), 'MITRE ATT&amp;CK Mappings'!$B62,"")</f>
        <v/>
      </c>
      <c r="J66" s="26" t="str">
        <f>IF(OR(OR(OR(OR(OR(ISNUMBER(SEARCH(IF(J$1&lt;&gt;"",J$1,"NA"),'MITRE ATT&amp;CK Mappings'!$E62)),ISNUMBER(SEARCH(IF(J$1&lt;&gt;"",J$1,"NA"),'MITRE ATT&amp;CK Mappings'!$F62))),ISNUMBER(SEARCH(IF(J$2&lt;&gt;"",J$2,"NA"),'MITRE ATT&amp;CK Mappings'!$G62))),ISNUMBER(SEARCH(IF(J$2&lt;&gt;"",J$2,"NA"),'MITRE ATT&amp;CK Mappings'!$H62))),ISNUMBER(SEARCH(IF(J$3&lt;&gt;"",J$3,"NA"),'MITRE ATT&amp;CK Mappings'!$I62))),ISNUMBER(SEARCH(IF(J$3&lt;&gt;"",J$3,"NA"),'MITRE ATT&amp;CK Mappings'!$J62))), 'MITRE ATT&amp;CK Mappings'!$B62,"")</f>
        <v/>
      </c>
      <c r="K66" s="26" t="str">
        <f>IF(OR(OR(OR(OR(OR(ISNUMBER(SEARCH(IF(K$1&lt;&gt;"",K$1,"NA"),'MITRE ATT&amp;CK Mappings'!$E62)),ISNUMBER(SEARCH(IF(K$1&lt;&gt;"",K$1,"NA"),'MITRE ATT&amp;CK Mappings'!$F62))),ISNUMBER(SEARCH(IF(K$2&lt;&gt;"",K$2,"NA"),'MITRE ATT&amp;CK Mappings'!$G62))),ISNUMBER(SEARCH(IF(K$2&lt;&gt;"",K$2,"NA"),'MITRE ATT&amp;CK Mappings'!$H62))),ISNUMBER(SEARCH(IF(K$3&lt;&gt;"",K$3,"NA"),'MITRE ATT&amp;CK Mappings'!$I62))),ISNUMBER(SEARCH(IF(K$3&lt;&gt;"",K$3,"NA"),'MITRE ATT&amp;CK Mappings'!$J62))), 'MITRE ATT&amp;CK Mappings'!$B62,"")</f>
        <v/>
      </c>
      <c r="L66" s="26" t="str">
        <f>IF('MITRE ATT&amp;CK Mappings'!D62 &lt;&gt;"",'MITRE ATT&amp;CK Mappings'!D62,"" )</f>
        <v>Ensure the storage account containing the container with activity logs is encrypted with customer-managed key (CMK)</v>
      </c>
    </row>
    <row r="67" spans="1:12" x14ac:dyDescent="0.25">
      <c r="A67" s="27" t="str">
        <f>IF(COUNTIF(B67:K67,"="&amp;'MITRE ATT&amp;CK Mappings'!B63)&gt;0,'MITRE ATT&amp;CK Mappings'!B63,"")</f>
        <v/>
      </c>
      <c r="B67" s="27" t="str">
        <f>IF(OR(OR(OR(OR(OR(ISNUMBER(SEARCH(IF(B$1&lt;&gt;"",B$1,"NA"),'MITRE ATT&amp;CK Mappings'!$E63)),ISNUMBER(SEARCH(IF(B$1&lt;&gt;"",B$1,"NA"),'MITRE ATT&amp;CK Mappings'!$F63))),ISNUMBER(SEARCH(IF(B$2&lt;&gt;"",B$2,"NA"),'MITRE ATT&amp;CK Mappings'!$G63))),ISNUMBER(SEARCH(IF(B$2&lt;&gt;"",B$2,"NA"),'MITRE ATT&amp;CK Mappings'!$H63))),ISNUMBER(SEARCH(IF(B$3&lt;&gt;"",B$3,"NA"),'MITRE ATT&amp;CK Mappings'!$I63))),ISNUMBER(SEARCH(IF(B$3&lt;&gt;"",B$3,"NA"),'MITRE ATT&amp;CK Mappings'!$J63))), 'MITRE ATT&amp;CK Mappings'!$B63,"")</f>
        <v/>
      </c>
      <c r="C67" s="27" t="str">
        <f>IF(OR(OR(OR(OR(OR(ISNUMBER(SEARCH(IF(C$1&lt;&gt;"",C$1,"NA"),'MITRE ATT&amp;CK Mappings'!$E63)),ISNUMBER(SEARCH(IF(C$1&lt;&gt;"",C$1,"NA"),'MITRE ATT&amp;CK Mappings'!$F63))),ISNUMBER(SEARCH(IF(C$2&lt;&gt;"",C$2,"NA"),'MITRE ATT&amp;CK Mappings'!$G63))),ISNUMBER(SEARCH(IF(C$2&lt;&gt;"",C$2,"NA"),'MITRE ATT&amp;CK Mappings'!$H63))),ISNUMBER(SEARCH(IF(C$3&lt;&gt;"",C$3,"NA"),'MITRE ATT&amp;CK Mappings'!$I63))),ISNUMBER(SEARCH(IF(C$3&lt;&gt;"",C$3,"NA"),'MITRE ATT&amp;CK Mappings'!$J63))), 'MITRE ATT&amp;CK Mappings'!$B63,"")</f>
        <v/>
      </c>
      <c r="D67" s="27" t="str">
        <f>IF(OR(OR(OR(OR(OR(ISNUMBER(SEARCH(IF(D$1&lt;&gt;"",D$1,"NA"),'MITRE ATT&amp;CK Mappings'!$E63)),ISNUMBER(SEARCH(IF(D$1&lt;&gt;"",D$1,"NA"),'MITRE ATT&amp;CK Mappings'!$F63))),ISNUMBER(SEARCH(IF(D$2&lt;&gt;"",D$2,"NA"),'MITRE ATT&amp;CK Mappings'!$G63))),ISNUMBER(SEARCH(IF(D$2&lt;&gt;"",D$2,"NA"),'MITRE ATT&amp;CK Mappings'!$H63))),ISNUMBER(SEARCH(IF(D$3&lt;&gt;"",D$3,"NA"),'MITRE ATT&amp;CK Mappings'!$I63))),ISNUMBER(SEARCH(IF(D$3&lt;&gt;"",D$3,"NA"),'MITRE ATT&amp;CK Mappings'!$J63))), 'MITRE ATT&amp;CK Mappings'!$B63,"")</f>
        <v/>
      </c>
      <c r="E67" s="27" t="str">
        <f>IF(OR(OR(OR(OR(OR(ISNUMBER(SEARCH(IF(E$1&lt;&gt;"",E$1,"NA"),'MITRE ATT&amp;CK Mappings'!$E63)),ISNUMBER(SEARCH(IF(E$1&lt;&gt;"",E$1,"NA"),'MITRE ATT&amp;CK Mappings'!$F63))),ISNUMBER(SEARCH(IF(E$2&lt;&gt;"",E$2,"NA"),'MITRE ATT&amp;CK Mappings'!$G63))),ISNUMBER(SEARCH(IF(E$2&lt;&gt;"",E$2,"NA"),'MITRE ATT&amp;CK Mappings'!$H63))),ISNUMBER(SEARCH(IF(E$3&lt;&gt;"",E$3,"NA"),'MITRE ATT&amp;CK Mappings'!$I63))),ISNUMBER(SEARCH(IF(E$3&lt;&gt;"",E$3,"NA"),'MITRE ATT&amp;CK Mappings'!$J63))), 'MITRE ATT&amp;CK Mappings'!$B63,"")</f>
        <v/>
      </c>
      <c r="F67" s="27" t="str">
        <f>IF(OR(OR(OR(OR(OR(ISNUMBER(SEARCH(IF(F$1&lt;&gt;"",F$1,"NA"),'MITRE ATT&amp;CK Mappings'!$E63)),ISNUMBER(SEARCH(IF(F$1&lt;&gt;"",F$1,"NA"),'MITRE ATT&amp;CK Mappings'!$F63))),ISNUMBER(SEARCH(IF(F$2&lt;&gt;"",F$2,"NA"),'MITRE ATT&amp;CK Mappings'!$G63))),ISNUMBER(SEARCH(IF(F$2&lt;&gt;"",F$2,"NA"),'MITRE ATT&amp;CK Mappings'!$H63))),ISNUMBER(SEARCH(IF(F$3&lt;&gt;"",F$3,"NA"),'MITRE ATT&amp;CK Mappings'!$I63))),ISNUMBER(SEARCH(IF(F$3&lt;&gt;"",F$3,"NA"),'MITRE ATT&amp;CK Mappings'!$J63))), 'MITRE ATT&amp;CK Mappings'!$B63,"")</f>
        <v/>
      </c>
      <c r="G67" s="27" t="str">
        <f>IF(OR(OR(OR(OR(OR(ISNUMBER(SEARCH(IF(G$1&lt;&gt;"",G$1,"NA"),'MITRE ATT&amp;CK Mappings'!$E63)),ISNUMBER(SEARCH(IF(G$1&lt;&gt;"",G$1,"NA"),'MITRE ATT&amp;CK Mappings'!$F63))),ISNUMBER(SEARCH(IF(G$2&lt;&gt;"",G$2,"NA"),'MITRE ATT&amp;CK Mappings'!$G63))),ISNUMBER(SEARCH(IF(G$2&lt;&gt;"",G$2,"NA"),'MITRE ATT&amp;CK Mappings'!$H63))),ISNUMBER(SEARCH(IF(G$3&lt;&gt;"",G$3,"NA"),'MITRE ATT&amp;CK Mappings'!$I63))),ISNUMBER(SEARCH(IF(G$3&lt;&gt;"",G$3,"NA"),'MITRE ATT&amp;CK Mappings'!$J63))), 'MITRE ATT&amp;CK Mappings'!$B63,"")</f>
        <v/>
      </c>
      <c r="H67" s="27" t="str">
        <f>IF(OR(OR(OR(OR(OR(ISNUMBER(SEARCH(IF(H$1&lt;&gt;"",H$1,"NA"),'MITRE ATT&amp;CK Mappings'!$E63)),ISNUMBER(SEARCH(IF(H$1&lt;&gt;"",H$1,"NA"),'MITRE ATT&amp;CK Mappings'!$F63))),ISNUMBER(SEARCH(IF(H$2&lt;&gt;"",H$2,"NA"),'MITRE ATT&amp;CK Mappings'!$G63))),ISNUMBER(SEARCH(IF(H$2&lt;&gt;"",H$2,"NA"),'MITRE ATT&amp;CK Mappings'!$H63))),ISNUMBER(SEARCH(IF(H$3&lt;&gt;"",H$3,"NA"),'MITRE ATT&amp;CK Mappings'!$I63))),ISNUMBER(SEARCH(IF(H$3&lt;&gt;"",H$3,"NA"),'MITRE ATT&amp;CK Mappings'!$J63))), 'MITRE ATT&amp;CK Mappings'!$B63,"")</f>
        <v/>
      </c>
      <c r="I67" s="27" t="str">
        <f>IF(OR(OR(OR(OR(OR(ISNUMBER(SEARCH(IF(I$1&lt;&gt;"",I$1,"NA"),'MITRE ATT&amp;CK Mappings'!$E63)),ISNUMBER(SEARCH(IF(I$1&lt;&gt;"",I$1,"NA"),'MITRE ATT&amp;CK Mappings'!$F63))),ISNUMBER(SEARCH(IF(I$2&lt;&gt;"",I$2,"NA"),'MITRE ATT&amp;CK Mappings'!$G63))),ISNUMBER(SEARCH(IF(I$2&lt;&gt;"",I$2,"NA"),'MITRE ATT&amp;CK Mappings'!$H63))),ISNUMBER(SEARCH(IF(I$3&lt;&gt;"",I$3,"NA"),'MITRE ATT&amp;CK Mappings'!$I63))),ISNUMBER(SEARCH(IF(I$3&lt;&gt;"",I$3,"NA"),'MITRE ATT&amp;CK Mappings'!$J63))), 'MITRE ATT&amp;CK Mappings'!$B63,"")</f>
        <v/>
      </c>
      <c r="J67" s="27" t="str">
        <f>IF(OR(OR(OR(OR(OR(ISNUMBER(SEARCH(IF(J$1&lt;&gt;"",J$1,"NA"),'MITRE ATT&amp;CK Mappings'!$E63)),ISNUMBER(SEARCH(IF(J$1&lt;&gt;"",J$1,"NA"),'MITRE ATT&amp;CK Mappings'!$F63))),ISNUMBER(SEARCH(IF(J$2&lt;&gt;"",J$2,"NA"),'MITRE ATT&amp;CK Mappings'!$G63))),ISNUMBER(SEARCH(IF(J$2&lt;&gt;"",J$2,"NA"),'MITRE ATT&amp;CK Mappings'!$H63))),ISNUMBER(SEARCH(IF(J$3&lt;&gt;"",J$3,"NA"),'MITRE ATT&amp;CK Mappings'!$I63))),ISNUMBER(SEARCH(IF(J$3&lt;&gt;"",J$3,"NA"),'MITRE ATT&amp;CK Mappings'!$J63))), 'MITRE ATT&amp;CK Mappings'!$B63,"")</f>
        <v/>
      </c>
      <c r="K67" s="27" t="str">
        <f>IF(OR(OR(OR(OR(OR(ISNUMBER(SEARCH(IF(K$1&lt;&gt;"",K$1,"NA"),'MITRE ATT&amp;CK Mappings'!$E63)),ISNUMBER(SEARCH(IF(K$1&lt;&gt;"",K$1,"NA"),'MITRE ATT&amp;CK Mappings'!$F63))),ISNUMBER(SEARCH(IF(K$2&lt;&gt;"",K$2,"NA"),'MITRE ATT&amp;CK Mappings'!$G63))),ISNUMBER(SEARCH(IF(K$2&lt;&gt;"",K$2,"NA"),'MITRE ATT&amp;CK Mappings'!$H63))),ISNUMBER(SEARCH(IF(K$3&lt;&gt;"",K$3,"NA"),'MITRE ATT&amp;CK Mappings'!$I63))),ISNUMBER(SEARCH(IF(K$3&lt;&gt;"",K$3,"NA"),'MITRE ATT&amp;CK Mappings'!$J63))), 'MITRE ATT&amp;CK Mappings'!$B63,"")</f>
        <v/>
      </c>
      <c r="L67" s="27" t="str">
        <f>IF('MITRE ATT&amp;CK Mappings'!D63 &lt;&gt;"",'MITRE ATT&amp;CK Mappings'!D63,"" )</f>
        <v>Ensure that logging for Azure Key Vault is 'Enabled'</v>
      </c>
    </row>
    <row r="68" spans="1:12" x14ac:dyDescent="0.25">
      <c r="A68" s="26" t="str">
        <f>IF(COUNTIF(B68:K68,"="&amp;'MITRE ATT&amp;CK Mappings'!B64)&gt;0,'MITRE ATT&amp;CK Mappings'!B64,"")</f>
        <v/>
      </c>
      <c r="B68" s="26" t="str">
        <f>IF(OR(OR(OR(OR(OR(ISNUMBER(SEARCH(IF(B$1&lt;&gt;"",B$1,"NA"),'MITRE ATT&amp;CK Mappings'!$E64)),ISNUMBER(SEARCH(IF(B$1&lt;&gt;"",B$1,"NA"),'MITRE ATT&amp;CK Mappings'!$F64))),ISNUMBER(SEARCH(IF(B$2&lt;&gt;"",B$2,"NA"),'MITRE ATT&amp;CK Mappings'!$G64))),ISNUMBER(SEARCH(IF(B$2&lt;&gt;"",B$2,"NA"),'MITRE ATT&amp;CK Mappings'!$H64))),ISNUMBER(SEARCH(IF(B$3&lt;&gt;"",B$3,"NA"),'MITRE ATT&amp;CK Mappings'!$I64))),ISNUMBER(SEARCH(IF(B$3&lt;&gt;"",B$3,"NA"),'MITRE ATT&amp;CK Mappings'!$J64))), 'MITRE ATT&amp;CK Mappings'!$B64,"")</f>
        <v/>
      </c>
      <c r="C68" s="26" t="str">
        <f>IF(OR(OR(OR(OR(OR(ISNUMBER(SEARCH(IF(C$1&lt;&gt;"",C$1,"NA"),'MITRE ATT&amp;CK Mappings'!$E64)),ISNUMBER(SEARCH(IF(C$1&lt;&gt;"",C$1,"NA"),'MITRE ATT&amp;CK Mappings'!$F64))),ISNUMBER(SEARCH(IF(C$2&lt;&gt;"",C$2,"NA"),'MITRE ATT&amp;CK Mappings'!$G64))),ISNUMBER(SEARCH(IF(C$2&lt;&gt;"",C$2,"NA"),'MITRE ATT&amp;CK Mappings'!$H64))),ISNUMBER(SEARCH(IF(C$3&lt;&gt;"",C$3,"NA"),'MITRE ATT&amp;CK Mappings'!$I64))),ISNUMBER(SEARCH(IF(C$3&lt;&gt;"",C$3,"NA"),'MITRE ATT&amp;CK Mappings'!$J64))), 'MITRE ATT&amp;CK Mappings'!$B64,"")</f>
        <v/>
      </c>
      <c r="D68" s="26" t="str">
        <f>IF(OR(OR(OR(OR(OR(ISNUMBER(SEARCH(IF(D$1&lt;&gt;"",D$1,"NA"),'MITRE ATT&amp;CK Mappings'!$E64)),ISNUMBER(SEARCH(IF(D$1&lt;&gt;"",D$1,"NA"),'MITRE ATT&amp;CK Mappings'!$F64))),ISNUMBER(SEARCH(IF(D$2&lt;&gt;"",D$2,"NA"),'MITRE ATT&amp;CK Mappings'!$G64))),ISNUMBER(SEARCH(IF(D$2&lt;&gt;"",D$2,"NA"),'MITRE ATT&amp;CK Mappings'!$H64))),ISNUMBER(SEARCH(IF(D$3&lt;&gt;"",D$3,"NA"),'MITRE ATT&amp;CK Mappings'!$I64))),ISNUMBER(SEARCH(IF(D$3&lt;&gt;"",D$3,"NA"),'MITRE ATT&amp;CK Mappings'!$J64))), 'MITRE ATT&amp;CK Mappings'!$B64,"")</f>
        <v/>
      </c>
      <c r="E68" s="26" t="str">
        <f>IF(OR(OR(OR(OR(OR(ISNUMBER(SEARCH(IF(E$1&lt;&gt;"",E$1,"NA"),'MITRE ATT&amp;CK Mappings'!$E64)),ISNUMBER(SEARCH(IF(E$1&lt;&gt;"",E$1,"NA"),'MITRE ATT&amp;CK Mappings'!$F64))),ISNUMBER(SEARCH(IF(E$2&lt;&gt;"",E$2,"NA"),'MITRE ATT&amp;CK Mappings'!$G64))),ISNUMBER(SEARCH(IF(E$2&lt;&gt;"",E$2,"NA"),'MITRE ATT&amp;CK Mappings'!$H64))),ISNUMBER(SEARCH(IF(E$3&lt;&gt;"",E$3,"NA"),'MITRE ATT&amp;CK Mappings'!$I64))),ISNUMBER(SEARCH(IF(E$3&lt;&gt;"",E$3,"NA"),'MITRE ATT&amp;CK Mappings'!$J64))), 'MITRE ATT&amp;CK Mappings'!$B64,"")</f>
        <v/>
      </c>
      <c r="F68" s="26" t="str">
        <f>IF(OR(OR(OR(OR(OR(ISNUMBER(SEARCH(IF(F$1&lt;&gt;"",F$1,"NA"),'MITRE ATT&amp;CK Mappings'!$E64)),ISNUMBER(SEARCH(IF(F$1&lt;&gt;"",F$1,"NA"),'MITRE ATT&amp;CK Mappings'!$F64))),ISNUMBER(SEARCH(IF(F$2&lt;&gt;"",F$2,"NA"),'MITRE ATT&amp;CK Mappings'!$G64))),ISNUMBER(SEARCH(IF(F$2&lt;&gt;"",F$2,"NA"),'MITRE ATT&amp;CK Mappings'!$H64))),ISNUMBER(SEARCH(IF(F$3&lt;&gt;"",F$3,"NA"),'MITRE ATT&amp;CK Mappings'!$I64))),ISNUMBER(SEARCH(IF(F$3&lt;&gt;"",F$3,"NA"),'MITRE ATT&amp;CK Mappings'!$J64))), 'MITRE ATT&amp;CK Mappings'!$B64,"")</f>
        <v/>
      </c>
      <c r="G68" s="26" t="str">
        <f>IF(OR(OR(OR(OR(OR(ISNUMBER(SEARCH(IF(G$1&lt;&gt;"",G$1,"NA"),'MITRE ATT&amp;CK Mappings'!$E64)),ISNUMBER(SEARCH(IF(G$1&lt;&gt;"",G$1,"NA"),'MITRE ATT&amp;CK Mappings'!$F64))),ISNUMBER(SEARCH(IF(G$2&lt;&gt;"",G$2,"NA"),'MITRE ATT&amp;CK Mappings'!$G64))),ISNUMBER(SEARCH(IF(G$2&lt;&gt;"",G$2,"NA"),'MITRE ATT&amp;CK Mappings'!$H64))),ISNUMBER(SEARCH(IF(G$3&lt;&gt;"",G$3,"NA"),'MITRE ATT&amp;CK Mappings'!$I64))),ISNUMBER(SEARCH(IF(G$3&lt;&gt;"",G$3,"NA"),'MITRE ATT&amp;CK Mappings'!$J64))), 'MITRE ATT&amp;CK Mappings'!$B64,"")</f>
        <v/>
      </c>
      <c r="H68" s="26" t="str">
        <f>IF(OR(OR(OR(OR(OR(ISNUMBER(SEARCH(IF(H$1&lt;&gt;"",H$1,"NA"),'MITRE ATT&amp;CK Mappings'!$E64)),ISNUMBER(SEARCH(IF(H$1&lt;&gt;"",H$1,"NA"),'MITRE ATT&amp;CK Mappings'!$F64))),ISNUMBER(SEARCH(IF(H$2&lt;&gt;"",H$2,"NA"),'MITRE ATT&amp;CK Mappings'!$G64))),ISNUMBER(SEARCH(IF(H$2&lt;&gt;"",H$2,"NA"),'MITRE ATT&amp;CK Mappings'!$H64))),ISNUMBER(SEARCH(IF(H$3&lt;&gt;"",H$3,"NA"),'MITRE ATT&amp;CK Mappings'!$I64))),ISNUMBER(SEARCH(IF(H$3&lt;&gt;"",H$3,"NA"),'MITRE ATT&amp;CK Mappings'!$J64))), 'MITRE ATT&amp;CK Mappings'!$B64,"")</f>
        <v/>
      </c>
      <c r="I68" s="26" t="str">
        <f>IF(OR(OR(OR(OR(OR(ISNUMBER(SEARCH(IF(I$1&lt;&gt;"",I$1,"NA"),'MITRE ATT&amp;CK Mappings'!$E64)),ISNUMBER(SEARCH(IF(I$1&lt;&gt;"",I$1,"NA"),'MITRE ATT&amp;CK Mappings'!$F64))),ISNUMBER(SEARCH(IF(I$2&lt;&gt;"",I$2,"NA"),'MITRE ATT&amp;CK Mappings'!$G64))),ISNUMBER(SEARCH(IF(I$2&lt;&gt;"",I$2,"NA"),'MITRE ATT&amp;CK Mappings'!$H64))),ISNUMBER(SEARCH(IF(I$3&lt;&gt;"",I$3,"NA"),'MITRE ATT&amp;CK Mappings'!$I64))),ISNUMBER(SEARCH(IF(I$3&lt;&gt;"",I$3,"NA"),'MITRE ATT&amp;CK Mappings'!$J64))), 'MITRE ATT&amp;CK Mappings'!$B64,"")</f>
        <v/>
      </c>
      <c r="J68" s="26" t="str">
        <f>IF(OR(OR(OR(OR(OR(ISNUMBER(SEARCH(IF(J$1&lt;&gt;"",J$1,"NA"),'MITRE ATT&amp;CK Mappings'!$E64)),ISNUMBER(SEARCH(IF(J$1&lt;&gt;"",J$1,"NA"),'MITRE ATT&amp;CK Mappings'!$F64))),ISNUMBER(SEARCH(IF(J$2&lt;&gt;"",J$2,"NA"),'MITRE ATT&amp;CK Mappings'!$G64))),ISNUMBER(SEARCH(IF(J$2&lt;&gt;"",J$2,"NA"),'MITRE ATT&amp;CK Mappings'!$H64))),ISNUMBER(SEARCH(IF(J$3&lt;&gt;"",J$3,"NA"),'MITRE ATT&amp;CK Mappings'!$I64))),ISNUMBER(SEARCH(IF(J$3&lt;&gt;"",J$3,"NA"),'MITRE ATT&amp;CK Mappings'!$J64))), 'MITRE ATT&amp;CK Mappings'!$B64,"")</f>
        <v/>
      </c>
      <c r="K68" s="26" t="str">
        <f>IF(OR(OR(OR(OR(OR(ISNUMBER(SEARCH(IF(K$1&lt;&gt;"",K$1,"NA"),'MITRE ATT&amp;CK Mappings'!$E64)),ISNUMBER(SEARCH(IF(K$1&lt;&gt;"",K$1,"NA"),'MITRE ATT&amp;CK Mappings'!$F64))),ISNUMBER(SEARCH(IF(K$2&lt;&gt;"",K$2,"NA"),'MITRE ATT&amp;CK Mappings'!$G64))),ISNUMBER(SEARCH(IF(K$2&lt;&gt;"",K$2,"NA"),'MITRE ATT&amp;CK Mappings'!$H64))),ISNUMBER(SEARCH(IF(K$3&lt;&gt;"",K$3,"NA"),'MITRE ATT&amp;CK Mappings'!$I64))),ISNUMBER(SEARCH(IF(K$3&lt;&gt;"",K$3,"NA"),'MITRE ATT&amp;CK Mappings'!$J64))), 'MITRE ATT&amp;CK Mappings'!$B64,"")</f>
        <v/>
      </c>
      <c r="L68" s="26" t="str">
        <f>IF('MITRE ATT&amp;CK Mappings'!D64 &lt;&gt;"",'MITRE ATT&amp;CK Mappings'!D64,"" )</f>
        <v>Ensure that Network Security Group Flow logs are captured and sent to Log Analytics</v>
      </c>
    </row>
    <row r="69" spans="1:12" x14ac:dyDescent="0.25">
      <c r="A69" s="27" t="str">
        <f>IF(COUNTIF(B69:K69,"="&amp;'MITRE ATT&amp;CK Mappings'!B65)&gt;0,'MITRE ATT&amp;CK Mappings'!B65,"")</f>
        <v/>
      </c>
      <c r="B69" s="27" t="str">
        <f>IF(OR(OR(OR(OR(OR(ISNUMBER(SEARCH(IF(B$1&lt;&gt;"",B$1,"NA"),'MITRE ATT&amp;CK Mappings'!$E65)),ISNUMBER(SEARCH(IF(B$1&lt;&gt;"",B$1,"NA"),'MITRE ATT&amp;CK Mappings'!$F65))),ISNUMBER(SEARCH(IF(B$2&lt;&gt;"",B$2,"NA"),'MITRE ATT&amp;CK Mappings'!$G65))),ISNUMBER(SEARCH(IF(B$2&lt;&gt;"",B$2,"NA"),'MITRE ATT&amp;CK Mappings'!$H65))),ISNUMBER(SEARCH(IF(B$3&lt;&gt;"",B$3,"NA"),'MITRE ATT&amp;CK Mappings'!$I65))),ISNUMBER(SEARCH(IF(B$3&lt;&gt;"",B$3,"NA"),'MITRE ATT&amp;CK Mappings'!$J65))), 'MITRE ATT&amp;CK Mappings'!$B65,"")</f>
        <v/>
      </c>
      <c r="C69" s="27" t="str">
        <f>IF(OR(OR(OR(OR(OR(ISNUMBER(SEARCH(IF(C$1&lt;&gt;"",C$1,"NA"),'MITRE ATT&amp;CK Mappings'!$E65)),ISNUMBER(SEARCH(IF(C$1&lt;&gt;"",C$1,"NA"),'MITRE ATT&amp;CK Mappings'!$F65))),ISNUMBER(SEARCH(IF(C$2&lt;&gt;"",C$2,"NA"),'MITRE ATT&amp;CK Mappings'!$G65))),ISNUMBER(SEARCH(IF(C$2&lt;&gt;"",C$2,"NA"),'MITRE ATT&amp;CK Mappings'!$H65))),ISNUMBER(SEARCH(IF(C$3&lt;&gt;"",C$3,"NA"),'MITRE ATT&amp;CK Mappings'!$I65))),ISNUMBER(SEARCH(IF(C$3&lt;&gt;"",C$3,"NA"),'MITRE ATT&amp;CK Mappings'!$J65))), 'MITRE ATT&amp;CK Mappings'!$B65,"")</f>
        <v/>
      </c>
      <c r="D69" s="27" t="str">
        <f>IF(OR(OR(OR(OR(OR(ISNUMBER(SEARCH(IF(D$1&lt;&gt;"",D$1,"NA"),'MITRE ATT&amp;CK Mappings'!$E65)),ISNUMBER(SEARCH(IF(D$1&lt;&gt;"",D$1,"NA"),'MITRE ATT&amp;CK Mappings'!$F65))),ISNUMBER(SEARCH(IF(D$2&lt;&gt;"",D$2,"NA"),'MITRE ATT&amp;CK Mappings'!$G65))),ISNUMBER(SEARCH(IF(D$2&lt;&gt;"",D$2,"NA"),'MITRE ATT&amp;CK Mappings'!$H65))),ISNUMBER(SEARCH(IF(D$3&lt;&gt;"",D$3,"NA"),'MITRE ATT&amp;CK Mappings'!$I65))),ISNUMBER(SEARCH(IF(D$3&lt;&gt;"",D$3,"NA"),'MITRE ATT&amp;CK Mappings'!$J65))), 'MITRE ATT&amp;CK Mappings'!$B65,"")</f>
        <v/>
      </c>
      <c r="E69" s="27" t="str">
        <f>IF(OR(OR(OR(OR(OR(ISNUMBER(SEARCH(IF(E$1&lt;&gt;"",E$1,"NA"),'MITRE ATT&amp;CK Mappings'!$E65)),ISNUMBER(SEARCH(IF(E$1&lt;&gt;"",E$1,"NA"),'MITRE ATT&amp;CK Mappings'!$F65))),ISNUMBER(SEARCH(IF(E$2&lt;&gt;"",E$2,"NA"),'MITRE ATT&amp;CK Mappings'!$G65))),ISNUMBER(SEARCH(IF(E$2&lt;&gt;"",E$2,"NA"),'MITRE ATT&amp;CK Mappings'!$H65))),ISNUMBER(SEARCH(IF(E$3&lt;&gt;"",E$3,"NA"),'MITRE ATT&amp;CK Mappings'!$I65))),ISNUMBER(SEARCH(IF(E$3&lt;&gt;"",E$3,"NA"),'MITRE ATT&amp;CK Mappings'!$J65))), 'MITRE ATT&amp;CK Mappings'!$B65,"")</f>
        <v/>
      </c>
      <c r="F69" s="27" t="str">
        <f>IF(OR(OR(OR(OR(OR(ISNUMBER(SEARCH(IF(F$1&lt;&gt;"",F$1,"NA"),'MITRE ATT&amp;CK Mappings'!$E65)),ISNUMBER(SEARCH(IF(F$1&lt;&gt;"",F$1,"NA"),'MITRE ATT&amp;CK Mappings'!$F65))),ISNUMBER(SEARCH(IF(F$2&lt;&gt;"",F$2,"NA"),'MITRE ATT&amp;CK Mappings'!$G65))),ISNUMBER(SEARCH(IF(F$2&lt;&gt;"",F$2,"NA"),'MITRE ATT&amp;CK Mappings'!$H65))),ISNUMBER(SEARCH(IF(F$3&lt;&gt;"",F$3,"NA"),'MITRE ATT&amp;CK Mappings'!$I65))),ISNUMBER(SEARCH(IF(F$3&lt;&gt;"",F$3,"NA"),'MITRE ATT&amp;CK Mappings'!$J65))), 'MITRE ATT&amp;CK Mappings'!$B65,"")</f>
        <v/>
      </c>
      <c r="G69" s="27" t="str">
        <f>IF(OR(OR(OR(OR(OR(ISNUMBER(SEARCH(IF(G$1&lt;&gt;"",G$1,"NA"),'MITRE ATT&amp;CK Mappings'!$E65)),ISNUMBER(SEARCH(IF(G$1&lt;&gt;"",G$1,"NA"),'MITRE ATT&amp;CK Mappings'!$F65))),ISNUMBER(SEARCH(IF(G$2&lt;&gt;"",G$2,"NA"),'MITRE ATT&amp;CK Mappings'!$G65))),ISNUMBER(SEARCH(IF(G$2&lt;&gt;"",G$2,"NA"),'MITRE ATT&amp;CK Mappings'!$H65))),ISNUMBER(SEARCH(IF(G$3&lt;&gt;"",G$3,"NA"),'MITRE ATT&amp;CK Mappings'!$I65))),ISNUMBER(SEARCH(IF(G$3&lt;&gt;"",G$3,"NA"),'MITRE ATT&amp;CK Mappings'!$J65))), 'MITRE ATT&amp;CK Mappings'!$B65,"")</f>
        <v/>
      </c>
      <c r="H69" s="27" t="str">
        <f>IF(OR(OR(OR(OR(OR(ISNUMBER(SEARCH(IF(H$1&lt;&gt;"",H$1,"NA"),'MITRE ATT&amp;CK Mappings'!$E65)),ISNUMBER(SEARCH(IF(H$1&lt;&gt;"",H$1,"NA"),'MITRE ATT&amp;CK Mappings'!$F65))),ISNUMBER(SEARCH(IF(H$2&lt;&gt;"",H$2,"NA"),'MITRE ATT&amp;CK Mappings'!$G65))),ISNUMBER(SEARCH(IF(H$2&lt;&gt;"",H$2,"NA"),'MITRE ATT&amp;CK Mappings'!$H65))),ISNUMBER(SEARCH(IF(H$3&lt;&gt;"",H$3,"NA"),'MITRE ATT&amp;CK Mappings'!$I65))),ISNUMBER(SEARCH(IF(H$3&lt;&gt;"",H$3,"NA"),'MITRE ATT&amp;CK Mappings'!$J65))), 'MITRE ATT&amp;CK Mappings'!$B65,"")</f>
        <v/>
      </c>
      <c r="I69" s="27" t="str">
        <f>IF(OR(OR(OR(OR(OR(ISNUMBER(SEARCH(IF(I$1&lt;&gt;"",I$1,"NA"),'MITRE ATT&amp;CK Mappings'!$E65)),ISNUMBER(SEARCH(IF(I$1&lt;&gt;"",I$1,"NA"),'MITRE ATT&amp;CK Mappings'!$F65))),ISNUMBER(SEARCH(IF(I$2&lt;&gt;"",I$2,"NA"),'MITRE ATT&amp;CK Mappings'!$G65))),ISNUMBER(SEARCH(IF(I$2&lt;&gt;"",I$2,"NA"),'MITRE ATT&amp;CK Mappings'!$H65))),ISNUMBER(SEARCH(IF(I$3&lt;&gt;"",I$3,"NA"),'MITRE ATT&amp;CK Mappings'!$I65))),ISNUMBER(SEARCH(IF(I$3&lt;&gt;"",I$3,"NA"),'MITRE ATT&amp;CK Mappings'!$J65))), 'MITRE ATT&amp;CK Mappings'!$B65,"")</f>
        <v/>
      </c>
      <c r="J69" s="27" t="str">
        <f>IF(OR(OR(OR(OR(OR(ISNUMBER(SEARCH(IF(J$1&lt;&gt;"",J$1,"NA"),'MITRE ATT&amp;CK Mappings'!$E65)),ISNUMBER(SEARCH(IF(J$1&lt;&gt;"",J$1,"NA"),'MITRE ATT&amp;CK Mappings'!$F65))),ISNUMBER(SEARCH(IF(J$2&lt;&gt;"",J$2,"NA"),'MITRE ATT&amp;CK Mappings'!$G65))),ISNUMBER(SEARCH(IF(J$2&lt;&gt;"",J$2,"NA"),'MITRE ATT&amp;CK Mappings'!$H65))),ISNUMBER(SEARCH(IF(J$3&lt;&gt;"",J$3,"NA"),'MITRE ATT&amp;CK Mappings'!$I65))),ISNUMBER(SEARCH(IF(J$3&lt;&gt;"",J$3,"NA"),'MITRE ATT&amp;CK Mappings'!$J65))), 'MITRE ATT&amp;CK Mappings'!$B65,"")</f>
        <v/>
      </c>
      <c r="K69" s="27" t="str">
        <f>IF(OR(OR(OR(OR(OR(ISNUMBER(SEARCH(IF(K$1&lt;&gt;"",K$1,"NA"),'MITRE ATT&amp;CK Mappings'!$E65)),ISNUMBER(SEARCH(IF(K$1&lt;&gt;"",K$1,"NA"),'MITRE ATT&amp;CK Mappings'!$F65))),ISNUMBER(SEARCH(IF(K$2&lt;&gt;"",K$2,"NA"),'MITRE ATT&amp;CK Mappings'!$G65))),ISNUMBER(SEARCH(IF(K$2&lt;&gt;"",K$2,"NA"),'MITRE ATT&amp;CK Mappings'!$H65))),ISNUMBER(SEARCH(IF(K$3&lt;&gt;"",K$3,"NA"),'MITRE ATT&amp;CK Mappings'!$I65))),ISNUMBER(SEARCH(IF(K$3&lt;&gt;"",K$3,"NA"),'MITRE ATT&amp;CK Mappings'!$J65))), 'MITRE ATT&amp;CK Mappings'!$B65,"")</f>
        <v/>
      </c>
      <c r="L69" s="27" t="str">
        <f>IF('MITRE ATT&amp;CK Mappings'!D65 &lt;&gt;"",'MITRE ATT&amp;CK Mappings'!D65,"" )</f>
        <v>Ensure that logging for Azure AppService 'HTTP logs' is enabled</v>
      </c>
    </row>
    <row r="70" spans="1:12" x14ac:dyDescent="0.25">
      <c r="A70" s="26" t="str">
        <f>IF(COUNTIF(B70:K70,"="&amp;'MITRE ATT&amp;CK Mappings'!B66)&gt;0,'MITRE ATT&amp;CK Mappings'!B66,"")</f>
        <v/>
      </c>
      <c r="B70" s="26" t="str">
        <f>IF(OR(OR(OR(OR(OR(ISNUMBER(SEARCH(IF(B$1&lt;&gt;"",B$1,"NA"),'MITRE ATT&amp;CK Mappings'!$E66)),ISNUMBER(SEARCH(IF(B$1&lt;&gt;"",B$1,"NA"),'MITRE ATT&amp;CK Mappings'!$F66))),ISNUMBER(SEARCH(IF(B$2&lt;&gt;"",B$2,"NA"),'MITRE ATT&amp;CK Mappings'!$G66))),ISNUMBER(SEARCH(IF(B$2&lt;&gt;"",B$2,"NA"),'MITRE ATT&amp;CK Mappings'!$H66))),ISNUMBER(SEARCH(IF(B$3&lt;&gt;"",B$3,"NA"),'MITRE ATT&amp;CK Mappings'!$I66))),ISNUMBER(SEARCH(IF(B$3&lt;&gt;"",B$3,"NA"),'MITRE ATT&amp;CK Mappings'!$J66))), 'MITRE ATT&amp;CK Mappings'!$B66,"")</f>
        <v/>
      </c>
      <c r="C70" s="26" t="str">
        <f>IF(OR(OR(OR(OR(OR(ISNUMBER(SEARCH(IF(C$1&lt;&gt;"",C$1,"NA"),'MITRE ATT&amp;CK Mappings'!$E66)),ISNUMBER(SEARCH(IF(C$1&lt;&gt;"",C$1,"NA"),'MITRE ATT&amp;CK Mappings'!$F66))),ISNUMBER(SEARCH(IF(C$2&lt;&gt;"",C$2,"NA"),'MITRE ATT&amp;CK Mappings'!$G66))),ISNUMBER(SEARCH(IF(C$2&lt;&gt;"",C$2,"NA"),'MITRE ATT&amp;CK Mappings'!$H66))),ISNUMBER(SEARCH(IF(C$3&lt;&gt;"",C$3,"NA"),'MITRE ATT&amp;CK Mappings'!$I66))),ISNUMBER(SEARCH(IF(C$3&lt;&gt;"",C$3,"NA"),'MITRE ATT&amp;CK Mappings'!$J66))), 'MITRE ATT&amp;CK Mappings'!$B66,"")</f>
        <v/>
      </c>
      <c r="D70" s="26" t="str">
        <f>IF(OR(OR(OR(OR(OR(ISNUMBER(SEARCH(IF(D$1&lt;&gt;"",D$1,"NA"),'MITRE ATT&amp;CK Mappings'!$E66)),ISNUMBER(SEARCH(IF(D$1&lt;&gt;"",D$1,"NA"),'MITRE ATT&amp;CK Mappings'!$F66))),ISNUMBER(SEARCH(IF(D$2&lt;&gt;"",D$2,"NA"),'MITRE ATT&amp;CK Mappings'!$G66))),ISNUMBER(SEARCH(IF(D$2&lt;&gt;"",D$2,"NA"),'MITRE ATT&amp;CK Mappings'!$H66))),ISNUMBER(SEARCH(IF(D$3&lt;&gt;"",D$3,"NA"),'MITRE ATT&amp;CK Mappings'!$I66))),ISNUMBER(SEARCH(IF(D$3&lt;&gt;"",D$3,"NA"),'MITRE ATT&amp;CK Mappings'!$J66))), 'MITRE ATT&amp;CK Mappings'!$B66,"")</f>
        <v/>
      </c>
      <c r="E70" s="26" t="str">
        <f>IF(OR(OR(OR(OR(OR(ISNUMBER(SEARCH(IF(E$1&lt;&gt;"",E$1,"NA"),'MITRE ATT&amp;CK Mappings'!$E66)),ISNUMBER(SEARCH(IF(E$1&lt;&gt;"",E$1,"NA"),'MITRE ATT&amp;CK Mappings'!$F66))),ISNUMBER(SEARCH(IF(E$2&lt;&gt;"",E$2,"NA"),'MITRE ATT&amp;CK Mappings'!$G66))),ISNUMBER(SEARCH(IF(E$2&lt;&gt;"",E$2,"NA"),'MITRE ATT&amp;CK Mappings'!$H66))),ISNUMBER(SEARCH(IF(E$3&lt;&gt;"",E$3,"NA"),'MITRE ATT&amp;CK Mappings'!$I66))),ISNUMBER(SEARCH(IF(E$3&lt;&gt;"",E$3,"NA"),'MITRE ATT&amp;CK Mappings'!$J66))), 'MITRE ATT&amp;CK Mappings'!$B66,"")</f>
        <v/>
      </c>
      <c r="F70" s="26" t="str">
        <f>IF(OR(OR(OR(OR(OR(ISNUMBER(SEARCH(IF(F$1&lt;&gt;"",F$1,"NA"),'MITRE ATT&amp;CK Mappings'!$E66)),ISNUMBER(SEARCH(IF(F$1&lt;&gt;"",F$1,"NA"),'MITRE ATT&amp;CK Mappings'!$F66))),ISNUMBER(SEARCH(IF(F$2&lt;&gt;"",F$2,"NA"),'MITRE ATT&amp;CK Mappings'!$G66))),ISNUMBER(SEARCH(IF(F$2&lt;&gt;"",F$2,"NA"),'MITRE ATT&amp;CK Mappings'!$H66))),ISNUMBER(SEARCH(IF(F$3&lt;&gt;"",F$3,"NA"),'MITRE ATT&amp;CK Mappings'!$I66))),ISNUMBER(SEARCH(IF(F$3&lt;&gt;"",F$3,"NA"),'MITRE ATT&amp;CK Mappings'!$J66))), 'MITRE ATT&amp;CK Mappings'!$B66,"")</f>
        <v/>
      </c>
      <c r="G70" s="26" t="str">
        <f>IF(OR(OR(OR(OR(OR(ISNUMBER(SEARCH(IF(G$1&lt;&gt;"",G$1,"NA"),'MITRE ATT&amp;CK Mappings'!$E66)),ISNUMBER(SEARCH(IF(G$1&lt;&gt;"",G$1,"NA"),'MITRE ATT&amp;CK Mappings'!$F66))),ISNUMBER(SEARCH(IF(G$2&lt;&gt;"",G$2,"NA"),'MITRE ATT&amp;CK Mappings'!$G66))),ISNUMBER(SEARCH(IF(G$2&lt;&gt;"",G$2,"NA"),'MITRE ATT&amp;CK Mappings'!$H66))),ISNUMBER(SEARCH(IF(G$3&lt;&gt;"",G$3,"NA"),'MITRE ATT&amp;CK Mappings'!$I66))),ISNUMBER(SEARCH(IF(G$3&lt;&gt;"",G$3,"NA"),'MITRE ATT&amp;CK Mappings'!$J66))), 'MITRE ATT&amp;CK Mappings'!$B66,"")</f>
        <v/>
      </c>
      <c r="H70" s="26" t="str">
        <f>IF(OR(OR(OR(OR(OR(ISNUMBER(SEARCH(IF(H$1&lt;&gt;"",H$1,"NA"),'MITRE ATT&amp;CK Mappings'!$E66)),ISNUMBER(SEARCH(IF(H$1&lt;&gt;"",H$1,"NA"),'MITRE ATT&amp;CK Mappings'!$F66))),ISNUMBER(SEARCH(IF(H$2&lt;&gt;"",H$2,"NA"),'MITRE ATT&amp;CK Mappings'!$G66))),ISNUMBER(SEARCH(IF(H$2&lt;&gt;"",H$2,"NA"),'MITRE ATT&amp;CK Mappings'!$H66))),ISNUMBER(SEARCH(IF(H$3&lt;&gt;"",H$3,"NA"),'MITRE ATT&amp;CK Mappings'!$I66))),ISNUMBER(SEARCH(IF(H$3&lt;&gt;"",H$3,"NA"),'MITRE ATT&amp;CK Mappings'!$J66))), 'MITRE ATT&amp;CK Mappings'!$B66,"")</f>
        <v/>
      </c>
      <c r="I70" s="26" t="str">
        <f>IF(OR(OR(OR(OR(OR(ISNUMBER(SEARCH(IF(I$1&lt;&gt;"",I$1,"NA"),'MITRE ATT&amp;CK Mappings'!$E66)),ISNUMBER(SEARCH(IF(I$1&lt;&gt;"",I$1,"NA"),'MITRE ATT&amp;CK Mappings'!$F66))),ISNUMBER(SEARCH(IF(I$2&lt;&gt;"",I$2,"NA"),'MITRE ATT&amp;CK Mappings'!$G66))),ISNUMBER(SEARCH(IF(I$2&lt;&gt;"",I$2,"NA"),'MITRE ATT&amp;CK Mappings'!$H66))),ISNUMBER(SEARCH(IF(I$3&lt;&gt;"",I$3,"NA"),'MITRE ATT&amp;CK Mappings'!$I66))),ISNUMBER(SEARCH(IF(I$3&lt;&gt;"",I$3,"NA"),'MITRE ATT&amp;CK Mappings'!$J66))), 'MITRE ATT&amp;CK Mappings'!$B66,"")</f>
        <v/>
      </c>
      <c r="J70" s="26" t="str">
        <f>IF(OR(OR(OR(OR(OR(ISNUMBER(SEARCH(IF(J$1&lt;&gt;"",J$1,"NA"),'MITRE ATT&amp;CK Mappings'!$E66)),ISNUMBER(SEARCH(IF(J$1&lt;&gt;"",J$1,"NA"),'MITRE ATT&amp;CK Mappings'!$F66))),ISNUMBER(SEARCH(IF(J$2&lt;&gt;"",J$2,"NA"),'MITRE ATT&amp;CK Mappings'!$G66))),ISNUMBER(SEARCH(IF(J$2&lt;&gt;"",J$2,"NA"),'MITRE ATT&amp;CK Mappings'!$H66))),ISNUMBER(SEARCH(IF(J$3&lt;&gt;"",J$3,"NA"),'MITRE ATT&amp;CK Mappings'!$I66))),ISNUMBER(SEARCH(IF(J$3&lt;&gt;"",J$3,"NA"),'MITRE ATT&amp;CK Mappings'!$J66))), 'MITRE ATT&amp;CK Mappings'!$B66,"")</f>
        <v/>
      </c>
      <c r="K70" s="26" t="str">
        <f>IF(OR(OR(OR(OR(OR(ISNUMBER(SEARCH(IF(K$1&lt;&gt;"",K$1,"NA"),'MITRE ATT&amp;CK Mappings'!$E66)),ISNUMBER(SEARCH(IF(K$1&lt;&gt;"",K$1,"NA"),'MITRE ATT&amp;CK Mappings'!$F66))),ISNUMBER(SEARCH(IF(K$2&lt;&gt;"",K$2,"NA"),'MITRE ATT&amp;CK Mappings'!$G66))),ISNUMBER(SEARCH(IF(K$2&lt;&gt;"",K$2,"NA"),'MITRE ATT&amp;CK Mappings'!$H66))),ISNUMBER(SEARCH(IF(K$3&lt;&gt;"",K$3,"NA"),'MITRE ATT&amp;CK Mappings'!$I66))),ISNUMBER(SEARCH(IF(K$3&lt;&gt;"",K$3,"NA"),'MITRE ATT&amp;CK Mappings'!$J66))), 'MITRE ATT&amp;CK Mappings'!$B66,"")</f>
        <v/>
      </c>
      <c r="L70" s="26" t="str">
        <f>IF('MITRE ATT&amp;CK Mappings'!D66 &lt;&gt;"",'MITRE ATT&amp;CK Mappings'!D66,"" )</f>
        <v>Ensure that virtual network flow logs are captured and sent to Log Analytics</v>
      </c>
    </row>
    <row r="71" spans="1:12" x14ac:dyDescent="0.25">
      <c r="A71" s="27" t="str">
        <f>IF(COUNTIF(B71:K71,"="&amp;'MITRE ATT&amp;CK Mappings'!B67)&gt;0,'MITRE ATT&amp;CK Mappings'!B67,"")</f>
        <v/>
      </c>
      <c r="B71" s="27" t="str">
        <f>IF(OR(OR(OR(OR(OR(ISNUMBER(SEARCH(IF(B$1&lt;&gt;"",B$1,"NA"),'MITRE ATT&amp;CK Mappings'!$E67)),ISNUMBER(SEARCH(IF(B$1&lt;&gt;"",B$1,"NA"),'MITRE ATT&amp;CK Mappings'!$F67))),ISNUMBER(SEARCH(IF(B$2&lt;&gt;"",B$2,"NA"),'MITRE ATT&amp;CK Mappings'!$G67))),ISNUMBER(SEARCH(IF(B$2&lt;&gt;"",B$2,"NA"),'MITRE ATT&amp;CK Mappings'!$H67))),ISNUMBER(SEARCH(IF(B$3&lt;&gt;"",B$3,"NA"),'MITRE ATT&amp;CK Mappings'!$I67))),ISNUMBER(SEARCH(IF(B$3&lt;&gt;"",B$3,"NA"),'MITRE ATT&amp;CK Mappings'!$J67))), 'MITRE ATT&amp;CK Mappings'!$B67,"")</f>
        <v/>
      </c>
      <c r="C71" s="27" t="str">
        <f>IF(OR(OR(OR(OR(OR(ISNUMBER(SEARCH(IF(C$1&lt;&gt;"",C$1,"NA"),'MITRE ATT&amp;CK Mappings'!$E67)),ISNUMBER(SEARCH(IF(C$1&lt;&gt;"",C$1,"NA"),'MITRE ATT&amp;CK Mappings'!$F67))),ISNUMBER(SEARCH(IF(C$2&lt;&gt;"",C$2,"NA"),'MITRE ATT&amp;CK Mappings'!$G67))),ISNUMBER(SEARCH(IF(C$2&lt;&gt;"",C$2,"NA"),'MITRE ATT&amp;CK Mappings'!$H67))),ISNUMBER(SEARCH(IF(C$3&lt;&gt;"",C$3,"NA"),'MITRE ATT&amp;CK Mappings'!$I67))),ISNUMBER(SEARCH(IF(C$3&lt;&gt;"",C$3,"NA"),'MITRE ATT&amp;CK Mappings'!$J67))), 'MITRE ATT&amp;CK Mappings'!$B67,"")</f>
        <v/>
      </c>
      <c r="D71" s="27" t="str">
        <f>IF(OR(OR(OR(OR(OR(ISNUMBER(SEARCH(IF(D$1&lt;&gt;"",D$1,"NA"),'MITRE ATT&amp;CK Mappings'!$E67)),ISNUMBER(SEARCH(IF(D$1&lt;&gt;"",D$1,"NA"),'MITRE ATT&amp;CK Mappings'!$F67))),ISNUMBER(SEARCH(IF(D$2&lt;&gt;"",D$2,"NA"),'MITRE ATT&amp;CK Mappings'!$G67))),ISNUMBER(SEARCH(IF(D$2&lt;&gt;"",D$2,"NA"),'MITRE ATT&amp;CK Mappings'!$H67))),ISNUMBER(SEARCH(IF(D$3&lt;&gt;"",D$3,"NA"),'MITRE ATT&amp;CK Mappings'!$I67))),ISNUMBER(SEARCH(IF(D$3&lt;&gt;"",D$3,"NA"),'MITRE ATT&amp;CK Mappings'!$J67))), 'MITRE ATT&amp;CK Mappings'!$B67,"")</f>
        <v/>
      </c>
      <c r="E71" s="27" t="str">
        <f>IF(OR(OR(OR(OR(OR(ISNUMBER(SEARCH(IF(E$1&lt;&gt;"",E$1,"NA"),'MITRE ATT&amp;CK Mappings'!$E67)),ISNUMBER(SEARCH(IF(E$1&lt;&gt;"",E$1,"NA"),'MITRE ATT&amp;CK Mappings'!$F67))),ISNUMBER(SEARCH(IF(E$2&lt;&gt;"",E$2,"NA"),'MITRE ATT&amp;CK Mappings'!$G67))),ISNUMBER(SEARCH(IF(E$2&lt;&gt;"",E$2,"NA"),'MITRE ATT&amp;CK Mappings'!$H67))),ISNUMBER(SEARCH(IF(E$3&lt;&gt;"",E$3,"NA"),'MITRE ATT&amp;CK Mappings'!$I67))),ISNUMBER(SEARCH(IF(E$3&lt;&gt;"",E$3,"NA"),'MITRE ATT&amp;CK Mappings'!$J67))), 'MITRE ATT&amp;CK Mappings'!$B67,"")</f>
        <v/>
      </c>
      <c r="F71" s="27" t="str">
        <f>IF(OR(OR(OR(OR(OR(ISNUMBER(SEARCH(IF(F$1&lt;&gt;"",F$1,"NA"),'MITRE ATT&amp;CK Mappings'!$E67)),ISNUMBER(SEARCH(IF(F$1&lt;&gt;"",F$1,"NA"),'MITRE ATT&amp;CK Mappings'!$F67))),ISNUMBER(SEARCH(IF(F$2&lt;&gt;"",F$2,"NA"),'MITRE ATT&amp;CK Mappings'!$G67))),ISNUMBER(SEARCH(IF(F$2&lt;&gt;"",F$2,"NA"),'MITRE ATT&amp;CK Mappings'!$H67))),ISNUMBER(SEARCH(IF(F$3&lt;&gt;"",F$3,"NA"),'MITRE ATT&amp;CK Mappings'!$I67))),ISNUMBER(SEARCH(IF(F$3&lt;&gt;"",F$3,"NA"),'MITRE ATT&amp;CK Mappings'!$J67))), 'MITRE ATT&amp;CK Mappings'!$B67,"")</f>
        <v/>
      </c>
      <c r="G71" s="27" t="str">
        <f>IF(OR(OR(OR(OR(OR(ISNUMBER(SEARCH(IF(G$1&lt;&gt;"",G$1,"NA"),'MITRE ATT&amp;CK Mappings'!$E67)),ISNUMBER(SEARCH(IF(G$1&lt;&gt;"",G$1,"NA"),'MITRE ATT&amp;CK Mappings'!$F67))),ISNUMBER(SEARCH(IF(G$2&lt;&gt;"",G$2,"NA"),'MITRE ATT&amp;CK Mappings'!$G67))),ISNUMBER(SEARCH(IF(G$2&lt;&gt;"",G$2,"NA"),'MITRE ATT&amp;CK Mappings'!$H67))),ISNUMBER(SEARCH(IF(G$3&lt;&gt;"",G$3,"NA"),'MITRE ATT&amp;CK Mappings'!$I67))),ISNUMBER(SEARCH(IF(G$3&lt;&gt;"",G$3,"NA"),'MITRE ATT&amp;CK Mappings'!$J67))), 'MITRE ATT&amp;CK Mappings'!$B67,"")</f>
        <v/>
      </c>
      <c r="H71" s="27" t="str">
        <f>IF(OR(OR(OR(OR(OR(ISNUMBER(SEARCH(IF(H$1&lt;&gt;"",H$1,"NA"),'MITRE ATT&amp;CK Mappings'!$E67)),ISNUMBER(SEARCH(IF(H$1&lt;&gt;"",H$1,"NA"),'MITRE ATT&amp;CK Mappings'!$F67))),ISNUMBER(SEARCH(IF(H$2&lt;&gt;"",H$2,"NA"),'MITRE ATT&amp;CK Mappings'!$G67))),ISNUMBER(SEARCH(IF(H$2&lt;&gt;"",H$2,"NA"),'MITRE ATT&amp;CK Mappings'!$H67))),ISNUMBER(SEARCH(IF(H$3&lt;&gt;"",H$3,"NA"),'MITRE ATT&amp;CK Mappings'!$I67))),ISNUMBER(SEARCH(IF(H$3&lt;&gt;"",H$3,"NA"),'MITRE ATT&amp;CK Mappings'!$J67))), 'MITRE ATT&amp;CK Mappings'!$B67,"")</f>
        <v/>
      </c>
      <c r="I71" s="27" t="str">
        <f>IF(OR(OR(OR(OR(OR(ISNUMBER(SEARCH(IF(I$1&lt;&gt;"",I$1,"NA"),'MITRE ATT&amp;CK Mappings'!$E67)),ISNUMBER(SEARCH(IF(I$1&lt;&gt;"",I$1,"NA"),'MITRE ATT&amp;CK Mappings'!$F67))),ISNUMBER(SEARCH(IF(I$2&lt;&gt;"",I$2,"NA"),'MITRE ATT&amp;CK Mappings'!$G67))),ISNUMBER(SEARCH(IF(I$2&lt;&gt;"",I$2,"NA"),'MITRE ATT&amp;CK Mappings'!$H67))),ISNUMBER(SEARCH(IF(I$3&lt;&gt;"",I$3,"NA"),'MITRE ATT&amp;CK Mappings'!$I67))),ISNUMBER(SEARCH(IF(I$3&lt;&gt;"",I$3,"NA"),'MITRE ATT&amp;CK Mappings'!$J67))), 'MITRE ATT&amp;CK Mappings'!$B67,"")</f>
        <v/>
      </c>
      <c r="J71" s="27" t="str">
        <f>IF(OR(OR(OR(OR(OR(ISNUMBER(SEARCH(IF(J$1&lt;&gt;"",J$1,"NA"),'MITRE ATT&amp;CK Mappings'!$E67)),ISNUMBER(SEARCH(IF(J$1&lt;&gt;"",J$1,"NA"),'MITRE ATT&amp;CK Mappings'!$F67))),ISNUMBER(SEARCH(IF(J$2&lt;&gt;"",J$2,"NA"),'MITRE ATT&amp;CK Mappings'!$G67))),ISNUMBER(SEARCH(IF(J$2&lt;&gt;"",J$2,"NA"),'MITRE ATT&amp;CK Mappings'!$H67))),ISNUMBER(SEARCH(IF(J$3&lt;&gt;"",J$3,"NA"),'MITRE ATT&amp;CK Mappings'!$I67))),ISNUMBER(SEARCH(IF(J$3&lt;&gt;"",J$3,"NA"),'MITRE ATT&amp;CK Mappings'!$J67))), 'MITRE ATT&amp;CK Mappings'!$B67,"")</f>
        <v/>
      </c>
      <c r="K71" s="27" t="str">
        <f>IF(OR(OR(OR(OR(OR(ISNUMBER(SEARCH(IF(K$1&lt;&gt;"",K$1,"NA"),'MITRE ATT&amp;CK Mappings'!$E67)),ISNUMBER(SEARCH(IF(K$1&lt;&gt;"",K$1,"NA"),'MITRE ATT&amp;CK Mappings'!$F67))),ISNUMBER(SEARCH(IF(K$2&lt;&gt;"",K$2,"NA"),'MITRE ATT&amp;CK Mappings'!$G67))),ISNUMBER(SEARCH(IF(K$2&lt;&gt;"",K$2,"NA"),'MITRE ATT&amp;CK Mappings'!$H67))),ISNUMBER(SEARCH(IF(K$3&lt;&gt;"",K$3,"NA"),'MITRE ATT&amp;CK Mappings'!$I67))),ISNUMBER(SEARCH(IF(K$3&lt;&gt;"",K$3,"NA"),'MITRE ATT&amp;CK Mappings'!$J67))), 'MITRE ATT&amp;CK Mappings'!$B67,"")</f>
        <v/>
      </c>
      <c r="L71" s="27" t="str">
        <f>IF('MITRE ATT&amp;CK Mappings'!D67 &lt;&gt;"",'MITRE ATT&amp;CK Mappings'!D67,"" )</f>
        <v>Ensure that a Microsoft Entra diagnostic setting exists to send Microsoft Graph activity logs to an appropriate destination</v>
      </c>
    </row>
    <row r="72" spans="1:12" x14ac:dyDescent="0.25">
      <c r="A72" s="26" t="str">
        <f>IF(COUNTIF(B72:K72,"="&amp;'MITRE ATT&amp;CK Mappings'!B68)&gt;0,'MITRE ATT&amp;CK Mappings'!B68,"")</f>
        <v/>
      </c>
      <c r="B72" s="26" t="str">
        <f>IF(OR(OR(OR(OR(OR(ISNUMBER(SEARCH(IF(B$1&lt;&gt;"",B$1,"NA"),'MITRE ATT&amp;CK Mappings'!$E68)),ISNUMBER(SEARCH(IF(B$1&lt;&gt;"",B$1,"NA"),'MITRE ATT&amp;CK Mappings'!$F68))),ISNUMBER(SEARCH(IF(B$2&lt;&gt;"",B$2,"NA"),'MITRE ATT&amp;CK Mappings'!$G68))),ISNUMBER(SEARCH(IF(B$2&lt;&gt;"",B$2,"NA"),'MITRE ATT&amp;CK Mappings'!$H68))),ISNUMBER(SEARCH(IF(B$3&lt;&gt;"",B$3,"NA"),'MITRE ATT&amp;CK Mappings'!$I68))),ISNUMBER(SEARCH(IF(B$3&lt;&gt;"",B$3,"NA"),'MITRE ATT&amp;CK Mappings'!$J68))), 'MITRE ATT&amp;CK Mappings'!$B68,"")</f>
        <v/>
      </c>
      <c r="C72" s="26" t="str">
        <f>IF(OR(OR(OR(OR(OR(ISNUMBER(SEARCH(IF(C$1&lt;&gt;"",C$1,"NA"),'MITRE ATT&amp;CK Mappings'!$E68)),ISNUMBER(SEARCH(IF(C$1&lt;&gt;"",C$1,"NA"),'MITRE ATT&amp;CK Mappings'!$F68))),ISNUMBER(SEARCH(IF(C$2&lt;&gt;"",C$2,"NA"),'MITRE ATT&amp;CK Mappings'!$G68))),ISNUMBER(SEARCH(IF(C$2&lt;&gt;"",C$2,"NA"),'MITRE ATT&amp;CK Mappings'!$H68))),ISNUMBER(SEARCH(IF(C$3&lt;&gt;"",C$3,"NA"),'MITRE ATT&amp;CK Mappings'!$I68))),ISNUMBER(SEARCH(IF(C$3&lt;&gt;"",C$3,"NA"),'MITRE ATT&amp;CK Mappings'!$J68))), 'MITRE ATT&amp;CK Mappings'!$B68,"")</f>
        <v/>
      </c>
      <c r="D72" s="26" t="str">
        <f>IF(OR(OR(OR(OR(OR(ISNUMBER(SEARCH(IF(D$1&lt;&gt;"",D$1,"NA"),'MITRE ATT&amp;CK Mappings'!$E68)),ISNUMBER(SEARCH(IF(D$1&lt;&gt;"",D$1,"NA"),'MITRE ATT&amp;CK Mappings'!$F68))),ISNUMBER(SEARCH(IF(D$2&lt;&gt;"",D$2,"NA"),'MITRE ATT&amp;CK Mappings'!$G68))),ISNUMBER(SEARCH(IF(D$2&lt;&gt;"",D$2,"NA"),'MITRE ATT&amp;CK Mappings'!$H68))),ISNUMBER(SEARCH(IF(D$3&lt;&gt;"",D$3,"NA"),'MITRE ATT&amp;CK Mappings'!$I68))),ISNUMBER(SEARCH(IF(D$3&lt;&gt;"",D$3,"NA"),'MITRE ATT&amp;CK Mappings'!$J68))), 'MITRE ATT&amp;CK Mappings'!$B68,"")</f>
        <v/>
      </c>
      <c r="E72" s="26" t="str">
        <f>IF(OR(OR(OR(OR(OR(ISNUMBER(SEARCH(IF(E$1&lt;&gt;"",E$1,"NA"),'MITRE ATT&amp;CK Mappings'!$E68)),ISNUMBER(SEARCH(IF(E$1&lt;&gt;"",E$1,"NA"),'MITRE ATT&amp;CK Mappings'!$F68))),ISNUMBER(SEARCH(IF(E$2&lt;&gt;"",E$2,"NA"),'MITRE ATT&amp;CK Mappings'!$G68))),ISNUMBER(SEARCH(IF(E$2&lt;&gt;"",E$2,"NA"),'MITRE ATT&amp;CK Mappings'!$H68))),ISNUMBER(SEARCH(IF(E$3&lt;&gt;"",E$3,"NA"),'MITRE ATT&amp;CK Mappings'!$I68))),ISNUMBER(SEARCH(IF(E$3&lt;&gt;"",E$3,"NA"),'MITRE ATT&amp;CK Mappings'!$J68))), 'MITRE ATT&amp;CK Mappings'!$B68,"")</f>
        <v/>
      </c>
      <c r="F72" s="26" t="str">
        <f>IF(OR(OR(OR(OR(OR(ISNUMBER(SEARCH(IF(F$1&lt;&gt;"",F$1,"NA"),'MITRE ATT&amp;CK Mappings'!$E68)),ISNUMBER(SEARCH(IF(F$1&lt;&gt;"",F$1,"NA"),'MITRE ATT&amp;CK Mappings'!$F68))),ISNUMBER(SEARCH(IF(F$2&lt;&gt;"",F$2,"NA"),'MITRE ATT&amp;CK Mappings'!$G68))),ISNUMBER(SEARCH(IF(F$2&lt;&gt;"",F$2,"NA"),'MITRE ATT&amp;CK Mappings'!$H68))),ISNUMBER(SEARCH(IF(F$3&lt;&gt;"",F$3,"NA"),'MITRE ATT&amp;CK Mappings'!$I68))),ISNUMBER(SEARCH(IF(F$3&lt;&gt;"",F$3,"NA"),'MITRE ATT&amp;CK Mappings'!$J68))), 'MITRE ATT&amp;CK Mappings'!$B68,"")</f>
        <v/>
      </c>
      <c r="G72" s="26" t="str">
        <f>IF(OR(OR(OR(OR(OR(ISNUMBER(SEARCH(IF(G$1&lt;&gt;"",G$1,"NA"),'MITRE ATT&amp;CK Mappings'!$E68)),ISNUMBER(SEARCH(IF(G$1&lt;&gt;"",G$1,"NA"),'MITRE ATT&amp;CK Mappings'!$F68))),ISNUMBER(SEARCH(IF(G$2&lt;&gt;"",G$2,"NA"),'MITRE ATT&amp;CK Mappings'!$G68))),ISNUMBER(SEARCH(IF(G$2&lt;&gt;"",G$2,"NA"),'MITRE ATT&amp;CK Mappings'!$H68))),ISNUMBER(SEARCH(IF(G$3&lt;&gt;"",G$3,"NA"),'MITRE ATT&amp;CK Mappings'!$I68))),ISNUMBER(SEARCH(IF(G$3&lt;&gt;"",G$3,"NA"),'MITRE ATT&amp;CK Mappings'!$J68))), 'MITRE ATT&amp;CK Mappings'!$B68,"")</f>
        <v/>
      </c>
      <c r="H72" s="26" t="str">
        <f>IF(OR(OR(OR(OR(OR(ISNUMBER(SEARCH(IF(H$1&lt;&gt;"",H$1,"NA"),'MITRE ATT&amp;CK Mappings'!$E68)),ISNUMBER(SEARCH(IF(H$1&lt;&gt;"",H$1,"NA"),'MITRE ATT&amp;CK Mappings'!$F68))),ISNUMBER(SEARCH(IF(H$2&lt;&gt;"",H$2,"NA"),'MITRE ATT&amp;CK Mappings'!$G68))),ISNUMBER(SEARCH(IF(H$2&lt;&gt;"",H$2,"NA"),'MITRE ATT&amp;CK Mappings'!$H68))),ISNUMBER(SEARCH(IF(H$3&lt;&gt;"",H$3,"NA"),'MITRE ATT&amp;CK Mappings'!$I68))),ISNUMBER(SEARCH(IF(H$3&lt;&gt;"",H$3,"NA"),'MITRE ATT&amp;CK Mappings'!$J68))), 'MITRE ATT&amp;CK Mappings'!$B68,"")</f>
        <v/>
      </c>
      <c r="I72" s="26" t="str">
        <f>IF(OR(OR(OR(OR(OR(ISNUMBER(SEARCH(IF(I$1&lt;&gt;"",I$1,"NA"),'MITRE ATT&amp;CK Mappings'!$E68)),ISNUMBER(SEARCH(IF(I$1&lt;&gt;"",I$1,"NA"),'MITRE ATT&amp;CK Mappings'!$F68))),ISNUMBER(SEARCH(IF(I$2&lt;&gt;"",I$2,"NA"),'MITRE ATT&amp;CK Mappings'!$G68))),ISNUMBER(SEARCH(IF(I$2&lt;&gt;"",I$2,"NA"),'MITRE ATT&amp;CK Mappings'!$H68))),ISNUMBER(SEARCH(IF(I$3&lt;&gt;"",I$3,"NA"),'MITRE ATT&amp;CK Mappings'!$I68))),ISNUMBER(SEARCH(IF(I$3&lt;&gt;"",I$3,"NA"),'MITRE ATT&amp;CK Mappings'!$J68))), 'MITRE ATT&amp;CK Mappings'!$B68,"")</f>
        <v/>
      </c>
      <c r="J72" s="26" t="str">
        <f>IF(OR(OR(OR(OR(OR(ISNUMBER(SEARCH(IF(J$1&lt;&gt;"",J$1,"NA"),'MITRE ATT&amp;CK Mappings'!$E68)),ISNUMBER(SEARCH(IF(J$1&lt;&gt;"",J$1,"NA"),'MITRE ATT&amp;CK Mappings'!$F68))),ISNUMBER(SEARCH(IF(J$2&lt;&gt;"",J$2,"NA"),'MITRE ATT&amp;CK Mappings'!$G68))),ISNUMBER(SEARCH(IF(J$2&lt;&gt;"",J$2,"NA"),'MITRE ATT&amp;CK Mappings'!$H68))),ISNUMBER(SEARCH(IF(J$3&lt;&gt;"",J$3,"NA"),'MITRE ATT&amp;CK Mappings'!$I68))),ISNUMBER(SEARCH(IF(J$3&lt;&gt;"",J$3,"NA"),'MITRE ATT&amp;CK Mappings'!$J68))), 'MITRE ATT&amp;CK Mappings'!$B68,"")</f>
        <v/>
      </c>
      <c r="K72" s="26" t="str">
        <f>IF(OR(OR(OR(OR(OR(ISNUMBER(SEARCH(IF(K$1&lt;&gt;"",K$1,"NA"),'MITRE ATT&amp;CK Mappings'!$E68)),ISNUMBER(SEARCH(IF(K$1&lt;&gt;"",K$1,"NA"),'MITRE ATT&amp;CK Mappings'!$F68))),ISNUMBER(SEARCH(IF(K$2&lt;&gt;"",K$2,"NA"),'MITRE ATT&amp;CK Mappings'!$G68))),ISNUMBER(SEARCH(IF(K$2&lt;&gt;"",K$2,"NA"),'MITRE ATT&amp;CK Mappings'!$H68))),ISNUMBER(SEARCH(IF(K$3&lt;&gt;"",K$3,"NA"),'MITRE ATT&amp;CK Mappings'!$I68))),ISNUMBER(SEARCH(IF(K$3&lt;&gt;"",K$3,"NA"),'MITRE ATT&amp;CK Mappings'!$J68))), 'MITRE ATT&amp;CK Mappings'!$B68,"")</f>
        <v/>
      </c>
      <c r="L72" s="26" t="str">
        <f>IF('MITRE ATT&amp;CK Mappings'!D68 &lt;&gt;"",'MITRE ATT&amp;CK Mappings'!D68,"" )</f>
        <v>Ensure that a Microsoft Entra diagnostic setting exists to send Microsoft Entra activity logs to an appropriate destination</v>
      </c>
    </row>
    <row r="73" spans="1:12" x14ac:dyDescent="0.25">
      <c r="A73" s="27" t="str">
        <f>IF(COUNTIF(B73:K73,"="&amp;'MITRE ATT&amp;CK Mappings'!B69)&gt;0,'MITRE ATT&amp;CK Mappings'!B69,"")</f>
        <v/>
      </c>
      <c r="B73" s="27" t="str">
        <f>IF(OR(OR(OR(OR(OR(ISNUMBER(SEARCH(IF(B$1&lt;&gt;"",B$1,"NA"),'MITRE ATT&amp;CK Mappings'!$E69)),ISNUMBER(SEARCH(IF(B$1&lt;&gt;"",B$1,"NA"),'MITRE ATT&amp;CK Mappings'!$F69))),ISNUMBER(SEARCH(IF(B$2&lt;&gt;"",B$2,"NA"),'MITRE ATT&amp;CK Mappings'!$G69))),ISNUMBER(SEARCH(IF(B$2&lt;&gt;"",B$2,"NA"),'MITRE ATT&amp;CK Mappings'!$H69))),ISNUMBER(SEARCH(IF(B$3&lt;&gt;"",B$3,"NA"),'MITRE ATT&amp;CK Mappings'!$I69))),ISNUMBER(SEARCH(IF(B$3&lt;&gt;"",B$3,"NA"),'MITRE ATT&amp;CK Mappings'!$J69))), 'MITRE ATT&amp;CK Mappings'!$B69,"")</f>
        <v/>
      </c>
      <c r="C73" s="27" t="str">
        <f>IF(OR(OR(OR(OR(OR(ISNUMBER(SEARCH(IF(C$1&lt;&gt;"",C$1,"NA"),'MITRE ATT&amp;CK Mappings'!$E69)),ISNUMBER(SEARCH(IF(C$1&lt;&gt;"",C$1,"NA"),'MITRE ATT&amp;CK Mappings'!$F69))),ISNUMBER(SEARCH(IF(C$2&lt;&gt;"",C$2,"NA"),'MITRE ATT&amp;CK Mappings'!$G69))),ISNUMBER(SEARCH(IF(C$2&lt;&gt;"",C$2,"NA"),'MITRE ATT&amp;CK Mappings'!$H69))),ISNUMBER(SEARCH(IF(C$3&lt;&gt;"",C$3,"NA"),'MITRE ATT&amp;CK Mappings'!$I69))),ISNUMBER(SEARCH(IF(C$3&lt;&gt;"",C$3,"NA"),'MITRE ATT&amp;CK Mappings'!$J69))), 'MITRE ATT&amp;CK Mappings'!$B69,"")</f>
        <v/>
      </c>
      <c r="D73" s="27" t="str">
        <f>IF(OR(OR(OR(OR(OR(ISNUMBER(SEARCH(IF(D$1&lt;&gt;"",D$1,"NA"),'MITRE ATT&amp;CK Mappings'!$E69)),ISNUMBER(SEARCH(IF(D$1&lt;&gt;"",D$1,"NA"),'MITRE ATT&amp;CK Mappings'!$F69))),ISNUMBER(SEARCH(IF(D$2&lt;&gt;"",D$2,"NA"),'MITRE ATT&amp;CK Mappings'!$G69))),ISNUMBER(SEARCH(IF(D$2&lt;&gt;"",D$2,"NA"),'MITRE ATT&amp;CK Mappings'!$H69))),ISNUMBER(SEARCH(IF(D$3&lt;&gt;"",D$3,"NA"),'MITRE ATT&amp;CK Mappings'!$I69))),ISNUMBER(SEARCH(IF(D$3&lt;&gt;"",D$3,"NA"),'MITRE ATT&amp;CK Mappings'!$J69))), 'MITRE ATT&amp;CK Mappings'!$B69,"")</f>
        <v/>
      </c>
      <c r="E73" s="27" t="str">
        <f>IF(OR(OR(OR(OR(OR(ISNUMBER(SEARCH(IF(E$1&lt;&gt;"",E$1,"NA"),'MITRE ATT&amp;CK Mappings'!$E69)),ISNUMBER(SEARCH(IF(E$1&lt;&gt;"",E$1,"NA"),'MITRE ATT&amp;CK Mappings'!$F69))),ISNUMBER(SEARCH(IF(E$2&lt;&gt;"",E$2,"NA"),'MITRE ATT&amp;CK Mappings'!$G69))),ISNUMBER(SEARCH(IF(E$2&lt;&gt;"",E$2,"NA"),'MITRE ATT&amp;CK Mappings'!$H69))),ISNUMBER(SEARCH(IF(E$3&lt;&gt;"",E$3,"NA"),'MITRE ATT&amp;CK Mappings'!$I69))),ISNUMBER(SEARCH(IF(E$3&lt;&gt;"",E$3,"NA"),'MITRE ATT&amp;CK Mappings'!$J69))), 'MITRE ATT&amp;CK Mappings'!$B69,"")</f>
        <v/>
      </c>
      <c r="F73" s="27" t="str">
        <f>IF(OR(OR(OR(OR(OR(ISNUMBER(SEARCH(IF(F$1&lt;&gt;"",F$1,"NA"),'MITRE ATT&amp;CK Mappings'!$E69)),ISNUMBER(SEARCH(IF(F$1&lt;&gt;"",F$1,"NA"),'MITRE ATT&amp;CK Mappings'!$F69))),ISNUMBER(SEARCH(IF(F$2&lt;&gt;"",F$2,"NA"),'MITRE ATT&amp;CK Mappings'!$G69))),ISNUMBER(SEARCH(IF(F$2&lt;&gt;"",F$2,"NA"),'MITRE ATT&amp;CK Mappings'!$H69))),ISNUMBER(SEARCH(IF(F$3&lt;&gt;"",F$3,"NA"),'MITRE ATT&amp;CK Mappings'!$I69))),ISNUMBER(SEARCH(IF(F$3&lt;&gt;"",F$3,"NA"),'MITRE ATT&amp;CK Mappings'!$J69))), 'MITRE ATT&amp;CK Mappings'!$B69,"")</f>
        <v/>
      </c>
      <c r="G73" s="27" t="str">
        <f>IF(OR(OR(OR(OR(OR(ISNUMBER(SEARCH(IF(G$1&lt;&gt;"",G$1,"NA"),'MITRE ATT&amp;CK Mappings'!$E69)),ISNUMBER(SEARCH(IF(G$1&lt;&gt;"",G$1,"NA"),'MITRE ATT&amp;CK Mappings'!$F69))),ISNUMBER(SEARCH(IF(G$2&lt;&gt;"",G$2,"NA"),'MITRE ATT&amp;CK Mappings'!$G69))),ISNUMBER(SEARCH(IF(G$2&lt;&gt;"",G$2,"NA"),'MITRE ATT&amp;CK Mappings'!$H69))),ISNUMBER(SEARCH(IF(G$3&lt;&gt;"",G$3,"NA"),'MITRE ATT&amp;CK Mappings'!$I69))),ISNUMBER(SEARCH(IF(G$3&lt;&gt;"",G$3,"NA"),'MITRE ATT&amp;CK Mappings'!$J69))), 'MITRE ATT&amp;CK Mappings'!$B69,"")</f>
        <v/>
      </c>
      <c r="H73" s="27" t="str">
        <f>IF(OR(OR(OR(OR(OR(ISNUMBER(SEARCH(IF(H$1&lt;&gt;"",H$1,"NA"),'MITRE ATT&amp;CK Mappings'!$E69)),ISNUMBER(SEARCH(IF(H$1&lt;&gt;"",H$1,"NA"),'MITRE ATT&amp;CK Mappings'!$F69))),ISNUMBER(SEARCH(IF(H$2&lt;&gt;"",H$2,"NA"),'MITRE ATT&amp;CK Mappings'!$G69))),ISNUMBER(SEARCH(IF(H$2&lt;&gt;"",H$2,"NA"),'MITRE ATT&amp;CK Mappings'!$H69))),ISNUMBER(SEARCH(IF(H$3&lt;&gt;"",H$3,"NA"),'MITRE ATT&amp;CK Mappings'!$I69))),ISNUMBER(SEARCH(IF(H$3&lt;&gt;"",H$3,"NA"),'MITRE ATT&amp;CK Mappings'!$J69))), 'MITRE ATT&amp;CK Mappings'!$B69,"")</f>
        <v/>
      </c>
      <c r="I73" s="27" t="str">
        <f>IF(OR(OR(OR(OR(OR(ISNUMBER(SEARCH(IF(I$1&lt;&gt;"",I$1,"NA"),'MITRE ATT&amp;CK Mappings'!$E69)),ISNUMBER(SEARCH(IF(I$1&lt;&gt;"",I$1,"NA"),'MITRE ATT&amp;CK Mappings'!$F69))),ISNUMBER(SEARCH(IF(I$2&lt;&gt;"",I$2,"NA"),'MITRE ATT&amp;CK Mappings'!$G69))),ISNUMBER(SEARCH(IF(I$2&lt;&gt;"",I$2,"NA"),'MITRE ATT&amp;CK Mappings'!$H69))),ISNUMBER(SEARCH(IF(I$3&lt;&gt;"",I$3,"NA"),'MITRE ATT&amp;CK Mappings'!$I69))),ISNUMBER(SEARCH(IF(I$3&lt;&gt;"",I$3,"NA"),'MITRE ATT&amp;CK Mappings'!$J69))), 'MITRE ATT&amp;CK Mappings'!$B69,"")</f>
        <v/>
      </c>
      <c r="J73" s="27" t="str">
        <f>IF(OR(OR(OR(OR(OR(ISNUMBER(SEARCH(IF(J$1&lt;&gt;"",J$1,"NA"),'MITRE ATT&amp;CK Mappings'!$E69)),ISNUMBER(SEARCH(IF(J$1&lt;&gt;"",J$1,"NA"),'MITRE ATT&amp;CK Mappings'!$F69))),ISNUMBER(SEARCH(IF(J$2&lt;&gt;"",J$2,"NA"),'MITRE ATT&amp;CK Mappings'!$G69))),ISNUMBER(SEARCH(IF(J$2&lt;&gt;"",J$2,"NA"),'MITRE ATT&amp;CK Mappings'!$H69))),ISNUMBER(SEARCH(IF(J$3&lt;&gt;"",J$3,"NA"),'MITRE ATT&amp;CK Mappings'!$I69))),ISNUMBER(SEARCH(IF(J$3&lt;&gt;"",J$3,"NA"),'MITRE ATT&amp;CK Mappings'!$J69))), 'MITRE ATT&amp;CK Mappings'!$B69,"")</f>
        <v/>
      </c>
      <c r="K73" s="27" t="str">
        <f>IF(OR(OR(OR(OR(OR(ISNUMBER(SEARCH(IF(K$1&lt;&gt;"",K$1,"NA"),'MITRE ATT&amp;CK Mappings'!$E69)),ISNUMBER(SEARCH(IF(K$1&lt;&gt;"",K$1,"NA"),'MITRE ATT&amp;CK Mappings'!$F69))),ISNUMBER(SEARCH(IF(K$2&lt;&gt;"",K$2,"NA"),'MITRE ATT&amp;CK Mappings'!$G69))),ISNUMBER(SEARCH(IF(K$2&lt;&gt;"",K$2,"NA"),'MITRE ATT&amp;CK Mappings'!$H69))),ISNUMBER(SEARCH(IF(K$3&lt;&gt;"",K$3,"NA"),'MITRE ATT&amp;CK Mappings'!$I69))),ISNUMBER(SEARCH(IF(K$3&lt;&gt;"",K$3,"NA"),'MITRE ATT&amp;CK Mappings'!$J69))), 'MITRE ATT&amp;CK Mappings'!$B69,"")</f>
        <v/>
      </c>
      <c r="L73" s="27" t="str">
        <f>IF('MITRE ATT&amp;CK Mappings'!D69 &lt;&gt;"",'MITRE ATT&amp;CK Mappings'!D69,"" )</f>
        <v>Ensure that Intune logs are captured and sent to Log Analytics</v>
      </c>
    </row>
    <row r="74" spans="1:12" x14ac:dyDescent="0.25">
      <c r="A74" s="26" t="str">
        <f>IF(COUNTIF(B74:K74,"="&amp;'MITRE ATT&amp;CK Mappings'!B70)&gt;0,'MITRE ATT&amp;CK Mappings'!B70,"")</f>
        <v/>
      </c>
      <c r="B74" s="26" t="str">
        <f>IF(OR(OR(OR(OR(OR(ISNUMBER(SEARCH(IF(B$1&lt;&gt;"",B$1,"NA"),'MITRE ATT&amp;CK Mappings'!$E70)),ISNUMBER(SEARCH(IF(B$1&lt;&gt;"",B$1,"NA"),'MITRE ATT&amp;CK Mappings'!$F70))),ISNUMBER(SEARCH(IF(B$2&lt;&gt;"",B$2,"NA"),'MITRE ATT&amp;CK Mappings'!$G70))),ISNUMBER(SEARCH(IF(B$2&lt;&gt;"",B$2,"NA"),'MITRE ATT&amp;CK Mappings'!$H70))),ISNUMBER(SEARCH(IF(B$3&lt;&gt;"",B$3,"NA"),'MITRE ATT&amp;CK Mappings'!$I70))),ISNUMBER(SEARCH(IF(B$3&lt;&gt;"",B$3,"NA"),'MITRE ATT&amp;CK Mappings'!$J70))), 'MITRE ATT&amp;CK Mappings'!$B70,"")</f>
        <v/>
      </c>
      <c r="C74" s="26" t="str">
        <f>IF(OR(OR(OR(OR(OR(ISNUMBER(SEARCH(IF(C$1&lt;&gt;"",C$1,"NA"),'MITRE ATT&amp;CK Mappings'!$E70)),ISNUMBER(SEARCH(IF(C$1&lt;&gt;"",C$1,"NA"),'MITRE ATT&amp;CK Mappings'!$F70))),ISNUMBER(SEARCH(IF(C$2&lt;&gt;"",C$2,"NA"),'MITRE ATT&amp;CK Mappings'!$G70))),ISNUMBER(SEARCH(IF(C$2&lt;&gt;"",C$2,"NA"),'MITRE ATT&amp;CK Mappings'!$H70))),ISNUMBER(SEARCH(IF(C$3&lt;&gt;"",C$3,"NA"),'MITRE ATT&amp;CK Mappings'!$I70))),ISNUMBER(SEARCH(IF(C$3&lt;&gt;"",C$3,"NA"),'MITRE ATT&amp;CK Mappings'!$J70))), 'MITRE ATT&amp;CK Mappings'!$B70,"")</f>
        <v/>
      </c>
      <c r="D74" s="26" t="str">
        <f>IF(OR(OR(OR(OR(OR(ISNUMBER(SEARCH(IF(D$1&lt;&gt;"",D$1,"NA"),'MITRE ATT&amp;CK Mappings'!$E70)),ISNUMBER(SEARCH(IF(D$1&lt;&gt;"",D$1,"NA"),'MITRE ATT&amp;CK Mappings'!$F70))),ISNUMBER(SEARCH(IF(D$2&lt;&gt;"",D$2,"NA"),'MITRE ATT&amp;CK Mappings'!$G70))),ISNUMBER(SEARCH(IF(D$2&lt;&gt;"",D$2,"NA"),'MITRE ATT&amp;CK Mappings'!$H70))),ISNUMBER(SEARCH(IF(D$3&lt;&gt;"",D$3,"NA"),'MITRE ATT&amp;CK Mappings'!$I70))),ISNUMBER(SEARCH(IF(D$3&lt;&gt;"",D$3,"NA"),'MITRE ATT&amp;CK Mappings'!$J70))), 'MITRE ATT&amp;CK Mappings'!$B70,"")</f>
        <v/>
      </c>
      <c r="E74" s="26" t="str">
        <f>IF(OR(OR(OR(OR(OR(ISNUMBER(SEARCH(IF(E$1&lt;&gt;"",E$1,"NA"),'MITRE ATT&amp;CK Mappings'!$E70)),ISNUMBER(SEARCH(IF(E$1&lt;&gt;"",E$1,"NA"),'MITRE ATT&amp;CK Mappings'!$F70))),ISNUMBER(SEARCH(IF(E$2&lt;&gt;"",E$2,"NA"),'MITRE ATT&amp;CK Mappings'!$G70))),ISNUMBER(SEARCH(IF(E$2&lt;&gt;"",E$2,"NA"),'MITRE ATT&amp;CK Mappings'!$H70))),ISNUMBER(SEARCH(IF(E$3&lt;&gt;"",E$3,"NA"),'MITRE ATT&amp;CK Mappings'!$I70))),ISNUMBER(SEARCH(IF(E$3&lt;&gt;"",E$3,"NA"),'MITRE ATT&amp;CK Mappings'!$J70))), 'MITRE ATT&amp;CK Mappings'!$B70,"")</f>
        <v/>
      </c>
      <c r="F74" s="26" t="str">
        <f>IF(OR(OR(OR(OR(OR(ISNUMBER(SEARCH(IF(F$1&lt;&gt;"",F$1,"NA"),'MITRE ATT&amp;CK Mappings'!$E70)),ISNUMBER(SEARCH(IF(F$1&lt;&gt;"",F$1,"NA"),'MITRE ATT&amp;CK Mappings'!$F70))),ISNUMBER(SEARCH(IF(F$2&lt;&gt;"",F$2,"NA"),'MITRE ATT&amp;CK Mappings'!$G70))),ISNUMBER(SEARCH(IF(F$2&lt;&gt;"",F$2,"NA"),'MITRE ATT&amp;CK Mappings'!$H70))),ISNUMBER(SEARCH(IF(F$3&lt;&gt;"",F$3,"NA"),'MITRE ATT&amp;CK Mappings'!$I70))),ISNUMBER(SEARCH(IF(F$3&lt;&gt;"",F$3,"NA"),'MITRE ATT&amp;CK Mappings'!$J70))), 'MITRE ATT&amp;CK Mappings'!$B70,"")</f>
        <v/>
      </c>
      <c r="G74" s="26" t="str">
        <f>IF(OR(OR(OR(OR(OR(ISNUMBER(SEARCH(IF(G$1&lt;&gt;"",G$1,"NA"),'MITRE ATT&amp;CK Mappings'!$E70)),ISNUMBER(SEARCH(IF(G$1&lt;&gt;"",G$1,"NA"),'MITRE ATT&amp;CK Mappings'!$F70))),ISNUMBER(SEARCH(IF(G$2&lt;&gt;"",G$2,"NA"),'MITRE ATT&amp;CK Mappings'!$G70))),ISNUMBER(SEARCH(IF(G$2&lt;&gt;"",G$2,"NA"),'MITRE ATT&amp;CK Mappings'!$H70))),ISNUMBER(SEARCH(IF(G$3&lt;&gt;"",G$3,"NA"),'MITRE ATT&amp;CK Mappings'!$I70))),ISNUMBER(SEARCH(IF(G$3&lt;&gt;"",G$3,"NA"),'MITRE ATT&amp;CK Mappings'!$J70))), 'MITRE ATT&amp;CK Mappings'!$B70,"")</f>
        <v/>
      </c>
      <c r="H74" s="26" t="str">
        <f>IF(OR(OR(OR(OR(OR(ISNUMBER(SEARCH(IF(H$1&lt;&gt;"",H$1,"NA"),'MITRE ATT&amp;CK Mappings'!$E70)),ISNUMBER(SEARCH(IF(H$1&lt;&gt;"",H$1,"NA"),'MITRE ATT&amp;CK Mappings'!$F70))),ISNUMBER(SEARCH(IF(H$2&lt;&gt;"",H$2,"NA"),'MITRE ATT&amp;CK Mappings'!$G70))),ISNUMBER(SEARCH(IF(H$2&lt;&gt;"",H$2,"NA"),'MITRE ATT&amp;CK Mappings'!$H70))),ISNUMBER(SEARCH(IF(H$3&lt;&gt;"",H$3,"NA"),'MITRE ATT&amp;CK Mappings'!$I70))),ISNUMBER(SEARCH(IF(H$3&lt;&gt;"",H$3,"NA"),'MITRE ATT&amp;CK Mappings'!$J70))), 'MITRE ATT&amp;CK Mappings'!$B70,"")</f>
        <v/>
      </c>
      <c r="I74" s="26" t="str">
        <f>IF(OR(OR(OR(OR(OR(ISNUMBER(SEARCH(IF(I$1&lt;&gt;"",I$1,"NA"),'MITRE ATT&amp;CK Mappings'!$E70)),ISNUMBER(SEARCH(IF(I$1&lt;&gt;"",I$1,"NA"),'MITRE ATT&amp;CK Mappings'!$F70))),ISNUMBER(SEARCH(IF(I$2&lt;&gt;"",I$2,"NA"),'MITRE ATT&amp;CK Mappings'!$G70))),ISNUMBER(SEARCH(IF(I$2&lt;&gt;"",I$2,"NA"),'MITRE ATT&amp;CK Mappings'!$H70))),ISNUMBER(SEARCH(IF(I$3&lt;&gt;"",I$3,"NA"),'MITRE ATT&amp;CK Mappings'!$I70))),ISNUMBER(SEARCH(IF(I$3&lt;&gt;"",I$3,"NA"),'MITRE ATT&amp;CK Mappings'!$J70))), 'MITRE ATT&amp;CK Mappings'!$B70,"")</f>
        <v/>
      </c>
      <c r="J74" s="26" t="str">
        <f>IF(OR(OR(OR(OR(OR(ISNUMBER(SEARCH(IF(J$1&lt;&gt;"",J$1,"NA"),'MITRE ATT&amp;CK Mappings'!$E70)),ISNUMBER(SEARCH(IF(J$1&lt;&gt;"",J$1,"NA"),'MITRE ATT&amp;CK Mappings'!$F70))),ISNUMBER(SEARCH(IF(J$2&lt;&gt;"",J$2,"NA"),'MITRE ATT&amp;CK Mappings'!$G70))),ISNUMBER(SEARCH(IF(J$2&lt;&gt;"",J$2,"NA"),'MITRE ATT&amp;CK Mappings'!$H70))),ISNUMBER(SEARCH(IF(J$3&lt;&gt;"",J$3,"NA"),'MITRE ATT&amp;CK Mappings'!$I70))),ISNUMBER(SEARCH(IF(J$3&lt;&gt;"",J$3,"NA"),'MITRE ATT&amp;CK Mappings'!$J70))), 'MITRE ATT&amp;CK Mappings'!$B70,"")</f>
        <v/>
      </c>
      <c r="K74" s="26" t="str">
        <f>IF(OR(OR(OR(OR(OR(ISNUMBER(SEARCH(IF(K$1&lt;&gt;"",K$1,"NA"),'MITRE ATT&amp;CK Mappings'!$E70)),ISNUMBER(SEARCH(IF(K$1&lt;&gt;"",K$1,"NA"),'MITRE ATT&amp;CK Mappings'!$F70))),ISNUMBER(SEARCH(IF(K$2&lt;&gt;"",K$2,"NA"),'MITRE ATT&amp;CK Mappings'!$G70))),ISNUMBER(SEARCH(IF(K$2&lt;&gt;"",K$2,"NA"),'MITRE ATT&amp;CK Mappings'!$H70))),ISNUMBER(SEARCH(IF(K$3&lt;&gt;"",K$3,"NA"),'MITRE ATT&amp;CK Mappings'!$I70))),ISNUMBER(SEARCH(IF(K$3&lt;&gt;"",K$3,"NA"),'MITRE ATT&amp;CK Mappings'!$J70))), 'MITRE ATT&amp;CK Mappings'!$B70,"")</f>
        <v/>
      </c>
      <c r="L74" s="26" t="str">
        <f>IF('MITRE ATT&amp;CK Mappings'!D70 &lt;&gt;"",'MITRE ATT&amp;CK Mappings'!D70,"" )</f>
        <v>Ensure that Activity Log Alert exists for Create Policy Assignment</v>
      </c>
    </row>
    <row r="75" spans="1:12" x14ac:dyDescent="0.25">
      <c r="A75" s="27" t="str">
        <f>IF(COUNTIF(B75:K75,"="&amp;'MITRE ATT&amp;CK Mappings'!B71)&gt;0,'MITRE ATT&amp;CK Mappings'!B71,"")</f>
        <v/>
      </c>
      <c r="B75" s="27" t="str">
        <f>IF(OR(OR(OR(OR(OR(ISNUMBER(SEARCH(IF(B$1&lt;&gt;"",B$1,"NA"),'MITRE ATT&amp;CK Mappings'!$E71)),ISNUMBER(SEARCH(IF(B$1&lt;&gt;"",B$1,"NA"),'MITRE ATT&amp;CK Mappings'!$F71))),ISNUMBER(SEARCH(IF(B$2&lt;&gt;"",B$2,"NA"),'MITRE ATT&amp;CK Mappings'!$G71))),ISNUMBER(SEARCH(IF(B$2&lt;&gt;"",B$2,"NA"),'MITRE ATT&amp;CK Mappings'!$H71))),ISNUMBER(SEARCH(IF(B$3&lt;&gt;"",B$3,"NA"),'MITRE ATT&amp;CK Mappings'!$I71))),ISNUMBER(SEARCH(IF(B$3&lt;&gt;"",B$3,"NA"),'MITRE ATT&amp;CK Mappings'!$J71))), 'MITRE ATT&amp;CK Mappings'!$B71,"")</f>
        <v/>
      </c>
      <c r="C75" s="27" t="str">
        <f>IF(OR(OR(OR(OR(OR(ISNUMBER(SEARCH(IF(C$1&lt;&gt;"",C$1,"NA"),'MITRE ATT&amp;CK Mappings'!$E71)),ISNUMBER(SEARCH(IF(C$1&lt;&gt;"",C$1,"NA"),'MITRE ATT&amp;CK Mappings'!$F71))),ISNUMBER(SEARCH(IF(C$2&lt;&gt;"",C$2,"NA"),'MITRE ATT&amp;CK Mappings'!$G71))),ISNUMBER(SEARCH(IF(C$2&lt;&gt;"",C$2,"NA"),'MITRE ATT&amp;CK Mappings'!$H71))),ISNUMBER(SEARCH(IF(C$3&lt;&gt;"",C$3,"NA"),'MITRE ATT&amp;CK Mappings'!$I71))),ISNUMBER(SEARCH(IF(C$3&lt;&gt;"",C$3,"NA"),'MITRE ATT&amp;CK Mappings'!$J71))), 'MITRE ATT&amp;CK Mappings'!$B71,"")</f>
        <v/>
      </c>
      <c r="D75" s="27" t="str">
        <f>IF(OR(OR(OR(OR(OR(ISNUMBER(SEARCH(IF(D$1&lt;&gt;"",D$1,"NA"),'MITRE ATT&amp;CK Mappings'!$E71)),ISNUMBER(SEARCH(IF(D$1&lt;&gt;"",D$1,"NA"),'MITRE ATT&amp;CK Mappings'!$F71))),ISNUMBER(SEARCH(IF(D$2&lt;&gt;"",D$2,"NA"),'MITRE ATT&amp;CK Mappings'!$G71))),ISNUMBER(SEARCH(IF(D$2&lt;&gt;"",D$2,"NA"),'MITRE ATT&amp;CK Mappings'!$H71))),ISNUMBER(SEARCH(IF(D$3&lt;&gt;"",D$3,"NA"),'MITRE ATT&amp;CK Mappings'!$I71))),ISNUMBER(SEARCH(IF(D$3&lt;&gt;"",D$3,"NA"),'MITRE ATT&amp;CK Mappings'!$J71))), 'MITRE ATT&amp;CK Mappings'!$B71,"")</f>
        <v/>
      </c>
      <c r="E75" s="27" t="str">
        <f>IF(OR(OR(OR(OR(OR(ISNUMBER(SEARCH(IF(E$1&lt;&gt;"",E$1,"NA"),'MITRE ATT&amp;CK Mappings'!$E71)),ISNUMBER(SEARCH(IF(E$1&lt;&gt;"",E$1,"NA"),'MITRE ATT&amp;CK Mappings'!$F71))),ISNUMBER(SEARCH(IF(E$2&lt;&gt;"",E$2,"NA"),'MITRE ATT&amp;CK Mappings'!$G71))),ISNUMBER(SEARCH(IF(E$2&lt;&gt;"",E$2,"NA"),'MITRE ATT&amp;CK Mappings'!$H71))),ISNUMBER(SEARCH(IF(E$3&lt;&gt;"",E$3,"NA"),'MITRE ATT&amp;CK Mappings'!$I71))),ISNUMBER(SEARCH(IF(E$3&lt;&gt;"",E$3,"NA"),'MITRE ATT&amp;CK Mappings'!$J71))), 'MITRE ATT&amp;CK Mappings'!$B71,"")</f>
        <v/>
      </c>
      <c r="F75" s="27" t="str">
        <f>IF(OR(OR(OR(OR(OR(ISNUMBER(SEARCH(IF(F$1&lt;&gt;"",F$1,"NA"),'MITRE ATT&amp;CK Mappings'!$E71)),ISNUMBER(SEARCH(IF(F$1&lt;&gt;"",F$1,"NA"),'MITRE ATT&amp;CK Mappings'!$F71))),ISNUMBER(SEARCH(IF(F$2&lt;&gt;"",F$2,"NA"),'MITRE ATT&amp;CK Mappings'!$G71))),ISNUMBER(SEARCH(IF(F$2&lt;&gt;"",F$2,"NA"),'MITRE ATT&amp;CK Mappings'!$H71))),ISNUMBER(SEARCH(IF(F$3&lt;&gt;"",F$3,"NA"),'MITRE ATT&amp;CK Mappings'!$I71))),ISNUMBER(SEARCH(IF(F$3&lt;&gt;"",F$3,"NA"),'MITRE ATT&amp;CK Mappings'!$J71))), 'MITRE ATT&amp;CK Mappings'!$B71,"")</f>
        <v/>
      </c>
      <c r="G75" s="27" t="str">
        <f>IF(OR(OR(OR(OR(OR(ISNUMBER(SEARCH(IF(G$1&lt;&gt;"",G$1,"NA"),'MITRE ATT&amp;CK Mappings'!$E71)),ISNUMBER(SEARCH(IF(G$1&lt;&gt;"",G$1,"NA"),'MITRE ATT&amp;CK Mappings'!$F71))),ISNUMBER(SEARCH(IF(G$2&lt;&gt;"",G$2,"NA"),'MITRE ATT&amp;CK Mappings'!$G71))),ISNUMBER(SEARCH(IF(G$2&lt;&gt;"",G$2,"NA"),'MITRE ATT&amp;CK Mappings'!$H71))),ISNUMBER(SEARCH(IF(G$3&lt;&gt;"",G$3,"NA"),'MITRE ATT&amp;CK Mappings'!$I71))),ISNUMBER(SEARCH(IF(G$3&lt;&gt;"",G$3,"NA"),'MITRE ATT&amp;CK Mappings'!$J71))), 'MITRE ATT&amp;CK Mappings'!$B71,"")</f>
        <v/>
      </c>
      <c r="H75" s="27" t="str">
        <f>IF(OR(OR(OR(OR(OR(ISNUMBER(SEARCH(IF(H$1&lt;&gt;"",H$1,"NA"),'MITRE ATT&amp;CK Mappings'!$E71)),ISNUMBER(SEARCH(IF(H$1&lt;&gt;"",H$1,"NA"),'MITRE ATT&amp;CK Mappings'!$F71))),ISNUMBER(SEARCH(IF(H$2&lt;&gt;"",H$2,"NA"),'MITRE ATT&amp;CK Mappings'!$G71))),ISNUMBER(SEARCH(IF(H$2&lt;&gt;"",H$2,"NA"),'MITRE ATT&amp;CK Mappings'!$H71))),ISNUMBER(SEARCH(IF(H$3&lt;&gt;"",H$3,"NA"),'MITRE ATT&amp;CK Mappings'!$I71))),ISNUMBER(SEARCH(IF(H$3&lt;&gt;"",H$3,"NA"),'MITRE ATT&amp;CK Mappings'!$J71))), 'MITRE ATT&amp;CK Mappings'!$B71,"")</f>
        <v/>
      </c>
      <c r="I75" s="27" t="str">
        <f>IF(OR(OR(OR(OR(OR(ISNUMBER(SEARCH(IF(I$1&lt;&gt;"",I$1,"NA"),'MITRE ATT&amp;CK Mappings'!$E71)),ISNUMBER(SEARCH(IF(I$1&lt;&gt;"",I$1,"NA"),'MITRE ATT&amp;CK Mappings'!$F71))),ISNUMBER(SEARCH(IF(I$2&lt;&gt;"",I$2,"NA"),'MITRE ATT&amp;CK Mappings'!$G71))),ISNUMBER(SEARCH(IF(I$2&lt;&gt;"",I$2,"NA"),'MITRE ATT&amp;CK Mappings'!$H71))),ISNUMBER(SEARCH(IF(I$3&lt;&gt;"",I$3,"NA"),'MITRE ATT&amp;CK Mappings'!$I71))),ISNUMBER(SEARCH(IF(I$3&lt;&gt;"",I$3,"NA"),'MITRE ATT&amp;CK Mappings'!$J71))), 'MITRE ATT&amp;CK Mappings'!$B71,"")</f>
        <v/>
      </c>
      <c r="J75" s="27" t="str">
        <f>IF(OR(OR(OR(OR(OR(ISNUMBER(SEARCH(IF(J$1&lt;&gt;"",J$1,"NA"),'MITRE ATT&amp;CK Mappings'!$E71)),ISNUMBER(SEARCH(IF(J$1&lt;&gt;"",J$1,"NA"),'MITRE ATT&amp;CK Mappings'!$F71))),ISNUMBER(SEARCH(IF(J$2&lt;&gt;"",J$2,"NA"),'MITRE ATT&amp;CK Mappings'!$G71))),ISNUMBER(SEARCH(IF(J$2&lt;&gt;"",J$2,"NA"),'MITRE ATT&amp;CK Mappings'!$H71))),ISNUMBER(SEARCH(IF(J$3&lt;&gt;"",J$3,"NA"),'MITRE ATT&amp;CK Mappings'!$I71))),ISNUMBER(SEARCH(IF(J$3&lt;&gt;"",J$3,"NA"),'MITRE ATT&amp;CK Mappings'!$J71))), 'MITRE ATT&amp;CK Mappings'!$B71,"")</f>
        <v/>
      </c>
      <c r="K75" s="27" t="str">
        <f>IF(OR(OR(OR(OR(OR(ISNUMBER(SEARCH(IF(K$1&lt;&gt;"",K$1,"NA"),'MITRE ATT&amp;CK Mappings'!$E71)),ISNUMBER(SEARCH(IF(K$1&lt;&gt;"",K$1,"NA"),'MITRE ATT&amp;CK Mappings'!$F71))),ISNUMBER(SEARCH(IF(K$2&lt;&gt;"",K$2,"NA"),'MITRE ATT&amp;CK Mappings'!$G71))),ISNUMBER(SEARCH(IF(K$2&lt;&gt;"",K$2,"NA"),'MITRE ATT&amp;CK Mappings'!$H71))),ISNUMBER(SEARCH(IF(K$3&lt;&gt;"",K$3,"NA"),'MITRE ATT&amp;CK Mappings'!$I71))),ISNUMBER(SEARCH(IF(K$3&lt;&gt;"",K$3,"NA"),'MITRE ATT&amp;CK Mappings'!$J71))), 'MITRE ATT&amp;CK Mappings'!$B71,"")</f>
        <v/>
      </c>
      <c r="L75" s="27" t="str">
        <f>IF('MITRE ATT&amp;CK Mappings'!D71 &lt;&gt;"",'MITRE ATT&amp;CK Mappings'!D71,"" )</f>
        <v>Ensure that Activity Log Alert exists for Delete Policy Assignment</v>
      </c>
    </row>
    <row r="76" spans="1:12" x14ac:dyDescent="0.25">
      <c r="A76" s="26" t="str">
        <f>IF(COUNTIF(B76:K76,"="&amp;'MITRE ATT&amp;CK Mappings'!B72)&gt;0,'MITRE ATT&amp;CK Mappings'!B72,"")</f>
        <v/>
      </c>
      <c r="B76" s="26" t="str">
        <f>IF(OR(OR(OR(OR(OR(ISNUMBER(SEARCH(IF(B$1&lt;&gt;"",B$1,"NA"),'MITRE ATT&amp;CK Mappings'!$E72)),ISNUMBER(SEARCH(IF(B$1&lt;&gt;"",B$1,"NA"),'MITRE ATT&amp;CK Mappings'!$F72))),ISNUMBER(SEARCH(IF(B$2&lt;&gt;"",B$2,"NA"),'MITRE ATT&amp;CK Mappings'!$G72))),ISNUMBER(SEARCH(IF(B$2&lt;&gt;"",B$2,"NA"),'MITRE ATT&amp;CK Mappings'!$H72))),ISNUMBER(SEARCH(IF(B$3&lt;&gt;"",B$3,"NA"),'MITRE ATT&amp;CK Mappings'!$I72))),ISNUMBER(SEARCH(IF(B$3&lt;&gt;"",B$3,"NA"),'MITRE ATT&amp;CK Mappings'!$J72))), 'MITRE ATT&amp;CK Mappings'!$B72,"")</f>
        <v/>
      </c>
      <c r="C76" s="26" t="str">
        <f>IF(OR(OR(OR(OR(OR(ISNUMBER(SEARCH(IF(C$1&lt;&gt;"",C$1,"NA"),'MITRE ATT&amp;CK Mappings'!$E72)),ISNUMBER(SEARCH(IF(C$1&lt;&gt;"",C$1,"NA"),'MITRE ATT&amp;CK Mappings'!$F72))),ISNUMBER(SEARCH(IF(C$2&lt;&gt;"",C$2,"NA"),'MITRE ATT&amp;CK Mappings'!$G72))),ISNUMBER(SEARCH(IF(C$2&lt;&gt;"",C$2,"NA"),'MITRE ATT&amp;CK Mappings'!$H72))),ISNUMBER(SEARCH(IF(C$3&lt;&gt;"",C$3,"NA"),'MITRE ATT&amp;CK Mappings'!$I72))),ISNUMBER(SEARCH(IF(C$3&lt;&gt;"",C$3,"NA"),'MITRE ATT&amp;CK Mappings'!$J72))), 'MITRE ATT&amp;CK Mappings'!$B72,"")</f>
        <v/>
      </c>
      <c r="D76" s="26" t="str">
        <f>IF(OR(OR(OR(OR(OR(ISNUMBER(SEARCH(IF(D$1&lt;&gt;"",D$1,"NA"),'MITRE ATT&amp;CK Mappings'!$E72)),ISNUMBER(SEARCH(IF(D$1&lt;&gt;"",D$1,"NA"),'MITRE ATT&amp;CK Mappings'!$F72))),ISNUMBER(SEARCH(IF(D$2&lt;&gt;"",D$2,"NA"),'MITRE ATT&amp;CK Mappings'!$G72))),ISNUMBER(SEARCH(IF(D$2&lt;&gt;"",D$2,"NA"),'MITRE ATT&amp;CK Mappings'!$H72))),ISNUMBER(SEARCH(IF(D$3&lt;&gt;"",D$3,"NA"),'MITRE ATT&amp;CK Mappings'!$I72))),ISNUMBER(SEARCH(IF(D$3&lt;&gt;"",D$3,"NA"),'MITRE ATT&amp;CK Mappings'!$J72))), 'MITRE ATT&amp;CK Mappings'!$B72,"")</f>
        <v/>
      </c>
      <c r="E76" s="26" t="str">
        <f>IF(OR(OR(OR(OR(OR(ISNUMBER(SEARCH(IF(E$1&lt;&gt;"",E$1,"NA"),'MITRE ATT&amp;CK Mappings'!$E72)),ISNUMBER(SEARCH(IF(E$1&lt;&gt;"",E$1,"NA"),'MITRE ATT&amp;CK Mappings'!$F72))),ISNUMBER(SEARCH(IF(E$2&lt;&gt;"",E$2,"NA"),'MITRE ATT&amp;CK Mappings'!$G72))),ISNUMBER(SEARCH(IF(E$2&lt;&gt;"",E$2,"NA"),'MITRE ATT&amp;CK Mappings'!$H72))),ISNUMBER(SEARCH(IF(E$3&lt;&gt;"",E$3,"NA"),'MITRE ATT&amp;CK Mappings'!$I72))),ISNUMBER(SEARCH(IF(E$3&lt;&gt;"",E$3,"NA"),'MITRE ATT&amp;CK Mappings'!$J72))), 'MITRE ATT&amp;CK Mappings'!$B72,"")</f>
        <v/>
      </c>
      <c r="F76" s="26" t="str">
        <f>IF(OR(OR(OR(OR(OR(ISNUMBER(SEARCH(IF(F$1&lt;&gt;"",F$1,"NA"),'MITRE ATT&amp;CK Mappings'!$E72)),ISNUMBER(SEARCH(IF(F$1&lt;&gt;"",F$1,"NA"),'MITRE ATT&amp;CK Mappings'!$F72))),ISNUMBER(SEARCH(IF(F$2&lt;&gt;"",F$2,"NA"),'MITRE ATT&amp;CK Mappings'!$G72))),ISNUMBER(SEARCH(IF(F$2&lt;&gt;"",F$2,"NA"),'MITRE ATT&amp;CK Mappings'!$H72))),ISNUMBER(SEARCH(IF(F$3&lt;&gt;"",F$3,"NA"),'MITRE ATT&amp;CK Mappings'!$I72))),ISNUMBER(SEARCH(IF(F$3&lt;&gt;"",F$3,"NA"),'MITRE ATT&amp;CK Mappings'!$J72))), 'MITRE ATT&amp;CK Mappings'!$B72,"")</f>
        <v/>
      </c>
      <c r="G76" s="26" t="str">
        <f>IF(OR(OR(OR(OR(OR(ISNUMBER(SEARCH(IF(G$1&lt;&gt;"",G$1,"NA"),'MITRE ATT&amp;CK Mappings'!$E72)),ISNUMBER(SEARCH(IF(G$1&lt;&gt;"",G$1,"NA"),'MITRE ATT&amp;CK Mappings'!$F72))),ISNUMBER(SEARCH(IF(G$2&lt;&gt;"",G$2,"NA"),'MITRE ATT&amp;CK Mappings'!$G72))),ISNUMBER(SEARCH(IF(G$2&lt;&gt;"",G$2,"NA"),'MITRE ATT&amp;CK Mappings'!$H72))),ISNUMBER(SEARCH(IF(G$3&lt;&gt;"",G$3,"NA"),'MITRE ATT&amp;CK Mappings'!$I72))),ISNUMBER(SEARCH(IF(G$3&lt;&gt;"",G$3,"NA"),'MITRE ATT&amp;CK Mappings'!$J72))), 'MITRE ATT&amp;CK Mappings'!$B72,"")</f>
        <v/>
      </c>
      <c r="H76" s="26" t="str">
        <f>IF(OR(OR(OR(OR(OR(ISNUMBER(SEARCH(IF(H$1&lt;&gt;"",H$1,"NA"),'MITRE ATT&amp;CK Mappings'!$E72)),ISNUMBER(SEARCH(IF(H$1&lt;&gt;"",H$1,"NA"),'MITRE ATT&amp;CK Mappings'!$F72))),ISNUMBER(SEARCH(IF(H$2&lt;&gt;"",H$2,"NA"),'MITRE ATT&amp;CK Mappings'!$G72))),ISNUMBER(SEARCH(IF(H$2&lt;&gt;"",H$2,"NA"),'MITRE ATT&amp;CK Mappings'!$H72))),ISNUMBER(SEARCH(IF(H$3&lt;&gt;"",H$3,"NA"),'MITRE ATT&amp;CK Mappings'!$I72))),ISNUMBER(SEARCH(IF(H$3&lt;&gt;"",H$3,"NA"),'MITRE ATT&amp;CK Mappings'!$J72))), 'MITRE ATT&amp;CK Mappings'!$B72,"")</f>
        <v/>
      </c>
      <c r="I76" s="26" t="str">
        <f>IF(OR(OR(OR(OR(OR(ISNUMBER(SEARCH(IF(I$1&lt;&gt;"",I$1,"NA"),'MITRE ATT&amp;CK Mappings'!$E72)),ISNUMBER(SEARCH(IF(I$1&lt;&gt;"",I$1,"NA"),'MITRE ATT&amp;CK Mappings'!$F72))),ISNUMBER(SEARCH(IF(I$2&lt;&gt;"",I$2,"NA"),'MITRE ATT&amp;CK Mappings'!$G72))),ISNUMBER(SEARCH(IF(I$2&lt;&gt;"",I$2,"NA"),'MITRE ATT&amp;CK Mappings'!$H72))),ISNUMBER(SEARCH(IF(I$3&lt;&gt;"",I$3,"NA"),'MITRE ATT&amp;CK Mappings'!$I72))),ISNUMBER(SEARCH(IF(I$3&lt;&gt;"",I$3,"NA"),'MITRE ATT&amp;CK Mappings'!$J72))), 'MITRE ATT&amp;CK Mappings'!$B72,"")</f>
        <v/>
      </c>
      <c r="J76" s="26" t="str">
        <f>IF(OR(OR(OR(OR(OR(ISNUMBER(SEARCH(IF(J$1&lt;&gt;"",J$1,"NA"),'MITRE ATT&amp;CK Mappings'!$E72)),ISNUMBER(SEARCH(IF(J$1&lt;&gt;"",J$1,"NA"),'MITRE ATT&amp;CK Mappings'!$F72))),ISNUMBER(SEARCH(IF(J$2&lt;&gt;"",J$2,"NA"),'MITRE ATT&amp;CK Mappings'!$G72))),ISNUMBER(SEARCH(IF(J$2&lt;&gt;"",J$2,"NA"),'MITRE ATT&amp;CK Mappings'!$H72))),ISNUMBER(SEARCH(IF(J$3&lt;&gt;"",J$3,"NA"),'MITRE ATT&amp;CK Mappings'!$I72))),ISNUMBER(SEARCH(IF(J$3&lt;&gt;"",J$3,"NA"),'MITRE ATT&amp;CK Mappings'!$J72))), 'MITRE ATT&amp;CK Mappings'!$B72,"")</f>
        <v/>
      </c>
      <c r="K76" s="26" t="str">
        <f>IF(OR(OR(OR(OR(OR(ISNUMBER(SEARCH(IF(K$1&lt;&gt;"",K$1,"NA"),'MITRE ATT&amp;CK Mappings'!$E72)),ISNUMBER(SEARCH(IF(K$1&lt;&gt;"",K$1,"NA"),'MITRE ATT&amp;CK Mappings'!$F72))),ISNUMBER(SEARCH(IF(K$2&lt;&gt;"",K$2,"NA"),'MITRE ATT&amp;CK Mappings'!$G72))),ISNUMBER(SEARCH(IF(K$2&lt;&gt;"",K$2,"NA"),'MITRE ATT&amp;CK Mappings'!$H72))),ISNUMBER(SEARCH(IF(K$3&lt;&gt;"",K$3,"NA"),'MITRE ATT&amp;CK Mappings'!$I72))),ISNUMBER(SEARCH(IF(K$3&lt;&gt;"",K$3,"NA"),'MITRE ATT&amp;CK Mappings'!$J72))), 'MITRE ATT&amp;CK Mappings'!$B72,"")</f>
        <v/>
      </c>
      <c r="L76" s="26" t="str">
        <f>IF('MITRE ATT&amp;CK Mappings'!D72 &lt;&gt;"",'MITRE ATT&amp;CK Mappings'!D72,"" )</f>
        <v>Ensure that Activity Log Alert exists for Create or Update Network Security Group</v>
      </c>
    </row>
    <row r="77" spans="1:12" x14ac:dyDescent="0.25">
      <c r="A77" s="27" t="str">
        <f>IF(COUNTIF(B77:K77,"="&amp;'MITRE ATT&amp;CK Mappings'!B73)&gt;0,'MITRE ATT&amp;CK Mappings'!B73,"")</f>
        <v/>
      </c>
      <c r="B77" s="27" t="str">
        <f>IF(OR(OR(OR(OR(OR(ISNUMBER(SEARCH(IF(B$1&lt;&gt;"",B$1,"NA"),'MITRE ATT&amp;CK Mappings'!$E73)),ISNUMBER(SEARCH(IF(B$1&lt;&gt;"",B$1,"NA"),'MITRE ATT&amp;CK Mappings'!$F73))),ISNUMBER(SEARCH(IF(B$2&lt;&gt;"",B$2,"NA"),'MITRE ATT&amp;CK Mappings'!$G73))),ISNUMBER(SEARCH(IF(B$2&lt;&gt;"",B$2,"NA"),'MITRE ATT&amp;CK Mappings'!$H73))),ISNUMBER(SEARCH(IF(B$3&lt;&gt;"",B$3,"NA"),'MITRE ATT&amp;CK Mappings'!$I73))),ISNUMBER(SEARCH(IF(B$3&lt;&gt;"",B$3,"NA"),'MITRE ATT&amp;CK Mappings'!$J73))), 'MITRE ATT&amp;CK Mappings'!$B73,"")</f>
        <v/>
      </c>
      <c r="C77" s="27" t="str">
        <f>IF(OR(OR(OR(OR(OR(ISNUMBER(SEARCH(IF(C$1&lt;&gt;"",C$1,"NA"),'MITRE ATT&amp;CK Mappings'!$E73)),ISNUMBER(SEARCH(IF(C$1&lt;&gt;"",C$1,"NA"),'MITRE ATT&amp;CK Mappings'!$F73))),ISNUMBER(SEARCH(IF(C$2&lt;&gt;"",C$2,"NA"),'MITRE ATT&amp;CK Mappings'!$G73))),ISNUMBER(SEARCH(IF(C$2&lt;&gt;"",C$2,"NA"),'MITRE ATT&amp;CK Mappings'!$H73))),ISNUMBER(SEARCH(IF(C$3&lt;&gt;"",C$3,"NA"),'MITRE ATT&amp;CK Mappings'!$I73))),ISNUMBER(SEARCH(IF(C$3&lt;&gt;"",C$3,"NA"),'MITRE ATT&amp;CK Mappings'!$J73))), 'MITRE ATT&amp;CK Mappings'!$B73,"")</f>
        <v/>
      </c>
      <c r="D77" s="27" t="str">
        <f>IF(OR(OR(OR(OR(OR(ISNUMBER(SEARCH(IF(D$1&lt;&gt;"",D$1,"NA"),'MITRE ATT&amp;CK Mappings'!$E73)),ISNUMBER(SEARCH(IF(D$1&lt;&gt;"",D$1,"NA"),'MITRE ATT&amp;CK Mappings'!$F73))),ISNUMBER(SEARCH(IF(D$2&lt;&gt;"",D$2,"NA"),'MITRE ATT&amp;CK Mappings'!$G73))),ISNUMBER(SEARCH(IF(D$2&lt;&gt;"",D$2,"NA"),'MITRE ATT&amp;CK Mappings'!$H73))),ISNUMBER(SEARCH(IF(D$3&lt;&gt;"",D$3,"NA"),'MITRE ATT&amp;CK Mappings'!$I73))),ISNUMBER(SEARCH(IF(D$3&lt;&gt;"",D$3,"NA"),'MITRE ATT&amp;CK Mappings'!$J73))), 'MITRE ATT&amp;CK Mappings'!$B73,"")</f>
        <v/>
      </c>
      <c r="E77" s="27" t="str">
        <f>IF(OR(OR(OR(OR(OR(ISNUMBER(SEARCH(IF(E$1&lt;&gt;"",E$1,"NA"),'MITRE ATT&amp;CK Mappings'!$E73)),ISNUMBER(SEARCH(IF(E$1&lt;&gt;"",E$1,"NA"),'MITRE ATT&amp;CK Mappings'!$F73))),ISNUMBER(SEARCH(IF(E$2&lt;&gt;"",E$2,"NA"),'MITRE ATT&amp;CK Mappings'!$G73))),ISNUMBER(SEARCH(IF(E$2&lt;&gt;"",E$2,"NA"),'MITRE ATT&amp;CK Mappings'!$H73))),ISNUMBER(SEARCH(IF(E$3&lt;&gt;"",E$3,"NA"),'MITRE ATT&amp;CK Mappings'!$I73))),ISNUMBER(SEARCH(IF(E$3&lt;&gt;"",E$3,"NA"),'MITRE ATT&amp;CK Mappings'!$J73))), 'MITRE ATT&amp;CK Mappings'!$B73,"")</f>
        <v/>
      </c>
      <c r="F77" s="27" t="str">
        <f>IF(OR(OR(OR(OR(OR(ISNUMBER(SEARCH(IF(F$1&lt;&gt;"",F$1,"NA"),'MITRE ATT&amp;CK Mappings'!$E73)),ISNUMBER(SEARCH(IF(F$1&lt;&gt;"",F$1,"NA"),'MITRE ATT&amp;CK Mappings'!$F73))),ISNUMBER(SEARCH(IF(F$2&lt;&gt;"",F$2,"NA"),'MITRE ATT&amp;CK Mappings'!$G73))),ISNUMBER(SEARCH(IF(F$2&lt;&gt;"",F$2,"NA"),'MITRE ATT&amp;CK Mappings'!$H73))),ISNUMBER(SEARCH(IF(F$3&lt;&gt;"",F$3,"NA"),'MITRE ATT&amp;CK Mappings'!$I73))),ISNUMBER(SEARCH(IF(F$3&lt;&gt;"",F$3,"NA"),'MITRE ATT&amp;CK Mappings'!$J73))), 'MITRE ATT&amp;CK Mappings'!$B73,"")</f>
        <v/>
      </c>
      <c r="G77" s="27" t="str">
        <f>IF(OR(OR(OR(OR(OR(ISNUMBER(SEARCH(IF(G$1&lt;&gt;"",G$1,"NA"),'MITRE ATT&amp;CK Mappings'!$E73)),ISNUMBER(SEARCH(IF(G$1&lt;&gt;"",G$1,"NA"),'MITRE ATT&amp;CK Mappings'!$F73))),ISNUMBER(SEARCH(IF(G$2&lt;&gt;"",G$2,"NA"),'MITRE ATT&amp;CK Mappings'!$G73))),ISNUMBER(SEARCH(IF(G$2&lt;&gt;"",G$2,"NA"),'MITRE ATT&amp;CK Mappings'!$H73))),ISNUMBER(SEARCH(IF(G$3&lt;&gt;"",G$3,"NA"),'MITRE ATT&amp;CK Mappings'!$I73))),ISNUMBER(SEARCH(IF(G$3&lt;&gt;"",G$3,"NA"),'MITRE ATT&amp;CK Mappings'!$J73))), 'MITRE ATT&amp;CK Mappings'!$B73,"")</f>
        <v/>
      </c>
      <c r="H77" s="27" t="str">
        <f>IF(OR(OR(OR(OR(OR(ISNUMBER(SEARCH(IF(H$1&lt;&gt;"",H$1,"NA"),'MITRE ATT&amp;CK Mappings'!$E73)),ISNUMBER(SEARCH(IF(H$1&lt;&gt;"",H$1,"NA"),'MITRE ATT&amp;CK Mappings'!$F73))),ISNUMBER(SEARCH(IF(H$2&lt;&gt;"",H$2,"NA"),'MITRE ATT&amp;CK Mappings'!$G73))),ISNUMBER(SEARCH(IF(H$2&lt;&gt;"",H$2,"NA"),'MITRE ATT&amp;CK Mappings'!$H73))),ISNUMBER(SEARCH(IF(H$3&lt;&gt;"",H$3,"NA"),'MITRE ATT&amp;CK Mappings'!$I73))),ISNUMBER(SEARCH(IF(H$3&lt;&gt;"",H$3,"NA"),'MITRE ATT&amp;CK Mappings'!$J73))), 'MITRE ATT&amp;CK Mappings'!$B73,"")</f>
        <v/>
      </c>
      <c r="I77" s="27" t="str">
        <f>IF(OR(OR(OR(OR(OR(ISNUMBER(SEARCH(IF(I$1&lt;&gt;"",I$1,"NA"),'MITRE ATT&amp;CK Mappings'!$E73)),ISNUMBER(SEARCH(IF(I$1&lt;&gt;"",I$1,"NA"),'MITRE ATT&amp;CK Mappings'!$F73))),ISNUMBER(SEARCH(IF(I$2&lt;&gt;"",I$2,"NA"),'MITRE ATT&amp;CK Mappings'!$G73))),ISNUMBER(SEARCH(IF(I$2&lt;&gt;"",I$2,"NA"),'MITRE ATT&amp;CK Mappings'!$H73))),ISNUMBER(SEARCH(IF(I$3&lt;&gt;"",I$3,"NA"),'MITRE ATT&amp;CK Mappings'!$I73))),ISNUMBER(SEARCH(IF(I$3&lt;&gt;"",I$3,"NA"),'MITRE ATT&amp;CK Mappings'!$J73))), 'MITRE ATT&amp;CK Mappings'!$B73,"")</f>
        <v/>
      </c>
      <c r="J77" s="27" t="str">
        <f>IF(OR(OR(OR(OR(OR(ISNUMBER(SEARCH(IF(J$1&lt;&gt;"",J$1,"NA"),'MITRE ATT&amp;CK Mappings'!$E73)),ISNUMBER(SEARCH(IF(J$1&lt;&gt;"",J$1,"NA"),'MITRE ATT&amp;CK Mappings'!$F73))),ISNUMBER(SEARCH(IF(J$2&lt;&gt;"",J$2,"NA"),'MITRE ATT&amp;CK Mappings'!$G73))),ISNUMBER(SEARCH(IF(J$2&lt;&gt;"",J$2,"NA"),'MITRE ATT&amp;CK Mappings'!$H73))),ISNUMBER(SEARCH(IF(J$3&lt;&gt;"",J$3,"NA"),'MITRE ATT&amp;CK Mappings'!$I73))),ISNUMBER(SEARCH(IF(J$3&lt;&gt;"",J$3,"NA"),'MITRE ATT&amp;CK Mappings'!$J73))), 'MITRE ATT&amp;CK Mappings'!$B73,"")</f>
        <v/>
      </c>
      <c r="K77" s="27" t="str">
        <f>IF(OR(OR(OR(OR(OR(ISNUMBER(SEARCH(IF(K$1&lt;&gt;"",K$1,"NA"),'MITRE ATT&amp;CK Mappings'!$E73)),ISNUMBER(SEARCH(IF(K$1&lt;&gt;"",K$1,"NA"),'MITRE ATT&amp;CK Mappings'!$F73))),ISNUMBER(SEARCH(IF(K$2&lt;&gt;"",K$2,"NA"),'MITRE ATT&amp;CK Mappings'!$G73))),ISNUMBER(SEARCH(IF(K$2&lt;&gt;"",K$2,"NA"),'MITRE ATT&amp;CK Mappings'!$H73))),ISNUMBER(SEARCH(IF(K$3&lt;&gt;"",K$3,"NA"),'MITRE ATT&amp;CK Mappings'!$I73))),ISNUMBER(SEARCH(IF(K$3&lt;&gt;"",K$3,"NA"),'MITRE ATT&amp;CK Mappings'!$J73))), 'MITRE ATT&amp;CK Mappings'!$B73,"")</f>
        <v/>
      </c>
      <c r="L77" s="27" t="str">
        <f>IF('MITRE ATT&amp;CK Mappings'!D73 &lt;&gt;"",'MITRE ATT&amp;CK Mappings'!D73,"" )</f>
        <v>Ensure that Activity Log Alert exists for Delete Network Security Group</v>
      </c>
    </row>
    <row r="78" spans="1:12" x14ac:dyDescent="0.25">
      <c r="A78" s="26" t="str">
        <f>IF(COUNTIF(B78:K78,"="&amp;'MITRE ATT&amp;CK Mappings'!B74)&gt;0,'MITRE ATT&amp;CK Mappings'!B74,"")</f>
        <v/>
      </c>
      <c r="B78" s="26" t="str">
        <f>IF(OR(OR(OR(OR(OR(ISNUMBER(SEARCH(IF(B$1&lt;&gt;"",B$1,"NA"),'MITRE ATT&amp;CK Mappings'!$E74)),ISNUMBER(SEARCH(IF(B$1&lt;&gt;"",B$1,"NA"),'MITRE ATT&amp;CK Mappings'!$F74))),ISNUMBER(SEARCH(IF(B$2&lt;&gt;"",B$2,"NA"),'MITRE ATT&amp;CK Mappings'!$G74))),ISNUMBER(SEARCH(IF(B$2&lt;&gt;"",B$2,"NA"),'MITRE ATT&amp;CK Mappings'!$H74))),ISNUMBER(SEARCH(IF(B$3&lt;&gt;"",B$3,"NA"),'MITRE ATT&amp;CK Mappings'!$I74))),ISNUMBER(SEARCH(IF(B$3&lt;&gt;"",B$3,"NA"),'MITRE ATT&amp;CK Mappings'!$J74))), 'MITRE ATT&amp;CK Mappings'!$B74,"")</f>
        <v/>
      </c>
      <c r="C78" s="26" t="str">
        <f>IF(OR(OR(OR(OR(OR(ISNUMBER(SEARCH(IF(C$1&lt;&gt;"",C$1,"NA"),'MITRE ATT&amp;CK Mappings'!$E74)),ISNUMBER(SEARCH(IF(C$1&lt;&gt;"",C$1,"NA"),'MITRE ATT&amp;CK Mappings'!$F74))),ISNUMBER(SEARCH(IF(C$2&lt;&gt;"",C$2,"NA"),'MITRE ATT&amp;CK Mappings'!$G74))),ISNUMBER(SEARCH(IF(C$2&lt;&gt;"",C$2,"NA"),'MITRE ATT&amp;CK Mappings'!$H74))),ISNUMBER(SEARCH(IF(C$3&lt;&gt;"",C$3,"NA"),'MITRE ATT&amp;CK Mappings'!$I74))),ISNUMBER(SEARCH(IF(C$3&lt;&gt;"",C$3,"NA"),'MITRE ATT&amp;CK Mappings'!$J74))), 'MITRE ATT&amp;CK Mappings'!$B74,"")</f>
        <v/>
      </c>
      <c r="D78" s="26" t="str">
        <f>IF(OR(OR(OR(OR(OR(ISNUMBER(SEARCH(IF(D$1&lt;&gt;"",D$1,"NA"),'MITRE ATT&amp;CK Mappings'!$E74)),ISNUMBER(SEARCH(IF(D$1&lt;&gt;"",D$1,"NA"),'MITRE ATT&amp;CK Mappings'!$F74))),ISNUMBER(SEARCH(IF(D$2&lt;&gt;"",D$2,"NA"),'MITRE ATT&amp;CK Mappings'!$G74))),ISNUMBER(SEARCH(IF(D$2&lt;&gt;"",D$2,"NA"),'MITRE ATT&amp;CK Mappings'!$H74))),ISNUMBER(SEARCH(IF(D$3&lt;&gt;"",D$3,"NA"),'MITRE ATT&amp;CK Mappings'!$I74))),ISNUMBER(SEARCH(IF(D$3&lt;&gt;"",D$3,"NA"),'MITRE ATT&amp;CK Mappings'!$J74))), 'MITRE ATT&amp;CK Mappings'!$B74,"")</f>
        <v/>
      </c>
      <c r="E78" s="26" t="str">
        <f>IF(OR(OR(OR(OR(OR(ISNUMBER(SEARCH(IF(E$1&lt;&gt;"",E$1,"NA"),'MITRE ATT&amp;CK Mappings'!$E74)),ISNUMBER(SEARCH(IF(E$1&lt;&gt;"",E$1,"NA"),'MITRE ATT&amp;CK Mappings'!$F74))),ISNUMBER(SEARCH(IF(E$2&lt;&gt;"",E$2,"NA"),'MITRE ATT&amp;CK Mappings'!$G74))),ISNUMBER(SEARCH(IF(E$2&lt;&gt;"",E$2,"NA"),'MITRE ATT&amp;CK Mappings'!$H74))),ISNUMBER(SEARCH(IF(E$3&lt;&gt;"",E$3,"NA"),'MITRE ATT&amp;CK Mappings'!$I74))),ISNUMBER(SEARCH(IF(E$3&lt;&gt;"",E$3,"NA"),'MITRE ATT&amp;CK Mappings'!$J74))), 'MITRE ATT&amp;CK Mappings'!$B74,"")</f>
        <v/>
      </c>
      <c r="F78" s="26" t="str">
        <f>IF(OR(OR(OR(OR(OR(ISNUMBER(SEARCH(IF(F$1&lt;&gt;"",F$1,"NA"),'MITRE ATT&amp;CK Mappings'!$E74)),ISNUMBER(SEARCH(IF(F$1&lt;&gt;"",F$1,"NA"),'MITRE ATT&amp;CK Mappings'!$F74))),ISNUMBER(SEARCH(IF(F$2&lt;&gt;"",F$2,"NA"),'MITRE ATT&amp;CK Mappings'!$G74))),ISNUMBER(SEARCH(IF(F$2&lt;&gt;"",F$2,"NA"),'MITRE ATT&amp;CK Mappings'!$H74))),ISNUMBER(SEARCH(IF(F$3&lt;&gt;"",F$3,"NA"),'MITRE ATT&amp;CK Mappings'!$I74))),ISNUMBER(SEARCH(IF(F$3&lt;&gt;"",F$3,"NA"),'MITRE ATT&amp;CK Mappings'!$J74))), 'MITRE ATT&amp;CK Mappings'!$B74,"")</f>
        <v/>
      </c>
      <c r="G78" s="26" t="str">
        <f>IF(OR(OR(OR(OR(OR(ISNUMBER(SEARCH(IF(G$1&lt;&gt;"",G$1,"NA"),'MITRE ATT&amp;CK Mappings'!$E74)),ISNUMBER(SEARCH(IF(G$1&lt;&gt;"",G$1,"NA"),'MITRE ATT&amp;CK Mappings'!$F74))),ISNUMBER(SEARCH(IF(G$2&lt;&gt;"",G$2,"NA"),'MITRE ATT&amp;CK Mappings'!$G74))),ISNUMBER(SEARCH(IF(G$2&lt;&gt;"",G$2,"NA"),'MITRE ATT&amp;CK Mappings'!$H74))),ISNUMBER(SEARCH(IF(G$3&lt;&gt;"",G$3,"NA"),'MITRE ATT&amp;CK Mappings'!$I74))),ISNUMBER(SEARCH(IF(G$3&lt;&gt;"",G$3,"NA"),'MITRE ATT&amp;CK Mappings'!$J74))), 'MITRE ATT&amp;CK Mappings'!$B74,"")</f>
        <v/>
      </c>
      <c r="H78" s="26" t="str">
        <f>IF(OR(OR(OR(OR(OR(ISNUMBER(SEARCH(IF(H$1&lt;&gt;"",H$1,"NA"),'MITRE ATT&amp;CK Mappings'!$E74)),ISNUMBER(SEARCH(IF(H$1&lt;&gt;"",H$1,"NA"),'MITRE ATT&amp;CK Mappings'!$F74))),ISNUMBER(SEARCH(IF(H$2&lt;&gt;"",H$2,"NA"),'MITRE ATT&amp;CK Mappings'!$G74))),ISNUMBER(SEARCH(IF(H$2&lt;&gt;"",H$2,"NA"),'MITRE ATT&amp;CK Mappings'!$H74))),ISNUMBER(SEARCH(IF(H$3&lt;&gt;"",H$3,"NA"),'MITRE ATT&amp;CK Mappings'!$I74))),ISNUMBER(SEARCH(IF(H$3&lt;&gt;"",H$3,"NA"),'MITRE ATT&amp;CK Mappings'!$J74))), 'MITRE ATT&amp;CK Mappings'!$B74,"")</f>
        <v/>
      </c>
      <c r="I78" s="26" t="str">
        <f>IF(OR(OR(OR(OR(OR(ISNUMBER(SEARCH(IF(I$1&lt;&gt;"",I$1,"NA"),'MITRE ATT&amp;CK Mappings'!$E74)),ISNUMBER(SEARCH(IF(I$1&lt;&gt;"",I$1,"NA"),'MITRE ATT&amp;CK Mappings'!$F74))),ISNUMBER(SEARCH(IF(I$2&lt;&gt;"",I$2,"NA"),'MITRE ATT&amp;CK Mappings'!$G74))),ISNUMBER(SEARCH(IF(I$2&lt;&gt;"",I$2,"NA"),'MITRE ATT&amp;CK Mappings'!$H74))),ISNUMBER(SEARCH(IF(I$3&lt;&gt;"",I$3,"NA"),'MITRE ATT&amp;CK Mappings'!$I74))),ISNUMBER(SEARCH(IF(I$3&lt;&gt;"",I$3,"NA"),'MITRE ATT&amp;CK Mappings'!$J74))), 'MITRE ATT&amp;CK Mappings'!$B74,"")</f>
        <v/>
      </c>
      <c r="J78" s="26" t="str">
        <f>IF(OR(OR(OR(OR(OR(ISNUMBER(SEARCH(IF(J$1&lt;&gt;"",J$1,"NA"),'MITRE ATT&amp;CK Mappings'!$E74)),ISNUMBER(SEARCH(IF(J$1&lt;&gt;"",J$1,"NA"),'MITRE ATT&amp;CK Mappings'!$F74))),ISNUMBER(SEARCH(IF(J$2&lt;&gt;"",J$2,"NA"),'MITRE ATT&amp;CK Mappings'!$G74))),ISNUMBER(SEARCH(IF(J$2&lt;&gt;"",J$2,"NA"),'MITRE ATT&amp;CK Mappings'!$H74))),ISNUMBER(SEARCH(IF(J$3&lt;&gt;"",J$3,"NA"),'MITRE ATT&amp;CK Mappings'!$I74))),ISNUMBER(SEARCH(IF(J$3&lt;&gt;"",J$3,"NA"),'MITRE ATT&amp;CK Mappings'!$J74))), 'MITRE ATT&amp;CK Mappings'!$B74,"")</f>
        <v/>
      </c>
      <c r="K78" s="26" t="str">
        <f>IF(OR(OR(OR(OR(OR(ISNUMBER(SEARCH(IF(K$1&lt;&gt;"",K$1,"NA"),'MITRE ATT&amp;CK Mappings'!$E74)),ISNUMBER(SEARCH(IF(K$1&lt;&gt;"",K$1,"NA"),'MITRE ATT&amp;CK Mappings'!$F74))),ISNUMBER(SEARCH(IF(K$2&lt;&gt;"",K$2,"NA"),'MITRE ATT&amp;CK Mappings'!$G74))),ISNUMBER(SEARCH(IF(K$2&lt;&gt;"",K$2,"NA"),'MITRE ATT&amp;CK Mappings'!$H74))),ISNUMBER(SEARCH(IF(K$3&lt;&gt;"",K$3,"NA"),'MITRE ATT&amp;CK Mappings'!$I74))),ISNUMBER(SEARCH(IF(K$3&lt;&gt;"",K$3,"NA"),'MITRE ATT&amp;CK Mappings'!$J74))), 'MITRE ATT&amp;CK Mappings'!$B74,"")</f>
        <v/>
      </c>
      <c r="L78" s="26" t="str">
        <f>IF('MITRE ATT&amp;CK Mappings'!D74 &lt;&gt;"",'MITRE ATT&amp;CK Mappings'!D74,"" )</f>
        <v>Ensure that Activity Log Alert exists for Create or Update Security Solution</v>
      </c>
    </row>
    <row r="79" spans="1:12" x14ac:dyDescent="0.25">
      <c r="A79" s="27" t="str">
        <f>IF(COUNTIF(B79:K79,"="&amp;'MITRE ATT&amp;CK Mappings'!B75)&gt;0,'MITRE ATT&amp;CK Mappings'!B75,"")</f>
        <v/>
      </c>
      <c r="B79" s="27" t="str">
        <f>IF(OR(OR(OR(OR(OR(ISNUMBER(SEARCH(IF(B$1&lt;&gt;"",B$1,"NA"),'MITRE ATT&amp;CK Mappings'!$E75)),ISNUMBER(SEARCH(IF(B$1&lt;&gt;"",B$1,"NA"),'MITRE ATT&amp;CK Mappings'!$F75))),ISNUMBER(SEARCH(IF(B$2&lt;&gt;"",B$2,"NA"),'MITRE ATT&amp;CK Mappings'!$G75))),ISNUMBER(SEARCH(IF(B$2&lt;&gt;"",B$2,"NA"),'MITRE ATT&amp;CK Mappings'!$H75))),ISNUMBER(SEARCH(IF(B$3&lt;&gt;"",B$3,"NA"),'MITRE ATT&amp;CK Mappings'!$I75))),ISNUMBER(SEARCH(IF(B$3&lt;&gt;"",B$3,"NA"),'MITRE ATT&amp;CK Mappings'!$J75))), 'MITRE ATT&amp;CK Mappings'!$B75,"")</f>
        <v/>
      </c>
      <c r="C79" s="27" t="str">
        <f>IF(OR(OR(OR(OR(OR(ISNUMBER(SEARCH(IF(C$1&lt;&gt;"",C$1,"NA"),'MITRE ATT&amp;CK Mappings'!$E75)),ISNUMBER(SEARCH(IF(C$1&lt;&gt;"",C$1,"NA"),'MITRE ATT&amp;CK Mappings'!$F75))),ISNUMBER(SEARCH(IF(C$2&lt;&gt;"",C$2,"NA"),'MITRE ATT&amp;CK Mappings'!$G75))),ISNUMBER(SEARCH(IF(C$2&lt;&gt;"",C$2,"NA"),'MITRE ATT&amp;CK Mappings'!$H75))),ISNUMBER(SEARCH(IF(C$3&lt;&gt;"",C$3,"NA"),'MITRE ATT&amp;CK Mappings'!$I75))),ISNUMBER(SEARCH(IF(C$3&lt;&gt;"",C$3,"NA"),'MITRE ATT&amp;CK Mappings'!$J75))), 'MITRE ATT&amp;CK Mappings'!$B75,"")</f>
        <v/>
      </c>
      <c r="D79" s="27" t="str">
        <f>IF(OR(OR(OR(OR(OR(ISNUMBER(SEARCH(IF(D$1&lt;&gt;"",D$1,"NA"),'MITRE ATT&amp;CK Mappings'!$E75)),ISNUMBER(SEARCH(IF(D$1&lt;&gt;"",D$1,"NA"),'MITRE ATT&amp;CK Mappings'!$F75))),ISNUMBER(SEARCH(IF(D$2&lt;&gt;"",D$2,"NA"),'MITRE ATT&amp;CK Mappings'!$G75))),ISNUMBER(SEARCH(IF(D$2&lt;&gt;"",D$2,"NA"),'MITRE ATT&amp;CK Mappings'!$H75))),ISNUMBER(SEARCH(IF(D$3&lt;&gt;"",D$3,"NA"),'MITRE ATT&amp;CK Mappings'!$I75))),ISNUMBER(SEARCH(IF(D$3&lt;&gt;"",D$3,"NA"),'MITRE ATT&amp;CK Mappings'!$J75))), 'MITRE ATT&amp;CK Mappings'!$B75,"")</f>
        <v/>
      </c>
      <c r="E79" s="27" t="str">
        <f>IF(OR(OR(OR(OR(OR(ISNUMBER(SEARCH(IF(E$1&lt;&gt;"",E$1,"NA"),'MITRE ATT&amp;CK Mappings'!$E75)),ISNUMBER(SEARCH(IF(E$1&lt;&gt;"",E$1,"NA"),'MITRE ATT&amp;CK Mappings'!$F75))),ISNUMBER(SEARCH(IF(E$2&lt;&gt;"",E$2,"NA"),'MITRE ATT&amp;CK Mappings'!$G75))),ISNUMBER(SEARCH(IF(E$2&lt;&gt;"",E$2,"NA"),'MITRE ATT&amp;CK Mappings'!$H75))),ISNUMBER(SEARCH(IF(E$3&lt;&gt;"",E$3,"NA"),'MITRE ATT&amp;CK Mappings'!$I75))),ISNUMBER(SEARCH(IF(E$3&lt;&gt;"",E$3,"NA"),'MITRE ATT&amp;CK Mappings'!$J75))), 'MITRE ATT&amp;CK Mappings'!$B75,"")</f>
        <v/>
      </c>
      <c r="F79" s="27" t="str">
        <f>IF(OR(OR(OR(OR(OR(ISNUMBER(SEARCH(IF(F$1&lt;&gt;"",F$1,"NA"),'MITRE ATT&amp;CK Mappings'!$E75)),ISNUMBER(SEARCH(IF(F$1&lt;&gt;"",F$1,"NA"),'MITRE ATT&amp;CK Mappings'!$F75))),ISNUMBER(SEARCH(IF(F$2&lt;&gt;"",F$2,"NA"),'MITRE ATT&amp;CK Mappings'!$G75))),ISNUMBER(SEARCH(IF(F$2&lt;&gt;"",F$2,"NA"),'MITRE ATT&amp;CK Mappings'!$H75))),ISNUMBER(SEARCH(IF(F$3&lt;&gt;"",F$3,"NA"),'MITRE ATT&amp;CK Mappings'!$I75))),ISNUMBER(SEARCH(IF(F$3&lt;&gt;"",F$3,"NA"),'MITRE ATT&amp;CK Mappings'!$J75))), 'MITRE ATT&amp;CK Mappings'!$B75,"")</f>
        <v/>
      </c>
      <c r="G79" s="27" t="str">
        <f>IF(OR(OR(OR(OR(OR(ISNUMBER(SEARCH(IF(G$1&lt;&gt;"",G$1,"NA"),'MITRE ATT&amp;CK Mappings'!$E75)),ISNUMBER(SEARCH(IF(G$1&lt;&gt;"",G$1,"NA"),'MITRE ATT&amp;CK Mappings'!$F75))),ISNUMBER(SEARCH(IF(G$2&lt;&gt;"",G$2,"NA"),'MITRE ATT&amp;CK Mappings'!$G75))),ISNUMBER(SEARCH(IF(G$2&lt;&gt;"",G$2,"NA"),'MITRE ATT&amp;CK Mappings'!$H75))),ISNUMBER(SEARCH(IF(G$3&lt;&gt;"",G$3,"NA"),'MITRE ATT&amp;CK Mappings'!$I75))),ISNUMBER(SEARCH(IF(G$3&lt;&gt;"",G$3,"NA"),'MITRE ATT&amp;CK Mappings'!$J75))), 'MITRE ATT&amp;CK Mappings'!$B75,"")</f>
        <v/>
      </c>
      <c r="H79" s="27" t="str">
        <f>IF(OR(OR(OR(OR(OR(ISNUMBER(SEARCH(IF(H$1&lt;&gt;"",H$1,"NA"),'MITRE ATT&amp;CK Mappings'!$E75)),ISNUMBER(SEARCH(IF(H$1&lt;&gt;"",H$1,"NA"),'MITRE ATT&amp;CK Mappings'!$F75))),ISNUMBER(SEARCH(IF(H$2&lt;&gt;"",H$2,"NA"),'MITRE ATT&amp;CK Mappings'!$G75))),ISNUMBER(SEARCH(IF(H$2&lt;&gt;"",H$2,"NA"),'MITRE ATT&amp;CK Mappings'!$H75))),ISNUMBER(SEARCH(IF(H$3&lt;&gt;"",H$3,"NA"),'MITRE ATT&amp;CK Mappings'!$I75))),ISNUMBER(SEARCH(IF(H$3&lt;&gt;"",H$3,"NA"),'MITRE ATT&amp;CK Mappings'!$J75))), 'MITRE ATT&amp;CK Mappings'!$B75,"")</f>
        <v/>
      </c>
      <c r="I79" s="27" t="str">
        <f>IF(OR(OR(OR(OR(OR(ISNUMBER(SEARCH(IF(I$1&lt;&gt;"",I$1,"NA"),'MITRE ATT&amp;CK Mappings'!$E75)),ISNUMBER(SEARCH(IF(I$1&lt;&gt;"",I$1,"NA"),'MITRE ATT&amp;CK Mappings'!$F75))),ISNUMBER(SEARCH(IF(I$2&lt;&gt;"",I$2,"NA"),'MITRE ATT&amp;CK Mappings'!$G75))),ISNUMBER(SEARCH(IF(I$2&lt;&gt;"",I$2,"NA"),'MITRE ATT&amp;CK Mappings'!$H75))),ISNUMBER(SEARCH(IF(I$3&lt;&gt;"",I$3,"NA"),'MITRE ATT&amp;CK Mappings'!$I75))),ISNUMBER(SEARCH(IF(I$3&lt;&gt;"",I$3,"NA"),'MITRE ATT&amp;CK Mappings'!$J75))), 'MITRE ATT&amp;CK Mappings'!$B75,"")</f>
        <v/>
      </c>
      <c r="J79" s="27" t="str">
        <f>IF(OR(OR(OR(OR(OR(ISNUMBER(SEARCH(IF(J$1&lt;&gt;"",J$1,"NA"),'MITRE ATT&amp;CK Mappings'!$E75)),ISNUMBER(SEARCH(IF(J$1&lt;&gt;"",J$1,"NA"),'MITRE ATT&amp;CK Mappings'!$F75))),ISNUMBER(SEARCH(IF(J$2&lt;&gt;"",J$2,"NA"),'MITRE ATT&amp;CK Mappings'!$G75))),ISNUMBER(SEARCH(IF(J$2&lt;&gt;"",J$2,"NA"),'MITRE ATT&amp;CK Mappings'!$H75))),ISNUMBER(SEARCH(IF(J$3&lt;&gt;"",J$3,"NA"),'MITRE ATT&amp;CK Mappings'!$I75))),ISNUMBER(SEARCH(IF(J$3&lt;&gt;"",J$3,"NA"),'MITRE ATT&amp;CK Mappings'!$J75))), 'MITRE ATT&amp;CK Mappings'!$B75,"")</f>
        <v/>
      </c>
      <c r="K79" s="27" t="str">
        <f>IF(OR(OR(OR(OR(OR(ISNUMBER(SEARCH(IF(K$1&lt;&gt;"",K$1,"NA"),'MITRE ATT&amp;CK Mappings'!$E75)),ISNUMBER(SEARCH(IF(K$1&lt;&gt;"",K$1,"NA"),'MITRE ATT&amp;CK Mappings'!$F75))),ISNUMBER(SEARCH(IF(K$2&lt;&gt;"",K$2,"NA"),'MITRE ATT&amp;CK Mappings'!$G75))),ISNUMBER(SEARCH(IF(K$2&lt;&gt;"",K$2,"NA"),'MITRE ATT&amp;CK Mappings'!$H75))),ISNUMBER(SEARCH(IF(K$3&lt;&gt;"",K$3,"NA"),'MITRE ATT&amp;CK Mappings'!$I75))),ISNUMBER(SEARCH(IF(K$3&lt;&gt;"",K$3,"NA"),'MITRE ATT&amp;CK Mappings'!$J75))), 'MITRE ATT&amp;CK Mappings'!$B75,"")</f>
        <v/>
      </c>
      <c r="L79" s="27" t="str">
        <f>IF('MITRE ATT&amp;CK Mappings'!D75 &lt;&gt;"",'MITRE ATT&amp;CK Mappings'!D75,"" )</f>
        <v>Ensure that Activity Log Alert exists for Delete Security Solution</v>
      </c>
    </row>
    <row r="80" spans="1:12" x14ac:dyDescent="0.25">
      <c r="A80" s="26" t="str">
        <f>IF(COUNTIF(B80:K80,"="&amp;'MITRE ATT&amp;CK Mappings'!B76)&gt;0,'MITRE ATT&amp;CK Mappings'!B76,"")</f>
        <v/>
      </c>
      <c r="B80" s="26" t="str">
        <f>IF(OR(OR(OR(OR(OR(ISNUMBER(SEARCH(IF(B$1&lt;&gt;"",B$1,"NA"),'MITRE ATT&amp;CK Mappings'!$E76)),ISNUMBER(SEARCH(IF(B$1&lt;&gt;"",B$1,"NA"),'MITRE ATT&amp;CK Mappings'!$F76))),ISNUMBER(SEARCH(IF(B$2&lt;&gt;"",B$2,"NA"),'MITRE ATT&amp;CK Mappings'!$G76))),ISNUMBER(SEARCH(IF(B$2&lt;&gt;"",B$2,"NA"),'MITRE ATT&amp;CK Mappings'!$H76))),ISNUMBER(SEARCH(IF(B$3&lt;&gt;"",B$3,"NA"),'MITRE ATT&amp;CK Mappings'!$I76))),ISNUMBER(SEARCH(IF(B$3&lt;&gt;"",B$3,"NA"),'MITRE ATT&amp;CK Mappings'!$J76))), 'MITRE ATT&amp;CK Mappings'!$B76,"")</f>
        <v/>
      </c>
      <c r="C80" s="26" t="str">
        <f>IF(OR(OR(OR(OR(OR(ISNUMBER(SEARCH(IF(C$1&lt;&gt;"",C$1,"NA"),'MITRE ATT&amp;CK Mappings'!$E76)),ISNUMBER(SEARCH(IF(C$1&lt;&gt;"",C$1,"NA"),'MITRE ATT&amp;CK Mappings'!$F76))),ISNUMBER(SEARCH(IF(C$2&lt;&gt;"",C$2,"NA"),'MITRE ATT&amp;CK Mappings'!$G76))),ISNUMBER(SEARCH(IF(C$2&lt;&gt;"",C$2,"NA"),'MITRE ATT&amp;CK Mappings'!$H76))),ISNUMBER(SEARCH(IF(C$3&lt;&gt;"",C$3,"NA"),'MITRE ATT&amp;CK Mappings'!$I76))),ISNUMBER(SEARCH(IF(C$3&lt;&gt;"",C$3,"NA"),'MITRE ATT&amp;CK Mappings'!$J76))), 'MITRE ATT&amp;CK Mappings'!$B76,"")</f>
        <v/>
      </c>
      <c r="D80" s="26" t="str">
        <f>IF(OR(OR(OR(OR(OR(ISNUMBER(SEARCH(IF(D$1&lt;&gt;"",D$1,"NA"),'MITRE ATT&amp;CK Mappings'!$E76)),ISNUMBER(SEARCH(IF(D$1&lt;&gt;"",D$1,"NA"),'MITRE ATT&amp;CK Mappings'!$F76))),ISNUMBER(SEARCH(IF(D$2&lt;&gt;"",D$2,"NA"),'MITRE ATT&amp;CK Mappings'!$G76))),ISNUMBER(SEARCH(IF(D$2&lt;&gt;"",D$2,"NA"),'MITRE ATT&amp;CK Mappings'!$H76))),ISNUMBER(SEARCH(IF(D$3&lt;&gt;"",D$3,"NA"),'MITRE ATT&amp;CK Mappings'!$I76))),ISNUMBER(SEARCH(IF(D$3&lt;&gt;"",D$3,"NA"),'MITRE ATT&amp;CK Mappings'!$J76))), 'MITRE ATT&amp;CK Mappings'!$B76,"")</f>
        <v/>
      </c>
      <c r="E80" s="26" t="str">
        <f>IF(OR(OR(OR(OR(OR(ISNUMBER(SEARCH(IF(E$1&lt;&gt;"",E$1,"NA"),'MITRE ATT&amp;CK Mappings'!$E76)),ISNUMBER(SEARCH(IF(E$1&lt;&gt;"",E$1,"NA"),'MITRE ATT&amp;CK Mappings'!$F76))),ISNUMBER(SEARCH(IF(E$2&lt;&gt;"",E$2,"NA"),'MITRE ATT&amp;CK Mappings'!$G76))),ISNUMBER(SEARCH(IF(E$2&lt;&gt;"",E$2,"NA"),'MITRE ATT&amp;CK Mappings'!$H76))),ISNUMBER(SEARCH(IF(E$3&lt;&gt;"",E$3,"NA"),'MITRE ATT&amp;CK Mappings'!$I76))),ISNUMBER(SEARCH(IF(E$3&lt;&gt;"",E$3,"NA"),'MITRE ATT&amp;CK Mappings'!$J76))), 'MITRE ATT&amp;CK Mappings'!$B76,"")</f>
        <v/>
      </c>
      <c r="F80" s="26" t="str">
        <f>IF(OR(OR(OR(OR(OR(ISNUMBER(SEARCH(IF(F$1&lt;&gt;"",F$1,"NA"),'MITRE ATT&amp;CK Mappings'!$E76)),ISNUMBER(SEARCH(IF(F$1&lt;&gt;"",F$1,"NA"),'MITRE ATT&amp;CK Mappings'!$F76))),ISNUMBER(SEARCH(IF(F$2&lt;&gt;"",F$2,"NA"),'MITRE ATT&amp;CK Mappings'!$G76))),ISNUMBER(SEARCH(IF(F$2&lt;&gt;"",F$2,"NA"),'MITRE ATT&amp;CK Mappings'!$H76))),ISNUMBER(SEARCH(IF(F$3&lt;&gt;"",F$3,"NA"),'MITRE ATT&amp;CK Mappings'!$I76))),ISNUMBER(SEARCH(IF(F$3&lt;&gt;"",F$3,"NA"),'MITRE ATT&amp;CK Mappings'!$J76))), 'MITRE ATT&amp;CK Mappings'!$B76,"")</f>
        <v/>
      </c>
      <c r="G80" s="26" t="str">
        <f>IF(OR(OR(OR(OR(OR(ISNUMBER(SEARCH(IF(G$1&lt;&gt;"",G$1,"NA"),'MITRE ATT&amp;CK Mappings'!$E76)),ISNUMBER(SEARCH(IF(G$1&lt;&gt;"",G$1,"NA"),'MITRE ATT&amp;CK Mappings'!$F76))),ISNUMBER(SEARCH(IF(G$2&lt;&gt;"",G$2,"NA"),'MITRE ATT&amp;CK Mappings'!$G76))),ISNUMBER(SEARCH(IF(G$2&lt;&gt;"",G$2,"NA"),'MITRE ATT&amp;CK Mappings'!$H76))),ISNUMBER(SEARCH(IF(G$3&lt;&gt;"",G$3,"NA"),'MITRE ATT&amp;CK Mappings'!$I76))),ISNUMBER(SEARCH(IF(G$3&lt;&gt;"",G$3,"NA"),'MITRE ATT&amp;CK Mappings'!$J76))), 'MITRE ATT&amp;CK Mappings'!$B76,"")</f>
        <v/>
      </c>
      <c r="H80" s="26" t="str">
        <f>IF(OR(OR(OR(OR(OR(ISNUMBER(SEARCH(IF(H$1&lt;&gt;"",H$1,"NA"),'MITRE ATT&amp;CK Mappings'!$E76)),ISNUMBER(SEARCH(IF(H$1&lt;&gt;"",H$1,"NA"),'MITRE ATT&amp;CK Mappings'!$F76))),ISNUMBER(SEARCH(IF(H$2&lt;&gt;"",H$2,"NA"),'MITRE ATT&amp;CK Mappings'!$G76))),ISNUMBER(SEARCH(IF(H$2&lt;&gt;"",H$2,"NA"),'MITRE ATT&amp;CK Mappings'!$H76))),ISNUMBER(SEARCH(IF(H$3&lt;&gt;"",H$3,"NA"),'MITRE ATT&amp;CK Mappings'!$I76))),ISNUMBER(SEARCH(IF(H$3&lt;&gt;"",H$3,"NA"),'MITRE ATT&amp;CK Mappings'!$J76))), 'MITRE ATT&amp;CK Mappings'!$B76,"")</f>
        <v/>
      </c>
      <c r="I80" s="26" t="str">
        <f>IF(OR(OR(OR(OR(OR(ISNUMBER(SEARCH(IF(I$1&lt;&gt;"",I$1,"NA"),'MITRE ATT&amp;CK Mappings'!$E76)),ISNUMBER(SEARCH(IF(I$1&lt;&gt;"",I$1,"NA"),'MITRE ATT&amp;CK Mappings'!$F76))),ISNUMBER(SEARCH(IF(I$2&lt;&gt;"",I$2,"NA"),'MITRE ATT&amp;CK Mappings'!$G76))),ISNUMBER(SEARCH(IF(I$2&lt;&gt;"",I$2,"NA"),'MITRE ATT&amp;CK Mappings'!$H76))),ISNUMBER(SEARCH(IF(I$3&lt;&gt;"",I$3,"NA"),'MITRE ATT&amp;CK Mappings'!$I76))),ISNUMBER(SEARCH(IF(I$3&lt;&gt;"",I$3,"NA"),'MITRE ATT&amp;CK Mappings'!$J76))), 'MITRE ATT&amp;CK Mappings'!$B76,"")</f>
        <v/>
      </c>
      <c r="J80" s="26" t="str">
        <f>IF(OR(OR(OR(OR(OR(ISNUMBER(SEARCH(IF(J$1&lt;&gt;"",J$1,"NA"),'MITRE ATT&amp;CK Mappings'!$E76)),ISNUMBER(SEARCH(IF(J$1&lt;&gt;"",J$1,"NA"),'MITRE ATT&amp;CK Mappings'!$F76))),ISNUMBER(SEARCH(IF(J$2&lt;&gt;"",J$2,"NA"),'MITRE ATT&amp;CK Mappings'!$G76))),ISNUMBER(SEARCH(IF(J$2&lt;&gt;"",J$2,"NA"),'MITRE ATT&amp;CK Mappings'!$H76))),ISNUMBER(SEARCH(IF(J$3&lt;&gt;"",J$3,"NA"),'MITRE ATT&amp;CK Mappings'!$I76))),ISNUMBER(SEARCH(IF(J$3&lt;&gt;"",J$3,"NA"),'MITRE ATT&amp;CK Mappings'!$J76))), 'MITRE ATT&amp;CK Mappings'!$B76,"")</f>
        <v/>
      </c>
      <c r="K80" s="26" t="str">
        <f>IF(OR(OR(OR(OR(OR(ISNUMBER(SEARCH(IF(K$1&lt;&gt;"",K$1,"NA"),'MITRE ATT&amp;CK Mappings'!$E76)),ISNUMBER(SEARCH(IF(K$1&lt;&gt;"",K$1,"NA"),'MITRE ATT&amp;CK Mappings'!$F76))),ISNUMBER(SEARCH(IF(K$2&lt;&gt;"",K$2,"NA"),'MITRE ATT&amp;CK Mappings'!$G76))),ISNUMBER(SEARCH(IF(K$2&lt;&gt;"",K$2,"NA"),'MITRE ATT&amp;CK Mappings'!$H76))),ISNUMBER(SEARCH(IF(K$3&lt;&gt;"",K$3,"NA"),'MITRE ATT&amp;CK Mappings'!$I76))),ISNUMBER(SEARCH(IF(K$3&lt;&gt;"",K$3,"NA"),'MITRE ATT&amp;CK Mappings'!$J76))), 'MITRE ATT&amp;CK Mappings'!$B76,"")</f>
        <v/>
      </c>
      <c r="L80" s="26" t="str">
        <f>IF('MITRE ATT&amp;CK Mappings'!D76 &lt;&gt;"",'MITRE ATT&amp;CK Mappings'!D76,"" )</f>
        <v>Ensure that Activity Log Alert exists for Create or Update SQL Server Firewall Rule</v>
      </c>
    </row>
    <row r="81" spans="1:12" x14ac:dyDescent="0.25">
      <c r="A81" s="27" t="str">
        <f>IF(COUNTIF(B81:K81,"="&amp;'MITRE ATT&amp;CK Mappings'!B77)&gt;0,'MITRE ATT&amp;CK Mappings'!B77,"")</f>
        <v/>
      </c>
      <c r="B81" s="27" t="str">
        <f>IF(OR(OR(OR(OR(OR(ISNUMBER(SEARCH(IF(B$1&lt;&gt;"",B$1,"NA"),'MITRE ATT&amp;CK Mappings'!$E77)),ISNUMBER(SEARCH(IF(B$1&lt;&gt;"",B$1,"NA"),'MITRE ATT&amp;CK Mappings'!$F77))),ISNUMBER(SEARCH(IF(B$2&lt;&gt;"",B$2,"NA"),'MITRE ATT&amp;CK Mappings'!$G77))),ISNUMBER(SEARCH(IF(B$2&lt;&gt;"",B$2,"NA"),'MITRE ATT&amp;CK Mappings'!$H77))),ISNUMBER(SEARCH(IF(B$3&lt;&gt;"",B$3,"NA"),'MITRE ATT&amp;CK Mappings'!$I77))),ISNUMBER(SEARCH(IF(B$3&lt;&gt;"",B$3,"NA"),'MITRE ATT&amp;CK Mappings'!$J77))), 'MITRE ATT&amp;CK Mappings'!$B77,"")</f>
        <v/>
      </c>
      <c r="C81" s="27" t="str">
        <f>IF(OR(OR(OR(OR(OR(ISNUMBER(SEARCH(IF(C$1&lt;&gt;"",C$1,"NA"),'MITRE ATT&amp;CK Mappings'!$E77)),ISNUMBER(SEARCH(IF(C$1&lt;&gt;"",C$1,"NA"),'MITRE ATT&amp;CK Mappings'!$F77))),ISNUMBER(SEARCH(IF(C$2&lt;&gt;"",C$2,"NA"),'MITRE ATT&amp;CK Mappings'!$G77))),ISNUMBER(SEARCH(IF(C$2&lt;&gt;"",C$2,"NA"),'MITRE ATT&amp;CK Mappings'!$H77))),ISNUMBER(SEARCH(IF(C$3&lt;&gt;"",C$3,"NA"),'MITRE ATT&amp;CK Mappings'!$I77))),ISNUMBER(SEARCH(IF(C$3&lt;&gt;"",C$3,"NA"),'MITRE ATT&amp;CK Mappings'!$J77))), 'MITRE ATT&amp;CK Mappings'!$B77,"")</f>
        <v/>
      </c>
      <c r="D81" s="27" t="str">
        <f>IF(OR(OR(OR(OR(OR(ISNUMBER(SEARCH(IF(D$1&lt;&gt;"",D$1,"NA"),'MITRE ATT&amp;CK Mappings'!$E77)),ISNUMBER(SEARCH(IF(D$1&lt;&gt;"",D$1,"NA"),'MITRE ATT&amp;CK Mappings'!$F77))),ISNUMBER(SEARCH(IF(D$2&lt;&gt;"",D$2,"NA"),'MITRE ATT&amp;CK Mappings'!$G77))),ISNUMBER(SEARCH(IF(D$2&lt;&gt;"",D$2,"NA"),'MITRE ATT&amp;CK Mappings'!$H77))),ISNUMBER(SEARCH(IF(D$3&lt;&gt;"",D$3,"NA"),'MITRE ATT&amp;CK Mappings'!$I77))),ISNUMBER(SEARCH(IF(D$3&lt;&gt;"",D$3,"NA"),'MITRE ATT&amp;CK Mappings'!$J77))), 'MITRE ATT&amp;CK Mappings'!$B77,"")</f>
        <v/>
      </c>
      <c r="E81" s="27" t="str">
        <f>IF(OR(OR(OR(OR(OR(ISNUMBER(SEARCH(IF(E$1&lt;&gt;"",E$1,"NA"),'MITRE ATT&amp;CK Mappings'!$E77)),ISNUMBER(SEARCH(IF(E$1&lt;&gt;"",E$1,"NA"),'MITRE ATT&amp;CK Mappings'!$F77))),ISNUMBER(SEARCH(IF(E$2&lt;&gt;"",E$2,"NA"),'MITRE ATT&amp;CK Mappings'!$G77))),ISNUMBER(SEARCH(IF(E$2&lt;&gt;"",E$2,"NA"),'MITRE ATT&amp;CK Mappings'!$H77))),ISNUMBER(SEARCH(IF(E$3&lt;&gt;"",E$3,"NA"),'MITRE ATT&amp;CK Mappings'!$I77))),ISNUMBER(SEARCH(IF(E$3&lt;&gt;"",E$3,"NA"),'MITRE ATT&amp;CK Mappings'!$J77))), 'MITRE ATT&amp;CK Mappings'!$B77,"")</f>
        <v/>
      </c>
      <c r="F81" s="27" t="str">
        <f>IF(OR(OR(OR(OR(OR(ISNUMBER(SEARCH(IF(F$1&lt;&gt;"",F$1,"NA"),'MITRE ATT&amp;CK Mappings'!$E77)),ISNUMBER(SEARCH(IF(F$1&lt;&gt;"",F$1,"NA"),'MITRE ATT&amp;CK Mappings'!$F77))),ISNUMBER(SEARCH(IF(F$2&lt;&gt;"",F$2,"NA"),'MITRE ATT&amp;CK Mappings'!$G77))),ISNUMBER(SEARCH(IF(F$2&lt;&gt;"",F$2,"NA"),'MITRE ATT&amp;CK Mappings'!$H77))),ISNUMBER(SEARCH(IF(F$3&lt;&gt;"",F$3,"NA"),'MITRE ATT&amp;CK Mappings'!$I77))),ISNUMBER(SEARCH(IF(F$3&lt;&gt;"",F$3,"NA"),'MITRE ATT&amp;CK Mappings'!$J77))), 'MITRE ATT&amp;CK Mappings'!$B77,"")</f>
        <v/>
      </c>
      <c r="G81" s="27" t="str">
        <f>IF(OR(OR(OR(OR(OR(ISNUMBER(SEARCH(IF(G$1&lt;&gt;"",G$1,"NA"),'MITRE ATT&amp;CK Mappings'!$E77)),ISNUMBER(SEARCH(IF(G$1&lt;&gt;"",G$1,"NA"),'MITRE ATT&amp;CK Mappings'!$F77))),ISNUMBER(SEARCH(IF(G$2&lt;&gt;"",G$2,"NA"),'MITRE ATT&amp;CK Mappings'!$G77))),ISNUMBER(SEARCH(IF(G$2&lt;&gt;"",G$2,"NA"),'MITRE ATT&amp;CK Mappings'!$H77))),ISNUMBER(SEARCH(IF(G$3&lt;&gt;"",G$3,"NA"),'MITRE ATT&amp;CK Mappings'!$I77))),ISNUMBER(SEARCH(IF(G$3&lt;&gt;"",G$3,"NA"),'MITRE ATT&amp;CK Mappings'!$J77))), 'MITRE ATT&amp;CK Mappings'!$B77,"")</f>
        <v/>
      </c>
      <c r="H81" s="27" t="str">
        <f>IF(OR(OR(OR(OR(OR(ISNUMBER(SEARCH(IF(H$1&lt;&gt;"",H$1,"NA"),'MITRE ATT&amp;CK Mappings'!$E77)),ISNUMBER(SEARCH(IF(H$1&lt;&gt;"",H$1,"NA"),'MITRE ATT&amp;CK Mappings'!$F77))),ISNUMBER(SEARCH(IF(H$2&lt;&gt;"",H$2,"NA"),'MITRE ATT&amp;CK Mappings'!$G77))),ISNUMBER(SEARCH(IF(H$2&lt;&gt;"",H$2,"NA"),'MITRE ATT&amp;CK Mappings'!$H77))),ISNUMBER(SEARCH(IF(H$3&lt;&gt;"",H$3,"NA"),'MITRE ATT&amp;CK Mappings'!$I77))),ISNUMBER(SEARCH(IF(H$3&lt;&gt;"",H$3,"NA"),'MITRE ATT&amp;CK Mappings'!$J77))), 'MITRE ATT&amp;CK Mappings'!$B77,"")</f>
        <v/>
      </c>
      <c r="I81" s="27" t="str">
        <f>IF(OR(OR(OR(OR(OR(ISNUMBER(SEARCH(IF(I$1&lt;&gt;"",I$1,"NA"),'MITRE ATT&amp;CK Mappings'!$E77)),ISNUMBER(SEARCH(IF(I$1&lt;&gt;"",I$1,"NA"),'MITRE ATT&amp;CK Mappings'!$F77))),ISNUMBER(SEARCH(IF(I$2&lt;&gt;"",I$2,"NA"),'MITRE ATT&amp;CK Mappings'!$G77))),ISNUMBER(SEARCH(IF(I$2&lt;&gt;"",I$2,"NA"),'MITRE ATT&amp;CK Mappings'!$H77))),ISNUMBER(SEARCH(IF(I$3&lt;&gt;"",I$3,"NA"),'MITRE ATT&amp;CK Mappings'!$I77))),ISNUMBER(SEARCH(IF(I$3&lt;&gt;"",I$3,"NA"),'MITRE ATT&amp;CK Mappings'!$J77))), 'MITRE ATT&amp;CK Mappings'!$B77,"")</f>
        <v/>
      </c>
      <c r="J81" s="27" t="str">
        <f>IF(OR(OR(OR(OR(OR(ISNUMBER(SEARCH(IF(J$1&lt;&gt;"",J$1,"NA"),'MITRE ATT&amp;CK Mappings'!$E77)),ISNUMBER(SEARCH(IF(J$1&lt;&gt;"",J$1,"NA"),'MITRE ATT&amp;CK Mappings'!$F77))),ISNUMBER(SEARCH(IF(J$2&lt;&gt;"",J$2,"NA"),'MITRE ATT&amp;CK Mappings'!$G77))),ISNUMBER(SEARCH(IF(J$2&lt;&gt;"",J$2,"NA"),'MITRE ATT&amp;CK Mappings'!$H77))),ISNUMBER(SEARCH(IF(J$3&lt;&gt;"",J$3,"NA"),'MITRE ATT&amp;CK Mappings'!$I77))),ISNUMBER(SEARCH(IF(J$3&lt;&gt;"",J$3,"NA"),'MITRE ATT&amp;CK Mappings'!$J77))), 'MITRE ATT&amp;CK Mappings'!$B77,"")</f>
        <v/>
      </c>
      <c r="K81" s="27" t="str">
        <f>IF(OR(OR(OR(OR(OR(ISNUMBER(SEARCH(IF(K$1&lt;&gt;"",K$1,"NA"),'MITRE ATT&amp;CK Mappings'!$E77)),ISNUMBER(SEARCH(IF(K$1&lt;&gt;"",K$1,"NA"),'MITRE ATT&amp;CK Mappings'!$F77))),ISNUMBER(SEARCH(IF(K$2&lt;&gt;"",K$2,"NA"),'MITRE ATT&amp;CK Mappings'!$G77))),ISNUMBER(SEARCH(IF(K$2&lt;&gt;"",K$2,"NA"),'MITRE ATT&amp;CK Mappings'!$H77))),ISNUMBER(SEARCH(IF(K$3&lt;&gt;"",K$3,"NA"),'MITRE ATT&amp;CK Mappings'!$I77))),ISNUMBER(SEARCH(IF(K$3&lt;&gt;"",K$3,"NA"),'MITRE ATT&amp;CK Mappings'!$J77))), 'MITRE ATT&amp;CK Mappings'!$B77,"")</f>
        <v/>
      </c>
      <c r="L81" s="27" t="str">
        <f>IF('MITRE ATT&amp;CK Mappings'!D77 &lt;&gt;"",'MITRE ATT&amp;CK Mappings'!D77,"" )</f>
        <v>Ensure that Activity Log Alert exists for Delete SQL Server Firewall Rule</v>
      </c>
    </row>
    <row r="82" spans="1:12" x14ac:dyDescent="0.25">
      <c r="A82" s="26" t="str">
        <f>IF(COUNTIF(B82:K82,"="&amp;'MITRE ATT&amp;CK Mappings'!B78)&gt;0,'MITRE ATT&amp;CK Mappings'!B78,"")</f>
        <v/>
      </c>
      <c r="B82" s="26" t="str">
        <f>IF(OR(OR(OR(OR(OR(ISNUMBER(SEARCH(IF(B$1&lt;&gt;"",B$1,"NA"),'MITRE ATT&amp;CK Mappings'!$E78)),ISNUMBER(SEARCH(IF(B$1&lt;&gt;"",B$1,"NA"),'MITRE ATT&amp;CK Mappings'!$F78))),ISNUMBER(SEARCH(IF(B$2&lt;&gt;"",B$2,"NA"),'MITRE ATT&amp;CK Mappings'!$G78))),ISNUMBER(SEARCH(IF(B$2&lt;&gt;"",B$2,"NA"),'MITRE ATT&amp;CK Mappings'!$H78))),ISNUMBER(SEARCH(IF(B$3&lt;&gt;"",B$3,"NA"),'MITRE ATT&amp;CK Mappings'!$I78))),ISNUMBER(SEARCH(IF(B$3&lt;&gt;"",B$3,"NA"),'MITRE ATT&amp;CK Mappings'!$J78))), 'MITRE ATT&amp;CK Mappings'!$B78,"")</f>
        <v/>
      </c>
      <c r="C82" s="26" t="str">
        <f>IF(OR(OR(OR(OR(OR(ISNUMBER(SEARCH(IF(C$1&lt;&gt;"",C$1,"NA"),'MITRE ATT&amp;CK Mappings'!$E78)),ISNUMBER(SEARCH(IF(C$1&lt;&gt;"",C$1,"NA"),'MITRE ATT&amp;CK Mappings'!$F78))),ISNUMBER(SEARCH(IF(C$2&lt;&gt;"",C$2,"NA"),'MITRE ATT&amp;CK Mappings'!$G78))),ISNUMBER(SEARCH(IF(C$2&lt;&gt;"",C$2,"NA"),'MITRE ATT&amp;CK Mappings'!$H78))),ISNUMBER(SEARCH(IF(C$3&lt;&gt;"",C$3,"NA"),'MITRE ATT&amp;CK Mappings'!$I78))),ISNUMBER(SEARCH(IF(C$3&lt;&gt;"",C$3,"NA"),'MITRE ATT&amp;CK Mappings'!$J78))), 'MITRE ATT&amp;CK Mappings'!$B78,"")</f>
        <v/>
      </c>
      <c r="D82" s="26" t="str">
        <f>IF(OR(OR(OR(OR(OR(ISNUMBER(SEARCH(IF(D$1&lt;&gt;"",D$1,"NA"),'MITRE ATT&amp;CK Mappings'!$E78)),ISNUMBER(SEARCH(IF(D$1&lt;&gt;"",D$1,"NA"),'MITRE ATT&amp;CK Mappings'!$F78))),ISNUMBER(SEARCH(IF(D$2&lt;&gt;"",D$2,"NA"),'MITRE ATT&amp;CK Mappings'!$G78))),ISNUMBER(SEARCH(IF(D$2&lt;&gt;"",D$2,"NA"),'MITRE ATT&amp;CK Mappings'!$H78))),ISNUMBER(SEARCH(IF(D$3&lt;&gt;"",D$3,"NA"),'MITRE ATT&amp;CK Mappings'!$I78))),ISNUMBER(SEARCH(IF(D$3&lt;&gt;"",D$3,"NA"),'MITRE ATT&amp;CK Mappings'!$J78))), 'MITRE ATT&amp;CK Mappings'!$B78,"")</f>
        <v/>
      </c>
      <c r="E82" s="26" t="str">
        <f>IF(OR(OR(OR(OR(OR(ISNUMBER(SEARCH(IF(E$1&lt;&gt;"",E$1,"NA"),'MITRE ATT&amp;CK Mappings'!$E78)),ISNUMBER(SEARCH(IF(E$1&lt;&gt;"",E$1,"NA"),'MITRE ATT&amp;CK Mappings'!$F78))),ISNUMBER(SEARCH(IF(E$2&lt;&gt;"",E$2,"NA"),'MITRE ATT&amp;CK Mappings'!$G78))),ISNUMBER(SEARCH(IF(E$2&lt;&gt;"",E$2,"NA"),'MITRE ATT&amp;CK Mappings'!$H78))),ISNUMBER(SEARCH(IF(E$3&lt;&gt;"",E$3,"NA"),'MITRE ATT&amp;CK Mappings'!$I78))),ISNUMBER(SEARCH(IF(E$3&lt;&gt;"",E$3,"NA"),'MITRE ATT&amp;CK Mappings'!$J78))), 'MITRE ATT&amp;CK Mappings'!$B78,"")</f>
        <v/>
      </c>
      <c r="F82" s="26" t="str">
        <f>IF(OR(OR(OR(OR(OR(ISNUMBER(SEARCH(IF(F$1&lt;&gt;"",F$1,"NA"),'MITRE ATT&amp;CK Mappings'!$E78)),ISNUMBER(SEARCH(IF(F$1&lt;&gt;"",F$1,"NA"),'MITRE ATT&amp;CK Mappings'!$F78))),ISNUMBER(SEARCH(IF(F$2&lt;&gt;"",F$2,"NA"),'MITRE ATT&amp;CK Mappings'!$G78))),ISNUMBER(SEARCH(IF(F$2&lt;&gt;"",F$2,"NA"),'MITRE ATT&amp;CK Mappings'!$H78))),ISNUMBER(SEARCH(IF(F$3&lt;&gt;"",F$3,"NA"),'MITRE ATT&amp;CK Mappings'!$I78))),ISNUMBER(SEARCH(IF(F$3&lt;&gt;"",F$3,"NA"),'MITRE ATT&amp;CK Mappings'!$J78))), 'MITRE ATT&amp;CK Mappings'!$B78,"")</f>
        <v/>
      </c>
      <c r="G82" s="26" t="str">
        <f>IF(OR(OR(OR(OR(OR(ISNUMBER(SEARCH(IF(G$1&lt;&gt;"",G$1,"NA"),'MITRE ATT&amp;CK Mappings'!$E78)),ISNUMBER(SEARCH(IF(G$1&lt;&gt;"",G$1,"NA"),'MITRE ATT&amp;CK Mappings'!$F78))),ISNUMBER(SEARCH(IF(G$2&lt;&gt;"",G$2,"NA"),'MITRE ATT&amp;CK Mappings'!$G78))),ISNUMBER(SEARCH(IF(G$2&lt;&gt;"",G$2,"NA"),'MITRE ATT&amp;CK Mappings'!$H78))),ISNUMBER(SEARCH(IF(G$3&lt;&gt;"",G$3,"NA"),'MITRE ATT&amp;CK Mappings'!$I78))),ISNUMBER(SEARCH(IF(G$3&lt;&gt;"",G$3,"NA"),'MITRE ATT&amp;CK Mappings'!$J78))), 'MITRE ATT&amp;CK Mappings'!$B78,"")</f>
        <v/>
      </c>
      <c r="H82" s="26" t="str">
        <f>IF(OR(OR(OR(OR(OR(ISNUMBER(SEARCH(IF(H$1&lt;&gt;"",H$1,"NA"),'MITRE ATT&amp;CK Mappings'!$E78)),ISNUMBER(SEARCH(IF(H$1&lt;&gt;"",H$1,"NA"),'MITRE ATT&amp;CK Mappings'!$F78))),ISNUMBER(SEARCH(IF(H$2&lt;&gt;"",H$2,"NA"),'MITRE ATT&amp;CK Mappings'!$G78))),ISNUMBER(SEARCH(IF(H$2&lt;&gt;"",H$2,"NA"),'MITRE ATT&amp;CK Mappings'!$H78))),ISNUMBER(SEARCH(IF(H$3&lt;&gt;"",H$3,"NA"),'MITRE ATT&amp;CK Mappings'!$I78))),ISNUMBER(SEARCH(IF(H$3&lt;&gt;"",H$3,"NA"),'MITRE ATT&amp;CK Mappings'!$J78))), 'MITRE ATT&amp;CK Mappings'!$B78,"")</f>
        <v/>
      </c>
      <c r="I82" s="26" t="str">
        <f>IF(OR(OR(OR(OR(OR(ISNUMBER(SEARCH(IF(I$1&lt;&gt;"",I$1,"NA"),'MITRE ATT&amp;CK Mappings'!$E78)),ISNUMBER(SEARCH(IF(I$1&lt;&gt;"",I$1,"NA"),'MITRE ATT&amp;CK Mappings'!$F78))),ISNUMBER(SEARCH(IF(I$2&lt;&gt;"",I$2,"NA"),'MITRE ATT&amp;CK Mappings'!$G78))),ISNUMBER(SEARCH(IF(I$2&lt;&gt;"",I$2,"NA"),'MITRE ATT&amp;CK Mappings'!$H78))),ISNUMBER(SEARCH(IF(I$3&lt;&gt;"",I$3,"NA"),'MITRE ATT&amp;CK Mappings'!$I78))),ISNUMBER(SEARCH(IF(I$3&lt;&gt;"",I$3,"NA"),'MITRE ATT&amp;CK Mappings'!$J78))), 'MITRE ATT&amp;CK Mappings'!$B78,"")</f>
        <v/>
      </c>
      <c r="J82" s="26" t="str">
        <f>IF(OR(OR(OR(OR(OR(ISNUMBER(SEARCH(IF(J$1&lt;&gt;"",J$1,"NA"),'MITRE ATT&amp;CK Mappings'!$E78)),ISNUMBER(SEARCH(IF(J$1&lt;&gt;"",J$1,"NA"),'MITRE ATT&amp;CK Mappings'!$F78))),ISNUMBER(SEARCH(IF(J$2&lt;&gt;"",J$2,"NA"),'MITRE ATT&amp;CK Mappings'!$G78))),ISNUMBER(SEARCH(IF(J$2&lt;&gt;"",J$2,"NA"),'MITRE ATT&amp;CK Mappings'!$H78))),ISNUMBER(SEARCH(IF(J$3&lt;&gt;"",J$3,"NA"),'MITRE ATT&amp;CK Mappings'!$I78))),ISNUMBER(SEARCH(IF(J$3&lt;&gt;"",J$3,"NA"),'MITRE ATT&amp;CK Mappings'!$J78))), 'MITRE ATT&amp;CK Mappings'!$B78,"")</f>
        <v/>
      </c>
      <c r="K82" s="26" t="str">
        <f>IF(OR(OR(OR(OR(OR(ISNUMBER(SEARCH(IF(K$1&lt;&gt;"",K$1,"NA"),'MITRE ATT&amp;CK Mappings'!$E78)),ISNUMBER(SEARCH(IF(K$1&lt;&gt;"",K$1,"NA"),'MITRE ATT&amp;CK Mappings'!$F78))),ISNUMBER(SEARCH(IF(K$2&lt;&gt;"",K$2,"NA"),'MITRE ATT&amp;CK Mappings'!$G78))),ISNUMBER(SEARCH(IF(K$2&lt;&gt;"",K$2,"NA"),'MITRE ATT&amp;CK Mappings'!$H78))),ISNUMBER(SEARCH(IF(K$3&lt;&gt;"",K$3,"NA"),'MITRE ATT&amp;CK Mappings'!$I78))),ISNUMBER(SEARCH(IF(K$3&lt;&gt;"",K$3,"NA"),'MITRE ATT&amp;CK Mappings'!$J78))), 'MITRE ATT&amp;CK Mappings'!$B78,"")</f>
        <v/>
      </c>
      <c r="L82" s="26" t="str">
        <f>IF('MITRE ATT&amp;CK Mappings'!D78 &lt;&gt;"",'MITRE ATT&amp;CK Mappings'!D78,"" )</f>
        <v>Ensure that Activity Log Alert exists for Create or Update Public IP Address rule</v>
      </c>
    </row>
    <row r="83" spans="1:12" x14ac:dyDescent="0.25">
      <c r="A83" s="27" t="str">
        <f>IF(COUNTIF(B83:K83,"="&amp;'MITRE ATT&amp;CK Mappings'!B79)&gt;0,'MITRE ATT&amp;CK Mappings'!B79,"")</f>
        <v/>
      </c>
      <c r="B83" s="27" t="str">
        <f>IF(OR(OR(OR(OR(OR(ISNUMBER(SEARCH(IF(B$1&lt;&gt;"",B$1,"NA"),'MITRE ATT&amp;CK Mappings'!$E79)),ISNUMBER(SEARCH(IF(B$1&lt;&gt;"",B$1,"NA"),'MITRE ATT&amp;CK Mappings'!$F79))),ISNUMBER(SEARCH(IF(B$2&lt;&gt;"",B$2,"NA"),'MITRE ATT&amp;CK Mappings'!$G79))),ISNUMBER(SEARCH(IF(B$2&lt;&gt;"",B$2,"NA"),'MITRE ATT&amp;CK Mappings'!$H79))),ISNUMBER(SEARCH(IF(B$3&lt;&gt;"",B$3,"NA"),'MITRE ATT&amp;CK Mappings'!$I79))),ISNUMBER(SEARCH(IF(B$3&lt;&gt;"",B$3,"NA"),'MITRE ATT&amp;CK Mappings'!$J79))), 'MITRE ATT&amp;CK Mappings'!$B79,"")</f>
        <v/>
      </c>
      <c r="C83" s="27" t="str">
        <f>IF(OR(OR(OR(OR(OR(ISNUMBER(SEARCH(IF(C$1&lt;&gt;"",C$1,"NA"),'MITRE ATT&amp;CK Mappings'!$E79)),ISNUMBER(SEARCH(IF(C$1&lt;&gt;"",C$1,"NA"),'MITRE ATT&amp;CK Mappings'!$F79))),ISNUMBER(SEARCH(IF(C$2&lt;&gt;"",C$2,"NA"),'MITRE ATT&amp;CK Mappings'!$G79))),ISNUMBER(SEARCH(IF(C$2&lt;&gt;"",C$2,"NA"),'MITRE ATT&amp;CK Mappings'!$H79))),ISNUMBER(SEARCH(IF(C$3&lt;&gt;"",C$3,"NA"),'MITRE ATT&amp;CK Mappings'!$I79))),ISNUMBER(SEARCH(IF(C$3&lt;&gt;"",C$3,"NA"),'MITRE ATT&amp;CK Mappings'!$J79))), 'MITRE ATT&amp;CK Mappings'!$B79,"")</f>
        <v/>
      </c>
      <c r="D83" s="27" t="str">
        <f>IF(OR(OR(OR(OR(OR(ISNUMBER(SEARCH(IF(D$1&lt;&gt;"",D$1,"NA"),'MITRE ATT&amp;CK Mappings'!$E79)),ISNUMBER(SEARCH(IF(D$1&lt;&gt;"",D$1,"NA"),'MITRE ATT&amp;CK Mappings'!$F79))),ISNUMBER(SEARCH(IF(D$2&lt;&gt;"",D$2,"NA"),'MITRE ATT&amp;CK Mappings'!$G79))),ISNUMBER(SEARCH(IF(D$2&lt;&gt;"",D$2,"NA"),'MITRE ATT&amp;CK Mappings'!$H79))),ISNUMBER(SEARCH(IF(D$3&lt;&gt;"",D$3,"NA"),'MITRE ATT&amp;CK Mappings'!$I79))),ISNUMBER(SEARCH(IF(D$3&lt;&gt;"",D$3,"NA"),'MITRE ATT&amp;CK Mappings'!$J79))), 'MITRE ATT&amp;CK Mappings'!$B79,"")</f>
        <v/>
      </c>
      <c r="E83" s="27" t="str">
        <f>IF(OR(OR(OR(OR(OR(ISNUMBER(SEARCH(IF(E$1&lt;&gt;"",E$1,"NA"),'MITRE ATT&amp;CK Mappings'!$E79)),ISNUMBER(SEARCH(IF(E$1&lt;&gt;"",E$1,"NA"),'MITRE ATT&amp;CK Mappings'!$F79))),ISNUMBER(SEARCH(IF(E$2&lt;&gt;"",E$2,"NA"),'MITRE ATT&amp;CK Mappings'!$G79))),ISNUMBER(SEARCH(IF(E$2&lt;&gt;"",E$2,"NA"),'MITRE ATT&amp;CK Mappings'!$H79))),ISNUMBER(SEARCH(IF(E$3&lt;&gt;"",E$3,"NA"),'MITRE ATT&amp;CK Mappings'!$I79))),ISNUMBER(SEARCH(IF(E$3&lt;&gt;"",E$3,"NA"),'MITRE ATT&amp;CK Mappings'!$J79))), 'MITRE ATT&amp;CK Mappings'!$B79,"")</f>
        <v/>
      </c>
      <c r="F83" s="27" t="str">
        <f>IF(OR(OR(OR(OR(OR(ISNUMBER(SEARCH(IF(F$1&lt;&gt;"",F$1,"NA"),'MITRE ATT&amp;CK Mappings'!$E79)),ISNUMBER(SEARCH(IF(F$1&lt;&gt;"",F$1,"NA"),'MITRE ATT&amp;CK Mappings'!$F79))),ISNUMBER(SEARCH(IF(F$2&lt;&gt;"",F$2,"NA"),'MITRE ATT&amp;CK Mappings'!$G79))),ISNUMBER(SEARCH(IF(F$2&lt;&gt;"",F$2,"NA"),'MITRE ATT&amp;CK Mappings'!$H79))),ISNUMBER(SEARCH(IF(F$3&lt;&gt;"",F$3,"NA"),'MITRE ATT&amp;CK Mappings'!$I79))),ISNUMBER(SEARCH(IF(F$3&lt;&gt;"",F$3,"NA"),'MITRE ATT&amp;CK Mappings'!$J79))), 'MITRE ATT&amp;CK Mappings'!$B79,"")</f>
        <v/>
      </c>
      <c r="G83" s="27" t="str">
        <f>IF(OR(OR(OR(OR(OR(ISNUMBER(SEARCH(IF(G$1&lt;&gt;"",G$1,"NA"),'MITRE ATT&amp;CK Mappings'!$E79)),ISNUMBER(SEARCH(IF(G$1&lt;&gt;"",G$1,"NA"),'MITRE ATT&amp;CK Mappings'!$F79))),ISNUMBER(SEARCH(IF(G$2&lt;&gt;"",G$2,"NA"),'MITRE ATT&amp;CK Mappings'!$G79))),ISNUMBER(SEARCH(IF(G$2&lt;&gt;"",G$2,"NA"),'MITRE ATT&amp;CK Mappings'!$H79))),ISNUMBER(SEARCH(IF(G$3&lt;&gt;"",G$3,"NA"),'MITRE ATT&amp;CK Mappings'!$I79))),ISNUMBER(SEARCH(IF(G$3&lt;&gt;"",G$3,"NA"),'MITRE ATT&amp;CK Mappings'!$J79))), 'MITRE ATT&amp;CK Mappings'!$B79,"")</f>
        <v/>
      </c>
      <c r="H83" s="27" t="str">
        <f>IF(OR(OR(OR(OR(OR(ISNUMBER(SEARCH(IF(H$1&lt;&gt;"",H$1,"NA"),'MITRE ATT&amp;CK Mappings'!$E79)),ISNUMBER(SEARCH(IF(H$1&lt;&gt;"",H$1,"NA"),'MITRE ATT&amp;CK Mappings'!$F79))),ISNUMBER(SEARCH(IF(H$2&lt;&gt;"",H$2,"NA"),'MITRE ATT&amp;CK Mappings'!$G79))),ISNUMBER(SEARCH(IF(H$2&lt;&gt;"",H$2,"NA"),'MITRE ATT&amp;CK Mappings'!$H79))),ISNUMBER(SEARCH(IF(H$3&lt;&gt;"",H$3,"NA"),'MITRE ATT&amp;CK Mappings'!$I79))),ISNUMBER(SEARCH(IF(H$3&lt;&gt;"",H$3,"NA"),'MITRE ATT&amp;CK Mappings'!$J79))), 'MITRE ATT&amp;CK Mappings'!$B79,"")</f>
        <v/>
      </c>
      <c r="I83" s="27" t="str">
        <f>IF(OR(OR(OR(OR(OR(ISNUMBER(SEARCH(IF(I$1&lt;&gt;"",I$1,"NA"),'MITRE ATT&amp;CK Mappings'!$E79)),ISNUMBER(SEARCH(IF(I$1&lt;&gt;"",I$1,"NA"),'MITRE ATT&amp;CK Mappings'!$F79))),ISNUMBER(SEARCH(IF(I$2&lt;&gt;"",I$2,"NA"),'MITRE ATT&amp;CK Mappings'!$G79))),ISNUMBER(SEARCH(IF(I$2&lt;&gt;"",I$2,"NA"),'MITRE ATT&amp;CK Mappings'!$H79))),ISNUMBER(SEARCH(IF(I$3&lt;&gt;"",I$3,"NA"),'MITRE ATT&amp;CK Mappings'!$I79))),ISNUMBER(SEARCH(IF(I$3&lt;&gt;"",I$3,"NA"),'MITRE ATT&amp;CK Mappings'!$J79))), 'MITRE ATT&amp;CK Mappings'!$B79,"")</f>
        <v/>
      </c>
      <c r="J83" s="27" t="str">
        <f>IF(OR(OR(OR(OR(OR(ISNUMBER(SEARCH(IF(J$1&lt;&gt;"",J$1,"NA"),'MITRE ATT&amp;CK Mappings'!$E79)),ISNUMBER(SEARCH(IF(J$1&lt;&gt;"",J$1,"NA"),'MITRE ATT&amp;CK Mappings'!$F79))),ISNUMBER(SEARCH(IF(J$2&lt;&gt;"",J$2,"NA"),'MITRE ATT&amp;CK Mappings'!$G79))),ISNUMBER(SEARCH(IF(J$2&lt;&gt;"",J$2,"NA"),'MITRE ATT&amp;CK Mappings'!$H79))),ISNUMBER(SEARCH(IF(J$3&lt;&gt;"",J$3,"NA"),'MITRE ATT&amp;CK Mappings'!$I79))),ISNUMBER(SEARCH(IF(J$3&lt;&gt;"",J$3,"NA"),'MITRE ATT&amp;CK Mappings'!$J79))), 'MITRE ATT&amp;CK Mappings'!$B79,"")</f>
        <v/>
      </c>
      <c r="K83" s="27" t="str">
        <f>IF(OR(OR(OR(OR(OR(ISNUMBER(SEARCH(IF(K$1&lt;&gt;"",K$1,"NA"),'MITRE ATT&amp;CK Mappings'!$E79)),ISNUMBER(SEARCH(IF(K$1&lt;&gt;"",K$1,"NA"),'MITRE ATT&amp;CK Mappings'!$F79))),ISNUMBER(SEARCH(IF(K$2&lt;&gt;"",K$2,"NA"),'MITRE ATT&amp;CK Mappings'!$G79))),ISNUMBER(SEARCH(IF(K$2&lt;&gt;"",K$2,"NA"),'MITRE ATT&amp;CK Mappings'!$H79))),ISNUMBER(SEARCH(IF(K$3&lt;&gt;"",K$3,"NA"),'MITRE ATT&amp;CK Mappings'!$I79))),ISNUMBER(SEARCH(IF(K$3&lt;&gt;"",K$3,"NA"),'MITRE ATT&amp;CK Mappings'!$J79))), 'MITRE ATT&amp;CK Mappings'!$B79,"")</f>
        <v/>
      </c>
      <c r="L83" s="27" t="str">
        <f>IF('MITRE ATT&amp;CK Mappings'!D79 &lt;&gt;"",'MITRE ATT&amp;CK Mappings'!D79,"" )</f>
        <v>Ensure that Activity Log Alert exists for Delete Public IP Address rule</v>
      </c>
    </row>
    <row r="84" spans="1:12" x14ac:dyDescent="0.25">
      <c r="A84" s="26" t="str">
        <f>IF(COUNTIF(B84:K84,"="&amp;'MITRE ATT&amp;CK Mappings'!B80)&gt;0,'MITRE ATT&amp;CK Mappings'!B80,"")</f>
        <v/>
      </c>
      <c r="B84" s="26" t="str">
        <f>IF(OR(OR(OR(OR(OR(ISNUMBER(SEARCH(IF(B$1&lt;&gt;"",B$1,"NA"),'MITRE ATT&amp;CK Mappings'!$E80)),ISNUMBER(SEARCH(IF(B$1&lt;&gt;"",B$1,"NA"),'MITRE ATT&amp;CK Mappings'!$F80))),ISNUMBER(SEARCH(IF(B$2&lt;&gt;"",B$2,"NA"),'MITRE ATT&amp;CK Mappings'!$G80))),ISNUMBER(SEARCH(IF(B$2&lt;&gt;"",B$2,"NA"),'MITRE ATT&amp;CK Mappings'!$H80))),ISNUMBER(SEARCH(IF(B$3&lt;&gt;"",B$3,"NA"),'MITRE ATT&amp;CK Mappings'!$I80))),ISNUMBER(SEARCH(IF(B$3&lt;&gt;"",B$3,"NA"),'MITRE ATT&amp;CK Mappings'!$J80))), 'MITRE ATT&amp;CK Mappings'!$B80,"")</f>
        <v/>
      </c>
      <c r="C84" s="26" t="str">
        <f>IF(OR(OR(OR(OR(OR(ISNUMBER(SEARCH(IF(C$1&lt;&gt;"",C$1,"NA"),'MITRE ATT&amp;CK Mappings'!$E80)),ISNUMBER(SEARCH(IF(C$1&lt;&gt;"",C$1,"NA"),'MITRE ATT&amp;CK Mappings'!$F80))),ISNUMBER(SEARCH(IF(C$2&lt;&gt;"",C$2,"NA"),'MITRE ATT&amp;CK Mappings'!$G80))),ISNUMBER(SEARCH(IF(C$2&lt;&gt;"",C$2,"NA"),'MITRE ATT&amp;CK Mappings'!$H80))),ISNUMBER(SEARCH(IF(C$3&lt;&gt;"",C$3,"NA"),'MITRE ATT&amp;CK Mappings'!$I80))),ISNUMBER(SEARCH(IF(C$3&lt;&gt;"",C$3,"NA"),'MITRE ATT&amp;CK Mappings'!$J80))), 'MITRE ATT&amp;CK Mappings'!$B80,"")</f>
        <v/>
      </c>
      <c r="D84" s="26" t="str">
        <f>IF(OR(OR(OR(OR(OR(ISNUMBER(SEARCH(IF(D$1&lt;&gt;"",D$1,"NA"),'MITRE ATT&amp;CK Mappings'!$E80)),ISNUMBER(SEARCH(IF(D$1&lt;&gt;"",D$1,"NA"),'MITRE ATT&amp;CK Mappings'!$F80))),ISNUMBER(SEARCH(IF(D$2&lt;&gt;"",D$2,"NA"),'MITRE ATT&amp;CK Mappings'!$G80))),ISNUMBER(SEARCH(IF(D$2&lt;&gt;"",D$2,"NA"),'MITRE ATT&amp;CK Mappings'!$H80))),ISNUMBER(SEARCH(IF(D$3&lt;&gt;"",D$3,"NA"),'MITRE ATT&amp;CK Mappings'!$I80))),ISNUMBER(SEARCH(IF(D$3&lt;&gt;"",D$3,"NA"),'MITRE ATT&amp;CK Mappings'!$J80))), 'MITRE ATT&amp;CK Mappings'!$B80,"")</f>
        <v/>
      </c>
      <c r="E84" s="26" t="str">
        <f>IF(OR(OR(OR(OR(OR(ISNUMBER(SEARCH(IF(E$1&lt;&gt;"",E$1,"NA"),'MITRE ATT&amp;CK Mappings'!$E80)),ISNUMBER(SEARCH(IF(E$1&lt;&gt;"",E$1,"NA"),'MITRE ATT&amp;CK Mappings'!$F80))),ISNUMBER(SEARCH(IF(E$2&lt;&gt;"",E$2,"NA"),'MITRE ATT&amp;CK Mappings'!$G80))),ISNUMBER(SEARCH(IF(E$2&lt;&gt;"",E$2,"NA"),'MITRE ATT&amp;CK Mappings'!$H80))),ISNUMBER(SEARCH(IF(E$3&lt;&gt;"",E$3,"NA"),'MITRE ATT&amp;CK Mappings'!$I80))),ISNUMBER(SEARCH(IF(E$3&lt;&gt;"",E$3,"NA"),'MITRE ATT&amp;CK Mappings'!$J80))), 'MITRE ATT&amp;CK Mappings'!$B80,"")</f>
        <v/>
      </c>
      <c r="F84" s="26" t="str">
        <f>IF(OR(OR(OR(OR(OR(ISNUMBER(SEARCH(IF(F$1&lt;&gt;"",F$1,"NA"),'MITRE ATT&amp;CK Mappings'!$E80)),ISNUMBER(SEARCH(IF(F$1&lt;&gt;"",F$1,"NA"),'MITRE ATT&amp;CK Mappings'!$F80))),ISNUMBER(SEARCH(IF(F$2&lt;&gt;"",F$2,"NA"),'MITRE ATT&amp;CK Mappings'!$G80))),ISNUMBER(SEARCH(IF(F$2&lt;&gt;"",F$2,"NA"),'MITRE ATT&amp;CK Mappings'!$H80))),ISNUMBER(SEARCH(IF(F$3&lt;&gt;"",F$3,"NA"),'MITRE ATT&amp;CK Mappings'!$I80))),ISNUMBER(SEARCH(IF(F$3&lt;&gt;"",F$3,"NA"),'MITRE ATT&amp;CK Mappings'!$J80))), 'MITRE ATT&amp;CK Mappings'!$B80,"")</f>
        <v/>
      </c>
      <c r="G84" s="26" t="str">
        <f>IF(OR(OR(OR(OR(OR(ISNUMBER(SEARCH(IF(G$1&lt;&gt;"",G$1,"NA"),'MITRE ATT&amp;CK Mappings'!$E80)),ISNUMBER(SEARCH(IF(G$1&lt;&gt;"",G$1,"NA"),'MITRE ATT&amp;CK Mappings'!$F80))),ISNUMBER(SEARCH(IF(G$2&lt;&gt;"",G$2,"NA"),'MITRE ATT&amp;CK Mappings'!$G80))),ISNUMBER(SEARCH(IF(G$2&lt;&gt;"",G$2,"NA"),'MITRE ATT&amp;CK Mappings'!$H80))),ISNUMBER(SEARCH(IF(G$3&lt;&gt;"",G$3,"NA"),'MITRE ATT&amp;CK Mappings'!$I80))),ISNUMBER(SEARCH(IF(G$3&lt;&gt;"",G$3,"NA"),'MITRE ATT&amp;CK Mappings'!$J80))), 'MITRE ATT&amp;CK Mappings'!$B80,"")</f>
        <v/>
      </c>
      <c r="H84" s="26" t="str">
        <f>IF(OR(OR(OR(OR(OR(ISNUMBER(SEARCH(IF(H$1&lt;&gt;"",H$1,"NA"),'MITRE ATT&amp;CK Mappings'!$E80)),ISNUMBER(SEARCH(IF(H$1&lt;&gt;"",H$1,"NA"),'MITRE ATT&amp;CK Mappings'!$F80))),ISNUMBER(SEARCH(IF(H$2&lt;&gt;"",H$2,"NA"),'MITRE ATT&amp;CK Mappings'!$G80))),ISNUMBER(SEARCH(IF(H$2&lt;&gt;"",H$2,"NA"),'MITRE ATT&amp;CK Mappings'!$H80))),ISNUMBER(SEARCH(IF(H$3&lt;&gt;"",H$3,"NA"),'MITRE ATT&amp;CK Mappings'!$I80))),ISNUMBER(SEARCH(IF(H$3&lt;&gt;"",H$3,"NA"),'MITRE ATT&amp;CK Mappings'!$J80))), 'MITRE ATT&amp;CK Mappings'!$B80,"")</f>
        <v/>
      </c>
      <c r="I84" s="26" t="str">
        <f>IF(OR(OR(OR(OR(OR(ISNUMBER(SEARCH(IF(I$1&lt;&gt;"",I$1,"NA"),'MITRE ATT&amp;CK Mappings'!$E80)),ISNUMBER(SEARCH(IF(I$1&lt;&gt;"",I$1,"NA"),'MITRE ATT&amp;CK Mappings'!$F80))),ISNUMBER(SEARCH(IF(I$2&lt;&gt;"",I$2,"NA"),'MITRE ATT&amp;CK Mappings'!$G80))),ISNUMBER(SEARCH(IF(I$2&lt;&gt;"",I$2,"NA"),'MITRE ATT&amp;CK Mappings'!$H80))),ISNUMBER(SEARCH(IF(I$3&lt;&gt;"",I$3,"NA"),'MITRE ATT&amp;CK Mappings'!$I80))),ISNUMBER(SEARCH(IF(I$3&lt;&gt;"",I$3,"NA"),'MITRE ATT&amp;CK Mappings'!$J80))), 'MITRE ATT&amp;CK Mappings'!$B80,"")</f>
        <v/>
      </c>
      <c r="J84" s="26" t="str">
        <f>IF(OR(OR(OR(OR(OR(ISNUMBER(SEARCH(IF(J$1&lt;&gt;"",J$1,"NA"),'MITRE ATT&amp;CK Mappings'!$E80)),ISNUMBER(SEARCH(IF(J$1&lt;&gt;"",J$1,"NA"),'MITRE ATT&amp;CK Mappings'!$F80))),ISNUMBER(SEARCH(IF(J$2&lt;&gt;"",J$2,"NA"),'MITRE ATT&amp;CK Mappings'!$G80))),ISNUMBER(SEARCH(IF(J$2&lt;&gt;"",J$2,"NA"),'MITRE ATT&amp;CK Mappings'!$H80))),ISNUMBER(SEARCH(IF(J$3&lt;&gt;"",J$3,"NA"),'MITRE ATT&amp;CK Mappings'!$I80))),ISNUMBER(SEARCH(IF(J$3&lt;&gt;"",J$3,"NA"),'MITRE ATT&amp;CK Mappings'!$J80))), 'MITRE ATT&amp;CK Mappings'!$B80,"")</f>
        <v/>
      </c>
      <c r="K84" s="26" t="str">
        <f>IF(OR(OR(OR(OR(OR(ISNUMBER(SEARCH(IF(K$1&lt;&gt;"",K$1,"NA"),'MITRE ATT&amp;CK Mappings'!$E80)),ISNUMBER(SEARCH(IF(K$1&lt;&gt;"",K$1,"NA"),'MITRE ATT&amp;CK Mappings'!$F80))),ISNUMBER(SEARCH(IF(K$2&lt;&gt;"",K$2,"NA"),'MITRE ATT&amp;CK Mappings'!$G80))),ISNUMBER(SEARCH(IF(K$2&lt;&gt;"",K$2,"NA"),'MITRE ATT&amp;CK Mappings'!$H80))),ISNUMBER(SEARCH(IF(K$3&lt;&gt;"",K$3,"NA"),'MITRE ATT&amp;CK Mappings'!$I80))),ISNUMBER(SEARCH(IF(K$3&lt;&gt;"",K$3,"NA"),'MITRE ATT&amp;CK Mappings'!$J80))), 'MITRE ATT&amp;CK Mappings'!$B80,"")</f>
        <v/>
      </c>
      <c r="L84" s="26" t="str">
        <f>IF('MITRE ATT&amp;CK Mappings'!D80 &lt;&gt;"",'MITRE ATT&amp;CK Mappings'!D80,"" )</f>
        <v>Ensure that an Activity Log Alert exists for Service Health</v>
      </c>
    </row>
    <row r="85" spans="1:12" x14ac:dyDescent="0.25">
      <c r="A85" s="27" t="str">
        <f>IF(COUNTIF(B85:K85,"="&amp;'MITRE ATT&amp;CK Mappings'!B81)&gt;0,'MITRE ATT&amp;CK Mappings'!B81,"")</f>
        <v/>
      </c>
      <c r="B85" s="27" t="str">
        <f>IF(OR(OR(OR(OR(OR(ISNUMBER(SEARCH(IF(B$1&lt;&gt;"",B$1,"NA"),'MITRE ATT&amp;CK Mappings'!$E81)),ISNUMBER(SEARCH(IF(B$1&lt;&gt;"",B$1,"NA"),'MITRE ATT&amp;CK Mappings'!$F81))),ISNUMBER(SEARCH(IF(B$2&lt;&gt;"",B$2,"NA"),'MITRE ATT&amp;CK Mappings'!$G81))),ISNUMBER(SEARCH(IF(B$2&lt;&gt;"",B$2,"NA"),'MITRE ATT&amp;CK Mappings'!$H81))),ISNUMBER(SEARCH(IF(B$3&lt;&gt;"",B$3,"NA"),'MITRE ATT&amp;CK Mappings'!$I81))),ISNUMBER(SEARCH(IF(B$3&lt;&gt;"",B$3,"NA"),'MITRE ATT&amp;CK Mappings'!$J81))), 'MITRE ATT&amp;CK Mappings'!$B81,"")</f>
        <v/>
      </c>
      <c r="C85" s="27" t="str">
        <f>IF(OR(OR(OR(OR(OR(ISNUMBER(SEARCH(IF(C$1&lt;&gt;"",C$1,"NA"),'MITRE ATT&amp;CK Mappings'!$E81)),ISNUMBER(SEARCH(IF(C$1&lt;&gt;"",C$1,"NA"),'MITRE ATT&amp;CK Mappings'!$F81))),ISNUMBER(SEARCH(IF(C$2&lt;&gt;"",C$2,"NA"),'MITRE ATT&amp;CK Mappings'!$G81))),ISNUMBER(SEARCH(IF(C$2&lt;&gt;"",C$2,"NA"),'MITRE ATT&amp;CK Mappings'!$H81))),ISNUMBER(SEARCH(IF(C$3&lt;&gt;"",C$3,"NA"),'MITRE ATT&amp;CK Mappings'!$I81))),ISNUMBER(SEARCH(IF(C$3&lt;&gt;"",C$3,"NA"),'MITRE ATT&amp;CK Mappings'!$J81))), 'MITRE ATT&amp;CK Mappings'!$B81,"")</f>
        <v/>
      </c>
      <c r="D85" s="27" t="str">
        <f>IF(OR(OR(OR(OR(OR(ISNUMBER(SEARCH(IF(D$1&lt;&gt;"",D$1,"NA"),'MITRE ATT&amp;CK Mappings'!$E81)),ISNUMBER(SEARCH(IF(D$1&lt;&gt;"",D$1,"NA"),'MITRE ATT&amp;CK Mappings'!$F81))),ISNUMBER(SEARCH(IF(D$2&lt;&gt;"",D$2,"NA"),'MITRE ATT&amp;CK Mappings'!$G81))),ISNUMBER(SEARCH(IF(D$2&lt;&gt;"",D$2,"NA"),'MITRE ATT&amp;CK Mappings'!$H81))),ISNUMBER(SEARCH(IF(D$3&lt;&gt;"",D$3,"NA"),'MITRE ATT&amp;CK Mappings'!$I81))),ISNUMBER(SEARCH(IF(D$3&lt;&gt;"",D$3,"NA"),'MITRE ATT&amp;CK Mappings'!$J81))), 'MITRE ATT&amp;CK Mappings'!$B81,"")</f>
        <v/>
      </c>
      <c r="E85" s="27" t="str">
        <f>IF(OR(OR(OR(OR(OR(ISNUMBER(SEARCH(IF(E$1&lt;&gt;"",E$1,"NA"),'MITRE ATT&amp;CK Mappings'!$E81)),ISNUMBER(SEARCH(IF(E$1&lt;&gt;"",E$1,"NA"),'MITRE ATT&amp;CK Mappings'!$F81))),ISNUMBER(SEARCH(IF(E$2&lt;&gt;"",E$2,"NA"),'MITRE ATT&amp;CK Mappings'!$G81))),ISNUMBER(SEARCH(IF(E$2&lt;&gt;"",E$2,"NA"),'MITRE ATT&amp;CK Mappings'!$H81))),ISNUMBER(SEARCH(IF(E$3&lt;&gt;"",E$3,"NA"),'MITRE ATT&amp;CK Mappings'!$I81))),ISNUMBER(SEARCH(IF(E$3&lt;&gt;"",E$3,"NA"),'MITRE ATT&amp;CK Mappings'!$J81))), 'MITRE ATT&amp;CK Mappings'!$B81,"")</f>
        <v/>
      </c>
      <c r="F85" s="27" t="str">
        <f>IF(OR(OR(OR(OR(OR(ISNUMBER(SEARCH(IF(F$1&lt;&gt;"",F$1,"NA"),'MITRE ATT&amp;CK Mappings'!$E81)),ISNUMBER(SEARCH(IF(F$1&lt;&gt;"",F$1,"NA"),'MITRE ATT&amp;CK Mappings'!$F81))),ISNUMBER(SEARCH(IF(F$2&lt;&gt;"",F$2,"NA"),'MITRE ATT&amp;CK Mappings'!$G81))),ISNUMBER(SEARCH(IF(F$2&lt;&gt;"",F$2,"NA"),'MITRE ATT&amp;CK Mappings'!$H81))),ISNUMBER(SEARCH(IF(F$3&lt;&gt;"",F$3,"NA"),'MITRE ATT&amp;CK Mappings'!$I81))),ISNUMBER(SEARCH(IF(F$3&lt;&gt;"",F$3,"NA"),'MITRE ATT&amp;CK Mappings'!$J81))), 'MITRE ATT&amp;CK Mappings'!$B81,"")</f>
        <v/>
      </c>
      <c r="G85" s="27" t="str">
        <f>IF(OR(OR(OR(OR(OR(ISNUMBER(SEARCH(IF(G$1&lt;&gt;"",G$1,"NA"),'MITRE ATT&amp;CK Mappings'!$E81)),ISNUMBER(SEARCH(IF(G$1&lt;&gt;"",G$1,"NA"),'MITRE ATT&amp;CK Mappings'!$F81))),ISNUMBER(SEARCH(IF(G$2&lt;&gt;"",G$2,"NA"),'MITRE ATT&amp;CK Mappings'!$G81))),ISNUMBER(SEARCH(IF(G$2&lt;&gt;"",G$2,"NA"),'MITRE ATT&amp;CK Mappings'!$H81))),ISNUMBER(SEARCH(IF(G$3&lt;&gt;"",G$3,"NA"),'MITRE ATT&amp;CK Mappings'!$I81))),ISNUMBER(SEARCH(IF(G$3&lt;&gt;"",G$3,"NA"),'MITRE ATT&amp;CK Mappings'!$J81))), 'MITRE ATT&amp;CK Mappings'!$B81,"")</f>
        <v/>
      </c>
      <c r="H85" s="27" t="str">
        <f>IF(OR(OR(OR(OR(OR(ISNUMBER(SEARCH(IF(H$1&lt;&gt;"",H$1,"NA"),'MITRE ATT&amp;CK Mappings'!$E81)),ISNUMBER(SEARCH(IF(H$1&lt;&gt;"",H$1,"NA"),'MITRE ATT&amp;CK Mappings'!$F81))),ISNUMBER(SEARCH(IF(H$2&lt;&gt;"",H$2,"NA"),'MITRE ATT&amp;CK Mappings'!$G81))),ISNUMBER(SEARCH(IF(H$2&lt;&gt;"",H$2,"NA"),'MITRE ATT&amp;CK Mappings'!$H81))),ISNUMBER(SEARCH(IF(H$3&lt;&gt;"",H$3,"NA"),'MITRE ATT&amp;CK Mappings'!$I81))),ISNUMBER(SEARCH(IF(H$3&lt;&gt;"",H$3,"NA"),'MITRE ATT&amp;CK Mappings'!$J81))), 'MITRE ATT&amp;CK Mappings'!$B81,"")</f>
        <v/>
      </c>
      <c r="I85" s="27" t="str">
        <f>IF(OR(OR(OR(OR(OR(ISNUMBER(SEARCH(IF(I$1&lt;&gt;"",I$1,"NA"),'MITRE ATT&amp;CK Mappings'!$E81)),ISNUMBER(SEARCH(IF(I$1&lt;&gt;"",I$1,"NA"),'MITRE ATT&amp;CK Mappings'!$F81))),ISNUMBER(SEARCH(IF(I$2&lt;&gt;"",I$2,"NA"),'MITRE ATT&amp;CK Mappings'!$G81))),ISNUMBER(SEARCH(IF(I$2&lt;&gt;"",I$2,"NA"),'MITRE ATT&amp;CK Mappings'!$H81))),ISNUMBER(SEARCH(IF(I$3&lt;&gt;"",I$3,"NA"),'MITRE ATT&amp;CK Mappings'!$I81))),ISNUMBER(SEARCH(IF(I$3&lt;&gt;"",I$3,"NA"),'MITRE ATT&amp;CK Mappings'!$J81))), 'MITRE ATT&amp;CK Mappings'!$B81,"")</f>
        <v/>
      </c>
      <c r="J85" s="27" t="str">
        <f>IF(OR(OR(OR(OR(OR(ISNUMBER(SEARCH(IF(J$1&lt;&gt;"",J$1,"NA"),'MITRE ATT&amp;CK Mappings'!$E81)),ISNUMBER(SEARCH(IF(J$1&lt;&gt;"",J$1,"NA"),'MITRE ATT&amp;CK Mappings'!$F81))),ISNUMBER(SEARCH(IF(J$2&lt;&gt;"",J$2,"NA"),'MITRE ATT&amp;CK Mappings'!$G81))),ISNUMBER(SEARCH(IF(J$2&lt;&gt;"",J$2,"NA"),'MITRE ATT&amp;CK Mappings'!$H81))),ISNUMBER(SEARCH(IF(J$3&lt;&gt;"",J$3,"NA"),'MITRE ATT&amp;CK Mappings'!$I81))),ISNUMBER(SEARCH(IF(J$3&lt;&gt;"",J$3,"NA"),'MITRE ATT&amp;CK Mappings'!$J81))), 'MITRE ATT&amp;CK Mappings'!$B81,"")</f>
        <v/>
      </c>
      <c r="K85" s="27" t="str">
        <f>IF(OR(OR(OR(OR(OR(ISNUMBER(SEARCH(IF(K$1&lt;&gt;"",K$1,"NA"),'MITRE ATT&amp;CK Mappings'!$E81)),ISNUMBER(SEARCH(IF(K$1&lt;&gt;"",K$1,"NA"),'MITRE ATT&amp;CK Mappings'!$F81))),ISNUMBER(SEARCH(IF(K$2&lt;&gt;"",K$2,"NA"),'MITRE ATT&amp;CK Mappings'!$G81))),ISNUMBER(SEARCH(IF(K$2&lt;&gt;"",K$2,"NA"),'MITRE ATT&amp;CK Mappings'!$H81))),ISNUMBER(SEARCH(IF(K$3&lt;&gt;"",K$3,"NA"),'MITRE ATT&amp;CK Mappings'!$I81))),ISNUMBER(SEARCH(IF(K$3&lt;&gt;"",K$3,"NA"),'MITRE ATT&amp;CK Mappings'!$J81))), 'MITRE ATT&amp;CK Mappings'!$B81,"")</f>
        <v/>
      </c>
      <c r="L85" s="27" t="str">
        <f>IF('MITRE ATT&amp;CK Mappings'!D81 &lt;&gt;"",'MITRE ATT&amp;CK Mappings'!D81,"" )</f>
        <v>Ensure Application Insights are Configured</v>
      </c>
    </row>
    <row r="86" spans="1:12" x14ac:dyDescent="0.25">
      <c r="A86" s="26" t="str">
        <f>IF(COUNTIF(B86:K86,"="&amp;'MITRE ATT&amp;CK Mappings'!B82)&gt;0,'MITRE ATT&amp;CK Mappings'!B82,"")</f>
        <v/>
      </c>
      <c r="B86" s="26" t="str">
        <f>IF(OR(OR(OR(OR(OR(ISNUMBER(SEARCH(IF(B$1&lt;&gt;"",B$1,"NA"),'MITRE ATT&amp;CK Mappings'!$E82)),ISNUMBER(SEARCH(IF(B$1&lt;&gt;"",B$1,"NA"),'MITRE ATT&amp;CK Mappings'!$F82))),ISNUMBER(SEARCH(IF(B$2&lt;&gt;"",B$2,"NA"),'MITRE ATT&amp;CK Mappings'!$G82))),ISNUMBER(SEARCH(IF(B$2&lt;&gt;"",B$2,"NA"),'MITRE ATT&amp;CK Mappings'!$H82))),ISNUMBER(SEARCH(IF(B$3&lt;&gt;"",B$3,"NA"),'MITRE ATT&amp;CK Mappings'!$I82))),ISNUMBER(SEARCH(IF(B$3&lt;&gt;"",B$3,"NA"),'MITRE ATT&amp;CK Mappings'!$J82))), 'MITRE ATT&amp;CK Mappings'!$B82,"")</f>
        <v/>
      </c>
      <c r="C86" s="26" t="str">
        <f>IF(OR(OR(OR(OR(OR(ISNUMBER(SEARCH(IF(C$1&lt;&gt;"",C$1,"NA"),'MITRE ATT&amp;CK Mappings'!$E82)),ISNUMBER(SEARCH(IF(C$1&lt;&gt;"",C$1,"NA"),'MITRE ATT&amp;CK Mappings'!$F82))),ISNUMBER(SEARCH(IF(C$2&lt;&gt;"",C$2,"NA"),'MITRE ATT&amp;CK Mappings'!$G82))),ISNUMBER(SEARCH(IF(C$2&lt;&gt;"",C$2,"NA"),'MITRE ATT&amp;CK Mappings'!$H82))),ISNUMBER(SEARCH(IF(C$3&lt;&gt;"",C$3,"NA"),'MITRE ATT&amp;CK Mappings'!$I82))),ISNUMBER(SEARCH(IF(C$3&lt;&gt;"",C$3,"NA"),'MITRE ATT&amp;CK Mappings'!$J82))), 'MITRE ATT&amp;CK Mappings'!$B82,"")</f>
        <v/>
      </c>
      <c r="D86" s="26" t="str">
        <f>IF(OR(OR(OR(OR(OR(ISNUMBER(SEARCH(IF(D$1&lt;&gt;"",D$1,"NA"),'MITRE ATT&amp;CK Mappings'!$E82)),ISNUMBER(SEARCH(IF(D$1&lt;&gt;"",D$1,"NA"),'MITRE ATT&amp;CK Mappings'!$F82))),ISNUMBER(SEARCH(IF(D$2&lt;&gt;"",D$2,"NA"),'MITRE ATT&amp;CK Mappings'!$G82))),ISNUMBER(SEARCH(IF(D$2&lt;&gt;"",D$2,"NA"),'MITRE ATT&amp;CK Mappings'!$H82))),ISNUMBER(SEARCH(IF(D$3&lt;&gt;"",D$3,"NA"),'MITRE ATT&amp;CK Mappings'!$I82))),ISNUMBER(SEARCH(IF(D$3&lt;&gt;"",D$3,"NA"),'MITRE ATT&amp;CK Mappings'!$J82))), 'MITRE ATT&amp;CK Mappings'!$B82,"")</f>
        <v/>
      </c>
      <c r="E86" s="26" t="str">
        <f>IF(OR(OR(OR(OR(OR(ISNUMBER(SEARCH(IF(E$1&lt;&gt;"",E$1,"NA"),'MITRE ATT&amp;CK Mappings'!$E82)),ISNUMBER(SEARCH(IF(E$1&lt;&gt;"",E$1,"NA"),'MITRE ATT&amp;CK Mappings'!$F82))),ISNUMBER(SEARCH(IF(E$2&lt;&gt;"",E$2,"NA"),'MITRE ATT&amp;CK Mappings'!$G82))),ISNUMBER(SEARCH(IF(E$2&lt;&gt;"",E$2,"NA"),'MITRE ATT&amp;CK Mappings'!$H82))),ISNUMBER(SEARCH(IF(E$3&lt;&gt;"",E$3,"NA"),'MITRE ATT&amp;CK Mappings'!$I82))),ISNUMBER(SEARCH(IF(E$3&lt;&gt;"",E$3,"NA"),'MITRE ATT&amp;CK Mappings'!$J82))), 'MITRE ATT&amp;CK Mappings'!$B82,"")</f>
        <v/>
      </c>
      <c r="F86" s="26" t="str">
        <f>IF(OR(OR(OR(OR(OR(ISNUMBER(SEARCH(IF(F$1&lt;&gt;"",F$1,"NA"),'MITRE ATT&amp;CK Mappings'!$E82)),ISNUMBER(SEARCH(IF(F$1&lt;&gt;"",F$1,"NA"),'MITRE ATT&amp;CK Mappings'!$F82))),ISNUMBER(SEARCH(IF(F$2&lt;&gt;"",F$2,"NA"),'MITRE ATT&amp;CK Mappings'!$G82))),ISNUMBER(SEARCH(IF(F$2&lt;&gt;"",F$2,"NA"),'MITRE ATT&amp;CK Mappings'!$H82))),ISNUMBER(SEARCH(IF(F$3&lt;&gt;"",F$3,"NA"),'MITRE ATT&amp;CK Mappings'!$I82))),ISNUMBER(SEARCH(IF(F$3&lt;&gt;"",F$3,"NA"),'MITRE ATT&amp;CK Mappings'!$J82))), 'MITRE ATT&amp;CK Mappings'!$B82,"")</f>
        <v/>
      </c>
      <c r="G86" s="26" t="str">
        <f>IF(OR(OR(OR(OR(OR(ISNUMBER(SEARCH(IF(G$1&lt;&gt;"",G$1,"NA"),'MITRE ATT&amp;CK Mappings'!$E82)),ISNUMBER(SEARCH(IF(G$1&lt;&gt;"",G$1,"NA"),'MITRE ATT&amp;CK Mappings'!$F82))),ISNUMBER(SEARCH(IF(G$2&lt;&gt;"",G$2,"NA"),'MITRE ATT&amp;CK Mappings'!$G82))),ISNUMBER(SEARCH(IF(G$2&lt;&gt;"",G$2,"NA"),'MITRE ATT&amp;CK Mappings'!$H82))),ISNUMBER(SEARCH(IF(G$3&lt;&gt;"",G$3,"NA"),'MITRE ATT&amp;CK Mappings'!$I82))),ISNUMBER(SEARCH(IF(G$3&lt;&gt;"",G$3,"NA"),'MITRE ATT&amp;CK Mappings'!$J82))), 'MITRE ATT&amp;CK Mappings'!$B82,"")</f>
        <v/>
      </c>
      <c r="H86" s="26" t="str">
        <f>IF(OR(OR(OR(OR(OR(ISNUMBER(SEARCH(IF(H$1&lt;&gt;"",H$1,"NA"),'MITRE ATT&amp;CK Mappings'!$E82)),ISNUMBER(SEARCH(IF(H$1&lt;&gt;"",H$1,"NA"),'MITRE ATT&amp;CK Mappings'!$F82))),ISNUMBER(SEARCH(IF(H$2&lt;&gt;"",H$2,"NA"),'MITRE ATT&amp;CK Mappings'!$G82))),ISNUMBER(SEARCH(IF(H$2&lt;&gt;"",H$2,"NA"),'MITRE ATT&amp;CK Mappings'!$H82))),ISNUMBER(SEARCH(IF(H$3&lt;&gt;"",H$3,"NA"),'MITRE ATT&amp;CK Mappings'!$I82))),ISNUMBER(SEARCH(IF(H$3&lt;&gt;"",H$3,"NA"),'MITRE ATT&amp;CK Mappings'!$J82))), 'MITRE ATT&amp;CK Mappings'!$B82,"")</f>
        <v/>
      </c>
      <c r="I86" s="26" t="str">
        <f>IF(OR(OR(OR(OR(OR(ISNUMBER(SEARCH(IF(I$1&lt;&gt;"",I$1,"NA"),'MITRE ATT&amp;CK Mappings'!$E82)),ISNUMBER(SEARCH(IF(I$1&lt;&gt;"",I$1,"NA"),'MITRE ATT&amp;CK Mappings'!$F82))),ISNUMBER(SEARCH(IF(I$2&lt;&gt;"",I$2,"NA"),'MITRE ATT&amp;CK Mappings'!$G82))),ISNUMBER(SEARCH(IF(I$2&lt;&gt;"",I$2,"NA"),'MITRE ATT&amp;CK Mappings'!$H82))),ISNUMBER(SEARCH(IF(I$3&lt;&gt;"",I$3,"NA"),'MITRE ATT&amp;CK Mappings'!$I82))),ISNUMBER(SEARCH(IF(I$3&lt;&gt;"",I$3,"NA"),'MITRE ATT&amp;CK Mappings'!$J82))), 'MITRE ATT&amp;CK Mappings'!$B82,"")</f>
        <v/>
      </c>
      <c r="J86" s="26" t="str">
        <f>IF(OR(OR(OR(OR(OR(ISNUMBER(SEARCH(IF(J$1&lt;&gt;"",J$1,"NA"),'MITRE ATT&amp;CK Mappings'!$E82)),ISNUMBER(SEARCH(IF(J$1&lt;&gt;"",J$1,"NA"),'MITRE ATT&amp;CK Mappings'!$F82))),ISNUMBER(SEARCH(IF(J$2&lt;&gt;"",J$2,"NA"),'MITRE ATT&amp;CK Mappings'!$G82))),ISNUMBER(SEARCH(IF(J$2&lt;&gt;"",J$2,"NA"),'MITRE ATT&amp;CK Mappings'!$H82))),ISNUMBER(SEARCH(IF(J$3&lt;&gt;"",J$3,"NA"),'MITRE ATT&amp;CK Mappings'!$I82))),ISNUMBER(SEARCH(IF(J$3&lt;&gt;"",J$3,"NA"),'MITRE ATT&amp;CK Mappings'!$J82))), 'MITRE ATT&amp;CK Mappings'!$B82,"")</f>
        <v/>
      </c>
      <c r="K86" s="26" t="str">
        <f>IF(OR(OR(OR(OR(OR(ISNUMBER(SEARCH(IF(K$1&lt;&gt;"",K$1,"NA"),'MITRE ATT&amp;CK Mappings'!$E82)),ISNUMBER(SEARCH(IF(K$1&lt;&gt;"",K$1,"NA"),'MITRE ATT&amp;CK Mappings'!$F82))),ISNUMBER(SEARCH(IF(K$2&lt;&gt;"",K$2,"NA"),'MITRE ATT&amp;CK Mappings'!$G82))),ISNUMBER(SEARCH(IF(K$2&lt;&gt;"",K$2,"NA"),'MITRE ATT&amp;CK Mappings'!$H82))),ISNUMBER(SEARCH(IF(K$3&lt;&gt;"",K$3,"NA"),'MITRE ATT&amp;CK Mappings'!$I82))),ISNUMBER(SEARCH(IF(K$3&lt;&gt;"",K$3,"NA"),'MITRE ATT&amp;CK Mappings'!$J82))), 'MITRE ATT&amp;CK Mappings'!$B82,"")</f>
        <v/>
      </c>
      <c r="L86" s="26" t="str">
        <f>IF('MITRE ATT&amp;CK Mappings'!D82 &lt;&gt;"",'MITRE ATT&amp;CK Mappings'!D82,"" )</f>
        <v>Ensure that RDP access from the Internet is evaluated and restricted</v>
      </c>
    </row>
    <row r="87" spans="1:12" x14ac:dyDescent="0.25">
      <c r="A87" s="27" t="str">
        <f>IF(COUNTIF(B87:K87,"="&amp;'MITRE ATT&amp;CK Mappings'!B83)&gt;0,'MITRE ATT&amp;CK Mappings'!B83,"")</f>
        <v/>
      </c>
      <c r="B87" s="27" t="str">
        <f>IF(OR(OR(OR(OR(OR(ISNUMBER(SEARCH(IF(B$1&lt;&gt;"",B$1,"NA"),'MITRE ATT&amp;CK Mappings'!$E83)),ISNUMBER(SEARCH(IF(B$1&lt;&gt;"",B$1,"NA"),'MITRE ATT&amp;CK Mappings'!$F83))),ISNUMBER(SEARCH(IF(B$2&lt;&gt;"",B$2,"NA"),'MITRE ATT&amp;CK Mappings'!$G83))),ISNUMBER(SEARCH(IF(B$2&lt;&gt;"",B$2,"NA"),'MITRE ATT&amp;CK Mappings'!$H83))),ISNUMBER(SEARCH(IF(B$3&lt;&gt;"",B$3,"NA"),'MITRE ATT&amp;CK Mappings'!$I83))),ISNUMBER(SEARCH(IF(B$3&lt;&gt;"",B$3,"NA"),'MITRE ATT&amp;CK Mappings'!$J83))), 'MITRE ATT&amp;CK Mappings'!$B83,"")</f>
        <v/>
      </c>
      <c r="C87" s="27" t="str">
        <f>IF(OR(OR(OR(OR(OR(ISNUMBER(SEARCH(IF(C$1&lt;&gt;"",C$1,"NA"),'MITRE ATT&amp;CK Mappings'!$E83)),ISNUMBER(SEARCH(IF(C$1&lt;&gt;"",C$1,"NA"),'MITRE ATT&amp;CK Mappings'!$F83))),ISNUMBER(SEARCH(IF(C$2&lt;&gt;"",C$2,"NA"),'MITRE ATT&amp;CK Mappings'!$G83))),ISNUMBER(SEARCH(IF(C$2&lt;&gt;"",C$2,"NA"),'MITRE ATT&amp;CK Mappings'!$H83))),ISNUMBER(SEARCH(IF(C$3&lt;&gt;"",C$3,"NA"),'MITRE ATT&amp;CK Mappings'!$I83))),ISNUMBER(SEARCH(IF(C$3&lt;&gt;"",C$3,"NA"),'MITRE ATT&amp;CK Mappings'!$J83))), 'MITRE ATT&amp;CK Mappings'!$B83,"")</f>
        <v/>
      </c>
      <c r="D87" s="27" t="str">
        <f>IF(OR(OR(OR(OR(OR(ISNUMBER(SEARCH(IF(D$1&lt;&gt;"",D$1,"NA"),'MITRE ATT&amp;CK Mappings'!$E83)),ISNUMBER(SEARCH(IF(D$1&lt;&gt;"",D$1,"NA"),'MITRE ATT&amp;CK Mappings'!$F83))),ISNUMBER(SEARCH(IF(D$2&lt;&gt;"",D$2,"NA"),'MITRE ATT&amp;CK Mappings'!$G83))),ISNUMBER(SEARCH(IF(D$2&lt;&gt;"",D$2,"NA"),'MITRE ATT&amp;CK Mappings'!$H83))),ISNUMBER(SEARCH(IF(D$3&lt;&gt;"",D$3,"NA"),'MITRE ATT&amp;CK Mappings'!$I83))),ISNUMBER(SEARCH(IF(D$3&lt;&gt;"",D$3,"NA"),'MITRE ATT&amp;CK Mappings'!$J83))), 'MITRE ATT&amp;CK Mappings'!$B83,"")</f>
        <v/>
      </c>
      <c r="E87" s="27" t="str">
        <f>IF(OR(OR(OR(OR(OR(ISNUMBER(SEARCH(IF(E$1&lt;&gt;"",E$1,"NA"),'MITRE ATT&amp;CK Mappings'!$E83)),ISNUMBER(SEARCH(IF(E$1&lt;&gt;"",E$1,"NA"),'MITRE ATT&amp;CK Mappings'!$F83))),ISNUMBER(SEARCH(IF(E$2&lt;&gt;"",E$2,"NA"),'MITRE ATT&amp;CK Mappings'!$G83))),ISNUMBER(SEARCH(IF(E$2&lt;&gt;"",E$2,"NA"),'MITRE ATT&amp;CK Mappings'!$H83))),ISNUMBER(SEARCH(IF(E$3&lt;&gt;"",E$3,"NA"),'MITRE ATT&amp;CK Mappings'!$I83))),ISNUMBER(SEARCH(IF(E$3&lt;&gt;"",E$3,"NA"),'MITRE ATT&amp;CK Mappings'!$J83))), 'MITRE ATT&amp;CK Mappings'!$B83,"")</f>
        <v/>
      </c>
      <c r="F87" s="27" t="str">
        <f>IF(OR(OR(OR(OR(OR(ISNUMBER(SEARCH(IF(F$1&lt;&gt;"",F$1,"NA"),'MITRE ATT&amp;CK Mappings'!$E83)),ISNUMBER(SEARCH(IF(F$1&lt;&gt;"",F$1,"NA"),'MITRE ATT&amp;CK Mappings'!$F83))),ISNUMBER(SEARCH(IF(F$2&lt;&gt;"",F$2,"NA"),'MITRE ATT&amp;CK Mappings'!$G83))),ISNUMBER(SEARCH(IF(F$2&lt;&gt;"",F$2,"NA"),'MITRE ATT&amp;CK Mappings'!$H83))),ISNUMBER(SEARCH(IF(F$3&lt;&gt;"",F$3,"NA"),'MITRE ATT&amp;CK Mappings'!$I83))),ISNUMBER(SEARCH(IF(F$3&lt;&gt;"",F$3,"NA"),'MITRE ATT&amp;CK Mappings'!$J83))), 'MITRE ATT&amp;CK Mappings'!$B83,"")</f>
        <v/>
      </c>
      <c r="G87" s="27" t="str">
        <f>IF(OR(OR(OR(OR(OR(ISNUMBER(SEARCH(IF(G$1&lt;&gt;"",G$1,"NA"),'MITRE ATT&amp;CK Mappings'!$E83)),ISNUMBER(SEARCH(IF(G$1&lt;&gt;"",G$1,"NA"),'MITRE ATT&amp;CK Mappings'!$F83))),ISNUMBER(SEARCH(IF(G$2&lt;&gt;"",G$2,"NA"),'MITRE ATT&amp;CK Mappings'!$G83))),ISNUMBER(SEARCH(IF(G$2&lt;&gt;"",G$2,"NA"),'MITRE ATT&amp;CK Mappings'!$H83))),ISNUMBER(SEARCH(IF(G$3&lt;&gt;"",G$3,"NA"),'MITRE ATT&amp;CK Mappings'!$I83))),ISNUMBER(SEARCH(IF(G$3&lt;&gt;"",G$3,"NA"),'MITRE ATT&amp;CK Mappings'!$J83))), 'MITRE ATT&amp;CK Mappings'!$B83,"")</f>
        <v/>
      </c>
      <c r="H87" s="27" t="str">
        <f>IF(OR(OR(OR(OR(OR(ISNUMBER(SEARCH(IF(H$1&lt;&gt;"",H$1,"NA"),'MITRE ATT&amp;CK Mappings'!$E83)),ISNUMBER(SEARCH(IF(H$1&lt;&gt;"",H$1,"NA"),'MITRE ATT&amp;CK Mappings'!$F83))),ISNUMBER(SEARCH(IF(H$2&lt;&gt;"",H$2,"NA"),'MITRE ATT&amp;CK Mappings'!$G83))),ISNUMBER(SEARCH(IF(H$2&lt;&gt;"",H$2,"NA"),'MITRE ATT&amp;CK Mappings'!$H83))),ISNUMBER(SEARCH(IF(H$3&lt;&gt;"",H$3,"NA"),'MITRE ATT&amp;CK Mappings'!$I83))),ISNUMBER(SEARCH(IF(H$3&lt;&gt;"",H$3,"NA"),'MITRE ATT&amp;CK Mappings'!$J83))), 'MITRE ATT&amp;CK Mappings'!$B83,"")</f>
        <v/>
      </c>
      <c r="I87" s="27" t="str">
        <f>IF(OR(OR(OR(OR(OR(ISNUMBER(SEARCH(IF(I$1&lt;&gt;"",I$1,"NA"),'MITRE ATT&amp;CK Mappings'!$E83)),ISNUMBER(SEARCH(IF(I$1&lt;&gt;"",I$1,"NA"),'MITRE ATT&amp;CK Mappings'!$F83))),ISNUMBER(SEARCH(IF(I$2&lt;&gt;"",I$2,"NA"),'MITRE ATT&amp;CK Mappings'!$G83))),ISNUMBER(SEARCH(IF(I$2&lt;&gt;"",I$2,"NA"),'MITRE ATT&amp;CK Mappings'!$H83))),ISNUMBER(SEARCH(IF(I$3&lt;&gt;"",I$3,"NA"),'MITRE ATT&amp;CK Mappings'!$I83))),ISNUMBER(SEARCH(IF(I$3&lt;&gt;"",I$3,"NA"),'MITRE ATT&amp;CK Mappings'!$J83))), 'MITRE ATT&amp;CK Mappings'!$B83,"")</f>
        <v/>
      </c>
      <c r="J87" s="27" t="str">
        <f>IF(OR(OR(OR(OR(OR(ISNUMBER(SEARCH(IF(J$1&lt;&gt;"",J$1,"NA"),'MITRE ATT&amp;CK Mappings'!$E83)),ISNUMBER(SEARCH(IF(J$1&lt;&gt;"",J$1,"NA"),'MITRE ATT&amp;CK Mappings'!$F83))),ISNUMBER(SEARCH(IF(J$2&lt;&gt;"",J$2,"NA"),'MITRE ATT&amp;CK Mappings'!$G83))),ISNUMBER(SEARCH(IF(J$2&lt;&gt;"",J$2,"NA"),'MITRE ATT&amp;CK Mappings'!$H83))),ISNUMBER(SEARCH(IF(J$3&lt;&gt;"",J$3,"NA"),'MITRE ATT&amp;CK Mappings'!$I83))),ISNUMBER(SEARCH(IF(J$3&lt;&gt;"",J$3,"NA"),'MITRE ATT&amp;CK Mappings'!$J83))), 'MITRE ATT&amp;CK Mappings'!$B83,"")</f>
        <v/>
      </c>
      <c r="K87" s="27" t="str">
        <f>IF(OR(OR(OR(OR(OR(ISNUMBER(SEARCH(IF(K$1&lt;&gt;"",K$1,"NA"),'MITRE ATT&amp;CK Mappings'!$E83)),ISNUMBER(SEARCH(IF(K$1&lt;&gt;"",K$1,"NA"),'MITRE ATT&amp;CK Mappings'!$F83))),ISNUMBER(SEARCH(IF(K$2&lt;&gt;"",K$2,"NA"),'MITRE ATT&amp;CK Mappings'!$G83))),ISNUMBER(SEARCH(IF(K$2&lt;&gt;"",K$2,"NA"),'MITRE ATT&amp;CK Mappings'!$H83))),ISNUMBER(SEARCH(IF(K$3&lt;&gt;"",K$3,"NA"),'MITRE ATT&amp;CK Mappings'!$I83))),ISNUMBER(SEARCH(IF(K$3&lt;&gt;"",K$3,"NA"),'MITRE ATT&amp;CK Mappings'!$J83))), 'MITRE ATT&amp;CK Mappings'!$B83,"")</f>
        <v/>
      </c>
      <c r="L87" s="27" t="str">
        <f>IF('MITRE ATT&amp;CK Mappings'!D83 &lt;&gt;"",'MITRE ATT&amp;CK Mappings'!D83,"" )</f>
        <v>Ensure that SSH access from the Internet is evaluated and restricted</v>
      </c>
    </row>
    <row r="88" spans="1:12" x14ac:dyDescent="0.25">
      <c r="A88" s="26" t="str">
        <f>IF(COUNTIF(B88:K88,"="&amp;'MITRE ATT&amp;CK Mappings'!B84)&gt;0,'MITRE ATT&amp;CK Mappings'!B84,"")</f>
        <v/>
      </c>
      <c r="B88" s="26" t="str">
        <f>IF(OR(OR(OR(OR(OR(ISNUMBER(SEARCH(IF(B$1&lt;&gt;"",B$1,"NA"),'MITRE ATT&amp;CK Mappings'!$E84)),ISNUMBER(SEARCH(IF(B$1&lt;&gt;"",B$1,"NA"),'MITRE ATT&amp;CK Mappings'!$F84))),ISNUMBER(SEARCH(IF(B$2&lt;&gt;"",B$2,"NA"),'MITRE ATT&amp;CK Mappings'!$G84))),ISNUMBER(SEARCH(IF(B$2&lt;&gt;"",B$2,"NA"),'MITRE ATT&amp;CK Mappings'!$H84))),ISNUMBER(SEARCH(IF(B$3&lt;&gt;"",B$3,"NA"),'MITRE ATT&amp;CK Mappings'!$I84))),ISNUMBER(SEARCH(IF(B$3&lt;&gt;"",B$3,"NA"),'MITRE ATT&amp;CK Mappings'!$J84))), 'MITRE ATT&amp;CK Mappings'!$B84,"")</f>
        <v/>
      </c>
      <c r="C88" s="26" t="str">
        <f>IF(OR(OR(OR(OR(OR(ISNUMBER(SEARCH(IF(C$1&lt;&gt;"",C$1,"NA"),'MITRE ATT&amp;CK Mappings'!$E84)),ISNUMBER(SEARCH(IF(C$1&lt;&gt;"",C$1,"NA"),'MITRE ATT&amp;CK Mappings'!$F84))),ISNUMBER(SEARCH(IF(C$2&lt;&gt;"",C$2,"NA"),'MITRE ATT&amp;CK Mappings'!$G84))),ISNUMBER(SEARCH(IF(C$2&lt;&gt;"",C$2,"NA"),'MITRE ATT&amp;CK Mappings'!$H84))),ISNUMBER(SEARCH(IF(C$3&lt;&gt;"",C$3,"NA"),'MITRE ATT&amp;CK Mappings'!$I84))),ISNUMBER(SEARCH(IF(C$3&lt;&gt;"",C$3,"NA"),'MITRE ATT&amp;CK Mappings'!$J84))), 'MITRE ATT&amp;CK Mappings'!$B84,"")</f>
        <v/>
      </c>
      <c r="D88" s="26" t="str">
        <f>IF(OR(OR(OR(OR(OR(ISNUMBER(SEARCH(IF(D$1&lt;&gt;"",D$1,"NA"),'MITRE ATT&amp;CK Mappings'!$E84)),ISNUMBER(SEARCH(IF(D$1&lt;&gt;"",D$1,"NA"),'MITRE ATT&amp;CK Mappings'!$F84))),ISNUMBER(SEARCH(IF(D$2&lt;&gt;"",D$2,"NA"),'MITRE ATT&amp;CK Mappings'!$G84))),ISNUMBER(SEARCH(IF(D$2&lt;&gt;"",D$2,"NA"),'MITRE ATT&amp;CK Mappings'!$H84))),ISNUMBER(SEARCH(IF(D$3&lt;&gt;"",D$3,"NA"),'MITRE ATT&amp;CK Mappings'!$I84))),ISNUMBER(SEARCH(IF(D$3&lt;&gt;"",D$3,"NA"),'MITRE ATT&amp;CK Mappings'!$J84))), 'MITRE ATT&amp;CK Mappings'!$B84,"")</f>
        <v/>
      </c>
      <c r="E88" s="26" t="str">
        <f>IF(OR(OR(OR(OR(OR(ISNUMBER(SEARCH(IF(E$1&lt;&gt;"",E$1,"NA"),'MITRE ATT&amp;CK Mappings'!$E84)),ISNUMBER(SEARCH(IF(E$1&lt;&gt;"",E$1,"NA"),'MITRE ATT&amp;CK Mappings'!$F84))),ISNUMBER(SEARCH(IF(E$2&lt;&gt;"",E$2,"NA"),'MITRE ATT&amp;CK Mappings'!$G84))),ISNUMBER(SEARCH(IF(E$2&lt;&gt;"",E$2,"NA"),'MITRE ATT&amp;CK Mappings'!$H84))),ISNUMBER(SEARCH(IF(E$3&lt;&gt;"",E$3,"NA"),'MITRE ATT&amp;CK Mappings'!$I84))),ISNUMBER(SEARCH(IF(E$3&lt;&gt;"",E$3,"NA"),'MITRE ATT&amp;CK Mappings'!$J84))), 'MITRE ATT&amp;CK Mappings'!$B84,"")</f>
        <v/>
      </c>
      <c r="F88" s="26" t="str">
        <f>IF(OR(OR(OR(OR(OR(ISNUMBER(SEARCH(IF(F$1&lt;&gt;"",F$1,"NA"),'MITRE ATT&amp;CK Mappings'!$E84)),ISNUMBER(SEARCH(IF(F$1&lt;&gt;"",F$1,"NA"),'MITRE ATT&amp;CK Mappings'!$F84))),ISNUMBER(SEARCH(IF(F$2&lt;&gt;"",F$2,"NA"),'MITRE ATT&amp;CK Mappings'!$G84))),ISNUMBER(SEARCH(IF(F$2&lt;&gt;"",F$2,"NA"),'MITRE ATT&amp;CK Mappings'!$H84))),ISNUMBER(SEARCH(IF(F$3&lt;&gt;"",F$3,"NA"),'MITRE ATT&amp;CK Mappings'!$I84))),ISNUMBER(SEARCH(IF(F$3&lt;&gt;"",F$3,"NA"),'MITRE ATT&amp;CK Mappings'!$J84))), 'MITRE ATT&amp;CK Mappings'!$B84,"")</f>
        <v/>
      </c>
      <c r="G88" s="26" t="str">
        <f>IF(OR(OR(OR(OR(OR(ISNUMBER(SEARCH(IF(G$1&lt;&gt;"",G$1,"NA"),'MITRE ATT&amp;CK Mappings'!$E84)),ISNUMBER(SEARCH(IF(G$1&lt;&gt;"",G$1,"NA"),'MITRE ATT&amp;CK Mappings'!$F84))),ISNUMBER(SEARCH(IF(G$2&lt;&gt;"",G$2,"NA"),'MITRE ATT&amp;CK Mappings'!$G84))),ISNUMBER(SEARCH(IF(G$2&lt;&gt;"",G$2,"NA"),'MITRE ATT&amp;CK Mappings'!$H84))),ISNUMBER(SEARCH(IF(G$3&lt;&gt;"",G$3,"NA"),'MITRE ATT&amp;CK Mappings'!$I84))),ISNUMBER(SEARCH(IF(G$3&lt;&gt;"",G$3,"NA"),'MITRE ATT&amp;CK Mappings'!$J84))), 'MITRE ATT&amp;CK Mappings'!$B84,"")</f>
        <v/>
      </c>
      <c r="H88" s="26" t="str">
        <f>IF(OR(OR(OR(OR(OR(ISNUMBER(SEARCH(IF(H$1&lt;&gt;"",H$1,"NA"),'MITRE ATT&amp;CK Mappings'!$E84)),ISNUMBER(SEARCH(IF(H$1&lt;&gt;"",H$1,"NA"),'MITRE ATT&amp;CK Mappings'!$F84))),ISNUMBER(SEARCH(IF(H$2&lt;&gt;"",H$2,"NA"),'MITRE ATT&amp;CK Mappings'!$G84))),ISNUMBER(SEARCH(IF(H$2&lt;&gt;"",H$2,"NA"),'MITRE ATT&amp;CK Mappings'!$H84))),ISNUMBER(SEARCH(IF(H$3&lt;&gt;"",H$3,"NA"),'MITRE ATT&amp;CK Mappings'!$I84))),ISNUMBER(SEARCH(IF(H$3&lt;&gt;"",H$3,"NA"),'MITRE ATT&amp;CK Mappings'!$J84))), 'MITRE ATT&amp;CK Mappings'!$B84,"")</f>
        <v/>
      </c>
      <c r="I88" s="26" t="str">
        <f>IF(OR(OR(OR(OR(OR(ISNUMBER(SEARCH(IF(I$1&lt;&gt;"",I$1,"NA"),'MITRE ATT&amp;CK Mappings'!$E84)),ISNUMBER(SEARCH(IF(I$1&lt;&gt;"",I$1,"NA"),'MITRE ATT&amp;CK Mappings'!$F84))),ISNUMBER(SEARCH(IF(I$2&lt;&gt;"",I$2,"NA"),'MITRE ATT&amp;CK Mappings'!$G84))),ISNUMBER(SEARCH(IF(I$2&lt;&gt;"",I$2,"NA"),'MITRE ATT&amp;CK Mappings'!$H84))),ISNUMBER(SEARCH(IF(I$3&lt;&gt;"",I$3,"NA"),'MITRE ATT&amp;CK Mappings'!$I84))),ISNUMBER(SEARCH(IF(I$3&lt;&gt;"",I$3,"NA"),'MITRE ATT&amp;CK Mappings'!$J84))), 'MITRE ATT&amp;CK Mappings'!$B84,"")</f>
        <v/>
      </c>
      <c r="J88" s="26" t="str">
        <f>IF(OR(OR(OR(OR(OR(ISNUMBER(SEARCH(IF(J$1&lt;&gt;"",J$1,"NA"),'MITRE ATT&amp;CK Mappings'!$E84)),ISNUMBER(SEARCH(IF(J$1&lt;&gt;"",J$1,"NA"),'MITRE ATT&amp;CK Mappings'!$F84))),ISNUMBER(SEARCH(IF(J$2&lt;&gt;"",J$2,"NA"),'MITRE ATT&amp;CK Mappings'!$G84))),ISNUMBER(SEARCH(IF(J$2&lt;&gt;"",J$2,"NA"),'MITRE ATT&amp;CK Mappings'!$H84))),ISNUMBER(SEARCH(IF(J$3&lt;&gt;"",J$3,"NA"),'MITRE ATT&amp;CK Mappings'!$I84))),ISNUMBER(SEARCH(IF(J$3&lt;&gt;"",J$3,"NA"),'MITRE ATT&amp;CK Mappings'!$J84))), 'MITRE ATT&amp;CK Mappings'!$B84,"")</f>
        <v/>
      </c>
      <c r="K88" s="26" t="str">
        <f>IF(OR(OR(OR(OR(OR(ISNUMBER(SEARCH(IF(K$1&lt;&gt;"",K$1,"NA"),'MITRE ATT&amp;CK Mappings'!$E84)),ISNUMBER(SEARCH(IF(K$1&lt;&gt;"",K$1,"NA"),'MITRE ATT&amp;CK Mappings'!$F84))),ISNUMBER(SEARCH(IF(K$2&lt;&gt;"",K$2,"NA"),'MITRE ATT&amp;CK Mappings'!$G84))),ISNUMBER(SEARCH(IF(K$2&lt;&gt;"",K$2,"NA"),'MITRE ATT&amp;CK Mappings'!$H84))),ISNUMBER(SEARCH(IF(K$3&lt;&gt;"",K$3,"NA"),'MITRE ATT&amp;CK Mappings'!$I84))),ISNUMBER(SEARCH(IF(K$3&lt;&gt;"",K$3,"NA"),'MITRE ATT&amp;CK Mappings'!$J84))), 'MITRE ATT&amp;CK Mappings'!$B84,"")</f>
        <v/>
      </c>
      <c r="L88" s="26" t="str">
        <f>IF('MITRE ATT&amp;CK Mappings'!D84 &lt;&gt;"",'MITRE ATT&amp;CK Mappings'!D84,"" )</f>
        <v>Ensure that UDP access from the Internet is evaluated and restricted</v>
      </c>
    </row>
    <row r="89" spans="1:12" x14ac:dyDescent="0.25">
      <c r="A89" s="27" t="str">
        <f>IF(COUNTIF(B89:K89,"="&amp;'MITRE ATT&amp;CK Mappings'!B85)&gt;0,'MITRE ATT&amp;CK Mappings'!B85,"")</f>
        <v/>
      </c>
      <c r="B89" s="27" t="str">
        <f>IF(OR(OR(OR(OR(OR(ISNUMBER(SEARCH(IF(B$1&lt;&gt;"",B$1,"NA"),'MITRE ATT&amp;CK Mappings'!$E85)),ISNUMBER(SEARCH(IF(B$1&lt;&gt;"",B$1,"NA"),'MITRE ATT&amp;CK Mappings'!$F85))),ISNUMBER(SEARCH(IF(B$2&lt;&gt;"",B$2,"NA"),'MITRE ATT&amp;CK Mappings'!$G85))),ISNUMBER(SEARCH(IF(B$2&lt;&gt;"",B$2,"NA"),'MITRE ATT&amp;CK Mappings'!$H85))),ISNUMBER(SEARCH(IF(B$3&lt;&gt;"",B$3,"NA"),'MITRE ATT&amp;CK Mappings'!$I85))),ISNUMBER(SEARCH(IF(B$3&lt;&gt;"",B$3,"NA"),'MITRE ATT&amp;CK Mappings'!$J85))), 'MITRE ATT&amp;CK Mappings'!$B85,"")</f>
        <v/>
      </c>
      <c r="C89" s="27" t="str">
        <f>IF(OR(OR(OR(OR(OR(ISNUMBER(SEARCH(IF(C$1&lt;&gt;"",C$1,"NA"),'MITRE ATT&amp;CK Mappings'!$E85)),ISNUMBER(SEARCH(IF(C$1&lt;&gt;"",C$1,"NA"),'MITRE ATT&amp;CK Mappings'!$F85))),ISNUMBER(SEARCH(IF(C$2&lt;&gt;"",C$2,"NA"),'MITRE ATT&amp;CK Mappings'!$G85))),ISNUMBER(SEARCH(IF(C$2&lt;&gt;"",C$2,"NA"),'MITRE ATT&amp;CK Mappings'!$H85))),ISNUMBER(SEARCH(IF(C$3&lt;&gt;"",C$3,"NA"),'MITRE ATT&amp;CK Mappings'!$I85))),ISNUMBER(SEARCH(IF(C$3&lt;&gt;"",C$3,"NA"),'MITRE ATT&amp;CK Mappings'!$J85))), 'MITRE ATT&amp;CK Mappings'!$B85,"")</f>
        <v/>
      </c>
      <c r="D89" s="27" t="str">
        <f>IF(OR(OR(OR(OR(OR(ISNUMBER(SEARCH(IF(D$1&lt;&gt;"",D$1,"NA"),'MITRE ATT&amp;CK Mappings'!$E85)),ISNUMBER(SEARCH(IF(D$1&lt;&gt;"",D$1,"NA"),'MITRE ATT&amp;CK Mappings'!$F85))),ISNUMBER(SEARCH(IF(D$2&lt;&gt;"",D$2,"NA"),'MITRE ATT&amp;CK Mappings'!$G85))),ISNUMBER(SEARCH(IF(D$2&lt;&gt;"",D$2,"NA"),'MITRE ATT&amp;CK Mappings'!$H85))),ISNUMBER(SEARCH(IF(D$3&lt;&gt;"",D$3,"NA"),'MITRE ATT&amp;CK Mappings'!$I85))),ISNUMBER(SEARCH(IF(D$3&lt;&gt;"",D$3,"NA"),'MITRE ATT&amp;CK Mappings'!$J85))), 'MITRE ATT&amp;CK Mappings'!$B85,"")</f>
        <v/>
      </c>
      <c r="E89" s="27" t="str">
        <f>IF(OR(OR(OR(OR(OR(ISNUMBER(SEARCH(IF(E$1&lt;&gt;"",E$1,"NA"),'MITRE ATT&amp;CK Mappings'!$E85)),ISNUMBER(SEARCH(IF(E$1&lt;&gt;"",E$1,"NA"),'MITRE ATT&amp;CK Mappings'!$F85))),ISNUMBER(SEARCH(IF(E$2&lt;&gt;"",E$2,"NA"),'MITRE ATT&amp;CK Mappings'!$G85))),ISNUMBER(SEARCH(IF(E$2&lt;&gt;"",E$2,"NA"),'MITRE ATT&amp;CK Mappings'!$H85))),ISNUMBER(SEARCH(IF(E$3&lt;&gt;"",E$3,"NA"),'MITRE ATT&amp;CK Mappings'!$I85))),ISNUMBER(SEARCH(IF(E$3&lt;&gt;"",E$3,"NA"),'MITRE ATT&amp;CK Mappings'!$J85))), 'MITRE ATT&amp;CK Mappings'!$B85,"")</f>
        <v/>
      </c>
      <c r="F89" s="27" t="str">
        <f>IF(OR(OR(OR(OR(OR(ISNUMBER(SEARCH(IF(F$1&lt;&gt;"",F$1,"NA"),'MITRE ATT&amp;CK Mappings'!$E85)),ISNUMBER(SEARCH(IF(F$1&lt;&gt;"",F$1,"NA"),'MITRE ATT&amp;CK Mappings'!$F85))),ISNUMBER(SEARCH(IF(F$2&lt;&gt;"",F$2,"NA"),'MITRE ATT&amp;CK Mappings'!$G85))),ISNUMBER(SEARCH(IF(F$2&lt;&gt;"",F$2,"NA"),'MITRE ATT&amp;CK Mappings'!$H85))),ISNUMBER(SEARCH(IF(F$3&lt;&gt;"",F$3,"NA"),'MITRE ATT&amp;CK Mappings'!$I85))),ISNUMBER(SEARCH(IF(F$3&lt;&gt;"",F$3,"NA"),'MITRE ATT&amp;CK Mappings'!$J85))), 'MITRE ATT&amp;CK Mappings'!$B85,"")</f>
        <v/>
      </c>
      <c r="G89" s="27" t="str">
        <f>IF(OR(OR(OR(OR(OR(ISNUMBER(SEARCH(IF(G$1&lt;&gt;"",G$1,"NA"),'MITRE ATT&amp;CK Mappings'!$E85)),ISNUMBER(SEARCH(IF(G$1&lt;&gt;"",G$1,"NA"),'MITRE ATT&amp;CK Mappings'!$F85))),ISNUMBER(SEARCH(IF(G$2&lt;&gt;"",G$2,"NA"),'MITRE ATT&amp;CK Mappings'!$G85))),ISNUMBER(SEARCH(IF(G$2&lt;&gt;"",G$2,"NA"),'MITRE ATT&amp;CK Mappings'!$H85))),ISNUMBER(SEARCH(IF(G$3&lt;&gt;"",G$3,"NA"),'MITRE ATT&amp;CK Mappings'!$I85))),ISNUMBER(SEARCH(IF(G$3&lt;&gt;"",G$3,"NA"),'MITRE ATT&amp;CK Mappings'!$J85))), 'MITRE ATT&amp;CK Mappings'!$B85,"")</f>
        <v/>
      </c>
      <c r="H89" s="27" t="str">
        <f>IF(OR(OR(OR(OR(OR(ISNUMBER(SEARCH(IF(H$1&lt;&gt;"",H$1,"NA"),'MITRE ATT&amp;CK Mappings'!$E85)),ISNUMBER(SEARCH(IF(H$1&lt;&gt;"",H$1,"NA"),'MITRE ATT&amp;CK Mappings'!$F85))),ISNUMBER(SEARCH(IF(H$2&lt;&gt;"",H$2,"NA"),'MITRE ATT&amp;CK Mappings'!$G85))),ISNUMBER(SEARCH(IF(H$2&lt;&gt;"",H$2,"NA"),'MITRE ATT&amp;CK Mappings'!$H85))),ISNUMBER(SEARCH(IF(H$3&lt;&gt;"",H$3,"NA"),'MITRE ATT&amp;CK Mappings'!$I85))),ISNUMBER(SEARCH(IF(H$3&lt;&gt;"",H$3,"NA"),'MITRE ATT&amp;CK Mappings'!$J85))), 'MITRE ATT&amp;CK Mappings'!$B85,"")</f>
        <v/>
      </c>
      <c r="I89" s="27" t="str">
        <f>IF(OR(OR(OR(OR(OR(ISNUMBER(SEARCH(IF(I$1&lt;&gt;"",I$1,"NA"),'MITRE ATT&amp;CK Mappings'!$E85)),ISNUMBER(SEARCH(IF(I$1&lt;&gt;"",I$1,"NA"),'MITRE ATT&amp;CK Mappings'!$F85))),ISNUMBER(SEARCH(IF(I$2&lt;&gt;"",I$2,"NA"),'MITRE ATT&amp;CK Mappings'!$G85))),ISNUMBER(SEARCH(IF(I$2&lt;&gt;"",I$2,"NA"),'MITRE ATT&amp;CK Mappings'!$H85))),ISNUMBER(SEARCH(IF(I$3&lt;&gt;"",I$3,"NA"),'MITRE ATT&amp;CK Mappings'!$I85))),ISNUMBER(SEARCH(IF(I$3&lt;&gt;"",I$3,"NA"),'MITRE ATT&amp;CK Mappings'!$J85))), 'MITRE ATT&amp;CK Mappings'!$B85,"")</f>
        <v/>
      </c>
      <c r="J89" s="27" t="str">
        <f>IF(OR(OR(OR(OR(OR(ISNUMBER(SEARCH(IF(J$1&lt;&gt;"",J$1,"NA"),'MITRE ATT&amp;CK Mappings'!$E85)),ISNUMBER(SEARCH(IF(J$1&lt;&gt;"",J$1,"NA"),'MITRE ATT&amp;CK Mappings'!$F85))),ISNUMBER(SEARCH(IF(J$2&lt;&gt;"",J$2,"NA"),'MITRE ATT&amp;CK Mappings'!$G85))),ISNUMBER(SEARCH(IF(J$2&lt;&gt;"",J$2,"NA"),'MITRE ATT&amp;CK Mappings'!$H85))),ISNUMBER(SEARCH(IF(J$3&lt;&gt;"",J$3,"NA"),'MITRE ATT&amp;CK Mappings'!$I85))),ISNUMBER(SEARCH(IF(J$3&lt;&gt;"",J$3,"NA"),'MITRE ATT&amp;CK Mappings'!$J85))), 'MITRE ATT&amp;CK Mappings'!$B85,"")</f>
        <v/>
      </c>
      <c r="K89" s="27" t="str">
        <f>IF(OR(OR(OR(OR(OR(ISNUMBER(SEARCH(IF(K$1&lt;&gt;"",K$1,"NA"),'MITRE ATT&amp;CK Mappings'!$E85)),ISNUMBER(SEARCH(IF(K$1&lt;&gt;"",K$1,"NA"),'MITRE ATT&amp;CK Mappings'!$F85))),ISNUMBER(SEARCH(IF(K$2&lt;&gt;"",K$2,"NA"),'MITRE ATT&amp;CK Mappings'!$G85))),ISNUMBER(SEARCH(IF(K$2&lt;&gt;"",K$2,"NA"),'MITRE ATT&amp;CK Mappings'!$H85))),ISNUMBER(SEARCH(IF(K$3&lt;&gt;"",K$3,"NA"),'MITRE ATT&amp;CK Mappings'!$I85))),ISNUMBER(SEARCH(IF(K$3&lt;&gt;"",K$3,"NA"),'MITRE ATT&amp;CK Mappings'!$J85))), 'MITRE ATT&amp;CK Mappings'!$B85,"")</f>
        <v/>
      </c>
      <c r="L89" s="27" t="str">
        <f>IF('MITRE ATT&amp;CK Mappings'!D85 &lt;&gt;"",'MITRE ATT&amp;CK Mappings'!D85,"" )</f>
        <v>Ensure that HTTP(S) access from the Internet is evaluated and restricted</v>
      </c>
    </row>
    <row r="90" spans="1:12" x14ac:dyDescent="0.25">
      <c r="A90" s="26" t="str">
        <f>IF(COUNTIF(B90:K90,"="&amp;'MITRE ATT&amp;CK Mappings'!B86)&gt;0,'MITRE ATT&amp;CK Mappings'!B86,"")</f>
        <v/>
      </c>
      <c r="B90" s="26" t="str">
        <f>IF(OR(OR(OR(OR(OR(ISNUMBER(SEARCH(IF(B$1&lt;&gt;"",B$1,"NA"),'MITRE ATT&amp;CK Mappings'!$E86)),ISNUMBER(SEARCH(IF(B$1&lt;&gt;"",B$1,"NA"),'MITRE ATT&amp;CK Mappings'!$F86))),ISNUMBER(SEARCH(IF(B$2&lt;&gt;"",B$2,"NA"),'MITRE ATT&amp;CK Mappings'!$G86))),ISNUMBER(SEARCH(IF(B$2&lt;&gt;"",B$2,"NA"),'MITRE ATT&amp;CK Mappings'!$H86))),ISNUMBER(SEARCH(IF(B$3&lt;&gt;"",B$3,"NA"),'MITRE ATT&amp;CK Mappings'!$I86))),ISNUMBER(SEARCH(IF(B$3&lt;&gt;"",B$3,"NA"),'MITRE ATT&amp;CK Mappings'!$J86))), 'MITRE ATT&amp;CK Mappings'!$B86,"")</f>
        <v/>
      </c>
      <c r="C90" s="26" t="str">
        <f>IF(OR(OR(OR(OR(OR(ISNUMBER(SEARCH(IF(C$1&lt;&gt;"",C$1,"NA"),'MITRE ATT&amp;CK Mappings'!$E86)),ISNUMBER(SEARCH(IF(C$1&lt;&gt;"",C$1,"NA"),'MITRE ATT&amp;CK Mappings'!$F86))),ISNUMBER(SEARCH(IF(C$2&lt;&gt;"",C$2,"NA"),'MITRE ATT&amp;CK Mappings'!$G86))),ISNUMBER(SEARCH(IF(C$2&lt;&gt;"",C$2,"NA"),'MITRE ATT&amp;CK Mappings'!$H86))),ISNUMBER(SEARCH(IF(C$3&lt;&gt;"",C$3,"NA"),'MITRE ATT&amp;CK Mappings'!$I86))),ISNUMBER(SEARCH(IF(C$3&lt;&gt;"",C$3,"NA"),'MITRE ATT&amp;CK Mappings'!$J86))), 'MITRE ATT&amp;CK Mappings'!$B86,"")</f>
        <v/>
      </c>
      <c r="D90" s="26" t="str">
        <f>IF(OR(OR(OR(OR(OR(ISNUMBER(SEARCH(IF(D$1&lt;&gt;"",D$1,"NA"),'MITRE ATT&amp;CK Mappings'!$E86)),ISNUMBER(SEARCH(IF(D$1&lt;&gt;"",D$1,"NA"),'MITRE ATT&amp;CK Mappings'!$F86))),ISNUMBER(SEARCH(IF(D$2&lt;&gt;"",D$2,"NA"),'MITRE ATT&amp;CK Mappings'!$G86))),ISNUMBER(SEARCH(IF(D$2&lt;&gt;"",D$2,"NA"),'MITRE ATT&amp;CK Mappings'!$H86))),ISNUMBER(SEARCH(IF(D$3&lt;&gt;"",D$3,"NA"),'MITRE ATT&amp;CK Mappings'!$I86))),ISNUMBER(SEARCH(IF(D$3&lt;&gt;"",D$3,"NA"),'MITRE ATT&amp;CK Mappings'!$J86))), 'MITRE ATT&amp;CK Mappings'!$B86,"")</f>
        <v/>
      </c>
      <c r="E90" s="26" t="str">
        <f>IF(OR(OR(OR(OR(OR(ISNUMBER(SEARCH(IF(E$1&lt;&gt;"",E$1,"NA"),'MITRE ATT&amp;CK Mappings'!$E86)),ISNUMBER(SEARCH(IF(E$1&lt;&gt;"",E$1,"NA"),'MITRE ATT&amp;CK Mappings'!$F86))),ISNUMBER(SEARCH(IF(E$2&lt;&gt;"",E$2,"NA"),'MITRE ATT&amp;CK Mappings'!$G86))),ISNUMBER(SEARCH(IF(E$2&lt;&gt;"",E$2,"NA"),'MITRE ATT&amp;CK Mappings'!$H86))),ISNUMBER(SEARCH(IF(E$3&lt;&gt;"",E$3,"NA"),'MITRE ATT&amp;CK Mappings'!$I86))),ISNUMBER(SEARCH(IF(E$3&lt;&gt;"",E$3,"NA"),'MITRE ATT&amp;CK Mappings'!$J86))), 'MITRE ATT&amp;CK Mappings'!$B86,"")</f>
        <v/>
      </c>
      <c r="F90" s="26" t="str">
        <f>IF(OR(OR(OR(OR(OR(ISNUMBER(SEARCH(IF(F$1&lt;&gt;"",F$1,"NA"),'MITRE ATT&amp;CK Mappings'!$E86)),ISNUMBER(SEARCH(IF(F$1&lt;&gt;"",F$1,"NA"),'MITRE ATT&amp;CK Mappings'!$F86))),ISNUMBER(SEARCH(IF(F$2&lt;&gt;"",F$2,"NA"),'MITRE ATT&amp;CK Mappings'!$G86))),ISNUMBER(SEARCH(IF(F$2&lt;&gt;"",F$2,"NA"),'MITRE ATT&amp;CK Mappings'!$H86))),ISNUMBER(SEARCH(IF(F$3&lt;&gt;"",F$3,"NA"),'MITRE ATT&amp;CK Mappings'!$I86))),ISNUMBER(SEARCH(IF(F$3&lt;&gt;"",F$3,"NA"),'MITRE ATT&amp;CK Mappings'!$J86))), 'MITRE ATT&amp;CK Mappings'!$B86,"")</f>
        <v/>
      </c>
      <c r="G90" s="26" t="str">
        <f>IF(OR(OR(OR(OR(OR(ISNUMBER(SEARCH(IF(G$1&lt;&gt;"",G$1,"NA"),'MITRE ATT&amp;CK Mappings'!$E86)),ISNUMBER(SEARCH(IF(G$1&lt;&gt;"",G$1,"NA"),'MITRE ATT&amp;CK Mappings'!$F86))),ISNUMBER(SEARCH(IF(G$2&lt;&gt;"",G$2,"NA"),'MITRE ATT&amp;CK Mappings'!$G86))),ISNUMBER(SEARCH(IF(G$2&lt;&gt;"",G$2,"NA"),'MITRE ATT&amp;CK Mappings'!$H86))),ISNUMBER(SEARCH(IF(G$3&lt;&gt;"",G$3,"NA"),'MITRE ATT&amp;CK Mappings'!$I86))),ISNUMBER(SEARCH(IF(G$3&lt;&gt;"",G$3,"NA"),'MITRE ATT&amp;CK Mappings'!$J86))), 'MITRE ATT&amp;CK Mappings'!$B86,"")</f>
        <v/>
      </c>
      <c r="H90" s="26" t="str">
        <f>IF(OR(OR(OR(OR(OR(ISNUMBER(SEARCH(IF(H$1&lt;&gt;"",H$1,"NA"),'MITRE ATT&amp;CK Mappings'!$E86)),ISNUMBER(SEARCH(IF(H$1&lt;&gt;"",H$1,"NA"),'MITRE ATT&amp;CK Mappings'!$F86))),ISNUMBER(SEARCH(IF(H$2&lt;&gt;"",H$2,"NA"),'MITRE ATT&amp;CK Mappings'!$G86))),ISNUMBER(SEARCH(IF(H$2&lt;&gt;"",H$2,"NA"),'MITRE ATT&amp;CK Mappings'!$H86))),ISNUMBER(SEARCH(IF(H$3&lt;&gt;"",H$3,"NA"),'MITRE ATT&amp;CK Mappings'!$I86))),ISNUMBER(SEARCH(IF(H$3&lt;&gt;"",H$3,"NA"),'MITRE ATT&amp;CK Mappings'!$J86))), 'MITRE ATT&amp;CK Mappings'!$B86,"")</f>
        <v/>
      </c>
      <c r="I90" s="26" t="str">
        <f>IF(OR(OR(OR(OR(OR(ISNUMBER(SEARCH(IF(I$1&lt;&gt;"",I$1,"NA"),'MITRE ATT&amp;CK Mappings'!$E86)),ISNUMBER(SEARCH(IF(I$1&lt;&gt;"",I$1,"NA"),'MITRE ATT&amp;CK Mappings'!$F86))),ISNUMBER(SEARCH(IF(I$2&lt;&gt;"",I$2,"NA"),'MITRE ATT&amp;CK Mappings'!$G86))),ISNUMBER(SEARCH(IF(I$2&lt;&gt;"",I$2,"NA"),'MITRE ATT&amp;CK Mappings'!$H86))),ISNUMBER(SEARCH(IF(I$3&lt;&gt;"",I$3,"NA"),'MITRE ATT&amp;CK Mappings'!$I86))),ISNUMBER(SEARCH(IF(I$3&lt;&gt;"",I$3,"NA"),'MITRE ATT&amp;CK Mappings'!$J86))), 'MITRE ATT&amp;CK Mappings'!$B86,"")</f>
        <v/>
      </c>
      <c r="J90" s="26" t="str">
        <f>IF(OR(OR(OR(OR(OR(ISNUMBER(SEARCH(IF(J$1&lt;&gt;"",J$1,"NA"),'MITRE ATT&amp;CK Mappings'!$E86)),ISNUMBER(SEARCH(IF(J$1&lt;&gt;"",J$1,"NA"),'MITRE ATT&amp;CK Mappings'!$F86))),ISNUMBER(SEARCH(IF(J$2&lt;&gt;"",J$2,"NA"),'MITRE ATT&amp;CK Mappings'!$G86))),ISNUMBER(SEARCH(IF(J$2&lt;&gt;"",J$2,"NA"),'MITRE ATT&amp;CK Mappings'!$H86))),ISNUMBER(SEARCH(IF(J$3&lt;&gt;"",J$3,"NA"),'MITRE ATT&amp;CK Mappings'!$I86))),ISNUMBER(SEARCH(IF(J$3&lt;&gt;"",J$3,"NA"),'MITRE ATT&amp;CK Mappings'!$J86))), 'MITRE ATT&amp;CK Mappings'!$B86,"")</f>
        <v/>
      </c>
      <c r="K90" s="26" t="str">
        <f>IF(OR(OR(OR(OR(OR(ISNUMBER(SEARCH(IF(K$1&lt;&gt;"",K$1,"NA"),'MITRE ATT&amp;CK Mappings'!$E86)),ISNUMBER(SEARCH(IF(K$1&lt;&gt;"",K$1,"NA"),'MITRE ATT&amp;CK Mappings'!$F86))),ISNUMBER(SEARCH(IF(K$2&lt;&gt;"",K$2,"NA"),'MITRE ATT&amp;CK Mappings'!$G86))),ISNUMBER(SEARCH(IF(K$2&lt;&gt;"",K$2,"NA"),'MITRE ATT&amp;CK Mappings'!$H86))),ISNUMBER(SEARCH(IF(K$3&lt;&gt;"",K$3,"NA"),'MITRE ATT&amp;CK Mappings'!$I86))),ISNUMBER(SEARCH(IF(K$3&lt;&gt;"",K$3,"NA"),'MITRE ATT&amp;CK Mappings'!$J86))), 'MITRE ATT&amp;CK Mappings'!$B86,"")</f>
        <v/>
      </c>
      <c r="L90" s="26" t="str">
        <f>IF('MITRE ATT&amp;CK Mappings'!D86 &lt;&gt;"",'MITRE ATT&amp;CK Mappings'!D86,"" )</f>
        <v>Ensure that network security group flow log retention days is set to greater than or equal to 90</v>
      </c>
    </row>
    <row r="91" spans="1:12" x14ac:dyDescent="0.25">
      <c r="A91" s="27" t="str">
        <f>IF(COUNTIF(B91:K91,"="&amp;'MITRE ATT&amp;CK Mappings'!B87)&gt;0,'MITRE ATT&amp;CK Mappings'!B87,"")</f>
        <v/>
      </c>
      <c r="B91" s="27" t="str">
        <f>IF(OR(OR(OR(OR(OR(ISNUMBER(SEARCH(IF(B$1&lt;&gt;"",B$1,"NA"),'MITRE ATT&amp;CK Mappings'!$E87)),ISNUMBER(SEARCH(IF(B$1&lt;&gt;"",B$1,"NA"),'MITRE ATT&amp;CK Mappings'!$F87))),ISNUMBER(SEARCH(IF(B$2&lt;&gt;"",B$2,"NA"),'MITRE ATT&amp;CK Mappings'!$G87))),ISNUMBER(SEARCH(IF(B$2&lt;&gt;"",B$2,"NA"),'MITRE ATT&amp;CK Mappings'!$H87))),ISNUMBER(SEARCH(IF(B$3&lt;&gt;"",B$3,"NA"),'MITRE ATT&amp;CK Mappings'!$I87))),ISNUMBER(SEARCH(IF(B$3&lt;&gt;"",B$3,"NA"),'MITRE ATT&amp;CK Mappings'!$J87))), 'MITRE ATT&amp;CK Mappings'!$B87,"")</f>
        <v/>
      </c>
      <c r="C91" s="27" t="str">
        <f>IF(OR(OR(OR(OR(OR(ISNUMBER(SEARCH(IF(C$1&lt;&gt;"",C$1,"NA"),'MITRE ATT&amp;CK Mappings'!$E87)),ISNUMBER(SEARCH(IF(C$1&lt;&gt;"",C$1,"NA"),'MITRE ATT&amp;CK Mappings'!$F87))),ISNUMBER(SEARCH(IF(C$2&lt;&gt;"",C$2,"NA"),'MITRE ATT&amp;CK Mappings'!$G87))),ISNUMBER(SEARCH(IF(C$2&lt;&gt;"",C$2,"NA"),'MITRE ATT&amp;CK Mappings'!$H87))),ISNUMBER(SEARCH(IF(C$3&lt;&gt;"",C$3,"NA"),'MITRE ATT&amp;CK Mappings'!$I87))),ISNUMBER(SEARCH(IF(C$3&lt;&gt;"",C$3,"NA"),'MITRE ATT&amp;CK Mappings'!$J87))), 'MITRE ATT&amp;CK Mappings'!$B87,"")</f>
        <v/>
      </c>
      <c r="D91" s="27" t="str">
        <f>IF(OR(OR(OR(OR(OR(ISNUMBER(SEARCH(IF(D$1&lt;&gt;"",D$1,"NA"),'MITRE ATT&amp;CK Mappings'!$E87)),ISNUMBER(SEARCH(IF(D$1&lt;&gt;"",D$1,"NA"),'MITRE ATT&amp;CK Mappings'!$F87))),ISNUMBER(SEARCH(IF(D$2&lt;&gt;"",D$2,"NA"),'MITRE ATT&amp;CK Mappings'!$G87))),ISNUMBER(SEARCH(IF(D$2&lt;&gt;"",D$2,"NA"),'MITRE ATT&amp;CK Mappings'!$H87))),ISNUMBER(SEARCH(IF(D$3&lt;&gt;"",D$3,"NA"),'MITRE ATT&amp;CK Mappings'!$I87))),ISNUMBER(SEARCH(IF(D$3&lt;&gt;"",D$3,"NA"),'MITRE ATT&amp;CK Mappings'!$J87))), 'MITRE ATT&amp;CK Mappings'!$B87,"")</f>
        <v/>
      </c>
      <c r="E91" s="27" t="str">
        <f>IF(OR(OR(OR(OR(OR(ISNUMBER(SEARCH(IF(E$1&lt;&gt;"",E$1,"NA"),'MITRE ATT&amp;CK Mappings'!$E87)),ISNUMBER(SEARCH(IF(E$1&lt;&gt;"",E$1,"NA"),'MITRE ATT&amp;CK Mappings'!$F87))),ISNUMBER(SEARCH(IF(E$2&lt;&gt;"",E$2,"NA"),'MITRE ATT&amp;CK Mappings'!$G87))),ISNUMBER(SEARCH(IF(E$2&lt;&gt;"",E$2,"NA"),'MITRE ATT&amp;CK Mappings'!$H87))),ISNUMBER(SEARCH(IF(E$3&lt;&gt;"",E$3,"NA"),'MITRE ATT&amp;CK Mappings'!$I87))),ISNUMBER(SEARCH(IF(E$3&lt;&gt;"",E$3,"NA"),'MITRE ATT&amp;CK Mappings'!$J87))), 'MITRE ATT&amp;CK Mappings'!$B87,"")</f>
        <v/>
      </c>
      <c r="F91" s="27" t="str">
        <f>IF(OR(OR(OR(OR(OR(ISNUMBER(SEARCH(IF(F$1&lt;&gt;"",F$1,"NA"),'MITRE ATT&amp;CK Mappings'!$E87)),ISNUMBER(SEARCH(IF(F$1&lt;&gt;"",F$1,"NA"),'MITRE ATT&amp;CK Mappings'!$F87))),ISNUMBER(SEARCH(IF(F$2&lt;&gt;"",F$2,"NA"),'MITRE ATT&amp;CK Mappings'!$G87))),ISNUMBER(SEARCH(IF(F$2&lt;&gt;"",F$2,"NA"),'MITRE ATT&amp;CK Mappings'!$H87))),ISNUMBER(SEARCH(IF(F$3&lt;&gt;"",F$3,"NA"),'MITRE ATT&amp;CK Mappings'!$I87))),ISNUMBER(SEARCH(IF(F$3&lt;&gt;"",F$3,"NA"),'MITRE ATT&amp;CK Mappings'!$J87))), 'MITRE ATT&amp;CK Mappings'!$B87,"")</f>
        <v/>
      </c>
      <c r="G91" s="27" t="str">
        <f>IF(OR(OR(OR(OR(OR(ISNUMBER(SEARCH(IF(G$1&lt;&gt;"",G$1,"NA"),'MITRE ATT&amp;CK Mappings'!$E87)),ISNUMBER(SEARCH(IF(G$1&lt;&gt;"",G$1,"NA"),'MITRE ATT&amp;CK Mappings'!$F87))),ISNUMBER(SEARCH(IF(G$2&lt;&gt;"",G$2,"NA"),'MITRE ATT&amp;CK Mappings'!$G87))),ISNUMBER(SEARCH(IF(G$2&lt;&gt;"",G$2,"NA"),'MITRE ATT&amp;CK Mappings'!$H87))),ISNUMBER(SEARCH(IF(G$3&lt;&gt;"",G$3,"NA"),'MITRE ATT&amp;CK Mappings'!$I87))),ISNUMBER(SEARCH(IF(G$3&lt;&gt;"",G$3,"NA"),'MITRE ATT&amp;CK Mappings'!$J87))), 'MITRE ATT&amp;CK Mappings'!$B87,"")</f>
        <v/>
      </c>
      <c r="H91" s="27" t="str">
        <f>IF(OR(OR(OR(OR(OR(ISNUMBER(SEARCH(IF(H$1&lt;&gt;"",H$1,"NA"),'MITRE ATT&amp;CK Mappings'!$E87)),ISNUMBER(SEARCH(IF(H$1&lt;&gt;"",H$1,"NA"),'MITRE ATT&amp;CK Mappings'!$F87))),ISNUMBER(SEARCH(IF(H$2&lt;&gt;"",H$2,"NA"),'MITRE ATT&amp;CK Mappings'!$G87))),ISNUMBER(SEARCH(IF(H$2&lt;&gt;"",H$2,"NA"),'MITRE ATT&amp;CK Mappings'!$H87))),ISNUMBER(SEARCH(IF(H$3&lt;&gt;"",H$3,"NA"),'MITRE ATT&amp;CK Mappings'!$I87))),ISNUMBER(SEARCH(IF(H$3&lt;&gt;"",H$3,"NA"),'MITRE ATT&amp;CK Mappings'!$J87))), 'MITRE ATT&amp;CK Mappings'!$B87,"")</f>
        <v/>
      </c>
      <c r="I91" s="27" t="str">
        <f>IF(OR(OR(OR(OR(OR(ISNUMBER(SEARCH(IF(I$1&lt;&gt;"",I$1,"NA"),'MITRE ATT&amp;CK Mappings'!$E87)),ISNUMBER(SEARCH(IF(I$1&lt;&gt;"",I$1,"NA"),'MITRE ATT&amp;CK Mappings'!$F87))),ISNUMBER(SEARCH(IF(I$2&lt;&gt;"",I$2,"NA"),'MITRE ATT&amp;CK Mappings'!$G87))),ISNUMBER(SEARCH(IF(I$2&lt;&gt;"",I$2,"NA"),'MITRE ATT&amp;CK Mappings'!$H87))),ISNUMBER(SEARCH(IF(I$3&lt;&gt;"",I$3,"NA"),'MITRE ATT&amp;CK Mappings'!$I87))),ISNUMBER(SEARCH(IF(I$3&lt;&gt;"",I$3,"NA"),'MITRE ATT&amp;CK Mappings'!$J87))), 'MITRE ATT&amp;CK Mappings'!$B87,"")</f>
        <v/>
      </c>
      <c r="J91" s="27" t="str">
        <f>IF(OR(OR(OR(OR(OR(ISNUMBER(SEARCH(IF(J$1&lt;&gt;"",J$1,"NA"),'MITRE ATT&amp;CK Mappings'!$E87)),ISNUMBER(SEARCH(IF(J$1&lt;&gt;"",J$1,"NA"),'MITRE ATT&amp;CK Mappings'!$F87))),ISNUMBER(SEARCH(IF(J$2&lt;&gt;"",J$2,"NA"),'MITRE ATT&amp;CK Mappings'!$G87))),ISNUMBER(SEARCH(IF(J$2&lt;&gt;"",J$2,"NA"),'MITRE ATT&amp;CK Mappings'!$H87))),ISNUMBER(SEARCH(IF(J$3&lt;&gt;"",J$3,"NA"),'MITRE ATT&amp;CK Mappings'!$I87))),ISNUMBER(SEARCH(IF(J$3&lt;&gt;"",J$3,"NA"),'MITRE ATT&amp;CK Mappings'!$J87))), 'MITRE ATT&amp;CK Mappings'!$B87,"")</f>
        <v/>
      </c>
      <c r="K91" s="27" t="str">
        <f>IF(OR(OR(OR(OR(OR(ISNUMBER(SEARCH(IF(K$1&lt;&gt;"",K$1,"NA"),'MITRE ATT&amp;CK Mappings'!$E87)),ISNUMBER(SEARCH(IF(K$1&lt;&gt;"",K$1,"NA"),'MITRE ATT&amp;CK Mappings'!$F87))),ISNUMBER(SEARCH(IF(K$2&lt;&gt;"",K$2,"NA"),'MITRE ATT&amp;CK Mappings'!$G87))),ISNUMBER(SEARCH(IF(K$2&lt;&gt;"",K$2,"NA"),'MITRE ATT&amp;CK Mappings'!$H87))),ISNUMBER(SEARCH(IF(K$3&lt;&gt;"",K$3,"NA"),'MITRE ATT&amp;CK Mappings'!$I87))),ISNUMBER(SEARCH(IF(K$3&lt;&gt;"",K$3,"NA"),'MITRE ATT&amp;CK Mappings'!$J87))), 'MITRE ATT&amp;CK Mappings'!$B87,"")</f>
        <v/>
      </c>
      <c r="L91" s="27" t="str">
        <f>IF('MITRE ATT&amp;CK Mappings'!D87 &lt;&gt;"",'MITRE ATT&amp;CK Mappings'!D87,"" )</f>
        <v>Ensure that Network Watcher is 'Enabled' for Azure Regions that are in use</v>
      </c>
    </row>
    <row r="92" spans="1:12" x14ac:dyDescent="0.25">
      <c r="A92" s="26" t="str">
        <f>IF(COUNTIF(B92:K92,"="&amp;'MITRE ATT&amp;CK Mappings'!B88)&gt;0,'MITRE ATT&amp;CK Mappings'!B88,"")</f>
        <v/>
      </c>
      <c r="B92" s="26" t="str">
        <f>IF(OR(OR(OR(OR(OR(ISNUMBER(SEARCH(IF(B$1&lt;&gt;"",B$1,"NA"),'MITRE ATT&amp;CK Mappings'!$E88)),ISNUMBER(SEARCH(IF(B$1&lt;&gt;"",B$1,"NA"),'MITRE ATT&amp;CK Mappings'!$F88))),ISNUMBER(SEARCH(IF(B$2&lt;&gt;"",B$2,"NA"),'MITRE ATT&amp;CK Mappings'!$G88))),ISNUMBER(SEARCH(IF(B$2&lt;&gt;"",B$2,"NA"),'MITRE ATT&amp;CK Mappings'!$H88))),ISNUMBER(SEARCH(IF(B$3&lt;&gt;"",B$3,"NA"),'MITRE ATT&amp;CK Mappings'!$I88))),ISNUMBER(SEARCH(IF(B$3&lt;&gt;"",B$3,"NA"),'MITRE ATT&amp;CK Mappings'!$J88))), 'MITRE ATT&amp;CK Mappings'!$B88,"")</f>
        <v/>
      </c>
      <c r="C92" s="26" t="str">
        <f>IF(OR(OR(OR(OR(OR(ISNUMBER(SEARCH(IF(C$1&lt;&gt;"",C$1,"NA"),'MITRE ATT&amp;CK Mappings'!$E88)),ISNUMBER(SEARCH(IF(C$1&lt;&gt;"",C$1,"NA"),'MITRE ATT&amp;CK Mappings'!$F88))),ISNUMBER(SEARCH(IF(C$2&lt;&gt;"",C$2,"NA"),'MITRE ATT&amp;CK Mappings'!$G88))),ISNUMBER(SEARCH(IF(C$2&lt;&gt;"",C$2,"NA"),'MITRE ATT&amp;CK Mappings'!$H88))),ISNUMBER(SEARCH(IF(C$3&lt;&gt;"",C$3,"NA"),'MITRE ATT&amp;CK Mappings'!$I88))),ISNUMBER(SEARCH(IF(C$3&lt;&gt;"",C$3,"NA"),'MITRE ATT&amp;CK Mappings'!$J88))), 'MITRE ATT&amp;CK Mappings'!$B88,"")</f>
        <v/>
      </c>
      <c r="D92" s="26" t="str">
        <f>IF(OR(OR(OR(OR(OR(ISNUMBER(SEARCH(IF(D$1&lt;&gt;"",D$1,"NA"),'MITRE ATT&amp;CK Mappings'!$E88)),ISNUMBER(SEARCH(IF(D$1&lt;&gt;"",D$1,"NA"),'MITRE ATT&amp;CK Mappings'!$F88))),ISNUMBER(SEARCH(IF(D$2&lt;&gt;"",D$2,"NA"),'MITRE ATT&amp;CK Mappings'!$G88))),ISNUMBER(SEARCH(IF(D$2&lt;&gt;"",D$2,"NA"),'MITRE ATT&amp;CK Mappings'!$H88))),ISNUMBER(SEARCH(IF(D$3&lt;&gt;"",D$3,"NA"),'MITRE ATT&amp;CK Mappings'!$I88))),ISNUMBER(SEARCH(IF(D$3&lt;&gt;"",D$3,"NA"),'MITRE ATT&amp;CK Mappings'!$J88))), 'MITRE ATT&amp;CK Mappings'!$B88,"")</f>
        <v/>
      </c>
      <c r="E92" s="26" t="str">
        <f>IF(OR(OR(OR(OR(OR(ISNUMBER(SEARCH(IF(E$1&lt;&gt;"",E$1,"NA"),'MITRE ATT&amp;CK Mappings'!$E88)),ISNUMBER(SEARCH(IF(E$1&lt;&gt;"",E$1,"NA"),'MITRE ATT&amp;CK Mappings'!$F88))),ISNUMBER(SEARCH(IF(E$2&lt;&gt;"",E$2,"NA"),'MITRE ATT&amp;CK Mappings'!$G88))),ISNUMBER(SEARCH(IF(E$2&lt;&gt;"",E$2,"NA"),'MITRE ATT&amp;CK Mappings'!$H88))),ISNUMBER(SEARCH(IF(E$3&lt;&gt;"",E$3,"NA"),'MITRE ATT&amp;CK Mappings'!$I88))),ISNUMBER(SEARCH(IF(E$3&lt;&gt;"",E$3,"NA"),'MITRE ATT&amp;CK Mappings'!$J88))), 'MITRE ATT&amp;CK Mappings'!$B88,"")</f>
        <v/>
      </c>
      <c r="F92" s="26" t="str">
        <f>IF(OR(OR(OR(OR(OR(ISNUMBER(SEARCH(IF(F$1&lt;&gt;"",F$1,"NA"),'MITRE ATT&amp;CK Mappings'!$E88)),ISNUMBER(SEARCH(IF(F$1&lt;&gt;"",F$1,"NA"),'MITRE ATT&amp;CK Mappings'!$F88))),ISNUMBER(SEARCH(IF(F$2&lt;&gt;"",F$2,"NA"),'MITRE ATT&amp;CK Mappings'!$G88))),ISNUMBER(SEARCH(IF(F$2&lt;&gt;"",F$2,"NA"),'MITRE ATT&amp;CK Mappings'!$H88))),ISNUMBER(SEARCH(IF(F$3&lt;&gt;"",F$3,"NA"),'MITRE ATT&amp;CK Mappings'!$I88))),ISNUMBER(SEARCH(IF(F$3&lt;&gt;"",F$3,"NA"),'MITRE ATT&amp;CK Mappings'!$J88))), 'MITRE ATT&amp;CK Mappings'!$B88,"")</f>
        <v/>
      </c>
      <c r="G92" s="26" t="str">
        <f>IF(OR(OR(OR(OR(OR(ISNUMBER(SEARCH(IF(G$1&lt;&gt;"",G$1,"NA"),'MITRE ATT&amp;CK Mappings'!$E88)),ISNUMBER(SEARCH(IF(G$1&lt;&gt;"",G$1,"NA"),'MITRE ATT&amp;CK Mappings'!$F88))),ISNUMBER(SEARCH(IF(G$2&lt;&gt;"",G$2,"NA"),'MITRE ATT&amp;CK Mappings'!$G88))),ISNUMBER(SEARCH(IF(G$2&lt;&gt;"",G$2,"NA"),'MITRE ATT&amp;CK Mappings'!$H88))),ISNUMBER(SEARCH(IF(G$3&lt;&gt;"",G$3,"NA"),'MITRE ATT&amp;CK Mappings'!$I88))),ISNUMBER(SEARCH(IF(G$3&lt;&gt;"",G$3,"NA"),'MITRE ATT&amp;CK Mappings'!$J88))), 'MITRE ATT&amp;CK Mappings'!$B88,"")</f>
        <v/>
      </c>
      <c r="H92" s="26" t="str">
        <f>IF(OR(OR(OR(OR(OR(ISNUMBER(SEARCH(IF(H$1&lt;&gt;"",H$1,"NA"),'MITRE ATT&amp;CK Mappings'!$E88)),ISNUMBER(SEARCH(IF(H$1&lt;&gt;"",H$1,"NA"),'MITRE ATT&amp;CK Mappings'!$F88))),ISNUMBER(SEARCH(IF(H$2&lt;&gt;"",H$2,"NA"),'MITRE ATT&amp;CK Mappings'!$G88))),ISNUMBER(SEARCH(IF(H$2&lt;&gt;"",H$2,"NA"),'MITRE ATT&amp;CK Mappings'!$H88))),ISNUMBER(SEARCH(IF(H$3&lt;&gt;"",H$3,"NA"),'MITRE ATT&amp;CK Mappings'!$I88))),ISNUMBER(SEARCH(IF(H$3&lt;&gt;"",H$3,"NA"),'MITRE ATT&amp;CK Mappings'!$J88))), 'MITRE ATT&amp;CK Mappings'!$B88,"")</f>
        <v/>
      </c>
      <c r="I92" s="26" t="str">
        <f>IF(OR(OR(OR(OR(OR(ISNUMBER(SEARCH(IF(I$1&lt;&gt;"",I$1,"NA"),'MITRE ATT&amp;CK Mappings'!$E88)),ISNUMBER(SEARCH(IF(I$1&lt;&gt;"",I$1,"NA"),'MITRE ATT&amp;CK Mappings'!$F88))),ISNUMBER(SEARCH(IF(I$2&lt;&gt;"",I$2,"NA"),'MITRE ATT&amp;CK Mappings'!$G88))),ISNUMBER(SEARCH(IF(I$2&lt;&gt;"",I$2,"NA"),'MITRE ATT&amp;CK Mappings'!$H88))),ISNUMBER(SEARCH(IF(I$3&lt;&gt;"",I$3,"NA"),'MITRE ATT&amp;CK Mappings'!$I88))),ISNUMBER(SEARCH(IF(I$3&lt;&gt;"",I$3,"NA"),'MITRE ATT&amp;CK Mappings'!$J88))), 'MITRE ATT&amp;CK Mappings'!$B88,"")</f>
        <v/>
      </c>
      <c r="J92" s="26" t="str">
        <f>IF(OR(OR(OR(OR(OR(ISNUMBER(SEARCH(IF(J$1&lt;&gt;"",J$1,"NA"),'MITRE ATT&amp;CK Mappings'!$E88)),ISNUMBER(SEARCH(IF(J$1&lt;&gt;"",J$1,"NA"),'MITRE ATT&amp;CK Mappings'!$F88))),ISNUMBER(SEARCH(IF(J$2&lt;&gt;"",J$2,"NA"),'MITRE ATT&amp;CK Mappings'!$G88))),ISNUMBER(SEARCH(IF(J$2&lt;&gt;"",J$2,"NA"),'MITRE ATT&amp;CK Mappings'!$H88))),ISNUMBER(SEARCH(IF(J$3&lt;&gt;"",J$3,"NA"),'MITRE ATT&amp;CK Mappings'!$I88))),ISNUMBER(SEARCH(IF(J$3&lt;&gt;"",J$3,"NA"),'MITRE ATT&amp;CK Mappings'!$J88))), 'MITRE ATT&amp;CK Mappings'!$B88,"")</f>
        <v/>
      </c>
      <c r="K92" s="26" t="str">
        <f>IF(OR(OR(OR(OR(OR(ISNUMBER(SEARCH(IF(K$1&lt;&gt;"",K$1,"NA"),'MITRE ATT&amp;CK Mappings'!$E88)),ISNUMBER(SEARCH(IF(K$1&lt;&gt;"",K$1,"NA"),'MITRE ATT&amp;CK Mappings'!$F88))),ISNUMBER(SEARCH(IF(K$2&lt;&gt;"",K$2,"NA"),'MITRE ATT&amp;CK Mappings'!$G88))),ISNUMBER(SEARCH(IF(K$2&lt;&gt;"",K$2,"NA"),'MITRE ATT&amp;CK Mappings'!$H88))),ISNUMBER(SEARCH(IF(K$3&lt;&gt;"",K$3,"NA"),'MITRE ATT&amp;CK Mappings'!$I88))),ISNUMBER(SEARCH(IF(K$3&lt;&gt;"",K$3,"NA"),'MITRE ATT&amp;CK Mappings'!$J88))), 'MITRE ATT&amp;CK Mappings'!$B88,"")</f>
        <v/>
      </c>
      <c r="L92" s="26" t="str">
        <f>IF('MITRE ATT&amp;CK Mappings'!D88 &lt;&gt;"",'MITRE ATT&amp;CK Mappings'!D88,"" )</f>
        <v>Ensure that Public IP addresses are Evaluated on a Periodic Basis</v>
      </c>
    </row>
    <row r="93" spans="1:12" x14ac:dyDescent="0.25">
      <c r="A93" s="27" t="str">
        <f>IF(COUNTIF(B93:K93,"="&amp;'MITRE ATT&amp;CK Mappings'!B89)&gt;0,'MITRE ATT&amp;CK Mappings'!B89,"")</f>
        <v/>
      </c>
      <c r="B93" s="27" t="str">
        <f>IF(OR(OR(OR(OR(OR(ISNUMBER(SEARCH(IF(B$1&lt;&gt;"",B$1,"NA"),'MITRE ATT&amp;CK Mappings'!$E89)),ISNUMBER(SEARCH(IF(B$1&lt;&gt;"",B$1,"NA"),'MITRE ATT&amp;CK Mappings'!$F89))),ISNUMBER(SEARCH(IF(B$2&lt;&gt;"",B$2,"NA"),'MITRE ATT&amp;CK Mappings'!$G89))),ISNUMBER(SEARCH(IF(B$2&lt;&gt;"",B$2,"NA"),'MITRE ATT&amp;CK Mappings'!$H89))),ISNUMBER(SEARCH(IF(B$3&lt;&gt;"",B$3,"NA"),'MITRE ATT&amp;CK Mappings'!$I89))),ISNUMBER(SEARCH(IF(B$3&lt;&gt;"",B$3,"NA"),'MITRE ATT&amp;CK Mappings'!$J89))), 'MITRE ATT&amp;CK Mappings'!$B89,"")</f>
        <v/>
      </c>
      <c r="C93" s="27" t="str">
        <f>IF(OR(OR(OR(OR(OR(ISNUMBER(SEARCH(IF(C$1&lt;&gt;"",C$1,"NA"),'MITRE ATT&amp;CK Mappings'!$E89)),ISNUMBER(SEARCH(IF(C$1&lt;&gt;"",C$1,"NA"),'MITRE ATT&amp;CK Mappings'!$F89))),ISNUMBER(SEARCH(IF(C$2&lt;&gt;"",C$2,"NA"),'MITRE ATT&amp;CK Mappings'!$G89))),ISNUMBER(SEARCH(IF(C$2&lt;&gt;"",C$2,"NA"),'MITRE ATT&amp;CK Mappings'!$H89))),ISNUMBER(SEARCH(IF(C$3&lt;&gt;"",C$3,"NA"),'MITRE ATT&amp;CK Mappings'!$I89))),ISNUMBER(SEARCH(IF(C$3&lt;&gt;"",C$3,"NA"),'MITRE ATT&amp;CK Mappings'!$J89))), 'MITRE ATT&amp;CK Mappings'!$B89,"")</f>
        <v/>
      </c>
      <c r="D93" s="27" t="str">
        <f>IF(OR(OR(OR(OR(OR(ISNUMBER(SEARCH(IF(D$1&lt;&gt;"",D$1,"NA"),'MITRE ATT&amp;CK Mappings'!$E89)),ISNUMBER(SEARCH(IF(D$1&lt;&gt;"",D$1,"NA"),'MITRE ATT&amp;CK Mappings'!$F89))),ISNUMBER(SEARCH(IF(D$2&lt;&gt;"",D$2,"NA"),'MITRE ATT&amp;CK Mappings'!$G89))),ISNUMBER(SEARCH(IF(D$2&lt;&gt;"",D$2,"NA"),'MITRE ATT&amp;CK Mappings'!$H89))),ISNUMBER(SEARCH(IF(D$3&lt;&gt;"",D$3,"NA"),'MITRE ATT&amp;CK Mappings'!$I89))),ISNUMBER(SEARCH(IF(D$3&lt;&gt;"",D$3,"NA"),'MITRE ATT&amp;CK Mappings'!$J89))), 'MITRE ATT&amp;CK Mappings'!$B89,"")</f>
        <v/>
      </c>
      <c r="E93" s="27" t="str">
        <f>IF(OR(OR(OR(OR(OR(ISNUMBER(SEARCH(IF(E$1&lt;&gt;"",E$1,"NA"),'MITRE ATT&amp;CK Mappings'!$E89)),ISNUMBER(SEARCH(IF(E$1&lt;&gt;"",E$1,"NA"),'MITRE ATT&amp;CK Mappings'!$F89))),ISNUMBER(SEARCH(IF(E$2&lt;&gt;"",E$2,"NA"),'MITRE ATT&amp;CK Mappings'!$G89))),ISNUMBER(SEARCH(IF(E$2&lt;&gt;"",E$2,"NA"),'MITRE ATT&amp;CK Mappings'!$H89))),ISNUMBER(SEARCH(IF(E$3&lt;&gt;"",E$3,"NA"),'MITRE ATT&amp;CK Mappings'!$I89))),ISNUMBER(SEARCH(IF(E$3&lt;&gt;"",E$3,"NA"),'MITRE ATT&amp;CK Mappings'!$J89))), 'MITRE ATT&amp;CK Mappings'!$B89,"")</f>
        <v/>
      </c>
      <c r="F93" s="27" t="str">
        <f>IF(OR(OR(OR(OR(OR(ISNUMBER(SEARCH(IF(F$1&lt;&gt;"",F$1,"NA"),'MITRE ATT&amp;CK Mappings'!$E89)),ISNUMBER(SEARCH(IF(F$1&lt;&gt;"",F$1,"NA"),'MITRE ATT&amp;CK Mappings'!$F89))),ISNUMBER(SEARCH(IF(F$2&lt;&gt;"",F$2,"NA"),'MITRE ATT&amp;CK Mappings'!$G89))),ISNUMBER(SEARCH(IF(F$2&lt;&gt;"",F$2,"NA"),'MITRE ATT&amp;CK Mappings'!$H89))),ISNUMBER(SEARCH(IF(F$3&lt;&gt;"",F$3,"NA"),'MITRE ATT&amp;CK Mappings'!$I89))),ISNUMBER(SEARCH(IF(F$3&lt;&gt;"",F$3,"NA"),'MITRE ATT&amp;CK Mappings'!$J89))), 'MITRE ATT&amp;CK Mappings'!$B89,"")</f>
        <v/>
      </c>
      <c r="G93" s="27" t="str">
        <f>IF(OR(OR(OR(OR(OR(ISNUMBER(SEARCH(IF(G$1&lt;&gt;"",G$1,"NA"),'MITRE ATT&amp;CK Mappings'!$E89)),ISNUMBER(SEARCH(IF(G$1&lt;&gt;"",G$1,"NA"),'MITRE ATT&amp;CK Mappings'!$F89))),ISNUMBER(SEARCH(IF(G$2&lt;&gt;"",G$2,"NA"),'MITRE ATT&amp;CK Mappings'!$G89))),ISNUMBER(SEARCH(IF(G$2&lt;&gt;"",G$2,"NA"),'MITRE ATT&amp;CK Mappings'!$H89))),ISNUMBER(SEARCH(IF(G$3&lt;&gt;"",G$3,"NA"),'MITRE ATT&amp;CK Mappings'!$I89))),ISNUMBER(SEARCH(IF(G$3&lt;&gt;"",G$3,"NA"),'MITRE ATT&amp;CK Mappings'!$J89))), 'MITRE ATT&amp;CK Mappings'!$B89,"")</f>
        <v/>
      </c>
      <c r="H93" s="27" t="str">
        <f>IF(OR(OR(OR(OR(OR(ISNUMBER(SEARCH(IF(H$1&lt;&gt;"",H$1,"NA"),'MITRE ATT&amp;CK Mappings'!$E89)),ISNUMBER(SEARCH(IF(H$1&lt;&gt;"",H$1,"NA"),'MITRE ATT&amp;CK Mappings'!$F89))),ISNUMBER(SEARCH(IF(H$2&lt;&gt;"",H$2,"NA"),'MITRE ATT&amp;CK Mappings'!$G89))),ISNUMBER(SEARCH(IF(H$2&lt;&gt;"",H$2,"NA"),'MITRE ATT&amp;CK Mappings'!$H89))),ISNUMBER(SEARCH(IF(H$3&lt;&gt;"",H$3,"NA"),'MITRE ATT&amp;CK Mappings'!$I89))),ISNUMBER(SEARCH(IF(H$3&lt;&gt;"",H$3,"NA"),'MITRE ATT&amp;CK Mappings'!$J89))), 'MITRE ATT&amp;CK Mappings'!$B89,"")</f>
        <v/>
      </c>
      <c r="I93" s="27" t="str">
        <f>IF(OR(OR(OR(OR(OR(ISNUMBER(SEARCH(IF(I$1&lt;&gt;"",I$1,"NA"),'MITRE ATT&amp;CK Mappings'!$E89)),ISNUMBER(SEARCH(IF(I$1&lt;&gt;"",I$1,"NA"),'MITRE ATT&amp;CK Mappings'!$F89))),ISNUMBER(SEARCH(IF(I$2&lt;&gt;"",I$2,"NA"),'MITRE ATT&amp;CK Mappings'!$G89))),ISNUMBER(SEARCH(IF(I$2&lt;&gt;"",I$2,"NA"),'MITRE ATT&amp;CK Mappings'!$H89))),ISNUMBER(SEARCH(IF(I$3&lt;&gt;"",I$3,"NA"),'MITRE ATT&amp;CK Mappings'!$I89))),ISNUMBER(SEARCH(IF(I$3&lt;&gt;"",I$3,"NA"),'MITRE ATT&amp;CK Mappings'!$J89))), 'MITRE ATT&amp;CK Mappings'!$B89,"")</f>
        <v/>
      </c>
      <c r="J93" s="27" t="str">
        <f>IF(OR(OR(OR(OR(OR(ISNUMBER(SEARCH(IF(J$1&lt;&gt;"",J$1,"NA"),'MITRE ATT&amp;CK Mappings'!$E89)),ISNUMBER(SEARCH(IF(J$1&lt;&gt;"",J$1,"NA"),'MITRE ATT&amp;CK Mappings'!$F89))),ISNUMBER(SEARCH(IF(J$2&lt;&gt;"",J$2,"NA"),'MITRE ATT&amp;CK Mappings'!$G89))),ISNUMBER(SEARCH(IF(J$2&lt;&gt;"",J$2,"NA"),'MITRE ATT&amp;CK Mappings'!$H89))),ISNUMBER(SEARCH(IF(J$3&lt;&gt;"",J$3,"NA"),'MITRE ATT&amp;CK Mappings'!$I89))),ISNUMBER(SEARCH(IF(J$3&lt;&gt;"",J$3,"NA"),'MITRE ATT&amp;CK Mappings'!$J89))), 'MITRE ATT&amp;CK Mappings'!$B89,"")</f>
        <v/>
      </c>
      <c r="K93" s="27" t="str">
        <f>IF(OR(OR(OR(OR(OR(ISNUMBER(SEARCH(IF(K$1&lt;&gt;"",K$1,"NA"),'MITRE ATT&amp;CK Mappings'!$E89)),ISNUMBER(SEARCH(IF(K$1&lt;&gt;"",K$1,"NA"),'MITRE ATT&amp;CK Mappings'!$F89))),ISNUMBER(SEARCH(IF(K$2&lt;&gt;"",K$2,"NA"),'MITRE ATT&amp;CK Mappings'!$G89))),ISNUMBER(SEARCH(IF(K$2&lt;&gt;"",K$2,"NA"),'MITRE ATT&amp;CK Mappings'!$H89))),ISNUMBER(SEARCH(IF(K$3&lt;&gt;"",K$3,"NA"),'MITRE ATT&amp;CK Mappings'!$I89))),ISNUMBER(SEARCH(IF(K$3&lt;&gt;"",K$3,"NA"),'MITRE ATT&amp;CK Mappings'!$J89))), 'MITRE ATT&amp;CK Mappings'!$B89,"")</f>
        <v/>
      </c>
      <c r="L93" s="27" t="str">
        <f>IF('MITRE ATT&amp;CK Mappings'!D89 &lt;&gt;"",'MITRE ATT&amp;CK Mappings'!D89,"" )</f>
        <v>Ensure that virtual network flow log retention days is set to greater than or equal to 90</v>
      </c>
    </row>
    <row r="94" spans="1:12" x14ac:dyDescent="0.25">
      <c r="A94" s="26" t="str">
        <f>IF(COUNTIF(B94:K94,"="&amp;'MITRE ATT&amp;CK Mappings'!B90)&gt;0,'MITRE ATT&amp;CK Mappings'!B90,"")</f>
        <v/>
      </c>
      <c r="B94" s="26" t="str">
        <f>IF(OR(OR(OR(OR(OR(ISNUMBER(SEARCH(IF(B$1&lt;&gt;"",B$1,"NA"),'MITRE ATT&amp;CK Mappings'!$E90)),ISNUMBER(SEARCH(IF(B$1&lt;&gt;"",B$1,"NA"),'MITRE ATT&amp;CK Mappings'!$F90))),ISNUMBER(SEARCH(IF(B$2&lt;&gt;"",B$2,"NA"),'MITRE ATT&amp;CK Mappings'!$G90))),ISNUMBER(SEARCH(IF(B$2&lt;&gt;"",B$2,"NA"),'MITRE ATT&amp;CK Mappings'!$H90))),ISNUMBER(SEARCH(IF(B$3&lt;&gt;"",B$3,"NA"),'MITRE ATT&amp;CK Mappings'!$I90))),ISNUMBER(SEARCH(IF(B$3&lt;&gt;"",B$3,"NA"),'MITRE ATT&amp;CK Mappings'!$J90))), 'MITRE ATT&amp;CK Mappings'!$B90,"")</f>
        <v/>
      </c>
      <c r="C94" s="26" t="str">
        <f>IF(OR(OR(OR(OR(OR(ISNUMBER(SEARCH(IF(C$1&lt;&gt;"",C$1,"NA"),'MITRE ATT&amp;CK Mappings'!$E90)),ISNUMBER(SEARCH(IF(C$1&lt;&gt;"",C$1,"NA"),'MITRE ATT&amp;CK Mappings'!$F90))),ISNUMBER(SEARCH(IF(C$2&lt;&gt;"",C$2,"NA"),'MITRE ATT&amp;CK Mappings'!$G90))),ISNUMBER(SEARCH(IF(C$2&lt;&gt;"",C$2,"NA"),'MITRE ATT&amp;CK Mappings'!$H90))),ISNUMBER(SEARCH(IF(C$3&lt;&gt;"",C$3,"NA"),'MITRE ATT&amp;CK Mappings'!$I90))),ISNUMBER(SEARCH(IF(C$3&lt;&gt;"",C$3,"NA"),'MITRE ATT&amp;CK Mappings'!$J90))), 'MITRE ATT&amp;CK Mappings'!$B90,"")</f>
        <v/>
      </c>
      <c r="D94" s="26" t="str">
        <f>IF(OR(OR(OR(OR(OR(ISNUMBER(SEARCH(IF(D$1&lt;&gt;"",D$1,"NA"),'MITRE ATT&amp;CK Mappings'!$E90)),ISNUMBER(SEARCH(IF(D$1&lt;&gt;"",D$1,"NA"),'MITRE ATT&amp;CK Mappings'!$F90))),ISNUMBER(SEARCH(IF(D$2&lt;&gt;"",D$2,"NA"),'MITRE ATT&amp;CK Mappings'!$G90))),ISNUMBER(SEARCH(IF(D$2&lt;&gt;"",D$2,"NA"),'MITRE ATT&amp;CK Mappings'!$H90))),ISNUMBER(SEARCH(IF(D$3&lt;&gt;"",D$3,"NA"),'MITRE ATT&amp;CK Mappings'!$I90))),ISNUMBER(SEARCH(IF(D$3&lt;&gt;"",D$3,"NA"),'MITRE ATT&amp;CK Mappings'!$J90))), 'MITRE ATT&amp;CK Mappings'!$B90,"")</f>
        <v/>
      </c>
      <c r="E94" s="26" t="str">
        <f>IF(OR(OR(OR(OR(OR(ISNUMBER(SEARCH(IF(E$1&lt;&gt;"",E$1,"NA"),'MITRE ATT&amp;CK Mappings'!$E90)),ISNUMBER(SEARCH(IF(E$1&lt;&gt;"",E$1,"NA"),'MITRE ATT&amp;CK Mappings'!$F90))),ISNUMBER(SEARCH(IF(E$2&lt;&gt;"",E$2,"NA"),'MITRE ATT&amp;CK Mappings'!$G90))),ISNUMBER(SEARCH(IF(E$2&lt;&gt;"",E$2,"NA"),'MITRE ATT&amp;CK Mappings'!$H90))),ISNUMBER(SEARCH(IF(E$3&lt;&gt;"",E$3,"NA"),'MITRE ATT&amp;CK Mappings'!$I90))),ISNUMBER(SEARCH(IF(E$3&lt;&gt;"",E$3,"NA"),'MITRE ATT&amp;CK Mappings'!$J90))), 'MITRE ATT&amp;CK Mappings'!$B90,"")</f>
        <v/>
      </c>
      <c r="F94" s="26" t="str">
        <f>IF(OR(OR(OR(OR(OR(ISNUMBER(SEARCH(IF(F$1&lt;&gt;"",F$1,"NA"),'MITRE ATT&amp;CK Mappings'!$E90)),ISNUMBER(SEARCH(IF(F$1&lt;&gt;"",F$1,"NA"),'MITRE ATT&amp;CK Mappings'!$F90))),ISNUMBER(SEARCH(IF(F$2&lt;&gt;"",F$2,"NA"),'MITRE ATT&amp;CK Mappings'!$G90))),ISNUMBER(SEARCH(IF(F$2&lt;&gt;"",F$2,"NA"),'MITRE ATT&amp;CK Mappings'!$H90))),ISNUMBER(SEARCH(IF(F$3&lt;&gt;"",F$3,"NA"),'MITRE ATT&amp;CK Mappings'!$I90))),ISNUMBER(SEARCH(IF(F$3&lt;&gt;"",F$3,"NA"),'MITRE ATT&amp;CK Mappings'!$J90))), 'MITRE ATT&amp;CK Mappings'!$B90,"")</f>
        <v/>
      </c>
      <c r="G94" s="26" t="str">
        <f>IF(OR(OR(OR(OR(OR(ISNUMBER(SEARCH(IF(G$1&lt;&gt;"",G$1,"NA"),'MITRE ATT&amp;CK Mappings'!$E90)),ISNUMBER(SEARCH(IF(G$1&lt;&gt;"",G$1,"NA"),'MITRE ATT&amp;CK Mappings'!$F90))),ISNUMBER(SEARCH(IF(G$2&lt;&gt;"",G$2,"NA"),'MITRE ATT&amp;CK Mappings'!$G90))),ISNUMBER(SEARCH(IF(G$2&lt;&gt;"",G$2,"NA"),'MITRE ATT&amp;CK Mappings'!$H90))),ISNUMBER(SEARCH(IF(G$3&lt;&gt;"",G$3,"NA"),'MITRE ATT&amp;CK Mappings'!$I90))),ISNUMBER(SEARCH(IF(G$3&lt;&gt;"",G$3,"NA"),'MITRE ATT&amp;CK Mappings'!$J90))), 'MITRE ATT&amp;CK Mappings'!$B90,"")</f>
        <v/>
      </c>
      <c r="H94" s="26" t="str">
        <f>IF(OR(OR(OR(OR(OR(ISNUMBER(SEARCH(IF(H$1&lt;&gt;"",H$1,"NA"),'MITRE ATT&amp;CK Mappings'!$E90)),ISNUMBER(SEARCH(IF(H$1&lt;&gt;"",H$1,"NA"),'MITRE ATT&amp;CK Mappings'!$F90))),ISNUMBER(SEARCH(IF(H$2&lt;&gt;"",H$2,"NA"),'MITRE ATT&amp;CK Mappings'!$G90))),ISNUMBER(SEARCH(IF(H$2&lt;&gt;"",H$2,"NA"),'MITRE ATT&amp;CK Mappings'!$H90))),ISNUMBER(SEARCH(IF(H$3&lt;&gt;"",H$3,"NA"),'MITRE ATT&amp;CK Mappings'!$I90))),ISNUMBER(SEARCH(IF(H$3&lt;&gt;"",H$3,"NA"),'MITRE ATT&amp;CK Mappings'!$J90))), 'MITRE ATT&amp;CK Mappings'!$B90,"")</f>
        <v/>
      </c>
      <c r="I94" s="26" t="str">
        <f>IF(OR(OR(OR(OR(OR(ISNUMBER(SEARCH(IF(I$1&lt;&gt;"",I$1,"NA"),'MITRE ATT&amp;CK Mappings'!$E90)),ISNUMBER(SEARCH(IF(I$1&lt;&gt;"",I$1,"NA"),'MITRE ATT&amp;CK Mappings'!$F90))),ISNUMBER(SEARCH(IF(I$2&lt;&gt;"",I$2,"NA"),'MITRE ATT&amp;CK Mappings'!$G90))),ISNUMBER(SEARCH(IF(I$2&lt;&gt;"",I$2,"NA"),'MITRE ATT&amp;CK Mappings'!$H90))),ISNUMBER(SEARCH(IF(I$3&lt;&gt;"",I$3,"NA"),'MITRE ATT&amp;CK Mappings'!$I90))),ISNUMBER(SEARCH(IF(I$3&lt;&gt;"",I$3,"NA"),'MITRE ATT&amp;CK Mappings'!$J90))), 'MITRE ATT&amp;CK Mappings'!$B90,"")</f>
        <v/>
      </c>
      <c r="J94" s="26" t="str">
        <f>IF(OR(OR(OR(OR(OR(ISNUMBER(SEARCH(IF(J$1&lt;&gt;"",J$1,"NA"),'MITRE ATT&amp;CK Mappings'!$E90)),ISNUMBER(SEARCH(IF(J$1&lt;&gt;"",J$1,"NA"),'MITRE ATT&amp;CK Mappings'!$F90))),ISNUMBER(SEARCH(IF(J$2&lt;&gt;"",J$2,"NA"),'MITRE ATT&amp;CK Mappings'!$G90))),ISNUMBER(SEARCH(IF(J$2&lt;&gt;"",J$2,"NA"),'MITRE ATT&amp;CK Mappings'!$H90))),ISNUMBER(SEARCH(IF(J$3&lt;&gt;"",J$3,"NA"),'MITRE ATT&amp;CK Mappings'!$I90))),ISNUMBER(SEARCH(IF(J$3&lt;&gt;"",J$3,"NA"),'MITRE ATT&amp;CK Mappings'!$J90))), 'MITRE ATT&amp;CK Mappings'!$B90,"")</f>
        <v/>
      </c>
      <c r="K94" s="26" t="str">
        <f>IF(OR(OR(OR(OR(OR(ISNUMBER(SEARCH(IF(K$1&lt;&gt;"",K$1,"NA"),'MITRE ATT&amp;CK Mappings'!$E90)),ISNUMBER(SEARCH(IF(K$1&lt;&gt;"",K$1,"NA"),'MITRE ATT&amp;CK Mappings'!$F90))),ISNUMBER(SEARCH(IF(K$2&lt;&gt;"",K$2,"NA"),'MITRE ATT&amp;CK Mappings'!$G90))),ISNUMBER(SEARCH(IF(K$2&lt;&gt;"",K$2,"NA"),'MITRE ATT&amp;CK Mappings'!$H90))),ISNUMBER(SEARCH(IF(K$3&lt;&gt;"",K$3,"NA"),'MITRE ATT&amp;CK Mappings'!$I90))),ISNUMBER(SEARCH(IF(K$3&lt;&gt;"",K$3,"NA"),'MITRE ATT&amp;CK Mappings'!$J90))), 'MITRE ATT&amp;CK Mappings'!$B90,"")</f>
        <v/>
      </c>
      <c r="L94" s="26" t="str">
        <f>IF('MITRE ATT&amp;CK Mappings'!D90 &lt;&gt;"",'MITRE ATT&amp;CK Mappings'!D90,"" )</f>
        <v>Ensure 'Authentication type' is set to 'Azure Active Directory' only for Azure VPN Gateway point-to-site configuration</v>
      </c>
    </row>
    <row r="95" spans="1:12" x14ac:dyDescent="0.25">
      <c r="A95" s="27" t="str">
        <f>IF(COUNTIF(B95:K95,"="&amp;'MITRE ATT&amp;CK Mappings'!B91)&gt;0,'MITRE ATT&amp;CK Mappings'!B91,"")</f>
        <v/>
      </c>
      <c r="B95" s="27" t="str">
        <f>IF(OR(OR(OR(OR(OR(ISNUMBER(SEARCH(IF(B$1&lt;&gt;"",B$1,"NA"),'MITRE ATT&amp;CK Mappings'!$E91)),ISNUMBER(SEARCH(IF(B$1&lt;&gt;"",B$1,"NA"),'MITRE ATT&amp;CK Mappings'!$F91))),ISNUMBER(SEARCH(IF(B$2&lt;&gt;"",B$2,"NA"),'MITRE ATT&amp;CK Mappings'!$G91))),ISNUMBER(SEARCH(IF(B$2&lt;&gt;"",B$2,"NA"),'MITRE ATT&amp;CK Mappings'!$H91))),ISNUMBER(SEARCH(IF(B$3&lt;&gt;"",B$3,"NA"),'MITRE ATT&amp;CK Mappings'!$I91))),ISNUMBER(SEARCH(IF(B$3&lt;&gt;"",B$3,"NA"),'MITRE ATT&amp;CK Mappings'!$J91))), 'MITRE ATT&amp;CK Mappings'!$B91,"")</f>
        <v/>
      </c>
      <c r="C95" s="27" t="str">
        <f>IF(OR(OR(OR(OR(OR(ISNUMBER(SEARCH(IF(C$1&lt;&gt;"",C$1,"NA"),'MITRE ATT&amp;CK Mappings'!$E91)),ISNUMBER(SEARCH(IF(C$1&lt;&gt;"",C$1,"NA"),'MITRE ATT&amp;CK Mappings'!$F91))),ISNUMBER(SEARCH(IF(C$2&lt;&gt;"",C$2,"NA"),'MITRE ATT&amp;CK Mappings'!$G91))),ISNUMBER(SEARCH(IF(C$2&lt;&gt;"",C$2,"NA"),'MITRE ATT&amp;CK Mappings'!$H91))),ISNUMBER(SEARCH(IF(C$3&lt;&gt;"",C$3,"NA"),'MITRE ATT&amp;CK Mappings'!$I91))),ISNUMBER(SEARCH(IF(C$3&lt;&gt;"",C$3,"NA"),'MITRE ATT&amp;CK Mappings'!$J91))), 'MITRE ATT&amp;CK Mappings'!$B91,"")</f>
        <v/>
      </c>
      <c r="D95" s="27" t="str">
        <f>IF(OR(OR(OR(OR(OR(ISNUMBER(SEARCH(IF(D$1&lt;&gt;"",D$1,"NA"),'MITRE ATT&amp;CK Mappings'!$E91)),ISNUMBER(SEARCH(IF(D$1&lt;&gt;"",D$1,"NA"),'MITRE ATT&amp;CK Mappings'!$F91))),ISNUMBER(SEARCH(IF(D$2&lt;&gt;"",D$2,"NA"),'MITRE ATT&amp;CK Mappings'!$G91))),ISNUMBER(SEARCH(IF(D$2&lt;&gt;"",D$2,"NA"),'MITRE ATT&amp;CK Mappings'!$H91))),ISNUMBER(SEARCH(IF(D$3&lt;&gt;"",D$3,"NA"),'MITRE ATT&amp;CK Mappings'!$I91))),ISNUMBER(SEARCH(IF(D$3&lt;&gt;"",D$3,"NA"),'MITRE ATT&amp;CK Mappings'!$J91))), 'MITRE ATT&amp;CK Mappings'!$B91,"")</f>
        <v/>
      </c>
      <c r="E95" s="27" t="str">
        <f>IF(OR(OR(OR(OR(OR(ISNUMBER(SEARCH(IF(E$1&lt;&gt;"",E$1,"NA"),'MITRE ATT&amp;CK Mappings'!$E91)),ISNUMBER(SEARCH(IF(E$1&lt;&gt;"",E$1,"NA"),'MITRE ATT&amp;CK Mappings'!$F91))),ISNUMBER(SEARCH(IF(E$2&lt;&gt;"",E$2,"NA"),'MITRE ATT&amp;CK Mappings'!$G91))),ISNUMBER(SEARCH(IF(E$2&lt;&gt;"",E$2,"NA"),'MITRE ATT&amp;CK Mappings'!$H91))),ISNUMBER(SEARCH(IF(E$3&lt;&gt;"",E$3,"NA"),'MITRE ATT&amp;CK Mappings'!$I91))),ISNUMBER(SEARCH(IF(E$3&lt;&gt;"",E$3,"NA"),'MITRE ATT&amp;CK Mappings'!$J91))), 'MITRE ATT&amp;CK Mappings'!$B91,"")</f>
        <v/>
      </c>
      <c r="F95" s="27" t="str">
        <f>IF(OR(OR(OR(OR(OR(ISNUMBER(SEARCH(IF(F$1&lt;&gt;"",F$1,"NA"),'MITRE ATT&amp;CK Mappings'!$E91)),ISNUMBER(SEARCH(IF(F$1&lt;&gt;"",F$1,"NA"),'MITRE ATT&amp;CK Mappings'!$F91))),ISNUMBER(SEARCH(IF(F$2&lt;&gt;"",F$2,"NA"),'MITRE ATT&amp;CK Mappings'!$G91))),ISNUMBER(SEARCH(IF(F$2&lt;&gt;"",F$2,"NA"),'MITRE ATT&amp;CK Mappings'!$H91))),ISNUMBER(SEARCH(IF(F$3&lt;&gt;"",F$3,"NA"),'MITRE ATT&amp;CK Mappings'!$I91))),ISNUMBER(SEARCH(IF(F$3&lt;&gt;"",F$3,"NA"),'MITRE ATT&amp;CK Mappings'!$J91))), 'MITRE ATT&amp;CK Mappings'!$B91,"")</f>
        <v/>
      </c>
      <c r="G95" s="27" t="str">
        <f>IF(OR(OR(OR(OR(OR(ISNUMBER(SEARCH(IF(G$1&lt;&gt;"",G$1,"NA"),'MITRE ATT&amp;CK Mappings'!$E91)),ISNUMBER(SEARCH(IF(G$1&lt;&gt;"",G$1,"NA"),'MITRE ATT&amp;CK Mappings'!$F91))),ISNUMBER(SEARCH(IF(G$2&lt;&gt;"",G$2,"NA"),'MITRE ATT&amp;CK Mappings'!$G91))),ISNUMBER(SEARCH(IF(G$2&lt;&gt;"",G$2,"NA"),'MITRE ATT&amp;CK Mappings'!$H91))),ISNUMBER(SEARCH(IF(G$3&lt;&gt;"",G$3,"NA"),'MITRE ATT&amp;CK Mappings'!$I91))),ISNUMBER(SEARCH(IF(G$3&lt;&gt;"",G$3,"NA"),'MITRE ATT&amp;CK Mappings'!$J91))), 'MITRE ATT&amp;CK Mappings'!$B91,"")</f>
        <v/>
      </c>
      <c r="H95" s="27" t="str">
        <f>IF(OR(OR(OR(OR(OR(ISNUMBER(SEARCH(IF(H$1&lt;&gt;"",H$1,"NA"),'MITRE ATT&amp;CK Mappings'!$E91)),ISNUMBER(SEARCH(IF(H$1&lt;&gt;"",H$1,"NA"),'MITRE ATT&amp;CK Mappings'!$F91))),ISNUMBER(SEARCH(IF(H$2&lt;&gt;"",H$2,"NA"),'MITRE ATT&amp;CK Mappings'!$G91))),ISNUMBER(SEARCH(IF(H$2&lt;&gt;"",H$2,"NA"),'MITRE ATT&amp;CK Mappings'!$H91))),ISNUMBER(SEARCH(IF(H$3&lt;&gt;"",H$3,"NA"),'MITRE ATT&amp;CK Mappings'!$I91))),ISNUMBER(SEARCH(IF(H$3&lt;&gt;"",H$3,"NA"),'MITRE ATT&amp;CK Mappings'!$J91))), 'MITRE ATT&amp;CK Mappings'!$B91,"")</f>
        <v/>
      </c>
      <c r="I95" s="27" t="str">
        <f>IF(OR(OR(OR(OR(OR(ISNUMBER(SEARCH(IF(I$1&lt;&gt;"",I$1,"NA"),'MITRE ATT&amp;CK Mappings'!$E91)),ISNUMBER(SEARCH(IF(I$1&lt;&gt;"",I$1,"NA"),'MITRE ATT&amp;CK Mappings'!$F91))),ISNUMBER(SEARCH(IF(I$2&lt;&gt;"",I$2,"NA"),'MITRE ATT&amp;CK Mappings'!$G91))),ISNUMBER(SEARCH(IF(I$2&lt;&gt;"",I$2,"NA"),'MITRE ATT&amp;CK Mappings'!$H91))),ISNUMBER(SEARCH(IF(I$3&lt;&gt;"",I$3,"NA"),'MITRE ATT&amp;CK Mappings'!$I91))),ISNUMBER(SEARCH(IF(I$3&lt;&gt;"",I$3,"NA"),'MITRE ATT&amp;CK Mappings'!$J91))), 'MITRE ATT&amp;CK Mappings'!$B91,"")</f>
        <v/>
      </c>
      <c r="J95" s="27" t="str">
        <f>IF(OR(OR(OR(OR(OR(ISNUMBER(SEARCH(IF(J$1&lt;&gt;"",J$1,"NA"),'MITRE ATT&amp;CK Mappings'!$E91)),ISNUMBER(SEARCH(IF(J$1&lt;&gt;"",J$1,"NA"),'MITRE ATT&amp;CK Mappings'!$F91))),ISNUMBER(SEARCH(IF(J$2&lt;&gt;"",J$2,"NA"),'MITRE ATT&amp;CK Mappings'!$G91))),ISNUMBER(SEARCH(IF(J$2&lt;&gt;"",J$2,"NA"),'MITRE ATT&amp;CK Mappings'!$H91))),ISNUMBER(SEARCH(IF(J$3&lt;&gt;"",J$3,"NA"),'MITRE ATT&amp;CK Mappings'!$I91))),ISNUMBER(SEARCH(IF(J$3&lt;&gt;"",J$3,"NA"),'MITRE ATT&amp;CK Mappings'!$J91))), 'MITRE ATT&amp;CK Mappings'!$B91,"")</f>
        <v/>
      </c>
      <c r="K95" s="27" t="str">
        <f>IF(OR(OR(OR(OR(OR(ISNUMBER(SEARCH(IF(K$1&lt;&gt;"",K$1,"NA"),'MITRE ATT&amp;CK Mappings'!$E91)),ISNUMBER(SEARCH(IF(K$1&lt;&gt;"",K$1,"NA"),'MITRE ATT&amp;CK Mappings'!$F91))),ISNUMBER(SEARCH(IF(K$2&lt;&gt;"",K$2,"NA"),'MITRE ATT&amp;CK Mappings'!$G91))),ISNUMBER(SEARCH(IF(K$2&lt;&gt;"",K$2,"NA"),'MITRE ATT&amp;CK Mappings'!$H91))),ISNUMBER(SEARCH(IF(K$3&lt;&gt;"",K$3,"NA"),'MITRE ATT&amp;CK Mappings'!$I91))),ISNUMBER(SEARCH(IF(K$3&lt;&gt;"",K$3,"NA"),'MITRE ATT&amp;CK Mappings'!$J91))), 'MITRE ATT&amp;CK Mappings'!$B91,"")</f>
        <v/>
      </c>
      <c r="L95" s="27" t="str">
        <f>IF('MITRE ATT&amp;CK Mappings'!D91 &lt;&gt;"",'MITRE ATT&amp;CK Mappings'!D91,"" )</f>
        <v>Ensure Azure Web Application Firewall (WAF) is enabled on Azure Application Gateway</v>
      </c>
    </row>
    <row r="96" spans="1:12" x14ac:dyDescent="0.25">
      <c r="A96" s="26" t="str">
        <f>IF(COUNTIF(B96:K96,"="&amp;'MITRE ATT&amp;CK Mappings'!B92)&gt;0,'MITRE ATT&amp;CK Mappings'!B92,"")</f>
        <v/>
      </c>
      <c r="B96" s="26" t="str">
        <f>IF(OR(OR(OR(OR(OR(ISNUMBER(SEARCH(IF(B$1&lt;&gt;"",B$1,"NA"),'MITRE ATT&amp;CK Mappings'!$E92)),ISNUMBER(SEARCH(IF(B$1&lt;&gt;"",B$1,"NA"),'MITRE ATT&amp;CK Mappings'!$F92))),ISNUMBER(SEARCH(IF(B$2&lt;&gt;"",B$2,"NA"),'MITRE ATT&amp;CK Mappings'!$G92))),ISNUMBER(SEARCH(IF(B$2&lt;&gt;"",B$2,"NA"),'MITRE ATT&amp;CK Mappings'!$H92))),ISNUMBER(SEARCH(IF(B$3&lt;&gt;"",B$3,"NA"),'MITRE ATT&amp;CK Mappings'!$I92))),ISNUMBER(SEARCH(IF(B$3&lt;&gt;"",B$3,"NA"),'MITRE ATT&amp;CK Mappings'!$J92))), 'MITRE ATT&amp;CK Mappings'!$B92,"")</f>
        <v/>
      </c>
      <c r="C96" s="26" t="str">
        <f>IF(OR(OR(OR(OR(OR(ISNUMBER(SEARCH(IF(C$1&lt;&gt;"",C$1,"NA"),'MITRE ATT&amp;CK Mappings'!$E92)),ISNUMBER(SEARCH(IF(C$1&lt;&gt;"",C$1,"NA"),'MITRE ATT&amp;CK Mappings'!$F92))),ISNUMBER(SEARCH(IF(C$2&lt;&gt;"",C$2,"NA"),'MITRE ATT&amp;CK Mappings'!$G92))),ISNUMBER(SEARCH(IF(C$2&lt;&gt;"",C$2,"NA"),'MITRE ATT&amp;CK Mappings'!$H92))),ISNUMBER(SEARCH(IF(C$3&lt;&gt;"",C$3,"NA"),'MITRE ATT&amp;CK Mappings'!$I92))),ISNUMBER(SEARCH(IF(C$3&lt;&gt;"",C$3,"NA"),'MITRE ATT&amp;CK Mappings'!$J92))), 'MITRE ATT&amp;CK Mappings'!$B92,"")</f>
        <v/>
      </c>
      <c r="D96" s="26" t="str">
        <f>IF(OR(OR(OR(OR(OR(ISNUMBER(SEARCH(IF(D$1&lt;&gt;"",D$1,"NA"),'MITRE ATT&amp;CK Mappings'!$E92)),ISNUMBER(SEARCH(IF(D$1&lt;&gt;"",D$1,"NA"),'MITRE ATT&amp;CK Mappings'!$F92))),ISNUMBER(SEARCH(IF(D$2&lt;&gt;"",D$2,"NA"),'MITRE ATT&amp;CK Mappings'!$G92))),ISNUMBER(SEARCH(IF(D$2&lt;&gt;"",D$2,"NA"),'MITRE ATT&amp;CK Mappings'!$H92))),ISNUMBER(SEARCH(IF(D$3&lt;&gt;"",D$3,"NA"),'MITRE ATT&amp;CK Mappings'!$I92))),ISNUMBER(SEARCH(IF(D$3&lt;&gt;"",D$3,"NA"),'MITRE ATT&amp;CK Mappings'!$J92))), 'MITRE ATT&amp;CK Mappings'!$B92,"")</f>
        <v/>
      </c>
      <c r="E96" s="26" t="str">
        <f>IF(OR(OR(OR(OR(OR(ISNUMBER(SEARCH(IF(E$1&lt;&gt;"",E$1,"NA"),'MITRE ATT&amp;CK Mappings'!$E92)),ISNUMBER(SEARCH(IF(E$1&lt;&gt;"",E$1,"NA"),'MITRE ATT&amp;CK Mappings'!$F92))),ISNUMBER(SEARCH(IF(E$2&lt;&gt;"",E$2,"NA"),'MITRE ATT&amp;CK Mappings'!$G92))),ISNUMBER(SEARCH(IF(E$2&lt;&gt;"",E$2,"NA"),'MITRE ATT&amp;CK Mappings'!$H92))),ISNUMBER(SEARCH(IF(E$3&lt;&gt;"",E$3,"NA"),'MITRE ATT&amp;CK Mappings'!$I92))),ISNUMBER(SEARCH(IF(E$3&lt;&gt;"",E$3,"NA"),'MITRE ATT&amp;CK Mappings'!$J92))), 'MITRE ATT&amp;CK Mappings'!$B92,"")</f>
        <v/>
      </c>
      <c r="F96" s="26" t="str">
        <f>IF(OR(OR(OR(OR(OR(ISNUMBER(SEARCH(IF(F$1&lt;&gt;"",F$1,"NA"),'MITRE ATT&amp;CK Mappings'!$E92)),ISNUMBER(SEARCH(IF(F$1&lt;&gt;"",F$1,"NA"),'MITRE ATT&amp;CK Mappings'!$F92))),ISNUMBER(SEARCH(IF(F$2&lt;&gt;"",F$2,"NA"),'MITRE ATT&amp;CK Mappings'!$G92))),ISNUMBER(SEARCH(IF(F$2&lt;&gt;"",F$2,"NA"),'MITRE ATT&amp;CK Mappings'!$H92))),ISNUMBER(SEARCH(IF(F$3&lt;&gt;"",F$3,"NA"),'MITRE ATT&amp;CK Mappings'!$I92))),ISNUMBER(SEARCH(IF(F$3&lt;&gt;"",F$3,"NA"),'MITRE ATT&amp;CK Mappings'!$J92))), 'MITRE ATT&amp;CK Mappings'!$B92,"")</f>
        <v/>
      </c>
      <c r="G96" s="26" t="str">
        <f>IF(OR(OR(OR(OR(OR(ISNUMBER(SEARCH(IF(G$1&lt;&gt;"",G$1,"NA"),'MITRE ATT&amp;CK Mappings'!$E92)),ISNUMBER(SEARCH(IF(G$1&lt;&gt;"",G$1,"NA"),'MITRE ATT&amp;CK Mappings'!$F92))),ISNUMBER(SEARCH(IF(G$2&lt;&gt;"",G$2,"NA"),'MITRE ATT&amp;CK Mappings'!$G92))),ISNUMBER(SEARCH(IF(G$2&lt;&gt;"",G$2,"NA"),'MITRE ATT&amp;CK Mappings'!$H92))),ISNUMBER(SEARCH(IF(G$3&lt;&gt;"",G$3,"NA"),'MITRE ATT&amp;CK Mappings'!$I92))),ISNUMBER(SEARCH(IF(G$3&lt;&gt;"",G$3,"NA"),'MITRE ATT&amp;CK Mappings'!$J92))), 'MITRE ATT&amp;CK Mappings'!$B92,"")</f>
        <v/>
      </c>
      <c r="H96" s="26" t="str">
        <f>IF(OR(OR(OR(OR(OR(ISNUMBER(SEARCH(IF(H$1&lt;&gt;"",H$1,"NA"),'MITRE ATT&amp;CK Mappings'!$E92)),ISNUMBER(SEARCH(IF(H$1&lt;&gt;"",H$1,"NA"),'MITRE ATT&amp;CK Mappings'!$F92))),ISNUMBER(SEARCH(IF(H$2&lt;&gt;"",H$2,"NA"),'MITRE ATT&amp;CK Mappings'!$G92))),ISNUMBER(SEARCH(IF(H$2&lt;&gt;"",H$2,"NA"),'MITRE ATT&amp;CK Mappings'!$H92))),ISNUMBER(SEARCH(IF(H$3&lt;&gt;"",H$3,"NA"),'MITRE ATT&amp;CK Mappings'!$I92))),ISNUMBER(SEARCH(IF(H$3&lt;&gt;"",H$3,"NA"),'MITRE ATT&amp;CK Mappings'!$J92))), 'MITRE ATT&amp;CK Mappings'!$B92,"")</f>
        <v/>
      </c>
      <c r="I96" s="26" t="str">
        <f>IF(OR(OR(OR(OR(OR(ISNUMBER(SEARCH(IF(I$1&lt;&gt;"",I$1,"NA"),'MITRE ATT&amp;CK Mappings'!$E92)),ISNUMBER(SEARCH(IF(I$1&lt;&gt;"",I$1,"NA"),'MITRE ATT&amp;CK Mappings'!$F92))),ISNUMBER(SEARCH(IF(I$2&lt;&gt;"",I$2,"NA"),'MITRE ATT&amp;CK Mappings'!$G92))),ISNUMBER(SEARCH(IF(I$2&lt;&gt;"",I$2,"NA"),'MITRE ATT&amp;CK Mappings'!$H92))),ISNUMBER(SEARCH(IF(I$3&lt;&gt;"",I$3,"NA"),'MITRE ATT&amp;CK Mappings'!$I92))),ISNUMBER(SEARCH(IF(I$3&lt;&gt;"",I$3,"NA"),'MITRE ATT&amp;CK Mappings'!$J92))), 'MITRE ATT&amp;CK Mappings'!$B92,"")</f>
        <v/>
      </c>
      <c r="J96" s="26" t="str">
        <f>IF(OR(OR(OR(OR(OR(ISNUMBER(SEARCH(IF(J$1&lt;&gt;"",J$1,"NA"),'MITRE ATT&amp;CK Mappings'!$E92)),ISNUMBER(SEARCH(IF(J$1&lt;&gt;"",J$1,"NA"),'MITRE ATT&amp;CK Mappings'!$F92))),ISNUMBER(SEARCH(IF(J$2&lt;&gt;"",J$2,"NA"),'MITRE ATT&amp;CK Mappings'!$G92))),ISNUMBER(SEARCH(IF(J$2&lt;&gt;"",J$2,"NA"),'MITRE ATT&amp;CK Mappings'!$H92))),ISNUMBER(SEARCH(IF(J$3&lt;&gt;"",J$3,"NA"),'MITRE ATT&amp;CK Mappings'!$I92))),ISNUMBER(SEARCH(IF(J$3&lt;&gt;"",J$3,"NA"),'MITRE ATT&amp;CK Mappings'!$J92))), 'MITRE ATT&amp;CK Mappings'!$B92,"")</f>
        <v/>
      </c>
      <c r="K96" s="26" t="str">
        <f>IF(OR(OR(OR(OR(OR(ISNUMBER(SEARCH(IF(K$1&lt;&gt;"",K$1,"NA"),'MITRE ATT&amp;CK Mappings'!$E92)),ISNUMBER(SEARCH(IF(K$1&lt;&gt;"",K$1,"NA"),'MITRE ATT&amp;CK Mappings'!$F92))),ISNUMBER(SEARCH(IF(K$2&lt;&gt;"",K$2,"NA"),'MITRE ATT&amp;CK Mappings'!$G92))),ISNUMBER(SEARCH(IF(K$2&lt;&gt;"",K$2,"NA"),'MITRE ATT&amp;CK Mappings'!$H92))),ISNUMBER(SEARCH(IF(K$3&lt;&gt;"",K$3,"NA"),'MITRE ATT&amp;CK Mappings'!$I92))),ISNUMBER(SEARCH(IF(K$3&lt;&gt;"",K$3,"NA"),'MITRE ATT&amp;CK Mappings'!$J92))), 'MITRE ATT&amp;CK Mappings'!$B92,"")</f>
        <v/>
      </c>
      <c r="L96" s="26" t="str">
        <f>IF('MITRE ATT&amp;CK Mappings'!D92 &lt;&gt;"",'MITRE ATT&amp;CK Mappings'!D92,"" )</f>
        <v>Ensure subnets are associated with network security groups</v>
      </c>
    </row>
    <row r="97" spans="1:12" x14ac:dyDescent="0.25">
      <c r="A97" s="27" t="str">
        <f>IF(COUNTIF(B97:K97,"="&amp;'MITRE ATT&amp;CK Mappings'!B93)&gt;0,'MITRE ATT&amp;CK Mappings'!B93,"")</f>
        <v/>
      </c>
      <c r="B97" s="27" t="str">
        <f>IF(OR(OR(OR(OR(OR(ISNUMBER(SEARCH(IF(B$1&lt;&gt;"",B$1,"NA"),'MITRE ATT&amp;CK Mappings'!$E93)),ISNUMBER(SEARCH(IF(B$1&lt;&gt;"",B$1,"NA"),'MITRE ATT&amp;CK Mappings'!$F93))),ISNUMBER(SEARCH(IF(B$2&lt;&gt;"",B$2,"NA"),'MITRE ATT&amp;CK Mappings'!$G93))),ISNUMBER(SEARCH(IF(B$2&lt;&gt;"",B$2,"NA"),'MITRE ATT&amp;CK Mappings'!$H93))),ISNUMBER(SEARCH(IF(B$3&lt;&gt;"",B$3,"NA"),'MITRE ATT&amp;CK Mappings'!$I93))),ISNUMBER(SEARCH(IF(B$3&lt;&gt;"",B$3,"NA"),'MITRE ATT&amp;CK Mappings'!$J93))), 'MITRE ATT&amp;CK Mappings'!$B93,"")</f>
        <v/>
      </c>
      <c r="C97" s="27" t="str">
        <f>IF(OR(OR(OR(OR(OR(ISNUMBER(SEARCH(IF(C$1&lt;&gt;"",C$1,"NA"),'MITRE ATT&amp;CK Mappings'!$E93)),ISNUMBER(SEARCH(IF(C$1&lt;&gt;"",C$1,"NA"),'MITRE ATT&amp;CK Mappings'!$F93))),ISNUMBER(SEARCH(IF(C$2&lt;&gt;"",C$2,"NA"),'MITRE ATT&amp;CK Mappings'!$G93))),ISNUMBER(SEARCH(IF(C$2&lt;&gt;"",C$2,"NA"),'MITRE ATT&amp;CK Mappings'!$H93))),ISNUMBER(SEARCH(IF(C$3&lt;&gt;"",C$3,"NA"),'MITRE ATT&amp;CK Mappings'!$I93))),ISNUMBER(SEARCH(IF(C$3&lt;&gt;"",C$3,"NA"),'MITRE ATT&amp;CK Mappings'!$J93))), 'MITRE ATT&amp;CK Mappings'!$B93,"")</f>
        <v/>
      </c>
      <c r="D97" s="27" t="str">
        <f>IF(OR(OR(OR(OR(OR(ISNUMBER(SEARCH(IF(D$1&lt;&gt;"",D$1,"NA"),'MITRE ATT&amp;CK Mappings'!$E93)),ISNUMBER(SEARCH(IF(D$1&lt;&gt;"",D$1,"NA"),'MITRE ATT&amp;CK Mappings'!$F93))),ISNUMBER(SEARCH(IF(D$2&lt;&gt;"",D$2,"NA"),'MITRE ATT&amp;CK Mappings'!$G93))),ISNUMBER(SEARCH(IF(D$2&lt;&gt;"",D$2,"NA"),'MITRE ATT&amp;CK Mappings'!$H93))),ISNUMBER(SEARCH(IF(D$3&lt;&gt;"",D$3,"NA"),'MITRE ATT&amp;CK Mappings'!$I93))),ISNUMBER(SEARCH(IF(D$3&lt;&gt;"",D$3,"NA"),'MITRE ATT&amp;CK Mappings'!$J93))), 'MITRE ATT&amp;CK Mappings'!$B93,"")</f>
        <v/>
      </c>
      <c r="E97" s="27" t="str">
        <f>IF(OR(OR(OR(OR(OR(ISNUMBER(SEARCH(IF(E$1&lt;&gt;"",E$1,"NA"),'MITRE ATT&amp;CK Mappings'!$E93)),ISNUMBER(SEARCH(IF(E$1&lt;&gt;"",E$1,"NA"),'MITRE ATT&amp;CK Mappings'!$F93))),ISNUMBER(SEARCH(IF(E$2&lt;&gt;"",E$2,"NA"),'MITRE ATT&amp;CK Mappings'!$G93))),ISNUMBER(SEARCH(IF(E$2&lt;&gt;"",E$2,"NA"),'MITRE ATT&amp;CK Mappings'!$H93))),ISNUMBER(SEARCH(IF(E$3&lt;&gt;"",E$3,"NA"),'MITRE ATT&amp;CK Mappings'!$I93))),ISNUMBER(SEARCH(IF(E$3&lt;&gt;"",E$3,"NA"),'MITRE ATT&amp;CK Mappings'!$J93))), 'MITRE ATT&amp;CK Mappings'!$B93,"")</f>
        <v/>
      </c>
      <c r="F97" s="27" t="str">
        <f>IF(OR(OR(OR(OR(OR(ISNUMBER(SEARCH(IF(F$1&lt;&gt;"",F$1,"NA"),'MITRE ATT&amp;CK Mappings'!$E93)),ISNUMBER(SEARCH(IF(F$1&lt;&gt;"",F$1,"NA"),'MITRE ATT&amp;CK Mappings'!$F93))),ISNUMBER(SEARCH(IF(F$2&lt;&gt;"",F$2,"NA"),'MITRE ATT&amp;CK Mappings'!$G93))),ISNUMBER(SEARCH(IF(F$2&lt;&gt;"",F$2,"NA"),'MITRE ATT&amp;CK Mappings'!$H93))),ISNUMBER(SEARCH(IF(F$3&lt;&gt;"",F$3,"NA"),'MITRE ATT&amp;CK Mappings'!$I93))),ISNUMBER(SEARCH(IF(F$3&lt;&gt;"",F$3,"NA"),'MITRE ATT&amp;CK Mappings'!$J93))), 'MITRE ATT&amp;CK Mappings'!$B93,"")</f>
        <v/>
      </c>
      <c r="G97" s="27" t="str">
        <f>IF(OR(OR(OR(OR(OR(ISNUMBER(SEARCH(IF(G$1&lt;&gt;"",G$1,"NA"),'MITRE ATT&amp;CK Mappings'!$E93)),ISNUMBER(SEARCH(IF(G$1&lt;&gt;"",G$1,"NA"),'MITRE ATT&amp;CK Mappings'!$F93))),ISNUMBER(SEARCH(IF(G$2&lt;&gt;"",G$2,"NA"),'MITRE ATT&amp;CK Mappings'!$G93))),ISNUMBER(SEARCH(IF(G$2&lt;&gt;"",G$2,"NA"),'MITRE ATT&amp;CK Mappings'!$H93))),ISNUMBER(SEARCH(IF(G$3&lt;&gt;"",G$3,"NA"),'MITRE ATT&amp;CK Mappings'!$I93))),ISNUMBER(SEARCH(IF(G$3&lt;&gt;"",G$3,"NA"),'MITRE ATT&amp;CK Mappings'!$J93))), 'MITRE ATT&amp;CK Mappings'!$B93,"")</f>
        <v/>
      </c>
      <c r="H97" s="27" t="str">
        <f>IF(OR(OR(OR(OR(OR(ISNUMBER(SEARCH(IF(H$1&lt;&gt;"",H$1,"NA"),'MITRE ATT&amp;CK Mappings'!$E93)),ISNUMBER(SEARCH(IF(H$1&lt;&gt;"",H$1,"NA"),'MITRE ATT&amp;CK Mappings'!$F93))),ISNUMBER(SEARCH(IF(H$2&lt;&gt;"",H$2,"NA"),'MITRE ATT&amp;CK Mappings'!$G93))),ISNUMBER(SEARCH(IF(H$2&lt;&gt;"",H$2,"NA"),'MITRE ATT&amp;CK Mappings'!$H93))),ISNUMBER(SEARCH(IF(H$3&lt;&gt;"",H$3,"NA"),'MITRE ATT&amp;CK Mappings'!$I93))),ISNUMBER(SEARCH(IF(H$3&lt;&gt;"",H$3,"NA"),'MITRE ATT&amp;CK Mappings'!$J93))), 'MITRE ATT&amp;CK Mappings'!$B93,"")</f>
        <v/>
      </c>
      <c r="I97" s="27" t="str">
        <f>IF(OR(OR(OR(OR(OR(ISNUMBER(SEARCH(IF(I$1&lt;&gt;"",I$1,"NA"),'MITRE ATT&amp;CK Mappings'!$E93)),ISNUMBER(SEARCH(IF(I$1&lt;&gt;"",I$1,"NA"),'MITRE ATT&amp;CK Mappings'!$F93))),ISNUMBER(SEARCH(IF(I$2&lt;&gt;"",I$2,"NA"),'MITRE ATT&amp;CK Mappings'!$G93))),ISNUMBER(SEARCH(IF(I$2&lt;&gt;"",I$2,"NA"),'MITRE ATT&amp;CK Mappings'!$H93))),ISNUMBER(SEARCH(IF(I$3&lt;&gt;"",I$3,"NA"),'MITRE ATT&amp;CK Mappings'!$I93))),ISNUMBER(SEARCH(IF(I$3&lt;&gt;"",I$3,"NA"),'MITRE ATT&amp;CK Mappings'!$J93))), 'MITRE ATT&amp;CK Mappings'!$B93,"")</f>
        <v/>
      </c>
      <c r="J97" s="27" t="str">
        <f>IF(OR(OR(OR(OR(OR(ISNUMBER(SEARCH(IF(J$1&lt;&gt;"",J$1,"NA"),'MITRE ATT&amp;CK Mappings'!$E93)),ISNUMBER(SEARCH(IF(J$1&lt;&gt;"",J$1,"NA"),'MITRE ATT&amp;CK Mappings'!$F93))),ISNUMBER(SEARCH(IF(J$2&lt;&gt;"",J$2,"NA"),'MITRE ATT&amp;CK Mappings'!$G93))),ISNUMBER(SEARCH(IF(J$2&lt;&gt;"",J$2,"NA"),'MITRE ATT&amp;CK Mappings'!$H93))),ISNUMBER(SEARCH(IF(J$3&lt;&gt;"",J$3,"NA"),'MITRE ATT&amp;CK Mappings'!$I93))),ISNUMBER(SEARCH(IF(J$3&lt;&gt;"",J$3,"NA"),'MITRE ATT&amp;CK Mappings'!$J93))), 'MITRE ATT&amp;CK Mappings'!$B93,"")</f>
        <v/>
      </c>
      <c r="K97" s="27" t="str">
        <f>IF(OR(OR(OR(OR(OR(ISNUMBER(SEARCH(IF(K$1&lt;&gt;"",K$1,"NA"),'MITRE ATT&amp;CK Mappings'!$E93)),ISNUMBER(SEARCH(IF(K$1&lt;&gt;"",K$1,"NA"),'MITRE ATT&amp;CK Mappings'!$F93))),ISNUMBER(SEARCH(IF(K$2&lt;&gt;"",K$2,"NA"),'MITRE ATT&amp;CK Mappings'!$G93))),ISNUMBER(SEARCH(IF(K$2&lt;&gt;"",K$2,"NA"),'MITRE ATT&amp;CK Mappings'!$H93))),ISNUMBER(SEARCH(IF(K$3&lt;&gt;"",K$3,"NA"),'MITRE ATT&amp;CK Mappings'!$I93))),ISNUMBER(SEARCH(IF(K$3&lt;&gt;"",K$3,"NA"),'MITRE ATT&amp;CK Mappings'!$J93))), 'MITRE ATT&amp;CK Mappings'!$B93,"")</f>
        <v/>
      </c>
      <c r="L97" s="27" t="str">
        <f>IF('MITRE ATT&amp;CK Mappings'!D93 &lt;&gt;"",'MITRE ATT&amp;CK Mappings'!D93,"" )</f>
        <v>Ensure the SSL policy's 'Min protocol version' is set to 'TLSv1_2' or higher on Azure Application Gateway</v>
      </c>
    </row>
    <row r="98" spans="1:12" x14ac:dyDescent="0.25">
      <c r="A98" s="26" t="str">
        <f>IF(COUNTIF(B98:K98,"="&amp;'MITRE ATT&amp;CK Mappings'!B94)&gt;0,'MITRE ATT&amp;CK Mappings'!B94,"")</f>
        <v/>
      </c>
      <c r="B98" s="26" t="str">
        <f>IF(OR(OR(OR(OR(OR(ISNUMBER(SEARCH(IF(B$1&lt;&gt;"",B$1,"NA"),'MITRE ATT&amp;CK Mappings'!$E94)),ISNUMBER(SEARCH(IF(B$1&lt;&gt;"",B$1,"NA"),'MITRE ATT&amp;CK Mappings'!$F94))),ISNUMBER(SEARCH(IF(B$2&lt;&gt;"",B$2,"NA"),'MITRE ATT&amp;CK Mappings'!$G94))),ISNUMBER(SEARCH(IF(B$2&lt;&gt;"",B$2,"NA"),'MITRE ATT&amp;CK Mappings'!$H94))),ISNUMBER(SEARCH(IF(B$3&lt;&gt;"",B$3,"NA"),'MITRE ATT&amp;CK Mappings'!$I94))),ISNUMBER(SEARCH(IF(B$3&lt;&gt;"",B$3,"NA"),'MITRE ATT&amp;CK Mappings'!$J94))), 'MITRE ATT&amp;CK Mappings'!$B94,"")</f>
        <v/>
      </c>
      <c r="C98" s="26" t="str">
        <f>IF(OR(OR(OR(OR(OR(ISNUMBER(SEARCH(IF(C$1&lt;&gt;"",C$1,"NA"),'MITRE ATT&amp;CK Mappings'!$E94)),ISNUMBER(SEARCH(IF(C$1&lt;&gt;"",C$1,"NA"),'MITRE ATT&amp;CK Mappings'!$F94))),ISNUMBER(SEARCH(IF(C$2&lt;&gt;"",C$2,"NA"),'MITRE ATT&amp;CK Mappings'!$G94))),ISNUMBER(SEARCH(IF(C$2&lt;&gt;"",C$2,"NA"),'MITRE ATT&amp;CK Mappings'!$H94))),ISNUMBER(SEARCH(IF(C$3&lt;&gt;"",C$3,"NA"),'MITRE ATT&amp;CK Mappings'!$I94))),ISNUMBER(SEARCH(IF(C$3&lt;&gt;"",C$3,"NA"),'MITRE ATT&amp;CK Mappings'!$J94))), 'MITRE ATT&amp;CK Mappings'!$B94,"")</f>
        <v/>
      </c>
      <c r="D98" s="26" t="str">
        <f>IF(OR(OR(OR(OR(OR(ISNUMBER(SEARCH(IF(D$1&lt;&gt;"",D$1,"NA"),'MITRE ATT&amp;CK Mappings'!$E94)),ISNUMBER(SEARCH(IF(D$1&lt;&gt;"",D$1,"NA"),'MITRE ATT&amp;CK Mappings'!$F94))),ISNUMBER(SEARCH(IF(D$2&lt;&gt;"",D$2,"NA"),'MITRE ATT&amp;CK Mappings'!$G94))),ISNUMBER(SEARCH(IF(D$2&lt;&gt;"",D$2,"NA"),'MITRE ATT&amp;CK Mappings'!$H94))),ISNUMBER(SEARCH(IF(D$3&lt;&gt;"",D$3,"NA"),'MITRE ATT&amp;CK Mappings'!$I94))),ISNUMBER(SEARCH(IF(D$3&lt;&gt;"",D$3,"NA"),'MITRE ATT&amp;CK Mappings'!$J94))), 'MITRE ATT&amp;CK Mappings'!$B94,"")</f>
        <v/>
      </c>
      <c r="E98" s="26" t="str">
        <f>IF(OR(OR(OR(OR(OR(ISNUMBER(SEARCH(IF(E$1&lt;&gt;"",E$1,"NA"),'MITRE ATT&amp;CK Mappings'!$E94)),ISNUMBER(SEARCH(IF(E$1&lt;&gt;"",E$1,"NA"),'MITRE ATT&amp;CK Mappings'!$F94))),ISNUMBER(SEARCH(IF(E$2&lt;&gt;"",E$2,"NA"),'MITRE ATT&amp;CK Mappings'!$G94))),ISNUMBER(SEARCH(IF(E$2&lt;&gt;"",E$2,"NA"),'MITRE ATT&amp;CK Mappings'!$H94))),ISNUMBER(SEARCH(IF(E$3&lt;&gt;"",E$3,"NA"),'MITRE ATT&amp;CK Mappings'!$I94))),ISNUMBER(SEARCH(IF(E$3&lt;&gt;"",E$3,"NA"),'MITRE ATT&amp;CK Mappings'!$J94))), 'MITRE ATT&amp;CK Mappings'!$B94,"")</f>
        <v/>
      </c>
      <c r="F98" s="26" t="str">
        <f>IF(OR(OR(OR(OR(OR(ISNUMBER(SEARCH(IF(F$1&lt;&gt;"",F$1,"NA"),'MITRE ATT&amp;CK Mappings'!$E94)),ISNUMBER(SEARCH(IF(F$1&lt;&gt;"",F$1,"NA"),'MITRE ATT&amp;CK Mappings'!$F94))),ISNUMBER(SEARCH(IF(F$2&lt;&gt;"",F$2,"NA"),'MITRE ATT&amp;CK Mappings'!$G94))),ISNUMBER(SEARCH(IF(F$2&lt;&gt;"",F$2,"NA"),'MITRE ATT&amp;CK Mappings'!$H94))),ISNUMBER(SEARCH(IF(F$3&lt;&gt;"",F$3,"NA"),'MITRE ATT&amp;CK Mappings'!$I94))),ISNUMBER(SEARCH(IF(F$3&lt;&gt;"",F$3,"NA"),'MITRE ATT&amp;CK Mappings'!$J94))), 'MITRE ATT&amp;CK Mappings'!$B94,"")</f>
        <v/>
      </c>
      <c r="G98" s="26" t="str">
        <f>IF(OR(OR(OR(OR(OR(ISNUMBER(SEARCH(IF(G$1&lt;&gt;"",G$1,"NA"),'MITRE ATT&amp;CK Mappings'!$E94)),ISNUMBER(SEARCH(IF(G$1&lt;&gt;"",G$1,"NA"),'MITRE ATT&amp;CK Mappings'!$F94))),ISNUMBER(SEARCH(IF(G$2&lt;&gt;"",G$2,"NA"),'MITRE ATT&amp;CK Mappings'!$G94))),ISNUMBER(SEARCH(IF(G$2&lt;&gt;"",G$2,"NA"),'MITRE ATT&amp;CK Mappings'!$H94))),ISNUMBER(SEARCH(IF(G$3&lt;&gt;"",G$3,"NA"),'MITRE ATT&amp;CK Mappings'!$I94))),ISNUMBER(SEARCH(IF(G$3&lt;&gt;"",G$3,"NA"),'MITRE ATT&amp;CK Mappings'!$J94))), 'MITRE ATT&amp;CK Mappings'!$B94,"")</f>
        <v/>
      </c>
      <c r="H98" s="26" t="str">
        <f>IF(OR(OR(OR(OR(OR(ISNUMBER(SEARCH(IF(H$1&lt;&gt;"",H$1,"NA"),'MITRE ATT&amp;CK Mappings'!$E94)),ISNUMBER(SEARCH(IF(H$1&lt;&gt;"",H$1,"NA"),'MITRE ATT&amp;CK Mappings'!$F94))),ISNUMBER(SEARCH(IF(H$2&lt;&gt;"",H$2,"NA"),'MITRE ATT&amp;CK Mappings'!$G94))),ISNUMBER(SEARCH(IF(H$2&lt;&gt;"",H$2,"NA"),'MITRE ATT&amp;CK Mappings'!$H94))),ISNUMBER(SEARCH(IF(H$3&lt;&gt;"",H$3,"NA"),'MITRE ATT&amp;CK Mappings'!$I94))),ISNUMBER(SEARCH(IF(H$3&lt;&gt;"",H$3,"NA"),'MITRE ATT&amp;CK Mappings'!$J94))), 'MITRE ATT&amp;CK Mappings'!$B94,"")</f>
        <v/>
      </c>
      <c r="I98" s="26" t="str">
        <f>IF(OR(OR(OR(OR(OR(ISNUMBER(SEARCH(IF(I$1&lt;&gt;"",I$1,"NA"),'MITRE ATT&amp;CK Mappings'!$E94)),ISNUMBER(SEARCH(IF(I$1&lt;&gt;"",I$1,"NA"),'MITRE ATT&amp;CK Mappings'!$F94))),ISNUMBER(SEARCH(IF(I$2&lt;&gt;"",I$2,"NA"),'MITRE ATT&amp;CK Mappings'!$G94))),ISNUMBER(SEARCH(IF(I$2&lt;&gt;"",I$2,"NA"),'MITRE ATT&amp;CK Mappings'!$H94))),ISNUMBER(SEARCH(IF(I$3&lt;&gt;"",I$3,"NA"),'MITRE ATT&amp;CK Mappings'!$I94))),ISNUMBER(SEARCH(IF(I$3&lt;&gt;"",I$3,"NA"),'MITRE ATT&amp;CK Mappings'!$J94))), 'MITRE ATT&amp;CK Mappings'!$B94,"")</f>
        <v/>
      </c>
      <c r="J98" s="26" t="str">
        <f>IF(OR(OR(OR(OR(OR(ISNUMBER(SEARCH(IF(J$1&lt;&gt;"",J$1,"NA"),'MITRE ATT&amp;CK Mappings'!$E94)),ISNUMBER(SEARCH(IF(J$1&lt;&gt;"",J$1,"NA"),'MITRE ATT&amp;CK Mappings'!$F94))),ISNUMBER(SEARCH(IF(J$2&lt;&gt;"",J$2,"NA"),'MITRE ATT&amp;CK Mappings'!$G94))),ISNUMBER(SEARCH(IF(J$2&lt;&gt;"",J$2,"NA"),'MITRE ATT&amp;CK Mappings'!$H94))),ISNUMBER(SEARCH(IF(J$3&lt;&gt;"",J$3,"NA"),'MITRE ATT&amp;CK Mappings'!$I94))),ISNUMBER(SEARCH(IF(J$3&lt;&gt;"",J$3,"NA"),'MITRE ATT&amp;CK Mappings'!$J94))), 'MITRE ATT&amp;CK Mappings'!$B94,"")</f>
        <v/>
      </c>
      <c r="K98" s="26" t="str">
        <f>IF(OR(OR(OR(OR(OR(ISNUMBER(SEARCH(IF(K$1&lt;&gt;"",K$1,"NA"),'MITRE ATT&amp;CK Mappings'!$E94)),ISNUMBER(SEARCH(IF(K$1&lt;&gt;"",K$1,"NA"),'MITRE ATT&amp;CK Mappings'!$F94))),ISNUMBER(SEARCH(IF(K$2&lt;&gt;"",K$2,"NA"),'MITRE ATT&amp;CK Mappings'!$G94))),ISNUMBER(SEARCH(IF(K$2&lt;&gt;"",K$2,"NA"),'MITRE ATT&amp;CK Mappings'!$H94))),ISNUMBER(SEARCH(IF(K$3&lt;&gt;"",K$3,"NA"),'MITRE ATT&amp;CK Mappings'!$I94))),ISNUMBER(SEARCH(IF(K$3&lt;&gt;"",K$3,"NA"),'MITRE ATT&amp;CK Mappings'!$J94))), 'MITRE ATT&amp;CK Mappings'!$B94,"")</f>
        <v/>
      </c>
      <c r="L98" s="26" t="str">
        <f>IF('MITRE ATT&amp;CK Mappings'!D94 &lt;&gt;"",'MITRE ATT&amp;CK Mappings'!D94,"" )</f>
        <v>Ensure 'HTTP2' is set to 'Enabled' on Azure Application Gateway</v>
      </c>
    </row>
    <row r="99" spans="1:12" x14ac:dyDescent="0.25">
      <c r="A99" s="27" t="str">
        <f>IF(COUNTIF(B99:K99,"="&amp;'MITRE ATT&amp;CK Mappings'!B95)&gt;0,'MITRE ATT&amp;CK Mappings'!B95,"")</f>
        <v/>
      </c>
      <c r="B99" s="27" t="str">
        <f>IF(OR(OR(OR(OR(OR(ISNUMBER(SEARCH(IF(B$1&lt;&gt;"",B$1,"NA"),'MITRE ATT&amp;CK Mappings'!$E95)),ISNUMBER(SEARCH(IF(B$1&lt;&gt;"",B$1,"NA"),'MITRE ATT&amp;CK Mappings'!$F95))),ISNUMBER(SEARCH(IF(B$2&lt;&gt;"",B$2,"NA"),'MITRE ATT&amp;CK Mappings'!$G95))),ISNUMBER(SEARCH(IF(B$2&lt;&gt;"",B$2,"NA"),'MITRE ATT&amp;CK Mappings'!$H95))),ISNUMBER(SEARCH(IF(B$3&lt;&gt;"",B$3,"NA"),'MITRE ATT&amp;CK Mappings'!$I95))),ISNUMBER(SEARCH(IF(B$3&lt;&gt;"",B$3,"NA"),'MITRE ATT&amp;CK Mappings'!$J95))), 'MITRE ATT&amp;CK Mappings'!$B95,"")</f>
        <v/>
      </c>
      <c r="C99" s="27" t="str">
        <f>IF(OR(OR(OR(OR(OR(ISNUMBER(SEARCH(IF(C$1&lt;&gt;"",C$1,"NA"),'MITRE ATT&amp;CK Mappings'!$E95)),ISNUMBER(SEARCH(IF(C$1&lt;&gt;"",C$1,"NA"),'MITRE ATT&amp;CK Mappings'!$F95))),ISNUMBER(SEARCH(IF(C$2&lt;&gt;"",C$2,"NA"),'MITRE ATT&amp;CK Mappings'!$G95))),ISNUMBER(SEARCH(IF(C$2&lt;&gt;"",C$2,"NA"),'MITRE ATT&amp;CK Mappings'!$H95))),ISNUMBER(SEARCH(IF(C$3&lt;&gt;"",C$3,"NA"),'MITRE ATT&amp;CK Mappings'!$I95))),ISNUMBER(SEARCH(IF(C$3&lt;&gt;"",C$3,"NA"),'MITRE ATT&amp;CK Mappings'!$J95))), 'MITRE ATT&amp;CK Mappings'!$B95,"")</f>
        <v/>
      </c>
      <c r="D99" s="27" t="str">
        <f>IF(OR(OR(OR(OR(OR(ISNUMBER(SEARCH(IF(D$1&lt;&gt;"",D$1,"NA"),'MITRE ATT&amp;CK Mappings'!$E95)),ISNUMBER(SEARCH(IF(D$1&lt;&gt;"",D$1,"NA"),'MITRE ATT&amp;CK Mappings'!$F95))),ISNUMBER(SEARCH(IF(D$2&lt;&gt;"",D$2,"NA"),'MITRE ATT&amp;CK Mappings'!$G95))),ISNUMBER(SEARCH(IF(D$2&lt;&gt;"",D$2,"NA"),'MITRE ATT&amp;CK Mappings'!$H95))),ISNUMBER(SEARCH(IF(D$3&lt;&gt;"",D$3,"NA"),'MITRE ATT&amp;CK Mappings'!$I95))),ISNUMBER(SEARCH(IF(D$3&lt;&gt;"",D$3,"NA"),'MITRE ATT&amp;CK Mappings'!$J95))), 'MITRE ATT&amp;CK Mappings'!$B95,"")</f>
        <v/>
      </c>
      <c r="E99" s="27" t="str">
        <f>IF(OR(OR(OR(OR(OR(ISNUMBER(SEARCH(IF(E$1&lt;&gt;"",E$1,"NA"),'MITRE ATT&amp;CK Mappings'!$E95)),ISNUMBER(SEARCH(IF(E$1&lt;&gt;"",E$1,"NA"),'MITRE ATT&amp;CK Mappings'!$F95))),ISNUMBER(SEARCH(IF(E$2&lt;&gt;"",E$2,"NA"),'MITRE ATT&amp;CK Mappings'!$G95))),ISNUMBER(SEARCH(IF(E$2&lt;&gt;"",E$2,"NA"),'MITRE ATT&amp;CK Mappings'!$H95))),ISNUMBER(SEARCH(IF(E$3&lt;&gt;"",E$3,"NA"),'MITRE ATT&amp;CK Mappings'!$I95))),ISNUMBER(SEARCH(IF(E$3&lt;&gt;"",E$3,"NA"),'MITRE ATT&amp;CK Mappings'!$J95))), 'MITRE ATT&amp;CK Mappings'!$B95,"")</f>
        <v/>
      </c>
      <c r="F99" s="27" t="str">
        <f>IF(OR(OR(OR(OR(OR(ISNUMBER(SEARCH(IF(F$1&lt;&gt;"",F$1,"NA"),'MITRE ATT&amp;CK Mappings'!$E95)),ISNUMBER(SEARCH(IF(F$1&lt;&gt;"",F$1,"NA"),'MITRE ATT&amp;CK Mappings'!$F95))),ISNUMBER(SEARCH(IF(F$2&lt;&gt;"",F$2,"NA"),'MITRE ATT&amp;CK Mappings'!$G95))),ISNUMBER(SEARCH(IF(F$2&lt;&gt;"",F$2,"NA"),'MITRE ATT&amp;CK Mappings'!$H95))),ISNUMBER(SEARCH(IF(F$3&lt;&gt;"",F$3,"NA"),'MITRE ATT&amp;CK Mappings'!$I95))),ISNUMBER(SEARCH(IF(F$3&lt;&gt;"",F$3,"NA"),'MITRE ATT&amp;CK Mappings'!$J95))), 'MITRE ATT&amp;CK Mappings'!$B95,"")</f>
        <v/>
      </c>
      <c r="G99" s="27" t="str">
        <f>IF(OR(OR(OR(OR(OR(ISNUMBER(SEARCH(IF(G$1&lt;&gt;"",G$1,"NA"),'MITRE ATT&amp;CK Mappings'!$E95)),ISNUMBER(SEARCH(IF(G$1&lt;&gt;"",G$1,"NA"),'MITRE ATT&amp;CK Mappings'!$F95))),ISNUMBER(SEARCH(IF(G$2&lt;&gt;"",G$2,"NA"),'MITRE ATT&amp;CK Mappings'!$G95))),ISNUMBER(SEARCH(IF(G$2&lt;&gt;"",G$2,"NA"),'MITRE ATT&amp;CK Mappings'!$H95))),ISNUMBER(SEARCH(IF(G$3&lt;&gt;"",G$3,"NA"),'MITRE ATT&amp;CK Mappings'!$I95))),ISNUMBER(SEARCH(IF(G$3&lt;&gt;"",G$3,"NA"),'MITRE ATT&amp;CK Mappings'!$J95))), 'MITRE ATT&amp;CK Mappings'!$B95,"")</f>
        <v/>
      </c>
      <c r="H99" s="27" t="str">
        <f>IF(OR(OR(OR(OR(OR(ISNUMBER(SEARCH(IF(H$1&lt;&gt;"",H$1,"NA"),'MITRE ATT&amp;CK Mappings'!$E95)),ISNUMBER(SEARCH(IF(H$1&lt;&gt;"",H$1,"NA"),'MITRE ATT&amp;CK Mappings'!$F95))),ISNUMBER(SEARCH(IF(H$2&lt;&gt;"",H$2,"NA"),'MITRE ATT&amp;CK Mappings'!$G95))),ISNUMBER(SEARCH(IF(H$2&lt;&gt;"",H$2,"NA"),'MITRE ATT&amp;CK Mappings'!$H95))),ISNUMBER(SEARCH(IF(H$3&lt;&gt;"",H$3,"NA"),'MITRE ATT&amp;CK Mappings'!$I95))),ISNUMBER(SEARCH(IF(H$3&lt;&gt;"",H$3,"NA"),'MITRE ATT&amp;CK Mappings'!$J95))), 'MITRE ATT&amp;CK Mappings'!$B95,"")</f>
        <v/>
      </c>
      <c r="I99" s="27" t="str">
        <f>IF(OR(OR(OR(OR(OR(ISNUMBER(SEARCH(IF(I$1&lt;&gt;"",I$1,"NA"),'MITRE ATT&amp;CK Mappings'!$E95)),ISNUMBER(SEARCH(IF(I$1&lt;&gt;"",I$1,"NA"),'MITRE ATT&amp;CK Mappings'!$F95))),ISNUMBER(SEARCH(IF(I$2&lt;&gt;"",I$2,"NA"),'MITRE ATT&amp;CK Mappings'!$G95))),ISNUMBER(SEARCH(IF(I$2&lt;&gt;"",I$2,"NA"),'MITRE ATT&amp;CK Mappings'!$H95))),ISNUMBER(SEARCH(IF(I$3&lt;&gt;"",I$3,"NA"),'MITRE ATT&amp;CK Mappings'!$I95))),ISNUMBER(SEARCH(IF(I$3&lt;&gt;"",I$3,"NA"),'MITRE ATT&amp;CK Mappings'!$J95))), 'MITRE ATT&amp;CK Mappings'!$B95,"")</f>
        <v/>
      </c>
      <c r="J99" s="27" t="str">
        <f>IF(OR(OR(OR(OR(OR(ISNUMBER(SEARCH(IF(J$1&lt;&gt;"",J$1,"NA"),'MITRE ATT&amp;CK Mappings'!$E95)),ISNUMBER(SEARCH(IF(J$1&lt;&gt;"",J$1,"NA"),'MITRE ATT&amp;CK Mappings'!$F95))),ISNUMBER(SEARCH(IF(J$2&lt;&gt;"",J$2,"NA"),'MITRE ATT&amp;CK Mappings'!$G95))),ISNUMBER(SEARCH(IF(J$2&lt;&gt;"",J$2,"NA"),'MITRE ATT&amp;CK Mappings'!$H95))),ISNUMBER(SEARCH(IF(J$3&lt;&gt;"",J$3,"NA"),'MITRE ATT&amp;CK Mappings'!$I95))),ISNUMBER(SEARCH(IF(J$3&lt;&gt;"",J$3,"NA"),'MITRE ATT&amp;CK Mappings'!$J95))), 'MITRE ATT&amp;CK Mappings'!$B95,"")</f>
        <v/>
      </c>
      <c r="K99" s="27" t="str">
        <f>IF(OR(OR(OR(OR(OR(ISNUMBER(SEARCH(IF(K$1&lt;&gt;"",K$1,"NA"),'MITRE ATT&amp;CK Mappings'!$E95)),ISNUMBER(SEARCH(IF(K$1&lt;&gt;"",K$1,"NA"),'MITRE ATT&amp;CK Mappings'!$F95))),ISNUMBER(SEARCH(IF(K$2&lt;&gt;"",K$2,"NA"),'MITRE ATT&amp;CK Mappings'!$G95))),ISNUMBER(SEARCH(IF(K$2&lt;&gt;"",K$2,"NA"),'MITRE ATT&amp;CK Mappings'!$H95))),ISNUMBER(SEARCH(IF(K$3&lt;&gt;"",K$3,"NA"),'MITRE ATT&amp;CK Mappings'!$I95))),ISNUMBER(SEARCH(IF(K$3&lt;&gt;"",K$3,"NA"),'MITRE ATT&amp;CK Mappings'!$J95))), 'MITRE ATT&amp;CK Mappings'!$B95,"")</f>
        <v/>
      </c>
      <c r="L99" s="27" t="str">
        <f>IF('MITRE ATT&amp;CK Mappings'!D95 &lt;&gt;"",'MITRE ATT&amp;CK Mappings'!D95,"" )</f>
        <v>Ensure request body inspection is enabled in Azure Web Application Firewall policy on Azure Application Gateway</v>
      </c>
    </row>
    <row r="100" spans="1:12" x14ac:dyDescent="0.25">
      <c r="A100" s="26" t="str">
        <f>IF(COUNTIF(B100:K100,"="&amp;'MITRE ATT&amp;CK Mappings'!B96)&gt;0,'MITRE ATT&amp;CK Mappings'!B96,"")</f>
        <v/>
      </c>
      <c r="B100" s="26" t="str">
        <f>IF(OR(OR(OR(OR(OR(ISNUMBER(SEARCH(IF(B$1&lt;&gt;"",B$1,"NA"),'MITRE ATT&amp;CK Mappings'!$E96)),ISNUMBER(SEARCH(IF(B$1&lt;&gt;"",B$1,"NA"),'MITRE ATT&amp;CK Mappings'!$F96))),ISNUMBER(SEARCH(IF(B$2&lt;&gt;"",B$2,"NA"),'MITRE ATT&amp;CK Mappings'!$G96))),ISNUMBER(SEARCH(IF(B$2&lt;&gt;"",B$2,"NA"),'MITRE ATT&amp;CK Mappings'!$H96))),ISNUMBER(SEARCH(IF(B$3&lt;&gt;"",B$3,"NA"),'MITRE ATT&amp;CK Mappings'!$I96))),ISNUMBER(SEARCH(IF(B$3&lt;&gt;"",B$3,"NA"),'MITRE ATT&amp;CK Mappings'!$J96))), 'MITRE ATT&amp;CK Mappings'!$B96,"")</f>
        <v/>
      </c>
      <c r="C100" s="26" t="str">
        <f>IF(OR(OR(OR(OR(OR(ISNUMBER(SEARCH(IF(C$1&lt;&gt;"",C$1,"NA"),'MITRE ATT&amp;CK Mappings'!$E96)),ISNUMBER(SEARCH(IF(C$1&lt;&gt;"",C$1,"NA"),'MITRE ATT&amp;CK Mappings'!$F96))),ISNUMBER(SEARCH(IF(C$2&lt;&gt;"",C$2,"NA"),'MITRE ATT&amp;CK Mappings'!$G96))),ISNUMBER(SEARCH(IF(C$2&lt;&gt;"",C$2,"NA"),'MITRE ATT&amp;CK Mappings'!$H96))),ISNUMBER(SEARCH(IF(C$3&lt;&gt;"",C$3,"NA"),'MITRE ATT&amp;CK Mappings'!$I96))),ISNUMBER(SEARCH(IF(C$3&lt;&gt;"",C$3,"NA"),'MITRE ATT&amp;CK Mappings'!$J96))), 'MITRE ATT&amp;CK Mappings'!$B96,"")</f>
        <v/>
      </c>
      <c r="D100" s="26" t="str">
        <f>IF(OR(OR(OR(OR(OR(ISNUMBER(SEARCH(IF(D$1&lt;&gt;"",D$1,"NA"),'MITRE ATT&amp;CK Mappings'!$E96)),ISNUMBER(SEARCH(IF(D$1&lt;&gt;"",D$1,"NA"),'MITRE ATT&amp;CK Mappings'!$F96))),ISNUMBER(SEARCH(IF(D$2&lt;&gt;"",D$2,"NA"),'MITRE ATT&amp;CK Mappings'!$G96))),ISNUMBER(SEARCH(IF(D$2&lt;&gt;"",D$2,"NA"),'MITRE ATT&amp;CK Mappings'!$H96))),ISNUMBER(SEARCH(IF(D$3&lt;&gt;"",D$3,"NA"),'MITRE ATT&amp;CK Mappings'!$I96))),ISNUMBER(SEARCH(IF(D$3&lt;&gt;"",D$3,"NA"),'MITRE ATT&amp;CK Mappings'!$J96))), 'MITRE ATT&amp;CK Mappings'!$B96,"")</f>
        <v/>
      </c>
      <c r="E100" s="26" t="str">
        <f>IF(OR(OR(OR(OR(OR(ISNUMBER(SEARCH(IF(E$1&lt;&gt;"",E$1,"NA"),'MITRE ATT&amp;CK Mappings'!$E96)),ISNUMBER(SEARCH(IF(E$1&lt;&gt;"",E$1,"NA"),'MITRE ATT&amp;CK Mappings'!$F96))),ISNUMBER(SEARCH(IF(E$2&lt;&gt;"",E$2,"NA"),'MITRE ATT&amp;CK Mappings'!$G96))),ISNUMBER(SEARCH(IF(E$2&lt;&gt;"",E$2,"NA"),'MITRE ATT&amp;CK Mappings'!$H96))),ISNUMBER(SEARCH(IF(E$3&lt;&gt;"",E$3,"NA"),'MITRE ATT&amp;CK Mappings'!$I96))),ISNUMBER(SEARCH(IF(E$3&lt;&gt;"",E$3,"NA"),'MITRE ATT&amp;CK Mappings'!$J96))), 'MITRE ATT&amp;CK Mappings'!$B96,"")</f>
        <v/>
      </c>
      <c r="F100" s="26" t="str">
        <f>IF(OR(OR(OR(OR(OR(ISNUMBER(SEARCH(IF(F$1&lt;&gt;"",F$1,"NA"),'MITRE ATT&amp;CK Mappings'!$E96)),ISNUMBER(SEARCH(IF(F$1&lt;&gt;"",F$1,"NA"),'MITRE ATT&amp;CK Mappings'!$F96))),ISNUMBER(SEARCH(IF(F$2&lt;&gt;"",F$2,"NA"),'MITRE ATT&amp;CK Mappings'!$G96))),ISNUMBER(SEARCH(IF(F$2&lt;&gt;"",F$2,"NA"),'MITRE ATT&amp;CK Mappings'!$H96))),ISNUMBER(SEARCH(IF(F$3&lt;&gt;"",F$3,"NA"),'MITRE ATT&amp;CK Mappings'!$I96))),ISNUMBER(SEARCH(IF(F$3&lt;&gt;"",F$3,"NA"),'MITRE ATT&amp;CK Mappings'!$J96))), 'MITRE ATT&amp;CK Mappings'!$B96,"")</f>
        <v/>
      </c>
      <c r="G100" s="26" t="str">
        <f>IF(OR(OR(OR(OR(OR(ISNUMBER(SEARCH(IF(G$1&lt;&gt;"",G$1,"NA"),'MITRE ATT&amp;CK Mappings'!$E96)),ISNUMBER(SEARCH(IF(G$1&lt;&gt;"",G$1,"NA"),'MITRE ATT&amp;CK Mappings'!$F96))),ISNUMBER(SEARCH(IF(G$2&lt;&gt;"",G$2,"NA"),'MITRE ATT&amp;CK Mappings'!$G96))),ISNUMBER(SEARCH(IF(G$2&lt;&gt;"",G$2,"NA"),'MITRE ATT&amp;CK Mappings'!$H96))),ISNUMBER(SEARCH(IF(G$3&lt;&gt;"",G$3,"NA"),'MITRE ATT&amp;CK Mappings'!$I96))),ISNUMBER(SEARCH(IF(G$3&lt;&gt;"",G$3,"NA"),'MITRE ATT&amp;CK Mappings'!$J96))), 'MITRE ATT&amp;CK Mappings'!$B96,"")</f>
        <v/>
      </c>
      <c r="H100" s="26" t="str">
        <f>IF(OR(OR(OR(OR(OR(ISNUMBER(SEARCH(IF(H$1&lt;&gt;"",H$1,"NA"),'MITRE ATT&amp;CK Mappings'!$E96)),ISNUMBER(SEARCH(IF(H$1&lt;&gt;"",H$1,"NA"),'MITRE ATT&amp;CK Mappings'!$F96))),ISNUMBER(SEARCH(IF(H$2&lt;&gt;"",H$2,"NA"),'MITRE ATT&amp;CK Mappings'!$G96))),ISNUMBER(SEARCH(IF(H$2&lt;&gt;"",H$2,"NA"),'MITRE ATT&amp;CK Mappings'!$H96))),ISNUMBER(SEARCH(IF(H$3&lt;&gt;"",H$3,"NA"),'MITRE ATT&amp;CK Mappings'!$I96))),ISNUMBER(SEARCH(IF(H$3&lt;&gt;"",H$3,"NA"),'MITRE ATT&amp;CK Mappings'!$J96))), 'MITRE ATT&amp;CK Mappings'!$B96,"")</f>
        <v/>
      </c>
      <c r="I100" s="26" t="str">
        <f>IF(OR(OR(OR(OR(OR(ISNUMBER(SEARCH(IF(I$1&lt;&gt;"",I$1,"NA"),'MITRE ATT&amp;CK Mappings'!$E96)),ISNUMBER(SEARCH(IF(I$1&lt;&gt;"",I$1,"NA"),'MITRE ATT&amp;CK Mappings'!$F96))),ISNUMBER(SEARCH(IF(I$2&lt;&gt;"",I$2,"NA"),'MITRE ATT&amp;CK Mappings'!$G96))),ISNUMBER(SEARCH(IF(I$2&lt;&gt;"",I$2,"NA"),'MITRE ATT&amp;CK Mappings'!$H96))),ISNUMBER(SEARCH(IF(I$3&lt;&gt;"",I$3,"NA"),'MITRE ATT&amp;CK Mappings'!$I96))),ISNUMBER(SEARCH(IF(I$3&lt;&gt;"",I$3,"NA"),'MITRE ATT&amp;CK Mappings'!$J96))), 'MITRE ATT&amp;CK Mappings'!$B96,"")</f>
        <v/>
      </c>
      <c r="J100" s="26" t="str">
        <f>IF(OR(OR(OR(OR(OR(ISNUMBER(SEARCH(IF(J$1&lt;&gt;"",J$1,"NA"),'MITRE ATT&amp;CK Mappings'!$E96)),ISNUMBER(SEARCH(IF(J$1&lt;&gt;"",J$1,"NA"),'MITRE ATT&amp;CK Mappings'!$F96))),ISNUMBER(SEARCH(IF(J$2&lt;&gt;"",J$2,"NA"),'MITRE ATT&amp;CK Mappings'!$G96))),ISNUMBER(SEARCH(IF(J$2&lt;&gt;"",J$2,"NA"),'MITRE ATT&amp;CK Mappings'!$H96))),ISNUMBER(SEARCH(IF(J$3&lt;&gt;"",J$3,"NA"),'MITRE ATT&amp;CK Mappings'!$I96))),ISNUMBER(SEARCH(IF(J$3&lt;&gt;"",J$3,"NA"),'MITRE ATT&amp;CK Mappings'!$J96))), 'MITRE ATT&amp;CK Mappings'!$B96,"")</f>
        <v/>
      </c>
      <c r="K100" s="26" t="str">
        <f>IF(OR(OR(OR(OR(OR(ISNUMBER(SEARCH(IF(K$1&lt;&gt;"",K$1,"NA"),'MITRE ATT&amp;CK Mappings'!$E96)),ISNUMBER(SEARCH(IF(K$1&lt;&gt;"",K$1,"NA"),'MITRE ATT&amp;CK Mappings'!$F96))),ISNUMBER(SEARCH(IF(K$2&lt;&gt;"",K$2,"NA"),'MITRE ATT&amp;CK Mappings'!$G96))),ISNUMBER(SEARCH(IF(K$2&lt;&gt;"",K$2,"NA"),'MITRE ATT&amp;CK Mappings'!$H96))),ISNUMBER(SEARCH(IF(K$3&lt;&gt;"",K$3,"NA"),'MITRE ATT&amp;CK Mappings'!$I96))),ISNUMBER(SEARCH(IF(K$3&lt;&gt;"",K$3,"NA"),'MITRE ATT&amp;CK Mappings'!$J96))), 'MITRE ATT&amp;CK Mappings'!$B96,"")</f>
        <v/>
      </c>
      <c r="L100" s="26" t="str">
        <f>IF('MITRE ATT&amp;CK Mappings'!D96 &lt;&gt;"",'MITRE ATT&amp;CK Mappings'!D96,"" )</f>
        <v>Ensure bot protection is enabled in Azure Web Application Firewall policy on Azure Application Gateway</v>
      </c>
    </row>
    <row r="101" spans="1:12" x14ac:dyDescent="0.25">
      <c r="A101" s="27" t="str">
        <f>IF(COUNTIF(B101:K101,"="&amp;'MITRE ATT&amp;CK Mappings'!B97)&gt;0,'MITRE ATT&amp;CK Mappings'!B97,"")</f>
        <v/>
      </c>
      <c r="B101" s="27" t="str">
        <f>IF(OR(OR(OR(OR(OR(ISNUMBER(SEARCH(IF(B$1&lt;&gt;"",B$1,"NA"),'MITRE ATT&amp;CK Mappings'!$E97)),ISNUMBER(SEARCH(IF(B$1&lt;&gt;"",B$1,"NA"),'MITRE ATT&amp;CK Mappings'!$F97))),ISNUMBER(SEARCH(IF(B$2&lt;&gt;"",B$2,"NA"),'MITRE ATT&amp;CK Mappings'!$G97))),ISNUMBER(SEARCH(IF(B$2&lt;&gt;"",B$2,"NA"),'MITRE ATT&amp;CK Mappings'!$H97))),ISNUMBER(SEARCH(IF(B$3&lt;&gt;"",B$3,"NA"),'MITRE ATT&amp;CK Mappings'!$I97))),ISNUMBER(SEARCH(IF(B$3&lt;&gt;"",B$3,"NA"),'MITRE ATT&amp;CK Mappings'!$J97))), 'MITRE ATT&amp;CK Mappings'!$B97,"")</f>
        <v/>
      </c>
      <c r="C101" s="27" t="str">
        <f>IF(OR(OR(OR(OR(OR(ISNUMBER(SEARCH(IF(C$1&lt;&gt;"",C$1,"NA"),'MITRE ATT&amp;CK Mappings'!$E97)),ISNUMBER(SEARCH(IF(C$1&lt;&gt;"",C$1,"NA"),'MITRE ATT&amp;CK Mappings'!$F97))),ISNUMBER(SEARCH(IF(C$2&lt;&gt;"",C$2,"NA"),'MITRE ATT&amp;CK Mappings'!$G97))),ISNUMBER(SEARCH(IF(C$2&lt;&gt;"",C$2,"NA"),'MITRE ATT&amp;CK Mappings'!$H97))),ISNUMBER(SEARCH(IF(C$3&lt;&gt;"",C$3,"NA"),'MITRE ATT&amp;CK Mappings'!$I97))),ISNUMBER(SEARCH(IF(C$3&lt;&gt;"",C$3,"NA"),'MITRE ATT&amp;CK Mappings'!$J97))), 'MITRE ATT&amp;CK Mappings'!$B97,"")</f>
        <v/>
      </c>
      <c r="D101" s="27" t="str">
        <f>IF(OR(OR(OR(OR(OR(ISNUMBER(SEARCH(IF(D$1&lt;&gt;"",D$1,"NA"),'MITRE ATT&amp;CK Mappings'!$E97)),ISNUMBER(SEARCH(IF(D$1&lt;&gt;"",D$1,"NA"),'MITRE ATT&amp;CK Mappings'!$F97))),ISNUMBER(SEARCH(IF(D$2&lt;&gt;"",D$2,"NA"),'MITRE ATT&amp;CK Mappings'!$G97))),ISNUMBER(SEARCH(IF(D$2&lt;&gt;"",D$2,"NA"),'MITRE ATT&amp;CK Mappings'!$H97))),ISNUMBER(SEARCH(IF(D$3&lt;&gt;"",D$3,"NA"),'MITRE ATT&amp;CK Mappings'!$I97))),ISNUMBER(SEARCH(IF(D$3&lt;&gt;"",D$3,"NA"),'MITRE ATT&amp;CK Mappings'!$J97))), 'MITRE ATT&amp;CK Mappings'!$B97,"")</f>
        <v/>
      </c>
      <c r="E101" s="27" t="str">
        <f>IF(OR(OR(OR(OR(OR(ISNUMBER(SEARCH(IF(E$1&lt;&gt;"",E$1,"NA"),'MITRE ATT&amp;CK Mappings'!$E97)),ISNUMBER(SEARCH(IF(E$1&lt;&gt;"",E$1,"NA"),'MITRE ATT&amp;CK Mappings'!$F97))),ISNUMBER(SEARCH(IF(E$2&lt;&gt;"",E$2,"NA"),'MITRE ATT&amp;CK Mappings'!$G97))),ISNUMBER(SEARCH(IF(E$2&lt;&gt;"",E$2,"NA"),'MITRE ATT&amp;CK Mappings'!$H97))),ISNUMBER(SEARCH(IF(E$3&lt;&gt;"",E$3,"NA"),'MITRE ATT&amp;CK Mappings'!$I97))),ISNUMBER(SEARCH(IF(E$3&lt;&gt;"",E$3,"NA"),'MITRE ATT&amp;CK Mappings'!$J97))), 'MITRE ATT&amp;CK Mappings'!$B97,"")</f>
        <v/>
      </c>
      <c r="F101" s="27" t="str">
        <f>IF(OR(OR(OR(OR(OR(ISNUMBER(SEARCH(IF(F$1&lt;&gt;"",F$1,"NA"),'MITRE ATT&amp;CK Mappings'!$E97)),ISNUMBER(SEARCH(IF(F$1&lt;&gt;"",F$1,"NA"),'MITRE ATT&amp;CK Mappings'!$F97))),ISNUMBER(SEARCH(IF(F$2&lt;&gt;"",F$2,"NA"),'MITRE ATT&amp;CK Mappings'!$G97))),ISNUMBER(SEARCH(IF(F$2&lt;&gt;"",F$2,"NA"),'MITRE ATT&amp;CK Mappings'!$H97))),ISNUMBER(SEARCH(IF(F$3&lt;&gt;"",F$3,"NA"),'MITRE ATT&amp;CK Mappings'!$I97))),ISNUMBER(SEARCH(IF(F$3&lt;&gt;"",F$3,"NA"),'MITRE ATT&amp;CK Mappings'!$J97))), 'MITRE ATT&amp;CK Mappings'!$B97,"")</f>
        <v/>
      </c>
      <c r="G101" s="27" t="str">
        <f>IF(OR(OR(OR(OR(OR(ISNUMBER(SEARCH(IF(G$1&lt;&gt;"",G$1,"NA"),'MITRE ATT&amp;CK Mappings'!$E97)),ISNUMBER(SEARCH(IF(G$1&lt;&gt;"",G$1,"NA"),'MITRE ATT&amp;CK Mappings'!$F97))),ISNUMBER(SEARCH(IF(G$2&lt;&gt;"",G$2,"NA"),'MITRE ATT&amp;CK Mappings'!$G97))),ISNUMBER(SEARCH(IF(G$2&lt;&gt;"",G$2,"NA"),'MITRE ATT&amp;CK Mappings'!$H97))),ISNUMBER(SEARCH(IF(G$3&lt;&gt;"",G$3,"NA"),'MITRE ATT&amp;CK Mappings'!$I97))),ISNUMBER(SEARCH(IF(G$3&lt;&gt;"",G$3,"NA"),'MITRE ATT&amp;CK Mappings'!$J97))), 'MITRE ATT&amp;CK Mappings'!$B97,"")</f>
        <v/>
      </c>
      <c r="H101" s="27" t="str">
        <f>IF(OR(OR(OR(OR(OR(ISNUMBER(SEARCH(IF(H$1&lt;&gt;"",H$1,"NA"),'MITRE ATT&amp;CK Mappings'!$E97)),ISNUMBER(SEARCH(IF(H$1&lt;&gt;"",H$1,"NA"),'MITRE ATT&amp;CK Mappings'!$F97))),ISNUMBER(SEARCH(IF(H$2&lt;&gt;"",H$2,"NA"),'MITRE ATT&amp;CK Mappings'!$G97))),ISNUMBER(SEARCH(IF(H$2&lt;&gt;"",H$2,"NA"),'MITRE ATT&amp;CK Mappings'!$H97))),ISNUMBER(SEARCH(IF(H$3&lt;&gt;"",H$3,"NA"),'MITRE ATT&amp;CK Mappings'!$I97))),ISNUMBER(SEARCH(IF(H$3&lt;&gt;"",H$3,"NA"),'MITRE ATT&amp;CK Mappings'!$J97))), 'MITRE ATT&amp;CK Mappings'!$B97,"")</f>
        <v/>
      </c>
      <c r="I101" s="27" t="str">
        <f>IF(OR(OR(OR(OR(OR(ISNUMBER(SEARCH(IF(I$1&lt;&gt;"",I$1,"NA"),'MITRE ATT&amp;CK Mappings'!$E97)),ISNUMBER(SEARCH(IF(I$1&lt;&gt;"",I$1,"NA"),'MITRE ATT&amp;CK Mappings'!$F97))),ISNUMBER(SEARCH(IF(I$2&lt;&gt;"",I$2,"NA"),'MITRE ATT&amp;CK Mappings'!$G97))),ISNUMBER(SEARCH(IF(I$2&lt;&gt;"",I$2,"NA"),'MITRE ATT&amp;CK Mappings'!$H97))),ISNUMBER(SEARCH(IF(I$3&lt;&gt;"",I$3,"NA"),'MITRE ATT&amp;CK Mappings'!$I97))),ISNUMBER(SEARCH(IF(I$3&lt;&gt;"",I$3,"NA"),'MITRE ATT&amp;CK Mappings'!$J97))), 'MITRE ATT&amp;CK Mappings'!$B97,"")</f>
        <v/>
      </c>
      <c r="J101" s="27" t="str">
        <f>IF(OR(OR(OR(OR(OR(ISNUMBER(SEARCH(IF(J$1&lt;&gt;"",J$1,"NA"),'MITRE ATT&amp;CK Mappings'!$E97)),ISNUMBER(SEARCH(IF(J$1&lt;&gt;"",J$1,"NA"),'MITRE ATT&amp;CK Mappings'!$F97))),ISNUMBER(SEARCH(IF(J$2&lt;&gt;"",J$2,"NA"),'MITRE ATT&amp;CK Mappings'!$G97))),ISNUMBER(SEARCH(IF(J$2&lt;&gt;"",J$2,"NA"),'MITRE ATT&amp;CK Mappings'!$H97))),ISNUMBER(SEARCH(IF(J$3&lt;&gt;"",J$3,"NA"),'MITRE ATT&amp;CK Mappings'!$I97))),ISNUMBER(SEARCH(IF(J$3&lt;&gt;"",J$3,"NA"),'MITRE ATT&amp;CK Mappings'!$J97))), 'MITRE ATT&amp;CK Mappings'!$B97,"")</f>
        <v/>
      </c>
      <c r="K101" s="27" t="str">
        <f>IF(OR(OR(OR(OR(OR(ISNUMBER(SEARCH(IF(K$1&lt;&gt;"",K$1,"NA"),'MITRE ATT&amp;CK Mappings'!$E97)),ISNUMBER(SEARCH(IF(K$1&lt;&gt;"",K$1,"NA"),'MITRE ATT&amp;CK Mappings'!$F97))),ISNUMBER(SEARCH(IF(K$2&lt;&gt;"",K$2,"NA"),'MITRE ATT&amp;CK Mappings'!$G97))),ISNUMBER(SEARCH(IF(K$2&lt;&gt;"",K$2,"NA"),'MITRE ATT&amp;CK Mappings'!$H97))),ISNUMBER(SEARCH(IF(K$3&lt;&gt;"",K$3,"NA"),'MITRE ATT&amp;CK Mappings'!$I97))),ISNUMBER(SEARCH(IF(K$3&lt;&gt;"",K$3,"NA"),'MITRE ATT&amp;CK Mappings'!$J97))), 'MITRE ATT&amp;CK Mappings'!$B97,"")</f>
        <v/>
      </c>
      <c r="L101" s="27" t="str">
        <f>IF('MITRE ATT&amp;CK Mappings'!D97 &lt;&gt;"",'MITRE ATT&amp;CK Mappings'!D97,"" )</f>
        <v>Ensure Azure Network Security Perimeter is used to secure Azure platform-as-a-service resources</v>
      </c>
    </row>
    <row r="102" spans="1:12" x14ac:dyDescent="0.25">
      <c r="A102" s="26" t="str">
        <f>IF(COUNTIF(B102:K102,"="&amp;'MITRE ATT&amp;CK Mappings'!B98)&gt;0,'MITRE ATT&amp;CK Mappings'!B98,"")</f>
        <v/>
      </c>
      <c r="B102" s="26" t="str">
        <f>IF(OR(OR(OR(OR(OR(ISNUMBER(SEARCH(IF(B$1&lt;&gt;"",B$1,"NA"),'MITRE ATT&amp;CK Mappings'!$E98)),ISNUMBER(SEARCH(IF(B$1&lt;&gt;"",B$1,"NA"),'MITRE ATT&amp;CK Mappings'!$F98))),ISNUMBER(SEARCH(IF(B$2&lt;&gt;"",B$2,"NA"),'MITRE ATT&amp;CK Mappings'!$G98))),ISNUMBER(SEARCH(IF(B$2&lt;&gt;"",B$2,"NA"),'MITRE ATT&amp;CK Mappings'!$H98))),ISNUMBER(SEARCH(IF(B$3&lt;&gt;"",B$3,"NA"),'MITRE ATT&amp;CK Mappings'!$I98))),ISNUMBER(SEARCH(IF(B$3&lt;&gt;"",B$3,"NA"),'MITRE ATT&amp;CK Mappings'!$J98))), 'MITRE ATT&amp;CK Mappings'!$B98,"")</f>
        <v/>
      </c>
      <c r="C102" s="26" t="str">
        <f>IF(OR(OR(OR(OR(OR(ISNUMBER(SEARCH(IF(C$1&lt;&gt;"",C$1,"NA"),'MITRE ATT&amp;CK Mappings'!$E98)),ISNUMBER(SEARCH(IF(C$1&lt;&gt;"",C$1,"NA"),'MITRE ATT&amp;CK Mappings'!$F98))),ISNUMBER(SEARCH(IF(C$2&lt;&gt;"",C$2,"NA"),'MITRE ATT&amp;CK Mappings'!$G98))),ISNUMBER(SEARCH(IF(C$2&lt;&gt;"",C$2,"NA"),'MITRE ATT&amp;CK Mappings'!$H98))),ISNUMBER(SEARCH(IF(C$3&lt;&gt;"",C$3,"NA"),'MITRE ATT&amp;CK Mappings'!$I98))),ISNUMBER(SEARCH(IF(C$3&lt;&gt;"",C$3,"NA"),'MITRE ATT&amp;CK Mappings'!$J98))), 'MITRE ATT&amp;CK Mappings'!$B98,"")</f>
        <v/>
      </c>
      <c r="D102" s="26" t="str">
        <f>IF(OR(OR(OR(OR(OR(ISNUMBER(SEARCH(IF(D$1&lt;&gt;"",D$1,"NA"),'MITRE ATT&amp;CK Mappings'!$E98)),ISNUMBER(SEARCH(IF(D$1&lt;&gt;"",D$1,"NA"),'MITRE ATT&amp;CK Mappings'!$F98))),ISNUMBER(SEARCH(IF(D$2&lt;&gt;"",D$2,"NA"),'MITRE ATT&amp;CK Mappings'!$G98))),ISNUMBER(SEARCH(IF(D$2&lt;&gt;"",D$2,"NA"),'MITRE ATT&amp;CK Mappings'!$H98))),ISNUMBER(SEARCH(IF(D$3&lt;&gt;"",D$3,"NA"),'MITRE ATT&amp;CK Mappings'!$I98))),ISNUMBER(SEARCH(IF(D$3&lt;&gt;"",D$3,"NA"),'MITRE ATT&amp;CK Mappings'!$J98))), 'MITRE ATT&amp;CK Mappings'!$B98,"")</f>
        <v/>
      </c>
      <c r="E102" s="26" t="str">
        <f>IF(OR(OR(OR(OR(OR(ISNUMBER(SEARCH(IF(E$1&lt;&gt;"",E$1,"NA"),'MITRE ATT&amp;CK Mappings'!$E98)),ISNUMBER(SEARCH(IF(E$1&lt;&gt;"",E$1,"NA"),'MITRE ATT&amp;CK Mappings'!$F98))),ISNUMBER(SEARCH(IF(E$2&lt;&gt;"",E$2,"NA"),'MITRE ATT&amp;CK Mappings'!$G98))),ISNUMBER(SEARCH(IF(E$2&lt;&gt;"",E$2,"NA"),'MITRE ATT&amp;CK Mappings'!$H98))),ISNUMBER(SEARCH(IF(E$3&lt;&gt;"",E$3,"NA"),'MITRE ATT&amp;CK Mappings'!$I98))),ISNUMBER(SEARCH(IF(E$3&lt;&gt;"",E$3,"NA"),'MITRE ATT&amp;CK Mappings'!$J98))), 'MITRE ATT&amp;CK Mappings'!$B98,"")</f>
        <v/>
      </c>
      <c r="F102" s="26" t="str">
        <f>IF(OR(OR(OR(OR(OR(ISNUMBER(SEARCH(IF(F$1&lt;&gt;"",F$1,"NA"),'MITRE ATT&amp;CK Mappings'!$E98)),ISNUMBER(SEARCH(IF(F$1&lt;&gt;"",F$1,"NA"),'MITRE ATT&amp;CK Mappings'!$F98))),ISNUMBER(SEARCH(IF(F$2&lt;&gt;"",F$2,"NA"),'MITRE ATT&amp;CK Mappings'!$G98))),ISNUMBER(SEARCH(IF(F$2&lt;&gt;"",F$2,"NA"),'MITRE ATT&amp;CK Mappings'!$H98))),ISNUMBER(SEARCH(IF(F$3&lt;&gt;"",F$3,"NA"),'MITRE ATT&amp;CK Mappings'!$I98))),ISNUMBER(SEARCH(IF(F$3&lt;&gt;"",F$3,"NA"),'MITRE ATT&amp;CK Mappings'!$J98))), 'MITRE ATT&amp;CK Mappings'!$B98,"")</f>
        <v/>
      </c>
      <c r="G102" s="26" t="str">
        <f>IF(OR(OR(OR(OR(OR(ISNUMBER(SEARCH(IF(G$1&lt;&gt;"",G$1,"NA"),'MITRE ATT&amp;CK Mappings'!$E98)),ISNUMBER(SEARCH(IF(G$1&lt;&gt;"",G$1,"NA"),'MITRE ATT&amp;CK Mappings'!$F98))),ISNUMBER(SEARCH(IF(G$2&lt;&gt;"",G$2,"NA"),'MITRE ATT&amp;CK Mappings'!$G98))),ISNUMBER(SEARCH(IF(G$2&lt;&gt;"",G$2,"NA"),'MITRE ATT&amp;CK Mappings'!$H98))),ISNUMBER(SEARCH(IF(G$3&lt;&gt;"",G$3,"NA"),'MITRE ATT&amp;CK Mappings'!$I98))),ISNUMBER(SEARCH(IF(G$3&lt;&gt;"",G$3,"NA"),'MITRE ATT&amp;CK Mappings'!$J98))), 'MITRE ATT&amp;CK Mappings'!$B98,"")</f>
        <v/>
      </c>
      <c r="H102" s="26" t="str">
        <f>IF(OR(OR(OR(OR(OR(ISNUMBER(SEARCH(IF(H$1&lt;&gt;"",H$1,"NA"),'MITRE ATT&amp;CK Mappings'!$E98)),ISNUMBER(SEARCH(IF(H$1&lt;&gt;"",H$1,"NA"),'MITRE ATT&amp;CK Mappings'!$F98))),ISNUMBER(SEARCH(IF(H$2&lt;&gt;"",H$2,"NA"),'MITRE ATT&amp;CK Mappings'!$G98))),ISNUMBER(SEARCH(IF(H$2&lt;&gt;"",H$2,"NA"),'MITRE ATT&amp;CK Mappings'!$H98))),ISNUMBER(SEARCH(IF(H$3&lt;&gt;"",H$3,"NA"),'MITRE ATT&amp;CK Mappings'!$I98))),ISNUMBER(SEARCH(IF(H$3&lt;&gt;"",H$3,"NA"),'MITRE ATT&amp;CK Mappings'!$J98))), 'MITRE ATT&amp;CK Mappings'!$B98,"")</f>
        <v/>
      </c>
      <c r="I102" s="26" t="str">
        <f>IF(OR(OR(OR(OR(OR(ISNUMBER(SEARCH(IF(I$1&lt;&gt;"",I$1,"NA"),'MITRE ATT&amp;CK Mappings'!$E98)),ISNUMBER(SEARCH(IF(I$1&lt;&gt;"",I$1,"NA"),'MITRE ATT&amp;CK Mappings'!$F98))),ISNUMBER(SEARCH(IF(I$2&lt;&gt;"",I$2,"NA"),'MITRE ATT&amp;CK Mappings'!$G98))),ISNUMBER(SEARCH(IF(I$2&lt;&gt;"",I$2,"NA"),'MITRE ATT&amp;CK Mappings'!$H98))),ISNUMBER(SEARCH(IF(I$3&lt;&gt;"",I$3,"NA"),'MITRE ATT&amp;CK Mappings'!$I98))),ISNUMBER(SEARCH(IF(I$3&lt;&gt;"",I$3,"NA"),'MITRE ATT&amp;CK Mappings'!$J98))), 'MITRE ATT&amp;CK Mappings'!$B98,"")</f>
        <v/>
      </c>
      <c r="J102" s="26" t="str">
        <f>IF(OR(OR(OR(OR(OR(ISNUMBER(SEARCH(IF(J$1&lt;&gt;"",J$1,"NA"),'MITRE ATT&amp;CK Mappings'!$E98)),ISNUMBER(SEARCH(IF(J$1&lt;&gt;"",J$1,"NA"),'MITRE ATT&amp;CK Mappings'!$F98))),ISNUMBER(SEARCH(IF(J$2&lt;&gt;"",J$2,"NA"),'MITRE ATT&amp;CK Mappings'!$G98))),ISNUMBER(SEARCH(IF(J$2&lt;&gt;"",J$2,"NA"),'MITRE ATT&amp;CK Mappings'!$H98))),ISNUMBER(SEARCH(IF(J$3&lt;&gt;"",J$3,"NA"),'MITRE ATT&amp;CK Mappings'!$I98))),ISNUMBER(SEARCH(IF(J$3&lt;&gt;"",J$3,"NA"),'MITRE ATT&amp;CK Mappings'!$J98))), 'MITRE ATT&amp;CK Mappings'!$B98,"")</f>
        <v/>
      </c>
      <c r="K102" s="26" t="str">
        <f>IF(OR(OR(OR(OR(OR(ISNUMBER(SEARCH(IF(K$1&lt;&gt;"",K$1,"NA"),'MITRE ATT&amp;CK Mappings'!$E98)),ISNUMBER(SEARCH(IF(K$1&lt;&gt;"",K$1,"NA"),'MITRE ATT&amp;CK Mappings'!$F98))),ISNUMBER(SEARCH(IF(K$2&lt;&gt;"",K$2,"NA"),'MITRE ATT&amp;CK Mappings'!$G98))),ISNUMBER(SEARCH(IF(K$2&lt;&gt;"",K$2,"NA"),'MITRE ATT&amp;CK Mappings'!$H98))),ISNUMBER(SEARCH(IF(K$3&lt;&gt;"",K$3,"NA"),'MITRE ATT&amp;CK Mappings'!$I98))),ISNUMBER(SEARCH(IF(K$3&lt;&gt;"",K$3,"NA"),'MITRE ATT&amp;CK Mappings'!$J98))), 'MITRE ATT&amp;CK Mappings'!$B98,"")</f>
        <v/>
      </c>
      <c r="L102" s="26" t="str">
        <f>IF('MITRE ATT&amp;CK Mappings'!D98 &lt;&gt;"",'MITRE ATT&amp;CK Mappings'!D98,"" )</f>
        <v>Ensure Azure DDoS Network Protection is enabled on virtual networks</v>
      </c>
    </row>
    <row r="103" spans="1:12" x14ac:dyDescent="0.25">
      <c r="A103" s="27" t="str">
        <f>IF(COUNTIF(B103:K103,"="&amp;'MITRE ATT&amp;CK Mappings'!B99)&gt;0,'MITRE ATT&amp;CK Mappings'!B99,"")</f>
        <v/>
      </c>
      <c r="B103" s="27" t="str">
        <f>IF(OR(OR(OR(OR(OR(ISNUMBER(SEARCH(IF(B$1&lt;&gt;"",B$1,"NA"),'MITRE ATT&amp;CK Mappings'!$E99)),ISNUMBER(SEARCH(IF(B$1&lt;&gt;"",B$1,"NA"),'MITRE ATT&amp;CK Mappings'!$F99))),ISNUMBER(SEARCH(IF(B$2&lt;&gt;"",B$2,"NA"),'MITRE ATT&amp;CK Mappings'!$G99))),ISNUMBER(SEARCH(IF(B$2&lt;&gt;"",B$2,"NA"),'MITRE ATT&amp;CK Mappings'!$H99))),ISNUMBER(SEARCH(IF(B$3&lt;&gt;"",B$3,"NA"),'MITRE ATT&amp;CK Mappings'!$I99))),ISNUMBER(SEARCH(IF(B$3&lt;&gt;"",B$3,"NA"),'MITRE ATT&amp;CK Mappings'!$J99))), 'MITRE ATT&amp;CK Mappings'!$B99,"")</f>
        <v/>
      </c>
      <c r="C103" s="27" t="str">
        <f>IF(OR(OR(OR(OR(OR(ISNUMBER(SEARCH(IF(C$1&lt;&gt;"",C$1,"NA"),'MITRE ATT&amp;CK Mappings'!$E99)),ISNUMBER(SEARCH(IF(C$1&lt;&gt;"",C$1,"NA"),'MITRE ATT&amp;CK Mappings'!$F99))),ISNUMBER(SEARCH(IF(C$2&lt;&gt;"",C$2,"NA"),'MITRE ATT&amp;CK Mappings'!$G99))),ISNUMBER(SEARCH(IF(C$2&lt;&gt;"",C$2,"NA"),'MITRE ATT&amp;CK Mappings'!$H99))),ISNUMBER(SEARCH(IF(C$3&lt;&gt;"",C$3,"NA"),'MITRE ATT&amp;CK Mappings'!$I99))),ISNUMBER(SEARCH(IF(C$3&lt;&gt;"",C$3,"NA"),'MITRE ATT&amp;CK Mappings'!$J99))), 'MITRE ATT&amp;CK Mappings'!$B99,"")</f>
        <v/>
      </c>
      <c r="D103" s="27" t="str">
        <f>IF(OR(OR(OR(OR(OR(ISNUMBER(SEARCH(IF(D$1&lt;&gt;"",D$1,"NA"),'MITRE ATT&amp;CK Mappings'!$E99)),ISNUMBER(SEARCH(IF(D$1&lt;&gt;"",D$1,"NA"),'MITRE ATT&amp;CK Mappings'!$F99))),ISNUMBER(SEARCH(IF(D$2&lt;&gt;"",D$2,"NA"),'MITRE ATT&amp;CK Mappings'!$G99))),ISNUMBER(SEARCH(IF(D$2&lt;&gt;"",D$2,"NA"),'MITRE ATT&amp;CK Mappings'!$H99))),ISNUMBER(SEARCH(IF(D$3&lt;&gt;"",D$3,"NA"),'MITRE ATT&amp;CK Mappings'!$I99))),ISNUMBER(SEARCH(IF(D$3&lt;&gt;"",D$3,"NA"),'MITRE ATT&amp;CK Mappings'!$J99))), 'MITRE ATT&amp;CK Mappings'!$B99,"")</f>
        <v/>
      </c>
      <c r="E103" s="27" t="str">
        <f>IF(OR(OR(OR(OR(OR(ISNUMBER(SEARCH(IF(E$1&lt;&gt;"",E$1,"NA"),'MITRE ATT&amp;CK Mappings'!$E99)),ISNUMBER(SEARCH(IF(E$1&lt;&gt;"",E$1,"NA"),'MITRE ATT&amp;CK Mappings'!$F99))),ISNUMBER(SEARCH(IF(E$2&lt;&gt;"",E$2,"NA"),'MITRE ATT&amp;CK Mappings'!$G99))),ISNUMBER(SEARCH(IF(E$2&lt;&gt;"",E$2,"NA"),'MITRE ATT&amp;CK Mappings'!$H99))),ISNUMBER(SEARCH(IF(E$3&lt;&gt;"",E$3,"NA"),'MITRE ATT&amp;CK Mappings'!$I99))),ISNUMBER(SEARCH(IF(E$3&lt;&gt;"",E$3,"NA"),'MITRE ATT&amp;CK Mappings'!$J99))), 'MITRE ATT&amp;CK Mappings'!$B99,"")</f>
        <v/>
      </c>
      <c r="F103" s="27" t="str">
        <f>IF(OR(OR(OR(OR(OR(ISNUMBER(SEARCH(IF(F$1&lt;&gt;"",F$1,"NA"),'MITRE ATT&amp;CK Mappings'!$E99)),ISNUMBER(SEARCH(IF(F$1&lt;&gt;"",F$1,"NA"),'MITRE ATT&amp;CK Mappings'!$F99))),ISNUMBER(SEARCH(IF(F$2&lt;&gt;"",F$2,"NA"),'MITRE ATT&amp;CK Mappings'!$G99))),ISNUMBER(SEARCH(IF(F$2&lt;&gt;"",F$2,"NA"),'MITRE ATT&amp;CK Mappings'!$H99))),ISNUMBER(SEARCH(IF(F$3&lt;&gt;"",F$3,"NA"),'MITRE ATT&amp;CK Mappings'!$I99))),ISNUMBER(SEARCH(IF(F$3&lt;&gt;"",F$3,"NA"),'MITRE ATT&amp;CK Mappings'!$J99))), 'MITRE ATT&amp;CK Mappings'!$B99,"")</f>
        <v/>
      </c>
      <c r="G103" s="27" t="str">
        <f>IF(OR(OR(OR(OR(OR(ISNUMBER(SEARCH(IF(G$1&lt;&gt;"",G$1,"NA"),'MITRE ATT&amp;CK Mappings'!$E99)),ISNUMBER(SEARCH(IF(G$1&lt;&gt;"",G$1,"NA"),'MITRE ATT&amp;CK Mappings'!$F99))),ISNUMBER(SEARCH(IF(G$2&lt;&gt;"",G$2,"NA"),'MITRE ATT&amp;CK Mappings'!$G99))),ISNUMBER(SEARCH(IF(G$2&lt;&gt;"",G$2,"NA"),'MITRE ATT&amp;CK Mappings'!$H99))),ISNUMBER(SEARCH(IF(G$3&lt;&gt;"",G$3,"NA"),'MITRE ATT&amp;CK Mappings'!$I99))),ISNUMBER(SEARCH(IF(G$3&lt;&gt;"",G$3,"NA"),'MITRE ATT&amp;CK Mappings'!$J99))), 'MITRE ATT&amp;CK Mappings'!$B99,"")</f>
        <v/>
      </c>
      <c r="H103" s="27" t="str">
        <f>IF(OR(OR(OR(OR(OR(ISNUMBER(SEARCH(IF(H$1&lt;&gt;"",H$1,"NA"),'MITRE ATT&amp;CK Mappings'!$E99)),ISNUMBER(SEARCH(IF(H$1&lt;&gt;"",H$1,"NA"),'MITRE ATT&amp;CK Mappings'!$F99))),ISNUMBER(SEARCH(IF(H$2&lt;&gt;"",H$2,"NA"),'MITRE ATT&amp;CK Mappings'!$G99))),ISNUMBER(SEARCH(IF(H$2&lt;&gt;"",H$2,"NA"),'MITRE ATT&amp;CK Mappings'!$H99))),ISNUMBER(SEARCH(IF(H$3&lt;&gt;"",H$3,"NA"),'MITRE ATT&amp;CK Mappings'!$I99))),ISNUMBER(SEARCH(IF(H$3&lt;&gt;"",H$3,"NA"),'MITRE ATT&amp;CK Mappings'!$J99))), 'MITRE ATT&amp;CK Mappings'!$B99,"")</f>
        <v/>
      </c>
      <c r="I103" s="27" t="str">
        <f>IF(OR(OR(OR(OR(OR(ISNUMBER(SEARCH(IF(I$1&lt;&gt;"",I$1,"NA"),'MITRE ATT&amp;CK Mappings'!$E99)),ISNUMBER(SEARCH(IF(I$1&lt;&gt;"",I$1,"NA"),'MITRE ATT&amp;CK Mappings'!$F99))),ISNUMBER(SEARCH(IF(I$2&lt;&gt;"",I$2,"NA"),'MITRE ATT&amp;CK Mappings'!$G99))),ISNUMBER(SEARCH(IF(I$2&lt;&gt;"",I$2,"NA"),'MITRE ATT&amp;CK Mappings'!$H99))),ISNUMBER(SEARCH(IF(I$3&lt;&gt;"",I$3,"NA"),'MITRE ATT&amp;CK Mappings'!$I99))),ISNUMBER(SEARCH(IF(I$3&lt;&gt;"",I$3,"NA"),'MITRE ATT&amp;CK Mappings'!$J99))), 'MITRE ATT&amp;CK Mappings'!$B99,"")</f>
        <v/>
      </c>
      <c r="J103" s="27" t="str">
        <f>IF(OR(OR(OR(OR(OR(ISNUMBER(SEARCH(IF(J$1&lt;&gt;"",J$1,"NA"),'MITRE ATT&amp;CK Mappings'!$E99)),ISNUMBER(SEARCH(IF(J$1&lt;&gt;"",J$1,"NA"),'MITRE ATT&amp;CK Mappings'!$F99))),ISNUMBER(SEARCH(IF(J$2&lt;&gt;"",J$2,"NA"),'MITRE ATT&amp;CK Mappings'!$G99))),ISNUMBER(SEARCH(IF(J$2&lt;&gt;"",J$2,"NA"),'MITRE ATT&amp;CK Mappings'!$H99))),ISNUMBER(SEARCH(IF(J$3&lt;&gt;"",J$3,"NA"),'MITRE ATT&amp;CK Mappings'!$I99))),ISNUMBER(SEARCH(IF(J$3&lt;&gt;"",J$3,"NA"),'MITRE ATT&amp;CK Mappings'!$J99))), 'MITRE ATT&amp;CK Mappings'!$B99,"")</f>
        <v/>
      </c>
      <c r="K103" s="27" t="str">
        <f>IF(OR(OR(OR(OR(OR(ISNUMBER(SEARCH(IF(K$1&lt;&gt;"",K$1,"NA"),'MITRE ATT&amp;CK Mappings'!$E99)),ISNUMBER(SEARCH(IF(K$1&lt;&gt;"",K$1,"NA"),'MITRE ATT&amp;CK Mappings'!$F99))),ISNUMBER(SEARCH(IF(K$2&lt;&gt;"",K$2,"NA"),'MITRE ATT&amp;CK Mappings'!$G99))),ISNUMBER(SEARCH(IF(K$2&lt;&gt;"",K$2,"NA"),'MITRE ATT&amp;CK Mappings'!$H99))),ISNUMBER(SEARCH(IF(K$3&lt;&gt;"",K$3,"NA"),'MITRE ATT&amp;CK Mappings'!$I99))),ISNUMBER(SEARCH(IF(K$3&lt;&gt;"",K$3,"NA"),'MITRE ATT&amp;CK Mappings'!$J99))), 'MITRE ATT&amp;CK Mappings'!$B99,"")</f>
        <v/>
      </c>
      <c r="L103" s="27" t="str">
        <f>IF('MITRE ATT&amp;CK Mappings'!D99 &lt;&gt;"",'MITRE ATT&amp;CK Mappings'!D99,"" )</f>
        <v>Ensure that Microsoft Defender for Cloud is configured to check VM operating systems for updates</v>
      </c>
    </row>
    <row r="104" spans="1:12" x14ac:dyDescent="0.25">
      <c r="A104" s="26" t="str">
        <f>IF(COUNTIF(B104:K104,"="&amp;'MITRE ATT&amp;CK Mappings'!B100)&gt;0,'MITRE ATT&amp;CK Mappings'!B100,"")</f>
        <v/>
      </c>
      <c r="B104" s="26" t="str">
        <f>IF(OR(OR(OR(OR(OR(ISNUMBER(SEARCH(IF(B$1&lt;&gt;"",B$1,"NA"),'MITRE ATT&amp;CK Mappings'!$E100)),ISNUMBER(SEARCH(IF(B$1&lt;&gt;"",B$1,"NA"),'MITRE ATT&amp;CK Mappings'!$F100))),ISNUMBER(SEARCH(IF(B$2&lt;&gt;"",B$2,"NA"),'MITRE ATT&amp;CK Mappings'!$G100))),ISNUMBER(SEARCH(IF(B$2&lt;&gt;"",B$2,"NA"),'MITRE ATT&amp;CK Mappings'!$H100))),ISNUMBER(SEARCH(IF(B$3&lt;&gt;"",B$3,"NA"),'MITRE ATT&amp;CK Mappings'!$I100))),ISNUMBER(SEARCH(IF(B$3&lt;&gt;"",B$3,"NA"),'MITRE ATT&amp;CK Mappings'!$J100))), 'MITRE ATT&amp;CK Mappings'!$B100,"")</f>
        <v/>
      </c>
      <c r="C104" s="26" t="str">
        <f>IF(OR(OR(OR(OR(OR(ISNUMBER(SEARCH(IF(C$1&lt;&gt;"",C$1,"NA"),'MITRE ATT&amp;CK Mappings'!$E100)),ISNUMBER(SEARCH(IF(C$1&lt;&gt;"",C$1,"NA"),'MITRE ATT&amp;CK Mappings'!$F100))),ISNUMBER(SEARCH(IF(C$2&lt;&gt;"",C$2,"NA"),'MITRE ATT&amp;CK Mappings'!$G100))),ISNUMBER(SEARCH(IF(C$2&lt;&gt;"",C$2,"NA"),'MITRE ATT&amp;CK Mappings'!$H100))),ISNUMBER(SEARCH(IF(C$3&lt;&gt;"",C$3,"NA"),'MITRE ATT&amp;CK Mappings'!$I100))),ISNUMBER(SEARCH(IF(C$3&lt;&gt;"",C$3,"NA"),'MITRE ATT&amp;CK Mappings'!$J100))), 'MITRE ATT&amp;CK Mappings'!$B100,"")</f>
        <v/>
      </c>
      <c r="D104" s="26" t="str">
        <f>IF(OR(OR(OR(OR(OR(ISNUMBER(SEARCH(IF(D$1&lt;&gt;"",D$1,"NA"),'MITRE ATT&amp;CK Mappings'!$E100)),ISNUMBER(SEARCH(IF(D$1&lt;&gt;"",D$1,"NA"),'MITRE ATT&amp;CK Mappings'!$F100))),ISNUMBER(SEARCH(IF(D$2&lt;&gt;"",D$2,"NA"),'MITRE ATT&amp;CK Mappings'!$G100))),ISNUMBER(SEARCH(IF(D$2&lt;&gt;"",D$2,"NA"),'MITRE ATT&amp;CK Mappings'!$H100))),ISNUMBER(SEARCH(IF(D$3&lt;&gt;"",D$3,"NA"),'MITRE ATT&amp;CK Mappings'!$I100))),ISNUMBER(SEARCH(IF(D$3&lt;&gt;"",D$3,"NA"),'MITRE ATT&amp;CK Mappings'!$J100))), 'MITRE ATT&amp;CK Mappings'!$B100,"")</f>
        <v/>
      </c>
      <c r="E104" s="26" t="str">
        <f>IF(OR(OR(OR(OR(OR(ISNUMBER(SEARCH(IF(E$1&lt;&gt;"",E$1,"NA"),'MITRE ATT&amp;CK Mappings'!$E100)),ISNUMBER(SEARCH(IF(E$1&lt;&gt;"",E$1,"NA"),'MITRE ATT&amp;CK Mappings'!$F100))),ISNUMBER(SEARCH(IF(E$2&lt;&gt;"",E$2,"NA"),'MITRE ATT&amp;CK Mappings'!$G100))),ISNUMBER(SEARCH(IF(E$2&lt;&gt;"",E$2,"NA"),'MITRE ATT&amp;CK Mappings'!$H100))),ISNUMBER(SEARCH(IF(E$3&lt;&gt;"",E$3,"NA"),'MITRE ATT&amp;CK Mappings'!$I100))),ISNUMBER(SEARCH(IF(E$3&lt;&gt;"",E$3,"NA"),'MITRE ATT&amp;CK Mappings'!$J100))), 'MITRE ATT&amp;CK Mappings'!$B100,"")</f>
        <v/>
      </c>
      <c r="F104" s="26" t="str">
        <f>IF(OR(OR(OR(OR(OR(ISNUMBER(SEARCH(IF(F$1&lt;&gt;"",F$1,"NA"),'MITRE ATT&amp;CK Mappings'!$E100)),ISNUMBER(SEARCH(IF(F$1&lt;&gt;"",F$1,"NA"),'MITRE ATT&amp;CK Mappings'!$F100))),ISNUMBER(SEARCH(IF(F$2&lt;&gt;"",F$2,"NA"),'MITRE ATT&amp;CK Mappings'!$G100))),ISNUMBER(SEARCH(IF(F$2&lt;&gt;"",F$2,"NA"),'MITRE ATT&amp;CK Mappings'!$H100))),ISNUMBER(SEARCH(IF(F$3&lt;&gt;"",F$3,"NA"),'MITRE ATT&amp;CK Mappings'!$I100))),ISNUMBER(SEARCH(IF(F$3&lt;&gt;"",F$3,"NA"),'MITRE ATT&amp;CK Mappings'!$J100))), 'MITRE ATT&amp;CK Mappings'!$B100,"")</f>
        <v/>
      </c>
      <c r="G104" s="26" t="str">
        <f>IF(OR(OR(OR(OR(OR(ISNUMBER(SEARCH(IF(G$1&lt;&gt;"",G$1,"NA"),'MITRE ATT&amp;CK Mappings'!$E100)),ISNUMBER(SEARCH(IF(G$1&lt;&gt;"",G$1,"NA"),'MITRE ATT&amp;CK Mappings'!$F100))),ISNUMBER(SEARCH(IF(G$2&lt;&gt;"",G$2,"NA"),'MITRE ATT&amp;CK Mappings'!$G100))),ISNUMBER(SEARCH(IF(G$2&lt;&gt;"",G$2,"NA"),'MITRE ATT&amp;CK Mappings'!$H100))),ISNUMBER(SEARCH(IF(G$3&lt;&gt;"",G$3,"NA"),'MITRE ATT&amp;CK Mappings'!$I100))),ISNUMBER(SEARCH(IF(G$3&lt;&gt;"",G$3,"NA"),'MITRE ATT&amp;CK Mappings'!$J100))), 'MITRE ATT&amp;CK Mappings'!$B100,"")</f>
        <v/>
      </c>
      <c r="H104" s="26" t="str">
        <f>IF(OR(OR(OR(OR(OR(ISNUMBER(SEARCH(IF(H$1&lt;&gt;"",H$1,"NA"),'MITRE ATT&amp;CK Mappings'!$E100)),ISNUMBER(SEARCH(IF(H$1&lt;&gt;"",H$1,"NA"),'MITRE ATT&amp;CK Mappings'!$F100))),ISNUMBER(SEARCH(IF(H$2&lt;&gt;"",H$2,"NA"),'MITRE ATT&amp;CK Mappings'!$G100))),ISNUMBER(SEARCH(IF(H$2&lt;&gt;"",H$2,"NA"),'MITRE ATT&amp;CK Mappings'!$H100))),ISNUMBER(SEARCH(IF(H$3&lt;&gt;"",H$3,"NA"),'MITRE ATT&amp;CK Mappings'!$I100))),ISNUMBER(SEARCH(IF(H$3&lt;&gt;"",H$3,"NA"),'MITRE ATT&amp;CK Mappings'!$J100))), 'MITRE ATT&amp;CK Mappings'!$B100,"")</f>
        <v/>
      </c>
      <c r="I104" s="26" t="str">
        <f>IF(OR(OR(OR(OR(OR(ISNUMBER(SEARCH(IF(I$1&lt;&gt;"",I$1,"NA"),'MITRE ATT&amp;CK Mappings'!$E100)),ISNUMBER(SEARCH(IF(I$1&lt;&gt;"",I$1,"NA"),'MITRE ATT&amp;CK Mappings'!$F100))),ISNUMBER(SEARCH(IF(I$2&lt;&gt;"",I$2,"NA"),'MITRE ATT&amp;CK Mappings'!$G100))),ISNUMBER(SEARCH(IF(I$2&lt;&gt;"",I$2,"NA"),'MITRE ATT&amp;CK Mappings'!$H100))),ISNUMBER(SEARCH(IF(I$3&lt;&gt;"",I$3,"NA"),'MITRE ATT&amp;CK Mappings'!$I100))),ISNUMBER(SEARCH(IF(I$3&lt;&gt;"",I$3,"NA"),'MITRE ATT&amp;CK Mappings'!$J100))), 'MITRE ATT&amp;CK Mappings'!$B100,"")</f>
        <v/>
      </c>
      <c r="J104" s="26" t="str">
        <f>IF(OR(OR(OR(OR(OR(ISNUMBER(SEARCH(IF(J$1&lt;&gt;"",J$1,"NA"),'MITRE ATT&amp;CK Mappings'!$E100)),ISNUMBER(SEARCH(IF(J$1&lt;&gt;"",J$1,"NA"),'MITRE ATT&amp;CK Mappings'!$F100))),ISNUMBER(SEARCH(IF(J$2&lt;&gt;"",J$2,"NA"),'MITRE ATT&amp;CK Mappings'!$G100))),ISNUMBER(SEARCH(IF(J$2&lt;&gt;"",J$2,"NA"),'MITRE ATT&amp;CK Mappings'!$H100))),ISNUMBER(SEARCH(IF(J$3&lt;&gt;"",J$3,"NA"),'MITRE ATT&amp;CK Mappings'!$I100))),ISNUMBER(SEARCH(IF(J$3&lt;&gt;"",J$3,"NA"),'MITRE ATT&amp;CK Mappings'!$J100))), 'MITRE ATT&amp;CK Mappings'!$B100,"")</f>
        <v/>
      </c>
      <c r="K104" s="26" t="str">
        <f>IF(OR(OR(OR(OR(OR(ISNUMBER(SEARCH(IF(K$1&lt;&gt;"",K$1,"NA"),'MITRE ATT&amp;CK Mappings'!$E100)),ISNUMBER(SEARCH(IF(K$1&lt;&gt;"",K$1,"NA"),'MITRE ATT&amp;CK Mappings'!$F100))),ISNUMBER(SEARCH(IF(K$2&lt;&gt;"",K$2,"NA"),'MITRE ATT&amp;CK Mappings'!$G100))),ISNUMBER(SEARCH(IF(K$2&lt;&gt;"",K$2,"NA"),'MITRE ATT&amp;CK Mappings'!$H100))),ISNUMBER(SEARCH(IF(K$3&lt;&gt;"",K$3,"NA"),'MITRE ATT&amp;CK Mappings'!$I100))),ISNUMBER(SEARCH(IF(K$3&lt;&gt;"",K$3,"NA"),'MITRE ATT&amp;CK Mappings'!$J100))), 'MITRE ATT&amp;CK Mappings'!$B100,"")</f>
        <v/>
      </c>
      <c r="L104" s="26" t="str">
        <f>IF('MITRE ATT&amp;CK Mappings'!D100 &lt;&gt;"",'MITRE ATT&amp;CK Mappings'!D100,"" )</f>
        <v>Ensure that Microsoft Cloud Security Benchmark policies are not set to 'Disabled'</v>
      </c>
    </row>
    <row r="105" spans="1:12" x14ac:dyDescent="0.25">
      <c r="A105" s="27" t="str">
        <f>IF(COUNTIF(B105:K105,"="&amp;'MITRE ATT&amp;CK Mappings'!B101)&gt;0,'MITRE ATT&amp;CK Mappings'!B101,"")</f>
        <v/>
      </c>
      <c r="B105" s="27" t="str">
        <f>IF(OR(OR(OR(OR(OR(ISNUMBER(SEARCH(IF(B$1&lt;&gt;"",B$1,"NA"),'MITRE ATT&amp;CK Mappings'!$E101)),ISNUMBER(SEARCH(IF(B$1&lt;&gt;"",B$1,"NA"),'MITRE ATT&amp;CK Mappings'!$F101))),ISNUMBER(SEARCH(IF(B$2&lt;&gt;"",B$2,"NA"),'MITRE ATT&amp;CK Mappings'!$G101))),ISNUMBER(SEARCH(IF(B$2&lt;&gt;"",B$2,"NA"),'MITRE ATT&amp;CK Mappings'!$H101))),ISNUMBER(SEARCH(IF(B$3&lt;&gt;"",B$3,"NA"),'MITRE ATT&amp;CK Mappings'!$I101))),ISNUMBER(SEARCH(IF(B$3&lt;&gt;"",B$3,"NA"),'MITRE ATT&amp;CK Mappings'!$J101))), 'MITRE ATT&amp;CK Mappings'!$B101,"")</f>
        <v/>
      </c>
      <c r="C105" s="27" t="str">
        <f>IF(OR(OR(OR(OR(OR(ISNUMBER(SEARCH(IF(C$1&lt;&gt;"",C$1,"NA"),'MITRE ATT&amp;CK Mappings'!$E101)),ISNUMBER(SEARCH(IF(C$1&lt;&gt;"",C$1,"NA"),'MITRE ATT&amp;CK Mappings'!$F101))),ISNUMBER(SEARCH(IF(C$2&lt;&gt;"",C$2,"NA"),'MITRE ATT&amp;CK Mappings'!$G101))),ISNUMBER(SEARCH(IF(C$2&lt;&gt;"",C$2,"NA"),'MITRE ATT&amp;CK Mappings'!$H101))),ISNUMBER(SEARCH(IF(C$3&lt;&gt;"",C$3,"NA"),'MITRE ATT&amp;CK Mappings'!$I101))),ISNUMBER(SEARCH(IF(C$3&lt;&gt;"",C$3,"NA"),'MITRE ATT&amp;CK Mappings'!$J101))), 'MITRE ATT&amp;CK Mappings'!$B101,"")</f>
        <v/>
      </c>
      <c r="D105" s="27" t="str">
        <f>IF(OR(OR(OR(OR(OR(ISNUMBER(SEARCH(IF(D$1&lt;&gt;"",D$1,"NA"),'MITRE ATT&amp;CK Mappings'!$E101)),ISNUMBER(SEARCH(IF(D$1&lt;&gt;"",D$1,"NA"),'MITRE ATT&amp;CK Mappings'!$F101))),ISNUMBER(SEARCH(IF(D$2&lt;&gt;"",D$2,"NA"),'MITRE ATT&amp;CK Mappings'!$G101))),ISNUMBER(SEARCH(IF(D$2&lt;&gt;"",D$2,"NA"),'MITRE ATT&amp;CK Mappings'!$H101))),ISNUMBER(SEARCH(IF(D$3&lt;&gt;"",D$3,"NA"),'MITRE ATT&amp;CK Mappings'!$I101))),ISNUMBER(SEARCH(IF(D$3&lt;&gt;"",D$3,"NA"),'MITRE ATT&amp;CK Mappings'!$J101))), 'MITRE ATT&amp;CK Mappings'!$B101,"")</f>
        <v/>
      </c>
      <c r="E105" s="27" t="str">
        <f>IF(OR(OR(OR(OR(OR(ISNUMBER(SEARCH(IF(E$1&lt;&gt;"",E$1,"NA"),'MITRE ATT&amp;CK Mappings'!$E101)),ISNUMBER(SEARCH(IF(E$1&lt;&gt;"",E$1,"NA"),'MITRE ATT&amp;CK Mappings'!$F101))),ISNUMBER(SEARCH(IF(E$2&lt;&gt;"",E$2,"NA"),'MITRE ATT&amp;CK Mappings'!$G101))),ISNUMBER(SEARCH(IF(E$2&lt;&gt;"",E$2,"NA"),'MITRE ATT&amp;CK Mappings'!$H101))),ISNUMBER(SEARCH(IF(E$3&lt;&gt;"",E$3,"NA"),'MITRE ATT&amp;CK Mappings'!$I101))),ISNUMBER(SEARCH(IF(E$3&lt;&gt;"",E$3,"NA"),'MITRE ATT&amp;CK Mappings'!$J101))), 'MITRE ATT&amp;CK Mappings'!$B101,"")</f>
        <v/>
      </c>
      <c r="F105" s="27" t="str">
        <f>IF(OR(OR(OR(OR(OR(ISNUMBER(SEARCH(IF(F$1&lt;&gt;"",F$1,"NA"),'MITRE ATT&amp;CK Mappings'!$E101)),ISNUMBER(SEARCH(IF(F$1&lt;&gt;"",F$1,"NA"),'MITRE ATT&amp;CK Mappings'!$F101))),ISNUMBER(SEARCH(IF(F$2&lt;&gt;"",F$2,"NA"),'MITRE ATT&amp;CK Mappings'!$G101))),ISNUMBER(SEARCH(IF(F$2&lt;&gt;"",F$2,"NA"),'MITRE ATT&amp;CK Mappings'!$H101))),ISNUMBER(SEARCH(IF(F$3&lt;&gt;"",F$3,"NA"),'MITRE ATT&amp;CK Mappings'!$I101))),ISNUMBER(SEARCH(IF(F$3&lt;&gt;"",F$3,"NA"),'MITRE ATT&amp;CK Mappings'!$J101))), 'MITRE ATT&amp;CK Mappings'!$B101,"")</f>
        <v/>
      </c>
      <c r="G105" s="27" t="str">
        <f>IF(OR(OR(OR(OR(OR(ISNUMBER(SEARCH(IF(G$1&lt;&gt;"",G$1,"NA"),'MITRE ATT&amp;CK Mappings'!$E101)),ISNUMBER(SEARCH(IF(G$1&lt;&gt;"",G$1,"NA"),'MITRE ATT&amp;CK Mappings'!$F101))),ISNUMBER(SEARCH(IF(G$2&lt;&gt;"",G$2,"NA"),'MITRE ATT&amp;CK Mappings'!$G101))),ISNUMBER(SEARCH(IF(G$2&lt;&gt;"",G$2,"NA"),'MITRE ATT&amp;CK Mappings'!$H101))),ISNUMBER(SEARCH(IF(G$3&lt;&gt;"",G$3,"NA"),'MITRE ATT&amp;CK Mappings'!$I101))),ISNUMBER(SEARCH(IF(G$3&lt;&gt;"",G$3,"NA"),'MITRE ATT&amp;CK Mappings'!$J101))), 'MITRE ATT&amp;CK Mappings'!$B101,"")</f>
        <v/>
      </c>
      <c r="H105" s="27" t="str">
        <f>IF(OR(OR(OR(OR(OR(ISNUMBER(SEARCH(IF(H$1&lt;&gt;"",H$1,"NA"),'MITRE ATT&amp;CK Mappings'!$E101)),ISNUMBER(SEARCH(IF(H$1&lt;&gt;"",H$1,"NA"),'MITRE ATT&amp;CK Mappings'!$F101))),ISNUMBER(SEARCH(IF(H$2&lt;&gt;"",H$2,"NA"),'MITRE ATT&amp;CK Mappings'!$G101))),ISNUMBER(SEARCH(IF(H$2&lt;&gt;"",H$2,"NA"),'MITRE ATT&amp;CK Mappings'!$H101))),ISNUMBER(SEARCH(IF(H$3&lt;&gt;"",H$3,"NA"),'MITRE ATT&amp;CK Mappings'!$I101))),ISNUMBER(SEARCH(IF(H$3&lt;&gt;"",H$3,"NA"),'MITRE ATT&amp;CK Mappings'!$J101))), 'MITRE ATT&amp;CK Mappings'!$B101,"")</f>
        <v/>
      </c>
      <c r="I105" s="27" t="str">
        <f>IF(OR(OR(OR(OR(OR(ISNUMBER(SEARCH(IF(I$1&lt;&gt;"",I$1,"NA"),'MITRE ATT&amp;CK Mappings'!$E101)),ISNUMBER(SEARCH(IF(I$1&lt;&gt;"",I$1,"NA"),'MITRE ATT&amp;CK Mappings'!$F101))),ISNUMBER(SEARCH(IF(I$2&lt;&gt;"",I$2,"NA"),'MITRE ATT&amp;CK Mappings'!$G101))),ISNUMBER(SEARCH(IF(I$2&lt;&gt;"",I$2,"NA"),'MITRE ATT&amp;CK Mappings'!$H101))),ISNUMBER(SEARCH(IF(I$3&lt;&gt;"",I$3,"NA"),'MITRE ATT&amp;CK Mappings'!$I101))),ISNUMBER(SEARCH(IF(I$3&lt;&gt;"",I$3,"NA"),'MITRE ATT&amp;CK Mappings'!$J101))), 'MITRE ATT&amp;CK Mappings'!$B101,"")</f>
        <v/>
      </c>
      <c r="J105" s="27" t="str">
        <f>IF(OR(OR(OR(OR(OR(ISNUMBER(SEARCH(IF(J$1&lt;&gt;"",J$1,"NA"),'MITRE ATT&amp;CK Mappings'!$E101)),ISNUMBER(SEARCH(IF(J$1&lt;&gt;"",J$1,"NA"),'MITRE ATT&amp;CK Mappings'!$F101))),ISNUMBER(SEARCH(IF(J$2&lt;&gt;"",J$2,"NA"),'MITRE ATT&amp;CK Mappings'!$G101))),ISNUMBER(SEARCH(IF(J$2&lt;&gt;"",J$2,"NA"),'MITRE ATT&amp;CK Mappings'!$H101))),ISNUMBER(SEARCH(IF(J$3&lt;&gt;"",J$3,"NA"),'MITRE ATT&amp;CK Mappings'!$I101))),ISNUMBER(SEARCH(IF(J$3&lt;&gt;"",J$3,"NA"),'MITRE ATT&amp;CK Mappings'!$J101))), 'MITRE ATT&amp;CK Mappings'!$B101,"")</f>
        <v/>
      </c>
      <c r="K105" s="27" t="str">
        <f>IF(OR(OR(OR(OR(OR(ISNUMBER(SEARCH(IF(K$1&lt;&gt;"",K$1,"NA"),'MITRE ATT&amp;CK Mappings'!$E101)),ISNUMBER(SEARCH(IF(K$1&lt;&gt;"",K$1,"NA"),'MITRE ATT&amp;CK Mappings'!$F101))),ISNUMBER(SEARCH(IF(K$2&lt;&gt;"",K$2,"NA"),'MITRE ATT&amp;CK Mappings'!$G101))),ISNUMBER(SEARCH(IF(K$2&lt;&gt;"",K$2,"NA"),'MITRE ATT&amp;CK Mappings'!$H101))),ISNUMBER(SEARCH(IF(K$3&lt;&gt;"",K$3,"NA"),'MITRE ATT&amp;CK Mappings'!$I101))),ISNUMBER(SEARCH(IF(K$3&lt;&gt;"",K$3,"NA"),'MITRE ATT&amp;CK Mappings'!$J101))), 'MITRE ATT&amp;CK Mappings'!$B101,"")</f>
        <v/>
      </c>
      <c r="L105" s="27" t="str">
        <f>IF('MITRE ATT&amp;CK Mappings'!D101 &lt;&gt;"",'MITRE ATT&amp;CK Mappings'!D101,"" )</f>
        <v>Ensure That 'All users with the following roles' is set to 'Owner'</v>
      </c>
    </row>
    <row r="106" spans="1:12" x14ac:dyDescent="0.25">
      <c r="A106" s="26" t="str">
        <f>IF(COUNTIF(B106:K106,"="&amp;'MITRE ATT&amp;CK Mappings'!B102)&gt;0,'MITRE ATT&amp;CK Mappings'!B102,"")</f>
        <v/>
      </c>
      <c r="B106" s="26" t="str">
        <f>IF(OR(OR(OR(OR(OR(ISNUMBER(SEARCH(IF(B$1&lt;&gt;"",B$1,"NA"),'MITRE ATT&amp;CK Mappings'!$E102)),ISNUMBER(SEARCH(IF(B$1&lt;&gt;"",B$1,"NA"),'MITRE ATT&amp;CK Mappings'!$F102))),ISNUMBER(SEARCH(IF(B$2&lt;&gt;"",B$2,"NA"),'MITRE ATT&amp;CK Mappings'!$G102))),ISNUMBER(SEARCH(IF(B$2&lt;&gt;"",B$2,"NA"),'MITRE ATT&amp;CK Mappings'!$H102))),ISNUMBER(SEARCH(IF(B$3&lt;&gt;"",B$3,"NA"),'MITRE ATT&amp;CK Mappings'!$I102))),ISNUMBER(SEARCH(IF(B$3&lt;&gt;"",B$3,"NA"),'MITRE ATT&amp;CK Mappings'!$J102))), 'MITRE ATT&amp;CK Mappings'!$B102,"")</f>
        <v/>
      </c>
      <c r="C106" s="26" t="str">
        <f>IF(OR(OR(OR(OR(OR(ISNUMBER(SEARCH(IF(C$1&lt;&gt;"",C$1,"NA"),'MITRE ATT&amp;CK Mappings'!$E102)),ISNUMBER(SEARCH(IF(C$1&lt;&gt;"",C$1,"NA"),'MITRE ATT&amp;CK Mappings'!$F102))),ISNUMBER(SEARCH(IF(C$2&lt;&gt;"",C$2,"NA"),'MITRE ATT&amp;CK Mappings'!$G102))),ISNUMBER(SEARCH(IF(C$2&lt;&gt;"",C$2,"NA"),'MITRE ATT&amp;CK Mappings'!$H102))),ISNUMBER(SEARCH(IF(C$3&lt;&gt;"",C$3,"NA"),'MITRE ATT&amp;CK Mappings'!$I102))),ISNUMBER(SEARCH(IF(C$3&lt;&gt;"",C$3,"NA"),'MITRE ATT&amp;CK Mappings'!$J102))), 'MITRE ATT&amp;CK Mappings'!$B102,"")</f>
        <v/>
      </c>
      <c r="D106" s="26" t="str">
        <f>IF(OR(OR(OR(OR(OR(ISNUMBER(SEARCH(IF(D$1&lt;&gt;"",D$1,"NA"),'MITRE ATT&amp;CK Mappings'!$E102)),ISNUMBER(SEARCH(IF(D$1&lt;&gt;"",D$1,"NA"),'MITRE ATT&amp;CK Mappings'!$F102))),ISNUMBER(SEARCH(IF(D$2&lt;&gt;"",D$2,"NA"),'MITRE ATT&amp;CK Mappings'!$G102))),ISNUMBER(SEARCH(IF(D$2&lt;&gt;"",D$2,"NA"),'MITRE ATT&amp;CK Mappings'!$H102))),ISNUMBER(SEARCH(IF(D$3&lt;&gt;"",D$3,"NA"),'MITRE ATT&amp;CK Mappings'!$I102))),ISNUMBER(SEARCH(IF(D$3&lt;&gt;"",D$3,"NA"),'MITRE ATT&amp;CK Mappings'!$J102))), 'MITRE ATT&amp;CK Mappings'!$B102,"")</f>
        <v/>
      </c>
      <c r="E106" s="26" t="str">
        <f>IF(OR(OR(OR(OR(OR(ISNUMBER(SEARCH(IF(E$1&lt;&gt;"",E$1,"NA"),'MITRE ATT&amp;CK Mappings'!$E102)),ISNUMBER(SEARCH(IF(E$1&lt;&gt;"",E$1,"NA"),'MITRE ATT&amp;CK Mappings'!$F102))),ISNUMBER(SEARCH(IF(E$2&lt;&gt;"",E$2,"NA"),'MITRE ATT&amp;CK Mappings'!$G102))),ISNUMBER(SEARCH(IF(E$2&lt;&gt;"",E$2,"NA"),'MITRE ATT&amp;CK Mappings'!$H102))),ISNUMBER(SEARCH(IF(E$3&lt;&gt;"",E$3,"NA"),'MITRE ATT&amp;CK Mappings'!$I102))),ISNUMBER(SEARCH(IF(E$3&lt;&gt;"",E$3,"NA"),'MITRE ATT&amp;CK Mappings'!$J102))), 'MITRE ATT&amp;CK Mappings'!$B102,"")</f>
        <v/>
      </c>
      <c r="F106" s="26" t="str">
        <f>IF(OR(OR(OR(OR(OR(ISNUMBER(SEARCH(IF(F$1&lt;&gt;"",F$1,"NA"),'MITRE ATT&amp;CK Mappings'!$E102)),ISNUMBER(SEARCH(IF(F$1&lt;&gt;"",F$1,"NA"),'MITRE ATT&amp;CK Mappings'!$F102))),ISNUMBER(SEARCH(IF(F$2&lt;&gt;"",F$2,"NA"),'MITRE ATT&amp;CK Mappings'!$G102))),ISNUMBER(SEARCH(IF(F$2&lt;&gt;"",F$2,"NA"),'MITRE ATT&amp;CK Mappings'!$H102))),ISNUMBER(SEARCH(IF(F$3&lt;&gt;"",F$3,"NA"),'MITRE ATT&amp;CK Mappings'!$I102))),ISNUMBER(SEARCH(IF(F$3&lt;&gt;"",F$3,"NA"),'MITRE ATT&amp;CK Mappings'!$J102))), 'MITRE ATT&amp;CK Mappings'!$B102,"")</f>
        <v/>
      </c>
      <c r="G106" s="26" t="str">
        <f>IF(OR(OR(OR(OR(OR(ISNUMBER(SEARCH(IF(G$1&lt;&gt;"",G$1,"NA"),'MITRE ATT&amp;CK Mappings'!$E102)),ISNUMBER(SEARCH(IF(G$1&lt;&gt;"",G$1,"NA"),'MITRE ATT&amp;CK Mappings'!$F102))),ISNUMBER(SEARCH(IF(G$2&lt;&gt;"",G$2,"NA"),'MITRE ATT&amp;CK Mappings'!$G102))),ISNUMBER(SEARCH(IF(G$2&lt;&gt;"",G$2,"NA"),'MITRE ATT&amp;CK Mappings'!$H102))),ISNUMBER(SEARCH(IF(G$3&lt;&gt;"",G$3,"NA"),'MITRE ATT&amp;CK Mappings'!$I102))),ISNUMBER(SEARCH(IF(G$3&lt;&gt;"",G$3,"NA"),'MITRE ATT&amp;CK Mappings'!$J102))), 'MITRE ATT&amp;CK Mappings'!$B102,"")</f>
        <v/>
      </c>
      <c r="H106" s="26" t="str">
        <f>IF(OR(OR(OR(OR(OR(ISNUMBER(SEARCH(IF(H$1&lt;&gt;"",H$1,"NA"),'MITRE ATT&amp;CK Mappings'!$E102)),ISNUMBER(SEARCH(IF(H$1&lt;&gt;"",H$1,"NA"),'MITRE ATT&amp;CK Mappings'!$F102))),ISNUMBER(SEARCH(IF(H$2&lt;&gt;"",H$2,"NA"),'MITRE ATT&amp;CK Mappings'!$G102))),ISNUMBER(SEARCH(IF(H$2&lt;&gt;"",H$2,"NA"),'MITRE ATT&amp;CK Mappings'!$H102))),ISNUMBER(SEARCH(IF(H$3&lt;&gt;"",H$3,"NA"),'MITRE ATT&amp;CK Mappings'!$I102))),ISNUMBER(SEARCH(IF(H$3&lt;&gt;"",H$3,"NA"),'MITRE ATT&amp;CK Mappings'!$J102))), 'MITRE ATT&amp;CK Mappings'!$B102,"")</f>
        <v/>
      </c>
      <c r="I106" s="26" t="str">
        <f>IF(OR(OR(OR(OR(OR(ISNUMBER(SEARCH(IF(I$1&lt;&gt;"",I$1,"NA"),'MITRE ATT&amp;CK Mappings'!$E102)),ISNUMBER(SEARCH(IF(I$1&lt;&gt;"",I$1,"NA"),'MITRE ATT&amp;CK Mappings'!$F102))),ISNUMBER(SEARCH(IF(I$2&lt;&gt;"",I$2,"NA"),'MITRE ATT&amp;CK Mappings'!$G102))),ISNUMBER(SEARCH(IF(I$2&lt;&gt;"",I$2,"NA"),'MITRE ATT&amp;CK Mappings'!$H102))),ISNUMBER(SEARCH(IF(I$3&lt;&gt;"",I$3,"NA"),'MITRE ATT&amp;CK Mappings'!$I102))),ISNUMBER(SEARCH(IF(I$3&lt;&gt;"",I$3,"NA"),'MITRE ATT&amp;CK Mappings'!$J102))), 'MITRE ATT&amp;CK Mappings'!$B102,"")</f>
        <v/>
      </c>
      <c r="J106" s="26" t="str">
        <f>IF(OR(OR(OR(OR(OR(ISNUMBER(SEARCH(IF(J$1&lt;&gt;"",J$1,"NA"),'MITRE ATT&amp;CK Mappings'!$E102)),ISNUMBER(SEARCH(IF(J$1&lt;&gt;"",J$1,"NA"),'MITRE ATT&amp;CK Mappings'!$F102))),ISNUMBER(SEARCH(IF(J$2&lt;&gt;"",J$2,"NA"),'MITRE ATT&amp;CK Mappings'!$G102))),ISNUMBER(SEARCH(IF(J$2&lt;&gt;"",J$2,"NA"),'MITRE ATT&amp;CK Mappings'!$H102))),ISNUMBER(SEARCH(IF(J$3&lt;&gt;"",J$3,"NA"),'MITRE ATT&amp;CK Mappings'!$I102))),ISNUMBER(SEARCH(IF(J$3&lt;&gt;"",J$3,"NA"),'MITRE ATT&amp;CK Mappings'!$J102))), 'MITRE ATT&amp;CK Mappings'!$B102,"")</f>
        <v/>
      </c>
      <c r="K106" s="26" t="str">
        <f>IF(OR(OR(OR(OR(OR(ISNUMBER(SEARCH(IF(K$1&lt;&gt;"",K$1,"NA"),'MITRE ATT&amp;CK Mappings'!$E102)),ISNUMBER(SEARCH(IF(K$1&lt;&gt;"",K$1,"NA"),'MITRE ATT&amp;CK Mappings'!$F102))),ISNUMBER(SEARCH(IF(K$2&lt;&gt;"",K$2,"NA"),'MITRE ATT&amp;CK Mappings'!$G102))),ISNUMBER(SEARCH(IF(K$2&lt;&gt;"",K$2,"NA"),'MITRE ATT&amp;CK Mappings'!$H102))),ISNUMBER(SEARCH(IF(K$3&lt;&gt;"",K$3,"NA"),'MITRE ATT&amp;CK Mappings'!$I102))),ISNUMBER(SEARCH(IF(K$3&lt;&gt;"",K$3,"NA"),'MITRE ATT&amp;CK Mappings'!$J102))), 'MITRE ATT&amp;CK Mappings'!$B102,"")</f>
        <v/>
      </c>
      <c r="L106" s="26" t="str">
        <f>IF('MITRE ATT&amp;CK Mappings'!D102 &lt;&gt;"",'MITRE ATT&amp;CK Mappings'!D102,"" )</f>
        <v>Ensure 'Additional email addresses' is Configured with a Security Contact Email</v>
      </c>
    </row>
    <row r="107" spans="1:12" x14ac:dyDescent="0.25">
      <c r="A107" s="27" t="str">
        <f>IF(COUNTIF(B107:K107,"="&amp;'MITRE ATT&amp;CK Mappings'!B103)&gt;0,'MITRE ATT&amp;CK Mappings'!B103,"")</f>
        <v/>
      </c>
      <c r="B107" s="27" t="str">
        <f>IF(OR(OR(OR(OR(OR(ISNUMBER(SEARCH(IF(B$1&lt;&gt;"",B$1,"NA"),'MITRE ATT&amp;CK Mappings'!$E103)),ISNUMBER(SEARCH(IF(B$1&lt;&gt;"",B$1,"NA"),'MITRE ATT&amp;CK Mappings'!$F103))),ISNUMBER(SEARCH(IF(B$2&lt;&gt;"",B$2,"NA"),'MITRE ATT&amp;CK Mappings'!$G103))),ISNUMBER(SEARCH(IF(B$2&lt;&gt;"",B$2,"NA"),'MITRE ATT&amp;CK Mappings'!$H103))),ISNUMBER(SEARCH(IF(B$3&lt;&gt;"",B$3,"NA"),'MITRE ATT&amp;CK Mappings'!$I103))),ISNUMBER(SEARCH(IF(B$3&lt;&gt;"",B$3,"NA"),'MITRE ATT&amp;CK Mappings'!$J103))), 'MITRE ATT&amp;CK Mappings'!$B103,"")</f>
        <v/>
      </c>
      <c r="C107" s="27" t="str">
        <f>IF(OR(OR(OR(OR(OR(ISNUMBER(SEARCH(IF(C$1&lt;&gt;"",C$1,"NA"),'MITRE ATT&amp;CK Mappings'!$E103)),ISNUMBER(SEARCH(IF(C$1&lt;&gt;"",C$1,"NA"),'MITRE ATT&amp;CK Mappings'!$F103))),ISNUMBER(SEARCH(IF(C$2&lt;&gt;"",C$2,"NA"),'MITRE ATT&amp;CK Mappings'!$G103))),ISNUMBER(SEARCH(IF(C$2&lt;&gt;"",C$2,"NA"),'MITRE ATT&amp;CK Mappings'!$H103))),ISNUMBER(SEARCH(IF(C$3&lt;&gt;"",C$3,"NA"),'MITRE ATT&amp;CK Mappings'!$I103))),ISNUMBER(SEARCH(IF(C$3&lt;&gt;"",C$3,"NA"),'MITRE ATT&amp;CK Mappings'!$J103))), 'MITRE ATT&amp;CK Mappings'!$B103,"")</f>
        <v/>
      </c>
      <c r="D107" s="27" t="str">
        <f>IF(OR(OR(OR(OR(OR(ISNUMBER(SEARCH(IF(D$1&lt;&gt;"",D$1,"NA"),'MITRE ATT&amp;CK Mappings'!$E103)),ISNUMBER(SEARCH(IF(D$1&lt;&gt;"",D$1,"NA"),'MITRE ATT&amp;CK Mappings'!$F103))),ISNUMBER(SEARCH(IF(D$2&lt;&gt;"",D$2,"NA"),'MITRE ATT&amp;CK Mappings'!$G103))),ISNUMBER(SEARCH(IF(D$2&lt;&gt;"",D$2,"NA"),'MITRE ATT&amp;CK Mappings'!$H103))),ISNUMBER(SEARCH(IF(D$3&lt;&gt;"",D$3,"NA"),'MITRE ATT&amp;CK Mappings'!$I103))),ISNUMBER(SEARCH(IF(D$3&lt;&gt;"",D$3,"NA"),'MITRE ATT&amp;CK Mappings'!$J103))), 'MITRE ATT&amp;CK Mappings'!$B103,"")</f>
        <v/>
      </c>
      <c r="E107" s="27" t="str">
        <f>IF(OR(OR(OR(OR(OR(ISNUMBER(SEARCH(IF(E$1&lt;&gt;"",E$1,"NA"),'MITRE ATT&amp;CK Mappings'!$E103)),ISNUMBER(SEARCH(IF(E$1&lt;&gt;"",E$1,"NA"),'MITRE ATT&amp;CK Mappings'!$F103))),ISNUMBER(SEARCH(IF(E$2&lt;&gt;"",E$2,"NA"),'MITRE ATT&amp;CK Mappings'!$G103))),ISNUMBER(SEARCH(IF(E$2&lt;&gt;"",E$2,"NA"),'MITRE ATT&amp;CK Mappings'!$H103))),ISNUMBER(SEARCH(IF(E$3&lt;&gt;"",E$3,"NA"),'MITRE ATT&amp;CK Mappings'!$I103))),ISNUMBER(SEARCH(IF(E$3&lt;&gt;"",E$3,"NA"),'MITRE ATT&amp;CK Mappings'!$J103))), 'MITRE ATT&amp;CK Mappings'!$B103,"")</f>
        <v/>
      </c>
      <c r="F107" s="27" t="str">
        <f>IF(OR(OR(OR(OR(OR(ISNUMBER(SEARCH(IF(F$1&lt;&gt;"",F$1,"NA"),'MITRE ATT&amp;CK Mappings'!$E103)),ISNUMBER(SEARCH(IF(F$1&lt;&gt;"",F$1,"NA"),'MITRE ATT&amp;CK Mappings'!$F103))),ISNUMBER(SEARCH(IF(F$2&lt;&gt;"",F$2,"NA"),'MITRE ATT&amp;CK Mappings'!$G103))),ISNUMBER(SEARCH(IF(F$2&lt;&gt;"",F$2,"NA"),'MITRE ATT&amp;CK Mappings'!$H103))),ISNUMBER(SEARCH(IF(F$3&lt;&gt;"",F$3,"NA"),'MITRE ATT&amp;CK Mappings'!$I103))),ISNUMBER(SEARCH(IF(F$3&lt;&gt;"",F$3,"NA"),'MITRE ATT&amp;CK Mappings'!$J103))), 'MITRE ATT&amp;CK Mappings'!$B103,"")</f>
        <v/>
      </c>
      <c r="G107" s="27" t="str">
        <f>IF(OR(OR(OR(OR(OR(ISNUMBER(SEARCH(IF(G$1&lt;&gt;"",G$1,"NA"),'MITRE ATT&amp;CK Mappings'!$E103)),ISNUMBER(SEARCH(IF(G$1&lt;&gt;"",G$1,"NA"),'MITRE ATT&amp;CK Mappings'!$F103))),ISNUMBER(SEARCH(IF(G$2&lt;&gt;"",G$2,"NA"),'MITRE ATT&amp;CK Mappings'!$G103))),ISNUMBER(SEARCH(IF(G$2&lt;&gt;"",G$2,"NA"),'MITRE ATT&amp;CK Mappings'!$H103))),ISNUMBER(SEARCH(IF(G$3&lt;&gt;"",G$3,"NA"),'MITRE ATT&amp;CK Mappings'!$I103))),ISNUMBER(SEARCH(IF(G$3&lt;&gt;"",G$3,"NA"),'MITRE ATT&amp;CK Mappings'!$J103))), 'MITRE ATT&amp;CK Mappings'!$B103,"")</f>
        <v/>
      </c>
      <c r="H107" s="27" t="str">
        <f>IF(OR(OR(OR(OR(OR(ISNUMBER(SEARCH(IF(H$1&lt;&gt;"",H$1,"NA"),'MITRE ATT&amp;CK Mappings'!$E103)),ISNUMBER(SEARCH(IF(H$1&lt;&gt;"",H$1,"NA"),'MITRE ATT&amp;CK Mappings'!$F103))),ISNUMBER(SEARCH(IF(H$2&lt;&gt;"",H$2,"NA"),'MITRE ATT&amp;CK Mappings'!$G103))),ISNUMBER(SEARCH(IF(H$2&lt;&gt;"",H$2,"NA"),'MITRE ATT&amp;CK Mappings'!$H103))),ISNUMBER(SEARCH(IF(H$3&lt;&gt;"",H$3,"NA"),'MITRE ATT&amp;CK Mappings'!$I103))),ISNUMBER(SEARCH(IF(H$3&lt;&gt;"",H$3,"NA"),'MITRE ATT&amp;CK Mappings'!$J103))), 'MITRE ATT&amp;CK Mappings'!$B103,"")</f>
        <v/>
      </c>
      <c r="I107" s="27" t="str">
        <f>IF(OR(OR(OR(OR(OR(ISNUMBER(SEARCH(IF(I$1&lt;&gt;"",I$1,"NA"),'MITRE ATT&amp;CK Mappings'!$E103)),ISNUMBER(SEARCH(IF(I$1&lt;&gt;"",I$1,"NA"),'MITRE ATT&amp;CK Mappings'!$F103))),ISNUMBER(SEARCH(IF(I$2&lt;&gt;"",I$2,"NA"),'MITRE ATT&amp;CK Mappings'!$G103))),ISNUMBER(SEARCH(IF(I$2&lt;&gt;"",I$2,"NA"),'MITRE ATT&amp;CK Mappings'!$H103))),ISNUMBER(SEARCH(IF(I$3&lt;&gt;"",I$3,"NA"),'MITRE ATT&amp;CK Mappings'!$I103))),ISNUMBER(SEARCH(IF(I$3&lt;&gt;"",I$3,"NA"),'MITRE ATT&amp;CK Mappings'!$J103))), 'MITRE ATT&amp;CK Mappings'!$B103,"")</f>
        <v/>
      </c>
      <c r="J107" s="27" t="str">
        <f>IF(OR(OR(OR(OR(OR(ISNUMBER(SEARCH(IF(J$1&lt;&gt;"",J$1,"NA"),'MITRE ATT&amp;CK Mappings'!$E103)),ISNUMBER(SEARCH(IF(J$1&lt;&gt;"",J$1,"NA"),'MITRE ATT&amp;CK Mappings'!$F103))),ISNUMBER(SEARCH(IF(J$2&lt;&gt;"",J$2,"NA"),'MITRE ATT&amp;CK Mappings'!$G103))),ISNUMBER(SEARCH(IF(J$2&lt;&gt;"",J$2,"NA"),'MITRE ATT&amp;CK Mappings'!$H103))),ISNUMBER(SEARCH(IF(J$3&lt;&gt;"",J$3,"NA"),'MITRE ATT&amp;CK Mappings'!$I103))),ISNUMBER(SEARCH(IF(J$3&lt;&gt;"",J$3,"NA"),'MITRE ATT&amp;CK Mappings'!$J103))), 'MITRE ATT&amp;CK Mappings'!$B103,"")</f>
        <v/>
      </c>
      <c r="K107" s="27" t="str">
        <f>IF(OR(OR(OR(OR(OR(ISNUMBER(SEARCH(IF(K$1&lt;&gt;"",K$1,"NA"),'MITRE ATT&amp;CK Mappings'!$E103)),ISNUMBER(SEARCH(IF(K$1&lt;&gt;"",K$1,"NA"),'MITRE ATT&amp;CK Mappings'!$F103))),ISNUMBER(SEARCH(IF(K$2&lt;&gt;"",K$2,"NA"),'MITRE ATT&amp;CK Mappings'!$G103))),ISNUMBER(SEARCH(IF(K$2&lt;&gt;"",K$2,"NA"),'MITRE ATT&amp;CK Mappings'!$H103))),ISNUMBER(SEARCH(IF(K$3&lt;&gt;"",K$3,"NA"),'MITRE ATT&amp;CK Mappings'!$I103))),ISNUMBER(SEARCH(IF(K$3&lt;&gt;"",K$3,"NA"),'MITRE ATT&amp;CK Mappings'!$J103))), 'MITRE ATT&amp;CK Mappings'!$B103,"")</f>
        <v/>
      </c>
      <c r="L107" s="27" t="str">
        <f>IF('MITRE ATT&amp;CK Mappings'!D103 &lt;&gt;"",'MITRE ATT&amp;CK Mappings'!D103,"" )</f>
        <v>Ensure that 'Notify about alerts with the following severity (or higher)' is enabled</v>
      </c>
    </row>
    <row r="108" spans="1:12" x14ac:dyDescent="0.25">
      <c r="A108" s="26" t="str">
        <f>IF(COUNTIF(B108:K108,"="&amp;'MITRE ATT&amp;CK Mappings'!B104)&gt;0,'MITRE ATT&amp;CK Mappings'!B104,"")</f>
        <v/>
      </c>
      <c r="B108" s="26" t="str">
        <f>IF(OR(OR(OR(OR(OR(ISNUMBER(SEARCH(IF(B$1&lt;&gt;"",B$1,"NA"),'MITRE ATT&amp;CK Mappings'!$E104)),ISNUMBER(SEARCH(IF(B$1&lt;&gt;"",B$1,"NA"),'MITRE ATT&amp;CK Mappings'!$F104))),ISNUMBER(SEARCH(IF(B$2&lt;&gt;"",B$2,"NA"),'MITRE ATT&amp;CK Mappings'!$G104))),ISNUMBER(SEARCH(IF(B$2&lt;&gt;"",B$2,"NA"),'MITRE ATT&amp;CK Mappings'!$H104))),ISNUMBER(SEARCH(IF(B$3&lt;&gt;"",B$3,"NA"),'MITRE ATT&amp;CK Mappings'!$I104))),ISNUMBER(SEARCH(IF(B$3&lt;&gt;"",B$3,"NA"),'MITRE ATT&amp;CK Mappings'!$J104))), 'MITRE ATT&amp;CK Mappings'!$B104,"")</f>
        <v/>
      </c>
      <c r="C108" s="26" t="str">
        <f>IF(OR(OR(OR(OR(OR(ISNUMBER(SEARCH(IF(C$1&lt;&gt;"",C$1,"NA"),'MITRE ATT&amp;CK Mappings'!$E104)),ISNUMBER(SEARCH(IF(C$1&lt;&gt;"",C$1,"NA"),'MITRE ATT&amp;CK Mappings'!$F104))),ISNUMBER(SEARCH(IF(C$2&lt;&gt;"",C$2,"NA"),'MITRE ATT&amp;CK Mappings'!$G104))),ISNUMBER(SEARCH(IF(C$2&lt;&gt;"",C$2,"NA"),'MITRE ATT&amp;CK Mappings'!$H104))),ISNUMBER(SEARCH(IF(C$3&lt;&gt;"",C$3,"NA"),'MITRE ATT&amp;CK Mappings'!$I104))),ISNUMBER(SEARCH(IF(C$3&lt;&gt;"",C$3,"NA"),'MITRE ATT&amp;CK Mappings'!$J104))), 'MITRE ATT&amp;CK Mappings'!$B104,"")</f>
        <v/>
      </c>
      <c r="D108" s="26" t="str">
        <f>IF(OR(OR(OR(OR(OR(ISNUMBER(SEARCH(IF(D$1&lt;&gt;"",D$1,"NA"),'MITRE ATT&amp;CK Mappings'!$E104)),ISNUMBER(SEARCH(IF(D$1&lt;&gt;"",D$1,"NA"),'MITRE ATT&amp;CK Mappings'!$F104))),ISNUMBER(SEARCH(IF(D$2&lt;&gt;"",D$2,"NA"),'MITRE ATT&amp;CK Mappings'!$G104))),ISNUMBER(SEARCH(IF(D$2&lt;&gt;"",D$2,"NA"),'MITRE ATT&amp;CK Mappings'!$H104))),ISNUMBER(SEARCH(IF(D$3&lt;&gt;"",D$3,"NA"),'MITRE ATT&amp;CK Mappings'!$I104))),ISNUMBER(SEARCH(IF(D$3&lt;&gt;"",D$3,"NA"),'MITRE ATT&amp;CK Mappings'!$J104))), 'MITRE ATT&amp;CK Mappings'!$B104,"")</f>
        <v/>
      </c>
      <c r="E108" s="26" t="str">
        <f>IF(OR(OR(OR(OR(OR(ISNUMBER(SEARCH(IF(E$1&lt;&gt;"",E$1,"NA"),'MITRE ATT&amp;CK Mappings'!$E104)),ISNUMBER(SEARCH(IF(E$1&lt;&gt;"",E$1,"NA"),'MITRE ATT&amp;CK Mappings'!$F104))),ISNUMBER(SEARCH(IF(E$2&lt;&gt;"",E$2,"NA"),'MITRE ATT&amp;CK Mappings'!$G104))),ISNUMBER(SEARCH(IF(E$2&lt;&gt;"",E$2,"NA"),'MITRE ATT&amp;CK Mappings'!$H104))),ISNUMBER(SEARCH(IF(E$3&lt;&gt;"",E$3,"NA"),'MITRE ATT&amp;CK Mappings'!$I104))),ISNUMBER(SEARCH(IF(E$3&lt;&gt;"",E$3,"NA"),'MITRE ATT&amp;CK Mappings'!$J104))), 'MITRE ATT&amp;CK Mappings'!$B104,"")</f>
        <v/>
      </c>
      <c r="F108" s="26" t="str">
        <f>IF(OR(OR(OR(OR(OR(ISNUMBER(SEARCH(IF(F$1&lt;&gt;"",F$1,"NA"),'MITRE ATT&amp;CK Mappings'!$E104)),ISNUMBER(SEARCH(IF(F$1&lt;&gt;"",F$1,"NA"),'MITRE ATT&amp;CK Mappings'!$F104))),ISNUMBER(SEARCH(IF(F$2&lt;&gt;"",F$2,"NA"),'MITRE ATT&amp;CK Mappings'!$G104))),ISNUMBER(SEARCH(IF(F$2&lt;&gt;"",F$2,"NA"),'MITRE ATT&amp;CK Mappings'!$H104))),ISNUMBER(SEARCH(IF(F$3&lt;&gt;"",F$3,"NA"),'MITRE ATT&amp;CK Mappings'!$I104))),ISNUMBER(SEARCH(IF(F$3&lt;&gt;"",F$3,"NA"),'MITRE ATT&amp;CK Mappings'!$J104))), 'MITRE ATT&amp;CK Mappings'!$B104,"")</f>
        <v/>
      </c>
      <c r="G108" s="26" t="str">
        <f>IF(OR(OR(OR(OR(OR(ISNUMBER(SEARCH(IF(G$1&lt;&gt;"",G$1,"NA"),'MITRE ATT&amp;CK Mappings'!$E104)),ISNUMBER(SEARCH(IF(G$1&lt;&gt;"",G$1,"NA"),'MITRE ATT&amp;CK Mappings'!$F104))),ISNUMBER(SEARCH(IF(G$2&lt;&gt;"",G$2,"NA"),'MITRE ATT&amp;CK Mappings'!$G104))),ISNUMBER(SEARCH(IF(G$2&lt;&gt;"",G$2,"NA"),'MITRE ATT&amp;CK Mappings'!$H104))),ISNUMBER(SEARCH(IF(G$3&lt;&gt;"",G$3,"NA"),'MITRE ATT&amp;CK Mappings'!$I104))),ISNUMBER(SEARCH(IF(G$3&lt;&gt;"",G$3,"NA"),'MITRE ATT&amp;CK Mappings'!$J104))), 'MITRE ATT&amp;CK Mappings'!$B104,"")</f>
        <v/>
      </c>
      <c r="H108" s="26" t="str">
        <f>IF(OR(OR(OR(OR(OR(ISNUMBER(SEARCH(IF(H$1&lt;&gt;"",H$1,"NA"),'MITRE ATT&amp;CK Mappings'!$E104)),ISNUMBER(SEARCH(IF(H$1&lt;&gt;"",H$1,"NA"),'MITRE ATT&amp;CK Mappings'!$F104))),ISNUMBER(SEARCH(IF(H$2&lt;&gt;"",H$2,"NA"),'MITRE ATT&amp;CK Mappings'!$G104))),ISNUMBER(SEARCH(IF(H$2&lt;&gt;"",H$2,"NA"),'MITRE ATT&amp;CK Mappings'!$H104))),ISNUMBER(SEARCH(IF(H$3&lt;&gt;"",H$3,"NA"),'MITRE ATT&amp;CK Mappings'!$I104))),ISNUMBER(SEARCH(IF(H$3&lt;&gt;"",H$3,"NA"),'MITRE ATT&amp;CK Mappings'!$J104))), 'MITRE ATT&amp;CK Mappings'!$B104,"")</f>
        <v/>
      </c>
      <c r="I108" s="26" t="str">
        <f>IF(OR(OR(OR(OR(OR(ISNUMBER(SEARCH(IF(I$1&lt;&gt;"",I$1,"NA"),'MITRE ATT&amp;CK Mappings'!$E104)),ISNUMBER(SEARCH(IF(I$1&lt;&gt;"",I$1,"NA"),'MITRE ATT&amp;CK Mappings'!$F104))),ISNUMBER(SEARCH(IF(I$2&lt;&gt;"",I$2,"NA"),'MITRE ATT&amp;CK Mappings'!$G104))),ISNUMBER(SEARCH(IF(I$2&lt;&gt;"",I$2,"NA"),'MITRE ATT&amp;CK Mappings'!$H104))),ISNUMBER(SEARCH(IF(I$3&lt;&gt;"",I$3,"NA"),'MITRE ATT&amp;CK Mappings'!$I104))),ISNUMBER(SEARCH(IF(I$3&lt;&gt;"",I$3,"NA"),'MITRE ATT&amp;CK Mappings'!$J104))), 'MITRE ATT&amp;CK Mappings'!$B104,"")</f>
        <v/>
      </c>
      <c r="J108" s="26" t="str">
        <f>IF(OR(OR(OR(OR(OR(ISNUMBER(SEARCH(IF(J$1&lt;&gt;"",J$1,"NA"),'MITRE ATT&amp;CK Mappings'!$E104)),ISNUMBER(SEARCH(IF(J$1&lt;&gt;"",J$1,"NA"),'MITRE ATT&amp;CK Mappings'!$F104))),ISNUMBER(SEARCH(IF(J$2&lt;&gt;"",J$2,"NA"),'MITRE ATT&amp;CK Mappings'!$G104))),ISNUMBER(SEARCH(IF(J$2&lt;&gt;"",J$2,"NA"),'MITRE ATT&amp;CK Mappings'!$H104))),ISNUMBER(SEARCH(IF(J$3&lt;&gt;"",J$3,"NA"),'MITRE ATT&amp;CK Mappings'!$I104))),ISNUMBER(SEARCH(IF(J$3&lt;&gt;"",J$3,"NA"),'MITRE ATT&amp;CK Mappings'!$J104))), 'MITRE ATT&amp;CK Mappings'!$B104,"")</f>
        <v/>
      </c>
      <c r="K108" s="26" t="str">
        <f>IF(OR(OR(OR(OR(OR(ISNUMBER(SEARCH(IF(K$1&lt;&gt;"",K$1,"NA"),'MITRE ATT&amp;CK Mappings'!$E104)),ISNUMBER(SEARCH(IF(K$1&lt;&gt;"",K$1,"NA"),'MITRE ATT&amp;CK Mappings'!$F104))),ISNUMBER(SEARCH(IF(K$2&lt;&gt;"",K$2,"NA"),'MITRE ATT&amp;CK Mappings'!$G104))),ISNUMBER(SEARCH(IF(K$2&lt;&gt;"",K$2,"NA"),'MITRE ATT&amp;CK Mappings'!$H104))),ISNUMBER(SEARCH(IF(K$3&lt;&gt;"",K$3,"NA"),'MITRE ATT&amp;CK Mappings'!$I104))),ISNUMBER(SEARCH(IF(K$3&lt;&gt;"",K$3,"NA"),'MITRE ATT&amp;CK Mappings'!$J104))), 'MITRE ATT&amp;CK Mappings'!$B104,"")</f>
        <v/>
      </c>
      <c r="L108" s="26" t="str">
        <f>IF('MITRE ATT&amp;CK Mappings'!D104 &lt;&gt;"",'MITRE ATT&amp;CK Mappings'!D104,"" )</f>
        <v>Ensure that 'Notify about attack paths with the following risk level (or higher)' is enabled</v>
      </c>
    </row>
    <row r="109" spans="1:12" x14ac:dyDescent="0.25">
      <c r="A109" s="27" t="str">
        <f>IF(COUNTIF(B109:K109,"="&amp;'MITRE ATT&amp;CK Mappings'!B105)&gt;0,'MITRE ATT&amp;CK Mappings'!B105,"")</f>
        <v/>
      </c>
      <c r="B109" s="27" t="str">
        <f>IF(OR(OR(OR(OR(OR(ISNUMBER(SEARCH(IF(B$1&lt;&gt;"",B$1,"NA"),'MITRE ATT&amp;CK Mappings'!$E105)),ISNUMBER(SEARCH(IF(B$1&lt;&gt;"",B$1,"NA"),'MITRE ATT&amp;CK Mappings'!$F105))),ISNUMBER(SEARCH(IF(B$2&lt;&gt;"",B$2,"NA"),'MITRE ATT&amp;CK Mappings'!$G105))),ISNUMBER(SEARCH(IF(B$2&lt;&gt;"",B$2,"NA"),'MITRE ATT&amp;CK Mappings'!$H105))),ISNUMBER(SEARCH(IF(B$3&lt;&gt;"",B$3,"NA"),'MITRE ATT&amp;CK Mappings'!$I105))),ISNUMBER(SEARCH(IF(B$3&lt;&gt;"",B$3,"NA"),'MITRE ATT&amp;CK Mappings'!$J105))), 'MITRE ATT&amp;CK Mappings'!$B105,"")</f>
        <v/>
      </c>
      <c r="C109" s="27" t="str">
        <f>IF(OR(OR(OR(OR(OR(ISNUMBER(SEARCH(IF(C$1&lt;&gt;"",C$1,"NA"),'MITRE ATT&amp;CK Mappings'!$E105)),ISNUMBER(SEARCH(IF(C$1&lt;&gt;"",C$1,"NA"),'MITRE ATT&amp;CK Mappings'!$F105))),ISNUMBER(SEARCH(IF(C$2&lt;&gt;"",C$2,"NA"),'MITRE ATT&amp;CK Mappings'!$G105))),ISNUMBER(SEARCH(IF(C$2&lt;&gt;"",C$2,"NA"),'MITRE ATT&amp;CK Mappings'!$H105))),ISNUMBER(SEARCH(IF(C$3&lt;&gt;"",C$3,"NA"),'MITRE ATT&amp;CK Mappings'!$I105))),ISNUMBER(SEARCH(IF(C$3&lt;&gt;"",C$3,"NA"),'MITRE ATT&amp;CK Mappings'!$J105))), 'MITRE ATT&amp;CK Mappings'!$B105,"")</f>
        <v/>
      </c>
      <c r="D109" s="27" t="str">
        <f>IF(OR(OR(OR(OR(OR(ISNUMBER(SEARCH(IF(D$1&lt;&gt;"",D$1,"NA"),'MITRE ATT&amp;CK Mappings'!$E105)),ISNUMBER(SEARCH(IF(D$1&lt;&gt;"",D$1,"NA"),'MITRE ATT&amp;CK Mappings'!$F105))),ISNUMBER(SEARCH(IF(D$2&lt;&gt;"",D$2,"NA"),'MITRE ATT&amp;CK Mappings'!$G105))),ISNUMBER(SEARCH(IF(D$2&lt;&gt;"",D$2,"NA"),'MITRE ATT&amp;CK Mappings'!$H105))),ISNUMBER(SEARCH(IF(D$3&lt;&gt;"",D$3,"NA"),'MITRE ATT&amp;CK Mappings'!$I105))),ISNUMBER(SEARCH(IF(D$3&lt;&gt;"",D$3,"NA"),'MITRE ATT&amp;CK Mappings'!$J105))), 'MITRE ATT&amp;CK Mappings'!$B105,"")</f>
        <v/>
      </c>
      <c r="E109" s="27" t="str">
        <f>IF(OR(OR(OR(OR(OR(ISNUMBER(SEARCH(IF(E$1&lt;&gt;"",E$1,"NA"),'MITRE ATT&amp;CK Mappings'!$E105)),ISNUMBER(SEARCH(IF(E$1&lt;&gt;"",E$1,"NA"),'MITRE ATT&amp;CK Mappings'!$F105))),ISNUMBER(SEARCH(IF(E$2&lt;&gt;"",E$2,"NA"),'MITRE ATT&amp;CK Mappings'!$G105))),ISNUMBER(SEARCH(IF(E$2&lt;&gt;"",E$2,"NA"),'MITRE ATT&amp;CK Mappings'!$H105))),ISNUMBER(SEARCH(IF(E$3&lt;&gt;"",E$3,"NA"),'MITRE ATT&amp;CK Mappings'!$I105))),ISNUMBER(SEARCH(IF(E$3&lt;&gt;"",E$3,"NA"),'MITRE ATT&amp;CK Mappings'!$J105))), 'MITRE ATT&amp;CK Mappings'!$B105,"")</f>
        <v/>
      </c>
      <c r="F109" s="27" t="str">
        <f>IF(OR(OR(OR(OR(OR(ISNUMBER(SEARCH(IF(F$1&lt;&gt;"",F$1,"NA"),'MITRE ATT&amp;CK Mappings'!$E105)),ISNUMBER(SEARCH(IF(F$1&lt;&gt;"",F$1,"NA"),'MITRE ATT&amp;CK Mappings'!$F105))),ISNUMBER(SEARCH(IF(F$2&lt;&gt;"",F$2,"NA"),'MITRE ATT&amp;CK Mappings'!$G105))),ISNUMBER(SEARCH(IF(F$2&lt;&gt;"",F$2,"NA"),'MITRE ATT&amp;CK Mappings'!$H105))),ISNUMBER(SEARCH(IF(F$3&lt;&gt;"",F$3,"NA"),'MITRE ATT&amp;CK Mappings'!$I105))),ISNUMBER(SEARCH(IF(F$3&lt;&gt;"",F$3,"NA"),'MITRE ATT&amp;CK Mappings'!$J105))), 'MITRE ATT&amp;CK Mappings'!$B105,"")</f>
        <v/>
      </c>
      <c r="G109" s="27" t="str">
        <f>IF(OR(OR(OR(OR(OR(ISNUMBER(SEARCH(IF(G$1&lt;&gt;"",G$1,"NA"),'MITRE ATT&amp;CK Mappings'!$E105)),ISNUMBER(SEARCH(IF(G$1&lt;&gt;"",G$1,"NA"),'MITRE ATT&amp;CK Mappings'!$F105))),ISNUMBER(SEARCH(IF(G$2&lt;&gt;"",G$2,"NA"),'MITRE ATT&amp;CK Mappings'!$G105))),ISNUMBER(SEARCH(IF(G$2&lt;&gt;"",G$2,"NA"),'MITRE ATT&amp;CK Mappings'!$H105))),ISNUMBER(SEARCH(IF(G$3&lt;&gt;"",G$3,"NA"),'MITRE ATT&amp;CK Mappings'!$I105))),ISNUMBER(SEARCH(IF(G$3&lt;&gt;"",G$3,"NA"),'MITRE ATT&amp;CK Mappings'!$J105))), 'MITRE ATT&amp;CK Mappings'!$B105,"")</f>
        <v/>
      </c>
      <c r="H109" s="27" t="str">
        <f>IF(OR(OR(OR(OR(OR(ISNUMBER(SEARCH(IF(H$1&lt;&gt;"",H$1,"NA"),'MITRE ATT&amp;CK Mappings'!$E105)),ISNUMBER(SEARCH(IF(H$1&lt;&gt;"",H$1,"NA"),'MITRE ATT&amp;CK Mappings'!$F105))),ISNUMBER(SEARCH(IF(H$2&lt;&gt;"",H$2,"NA"),'MITRE ATT&amp;CK Mappings'!$G105))),ISNUMBER(SEARCH(IF(H$2&lt;&gt;"",H$2,"NA"),'MITRE ATT&amp;CK Mappings'!$H105))),ISNUMBER(SEARCH(IF(H$3&lt;&gt;"",H$3,"NA"),'MITRE ATT&amp;CK Mappings'!$I105))),ISNUMBER(SEARCH(IF(H$3&lt;&gt;"",H$3,"NA"),'MITRE ATT&amp;CK Mappings'!$J105))), 'MITRE ATT&amp;CK Mappings'!$B105,"")</f>
        <v/>
      </c>
      <c r="I109" s="27" t="str">
        <f>IF(OR(OR(OR(OR(OR(ISNUMBER(SEARCH(IF(I$1&lt;&gt;"",I$1,"NA"),'MITRE ATT&amp;CK Mappings'!$E105)),ISNUMBER(SEARCH(IF(I$1&lt;&gt;"",I$1,"NA"),'MITRE ATT&amp;CK Mappings'!$F105))),ISNUMBER(SEARCH(IF(I$2&lt;&gt;"",I$2,"NA"),'MITRE ATT&amp;CK Mappings'!$G105))),ISNUMBER(SEARCH(IF(I$2&lt;&gt;"",I$2,"NA"),'MITRE ATT&amp;CK Mappings'!$H105))),ISNUMBER(SEARCH(IF(I$3&lt;&gt;"",I$3,"NA"),'MITRE ATT&amp;CK Mappings'!$I105))),ISNUMBER(SEARCH(IF(I$3&lt;&gt;"",I$3,"NA"),'MITRE ATT&amp;CK Mappings'!$J105))), 'MITRE ATT&amp;CK Mappings'!$B105,"")</f>
        <v/>
      </c>
      <c r="J109" s="27" t="str">
        <f>IF(OR(OR(OR(OR(OR(ISNUMBER(SEARCH(IF(J$1&lt;&gt;"",J$1,"NA"),'MITRE ATT&amp;CK Mappings'!$E105)),ISNUMBER(SEARCH(IF(J$1&lt;&gt;"",J$1,"NA"),'MITRE ATT&amp;CK Mappings'!$F105))),ISNUMBER(SEARCH(IF(J$2&lt;&gt;"",J$2,"NA"),'MITRE ATT&amp;CK Mappings'!$G105))),ISNUMBER(SEARCH(IF(J$2&lt;&gt;"",J$2,"NA"),'MITRE ATT&amp;CK Mappings'!$H105))),ISNUMBER(SEARCH(IF(J$3&lt;&gt;"",J$3,"NA"),'MITRE ATT&amp;CK Mappings'!$I105))),ISNUMBER(SEARCH(IF(J$3&lt;&gt;"",J$3,"NA"),'MITRE ATT&amp;CK Mappings'!$J105))), 'MITRE ATT&amp;CK Mappings'!$B105,"")</f>
        <v/>
      </c>
      <c r="K109" s="27" t="str">
        <f>IF(OR(OR(OR(OR(OR(ISNUMBER(SEARCH(IF(K$1&lt;&gt;"",K$1,"NA"),'MITRE ATT&amp;CK Mappings'!$E105)),ISNUMBER(SEARCH(IF(K$1&lt;&gt;"",K$1,"NA"),'MITRE ATT&amp;CK Mappings'!$F105))),ISNUMBER(SEARCH(IF(K$2&lt;&gt;"",K$2,"NA"),'MITRE ATT&amp;CK Mappings'!$G105))),ISNUMBER(SEARCH(IF(K$2&lt;&gt;"",K$2,"NA"),'MITRE ATT&amp;CK Mappings'!$H105))),ISNUMBER(SEARCH(IF(K$3&lt;&gt;"",K$3,"NA"),'MITRE ATT&amp;CK Mappings'!$I105))),ISNUMBER(SEARCH(IF(K$3&lt;&gt;"",K$3,"NA"),'MITRE ATT&amp;CK Mappings'!$J105))), 'MITRE ATT&amp;CK Mappings'!$B105,"")</f>
        <v/>
      </c>
      <c r="L109" s="27" t="str">
        <f>IF('MITRE ATT&amp;CK Mappings'!D105 &lt;&gt;"",'MITRE ATT&amp;CK Mappings'!D105,"" )</f>
        <v>Ensure that Microsoft Defender External Attack Surface Monitoring (EASM) is enabled</v>
      </c>
    </row>
    <row r="110" spans="1:12" x14ac:dyDescent="0.25">
      <c r="A110" s="26" t="str">
        <f>IF(COUNTIF(B110:K110,"="&amp;'MITRE ATT&amp;CK Mappings'!B106)&gt;0,'MITRE ATT&amp;CK Mappings'!B106,"")</f>
        <v/>
      </c>
      <c r="B110" s="26" t="str">
        <f>IF(OR(OR(OR(OR(OR(ISNUMBER(SEARCH(IF(B$1&lt;&gt;"",B$1,"NA"),'MITRE ATT&amp;CK Mappings'!$E106)),ISNUMBER(SEARCH(IF(B$1&lt;&gt;"",B$1,"NA"),'MITRE ATT&amp;CK Mappings'!$F106))),ISNUMBER(SEARCH(IF(B$2&lt;&gt;"",B$2,"NA"),'MITRE ATT&amp;CK Mappings'!$G106))),ISNUMBER(SEARCH(IF(B$2&lt;&gt;"",B$2,"NA"),'MITRE ATT&amp;CK Mappings'!$H106))),ISNUMBER(SEARCH(IF(B$3&lt;&gt;"",B$3,"NA"),'MITRE ATT&amp;CK Mappings'!$I106))),ISNUMBER(SEARCH(IF(B$3&lt;&gt;"",B$3,"NA"),'MITRE ATT&amp;CK Mappings'!$J106))), 'MITRE ATT&amp;CK Mappings'!$B106,"")</f>
        <v/>
      </c>
      <c r="C110" s="26" t="str">
        <f>IF(OR(OR(OR(OR(OR(ISNUMBER(SEARCH(IF(C$1&lt;&gt;"",C$1,"NA"),'MITRE ATT&amp;CK Mappings'!$E106)),ISNUMBER(SEARCH(IF(C$1&lt;&gt;"",C$1,"NA"),'MITRE ATT&amp;CK Mappings'!$F106))),ISNUMBER(SEARCH(IF(C$2&lt;&gt;"",C$2,"NA"),'MITRE ATT&amp;CK Mappings'!$G106))),ISNUMBER(SEARCH(IF(C$2&lt;&gt;"",C$2,"NA"),'MITRE ATT&amp;CK Mappings'!$H106))),ISNUMBER(SEARCH(IF(C$3&lt;&gt;"",C$3,"NA"),'MITRE ATT&amp;CK Mappings'!$I106))),ISNUMBER(SEARCH(IF(C$3&lt;&gt;"",C$3,"NA"),'MITRE ATT&amp;CK Mappings'!$J106))), 'MITRE ATT&amp;CK Mappings'!$B106,"")</f>
        <v/>
      </c>
      <c r="D110" s="26" t="str">
        <f>IF(OR(OR(OR(OR(OR(ISNUMBER(SEARCH(IF(D$1&lt;&gt;"",D$1,"NA"),'MITRE ATT&amp;CK Mappings'!$E106)),ISNUMBER(SEARCH(IF(D$1&lt;&gt;"",D$1,"NA"),'MITRE ATT&amp;CK Mappings'!$F106))),ISNUMBER(SEARCH(IF(D$2&lt;&gt;"",D$2,"NA"),'MITRE ATT&amp;CK Mappings'!$G106))),ISNUMBER(SEARCH(IF(D$2&lt;&gt;"",D$2,"NA"),'MITRE ATT&amp;CK Mappings'!$H106))),ISNUMBER(SEARCH(IF(D$3&lt;&gt;"",D$3,"NA"),'MITRE ATT&amp;CK Mappings'!$I106))),ISNUMBER(SEARCH(IF(D$3&lt;&gt;"",D$3,"NA"),'MITRE ATT&amp;CK Mappings'!$J106))), 'MITRE ATT&amp;CK Mappings'!$B106,"")</f>
        <v/>
      </c>
      <c r="E110" s="26" t="str">
        <f>IF(OR(OR(OR(OR(OR(ISNUMBER(SEARCH(IF(E$1&lt;&gt;"",E$1,"NA"),'MITRE ATT&amp;CK Mappings'!$E106)),ISNUMBER(SEARCH(IF(E$1&lt;&gt;"",E$1,"NA"),'MITRE ATT&amp;CK Mappings'!$F106))),ISNUMBER(SEARCH(IF(E$2&lt;&gt;"",E$2,"NA"),'MITRE ATT&amp;CK Mappings'!$G106))),ISNUMBER(SEARCH(IF(E$2&lt;&gt;"",E$2,"NA"),'MITRE ATT&amp;CK Mappings'!$H106))),ISNUMBER(SEARCH(IF(E$3&lt;&gt;"",E$3,"NA"),'MITRE ATT&amp;CK Mappings'!$I106))),ISNUMBER(SEARCH(IF(E$3&lt;&gt;"",E$3,"NA"),'MITRE ATT&amp;CK Mappings'!$J106))), 'MITRE ATT&amp;CK Mappings'!$B106,"")</f>
        <v/>
      </c>
      <c r="F110" s="26" t="str">
        <f>IF(OR(OR(OR(OR(OR(ISNUMBER(SEARCH(IF(F$1&lt;&gt;"",F$1,"NA"),'MITRE ATT&amp;CK Mappings'!$E106)),ISNUMBER(SEARCH(IF(F$1&lt;&gt;"",F$1,"NA"),'MITRE ATT&amp;CK Mappings'!$F106))),ISNUMBER(SEARCH(IF(F$2&lt;&gt;"",F$2,"NA"),'MITRE ATT&amp;CK Mappings'!$G106))),ISNUMBER(SEARCH(IF(F$2&lt;&gt;"",F$2,"NA"),'MITRE ATT&amp;CK Mappings'!$H106))),ISNUMBER(SEARCH(IF(F$3&lt;&gt;"",F$3,"NA"),'MITRE ATT&amp;CK Mappings'!$I106))),ISNUMBER(SEARCH(IF(F$3&lt;&gt;"",F$3,"NA"),'MITRE ATT&amp;CK Mappings'!$J106))), 'MITRE ATT&amp;CK Mappings'!$B106,"")</f>
        <v/>
      </c>
      <c r="G110" s="26" t="str">
        <f>IF(OR(OR(OR(OR(OR(ISNUMBER(SEARCH(IF(G$1&lt;&gt;"",G$1,"NA"),'MITRE ATT&amp;CK Mappings'!$E106)),ISNUMBER(SEARCH(IF(G$1&lt;&gt;"",G$1,"NA"),'MITRE ATT&amp;CK Mappings'!$F106))),ISNUMBER(SEARCH(IF(G$2&lt;&gt;"",G$2,"NA"),'MITRE ATT&amp;CK Mappings'!$G106))),ISNUMBER(SEARCH(IF(G$2&lt;&gt;"",G$2,"NA"),'MITRE ATT&amp;CK Mappings'!$H106))),ISNUMBER(SEARCH(IF(G$3&lt;&gt;"",G$3,"NA"),'MITRE ATT&amp;CK Mappings'!$I106))),ISNUMBER(SEARCH(IF(G$3&lt;&gt;"",G$3,"NA"),'MITRE ATT&amp;CK Mappings'!$J106))), 'MITRE ATT&amp;CK Mappings'!$B106,"")</f>
        <v/>
      </c>
      <c r="H110" s="26" t="str">
        <f>IF(OR(OR(OR(OR(OR(ISNUMBER(SEARCH(IF(H$1&lt;&gt;"",H$1,"NA"),'MITRE ATT&amp;CK Mappings'!$E106)),ISNUMBER(SEARCH(IF(H$1&lt;&gt;"",H$1,"NA"),'MITRE ATT&amp;CK Mappings'!$F106))),ISNUMBER(SEARCH(IF(H$2&lt;&gt;"",H$2,"NA"),'MITRE ATT&amp;CK Mappings'!$G106))),ISNUMBER(SEARCH(IF(H$2&lt;&gt;"",H$2,"NA"),'MITRE ATT&amp;CK Mappings'!$H106))),ISNUMBER(SEARCH(IF(H$3&lt;&gt;"",H$3,"NA"),'MITRE ATT&amp;CK Mappings'!$I106))),ISNUMBER(SEARCH(IF(H$3&lt;&gt;"",H$3,"NA"),'MITRE ATT&amp;CK Mappings'!$J106))), 'MITRE ATT&amp;CK Mappings'!$B106,"")</f>
        <v/>
      </c>
      <c r="I110" s="26" t="str">
        <f>IF(OR(OR(OR(OR(OR(ISNUMBER(SEARCH(IF(I$1&lt;&gt;"",I$1,"NA"),'MITRE ATT&amp;CK Mappings'!$E106)),ISNUMBER(SEARCH(IF(I$1&lt;&gt;"",I$1,"NA"),'MITRE ATT&amp;CK Mappings'!$F106))),ISNUMBER(SEARCH(IF(I$2&lt;&gt;"",I$2,"NA"),'MITRE ATT&amp;CK Mappings'!$G106))),ISNUMBER(SEARCH(IF(I$2&lt;&gt;"",I$2,"NA"),'MITRE ATT&amp;CK Mappings'!$H106))),ISNUMBER(SEARCH(IF(I$3&lt;&gt;"",I$3,"NA"),'MITRE ATT&amp;CK Mappings'!$I106))),ISNUMBER(SEARCH(IF(I$3&lt;&gt;"",I$3,"NA"),'MITRE ATT&amp;CK Mappings'!$J106))), 'MITRE ATT&amp;CK Mappings'!$B106,"")</f>
        <v/>
      </c>
      <c r="J110" s="26" t="str">
        <f>IF(OR(OR(OR(OR(OR(ISNUMBER(SEARCH(IF(J$1&lt;&gt;"",J$1,"NA"),'MITRE ATT&amp;CK Mappings'!$E106)),ISNUMBER(SEARCH(IF(J$1&lt;&gt;"",J$1,"NA"),'MITRE ATT&amp;CK Mappings'!$F106))),ISNUMBER(SEARCH(IF(J$2&lt;&gt;"",J$2,"NA"),'MITRE ATT&amp;CK Mappings'!$G106))),ISNUMBER(SEARCH(IF(J$2&lt;&gt;"",J$2,"NA"),'MITRE ATT&amp;CK Mappings'!$H106))),ISNUMBER(SEARCH(IF(J$3&lt;&gt;"",J$3,"NA"),'MITRE ATT&amp;CK Mappings'!$I106))),ISNUMBER(SEARCH(IF(J$3&lt;&gt;"",J$3,"NA"),'MITRE ATT&amp;CK Mappings'!$J106))), 'MITRE ATT&amp;CK Mappings'!$B106,"")</f>
        <v/>
      </c>
      <c r="K110" s="26" t="str">
        <f>IF(OR(OR(OR(OR(OR(ISNUMBER(SEARCH(IF(K$1&lt;&gt;"",K$1,"NA"),'MITRE ATT&amp;CK Mappings'!$E106)),ISNUMBER(SEARCH(IF(K$1&lt;&gt;"",K$1,"NA"),'MITRE ATT&amp;CK Mappings'!$F106))),ISNUMBER(SEARCH(IF(K$2&lt;&gt;"",K$2,"NA"),'MITRE ATT&amp;CK Mappings'!$G106))),ISNUMBER(SEARCH(IF(K$2&lt;&gt;"",K$2,"NA"),'MITRE ATT&amp;CK Mappings'!$H106))),ISNUMBER(SEARCH(IF(K$3&lt;&gt;"",K$3,"NA"),'MITRE ATT&amp;CK Mappings'!$I106))),ISNUMBER(SEARCH(IF(K$3&lt;&gt;"",K$3,"NA"),'MITRE ATT&amp;CK Mappings'!$J106))), 'MITRE ATT&amp;CK Mappings'!$B106,"")</f>
        <v/>
      </c>
      <c r="L110" s="26" t="str">
        <f>IF('MITRE ATT&amp;CK Mappings'!D106 &lt;&gt;"",'MITRE ATT&amp;CK Mappings'!D106,"" )</f>
        <v>Ensure Microsoft Defender CSPM is set to 'On'</v>
      </c>
    </row>
    <row r="111" spans="1:12" x14ac:dyDescent="0.25">
      <c r="A111" s="27" t="str">
        <f>IF(COUNTIF(B111:K111,"="&amp;'MITRE ATT&amp;CK Mappings'!B107)&gt;0,'MITRE ATT&amp;CK Mappings'!B107,"")</f>
        <v/>
      </c>
      <c r="B111" s="27" t="str">
        <f>IF(OR(OR(OR(OR(OR(ISNUMBER(SEARCH(IF(B$1&lt;&gt;"",B$1,"NA"),'MITRE ATT&amp;CK Mappings'!$E107)),ISNUMBER(SEARCH(IF(B$1&lt;&gt;"",B$1,"NA"),'MITRE ATT&amp;CK Mappings'!$F107))),ISNUMBER(SEARCH(IF(B$2&lt;&gt;"",B$2,"NA"),'MITRE ATT&amp;CK Mappings'!$G107))),ISNUMBER(SEARCH(IF(B$2&lt;&gt;"",B$2,"NA"),'MITRE ATT&amp;CK Mappings'!$H107))),ISNUMBER(SEARCH(IF(B$3&lt;&gt;"",B$3,"NA"),'MITRE ATT&amp;CK Mappings'!$I107))),ISNUMBER(SEARCH(IF(B$3&lt;&gt;"",B$3,"NA"),'MITRE ATT&amp;CK Mappings'!$J107))), 'MITRE ATT&amp;CK Mappings'!$B107,"")</f>
        <v/>
      </c>
      <c r="C111" s="27" t="str">
        <f>IF(OR(OR(OR(OR(OR(ISNUMBER(SEARCH(IF(C$1&lt;&gt;"",C$1,"NA"),'MITRE ATT&amp;CK Mappings'!$E107)),ISNUMBER(SEARCH(IF(C$1&lt;&gt;"",C$1,"NA"),'MITRE ATT&amp;CK Mappings'!$F107))),ISNUMBER(SEARCH(IF(C$2&lt;&gt;"",C$2,"NA"),'MITRE ATT&amp;CK Mappings'!$G107))),ISNUMBER(SEARCH(IF(C$2&lt;&gt;"",C$2,"NA"),'MITRE ATT&amp;CK Mappings'!$H107))),ISNUMBER(SEARCH(IF(C$3&lt;&gt;"",C$3,"NA"),'MITRE ATT&amp;CK Mappings'!$I107))),ISNUMBER(SEARCH(IF(C$3&lt;&gt;"",C$3,"NA"),'MITRE ATT&amp;CK Mappings'!$J107))), 'MITRE ATT&amp;CK Mappings'!$B107,"")</f>
        <v/>
      </c>
      <c r="D111" s="27" t="str">
        <f>IF(OR(OR(OR(OR(OR(ISNUMBER(SEARCH(IF(D$1&lt;&gt;"",D$1,"NA"),'MITRE ATT&amp;CK Mappings'!$E107)),ISNUMBER(SEARCH(IF(D$1&lt;&gt;"",D$1,"NA"),'MITRE ATT&amp;CK Mappings'!$F107))),ISNUMBER(SEARCH(IF(D$2&lt;&gt;"",D$2,"NA"),'MITRE ATT&amp;CK Mappings'!$G107))),ISNUMBER(SEARCH(IF(D$2&lt;&gt;"",D$2,"NA"),'MITRE ATT&amp;CK Mappings'!$H107))),ISNUMBER(SEARCH(IF(D$3&lt;&gt;"",D$3,"NA"),'MITRE ATT&amp;CK Mappings'!$I107))),ISNUMBER(SEARCH(IF(D$3&lt;&gt;"",D$3,"NA"),'MITRE ATT&amp;CK Mappings'!$J107))), 'MITRE ATT&amp;CK Mappings'!$B107,"")</f>
        <v/>
      </c>
      <c r="E111" s="27" t="str">
        <f>IF(OR(OR(OR(OR(OR(ISNUMBER(SEARCH(IF(E$1&lt;&gt;"",E$1,"NA"),'MITRE ATT&amp;CK Mappings'!$E107)),ISNUMBER(SEARCH(IF(E$1&lt;&gt;"",E$1,"NA"),'MITRE ATT&amp;CK Mappings'!$F107))),ISNUMBER(SEARCH(IF(E$2&lt;&gt;"",E$2,"NA"),'MITRE ATT&amp;CK Mappings'!$G107))),ISNUMBER(SEARCH(IF(E$2&lt;&gt;"",E$2,"NA"),'MITRE ATT&amp;CK Mappings'!$H107))),ISNUMBER(SEARCH(IF(E$3&lt;&gt;"",E$3,"NA"),'MITRE ATT&amp;CK Mappings'!$I107))),ISNUMBER(SEARCH(IF(E$3&lt;&gt;"",E$3,"NA"),'MITRE ATT&amp;CK Mappings'!$J107))), 'MITRE ATT&amp;CK Mappings'!$B107,"")</f>
        <v/>
      </c>
      <c r="F111" s="27" t="str">
        <f>IF(OR(OR(OR(OR(OR(ISNUMBER(SEARCH(IF(F$1&lt;&gt;"",F$1,"NA"),'MITRE ATT&amp;CK Mappings'!$E107)),ISNUMBER(SEARCH(IF(F$1&lt;&gt;"",F$1,"NA"),'MITRE ATT&amp;CK Mappings'!$F107))),ISNUMBER(SEARCH(IF(F$2&lt;&gt;"",F$2,"NA"),'MITRE ATT&amp;CK Mappings'!$G107))),ISNUMBER(SEARCH(IF(F$2&lt;&gt;"",F$2,"NA"),'MITRE ATT&amp;CK Mappings'!$H107))),ISNUMBER(SEARCH(IF(F$3&lt;&gt;"",F$3,"NA"),'MITRE ATT&amp;CK Mappings'!$I107))),ISNUMBER(SEARCH(IF(F$3&lt;&gt;"",F$3,"NA"),'MITRE ATT&amp;CK Mappings'!$J107))), 'MITRE ATT&amp;CK Mappings'!$B107,"")</f>
        <v/>
      </c>
      <c r="G111" s="27" t="str">
        <f>IF(OR(OR(OR(OR(OR(ISNUMBER(SEARCH(IF(G$1&lt;&gt;"",G$1,"NA"),'MITRE ATT&amp;CK Mappings'!$E107)),ISNUMBER(SEARCH(IF(G$1&lt;&gt;"",G$1,"NA"),'MITRE ATT&amp;CK Mappings'!$F107))),ISNUMBER(SEARCH(IF(G$2&lt;&gt;"",G$2,"NA"),'MITRE ATT&amp;CK Mappings'!$G107))),ISNUMBER(SEARCH(IF(G$2&lt;&gt;"",G$2,"NA"),'MITRE ATT&amp;CK Mappings'!$H107))),ISNUMBER(SEARCH(IF(G$3&lt;&gt;"",G$3,"NA"),'MITRE ATT&amp;CK Mappings'!$I107))),ISNUMBER(SEARCH(IF(G$3&lt;&gt;"",G$3,"NA"),'MITRE ATT&amp;CK Mappings'!$J107))), 'MITRE ATT&amp;CK Mappings'!$B107,"")</f>
        <v/>
      </c>
      <c r="H111" s="27" t="str">
        <f>IF(OR(OR(OR(OR(OR(ISNUMBER(SEARCH(IF(H$1&lt;&gt;"",H$1,"NA"),'MITRE ATT&amp;CK Mappings'!$E107)),ISNUMBER(SEARCH(IF(H$1&lt;&gt;"",H$1,"NA"),'MITRE ATT&amp;CK Mappings'!$F107))),ISNUMBER(SEARCH(IF(H$2&lt;&gt;"",H$2,"NA"),'MITRE ATT&amp;CK Mappings'!$G107))),ISNUMBER(SEARCH(IF(H$2&lt;&gt;"",H$2,"NA"),'MITRE ATT&amp;CK Mappings'!$H107))),ISNUMBER(SEARCH(IF(H$3&lt;&gt;"",H$3,"NA"),'MITRE ATT&amp;CK Mappings'!$I107))),ISNUMBER(SEARCH(IF(H$3&lt;&gt;"",H$3,"NA"),'MITRE ATT&amp;CK Mappings'!$J107))), 'MITRE ATT&amp;CK Mappings'!$B107,"")</f>
        <v/>
      </c>
      <c r="I111" s="27" t="str">
        <f>IF(OR(OR(OR(OR(OR(ISNUMBER(SEARCH(IF(I$1&lt;&gt;"",I$1,"NA"),'MITRE ATT&amp;CK Mappings'!$E107)),ISNUMBER(SEARCH(IF(I$1&lt;&gt;"",I$1,"NA"),'MITRE ATT&amp;CK Mappings'!$F107))),ISNUMBER(SEARCH(IF(I$2&lt;&gt;"",I$2,"NA"),'MITRE ATT&amp;CK Mappings'!$G107))),ISNUMBER(SEARCH(IF(I$2&lt;&gt;"",I$2,"NA"),'MITRE ATT&amp;CK Mappings'!$H107))),ISNUMBER(SEARCH(IF(I$3&lt;&gt;"",I$3,"NA"),'MITRE ATT&amp;CK Mappings'!$I107))),ISNUMBER(SEARCH(IF(I$3&lt;&gt;"",I$3,"NA"),'MITRE ATT&amp;CK Mappings'!$J107))), 'MITRE ATT&amp;CK Mappings'!$B107,"")</f>
        <v/>
      </c>
      <c r="J111" s="27" t="str">
        <f>IF(OR(OR(OR(OR(OR(ISNUMBER(SEARCH(IF(J$1&lt;&gt;"",J$1,"NA"),'MITRE ATT&amp;CK Mappings'!$E107)),ISNUMBER(SEARCH(IF(J$1&lt;&gt;"",J$1,"NA"),'MITRE ATT&amp;CK Mappings'!$F107))),ISNUMBER(SEARCH(IF(J$2&lt;&gt;"",J$2,"NA"),'MITRE ATT&amp;CK Mappings'!$G107))),ISNUMBER(SEARCH(IF(J$2&lt;&gt;"",J$2,"NA"),'MITRE ATT&amp;CK Mappings'!$H107))),ISNUMBER(SEARCH(IF(J$3&lt;&gt;"",J$3,"NA"),'MITRE ATT&amp;CK Mappings'!$I107))),ISNUMBER(SEARCH(IF(J$3&lt;&gt;"",J$3,"NA"),'MITRE ATT&amp;CK Mappings'!$J107))), 'MITRE ATT&amp;CK Mappings'!$B107,"")</f>
        <v/>
      </c>
      <c r="K111" s="27" t="str">
        <f>IF(OR(OR(OR(OR(OR(ISNUMBER(SEARCH(IF(K$1&lt;&gt;"",K$1,"NA"),'MITRE ATT&amp;CK Mappings'!$E107)),ISNUMBER(SEARCH(IF(K$1&lt;&gt;"",K$1,"NA"),'MITRE ATT&amp;CK Mappings'!$F107))),ISNUMBER(SEARCH(IF(K$2&lt;&gt;"",K$2,"NA"),'MITRE ATT&amp;CK Mappings'!$G107))),ISNUMBER(SEARCH(IF(K$2&lt;&gt;"",K$2,"NA"),'MITRE ATT&amp;CK Mappings'!$H107))),ISNUMBER(SEARCH(IF(K$3&lt;&gt;"",K$3,"NA"),'MITRE ATT&amp;CK Mappings'!$I107))),ISNUMBER(SEARCH(IF(K$3&lt;&gt;"",K$3,"NA"),'MITRE ATT&amp;CK Mappings'!$J107))), 'MITRE ATT&amp;CK Mappings'!$B107,"")</f>
        <v/>
      </c>
      <c r="L111" s="27" t="str">
        <f>IF('MITRE ATT&amp;CK Mappings'!D107 &lt;&gt;"",'MITRE ATT&amp;CK Mappings'!D107,"" )</f>
        <v>Ensure Microsoft Defender for APIs is set to 'On'</v>
      </c>
    </row>
    <row r="112" spans="1:12" x14ac:dyDescent="0.25">
      <c r="A112" s="26" t="str">
        <f>IF(COUNTIF(B112:K112,"="&amp;'MITRE ATT&amp;CK Mappings'!B108)&gt;0,'MITRE ATT&amp;CK Mappings'!B108,"")</f>
        <v/>
      </c>
      <c r="B112" s="26" t="str">
        <f>IF(OR(OR(OR(OR(OR(ISNUMBER(SEARCH(IF(B$1&lt;&gt;"",B$1,"NA"),'MITRE ATT&amp;CK Mappings'!$E108)),ISNUMBER(SEARCH(IF(B$1&lt;&gt;"",B$1,"NA"),'MITRE ATT&amp;CK Mappings'!$F108))),ISNUMBER(SEARCH(IF(B$2&lt;&gt;"",B$2,"NA"),'MITRE ATT&amp;CK Mappings'!$G108))),ISNUMBER(SEARCH(IF(B$2&lt;&gt;"",B$2,"NA"),'MITRE ATT&amp;CK Mappings'!$H108))),ISNUMBER(SEARCH(IF(B$3&lt;&gt;"",B$3,"NA"),'MITRE ATT&amp;CK Mappings'!$I108))),ISNUMBER(SEARCH(IF(B$3&lt;&gt;"",B$3,"NA"),'MITRE ATT&amp;CK Mappings'!$J108))), 'MITRE ATT&amp;CK Mappings'!$B108,"")</f>
        <v/>
      </c>
      <c r="C112" s="26" t="str">
        <f>IF(OR(OR(OR(OR(OR(ISNUMBER(SEARCH(IF(C$1&lt;&gt;"",C$1,"NA"),'MITRE ATT&amp;CK Mappings'!$E108)),ISNUMBER(SEARCH(IF(C$1&lt;&gt;"",C$1,"NA"),'MITRE ATT&amp;CK Mappings'!$F108))),ISNUMBER(SEARCH(IF(C$2&lt;&gt;"",C$2,"NA"),'MITRE ATT&amp;CK Mappings'!$G108))),ISNUMBER(SEARCH(IF(C$2&lt;&gt;"",C$2,"NA"),'MITRE ATT&amp;CK Mappings'!$H108))),ISNUMBER(SEARCH(IF(C$3&lt;&gt;"",C$3,"NA"),'MITRE ATT&amp;CK Mappings'!$I108))),ISNUMBER(SEARCH(IF(C$3&lt;&gt;"",C$3,"NA"),'MITRE ATT&amp;CK Mappings'!$J108))), 'MITRE ATT&amp;CK Mappings'!$B108,"")</f>
        <v/>
      </c>
      <c r="D112" s="26" t="str">
        <f>IF(OR(OR(OR(OR(OR(ISNUMBER(SEARCH(IF(D$1&lt;&gt;"",D$1,"NA"),'MITRE ATT&amp;CK Mappings'!$E108)),ISNUMBER(SEARCH(IF(D$1&lt;&gt;"",D$1,"NA"),'MITRE ATT&amp;CK Mappings'!$F108))),ISNUMBER(SEARCH(IF(D$2&lt;&gt;"",D$2,"NA"),'MITRE ATT&amp;CK Mappings'!$G108))),ISNUMBER(SEARCH(IF(D$2&lt;&gt;"",D$2,"NA"),'MITRE ATT&amp;CK Mappings'!$H108))),ISNUMBER(SEARCH(IF(D$3&lt;&gt;"",D$3,"NA"),'MITRE ATT&amp;CK Mappings'!$I108))),ISNUMBER(SEARCH(IF(D$3&lt;&gt;"",D$3,"NA"),'MITRE ATT&amp;CK Mappings'!$J108))), 'MITRE ATT&amp;CK Mappings'!$B108,"")</f>
        <v/>
      </c>
      <c r="E112" s="26" t="str">
        <f>IF(OR(OR(OR(OR(OR(ISNUMBER(SEARCH(IF(E$1&lt;&gt;"",E$1,"NA"),'MITRE ATT&amp;CK Mappings'!$E108)),ISNUMBER(SEARCH(IF(E$1&lt;&gt;"",E$1,"NA"),'MITRE ATT&amp;CK Mappings'!$F108))),ISNUMBER(SEARCH(IF(E$2&lt;&gt;"",E$2,"NA"),'MITRE ATT&amp;CK Mappings'!$G108))),ISNUMBER(SEARCH(IF(E$2&lt;&gt;"",E$2,"NA"),'MITRE ATT&amp;CK Mappings'!$H108))),ISNUMBER(SEARCH(IF(E$3&lt;&gt;"",E$3,"NA"),'MITRE ATT&amp;CK Mappings'!$I108))),ISNUMBER(SEARCH(IF(E$3&lt;&gt;"",E$3,"NA"),'MITRE ATT&amp;CK Mappings'!$J108))), 'MITRE ATT&amp;CK Mappings'!$B108,"")</f>
        <v/>
      </c>
      <c r="F112" s="26" t="str">
        <f>IF(OR(OR(OR(OR(OR(ISNUMBER(SEARCH(IF(F$1&lt;&gt;"",F$1,"NA"),'MITRE ATT&amp;CK Mappings'!$E108)),ISNUMBER(SEARCH(IF(F$1&lt;&gt;"",F$1,"NA"),'MITRE ATT&amp;CK Mappings'!$F108))),ISNUMBER(SEARCH(IF(F$2&lt;&gt;"",F$2,"NA"),'MITRE ATT&amp;CK Mappings'!$G108))),ISNUMBER(SEARCH(IF(F$2&lt;&gt;"",F$2,"NA"),'MITRE ATT&amp;CK Mappings'!$H108))),ISNUMBER(SEARCH(IF(F$3&lt;&gt;"",F$3,"NA"),'MITRE ATT&amp;CK Mappings'!$I108))),ISNUMBER(SEARCH(IF(F$3&lt;&gt;"",F$3,"NA"),'MITRE ATT&amp;CK Mappings'!$J108))), 'MITRE ATT&amp;CK Mappings'!$B108,"")</f>
        <v/>
      </c>
      <c r="G112" s="26" t="str">
        <f>IF(OR(OR(OR(OR(OR(ISNUMBER(SEARCH(IF(G$1&lt;&gt;"",G$1,"NA"),'MITRE ATT&amp;CK Mappings'!$E108)),ISNUMBER(SEARCH(IF(G$1&lt;&gt;"",G$1,"NA"),'MITRE ATT&amp;CK Mappings'!$F108))),ISNUMBER(SEARCH(IF(G$2&lt;&gt;"",G$2,"NA"),'MITRE ATT&amp;CK Mappings'!$G108))),ISNUMBER(SEARCH(IF(G$2&lt;&gt;"",G$2,"NA"),'MITRE ATT&amp;CK Mappings'!$H108))),ISNUMBER(SEARCH(IF(G$3&lt;&gt;"",G$3,"NA"),'MITRE ATT&amp;CK Mappings'!$I108))),ISNUMBER(SEARCH(IF(G$3&lt;&gt;"",G$3,"NA"),'MITRE ATT&amp;CK Mappings'!$J108))), 'MITRE ATT&amp;CK Mappings'!$B108,"")</f>
        <v/>
      </c>
      <c r="H112" s="26" t="str">
        <f>IF(OR(OR(OR(OR(OR(ISNUMBER(SEARCH(IF(H$1&lt;&gt;"",H$1,"NA"),'MITRE ATT&amp;CK Mappings'!$E108)),ISNUMBER(SEARCH(IF(H$1&lt;&gt;"",H$1,"NA"),'MITRE ATT&amp;CK Mappings'!$F108))),ISNUMBER(SEARCH(IF(H$2&lt;&gt;"",H$2,"NA"),'MITRE ATT&amp;CK Mappings'!$G108))),ISNUMBER(SEARCH(IF(H$2&lt;&gt;"",H$2,"NA"),'MITRE ATT&amp;CK Mappings'!$H108))),ISNUMBER(SEARCH(IF(H$3&lt;&gt;"",H$3,"NA"),'MITRE ATT&amp;CK Mappings'!$I108))),ISNUMBER(SEARCH(IF(H$3&lt;&gt;"",H$3,"NA"),'MITRE ATT&amp;CK Mappings'!$J108))), 'MITRE ATT&amp;CK Mappings'!$B108,"")</f>
        <v/>
      </c>
      <c r="I112" s="26" t="str">
        <f>IF(OR(OR(OR(OR(OR(ISNUMBER(SEARCH(IF(I$1&lt;&gt;"",I$1,"NA"),'MITRE ATT&amp;CK Mappings'!$E108)),ISNUMBER(SEARCH(IF(I$1&lt;&gt;"",I$1,"NA"),'MITRE ATT&amp;CK Mappings'!$F108))),ISNUMBER(SEARCH(IF(I$2&lt;&gt;"",I$2,"NA"),'MITRE ATT&amp;CK Mappings'!$G108))),ISNUMBER(SEARCH(IF(I$2&lt;&gt;"",I$2,"NA"),'MITRE ATT&amp;CK Mappings'!$H108))),ISNUMBER(SEARCH(IF(I$3&lt;&gt;"",I$3,"NA"),'MITRE ATT&amp;CK Mappings'!$I108))),ISNUMBER(SEARCH(IF(I$3&lt;&gt;"",I$3,"NA"),'MITRE ATT&amp;CK Mappings'!$J108))), 'MITRE ATT&amp;CK Mappings'!$B108,"")</f>
        <v/>
      </c>
      <c r="J112" s="26" t="str">
        <f>IF(OR(OR(OR(OR(OR(ISNUMBER(SEARCH(IF(J$1&lt;&gt;"",J$1,"NA"),'MITRE ATT&amp;CK Mappings'!$E108)),ISNUMBER(SEARCH(IF(J$1&lt;&gt;"",J$1,"NA"),'MITRE ATT&amp;CK Mappings'!$F108))),ISNUMBER(SEARCH(IF(J$2&lt;&gt;"",J$2,"NA"),'MITRE ATT&amp;CK Mappings'!$G108))),ISNUMBER(SEARCH(IF(J$2&lt;&gt;"",J$2,"NA"),'MITRE ATT&amp;CK Mappings'!$H108))),ISNUMBER(SEARCH(IF(J$3&lt;&gt;"",J$3,"NA"),'MITRE ATT&amp;CK Mappings'!$I108))),ISNUMBER(SEARCH(IF(J$3&lt;&gt;"",J$3,"NA"),'MITRE ATT&amp;CK Mappings'!$J108))), 'MITRE ATT&amp;CK Mappings'!$B108,"")</f>
        <v/>
      </c>
      <c r="K112" s="26" t="str">
        <f>IF(OR(OR(OR(OR(OR(ISNUMBER(SEARCH(IF(K$1&lt;&gt;"",K$1,"NA"),'MITRE ATT&amp;CK Mappings'!$E108)),ISNUMBER(SEARCH(IF(K$1&lt;&gt;"",K$1,"NA"),'MITRE ATT&amp;CK Mappings'!$F108))),ISNUMBER(SEARCH(IF(K$2&lt;&gt;"",K$2,"NA"),'MITRE ATT&amp;CK Mappings'!$G108))),ISNUMBER(SEARCH(IF(K$2&lt;&gt;"",K$2,"NA"),'MITRE ATT&amp;CK Mappings'!$H108))),ISNUMBER(SEARCH(IF(K$3&lt;&gt;"",K$3,"NA"),'MITRE ATT&amp;CK Mappings'!$I108))),ISNUMBER(SEARCH(IF(K$3&lt;&gt;"",K$3,"NA"),'MITRE ATT&amp;CK Mappings'!$J108))), 'MITRE ATT&amp;CK Mappings'!$B108,"")</f>
        <v/>
      </c>
      <c r="L112" s="26" t="str">
        <f>IF('MITRE ATT&amp;CK Mappings'!D108 &lt;&gt;"",'MITRE ATT&amp;CK Mappings'!D108,"" )</f>
        <v>Ensure that Defender for Servers is set to 'On'</v>
      </c>
    </row>
    <row r="113" spans="1:12" x14ac:dyDescent="0.25">
      <c r="A113" s="27" t="str">
        <f>IF(COUNTIF(B113:K113,"="&amp;'MITRE ATT&amp;CK Mappings'!B109)&gt;0,'MITRE ATT&amp;CK Mappings'!B109,"")</f>
        <v/>
      </c>
      <c r="B113" s="27" t="str">
        <f>IF(OR(OR(OR(OR(OR(ISNUMBER(SEARCH(IF(B$1&lt;&gt;"",B$1,"NA"),'MITRE ATT&amp;CK Mappings'!$E109)),ISNUMBER(SEARCH(IF(B$1&lt;&gt;"",B$1,"NA"),'MITRE ATT&amp;CK Mappings'!$F109))),ISNUMBER(SEARCH(IF(B$2&lt;&gt;"",B$2,"NA"),'MITRE ATT&amp;CK Mappings'!$G109))),ISNUMBER(SEARCH(IF(B$2&lt;&gt;"",B$2,"NA"),'MITRE ATT&amp;CK Mappings'!$H109))),ISNUMBER(SEARCH(IF(B$3&lt;&gt;"",B$3,"NA"),'MITRE ATT&amp;CK Mappings'!$I109))),ISNUMBER(SEARCH(IF(B$3&lt;&gt;"",B$3,"NA"),'MITRE ATT&amp;CK Mappings'!$J109))), 'MITRE ATT&amp;CK Mappings'!$B109,"")</f>
        <v/>
      </c>
      <c r="C113" s="27" t="str">
        <f>IF(OR(OR(OR(OR(OR(ISNUMBER(SEARCH(IF(C$1&lt;&gt;"",C$1,"NA"),'MITRE ATT&amp;CK Mappings'!$E109)),ISNUMBER(SEARCH(IF(C$1&lt;&gt;"",C$1,"NA"),'MITRE ATT&amp;CK Mappings'!$F109))),ISNUMBER(SEARCH(IF(C$2&lt;&gt;"",C$2,"NA"),'MITRE ATT&amp;CK Mappings'!$G109))),ISNUMBER(SEARCH(IF(C$2&lt;&gt;"",C$2,"NA"),'MITRE ATT&amp;CK Mappings'!$H109))),ISNUMBER(SEARCH(IF(C$3&lt;&gt;"",C$3,"NA"),'MITRE ATT&amp;CK Mappings'!$I109))),ISNUMBER(SEARCH(IF(C$3&lt;&gt;"",C$3,"NA"),'MITRE ATT&amp;CK Mappings'!$J109))), 'MITRE ATT&amp;CK Mappings'!$B109,"")</f>
        <v/>
      </c>
      <c r="D113" s="27" t="str">
        <f>IF(OR(OR(OR(OR(OR(ISNUMBER(SEARCH(IF(D$1&lt;&gt;"",D$1,"NA"),'MITRE ATT&amp;CK Mappings'!$E109)),ISNUMBER(SEARCH(IF(D$1&lt;&gt;"",D$1,"NA"),'MITRE ATT&amp;CK Mappings'!$F109))),ISNUMBER(SEARCH(IF(D$2&lt;&gt;"",D$2,"NA"),'MITRE ATT&amp;CK Mappings'!$G109))),ISNUMBER(SEARCH(IF(D$2&lt;&gt;"",D$2,"NA"),'MITRE ATT&amp;CK Mappings'!$H109))),ISNUMBER(SEARCH(IF(D$3&lt;&gt;"",D$3,"NA"),'MITRE ATT&amp;CK Mappings'!$I109))),ISNUMBER(SEARCH(IF(D$3&lt;&gt;"",D$3,"NA"),'MITRE ATT&amp;CK Mappings'!$J109))), 'MITRE ATT&amp;CK Mappings'!$B109,"")</f>
        <v/>
      </c>
      <c r="E113" s="27" t="str">
        <f>IF(OR(OR(OR(OR(OR(ISNUMBER(SEARCH(IF(E$1&lt;&gt;"",E$1,"NA"),'MITRE ATT&amp;CK Mappings'!$E109)),ISNUMBER(SEARCH(IF(E$1&lt;&gt;"",E$1,"NA"),'MITRE ATT&amp;CK Mappings'!$F109))),ISNUMBER(SEARCH(IF(E$2&lt;&gt;"",E$2,"NA"),'MITRE ATT&amp;CK Mappings'!$G109))),ISNUMBER(SEARCH(IF(E$2&lt;&gt;"",E$2,"NA"),'MITRE ATT&amp;CK Mappings'!$H109))),ISNUMBER(SEARCH(IF(E$3&lt;&gt;"",E$3,"NA"),'MITRE ATT&amp;CK Mappings'!$I109))),ISNUMBER(SEARCH(IF(E$3&lt;&gt;"",E$3,"NA"),'MITRE ATT&amp;CK Mappings'!$J109))), 'MITRE ATT&amp;CK Mappings'!$B109,"")</f>
        <v/>
      </c>
      <c r="F113" s="27" t="str">
        <f>IF(OR(OR(OR(OR(OR(ISNUMBER(SEARCH(IF(F$1&lt;&gt;"",F$1,"NA"),'MITRE ATT&amp;CK Mappings'!$E109)),ISNUMBER(SEARCH(IF(F$1&lt;&gt;"",F$1,"NA"),'MITRE ATT&amp;CK Mappings'!$F109))),ISNUMBER(SEARCH(IF(F$2&lt;&gt;"",F$2,"NA"),'MITRE ATT&amp;CK Mappings'!$G109))),ISNUMBER(SEARCH(IF(F$2&lt;&gt;"",F$2,"NA"),'MITRE ATT&amp;CK Mappings'!$H109))),ISNUMBER(SEARCH(IF(F$3&lt;&gt;"",F$3,"NA"),'MITRE ATT&amp;CK Mappings'!$I109))),ISNUMBER(SEARCH(IF(F$3&lt;&gt;"",F$3,"NA"),'MITRE ATT&amp;CK Mappings'!$J109))), 'MITRE ATT&amp;CK Mappings'!$B109,"")</f>
        <v/>
      </c>
      <c r="G113" s="27" t="str">
        <f>IF(OR(OR(OR(OR(OR(ISNUMBER(SEARCH(IF(G$1&lt;&gt;"",G$1,"NA"),'MITRE ATT&amp;CK Mappings'!$E109)),ISNUMBER(SEARCH(IF(G$1&lt;&gt;"",G$1,"NA"),'MITRE ATT&amp;CK Mappings'!$F109))),ISNUMBER(SEARCH(IF(G$2&lt;&gt;"",G$2,"NA"),'MITRE ATT&amp;CK Mappings'!$G109))),ISNUMBER(SEARCH(IF(G$2&lt;&gt;"",G$2,"NA"),'MITRE ATT&amp;CK Mappings'!$H109))),ISNUMBER(SEARCH(IF(G$3&lt;&gt;"",G$3,"NA"),'MITRE ATT&amp;CK Mappings'!$I109))),ISNUMBER(SEARCH(IF(G$3&lt;&gt;"",G$3,"NA"),'MITRE ATT&amp;CK Mappings'!$J109))), 'MITRE ATT&amp;CK Mappings'!$B109,"")</f>
        <v/>
      </c>
      <c r="H113" s="27" t="str">
        <f>IF(OR(OR(OR(OR(OR(ISNUMBER(SEARCH(IF(H$1&lt;&gt;"",H$1,"NA"),'MITRE ATT&amp;CK Mappings'!$E109)),ISNUMBER(SEARCH(IF(H$1&lt;&gt;"",H$1,"NA"),'MITRE ATT&amp;CK Mappings'!$F109))),ISNUMBER(SEARCH(IF(H$2&lt;&gt;"",H$2,"NA"),'MITRE ATT&amp;CK Mappings'!$G109))),ISNUMBER(SEARCH(IF(H$2&lt;&gt;"",H$2,"NA"),'MITRE ATT&amp;CK Mappings'!$H109))),ISNUMBER(SEARCH(IF(H$3&lt;&gt;"",H$3,"NA"),'MITRE ATT&amp;CK Mappings'!$I109))),ISNUMBER(SEARCH(IF(H$3&lt;&gt;"",H$3,"NA"),'MITRE ATT&amp;CK Mappings'!$J109))), 'MITRE ATT&amp;CK Mappings'!$B109,"")</f>
        <v/>
      </c>
      <c r="I113" s="27" t="str">
        <f>IF(OR(OR(OR(OR(OR(ISNUMBER(SEARCH(IF(I$1&lt;&gt;"",I$1,"NA"),'MITRE ATT&amp;CK Mappings'!$E109)),ISNUMBER(SEARCH(IF(I$1&lt;&gt;"",I$1,"NA"),'MITRE ATT&amp;CK Mappings'!$F109))),ISNUMBER(SEARCH(IF(I$2&lt;&gt;"",I$2,"NA"),'MITRE ATT&amp;CK Mappings'!$G109))),ISNUMBER(SEARCH(IF(I$2&lt;&gt;"",I$2,"NA"),'MITRE ATT&amp;CK Mappings'!$H109))),ISNUMBER(SEARCH(IF(I$3&lt;&gt;"",I$3,"NA"),'MITRE ATT&amp;CK Mappings'!$I109))),ISNUMBER(SEARCH(IF(I$3&lt;&gt;"",I$3,"NA"),'MITRE ATT&amp;CK Mappings'!$J109))), 'MITRE ATT&amp;CK Mappings'!$B109,"")</f>
        <v/>
      </c>
      <c r="J113" s="27" t="str">
        <f>IF(OR(OR(OR(OR(OR(ISNUMBER(SEARCH(IF(J$1&lt;&gt;"",J$1,"NA"),'MITRE ATT&amp;CK Mappings'!$E109)),ISNUMBER(SEARCH(IF(J$1&lt;&gt;"",J$1,"NA"),'MITRE ATT&amp;CK Mappings'!$F109))),ISNUMBER(SEARCH(IF(J$2&lt;&gt;"",J$2,"NA"),'MITRE ATT&amp;CK Mappings'!$G109))),ISNUMBER(SEARCH(IF(J$2&lt;&gt;"",J$2,"NA"),'MITRE ATT&amp;CK Mappings'!$H109))),ISNUMBER(SEARCH(IF(J$3&lt;&gt;"",J$3,"NA"),'MITRE ATT&amp;CK Mappings'!$I109))),ISNUMBER(SEARCH(IF(J$3&lt;&gt;"",J$3,"NA"),'MITRE ATT&amp;CK Mappings'!$J109))), 'MITRE ATT&amp;CK Mappings'!$B109,"")</f>
        <v/>
      </c>
      <c r="K113" s="27" t="str">
        <f>IF(OR(OR(OR(OR(OR(ISNUMBER(SEARCH(IF(K$1&lt;&gt;"",K$1,"NA"),'MITRE ATT&amp;CK Mappings'!$E109)),ISNUMBER(SEARCH(IF(K$1&lt;&gt;"",K$1,"NA"),'MITRE ATT&amp;CK Mappings'!$F109))),ISNUMBER(SEARCH(IF(K$2&lt;&gt;"",K$2,"NA"),'MITRE ATT&amp;CK Mappings'!$G109))),ISNUMBER(SEARCH(IF(K$2&lt;&gt;"",K$2,"NA"),'MITRE ATT&amp;CK Mappings'!$H109))),ISNUMBER(SEARCH(IF(K$3&lt;&gt;"",K$3,"NA"),'MITRE ATT&amp;CK Mappings'!$I109))),ISNUMBER(SEARCH(IF(K$3&lt;&gt;"",K$3,"NA"),'MITRE ATT&amp;CK Mappings'!$J109))), 'MITRE ATT&amp;CK Mappings'!$B109,"")</f>
        <v/>
      </c>
      <c r="L113" s="27" t="str">
        <f>IF('MITRE ATT&amp;CK Mappings'!D109 &lt;&gt;"",'MITRE ATT&amp;CK Mappings'!D109,"" )</f>
        <v>Ensure that 'Vulnerability assessment for machines' component status is set to 'On'</v>
      </c>
    </row>
    <row r="114" spans="1:12" x14ac:dyDescent="0.25">
      <c r="A114" s="26" t="str">
        <f>IF(COUNTIF(B114:K114,"="&amp;'MITRE ATT&amp;CK Mappings'!B110)&gt;0,'MITRE ATT&amp;CK Mappings'!B110,"")</f>
        <v/>
      </c>
      <c r="B114" s="26" t="str">
        <f>IF(OR(OR(OR(OR(OR(ISNUMBER(SEARCH(IF(B$1&lt;&gt;"",B$1,"NA"),'MITRE ATT&amp;CK Mappings'!$E110)),ISNUMBER(SEARCH(IF(B$1&lt;&gt;"",B$1,"NA"),'MITRE ATT&amp;CK Mappings'!$F110))),ISNUMBER(SEARCH(IF(B$2&lt;&gt;"",B$2,"NA"),'MITRE ATT&amp;CK Mappings'!$G110))),ISNUMBER(SEARCH(IF(B$2&lt;&gt;"",B$2,"NA"),'MITRE ATT&amp;CK Mappings'!$H110))),ISNUMBER(SEARCH(IF(B$3&lt;&gt;"",B$3,"NA"),'MITRE ATT&amp;CK Mappings'!$I110))),ISNUMBER(SEARCH(IF(B$3&lt;&gt;"",B$3,"NA"),'MITRE ATT&amp;CK Mappings'!$J110))), 'MITRE ATT&amp;CK Mappings'!$B110,"")</f>
        <v/>
      </c>
      <c r="C114" s="26" t="str">
        <f>IF(OR(OR(OR(OR(OR(ISNUMBER(SEARCH(IF(C$1&lt;&gt;"",C$1,"NA"),'MITRE ATT&amp;CK Mappings'!$E110)),ISNUMBER(SEARCH(IF(C$1&lt;&gt;"",C$1,"NA"),'MITRE ATT&amp;CK Mappings'!$F110))),ISNUMBER(SEARCH(IF(C$2&lt;&gt;"",C$2,"NA"),'MITRE ATT&amp;CK Mappings'!$G110))),ISNUMBER(SEARCH(IF(C$2&lt;&gt;"",C$2,"NA"),'MITRE ATT&amp;CK Mappings'!$H110))),ISNUMBER(SEARCH(IF(C$3&lt;&gt;"",C$3,"NA"),'MITRE ATT&amp;CK Mappings'!$I110))),ISNUMBER(SEARCH(IF(C$3&lt;&gt;"",C$3,"NA"),'MITRE ATT&amp;CK Mappings'!$J110))), 'MITRE ATT&amp;CK Mappings'!$B110,"")</f>
        <v/>
      </c>
      <c r="D114" s="26" t="str">
        <f>IF(OR(OR(OR(OR(OR(ISNUMBER(SEARCH(IF(D$1&lt;&gt;"",D$1,"NA"),'MITRE ATT&amp;CK Mappings'!$E110)),ISNUMBER(SEARCH(IF(D$1&lt;&gt;"",D$1,"NA"),'MITRE ATT&amp;CK Mappings'!$F110))),ISNUMBER(SEARCH(IF(D$2&lt;&gt;"",D$2,"NA"),'MITRE ATT&amp;CK Mappings'!$G110))),ISNUMBER(SEARCH(IF(D$2&lt;&gt;"",D$2,"NA"),'MITRE ATT&amp;CK Mappings'!$H110))),ISNUMBER(SEARCH(IF(D$3&lt;&gt;"",D$3,"NA"),'MITRE ATT&amp;CK Mappings'!$I110))),ISNUMBER(SEARCH(IF(D$3&lt;&gt;"",D$3,"NA"),'MITRE ATT&amp;CK Mappings'!$J110))), 'MITRE ATT&amp;CK Mappings'!$B110,"")</f>
        <v/>
      </c>
      <c r="E114" s="26" t="str">
        <f>IF(OR(OR(OR(OR(OR(ISNUMBER(SEARCH(IF(E$1&lt;&gt;"",E$1,"NA"),'MITRE ATT&amp;CK Mappings'!$E110)),ISNUMBER(SEARCH(IF(E$1&lt;&gt;"",E$1,"NA"),'MITRE ATT&amp;CK Mappings'!$F110))),ISNUMBER(SEARCH(IF(E$2&lt;&gt;"",E$2,"NA"),'MITRE ATT&amp;CK Mappings'!$G110))),ISNUMBER(SEARCH(IF(E$2&lt;&gt;"",E$2,"NA"),'MITRE ATT&amp;CK Mappings'!$H110))),ISNUMBER(SEARCH(IF(E$3&lt;&gt;"",E$3,"NA"),'MITRE ATT&amp;CK Mappings'!$I110))),ISNUMBER(SEARCH(IF(E$3&lt;&gt;"",E$3,"NA"),'MITRE ATT&amp;CK Mappings'!$J110))), 'MITRE ATT&amp;CK Mappings'!$B110,"")</f>
        <v/>
      </c>
      <c r="F114" s="26" t="str">
        <f>IF(OR(OR(OR(OR(OR(ISNUMBER(SEARCH(IF(F$1&lt;&gt;"",F$1,"NA"),'MITRE ATT&amp;CK Mappings'!$E110)),ISNUMBER(SEARCH(IF(F$1&lt;&gt;"",F$1,"NA"),'MITRE ATT&amp;CK Mappings'!$F110))),ISNUMBER(SEARCH(IF(F$2&lt;&gt;"",F$2,"NA"),'MITRE ATT&amp;CK Mappings'!$G110))),ISNUMBER(SEARCH(IF(F$2&lt;&gt;"",F$2,"NA"),'MITRE ATT&amp;CK Mappings'!$H110))),ISNUMBER(SEARCH(IF(F$3&lt;&gt;"",F$3,"NA"),'MITRE ATT&amp;CK Mappings'!$I110))),ISNUMBER(SEARCH(IF(F$3&lt;&gt;"",F$3,"NA"),'MITRE ATT&amp;CK Mappings'!$J110))), 'MITRE ATT&amp;CK Mappings'!$B110,"")</f>
        <v/>
      </c>
      <c r="G114" s="26" t="str">
        <f>IF(OR(OR(OR(OR(OR(ISNUMBER(SEARCH(IF(G$1&lt;&gt;"",G$1,"NA"),'MITRE ATT&amp;CK Mappings'!$E110)),ISNUMBER(SEARCH(IF(G$1&lt;&gt;"",G$1,"NA"),'MITRE ATT&amp;CK Mappings'!$F110))),ISNUMBER(SEARCH(IF(G$2&lt;&gt;"",G$2,"NA"),'MITRE ATT&amp;CK Mappings'!$G110))),ISNUMBER(SEARCH(IF(G$2&lt;&gt;"",G$2,"NA"),'MITRE ATT&amp;CK Mappings'!$H110))),ISNUMBER(SEARCH(IF(G$3&lt;&gt;"",G$3,"NA"),'MITRE ATT&amp;CK Mappings'!$I110))),ISNUMBER(SEARCH(IF(G$3&lt;&gt;"",G$3,"NA"),'MITRE ATT&amp;CK Mappings'!$J110))), 'MITRE ATT&amp;CK Mappings'!$B110,"")</f>
        <v/>
      </c>
      <c r="H114" s="26" t="str">
        <f>IF(OR(OR(OR(OR(OR(ISNUMBER(SEARCH(IF(H$1&lt;&gt;"",H$1,"NA"),'MITRE ATT&amp;CK Mappings'!$E110)),ISNUMBER(SEARCH(IF(H$1&lt;&gt;"",H$1,"NA"),'MITRE ATT&amp;CK Mappings'!$F110))),ISNUMBER(SEARCH(IF(H$2&lt;&gt;"",H$2,"NA"),'MITRE ATT&amp;CK Mappings'!$G110))),ISNUMBER(SEARCH(IF(H$2&lt;&gt;"",H$2,"NA"),'MITRE ATT&amp;CK Mappings'!$H110))),ISNUMBER(SEARCH(IF(H$3&lt;&gt;"",H$3,"NA"),'MITRE ATT&amp;CK Mappings'!$I110))),ISNUMBER(SEARCH(IF(H$3&lt;&gt;"",H$3,"NA"),'MITRE ATT&amp;CK Mappings'!$J110))), 'MITRE ATT&amp;CK Mappings'!$B110,"")</f>
        <v/>
      </c>
      <c r="I114" s="26" t="str">
        <f>IF(OR(OR(OR(OR(OR(ISNUMBER(SEARCH(IF(I$1&lt;&gt;"",I$1,"NA"),'MITRE ATT&amp;CK Mappings'!$E110)),ISNUMBER(SEARCH(IF(I$1&lt;&gt;"",I$1,"NA"),'MITRE ATT&amp;CK Mappings'!$F110))),ISNUMBER(SEARCH(IF(I$2&lt;&gt;"",I$2,"NA"),'MITRE ATT&amp;CK Mappings'!$G110))),ISNUMBER(SEARCH(IF(I$2&lt;&gt;"",I$2,"NA"),'MITRE ATT&amp;CK Mappings'!$H110))),ISNUMBER(SEARCH(IF(I$3&lt;&gt;"",I$3,"NA"),'MITRE ATT&amp;CK Mappings'!$I110))),ISNUMBER(SEARCH(IF(I$3&lt;&gt;"",I$3,"NA"),'MITRE ATT&amp;CK Mappings'!$J110))), 'MITRE ATT&amp;CK Mappings'!$B110,"")</f>
        <v/>
      </c>
      <c r="J114" s="26" t="str">
        <f>IF(OR(OR(OR(OR(OR(ISNUMBER(SEARCH(IF(J$1&lt;&gt;"",J$1,"NA"),'MITRE ATT&amp;CK Mappings'!$E110)),ISNUMBER(SEARCH(IF(J$1&lt;&gt;"",J$1,"NA"),'MITRE ATT&amp;CK Mappings'!$F110))),ISNUMBER(SEARCH(IF(J$2&lt;&gt;"",J$2,"NA"),'MITRE ATT&amp;CK Mappings'!$G110))),ISNUMBER(SEARCH(IF(J$2&lt;&gt;"",J$2,"NA"),'MITRE ATT&amp;CK Mappings'!$H110))),ISNUMBER(SEARCH(IF(J$3&lt;&gt;"",J$3,"NA"),'MITRE ATT&amp;CK Mappings'!$I110))),ISNUMBER(SEARCH(IF(J$3&lt;&gt;"",J$3,"NA"),'MITRE ATT&amp;CK Mappings'!$J110))), 'MITRE ATT&amp;CK Mappings'!$B110,"")</f>
        <v/>
      </c>
      <c r="K114" s="26" t="str">
        <f>IF(OR(OR(OR(OR(OR(ISNUMBER(SEARCH(IF(K$1&lt;&gt;"",K$1,"NA"),'MITRE ATT&amp;CK Mappings'!$E110)),ISNUMBER(SEARCH(IF(K$1&lt;&gt;"",K$1,"NA"),'MITRE ATT&amp;CK Mappings'!$F110))),ISNUMBER(SEARCH(IF(K$2&lt;&gt;"",K$2,"NA"),'MITRE ATT&amp;CK Mappings'!$G110))),ISNUMBER(SEARCH(IF(K$2&lt;&gt;"",K$2,"NA"),'MITRE ATT&amp;CK Mappings'!$H110))),ISNUMBER(SEARCH(IF(K$3&lt;&gt;"",K$3,"NA"),'MITRE ATT&amp;CK Mappings'!$I110))),ISNUMBER(SEARCH(IF(K$3&lt;&gt;"",K$3,"NA"),'MITRE ATT&amp;CK Mappings'!$J110))), 'MITRE ATT&amp;CK Mappings'!$B110,"")</f>
        <v/>
      </c>
      <c r="L114" s="26" t="str">
        <f>IF('MITRE ATT&amp;CK Mappings'!D110 &lt;&gt;"",'MITRE ATT&amp;CK Mappings'!D110,"" )</f>
        <v>Ensure that 'Endpoint protection' component status is set to 'On'</v>
      </c>
    </row>
    <row r="115" spans="1:12" x14ac:dyDescent="0.25">
      <c r="A115" s="27" t="str">
        <f>IF(COUNTIF(B115:K115,"="&amp;'MITRE ATT&amp;CK Mappings'!B111)&gt;0,'MITRE ATT&amp;CK Mappings'!B111,"")</f>
        <v/>
      </c>
      <c r="B115" s="27" t="str">
        <f>IF(OR(OR(OR(OR(OR(ISNUMBER(SEARCH(IF(B$1&lt;&gt;"",B$1,"NA"),'MITRE ATT&amp;CK Mappings'!$E111)),ISNUMBER(SEARCH(IF(B$1&lt;&gt;"",B$1,"NA"),'MITRE ATT&amp;CK Mappings'!$F111))),ISNUMBER(SEARCH(IF(B$2&lt;&gt;"",B$2,"NA"),'MITRE ATT&amp;CK Mappings'!$G111))),ISNUMBER(SEARCH(IF(B$2&lt;&gt;"",B$2,"NA"),'MITRE ATT&amp;CK Mappings'!$H111))),ISNUMBER(SEARCH(IF(B$3&lt;&gt;"",B$3,"NA"),'MITRE ATT&amp;CK Mappings'!$I111))),ISNUMBER(SEARCH(IF(B$3&lt;&gt;"",B$3,"NA"),'MITRE ATT&amp;CK Mappings'!$J111))), 'MITRE ATT&amp;CK Mappings'!$B111,"")</f>
        <v/>
      </c>
      <c r="C115" s="27" t="str">
        <f>IF(OR(OR(OR(OR(OR(ISNUMBER(SEARCH(IF(C$1&lt;&gt;"",C$1,"NA"),'MITRE ATT&amp;CK Mappings'!$E111)),ISNUMBER(SEARCH(IF(C$1&lt;&gt;"",C$1,"NA"),'MITRE ATT&amp;CK Mappings'!$F111))),ISNUMBER(SEARCH(IF(C$2&lt;&gt;"",C$2,"NA"),'MITRE ATT&amp;CK Mappings'!$G111))),ISNUMBER(SEARCH(IF(C$2&lt;&gt;"",C$2,"NA"),'MITRE ATT&amp;CK Mappings'!$H111))),ISNUMBER(SEARCH(IF(C$3&lt;&gt;"",C$3,"NA"),'MITRE ATT&amp;CK Mappings'!$I111))),ISNUMBER(SEARCH(IF(C$3&lt;&gt;"",C$3,"NA"),'MITRE ATT&amp;CK Mappings'!$J111))), 'MITRE ATT&amp;CK Mappings'!$B111,"")</f>
        <v/>
      </c>
      <c r="D115" s="27" t="str">
        <f>IF(OR(OR(OR(OR(OR(ISNUMBER(SEARCH(IF(D$1&lt;&gt;"",D$1,"NA"),'MITRE ATT&amp;CK Mappings'!$E111)),ISNUMBER(SEARCH(IF(D$1&lt;&gt;"",D$1,"NA"),'MITRE ATT&amp;CK Mappings'!$F111))),ISNUMBER(SEARCH(IF(D$2&lt;&gt;"",D$2,"NA"),'MITRE ATT&amp;CK Mappings'!$G111))),ISNUMBER(SEARCH(IF(D$2&lt;&gt;"",D$2,"NA"),'MITRE ATT&amp;CK Mappings'!$H111))),ISNUMBER(SEARCH(IF(D$3&lt;&gt;"",D$3,"NA"),'MITRE ATT&amp;CK Mappings'!$I111))),ISNUMBER(SEARCH(IF(D$3&lt;&gt;"",D$3,"NA"),'MITRE ATT&amp;CK Mappings'!$J111))), 'MITRE ATT&amp;CK Mappings'!$B111,"")</f>
        <v/>
      </c>
      <c r="E115" s="27" t="str">
        <f>IF(OR(OR(OR(OR(OR(ISNUMBER(SEARCH(IF(E$1&lt;&gt;"",E$1,"NA"),'MITRE ATT&amp;CK Mappings'!$E111)),ISNUMBER(SEARCH(IF(E$1&lt;&gt;"",E$1,"NA"),'MITRE ATT&amp;CK Mappings'!$F111))),ISNUMBER(SEARCH(IF(E$2&lt;&gt;"",E$2,"NA"),'MITRE ATT&amp;CK Mappings'!$G111))),ISNUMBER(SEARCH(IF(E$2&lt;&gt;"",E$2,"NA"),'MITRE ATT&amp;CK Mappings'!$H111))),ISNUMBER(SEARCH(IF(E$3&lt;&gt;"",E$3,"NA"),'MITRE ATT&amp;CK Mappings'!$I111))),ISNUMBER(SEARCH(IF(E$3&lt;&gt;"",E$3,"NA"),'MITRE ATT&amp;CK Mappings'!$J111))), 'MITRE ATT&amp;CK Mappings'!$B111,"")</f>
        <v/>
      </c>
      <c r="F115" s="27" t="str">
        <f>IF(OR(OR(OR(OR(OR(ISNUMBER(SEARCH(IF(F$1&lt;&gt;"",F$1,"NA"),'MITRE ATT&amp;CK Mappings'!$E111)),ISNUMBER(SEARCH(IF(F$1&lt;&gt;"",F$1,"NA"),'MITRE ATT&amp;CK Mappings'!$F111))),ISNUMBER(SEARCH(IF(F$2&lt;&gt;"",F$2,"NA"),'MITRE ATT&amp;CK Mappings'!$G111))),ISNUMBER(SEARCH(IF(F$2&lt;&gt;"",F$2,"NA"),'MITRE ATT&amp;CK Mappings'!$H111))),ISNUMBER(SEARCH(IF(F$3&lt;&gt;"",F$3,"NA"),'MITRE ATT&amp;CK Mappings'!$I111))),ISNUMBER(SEARCH(IF(F$3&lt;&gt;"",F$3,"NA"),'MITRE ATT&amp;CK Mappings'!$J111))), 'MITRE ATT&amp;CK Mappings'!$B111,"")</f>
        <v/>
      </c>
      <c r="G115" s="27" t="str">
        <f>IF(OR(OR(OR(OR(OR(ISNUMBER(SEARCH(IF(G$1&lt;&gt;"",G$1,"NA"),'MITRE ATT&amp;CK Mappings'!$E111)),ISNUMBER(SEARCH(IF(G$1&lt;&gt;"",G$1,"NA"),'MITRE ATT&amp;CK Mappings'!$F111))),ISNUMBER(SEARCH(IF(G$2&lt;&gt;"",G$2,"NA"),'MITRE ATT&amp;CK Mappings'!$G111))),ISNUMBER(SEARCH(IF(G$2&lt;&gt;"",G$2,"NA"),'MITRE ATT&amp;CK Mappings'!$H111))),ISNUMBER(SEARCH(IF(G$3&lt;&gt;"",G$3,"NA"),'MITRE ATT&amp;CK Mappings'!$I111))),ISNUMBER(SEARCH(IF(G$3&lt;&gt;"",G$3,"NA"),'MITRE ATT&amp;CK Mappings'!$J111))), 'MITRE ATT&amp;CK Mappings'!$B111,"")</f>
        <v/>
      </c>
      <c r="H115" s="27" t="str">
        <f>IF(OR(OR(OR(OR(OR(ISNUMBER(SEARCH(IF(H$1&lt;&gt;"",H$1,"NA"),'MITRE ATT&amp;CK Mappings'!$E111)),ISNUMBER(SEARCH(IF(H$1&lt;&gt;"",H$1,"NA"),'MITRE ATT&amp;CK Mappings'!$F111))),ISNUMBER(SEARCH(IF(H$2&lt;&gt;"",H$2,"NA"),'MITRE ATT&amp;CK Mappings'!$G111))),ISNUMBER(SEARCH(IF(H$2&lt;&gt;"",H$2,"NA"),'MITRE ATT&amp;CK Mappings'!$H111))),ISNUMBER(SEARCH(IF(H$3&lt;&gt;"",H$3,"NA"),'MITRE ATT&amp;CK Mappings'!$I111))),ISNUMBER(SEARCH(IF(H$3&lt;&gt;"",H$3,"NA"),'MITRE ATT&amp;CK Mappings'!$J111))), 'MITRE ATT&amp;CK Mappings'!$B111,"")</f>
        <v/>
      </c>
      <c r="I115" s="27" t="str">
        <f>IF(OR(OR(OR(OR(OR(ISNUMBER(SEARCH(IF(I$1&lt;&gt;"",I$1,"NA"),'MITRE ATT&amp;CK Mappings'!$E111)),ISNUMBER(SEARCH(IF(I$1&lt;&gt;"",I$1,"NA"),'MITRE ATT&amp;CK Mappings'!$F111))),ISNUMBER(SEARCH(IF(I$2&lt;&gt;"",I$2,"NA"),'MITRE ATT&amp;CK Mappings'!$G111))),ISNUMBER(SEARCH(IF(I$2&lt;&gt;"",I$2,"NA"),'MITRE ATT&amp;CK Mappings'!$H111))),ISNUMBER(SEARCH(IF(I$3&lt;&gt;"",I$3,"NA"),'MITRE ATT&amp;CK Mappings'!$I111))),ISNUMBER(SEARCH(IF(I$3&lt;&gt;"",I$3,"NA"),'MITRE ATT&amp;CK Mappings'!$J111))), 'MITRE ATT&amp;CK Mappings'!$B111,"")</f>
        <v/>
      </c>
      <c r="J115" s="27" t="str">
        <f>IF(OR(OR(OR(OR(OR(ISNUMBER(SEARCH(IF(J$1&lt;&gt;"",J$1,"NA"),'MITRE ATT&amp;CK Mappings'!$E111)),ISNUMBER(SEARCH(IF(J$1&lt;&gt;"",J$1,"NA"),'MITRE ATT&amp;CK Mappings'!$F111))),ISNUMBER(SEARCH(IF(J$2&lt;&gt;"",J$2,"NA"),'MITRE ATT&amp;CK Mappings'!$G111))),ISNUMBER(SEARCH(IF(J$2&lt;&gt;"",J$2,"NA"),'MITRE ATT&amp;CK Mappings'!$H111))),ISNUMBER(SEARCH(IF(J$3&lt;&gt;"",J$3,"NA"),'MITRE ATT&amp;CK Mappings'!$I111))),ISNUMBER(SEARCH(IF(J$3&lt;&gt;"",J$3,"NA"),'MITRE ATT&amp;CK Mappings'!$J111))), 'MITRE ATT&amp;CK Mappings'!$B111,"")</f>
        <v/>
      </c>
      <c r="K115" s="27" t="str">
        <f>IF(OR(OR(OR(OR(OR(ISNUMBER(SEARCH(IF(K$1&lt;&gt;"",K$1,"NA"),'MITRE ATT&amp;CK Mappings'!$E111)),ISNUMBER(SEARCH(IF(K$1&lt;&gt;"",K$1,"NA"),'MITRE ATT&amp;CK Mappings'!$F111))),ISNUMBER(SEARCH(IF(K$2&lt;&gt;"",K$2,"NA"),'MITRE ATT&amp;CK Mappings'!$G111))),ISNUMBER(SEARCH(IF(K$2&lt;&gt;"",K$2,"NA"),'MITRE ATT&amp;CK Mappings'!$H111))),ISNUMBER(SEARCH(IF(K$3&lt;&gt;"",K$3,"NA"),'MITRE ATT&amp;CK Mappings'!$I111))),ISNUMBER(SEARCH(IF(K$3&lt;&gt;"",K$3,"NA"),'MITRE ATT&amp;CK Mappings'!$J111))), 'MITRE ATT&amp;CK Mappings'!$B111,"")</f>
        <v/>
      </c>
      <c r="L115" s="27" t="str">
        <f>IF('MITRE ATT&amp;CK Mappings'!D111 &lt;&gt;"",'MITRE ATT&amp;CK Mappings'!D111,"" )</f>
        <v>Ensure that 'Agentless scanning for machines' component status is set to 'On'</v>
      </c>
    </row>
    <row r="116" spans="1:12" x14ac:dyDescent="0.25">
      <c r="A116" s="26" t="str">
        <f>IF(COUNTIF(B116:K116,"="&amp;'MITRE ATT&amp;CK Mappings'!B112)&gt;0,'MITRE ATT&amp;CK Mappings'!B112,"")</f>
        <v/>
      </c>
      <c r="B116" s="26" t="str">
        <f>IF(OR(OR(OR(OR(OR(ISNUMBER(SEARCH(IF(B$1&lt;&gt;"",B$1,"NA"),'MITRE ATT&amp;CK Mappings'!$E112)),ISNUMBER(SEARCH(IF(B$1&lt;&gt;"",B$1,"NA"),'MITRE ATT&amp;CK Mappings'!$F112))),ISNUMBER(SEARCH(IF(B$2&lt;&gt;"",B$2,"NA"),'MITRE ATT&amp;CK Mappings'!$G112))),ISNUMBER(SEARCH(IF(B$2&lt;&gt;"",B$2,"NA"),'MITRE ATT&amp;CK Mappings'!$H112))),ISNUMBER(SEARCH(IF(B$3&lt;&gt;"",B$3,"NA"),'MITRE ATT&amp;CK Mappings'!$I112))),ISNUMBER(SEARCH(IF(B$3&lt;&gt;"",B$3,"NA"),'MITRE ATT&amp;CK Mappings'!$J112))), 'MITRE ATT&amp;CK Mappings'!$B112,"")</f>
        <v/>
      </c>
      <c r="C116" s="26" t="str">
        <f>IF(OR(OR(OR(OR(OR(ISNUMBER(SEARCH(IF(C$1&lt;&gt;"",C$1,"NA"),'MITRE ATT&amp;CK Mappings'!$E112)),ISNUMBER(SEARCH(IF(C$1&lt;&gt;"",C$1,"NA"),'MITRE ATT&amp;CK Mappings'!$F112))),ISNUMBER(SEARCH(IF(C$2&lt;&gt;"",C$2,"NA"),'MITRE ATT&amp;CK Mappings'!$G112))),ISNUMBER(SEARCH(IF(C$2&lt;&gt;"",C$2,"NA"),'MITRE ATT&amp;CK Mappings'!$H112))),ISNUMBER(SEARCH(IF(C$3&lt;&gt;"",C$3,"NA"),'MITRE ATT&amp;CK Mappings'!$I112))),ISNUMBER(SEARCH(IF(C$3&lt;&gt;"",C$3,"NA"),'MITRE ATT&amp;CK Mappings'!$J112))), 'MITRE ATT&amp;CK Mappings'!$B112,"")</f>
        <v/>
      </c>
      <c r="D116" s="26" t="str">
        <f>IF(OR(OR(OR(OR(OR(ISNUMBER(SEARCH(IF(D$1&lt;&gt;"",D$1,"NA"),'MITRE ATT&amp;CK Mappings'!$E112)),ISNUMBER(SEARCH(IF(D$1&lt;&gt;"",D$1,"NA"),'MITRE ATT&amp;CK Mappings'!$F112))),ISNUMBER(SEARCH(IF(D$2&lt;&gt;"",D$2,"NA"),'MITRE ATT&amp;CK Mappings'!$G112))),ISNUMBER(SEARCH(IF(D$2&lt;&gt;"",D$2,"NA"),'MITRE ATT&amp;CK Mappings'!$H112))),ISNUMBER(SEARCH(IF(D$3&lt;&gt;"",D$3,"NA"),'MITRE ATT&amp;CK Mappings'!$I112))),ISNUMBER(SEARCH(IF(D$3&lt;&gt;"",D$3,"NA"),'MITRE ATT&amp;CK Mappings'!$J112))), 'MITRE ATT&amp;CK Mappings'!$B112,"")</f>
        <v/>
      </c>
      <c r="E116" s="26" t="str">
        <f>IF(OR(OR(OR(OR(OR(ISNUMBER(SEARCH(IF(E$1&lt;&gt;"",E$1,"NA"),'MITRE ATT&amp;CK Mappings'!$E112)),ISNUMBER(SEARCH(IF(E$1&lt;&gt;"",E$1,"NA"),'MITRE ATT&amp;CK Mappings'!$F112))),ISNUMBER(SEARCH(IF(E$2&lt;&gt;"",E$2,"NA"),'MITRE ATT&amp;CK Mappings'!$G112))),ISNUMBER(SEARCH(IF(E$2&lt;&gt;"",E$2,"NA"),'MITRE ATT&amp;CK Mappings'!$H112))),ISNUMBER(SEARCH(IF(E$3&lt;&gt;"",E$3,"NA"),'MITRE ATT&amp;CK Mappings'!$I112))),ISNUMBER(SEARCH(IF(E$3&lt;&gt;"",E$3,"NA"),'MITRE ATT&amp;CK Mappings'!$J112))), 'MITRE ATT&amp;CK Mappings'!$B112,"")</f>
        <v/>
      </c>
      <c r="F116" s="26" t="str">
        <f>IF(OR(OR(OR(OR(OR(ISNUMBER(SEARCH(IF(F$1&lt;&gt;"",F$1,"NA"),'MITRE ATT&amp;CK Mappings'!$E112)),ISNUMBER(SEARCH(IF(F$1&lt;&gt;"",F$1,"NA"),'MITRE ATT&amp;CK Mappings'!$F112))),ISNUMBER(SEARCH(IF(F$2&lt;&gt;"",F$2,"NA"),'MITRE ATT&amp;CK Mappings'!$G112))),ISNUMBER(SEARCH(IF(F$2&lt;&gt;"",F$2,"NA"),'MITRE ATT&amp;CK Mappings'!$H112))),ISNUMBER(SEARCH(IF(F$3&lt;&gt;"",F$3,"NA"),'MITRE ATT&amp;CK Mappings'!$I112))),ISNUMBER(SEARCH(IF(F$3&lt;&gt;"",F$3,"NA"),'MITRE ATT&amp;CK Mappings'!$J112))), 'MITRE ATT&amp;CK Mappings'!$B112,"")</f>
        <v/>
      </c>
      <c r="G116" s="26" t="str">
        <f>IF(OR(OR(OR(OR(OR(ISNUMBER(SEARCH(IF(G$1&lt;&gt;"",G$1,"NA"),'MITRE ATT&amp;CK Mappings'!$E112)),ISNUMBER(SEARCH(IF(G$1&lt;&gt;"",G$1,"NA"),'MITRE ATT&amp;CK Mappings'!$F112))),ISNUMBER(SEARCH(IF(G$2&lt;&gt;"",G$2,"NA"),'MITRE ATT&amp;CK Mappings'!$G112))),ISNUMBER(SEARCH(IF(G$2&lt;&gt;"",G$2,"NA"),'MITRE ATT&amp;CK Mappings'!$H112))),ISNUMBER(SEARCH(IF(G$3&lt;&gt;"",G$3,"NA"),'MITRE ATT&amp;CK Mappings'!$I112))),ISNUMBER(SEARCH(IF(G$3&lt;&gt;"",G$3,"NA"),'MITRE ATT&amp;CK Mappings'!$J112))), 'MITRE ATT&amp;CK Mappings'!$B112,"")</f>
        <v/>
      </c>
      <c r="H116" s="26" t="str">
        <f>IF(OR(OR(OR(OR(OR(ISNUMBER(SEARCH(IF(H$1&lt;&gt;"",H$1,"NA"),'MITRE ATT&amp;CK Mappings'!$E112)),ISNUMBER(SEARCH(IF(H$1&lt;&gt;"",H$1,"NA"),'MITRE ATT&amp;CK Mappings'!$F112))),ISNUMBER(SEARCH(IF(H$2&lt;&gt;"",H$2,"NA"),'MITRE ATT&amp;CK Mappings'!$G112))),ISNUMBER(SEARCH(IF(H$2&lt;&gt;"",H$2,"NA"),'MITRE ATT&amp;CK Mappings'!$H112))),ISNUMBER(SEARCH(IF(H$3&lt;&gt;"",H$3,"NA"),'MITRE ATT&amp;CK Mappings'!$I112))),ISNUMBER(SEARCH(IF(H$3&lt;&gt;"",H$3,"NA"),'MITRE ATT&amp;CK Mappings'!$J112))), 'MITRE ATT&amp;CK Mappings'!$B112,"")</f>
        <v/>
      </c>
      <c r="I116" s="26" t="str">
        <f>IF(OR(OR(OR(OR(OR(ISNUMBER(SEARCH(IF(I$1&lt;&gt;"",I$1,"NA"),'MITRE ATT&amp;CK Mappings'!$E112)),ISNUMBER(SEARCH(IF(I$1&lt;&gt;"",I$1,"NA"),'MITRE ATT&amp;CK Mappings'!$F112))),ISNUMBER(SEARCH(IF(I$2&lt;&gt;"",I$2,"NA"),'MITRE ATT&amp;CK Mappings'!$G112))),ISNUMBER(SEARCH(IF(I$2&lt;&gt;"",I$2,"NA"),'MITRE ATT&amp;CK Mappings'!$H112))),ISNUMBER(SEARCH(IF(I$3&lt;&gt;"",I$3,"NA"),'MITRE ATT&amp;CK Mappings'!$I112))),ISNUMBER(SEARCH(IF(I$3&lt;&gt;"",I$3,"NA"),'MITRE ATT&amp;CK Mappings'!$J112))), 'MITRE ATT&amp;CK Mappings'!$B112,"")</f>
        <v/>
      </c>
      <c r="J116" s="26" t="str">
        <f>IF(OR(OR(OR(OR(OR(ISNUMBER(SEARCH(IF(J$1&lt;&gt;"",J$1,"NA"),'MITRE ATT&amp;CK Mappings'!$E112)),ISNUMBER(SEARCH(IF(J$1&lt;&gt;"",J$1,"NA"),'MITRE ATT&amp;CK Mappings'!$F112))),ISNUMBER(SEARCH(IF(J$2&lt;&gt;"",J$2,"NA"),'MITRE ATT&amp;CK Mappings'!$G112))),ISNUMBER(SEARCH(IF(J$2&lt;&gt;"",J$2,"NA"),'MITRE ATT&amp;CK Mappings'!$H112))),ISNUMBER(SEARCH(IF(J$3&lt;&gt;"",J$3,"NA"),'MITRE ATT&amp;CK Mappings'!$I112))),ISNUMBER(SEARCH(IF(J$3&lt;&gt;"",J$3,"NA"),'MITRE ATT&amp;CK Mappings'!$J112))), 'MITRE ATT&amp;CK Mappings'!$B112,"")</f>
        <v/>
      </c>
      <c r="K116" s="26" t="str">
        <f>IF(OR(OR(OR(OR(OR(ISNUMBER(SEARCH(IF(K$1&lt;&gt;"",K$1,"NA"),'MITRE ATT&amp;CK Mappings'!$E112)),ISNUMBER(SEARCH(IF(K$1&lt;&gt;"",K$1,"NA"),'MITRE ATT&amp;CK Mappings'!$F112))),ISNUMBER(SEARCH(IF(K$2&lt;&gt;"",K$2,"NA"),'MITRE ATT&amp;CK Mappings'!$G112))),ISNUMBER(SEARCH(IF(K$2&lt;&gt;"",K$2,"NA"),'MITRE ATT&amp;CK Mappings'!$H112))),ISNUMBER(SEARCH(IF(K$3&lt;&gt;"",K$3,"NA"),'MITRE ATT&amp;CK Mappings'!$I112))),ISNUMBER(SEARCH(IF(K$3&lt;&gt;"",K$3,"NA"),'MITRE ATT&amp;CK Mappings'!$J112))), 'MITRE ATT&amp;CK Mappings'!$B112,"")</f>
        <v/>
      </c>
      <c r="L116" s="26" t="str">
        <f>IF('MITRE ATT&amp;CK Mappings'!D112 &lt;&gt;"",'MITRE ATT&amp;CK Mappings'!D112,"" )</f>
        <v>Ensure that 'File Integrity Monitoring' component status is set to 'On'</v>
      </c>
    </row>
    <row r="117" spans="1:12" x14ac:dyDescent="0.25">
      <c r="A117" s="27" t="str">
        <f>IF(COUNTIF(B117:K117,"="&amp;'MITRE ATT&amp;CK Mappings'!B113)&gt;0,'MITRE ATT&amp;CK Mappings'!B113,"")</f>
        <v/>
      </c>
      <c r="B117" s="27" t="str">
        <f>IF(OR(OR(OR(OR(OR(ISNUMBER(SEARCH(IF(B$1&lt;&gt;"",B$1,"NA"),'MITRE ATT&amp;CK Mappings'!$E113)),ISNUMBER(SEARCH(IF(B$1&lt;&gt;"",B$1,"NA"),'MITRE ATT&amp;CK Mappings'!$F113))),ISNUMBER(SEARCH(IF(B$2&lt;&gt;"",B$2,"NA"),'MITRE ATT&amp;CK Mappings'!$G113))),ISNUMBER(SEARCH(IF(B$2&lt;&gt;"",B$2,"NA"),'MITRE ATT&amp;CK Mappings'!$H113))),ISNUMBER(SEARCH(IF(B$3&lt;&gt;"",B$3,"NA"),'MITRE ATT&amp;CK Mappings'!$I113))),ISNUMBER(SEARCH(IF(B$3&lt;&gt;"",B$3,"NA"),'MITRE ATT&amp;CK Mappings'!$J113))), 'MITRE ATT&amp;CK Mappings'!$B113,"")</f>
        <v/>
      </c>
      <c r="C117" s="27" t="str">
        <f>IF(OR(OR(OR(OR(OR(ISNUMBER(SEARCH(IF(C$1&lt;&gt;"",C$1,"NA"),'MITRE ATT&amp;CK Mappings'!$E113)),ISNUMBER(SEARCH(IF(C$1&lt;&gt;"",C$1,"NA"),'MITRE ATT&amp;CK Mappings'!$F113))),ISNUMBER(SEARCH(IF(C$2&lt;&gt;"",C$2,"NA"),'MITRE ATT&amp;CK Mappings'!$G113))),ISNUMBER(SEARCH(IF(C$2&lt;&gt;"",C$2,"NA"),'MITRE ATT&amp;CK Mappings'!$H113))),ISNUMBER(SEARCH(IF(C$3&lt;&gt;"",C$3,"NA"),'MITRE ATT&amp;CK Mappings'!$I113))),ISNUMBER(SEARCH(IF(C$3&lt;&gt;"",C$3,"NA"),'MITRE ATT&amp;CK Mappings'!$J113))), 'MITRE ATT&amp;CK Mappings'!$B113,"")</f>
        <v/>
      </c>
      <c r="D117" s="27" t="str">
        <f>IF(OR(OR(OR(OR(OR(ISNUMBER(SEARCH(IF(D$1&lt;&gt;"",D$1,"NA"),'MITRE ATT&amp;CK Mappings'!$E113)),ISNUMBER(SEARCH(IF(D$1&lt;&gt;"",D$1,"NA"),'MITRE ATT&amp;CK Mappings'!$F113))),ISNUMBER(SEARCH(IF(D$2&lt;&gt;"",D$2,"NA"),'MITRE ATT&amp;CK Mappings'!$G113))),ISNUMBER(SEARCH(IF(D$2&lt;&gt;"",D$2,"NA"),'MITRE ATT&amp;CK Mappings'!$H113))),ISNUMBER(SEARCH(IF(D$3&lt;&gt;"",D$3,"NA"),'MITRE ATT&amp;CK Mappings'!$I113))),ISNUMBER(SEARCH(IF(D$3&lt;&gt;"",D$3,"NA"),'MITRE ATT&amp;CK Mappings'!$J113))), 'MITRE ATT&amp;CK Mappings'!$B113,"")</f>
        <v/>
      </c>
      <c r="E117" s="27" t="str">
        <f>IF(OR(OR(OR(OR(OR(ISNUMBER(SEARCH(IF(E$1&lt;&gt;"",E$1,"NA"),'MITRE ATT&amp;CK Mappings'!$E113)),ISNUMBER(SEARCH(IF(E$1&lt;&gt;"",E$1,"NA"),'MITRE ATT&amp;CK Mappings'!$F113))),ISNUMBER(SEARCH(IF(E$2&lt;&gt;"",E$2,"NA"),'MITRE ATT&amp;CK Mappings'!$G113))),ISNUMBER(SEARCH(IF(E$2&lt;&gt;"",E$2,"NA"),'MITRE ATT&amp;CK Mappings'!$H113))),ISNUMBER(SEARCH(IF(E$3&lt;&gt;"",E$3,"NA"),'MITRE ATT&amp;CK Mappings'!$I113))),ISNUMBER(SEARCH(IF(E$3&lt;&gt;"",E$3,"NA"),'MITRE ATT&amp;CK Mappings'!$J113))), 'MITRE ATT&amp;CK Mappings'!$B113,"")</f>
        <v/>
      </c>
      <c r="F117" s="27" t="str">
        <f>IF(OR(OR(OR(OR(OR(ISNUMBER(SEARCH(IF(F$1&lt;&gt;"",F$1,"NA"),'MITRE ATT&amp;CK Mappings'!$E113)),ISNUMBER(SEARCH(IF(F$1&lt;&gt;"",F$1,"NA"),'MITRE ATT&amp;CK Mappings'!$F113))),ISNUMBER(SEARCH(IF(F$2&lt;&gt;"",F$2,"NA"),'MITRE ATT&amp;CK Mappings'!$G113))),ISNUMBER(SEARCH(IF(F$2&lt;&gt;"",F$2,"NA"),'MITRE ATT&amp;CK Mappings'!$H113))),ISNUMBER(SEARCH(IF(F$3&lt;&gt;"",F$3,"NA"),'MITRE ATT&amp;CK Mappings'!$I113))),ISNUMBER(SEARCH(IF(F$3&lt;&gt;"",F$3,"NA"),'MITRE ATT&amp;CK Mappings'!$J113))), 'MITRE ATT&amp;CK Mappings'!$B113,"")</f>
        <v/>
      </c>
      <c r="G117" s="27" t="str">
        <f>IF(OR(OR(OR(OR(OR(ISNUMBER(SEARCH(IF(G$1&lt;&gt;"",G$1,"NA"),'MITRE ATT&amp;CK Mappings'!$E113)),ISNUMBER(SEARCH(IF(G$1&lt;&gt;"",G$1,"NA"),'MITRE ATT&amp;CK Mappings'!$F113))),ISNUMBER(SEARCH(IF(G$2&lt;&gt;"",G$2,"NA"),'MITRE ATT&amp;CK Mappings'!$G113))),ISNUMBER(SEARCH(IF(G$2&lt;&gt;"",G$2,"NA"),'MITRE ATT&amp;CK Mappings'!$H113))),ISNUMBER(SEARCH(IF(G$3&lt;&gt;"",G$3,"NA"),'MITRE ATT&amp;CK Mappings'!$I113))),ISNUMBER(SEARCH(IF(G$3&lt;&gt;"",G$3,"NA"),'MITRE ATT&amp;CK Mappings'!$J113))), 'MITRE ATT&amp;CK Mappings'!$B113,"")</f>
        <v/>
      </c>
      <c r="H117" s="27" t="str">
        <f>IF(OR(OR(OR(OR(OR(ISNUMBER(SEARCH(IF(H$1&lt;&gt;"",H$1,"NA"),'MITRE ATT&amp;CK Mappings'!$E113)),ISNUMBER(SEARCH(IF(H$1&lt;&gt;"",H$1,"NA"),'MITRE ATT&amp;CK Mappings'!$F113))),ISNUMBER(SEARCH(IF(H$2&lt;&gt;"",H$2,"NA"),'MITRE ATT&amp;CK Mappings'!$G113))),ISNUMBER(SEARCH(IF(H$2&lt;&gt;"",H$2,"NA"),'MITRE ATT&amp;CK Mappings'!$H113))),ISNUMBER(SEARCH(IF(H$3&lt;&gt;"",H$3,"NA"),'MITRE ATT&amp;CK Mappings'!$I113))),ISNUMBER(SEARCH(IF(H$3&lt;&gt;"",H$3,"NA"),'MITRE ATT&amp;CK Mappings'!$J113))), 'MITRE ATT&amp;CK Mappings'!$B113,"")</f>
        <v/>
      </c>
      <c r="I117" s="27" t="str">
        <f>IF(OR(OR(OR(OR(OR(ISNUMBER(SEARCH(IF(I$1&lt;&gt;"",I$1,"NA"),'MITRE ATT&amp;CK Mappings'!$E113)),ISNUMBER(SEARCH(IF(I$1&lt;&gt;"",I$1,"NA"),'MITRE ATT&amp;CK Mappings'!$F113))),ISNUMBER(SEARCH(IF(I$2&lt;&gt;"",I$2,"NA"),'MITRE ATT&amp;CK Mappings'!$G113))),ISNUMBER(SEARCH(IF(I$2&lt;&gt;"",I$2,"NA"),'MITRE ATT&amp;CK Mappings'!$H113))),ISNUMBER(SEARCH(IF(I$3&lt;&gt;"",I$3,"NA"),'MITRE ATT&amp;CK Mappings'!$I113))),ISNUMBER(SEARCH(IF(I$3&lt;&gt;"",I$3,"NA"),'MITRE ATT&amp;CK Mappings'!$J113))), 'MITRE ATT&amp;CK Mappings'!$B113,"")</f>
        <v/>
      </c>
      <c r="J117" s="27" t="str">
        <f>IF(OR(OR(OR(OR(OR(ISNUMBER(SEARCH(IF(J$1&lt;&gt;"",J$1,"NA"),'MITRE ATT&amp;CK Mappings'!$E113)),ISNUMBER(SEARCH(IF(J$1&lt;&gt;"",J$1,"NA"),'MITRE ATT&amp;CK Mappings'!$F113))),ISNUMBER(SEARCH(IF(J$2&lt;&gt;"",J$2,"NA"),'MITRE ATT&amp;CK Mappings'!$G113))),ISNUMBER(SEARCH(IF(J$2&lt;&gt;"",J$2,"NA"),'MITRE ATT&amp;CK Mappings'!$H113))),ISNUMBER(SEARCH(IF(J$3&lt;&gt;"",J$3,"NA"),'MITRE ATT&amp;CK Mappings'!$I113))),ISNUMBER(SEARCH(IF(J$3&lt;&gt;"",J$3,"NA"),'MITRE ATT&amp;CK Mappings'!$J113))), 'MITRE ATT&amp;CK Mappings'!$B113,"")</f>
        <v/>
      </c>
      <c r="K117" s="27" t="str">
        <f>IF(OR(OR(OR(OR(OR(ISNUMBER(SEARCH(IF(K$1&lt;&gt;"",K$1,"NA"),'MITRE ATT&amp;CK Mappings'!$E113)),ISNUMBER(SEARCH(IF(K$1&lt;&gt;"",K$1,"NA"),'MITRE ATT&amp;CK Mappings'!$F113))),ISNUMBER(SEARCH(IF(K$2&lt;&gt;"",K$2,"NA"),'MITRE ATT&amp;CK Mappings'!$G113))),ISNUMBER(SEARCH(IF(K$2&lt;&gt;"",K$2,"NA"),'MITRE ATT&amp;CK Mappings'!$H113))),ISNUMBER(SEARCH(IF(K$3&lt;&gt;"",K$3,"NA"),'MITRE ATT&amp;CK Mappings'!$I113))),ISNUMBER(SEARCH(IF(K$3&lt;&gt;"",K$3,"NA"),'MITRE ATT&amp;CK Mappings'!$J113))), 'MITRE ATT&amp;CK Mappings'!$B113,"")</f>
        <v/>
      </c>
      <c r="L117" s="27" t="str">
        <f>IF('MITRE ATT&amp;CK Mappings'!D113 &lt;&gt;"",'MITRE ATT&amp;CK Mappings'!D113,"" )</f>
        <v>Ensure That Microsoft Defender for Containers Is Set To 'On'</v>
      </c>
    </row>
    <row r="118" spans="1:12" x14ac:dyDescent="0.25">
      <c r="A118" s="26" t="str">
        <f>IF(COUNTIF(B118:K118,"="&amp;'MITRE ATT&amp;CK Mappings'!B114)&gt;0,'MITRE ATT&amp;CK Mappings'!B114,"")</f>
        <v/>
      </c>
      <c r="B118" s="26" t="str">
        <f>IF(OR(OR(OR(OR(OR(ISNUMBER(SEARCH(IF(B$1&lt;&gt;"",B$1,"NA"),'MITRE ATT&amp;CK Mappings'!$E114)),ISNUMBER(SEARCH(IF(B$1&lt;&gt;"",B$1,"NA"),'MITRE ATT&amp;CK Mappings'!$F114))),ISNUMBER(SEARCH(IF(B$2&lt;&gt;"",B$2,"NA"),'MITRE ATT&amp;CK Mappings'!$G114))),ISNUMBER(SEARCH(IF(B$2&lt;&gt;"",B$2,"NA"),'MITRE ATT&amp;CK Mappings'!$H114))),ISNUMBER(SEARCH(IF(B$3&lt;&gt;"",B$3,"NA"),'MITRE ATT&amp;CK Mappings'!$I114))),ISNUMBER(SEARCH(IF(B$3&lt;&gt;"",B$3,"NA"),'MITRE ATT&amp;CK Mappings'!$J114))), 'MITRE ATT&amp;CK Mappings'!$B114,"")</f>
        <v/>
      </c>
      <c r="C118" s="26" t="str">
        <f>IF(OR(OR(OR(OR(OR(ISNUMBER(SEARCH(IF(C$1&lt;&gt;"",C$1,"NA"),'MITRE ATT&amp;CK Mappings'!$E114)),ISNUMBER(SEARCH(IF(C$1&lt;&gt;"",C$1,"NA"),'MITRE ATT&amp;CK Mappings'!$F114))),ISNUMBER(SEARCH(IF(C$2&lt;&gt;"",C$2,"NA"),'MITRE ATT&amp;CK Mappings'!$G114))),ISNUMBER(SEARCH(IF(C$2&lt;&gt;"",C$2,"NA"),'MITRE ATT&amp;CK Mappings'!$H114))),ISNUMBER(SEARCH(IF(C$3&lt;&gt;"",C$3,"NA"),'MITRE ATT&amp;CK Mappings'!$I114))),ISNUMBER(SEARCH(IF(C$3&lt;&gt;"",C$3,"NA"),'MITRE ATT&amp;CK Mappings'!$J114))), 'MITRE ATT&amp;CK Mappings'!$B114,"")</f>
        <v/>
      </c>
      <c r="D118" s="26" t="str">
        <f>IF(OR(OR(OR(OR(OR(ISNUMBER(SEARCH(IF(D$1&lt;&gt;"",D$1,"NA"),'MITRE ATT&amp;CK Mappings'!$E114)),ISNUMBER(SEARCH(IF(D$1&lt;&gt;"",D$1,"NA"),'MITRE ATT&amp;CK Mappings'!$F114))),ISNUMBER(SEARCH(IF(D$2&lt;&gt;"",D$2,"NA"),'MITRE ATT&amp;CK Mappings'!$G114))),ISNUMBER(SEARCH(IF(D$2&lt;&gt;"",D$2,"NA"),'MITRE ATT&amp;CK Mappings'!$H114))),ISNUMBER(SEARCH(IF(D$3&lt;&gt;"",D$3,"NA"),'MITRE ATT&amp;CK Mappings'!$I114))),ISNUMBER(SEARCH(IF(D$3&lt;&gt;"",D$3,"NA"),'MITRE ATT&amp;CK Mappings'!$J114))), 'MITRE ATT&amp;CK Mappings'!$B114,"")</f>
        <v/>
      </c>
      <c r="E118" s="26" t="str">
        <f>IF(OR(OR(OR(OR(OR(ISNUMBER(SEARCH(IF(E$1&lt;&gt;"",E$1,"NA"),'MITRE ATT&amp;CK Mappings'!$E114)),ISNUMBER(SEARCH(IF(E$1&lt;&gt;"",E$1,"NA"),'MITRE ATT&amp;CK Mappings'!$F114))),ISNUMBER(SEARCH(IF(E$2&lt;&gt;"",E$2,"NA"),'MITRE ATT&amp;CK Mappings'!$G114))),ISNUMBER(SEARCH(IF(E$2&lt;&gt;"",E$2,"NA"),'MITRE ATT&amp;CK Mappings'!$H114))),ISNUMBER(SEARCH(IF(E$3&lt;&gt;"",E$3,"NA"),'MITRE ATT&amp;CK Mappings'!$I114))),ISNUMBER(SEARCH(IF(E$3&lt;&gt;"",E$3,"NA"),'MITRE ATT&amp;CK Mappings'!$J114))), 'MITRE ATT&amp;CK Mappings'!$B114,"")</f>
        <v/>
      </c>
      <c r="F118" s="26" t="str">
        <f>IF(OR(OR(OR(OR(OR(ISNUMBER(SEARCH(IF(F$1&lt;&gt;"",F$1,"NA"),'MITRE ATT&amp;CK Mappings'!$E114)),ISNUMBER(SEARCH(IF(F$1&lt;&gt;"",F$1,"NA"),'MITRE ATT&amp;CK Mappings'!$F114))),ISNUMBER(SEARCH(IF(F$2&lt;&gt;"",F$2,"NA"),'MITRE ATT&amp;CK Mappings'!$G114))),ISNUMBER(SEARCH(IF(F$2&lt;&gt;"",F$2,"NA"),'MITRE ATT&amp;CK Mappings'!$H114))),ISNUMBER(SEARCH(IF(F$3&lt;&gt;"",F$3,"NA"),'MITRE ATT&amp;CK Mappings'!$I114))),ISNUMBER(SEARCH(IF(F$3&lt;&gt;"",F$3,"NA"),'MITRE ATT&amp;CK Mappings'!$J114))), 'MITRE ATT&amp;CK Mappings'!$B114,"")</f>
        <v/>
      </c>
      <c r="G118" s="26" t="str">
        <f>IF(OR(OR(OR(OR(OR(ISNUMBER(SEARCH(IF(G$1&lt;&gt;"",G$1,"NA"),'MITRE ATT&amp;CK Mappings'!$E114)),ISNUMBER(SEARCH(IF(G$1&lt;&gt;"",G$1,"NA"),'MITRE ATT&amp;CK Mappings'!$F114))),ISNUMBER(SEARCH(IF(G$2&lt;&gt;"",G$2,"NA"),'MITRE ATT&amp;CK Mappings'!$G114))),ISNUMBER(SEARCH(IF(G$2&lt;&gt;"",G$2,"NA"),'MITRE ATT&amp;CK Mappings'!$H114))),ISNUMBER(SEARCH(IF(G$3&lt;&gt;"",G$3,"NA"),'MITRE ATT&amp;CK Mappings'!$I114))),ISNUMBER(SEARCH(IF(G$3&lt;&gt;"",G$3,"NA"),'MITRE ATT&amp;CK Mappings'!$J114))), 'MITRE ATT&amp;CK Mappings'!$B114,"")</f>
        <v/>
      </c>
      <c r="H118" s="26" t="str">
        <f>IF(OR(OR(OR(OR(OR(ISNUMBER(SEARCH(IF(H$1&lt;&gt;"",H$1,"NA"),'MITRE ATT&amp;CK Mappings'!$E114)),ISNUMBER(SEARCH(IF(H$1&lt;&gt;"",H$1,"NA"),'MITRE ATT&amp;CK Mappings'!$F114))),ISNUMBER(SEARCH(IF(H$2&lt;&gt;"",H$2,"NA"),'MITRE ATT&amp;CK Mappings'!$G114))),ISNUMBER(SEARCH(IF(H$2&lt;&gt;"",H$2,"NA"),'MITRE ATT&amp;CK Mappings'!$H114))),ISNUMBER(SEARCH(IF(H$3&lt;&gt;"",H$3,"NA"),'MITRE ATT&amp;CK Mappings'!$I114))),ISNUMBER(SEARCH(IF(H$3&lt;&gt;"",H$3,"NA"),'MITRE ATT&amp;CK Mappings'!$J114))), 'MITRE ATT&amp;CK Mappings'!$B114,"")</f>
        <v/>
      </c>
      <c r="I118" s="26" t="str">
        <f>IF(OR(OR(OR(OR(OR(ISNUMBER(SEARCH(IF(I$1&lt;&gt;"",I$1,"NA"),'MITRE ATT&amp;CK Mappings'!$E114)),ISNUMBER(SEARCH(IF(I$1&lt;&gt;"",I$1,"NA"),'MITRE ATT&amp;CK Mappings'!$F114))),ISNUMBER(SEARCH(IF(I$2&lt;&gt;"",I$2,"NA"),'MITRE ATT&amp;CK Mappings'!$G114))),ISNUMBER(SEARCH(IF(I$2&lt;&gt;"",I$2,"NA"),'MITRE ATT&amp;CK Mappings'!$H114))),ISNUMBER(SEARCH(IF(I$3&lt;&gt;"",I$3,"NA"),'MITRE ATT&amp;CK Mappings'!$I114))),ISNUMBER(SEARCH(IF(I$3&lt;&gt;"",I$3,"NA"),'MITRE ATT&amp;CK Mappings'!$J114))), 'MITRE ATT&amp;CK Mappings'!$B114,"")</f>
        <v/>
      </c>
      <c r="J118" s="26" t="str">
        <f>IF(OR(OR(OR(OR(OR(ISNUMBER(SEARCH(IF(J$1&lt;&gt;"",J$1,"NA"),'MITRE ATT&amp;CK Mappings'!$E114)),ISNUMBER(SEARCH(IF(J$1&lt;&gt;"",J$1,"NA"),'MITRE ATT&amp;CK Mappings'!$F114))),ISNUMBER(SEARCH(IF(J$2&lt;&gt;"",J$2,"NA"),'MITRE ATT&amp;CK Mappings'!$G114))),ISNUMBER(SEARCH(IF(J$2&lt;&gt;"",J$2,"NA"),'MITRE ATT&amp;CK Mappings'!$H114))),ISNUMBER(SEARCH(IF(J$3&lt;&gt;"",J$3,"NA"),'MITRE ATT&amp;CK Mappings'!$I114))),ISNUMBER(SEARCH(IF(J$3&lt;&gt;"",J$3,"NA"),'MITRE ATT&amp;CK Mappings'!$J114))), 'MITRE ATT&amp;CK Mappings'!$B114,"")</f>
        <v/>
      </c>
      <c r="K118" s="26" t="str">
        <f>IF(OR(OR(OR(OR(OR(ISNUMBER(SEARCH(IF(K$1&lt;&gt;"",K$1,"NA"),'MITRE ATT&amp;CK Mappings'!$E114)),ISNUMBER(SEARCH(IF(K$1&lt;&gt;"",K$1,"NA"),'MITRE ATT&amp;CK Mappings'!$F114))),ISNUMBER(SEARCH(IF(K$2&lt;&gt;"",K$2,"NA"),'MITRE ATT&amp;CK Mappings'!$G114))),ISNUMBER(SEARCH(IF(K$2&lt;&gt;"",K$2,"NA"),'MITRE ATT&amp;CK Mappings'!$H114))),ISNUMBER(SEARCH(IF(K$3&lt;&gt;"",K$3,"NA"),'MITRE ATT&amp;CK Mappings'!$I114))),ISNUMBER(SEARCH(IF(K$3&lt;&gt;"",K$3,"NA"),'MITRE ATT&amp;CK Mappings'!$J114))), 'MITRE ATT&amp;CK Mappings'!$B114,"")</f>
        <v/>
      </c>
      <c r="L118" s="26" t="str">
        <f>IF('MITRE ATT&amp;CK Mappings'!D114 &lt;&gt;"",'MITRE ATT&amp;CK Mappings'!D114,"" )</f>
        <v>Ensure That Microsoft Defender for Storage Is Set To 'On'</v>
      </c>
    </row>
    <row r="119" spans="1:12" x14ac:dyDescent="0.25">
      <c r="A119" s="27" t="str">
        <f>IF(COUNTIF(B119:K119,"="&amp;'MITRE ATT&amp;CK Mappings'!B115)&gt;0,'MITRE ATT&amp;CK Mappings'!B115,"")</f>
        <v/>
      </c>
      <c r="B119" s="27" t="str">
        <f>IF(OR(OR(OR(OR(OR(ISNUMBER(SEARCH(IF(B$1&lt;&gt;"",B$1,"NA"),'MITRE ATT&amp;CK Mappings'!$E115)),ISNUMBER(SEARCH(IF(B$1&lt;&gt;"",B$1,"NA"),'MITRE ATT&amp;CK Mappings'!$F115))),ISNUMBER(SEARCH(IF(B$2&lt;&gt;"",B$2,"NA"),'MITRE ATT&amp;CK Mappings'!$G115))),ISNUMBER(SEARCH(IF(B$2&lt;&gt;"",B$2,"NA"),'MITRE ATT&amp;CK Mappings'!$H115))),ISNUMBER(SEARCH(IF(B$3&lt;&gt;"",B$3,"NA"),'MITRE ATT&amp;CK Mappings'!$I115))),ISNUMBER(SEARCH(IF(B$3&lt;&gt;"",B$3,"NA"),'MITRE ATT&amp;CK Mappings'!$J115))), 'MITRE ATT&amp;CK Mappings'!$B115,"")</f>
        <v/>
      </c>
      <c r="C119" s="27" t="str">
        <f>IF(OR(OR(OR(OR(OR(ISNUMBER(SEARCH(IF(C$1&lt;&gt;"",C$1,"NA"),'MITRE ATT&amp;CK Mappings'!$E115)),ISNUMBER(SEARCH(IF(C$1&lt;&gt;"",C$1,"NA"),'MITRE ATT&amp;CK Mappings'!$F115))),ISNUMBER(SEARCH(IF(C$2&lt;&gt;"",C$2,"NA"),'MITRE ATT&amp;CK Mappings'!$G115))),ISNUMBER(SEARCH(IF(C$2&lt;&gt;"",C$2,"NA"),'MITRE ATT&amp;CK Mappings'!$H115))),ISNUMBER(SEARCH(IF(C$3&lt;&gt;"",C$3,"NA"),'MITRE ATT&amp;CK Mappings'!$I115))),ISNUMBER(SEARCH(IF(C$3&lt;&gt;"",C$3,"NA"),'MITRE ATT&amp;CK Mappings'!$J115))), 'MITRE ATT&amp;CK Mappings'!$B115,"")</f>
        <v/>
      </c>
      <c r="D119" s="27" t="str">
        <f>IF(OR(OR(OR(OR(OR(ISNUMBER(SEARCH(IF(D$1&lt;&gt;"",D$1,"NA"),'MITRE ATT&amp;CK Mappings'!$E115)),ISNUMBER(SEARCH(IF(D$1&lt;&gt;"",D$1,"NA"),'MITRE ATT&amp;CK Mappings'!$F115))),ISNUMBER(SEARCH(IF(D$2&lt;&gt;"",D$2,"NA"),'MITRE ATT&amp;CK Mappings'!$G115))),ISNUMBER(SEARCH(IF(D$2&lt;&gt;"",D$2,"NA"),'MITRE ATT&amp;CK Mappings'!$H115))),ISNUMBER(SEARCH(IF(D$3&lt;&gt;"",D$3,"NA"),'MITRE ATT&amp;CK Mappings'!$I115))),ISNUMBER(SEARCH(IF(D$3&lt;&gt;"",D$3,"NA"),'MITRE ATT&amp;CK Mappings'!$J115))), 'MITRE ATT&amp;CK Mappings'!$B115,"")</f>
        <v/>
      </c>
      <c r="E119" s="27" t="str">
        <f>IF(OR(OR(OR(OR(OR(ISNUMBER(SEARCH(IF(E$1&lt;&gt;"",E$1,"NA"),'MITRE ATT&amp;CK Mappings'!$E115)),ISNUMBER(SEARCH(IF(E$1&lt;&gt;"",E$1,"NA"),'MITRE ATT&amp;CK Mappings'!$F115))),ISNUMBER(SEARCH(IF(E$2&lt;&gt;"",E$2,"NA"),'MITRE ATT&amp;CK Mappings'!$G115))),ISNUMBER(SEARCH(IF(E$2&lt;&gt;"",E$2,"NA"),'MITRE ATT&amp;CK Mappings'!$H115))),ISNUMBER(SEARCH(IF(E$3&lt;&gt;"",E$3,"NA"),'MITRE ATT&amp;CK Mappings'!$I115))),ISNUMBER(SEARCH(IF(E$3&lt;&gt;"",E$3,"NA"),'MITRE ATT&amp;CK Mappings'!$J115))), 'MITRE ATT&amp;CK Mappings'!$B115,"")</f>
        <v/>
      </c>
      <c r="F119" s="27" t="str">
        <f>IF(OR(OR(OR(OR(OR(ISNUMBER(SEARCH(IF(F$1&lt;&gt;"",F$1,"NA"),'MITRE ATT&amp;CK Mappings'!$E115)),ISNUMBER(SEARCH(IF(F$1&lt;&gt;"",F$1,"NA"),'MITRE ATT&amp;CK Mappings'!$F115))),ISNUMBER(SEARCH(IF(F$2&lt;&gt;"",F$2,"NA"),'MITRE ATT&amp;CK Mappings'!$G115))),ISNUMBER(SEARCH(IF(F$2&lt;&gt;"",F$2,"NA"),'MITRE ATT&amp;CK Mappings'!$H115))),ISNUMBER(SEARCH(IF(F$3&lt;&gt;"",F$3,"NA"),'MITRE ATT&amp;CK Mappings'!$I115))),ISNUMBER(SEARCH(IF(F$3&lt;&gt;"",F$3,"NA"),'MITRE ATT&amp;CK Mappings'!$J115))), 'MITRE ATT&amp;CK Mappings'!$B115,"")</f>
        <v/>
      </c>
      <c r="G119" s="27" t="str">
        <f>IF(OR(OR(OR(OR(OR(ISNUMBER(SEARCH(IF(G$1&lt;&gt;"",G$1,"NA"),'MITRE ATT&amp;CK Mappings'!$E115)),ISNUMBER(SEARCH(IF(G$1&lt;&gt;"",G$1,"NA"),'MITRE ATT&amp;CK Mappings'!$F115))),ISNUMBER(SEARCH(IF(G$2&lt;&gt;"",G$2,"NA"),'MITRE ATT&amp;CK Mappings'!$G115))),ISNUMBER(SEARCH(IF(G$2&lt;&gt;"",G$2,"NA"),'MITRE ATT&amp;CK Mappings'!$H115))),ISNUMBER(SEARCH(IF(G$3&lt;&gt;"",G$3,"NA"),'MITRE ATT&amp;CK Mappings'!$I115))),ISNUMBER(SEARCH(IF(G$3&lt;&gt;"",G$3,"NA"),'MITRE ATT&amp;CK Mappings'!$J115))), 'MITRE ATT&amp;CK Mappings'!$B115,"")</f>
        <v/>
      </c>
      <c r="H119" s="27" t="str">
        <f>IF(OR(OR(OR(OR(OR(ISNUMBER(SEARCH(IF(H$1&lt;&gt;"",H$1,"NA"),'MITRE ATT&amp;CK Mappings'!$E115)),ISNUMBER(SEARCH(IF(H$1&lt;&gt;"",H$1,"NA"),'MITRE ATT&amp;CK Mappings'!$F115))),ISNUMBER(SEARCH(IF(H$2&lt;&gt;"",H$2,"NA"),'MITRE ATT&amp;CK Mappings'!$G115))),ISNUMBER(SEARCH(IF(H$2&lt;&gt;"",H$2,"NA"),'MITRE ATT&amp;CK Mappings'!$H115))),ISNUMBER(SEARCH(IF(H$3&lt;&gt;"",H$3,"NA"),'MITRE ATT&amp;CK Mappings'!$I115))),ISNUMBER(SEARCH(IF(H$3&lt;&gt;"",H$3,"NA"),'MITRE ATT&amp;CK Mappings'!$J115))), 'MITRE ATT&amp;CK Mappings'!$B115,"")</f>
        <v/>
      </c>
      <c r="I119" s="27" t="str">
        <f>IF(OR(OR(OR(OR(OR(ISNUMBER(SEARCH(IF(I$1&lt;&gt;"",I$1,"NA"),'MITRE ATT&amp;CK Mappings'!$E115)),ISNUMBER(SEARCH(IF(I$1&lt;&gt;"",I$1,"NA"),'MITRE ATT&amp;CK Mappings'!$F115))),ISNUMBER(SEARCH(IF(I$2&lt;&gt;"",I$2,"NA"),'MITRE ATT&amp;CK Mappings'!$G115))),ISNUMBER(SEARCH(IF(I$2&lt;&gt;"",I$2,"NA"),'MITRE ATT&amp;CK Mappings'!$H115))),ISNUMBER(SEARCH(IF(I$3&lt;&gt;"",I$3,"NA"),'MITRE ATT&amp;CK Mappings'!$I115))),ISNUMBER(SEARCH(IF(I$3&lt;&gt;"",I$3,"NA"),'MITRE ATT&amp;CK Mappings'!$J115))), 'MITRE ATT&amp;CK Mappings'!$B115,"")</f>
        <v/>
      </c>
      <c r="J119" s="27" t="str">
        <f>IF(OR(OR(OR(OR(OR(ISNUMBER(SEARCH(IF(J$1&lt;&gt;"",J$1,"NA"),'MITRE ATT&amp;CK Mappings'!$E115)),ISNUMBER(SEARCH(IF(J$1&lt;&gt;"",J$1,"NA"),'MITRE ATT&amp;CK Mappings'!$F115))),ISNUMBER(SEARCH(IF(J$2&lt;&gt;"",J$2,"NA"),'MITRE ATT&amp;CK Mappings'!$G115))),ISNUMBER(SEARCH(IF(J$2&lt;&gt;"",J$2,"NA"),'MITRE ATT&amp;CK Mappings'!$H115))),ISNUMBER(SEARCH(IF(J$3&lt;&gt;"",J$3,"NA"),'MITRE ATT&amp;CK Mappings'!$I115))),ISNUMBER(SEARCH(IF(J$3&lt;&gt;"",J$3,"NA"),'MITRE ATT&amp;CK Mappings'!$J115))), 'MITRE ATT&amp;CK Mappings'!$B115,"")</f>
        <v/>
      </c>
      <c r="K119" s="27" t="str">
        <f>IF(OR(OR(OR(OR(OR(ISNUMBER(SEARCH(IF(K$1&lt;&gt;"",K$1,"NA"),'MITRE ATT&amp;CK Mappings'!$E115)),ISNUMBER(SEARCH(IF(K$1&lt;&gt;"",K$1,"NA"),'MITRE ATT&amp;CK Mappings'!$F115))),ISNUMBER(SEARCH(IF(K$2&lt;&gt;"",K$2,"NA"),'MITRE ATT&amp;CK Mappings'!$G115))),ISNUMBER(SEARCH(IF(K$2&lt;&gt;"",K$2,"NA"),'MITRE ATT&amp;CK Mappings'!$H115))),ISNUMBER(SEARCH(IF(K$3&lt;&gt;"",K$3,"NA"),'MITRE ATT&amp;CK Mappings'!$I115))),ISNUMBER(SEARCH(IF(K$3&lt;&gt;"",K$3,"NA"),'MITRE ATT&amp;CK Mappings'!$J115))), 'MITRE ATT&amp;CK Mappings'!$B115,"")</f>
        <v/>
      </c>
      <c r="L119" s="27" t="str">
        <f>IF('MITRE ATT&amp;CK Mappings'!D115 &lt;&gt;"",'MITRE ATT&amp;CK Mappings'!D115,"" )</f>
        <v>Ensure Advanced Threat Protection Alerts for Storage Accounts Are Monitored</v>
      </c>
    </row>
    <row r="120" spans="1:12" x14ac:dyDescent="0.25">
      <c r="A120" s="26" t="str">
        <f>IF(COUNTIF(B120:K120,"="&amp;'MITRE ATT&amp;CK Mappings'!B116)&gt;0,'MITRE ATT&amp;CK Mappings'!B116,"")</f>
        <v/>
      </c>
      <c r="B120" s="26" t="str">
        <f>IF(OR(OR(OR(OR(OR(ISNUMBER(SEARCH(IF(B$1&lt;&gt;"",B$1,"NA"),'MITRE ATT&amp;CK Mappings'!$E116)),ISNUMBER(SEARCH(IF(B$1&lt;&gt;"",B$1,"NA"),'MITRE ATT&amp;CK Mappings'!$F116))),ISNUMBER(SEARCH(IF(B$2&lt;&gt;"",B$2,"NA"),'MITRE ATT&amp;CK Mappings'!$G116))),ISNUMBER(SEARCH(IF(B$2&lt;&gt;"",B$2,"NA"),'MITRE ATT&amp;CK Mappings'!$H116))),ISNUMBER(SEARCH(IF(B$3&lt;&gt;"",B$3,"NA"),'MITRE ATT&amp;CK Mappings'!$I116))),ISNUMBER(SEARCH(IF(B$3&lt;&gt;"",B$3,"NA"),'MITRE ATT&amp;CK Mappings'!$J116))), 'MITRE ATT&amp;CK Mappings'!$B116,"")</f>
        <v/>
      </c>
      <c r="C120" s="26" t="str">
        <f>IF(OR(OR(OR(OR(OR(ISNUMBER(SEARCH(IF(C$1&lt;&gt;"",C$1,"NA"),'MITRE ATT&amp;CK Mappings'!$E116)),ISNUMBER(SEARCH(IF(C$1&lt;&gt;"",C$1,"NA"),'MITRE ATT&amp;CK Mappings'!$F116))),ISNUMBER(SEARCH(IF(C$2&lt;&gt;"",C$2,"NA"),'MITRE ATT&amp;CK Mappings'!$G116))),ISNUMBER(SEARCH(IF(C$2&lt;&gt;"",C$2,"NA"),'MITRE ATT&amp;CK Mappings'!$H116))),ISNUMBER(SEARCH(IF(C$3&lt;&gt;"",C$3,"NA"),'MITRE ATT&amp;CK Mappings'!$I116))),ISNUMBER(SEARCH(IF(C$3&lt;&gt;"",C$3,"NA"),'MITRE ATT&amp;CK Mappings'!$J116))), 'MITRE ATT&amp;CK Mappings'!$B116,"")</f>
        <v/>
      </c>
      <c r="D120" s="26" t="str">
        <f>IF(OR(OR(OR(OR(OR(ISNUMBER(SEARCH(IF(D$1&lt;&gt;"",D$1,"NA"),'MITRE ATT&amp;CK Mappings'!$E116)),ISNUMBER(SEARCH(IF(D$1&lt;&gt;"",D$1,"NA"),'MITRE ATT&amp;CK Mappings'!$F116))),ISNUMBER(SEARCH(IF(D$2&lt;&gt;"",D$2,"NA"),'MITRE ATT&amp;CK Mappings'!$G116))),ISNUMBER(SEARCH(IF(D$2&lt;&gt;"",D$2,"NA"),'MITRE ATT&amp;CK Mappings'!$H116))),ISNUMBER(SEARCH(IF(D$3&lt;&gt;"",D$3,"NA"),'MITRE ATT&amp;CK Mappings'!$I116))),ISNUMBER(SEARCH(IF(D$3&lt;&gt;"",D$3,"NA"),'MITRE ATT&amp;CK Mappings'!$J116))), 'MITRE ATT&amp;CK Mappings'!$B116,"")</f>
        <v/>
      </c>
      <c r="E120" s="26" t="str">
        <f>IF(OR(OR(OR(OR(OR(ISNUMBER(SEARCH(IF(E$1&lt;&gt;"",E$1,"NA"),'MITRE ATT&amp;CK Mappings'!$E116)),ISNUMBER(SEARCH(IF(E$1&lt;&gt;"",E$1,"NA"),'MITRE ATT&amp;CK Mappings'!$F116))),ISNUMBER(SEARCH(IF(E$2&lt;&gt;"",E$2,"NA"),'MITRE ATT&amp;CK Mappings'!$G116))),ISNUMBER(SEARCH(IF(E$2&lt;&gt;"",E$2,"NA"),'MITRE ATT&amp;CK Mappings'!$H116))),ISNUMBER(SEARCH(IF(E$3&lt;&gt;"",E$3,"NA"),'MITRE ATT&amp;CK Mappings'!$I116))),ISNUMBER(SEARCH(IF(E$3&lt;&gt;"",E$3,"NA"),'MITRE ATT&amp;CK Mappings'!$J116))), 'MITRE ATT&amp;CK Mappings'!$B116,"")</f>
        <v/>
      </c>
      <c r="F120" s="26" t="str">
        <f>IF(OR(OR(OR(OR(OR(ISNUMBER(SEARCH(IF(F$1&lt;&gt;"",F$1,"NA"),'MITRE ATT&amp;CK Mappings'!$E116)),ISNUMBER(SEARCH(IF(F$1&lt;&gt;"",F$1,"NA"),'MITRE ATT&amp;CK Mappings'!$F116))),ISNUMBER(SEARCH(IF(F$2&lt;&gt;"",F$2,"NA"),'MITRE ATT&amp;CK Mappings'!$G116))),ISNUMBER(SEARCH(IF(F$2&lt;&gt;"",F$2,"NA"),'MITRE ATT&amp;CK Mappings'!$H116))),ISNUMBER(SEARCH(IF(F$3&lt;&gt;"",F$3,"NA"),'MITRE ATT&amp;CK Mappings'!$I116))),ISNUMBER(SEARCH(IF(F$3&lt;&gt;"",F$3,"NA"),'MITRE ATT&amp;CK Mappings'!$J116))), 'MITRE ATT&amp;CK Mappings'!$B116,"")</f>
        <v/>
      </c>
      <c r="G120" s="26" t="str">
        <f>IF(OR(OR(OR(OR(OR(ISNUMBER(SEARCH(IF(G$1&lt;&gt;"",G$1,"NA"),'MITRE ATT&amp;CK Mappings'!$E116)),ISNUMBER(SEARCH(IF(G$1&lt;&gt;"",G$1,"NA"),'MITRE ATT&amp;CK Mappings'!$F116))),ISNUMBER(SEARCH(IF(G$2&lt;&gt;"",G$2,"NA"),'MITRE ATT&amp;CK Mappings'!$G116))),ISNUMBER(SEARCH(IF(G$2&lt;&gt;"",G$2,"NA"),'MITRE ATT&amp;CK Mappings'!$H116))),ISNUMBER(SEARCH(IF(G$3&lt;&gt;"",G$3,"NA"),'MITRE ATT&amp;CK Mappings'!$I116))),ISNUMBER(SEARCH(IF(G$3&lt;&gt;"",G$3,"NA"),'MITRE ATT&amp;CK Mappings'!$J116))), 'MITRE ATT&amp;CK Mappings'!$B116,"")</f>
        <v/>
      </c>
      <c r="H120" s="26" t="str">
        <f>IF(OR(OR(OR(OR(OR(ISNUMBER(SEARCH(IF(H$1&lt;&gt;"",H$1,"NA"),'MITRE ATT&amp;CK Mappings'!$E116)),ISNUMBER(SEARCH(IF(H$1&lt;&gt;"",H$1,"NA"),'MITRE ATT&amp;CK Mappings'!$F116))),ISNUMBER(SEARCH(IF(H$2&lt;&gt;"",H$2,"NA"),'MITRE ATT&amp;CK Mappings'!$G116))),ISNUMBER(SEARCH(IF(H$2&lt;&gt;"",H$2,"NA"),'MITRE ATT&amp;CK Mappings'!$H116))),ISNUMBER(SEARCH(IF(H$3&lt;&gt;"",H$3,"NA"),'MITRE ATT&amp;CK Mappings'!$I116))),ISNUMBER(SEARCH(IF(H$3&lt;&gt;"",H$3,"NA"),'MITRE ATT&amp;CK Mappings'!$J116))), 'MITRE ATT&amp;CK Mappings'!$B116,"")</f>
        <v/>
      </c>
      <c r="I120" s="26" t="str">
        <f>IF(OR(OR(OR(OR(OR(ISNUMBER(SEARCH(IF(I$1&lt;&gt;"",I$1,"NA"),'MITRE ATT&amp;CK Mappings'!$E116)),ISNUMBER(SEARCH(IF(I$1&lt;&gt;"",I$1,"NA"),'MITRE ATT&amp;CK Mappings'!$F116))),ISNUMBER(SEARCH(IF(I$2&lt;&gt;"",I$2,"NA"),'MITRE ATT&amp;CK Mappings'!$G116))),ISNUMBER(SEARCH(IF(I$2&lt;&gt;"",I$2,"NA"),'MITRE ATT&amp;CK Mappings'!$H116))),ISNUMBER(SEARCH(IF(I$3&lt;&gt;"",I$3,"NA"),'MITRE ATT&amp;CK Mappings'!$I116))),ISNUMBER(SEARCH(IF(I$3&lt;&gt;"",I$3,"NA"),'MITRE ATT&amp;CK Mappings'!$J116))), 'MITRE ATT&amp;CK Mappings'!$B116,"")</f>
        <v/>
      </c>
      <c r="J120" s="26" t="str">
        <f>IF(OR(OR(OR(OR(OR(ISNUMBER(SEARCH(IF(J$1&lt;&gt;"",J$1,"NA"),'MITRE ATT&amp;CK Mappings'!$E116)),ISNUMBER(SEARCH(IF(J$1&lt;&gt;"",J$1,"NA"),'MITRE ATT&amp;CK Mappings'!$F116))),ISNUMBER(SEARCH(IF(J$2&lt;&gt;"",J$2,"NA"),'MITRE ATT&amp;CK Mappings'!$G116))),ISNUMBER(SEARCH(IF(J$2&lt;&gt;"",J$2,"NA"),'MITRE ATT&amp;CK Mappings'!$H116))),ISNUMBER(SEARCH(IF(J$3&lt;&gt;"",J$3,"NA"),'MITRE ATT&amp;CK Mappings'!$I116))),ISNUMBER(SEARCH(IF(J$3&lt;&gt;"",J$3,"NA"),'MITRE ATT&amp;CK Mappings'!$J116))), 'MITRE ATT&amp;CK Mappings'!$B116,"")</f>
        <v/>
      </c>
      <c r="K120" s="26" t="str">
        <f>IF(OR(OR(OR(OR(OR(ISNUMBER(SEARCH(IF(K$1&lt;&gt;"",K$1,"NA"),'MITRE ATT&amp;CK Mappings'!$E116)),ISNUMBER(SEARCH(IF(K$1&lt;&gt;"",K$1,"NA"),'MITRE ATT&amp;CK Mappings'!$F116))),ISNUMBER(SEARCH(IF(K$2&lt;&gt;"",K$2,"NA"),'MITRE ATT&amp;CK Mappings'!$G116))),ISNUMBER(SEARCH(IF(K$2&lt;&gt;"",K$2,"NA"),'MITRE ATT&amp;CK Mappings'!$H116))),ISNUMBER(SEARCH(IF(K$3&lt;&gt;"",K$3,"NA"),'MITRE ATT&amp;CK Mappings'!$I116))),ISNUMBER(SEARCH(IF(K$3&lt;&gt;"",K$3,"NA"),'MITRE ATT&amp;CK Mappings'!$J116))), 'MITRE ATT&amp;CK Mappings'!$B116,"")</f>
        <v/>
      </c>
      <c r="L120" s="26" t="str">
        <f>IF('MITRE ATT&amp;CK Mappings'!D116 &lt;&gt;"",'MITRE ATT&amp;CK Mappings'!D116,"" )</f>
        <v>Ensure That Microsoft Defender for App Services Is Set To 'On'</v>
      </c>
    </row>
    <row r="121" spans="1:12" x14ac:dyDescent="0.25">
      <c r="A121" s="27" t="str">
        <f>IF(COUNTIF(B121:K121,"="&amp;'MITRE ATT&amp;CK Mappings'!B117)&gt;0,'MITRE ATT&amp;CK Mappings'!B117,"")</f>
        <v/>
      </c>
      <c r="B121" s="27" t="str">
        <f>IF(OR(OR(OR(OR(OR(ISNUMBER(SEARCH(IF(B$1&lt;&gt;"",B$1,"NA"),'MITRE ATT&amp;CK Mappings'!$E117)),ISNUMBER(SEARCH(IF(B$1&lt;&gt;"",B$1,"NA"),'MITRE ATT&amp;CK Mappings'!$F117))),ISNUMBER(SEARCH(IF(B$2&lt;&gt;"",B$2,"NA"),'MITRE ATT&amp;CK Mappings'!$G117))),ISNUMBER(SEARCH(IF(B$2&lt;&gt;"",B$2,"NA"),'MITRE ATT&amp;CK Mappings'!$H117))),ISNUMBER(SEARCH(IF(B$3&lt;&gt;"",B$3,"NA"),'MITRE ATT&amp;CK Mappings'!$I117))),ISNUMBER(SEARCH(IF(B$3&lt;&gt;"",B$3,"NA"),'MITRE ATT&amp;CK Mappings'!$J117))), 'MITRE ATT&amp;CK Mappings'!$B117,"")</f>
        <v/>
      </c>
      <c r="C121" s="27" t="str">
        <f>IF(OR(OR(OR(OR(OR(ISNUMBER(SEARCH(IF(C$1&lt;&gt;"",C$1,"NA"),'MITRE ATT&amp;CK Mappings'!$E117)),ISNUMBER(SEARCH(IF(C$1&lt;&gt;"",C$1,"NA"),'MITRE ATT&amp;CK Mappings'!$F117))),ISNUMBER(SEARCH(IF(C$2&lt;&gt;"",C$2,"NA"),'MITRE ATT&amp;CK Mappings'!$G117))),ISNUMBER(SEARCH(IF(C$2&lt;&gt;"",C$2,"NA"),'MITRE ATT&amp;CK Mappings'!$H117))),ISNUMBER(SEARCH(IF(C$3&lt;&gt;"",C$3,"NA"),'MITRE ATT&amp;CK Mappings'!$I117))),ISNUMBER(SEARCH(IF(C$3&lt;&gt;"",C$3,"NA"),'MITRE ATT&amp;CK Mappings'!$J117))), 'MITRE ATT&amp;CK Mappings'!$B117,"")</f>
        <v/>
      </c>
      <c r="D121" s="27" t="str">
        <f>IF(OR(OR(OR(OR(OR(ISNUMBER(SEARCH(IF(D$1&lt;&gt;"",D$1,"NA"),'MITRE ATT&amp;CK Mappings'!$E117)),ISNUMBER(SEARCH(IF(D$1&lt;&gt;"",D$1,"NA"),'MITRE ATT&amp;CK Mappings'!$F117))),ISNUMBER(SEARCH(IF(D$2&lt;&gt;"",D$2,"NA"),'MITRE ATT&amp;CK Mappings'!$G117))),ISNUMBER(SEARCH(IF(D$2&lt;&gt;"",D$2,"NA"),'MITRE ATT&amp;CK Mappings'!$H117))),ISNUMBER(SEARCH(IF(D$3&lt;&gt;"",D$3,"NA"),'MITRE ATT&amp;CK Mappings'!$I117))),ISNUMBER(SEARCH(IF(D$3&lt;&gt;"",D$3,"NA"),'MITRE ATT&amp;CK Mappings'!$J117))), 'MITRE ATT&amp;CK Mappings'!$B117,"")</f>
        <v/>
      </c>
      <c r="E121" s="27" t="str">
        <f>IF(OR(OR(OR(OR(OR(ISNUMBER(SEARCH(IF(E$1&lt;&gt;"",E$1,"NA"),'MITRE ATT&amp;CK Mappings'!$E117)),ISNUMBER(SEARCH(IF(E$1&lt;&gt;"",E$1,"NA"),'MITRE ATT&amp;CK Mappings'!$F117))),ISNUMBER(SEARCH(IF(E$2&lt;&gt;"",E$2,"NA"),'MITRE ATT&amp;CK Mappings'!$G117))),ISNUMBER(SEARCH(IF(E$2&lt;&gt;"",E$2,"NA"),'MITRE ATT&amp;CK Mappings'!$H117))),ISNUMBER(SEARCH(IF(E$3&lt;&gt;"",E$3,"NA"),'MITRE ATT&amp;CK Mappings'!$I117))),ISNUMBER(SEARCH(IF(E$3&lt;&gt;"",E$3,"NA"),'MITRE ATT&amp;CK Mappings'!$J117))), 'MITRE ATT&amp;CK Mappings'!$B117,"")</f>
        <v/>
      </c>
      <c r="F121" s="27" t="str">
        <f>IF(OR(OR(OR(OR(OR(ISNUMBER(SEARCH(IF(F$1&lt;&gt;"",F$1,"NA"),'MITRE ATT&amp;CK Mappings'!$E117)),ISNUMBER(SEARCH(IF(F$1&lt;&gt;"",F$1,"NA"),'MITRE ATT&amp;CK Mappings'!$F117))),ISNUMBER(SEARCH(IF(F$2&lt;&gt;"",F$2,"NA"),'MITRE ATT&amp;CK Mappings'!$G117))),ISNUMBER(SEARCH(IF(F$2&lt;&gt;"",F$2,"NA"),'MITRE ATT&amp;CK Mappings'!$H117))),ISNUMBER(SEARCH(IF(F$3&lt;&gt;"",F$3,"NA"),'MITRE ATT&amp;CK Mappings'!$I117))),ISNUMBER(SEARCH(IF(F$3&lt;&gt;"",F$3,"NA"),'MITRE ATT&amp;CK Mappings'!$J117))), 'MITRE ATT&amp;CK Mappings'!$B117,"")</f>
        <v/>
      </c>
      <c r="G121" s="27" t="str">
        <f>IF(OR(OR(OR(OR(OR(ISNUMBER(SEARCH(IF(G$1&lt;&gt;"",G$1,"NA"),'MITRE ATT&amp;CK Mappings'!$E117)),ISNUMBER(SEARCH(IF(G$1&lt;&gt;"",G$1,"NA"),'MITRE ATT&amp;CK Mappings'!$F117))),ISNUMBER(SEARCH(IF(G$2&lt;&gt;"",G$2,"NA"),'MITRE ATT&amp;CK Mappings'!$G117))),ISNUMBER(SEARCH(IF(G$2&lt;&gt;"",G$2,"NA"),'MITRE ATT&amp;CK Mappings'!$H117))),ISNUMBER(SEARCH(IF(G$3&lt;&gt;"",G$3,"NA"),'MITRE ATT&amp;CK Mappings'!$I117))),ISNUMBER(SEARCH(IF(G$3&lt;&gt;"",G$3,"NA"),'MITRE ATT&amp;CK Mappings'!$J117))), 'MITRE ATT&amp;CK Mappings'!$B117,"")</f>
        <v/>
      </c>
      <c r="H121" s="27" t="str">
        <f>IF(OR(OR(OR(OR(OR(ISNUMBER(SEARCH(IF(H$1&lt;&gt;"",H$1,"NA"),'MITRE ATT&amp;CK Mappings'!$E117)),ISNUMBER(SEARCH(IF(H$1&lt;&gt;"",H$1,"NA"),'MITRE ATT&amp;CK Mappings'!$F117))),ISNUMBER(SEARCH(IF(H$2&lt;&gt;"",H$2,"NA"),'MITRE ATT&amp;CK Mappings'!$G117))),ISNUMBER(SEARCH(IF(H$2&lt;&gt;"",H$2,"NA"),'MITRE ATT&amp;CK Mappings'!$H117))),ISNUMBER(SEARCH(IF(H$3&lt;&gt;"",H$3,"NA"),'MITRE ATT&amp;CK Mappings'!$I117))),ISNUMBER(SEARCH(IF(H$3&lt;&gt;"",H$3,"NA"),'MITRE ATT&amp;CK Mappings'!$J117))), 'MITRE ATT&amp;CK Mappings'!$B117,"")</f>
        <v/>
      </c>
      <c r="I121" s="27" t="str">
        <f>IF(OR(OR(OR(OR(OR(ISNUMBER(SEARCH(IF(I$1&lt;&gt;"",I$1,"NA"),'MITRE ATT&amp;CK Mappings'!$E117)),ISNUMBER(SEARCH(IF(I$1&lt;&gt;"",I$1,"NA"),'MITRE ATT&amp;CK Mappings'!$F117))),ISNUMBER(SEARCH(IF(I$2&lt;&gt;"",I$2,"NA"),'MITRE ATT&amp;CK Mappings'!$G117))),ISNUMBER(SEARCH(IF(I$2&lt;&gt;"",I$2,"NA"),'MITRE ATT&amp;CK Mappings'!$H117))),ISNUMBER(SEARCH(IF(I$3&lt;&gt;"",I$3,"NA"),'MITRE ATT&amp;CK Mappings'!$I117))),ISNUMBER(SEARCH(IF(I$3&lt;&gt;"",I$3,"NA"),'MITRE ATT&amp;CK Mappings'!$J117))), 'MITRE ATT&amp;CK Mappings'!$B117,"")</f>
        <v/>
      </c>
      <c r="J121" s="27" t="str">
        <f>IF(OR(OR(OR(OR(OR(ISNUMBER(SEARCH(IF(J$1&lt;&gt;"",J$1,"NA"),'MITRE ATT&amp;CK Mappings'!$E117)),ISNUMBER(SEARCH(IF(J$1&lt;&gt;"",J$1,"NA"),'MITRE ATT&amp;CK Mappings'!$F117))),ISNUMBER(SEARCH(IF(J$2&lt;&gt;"",J$2,"NA"),'MITRE ATT&amp;CK Mappings'!$G117))),ISNUMBER(SEARCH(IF(J$2&lt;&gt;"",J$2,"NA"),'MITRE ATT&amp;CK Mappings'!$H117))),ISNUMBER(SEARCH(IF(J$3&lt;&gt;"",J$3,"NA"),'MITRE ATT&amp;CK Mappings'!$I117))),ISNUMBER(SEARCH(IF(J$3&lt;&gt;"",J$3,"NA"),'MITRE ATT&amp;CK Mappings'!$J117))), 'MITRE ATT&amp;CK Mappings'!$B117,"")</f>
        <v/>
      </c>
      <c r="K121" s="27" t="str">
        <f>IF(OR(OR(OR(OR(OR(ISNUMBER(SEARCH(IF(K$1&lt;&gt;"",K$1,"NA"),'MITRE ATT&amp;CK Mappings'!$E117)),ISNUMBER(SEARCH(IF(K$1&lt;&gt;"",K$1,"NA"),'MITRE ATT&amp;CK Mappings'!$F117))),ISNUMBER(SEARCH(IF(K$2&lt;&gt;"",K$2,"NA"),'MITRE ATT&amp;CK Mappings'!$G117))),ISNUMBER(SEARCH(IF(K$2&lt;&gt;"",K$2,"NA"),'MITRE ATT&amp;CK Mappings'!$H117))),ISNUMBER(SEARCH(IF(K$3&lt;&gt;"",K$3,"NA"),'MITRE ATT&amp;CK Mappings'!$I117))),ISNUMBER(SEARCH(IF(K$3&lt;&gt;"",K$3,"NA"),'MITRE ATT&amp;CK Mappings'!$J117))), 'MITRE ATT&amp;CK Mappings'!$B117,"")</f>
        <v/>
      </c>
      <c r="L121" s="27" t="str">
        <f>IF('MITRE ATT&amp;CK Mappings'!D117 &lt;&gt;"",'MITRE ATT&amp;CK Mappings'!D117,"" )</f>
        <v>Ensure That Microsoft Defender for Azure Cosmos DB Is Set To 'On'</v>
      </c>
    </row>
    <row r="122" spans="1:12" x14ac:dyDescent="0.25">
      <c r="A122" s="26" t="str">
        <f>IF(COUNTIF(B122:K122,"="&amp;'MITRE ATT&amp;CK Mappings'!B118)&gt;0,'MITRE ATT&amp;CK Mappings'!B118,"")</f>
        <v/>
      </c>
      <c r="B122" s="26" t="str">
        <f>IF(OR(OR(OR(OR(OR(ISNUMBER(SEARCH(IF(B$1&lt;&gt;"",B$1,"NA"),'MITRE ATT&amp;CK Mappings'!$E118)),ISNUMBER(SEARCH(IF(B$1&lt;&gt;"",B$1,"NA"),'MITRE ATT&amp;CK Mappings'!$F118))),ISNUMBER(SEARCH(IF(B$2&lt;&gt;"",B$2,"NA"),'MITRE ATT&amp;CK Mappings'!$G118))),ISNUMBER(SEARCH(IF(B$2&lt;&gt;"",B$2,"NA"),'MITRE ATT&amp;CK Mappings'!$H118))),ISNUMBER(SEARCH(IF(B$3&lt;&gt;"",B$3,"NA"),'MITRE ATT&amp;CK Mappings'!$I118))),ISNUMBER(SEARCH(IF(B$3&lt;&gt;"",B$3,"NA"),'MITRE ATT&amp;CK Mappings'!$J118))), 'MITRE ATT&amp;CK Mappings'!$B118,"")</f>
        <v/>
      </c>
      <c r="C122" s="26" t="str">
        <f>IF(OR(OR(OR(OR(OR(ISNUMBER(SEARCH(IF(C$1&lt;&gt;"",C$1,"NA"),'MITRE ATT&amp;CK Mappings'!$E118)),ISNUMBER(SEARCH(IF(C$1&lt;&gt;"",C$1,"NA"),'MITRE ATT&amp;CK Mappings'!$F118))),ISNUMBER(SEARCH(IF(C$2&lt;&gt;"",C$2,"NA"),'MITRE ATT&amp;CK Mappings'!$G118))),ISNUMBER(SEARCH(IF(C$2&lt;&gt;"",C$2,"NA"),'MITRE ATT&amp;CK Mappings'!$H118))),ISNUMBER(SEARCH(IF(C$3&lt;&gt;"",C$3,"NA"),'MITRE ATT&amp;CK Mappings'!$I118))),ISNUMBER(SEARCH(IF(C$3&lt;&gt;"",C$3,"NA"),'MITRE ATT&amp;CK Mappings'!$J118))), 'MITRE ATT&amp;CK Mappings'!$B118,"")</f>
        <v/>
      </c>
      <c r="D122" s="26" t="str">
        <f>IF(OR(OR(OR(OR(OR(ISNUMBER(SEARCH(IF(D$1&lt;&gt;"",D$1,"NA"),'MITRE ATT&amp;CK Mappings'!$E118)),ISNUMBER(SEARCH(IF(D$1&lt;&gt;"",D$1,"NA"),'MITRE ATT&amp;CK Mappings'!$F118))),ISNUMBER(SEARCH(IF(D$2&lt;&gt;"",D$2,"NA"),'MITRE ATT&amp;CK Mappings'!$G118))),ISNUMBER(SEARCH(IF(D$2&lt;&gt;"",D$2,"NA"),'MITRE ATT&amp;CK Mappings'!$H118))),ISNUMBER(SEARCH(IF(D$3&lt;&gt;"",D$3,"NA"),'MITRE ATT&amp;CK Mappings'!$I118))),ISNUMBER(SEARCH(IF(D$3&lt;&gt;"",D$3,"NA"),'MITRE ATT&amp;CK Mappings'!$J118))), 'MITRE ATT&amp;CK Mappings'!$B118,"")</f>
        <v/>
      </c>
      <c r="E122" s="26" t="str">
        <f>IF(OR(OR(OR(OR(OR(ISNUMBER(SEARCH(IF(E$1&lt;&gt;"",E$1,"NA"),'MITRE ATT&amp;CK Mappings'!$E118)),ISNUMBER(SEARCH(IF(E$1&lt;&gt;"",E$1,"NA"),'MITRE ATT&amp;CK Mappings'!$F118))),ISNUMBER(SEARCH(IF(E$2&lt;&gt;"",E$2,"NA"),'MITRE ATT&amp;CK Mappings'!$G118))),ISNUMBER(SEARCH(IF(E$2&lt;&gt;"",E$2,"NA"),'MITRE ATT&amp;CK Mappings'!$H118))),ISNUMBER(SEARCH(IF(E$3&lt;&gt;"",E$3,"NA"),'MITRE ATT&amp;CK Mappings'!$I118))),ISNUMBER(SEARCH(IF(E$3&lt;&gt;"",E$3,"NA"),'MITRE ATT&amp;CK Mappings'!$J118))), 'MITRE ATT&amp;CK Mappings'!$B118,"")</f>
        <v/>
      </c>
      <c r="F122" s="26" t="str">
        <f>IF(OR(OR(OR(OR(OR(ISNUMBER(SEARCH(IF(F$1&lt;&gt;"",F$1,"NA"),'MITRE ATT&amp;CK Mappings'!$E118)),ISNUMBER(SEARCH(IF(F$1&lt;&gt;"",F$1,"NA"),'MITRE ATT&amp;CK Mappings'!$F118))),ISNUMBER(SEARCH(IF(F$2&lt;&gt;"",F$2,"NA"),'MITRE ATT&amp;CK Mappings'!$G118))),ISNUMBER(SEARCH(IF(F$2&lt;&gt;"",F$2,"NA"),'MITRE ATT&amp;CK Mappings'!$H118))),ISNUMBER(SEARCH(IF(F$3&lt;&gt;"",F$3,"NA"),'MITRE ATT&amp;CK Mappings'!$I118))),ISNUMBER(SEARCH(IF(F$3&lt;&gt;"",F$3,"NA"),'MITRE ATT&amp;CK Mappings'!$J118))), 'MITRE ATT&amp;CK Mappings'!$B118,"")</f>
        <v/>
      </c>
      <c r="G122" s="26" t="str">
        <f>IF(OR(OR(OR(OR(OR(ISNUMBER(SEARCH(IF(G$1&lt;&gt;"",G$1,"NA"),'MITRE ATT&amp;CK Mappings'!$E118)),ISNUMBER(SEARCH(IF(G$1&lt;&gt;"",G$1,"NA"),'MITRE ATT&amp;CK Mappings'!$F118))),ISNUMBER(SEARCH(IF(G$2&lt;&gt;"",G$2,"NA"),'MITRE ATT&amp;CK Mappings'!$G118))),ISNUMBER(SEARCH(IF(G$2&lt;&gt;"",G$2,"NA"),'MITRE ATT&amp;CK Mappings'!$H118))),ISNUMBER(SEARCH(IF(G$3&lt;&gt;"",G$3,"NA"),'MITRE ATT&amp;CK Mappings'!$I118))),ISNUMBER(SEARCH(IF(G$3&lt;&gt;"",G$3,"NA"),'MITRE ATT&amp;CK Mappings'!$J118))), 'MITRE ATT&amp;CK Mappings'!$B118,"")</f>
        <v/>
      </c>
      <c r="H122" s="26" t="str">
        <f>IF(OR(OR(OR(OR(OR(ISNUMBER(SEARCH(IF(H$1&lt;&gt;"",H$1,"NA"),'MITRE ATT&amp;CK Mappings'!$E118)),ISNUMBER(SEARCH(IF(H$1&lt;&gt;"",H$1,"NA"),'MITRE ATT&amp;CK Mappings'!$F118))),ISNUMBER(SEARCH(IF(H$2&lt;&gt;"",H$2,"NA"),'MITRE ATT&amp;CK Mappings'!$G118))),ISNUMBER(SEARCH(IF(H$2&lt;&gt;"",H$2,"NA"),'MITRE ATT&amp;CK Mappings'!$H118))),ISNUMBER(SEARCH(IF(H$3&lt;&gt;"",H$3,"NA"),'MITRE ATT&amp;CK Mappings'!$I118))),ISNUMBER(SEARCH(IF(H$3&lt;&gt;"",H$3,"NA"),'MITRE ATT&amp;CK Mappings'!$J118))), 'MITRE ATT&amp;CK Mappings'!$B118,"")</f>
        <v/>
      </c>
      <c r="I122" s="26" t="str">
        <f>IF(OR(OR(OR(OR(OR(ISNUMBER(SEARCH(IF(I$1&lt;&gt;"",I$1,"NA"),'MITRE ATT&amp;CK Mappings'!$E118)),ISNUMBER(SEARCH(IF(I$1&lt;&gt;"",I$1,"NA"),'MITRE ATT&amp;CK Mappings'!$F118))),ISNUMBER(SEARCH(IF(I$2&lt;&gt;"",I$2,"NA"),'MITRE ATT&amp;CK Mappings'!$G118))),ISNUMBER(SEARCH(IF(I$2&lt;&gt;"",I$2,"NA"),'MITRE ATT&amp;CK Mappings'!$H118))),ISNUMBER(SEARCH(IF(I$3&lt;&gt;"",I$3,"NA"),'MITRE ATT&amp;CK Mappings'!$I118))),ISNUMBER(SEARCH(IF(I$3&lt;&gt;"",I$3,"NA"),'MITRE ATT&amp;CK Mappings'!$J118))), 'MITRE ATT&amp;CK Mappings'!$B118,"")</f>
        <v/>
      </c>
      <c r="J122" s="26" t="str">
        <f>IF(OR(OR(OR(OR(OR(ISNUMBER(SEARCH(IF(J$1&lt;&gt;"",J$1,"NA"),'MITRE ATT&amp;CK Mappings'!$E118)),ISNUMBER(SEARCH(IF(J$1&lt;&gt;"",J$1,"NA"),'MITRE ATT&amp;CK Mappings'!$F118))),ISNUMBER(SEARCH(IF(J$2&lt;&gt;"",J$2,"NA"),'MITRE ATT&amp;CK Mappings'!$G118))),ISNUMBER(SEARCH(IF(J$2&lt;&gt;"",J$2,"NA"),'MITRE ATT&amp;CK Mappings'!$H118))),ISNUMBER(SEARCH(IF(J$3&lt;&gt;"",J$3,"NA"),'MITRE ATT&amp;CK Mappings'!$I118))),ISNUMBER(SEARCH(IF(J$3&lt;&gt;"",J$3,"NA"),'MITRE ATT&amp;CK Mappings'!$J118))), 'MITRE ATT&amp;CK Mappings'!$B118,"")</f>
        <v/>
      </c>
      <c r="K122" s="26" t="str">
        <f>IF(OR(OR(OR(OR(OR(ISNUMBER(SEARCH(IF(K$1&lt;&gt;"",K$1,"NA"),'MITRE ATT&amp;CK Mappings'!$E118)),ISNUMBER(SEARCH(IF(K$1&lt;&gt;"",K$1,"NA"),'MITRE ATT&amp;CK Mappings'!$F118))),ISNUMBER(SEARCH(IF(K$2&lt;&gt;"",K$2,"NA"),'MITRE ATT&amp;CK Mappings'!$G118))),ISNUMBER(SEARCH(IF(K$2&lt;&gt;"",K$2,"NA"),'MITRE ATT&amp;CK Mappings'!$H118))),ISNUMBER(SEARCH(IF(K$3&lt;&gt;"",K$3,"NA"),'MITRE ATT&amp;CK Mappings'!$I118))),ISNUMBER(SEARCH(IF(K$3&lt;&gt;"",K$3,"NA"),'MITRE ATT&amp;CK Mappings'!$J118))), 'MITRE ATT&amp;CK Mappings'!$B118,"")</f>
        <v/>
      </c>
      <c r="L122" s="26" t="str">
        <f>IF('MITRE ATT&amp;CK Mappings'!D118 &lt;&gt;"",'MITRE ATT&amp;CK Mappings'!D118,"" )</f>
        <v>Ensure That Microsoft Defender for Open-Source Relational Databases Is Set To 'On'</v>
      </c>
    </row>
    <row r="123" spans="1:12" x14ac:dyDescent="0.25">
      <c r="A123" s="27" t="str">
        <f>IF(COUNTIF(B123:K123,"="&amp;'MITRE ATT&amp;CK Mappings'!B119)&gt;0,'MITRE ATT&amp;CK Mappings'!B119,"")</f>
        <v/>
      </c>
      <c r="B123" s="27" t="str">
        <f>IF(OR(OR(OR(OR(OR(ISNUMBER(SEARCH(IF(B$1&lt;&gt;"",B$1,"NA"),'MITRE ATT&amp;CK Mappings'!$E119)),ISNUMBER(SEARCH(IF(B$1&lt;&gt;"",B$1,"NA"),'MITRE ATT&amp;CK Mappings'!$F119))),ISNUMBER(SEARCH(IF(B$2&lt;&gt;"",B$2,"NA"),'MITRE ATT&amp;CK Mappings'!$G119))),ISNUMBER(SEARCH(IF(B$2&lt;&gt;"",B$2,"NA"),'MITRE ATT&amp;CK Mappings'!$H119))),ISNUMBER(SEARCH(IF(B$3&lt;&gt;"",B$3,"NA"),'MITRE ATT&amp;CK Mappings'!$I119))),ISNUMBER(SEARCH(IF(B$3&lt;&gt;"",B$3,"NA"),'MITRE ATT&amp;CK Mappings'!$J119))), 'MITRE ATT&amp;CK Mappings'!$B119,"")</f>
        <v/>
      </c>
      <c r="C123" s="27" t="str">
        <f>IF(OR(OR(OR(OR(OR(ISNUMBER(SEARCH(IF(C$1&lt;&gt;"",C$1,"NA"),'MITRE ATT&amp;CK Mappings'!$E119)),ISNUMBER(SEARCH(IF(C$1&lt;&gt;"",C$1,"NA"),'MITRE ATT&amp;CK Mappings'!$F119))),ISNUMBER(SEARCH(IF(C$2&lt;&gt;"",C$2,"NA"),'MITRE ATT&amp;CK Mappings'!$G119))),ISNUMBER(SEARCH(IF(C$2&lt;&gt;"",C$2,"NA"),'MITRE ATT&amp;CK Mappings'!$H119))),ISNUMBER(SEARCH(IF(C$3&lt;&gt;"",C$3,"NA"),'MITRE ATT&amp;CK Mappings'!$I119))),ISNUMBER(SEARCH(IF(C$3&lt;&gt;"",C$3,"NA"),'MITRE ATT&amp;CK Mappings'!$J119))), 'MITRE ATT&amp;CK Mappings'!$B119,"")</f>
        <v/>
      </c>
      <c r="D123" s="27" t="str">
        <f>IF(OR(OR(OR(OR(OR(ISNUMBER(SEARCH(IF(D$1&lt;&gt;"",D$1,"NA"),'MITRE ATT&amp;CK Mappings'!$E119)),ISNUMBER(SEARCH(IF(D$1&lt;&gt;"",D$1,"NA"),'MITRE ATT&amp;CK Mappings'!$F119))),ISNUMBER(SEARCH(IF(D$2&lt;&gt;"",D$2,"NA"),'MITRE ATT&amp;CK Mappings'!$G119))),ISNUMBER(SEARCH(IF(D$2&lt;&gt;"",D$2,"NA"),'MITRE ATT&amp;CK Mappings'!$H119))),ISNUMBER(SEARCH(IF(D$3&lt;&gt;"",D$3,"NA"),'MITRE ATT&amp;CK Mappings'!$I119))),ISNUMBER(SEARCH(IF(D$3&lt;&gt;"",D$3,"NA"),'MITRE ATT&amp;CK Mappings'!$J119))), 'MITRE ATT&amp;CK Mappings'!$B119,"")</f>
        <v/>
      </c>
      <c r="E123" s="27" t="str">
        <f>IF(OR(OR(OR(OR(OR(ISNUMBER(SEARCH(IF(E$1&lt;&gt;"",E$1,"NA"),'MITRE ATT&amp;CK Mappings'!$E119)),ISNUMBER(SEARCH(IF(E$1&lt;&gt;"",E$1,"NA"),'MITRE ATT&amp;CK Mappings'!$F119))),ISNUMBER(SEARCH(IF(E$2&lt;&gt;"",E$2,"NA"),'MITRE ATT&amp;CK Mappings'!$G119))),ISNUMBER(SEARCH(IF(E$2&lt;&gt;"",E$2,"NA"),'MITRE ATT&amp;CK Mappings'!$H119))),ISNUMBER(SEARCH(IF(E$3&lt;&gt;"",E$3,"NA"),'MITRE ATT&amp;CK Mappings'!$I119))),ISNUMBER(SEARCH(IF(E$3&lt;&gt;"",E$3,"NA"),'MITRE ATT&amp;CK Mappings'!$J119))), 'MITRE ATT&amp;CK Mappings'!$B119,"")</f>
        <v/>
      </c>
      <c r="F123" s="27" t="str">
        <f>IF(OR(OR(OR(OR(OR(ISNUMBER(SEARCH(IF(F$1&lt;&gt;"",F$1,"NA"),'MITRE ATT&amp;CK Mappings'!$E119)),ISNUMBER(SEARCH(IF(F$1&lt;&gt;"",F$1,"NA"),'MITRE ATT&amp;CK Mappings'!$F119))),ISNUMBER(SEARCH(IF(F$2&lt;&gt;"",F$2,"NA"),'MITRE ATT&amp;CK Mappings'!$G119))),ISNUMBER(SEARCH(IF(F$2&lt;&gt;"",F$2,"NA"),'MITRE ATT&amp;CK Mappings'!$H119))),ISNUMBER(SEARCH(IF(F$3&lt;&gt;"",F$3,"NA"),'MITRE ATT&amp;CK Mappings'!$I119))),ISNUMBER(SEARCH(IF(F$3&lt;&gt;"",F$3,"NA"),'MITRE ATT&amp;CK Mappings'!$J119))), 'MITRE ATT&amp;CK Mappings'!$B119,"")</f>
        <v/>
      </c>
      <c r="G123" s="27" t="str">
        <f>IF(OR(OR(OR(OR(OR(ISNUMBER(SEARCH(IF(G$1&lt;&gt;"",G$1,"NA"),'MITRE ATT&amp;CK Mappings'!$E119)),ISNUMBER(SEARCH(IF(G$1&lt;&gt;"",G$1,"NA"),'MITRE ATT&amp;CK Mappings'!$F119))),ISNUMBER(SEARCH(IF(G$2&lt;&gt;"",G$2,"NA"),'MITRE ATT&amp;CK Mappings'!$G119))),ISNUMBER(SEARCH(IF(G$2&lt;&gt;"",G$2,"NA"),'MITRE ATT&amp;CK Mappings'!$H119))),ISNUMBER(SEARCH(IF(G$3&lt;&gt;"",G$3,"NA"),'MITRE ATT&amp;CK Mappings'!$I119))),ISNUMBER(SEARCH(IF(G$3&lt;&gt;"",G$3,"NA"),'MITRE ATT&amp;CK Mappings'!$J119))), 'MITRE ATT&amp;CK Mappings'!$B119,"")</f>
        <v/>
      </c>
      <c r="H123" s="27" t="str">
        <f>IF(OR(OR(OR(OR(OR(ISNUMBER(SEARCH(IF(H$1&lt;&gt;"",H$1,"NA"),'MITRE ATT&amp;CK Mappings'!$E119)),ISNUMBER(SEARCH(IF(H$1&lt;&gt;"",H$1,"NA"),'MITRE ATT&amp;CK Mappings'!$F119))),ISNUMBER(SEARCH(IF(H$2&lt;&gt;"",H$2,"NA"),'MITRE ATT&amp;CK Mappings'!$G119))),ISNUMBER(SEARCH(IF(H$2&lt;&gt;"",H$2,"NA"),'MITRE ATT&amp;CK Mappings'!$H119))),ISNUMBER(SEARCH(IF(H$3&lt;&gt;"",H$3,"NA"),'MITRE ATT&amp;CK Mappings'!$I119))),ISNUMBER(SEARCH(IF(H$3&lt;&gt;"",H$3,"NA"),'MITRE ATT&amp;CK Mappings'!$J119))), 'MITRE ATT&amp;CK Mappings'!$B119,"")</f>
        <v/>
      </c>
      <c r="I123" s="27" t="str">
        <f>IF(OR(OR(OR(OR(OR(ISNUMBER(SEARCH(IF(I$1&lt;&gt;"",I$1,"NA"),'MITRE ATT&amp;CK Mappings'!$E119)),ISNUMBER(SEARCH(IF(I$1&lt;&gt;"",I$1,"NA"),'MITRE ATT&amp;CK Mappings'!$F119))),ISNUMBER(SEARCH(IF(I$2&lt;&gt;"",I$2,"NA"),'MITRE ATT&amp;CK Mappings'!$G119))),ISNUMBER(SEARCH(IF(I$2&lt;&gt;"",I$2,"NA"),'MITRE ATT&amp;CK Mappings'!$H119))),ISNUMBER(SEARCH(IF(I$3&lt;&gt;"",I$3,"NA"),'MITRE ATT&amp;CK Mappings'!$I119))),ISNUMBER(SEARCH(IF(I$3&lt;&gt;"",I$3,"NA"),'MITRE ATT&amp;CK Mappings'!$J119))), 'MITRE ATT&amp;CK Mappings'!$B119,"")</f>
        <v/>
      </c>
      <c r="J123" s="27" t="str">
        <f>IF(OR(OR(OR(OR(OR(ISNUMBER(SEARCH(IF(J$1&lt;&gt;"",J$1,"NA"),'MITRE ATT&amp;CK Mappings'!$E119)),ISNUMBER(SEARCH(IF(J$1&lt;&gt;"",J$1,"NA"),'MITRE ATT&amp;CK Mappings'!$F119))),ISNUMBER(SEARCH(IF(J$2&lt;&gt;"",J$2,"NA"),'MITRE ATT&amp;CK Mappings'!$G119))),ISNUMBER(SEARCH(IF(J$2&lt;&gt;"",J$2,"NA"),'MITRE ATT&amp;CK Mappings'!$H119))),ISNUMBER(SEARCH(IF(J$3&lt;&gt;"",J$3,"NA"),'MITRE ATT&amp;CK Mappings'!$I119))),ISNUMBER(SEARCH(IF(J$3&lt;&gt;"",J$3,"NA"),'MITRE ATT&amp;CK Mappings'!$J119))), 'MITRE ATT&amp;CK Mappings'!$B119,"")</f>
        <v/>
      </c>
      <c r="K123" s="27" t="str">
        <f>IF(OR(OR(OR(OR(OR(ISNUMBER(SEARCH(IF(K$1&lt;&gt;"",K$1,"NA"),'MITRE ATT&amp;CK Mappings'!$E119)),ISNUMBER(SEARCH(IF(K$1&lt;&gt;"",K$1,"NA"),'MITRE ATT&amp;CK Mappings'!$F119))),ISNUMBER(SEARCH(IF(K$2&lt;&gt;"",K$2,"NA"),'MITRE ATT&amp;CK Mappings'!$G119))),ISNUMBER(SEARCH(IF(K$2&lt;&gt;"",K$2,"NA"),'MITRE ATT&amp;CK Mappings'!$H119))),ISNUMBER(SEARCH(IF(K$3&lt;&gt;"",K$3,"NA"),'MITRE ATT&amp;CK Mappings'!$I119))),ISNUMBER(SEARCH(IF(K$3&lt;&gt;"",K$3,"NA"),'MITRE ATT&amp;CK Mappings'!$J119))), 'MITRE ATT&amp;CK Mappings'!$B119,"")</f>
        <v/>
      </c>
      <c r="L123" s="27" t="str">
        <f>IF('MITRE ATT&amp;CK Mappings'!D119 &lt;&gt;"",'MITRE ATT&amp;CK Mappings'!D119,"" )</f>
        <v>Ensure That Microsoft Defender for (Managed Instance) Azure SQL Databases Is Set To 'On'</v>
      </c>
    </row>
    <row r="124" spans="1:12" x14ac:dyDescent="0.25">
      <c r="A124" s="26" t="str">
        <f>IF(COUNTIF(B124:K124,"="&amp;'MITRE ATT&amp;CK Mappings'!B120)&gt;0,'MITRE ATT&amp;CK Mappings'!B120,"")</f>
        <v/>
      </c>
      <c r="B124" s="26" t="str">
        <f>IF(OR(OR(OR(OR(OR(ISNUMBER(SEARCH(IF(B$1&lt;&gt;"",B$1,"NA"),'MITRE ATT&amp;CK Mappings'!$E120)),ISNUMBER(SEARCH(IF(B$1&lt;&gt;"",B$1,"NA"),'MITRE ATT&amp;CK Mappings'!$F120))),ISNUMBER(SEARCH(IF(B$2&lt;&gt;"",B$2,"NA"),'MITRE ATT&amp;CK Mappings'!$G120))),ISNUMBER(SEARCH(IF(B$2&lt;&gt;"",B$2,"NA"),'MITRE ATT&amp;CK Mappings'!$H120))),ISNUMBER(SEARCH(IF(B$3&lt;&gt;"",B$3,"NA"),'MITRE ATT&amp;CK Mappings'!$I120))),ISNUMBER(SEARCH(IF(B$3&lt;&gt;"",B$3,"NA"),'MITRE ATT&amp;CK Mappings'!$J120))), 'MITRE ATT&amp;CK Mappings'!$B120,"")</f>
        <v/>
      </c>
      <c r="C124" s="26" t="str">
        <f>IF(OR(OR(OR(OR(OR(ISNUMBER(SEARCH(IF(C$1&lt;&gt;"",C$1,"NA"),'MITRE ATT&amp;CK Mappings'!$E120)),ISNUMBER(SEARCH(IF(C$1&lt;&gt;"",C$1,"NA"),'MITRE ATT&amp;CK Mappings'!$F120))),ISNUMBER(SEARCH(IF(C$2&lt;&gt;"",C$2,"NA"),'MITRE ATT&amp;CK Mappings'!$G120))),ISNUMBER(SEARCH(IF(C$2&lt;&gt;"",C$2,"NA"),'MITRE ATT&amp;CK Mappings'!$H120))),ISNUMBER(SEARCH(IF(C$3&lt;&gt;"",C$3,"NA"),'MITRE ATT&amp;CK Mappings'!$I120))),ISNUMBER(SEARCH(IF(C$3&lt;&gt;"",C$3,"NA"),'MITRE ATT&amp;CK Mappings'!$J120))), 'MITRE ATT&amp;CK Mappings'!$B120,"")</f>
        <v/>
      </c>
      <c r="D124" s="26" t="str">
        <f>IF(OR(OR(OR(OR(OR(ISNUMBER(SEARCH(IF(D$1&lt;&gt;"",D$1,"NA"),'MITRE ATT&amp;CK Mappings'!$E120)),ISNUMBER(SEARCH(IF(D$1&lt;&gt;"",D$1,"NA"),'MITRE ATT&amp;CK Mappings'!$F120))),ISNUMBER(SEARCH(IF(D$2&lt;&gt;"",D$2,"NA"),'MITRE ATT&amp;CK Mappings'!$G120))),ISNUMBER(SEARCH(IF(D$2&lt;&gt;"",D$2,"NA"),'MITRE ATT&amp;CK Mappings'!$H120))),ISNUMBER(SEARCH(IF(D$3&lt;&gt;"",D$3,"NA"),'MITRE ATT&amp;CK Mappings'!$I120))),ISNUMBER(SEARCH(IF(D$3&lt;&gt;"",D$3,"NA"),'MITRE ATT&amp;CK Mappings'!$J120))), 'MITRE ATT&amp;CK Mappings'!$B120,"")</f>
        <v/>
      </c>
      <c r="E124" s="26" t="str">
        <f>IF(OR(OR(OR(OR(OR(ISNUMBER(SEARCH(IF(E$1&lt;&gt;"",E$1,"NA"),'MITRE ATT&amp;CK Mappings'!$E120)),ISNUMBER(SEARCH(IF(E$1&lt;&gt;"",E$1,"NA"),'MITRE ATT&amp;CK Mappings'!$F120))),ISNUMBER(SEARCH(IF(E$2&lt;&gt;"",E$2,"NA"),'MITRE ATT&amp;CK Mappings'!$G120))),ISNUMBER(SEARCH(IF(E$2&lt;&gt;"",E$2,"NA"),'MITRE ATT&amp;CK Mappings'!$H120))),ISNUMBER(SEARCH(IF(E$3&lt;&gt;"",E$3,"NA"),'MITRE ATT&amp;CK Mappings'!$I120))),ISNUMBER(SEARCH(IF(E$3&lt;&gt;"",E$3,"NA"),'MITRE ATT&amp;CK Mappings'!$J120))), 'MITRE ATT&amp;CK Mappings'!$B120,"")</f>
        <v/>
      </c>
      <c r="F124" s="26" t="str">
        <f>IF(OR(OR(OR(OR(OR(ISNUMBER(SEARCH(IF(F$1&lt;&gt;"",F$1,"NA"),'MITRE ATT&amp;CK Mappings'!$E120)),ISNUMBER(SEARCH(IF(F$1&lt;&gt;"",F$1,"NA"),'MITRE ATT&amp;CK Mappings'!$F120))),ISNUMBER(SEARCH(IF(F$2&lt;&gt;"",F$2,"NA"),'MITRE ATT&amp;CK Mappings'!$G120))),ISNUMBER(SEARCH(IF(F$2&lt;&gt;"",F$2,"NA"),'MITRE ATT&amp;CK Mappings'!$H120))),ISNUMBER(SEARCH(IF(F$3&lt;&gt;"",F$3,"NA"),'MITRE ATT&amp;CK Mappings'!$I120))),ISNUMBER(SEARCH(IF(F$3&lt;&gt;"",F$3,"NA"),'MITRE ATT&amp;CK Mappings'!$J120))), 'MITRE ATT&amp;CK Mappings'!$B120,"")</f>
        <v/>
      </c>
      <c r="G124" s="26" t="str">
        <f>IF(OR(OR(OR(OR(OR(ISNUMBER(SEARCH(IF(G$1&lt;&gt;"",G$1,"NA"),'MITRE ATT&amp;CK Mappings'!$E120)),ISNUMBER(SEARCH(IF(G$1&lt;&gt;"",G$1,"NA"),'MITRE ATT&amp;CK Mappings'!$F120))),ISNUMBER(SEARCH(IF(G$2&lt;&gt;"",G$2,"NA"),'MITRE ATT&amp;CK Mappings'!$G120))),ISNUMBER(SEARCH(IF(G$2&lt;&gt;"",G$2,"NA"),'MITRE ATT&amp;CK Mappings'!$H120))),ISNUMBER(SEARCH(IF(G$3&lt;&gt;"",G$3,"NA"),'MITRE ATT&amp;CK Mappings'!$I120))),ISNUMBER(SEARCH(IF(G$3&lt;&gt;"",G$3,"NA"),'MITRE ATT&amp;CK Mappings'!$J120))), 'MITRE ATT&amp;CK Mappings'!$B120,"")</f>
        <v/>
      </c>
      <c r="H124" s="26" t="str">
        <f>IF(OR(OR(OR(OR(OR(ISNUMBER(SEARCH(IF(H$1&lt;&gt;"",H$1,"NA"),'MITRE ATT&amp;CK Mappings'!$E120)),ISNUMBER(SEARCH(IF(H$1&lt;&gt;"",H$1,"NA"),'MITRE ATT&amp;CK Mappings'!$F120))),ISNUMBER(SEARCH(IF(H$2&lt;&gt;"",H$2,"NA"),'MITRE ATT&amp;CK Mappings'!$G120))),ISNUMBER(SEARCH(IF(H$2&lt;&gt;"",H$2,"NA"),'MITRE ATT&amp;CK Mappings'!$H120))),ISNUMBER(SEARCH(IF(H$3&lt;&gt;"",H$3,"NA"),'MITRE ATT&amp;CK Mappings'!$I120))),ISNUMBER(SEARCH(IF(H$3&lt;&gt;"",H$3,"NA"),'MITRE ATT&amp;CK Mappings'!$J120))), 'MITRE ATT&amp;CK Mappings'!$B120,"")</f>
        <v/>
      </c>
      <c r="I124" s="26" t="str">
        <f>IF(OR(OR(OR(OR(OR(ISNUMBER(SEARCH(IF(I$1&lt;&gt;"",I$1,"NA"),'MITRE ATT&amp;CK Mappings'!$E120)),ISNUMBER(SEARCH(IF(I$1&lt;&gt;"",I$1,"NA"),'MITRE ATT&amp;CK Mappings'!$F120))),ISNUMBER(SEARCH(IF(I$2&lt;&gt;"",I$2,"NA"),'MITRE ATT&amp;CK Mappings'!$G120))),ISNUMBER(SEARCH(IF(I$2&lt;&gt;"",I$2,"NA"),'MITRE ATT&amp;CK Mappings'!$H120))),ISNUMBER(SEARCH(IF(I$3&lt;&gt;"",I$3,"NA"),'MITRE ATT&amp;CK Mappings'!$I120))),ISNUMBER(SEARCH(IF(I$3&lt;&gt;"",I$3,"NA"),'MITRE ATT&amp;CK Mappings'!$J120))), 'MITRE ATT&amp;CK Mappings'!$B120,"")</f>
        <v/>
      </c>
      <c r="J124" s="26" t="str">
        <f>IF(OR(OR(OR(OR(OR(ISNUMBER(SEARCH(IF(J$1&lt;&gt;"",J$1,"NA"),'MITRE ATT&amp;CK Mappings'!$E120)),ISNUMBER(SEARCH(IF(J$1&lt;&gt;"",J$1,"NA"),'MITRE ATT&amp;CK Mappings'!$F120))),ISNUMBER(SEARCH(IF(J$2&lt;&gt;"",J$2,"NA"),'MITRE ATT&amp;CK Mappings'!$G120))),ISNUMBER(SEARCH(IF(J$2&lt;&gt;"",J$2,"NA"),'MITRE ATT&amp;CK Mappings'!$H120))),ISNUMBER(SEARCH(IF(J$3&lt;&gt;"",J$3,"NA"),'MITRE ATT&amp;CK Mappings'!$I120))),ISNUMBER(SEARCH(IF(J$3&lt;&gt;"",J$3,"NA"),'MITRE ATT&amp;CK Mappings'!$J120))), 'MITRE ATT&amp;CK Mappings'!$B120,"")</f>
        <v/>
      </c>
      <c r="K124" s="26" t="str">
        <f>IF(OR(OR(OR(OR(OR(ISNUMBER(SEARCH(IF(K$1&lt;&gt;"",K$1,"NA"),'MITRE ATT&amp;CK Mappings'!$E120)),ISNUMBER(SEARCH(IF(K$1&lt;&gt;"",K$1,"NA"),'MITRE ATT&amp;CK Mappings'!$F120))),ISNUMBER(SEARCH(IF(K$2&lt;&gt;"",K$2,"NA"),'MITRE ATT&amp;CK Mappings'!$G120))),ISNUMBER(SEARCH(IF(K$2&lt;&gt;"",K$2,"NA"),'MITRE ATT&amp;CK Mappings'!$H120))),ISNUMBER(SEARCH(IF(K$3&lt;&gt;"",K$3,"NA"),'MITRE ATT&amp;CK Mappings'!$I120))),ISNUMBER(SEARCH(IF(K$3&lt;&gt;"",K$3,"NA"),'MITRE ATT&amp;CK Mappings'!$J120))), 'MITRE ATT&amp;CK Mappings'!$B120,"")</f>
        <v/>
      </c>
      <c r="L124" s="26" t="str">
        <f>IF('MITRE ATT&amp;CK Mappings'!D120 &lt;&gt;"",'MITRE ATT&amp;CK Mappings'!D120,"" )</f>
        <v>Ensure That Microsoft Defender for SQL Servers on Machines Is Set To 'On'</v>
      </c>
    </row>
    <row r="125" spans="1:12" x14ac:dyDescent="0.25">
      <c r="A125" s="27" t="str">
        <f>IF(COUNTIF(B125:K125,"="&amp;'MITRE ATT&amp;CK Mappings'!B121)&gt;0,'MITRE ATT&amp;CK Mappings'!B121,"")</f>
        <v/>
      </c>
      <c r="B125" s="27" t="str">
        <f>IF(OR(OR(OR(OR(OR(ISNUMBER(SEARCH(IF(B$1&lt;&gt;"",B$1,"NA"),'MITRE ATT&amp;CK Mappings'!$E121)),ISNUMBER(SEARCH(IF(B$1&lt;&gt;"",B$1,"NA"),'MITRE ATT&amp;CK Mappings'!$F121))),ISNUMBER(SEARCH(IF(B$2&lt;&gt;"",B$2,"NA"),'MITRE ATT&amp;CK Mappings'!$G121))),ISNUMBER(SEARCH(IF(B$2&lt;&gt;"",B$2,"NA"),'MITRE ATT&amp;CK Mappings'!$H121))),ISNUMBER(SEARCH(IF(B$3&lt;&gt;"",B$3,"NA"),'MITRE ATT&amp;CK Mappings'!$I121))),ISNUMBER(SEARCH(IF(B$3&lt;&gt;"",B$3,"NA"),'MITRE ATT&amp;CK Mappings'!$J121))), 'MITRE ATT&amp;CK Mappings'!$B121,"")</f>
        <v/>
      </c>
      <c r="C125" s="27" t="str">
        <f>IF(OR(OR(OR(OR(OR(ISNUMBER(SEARCH(IF(C$1&lt;&gt;"",C$1,"NA"),'MITRE ATT&amp;CK Mappings'!$E121)),ISNUMBER(SEARCH(IF(C$1&lt;&gt;"",C$1,"NA"),'MITRE ATT&amp;CK Mappings'!$F121))),ISNUMBER(SEARCH(IF(C$2&lt;&gt;"",C$2,"NA"),'MITRE ATT&amp;CK Mappings'!$G121))),ISNUMBER(SEARCH(IF(C$2&lt;&gt;"",C$2,"NA"),'MITRE ATT&amp;CK Mappings'!$H121))),ISNUMBER(SEARCH(IF(C$3&lt;&gt;"",C$3,"NA"),'MITRE ATT&amp;CK Mappings'!$I121))),ISNUMBER(SEARCH(IF(C$3&lt;&gt;"",C$3,"NA"),'MITRE ATT&amp;CK Mappings'!$J121))), 'MITRE ATT&amp;CK Mappings'!$B121,"")</f>
        <v/>
      </c>
      <c r="D125" s="27" t="str">
        <f>IF(OR(OR(OR(OR(OR(ISNUMBER(SEARCH(IF(D$1&lt;&gt;"",D$1,"NA"),'MITRE ATT&amp;CK Mappings'!$E121)),ISNUMBER(SEARCH(IF(D$1&lt;&gt;"",D$1,"NA"),'MITRE ATT&amp;CK Mappings'!$F121))),ISNUMBER(SEARCH(IF(D$2&lt;&gt;"",D$2,"NA"),'MITRE ATT&amp;CK Mappings'!$G121))),ISNUMBER(SEARCH(IF(D$2&lt;&gt;"",D$2,"NA"),'MITRE ATT&amp;CK Mappings'!$H121))),ISNUMBER(SEARCH(IF(D$3&lt;&gt;"",D$3,"NA"),'MITRE ATT&amp;CK Mappings'!$I121))),ISNUMBER(SEARCH(IF(D$3&lt;&gt;"",D$3,"NA"),'MITRE ATT&amp;CK Mappings'!$J121))), 'MITRE ATT&amp;CK Mappings'!$B121,"")</f>
        <v/>
      </c>
      <c r="E125" s="27" t="str">
        <f>IF(OR(OR(OR(OR(OR(ISNUMBER(SEARCH(IF(E$1&lt;&gt;"",E$1,"NA"),'MITRE ATT&amp;CK Mappings'!$E121)),ISNUMBER(SEARCH(IF(E$1&lt;&gt;"",E$1,"NA"),'MITRE ATT&amp;CK Mappings'!$F121))),ISNUMBER(SEARCH(IF(E$2&lt;&gt;"",E$2,"NA"),'MITRE ATT&amp;CK Mappings'!$G121))),ISNUMBER(SEARCH(IF(E$2&lt;&gt;"",E$2,"NA"),'MITRE ATT&amp;CK Mappings'!$H121))),ISNUMBER(SEARCH(IF(E$3&lt;&gt;"",E$3,"NA"),'MITRE ATT&amp;CK Mappings'!$I121))),ISNUMBER(SEARCH(IF(E$3&lt;&gt;"",E$3,"NA"),'MITRE ATT&amp;CK Mappings'!$J121))), 'MITRE ATT&amp;CK Mappings'!$B121,"")</f>
        <v/>
      </c>
      <c r="F125" s="27" t="str">
        <f>IF(OR(OR(OR(OR(OR(ISNUMBER(SEARCH(IF(F$1&lt;&gt;"",F$1,"NA"),'MITRE ATT&amp;CK Mappings'!$E121)),ISNUMBER(SEARCH(IF(F$1&lt;&gt;"",F$1,"NA"),'MITRE ATT&amp;CK Mappings'!$F121))),ISNUMBER(SEARCH(IF(F$2&lt;&gt;"",F$2,"NA"),'MITRE ATT&amp;CK Mappings'!$G121))),ISNUMBER(SEARCH(IF(F$2&lt;&gt;"",F$2,"NA"),'MITRE ATT&amp;CK Mappings'!$H121))),ISNUMBER(SEARCH(IF(F$3&lt;&gt;"",F$3,"NA"),'MITRE ATT&amp;CK Mappings'!$I121))),ISNUMBER(SEARCH(IF(F$3&lt;&gt;"",F$3,"NA"),'MITRE ATT&amp;CK Mappings'!$J121))), 'MITRE ATT&amp;CK Mappings'!$B121,"")</f>
        <v/>
      </c>
      <c r="G125" s="27" t="str">
        <f>IF(OR(OR(OR(OR(OR(ISNUMBER(SEARCH(IF(G$1&lt;&gt;"",G$1,"NA"),'MITRE ATT&amp;CK Mappings'!$E121)),ISNUMBER(SEARCH(IF(G$1&lt;&gt;"",G$1,"NA"),'MITRE ATT&amp;CK Mappings'!$F121))),ISNUMBER(SEARCH(IF(G$2&lt;&gt;"",G$2,"NA"),'MITRE ATT&amp;CK Mappings'!$G121))),ISNUMBER(SEARCH(IF(G$2&lt;&gt;"",G$2,"NA"),'MITRE ATT&amp;CK Mappings'!$H121))),ISNUMBER(SEARCH(IF(G$3&lt;&gt;"",G$3,"NA"),'MITRE ATT&amp;CK Mappings'!$I121))),ISNUMBER(SEARCH(IF(G$3&lt;&gt;"",G$3,"NA"),'MITRE ATT&amp;CK Mappings'!$J121))), 'MITRE ATT&amp;CK Mappings'!$B121,"")</f>
        <v/>
      </c>
      <c r="H125" s="27" t="str">
        <f>IF(OR(OR(OR(OR(OR(ISNUMBER(SEARCH(IF(H$1&lt;&gt;"",H$1,"NA"),'MITRE ATT&amp;CK Mappings'!$E121)),ISNUMBER(SEARCH(IF(H$1&lt;&gt;"",H$1,"NA"),'MITRE ATT&amp;CK Mappings'!$F121))),ISNUMBER(SEARCH(IF(H$2&lt;&gt;"",H$2,"NA"),'MITRE ATT&amp;CK Mappings'!$G121))),ISNUMBER(SEARCH(IF(H$2&lt;&gt;"",H$2,"NA"),'MITRE ATT&amp;CK Mappings'!$H121))),ISNUMBER(SEARCH(IF(H$3&lt;&gt;"",H$3,"NA"),'MITRE ATT&amp;CK Mappings'!$I121))),ISNUMBER(SEARCH(IF(H$3&lt;&gt;"",H$3,"NA"),'MITRE ATT&amp;CK Mappings'!$J121))), 'MITRE ATT&amp;CK Mappings'!$B121,"")</f>
        <v/>
      </c>
      <c r="I125" s="27" t="str">
        <f>IF(OR(OR(OR(OR(OR(ISNUMBER(SEARCH(IF(I$1&lt;&gt;"",I$1,"NA"),'MITRE ATT&amp;CK Mappings'!$E121)),ISNUMBER(SEARCH(IF(I$1&lt;&gt;"",I$1,"NA"),'MITRE ATT&amp;CK Mappings'!$F121))),ISNUMBER(SEARCH(IF(I$2&lt;&gt;"",I$2,"NA"),'MITRE ATT&amp;CK Mappings'!$G121))),ISNUMBER(SEARCH(IF(I$2&lt;&gt;"",I$2,"NA"),'MITRE ATT&amp;CK Mappings'!$H121))),ISNUMBER(SEARCH(IF(I$3&lt;&gt;"",I$3,"NA"),'MITRE ATT&amp;CK Mappings'!$I121))),ISNUMBER(SEARCH(IF(I$3&lt;&gt;"",I$3,"NA"),'MITRE ATT&amp;CK Mappings'!$J121))), 'MITRE ATT&amp;CK Mappings'!$B121,"")</f>
        <v/>
      </c>
      <c r="J125" s="27" t="str">
        <f>IF(OR(OR(OR(OR(OR(ISNUMBER(SEARCH(IF(J$1&lt;&gt;"",J$1,"NA"),'MITRE ATT&amp;CK Mappings'!$E121)),ISNUMBER(SEARCH(IF(J$1&lt;&gt;"",J$1,"NA"),'MITRE ATT&amp;CK Mappings'!$F121))),ISNUMBER(SEARCH(IF(J$2&lt;&gt;"",J$2,"NA"),'MITRE ATT&amp;CK Mappings'!$G121))),ISNUMBER(SEARCH(IF(J$2&lt;&gt;"",J$2,"NA"),'MITRE ATT&amp;CK Mappings'!$H121))),ISNUMBER(SEARCH(IF(J$3&lt;&gt;"",J$3,"NA"),'MITRE ATT&amp;CK Mappings'!$I121))),ISNUMBER(SEARCH(IF(J$3&lt;&gt;"",J$3,"NA"),'MITRE ATT&amp;CK Mappings'!$J121))), 'MITRE ATT&amp;CK Mappings'!$B121,"")</f>
        <v/>
      </c>
      <c r="K125" s="27" t="str">
        <f>IF(OR(OR(OR(OR(OR(ISNUMBER(SEARCH(IF(K$1&lt;&gt;"",K$1,"NA"),'MITRE ATT&amp;CK Mappings'!$E121)),ISNUMBER(SEARCH(IF(K$1&lt;&gt;"",K$1,"NA"),'MITRE ATT&amp;CK Mappings'!$F121))),ISNUMBER(SEARCH(IF(K$2&lt;&gt;"",K$2,"NA"),'MITRE ATT&amp;CK Mappings'!$G121))),ISNUMBER(SEARCH(IF(K$2&lt;&gt;"",K$2,"NA"),'MITRE ATT&amp;CK Mappings'!$H121))),ISNUMBER(SEARCH(IF(K$3&lt;&gt;"",K$3,"NA"),'MITRE ATT&amp;CK Mappings'!$I121))),ISNUMBER(SEARCH(IF(K$3&lt;&gt;"",K$3,"NA"),'MITRE ATT&amp;CK Mappings'!$J121))), 'MITRE ATT&amp;CK Mappings'!$B121,"")</f>
        <v/>
      </c>
      <c r="L125" s="27" t="str">
        <f>IF('MITRE ATT&amp;CK Mappings'!D121 &lt;&gt;"",'MITRE ATT&amp;CK Mappings'!D121,"" )</f>
        <v>Ensure That Microsoft Defender for Key Vault Is Set To 'On'</v>
      </c>
    </row>
    <row r="126" spans="1:12" x14ac:dyDescent="0.25">
      <c r="A126" s="26" t="str">
        <f>IF(COUNTIF(B126:K126,"="&amp;'MITRE ATT&amp;CK Mappings'!B122)&gt;0,'MITRE ATT&amp;CK Mappings'!B122,"")</f>
        <v/>
      </c>
      <c r="B126" s="26" t="str">
        <f>IF(OR(OR(OR(OR(OR(ISNUMBER(SEARCH(IF(B$1&lt;&gt;"",B$1,"NA"),'MITRE ATT&amp;CK Mappings'!$E122)),ISNUMBER(SEARCH(IF(B$1&lt;&gt;"",B$1,"NA"),'MITRE ATT&amp;CK Mappings'!$F122))),ISNUMBER(SEARCH(IF(B$2&lt;&gt;"",B$2,"NA"),'MITRE ATT&amp;CK Mappings'!$G122))),ISNUMBER(SEARCH(IF(B$2&lt;&gt;"",B$2,"NA"),'MITRE ATT&amp;CK Mappings'!$H122))),ISNUMBER(SEARCH(IF(B$3&lt;&gt;"",B$3,"NA"),'MITRE ATT&amp;CK Mappings'!$I122))),ISNUMBER(SEARCH(IF(B$3&lt;&gt;"",B$3,"NA"),'MITRE ATT&amp;CK Mappings'!$J122))), 'MITRE ATT&amp;CK Mappings'!$B122,"")</f>
        <v/>
      </c>
      <c r="C126" s="26" t="str">
        <f>IF(OR(OR(OR(OR(OR(ISNUMBER(SEARCH(IF(C$1&lt;&gt;"",C$1,"NA"),'MITRE ATT&amp;CK Mappings'!$E122)),ISNUMBER(SEARCH(IF(C$1&lt;&gt;"",C$1,"NA"),'MITRE ATT&amp;CK Mappings'!$F122))),ISNUMBER(SEARCH(IF(C$2&lt;&gt;"",C$2,"NA"),'MITRE ATT&amp;CK Mappings'!$G122))),ISNUMBER(SEARCH(IF(C$2&lt;&gt;"",C$2,"NA"),'MITRE ATT&amp;CK Mappings'!$H122))),ISNUMBER(SEARCH(IF(C$3&lt;&gt;"",C$3,"NA"),'MITRE ATT&amp;CK Mappings'!$I122))),ISNUMBER(SEARCH(IF(C$3&lt;&gt;"",C$3,"NA"),'MITRE ATT&amp;CK Mappings'!$J122))), 'MITRE ATT&amp;CK Mappings'!$B122,"")</f>
        <v/>
      </c>
      <c r="D126" s="26" t="str">
        <f>IF(OR(OR(OR(OR(OR(ISNUMBER(SEARCH(IF(D$1&lt;&gt;"",D$1,"NA"),'MITRE ATT&amp;CK Mappings'!$E122)),ISNUMBER(SEARCH(IF(D$1&lt;&gt;"",D$1,"NA"),'MITRE ATT&amp;CK Mappings'!$F122))),ISNUMBER(SEARCH(IF(D$2&lt;&gt;"",D$2,"NA"),'MITRE ATT&amp;CK Mappings'!$G122))),ISNUMBER(SEARCH(IF(D$2&lt;&gt;"",D$2,"NA"),'MITRE ATT&amp;CK Mappings'!$H122))),ISNUMBER(SEARCH(IF(D$3&lt;&gt;"",D$3,"NA"),'MITRE ATT&amp;CK Mappings'!$I122))),ISNUMBER(SEARCH(IF(D$3&lt;&gt;"",D$3,"NA"),'MITRE ATT&amp;CK Mappings'!$J122))), 'MITRE ATT&amp;CK Mappings'!$B122,"")</f>
        <v/>
      </c>
      <c r="E126" s="26" t="str">
        <f>IF(OR(OR(OR(OR(OR(ISNUMBER(SEARCH(IF(E$1&lt;&gt;"",E$1,"NA"),'MITRE ATT&amp;CK Mappings'!$E122)),ISNUMBER(SEARCH(IF(E$1&lt;&gt;"",E$1,"NA"),'MITRE ATT&amp;CK Mappings'!$F122))),ISNUMBER(SEARCH(IF(E$2&lt;&gt;"",E$2,"NA"),'MITRE ATT&amp;CK Mappings'!$G122))),ISNUMBER(SEARCH(IF(E$2&lt;&gt;"",E$2,"NA"),'MITRE ATT&amp;CK Mappings'!$H122))),ISNUMBER(SEARCH(IF(E$3&lt;&gt;"",E$3,"NA"),'MITRE ATT&amp;CK Mappings'!$I122))),ISNUMBER(SEARCH(IF(E$3&lt;&gt;"",E$3,"NA"),'MITRE ATT&amp;CK Mappings'!$J122))), 'MITRE ATT&amp;CK Mappings'!$B122,"")</f>
        <v/>
      </c>
      <c r="F126" s="26" t="str">
        <f>IF(OR(OR(OR(OR(OR(ISNUMBER(SEARCH(IF(F$1&lt;&gt;"",F$1,"NA"),'MITRE ATT&amp;CK Mappings'!$E122)),ISNUMBER(SEARCH(IF(F$1&lt;&gt;"",F$1,"NA"),'MITRE ATT&amp;CK Mappings'!$F122))),ISNUMBER(SEARCH(IF(F$2&lt;&gt;"",F$2,"NA"),'MITRE ATT&amp;CK Mappings'!$G122))),ISNUMBER(SEARCH(IF(F$2&lt;&gt;"",F$2,"NA"),'MITRE ATT&amp;CK Mappings'!$H122))),ISNUMBER(SEARCH(IF(F$3&lt;&gt;"",F$3,"NA"),'MITRE ATT&amp;CK Mappings'!$I122))),ISNUMBER(SEARCH(IF(F$3&lt;&gt;"",F$3,"NA"),'MITRE ATT&amp;CK Mappings'!$J122))), 'MITRE ATT&amp;CK Mappings'!$B122,"")</f>
        <v/>
      </c>
      <c r="G126" s="26" t="str">
        <f>IF(OR(OR(OR(OR(OR(ISNUMBER(SEARCH(IF(G$1&lt;&gt;"",G$1,"NA"),'MITRE ATT&amp;CK Mappings'!$E122)),ISNUMBER(SEARCH(IF(G$1&lt;&gt;"",G$1,"NA"),'MITRE ATT&amp;CK Mappings'!$F122))),ISNUMBER(SEARCH(IF(G$2&lt;&gt;"",G$2,"NA"),'MITRE ATT&amp;CK Mappings'!$G122))),ISNUMBER(SEARCH(IF(G$2&lt;&gt;"",G$2,"NA"),'MITRE ATT&amp;CK Mappings'!$H122))),ISNUMBER(SEARCH(IF(G$3&lt;&gt;"",G$3,"NA"),'MITRE ATT&amp;CK Mappings'!$I122))),ISNUMBER(SEARCH(IF(G$3&lt;&gt;"",G$3,"NA"),'MITRE ATT&amp;CK Mappings'!$J122))), 'MITRE ATT&amp;CK Mappings'!$B122,"")</f>
        <v/>
      </c>
      <c r="H126" s="26" t="str">
        <f>IF(OR(OR(OR(OR(OR(ISNUMBER(SEARCH(IF(H$1&lt;&gt;"",H$1,"NA"),'MITRE ATT&amp;CK Mappings'!$E122)),ISNUMBER(SEARCH(IF(H$1&lt;&gt;"",H$1,"NA"),'MITRE ATT&amp;CK Mappings'!$F122))),ISNUMBER(SEARCH(IF(H$2&lt;&gt;"",H$2,"NA"),'MITRE ATT&amp;CK Mappings'!$G122))),ISNUMBER(SEARCH(IF(H$2&lt;&gt;"",H$2,"NA"),'MITRE ATT&amp;CK Mappings'!$H122))),ISNUMBER(SEARCH(IF(H$3&lt;&gt;"",H$3,"NA"),'MITRE ATT&amp;CK Mappings'!$I122))),ISNUMBER(SEARCH(IF(H$3&lt;&gt;"",H$3,"NA"),'MITRE ATT&amp;CK Mappings'!$J122))), 'MITRE ATT&amp;CK Mappings'!$B122,"")</f>
        <v/>
      </c>
      <c r="I126" s="26" t="str">
        <f>IF(OR(OR(OR(OR(OR(ISNUMBER(SEARCH(IF(I$1&lt;&gt;"",I$1,"NA"),'MITRE ATT&amp;CK Mappings'!$E122)),ISNUMBER(SEARCH(IF(I$1&lt;&gt;"",I$1,"NA"),'MITRE ATT&amp;CK Mappings'!$F122))),ISNUMBER(SEARCH(IF(I$2&lt;&gt;"",I$2,"NA"),'MITRE ATT&amp;CK Mappings'!$G122))),ISNUMBER(SEARCH(IF(I$2&lt;&gt;"",I$2,"NA"),'MITRE ATT&amp;CK Mappings'!$H122))),ISNUMBER(SEARCH(IF(I$3&lt;&gt;"",I$3,"NA"),'MITRE ATT&amp;CK Mappings'!$I122))),ISNUMBER(SEARCH(IF(I$3&lt;&gt;"",I$3,"NA"),'MITRE ATT&amp;CK Mappings'!$J122))), 'MITRE ATT&amp;CK Mappings'!$B122,"")</f>
        <v/>
      </c>
      <c r="J126" s="26" t="str">
        <f>IF(OR(OR(OR(OR(OR(ISNUMBER(SEARCH(IF(J$1&lt;&gt;"",J$1,"NA"),'MITRE ATT&amp;CK Mappings'!$E122)),ISNUMBER(SEARCH(IF(J$1&lt;&gt;"",J$1,"NA"),'MITRE ATT&amp;CK Mappings'!$F122))),ISNUMBER(SEARCH(IF(J$2&lt;&gt;"",J$2,"NA"),'MITRE ATT&amp;CK Mappings'!$G122))),ISNUMBER(SEARCH(IF(J$2&lt;&gt;"",J$2,"NA"),'MITRE ATT&amp;CK Mappings'!$H122))),ISNUMBER(SEARCH(IF(J$3&lt;&gt;"",J$3,"NA"),'MITRE ATT&amp;CK Mappings'!$I122))),ISNUMBER(SEARCH(IF(J$3&lt;&gt;"",J$3,"NA"),'MITRE ATT&amp;CK Mappings'!$J122))), 'MITRE ATT&amp;CK Mappings'!$B122,"")</f>
        <v/>
      </c>
      <c r="K126" s="26" t="str">
        <f>IF(OR(OR(OR(OR(OR(ISNUMBER(SEARCH(IF(K$1&lt;&gt;"",K$1,"NA"),'MITRE ATT&amp;CK Mappings'!$E122)),ISNUMBER(SEARCH(IF(K$1&lt;&gt;"",K$1,"NA"),'MITRE ATT&amp;CK Mappings'!$F122))),ISNUMBER(SEARCH(IF(K$2&lt;&gt;"",K$2,"NA"),'MITRE ATT&amp;CK Mappings'!$G122))),ISNUMBER(SEARCH(IF(K$2&lt;&gt;"",K$2,"NA"),'MITRE ATT&amp;CK Mappings'!$H122))),ISNUMBER(SEARCH(IF(K$3&lt;&gt;"",K$3,"NA"),'MITRE ATT&amp;CK Mappings'!$I122))),ISNUMBER(SEARCH(IF(K$3&lt;&gt;"",K$3,"NA"),'MITRE ATT&amp;CK Mappings'!$J122))), 'MITRE ATT&amp;CK Mappings'!$B122,"")</f>
        <v/>
      </c>
      <c r="L126" s="26" t="str">
        <f>IF('MITRE ATT&amp;CK Mappings'!D122 &lt;&gt;"",'MITRE ATT&amp;CK Mappings'!D122,"" )</f>
        <v>Ensure That Microsoft Defender for Resource Manager Is Set To 'On'</v>
      </c>
    </row>
    <row r="127" spans="1:12" x14ac:dyDescent="0.25">
      <c r="A127" s="27" t="str">
        <f>IF(COUNTIF(B127:K127,"="&amp;'MITRE ATT&amp;CK Mappings'!B123)&gt;0,'MITRE ATT&amp;CK Mappings'!B123,"")</f>
        <v/>
      </c>
      <c r="B127" s="27" t="str">
        <f>IF(OR(OR(OR(OR(OR(ISNUMBER(SEARCH(IF(B$1&lt;&gt;"",B$1,"NA"),'MITRE ATT&amp;CK Mappings'!$E123)),ISNUMBER(SEARCH(IF(B$1&lt;&gt;"",B$1,"NA"),'MITRE ATT&amp;CK Mappings'!$F123))),ISNUMBER(SEARCH(IF(B$2&lt;&gt;"",B$2,"NA"),'MITRE ATT&amp;CK Mappings'!$G123))),ISNUMBER(SEARCH(IF(B$2&lt;&gt;"",B$2,"NA"),'MITRE ATT&amp;CK Mappings'!$H123))),ISNUMBER(SEARCH(IF(B$3&lt;&gt;"",B$3,"NA"),'MITRE ATT&amp;CK Mappings'!$I123))),ISNUMBER(SEARCH(IF(B$3&lt;&gt;"",B$3,"NA"),'MITRE ATT&amp;CK Mappings'!$J123))), 'MITRE ATT&amp;CK Mappings'!$B123,"")</f>
        <v/>
      </c>
      <c r="C127" s="27" t="str">
        <f>IF(OR(OR(OR(OR(OR(ISNUMBER(SEARCH(IF(C$1&lt;&gt;"",C$1,"NA"),'MITRE ATT&amp;CK Mappings'!$E123)),ISNUMBER(SEARCH(IF(C$1&lt;&gt;"",C$1,"NA"),'MITRE ATT&amp;CK Mappings'!$F123))),ISNUMBER(SEARCH(IF(C$2&lt;&gt;"",C$2,"NA"),'MITRE ATT&amp;CK Mappings'!$G123))),ISNUMBER(SEARCH(IF(C$2&lt;&gt;"",C$2,"NA"),'MITRE ATT&amp;CK Mappings'!$H123))),ISNUMBER(SEARCH(IF(C$3&lt;&gt;"",C$3,"NA"),'MITRE ATT&amp;CK Mappings'!$I123))),ISNUMBER(SEARCH(IF(C$3&lt;&gt;"",C$3,"NA"),'MITRE ATT&amp;CK Mappings'!$J123))), 'MITRE ATT&amp;CK Mappings'!$B123,"")</f>
        <v/>
      </c>
      <c r="D127" s="27" t="str">
        <f>IF(OR(OR(OR(OR(OR(ISNUMBER(SEARCH(IF(D$1&lt;&gt;"",D$1,"NA"),'MITRE ATT&amp;CK Mappings'!$E123)),ISNUMBER(SEARCH(IF(D$1&lt;&gt;"",D$1,"NA"),'MITRE ATT&amp;CK Mappings'!$F123))),ISNUMBER(SEARCH(IF(D$2&lt;&gt;"",D$2,"NA"),'MITRE ATT&amp;CK Mappings'!$G123))),ISNUMBER(SEARCH(IF(D$2&lt;&gt;"",D$2,"NA"),'MITRE ATT&amp;CK Mappings'!$H123))),ISNUMBER(SEARCH(IF(D$3&lt;&gt;"",D$3,"NA"),'MITRE ATT&amp;CK Mappings'!$I123))),ISNUMBER(SEARCH(IF(D$3&lt;&gt;"",D$3,"NA"),'MITRE ATT&amp;CK Mappings'!$J123))), 'MITRE ATT&amp;CK Mappings'!$B123,"")</f>
        <v/>
      </c>
      <c r="E127" s="27" t="str">
        <f>IF(OR(OR(OR(OR(OR(ISNUMBER(SEARCH(IF(E$1&lt;&gt;"",E$1,"NA"),'MITRE ATT&amp;CK Mappings'!$E123)),ISNUMBER(SEARCH(IF(E$1&lt;&gt;"",E$1,"NA"),'MITRE ATT&amp;CK Mappings'!$F123))),ISNUMBER(SEARCH(IF(E$2&lt;&gt;"",E$2,"NA"),'MITRE ATT&amp;CK Mappings'!$G123))),ISNUMBER(SEARCH(IF(E$2&lt;&gt;"",E$2,"NA"),'MITRE ATT&amp;CK Mappings'!$H123))),ISNUMBER(SEARCH(IF(E$3&lt;&gt;"",E$3,"NA"),'MITRE ATT&amp;CK Mappings'!$I123))),ISNUMBER(SEARCH(IF(E$3&lt;&gt;"",E$3,"NA"),'MITRE ATT&amp;CK Mappings'!$J123))), 'MITRE ATT&amp;CK Mappings'!$B123,"")</f>
        <v/>
      </c>
      <c r="F127" s="27" t="str">
        <f>IF(OR(OR(OR(OR(OR(ISNUMBER(SEARCH(IF(F$1&lt;&gt;"",F$1,"NA"),'MITRE ATT&amp;CK Mappings'!$E123)),ISNUMBER(SEARCH(IF(F$1&lt;&gt;"",F$1,"NA"),'MITRE ATT&amp;CK Mappings'!$F123))),ISNUMBER(SEARCH(IF(F$2&lt;&gt;"",F$2,"NA"),'MITRE ATT&amp;CK Mappings'!$G123))),ISNUMBER(SEARCH(IF(F$2&lt;&gt;"",F$2,"NA"),'MITRE ATT&amp;CK Mappings'!$H123))),ISNUMBER(SEARCH(IF(F$3&lt;&gt;"",F$3,"NA"),'MITRE ATT&amp;CK Mappings'!$I123))),ISNUMBER(SEARCH(IF(F$3&lt;&gt;"",F$3,"NA"),'MITRE ATT&amp;CK Mappings'!$J123))), 'MITRE ATT&amp;CK Mappings'!$B123,"")</f>
        <v/>
      </c>
      <c r="G127" s="27" t="str">
        <f>IF(OR(OR(OR(OR(OR(ISNUMBER(SEARCH(IF(G$1&lt;&gt;"",G$1,"NA"),'MITRE ATT&amp;CK Mappings'!$E123)),ISNUMBER(SEARCH(IF(G$1&lt;&gt;"",G$1,"NA"),'MITRE ATT&amp;CK Mappings'!$F123))),ISNUMBER(SEARCH(IF(G$2&lt;&gt;"",G$2,"NA"),'MITRE ATT&amp;CK Mappings'!$G123))),ISNUMBER(SEARCH(IF(G$2&lt;&gt;"",G$2,"NA"),'MITRE ATT&amp;CK Mappings'!$H123))),ISNUMBER(SEARCH(IF(G$3&lt;&gt;"",G$3,"NA"),'MITRE ATT&amp;CK Mappings'!$I123))),ISNUMBER(SEARCH(IF(G$3&lt;&gt;"",G$3,"NA"),'MITRE ATT&amp;CK Mappings'!$J123))), 'MITRE ATT&amp;CK Mappings'!$B123,"")</f>
        <v/>
      </c>
      <c r="H127" s="27" t="str">
        <f>IF(OR(OR(OR(OR(OR(ISNUMBER(SEARCH(IF(H$1&lt;&gt;"",H$1,"NA"),'MITRE ATT&amp;CK Mappings'!$E123)),ISNUMBER(SEARCH(IF(H$1&lt;&gt;"",H$1,"NA"),'MITRE ATT&amp;CK Mappings'!$F123))),ISNUMBER(SEARCH(IF(H$2&lt;&gt;"",H$2,"NA"),'MITRE ATT&amp;CK Mappings'!$G123))),ISNUMBER(SEARCH(IF(H$2&lt;&gt;"",H$2,"NA"),'MITRE ATT&amp;CK Mappings'!$H123))),ISNUMBER(SEARCH(IF(H$3&lt;&gt;"",H$3,"NA"),'MITRE ATT&amp;CK Mappings'!$I123))),ISNUMBER(SEARCH(IF(H$3&lt;&gt;"",H$3,"NA"),'MITRE ATT&amp;CK Mappings'!$J123))), 'MITRE ATT&amp;CK Mappings'!$B123,"")</f>
        <v/>
      </c>
      <c r="I127" s="27" t="str">
        <f>IF(OR(OR(OR(OR(OR(ISNUMBER(SEARCH(IF(I$1&lt;&gt;"",I$1,"NA"),'MITRE ATT&amp;CK Mappings'!$E123)),ISNUMBER(SEARCH(IF(I$1&lt;&gt;"",I$1,"NA"),'MITRE ATT&amp;CK Mappings'!$F123))),ISNUMBER(SEARCH(IF(I$2&lt;&gt;"",I$2,"NA"),'MITRE ATT&amp;CK Mappings'!$G123))),ISNUMBER(SEARCH(IF(I$2&lt;&gt;"",I$2,"NA"),'MITRE ATT&amp;CK Mappings'!$H123))),ISNUMBER(SEARCH(IF(I$3&lt;&gt;"",I$3,"NA"),'MITRE ATT&amp;CK Mappings'!$I123))),ISNUMBER(SEARCH(IF(I$3&lt;&gt;"",I$3,"NA"),'MITRE ATT&amp;CK Mappings'!$J123))), 'MITRE ATT&amp;CK Mappings'!$B123,"")</f>
        <v/>
      </c>
      <c r="J127" s="27" t="str">
        <f>IF(OR(OR(OR(OR(OR(ISNUMBER(SEARCH(IF(J$1&lt;&gt;"",J$1,"NA"),'MITRE ATT&amp;CK Mappings'!$E123)),ISNUMBER(SEARCH(IF(J$1&lt;&gt;"",J$1,"NA"),'MITRE ATT&amp;CK Mappings'!$F123))),ISNUMBER(SEARCH(IF(J$2&lt;&gt;"",J$2,"NA"),'MITRE ATT&amp;CK Mappings'!$G123))),ISNUMBER(SEARCH(IF(J$2&lt;&gt;"",J$2,"NA"),'MITRE ATT&amp;CK Mappings'!$H123))),ISNUMBER(SEARCH(IF(J$3&lt;&gt;"",J$3,"NA"),'MITRE ATT&amp;CK Mappings'!$I123))),ISNUMBER(SEARCH(IF(J$3&lt;&gt;"",J$3,"NA"),'MITRE ATT&amp;CK Mappings'!$J123))), 'MITRE ATT&amp;CK Mappings'!$B123,"")</f>
        <v/>
      </c>
      <c r="K127" s="27" t="str">
        <f>IF(OR(OR(OR(OR(OR(ISNUMBER(SEARCH(IF(K$1&lt;&gt;"",K$1,"NA"),'MITRE ATT&amp;CK Mappings'!$E123)),ISNUMBER(SEARCH(IF(K$1&lt;&gt;"",K$1,"NA"),'MITRE ATT&amp;CK Mappings'!$F123))),ISNUMBER(SEARCH(IF(K$2&lt;&gt;"",K$2,"NA"),'MITRE ATT&amp;CK Mappings'!$G123))),ISNUMBER(SEARCH(IF(K$2&lt;&gt;"",K$2,"NA"),'MITRE ATT&amp;CK Mappings'!$H123))),ISNUMBER(SEARCH(IF(K$3&lt;&gt;"",K$3,"NA"),'MITRE ATT&amp;CK Mappings'!$I123))),ISNUMBER(SEARCH(IF(K$3&lt;&gt;"",K$3,"NA"),'MITRE ATT&amp;CK Mappings'!$J123))), 'MITRE ATT&amp;CK Mappings'!$B123,"")</f>
        <v/>
      </c>
      <c r="L127" s="27" t="str">
        <f>IF('MITRE ATT&amp;CK Mappings'!D123 &lt;&gt;"",'MITRE ATT&amp;CK Mappings'!D123,"" )</f>
        <v>Ensure That Microsoft Defender for IoT Hub Is Set To 'On'</v>
      </c>
    </row>
    <row r="128" spans="1:12" x14ac:dyDescent="0.25">
      <c r="A128" s="26" t="str">
        <f>IF(COUNTIF(B128:K128,"="&amp;'MITRE ATT&amp;CK Mappings'!B124)&gt;0,'MITRE ATT&amp;CK Mappings'!B124,"")</f>
        <v/>
      </c>
      <c r="B128" s="26" t="str">
        <f>IF(OR(OR(OR(OR(OR(ISNUMBER(SEARCH(IF(B$1&lt;&gt;"",B$1,"NA"),'MITRE ATT&amp;CK Mappings'!$E124)),ISNUMBER(SEARCH(IF(B$1&lt;&gt;"",B$1,"NA"),'MITRE ATT&amp;CK Mappings'!$F124))),ISNUMBER(SEARCH(IF(B$2&lt;&gt;"",B$2,"NA"),'MITRE ATT&amp;CK Mappings'!$G124))),ISNUMBER(SEARCH(IF(B$2&lt;&gt;"",B$2,"NA"),'MITRE ATT&amp;CK Mappings'!$H124))),ISNUMBER(SEARCH(IF(B$3&lt;&gt;"",B$3,"NA"),'MITRE ATT&amp;CK Mappings'!$I124))),ISNUMBER(SEARCH(IF(B$3&lt;&gt;"",B$3,"NA"),'MITRE ATT&amp;CK Mappings'!$J124))), 'MITRE ATT&amp;CK Mappings'!$B124,"")</f>
        <v/>
      </c>
      <c r="C128" s="26" t="str">
        <f>IF(OR(OR(OR(OR(OR(ISNUMBER(SEARCH(IF(C$1&lt;&gt;"",C$1,"NA"),'MITRE ATT&amp;CK Mappings'!$E124)),ISNUMBER(SEARCH(IF(C$1&lt;&gt;"",C$1,"NA"),'MITRE ATT&amp;CK Mappings'!$F124))),ISNUMBER(SEARCH(IF(C$2&lt;&gt;"",C$2,"NA"),'MITRE ATT&amp;CK Mappings'!$G124))),ISNUMBER(SEARCH(IF(C$2&lt;&gt;"",C$2,"NA"),'MITRE ATT&amp;CK Mappings'!$H124))),ISNUMBER(SEARCH(IF(C$3&lt;&gt;"",C$3,"NA"),'MITRE ATT&amp;CK Mappings'!$I124))),ISNUMBER(SEARCH(IF(C$3&lt;&gt;"",C$3,"NA"),'MITRE ATT&amp;CK Mappings'!$J124))), 'MITRE ATT&amp;CK Mappings'!$B124,"")</f>
        <v/>
      </c>
      <c r="D128" s="26" t="str">
        <f>IF(OR(OR(OR(OR(OR(ISNUMBER(SEARCH(IF(D$1&lt;&gt;"",D$1,"NA"),'MITRE ATT&amp;CK Mappings'!$E124)),ISNUMBER(SEARCH(IF(D$1&lt;&gt;"",D$1,"NA"),'MITRE ATT&amp;CK Mappings'!$F124))),ISNUMBER(SEARCH(IF(D$2&lt;&gt;"",D$2,"NA"),'MITRE ATT&amp;CK Mappings'!$G124))),ISNUMBER(SEARCH(IF(D$2&lt;&gt;"",D$2,"NA"),'MITRE ATT&amp;CK Mappings'!$H124))),ISNUMBER(SEARCH(IF(D$3&lt;&gt;"",D$3,"NA"),'MITRE ATT&amp;CK Mappings'!$I124))),ISNUMBER(SEARCH(IF(D$3&lt;&gt;"",D$3,"NA"),'MITRE ATT&amp;CK Mappings'!$J124))), 'MITRE ATT&amp;CK Mappings'!$B124,"")</f>
        <v/>
      </c>
      <c r="E128" s="26" t="str">
        <f>IF(OR(OR(OR(OR(OR(ISNUMBER(SEARCH(IF(E$1&lt;&gt;"",E$1,"NA"),'MITRE ATT&amp;CK Mappings'!$E124)),ISNUMBER(SEARCH(IF(E$1&lt;&gt;"",E$1,"NA"),'MITRE ATT&amp;CK Mappings'!$F124))),ISNUMBER(SEARCH(IF(E$2&lt;&gt;"",E$2,"NA"),'MITRE ATT&amp;CK Mappings'!$G124))),ISNUMBER(SEARCH(IF(E$2&lt;&gt;"",E$2,"NA"),'MITRE ATT&amp;CK Mappings'!$H124))),ISNUMBER(SEARCH(IF(E$3&lt;&gt;"",E$3,"NA"),'MITRE ATT&amp;CK Mappings'!$I124))),ISNUMBER(SEARCH(IF(E$3&lt;&gt;"",E$3,"NA"),'MITRE ATT&amp;CK Mappings'!$J124))), 'MITRE ATT&amp;CK Mappings'!$B124,"")</f>
        <v/>
      </c>
      <c r="F128" s="26" t="str">
        <f>IF(OR(OR(OR(OR(OR(ISNUMBER(SEARCH(IF(F$1&lt;&gt;"",F$1,"NA"),'MITRE ATT&amp;CK Mappings'!$E124)),ISNUMBER(SEARCH(IF(F$1&lt;&gt;"",F$1,"NA"),'MITRE ATT&amp;CK Mappings'!$F124))),ISNUMBER(SEARCH(IF(F$2&lt;&gt;"",F$2,"NA"),'MITRE ATT&amp;CK Mappings'!$G124))),ISNUMBER(SEARCH(IF(F$2&lt;&gt;"",F$2,"NA"),'MITRE ATT&amp;CK Mappings'!$H124))),ISNUMBER(SEARCH(IF(F$3&lt;&gt;"",F$3,"NA"),'MITRE ATT&amp;CK Mappings'!$I124))),ISNUMBER(SEARCH(IF(F$3&lt;&gt;"",F$3,"NA"),'MITRE ATT&amp;CK Mappings'!$J124))), 'MITRE ATT&amp;CK Mappings'!$B124,"")</f>
        <v/>
      </c>
      <c r="G128" s="26" t="str">
        <f>IF(OR(OR(OR(OR(OR(ISNUMBER(SEARCH(IF(G$1&lt;&gt;"",G$1,"NA"),'MITRE ATT&amp;CK Mappings'!$E124)),ISNUMBER(SEARCH(IF(G$1&lt;&gt;"",G$1,"NA"),'MITRE ATT&amp;CK Mappings'!$F124))),ISNUMBER(SEARCH(IF(G$2&lt;&gt;"",G$2,"NA"),'MITRE ATT&amp;CK Mappings'!$G124))),ISNUMBER(SEARCH(IF(G$2&lt;&gt;"",G$2,"NA"),'MITRE ATT&amp;CK Mappings'!$H124))),ISNUMBER(SEARCH(IF(G$3&lt;&gt;"",G$3,"NA"),'MITRE ATT&amp;CK Mappings'!$I124))),ISNUMBER(SEARCH(IF(G$3&lt;&gt;"",G$3,"NA"),'MITRE ATT&amp;CK Mappings'!$J124))), 'MITRE ATT&amp;CK Mappings'!$B124,"")</f>
        <v/>
      </c>
      <c r="H128" s="26" t="str">
        <f>IF(OR(OR(OR(OR(OR(ISNUMBER(SEARCH(IF(H$1&lt;&gt;"",H$1,"NA"),'MITRE ATT&amp;CK Mappings'!$E124)),ISNUMBER(SEARCH(IF(H$1&lt;&gt;"",H$1,"NA"),'MITRE ATT&amp;CK Mappings'!$F124))),ISNUMBER(SEARCH(IF(H$2&lt;&gt;"",H$2,"NA"),'MITRE ATT&amp;CK Mappings'!$G124))),ISNUMBER(SEARCH(IF(H$2&lt;&gt;"",H$2,"NA"),'MITRE ATT&amp;CK Mappings'!$H124))),ISNUMBER(SEARCH(IF(H$3&lt;&gt;"",H$3,"NA"),'MITRE ATT&amp;CK Mappings'!$I124))),ISNUMBER(SEARCH(IF(H$3&lt;&gt;"",H$3,"NA"),'MITRE ATT&amp;CK Mappings'!$J124))), 'MITRE ATT&amp;CK Mappings'!$B124,"")</f>
        <v/>
      </c>
      <c r="I128" s="26" t="str">
        <f>IF(OR(OR(OR(OR(OR(ISNUMBER(SEARCH(IF(I$1&lt;&gt;"",I$1,"NA"),'MITRE ATT&amp;CK Mappings'!$E124)),ISNUMBER(SEARCH(IF(I$1&lt;&gt;"",I$1,"NA"),'MITRE ATT&amp;CK Mappings'!$F124))),ISNUMBER(SEARCH(IF(I$2&lt;&gt;"",I$2,"NA"),'MITRE ATT&amp;CK Mappings'!$G124))),ISNUMBER(SEARCH(IF(I$2&lt;&gt;"",I$2,"NA"),'MITRE ATT&amp;CK Mappings'!$H124))),ISNUMBER(SEARCH(IF(I$3&lt;&gt;"",I$3,"NA"),'MITRE ATT&amp;CK Mappings'!$I124))),ISNUMBER(SEARCH(IF(I$3&lt;&gt;"",I$3,"NA"),'MITRE ATT&amp;CK Mappings'!$J124))), 'MITRE ATT&amp;CK Mappings'!$B124,"")</f>
        <v/>
      </c>
      <c r="J128" s="26" t="str">
        <f>IF(OR(OR(OR(OR(OR(ISNUMBER(SEARCH(IF(J$1&lt;&gt;"",J$1,"NA"),'MITRE ATT&amp;CK Mappings'!$E124)),ISNUMBER(SEARCH(IF(J$1&lt;&gt;"",J$1,"NA"),'MITRE ATT&amp;CK Mappings'!$F124))),ISNUMBER(SEARCH(IF(J$2&lt;&gt;"",J$2,"NA"),'MITRE ATT&amp;CK Mappings'!$G124))),ISNUMBER(SEARCH(IF(J$2&lt;&gt;"",J$2,"NA"),'MITRE ATT&amp;CK Mappings'!$H124))),ISNUMBER(SEARCH(IF(J$3&lt;&gt;"",J$3,"NA"),'MITRE ATT&amp;CK Mappings'!$I124))),ISNUMBER(SEARCH(IF(J$3&lt;&gt;"",J$3,"NA"),'MITRE ATT&amp;CK Mappings'!$J124))), 'MITRE ATT&amp;CK Mappings'!$B124,"")</f>
        <v/>
      </c>
      <c r="K128" s="26" t="str">
        <f>IF(OR(OR(OR(OR(OR(ISNUMBER(SEARCH(IF(K$1&lt;&gt;"",K$1,"NA"),'MITRE ATT&amp;CK Mappings'!$E124)),ISNUMBER(SEARCH(IF(K$1&lt;&gt;"",K$1,"NA"),'MITRE ATT&amp;CK Mappings'!$F124))),ISNUMBER(SEARCH(IF(K$2&lt;&gt;"",K$2,"NA"),'MITRE ATT&amp;CK Mappings'!$G124))),ISNUMBER(SEARCH(IF(K$2&lt;&gt;"",K$2,"NA"),'MITRE ATT&amp;CK Mappings'!$H124))),ISNUMBER(SEARCH(IF(K$3&lt;&gt;"",K$3,"NA"),'MITRE ATT&amp;CK Mappings'!$I124))),ISNUMBER(SEARCH(IF(K$3&lt;&gt;"",K$3,"NA"),'MITRE ATT&amp;CK Mappings'!$J124))), 'MITRE ATT&amp;CK Mappings'!$B124,"")</f>
        <v/>
      </c>
      <c r="L128" s="26" t="str">
        <f>IF('MITRE ATT&amp;CK Mappings'!D124 &lt;&gt;"",'MITRE ATT&amp;CK Mappings'!D124,"" )</f>
        <v>Ensure that the Expiration Date is set for all Keys in RBAC Key Vaults</v>
      </c>
    </row>
    <row r="129" spans="1:12" x14ac:dyDescent="0.25">
      <c r="A129" s="27" t="str">
        <f>IF(COUNTIF(B129:K129,"="&amp;'MITRE ATT&amp;CK Mappings'!B125)&gt;0,'MITRE ATT&amp;CK Mappings'!B125,"")</f>
        <v/>
      </c>
      <c r="B129" s="27" t="str">
        <f>IF(OR(OR(OR(OR(OR(ISNUMBER(SEARCH(IF(B$1&lt;&gt;"",B$1,"NA"),'MITRE ATT&amp;CK Mappings'!$E125)),ISNUMBER(SEARCH(IF(B$1&lt;&gt;"",B$1,"NA"),'MITRE ATT&amp;CK Mappings'!$F125))),ISNUMBER(SEARCH(IF(B$2&lt;&gt;"",B$2,"NA"),'MITRE ATT&amp;CK Mappings'!$G125))),ISNUMBER(SEARCH(IF(B$2&lt;&gt;"",B$2,"NA"),'MITRE ATT&amp;CK Mappings'!$H125))),ISNUMBER(SEARCH(IF(B$3&lt;&gt;"",B$3,"NA"),'MITRE ATT&amp;CK Mappings'!$I125))),ISNUMBER(SEARCH(IF(B$3&lt;&gt;"",B$3,"NA"),'MITRE ATT&amp;CK Mappings'!$J125))), 'MITRE ATT&amp;CK Mappings'!$B125,"")</f>
        <v/>
      </c>
      <c r="C129" s="27" t="str">
        <f>IF(OR(OR(OR(OR(OR(ISNUMBER(SEARCH(IF(C$1&lt;&gt;"",C$1,"NA"),'MITRE ATT&amp;CK Mappings'!$E125)),ISNUMBER(SEARCH(IF(C$1&lt;&gt;"",C$1,"NA"),'MITRE ATT&amp;CK Mappings'!$F125))),ISNUMBER(SEARCH(IF(C$2&lt;&gt;"",C$2,"NA"),'MITRE ATT&amp;CK Mappings'!$G125))),ISNUMBER(SEARCH(IF(C$2&lt;&gt;"",C$2,"NA"),'MITRE ATT&amp;CK Mappings'!$H125))),ISNUMBER(SEARCH(IF(C$3&lt;&gt;"",C$3,"NA"),'MITRE ATT&amp;CK Mappings'!$I125))),ISNUMBER(SEARCH(IF(C$3&lt;&gt;"",C$3,"NA"),'MITRE ATT&amp;CK Mappings'!$J125))), 'MITRE ATT&amp;CK Mappings'!$B125,"")</f>
        <v/>
      </c>
      <c r="D129" s="27" t="str">
        <f>IF(OR(OR(OR(OR(OR(ISNUMBER(SEARCH(IF(D$1&lt;&gt;"",D$1,"NA"),'MITRE ATT&amp;CK Mappings'!$E125)),ISNUMBER(SEARCH(IF(D$1&lt;&gt;"",D$1,"NA"),'MITRE ATT&amp;CK Mappings'!$F125))),ISNUMBER(SEARCH(IF(D$2&lt;&gt;"",D$2,"NA"),'MITRE ATT&amp;CK Mappings'!$G125))),ISNUMBER(SEARCH(IF(D$2&lt;&gt;"",D$2,"NA"),'MITRE ATT&amp;CK Mappings'!$H125))),ISNUMBER(SEARCH(IF(D$3&lt;&gt;"",D$3,"NA"),'MITRE ATT&amp;CK Mappings'!$I125))),ISNUMBER(SEARCH(IF(D$3&lt;&gt;"",D$3,"NA"),'MITRE ATT&amp;CK Mappings'!$J125))), 'MITRE ATT&amp;CK Mappings'!$B125,"")</f>
        <v/>
      </c>
      <c r="E129" s="27" t="str">
        <f>IF(OR(OR(OR(OR(OR(ISNUMBER(SEARCH(IF(E$1&lt;&gt;"",E$1,"NA"),'MITRE ATT&amp;CK Mappings'!$E125)),ISNUMBER(SEARCH(IF(E$1&lt;&gt;"",E$1,"NA"),'MITRE ATT&amp;CK Mappings'!$F125))),ISNUMBER(SEARCH(IF(E$2&lt;&gt;"",E$2,"NA"),'MITRE ATT&amp;CK Mappings'!$G125))),ISNUMBER(SEARCH(IF(E$2&lt;&gt;"",E$2,"NA"),'MITRE ATT&amp;CK Mappings'!$H125))),ISNUMBER(SEARCH(IF(E$3&lt;&gt;"",E$3,"NA"),'MITRE ATT&amp;CK Mappings'!$I125))),ISNUMBER(SEARCH(IF(E$3&lt;&gt;"",E$3,"NA"),'MITRE ATT&amp;CK Mappings'!$J125))), 'MITRE ATT&amp;CK Mappings'!$B125,"")</f>
        <v/>
      </c>
      <c r="F129" s="27" t="str">
        <f>IF(OR(OR(OR(OR(OR(ISNUMBER(SEARCH(IF(F$1&lt;&gt;"",F$1,"NA"),'MITRE ATT&amp;CK Mappings'!$E125)),ISNUMBER(SEARCH(IF(F$1&lt;&gt;"",F$1,"NA"),'MITRE ATT&amp;CK Mappings'!$F125))),ISNUMBER(SEARCH(IF(F$2&lt;&gt;"",F$2,"NA"),'MITRE ATT&amp;CK Mappings'!$G125))),ISNUMBER(SEARCH(IF(F$2&lt;&gt;"",F$2,"NA"),'MITRE ATT&amp;CK Mappings'!$H125))),ISNUMBER(SEARCH(IF(F$3&lt;&gt;"",F$3,"NA"),'MITRE ATT&amp;CK Mappings'!$I125))),ISNUMBER(SEARCH(IF(F$3&lt;&gt;"",F$3,"NA"),'MITRE ATT&amp;CK Mappings'!$J125))), 'MITRE ATT&amp;CK Mappings'!$B125,"")</f>
        <v/>
      </c>
      <c r="G129" s="27" t="str">
        <f>IF(OR(OR(OR(OR(OR(ISNUMBER(SEARCH(IF(G$1&lt;&gt;"",G$1,"NA"),'MITRE ATT&amp;CK Mappings'!$E125)),ISNUMBER(SEARCH(IF(G$1&lt;&gt;"",G$1,"NA"),'MITRE ATT&amp;CK Mappings'!$F125))),ISNUMBER(SEARCH(IF(G$2&lt;&gt;"",G$2,"NA"),'MITRE ATT&amp;CK Mappings'!$G125))),ISNUMBER(SEARCH(IF(G$2&lt;&gt;"",G$2,"NA"),'MITRE ATT&amp;CK Mappings'!$H125))),ISNUMBER(SEARCH(IF(G$3&lt;&gt;"",G$3,"NA"),'MITRE ATT&amp;CK Mappings'!$I125))),ISNUMBER(SEARCH(IF(G$3&lt;&gt;"",G$3,"NA"),'MITRE ATT&amp;CK Mappings'!$J125))), 'MITRE ATT&amp;CK Mappings'!$B125,"")</f>
        <v/>
      </c>
      <c r="H129" s="27" t="str">
        <f>IF(OR(OR(OR(OR(OR(ISNUMBER(SEARCH(IF(H$1&lt;&gt;"",H$1,"NA"),'MITRE ATT&amp;CK Mappings'!$E125)),ISNUMBER(SEARCH(IF(H$1&lt;&gt;"",H$1,"NA"),'MITRE ATT&amp;CK Mappings'!$F125))),ISNUMBER(SEARCH(IF(H$2&lt;&gt;"",H$2,"NA"),'MITRE ATT&amp;CK Mappings'!$G125))),ISNUMBER(SEARCH(IF(H$2&lt;&gt;"",H$2,"NA"),'MITRE ATT&amp;CK Mappings'!$H125))),ISNUMBER(SEARCH(IF(H$3&lt;&gt;"",H$3,"NA"),'MITRE ATT&amp;CK Mappings'!$I125))),ISNUMBER(SEARCH(IF(H$3&lt;&gt;"",H$3,"NA"),'MITRE ATT&amp;CK Mappings'!$J125))), 'MITRE ATT&amp;CK Mappings'!$B125,"")</f>
        <v/>
      </c>
      <c r="I129" s="27" t="str">
        <f>IF(OR(OR(OR(OR(OR(ISNUMBER(SEARCH(IF(I$1&lt;&gt;"",I$1,"NA"),'MITRE ATT&amp;CK Mappings'!$E125)),ISNUMBER(SEARCH(IF(I$1&lt;&gt;"",I$1,"NA"),'MITRE ATT&amp;CK Mappings'!$F125))),ISNUMBER(SEARCH(IF(I$2&lt;&gt;"",I$2,"NA"),'MITRE ATT&amp;CK Mappings'!$G125))),ISNUMBER(SEARCH(IF(I$2&lt;&gt;"",I$2,"NA"),'MITRE ATT&amp;CK Mappings'!$H125))),ISNUMBER(SEARCH(IF(I$3&lt;&gt;"",I$3,"NA"),'MITRE ATT&amp;CK Mappings'!$I125))),ISNUMBER(SEARCH(IF(I$3&lt;&gt;"",I$3,"NA"),'MITRE ATT&amp;CK Mappings'!$J125))), 'MITRE ATT&amp;CK Mappings'!$B125,"")</f>
        <v/>
      </c>
      <c r="J129" s="27" t="str">
        <f>IF(OR(OR(OR(OR(OR(ISNUMBER(SEARCH(IF(J$1&lt;&gt;"",J$1,"NA"),'MITRE ATT&amp;CK Mappings'!$E125)),ISNUMBER(SEARCH(IF(J$1&lt;&gt;"",J$1,"NA"),'MITRE ATT&amp;CK Mappings'!$F125))),ISNUMBER(SEARCH(IF(J$2&lt;&gt;"",J$2,"NA"),'MITRE ATT&amp;CK Mappings'!$G125))),ISNUMBER(SEARCH(IF(J$2&lt;&gt;"",J$2,"NA"),'MITRE ATT&amp;CK Mappings'!$H125))),ISNUMBER(SEARCH(IF(J$3&lt;&gt;"",J$3,"NA"),'MITRE ATT&amp;CK Mappings'!$I125))),ISNUMBER(SEARCH(IF(J$3&lt;&gt;"",J$3,"NA"),'MITRE ATT&amp;CK Mappings'!$J125))), 'MITRE ATT&amp;CK Mappings'!$B125,"")</f>
        <v/>
      </c>
      <c r="K129" s="27" t="str">
        <f>IF(OR(OR(OR(OR(OR(ISNUMBER(SEARCH(IF(K$1&lt;&gt;"",K$1,"NA"),'MITRE ATT&amp;CK Mappings'!$E125)),ISNUMBER(SEARCH(IF(K$1&lt;&gt;"",K$1,"NA"),'MITRE ATT&amp;CK Mappings'!$F125))),ISNUMBER(SEARCH(IF(K$2&lt;&gt;"",K$2,"NA"),'MITRE ATT&amp;CK Mappings'!$G125))),ISNUMBER(SEARCH(IF(K$2&lt;&gt;"",K$2,"NA"),'MITRE ATT&amp;CK Mappings'!$H125))),ISNUMBER(SEARCH(IF(K$3&lt;&gt;"",K$3,"NA"),'MITRE ATT&amp;CK Mappings'!$I125))),ISNUMBER(SEARCH(IF(K$3&lt;&gt;"",K$3,"NA"),'MITRE ATT&amp;CK Mappings'!$J125))), 'MITRE ATT&amp;CK Mappings'!$B125,"")</f>
        <v/>
      </c>
      <c r="L129" s="27" t="str">
        <f>IF('MITRE ATT&amp;CK Mappings'!D125 &lt;&gt;"",'MITRE ATT&amp;CK Mappings'!D125,"" )</f>
        <v>Ensure that the Expiration Date is set for all Keys in Non-RBAC Key Vaults.</v>
      </c>
    </row>
    <row r="130" spans="1:12" x14ac:dyDescent="0.25">
      <c r="A130" s="26" t="str">
        <f>IF(COUNTIF(B130:K130,"="&amp;'MITRE ATT&amp;CK Mappings'!B126)&gt;0,'MITRE ATT&amp;CK Mappings'!B126,"")</f>
        <v/>
      </c>
      <c r="B130" s="26" t="str">
        <f>IF(OR(OR(OR(OR(OR(ISNUMBER(SEARCH(IF(B$1&lt;&gt;"",B$1,"NA"),'MITRE ATT&amp;CK Mappings'!$E126)),ISNUMBER(SEARCH(IF(B$1&lt;&gt;"",B$1,"NA"),'MITRE ATT&amp;CK Mappings'!$F126))),ISNUMBER(SEARCH(IF(B$2&lt;&gt;"",B$2,"NA"),'MITRE ATT&amp;CK Mappings'!$G126))),ISNUMBER(SEARCH(IF(B$2&lt;&gt;"",B$2,"NA"),'MITRE ATT&amp;CK Mappings'!$H126))),ISNUMBER(SEARCH(IF(B$3&lt;&gt;"",B$3,"NA"),'MITRE ATT&amp;CK Mappings'!$I126))),ISNUMBER(SEARCH(IF(B$3&lt;&gt;"",B$3,"NA"),'MITRE ATT&amp;CK Mappings'!$J126))), 'MITRE ATT&amp;CK Mappings'!$B126,"")</f>
        <v/>
      </c>
      <c r="C130" s="26" t="str">
        <f>IF(OR(OR(OR(OR(OR(ISNUMBER(SEARCH(IF(C$1&lt;&gt;"",C$1,"NA"),'MITRE ATT&amp;CK Mappings'!$E126)),ISNUMBER(SEARCH(IF(C$1&lt;&gt;"",C$1,"NA"),'MITRE ATT&amp;CK Mappings'!$F126))),ISNUMBER(SEARCH(IF(C$2&lt;&gt;"",C$2,"NA"),'MITRE ATT&amp;CK Mappings'!$G126))),ISNUMBER(SEARCH(IF(C$2&lt;&gt;"",C$2,"NA"),'MITRE ATT&amp;CK Mappings'!$H126))),ISNUMBER(SEARCH(IF(C$3&lt;&gt;"",C$3,"NA"),'MITRE ATT&amp;CK Mappings'!$I126))),ISNUMBER(SEARCH(IF(C$3&lt;&gt;"",C$3,"NA"),'MITRE ATT&amp;CK Mappings'!$J126))), 'MITRE ATT&amp;CK Mappings'!$B126,"")</f>
        <v/>
      </c>
      <c r="D130" s="26" t="str">
        <f>IF(OR(OR(OR(OR(OR(ISNUMBER(SEARCH(IF(D$1&lt;&gt;"",D$1,"NA"),'MITRE ATT&amp;CK Mappings'!$E126)),ISNUMBER(SEARCH(IF(D$1&lt;&gt;"",D$1,"NA"),'MITRE ATT&amp;CK Mappings'!$F126))),ISNUMBER(SEARCH(IF(D$2&lt;&gt;"",D$2,"NA"),'MITRE ATT&amp;CK Mappings'!$G126))),ISNUMBER(SEARCH(IF(D$2&lt;&gt;"",D$2,"NA"),'MITRE ATT&amp;CK Mappings'!$H126))),ISNUMBER(SEARCH(IF(D$3&lt;&gt;"",D$3,"NA"),'MITRE ATT&amp;CK Mappings'!$I126))),ISNUMBER(SEARCH(IF(D$3&lt;&gt;"",D$3,"NA"),'MITRE ATT&amp;CK Mappings'!$J126))), 'MITRE ATT&amp;CK Mappings'!$B126,"")</f>
        <v/>
      </c>
      <c r="E130" s="26" t="str">
        <f>IF(OR(OR(OR(OR(OR(ISNUMBER(SEARCH(IF(E$1&lt;&gt;"",E$1,"NA"),'MITRE ATT&amp;CK Mappings'!$E126)),ISNUMBER(SEARCH(IF(E$1&lt;&gt;"",E$1,"NA"),'MITRE ATT&amp;CK Mappings'!$F126))),ISNUMBER(SEARCH(IF(E$2&lt;&gt;"",E$2,"NA"),'MITRE ATT&amp;CK Mappings'!$G126))),ISNUMBER(SEARCH(IF(E$2&lt;&gt;"",E$2,"NA"),'MITRE ATT&amp;CK Mappings'!$H126))),ISNUMBER(SEARCH(IF(E$3&lt;&gt;"",E$3,"NA"),'MITRE ATT&amp;CK Mappings'!$I126))),ISNUMBER(SEARCH(IF(E$3&lt;&gt;"",E$3,"NA"),'MITRE ATT&amp;CK Mappings'!$J126))), 'MITRE ATT&amp;CK Mappings'!$B126,"")</f>
        <v/>
      </c>
      <c r="F130" s="26" t="str">
        <f>IF(OR(OR(OR(OR(OR(ISNUMBER(SEARCH(IF(F$1&lt;&gt;"",F$1,"NA"),'MITRE ATT&amp;CK Mappings'!$E126)),ISNUMBER(SEARCH(IF(F$1&lt;&gt;"",F$1,"NA"),'MITRE ATT&amp;CK Mappings'!$F126))),ISNUMBER(SEARCH(IF(F$2&lt;&gt;"",F$2,"NA"),'MITRE ATT&amp;CK Mappings'!$G126))),ISNUMBER(SEARCH(IF(F$2&lt;&gt;"",F$2,"NA"),'MITRE ATT&amp;CK Mappings'!$H126))),ISNUMBER(SEARCH(IF(F$3&lt;&gt;"",F$3,"NA"),'MITRE ATT&amp;CK Mappings'!$I126))),ISNUMBER(SEARCH(IF(F$3&lt;&gt;"",F$3,"NA"),'MITRE ATT&amp;CK Mappings'!$J126))), 'MITRE ATT&amp;CK Mappings'!$B126,"")</f>
        <v/>
      </c>
      <c r="G130" s="26" t="str">
        <f>IF(OR(OR(OR(OR(OR(ISNUMBER(SEARCH(IF(G$1&lt;&gt;"",G$1,"NA"),'MITRE ATT&amp;CK Mappings'!$E126)),ISNUMBER(SEARCH(IF(G$1&lt;&gt;"",G$1,"NA"),'MITRE ATT&amp;CK Mappings'!$F126))),ISNUMBER(SEARCH(IF(G$2&lt;&gt;"",G$2,"NA"),'MITRE ATT&amp;CK Mappings'!$G126))),ISNUMBER(SEARCH(IF(G$2&lt;&gt;"",G$2,"NA"),'MITRE ATT&amp;CK Mappings'!$H126))),ISNUMBER(SEARCH(IF(G$3&lt;&gt;"",G$3,"NA"),'MITRE ATT&amp;CK Mappings'!$I126))),ISNUMBER(SEARCH(IF(G$3&lt;&gt;"",G$3,"NA"),'MITRE ATT&amp;CK Mappings'!$J126))), 'MITRE ATT&amp;CK Mappings'!$B126,"")</f>
        <v/>
      </c>
      <c r="H130" s="26" t="str">
        <f>IF(OR(OR(OR(OR(OR(ISNUMBER(SEARCH(IF(H$1&lt;&gt;"",H$1,"NA"),'MITRE ATT&amp;CK Mappings'!$E126)),ISNUMBER(SEARCH(IF(H$1&lt;&gt;"",H$1,"NA"),'MITRE ATT&amp;CK Mappings'!$F126))),ISNUMBER(SEARCH(IF(H$2&lt;&gt;"",H$2,"NA"),'MITRE ATT&amp;CK Mappings'!$G126))),ISNUMBER(SEARCH(IF(H$2&lt;&gt;"",H$2,"NA"),'MITRE ATT&amp;CK Mappings'!$H126))),ISNUMBER(SEARCH(IF(H$3&lt;&gt;"",H$3,"NA"),'MITRE ATT&amp;CK Mappings'!$I126))),ISNUMBER(SEARCH(IF(H$3&lt;&gt;"",H$3,"NA"),'MITRE ATT&amp;CK Mappings'!$J126))), 'MITRE ATT&amp;CK Mappings'!$B126,"")</f>
        <v/>
      </c>
      <c r="I130" s="26" t="str">
        <f>IF(OR(OR(OR(OR(OR(ISNUMBER(SEARCH(IF(I$1&lt;&gt;"",I$1,"NA"),'MITRE ATT&amp;CK Mappings'!$E126)),ISNUMBER(SEARCH(IF(I$1&lt;&gt;"",I$1,"NA"),'MITRE ATT&amp;CK Mappings'!$F126))),ISNUMBER(SEARCH(IF(I$2&lt;&gt;"",I$2,"NA"),'MITRE ATT&amp;CK Mappings'!$G126))),ISNUMBER(SEARCH(IF(I$2&lt;&gt;"",I$2,"NA"),'MITRE ATT&amp;CK Mappings'!$H126))),ISNUMBER(SEARCH(IF(I$3&lt;&gt;"",I$3,"NA"),'MITRE ATT&amp;CK Mappings'!$I126))),ISNUMBER(SEARCH(IF(I$3&lt;&gt;"",I$3,"NA"),'MITRE ATT&amp;CK Mappings'!$J126))), 'MITRE ATT&amp;CK Mappings'!$B126,"")</f>
        <v/>
      </c>
      <c r="J130" s="26" t="str">
        <f>IF(OR(OR(OR(OR(OR(ISNUMBER(SEARCH(IF(J$1&lt;&gt;"",J$1,"NA"),'MITRE ATT&amp;CK Mappings'!$E126)),ISNUMBER(SEARCH(IF(J$1&lt;&gt;"",J$1,"NA"),'MITRE ATT&amp;CK Mappings'!$F126))),ISNUMBER(SEARCH(IF(J$2&lt;&gt;"",J$2,"NA"),'MITRE ATT&amp;CK Mappings'!$G126))),ISNUMBER(SEARCH(IF(J$2&lt;&gt;"",J$2,"NA"),'MITRE ATT&amp;CK Mappings'!$H126))),ISNUMBER(SEARCH(IF(J$3&lt;&gt;"",J$3,"NA"),'MITRE ATT&amp;CK Mappings'!$I126))),ISNUMBER(SEARCH(IF(J$3&lt;&gt;"",J$3,"NA"),'MITRE ATT&amp;CK Mappings'!$J126))), 'MITRE ATT&amp;CK Mappings'!$B126,"")</f>
        <v/>
      </c>
      <c r="K130" s="26" t="str">
        <f>IF(OR(OR(OR(OR(OR(ISNUMBER(SEARCH(IF(K$1&lt;&gt;"",K$1,"NA"),'MITRE ATT&amp;CK Mappings'!$E126)),ISNUMBER(SEARCH(IF(K$1&lt;&gt;"",K$1,"NA"),'MITRE ATT&amp;CK Mappings'!$F126))),ISNUMBER(SEARCH(IF(K$2&lt;&gt;"",K$2,"NA"),'MITRE ATT&amp;CK Mappings'!$G126))),ISNUMBER(SEARCH(IF(K$2&lt;&gt;"",K$2,"NA"),'MITRE ATT&amp;CK Mappings'!$H126))),ISNUMBER(SEARCH(IF(K$3&lt;&gt;"",K$3,"NA"),'MITRE ATT&amp;CK Mappings'!$I126))),ISNUMBER(SEARCH(IF(K$3&lt;&gt;"",K$3,"NA"),'MITRE ATT&amp;CK Mappings'!$J126))), 'MITRE ATT&amp;CK Mappings'!$B126,"")</f>
        <v/>
      </c>
      <c r="L130" s="26" t="str">
        <f>IF('MITRE ATT&amp;CK Mappings'!D126 &lt;&gt;"",'MITRE ATT&amp;CK Mappings'!D126,"" )</f>
        <v>Ensure that the Expiration Date is set for all Secrets in RBAC Key Vaults</v>
      </c>
    </row>
    <row r="131" spans="1:12" x14ac:dyDescent="0.25">
      <c r="A131" s="27" t="str">
        <f>IF(COUNTIF(B131:K131,"="&amp;'MITRE ATT&amp;CK Mappings'!B127)&gt;0,'MITRE ATT&amp;CK Mappings'!B127,"")</f>
        <v/>
      </c>
      <c r="B131" s="27" t="str">
        <f>IF(OR(OR(OR(OR(OR(ISNUMBER(SEARCH(IF(B$1&lt;&gt;"",B$1,"NA"),'MITRE ATT&amp;CK Mappings'!$E127)),ISNUMBER(SEARCH(IF(B$1&lt;&gt;"",B$1,"NA"),'MITRE ATT&amp;CK Mappings'!$F127))),ISNUMBER(SEARCH(IF(B$2&lt;&gt;"",B$2,"NA"),'MITRE ATT&amp;CK Mappings'!$G127))),ISNUMBER(SEARCH(IF(B$2&lt;&gt;"",B$2,"NA"),'MITRE ATT&amp;CK Mappings'!$H127))),ISNUMBER(SEARCH(IF(B$3&lt;&gt;"",B$3,"NA"),'MITRE ATT&amp;CK Mappings'!$I127))),ISNUMBER(SEARCH(IF(B$3&lt;&gt;"",B$3,"NA"),'MITRE ATT&amp;CK Mappings'!$J127))), 'MITRE ATT&amp;CK Mappings'!$B127,"")</f>
        <v/>
      </c>
      <c r="C131" s="27" t="str">
        <f>IF(OR(OR(OR(OR(OR(ISNUMBER(SEARCH(IF(C$1&lt;&gt;"",C$1,"NA"),'MITRE ATT&amp;CK Mappings'!$E127)),ISNUMBER(SEARCH(IF(C$1&lt;&gt;"",C$1,"NA"),'MITRE ATT&amp;CK Mappings'!$F127))),ISNUMBER(SEARCH(IF(C$2&lt;&gt;"",C$2,"NA"),'MITRE ATT&amp;CK Mappings'!$G127))),ISNUMBER(SEARCH(IF(C$2&lt;&gt;"",C$2,"NA"),'MITRE ATT&amp;CK Mappings'!$H127))),ISNUMBER(SEARCH(IF(C$3&lt;&gt;"",C$3,"NA"),'MITRE ATT&amp;CK Mappings'!$I127))),ISNUMBER(SEARCH(IF(C$3&lt;&gt;"",C$3,"NA"),'MITRE ATT&amp;CK Mappings'!$J127))), 'MITRE ATT&amp;CK Mappings'!$B127,"")</f>
        <v/>
      </c>
      <c r="D131" s="27" t="str">
        <f>IF(OR(OR(OR(OR(OR(ISNUMBER(SEARCH(IF(D$1&lt;&gt;"",D$1,"NA"),'MITRE ATT&amp;CK Mappings'!$E127)),ISNUMBER(SEARCH(IF(D$1&lt;&gt;"",D$1,"NA"),'MITRE ATT&amp;CK Mappings'!$F127))),ISNUMBER(SEARCH(IF(D$2&lt;&gt;"",D$2,"NA"),'MITRE ATT&amp;CK Mappings'!$G127))),ISNUMBER(SEARCH(IF(D$2&lt;&gt;"",D$2,"NA"),'MITRE ATT&amp;CK Mappings'!$H127))),ISNUMBER(SEARCH(IF(D$3&lt;&gt;"",D$3,"NA"),'MITRE ATT&amp;CK Mappings'!$I127))),ISNUMBER(SEARCH(IF(D$3&lt;&gt;"",D$3,"NA"),'MITRE ATT&amp;CK Mappings'!$J127))), 'MITRE ATT&amp;CK Mappings'!$B127,"")</f>
        <v/>
      </c>
      <c r="E131" s="27" t="str">
        <f>IF(OR(OR(OR(OR(OR(ISNUMBER(SEARCH(IF(E$1&lt;&gt;"",E$1,"NA"),'MITRE ATT&amp;CK Mappings'!$E127)),ISNUMBER(SEARCH(IF(E$1&lt;&gt;"",E$1,"NA"),'MITRE ATT&amp;CK Mappings'!$F127))),ISNUMBER(SEARCH(IF(E$2&lt;&gt;"",E$2,"NA"),'MITRE ATT&amp;CK Mappings'!$G127))),ISNUMBER(SEARCH(IF(E$2&lt;&gt;"",E$2,"NA"),'MITRE ATT&amp;CK Mappings'!$H127))),ISNUMBER(SEARCH(IF(E$3&lt;&gt;"",E$3,"NA"),'MITRE ATT&amp;CK Mappings'!$I127))),ISNUMBER(SEARCH(IF(E$3&lt;&gt;"",E$3,"NA"),'MITRE ATT&amp;CK Mappings'!$J127))), 'MITRE ATT&amp;CK Mappings'!$B127,"")</f>
        <v/>
      </c>
      <c r="F131" s="27" t="str">
        <f>IF(OR(OR(OR(OR(OR(ISNUMBER(SEARCH(IF(F$1&lt;&gt;"",F$1,"NA"),'MITRE ATT&amp;CK Mappings'!$E127)),ISNUMBER(SEARCH(IF(F$1&lt;&gt;"",F$1,"NA"),'MITRE ATT&amp;CK Mappings'!$F127))),ISNUMBER(SEARCH(IF(F$2&lt;&gt;"",F$2,"NA"),'MITRE ATT&amp;CK Mappings'!$G127))),ISNUMBER(SEARCH(IF(F$2&lt;&gt;"",F$2,"NA"),'MITRE ATT&amp;CK Mappings'!$H127))),ISNUMBER(SEARCH(IF(F$3&lt;&gt;"",F$3,"NA"),'MITRE ATT&amp;CK Mappings'!$I127))),ISNUMBER(SEARCH(IF(F$3&lt;&gt;"",F$3,"NA"),'MITRE ATT&amp;CK Mappings'!$J127))), 'MITRE ATT&amp;CK Mappings'!$B127,"")</f>
        <v/>
      </c>
      <c r="G131" s="27" t="str">
        <f>IF(OR(OR(OR(OR(OR(ISNUMBER(SEARCH(IF(G$1&lt;&gt;"",G$1,"NA"),'MITRE ATT&amp;CK Mappings'!$E127)),ISNUMBER(SEARCH(IF(G$1&lt;&gt;"",G$1,"NA"),'MITRE ATT&amp;CK Mappings'!$F127))),ISNUMBER(SEARCH(IF(G$2&lt;&gt;"",G$2,"NA"),'MITRE ATT&amp;CK Mappings'!$G127))),ISNUMBER(SEARCH(IF(G$2&lt;&gt;"",G$2,"NA"),'MITRE ATT&amp;CK Mappings'!$H127))),ISNUMBER(SEARCH(IF(G$3&lt;&gt;"",G$3,"NA"),'MITRE ATT&amp;CK Mappings'!$I127))),ISNUMBER(SEARCH(IF(G$3&lt;&gt;"",G$3,"NA"),'MITRE ATT&amp;CK Mappings'!$J127))), 'MITRE ATT&amp;CK Mappings'!$B127,"")</f>
        <v/>
      </c>
      <c r="H131" s="27" t="str">
        <f>IF(OR(OR(OR(OR(OR(ISNUMBER(SEARCH(IF(H$1&lt;&gt;"",H$1,"NA"),'MITRE ATT&amp;CK Mappings'!$E127)),ISNUMBER(SEARCH(IF(H$1&lt;&gt;"",H$1,"NA"),'MITRE ATT&amp;CK Mappings'!$F127))),ISNUMBER(SEARCH(IF(H$2&lt;&gt;"",H$2,"NA"),'MITRE ATT&amp;CK Mappings'!$G127))),ISNUMBER(SEARCH(IF(H$2&lt;&gt;"",H$2,"NA"),'MITRE ATT&amp;CK Mappings'!$H127))),ISNUMBER(SEARCH(IF(H$3&lt;&gt;"",H$3,"NA"),'MITRE ATT&amp;CK Mappings'!$I127))),ISNUMBER(SEARCH(IF(H$3&lt;&gt;"",H$3,"NA"),'MITRE ATT&amp;CK Mappings'!$J127))), 'MITRE ATT&amp;CK Mappings'!$B127,"")</f>
        <v/>
      </c>
      <c r="I131" s="27" t="str">
        <f>IF(OR(OR(OR(OR(OR(ISNUMBER(SEARCH(IF(I$1&lt;&gt;"",I$1,"NA"),'MITRE ATT&amp;CK Mappings'!$E127)),ISNUMBER(SEARCH(IF(I$1&lt;&gt;"",I$1,"NA"),'MITRE ATT&amp;CK Mappings'!$F127))),ISNUMBER(SEARCH(IF(I$2&lt;&gt;"",I$2,"NA"),'MITRE ATT&amp;CK Mappings'!$G127))),ISNUMBER(SEARCH(IF(I$2&lt;&gt;"",I$2,"NA"),'MITRE ATT&amp;CK Mappings'!$H127))),ISNUMBER(SEARCH(IF(I$3&lt;&gt;"",I$3,"NA"),'MITRE ATT&amp;CK Mappings'!$I127))),ISNUMBER(SEARCH(IF(I$3&lt;&gt;"",I$3,"NA"),'MITRE ATT&amp;CK Mappings'!$J127))), 'MITRE ATT&amp;CK Mappings'!$B127,"")</f>
        <v/>
      </c>
      <c r="J131" s="27" t="str">
        <f>IF(OR(OR(OR(OR(OR(ISNUMBER(SEARCH(IF(J$1&lt;&gt;"",J$1,"NA"),'MITRE ATT&amp;CK Mappings'!$E127)),ISNUMBER(SEARCH(IF(J$1&lt;&gt;"",J$1,"NA"),'MITRE ATT&amp;CK Mappings'!$F127))),ISNUMBER(SEARCH(IF(J$2&lt;&gt;"",J$2,"NA"),'MITRE ATT&amp;CK Mappings'!$G127))),ISNUMBER(SEARCH(IF(J$2&lt;&gt;"",J$2,"NA"),'MITRE ATT&amp;CK Mappings'!$H127))),ISNUMBER(SEARCH(IF(J$3&lt;&gt;"",J$3,"NA"),'MITRE ATT&amp;CK Mappings'!$I127))),ISNUMBER(SEARCH(IF(J$3&lt;&gt;"",J$3,"NA"),'MITRE ATT&amp;CK Mappings'!$J127))), 'MITRE ATT&amp;CK Mappings'!$B127,"")</f>
        <v/>
      </c>
      <c r="K131" s="27" t="str">
        <f>IF(OR(OR(OR(OR(OR(ISNUMBER(SEARCH(IF(K$1&lt;&gt;"",K$1,"NA"),'MITRE ATT&amp;CK Mappings'!$E127)),ISNUMBER(SEARCH(IF(K$1&lt;&gt;"",K$1,"NA"),'MITRE ATT&amp;CK Mappings'!$F127))),ISNUMBER(SEARCH(IF(K$2&lt;&gt;"",K$2,"NA"),'MITRE ATT&amp;CK Mappings'!$G127))),ISNUMBER(SEARCH(IF(K$2&lt;&gt;"",K$2,"NA"),'MITRE ATT&amp;CK Mappings'!$H127))),ISNUMBER(SEARCH(IF(K$3&lt;&gt;"",K$3,"NA"),'MITRE ATT&amp;CK Mappings'!$I127))),ISNUMBER(SEARCH(IF(K$3&lt;&gt;"",K$3,"NA"),'MITRE ATT&amp;CK Mappings'!$J127))), 'MITRE ATT&amp;CK Mappings'!$B127,"")</f>
        <v/>
      </c>
      <c r="L131" s="27" t="str">
        <f>IF('MITRE ATT&amp;CK Mappings'!D127 &lt;&gt;"",'MITRE ATT&amp;CK Mappings'!D127,"" )</f>
        <v>Ensure that the Expiration Date is set for all Secrets in Non-RBAC Key Vaults</v>
      </c>
    </row>
    <row r="132" spans="1:12" x14ac:dyDescent="0.25">
      <c r="A132" s="26" t="str">
        <f>IF(COUNTIF(B132:K132,"="&amp;'MITRE ATT&amp;CK Mappings'!B128)&gt;0,'MITRE ATT&amp;CK Mappings'!B128,"")</f>
        <v/>
      </c>
      <c r="B132" s="26" t="str">
        <f>IF(OR(OR(OR(OR(OR(ISNUMBER(SEARCH(IF(B$1&lt;&gt;"",B$1,"NA"),'MITRE ATT&amp;CK Mappings'!$E128)),ISNUMBER(SEARCH(IF(B$1&lt;&gt;"",B$1,"NA"),'MITRE ATT&amp;CK Mappings'!$F128))),ISNUMBER(SEARCH(IF(B$2&lt;&gt;"",B$2,"NA"),'MITRE ATT&amp;CK Mappings'!$G128))),ISNUMBER(SEARCH(IF(B$2&lt;&gt;"",B$2,"NA"),'MITRE ATT&amp;CK Mappings'!$H128))),ISNUMBER(SEARCH(IF(B$3&lt;&gt;"",B$3,"NA"),'MITRE ATT&amp;CK Mappings'!$I128))),ISNUMBER(SEARCH(IF(B$3&lt;&gt;"",B$3,"NA"),'MITRE ATT&amp;CK Mappings'!$J128))), 'MITRE ATT&amp;CK Mappings'!$B128,"")</f>
        <v/>
      </c>
      <c r="C132" s="26" t="str">
        <f>IF(OR(OR(OR(OR(OR(ISNUMBER(SEARCH(IF(C$1&lt;&gt;"",C$1,"NA"),'MITRE ATT&amp;CK Mappings'!$E128)),ISNUMBER(SEARCH(IF(C$1&lt;&gt;"",C$1,"NA"),'MITRE ATT&amp;CK Mappings'!$F128))),ISNUMBER(SEARCH(IF(C$2&lt;&gt;"",C$2,"NA"),'MITRE ATT&amp;CK Mappings'!$G128))),ISNUMBER(SEARCH(IF(C$2&lt;&gt;"",C$2,"NA"),'MITRE ATT&amp;CK Mappings'!$H128))),ISNUMBER(SEARCH(IF(C$3&lt;&gt;"",C$3,"NA"),'MITRE ATT&amp;CK Mappings'!$I128))),ISNUMBER(SEARCH(IF(C$3&lt;&gt;"",C$3,"NA"),'MITRE ATT&amp;CK Mappings'!$J128))), 'MITRE ATT&amp;CK Mappings'!$B128,"")</f>
        <v/>
      </c>
      <c r="D132" s="26" t="str">
        <f>IF(OR(OR(OR(OR(OR(ISNUMBER(SEARCH(IF(D$1&lt;&gt;"",D$1,"NA"),'MITRE ATT&amp;CK Mappings'!$E128)),ISNUMBER(SEARCH(IF(D$1&lt;&gt;"",D$1,"NA"),'MITRE ATT&amp;CK Mappings'!$F128))),ISNUMBER(SEARCH(IF(D$2&lt;&gt;"",D$2,"NA"),'MITRE ATT&amp;CK Mappings'!$G128))),ISNUMBER(SEARCH(IF(D$2&lt;&gt;"",D$2,"NA"),'MITRE ATT&amp;CK Mappings'!$H128))),ISNUMBER(SEARCH(IF(D$3&lt;&gt;"",D$3,"NA"),'MITRE ATT&amp;CK Mappings'!$I128))),ISNUMBER(SEARCH(IF(D$3&lt;&gt;"",D$3,"NA"),'MITRE ATT&amp;CK Mappings'!$J128))), 'MITRE ATT&amp;CK Mappings'!$B128,"")</f>
        <v/>
      </c>
      <c r="E132" s="26" t="str">
        <f>IF(OR(OR(OR(OR(OR(ISNUMBER(SEARCH(IF(E$1&lt;&gt;"",E$1,"NA"),'MITRE ATT&amp;CK Mappings'!$E128)),ISNUMBER(SEARCH(IF(E$1&lt;&gt;"",E$1,"NA"),'MITRE ATT&amp;CK Mappings'!$F128))),ISNUMBER(SEARCH(IF(E$2&lt;&gt;"",E$2,"NA"),'MITRE ATT&amp;CK Mappings'!$G128))),ISNUMBER(SEARCH(IF(E$2&lt;&gt;"",E$2,"NA"),'MITRE ATT&amp;CK Mappings'!$H128))),ISNUMBER(SEARCH(IF(E$3&lt;&gt;"",E$3,"NA"),'MITRE ATT&amp;CK Mappings'!$I128))),ISNUMBER(SEARCH(IF(E$3&lt;&gt;"",E$3,"NA"),'MITRE ATT&amp;CK Mappings'!$J128))), 'MITRE ATT&amp;CK Mappings'!$B128,"")</f>
        <v/>
      </c>
      <c r="F132" s="26" t="str">
        <f>IF(OR(OR(OR(OR(OR(ISNUMBER(SEARCH(IF(F$1&lt;&gt;"",F$1,"NA"),'MITRE ATT&amp;CK Mappings'!$E128)),ISNUMBER(SEARCH(IF(F$1&lt;&gt;"",F$1,"NA"),'MITRE ATT&amp;CK Mappings'!$F128))),ISNUMBER(SEARCH(IF(F$2&lt;&gt;"",F$2,"NA"),'MITRE ATT&amp;CK Mappings'!$G128))),ISNUMBER(SEARCH(IF(F$2&lt;&gt;"",F$2,"NA"),'MITRE ATT&amp;CK Mappings'!$H128))),ISNUMBER(SEARCH(IF(F$3&lt;&gt;"",F$3,"NA"),'MITRE ATT&amp;CK Mappings'!$I128))),ISNUMBER(SEARCH(IF(F$3&lt;&gt;"",F$3,"NA"),'MITRE ATT&amp;CK Mappings'!$J128))), 'MITRE ATT&amp;CK Mappings'!$B128,"")</f>
        <v/>
      </c>
      <c r="G132" s="26" t="str">
        <f>IF(OR(OR(OR(OR(OR(ISNUMBER(SEARCH(IF(G$1&lt;&gt;"",G$1,"NA"),'MITRE ATT&amp;CK Mappings'!$E128)),ISNUMBER(SEARCH(IF(G$1&lt;&gt;"",G$1,"NA"),'MITRE ATT&amp;CK Mappings'!$F128))),ISNUMBER(SEARCH(IF(G$2&lt;&gt;"",G$2,"NA"),'MITRE ATT&amp;CK Mappings'!$G128))),ISNUMBER(SEARCH(IF(G$2&lt;&gt;"",G$2,"NA"),'MITRE ATT&amp;CK Mappings'!$H128))),ISNUMBER(SEARCH(IF(G$3&lt;&gt;"",G$3,"NA"),'MITRE ATT&amp;CK Mappings'!$I128))),ISNUMBER(SEARCH(IF(G$3&lt;&gt;"",G$3,"NA"),'MITRE ATT&amp;CK Mappings'!$J128))), 'MITRE ATT&amp;CK Mappings'!$B128,"")</f>
        <v/>
      </c>
      <c r="H132" s="26" t="str">
        <f>IF(OR(OR(OR(OR(OR(ISNUMBER(SEARCH(IF(H$1&lt;&gt;"",H$1,"NA"),'MITRE ATT&amp;CK Mappings'!$E128)),ISNUMBER(SEARCH(IF(H$1&lt;&gt;"",H$1,"NA"),'MITRE ATT&amp;CK Mappings'!$F128))),ISNUMBER(SEARCH(IF(H$2&lt;&gt;"",H$2,"NA"),'MITRE ATT&amp;CK Mappings'!$G128))),ISNUMBER(SEARCH(IF(H$2&lt;&gt;"",H$2,"NA"),'MITRE ATT&amp;CK Mappings'!$H128))),ISNUMBER(SEARCH(IF(H$3&lt;&gt;"",H$3,"NA"),'MITRE ATT&amp;CK Mappings'!$I128))),ISNUMBER(SEARCH(IF(H$3&lt;&gt;"",H$3,"NA"),'MITRE ATT&amp;CK Mappings'!$J128))), 'MITRE ATT&amp;CK Mappings'!$B128,"")</f>
        <v/>
      </c>
      <c r="I132" s="26" t="str">
        <f>IF(OR(OR(OR(OR(OR(ISNUMBER(SEARCH(IF(I$1&lt;&gt;"",I$1,"NA"),'MITRE ATT&amp;CK Mappings'!$E128)),ISNUMBER(SEARCH(IF(I$1&lt;&gt;"",I$1,"NA"),'MITRE ATT&amp;CK Mappings'!$F128))),ISNUMBER(SEARCH(IF(I$2&lt;&gt;"",I$2,"NA"),'MITRE ATT&amp;CK Mappings'!$G128))),ISNUMBER(SEARCH(IF(I$2&lt;&gt;"",I$2,"NA"),'MITRE ATT&amp;CK Mappings'!$H128))),ISNUMBER(SEARCH(IF(I$3&lt;&gt;"",I$3,"NA"),'MITRE ATT&amp;CK Mappings'!$I128))),ISNUMBER(SEARCH(IF(I$3&lt;&gt;"",I$3,"NA"),'MITRE ATT&amp;CK Mappings'!$J128))), 'MITRE ATT&amp;CK Mappings'!$B128,"")</f>
        <v/>
      </c>
      <c r="J132" s="26" t="str">
        <f>IF(OR(OR(OR(OR(OR(ISNUMBER(SEARCH(IF(J$1&lt;&gt;"",J$1,"NA"),'MITRE ATT&amp;CK Mappings'!$E128)),ISNUMBER(SEARCH(IF(J$1&lt;&gt;"",J$1,"NA"),'MITRE ATT&amp;CK Mappings'!$F128))),ISNUMBER(SEARCH(IF(J$2&lt;&gt;"",J$2,"NA"),'MITRE ATT&amp;CK Mappings'!$G128))),ISNUMBER(SEARCH(IF(J$2&lt;&gt;"",J$2,"NA"),'MITRE ATT&amp;CK Mappings'!$H128))),ISNUMBER(SEARCH(IF(J$3&lt;&gt;"",J$3,"NA"),'MITRE ATT&amp;CK Mappings'!$I128))),ISNUMBER(SEARCH(IF(J$3&lt;&gt;"",J$3,"NA"),'MITRE ATT&amp;CK Mappings'!$J128))), 'MITRE ATT&amp;CK Mappings'!$B128,"")</f>
        <v/>
      </c>
      <c r="K132" s="26" t="str">
        <f>IF(OR(OR(OR(OR(OR(ISNUMBER(SEARCH(IF(K$1&lt;&gt;"",K$1,"NA"),'MITRE ATT&amp;CK Mappings'!$E128)),ISNUMBER(SEARCH(IF(K$1&lt;&gt;"",K$1,"NA"),'MITRE ATT&amp;CK Mappings'!$F128))),ISNUMBER(SEARCH(IF(K$2&lt;&gt;"",K$2,"NA"),'MITRE ATT&amp;CK Mappings'!$G128))),ISNUMBER(SEARCH(IF(K$2&lt;&gt;"",K$2,"NA"),'MITRE ATT&amp;CK Mappings'!$H128))),ISNUMBER(SEARCH(IF(K$3&lt;&gt;"",K$3,"NA"),'MITRE ATT&amp;CK Mappings'!$I128))),ISNUMBER(SEARCH(IF(K$3&lt;&gt;"",K$3,"NA"),'MITRE ATT&amp;CK Mappings'!$J128))), 'MITRE ATT&amp;CK Mappings'!$B128,"")</f>
        <v/>
      </c>
      <c r="L132" s="26" t="str">
        <f>IF('MITRE ATT&amp;CK Mappings'!D128 &lt;&gt;"",'MITRE ATT&amp;CK Mappings'!D128,"" )</f>
        <v>Ensure 'Purge protection' is set to 'Enabled'</v>
      </c>
    </row>
    <row r="133" spans="1:12" x14ac:dyDescent="0.25">
      <c r="A133" s="27" t="str">
        <f>IF(COUNTIF(B133:K133,"="&amp;'MITRE ATT&amp;CK Mappings'!B129)&gt;0,'MITRE ATT&amp;CK Mappings'!B129,"")</f>
        <v/>
      </c>
      <c r="B133" s="27" t="str">
        <f>IF(OR(OR(OR(OR(OR(ISNUMBER(SEARCH(IF(B$1&lt;&gt;"",B$1,"NA"),'MITRE ATT&amp;CK Mappings'!$E129)),ISNUMBER(SEARCH(IF(B$1&lt;&gt;"",B$1,"NA"),'MITRE ATT&amp;CK Mappings'!$F129))),ISNUMBER(SEARCH(IF(B$2&lt;&gt;"",B$2,"NA"),'MITRE ATT&amp;CK Mappings'!$G129))),ISNUMBER(SEARCH(IF(B$2&lt;&gt;"",B$2,"NA"),'MITRE ATT&amp;CK Mappings'!$H129))),ISNUMBER(SEARCH(IF(B$3&lt;&gt;"",B$3,"NA"),'MITRE ATT&amp;CK Mappings'!$I129))),ISNUMBER(SEARCH(IF(B$3&lt;&gt;"",B$3,"NA"),'MITRE ATT&amp;CK Mappings'!$J129))), 'MITRE ATT&amp;CK Mappings'!$B129,"")</f>
        <v/>
      </c>
      <c r="C133" s="27" t="str">
        <f>IF(OR(OR(OR(OR(OR(ISNUMBER(SEARCH(IF(C$1&lt;&gt;"",C$1,"NA"),'MITRE ATT&amp;CK Mappings'!$E129)),ISNUMBER(SEARCH(IF(C$1&lt;&gt;"",C$1,"NA"),'MITRE ATT&amp;CK Mappings'!$F129))),ISNUMBER(SEARCH(IF(C$2&lt;&gt;"",C$2,"NA"),'MITRE ATT&amp;CK Mappings'!$G129))),ISNUMBER(SEARCH(IF(C$2&lt;&gt;"",C$2,"NA"),'MITRE ATT&amp;CK Mappings'!$H129))),ISNUMBER(SEARCH(IF(C$3&lt;&gt;"",C$3,"NA"),'MITRE ATT&amp;CK Mappings'!$I129))),ISNUMBER(SEARCH(IF(C$3&lt;&gt;"",C$3,"NA"),'MITRE ATT&amp;CK Mappings'!$J129))), 'MITRE ATT&amp;CK Mappings'!$B129,"")</f>
        <v/>
      </c>
      <c r="D133" s="27" t="str">
        <f>IF(OR(OR(OR(OR(OR(ISNUMBER(SEARCH(IF(D$1&lt;&gt;"",D$1,"NA"),'MITRE ATT&amp;CK Mappings'!$E129)),ISNUMBER(SEARCH(IF(D$1&lt;&gt;"",D$1,"NA"),'MITRE ATT&amp;CK Mappings'!$F129))),ISNUMBER(SEARCH(IF(D$2&lt;&gt;"",D$2,"NA"),'MITRE ATT&amp;CK Mappings'!$G129))),ISNUMBER(SEARCH(IF(D$2&lt;&gt;"",D$2,"NA"),'MITRE ATT&amp;CK Mappings'!$H129))),ISNUMBER(SEARCH(IF(D$3&lt;&gt;"",D$3,"NA"),'MITRE ATT&amp;CK Mappings'!$I129))),ISNUMBER(SEARCH(IF(D$3&lt;&gt;"",D$3,"NA"),'MITRE ATT&amp;CK Mappings'!$J129))), 'MITRE ATT&amp;CK Mappings'!$B129,"")</f>
        <v/>
      </c>
      <c r="E133" s="27" t="str">
        <f>IF(OR(OR(OR(OR(OR(ISNUMBER(SEARCH(IF(E$1&lt;&gt;"",E$1,"NA"),'MITRE ATT&amp;CK Mappings'!$E129)),ISNUMBER(SEARCH(IF(E$1&lt;&gt;"",E$1,"NA"),'MITRE ATT&amp;CK Mappings'!$F129))),ISNUMBER(SEARCH(IF(E$2&lt;&gt;"",E$2,"NA"),'MITRE ATT&amp;CK Mappings'!$G129))),ISNUMBER(SEARCH(IF(E$2&lt;&gt;"",E$2,"NA"),'MITRE ATT&amp;CK Mappings'!$H129))),ISNUMBER(SEARCH(IF(E$3&lt;&gt;"",E$3,"NA"),'MITRE ATT&amp;CK Mappings'!$I129))),ISNUMBER(SEARCH(IF(E$3&lt;&gt;"",E$3,"NA"),'MITRE ATT&amp;CK Mappings'!$J129))), 'MITRE ATT&amp;CK Mappings'!$B129,"")</f>
        <v/>
      </c>
      <c r="F133" s="27" t="str">
        <f>IF(OR(OR(OR(OR(OR(ISNUMBER(SEARCH(IF(F$1&lt;&gt;"",F$1,"NA"),'MITRE ATT&amp;CK Mappings'!$E129)),ISNUMBER(SEARCH(IF(F$1&lt;&gt;"",F$1,"NA"),'MITRE ATT&amp;CK Mappings'!$F129))),ISNUMBER(SEARCH(IF(F$2&lt;&gt;"",F$2,"NA"),'MITRE ATT&amp;CK Mappings'!$G129))),ISNUMBER(SEARCH(IF(F$2&lt;&gt;"",F$2,"NA"),'MITRE ATT&amp;CK Mappings'!$H129))),ISNUMBER(SEARCH(IF(F$3&lt;&gt;"",F$3,"NA"),'MITRE ATT&amp;CK Mappings'!$I129))),ISNUMBER(SEARCH(IF(F$3&lt;&gt;"",F$3,"NA"),'MITRE ATT&amp;CK Mappings'!$J129))), 'MITRE ATT&amp;CK Mappings'!$B129,"")</f>
        <v/>
      </c>
      <c r="G133" s="27" t="str">
        <f>IF(OR(OR(OR(OR(OR(ISNUMBER(SEARCH(IF(G$1&lt;&gt;"",G$1,"NA"),'MITRE ATT&amp;CK Mappings'!$E129)),ISNUMBER(SEARCH(IF(G$1&lt;&gt;"",G$1,"NA"),'MITRE ATT&amp;CK Mappings'!$F129))),ISNUMBER(SEARCH(IF(G$2&lt;&gt;"",G$2,"NA"),'MITRE ATT&amp;CK Mappings'!$G129))),ISNUMBER(SEARCH(IF(G$2&lt;&gt;"",G$2,"NA"),'MITRE ATT&amp;CK Mappings'!$H129))),ISNUMBER(SEARCH(IF(G$3&lt;&gt;"",G$3,"NA"),'MITRE ATT&amp;CK Mappings'!$I129))),ISNUMBER(SEARCH(IF(G$3&lt;&gt;"",G$3,"NA"),'MITRE ATT&amp;CK Mappings'!$J129))), 'MITRE ATT&amp;CK Mappings'!$B129,"")</f>
        <v/>
      </c>
      <c r="H133" s="27" t="str">
        <f>IF(OR(OR(OR(OR(OR(ISNUMBER(SEARCH(IF(H$1&lt;&gt;"",H$1,"NA"),'MITRE ATT&amp;CK Mappings'!$E129)),ISNUMBER(SEARCH(IF(H$1&lt;&gt;"",H$1,"NA"),'MITRE ATT&amp;CK Mappings'!$F129))),ISNUMBER(SEARCH(IF(H$2&lt;&gt;"",H$2,"NA"),'MITRE ATT&amp;CK Mappings'!$G129))),ISNUMBER(SEARCH(IF(H$2&lt;&gt;"",H$2,"NA"),'MITRE ATT&amp;CK Mappings'!$H129))),ISNUMBER(SEARCH(IF(H$3&lt;&gt;"",H$3,"NA"),'MITRE ATT&amp;CK Mappings'!$I129))),ISNUMBER(SEARCH(IF(H$3&lt;&gt;"",H$3,"NA"),'MITRE ATT&amp;CK Mappings'!$J129))), 'MITRE ATT&amp;CK Mappings'!$B129,"")</f>
        <v/>
      </c>
      <c r="I133" s="27" t="str">
        <f>IF(OR(OR(OR(OR(OR(ISNUMBER(SEARCH(IF(I$1&lt;&gt;"",I$1,"NA"),'MITRE ATT&amp;CK Mappings'!$E129)),ISNUMBER(SEARCH(IF(I$1&lt;&gt;"",I$1,"NA"),'MITRE ATT&amp;CK Mappings'!$F129))),ISNUMBER(SEARCH(IF(I$2&lt;&gt;"",I$2,"NA"),'MITRE ATT&amp;CK Mappings'!$G129))),ISNUMBER(SEARCH(IF(I$2&lt;&gt;"",I$2,"NA"),'MITRE ATT&amp;CK Mappings'!$H129))),ISNUMBER(SEARCH(IF(I$3&lt;&gt;"",I$3,"NA"),'MITRE ATT&amp;CK Mappings'!$I129))),ISNUMBER(SEARCH(IF(I$3&lt;&gt;"",I$3,"NA"),'MITRE ATT&amp;CK Mappings'!$J129))), 'MITRE ATT&amp;CK Mappings'!$B129,"")</f>
        <v/>
      </c>
      <c r="J133" s="27" t="str">
        <f>IF(OR(OR(OR(OR(OR(ISNUMBER(SEARCH(IF(J$1&lt;&gt;"",J$1,"NA"),'MITRE ATT&amp;CK Mappings'!$E129)),ISNUMBER(SEARCH(IF(J$1&lt;&gt;"",J$1,"NA"),'MITRE ATT&amp;CK Mappings'!$F129))),ISNUMBER(SEARCH(IF(J$2&lt;&gt;"",J$2,"NA"),'MITRE ATT&amp;CK Mappings'!$G129))),ISNUMBER(SEARCH(IF(J$2&lt;&gt;"",J$2,"NA"),'MITRE ATT&amp;CK Mappings'!$H129))),ISNUMBER(SEARCH(IF(J$3&lt;&gt;"",J$3,"NA"),'MITRE ATT&amp;CK Mappings'!$I129))),ISNUMBER(SEARCH(IF(J$3&lt;&gt;"",J$3,"NA"),'MITRE ATT&amp;CK Mappings'!$J129))), 'MITRE ATT&amp;CK Mappings'!$B129,"")</f>
        <v/>
      </c>
      <c r="K133" s="27" t="str">
        <f>IF(OR(OR(OR(OR(OR(ISNUMBER(SEARCH(IF(K$1&lt;&gt;"",K$1,"NA"),'MITRE ATT&amp;CK Mappings'!$E129)),ISNUMBER(SEARCH(IF(K$1&lt;&gt;"",K$1,"NA"),'MITRE ATT&amp;CK Mappings'!$F129))),ISNUMBER(SEARCH(IF(K$2&lt;&gt;"",K$2,"NA"),'MITRE ATT&amp;CK Mappings'!$G129))),ISNUMBER(SEARCH(IF(K$2&lt;&gt;"",K$2,"NA"),'MITRE ATT&amp;CK Mappings'!$H129))),ISNUMBER(SEARCH(IF(K$3&lt;&gt;"",K$3,"NA"),'MITRE ATT&amp;CK Mappings'!$I129))),ISNUMBER(SEARCH(IF(K$3&lt;&gt;"",K$3,"NA"),'MITRE ATT&amp;CK Mappings'!$J129))), 'MITRE ATT&amp;CK Mappings'!$B129,"")</f>
        <v/>
      </c>
      <c r="L133" s="27" t="str">
        <f>IF('MITRE ATT&amp;CK Mappings'!D129 &lt;&gt;"",'MITRE ATT&amp;CK Mappings'!D129,"" )</f>
        <v>Ensure that Role Based Access Control for Azure Key Vault is enabled</v>
      </c>
    </row>
    <row r="134" spans="1:12" x14ac:dyDescent="0.25">
      <c r="A134" s="26" t="str">
        <f>IF(COUNTIF(B134:K134,"="&amp;'MITRE ATT&amp;CK Mappings'!B130)&gt;0,'MITRE ATT&amp;CK Mappings'!B130,"")</f>
        <v/>
      </c>
      <c r="B134" s="26" t="str">
        <f>IF(OR(OR(OR(OR(OR(ISNUMBER(SEARCH(IF(B$1&lt;&gt;"",B$1,"NA"),'MITRE ATT&amp;CK Mappings'!$E130)),ISNUMBER(SEARCH(IF(B$1&lt;&gt;"",B$1,"NA"),'MITRE ATT&amp;CK Mappings'!$F130))),ISNUMBER(SEARCH(IF(B$2&lt;&gt;"",B$2,"NA"),'MITRE ATT&amp;CK Mappings'!$G130))),ISNUMBER(SEARCH(IF(B$2&lt;&gt;"",B$2,"NA"),'MITRE ATT&amp;CK Mappings'!$H130))),ISNUMBER(SEARCH(IF(B$3&lt;&gt;"",B$3,"NA"),'MITRE ATT&amp;CK Mappings'!$I130))),ISNUMBER(SEARCH(IF(B$3&lt;&gt;"",B$3,"NA"),'MITRE ATT&amp;CK Mappings'!$J130))), 'MITRE ATT&amp;CK Mappings'!$B130,"")</f>
        <v/>
      </c>
      <c r="C134" s="26" t="str">
        <f>IF(OR(OR(OR(OR(OR(ISNUMBER(SEARCH(IF(C$1&lt;&gt;"",C$1,"NA"),'MITRE ATT&amp;CK Mappings'!$E130)),ISNUMBER(SEARCH(IF(C$1&lt;&gt;"",C$1,"NA"),'MITRE ATT&amp;CK Mappings'!$F130))),ISNUMBER(SEARCH(IF(C$2&lt;&gt;"",C$2,"NA"),'MITRE ATT&amp;CK Mappings'!$G130))),ISNUMBER(SEARCH(IF(C$2&lt;&gt;"",C$2,"NA"),'MITRE ATT&amp;CK Mappings'!$H130))),ISNUMBER(SEARCH(IF(C$3&lt;&gt;"",C$3,"NA"),'MITRE ATT&amp;CK Mappings'!$I130))),ISNUMBER(SEARCH(IF(C$3&lt;&gt;"",C$3,"NA"),'MITRE ATT&amp;CK Mappings'!$J130))), 'MITRE ATT&amp;CK Mappings'!$B130,"")</f>
        <v/>
      </c>
      <c r="D134" s="26" t="str">
        <f>IF(OR(OR(OR(OR(OR(ISNUMBER(SEARCH(IF(D$1&lt;&gt;"",D$1,"NA"),'MITRE ATT&amp;CK Mappings'!$E130)),ISNUMBER(SEARCH(IF(D$1&lt;&gt;"",D$1,"NA"),'MITRE ATT&amp;CK Mappings'!$F130))),ISNUMBER(SEARCH(IF(D$2&lt;&gt;"",D$2,"NA"),'MITRE ATT&amp;CK Mappings'!$G130))),ISNUMBER(SEARCH(IF(D$2&lt;&gt;"",D$2,"NA"),'MITRE ATT&amp;CK Mappings'!$H130))),ISNUMBER(SEARCH(IF(D$3&lt;&gt;"",D$3,"NA"),'MITRE ATT&amp;CK Mappings'!$I130))),ISNUMBER(SEARCH(IF(D$3&lt;&gt;"",D$3,"NA"),'MITRE ATT&amp;CK Mappings'!$J130))), 'MITRE ATT&amp;CK Mappings'!$B130,"")</f>
        <v/>
      </c>
      <c r="E134" s="26" t="str">
        <f>IF(OR(OR(OR(OR(OR(ISNUMBER(SEARCH(IF(E$1&lt;&gt;"",E$1,"NA"),'MITRE ATT&amp;CK Mappings'!$E130)),ISNUMBER(SEARCH(IF(E$1&lt;&gt;"",E$1,"NA"),'MITRE ATT&amp;CK Mappings'!$F130))),ISNUMBER(SEARCH(IF(E$2&lt;&gt;"",E$2,"NA"),'MITRE ATT&amp;CK Mappings'!$G130))),ISNUMBER(SEARCH(IF(E$2&lt;&gt;"",E$2,"NA"),'MITRE ATT&amp;CK Mappings'!$H130))),ISNUMBER(SEARCH(IF(E$3&lt;&gt;"",E$3,"NA"),'MITRE ATT&amp;CK Mappings'!$I130))),ISNUMBER(SEARCH(IF(E$3&lt;&gt;"",E$3,"NA"),'MITRE ATT&amp;CK Mappings'!$J130))), 'MITRE ATT&amp;CK Mappings'!$B130,"")</f>
        <v/>
      </c>
      <c r="F134" s="26" t="str">
        <f>IF(OR(OR(OR(OR(OR(ISNUMBER(SEARCH(IF(F$1&lt;&gt;"",F$1,"NA"),'MITRE ATT&amp;CK Mappings'!$E130)),ISNUMBER(SEARCH(IF(F$1&lt;&gt;"",F$1,"NA"),'MITRE ATT&amp;CK Mappings'!$F130))),ISNUMBER(SEARCH(IF(F$2&lt;&gt;"",F$2,"NA"),'MITRE ATT&amp;CK Mappings'!$G130))),ISNUMBER(SEARCH(IF(F$2&lt;&gt;"",F$2,"NA"),'MITRE ATT&amp;CK Mappings'!$H130))),ISNUMBER(SEARCH(IF(F$3&lt;&gt;"",F$3,"NA"),'MITRE ATT&amp;CK Mappings'!$I130))),ISNUMBER(SEARCH(IF(F$3&lt;&gt;"",F$3,"NA"),'MITRE ATT&amp;CK Mappings'!$J130))), 'MITRE ATT&amp;CK Mappings'!$B130,"")</f>
        <v/>
      </c>
      <c r="G134" s="26" t="str">
        <f>IF(OR(OR(OR(OR(OR(ISNUMBER(SEARCH(IF(G$1&lt;&gt;"",G$1,"NA"),'MITRE ATT&amp;CK Mappings'!$E130)),ISNUMBER(SEARCH(IF(G$1&lt;&gt;"",G$1,"NA"),'MITRE ATT&amp;CK Mappings'!$F130))),ISNUMBER(SEARCH(IF(G$2&lt;&gt;"",G$2,"NA"),'MITRE ATT&amp;CK Mappings'!$G130))),ISNUMBER(SEARCH(IF(G$2&lt;&gt;"",G$2,"NA"),'MITRE ATT&amp;CK Mappings'!$H130))),ISNUMBER(SEARCH(IF(G$3&lt;&gt;"",G$3,"NA"),'MITRE ATT&amp;CK Mappings'!$I130))),ISNUMBER(SEARCH(IF(G$3&lt;&gt;"",G$3,"NA"),'MITRE ATT&amp;CK Mappings'!$J130))), 'MITRE ATT&amp;CK Mappings'!$B130,"")</f>
        <v/>
      </c>
      <c r="H134" s="26" t="str">
        <f>IF(OR(OR(OR(OR(OR(ISNUMBER(SEARCH(IF(H$1&lt;&gt;"",H$1,"NA"),'MITRE ATT&amp;CK Mappings'!$E130)),ISNUMBER(SEARCH(IF(H$1&lt;&gt;"",H$1,"NA"),'MITRE ATT&amp;CK Mappings'!$F130))),ISNUMBER(SEARCH(IF(H$2&lt;&gt;"",H$2,"NA"),'MITRE ATT&amp;CK Mappings'!$G130))),ISNUMBER(SEARCH(IF(H$2&lt;&gt;"",H$2,"NA"),'MITRE ATT&amp;CK Mappings'!$H130))),ISNUMBER(SEARCH(IF(H$3&lt;&gt;"",H$3,"NA"),'MITRE ATT&amp;CK Mappings'!$I130))),ISNUMBER(SEARCH(IF(H$3&lt;&gt;"",H$3,"NA"),'MITRE ATT&amp;CK Mappings'!$J130))), 'MITRE ATT&amp;CK Mappings'!$B130,"")</f>
        <v/>
      </c>
      <c r="I134" s="26" t="str">
        <f>IF(OR(OR(OR(OR(OR(ISNUMBER(SEARCH(IF(I$1&lt;&gt;"",I$1,"NA"),'MITRE ATT&amp;CK Mappings'!$E130)),ISNUMBER(SEARCH(IF(I$1&lt;&gt;"",I$1,"NA"),'MITRE ATT&amp;CK Mappings'!$F130))),ISNUMBER(SEARCH(IF(I$2&lt;&gt;"",I$2,"NA"),'MITRE ATT&amp;CK Mappings'!$G130))),ISNUMBER(SEARCH(IF(I$2&lt;&gt;"",I$2,"NA"),'MITRE ATT&amp;CK Mappings'!$H130))),ISNUMBER(SEARCH(IF(I$3&lt;&gt;"",I$3,"NA"),'MITRE ATT&amp;CK Mappings'!$I130))),ISNUMBER(SEARCH(IF(I$3&lt;&gt;"",I$3,"NA"),'MITRE ATT&amp;CK Mappings'!$J130))), 'MITRE ATT&amp;CK Mappings'!$B130,"")</f>
        <v/>
      </c>
      <c r="J134" s="26" t="str">
        <f>IF(OR(OR(OR(OR(OR(ISNUMBER(SEARCH(IF(J$1&lt;&gt;"",J$1,"NA"),'MITRE ATT&amp;CK Mappings'!$E130)),ISNUMBER(SEARCH(IF(J$1&lt;&gt;"",J$1,"NA"),'MITRE ATT&amp;CK Mappings'!$F130))),ISNUMBER(SEARCH(IF(J$2&lt;&gt;"",J$2,"NA"),'MITRE ATT&amp;CK Mappings'!$G130))),ISNUMBER(SEARCH(IF(J$2&lt;&gt;"",J$2,"NA"),'MITRE ATT&amp;CK Mappings'!$H130))),ISNUMBER(SEARCH(IF(J$3&lt;&gt;"",J$3,"NA"),'MITRE ATT&amp;CK Mappings'!$I130))),ISNUMBER(SEARCH(IF(J$3&lt;&gt;"",J$3,"NA"),'MITRE ATT&amp;CK Mappings'!$J130))), 'MITRE ATT&amp;CK Mappings'!$B130,"")</f>
        <v/>
      </c>
      <c r="K134" s="26" t="str">
        <f>IF(OR(OR(OR(OR(OR(ISNUMBER(SEARCH(IF(K$1&lt;&gt;"",K$1,"NA"),'MITRE ATT&amp;CK Mappings'!$E130)),ISNUMBER(SEARCH(IF(K$1&lt;&gt;"",K$1,"NA"),'MITRE ATT&amp;CK Mappings'!$F130))),ISNUMBER(SEARCH(IF(K$2&lt;&gt;"",K$2,"NA"),'MITRE ATT&amp;CK Mappings'!$G130))),ISNUMBER(SEARCH(IF(K$2&lt;&gt;"",K$2,"NA"),'MITRE ATT&amp;CK Mappings'!$H130))),ISNUMBER(SEARCH(IF(K$3&lt;&gt;"",K$3,"NA"),'MITRE ATT&amp;CK Mappings'!$I130))),ISNUMBER(SEARCH(IF(K$3&lt;&gt;"",K$3,"NA"),'MITRE ATT&amp;CK Mappings'!$J130))), 'MITRE ATT&amp;CK Mappings'!$B130,"")</f>
        <v/>
      </c>
      <c r="L134" s="26" t="str">
        <f>IF('MITRE ATT&amp;CK Mappings'!D130 &lt;&gt;"",'MITRE ATT&amp;CK Mappings'!D130,"" )</f>
        <v>Ensure Public Network Access is Disabled</v>
      </c>
    </row>
    <row r="135" spans="1:12" x14ac:dyDescent="0.25">
      <c r="A135" s="27" t="str">
        <f>IF(COUNTIF(B135:K135,"="&amp;'MITRE ATT&amp;CK Mappings'!B131)&gt;0,'MITRE ATT&amp;CK Mappings'!B131,"")</f>
        <v/>
      </c>
      <c r="B135" s="27" t="str">
        <f>IF(OR(OR(OR(OR(OR(ISNUMBER(SEARCH(IF(B$1&lt;&gt;"",B$1,"NA"),'MITRE ATT&amp;CK Mappings'!$E131)),ISNUMBER(SEARCH(IF(B$1&lt;&gt;"",B$1,"NA"),'MITRE ATT&amp;CK Mappings'!$F131))),ISNUMBER(SEARCH(IF(B$2&lt;&gt;"",B$2,"NA"),'MITRE ATT&amp;CK Mappings'!$G131))),ISNUMBER(SEARCH(IF(B$2&lt;&gt;"",B$2,"NA"),'MITRE ATT&amp;CK Mappings'!$H131))),ISNUMBER(SEARCH(IF(B$3&lt;&gt;"",B$3,"NA"),'MITRE ATT&amp;CK Mappings'!$I131))),ISNUMBER(SEARCH(IF(B$3&lt;&gt;"",B$3,"NA"),'MITRE ATT&amp;CK Mappings'!$J131))), 'MITRE ATT&amp;CK Mappings'!$B131,"")</f>
        <v/>
      </c>
      <c r="C135" s="27" t="str">
        <f>IF(OR(OR(OR(OR(OR(ISNUMBER(SEARCH(IF(C$1&lt;&gt;"",C$1,"NA"),'MITRE ATT&amp;CK Mappings'!$E131)),ISNUMBER(SEARCH(IF(C$1&lt;&gt;"",C$1,"NA"),'MITRE ATT&amp;CK Mappings'!$F131))),ISNUMBER(SEARCH(IF(C$2&lt;&gt;"",C$2,"NA"),'MITRE ATT&amp;CK Mappings'!$G131))),ISNUMBER(SEARCH(IF(C$2&lt;&gt;"",C$2,"NA"),'MITRE ATT&amp;CK Mappings'!$H131))),ISNUMBER(SEARCH(IF(C$3&lt;&gt;"",C$3,"NA"),'MITRE ATT&amp;CK Mappings'!$I131))),ISNUMBER(SEARCH(IF(C$3&lt;&gt;"",C$3,"NA"),'MITRE ATT&amp;CK Mappings'!$J131))), 'MITRE ATT&amp;CK Mappings'!$B131,"")</f>
        <v/>
      </c>
      <c r="D135" s="27" t="str">
        <f>IF(OR(OR(OR(OR(OR(ISNUMBER(SEARCH(IF(D$1&lt;&gt;"",D$1,"NA"),'MITRE ATT&amp;CK Mappings'!$E131)),ISNUMBER(SEARCH(IF(D$1&lt;&gt;"",D$1,"NA"),'MITRE ATT&amp;CK Mappings'!$F131))),ISNUMBER(SEARCH(IF(D$2&lt;&gt;"",D$2,"NA"),'MITRE ATT&amp;CK Mappings'!$G131))),ISNUMBER(SEARCH(IF(D$2&lt;&gt;"",D$2,"NA"),'MITRE ATT&amp;CK Mappings'!$H131))),ISNUMBER(SEARCH(IF(D$3&lt;&gt;"",D$3,"NA"),'MITRE ATT&amp;CK Mappings'!$I131))),ISNUMBER(SEARCH(IF(D$3&lt;&gt;"",D$3,"NA"),'MITRE ATT&amp;CK Mappings'!$J131))), 'MITRE ATT&amp;CK Mappings'!$B131,"")</f>
        <v/>
      </c>
      <c r="E135" s="27" t="str">
        <f>IF(OR(OR(OR(OR(OR(ISNUMBER(SEARCH(IF(E$1&lt;&gt;"",E$1,"NA"),'MITRE ATT&amp;CK Mappings'!$E131)),ISNUMBER(SEARCH(IF(E$1&lt;&gt;"",E$1,"NA"),'MITRE ATT&amp;CK Mappings'!$F131))),ISNUMBER(SEARCH(IF(E$2&lt;&gt;"",E$2,"NA"),'MITRE ATT&amp;CK Mappings'!$G131))),ISNUMBER(SEARCH(IF(E$2&lt;&gt;"",E$2,"NA"),'MITRE ATT&amp;CK Mappings'!$H131))),ISNUMBER(SEARCH(IF(E$3&lt;&gt;"",E$3,"NA"),'MITRE ATT&amp;CK Mappings'!$I131))),ISNUMBER(SEARCH(IF(E$3&lt;&gt;"",E$3,"NA"),'MITRE ATT&amp;CK Mappings'!$J131))), 'MITRE ATT&amp;CK Mappings'!$B131,"")</f>
        <v/>
      </c>
      <c r="F135" s="27" t="str">
        <f>IF(OR(OR(OR(OR(OR(ISNUMBER(SEARCH(IF(F$1&lt;&gt;"",F$1,"NA"),'MITRE ATT&amp;CK Mappings'!$E131)),ISNUMBER(SEARCH(IF(F$1&lt;&gt;"",F$1,"NA"),'MITRE ATT&amp;CK Mappings'!$F131))),ISNUMBER(SEARCH(IF(F$2&lt;&gt;"",F$2,"NA"),'MITRE ATT&amp;CK Mappings'!$G131))),ISNUMBER(SEARCH(IF(F$2&lt;&gt;"",F$2,"NA"),'MITRE ATT&amp;CK Mappings'!$H131))),ISNUMBER(SEARCH(IF(F$3&lt;&gt;"",F$3,"NA"),'MITRE ATT&amp;CK Mappings'!$I131))),ISNUMBER(SEARCH(IF(F$3&lt;&gt;"",F$3,"NA"),'MITRE ATT&amp;CK Mappings'!$J131))), 'MITRE ATT&amp;CK Mappings'!$B131,"")</f>
        <v/>
      </c>
      <c r="G135" s="27" t="str">
        <f>IF(OR(OR(OR(OR(OR(ISNUMBER(SEARCH(IF(G$1&lt;&gt;"",G$1,"NA"),'MITRE ATT&amp;CK Mappings'!$E131)),ISNUMBER(SEARCH(IF(G$1&lt;&gt;"",G$1,"NA"),'MITRE ATT&amp;CK Mappings'!$F131))),ISNUMBER(SEARCH(IF(G$2&lt;&gt;"",G$2,"NA"),'MITRE ATT&amp;CK Mappings'!$G131))),ISNUMBER(SEARCH(IF(G$2&lt;&gt;"",G$2,"NA"),'MITRE ATT&amp;CK Mappings'!$H131))),ISNUMBER(SEARCH(IF(G$3&lt;&gt;"",G$3,"NA"),'MITRE ATT&amp;CK Mappings'!$I131))),ISNUMBER(SEARCH(IF(G$3&lt;&gt;"",G$3,"NA"),'MITRE ATT&amp;CK Mappings'!$J131))), 'MITRE ATT&amp;CK Mappings'!$B131,"")</f>
        <v/>
      </c>
      <c r="H135" s="27" t="str">
        <f>IF(OR(OR(OR(OR(OR(ISNUMBER(SEARCH(IF(H$1&lt;&gt;"",H$1,"NA"),'MITRE ATT&amp;CK Mappings'!$E131)),ISNUMBER(SEARCH(IF(H$1&lt;&gt;"",H$1,"NA"),'MITRE ATT&amp;CK Mappings'!$F131))),ISNUMBER(SEARCH(IF(H$2&lt;&gt;"",H$2,"NA"),'MITRE ATT&amp;CK Mappings'!$G131))),ISNUMBER(SEARCH(IF(H$2&lt;&gt;"",H$2,"NA"),'MITRE ATT&amp;CK Mappings'!$H131))),ISNUMBER(SEARCH(IF(H$3&lt;&gt;"",H$3,"NA"),'MITRE ATT&amp;CK Mappings'!$I131))),ISNUMBER(SEARCH(IF(H$3&lt;&gt;"",H$3,"NA"),'MITRE ATT&amp;CK Mappings'!$J131))), 'MITRE ATT&amp;CK Mappings'!$B131,"")</f>
        <v/>
      </c>
      <c r="I135" s="27" t="str">
        <f>IF(OR(OR(OR(OR(OR(ISNUMBER(SEARCH(IF(I$1&lt;&gt;"",I$1,"NA"),'MITRE ATT&amp;CK Mappings'!$E131)),ISNUMBER(SEARCH(IF(I$1&lt;&gt;"",I$1,"NA"),'MITRE ATT&amp;CK Mappings'!$F131))),ISNUMBER(SEARCH(IF(I$2&lt;&gt;"",I$2,"NA"),'MITRE ATT&amp;CK Mappings'!$G131))),ISNUMBER(SEARCH(IF(I$2&lt;&gt;"",I$2,"NA"),'MITRE ATT&amp;CK Mappings'!$H131))),ISNUMBER(SEARCH(IF(I$3&lt;&gt;"",I$3,"NA"),'MITRE ATT&amp;CK Mappings'!$I131))),ISNUMBER(SEARCH(IF(I$3&lt;&gt;"",I$3,"NA"),'MITRE ATT&amp;CK Mappings'!$J131))), 'MITRE ATT&amp;CK Mappings'!$B131,"")</f>
        <v/>
      </c>
      <c r="J135" s="27" t="str">
        <f>IF(OR(OR(OR(OR(OR(ISNUMBER(SEARCH(IF(J$1&lt;&gt;"",J$1,"NA"),'MITRE ATT&amp;CK Mappings'!$E131)),ISNUMBER(SEARCH(IF(J$1&lt;&gt;"",J$1,"NA"),'MITRE ATT&amp;CK Mappings'!$F131))),ISNUMBER(SEARCH(IF(J$2&lt;&gt;"",J$2,"NA"),'MITRE ATT&amp;CK Mappings'!$G131))),ISNUMBER(SEARCH(IF(J$2&lt;&gt;"",J$2,"NA"),'MITRE ATT&amp;CK Mappings'!$H131))),ISNUMBER(SEARCH(IF(J$3&lt;&gt;"",J$3,"NA"),'MITRE ATT&amp;CK Mappings'!$I131))),ISNUMBER(SEARCH(IF(J$3&lt;&gt;"",J$3,"NA"),'MITRE ATT&amp;CK Mappings'!$J131))), 'MITRE ATT&amp;CK Mappings'!$B131,"")</f>
        <v/>
      </c>
      <c r="K135" s="27" t="str">
        <f>IF(OR(OR(OR(OR(OR(ISNUMBER(SEARCH(IF(K$1&lt;&gt;"",K$1,"NA"),'MITRE ATT&amp;CK Mappings'!$E131)),ISNUMBER(SEARCH(IF(K$1&lt;&gt;"",K$1,"NA"),'MITRE ATT&amp;CK Mappings'!$F131))),ISNUMBER(SEARCH(IF(K$2&lt;&gt;"",K$2,"NA"),'MITRE ATT&amp;CK Mappings'!$G131))),ISNUMBER(SEARCH(IF(K$2&lt;&gt;"",K$2,"NA"),'MITRE ATT&amp;CK Mappings'!$H131))),ISNUMBER(SEARCH(IF(K$3&lt;&gt;"",K$3,"NA"),'MITRE ATT&amp;CK Mappings'!$I131))),ISNUMBER(SEARCH(IF(K$3&lt;&gt;"",K$3,"NA"),'MITRE ATT&amp;CK Mappings'!$J131))), 'MITRE ATT&amp;CK Mappings'!$B131,"")</f>
        <v/>
      </c>
      <c r="L135" s="27" t="str">
        <f>IF('MITRE ATT&amp;CK Mappings'!D131 &lt;&gt;"",'MITRE ATT&amp;CK Mappings'!D131,"" )</f>
        <v>Ensure Private Endpoints are used to access Azure Key Vault</v>
      </c>
    </row>
    <row r="136" spans="1:12" x14ac:dyDescent="0.25">
      <c r="A136" s="26" t="str">
        <f>IF(COUNTIF(B136:K136,"="&amp;'MITRE ATT&amp;CK Mappings'!B132)&gt;0,'MITRE ATT&amp;CK Mappings'!B132,"")</f>
        <v/>
      </c>
      <c r="B136" s="26" t="str">
        <f>IF(OR(OR(OR(OR(OR(ISNUMBER(SEARCH(IF(B$1&lt;&gt;"",B$1,"NA"),'MITRE ATT&amp;CK Mappings'!$E132)),ISNUMBER(SEARCH(IF(B$1&lt;&gt;"",B$1,"NA"),'MITRE ATT&amp;CK Mappings'!$F132))),ISNUMBER(SEARCH(IF(B$2&lt;&gt;"",B$2,"NA"),'MITRE ATT&amp;CK Mappings'!$G132))),ISNUMBER(SEARCH(IF(B$2&lt;&gt;"",B$2,"NA"),'MITRE ATT&amp;CK Mappings'!$H132))),ISNUMBER(SEARCH(IF(B$3&lt;&gt;"",B$3,"NA"),'MITRE ATT&amp;CK Mappings'!$I132))),ISNUMBER(SEARCH(IF(B$3&lt;&gt;"",B$3,"NA"),'MITRE ATT&amp;CK Mappings'!$J132))), 'MITRE ATT&amp;CK Mappings'!$B132,"")</f>
        <v/>
      </c>
      <c r="C136" s="26" t="str">
        <f>IF(OR(OR(OR(OR(OR(ISNUMBER(SEARCH(IF(C$1&lt;&gt;"",C$1,"NA"),'MITRE ATT&amp;CK Mappings'!$E132)),ISNUMBER(SEARCH(IF(C$1&lt;&gt;"",C$1,"NA"),'MITRE ATT&amp;CK Mappings'!$F132))),ISNUMBER(SEARCH(IF(C$2&lt;&gt;"",C$2,"NA"),'MITRE ATT&amp;CK Mappings'!$G132))),ISNUMBER(SEARCH(IF(C$2&lt;&gt;"",C$2,"NA"),'MITRE ATT&amp;CK Mappings'!$H132))),ISNUMBER(SEARCH(IF(C$3&lt;&gt;"",C$3,"NA"),'MITRE ATT&amp;CK Mappings'!$I132))),ISNUMBER(SEARCH(IF(C$3&lt;&gt;"",C$3,"NA"),'MITRE ATT&amp;CK Mappings'!$J132))), 'MITRE ATT&amp;CK Mappings'!$B132,"")</f>
        <v/>
      </c>
      <c r="D136" s="26" t="str">
        <f>IF(OR(OR(OR(OR(OR(ISNUMBER(SEARCH(IF(D$1&lt;&gt;"",D$1,"NA"),'MITRE ATT&amp;CK Mappings'!$E132)),ISNUMBER(SEARCH(IF(D$1&lt;&gt;"",D$1,"NA"),'MITRE ATT&amp;CK Mappings'!$F132))),ISNUMBER(SEARCH(IF(D$2&lt;&gt;"",D$2,"NA"),'MITRE ATT&amp;CK Mappings'!$G132))),ISNUMBER(SEARCH(IF(D$2&lt;&gt;"",D$2,"NA"),'MITRE ATT&amp;CK Mappings'!$H132))),ISNUMBER(SEARCH(IF(D$3&lt;&gt;"",D$3,"NA"),'MITRE ATT&amp;CK Mappings'!$I132))),ISNUMBER(SEARCH(IF(D$3&lt;&gt;"",D$3,"NA"),'MITRE ATT&amp;CK Mappings'!$J132))), 'MITRE ATT&amp;CK Mappings'!$B132,"")</f>
        <v/>
      </c>
      <c r="E136" s="26" t="str">
        <f>IF(OR(OR(OR(OR(OR(ISNUMBER(SEARCH(IF(E$1&lt;&gt;"",E$1,"NA"),'MITRE ATT&amp;CK Mappings'!$E132)),ISNUMBER(SEARCH(IF(E$1&lt;&gt;"",E$1,"NA"),'MITRE ATT&amp;CK Mappings'!$F132))),ISNUMBER(SEARCH(IF(E$2&lt;&gt;"",E$2,"NA"),'MITRE ATT&amp;CK Mappings'!$G132))),ISNUMBER(SEARCH(IF(E$2&lt;&gt;"",E$2,"NA"),'MITRE ATT&amp;CK Mappings'!$H132))),ISNUMBER(SEARCH(IF(E$3&lt;&gt;"",E$3,"NA"),'MITRE ATT&amp;CK Mappings'!$I132))),ISNUMBER(SEARCH(IF(E$3&lt;&gt;"",E$3,"NA"),'MITRE ATT&amp;CK Mappings'!$J132))), 'MITRE ATT&amp;CK Mappings'!$B132,"")</f>
        <v/>
      </c>
      <c r="F136" s="26" t="str">
        <f>IF(OR(OR(OR(OR(OR(ISNUMBER(SEARCH(IF(F$1&lt;&gt;"",F$1,"NA"),'MITRE ATT&amp;CK Mappings'!$E132)),ISNUMBER(SEARCH(IF(F$1&lt;&gt;"",F$1,"NA"),'MITRE ATT&amp;CK Mappings'!$F132))),ISNUMBER(SEARCH(IF(F$2&lt;&gt;"",F$2,"NA"),'MITRE ATT&amp;CK Mappings'!$G132))),ISNUMBER(SEARCH(IF(F$2&lt;&gt;"",F$2,"NA"),'MITRE ATT&amp;CK Mappings'!$H132))),ISNUMBER(SEARCH(IF(F$3&lt;&gt;"",F$3,"NA"),'MITRE ATT&amp;CK Mappings'!$I132))),ISNUMBER(SEARCH(IF(F$3&lt;&gt;"",F$3,"NA"),'MITRE ATT&amp;CK Mappings'!$J132))), 'MITRE ATT&amp;CK Mappings'!$B132,"")</f>
        <v/>
      </c>
      <c r="G136" s="26" t="str">
        <f>IF(OR(OR(OR(OR(OR(ISNUMBER(SEARCH(IF(G$1&lt;&gt;"",G$1,"NA"),'MITRE ATT&amp;CK Mappings'!$E132)),ISNUMBER(SEARCH(IF(G$1&lt;&gt;"",G$1,"NA"),'MITRE ATT&amp;CK Mappings'!$F132))),ISNUMBER(SEARCH(IF(G$2&lt;&gt;"",G$2,"NA"),'MITRE ATT&amp;CK Mappings'!$G132))),ISNUMBER(SEARCH(IF(G$2&lt;&gt;"",G$2,"NA"),'MITRE ATT&amp;CK Mappings'!$H132))),ISNUMBER(SEARCH(IF(G$3&lt;&gt;"",G$3,"NA"),'MITRE ATT&amp;CK Mappings'!$I132))),ISNUMBER(SEARCH(IF(G$3&lt;&gt;"",G$3,"NA"),'MITRE ATT&amp;CK Mappings'!$J132))), 'MITRE ATT&amp;CK Mappings'!$B132,"")</f>
        <v/>
      </c>
      <c r="H136" s="26" t="str">
        <f>IF(OR(OR(OR(OR(OR(ISNUMBER(SEARCH(IF(H$1&lt;&gt;"",H$1,"NA"),'MITRE ATT&amp;CK Mappings'!$E132)),ISNUMBER(SEARCH(IF(H$1&lt;&gt;"",H$1,"NA"),'MITRE ATT&amp;CK Mappings'!$F132))),ISNUMBER(SEARCH(IF(H$2&lt;&gt;"",H$2,"NA"),'MITRE ATT&amp;CK Mappings'!$G132))),ISNUMBER(SEARCH(IF(H$2&lt;&gt;"",H$2,"NA"),'MITRE ATT&amp;CK Mappings'!$H132))),ISNUMBER(SEARCH(IF(H$3&lt;&gt;"",H$3,"NA"),'MITRE ATT&amp;CK Mappings'!$I132))),ISNUMBER(SEARCH(IF(H$3&lt;&gt;"",H$3,"NA"),'MITRE ATT&amp;CK Mappings'!$J132))), 'MITRE ATT&amp;CK Mappings'!$B132,"")</f>
        <v/>
      </c>
      <c r="I136" s="26" t="str">
        <f>IF(OR(OR(OR(OR(OR(ISNUMBER(SEARCH(IF(I$1&lt;&gt;"",I$1,"NA"),'MITRE ATT&amp;CK Mappings'!$E132)),ISNUMBER(SEARCH(IF(I$1&lt;&gt;"",I$1,"NA"),'MITRE ATT&amp;CK Mappings'!$F132))),ISNUMBER(SEARCH(IF(I$2&lt;&gt;"",I$2,"NA"),'MITRE ATT&amp;CK Mappings'!$G132))),ISNUMBER(SEARCH(IF(I$2&lt;&gt;"",I$2,"NA"),'MITRE ATT&amp;CK Mappings'!$H132))),ISNUMBER(SEARCH(IF(I$3&lt;&gt;"",I$3,"NA"),'MITRE ATT&amp;CK Mappings'!$I132))),ISNUMBER(SEARCH(IF(I$3&lt;&gt;"",I$3,"NA"),'MITRE ATT&amp;CK Mappings'!$J132))), 'MITRE ATT&amp;CK Mappings'!$B132,"")</f>
        <v/>
      </c>
      <c r="J136" s="26" t="str">
        <f>IF(OR(OR(OR(OR(OR(ISNUMBER(SEARCH(IF(J$1&lt;&gt;"",J$1,"NA"),'MITRE ATT&amp;CK Mappings'!$E132)),ISNUMBER(SEARCH(IF(J$1&lt;&gt;"",J$1,"NA"),'MITRE ATT&amp;CK Mappings'!$F132))),ISNUMBER(SEARCH(IF(J$2&lt;&gt;"",J$2,"NA"),'MITRE ATT&amp;CK Mappings'!$G132))),ISNUMBER(SEARCH(IF(J$2&lt;&gt;"",J$2,"NA"),'MITRE ATT&amp;CK Mappings'!$H132))),ISNUMBER(SEARCH(IF(J$3&lt;&gt;"",J$3,"NA"),'MITRE ATT&amp;CK Mappings'!$I132))),ISNUMBER(SEARCH(IF(J$3&lt;&gt;"",J$3,"NA"),'MITRE ATT&amp;CK Mappings'!$J132))), 'MITRE ATT&amp;CK Mappings'!$B132,"")</f>
        <v/>
      </c>
      <c r="K136" s="26" t="str">
        <f>IF(OR(OR(OR(OR(OR(ISNUMBER(SEARCH(IF(K$1&lt;&gt;"",K$1,"NA"),'MITRE ATT&amp;CK Mappings'!$E132)),ISNUMBER(SEARCH(IF(K$1&lt;&gt;"",K$1,"NA"),'MITRE ATT&amp;CK Mappings'!$F132))),ISNUMBER(SEARCH(IF(K$2&lt;&gt;"",K$2,"NA"),'MITRE ATT&amp;CK Mappings'!$G132))),ISNUMBER(SEARCH(IF(K$2&lt;&gt;"",K$2,"NA"),'MITRE ATT&amp;CK Mappings'!$H132))),ISNUMBER(SEARCH(IF(K$3&lt;&gt;"",K$3,"NA"),'MITRE ATT&amp;CK Mappings'!$I132))),ISNUMBER(SEARCH(IF(K$3&lt;&gt;"",K$3,"NA"),'MITRE ATT&amp;CK Mappings'!$J132))), 'MITRE ATT&amp;CK Mappings'!$B132,"")</f>
        <v/>
      </c>
      <c r="L136" s="26" t="str">
        <f>IF('MITRE ATT&amp;CK Mappings'!D132 &lt;&gt;"",'MITRE ATT&amp;CK Mappings'!D132,"" )</f>
        <v>Ensure automatic key rotation is enabled within Azure Key Vault</v>
      </c>
    </row>
    <row r="137" spans="1:12" x14ac:dyDescent="0.25">
      <c r="A137" s="27" t="str">
        <f>IF(COUNTIF(B137:K137,"="&amp;'MITRE ATT&amp;CK Mappings'!B133)&gt;0,'MITRE ATT&amp;CK Mappings'!B133,"")</f>
        <v/>
      </c>
      <c r="B137" s="27" t="str">
        <f>IF(OR(OR(OR(OR(OR(ISNUMBER(SEARCH(IF(B$1&lt;&gt;"",B$1,"NA"),'MITRE ATT&amp;CK Mappings'!$E133)),ISNUMBER(SEARCH(IF(B$1&lt;&gt;"",B$1,"NA"),'MITRE ATT&amp;CK Mappings'!$F133))),ISNUMBER(SEARCH(IF(B$2&lt;&gt;"",B$2,"NA"),'MITRE ATT&amp;CK Mappings'!$G133))),ISNUMBER(SEARCH(IF(B$2&lt;&gt;"",B$2,"NA"),'MITRE ATT&amp;CK Mappings'!$H133))),ISNUMBER(SEARCH(IF(B$3&lt;&gt;"",B$3,"NA"),'MITRE ATT&amp;CK Mappings'!$I133))),ISNUMBER(SEARCH(IF(B$3&lt;&gt;"",B$3,"NA"),'MITRE ATT&amp;CK Mappings'!$J133))), 'MITRE ATT&amp;CK Mappings'!$B133,"")</f>
        <v/>
      </c>
      <c r="C137" s="27" t="str">
        <f>IF(OR(OR(OR(OR(OR(ISNUMBER(SEARCH(IF(C$1&lt;&gt;"",C$1,"NA"),'MITRE ATT&amp;CK Mappings'!$E133)),ISNUMBER(SEARCH(IF(C$1&lt;&gt;"",C$1,"NA"),'MITRE ATT&amp;CK Mappings'!$F133))),ISNUMBER(SEARCH(IF(C$2&lt;&gt;"",C$2,"NA"),'MITRE ATT&amp;CK Mappings'!$G133))),ISNUMBER(SEARCH(IF(C$2&lt;&gt;"",C$2,"NA"),'MITRE ATT&amp;CK Mappings'!$H133))),ISNUMBER(SEARCH(IF(C$3&lt;&gt;"",C$3,"NA"),'MITRE ATT&amp;CK Mappings'!$I133))),ISNUMBER(SEARCH(IF(C$3&lt;&gt;"",C$3,"NA"),'MITRE ATT&amp;CK Mappings'!$J133))), 'MITRE ATT&amp;CK Mappings'!$B133,"")</f>
        <v/>
      </c>
      <c r="D137" s="27" t="str">
        <f>IF(OR(OR(OR(OR(OR(ISNUMBER(SEARCH(IF(D$1&lt;&gt;"",D$1,"NA"),'MITRE ATT&amp;CK Mappings'!$E133)),ISNUMBER(SEARCH(IF(D$1&lt;&gt;"",D$1,"NA"),'MITRE ATT&amp;CK Mappings'!$F133))),ISNUMBER(SEARCH(IF(D$2&lt;&gt;"",D$2,"NA"),'MITRE ATT&amp;CK Mappings'!$G133))),ISNUMBER(SEARCH(IF(D$2&lt;&gt;"",D$2,"NA"),'MITRE ATT&amp;CK Mappings'!$H133))),ISNUMBER(SEARCH(IF(D$3&lt;&gt;"",D$3,"NA"),'MITRE ATT&amp;CK Mappings'!$I133))),ISNUMBER(SEARCH(IF(D$3&lt;&gt;"",D$3,"NA"),'MITRE ATT&amp;CK Mappings'!$J133))), 'MITRE ATT&amp;CK Mappings'!$B133,"")</f>
        <v/>
      </c>
      <c r="E137" s="27" t="str">
        <f>IF(OR(OR(OR(OR(OR(ISNUMBER(SEARCH(IF(E$1&lt;&gt;"",E$1,"NA"),'MITRE ATT&amp;CK Mappings'!$E133)),ISNUMBER(SEARCH(IF(E$1&lt;&gt;"",E$1,"NA"),'MITRE ATT&amp;CK Mappings'!$F133))),ISNUMBER(SEARCH(IF(E$2&lt;&gt;"",E$2,"NA"),'MITRE ATT&amp;CK Mappings'!$G133))),ISNUMBER(SEARCH(IF(E$2&lt;&gt;"",E$2,"NA"),'MITRE ATT&amp;CK Mappings'!$H133))),ISNUMBER(SEARCH(IF(E$3&lt;&gt;"",E$3,"NA"),'MITRE ATT&amp;CK Mappings'!$I133))),ISNUMBER(SEARCH(IF(E$3&lt;&gt;"",E$3,"NA"),'MITRE ATT&amp;CK Mappings'!$J133))), 'MITRE ATT&amp;CK Mappings'!$B133,"")</f>
        <v/>
      </c>
      <c r="F137" s="27" t="str">
        <f>IF(OR(OR(OR(OR(OR(ISNUMBER(SEARCH(IF(F$1&lt;&gt;"",F$1,"NA"),'MITRE ATT&amp;CK Mappings'!$E133)),ISNUMBER(SEARCH(IF(F$1&lt;&gt;"",F$1,"NA"),'MITRE ATT&amp;CK Mappings'!$F133))),ISNUMBER(SEARCH(IF(F$2&lt;&gt;"",F$2,"NA"),'MITRE ATT&amp;CK Mappings'!$G133))),ISNUMBER(SEARCH(IF(F$2&lt;&gt;"",F$2,"NA"),'MITRE ATT&amp;CK Mappings'!$H133))),ISNUMBER(SEARCH(IF(F$3&lt;&gt;"",F$3,"NA"),'MITRE ATT&amp;CK Mappings'!$I133))),ISNUMBER(SEARCH(IF(F$3&lt;&gt;"",F$3,"NA"),'MITRE ATT&amp;CK Mappings'!$J133))), 'MITRE ATT&amp;CK Mappings'!$B133,"")</f>
        <v/>
      </c>
      <c r="G137" s="27" t="str">
        <f>IF(OR(OR(OR(OR(OR(ISNUMBER(SEARCH(IF(G$1&lt;&gt;"",G$1,"NA"),'MITRE ATT&amp;CK Mappings'!$E133)),ISNUMBER(SEARCH(IF(G$1&lt;&gt;"",G$1,"NA"),'MITRE ATT&amp;CK Mappings'!$F133))),ISNUMBER(SEARCH(IF(G$2&lt;&gt;"",G$2,"NA"),'MITRE ATT&amp;CK Mappings'!$G133))),ISNUMBER(SEARCH(IF(G$2&lt;&gt;"",G$2,"NA"),'MITRE ATT&amp;CK Mappings'!$H133))),ISNUMBER(SEARCH(IF(G$3&lt;&gt;"",G$3,"NA"),'MITRE ATT&amp;CK Mappings'!$I133))),ISNUMBER(SEARCH(IF(G$3&lt;&gt;"",G$3,"NA"),'MITRE ATT&amp;CK Mappings'!$J133))), 'MITRE ATT&amp;CK Mappings'!$B133,"")</f>
        <v/>
      </c>
      <c r="H137" s="27" t="str">
        <f>IF(OR(OR(OR(OR(OR(ISNUMBER(SEARCH(IF(H$1&lt;&gt;"",H$1,"NA"),'MITRE ATT&amp;CK Mappings'!$E133)),ISNUMBER(SEARCH(IF(H$1&lt;&gt;"",H$1,"NA"),'MITRE ATT&amp;CK Mappings'!$F133))),ISNUMBER(SEARCH(IF(H$2&lt;&gt;"",H$2,"NA"),'MITRE ATT&amp;CK Mappings'!$G133))),ISNUMBER(SEARCH(IF(H$2&lt;&gt;"",H$2,"NA"),'MITRE ATT&amp;CK Mappings'!$H133))),ISNUMBER(SEARCH(IF(H$3&lt;&gt;"",H$3,"NA"),'MITRE ATT&amp;CK Mappings'!$I133))),ISNUMBER(SEARCH(IF(H$3&lt;&gt;"",H$3,"NA"),'MITRE ATT&amp;CK Mappings'!$J133))), 'MITRE ATT&amp;CK Mappings'!$B133,"")</f>
        <v/>
      </c>
      <c r="I137" s="27" t="str">
        <f>IF(OR(OR(OR(OR(OR(ISNUMBER(SEARCH(IF(I$1&lt;&gt;"",I$1,"NA"),'MITRE ATT&amp;CK Mappings'!$E133)),ISNUMBER(SEARCH(IF(I$1&lt;&gt;"",I$1,"NA"),'MITRE ATT&amp;CK Mappings'!$F133))),ISNUMBER(SEARCH(IF(I$2&lt;&gt;"",I$2,"NA"),'MITRE ATT&amp;CK Mappings'!$G133))),ISNUMBER(SEARCH(IF(I$2&lt;&gt;"",I$2,"NA"),'MITRE ATT&amp;CK Mappings'!$H133))),ISNUMBER(SEARCH(IF(I$3&lt;&gt;"",I$3,"NA"),'MITRE ATT&amp;CK Mappings'!$I133))),ISNUMBER(SEARCH(IF(I$3&lt;&gt;"",I$3,"NA"),'MITRE ATT&amp;CK Mappings'!$J133))), 'MITRE ATT&amp;CK Mappings'!$B133,"")</f>
        <v/>
      </c>
      <c r="J137" s="27" t="str">
        <f>IF(OR(OR(OR(OR(OR(ISNUMBER(SEARCH(IF(J$1&lt;&gt;"",J$1,"NA"),'MITRE ATT&amp;CK Mappings'!$E133)),ISNUMBER(SEARCH(IF(J$1&lt;&gt;"",J$1,"NA"),'MITRE ATT&amp;CK Mappings'!$F133))),ISNUMBER(SEARCH(IF(J$2&lt;&gt;"",J$2,"NA"),'MITRE ATT&amp;CK Mappings'!$G133))),ISNUMBER(SEARCH(IF(J$2&lt;&gt;"",J$2,"NA"),'MITRE ATT&amp;CK Mappings'!$H133))),ISNUMBER(SEARCH(IF(J$3&lt;&gt;"",J$3,"NA"),'MITRE ATT&amp;CK Mappings'!$I133))),ISNUMBER(SEARCH(IF(J$3&lt;&gt;"",J$3,"NA"),'MITRE ATT&amp;CK Mappings'!$J133))), 'MITRE ATT&amp;CK Mappings'!$B133,"")</f>
        <v/>
      </c>
      <c r="K137" s="27" t="str">
        <f>IF(OR(OR(OR(OR(OR(ISNUMBER(SEARCH(IF(K$1&lt;&gt;"",K$1,"NA"),'MITRE ATT&amp;CK Mappings'!$E133)),ISNUMBER(SEARCH(IF(K$1&lt;&gt;"",K$1,"NA"),'MITRE ATT&amp;CK Mappings'!$F133))),ISNUMBER(SEARCH(IF(K$2&lt;&gt;"",K$2,"NA"),'MITRE ATT&amp;CK Mappings'!$G133))),ISNUMBER(SEARCH(IF(K$2&lt;&gt;"",K$2,"NA"),'MITRE ATT&amp;CK Mappings'!$H133))),ISNUMBER(SEARCH(IF(K$3&lt;&gt;"",K$3,"NA"),'MITRE ATT&amp;CK Mappings'!$I133))),ISNUMBER(SEARCH(IF(K$3&lt;&gt;"",K$3,"NA"),'MITRE ATT&amp;CK Mappings'!$J133))), 'MITRE ATT&amp;CK Mappings'!$B133,"")</f>
        <v/>
      </c>
      <c r="L137" s="27" t="str">
        <f>IF('MITRE ATT&amp;CK Mappings'!D133 &lt;&gt;"",'MITRE ATT&amp;CK Mappings'!D133,"" )</f>
        <v>Ensure that Azure Key Vault Managed HSM is used when required</v>
      </c>
    </row>
    <row r="138" spans="1:12" x14ac:dyDescent="0.25">
      <c r="A138" s="26" t="str">
        <f>IF(COUNTIF(B138:K138,"="&amp;'MITRE ATT&amp;CK Mappings'!B134)&gt;0,'MITRE ATT&amp;CK Mappings'!B134,"")</f>
        <v/>
      </c>
      <c r="B138" s="26" t="str">
        <f>IF(OR(OR(OR(OR(OR(ISNUMBER(SEARCH(IF(B$1&lt;&gt;"",B$1,"NA"),'MITRE ATT&amp;CK Mappings'!$E134)),ISNUMBER(SEARCH(IF(B$1&lt;&gt;"",B$1,"NA"),'MITRE ATT&amp;CK Mappings'!$F134))),ISNUMBER(SEARCH(IF(B$2&lt;&gt;"",B$2,"NA"),'MITRE ATT&amp;CK Mappings'!$G134))),ISNUMBER(SEARCH(IF(B$2&lt;&gt;"",B$2,"NA"),'MITRE ATT&amp;CK Mappings'!$H134))),ISNUMBER(SEARCH(IF(B$3&lt;&gt;"",B$3,"NA"),'MITRE ATT&amp;CK Mappings'!$I134))),ISNUMBER(SEARCH(IF(B$3&lt;&gt;"",B$3,"NA"),'MITRE ATT&amp;CK Mappings'!$J134))), 'MITRE ATT&amp;CK Mappings'!$B134,"")</f>
        <v/>
      </c>
      <c r="C138" s="26" t="str">
        <f>IF(OR(OR(OR(OR(OR(ISNUMBER(SEARCH(IF(C$1&lt;&gt;"",C$1,"NA"),'MITRE ATT&amp;CK Mappings'!$E134)),ISNUMBER(SEARCH(IF(C$1&lt;&gt;"",C$1,"NA"),'MITRE ATT&amp;CK Mappings'!$F134))),ISNUMBER(SEARCH(IF(C$2&lt;&gt;"",C$2,"NA"),'MITRE ATT&amp;CK Mappings'!$G134))),ISNUMBER(SEARCH(IF(C$2&lt;&gt;"",C$2,"NA"),'MITRE ATT&amp;CK Mappings'!$H134))),ISNUMBER(SEARCH(IF(C$3&lt;&gt;"",C$3,"NA"),'MITRE ATT&amp;CK Mappings'!$I134))),ISNUMBER(SEARCH(IF(C$3&lt;&gt;"",C$3,"NA"),'MITRE ATT&amp;CK Mappings'!$J134))), 'MITRE ATT&amp;CK Mappings'!$B134,"")</f>
        <v/>
      </c>
      <c r="D138" s="26" t="str">
        <f>IF(OR(OR(OR(OR(OR(ISNUMBER(SEARCH(IF(D$1&lt;&gt;"",D$1,"NA"),'MITRE ATT&amp;CK Mappings'!$E134)),ISNUMBER(SEARCH(IF(D$1&lt;&gt;"",D$1,"NA"),'MITRE ATT&amp;CK Mappings'!$F134))),ISNUMBER(SEARCH(IF(D$2&lt;&gt;"",D$2,"NA"),'MITRE ATT&amp;CK Mappings'!$G134))),ISNUMBER(SEARCH(IF(D$2&lt;&gt;"",D$2,"NA"),'MITRE ATT&amp;CK Mappings'!$H134))),ISNUMBER(SEARCH(IF(D$3&lt;&gt;"",D$3,"NA"),'MITRE ATT&amp;CK Mappings'!$I134))),ISNUMBER(SEARCH(IF(D$3&lt;&gt;"",D$3,"NA"),'MITRE ATT&amp;CK Mappings'!$J134))), 'MITRE ATT&amp;CK Mappings'!$B134,"")</f>
        <v/>
      </c>
      <c r="E138" s="26" t="str">
        <f>IF(OR(OR(OR(OR(OR(ISNUMBER(SEARCH(IF(E$1&lt;&gt;"",E$1,"NA"),'MITRE ATT&amp;CK Mappings'!$E134)),ISNUMBER(SEARCH(IF(E$1&lt;&gt;"",E$1,"NA"),'MITRE ATT&amp;CK Mappings'!$F134))),ISNUMBER(SEARCH(IF(E$2&lt;&gt;"",E$2,"NA"),'MITRE ATT&amp;CK Mappings'!$G134))),ISNUMBER(SEARCH(IF(E$2&lt;&gt;"",E$2,"NA"),'MITRE ATT&amp;CK Mappings'!$H134))),ISNUMBER(SEARCH(IF(E$3&lt;&gt;"",E$3,"NA"),'MITRE ATT&amp;CK Mappings'!$I134))),ISNUMBER(SEARCH(IF(E$3&lt;&gt;"",E$3,"NA"),'MITRE ATT&amp;CK Mappings'!$J134))), 'MITRE ATT&amp;CK Mappings'!$B134,"")</f>
        <v/>
      </c>
      <c r="F138" s="26" t="str">
        <f>IF(OR(OR(OR(OR(OR(ISNUMBER(SEARCH(IF(F$1&lt;&gt;"",F$1,"NA"),'MITRE ATT&amp;CK Mappings'!$E134)),ISNUMBER(SEARCH(IF(F$1&lt;&gt;"",F$1,"NA"),'MITRE ATT&amp;CK Mappings'!$F134))),ISNUMBER(SEARCH(IF(F$2&lt;&gt;"",F$2,"NA"),'MITRE ATT&amp;CK Mappings'!$G134))),ISNUMBER(SEARCH(IF(F$2&lt;&gt;"",F$2,"NA"),'MITRE ATT&amp;CK Mappings'!$H134))),ISNUMBER(SEARCH(IF(F$3&lt;&gt;"",F$3,"NA"),'MITRE ATT&amp;CK Mappings'!$I134))),ISNUMBER(SEARCH(IF(F$3&lt;&gt;"",F$3,"NA"),'MITRE ATT&amp;CK Mappings'!$J134))), 'MITRE ATT&amp;CK Mappings'!$B134,"")</f>
        <v/>
      </c>
      <c r="G138" s="26" t="str">
        <f>IF(OR(OR(OR(OR(OR(ISNUMBER(SEARCH(IF(G$1&lt;&gt;"",G$1,"NA"),'MITRE ATT&amp;CK Mappings'!$E134)),ISNUMBER(SEARCH(IF(G$1&lt;&gt;"",G$1,"NA"),'MITRE ATT&amp;CK Mappings'!$F134))),ISNUMBER(SEARCH(IF(G$2&lt;&gt;"",G$2,"NA"),'MITRE ATT&amp;CK Mappings'!$G134))),ISNUMBER(SEARCH(IF(G$2&lt;&gt;"",G$2,"NA"),'MITRE ATT&amp;CK Mappings'!$H134))),ISNUMBER(SEARCH(IF(G$3&lt;&gt;"",G$3,"NA"),'MITRE ATT&amp;CK Mappings'!$I134))),ISNUMBER(SEARCH(IF(G$3&lt;&gt;"",G$3,"NA"),'MITRE ATT&amp;CK Mappings'!$J134))), 'MITRE ATT&amp;CK Mappings'!$B134,"")</f>
        <v/>
      </c>
      <c r="H138" s="26" t="str">
        <f>IF(OR(OR(OR(OR(OR(ISNUMBER(SEARCH(IF(H$1&lt;&gt;"",H$1,"NA"),'MITRE ATT&amp;CK Mappings'!$E134)),ISNUMBER(SEARCH(IF(H$1&lt;&gt;"",H$1,"NA"),'MITRE ATT&amp;CK Mappings'!$F134))),ISNUMBER(SEARCH(IF(H$2&lt;&gt;"",H$2,"NA"),'MITRE ATT&amp;CK Mappings'!$G134))),ISNUMBER(SEARCH(IF(H$2&lt;&gt;"",H$2,"NA"),'MITRE ATT&amp;CK Mappings'!$H134))),ISNUMBER(SEARCH(IF(H$3&lt;&gt;"",H$3,"NA"),'MITRE ATT&amp;CK Mappings'!$I134))),ISNUMBER(SEARCH(IF(H$3&lt;&gt;"",H$3,"NA"),'MITRE ATT&amp;CK Mappings'!$J134))), 'MITRE ATT&amp;CK Mappings'!$B134,"")</f>
        <v/>
      </c>
      <c r="I138" s="26" t="str">
        <f>IF(OR(OR(OR(OR(OR(ISNUMBER(SEARCH(IF(I$1&lt;&gt;"",I$1,"NA"),'MITRE ATT&amp;CK Mappings'!$E134)),ISNUMBER(SEARCH(IF(I$1&lt;&gt;"",I$1,"NA"),'MITRE ATT&amp;CK Mappings'!$F134))),ISNUMBER(SEARCH(IF(I$2&lt;&gt;"",I$2,"NA"),'MITRE ATT&amp;CK Mappings'!$G134))),ISNUMBER(SEARCH(IF(I$2&lt;&gt;"",I$2,"NA"),'MITRE ATT&amp;CK Mappings'!$H134))),ISNUMBER(SEARCH(IF(I$3&lt;&gt;"",I$3,"NA"),'MITRE ATT&amp;CK Mappings'!$I134))),ISNUMBER(SEARCH(IF(I$3&lt;&gt;"",I$3,"NA"),'MITRE ATT&amp;CK Mappings'!$J134))), 'MITRE ATT&amp;CK Mappings'!$B134,"")</f>
        <v/>
      </c>
      <c r="J138" s="26" t="str">
        <f>IF(OR(OR(OR(OR(OR(ISNUMBER(SEARCH(IF(J$1&lt;&gt;"",J$1,"NA"),'MITRE ATT&amp;CK Mappings'!$E134)),ISNUMBER(SEARCH(IF(J$1&lt;&gt;"",J$1,"NA"),'MITRE ATT&amp;CK Mappings'!$F134))),ISNUMBER(SEARCH(IF(J$2&lt;&gt;"",J$2,"NA"),'MITRE ATT&amp;CK Mappings'!$G134))),ISNUMBER(SEARCH(IF(J$2&lt;&gt;"",J$2,"NA"),'MITRE ATT&amp;CK Mappings'!$H134))),ISNUMBER(SEARCH(IF(J$3&lt;&gt;"",J$3,"NA"),'MITRE ATT&amp;CK Mappings'!$I134))),ISNUMBER(SEARCH(IF(J$3&lt;&gt;"",J$3,"NA"),'MITRE ATT&amp;CK Mappings'!$J134))), 'MITRE ATT&amp;CK Mappings'!$B134,"")</f>
        <v/>
      </c>
      <c r="K138" s="26" t="str">
        <f>IF(OR(OR(OR(OR(OR(ISNUMBER(SEARCH(IF(K$1&lt;&gt;"",K$1,"NA"),'MITRE ATT&amp;CK Mappings'!$E134)),ISNUMBER(SEARCH(IF(K$1&lt;&gt;"",K$1,"NA"),'MITRE ATT&amp;CK Mappings'!$F134))),ISNUMBER(SEARCH(IF(K$2&lt;&gt;"",K$2,"NA"),'MITRE ATT&amp;CK Mappings'!$G134))),ISNUMBER(SEARCH(IF(K$2&lt;&gt;"",K$2,"NA"),'MITRE ATT&amp;CK Mappings'!$H134))),ISNUMBER(SEARCH(IF(K$3&lt;&gt;"",K$3,"NA"),'MITRE ATT&amp;CK Mappings'!$I134))),ISNUMBER(SEARCH(IF(K$3&lt;&gt;"",K$3,"NA"),'MITRE ATT&amp;CK Mappings'!$J134))), 'MITRE ATT&amp;CK Mappings'!$B134,"")</f>
        <v/>
      </c>
      <c r="L138" s="26" t="str">
        <f>IF('MITRE ATT&amp;CK Mappings'!D134 &lt;&gt;"",'MITRE ATT&amp;CK Mappings'!D134,"" )</f>
        <v>Ensure certificate 'Validity Period (in months)' is less than or equal to '12'</v>
      </c>
    </row>
    <row r="139" spans="1:12" x14ac:dyDescent="0.25">
      <c r="A139" s="27" t="str">
        <f>IF(COUNTIF(B139:K139,"="&amp;'MITRE ATT&amp;CK Mappings'!B135)&gt;0,'MITRE ATT&amp;CK Mappings'!B135,"")</f>
        <v/>
      </c>
      <c r="B139" s="27" t="str">
        <f>IF(OR(OR(OR(OR(OR(ISNUMBER(SEARCH(IF(B$1&lt;&gt;"",B$1,"NA"),'MITRE ATT&amp;CK Mappings'!$E135)),ISNUMBER(SEARCH(IF(B$1&lt;&gt;"",B$1,"NA"),'MITRE ATT&amp;CK Mappings'!$F135))),ISNUMBER(SEARCH(IF(B$2&lt;&gt;"",B$2,"NA"),'MITRE ATT&amp;CK Mappings'!$G135))),ISNUMBER(SEARCH(IF(B$2&lt;&gt;"",B$2,"NA"),'MITRE ATT&amp;CK Mappings'!$H135))),ISNUMBER(SEARCH(IF(B$3&lt;&gt;"",B$3,"NA"),'MITRE ATT&amp;CK Mappings'!$I135))),ISNUMBER(SEARCH(IF(B$3&lt;&gt;"",B$3,"NA"),'MITRE ATT&amp;CK Mappings'!$J135))), 'MITRE ATT&amp;CK Mappings'!$B135,"")</f>
        <v/>
      </c>
      <c r="C139" s="27" t="str">
        <f>IF(OR(OR(OR(OR(OR(ISNUMBER(SEARCH(IF(C$1&lt;&gt;"",C$1,"NA"),'MITRE ATT&amp;CK Mappings'!$E135)),ISNUMBER(SEARCH(IF(C$1&lt;&gt;"",C$1,"NA"),'MITRE ATT&amp;CK Mappings'!$F135))),ISNUMBER(SEARCH(IF(C$2&lt;&gt;"",C$2,"NA"),'MITRE ATT&amp;CK Mappings'!$G135))),ISNUMBER(SEARCH(IF(C$2&lt;&gt;"",C$2,"NA"),'MITRE ATT&amp;CK Mappings'!$H135))),ISNUMBER(SEARCH(IF(C$3&lt;&gt;"",C$3,"NA"),'MITRE ATT&amp;CK Mappings'!$I135))),ISNUMBER(SEARCH(IF(C$3&lt;&gt;"",C$3,"NA"),'MITRE ATT&amp;CK Mappings'!$J135))), 'MITRE ATT&amp;CK Mappings'!$B135,"")</f>
        <v/>
      </c>
      <c r="D139" s="27" t="str">
        <f>IF(OR(OR(OR(OR(OR(ISNUMBER(SEARCH(IF(D$1&lt;&gt;"",D$1,"NA"),'MITRE ATT&amp;CK Mappings'!$E135)),ISNUMBER(SEARCH(IF(D$1&lt;&gt;"",D$1,"NA"),'MITRE ATT&amp;CK Mappings'!$F135))),ISNUMBER(SEARCH(IF(D$2&lt;&gt;"",D$2,"NA"),'MITRE ATT&amp;CK Mappings'!$G135))),ISNUMBER(SEARCH(IF(D$2&lt;&gt;"",D$2,"NA"),'MITRE ATT&amp;CK Mappings'!$H135))),ISNUMBER(SEARCH(IF(D$3&lt;&gt;"",D$3,"NA"),'MITRE ATT&amp;CK Mappings'!$I135))),ISNUMBER(SEARCH(IF(D$3&lt;&gt;"",D$3,"NA"),'MITRE ATT&amp;CK Mappings'!$J135))), 'MITRE ATT&amp;CK Mappings'!$B135,"")</f>
        <v/>
      </c>
      <c r="E139" s="27" t="str">
        <f>IF(OR(OR(OR(OR(OR(ISNUMBER(SEARCH(IF(E$1&lt;&gt;"",E$1,"NA"),'MITRE ATT&amp;CK Mappings'!$E135)),ISNUMBER(SEARCH(IF(E$1&lt;&gt;"",E$1,"NA"),'MITRE ATT&amp;CK Mappings'!$F135))),ISNUMBER(SEARCH(IF(E$2&lt;&gt;"",E$2,"NA"),'MITRE ATT&amp;CK Mappings'!$G135))),ISNUMBER(SEARCH(IF(E$2&lt;&gt;"",E$2,"NA"),'MITRE ATT&amp;CK Mappings'!$H135))),ISNUMBER(SEARCH(IF(E$3&lt;&gt;"",E$3,"NA"),'MITRE ATT&amp;CK Mappings'!$I135))),ISNUMBER(SEARCH(IF(E$3&lt;&gt;"",E$3,"NA"),'MITRE ATT&amp;CK Mappings'!$J135))), 'MITRE ATT&amp;CK Mappings'!$B135,"")</f>
        <v/>
      </c>
      <c r="F139" s="27" t="str">
        <f>IF(OR(OR(OR(OR(OR(ISNUMBER(SEARCH(IF(F$1&lt;&gt;"",F$1,"NA"),'MITRE ATT&amp;CK Mappings'!$E135)),ISNUMBER(SEARCH(IF(F$1&lt;&gt;"",F$1,"NA"),'MITRE ATT&amp;CK Mappings'!$F135))),ISNUMBER(SEARCH(IF(F$2&lt;&gt;"",F$2,"NA"),'MITRE ATT&amp;CK Mappings'!$G135))),ISNUMBER(SEARCH(IF(F$2&lt;&gt;"",F$2,"NA"),'MITRE ATT&amp;CK Mappings'!$H135))),ISNUMBER(SEARCH(IF(F$3&lt;&gt;"",F$3,"NA"),'MITRE ATT&amp;CK Mappings'!$I135))),ISNUMBER(SEARCH(IF(F$3&lt;&gt;"",F$3,"NA"),'MITRE ATT&amp;CK Mappings'!$J135))), 'MITRE ATT&amp;CK Mappings'!$B135,"")</f>
        <v/>
      </c>
      <c r="G139" s="27" t="str">
        <f>IF(OR(OR(OR(OR(OR(ISNUMBER(SEARCH(IF(G$1&lt;&gt;"",G$1,"NA"),'MITRE ATT&amp;CK Mappings'!$E135)),ISNUMBER(SEARCH(IF(G$1&lt;&gt;"",G$1,"NA"),'MITRE ATT&amp;CK Mappings'!$F135))),ISNUMBER(SEARCH(IF(G$2&lt;&gt;"",G$2,"NA"),'MITRE ATT&amp;CK Mappings'!$G135))),ISNUMBER(SEARCH(IF(G$2&lt;&gt;"",G$2,"NA"),'MITRE ATT&amp;CK Mappings'!$H135))),ISNUMBER(SEARCH(IF(G$3&lt;&gt;"",G$3,"NA"),'MITRE ATT&amp;CK Mappings'!$I135))),ISNUMBER(SEARCH(IF(G$3&lt;&gt;"",G$3,"NA"),'MITRE ATT&amp;CK Mappings'!$J135))), 'MITRE ATT&amp;CK Mappings'!$B135,"")</f>
        <v/>
      </c>
      <c r="H139" s="27" t="str">
        <f>IF(OR(OR(OR(OR(OR(ISNUMBER(SEARCH(IF(H$1&lt;&gt;"",H$1,"NA"),'MITRE ATT&amp;CK Mappings'!$E135)),ISNUMBER(SEARCH(IF(H$1&lt;&gt;"",H$1,"NA"),'MITRE ATT&amp;CK Mappings'!$F135))),ISNUMBER(SEARCH(IF(H$2&lt;&gt;"",H$2,"NA"),'MITRE ATT&amp;CK Mappings'!$G135))),ISNUMBER(SEARCH(IF(H$2&lt;&gt;"",H$2,"NA"),'MITRE ATT&amp;CK Mappings'!$H135))),ISNUMBER(SEARCH(IF(H$3&lt;&gt;"",H$3,"NA"),'MITRE ATT&amp;CK Mappings'!$I135))),ISNUMBER(SEARCH(IF(H$3&lt;&gt;"",H$3,"NA"),'MITRE ATT&amp;CK Mappings'!$J135))), 'MITRE ATT&amp;CK Mappings'!$B135,"")</f>
        <v/>
      </c>
      <c r="I139" s="27" t="str">
        <f>IF(OR(OR(OR(OR(OR(ISNUMBER(SEARCH(IF(I$1&lt;&gt;"",I$1,"NA"),'MITRE ATT&amp;CK Mappings'!$E135)),ISNUMBER(SEARCH(IF(I$1&lt;&gt;"",I$1,"NA"),'MITRE ATT&amp;CK Mappings'!$F135))),ISNUMBER(SEARCH(IF(I$2&lt;&gt;"",I$2,"NA"),'MITRE ATT&amp;CK Mappings'!$G135))),ISNUMBER(SEARCH(IF(I$2&lt;&gt;"",I$2,"NA"),'MITRE ATT&amp;CK Mappings'!$H135))),ISNUMBER(SEARCH(IF(I$3&lt;&gt;"",I$3,"NA"),'MITRE ATT&amp;CK Mappings'!$I135))),ISNUMBER(SEARCH(IF(I$3&lt;&gt;"",I$3,"NA"),'MITRE ATT&amp;CK Mappings'!$J135))), 'MITRE ATT&amp;CK Mappings'!$B135,"")</f>
        <v/>
      </c>
      <c r="J139" s="27" t="str">
        <f>IF(OR(OR(OR(OR(OR(ISNUMBER(SEARCH(IF(J$1&lt;&gt;"",J$1,"NA"),'MITRE ATT&amp;CK Mappings'!$E135)),ISNUMBER(SEARCH(IF(J$1&lt;&gt;"",J$1,"NA"),'MITRE ATT&amp;CK Mappings'!$F135))),ISNUMBER(SEARCH(IF(J$2&lt;&gt;"",J$2,"NA"),'MITRE ATT&amp;CK Mappings'!$G135))),ISNUMBER(SEARCH(IF(J$2&lt;&gt;"",J$2,"NA"),'MITRE ATT&amp;CK Mappings'!$H135))),ISNUMBER(SEARCH(IF(J$3&lt;&gt;"",J$3,"NA"),'MITRE ATT&amp;CK Mappings'!$I135))),ISNUMBER(SEARCH(IF(J$3&lt;&gt;"",J$3,"NA"),'MITRE ATT&amp;CK Mappings'!$J135))), 'MITRE ATT&amp;CK Mappings'!$B135,"")</f>
        <v/>
      </c>
      <c r="K139" s="27" t="str">
        <f>IF(OR(OR(OR(OR(OR(ISNUMBER(SEARCH(IF(K$1&lt;&gt;"",K$1,"NA"),'MITRE ATT&amp;CK Mappings'!$E135)),ISNUMBER(SEARCH(IF(K$1&lt;&gt;"",K$1,"NA"),'MITRE ATT&amp;CK Mappings'!$F135))),ISNUMBER(SEARCH(IF(K$2&lt;&gt;"",K$2,"NA"),'MITRE ATT&amp;CK Mappings'!$G135))),ISNUMBER(SEARCH(IF(K$2&lt;&gt;"",K$2,"NA"),'MITRE ATT&amp;CK Mappings'!$H135))),ISNUMBER(SEARCH(IF(K$3&lt;&gt;"",K$3,"NA"),'MITRE ATT&amp;CK Mappings'!$I135))),ISNUMBER(SEARCH(IF(K$3&lt;&gt;"",K$3,"NA"),'MITRE ATT&amp;CK Mappings'!$J135))), 'MITRE ATT&amp;CK Mappings'!$B135,"")</f>
        <v/>
      </c>
      <c r="L139" s="27" t="str">
        <f>IF('MITRE ATT&amp;CK Mappings'!D135 &lt;&gt;"",'MITRE ATT&amp;CK Mappings'!D135,"" )</f>
        <v>Ensure an Azure Bastion Host Exists</v>
      </c>
    </row>
    <row r="140" spans="1:12" x14ac:dyDescent="0.25">
      <c r="A140" s="26" t="str">
        <f>IF(COUNTIF(B140:K140,"="&amp;'MITRE ATT&amp;CK Mappings'!B136)&gt;0,'MITRE ATT&amp;CK Mappings'!B136,"")</f>
        <v/>
      </c>
      <c r="B140" s="26" t="str">
        <f>IF(OR(OR(OR(OR(OR(ISNUMBER(SEARCH(IF(B$1&lt;&gt;"",B$1,"NA"),'MITRE ATT&amp;CK Mappings'!$E136)),ISNUMBER(SEARCH(IF(B$1&lt;&gt;"",B$1,"NA"),'MITRE ATT&amp;CK Mappings'!$F136))),ISNUMBER(SEARCH(IF(B$2&lt;&gt;"",B$2,"NA"),'MITRE ATT&amp;CK Mappings'!$G136))),ISNUMBER(SEARCH(IF(B$2&lt;&gt;"",B$2,"NA"),'MITRE ATT&amp;CK Mappings'!$H136))),ISNUMBER(SEARCH(IF(B$3&lt;&gt;"",B$3,"NA"),'MITRE ATT&amp;CK Mappings'!$I136))),ISNUMBER(SEARCH(IF(B$3&lt;&gt;"",B$3,"NA"),'MITRE ATT&amp;CK Mappings'!$J136))), 'MITRE ATT&amp;CK Mappings'!$B136,"")</f>
        <v/>
      </c>
      <c r="C140" s="26" t="str">
        <f>IF(OR(OR(OR(OR(OR(ISNUMBER(SEARCH(IF(C$1&lt;&gt;"",C$1,"NA"),'MITRE ATT&amp;CK Mappings'!$E136)),ISNUMBER(SEARCH(IF(C$1&lt;&gt;"",C$1,"NA"),'MITRE ATT&amp;CK Mappings'!$F136))),ISNUMBER(SEARCH(IF(C$2&lt;&gt;"",C$2,"NA"),'MITRE ATT&amp;CK Mappings'!$G136))),ISNUMBER(SEARCH(IF(C$2&lt;&gt;"",C$2,"NA"),'MITRE ATT&amp;CK Mappings'!$H136))),ISNUMBER(SEARCH(IF(C$3&lt;&gt;"",C$3,"NA"),'MITRE ATT&amp;CK Mappings'!$I136))),ISNUMBER(SEARCH(IF(C$3&lt;&gt;"",C$3,"NA"),'MITRE ATT&amp;CK Mappings'!$J136))), 'MITRE ATT&amp;CK Mappings'!$B136,"")</f>
        <v/>
      </c>
      <c r="D140" s="26" t="str">
        <f>IF(OR(OR(OR(OR(OR(ISNUMBER(SEARCH(IF(D$1&lt;&gt;"",D$1,"NA"),'MITRE ATT&amp;CK Mappings'!$E136)),ISNUMBER(SEARCH(IF(D$1&lt;&gt;"",D$1,"NA"),'MITRE ATT&amp;CK Mappings'!$F136))),ISNUMBER(SEARCH(IF(D$2&lt;&gt;"",D$2,"NA"),'MITRE ATT&amp;CK Mappings'!$G136))),ISNUMBER(SEARCH(IF(D$2&lt;&gt;"",D$2,"NA"),'MITRE ATT&amp;CK Mappings'!$H136))),ISNUMBER(SEARCH(IF(D$3&lt;&gt;"",D$3,"NA"),'MITRE ATT&amp;CK Mappings'!$I136))),ISNUMBER(SEARCH(IF(D$3&lt;&gt;"",D$3,"NA"),'MITRE ATT&amp;CK Mappings'!$J136))), 'MITRE ATT&amp;CK Mappings'!$B136,"")</f>
        <v/>
      </c>
      <c r="E140" s="26" t="str">
        <f>IF(OR(OR(OR(OR(OR(ISNUMBER(SEARCH(IF(E$1&lt;&gt;"",E$1,"NA"),'MITRE ATT&amp;CK Mappings'!$E136)),ISNUMBER(SEARCH(IF(E$1&lt;&gt;"",E$1,"NA"),'MITRE ATT&amp;CK Mappings'!$F136))),ISNUMBER(SEARCH(IF(E$2&lt;&gt;"",E$2,"NA"),'MITRE ATT&amp;CK Mappings'!$G136))),ISNUMBER(SEARCH(IF(E$2&lt;&gt;"",E$2,"NA"),'MITRE ATT&amp;CK Mappings'!$H136))),ISNUMBER(SEARCH(IF(E$3&lt;&gt;"",E$3,"NA"),'MITRE ATT&amp;CK Mappings'!$I136))),ISNUMBER(SEARCH(IF(E$3&lt;&gt;"",E$3,"NA"),'MITRE ATT&amp;CK Mappings'!$J136))), 'MITRE ATT&amp;CK Mappings'!$B136,"")</f>
        <v/>
      </c>
      <c r="F140" s="26" t="str">
        <f>IF(OR(OR(OR(OR(OR(ISNUMBER(SEARCH(IF(F$1&lt;&gt;"",F$1,"NA"),'MITRE ATT&amp;CK Mappings'!$E136)),ISNUMBER(SEARCH(IF(F$1&lt;&gt;"",F$1,"NA"),'MITRE ATT&amp;CK Mappings'!$F136))),ISNUMBER(SEARCH(IF(F$2&lt;&gt;"",F$2,"NA"),'MITRE ATT&amp;CK Mappings'!$G136))),ISNUMBER(SEARCH(IF(F$2&lt;&gt;"",F$2,"NA"),'MITRE ATT&amp;CK Mappings'!$H136))),ISNUMBER(SEARCH(IF(F$3&lt;&gt;"",F$3,"NA"),'MITRE ATT&amp;CK Mappings'!$I136))),ISNUMBER(SEARCH(IF(F$3&lt;&gt;"",F$3,"NA"),'MITRE ATT&amp;CK Mappings'!$J136))), 'MITRE ATT&amp;CK Mappings'!$B136,"")</f>
        <v/>
      </c>
      <c r="G140" s="26" t="str">
        <f>IF(OR(OR(OR(OR(OR(ISNUMBER(SEARCH(IF(G$1&lt;&gt;"",G$1,"NA"),'MITRE ATT&amp;CK Mappings'!$E136)),ISNUMBER(SEARCH(IF(G$1&lt;&gt;"",G$1,"NA"),'MITRE ATT&amp;CK Mappings'!$F136))),ISNUMBER(SEARCH(IF(G$2&lt;&gt;"",G$2,"NA"),'MITRE ATT&amp;CK Mappings'!$G136))),ISNUMBER(SEARCH(IF(G$2&lt;&gt;"",G$2,"NA"),'MITRE ATT&amp;CK Mappings'!$H136))),ISNUMBER(SEARCH(IF(G$3&lt;&gt;"",G$3,"NA"),'MITRE ATT&amp;CK Mappings'!$I136))),ISNUMBER(SEARCH(IF(G$3&lt;&gt;"",G$3,"NA"),'MITRE ATT&amp;CK Mappings'!$J136))), 'MITRE ATT&amp;CK Mappings'!$B136,"")</f>
        <v/>
      </c>
      <c r="H140" s="26" t="str">
        <f>IF(OR(OR(OR(OR(OR(ISNUMBER(SEARCH(IF(H$1&lt;&gt;"",H$1,"NA"),'MITRE ATT&amp;CK Mappings'!$E136)),ISNUMBER(SEARCH(IF(H$1&lt;&gt;"",H$1,"NA"),'MITRE ATT&amp;CK Mappings'!$F136))),ISNUMBER(SEARCH(IF(H$2&lt;&gt;"",H$2,"NA"),'MITRE ATT&amp;CK Mappings'!$G136))),ISNUMBER(SEARCH(IF(H$2&lt;&gt;"",H$2,"NA"),'MITRE ATT&amp;CK Mappings'!$H136))),ISNUMBER(SEARCH(IF(H$3&lt;&gt;"",H$3,"NA"),'MITRE ATT&amp;CK Mappings'!$I136))),ISNUMBER(SEARCH(IF(H$3&lt;&gt;"",H$3,"NA"),'MITRE ATT&amp;CK Mappings'!$J136))), 'MITRE ATT&amp;CK Mappings'!$B136,"")</f>
        <v/>
      </c>
      <c r="I140" s="26" t="str">
        <f>IF(OR(OR(OR(OR(OR(ISNUMBER(SEARCH(IF(I$1&lt;&gt;"",I$1,"NA"),'MITRE ATT&amp;CK Mappings'!$E136)),ISNUMBER(SEARCH(IF(I$1&lt;&gt;"",I$1,"NA"),'MITRE ATT&amp;CK Mappings'!$F136))),ISNUMBER(SEARCH(IF(I$2&lt;&gt;"",I$2,"NA"),'MITRE ATT&amp;CK Mappings'!$G136))),ISNUMBER(SEARCH(IF(I$2&lt;&gt;"",I$2,"NA"),'MITRE ATT&amp;CK Mappings'!$H136))),ISNUMBER(SEARCH(IF(I$3&lt;&gt;"",I$3,"NA"),'MITRE ATT&amp;CK Mappings'!$I136))),ISNUMBER(SEARCH(IF(I$3&lt;&gt;"",I$3,"NA"),'MITRE ATT&amp;CK Mappings'!$J136))), 'MITRE ATT&amp;CK Mappings'!$B136,"")</f>
        <v/>
      </c>
      <c r="J140" s="26" t="str">
        <f>IF(OR(OR(OR(OR(OR(ISNUMBER(SEARCH(IF(J$1&lt;&gt;"",J$1,"NA"),'MITRE ATT&amp;CK Mappings'!$E136)),ISNUMBER(SEARCH(IF(J$1&lt;&gt;"",J$1,"NA"),'MITRE ATT&amp;CK Mappings'!$F136))),ISNUMBER(SEARCH(IF(J$2&lt;&gt;"",J$2,"NA"),'MITRE ATT&amp;CK Mappings'!$G136))),ISNUMBER(SEARCH(IF(J$2&lt;&gt;"",J$2,"NA"),'MITRE ATT&amp;CK Mappings'!$H136))),ISNUMBER(SEARCH(IF(J$3&lt;&gt;"",J$3,"NA"),'MITRE ATT&amp;CK Mappings'!$I136))),ISNUMBER(SEARCH(IF(J$3&lt;&gt;"",J$3,"NA"),'MITRE ATT&amp;CK Mappings'!$J136))), 'MITRE ATT&amp;CK Mappings'!$B136,"")</f>
        <v/>
      </c>
      <c r="K140" s="26" t="str">
        <f>IF(OR(OR(OR(OR(OR(ISNUMBER(SEARCH(IF(K$1&lt;&gt;"",K$1,"NA"),'MITRE ATT&amp;CK Mappings'!$E136)),ISNUMBER(SEARCH(IF(K$1&lt;&gt;"",K$1,"NA"),'MITRE ATT&amp;CK Mappings'!$F136))),ISNUMBER(SEARCH(IF(K$2&lt;&gt;"",K$2,"NA"),'MITRE ATT&amp;CK Mappings'!$G136))),ISNUMBER(SEARCH(IF(K$2&lt;&gt;"",K$2,"NA"),'MITRE ATT&amp;CK Mappings'!$H136))),ISNUMBER(SEARCH(IF(K$3&lt;&gt;"",K$3,"NA"),'MITRE ATT&amp;CK Mappings'!$I136))),ISNUMBER(SEARCH(IF(K$3&lt;&gt;"",K$3,"NA"),'MITRE ATT&amp;CK Mappings'!$J136))), 'MITRE ATT&amp;CK Mappings'!$B136,"")</f>
        <v/>
      </c>
      <c r="L140" s="26" t="str">
        <f>IF('MITRE ATT&amp;CK Mappings'!D136 &lt;&gt;"",'MITRE ATT&amp;CK Mappings'!D136,"" )</f>
        <v>Ensure soft delete for Azure File Shares is Enabled</v>
      </c>
    </row>
    <row r="141" spans="1:12" x14ac:dyDescent="0.25">
      <c r="A141" s="27" t="str">
        <f>IF(COUNTIF(B141:K141,"="&amp;'MITRE ATT&amp;CK Mappings'!B137)&gt;0,'MITRE ATT&amp;CK Mappings'!B137,"")</f>
        <v/>
      </c>
      <c r="B141" s="27" t="str">
        <f>IF(OR(OR(OR(OR(OR(ISNUMBER(SEARCH(IF(B$1&lt;&gt;"",B$1,"NA"),'MITRE ATT&amp;CK Mappings'!$E137)),ISNUMBER(SEARCH(IF(B$1&lt;&gt;"",B$1,"NA"),'MITRE ATT&amp;CK Mappings'!$F137))),ISNUMBER(SEARCH(IF(B$2&lt;&gt;"",B$2,"NA"),'MITRE ATT&amp;CK Mappings'!$G137))),ISNUMBER(SEARCH(IF(B$2&lt;&gt;"",B$2,"NA"),'MITRE ATT&amp;CK Mappings'!$H137))),ISNUMBER(SEARCH(IF(B$3&lt;&gt;"",B$3,"NA"),'MITRE ATT&amp;CK Mappings'!$I137))),ISNUMBER(SEARCH(IF(B$3&lt;&gt;"",B$3,"NA"),'MITRE ATT&amp;CK Mappings'!$J137))), 'MITRE ATT&amp;CK Mappings'!$B137,"")</f>
        <v/>
      </c>
      <c r="C141" s="27" t="str">
        <f>IF(OR(OR(OR(OR(OR(ISNUMBER(SEARCH(IF(C$1&lt;&gt;"",C$1,"NA"),'MITRE ATT&amp;CK Mappings'!$E137)),ISNUMBER(SEARCH(IF(C$1&lt;&gt;"",C$1,"NA"),'MITRE ATT&amp;CK Mappings'!$F137))),ISNUMBER(SEARCH(IF(C$2&lt;&gt;"",C$2,"NA"),'MITRE ATT&amp;CK Mappings'!$G137))),ISNUMBER(SEARCH(IF(C$2&lt;&gt;"",C$2,"NA"),'MITRE ATT&amp;CK Mappings'!$H137))),ISNUMBER(SEARCH(IF(C$3&lt;&gt;"",C$3,"NA"),'MITRE ATT&amp;CK Mappings'!$I137))),ISNUMBER(SEARCH(IF(C$3&lt;&gt;"",C$3,"NA"),'MITRE ATT&amp;CK Mappings'!$J137))), 'MITRE ATT&amp;CK Mappings'!$B137,"")</f>
        <v/>
      </c>
      <c r="D141" s="27" t="str">
        <f>IF(OR(OR(OR(OR(OR(ISNUMBER(SEARCH(IF(D$1&lt;&gt;"",D$1,"NA"),'MITRE ATT&amp;CK Mappings'!$E137)),ISNUMBER(SEARCH(IF(D$1&lt;&gt;"",D$1,"NA"),'MITRE ATT&amp;CK Mappings'!$F137))),ISNUMBER(SEARCH(IF(D$2&lt;&gt;"",D$2,"NA"),'MITRE ATT&amp;CK Mappings'!$G137))),ISNUMBER(SEARCH(IF(D$2&lt;&gt;"",D$2,"NA"),'MITRE ATT&amp;CK Mappings'!$H137))),ISNUMBER(SEARCH(IF(D$3&lt;&gt;"",D$3,"NA"),'MITRE ATT&amp;CK Mappings'!$I137))),ISNUMBER(SEARCH(IF(D$3&lt;&gt;"",D$3,"NA"),'MITRE ATT&amp;CK Mappings'!$J137))), 'MITRE ATT&amp;CK Mappings'!$B137,"")</f>
        <v/>
      </c>
      <c r="E141" s="27" t="str">
        <f>IF(OR(OR(OR(OR(OR(ISNUMBER(SEARCH(IF(E$1&lt;&gt;"",E$1,"NA"),'MITRE ATT&amp;CK Mappings'!$E137)),ISNUMBER(SEARCH(IF(E$1&lt;&gt;"",E$1,"NA"),'MITRE ATT&amp;CK Mappings'!$F137))),ISNUMBER(SEARCH(IF(E$2&lt;&gt;"",E$2,"NA"),'MITRE ATT&amp;CK Mappings'!$G137))),ISNUMBER(SEARCH(IF(E$2&lt;&gt;"",E$2,"NA"),'MITRE ATT&amp;CK Mappings'!$H137))),ISNUMBER(SEARCH(IF(E$3&lt;&gt;"",E$3,"NA"),'MITRE ATT&amp;CK Mappings'!$I137))),ISNUMBER(SEARCH(IF(E$3&lt;&gt;"",E$3,"NA"),'MITRE ATT&amp;CK Mappings'!$J137))), 'MITRE ATT&amp;CK Mappings'!$B137,"")</f>
        <v/>
      </c>
      <c r="F141" s="27" t="str">
        <f>IF(OR(OR(OR(OR(OR(ISNUMBER(SEARCH(IF(F$1&lt;&gt;"",F$1,"NA"),'MITRE ATT&amp;CK Mappings'!$E137)),ISNUMBER(SEARCH(IF(F$1&lt;&gt;"",F$1,"NA"),'MITRE ATT&amp;CK Mappings'!$F137))),ISNUMBER(SEARCH(IF(F$2&lt;&gt;"",F$2,"NA"),'MITRE ATT&amp;CK Mappings'!$G137))),ISNUMBER(SEARCH(IF(F$2&lt;&gt;"",F$2,"NA"),'MITRE ATT&amp;CK Mappings'!$H137))),ISNUMBER(SEARCH(IF(F$3&lt;&gt;"",F$3,"NA"),'MITRE ATT&amp;CK Mappings'!$I137))),ISNUMBER(SEARCH(IF(F$3&lt;&gt;"",F$3,"NA"),'MITRE ATT&amp;CK Mappings'!$J137))), 'MITRE ATT&amp;CK Mappings'!$B137,"")</f>
        <v/>
      </c>
      <c r="G141" s="27" t="str">
        <f>IF(OR(OR(OR(OR(OR(ISNUMBER(SEARCH(IF(G$1&lt;&gt;"",G$1,"NA"),'MITRE ATT&amp;CK Mappings'!$E137)),ISNUMBER(SEARCH(IF(G$1&lt;&gt;"",G$1,"NA"),'MITRE ATT&amp;CK Mappings'!$F137))),ISNUMBER(SEARCH(IF(G$2&lt;&gt;"",G$2,"NA"),'MITRE ATT&amp;CK Mappings'!$G137))),ISNUMBER(SEARCH(IF(G$2&lt;&gt;"",G$2,"NA"),'MITRE ATT&amp;CK Mappings'!$H137))),ISNUMBER(SEARCH(IF(G$3&lt;&gt;"",G$3,"NA"),'MITRE ATT&amp;CK Mappings'!$I137))),ISNUMBER(SEARCH(IF(G$3&lt;&gt;"",G$3,"NA"),'MITRE ATT&amp;CK Mappings'!$J137))), 'MITRE ATT&amp;CK Mappings'!$B137,"")</f>
        <v/>
      </c>
      <c r="H141" s="27" t="str">
        <f>IF(OR(OR(OR(OR(OR(ISNUMBER(SEARCH(IF(H$1&lt;&gt;"",H$1,"NA"),'MITRE ATT&amp;CK Mappings'!$E137)),ISNUMBER(SEARCH(IF(H$1&lt;&gt;"",H$1,"NA"),'MITRE ATT&amp;CK Mappings'!$F137))),ISNUMBER(SEARCH(IF(H$2&lt;&gt;"",H$2,"NA"),'MITRE ATT&amp;CK Mappings'!$G137))),ISNUMBER(SEARCH(IF(H$2&lt;&gt;"",H$2,"NA"),'MITRE ATT&amp;CK Mappings'!$H137))),ISNUMBER(SEARCH(IF(H$3&lt;&gt;"",H$3,"NA"),'MITRE ATT&amp;CK Mappings'!$I137))),ISNUMBER(SEARCH(IF(H$3&lt;&gt;"",H$3,"NA"),'MITRE ATT&amp;CK Mappings'!$J137))), 'MITRE ATT&amp;CK Mappings'!$B137,"")</f>
        <v/>
      </c>
      <c r="I141" s="27" t="str">
        <f>IF(OR(OR(OR(OR(OR(ISNUMBER(SEARCH(IF(I$1&lt;&gt;"",I$1,"NA"),'MITRE ATT&amp;CK Mappings'!$E137)),ISNUMBER(SEARCH(IF(I$1&lt;&gt;"",I$1,"NA"),'MITRE ATT&amp;CK Mappings'!$F137))),ISNUMBER(SEARCH(IF(I$2&lt;&gt;"",I$2,"NA"),'MITRE ATT&amp;CK Mappings'!$G137))),ISNUMBER(SEARCH(IF(I$2&lt;&gt;"",I$2,"NA"),'MITRE ATT&amp;CK Mappings'!$H137))),ISNUMBER(SEARCH(IF(I$3&lt;&gt;"",I$3,"NA"),'MITRE ATT&amp;CK Mappings'!$I137))),ISNUMBER(SEARCH(IF(I$3&lt;&gt;"",I$3,"NA"),'MITRE ATT&amp;CK Mappings'!$J137))), 'MITRE ATT&amp;CK Mappings'!$B137,"")</f>
        <v/>
      </c>
      <c r="J141" s="27" t="str">
        <f>IF(OR(OR(OR(OR(OR(ISNUMBER(SEARCH(IF(J$1&lt;&gt;"",J$1,"NA"),'MITRE ATT&amp;CK Mappings'!$E137)),ISNUMBER(SEARCH(IF(J$1&lt;&gt;"",J$1,"NA"),'MITRE ATT&amp;CK Mappings'!$F137))),ISNUMBER(SEARCH(IF(J$2&lt;&gt;"",J$2,"NA"),'MITRE ATT&amp;CK Mappings'!$G137))),ISNUMBER(SEARCH(IF(J$2&lt;&gt;"",J$2,"NA"),'MITRE ATT&amp;CK Mappings'!$H137))),ISNUMBER(SEARCH(IF(J$3&lt;&gt;"",J$3,"NA"),'MITRE ATT&amp;CK Mappings'!$I137))),ISNUMBER(SEARCH(IF(J$3&lt;&gt;"",J$3,"NA"),'MITRE ATT&amp;CK Mappings'!$J137))), 'MITRE ATT&amp;CK Mappings'!$B137,"")</f>
        <v/>
      </c>
      <c r="K141" s="27" t="str">
        <f>IF(OR(OR(OR(OR(OR(ISNUMBER(SEARCH(IF(K$1&lt;&gt;"",K$1,"NA"),'MITRE ATT&amp;CK Mappings'!$E137)),ISNUMBER(SEARCH(IF(K$1&lt;&gt;"",K$1,"NA"),'MITRE ATT&amp;CK Mappings'!$F137))),ISNUMBER(SEARCH(IF(K$2&lt;&gt;"",K$2,"NA"),'MITRE ATT&amp;CK Mappings'!$G137))),ISNUMBER(SEARCH(IF(K$2&lt;&gt;"",K$2,"NA"),'MITRE ATT&amp;CK Mappings'!$H137))),ISNUMBER(SEARCH(IF(K$3&lt;&gt;"",K$3,"NA"),'MITRE ATT&amp;CK Mappings'!$I137))),ISNUMBER(SEARCH(IF(K$3&lt;&gt;"",K$3,"NA"),'MITRE ATT&amp;CK Mappings'!$J137))), 'MITRE ATT&amp;CK Mappings'!$B137,"")</f>
        <v/>
      </c>
      <c r="L141" s="27" t="str">
        <f>IF('MITRE ATT&amp;CK Mappings'!D137 &lt;&gt;"",'MITRE ATT&amp;CK Mappings'!D137,"" )</f>
        <v>Ensure 'SMB protocol version' is set to 'SMB 3.1.1' or higher for SMB file shares</v>
      </c>
    </row>
    <row r="142" spans="1:12" x14ac:dyDescent="0.25">
      <c r="A142" s="26" t="str">
        <f>IF(COUNTIF(B142:K142,"="&amp;'MITRE ATT&amp;CK Mappings'!B138)&gt;0,'MITRE ATT&amp;CK Mappings'!B138,"")</f>
        <v/>
      </c>
      <c r="B142" s="26" t="str">
        <f>IF(OR(OR(OR(OR(OR(ISNUMBER(SEARCH(IF(B$1&lt;&gt;"",B$1,"NA"),'MITRE ATT&amp;CK Mappings'!$E138)),ISNUMBER(SEARCH(IF(B$1&lt;&gt;"",B$1,"NA"),'MITRE ATT&amp;CK Mappings'!$F138))),ISNUMBER(SEARCH(IF(B$2&lt;&gt;"",B$2,"NA"),'MITRE ATT&amp;CK Mappings'!$G138))),ISNUMBER(SEARCH(IF(B$2&lt;&gt;"",B$2,"NA"),'MITRE ATT&amp;CK Mappings'!$H138))),ISNUMBER(SEARCH(IF(B$3&lt;&gt;"",B$3,"NA"),'MITRE ATT&amp;CK Mappings'!$I138))),ISNUMBER(SEARCH(IF(B$3&lt;&gt;"",B$3,"NA"),'MITRE ATT&amp;CK Mappings'!$J138))), 'MITRE ATT&amp;CK Mappings'!$B138,"")</f>
        <v/>
      </c>
      <c r="C142" s="26" t="str">
        <f>IF(OR(OR(OR(OR(OR(ISNUMBER(SEARCH(IF(C$1&lt;&gt;"",C$1,"NA"),'MITRE ATT&amp;CK Mappings'!$E138)),ISNUMBER(SEARCH(IF(C$1&lt;&gt;"",C$1,"NA"),'MITRE ATT&amp;CK Mappings'!$F138))),ISNUMBER(SEARCH(IF(C$2&lt;&gt;"",C$2,"NA"),'MITRE ATT&amp;CK Mappings'!$G138))),ISNUMBER(SEARCH(IF(C$2&lt;&gt;"",C$2,"NA"),'MITRE ATT&amp;CK Mappings'!$H138))),ISNUMBER(SEARCH(IF(C$3&lt;&gt;"",C$3,"NA"),'MITRE ATT&amp;CK Mappings'!$I138))),ISNUMBER(SEARCH(IF(C$3&lt;&gt;"",C$3,"NA"),'MITRE ATT&amp;CK Mappings'!$J138))), 'MITRE ATT&amp;CK Mappings'!$B138,"")</f>
        <v/>
      </c>
      <c r="D142" s="26" t="str">
        <f>IF(OR(OR(OR(OR(OR(ISNUMBER(SEARCH(IF(D$1&lt;&gt;"",D$1,"NA"),'MITRE ATT&amp;CK Mappings'!$E138)),ISNUMBER(SEARCH(IF(D$1&lt;&gt;"",D$1,"NA"),'MITRE ATT&amp;CK Mappings'!$F138))),ISNUMBER(SEARCH(IF(D$2&lt;&gt;"",D$2,"NA"),'MITRE ATT&amp;CK Mappings'!$G138))),ISNUMBER(SEARCH(IF(D$2&lt;&gt;"",D$2,"NA"),'MITRE ATT&amp;CK Mappings'!$H138))),ISNUMBER(SEARCH(IF(D$3&lt;&gt;"",D$3,"NA"),'MITRE ATT&amp;CK Mappings'!$I138))),ISNUMBER(SEARCH(IF(D$3&lt;&gt;"",D$3,"NA"),'MITRE ATT&amp;CK Mappings'!$J138))), 'MITRE ATT&amp;CK Mappings'!$B138,"")</f>
        <v/>
      </c>
      <c r="E142" s="26" t="str">
        <f>IF(OR(OR(OR(OR(OR(ISNUMBER(SEARCH(IF(E$1&lt;&gt;"",E$1,"NA"),'MITRE ATT&amp;CK Mappings'!$E138)),ISNUMBER(SEARCH(IF(E$1&lt;&gt;"",E$1,"NA"),'MITRE ATT&amp;CK Mappings'!$F138))),ISNUMBER(SEARCH(IF(E$2&lt;&gt;"",E$2,"NA"),'MITRE ATT&amp;CK Mappings'!$G138))),ISNUMBER(SEARCH(IF(E$2&lt;&gt;"",E$2,"NA"),'MITRE ATT&amp;CK Mappings'!$H138))),ISNUMBER(SEARCH(IF(E$3&lt;&gt;"",E$3,"NA"),'MITRE ATT&amp;CK Mappings'!$I138))),ISNUMBER(SEARCH(IF(E$3&lt;&gt;"",E$3,"NA"),'MITRE ATT&amp;CK Mappings'!$J138))), 'MITRE ATT&amp;CK Mappings'!$B138,"")</f>
        <v/>
      </c>
      <c r="F142" s="26" t="str">
        <f>IF(OR(OR(OR(OR(OR(ISNUMBER(SEARCH(IF(F$1&lt;&gt;"",F$1,"NA"),'MITRE ATT&amp;CK Mappings'!$E138)),ISNUMBER(SEARCH(IF(F$1&lt;&gt;"",F$1,"NA"),'MITRE ATT&amp;CK Mappings'!$F138))),ISNUMBER(SEARCH(IF(F$2&lt;&gt;"",F$2,"NA"),'MITRE ATT&amp;CK Mappings'!$G138))),ISNUMBER(SEARCH(IF(F$2&lt;&gt;"",F$2,"NA"),'MITRE ATT&amp;CK Mappings'!$H138))),ISNUMBER(SEARCH(IF(F$3&lt;&gt;"",F$3,"NA"),'MITRE ATT&amp;CK Mappings'!$I138))),ISNUMBER(SEARCH(IF(F$3&lt;&gt;"",F$3,"NA"),'MITRE ATT&amp;CK Mappings'!$J138))), 'MITRE ATT&amp;CK Mappings'!$B138,"")</f>
        <v/>
      </c>
      <c r="G142" s="26" t="str">
        <f>IF(OR(OR(OR(OR(OR(ISNUMBER(SEARCH(IF(G$1&lt;&gt;"",G$1,"NA"),'MITRE ATT&amp;CK Mappings'!$E138)),ISNUMBER(SEARCH(IF(G$1&lt;&gt;"",G$1,"NA"),'MITRE ATT&amp;CK Mappings'!$F138))),ISNUMBER(SEARCH(IF(G$2&lt;&gt;"",G$2,"NA"),'MITRE ATT&amp;CK Mappings'!$G138))),ISNUMBER(SEARCH(IF(G$2&lt;&gt;"",G$2,"NA"),'MITRE ATT&amp;CK Mappings'!$H138))),ISNUMBER(SEARCH(IF(G$3&lt;&gt;"",G$3,"NA"),'MITRE ATT&amp;CK Mappings'!$I138))),ISNUMBER(SEARCH(IF(G$3&lt;&gt;"",G$3,"NA"),'MITRE ATT&amp;CK Mappings'!$J138))), 'MITRE ATT&amp;CK Mappings'!$B138,"")</f>
        <v/>
      </c>
      <c r="H142" s="26" t="str">
        <f>IF(OR(OR(OR(OR(OR(ISNUMBER(SEARCH(IF(H$1&lt;&gt;"",H$1,"NA"),'MITRE ATT&amp;CK Mappings'!$E138)),ISNUMBER(SEARCH(IF(H$1&lt;&gt;"",H$1,"NA"),'MITRE ATT&amp;CK Mappings'!$F138))),ISNUMBER(SEARCH(IF(H$2&lt;&gt;"",H$2,"NA"),'MITRE ATT&amp;CK Mappings'!$G138))),ISNUMBER(SEARCH(IF(H$2&lt;&gt;"",H$2,"NA"),'MITRE ATT&amp;CK Mappings'!$H138))),ISNUMBER(SEARCH(IF(H$3&lt;&gt;"",H$3,"NA"),'MITRE ATT&amp;CK Mappings'!$I138))),ISNUMBER(SEARCH(IF(H$3&lt;&gt;"",H$3,"NA"),'MITRE ATT&amp;CK Mappings'!$J138))), 'MITRE ATT&amp;CK Mappings'!$B138,"")</f>
        <v/>
      </c>
      <c r="I142" s="26" t="str">
        <f>IF(OR(OR(OR(OR(OR(ISNUMBER(SEARCH(IF(I$1&lt;&gt;"",I$1,"NA"),'MITRE ATT&amp;CK Mappings'!$E138)),ISNUMBER(SEARCH(IF(I$1&lt;&gt;"",I$1,"NA"),'MITRE ATT&amp;CK Mappings'!$F138))),ISNUMBER(SEARCH(IF(I$2&lt;&gt;"",I$2,"NA"),'MITRE ATT&amp;CK Mappings'!$G138))),ISNUMBER(SEARCH(IF(I$2&lt;&gt;"",I$2,"NA"),'MITRE ATT&amp;CK Mappings'!$H138))),ISNUMBER(SEARCH(IF(I$3&lt;&gt;"",I$3,"NA"),'MITRE ATT&amp;CK Mappings'!$I138))),ISNUMBER(SEARCH(IF(I$3&lt;&gt;"",I$3,"NA"),'MITRE ATT&amp;CK Mappings'!$J138))), 'MITRE ATT&amp;CK Mappings'!$B138,"")</f>
        <v/>
      </c>
      <c r="J142" s="26" t="str">
        <f>IF(OR(OR(OR(OR(OR(ISNUMBER(SEARCH(IF(J$1&lt;&gt;"",J$1,"NA"),'MITRE ATT&amp;CK Mappings'!$E138)),ISNUMBER(SEARCH(IF(J$1&lt;&gt;"",J$1,"NA"),'MITRE ATT&amp;CK Mappings'!$F138))),ISNUMBER(SEARCH(IF(J$2&lt;&gt;"",J$2,"NA"),'MITRE ATT&amp;CK Mappings'!$G138))),ISNUMBER(SEARCH(IF(J$2&lt;&gt;"",J$2,"NA"),'MITRE ATT&amp;CK Mappings'!$H138))),ISNUMBER(SEARCH(IF(J$3&lt;&gt;"",J$3,"NA"),'MITRE ATT&amp;CK Mappings'!$I138))),ISNUMBER(SEARCH(IF(J$3&lt;&gt;"",J$3,"NA"),'MITRE ATT&amp;CK Mappings'!$J138))), 'MITRE ATT&amp;CK Mappings'!$B138,"")</f>
        <v/>
      </c>
      <c r="K142" s="26" t="str">
        <f>IF(OR(OR(OR(OR(OR(ISNUMBER(SEARCH(IF(K$1&lt;&gt;"",K$1,"NA"),'MITRE ATT&amp;CK Mappings'!$E138)),ISNUMBER(SEARCH(IF(K$1&lt;&gt;"",K$1,"NA"),'MITRE ATT&amp;CK Mappings'!$F138))),ISNUMBER(SEARCH(IF(K$2&lt;&gt;"",K$2,"NA"),'MITRE ATT&amp;CK Mappings'!$G138))),ISNUMBER(SEARCH(IF(K$2&lt;&gt;"",K$2,"NA"),'MITRE ATT&amp;CK Mappings'!$H138))),ISNUMBER(SEARCH(IF(K$3&lt;&gt;"",K$3,"NA"),'MITRE ATT&amp;CK Mappings'!$I138))),ISNUMBER(SEARCH(IF(K$3&lt;&gt;"",K$3,"NA"),'MITRE ATT&amp;CK Mappings'!$J138))), 'MITRE ATT&amp;CK Mappings'!$B138,"")</f>
        <v/>
      </c>
      <c r="L142" s="26" t="str">
        <f>IF('MITRE ATT&amp;CK Mappings'!D138 &lt;&gt;"",'MITRE ATT&amp;CK Mappings'!D138,"" )</f>
        <v>Ensure 'SMB channel encryption' is set to 'AES-256-GCM' or higher for SMB file shares</v>
      </c>
    </row>
    <row r="143" spans="1:12" x14ac:dyDescent="0.25">
      <c r="A143" s="27" t="str">
        <f>IF(COUNTIF(B143:K143,"="&amp;'MITRE ATT&amp;CK Mappings'!B139)&gt;0,'MITRE ATT&amp;CK Mappings'!B139,"")</f>
        <v/>
      </c>
      <c r="B143" s="27" t="str">
        <f>IF(OR(OR(OR(OR(OR(ISNUMBER(SEARCH(IF(B$1&lt;&gt;"",B$1,"NA"),'MITRE ATT&amp;CK Mappings'!$E139)),ISNUMBER(SEARCH(IF(B$1&lt;&gt;"",B$1,"NA"),'MITRE ATT&amp;CK Mappings'!$F139))),ISNUMBER(SEARCH(IF(B$2&lt;&gt;"",B$2,"NA"),'MITRE ATT&amp;CK Mappings'!$G139))),ISNUMBER(SEARCH(IF(B$2&lt;&gt;"",B$2,"NA"),'MITRE ATT&amp;CK Mappings'!$H139))),ISNUMBER(SEARCH(IF(B$3&lt;&gt;"",B$3,"NA"),'MITRE ATT&amp;CK Mappings'!$I139))),ISNUMBER(SEARCH(IF(B$3&lt;&gt;"",B$3,"NA"),'MITRE ATT&amp;CK Mappings'!$J139))), 'MITRE ATT&amp;CK Mappings'!$B139,"")</f>
        <v/>
      </c>
      <c r="C143" s="27" t="str">
        <f>IF(OR(OR(OR(OR(OR(ISNUMBER(SEARCH(IF(C$1&lt;&gt;"",C$1,"NA"),'MITRE ATT&amp;CK Mappings'!$E139)),ISNUMBER(SEARCH(IF(C$1&lt;&gt;"",C$1,"NA"),'MITRE ATT&amp;CK Mappings'!$F139))),ISNUMBER(SEARCH(IF(C$2&lt;&gt;"",C$2,"NA"),'MITRE ATT&amp;CK Mappings'!$G139))),ISNUMBER(SEARCH(IF(C$2&lt;&gt;"",C$2,"NA"),'MITRE ATT&amp;CK Mappings'!$H139))),ISNUMBER(SEARCH(IF(C$3&lt;&gt;"",C$3,"NA"),'MITRE ATT&amp;CK Mappings'!$I139))),ISNUMBER(SEARCH(IF(C$3&lt;&gt;"",C$3,"NA"),'MITRE ATT&amp;CK Mappings'!$J139))), 'MITRE ATT&amp;CK Mappings'!$B139,"")</f>
        <v/>
      </c>
      <c r="D143" s="27" t="str">
        <f>IF(OR(OR(OR(OR(OR(ISNUMBER(SEARCH(IF(D$1&lt;&gt;"",D$1,"NA"),'MITRE ATT&amp;CK Mappings'!$E139)),ISNUMBER(SEARCH(IF(D$1&lt;&gt;"",D$1,"NA"),'MITRE ATT&amp;CK Mappings'!$F139))),ISNUMBER(SEARCH(IF(D$2&lt;&gt;"",D$2,"NA"),'MITRE ATT&amp;CK Mappings'!$G139))),ISNUMBER(SEARCH(IF(D$2&lt;&gt;"",D$2,"NA"),'MITRE ATT&amp;CK Mappings'!$H139))),ISNUMBER(SEARCH(IF(D$3&lt;&gt;"",D$3,"NA"),'MITRE ATT&amp;CK Mappings'!$I139))),ISNUMBER(SEARCH(IF(D$3&lt;&gt;"",D$3,"NA"),'MITRE ATT&amp;CK Mappings'!$J139))), 'MITRE ATT&amp;CK Mappings'!$B139,"")</f>
        <v/>
      </c>
      <c r="E143" s="27" t="str">
        <f>IF(OR(OR(OR(OR(OR(ISNUMBER(SEARCH(IF(E$1&lt;&gt;"",E$1,"NA"),'MITRE ATT&amp;CK Mappings'!$E139)),ISNUMBER(SEARCH(IF(E$1&lt;&gt;"",E$1,"NA"),'MITRE ATT&amp;CK Mappings'!$F139))),ISNUMBER(SEARCH(IF(E$2&lt;&gt;"",E$2,"NA"),'MITRE ATT&amp;CK Mappings'!$G139))),ISNUMBER(SEARCH(IF(E$2&lt;&gt;"",E$2,"NA"),'MITRE ATT&amp;CK Mappings'!$H139))),ISNUMBER(SEARCH(IF(E$3&lt;&gt;"",E$3,"NA"),'MITRE ATT&amp;CK Mappings'!$I139))),ISNUMBER(SEARCH(IF(E$3&lt;&gt;"",E$3,"NA"),'MITRE ATT&amp;CK Mappings'!$J139))), 'MITRE ATT&amp;CK Mappings'!$B139,"")</f>
        <v/>
      </c>
      <c r="F143" s="27" t="str">
        <f>IF(OR(OR(OR(OR(OR(ISNUMBER(SEARCH(IF(F$1&lt;&gt;"",F$1,"NA"),'MITRE ATT&amp;CK Mappings'!$E139)),ISNUMBER(SEARCH(IF(F$1&lt;&gt;"",F$1,"NA"),'MITRE ATT&amp;CK Mappings'!$F139))),ISNUMBER(SEARCH(IF(F$2&lt;&gt;"",F$2,"NA"),'MITRE ATT&amp;CK Mappings'!$G139))),ISNUMBER(SEARCH(IF(F$2&lt;&gt;"",F$2,"NA"),'MITRE ATT&amp;CK Mappings'!$H139))),ISNUMBER(SEARCH(IF(F$3&lt;&gt;"",F$3,"NA"),'MITRE ATT&amp;CK Mappings'!$I139))),ISNUMBER(SEARCH(IF(F$3&lt;&gt;"",F$3,"NA"),'MITRE ATT&amp;CK Mappings'!$J139))), 'MITRE ATT&amp;CK Mappings'!$B139,"")</f>
        <v/>
      </c>
      <c r="G143" s="27" t="str">
        <f>IF(OR(OR(OR(OR(OR(ISNUMBER(SEARCH(IF(G$1&lt;&gt;"",G$1,"NA"),'MITRE ATT&amp;CK Mappings'!$E139)),ISNUMBER(SEARCH(IF(G$1&lt;&gt;"",G$1,"NA"),'MITRE ATT&amp;CK Mappings'!$F139))),ISNUMBER(SEARCH(IF(G$2&lt;&gt;"",G$2,"NA"),'MITRE ATT&amp;CK Mappings'!$G139))),ISNUMBER(SEARCH(IF(G$2&lt;&gt;"",G$2,"NA"),'MITRE ATT&amp;CK Mappings'!$H139))),ISNUMBER(SEARCH(IF(G$3&lt;&gt;"",G$3,"NA"),'MITRE ATT&amp;CK Mappings'!$I139))),ISNUMBER(SEARCH(IF(G$3&lt;&gt;"",G$3,"NA"),'MITRE ATT&amp;CK Mappings'!$J139))), 'MITRE ATT&amp;CK Mappings'!$B139,"")</f>
        <v/>
      </c>
      <c r="H143" s="27" t="str">
        <f>IF(OR(OR(OR(OR(OR(ISNUMBER(SEARCH(IF(H$1&lt;&gt;"",H$1,"NA"),'MITRE ATT&amp;CK Mappings'!$E139)),ISNUMBER(SEARCH(IF(H$1&lt;&gt;"",H$1,"NA"),'MITRE ATT&amp;CK Mappings'!$F139))),ISNUMBER(SEARCH(IF(H$2&lt;&gt;"",H$2,"NA"),'MITRE ATT&amp;CK Mappings'!$G139))),ISNUMBER(SEARCH(IF(H$2&lt;&gt;"",H$2,"NA"),'MITRE ATT&amp;CK Mappings'!$H139))),ISNUMBER(SEARCH(IF(H$3&lt;&gt;"",H$3,"NA"),'MITRE ATT&amp;CK Mappings'!$I139))),ISNUMBER(SEARCH(IF(H$3&lt;&gt;"",H$3,"NA"),'MITRE ATT&amp;CK Mappings'!$J139))), 'MITRE ATT&amp;CK Mappings'!$B139,"")</f>
        <v/>
      </c>
      <c r="I143" s="27" t="str">
        <f>IF(OR(OR(OR(OR(OR(ISNUMBER(SEARCH(IF(I$1&lt;&gt;"",I$1,"NA"),'MITRE ATT&amp;CK Mappings'!$E139)),ISNUMBER(SEARCH(IF(I$1&lt;&gt;"",I$1,"NA"),'MITRE ATT&amp;CK Mappings'!$F139))),ISNUMBER(SEARCH(IF(I$2&lt;&gt;"",I$2,"NA"),'MITRE ATT&amp;CK Mappings'!$G139))),ISNUMBER(SEARCH(IF(I$2&lt;&gt;"",I$2,"NA"),'MITRE ATT&amp;CK Mappings'!$H139))),ISNUMBER(SEARCH(IF(I$3&lt;&gt;"",I$3,"NA"),'MITRE ATT&amp;CK Mappings'!$I139))),ISNUMBER(SEARCH(IF(I$3&lt;&gt;"",I$3,"NA"),'MITRE ATT&amp;CK Mappings'!$J139))), 'MITRE ATT&amp;CK Mappings'!$B139,"")</f>
        <v/>
      </c>
      <c r="J143" s="27" t="str">
        <f>IF(OR(OR(OR(OR(OR(ISNUMBER(SEARCH(IF(J$1&lt;&gt;"",J$1,"NA"),'MITRE ATT&amp;CK Mappings'!$E139)),ISNUMBER(SEARCH(IF(J$1&lt;&gt;"",J$1,"NA"),'MITRE ATT&amp;CK Mappings'!$F139))),ISNUMBER(SEARCH(IF(J$2&lt;&gt;"",J$2,"NA"),'MITRE ATT&amp;CK Mappings'!$G139))),ISNUMBER(SEARCH(IF(J$2&lt;&gt;"",J$2,"NA"),'MITRE ATT&amp;CK Mappings'!$H139))),ISNUMBER(SEARCH(IF(J$3&lt;&gt;"",J$3,"NA"),'MITRE ATT&amp;CK Mappings'!$I139))),ISNUMBER(SEARCH(IF(J$3&lt;&gt;"",J$3,"NA"),'MITRE ATT&amp;CK Mappings'!$J139))), 'MITRE ATT&amp;CK Mappings'!$B139,"")</f>
        <v/>
      </c>
      <c r="K143" s="27" t="str">
        <f>IF(OR(OR(OR(OR(OR(ISNUMBER(SEARCH(IF(K$1&lt;&gt;"",K$1,"NA"),'MITRE ATT&amp;CK Mappings'!$E139)),ISNUMBER(SEARCH(IF(K$1&lt;&gt;"",K$1,"NA"),'MITRE ATT&amp;CK Mappings'!$F139))),ISNUMBER(SEARCH(IF(K$2&lt;&gt;"",K$2,"NA"),'MITRE ATT&amp;CK Mappings'!$G139))),ISNUMBER(SEARCH(IF(K$2&lt;&gt;"",K$2,"NA"),'MITRE ATT&amp;CK Mappings'!$H139))),ISNUMBER(SEARCH(IF(K$3&lt;&gt;"",K$3,"NA"),'MITRE ATT&amp;CK Mappings'!$I139))),ISNUMBER(SEARCH(IF(K$3&lt;&gt;"",K$3,"NA"),'MITRE ATT&amp;CK Mappings'!$J139))), 'MITRE ATT&amp;CK Mappings'!$B139,"")</f>
        <v/>
      </c>
      <c r="L143" s="27" t="str">
        <f>IF('MITRE ATT&amp;CK Mappings'!D139 &lt;&gt;"",'MITRE ATT&amp;CK Mappings'!D139,"" )</f>
        <v>Ensure that soft delete for blobs on Azure Blob Storage storage accounts is Enabled</v>
      </c>
    </row>
    <row r="144" spans="1:12" x14ac:dyDescent="0.25">
      <c r="A144" s="26" t="str">
        <f>IF(COUNTIF(B144:K144,"="&amp;'MITRE ATT&amp;CK Mappings'!B140)&gt;0,'MITRE ATT&amp;CK Mappings'!B140,"")</f>
        <v/>
      </c>
      <c r="B144" s="26" t="str">
        <f>IF(OR(OR(OR(OR(OR(ISNUMBER(SEARCH(IF(B$1&lt;&gt;"",B$1,"NA"),'MITRE ATT&amp;CK Mappings'!$E140)),ISNUMBER(SEARCH(IF(B$1&lt;&gt;"",B$1,"NA"),'MITRE ATT&amp;CK Mappings'!$F140))),ISNUMBER(SEARCH(IF(B$2&lt;&gt;"",B$2,"NA"),'MITRE ATT&amp;CK Mappings'!$G140))),ISNUMBER(SEARCH(IF(B$2&lt;&gt;"",B$2,"NA"),'MITRE ATT&amp;CK Mappings'!$H140))),ISNUMBER(SEARCH(IF(B$3&lt;&gt;"",B$3,"NA"),'MITRE ATT&amp;CK Mappings'!$I140))),ISNUMBER(SEARCH(IF(B$3&lt;&gt;"",B$3,"NA"),'MITRE ATT&amp;CK Mappings'!$J140))), 'MITRE ATT&amp;CK Mappings'!$B140,"")</f>
        <v/>
      </c>
      <c r="C144" s="26" t="str">
        <f>IF(OR(OR(OR(OR(OR(ISNUMBER(SEARCH(IF(C$1&lt;&gt;"",C$1,"NA"),'MITRE ATT&amp;CK Mappings'!$E140)),ISNUMBER(SEARCH(IF(C$1&lt;&gt;"",C$1,"NA"),'MITRE ATT&amp;CK Mappings'!$F140))),ISNUMBER(SEARCH(IF(C$2&lt;&gt;"",C$2,"NA"),'MITRE ATT&amp;CK Mappings'!$G140))),ISNUMBER(SEARCH(IF(C$2&lt;&gt;"",C$2,"NA"),'MITRE ATT&amp;CK Mappings'!$H140))),ISNUMBER(SEARCH(IF(C$3&lt;&gt;"",C$3,"NA"),'MITRE ATT&amp;CK Mappings'!$I140))),ISNUMBER(SEARCH(IF(C$3&lt;&gt;"",C$3,"NA"),'MITRE ATT&amp;CK Mappings'!$J140))), 'MITRE ATT&amp;CK Mappings'!$B140,"")</f>
        <v/>
      </c>
      <c r="D144" s="26" t="str">
        <f>IF(OR(OR(OR(OR(OR(ISNUMBER(SEARCH(IF(D$1&lt;&gt;"",D$1,"NA"),'MITRE ATT&amp;CK Mappings'!$E140)),ISNUMBER(SEARCH(IF(D$1&lt;&gt;"",D$1,"NA"),'MITRE ATT&amp;CK Mappings'!$F140))),ISNUMBER(SEARCH(IF(D$2&lt;&gt;"",D$2,"NA"),'MITRE ATT&amp;CK Mappings'!$G140))),ISNUMBER(SEARCH(IF(D$2&lt;&gt;"",D$2,"NA"),'MITRE ATT&amp;CK Mappings'!$H140))),ISNUMBER(SEARCH(IF(D$3&lt;&gt;"",D$3,"NA"),'MITRE ATT&amp;CK Mappings'!$I140))),ISNUMBER(SEARCH(IF(D$3&lt;&gt;"",D$3,"NA"),'MITRE ATT&amp;CK Mappings'!$J140))), 'MITRE ATT&amp;CK Mappings'!$B140,"")</f>
        <v/>
      </c>
      <c r="E144" s="26" t="str">
        <f>IF(OR(OR(OR(OR(OR(ISNUMBER(SEARCH(IF(E$1&lt;&gt;"",E$1,"NA"),'MITRE ATT&amp;CK Mappings'!$E140)),ISNUMBER(SEARCH(IF(E$1&lt;&gt;"",E$1,"NA"),'MITRE ATT&amp;CK Mappings'!$F140))),ISNUMBER(SEARCH(IF(E$2&lt;&gt;"",E$2,"NA"),'MITRE ATT&amp;CK Mappings'!$G140))),ISNUMBER(SEARCH(IF(E$2&lt;&gt;"",E$2,"NA"),'MITRE ATT&amp;CK Mappings'!$H140))),ISNUMBER(SEARCH(IF(E$3&lt;&gt;"",E$3,"NA"),'MITRE ATT&amp;CK Mappings'!$I140))),ISNUMBER(SEARCH(IF(E$3&lt;&gt;"",E$3,"NA"),'MITRE ATT&amp;CK Mappings'!$J140))), 'MITRE ATT&amp;CK Mappings'!$B140,"")</f>
        <v/>
      </c>
      <c r="F144" s="26" t="str">
        <f>IF(OR(OR(OR(OR(OR(ISNUMBER(SEARCH(IF(F$1&lt;&gt;"",F$1,"NA"),'MITRE ATT&amp;CK Mappings'!$E140)),ISNUMBER(SEARCH(IF(F$1&lt;&gt;"",F$1,"NA"),'MITRE ATT&amp;CK Mappings'!$F140))),ISNUMBER(SEARCH(IF(F$2&lt;&gt;"",F$2,"NA"),'MITRE ATT&amp;CK Mappings'!$G140))),ISNUMBER(SEARCH(IF(F$2&lt;&gt;"",F$2,"NA"),'MITRE ATT&amp;CK Mappings'!$H140))),ISNUMBER(SEARCH(IF(F$3&lt;&gt;"",F$3,"NA"),'MITRE ATT&amp;CK Mappings'!$I140))),ISNUMBER(SEARCH(IF(F$3&lt;&gt;"",F$3,"NA"),'MITRE ATT&amp;CK Mappings'!$J140))), 'MITRE ATT&amp;CK Mappings'!$B140,"")</f>
        <v/>
      </c>
      <c r="G144" s="26" t="str">
        <f>IF(OR(OR(OR(OR(OR(ISNUMBER(SEARCH(IF(G$1&lt;&gt;"",G$1,"NA"),'MITRE ATT&amp;CK Mappings'!$E140)),ISNUMBER(SEARCH(IF(G$1&lt;&gt;"",G$1,"NA"),'MITRE ATT&amp;CK Mappings'!$F140))),ISNUMBER(SEARCH(IF(G$2&lt;&gt;"",G$2,"NA"),'MITRE ATT&amp;CK Mappings'!$G140))),ISNUMBER(SEARCH(IF(G$2&lt;&gt;"",G$2,"NA"),'MITRE ATT&amp;CK Mappings'!$H140))),ISNUMBER(SEARCH(IF(G$3&lt;&gt;"",G$3,"NA"),'MITRE ATT&amp;CK Mappings'!$I140))),ISNUMBER(SEARCH(IF(G$3&lt;&gt;"",G$3,"NA"),'MITRE ATT&amp;CK Mappings'!$J140))), 'MITRE ATT&amp;CK Mappings'!$B140,"")</f>
        <v/>
      </c>
      <c r="H144" s="26" t="str">
        <f>IF(OR(OR(OR(OR(OR(ISNUMBER(SEARCH(IF(H$1&lt;&gt;"",H$1,"NA"),'MITRE ATT&amp;CK Mappings'!$E140)),ISNUMBER(SEARCH(IF(H$1&lt;&gt;"",H$1,"NA"),'MITRE ATT&amp;CK Mappings'!$F140))),ISNUMBER(SEARCH(IF(H$2&lt;&gt;"",H$2,"NA"),'MITRE ATT&amp;CK Mappings'!$G140))),ISNUMBER(SEARCH(IF(H$2&lt;&gt;"",H$2,"NA"),'MITRE ATT&amp;CK Mappings'!$H140))),ISNUMBER(SEARCH(IF(H$3&lt;&gt;"",H$3,"NA"),'MITRE ATT&amp;CK Mappings'!$I140))),ISNUMBER(SEARCH(IF(H$3&lt;&gt;"",H$3,"NA"),'MITRE ATT&amp;CK Mappings'!$J140))), 'MITRE ATT&amp;CK Mappings'!$B140,"")</f>
        <v/>
      </c>
      <c r="I144" s="26" t="str">
        <f>IF(OR(OR(OR(OR(OR(ISNUMBER(SEARCH(IF(I$1&lt;&gt;"",I$1,"NA"),'MITRE ATT&amp;CK Mappings'!$E140)),ISNUMBER(SEARCH(IF(I$1&lt;&gt;"",I$1,"NA"),'MITRE ATT&amp;CK Mappings'!$F140))),ISNUMBER(SEARCH(IF(I$2&lt;&gt;"",I$2,"NA"),'MITRE ATT&amp;CK Mappings'!$G140))),ISNUMBER(SEARCH(IF(I$2&lt;&gt;"",I$2,"NA"),'MITRE ATT&amp;CK Mappings'!$H140))),ISNUMBER(SEARCH(IF(I$3&lt;&gt;"",I$3,"NA"),'MITRE ATT&amp;CK Mappings'!$I140))),ISNUMBER(SEARCH(IF(I$3&lt;&gt;"",I$3,"NA"),'MITRE ATT&amp;CK Mappings'!$J140))), 'MITRE ATT&amp;CK Mappings'!$B140,"")</f>
        <v/>
      </c>
      <c r="J144" s="26" t="str">
        <f>IF(OR(OR(OR(OR(OR(ISNUMBER(SEARCH(IF(J$1&lt;&gt;"",J$1,"NA"),'MITRE ATT&amp;CK Mappings'!$E140)),ISNUMBER(SEARCH(IF(J$1&lt;&gt;"",J$1,"NA"),'MITRE ATT&amp;CK Mappings'!$F140))),ISNUMBER(SEARCH(IF(J$2&lt;&gt;"",J$2,"NA"),'MITRE ATT&amp;CK Mappings'!$G140))),ISNUMBER(SEARCH(IF(J$2&lt;&gt;"",J$2,"NA"),'MITRE ATT&amp;CK Mappings'!$H140))),ISNUMBER(SEARCH(IF(J$3&lt;&gt;"",J$3,"NA"),'MITRE ATT&amp;CK Mappings'!$I140))),ISNUMBER(SEARCH(IF(J$3&lt;&gt;"",J$3,"NA"),'MITRE ATT&amp;CK Mappings'!$J140))), 'MITRE ATT&amp;CK Mappings'!$B140,"")</f>
        <v/>
      </c>
      <c r="K144" s="26" t="str">
        <f>IF(OR(OR(OR(OR(OR(ISNUMBER(SEARCH(IF(K$1&lt;&gt;"",K$1,"NA"),'MITRE ATT&amp;CK Mappings'!$E140)),ISNUMBER(SEARCH(IF(K$1&lt;&gt;"",K$1,"NA"),'MITRE ATT&amp;CK Mappings'!$F140))),ISNUMBER(SEARCH(IF(K$2&lt;&gt;"",K$2,"NA"),'MITRE ATT&amp;CK Mappings'!$G140))),ISNUMBER(SEARCH(IF(K$2&lt;&gt;"",K$2,"NA"),'MITRE ATT&amp;CK Mappings'!$H140))),ISNUMBER(SEARCH(IF(K$3&lt;&gt;"",K$3,"NA"),'MITRE ATT&amp;CK Mappings'!$I140))),ISNUMBER(SEARCH(IF(K$3&lt;&gt;"",K$3,"NA"),'MITRE ATT&amp;CK Mappings'!$J140))), 'MITRE ATT&amp;CK Mappings'!$B140,"")</f>
        <v/>
      </c>
      <c r="L144" s="26" t="str">
        <f>IF('MITRE ATT&amp;CK Mappings'!D140 &lt;&gt;"",'MITRE ATT&amp;CK Mappings'!D140,"" )</f>
        <v>Ensure that soft delete for containers on Azure Blob Storage storage accounts is Enabled</v>
      </c>
    </row>
    <row r="145" spans="1:12" x14ac:dyDescent="0.25">
      <c r="A145" s="27" t="str">
        <f>IF(COUNTIF(B145:K145,"="&amp;'MITRE ATT&amp;CK Mappings'!B141)&gt;0,'MITRE ATT&amp;CK Mappings'!B141,"")</f>
        <v/>
      </c>
      <c r="B145" s="27" t="str">
        <f>IF(OR(OR(OR(OR(OR(ISNUMBER(SEARCH(IF(B$1&lt;&gt;"",B$1,"NA"),'MITRE ATT&amp;CK Mappings'!$E141)),ISNUMBER(SEARCH(IF(B$1&lt;&gt;"",B$1,"NA"),'MITRE ATT&amp;CK Mappings'!$F141))),ISNUMBER(SEARCH(IF(B$2&lt;&gt;"",B$2,"NA"),'MITRE ATT&amp;CK Mappings'!$G141))),ISNUMBER(SEARCH(IF(B$2&lt;&gt;"",B$2,"NA"),'MITRE ATT&amp;CK Mappings'!$H141))),ISNUMBER(SEARCH(IF(B$3&lt;&gt;"",B$3,"NA"),'MITRE ATT&amp;CK Mappings'!$I141))),ISNUMBER(SEARCH(IF(B$3&lt;&gt;"",B$3,"NA"),'MITRE ATT&amp;CK Mappings'!$J141))), 'MITRE ATT&amp;CK Mappings'!$B141,"")</f>
        <v/>
      </c>
      <c r="C145" s="27" t="str">
        <f>IF(OR(OR(OR(OR(OR(ISNUMBER(SEARCH(IF(C$1&lt;&gt;"",C$1,"NA"),'MITRE ATT&amp;CK Mappings'!$E141)),ISNUMBER(SEARCH(IF(C$1&lt;&gt;"",C$1,"NA"),'MITRE ATT&amp;CK Mappings'!$F141))),ISNUMBER(SEARCH(IF(C$2&lt;&gt;"",C$2,"NA"),'MITRE ATT&amp;CK Mappings'!$G141))),ISNUMBER(SEARCH(IF(C$2&lt;&gt;"",C$2,"NA"),'MITRE ATT&amp;CK Mappings'!$H141))),ISNUMBER(SEARCH(IF(C$3&lt;&gt;"",C$3,"NA"),'MITRE ATT&amp;CK Mappings'!$I141))),ISNUMBER(SEARCH(IF(C$3&lt;&gt;"",C$3,"NA"),'MITRE ATT&amp;CK Mappings'!$J141))), 'MITRE ATT&amp;CK Mappings'!$B141,"")</f>
        <v/>
      </c>
      <c r="D145" s="27" t="str">
        <f>IF(OR(OR(OR(OR(OR(ISNUMBER(SEARCH(IF(D$1&lt;&gt;"",D$1,"NA"),'MITRE ATT&amp;CK Mappings'!$E141)),ISNUMBER(SEARCH(IF(D$1&lt;&gt;"",D$1,"NA"),'MITRE ATT&amp;CK Mappings'!$F141))),ISNUMBER(SEARCH(IF(D$2&lt;&gt;"",D$2,"NA"),'MITRE ATT&amp;CK Mappings'!$G141))),ISNUMBER(SEARCH(IF(D$2&lt;&gt;"",D$2,"NA"),'MITRE ATT&amp;CK Mappings'!$H141))),ISNUMBER(SEARCH(IF(D$3&lt;&gt;"",D$3,"NA"),'MITRE ATT&amp;CK Mappings'!$I141))),ISNUMBER(SEARCH(IF(D$3&lt;&gt;"",D$3,"NA"),'MITRE ATT&amp;CK Mappings'!$J141))), 'MITRE ATT&amp;CK Mappings'!$B141,"")</f>
        <v/>
      </c>
      <c r="E145" s="27" t="str">
        <f>IF(OR(OR(OR(OR(OR(ISNUMBER(SEARCH(IF(E$1&lt;&gt;"",E$1,"NA"),'MITRE ATT&amp;CK Mappings'!$E141)),ISNUMBER(SEARCH(IF(E$1&lt;&gt;"",E$1,"NA"),'MITRE ATT&amp;CK Mappings'!$F141))),ISNUMBER(SEARCH(IF(E$2&lt;&gt;"",E$2,"NA"),'MITRE ATT&amp;CK Mappings'!$G141))),ISNUMBER(SEARCH(IF(E$2&lt;&gt;"",E$2,"NA"),'MITRE ATT&amp;CK Mappings'!$H141))),ISNUMBER(SEARCH(IF(E$3&lt;&gt;"",E$3,"NA"),'MITRE ATT&amp;CK Mappings'!$I141))),ISNUMBER(SEARCH(IF(E$3&lt;&gt;"",E$3,"NA"),'MITRE ATT&amp;CK Mappings'!$J141))), 'MITRE ATT&amp;CK Mappings'!$B141,"")</f>
        <v/>
      </c>
      <c r="F145" s="27" t="str">
        <f>IF(OR(OR(OR(OR(OR(ISNUMBER(SEARCH(IF(F$1&lt;&gt;"",F$1,"NA"),'MITRE ATT&amp;CK Mappings'!$E141)),ISNUMBER(SEARCH(IF(F$1&lt;&gt;"",F$1,"NA"),'MITRE ATT&amp;CK Mappings'!$F141))),ISNUMBER(SEARCH(IF(F$2&lt;&gt;"",F$2,"NA"),'MITRE ATT&amp;CK Mappings'!$G141))),ISNUMBER(SEARCH(IF(F$2&lt;&gt;"",F$2,"NA"),'MITRE ATT&amp;CK Mappings'!$H141))),ISNUMBER(SEARCH(IF(F$3&lt;&gt;"",F$3,"NA"),'MITRE ATT&amp;CK Mappings'!$I141))),ISNUMBER(SEARCH(IF(F$3&lt;&gt;"",F$3,"NA"),'MITRE ATT&amp;CK Mappings'!$J141))), 'MITRE ATT&amp;CK Mappings'!$B141,"")</f>
        <v/>
      </c>
      <c r="G145" s="27" t="str">
        <f>IF(OR(OR(OR(OR(OR(ISNUMBER(SEARCH(IF(G$1&lt;&gt;"",G$1,"NA"),'MITRE ATT&amp;CK Mappings'!$E141)),ISNUMBER(SEARCH(IF(G$1&lt;&gt;"",G$1,"NA"),'MITRE ATT&amp;CK Mappings'!$F141))),ISNUMBER(SEARCH(IF(G$2&lt;&gt;"",G$2,"NA"),'MITRE ATT&amp;CK Mappings'!$G141))),ISNUMBER(SEARCH(IF(G$2&lt;&gt;"",G$2,"NA"),'MITRE ATT&amp;CK Mappings'!$H141))),ISNUMBER(SEARCH(IF(G$3&lt;&gt;"",G$3,"NA"),'MITRE ATT&amp;CK Mappings'!$I141))),ISNUMBER(SEARCH(IF(G$3&lt;&gt;"",G$3,"NA"),'MITRE ATT&amp;CK Mappings'!$J141))), 'MITRE ATT&amp;CK Mappings'!$B141,"")</f>
        <v/>
      </c>
      <c r="H145" s="27" t="str">
        <f>IF(OR(OR(OR(OR(OR(ISNUMBER(SEARCH(IF(H$1&lt;&gt;"",H$1,"NA"),'MITRE ATT&amp;CK Mappings'!$E141)),ISNUMBER(SEARCH(IF(H$1&lt;&gt;"",H$1,"NA"),'MITRE ATT&amp;CK Mappings'!$F141))),ISNUMBER(SEARCH(IF(H$2&lt;&gt;"",H$2,"NA"),'MITRE ATT&amp;CK Mappings'!$G141))),ISNUMBER(SEARCH(IF(H$2&lt;&gt;"",H$2,"NA"),'MITRE ATT&amp;CK Mappings'!$H141))),ISNUMBER(SEARCH(IF(H$3&lt;&gt;"",H$3,"NA"),'MITRE ATT&amp;CK Mappings'!$I141))),ISNUMBER(SEARCH(IF(H$3&lt;&gt;"",H$3,"NA"),'MITRE ATT&amp;CK Mappings'!$J141))), 'MITRE ATT&amp;CK Mappings'!$B141,"")</f>
        <v/>
      </c>
      <c r="I145" s="27" t="str">
        <f>IF(OR(OR(OR(OR(OR(ISNUMBER(SEARCH(IF(I$1&lt;&gt;"",I$1,"NA"),'MITRE ATT&amp;CK Mappings'!$E141)),ISNUMBER(SEARCH(IF(I$1&lt;&gt;"",I$1,"NA"),'MITRE ATT&amp;CK Mappings'!$F141))),ISNUMBER(SEARCH(IF(I$2&lt;&gt;"",I$2,"NA"),'MITRE ATT&amp;CK Mappings'!$G141))),ISNUMBER(SEARCH(IF(I$2&lt;&gt;"",I$2,"NA"),'MITRE ATT&amp;CK Mappings'!$H141))),ISNUMBER(SEARCH(IF(I$3&lt;&gt;"",I$3,"NA"),'MITRE ATT&amp;CK Mappings'!$I141))),ISNUMBER(SEARCH(IF(I$3&lt;&gt;"",I$3,"NA"),'MITRE ATT&amp;CK Mappings'!$J141))), 'MITRE ATT&amp;CK Mappings'!$B141,"")</f>
        <v/>
      </c>
      <c r="J145" s="27" t="str">
        <f>IF(OR(OR(OR(OR(OR(ISNUMBER(SEARCH(IF(J$1&lt;&gt;"",J$1,"NA"),'MITRE ATT&amp;CK Mappings'!$E141)),ISNUMBER(SEARCH(IF(J$1&lt;&gt;"",J$1,"NA"),'MITRE ATT&amp;CK Mappings'!$F141))),ISNUMBER(SEARCH(IF(J$2&lt;&gt;"",J$2,"NA"),'MITRE ATT&amp;CK Mappings'!$G141))),ISNUMBER(SEARCH(IF(J$2&lt;&gt;"",J$2,"NA"),'MITRE ATT&amp;CK Mappings'!$H141))),ISNUMBER(SEARCH(IF(J$3&lt;&gt;"",J$3,"NA"),'MITRE ATT&amp;CK Mappings'!$I141))),ISNUMBER(SEARCH(IF(J$3&lt;&gt;"",J$3,"NA"),'MITRE ATT&amp;CK Mappings'!$J141))), 'MITRE ATT&amp;CK Mappings'!$B141,"")</f>
        <v/>
      </c>
      <c r="K145" s="27" t="str">
        <f>IF(OR(OR(OR(OR(OR(ISNUMBER(SEARCH(IF(K$1&lt;&gt;"",K$1,"NA"),'MITRE ATT&amp;CK Mappings'!$E141)),ISNUMBER(SEARCH(IF(K$1&lt;&gt;"",K$1,"NA"),'MITRE ATT&amp;CK Mappings'!$F141))),ISNUMBER(SEARCH(IF(K$2&lt;&gt;"",K$2,"NA"),'MITRE ATT&amp;CK Mappings'!$G141))),ISNUMBER(SEARCH(IF(K$2&lt;&gt;"",K$2,"NA"),'MITRE ATT&amp;CK Mappings'!$H141))),ISNUMBER(SEARCH(IF(K$3&lt;&gt;"",K$3,"NA"),'MITRE ATT&amp;CK Mappings'!$I141))),ISNUMBER(SEARCH(IF(K$3&lt;&gt;"",K$3,"NA"),'MITRE ATT&amp;CK Mappings'!$J141))), 'MITRE ATT&amp;CK Mappings'!$B141,"")</f>
        <v/>
      </c>
      <c r="L145" s="27" t="str">
        <f>IF('MITRE ATT&amp;CK Mappings'!D141 &lt;&gt;"",'MITRE ATT&amp;CK Mappings'!D141,"" )</f>
        <v>Ensure 'Versioning' is set to 'Enabled' on Azure Blob Storage storage accounts</v>
      </c>
    </row>
    <row r="146" spans="1:12" x14ac:dyDescent="0.25">
      <c r="A146" s="26" t="str">
        <f>IF(COUNTIF(B146:K146,"="&amp;'MITRE ATT&amp;CK Mappings'!B142)&gt;0,'MITRE ATT&amp;CK Mappings'!B142,"")</f>
        <v/>
      </c>
      <c r="B146" s="26" t="str">
        <f>IF(OR(OR(OR(OR(OR(ISNUMBER(SEARCH(IF(B$1&lt;&gt;"",B$1,"NA"),'MITRE ATT&amp;CK Mappings'!$E142)),ISNUMBER(SEARCH(IF(B$1&lt;&gt;"",B$1,"NA"),'MITRE ATT&amp;CK Mappings'!$F142))),ISNUMBER(SEARCH(IF(B$2&lt;&gt;"",B$2,"NA"),'MITRE ATT&amp;CK Mappings'!$G142))),ISNUMBER(SEARCH(IF(B$2&lt;&gt;"",B$2,"NA"),'MITRE ATT&amp;CK Mappings'!$H142))),ISNUMBER(SEARCH(IF(B$3&lt;&gt;"",B$3,"NA"),'MITRE ATT&amp;CK Mappings'!$I142))),ISNUMBER(SEARCH(IF(B$3&lt;&gt;"",B$3,"NA"),'MITRE ATT&amp;CK Mappings'!$J142))), 'MITRE ATT&amp;CK Mappings'!$B142,"")</f>
        <v/>
      </c>
      <c r="C146" s="26" t="str">
        <f>IF(OR(OR(OR(OR(OR(ISNUMBER(SEARCH(IF(C$1&lt;&gt;"",C$1,"NA"),'MITRE ATT&amp;CK Mappings'!$E142)),ISNUMBER(SEARCH(IF(C$1&lt;&gt;"",C$1,"NA"),'MITRE ATT&amp;CK Mappings'!$F142))),ISNUMBER(SEARCH(IF(C$2&lt;&gt;"",C$2,"NA"),'MITRE ATT&amp;CK Mappings'!$G142))),ISNUMBER(SEARCH(IF(C$2&lt;&gt;"",C$2,"NA"),'MITRE ATT&amp;CK Mappings'!$H142))),ISNUMBER(SEARCH(IF(C$3&lt;&gt;"",C$3,"NA"),'MITRE ATT&amp;CK Mappings'!$I142))),ISNUMBER(SEARCH(IF(C$3&lt;&gt;"",C$3,"NA"),'MITRE ATT&amp;CK Mappings'!$J142))), 'MITRE ATT&amp;CK Mappings'!$B142,"")</f>
        <v/>
      </c>
      <c r="D146" s="26" t="str">
        <f>IF(OR(OR(OR(OR(OR(ISNUMBER(SEARCH(IF(D$1&lt;&gt;"",D$1,"NA"),'MITRE ATT&amp;CK Mappings'!$E142)),ISNUMBER(SEARCH(IF(D$1&lt;&gt;"",D$1,"NA"),'MITRE ATT&amp;CK Mappings'!$F142))),ISNUMBER(SEARCH(IF(D$2&lt;&gt;"",D$2,"NA"),'MITRE ATT&amp;CK Mappings'!$G142))),ISNUMBER(SEARCH(IF(D$2&lt;&gt;"",D$2,"NA"),'MITRE ATT&amp;CK Mappings'!$H142))),ISNUMBER(SEARCH(IF(D$3&lt;&gt;"",D$3,"NA"),'MITRE ATT&amp;CK Mappings'!$I142))),ISNUMBER(SEARCH(IF(D$3&lt;&gt;"",D$3,"NA"),'MITRE ATT&amp;CK Mappings'!$J142))), 'MITRE ATT&amp;CK Mappings'!$B142,"")</f>
        <v/>
      </c>
      <c r="E146" s="26" t="str">
        <f>IF(OR(OR(OR(OR(OR(ISNUMBER(SEARCH(IF(E$1&lt;&gt;"",E$1,"NA"),'MITRE ATT&amp;CK Mappings'!$E142)),ISNUMBER(SEARCH(IF(E$1&lt;&gt;"",E$1,"NA"),'MITRE ATT&amp;CK Mappings'!$F142))),ISNUMBER(SEARCH(IF(E$2&lt;&gt;"",E$2,"NA"),'MITRE ATT&amp;CK Mappings'!$G142))),ISNUMBER(SEARCH(IF(E$2&lt;&gt;"",E$2,"NA"),'MITRE ATT&amp;CK Mappings'!$H142))),ISNUMBER(SEARCH(IF(E$3&lt;&gt;"",E$3,"NA"),'MITRE ATT&amp;CK Mappings'!$I142))),ISNUMBER(SEARCH(IF(E$3&lt;&gt;"",E$3,"NA"),'MITRE ATT&amp;CK Mappings'!$J142))), 'MITRE ATT&amp;CK Mappings'!$B142,"")</f>
        <v/>
      </c>
      <c r="F146" s="26" t="str">
        <f>IF(OR(OR(OR(OR(OR(ISNUMBER(SEARCH(IF(F$1&lt;&gt;"",F$1,"NA"),'MITRE ATT&amp;CK Mappings'!$E142)),ISNUMBER(SEARCH(IF(F$1&lt;&gt;"",F$1,"NA"),'MITRE ATT&amp;CK Mappings'!$F142))),ISNUMBER(SEARCH(IF(F$2&lt;&gt;"",F$2,"NA"),'MITRE ATT&amp;CK Mappings'!$G142))),ISNUMBER(SEARCH(IF(F$2&lt;&gt;"",F$2,"NA"),'MITRE ATT&amp;CK Mappings'!$H142))),ISNUMBER(SEARCH(IF(F$3&lt;&gt;"",F$3,"NA"),'MITRE ATT&amp;CK Mappings'!$I142))),ISNUMBER(SEARCH(IF(F$3&lt;&gt;"",F$3,"NA"),'MITRE ATT&amp;CK Mappings'!$J142))), 'MITRE ATT&amp;CK Mappings'!$B142,"")</f>
        <v/>
      </c>
      <c r="G146" s="26" t="str">
        <f>IF(OR(OR(OR(OR(OR(ISNUMBER(SEARCH(IF(G$1&lt;&gt;"",G$1,"NA"),'MITRE ATT&amp;CK Mappings'!$E142)),ISNUMBER(SEARCH(IF(G$1&lt;&gt;"",G$1,"NA"),'MITRE ATT&amp;CK Mappings'!$F142))),ISNUMBER(SEARCH(IF(G$2&lt;&gt;"",G$2,"NA"),'MITRE ATT&amp;CK Mappings'!$G142))),ISNUMBER(SEARCH(IF(G$2&lt;&gt;"",G$2,"NA"),'MITRE ATT&amp;CK Mappings'!$H142))),ISNUMBER(SEARCH(IF(G$3&lt;&gt;"",G$3,"NA"),'MITRE ATT&amp;CK Mappings'!$I142))),ISNUMBER(SEARCH(IF(G$3&lt;&gt;"",G$3,"NA"),'MITRE ATT&amp;CK Mappings'!$J142))), 'MITRE ATT&amp;CK Mappings'!$B142,"")</f>
        <v/>
      </c>
      <c r="H146" s="26" t="str">
        <f>IF(OR(OR(OR(OR(OR(ISNUMBER(SEARCH(IF(H$1&lt;&gt;"",H$1,"NA"),'MITRE ATT&amp;CK Mappings'!$E142)),ISNUMBER(SEARCH(IF(H$1&lt;&gt;"",H$1,"NA"),'MITRE ATT&amp;CK Mappings'!$F142))),ISNUMBER(SEARCH(IF(H$2&lt;&gt;"",H$2,"NA"),'MITRE ATT&amp;CK Mappings'!$G142))),ISNUMBER(SEARCH(IF(H$2&lt;&gt;"",H$2,"NA"),'MITRE ATT&amp;CK Mappings'!$H142))),ISNUMBER(SEARCH(IF(H$3&lt;&gt;"",H$3,"NA"),'MITRE ATT&amp;CK Mappings'!$I142))),ISNUMBER(SEARCH(IF(H$3&lt;&gt;"",H$3,"NA"),'MITRE ATT&amp;CK Mappings'!$J142))), 'MITRE ATT&amp;CK Mappings'!$B142,"")</f>
        <v/>
      </c>
      <c r="I146" s="26" t="str">
        <f>IF(OR(OR(OR(OR(OR(ISNUMBER(SEARCH(IF(I$1&lt;&gt;"",I$1,"NA"),'MITRE ATT&amp;CK Mappings'!$E142)),ISNUMBER(SEARCH(IF(I$1&lt;&gt;"",I$1,"NA"),'MITRE ATT&amp;CK Mappings'!$F142))),ISNUMBER(SEARCH(IF(I$2&lt;&gt;"",I$2,"NA"),'MITRE ATT&amp;CK Mappings'!$G142))),ISNUMBER(SEARCH(IF(I$2&lt;&gt;"",I$2,"NA"),'MITRE ATT&amp;CK Mappings'!$H142))),ISNUMBER(SEARCH(IF(I$3&lt;&gt;"",I$3,"NA"),'MITRE ATT&amp;CK Mappings'!$I142))),ISNUMBER(SEARCH(IF(I$3&lt;&gt;"",I$3,"NA"),'MITRE ATT&amp;CK Mappings'!$J142))), 'MITRE ATT&amp;CK Mappings'!$B142,"")</f>
        <v/>
      </c>
      <c r="J146" s="26" t="str">
        <f>IF(OR(OR(OR(OR(OR(ISNUMBER(SEARCH(IF(J$1&lt;&gt;"",J$1,"NA"),'MITRE ATT&amp;CK Mappings'!$E142)),ISNUMBER(SEARCH(IF(J$1&lt;&gt;"",J$1,"NA"),'MITRE ATT&amp;CK Mappings'!$F142))),ISNUMBER(SEARCH(IF(J$2&lt;&gt;"",J$2,"NA"),'MITRE ATT&amp;CK Mappings'!$G142))),ISNUMBER(SEARCH(IF(J$2&lt;&gt;"",J$2,"NA"),'MITRE ATT&amp;CK Mappings'!$H142))),ISNUMBER(SEARCH(IF(J$3&lt;&gt;"",J$3,"NA"),'MITRE ATT&amp;CK Mappings'!$I142))),ISNUMBER(SEARCH(IF(J$3&lt;&gt;"",J$3,"NA"),'MITRE ATT&amp;CK Mappings'!$J142))), 'MITRE ATT&amp;CK Mappings'!$B142,"")</f>
        <v/>
      </c>
      <c r="K146" s="26" t="str">
        <f>IF(OR(OR(OR(OR(OR(ISNUMBER(SEARCH(IF(K$1&lt;&gt;"",K$1,"NA"),'MITRE ATT&amp;CK Mappings'!$E142)),ISNUMBER(SEARCH(IF(K$1&lt;&gt;"",K$1,"NA"),'MITRE ATT&amp;CK Mappings'!$F142))),ISNUMBER(SEARCH(IF(K$2&lt;&gt;"",K$2,"NA"),'MITRE ATT&amp;CK Mappings'!$G142))),ISNUMBER(SEARCH(IF(K$2&lt;&gt;"",K$2,"NA"),'MITRE ATT&amp;CK Mappings'!$H142))),ISNUMBER(SEARCH(IF(K$3&lt;&gt;"",K$3,"NA"),'MITRE ATT&amp;CK Mappings'!$I142))),ISNUMBER(SEARCH(IF(K$3&lt;&gt;"",K$3,"NA"),'MITRE ATT&amp;CK Mappings'!$J142))), 'MITRE ATT&amp;CK Mappings'!$B142,"")</f>
        <v/>
      </c>
      <c r="L146" s="26" t="str">
        <f>IF('MITRE ATT&amp;CK Mappings'!D142 &lt;&gt;"",'MITRE ATT&amp;CK Mappings'!D142,"" )</f>
        <v>Ensure that 'Secure transfer required' is set to 'Enabled'</v>
      </c>
    </row>
    <row r="147" spans="1:12" x14ac:dyDescent="0.25">
      <c r="A147" s="27" t="str">
        <f>IF(COUNTIF(B147:K147,"="&amp;'MITRE ATT&amp;CK Mappings'!B143)&gt;0,'MITRE ATT&amp;CK Mappings'!B143,"")</f>
        <v/>
      </c>
      <c r="B147" s="27" t="str">
        <f>IF(OR(OR(OR(OR(OR(ISNUMBER(SEARCH(IF(B$1&lt;&gt;"",B$1,"NA"),'MITRE ATT&amp;CK Mappings'!$E143)),ISNUMBER(SEARCH(IF(B$1&lt;&gt;"",B$1,"NA"),'MITRE ATT&amp;CK Mappings'!$F143))),ISNUMBER(SEARCH(IF(B$2&lt;&gt;"",B$2,"NA"),'MITRE ATT&amp;CK Mappings'!$G143))),ISNUMBER(SEARCH(IF(B$2&lt;&gt;"",B$2,"NA"),'MITRE ATT&amp;CK Mappings'!$H143))),ISNUMBER(SEARCH(IF(B$3&lt;&gt;"",B$3,"NA"),'MITRE ATT&amp;CK Mappings'!$I143))),ISNUMBER(SEARCH(IF(B$3&lt;&gt;"",B$3,"NA"),'MITRE ATT&amp;CK Mappings'!$J143))), 'MITRE ATT&amp;CK Mappings'!$B143,"")</f>
        <v/>
      </c>
      <c r="C147" s="27" t="str">
        <f>IF(OR(OR(OR(OR(OR(ISNUMBER(SEARCH(IF(C$1&lt;&gt;"",C$1,"NA"),'MITRE ATT&amp;CK Mappings'!$E143)),ISNUMBER(SEARCH(IF(C$1&lt;&gt;"",C$1,"NA"),'MITRE ATT&amp;CK Mappings'!$F143))),ISNUMBER(SEARCH(IF(C$2&lt;&gt;"",C$2,"NA"),'MITRE ATT&amp;CK Mappings'!$G143))),ISNUMBER(SEARCH(IF(C$2&lt;&gt;"",C$2,"NA"),'MITRE ATT&amp;CK Mappings'!$H143))),ISNUMBER(SEARCH(IF(C$3&lt;&gt;"",C$3,"NA"),'MITRE ATT&amp;CK Mappings'!$I143))),ISNUMBER(SEARCH(IF(C$3&lt;&gt;"",C$3,"NA"),'MITRE ATT&amp;CK Mappings'!$J143))), 'MITRE ATT&amp;CK Mappings'!$B143,"")</f>
        <v/>
      </c>
      <c r="D147" s="27" t="str">
        <f>IF(OR(OR(OR(OR(OR(ISNUMBER(SEARCH(IF(D$1&lt;&gt;"",D$1,"NA"),'MITRE ATT&amp;CK Mappings'!$E143)),ISNUMBER(SEARCH(IF(D$1&lt;&gt;"",D$1,"NA"),'MITRE ATT&amp;CK Mappings'!$F143))),ISNUMBER(SEARCH(IF(D$2&lt;&gt;"",D$2,"NA"),'MITRE ATT&amp;CK Mappings'!$G143))),ISNUMBER(SEARCH(IF(D$2&lt;&gt;"",D$2,"NA"),'MITRE ATT&amp;CK Mappings'!$H143))),ISNUMBER(SEARCH(IF(D$3&lt;&gt;"",D$3,"NA"),'MITRE ATT&amp;CK Mappings'!$I143))),ISNUMBER(SEARCH(IF(D$3&lt;&gt;"",D$3,"NA"),'MITRE ATT&amp;CK Mappings'!$J143))), 'MITRE ATT&amp;CK Mappings'!$B143,"")</f>
        <v/>
      </c>
      <c r="E147" s="27" t="str">
        <f>IF(OR(OR(OR(OR(OR(ISNUMBER(SEARCH(IF(E$1&lt;&gt;"",E$1,"NA"),'MITRE ATT&amp;CK Mappings'!$E143)),ISNUMBER(SEARCH(IF(E$1&lt;&gt;"",E$1,"NA"),'MITRE ATT&amp;CK Mappings'!$F143))),ISNUMBER(SEARCH(IF(E$2&lt;&gt;"",E$2,"NA"),'MITRE ATT&amp;CK Mappings'!$G143))),ISNUMBER(SEARCH(IF(E$2&lt;&gt;"",E$2,"NA"),'MITRE ATT&amp;CK Mappings'!$H143))),ISNUMBER(SEARCH(IF(E$3&lt;&gt;"",E$3,"NA"),'MITRE ATT&amp;CK Mappings'!$I143))),ISNUMBER(SEARCH(IF(E$3&lt;&gt;"",E$3,"NA"),'MITRE ATT&amp;CK Mappings'!$J143))), 'MITRE ATT&amp;CK Mappings'!$B143,"")</f>
        <v/>
      </c>
      <c r="F147" s="27" t="str">
        <f>IF(OR(OR(OR(OR(OR(ISNUMBER(SEARCH(IF(F$1&lt;&gt;"",F$1,"NA"),'MITRE ATT&amp;CK Mappings'!$E143)),ISNUMBER(SEARCH(IF(F$1&lt;&gt;"",F$1,"NA"),'MITRE ATT&amp;CK Mappings'!$F143))),ISNUMBER(SEARCH(IF(F$2&lt;&gt;"",F$2,"NA"),'MITRE ATT&amp;CK Mappings'!$G143))),ISNUMBER(SEARCH(IF(F$2&lt;&gt;"",F$2,"NA"),'MITRE ATT&amp;CK Mappings'!$H143))),ISNUMBER(SEARCH(IF(F$3&lt;&gt;"",F$3,"NA"),'MITRE ATT&amp;CK Mappings'!$I143))),ISNUMBER(SEARCH(IF(F$3&lt;&gt;"",F$3,"NA"),'MITRE ATT&amp;CK Mappings'!$J143))), 'MITRE ATT&amp;CK Mappings'!$B143,"")</f>
        <v/>
      </c>
      <c r="G147" s="27" t="str">
        <f>IF(OR(OR(OR(OR(OR(ISNUMBER(SEARCH(IF(G$1&lt;&gt;"",G$1,"NA"),'MITRE ATT&amp;CK Mappings'!$E143)),ISNUMBER(SEARCH(IF(G$1&lt;&gt;"",G$1,"NA"),'MITRE ATT&amp;CK Mappings'!$F143))),ISNUMBER(SEARCH(IF(G$2&lt;&gt;"",G$2,"NA"),'MITRE ATT&amp;CK Mappings'!$G143))),ISNUMBER(SEARCH(IF(G$2&lt;&gt;"",G$2,"NA"),'MITRE ATT&amp;CK Mappings'!$H143))),ISNUMBER(SEARCH(IF(G$3&lt;&gt;"",G$3,"NA"),'MITRE ATT&amp;CK Mappings'!$I143))),ISNUMBER(SEARCH(IF(G$3&lt;&gt;"",G$3,"NA"),'MITRE ATT&amp;CK Mappings'!$J143))), 'MITRE ATT&amp;CK Mappings'!$B143,"")</f>
        <v/>
      </c>
      <c r="H147" s="27" t="str">
        <f>IF(OR(OR(OR(OR(OR(ISNUMBER(SEARCH(IF(H$1&lt;&gt;"",H$1,"NA"),'MITRE ATT&amp;CK Mappings'!$E143)),ISNUMBER(SEARCH(IF(H$1&lt;&gt;"",H$1,"NA"),'MITRE ATT&amp;CK Mappings'!$F143))),ISNUMBER(SEARCH(IF(H$2&lt;&gt;"",H$2,"NA"),'MITRE ATT&amp;CK Mappings'!$G143))),ISNUMBER(SEARCH(IF(H$2&lt;&gt;"",H$2,"NA"),'MITRE ATT&amp;CK Mappings'!$H143))),ISNUMBER(SEARCH(IF(H$3&lt;&gt;"",H$3,"NA"),'MITRE ATT&amp;CK Mappings'!$I143))),ISNUMBER(SEARCH(IF(H$3&lt;&gt;"",H$3,"NA"),'MITRE ATT&amp;CK Mappings'!$J143))), 'MITRE ATT&amp;CK Mappings'!$B143,"")</f>
        <v/>
      </c>
      <c r="I147" s="27" t="str">
        <f>IF(OR(OR(OR(OR(OR(ISNUMBER(SEARCH(IF(I$1&lt;&gt;"",I$1,"NA"),'MITRE ATT&amp;CK Mappings'!$E143)),ISNUMBER(SEARCH(IF(I$1&lt;&gt;"",I$1,"NA"),'MITRE ATT&amp;CK Mappings'!$F143))),ISNUMBER(SEARCH(IF(I$2&lt;&gt;"",I$2,"NA"),'MITRE ATT&amp;CK Mappings'!$G143))),ISNUMBER(SEARCH(IF(I$2&lt;&gt;"",I$2,"NA"),'MITRE ATT&amp;CK Mappings'!$H143))),ISNUMBER(SEARCH(IF(I$3&lt;&gt;"",I$3,"NA"),'MITRE ATT&amp;CK Mappings'!$I143))),ISNUMBER(SEARCH(IF(I$3&lt;&gt;"",I$3,"NA"),'MITRE ATT&amp;CK Mappings'!$J143))), 'MITRE ATT&amp;CK Mappings'!$B143,"")</f>
        <v/>
      </c>
      <c r="J147" s="27" t="str">
        <f>IF(OR(OR(OR(OR(OR(ISNUMBER(SEARCH(IF(J$1&lt;&gt;"",J$1,"NA"),'MITRE ATT&amp;CK Mappings'!$E143)),ISNUMBER(SEARCH(IF(J$1&lt;&gt;"",J$1,"NA"),'MITRE ATT&amp;CK Mappings'!$F143))),ISNUMBER(SEARCH(IF(J$2&lt;&gt;"",J$2,"NA"),'MITRE ATT&amp;CK Mappings'!$G143))),ISNUMBER(SEARCH(IF(J$2&lt;&gt;"",J$2,"NA"),'MITRE ATT&amp;CK Mappings'!$H143))),ISNUMBER(SEARCH(IF(J$3&lt;&gt;"",J$3,"NA"),'MITRE ATT&amp;CK Mappings'!$I143))),ISNUMBER(SEARCH(IF(J$3&lt;&gt;"",J$3,"NA"),'MITRE ATT&amp;CK Mappings'!$J143))), 'MITRE ATT&amp;CK Mappings'!$B143,"")</f>
        <v/>
      </c>
      <c r="K147" s="27" t="str">
        <f>IF(OR(OR(OR(OR(OR(ISNUMBER(SEARCH(IF(K$1&lt;&gt;"",K$1,"NA"),'MITRE ATT&amp;CK Mappings'!$E143)),ISNUMBER(SEARCH(IF(K$1&lt;&gt;"",K$1,"NA"),'MITRE ATT&amp;CK Mappings'!$F143))),ISNUMBER(SEARCH(IF(K$2&lt;&gt;"",K$2,"NA"),'MITRE ATT&amp;CK Mappings'!$G143))),ISNUMBER(SEARCH(IF(K$2&lt;&gt;"",K$2,"NA"),'MITRE ATT&amp;CK Mappings'!$H143))),ISNUMBER(SEARCH(IF(K$3&lt;&gt;"",K$3,"NA"),'MITRE ATT&amp;CK Mappings'!$I143))),ISNUMBER(SEARCH(IF(K$3&lt;&gt;"",K$3,"NA"),'MITRE ATT&amp;CK Mappings'!$J143))), 'MITRE ATT&amp;CK Mappings'!$B143,"")</f>
        <v/>
      </c>
      <c r="L147" s="27" t="str">
        <f>IF('MITRE ATT&amp;CK Mappings'!D143 &lt;&gt;"",'MITRE ATT&amp;CK Mappings'!D143,"" )</f>
        <v>Ensure 'Allow Azure services on the trusted services list to access this storage account' is Enabled for Storage Account Access</v>
      </c>
    </row>
    <row r="148" spans="1:12" x14ac:dyDescent="0.25">
      <c r="A148" s="26" t="str">
        <f>IF(COUNTIF(B148:K148,"="&amp;'MITRE ATT&amp;CK Mappings'!B144)&gt;0,'MITRE ATT&amp;CK Mappings'!B144,"")</f>
        <v/>
      </c>
      <c r="B148" s="26" t="str">
        <f>IF(OR(OR(OR(OR(OR(ISNUMBER(SEARCH(IF(B$1&lt;&gt;"",B$1,"NA"),'MITRE ATT&amp;CK Mappings'!$E144)),ISNUMBER(SEARCH(IF(B$1&lt;&gt;"",B$1,"NA"),'MITRE ATT&amp;CK Mappings'!$F144))),ISNUMBER(SEARCH(IF(B$2&lt;&gt;"",B$2,"NA"),'MITRE ATT&amp;CK Mappings'!$G144))),ISNUMBER(SEARCH(IF(B$2&lt;&gt;"",B$2,"NA"),'MITRE ATT&amp;CK Mappings'!$H144))),ISNUMBER(SEARCH(IF(B$3&lt;&gt;"",B$3,"NA"),'MITRE ATT&amp;CK Mappings'!$I144))),ISNUMBER(SEARCH(IF(B$3&lt;&gt;"",B$3,"NA"),'MITRE ATT&amp;CK Mappings'!$J144))), 'MITRE ATT&amp;CK Mappings'!$B144,"")</f>
        <v/>
      </c>
      <c r="C148" s="26" t="str">
        <f>IF(OR(OR(OR(OR(OR(ISNUMBER(SEARCH(IF(C$1&lt;&gt;"",C$1,"NA"),'MITRE ATT&amp;CK Mappings'!$E144)),ISNUMBER(SEARCH(IF(C$1&lt;&gt;"",C$1,"NA"),'MITRE ATT&amp;CK Mappings'!$F144))),ISNUMBER(SEARCH(IF(C$2&lt;&gt;"",C$2,"NA"),'MITRE ATT&amp;CK Mappings'!$G144))),ISNUMBER(SEARCH(IF(C$2&lt;&gt;"",C$2,"NA"),'MITRE ATT&amp;CK Mappings'!$H144))),ISNUMBER(SEARCH(IF(C$3&lt;&gt;"",C$3,"NA"),'MITRE ATT&amp;CK Mappings'!$I144))),ISNUMBER(SEARCH(IF(C$3&lt;&gt;"",C$3,"NA"),'MITRE ATT&amp;CK Mappings'!$J144))), 'MITRE ATT&amp;CK Mappings'!$B144,"")</f>
        <v/>
      </c>
      <c r="D148" s="26" t="str">
        <f>IF(OR(OR(OR(OR(OR(ISNUMBER(SEARCH(IF(D$1&lt;&gt;"",D$1,"NA"),'MITRE ATT&amp;CK Mappings'!$E144)),ISNUMBER(SEARCH(IF(D$1&lt;&gt;"",D$1,"NA"),'MITRE ATT&amp;CK Mappings'!$F144))),ISNUMBER(SEARCH(IF(D$2&lt;&gt;"",D$2,"NA"),'MITRE ATT&amp;CK Mappings'!$G144))),ISNUMBER(SEARCH(IF(D$2&lt;&gt;"",D$2,"NA"),'MITRE ATT&amp;CK Mappings'!$H144))),ISNUMBER(SEARCH(IF(D$3&lt;&gt;"",D$3,"NA"),'MITRE ATT&amp;CK Mappings'!$I144))),ISNUMBER(SEARCH(IF(D$3&lt;&gt;"",D$3,"NA"),'MITRE ATT&amp;CK Mappings'!$J144))), 'MITRE ATT&amp;CK Mappings'!$B144,"")</f>
        <v/>
      </c>
      <c r="E148" s="26" t="str">
        <f>IF(OR(OR(OR(OR(OR(ISNUMBER(SEARCH(IF(E$1&lt;&gt;"",E$1,"NA"),'MITRE ATT&amp;CK Mappings'!$E144)),ISNUMBER(SEARCH(IF(E$1&lt;&gt;"",E$1,"NA"),'MITRE ATT&amp;CK Mappings'!$F144))),ISNUMBER(SEARCH(IF(E$2&lt;&gt;"",E$2,"NA"),'MITRE ATT&amp;CK Mappings'!$G144))),ISNUMBER(SEARCH(IF(E$2&lt;&gt;"",E$2,"NA"),'MITRE ATT&amp;CK Mappings'!$H144))),ISNUMBER(SEARCH(IF(E$3&lt;&gt;"",E$3,"NA"),'MITRE ATT&amp;CK Mappings'!$I144))),ISNUMBER(SEARCH(IF(E$3&lt;&gt;"",E$3,"NA"),'MITRE ATT&amp;CK Mappings'!$J144))), 'MITRE ATT&amp;CK Mappings'!$B144,"")</f>
        <v/>
      </c>
      <c r="F148" s="26" t="str">
        <f>IF(OR(OR(OR(OR(OR(ISNUMBER(SEARCH(IF(F$1&lt;&gt;"",F$1,"NA"),'MITRE ATT&amp;CK Mappings'!$E144)),ISNUMBER(SEARCH(IF(F$1&lt;&gt;"",F$1,"NA"),'MITRE ATT&amp;CK Mappings'!$F144))),ISNUMBER(SEARCH(IF(F$2&lt;&gt;"",F$2,"NA"),'MITRE ATT&amp;CK Mappings'!$G144))),ISNUMBER(SEARCH(IF(F$2&lt;&gt;"",F$2,"NA"),'MITRE ATT&amp;CK Mappings'!$H144))),ISNUMBER(SEARCH(IF(F$3&lt;&gt;"",F$3,"NA"),'MITRE ATT&amp;CK Mappings'!$I144))),ISNUMBER(SEARCH(IF(F$3&lt;&gt;"",F$3,"NA"),'MITRE ATT&amp;CK Mappings'!$J144))), 'MITRE ATT&amp;CK Mappings'!$B144,"")</f>
        <v/>
      </c>
      <c r="G148" s="26" t="str">
        <f>IF(OR(OR(OR(OR(OR(ISNUMBER(SEARCH(IF(G$1&lt;&gt;"",G$1,"NA"),'MITRE ATT&amp;CK Mappings'!$E144)),ISNUMBER(SEARCH(IF(G$1&lt;&gt;"",G$1,"NA"),'MITRE ATT&amp;CK Mappings'!$F144))),ISNUMBER(SEARCH(IF(G$2&lt;&gt;"",G$2,"NA"),'MITRE ATT&amp;CK Mappings'!$G144))),ISNUMBER(SEARCH(IF(G$2&lt;&gt;"",G$2,"NA"),'MITRE ATT&amp;CK Mappings'!$H144))),ISNUMBER(SEARCH(IF(G$3&lt;&gt;"",G$3,"NA"),'MITRE ATT&amp;CK Mappings'!$I144))),ISNUMBER(SEARCH(IF(G$3&lt;&gt;"",G$3,"NA"),'MITRE ATT&amp;CK Mappings'!$J144))), 'MITRE ATT&amp;CK Mappings'!$B144,"")</f>
        <v/>
      </c>
      <c r="H148" s="26" t="str">
        <f>IF(OR(OR(OR(OR(OR(ISNUMBER(SEARCH(IF(H$1&lt;&gt;"",H$1,"NA"),'MITRE ATT&amp;CK Mappings'!$E144)),ISNUMBER(SEARCH(IF(H$1&lt;&gt;"",H$1,"NA"),'MITRE ATT&amp;CK Mappings'!$F144))),ISNUMBER(SEARCH(IF(H$2&lt;&gt;"",H$2,"NA"),'MITRE ATT&amp;CK Mappings'!$G144))),ISNUMBER(SEARCH(IF(H$2&lt;&gt;"",H$2,"NA"),'MITRE ATT&amp;CK Mappings'!$H144))),ISNUMBER(SEARCH(IF(H$3&lt;&gt;"",H$3,"NA"),'MITRE ATT&amp;CK Mappings'!$I144))),ISNUMBER(SEARCH(IF(H$3&lt;&gt;"",H$3,"NA"),'MITRE ATT&amp;CK Mappings'!$J144))), 'MITRE ATT&amp;CK Mappings'!$B144,"")</f>
        <v/>
      </c>
      <c r="I148" s="26" t="str">
        <f>IF(OR(OR(OR(OR(OR(ISNUMBER(SEARCH(IF(I$1&lt;&gt;"",I$1,"NA"),'MITRE ATT&amp;CK Mappings'!$E144)),ISNUMBER(SEARCH(IF(I$1&lt;&gt;"",I$1,"NA"),'MITRE ATT&amp;CK Mappings'!$F144))),ISNUMBER(SEARCH(IF(I$2&lt;&gt;"",I$2,"NA"),'MITRE ATT&amp;CK Mappings'!$G144))),ISNUMBER(SEARCH(IF(I$2&lt;&gt;"",I$2,"NA"),'MITRE ATT&amp;CK Mappings'!$H144))),ISNUMBER(SEARCH(IF(I$3&lt;&gt;"",I$3,"NA"),'MITRE ATT&amp;CK Mappings'!$I144))),ISNUMBER(SEARCH(IF(I$3&lt;&gt;"",I$3,"NA"),'MITRE ATT&amp;CK Mappings'!$J144))), 'MITRE ATT&amp;CK Mappings'!$B144,"")</f>
        <v/>
      </c>
      <c r="J148" s="26" t="str">
        <f>IF(OR(OR(OR(OR(OR(ISNUMBER(SEARCH(IF(J$1&lt;&gt;"",J$1,"NA"),'MITRE ATT&amp;CK Mappings'!$E144)),ISNUMBER(SEARCH(IF(J$1&lt;&gt;"",J$1,"NA"),'MITRE ATT&amp;CK Mappings'!$F144))),ISNUMBER(SEARCH(IF(J$2&lt;&gt;"",J$2,"NA"),'MITRE ATT&amp;CK Mappings'!$G144))),ISNUMBER(SEARCH(IF(J$2&lt;&gt;"",J$2,"NA"),'MITRE ATT&amp;CK Mappings'!$H144))),ISNUMBER(SEARCH(IF(J$3&lt;&gt;"",J$3,"NA"),'MITRE ATT&amp;CK Mappings'!$I144))),ISNUMBER(SEARCH(IF(J$3&lt;&gt;"",J$3,"NA"),'MITRE ATT&amp;CK Mappings'!$J144))), 'MITRE ATT&amp;CK Mappings'!$B144,"")</f>
        <v/>
      </c>
      <c r="K148" s="26" t="str">
        <f>IF(OR(OR(OR(OR(OR(ISNUMBER(SEARCH(IF(K$1&lt;&gt;"",K$1,"NA"),'MITRE ATT&amp;CK Mappings'!$E144)),ISNUMBER(SEARCH(IF(K$1&lt;&gt;"",K$1,"NA"),'MITRE ATT&amp;CK Mappings'!$F144))),ISNUMBER(SEARCH(IF(K$2&lt;&gt;"",K$2,"NA"),'MITRE ATT&amp;CK Mappings'!$G144))),ISNUMBER(SEARCH(IF(K$2&lt;&gt;"",K$2,"NA"),'MITRE ATT&amp;CK Mappings'!$H144))),ISNUMBER(SEARCH(IF(K$3&lt;&gt;"",K$3,"NA"),'MITRE ATT&amp;CK Mappings'!$I144))),ISNUMBER(SEARCH(IF(K$3&lt;&gt;"",K$3,"NA"),'MITRE ATT&amp;CK Mappings'!$J144))), 'MITRE ATT&amp;CK Mappings'!$B144,"")</f>
        <v/>
      </c>
      <c r="L148" s="26" t="str">
        <f>IF('MITRE ATT&amp;CK Mappings'!D144 &lt;&gt;"",'MITRE ATT&amp;CK Mappings'!D144,"" )</f>
        <v>Ensure the 'Minimum TLS version' for storage accounts is set to 'Version 1.2'</v>
      </c>
    </row>
    <row r="149" spans="1:12" x14ac:dyDescent="0.25">
      <c r="A149" s="27" t="str">
        <f>IF(COUNTIF(B149:K149,"="&amp;'MITRE ATT&amp;CK Mappings'!B145)&gt;0,'MITRE ATT&amp;CK Mappings'!B145,"")</f>
        <v/>
      </c>
      <c r="B149" s="27" t="str">
        <f>IF(OR(OR(OR(OR(OR(ISNUMBER(SEARCH(IF(B$1&lt;&gt;"",B$1,"NA"),'MITRE ATT&amp;CK Mappings'!$E145)),ISNUMBER(SEARCH(IF(B$1&lt;&gt;"",B$1,"NA"),'MITRE ATT&amp;CK Mappings'!$F145))),ISNUMBER(SEARCH(IF(B$2&lt;&gt;"",B$2,"NA"),'MITRE ATT&amp;CK Mappings'!$G145))),ISNUMBER(SEARCH(IF(B$2&lt;&gt;"",B$2,"NA"),'MITRE ATT&amp;CK Mappings'!$H145))),ISNUMBER(SEARCH(IF(B$3&lt;&gt;"",B$3,"NA"),'MITRE ATT&amp;CK Mappings'!$I145))),ISNUMBER(SEARCH(IF(B$3&lt;&gt;"",B$3,"NA"),'MITRE ATT&amp;CK Mappings'!$J145))), 'MITRE ATT&amp;CK Mappings'!$B145,"")</f>
        <v/>
      </c>
      <c r="C149" s="27" t="str">
        <f>IF(OR(OR(OR(OR(OR(ISNUMBER(SEARCH(IF(C$1&lt;&gt;"",C$1,"NA"),'MITRE ATT&amp;CK Mappings'!$E145)),ISNUMBER(SEARCH(IF(C$1&lt;&gt;"",C$1,"NA"),'MITRE ATT&amp;CK Mappings'!$F145))),ISNUMBER(SEARCH(IF(C$2&lt;&gt;"",C$2,"NA"),'MITRE ATT&amp;CK Mappings'!$G145))),ISNUMBER(SEARCH(IF(C$2&lt;&gt;"",C$2,"NA"),'MITRE ATT&amp;CK Mappings'!$H145))),ISNUMBER(SEARCH(IF(C$3&lt;&gt;"",C$3,"NA"),'MITRE ATT&amp;CK Mappings'!$I145))),ISNUMBER(SEARCH(IF(C$3&lt;&gt;"",C$3,"NA"),'MITRE ATT&amp;CK Mappings'!$J145))), 'MITRE ATT&amp;CK Mappings'!$B145,"")</f>
        <v/>
      </c>
      <c r="D149" s="27" t="str">
        <f>IF(OR(OR(OR(OR(OR(ISNUMBER(SEARCH(IF(D$1&lt;&gt;"",D$1,"NA"),'MITRE ATT&amp;CK Mappings'!$E145)),ISNUMBER(SEARCH(IF(D$1&lt;&gt;"",D$1,"NA"),'MITRE ATT&amp;CK Mappings'!$F145))),ISNUMBER(SEARCH(IF(D$2&lt;&gt;"",D$2,"NA"),'MITRE ATT&amp;CK Mappings'!$G145))),ISNUMBER(SEARCH(IF(D$2&lt;&gt;"",D$2,"NA"),'MITRE ATT&amp;CK Mappings'!$H145))),ISNUMBER(SEARCH(IF(D$3&lt;&gt;"",D$3,"NA"),'MITRE ATT&amp;CK Mappings'!$I145))),ISNUMBER(SEARCH(IF(D$3&lt;&gt;"",D$3,"NA"),'MITRE ATT&amp;CK Mappings'!$J145))), 'MITRE ATT&amp;CK Mappings'!$B145,"")</f>
        <v/>
      </c>
      <c r="E149" s="27" t="str">
        <f>IF(OR(OR(OR(OR(OR(ISNUMBER(SEARCH(IF(E$1&lt;&gt;"",E$1,"NA"),'MITRE ATT&amp;CK Mappings'!$E145)),ISNUMBER(SEARCH(IF(E$1&lt;&gt;"",E$1,"NA"),'MITRE ATT&amp;CK Mappings'!$F145))),ISNUMBER(SEARCH(IF(E$2&lt;&gt;"",E$2,"NA"),'MITRE ATT&amp;CK Mappings'!$G145))),ISNUMBER(SEARCH(IF(E$2&lt;&gt;"",E$2,"NA"),'MITRE ATT&amp;CK Mappings'!$H145))),ISNUMBER(SEARCH(IF(E$3&lt;&gt;"",E$3,"NA"),'MITRE ATT&amp;CK Mappings'!$I145))),ISNUMBER(SEARCH(IF(E$3&lt;&gt;"",E$3,"NA"),'MITRE ATT&amp;CK Mappings'!$J145))), 'MITRE ATT&amp;CK Mappings'!$B145,"")</f>
        <v/>
      </c>
      <c r="F149" s="27" t="str">
        <f>IF(OR(OR(OR(OR(OR(ISNUMBER(SEARCH(IF(F$1&lt;&gt;"",F$1,"NA"),'MITRE ATT&amp;CK Mappings'!$E145)),ISNUMBER(SEARCH(IF(F$1&lt;&gt;"",F$1,"NA"),'MITRE ATT&amp;CK Mappings'!$F145))),ISNUMBER(SEARCH(IF(F$2&lt;&gt;"",F$2,"NA"),'MITRE ATT&amp;CK Mappings'!$G145))),ISNUMBER(SEARCH(IF(F$2&lt;&gt;"",F$2,"NA"),'MITRE ATT&amp;CK Mappings'!$H145))),ISNUMBER(SEARCH(IF(F$3&lt;&gt;"",F$3,"NA"),'MITRE ATT&amp;CK Mappings'!$I145))),ISNUMBER(SEARCH(IF(F$3&lt;&gt;"",F$3,"NA"),'MITRE ATT&amp;CK Mappings'!$J145))), 'MITRE ATT&amp;CK Mappings'!$B145,"")</f>
        <v/>
      </c>
      <c r="G149" s="27" t="str">
        <f>IF(OR(OR(OR(OR(OR(ISNUMBER(SEARCH(IF(G$1&lt;&gt;"",G$1,"NA"),'MITRE ATT&amp;CK Mappings'!$E145)),ISNUMBER(SEARCH(IF(G$1&lt;&gt;"",G$1,"NA"),'MITRE ATT&amp;CK Mappings'!$F145))),ISNUMBER(SEARCH(IF(G$2&lt;&gt;"",G$2,"NA"),'MITRE ATT&amp;CK Mappings'!$G145))),ISNUMBER(SEARCH(IF(G$2&lt;&gt;"",G$2,"NA"),'MITRE ATT&amp;CK Mappings'!$H145))),ISNUMBER(SEARCH(IF(G$3&lt;&gt;"",G$3,"NA"),'MITRE ATT&amp;CK Mappings'!$I145))),ISNUMBER(SEARCH(IF(G$3&lt;&gt;"",G$3,"NA"),'MITRE ATT&amp;CK Mappings'!$J145))), 'MITRE ATT&amp;CK Mappings'!$B145,"")</f>
        <v/>
      </c>
      <c r="H149" s="27" t="str">
        <f>IF(OR(OR(OR(OR(OR(ISNUMBER(SEARCH(IF(H$1&lt;&gt;"",H$1,"NA"),'MITRE ATT&amp;CK Mappings'!$E145)),ISNUMBER(SEARCH(IF(H$1&lt;&gt;"",H$1,"NA"),'MITRE ATT&amp;CK Mappings'!$F145))),ISNUMBER(SEARCH(IF(H$2&lt;&gt;"",H$2,"NA"),'MITRE ATT&amp;CK Mappings'!$G145))),ISNUMBER(SEARCH(IF(H$2&lt;&gt;"",H$2,"NA"),'MITRE ATT&amp;CK Mappings'!$H145))),ISNUMBER(SEARCH(IF(H$3&lt;&gt;"",H$3,"NA"),'MITRE ATT&amp;CK Mappings'!$I145))),ISNUMBER(SEARCH(IF(H$3&lt;&gt;"",H$3,"NA"),'MITRE ATT&amp;CK Mappings'!$J145))), 'MITRE ATT&amp;CK Mappings'!$B145,"")</f>
        <v/>
      </c>
      <c r="I149" s="27" t="str">
        <f>IF(OR(OR(OR(OR(OR(ISNUMBER(SEARCH(IF(I$1&lt;&gt;"",I$1,"NA"),'MITRE ATT&amp;CK Mappings'!$E145)),ISNUMBER(SEARCH(IF(I$1&lt;&gt;"",I$1,"NA"),'MITRE ATT&amp;CK Mappings'!$F145))),ISNUMBER(SEARCH(IF(I$2&lt;&gt;"",I$2,"NA"),'MITRE ATT&amp;CK Mappings'!$G145))),ISNUMBER(SEARCH(IF(I$2&lt;&gt;"",I$2,"NA"),'MITRE ATT&amp;CK Mappings'!$H145))),ISNUMBER(SEARCH(IF(I$3&lt;&gt;"",I$3,"NA"),'MITRE ATT&amp;CK Mappings'!$I145))),ISNUMBER(SEARCH(IF(I$3&lt;&gt;"",I$3,"NA"),'MITRE ATT&amp;CK Mappings'!$J145))), 'MITRE ATT&amp;CK Mappings'!$B145,"")</f>
        <v/>
      </c>
      <c r="J149" s="27" t="str">
        <f>IF(OR(OR(OR(OR(OR(ISNUMBER(SEARCH(IF(J$1&lt;&gt;"",J$1,"NA"),'MITRE ATT&amp;CK Mappings'!$E145)),ISNUMBER(SEARCH(IF(J$1&lt;&gt;"",J$1,"NA"),'MITRE ATT&amp;CK Mappings'!$F145))),ISNUMBER(SEARCH(IF(J$2&lt;&gt;"",J$2,"NA"),'MITRE ATT&amp;CK Mappings'!$G145))),ISNUMBER(SEARCH(IF(J$2&lt;&gt;"",J$2,"NA"),'MITRE ATT&amp;CK Mappings'!$H145))),ISNUMBER(SEARCH(IF(J$3&lt;&gt;"",J$3,"NA"),'MITRE ATT&amp;CK Mappings'!$I145))),ISNUMBER(SEARCH(IF(J$3&lt;&gt;"",J$3,"NA"),'MITRE ATT&amp;CK Mappings'!$J145))), 'MITRE ATT&amp;CK Mappings'!$B145,"")</f>
        <v/>
      </c>
      <c r="K149" s="27" t="str">
        <f>IF(OR(OR(OR(OR(OR(ISNUMBER(SEARCH(IF(K$1&lt;&gt;"",K$1,"NA"),'MITRE ATT&amp;CK Mappings'!$E145)),ISNUMBER(SEARCH(IF(K$1&lt;&gt;"",K$1,"NA"),'MITRE ATT&amp;CK Mappings'!$F145))),ISNUMBER(SEARCH(IF(K$2&lt;&gt;"",K$2,"NA"),'MITRE ATT&amp;CK Mappings'!$G145))),ISNUMBER(SEARCH(IF(K$2&lt;&gt;"",K$2,"NA"),'MITRE ATT&amp;CK Mappings'!$H145))),ISNUMBER(SEARCH(IF(K$3&lt;&gt;"",K$3,"NA"),'MITRE ATT&amp;CK Mappings'!$I145))),ISNUMBER(SEARCH(IF(K$3&lt;&gt;"",K$3,"NA"),'MITRE ATT&amp;CK Mappings'!$J145))), 'MITRE ATT&amp;CK Mappings'!$B145,"")</f>
        <v/>
      </c>
      <c r="L149" s="27" t="str">
        <f>IF('MITRE ATT&amp;CK Mappings'!D145 &lt;&gt;"",'MITRE ATT&amp;CK Mappings'!D145,"" )</f>
        <v>Ensure 'Cross Tenant Replication' is not enabled</v>
      </c>
    </row>
    <row r="150" spans="1:12" x14ac:dyDescent="0.25">
      <c r="A150" s="26" t="str">
        <f>IF(COUNTIF(B150:K150,"="&amp;'MITRE ATT&amp;CK Mappings'!B146)&gt;0,'MITRE ATT&amp;CK Mappings'!B146,"")</f>
        <v/>
      </c>
      <c r="B150" s="26" t="str">
        <f>IF(OR(OR(OR(OR(OR(ISNUMBER(SEARCH(IF(B$1&lt;&gt;"",B$1,"NA"),'MITRE ATT&amp;CK Mappings'!$E146)),ISNUMBER(SEARCH(IF(B$1&lt;&gt;"",B$1,"NA"),'MITRE ATT&amp;CK Mappings'!$F146))),ISNUMBER(SEARCH(IF(B$2&lt;&gt;"",B$2,"NA"),'MITRE ATT&amp;CK Mappings'!$G146))),ISNUMBER(SEARCH(IF(B$2&lt;&gt;"",B$2,"NA"),'MITRE ATT&amp;CK Mappings'!$H146))),ISNUMBER(SEARCH(IF(B$3&lt;&gt;"",B$3,"NA"),'MITRE ATT&amp;CK Mappings'!$I146))),ISNUMBER(SEARCH(IF(B$3&lt;&gt;"",B$3,"NA"),'MITRE ATT&amp;CK Mappings'!$J146))), 'MITRE ATT&amp;CK Mappings'!$B146,"")</f>
        <v/>
      </c>
      <c r="C150" s="26" t="str">
        <f>IF(OR(OR(OR(OR(OR(ISNUMBER(SEARCH(IF(C$1&lt;&gt;"",C$1,"NA"),'MITRE ATT&amp;CK Mappings'!$E146)),ISNUMBER(SEARCH(IF(C$1&lt;&gt;"",C$1,"NA"),'MITRE ATT&amp;CK Mappings'!$F146))),ISNUMBER(SEARCH(IF(C$2&lt;&gt;"",C$2,"NA"),'MITRE ATT&amp;CK Mappings'!$G146))),ISNUMBER(SEARCH(IF(C$2&lt;&gt;"",C$2,"NA"),'MITRE ATT&amp;CK Mappings'!$H146))),ISNUMBER(SEARCH(IF(C$3&lt;&gt;"",C$3,"NA"),'MITRE ATT&amp;CK Mappings'!$I146))),ISNUMBER(SEARCH(IF(C$3&lt;&gt;"",C$3,"NA"),'MITRE ATT&amp;CK Mappings'!$J146))), 'MITRE ATT&amp;CK Mappings'!$B146,"")</f>
        <v/>
      </c>
      <c r="D150" s="26" t="str">
        <f>IF(OR(OR(OR(OR(OR(ISNUMBER(SEARCH(IF(D$1&lt;&gt;"",D$1,"NA"),'MITRE ATT&amp;CK Mappings'!$E146)),ISNUMBER(SEARCH(IF(D$1&lt;&gt;"",D$1,"NA"),'MITRE ATT&amp;CK Mappings'!$F146))),ISNUMBER(SEARCH(IF(D$2&lt;&gt;"",D$2,"NA"),'MITRE ATT&amp;CK Mappings'!$G146))),ISNUMBER(SEARCH(IF(D$2&lt;&gt;"",D$2,"NA"),'MITRE ATT&amp;CK Mappings'!$H146))),ISNUMBER(SEARCH(IF(D$3&lt;&gt;"",D$3,"NA"),'MITRE ATT&amp;CK Mappings'!$I146))),ISNUMBER(SEARCH(IF(D$3&lt;&gt;"",D$3,"NA"),'MITRE ATT&amp;CK Mappings'!$J146))), 'MITRE ATT&amp;CK Mappings'!$B146,"")</f>
        <v/>
      </c>
      <c r="E150" s="26" t="str">
        <f>IF(OR(OR(OR(OR(OR(ISNUMBER(SEARCH(IF(E$1&lt;&gt;"",E$1,"NA"),'MITRE ATT&amp;CK Mappings'!$E146)),ISNUMBER(SEARCH(IF(E$1&lt;&gt;"",E$1,"NA"),'MITRE ATT&amp;CK Mappings'!$F146))),ISNUMBER(SEARCH(IF(E$2&lt;&gt;"",E$2,"NA"),'MITRE ATT&amp;CK Mappings'!$G146))),ISNUMBER(SEARCH(IF(E$2&lt;&gt;"",E$2,"NA"),'MITRE ATT&amp;CK Mappings'!$H146))),ISNUMBER(SEARCH(IF(E$3&lt;&gt;"",E$3,"NA"),'MITRE ATT&amp;CK Mappings'!$I146))),ISNUMBER(SEARCH(IF(E$3&lt;&gt;"",E$3,"NA"),'MITRE ATT&amp;CK Mappings'!$J146))), 'MITRE ATT&amp;CK Mappings'!$B146,"")</f>
        <v/>
      </c>
      <c r="F150" s="26" t="str">
        <f>IF(OR(OR(OR(OR(OR(ISNUMBER(SEARCH(IF(F$1&lt;&gt;"",F$1,"NA"),'MITRE ATT&amp;CK Mappings'!$E146)),ISNUMBER(SEARCH(IF(F$1&lt;&gt;"",F$1,"NA"),'MITRE ATT&amp;CK Mappings'!$F146))),ISNUMBER(SEARCH(IF(F$2&lt;&gt;"",F$2,"NA"),'MITRE ATT&amp;CK Mappings'!$G146))),ISNUMBER(SEARCH(IF(F$2&lt;&gt;"",F$2,"NA"),'MITRE ATT&amp;CK Mappings'!$H146))),ISNUMBER(SEARCH(IF(F$3&lt;&gt;"",F$3,"NA"),'MITRE ATT&amp;CK Mappings'!$I146))),ISNUMBER(SEARCH(IF(F$3&lt;&gt;"",F$3,"NA"),'MITRE ATT&amp;CK Mappings'!$J146))), 'MITRE ATT&amp;CK Mappings'!$B146,"")</f>
        <v/>
      </c>
      <c r="G150" s="26" t="str">
        <f>IF(OR(OR(OR(OR(OR(ISNUMBER(SEARCH(IF(G$1&lt;&gt;"",G$1,"NA"),'MITRE ATT&amp;CK Mappings'!$E146)),ISNUMBER(SEARCH(IF(G$1&lt;&gt;"",G$1,"NA"),'MITRE ATT&amp;CK Mappings'!$F146))),ISNUMBER(SEARCH(IF(G$2&lt;&gt;"",G$2,"NA"),'MITRE ATT&amp;CK Mappings'!$G146))),ISNUMBER(SEARCH(IF(G$2&lt;&gt;"",G$2,"NA"),'MITRE ATT&amp;CK Mappings'!$H146))),ISNUMBER(SEARCH(IF(G$3&lt;&gt;"",G$3,"NA"),'MITRE ATT&amp;CK Mappings'!$I146))),ISNUMBER(SEARCH(IF(G$3&lt;&gt;"",G$3,"NA"),'MITRE ATT&amp;CK Mappings'!$J146))), 'MITRE ATT&amp;CK Mappings'!$B146,"")</f>
        <v/>
      </c>
      <c r="H150" s="26" t="str">
        <f>IF(OR(OR(OR(OR(OR(ISNUMBER(SEARCH(IF(H$1&lt;&gt;"",H$1,"NA"),'MITRE ATT&amp;CK Mappings'!$E146)),ISNUMBER(SEARCH(IF(H$1&lt;&gt;"",H$1,"NA"),'MITRE ATT&amp;CK Mappings'!$F146))),ISNUMBER(SEARCH(IF(H$2&lt;&gt;"",H$2,"NA"),'MITRE ATT&amp;CK Mappings'!$G146))),ISNUMBER(SEARCH(IF(H$2&lt;&gt;"",H$2,"NA"),'MITRE ATT&amp;CK Mappings'!$H146))),ISNUMBER(SEARCH(IF(H$3&lt;&gt;"",H$3,"NA"),'MITRE ATT&amp;CK Mappings'!$I146))),ISNUMBER(SEARCH(IF(H$3&lt;&gt;"",H$3,"NA"),'MITRE ATT&amp;CK Mappings'!$J146))), 'MITRE ATT&amp;CK Mappings'!$B146,"")</f>
        <v/>
      </c>
      <c r="I150" s="26" t="str">
        <f>IF(OR(OR(OR(OR(OR(ISNUMBER(SEARCH(IF(I$1&lt;&gt;"",I$1,"NA"),'MITRE ATT&amp;CK Mappings'!$E146)),ISNUMBER(SEARCH(IF(I$1&lt;&gt;"",I$1,"NA"),'MITRE ATT&amp;CK Mappings'!$F146))),ISNUMBER(SEARCH(IF(I$2&lt;&gt;"",I$2,"NA"),'MITRE ATT&amp;CK Mappings'!$G146))),ISNUMBER(SEARCH(IF(I$2&lt;&gt;"",I$2,"NA"),'MITRE ATT&amp;CK Mappings'!$H146))),ISNUMBER(SEARCH(IF(I$3&lt;&gt;"",I$3,"NA"),'MITRE ATT&amp;CK Mappings'!$I146))),ISNUMBER(SEARCH(IF(I$3&lt;&gt;"",I$3,"NA"),'MITRE ATT&amp;CK Mappings'!$J146))), 'MITRE ATT&amp;CK Mappings'!$B146,"")</f>
        <v/>
      </c>
      <c r="J150" s="26" t="str">
        <f>IF(OR(OR(OR(OR(OR(ISNUMBER(SEARCH(IF(J$1&lt;&gt;"",J$1,"NA"),'MITRE ATT&amp;CK Mappings'!$E146)),ISNUMBER(SEARCH(IF(J$1&lt;&gt;"",J$1,"NA"),'MITRE ATT&amp;CK Mappings'!$F146))),ISNUMBER(SEARCH(IF(J$2&lt;&gt;"",J$2,"NA"),'MITRE ATT&amp;CK Mappings'!$G146))),ISNUMBER(SEARCH(IF(J$2&lt;&gt;"",J$2,"NA"),'MITRE ATT&amp;CK Mappings'!$H146))),ISNUMBER(SEARCH(IF(J$3&lt;&gt;"",J$3,"NA"),'MITRE ATT&amp;CK Mappings'!$I146))),ISNUMBER(SEARCH(IF(J$3&lt;&gt;"",J$3,"NA"),'MITRE ATT&amp;CK Mappings'!$J146))), 'MITRE ATT&amp;CK Mappings'!$B146,"")</f>
        <v/>
      </c>
      <c r="K150" s="26" t="str">
        <f>IF(OR(OR(OR(OR(OR(ISNUMBER(SEARCH(IF(K$1&lt;&gt;"",K$1,"NA"),'MITRE ATT&amp;CK Mappings'!$E146)),ISNUMBER(SEARCH(IF(K$1&lt;&gt;"",K$1,"NA"),'MITRE ATT&amp;CK Mappings'!$F146))),ISNUMBER(SEARCH(IF(K$2&lt;&gt;"",K$2,"NA"),'MITRE ATT&amp;CK Mappings'!$G146))),ISNUMBER(SEARCH(IF(K$2&lt;&gt;"",K$2,"NA"),'MITRE ATT&amp;CK Mappings'!$H146))),ISNUMBER(SEARCH(IF(K$3&lt;&gt;"",K$3,"NA"),'MITRE ATT&amp;CK Mappings'!$I146))),ISNUMBER(SEARCH(IF(K$3&lt;&gt;"",K$3,"NA"),'MITRE ATT&amp;CK Mappings'!$J146))), 'MITRE ATT&amp;CK Mappings'!$B146,"")</f>
        <v/>
      </c>
      <c r="L150" s="26" t="str">
        <f>IF('MITRE ATT&amp;CK Mappings'!D146 &lt;&gt;"",'MITRE ATT&amp;CK Mappings'!D146,"" )</f>
        <v>Ensure that 'Allow Blob Anonymous Access' is set to 'Disabled'</v>
      </c>
    </row>
    <row r="151" spans="1:12" x14ac:dyDescent="0.25">
      <c r="A151" s="27" t="str">
        <f>IF(COUNTIF(B151:K151,"="&amp;'MITRE ATT&amp;CK Mappings'!B147)&gt;0,'MITRE ATT&amp;CK Mappings'!B147,"")</f>
        <v/>
      </c>
      <c r="B151" s="27" t="str">
        <f>IF(OR(OR(OR(OR(OR(ISNUMBER(SEARCH(IF(B$1&lt;&gt;"",B$1,"NA"),'MITRE ATT&amp;CK Mappings'!$E147)),ISNUMBER(SEARCH(IF(B$1&lt;&gt;"",B$1,"NA"),'MITRE ATT&amp;CK Mappings'!$F147))),ISNUMBER(SEARCH(IF(B$2&lt;&gt;"",B$2,"NA"),'MITRE ATT&amp;CK Mappings'!$G147))),ISNUMBER(SEARCH(IF(B$2&lt;&gt;"",B$2,"NA"),'MITRE ATT&amp;CK Mappings'!$H147))),ISNUMBER(SEARCH(IF(B$3&lt;&gt;"",B$3,"NA"),'MITRE ATT&amp;CK Mappings'!$I147))),ISNUMBER(SEARCH(IF(B$3&lt;&gt;"",B$3,"NA"),'MITRE ATT&amp;CK Mappings'!$J147))), 'MITRE ATT&amp;CK Mappings'!$B147,"")</f>
        <v/>
      </c>
      <c r="C151" s="27" t="str">
        <f>IF(OR(OR(OR(OR(OR(ISNUMBER(SEARCH(IF(C$1&lt;&gt;"",C$1,"NA"),'MITRE ATT&amp;CK Mappings'!$E147)),ISNUMBER(SEARCH(IF(C$1&lt;&gt;"",C$1,"NA"),'MITRE ATT&amp;CK Mappings'!$F147))),ISNUMBER(SEARCH(IF(C$2&lt;&gt;"",C$2,"NA"),'MITRE ATT&amp;CK Mappings'!$G147))),ISNUMBER(SEARCH(IF(C$2&lt;&gt;"",C$2,"NA"),'MITRE ATT&amp;CK Mappings'!$H147))),ISNUMBER(SEARCH(IF(C$3&lt;&gt;"",C$3,"NA"),'MITRE ATT&amp;CK Mappings'!$I147))),ISNUMBER(SEARCH(IF(C$3&lt;&gt;"",C$3,"NA"),'MITRE ATT&amp;CK Mappings'!$J147))), 'MITRE ATT&amp;CK Mappings'!$B147,"")</f>
        <v/>
      </c>
      <c r="D151" s="27" t="str">
        <f>IF(OR(OR(OR(OR(OR(ISNUMBER(SEARCH(IF(D$1&lt;&gt;"",D$1,"NA"),'MITRE ATT&amp;CK Mappings'!$E147)),ISNUMBER(SEARCH(IF(D$1&lt;&gt;"",D$1,"NA"),'MITRE ATT&amp;CK Mappings'!$F147))),ISNUMBER(SEARCH(IF(D$2&lt;&gt;"",D$2,"NA"),'MITRE ATT&amp;CK Mappings'!$G147))),ISNUMBER(SEARCH(IF(D$2&lt;&gt;"",D$2,"NA"),'MITRE ATT&amp;CK Mappings'!$H147))),ISNUMBER(SEARCH(IF(D$3&lt;&gt;"",D$3,"NA"),'MITRE ATT&amp;CK Mappings'!$I147))),ISNUMBER(SEARCH(IF(D$3&lt;&gt;"",D$3,"NA"),'MITRE ATT&amp;CK Mappings'!$J147))), 'MITRE ATT&amp;CK Mappings'!$B147,"")</f>
        <v/>
      </c>
      <c r="E151" s="27" t="str">
        <f>IF(OR(OR(OR(OR(OR(ISNUMBER(SEARCH(IF(E$1&lt;&gt;"",E$1,"NA"),'MITRE ATT&amp;CK Mappings'!$E147)),ISNUMBER(SEARCH(IF(E$1&lt;&gt;"",E$1,"NA"),'MITRE ATT&amp;CK Mappings'!$F147))),ISNUMBER(SEARCH(IF(E$2&lt;&gt;"",E$2,"NA"),'MITRE ATT&amp;CK Mappings'!$G147))),ISNUMBER(SEARCH(IF(E$2&lt;&gt;"",E$2,"NA"),'MITRE ATT&amp;CK Mappings'!$H147))),ISNUMBER(SEARCH(IF(E$3&lt;&gt;"",E$3,"NA"),'MITRE ATT&amp;CK Mappings'!$I147))),ISNUMBER(SEARCH(IF(E$3&lt;&gt;"",E$3,"NA"),'MITRE ATT&amp;CK Mappings'!$J147))), 'MITRE ATT&amp;CK Mappings'!$B147,"")</f>
        <v/>
      </c>
      <c r="F151" s="27" t="str">
        <f>IF(OR(OR(OR(OR(OR(ISNUMBER(SEARCH(IF(F$1&lt;&gt;"",F$1,"NA"),'MITRE ATT&amp;CK Mappings'!$E147)),ISNUMBER(SEARCH(IF(F$1&lt;&gt;"",F$1,"NA"),'MITRE ATT&amp;CK Mappings'!$F147))),ISNUMBER(SEARCH(IF(F$2&lt;&gt;"",F$2,"NA"),'MITRE ATT&amp;CK Mappings'!$G147))),ISNUMBER(SEARCH(IF(F$2&lt;&gt;"",F$2,"NA"),'MITRE ATT&amp;CK Mappings'!$H147))),ISNUMBER(SEARCH(IF(F$3&lt;&gt;"",F$3,"NA"),'MITRE ATT&amp;CK Mappings'!$I147))),ISNUMBER(SEARCH(IF(F$3&lt;&gt;"",F$3,"NA"),'MITRE ATT&amp;CK Mappings'!$J147))), 'MITRE ATT&amp;CK Mappings'!$B147,"")</f>
        <v/>
      </c>
      <c r="G151" s="27" t="str">
        <f>IF(OR(OR(OR(OR(OR(ISNUMBER(SEARCH(IF(G$1&lt;&gt;"",G$1,"NA"),'MITRE ATT&amp;CK Mappings'!$E147)),ISNUMBER(SEARCH(IF(G$1&lt;&gt;"",G$1,"NA"),'MITRE ATT&amp;CK Mappings'!$F147))),ISNUMBER(SEARCH(IF(G$2&lt;&gt;"",G$2,"NA"),'MITRE ATT&amp;CK Mappings'!$G147))),ISNUMBER(SEARCH(IF(G$2&lt;&gt;"",G$2,"NA"),'MITRE ATT&amp;CK Mappings'!$H147))),ISNUMBER(SEARCH(IF(G$3&lt;&gt;"",G$3,"NA"),'MITRE ATT&amp;CK Mappings'!$I147))),ISNUMBER(SEARCH(IF(G$3&lt;&gt;"",G$3,"NA"),'MITRE ATT&amp;CK Mappings'!$J147))), 'MITRE ATT&amp;CK Mappings'!$B147,"")</f>
        <v/>
      </c>
      <c r="H151" s="27" t="str">
        <f>IF(OR(OR(OR(OR(OR(ISNUMBER(SEARCH(IF(H$1&lt;&gt;"",H$1,"NA"),'MITRE ATT&amp;CK Mappings'!$E147)),ISNUMBER(SEARCH(IF(H$1&lt;&gt;"",H$1,"NA"),'MITRE ATT&amp;CK Mappings'!$F147))),ISNUMBER(SEARCH(IF(H$2&lt;&gt;"",H$2,"NA"),'MITRE ATT&amp;CK Mappings'!$G147))),ISNUMBER(SEARCH(IF(H$2&lt;&gt;"",H$2,"NA"),'MITRE ATT&amp;CK Mappings'!$H147))),ISNUMBER(SEARCH(IF(H$3&lt;&gt;"",H$3,"NA"),'MITRE ATT&amp;CK Mappings'!$I147))),ISNUMBER(SEARCH(IF(H$3&lt;&gt;"",H$3,"NA"),'MITRE ATT&amp;CK Mappings'!$J147))), 'MITRE ATT&amp;CK Mappings'!$B147,"")</f>
        <v/>
      </c>
      <c r="I151" s="27" t="str">
        <f>IF(OR(OR(OR(OR(OR(ISNUMBER(SEARCH(IF(I$1&lt;&gt;"",I$1,"NA"),'MITRE ATT&amp;CK Mappings'!$E147)),ISNUMBER(SEARCH(IF(I$1&lt;&gt;"",I$1,"NA"),'MITRE ATT&amp;CK Mappings'!$F147))),ISNUMBER(SEARCH(IF(I$2&lt;&gt;"",I$2,"NA"),'MITRE ATT&amp;CK Mappings'!$G147))),ISNUMBER(SEARCH(IF(I$2&lt;&gt;"",I$2,"NA"),'MITRE ATT&amp;CK Mappings'!$H147))),ISNUMBER(SEARCH(IF(I$3&lt;&gt;"",I$3,"NA"),'MITRE ATT&amp;CK Mappings'!$I147))),ISNUMBER(SEARCH(IF(I$3&lt;&gt;"",I$3,"NA"),'MITRE ATT&amp;CK Mappings'!$J147))), 'MITRE ATT&amp;CK Mappings'!$B147,"")</f>
        <v/>
      </c>
      <c r="J151" s="27" t="str">
        <f>IF(OR(OR(OR(OR(OR(ISNUMBER(SEARCH(IF(J$1&lt;&gt;"",J$1,"NA"),'MITRE ATT&amp;CK Mappings'!$E147)),ISNUMBER(SEARCH(IF(J$1&lt;&gt;"",J$1,"NA"),'MITRE ATT&amp;CK Mappings'!$F147))),ISNUMBER(SEARCH(IF(J$2&lt;&gt;"",J$2,"NA"),'MITRE ATT&amp;CK Mappings'!$G147))),ISNUMBER(SEARCH(IF(J$2&lt;&gt;"",J$2,"NA"),'MITRE ATT&amp;CK Mappings'!$H147))),ISNUMBER(SEARCH(IF(J$3&lt;&gt;"",J$3,"NA"),'MITRE ATT&amp;CK Mappings'!$I147))),ISNUMBER(SEARCH(IF(J$3&lt;&gt;"",J$3,"NA"),'MITRE ATT&amp;CK Mappings'!$J147))), 'MITRE ATT&amp;CK Mappings'!$B147,"")</f>
        <v/>
      </c>
      <c r="K151" s="27" t="str">
        <f>IF(OR(OR(OR(OR(OR(ISNUMBER(SEARCH(IF(K$1&lt;&gt;"",K$1,"NA"),'MITRE ATT&amp;CK Mappings'!$E147)),ISNUMBER(SEARCH(IF(K$1&lt;&gt;"",K$1,"NA"),'MITRE ATT&amp;CK Mappings'!$F147))),ISNUMBER(SEARCH(IF(K$2&lt;&gt;"",K$2,"NA"),'MITRE ATT&amp;CK Mappings'!$G147))),ISNUMBER(SEARCH(IF(K$2&lt;&gt;"",K$2,"NA"),'MITRE ATT&amp;CK Mappings'!$H147))),ISNUMBER(SEARCH(IF(K$3&lt;&gt;"",K$3,"NA"),'MITRE ATT&amp;CK Mappings'!$I147))),ISNUMBER(SEARCH(IF(K$3&lt;&gt;"",K$3,"NA"),'MITRE ATT&amp;CK Mappings'!$J147))), 'MITRE ATT&amp;CK Mappings'!$B147,"")</f>
        <v/>
      </c>
      <c r="L151" s="27" t="str">
        <f>IF('MITRE ATT&amp;CK Mappings'!D147 &lt;&gt;"",'MITRE ATT&amp;CK Mappings'!D147,"" )</f>
        <v>Ensure Azure Resource Manager Delete locks are applied to Azure Storage Accounts</v>
      </c>
    </row>
    <row r="152" spans="1:12" x14ac:dyDescent="0.25">
      <c r="A152" s="26" t="str">
        <f>IF(COUNTIF(B152:K152,"="&amp;'MITRE ATT&amp;CK Mappings'!B148)&gt;0,'MITRE ATT&amp;CK Mappings'!B148,"")</f>
        <v/>
      </c>
      <c r="B152" s="26" t="str">
        <f>IF(OR(OR(OR(OR(OR(ISNUMBER(SEARCH(IF(B$1&lt;&gt;"",B$1,"NA"),'MITRE ATT&amp;CK Mappings'!$E148)),ISNUMBER(SEARCH(IF(B$1&lt;&gt;"",B$1,"NA"),'MITRE ATT&amp;CK Mappings'!$F148))),ISNUMBER(SEARCH(IF(B$2&lt;&gt;"",B$2,"NA"),'MITRE ATT&amp;CK Mappings'!$G148))),ISNUMBER(SEARCH(IF(B$2&lt;&gt;"",B$2,"NA"),'MITRE ATT&amp;CK Mappings'!$H148))),ISNUMBER(SEARCH(IF(B$3&lt;&gt;"",B$3,"NA"),'MITRE ATT&amp;CK Mappings'!$I148))),ISNUMBER(SEARCH(IF(B$3&lt;&gt;"",B$3,"NA"),'MITRE ATT&amp;CK Mappings'!$J148))), 'MITRE ATT&amp;CK Mappings'!$B148,"")</f>
        <v/>
      </c>
      <c r="C152" s="26" t="str">
        <f>IF(OR(OR(OR(OR(OR(ISNUMBER(SEARCH(IF(C$1&lt;&gt;"",C$1,"NA"),'MITRE ATT&amp;CK Mappings'!$E148)),ISNUMBER(SEARCH(IF(C$1&lt;&gt;"",C$1,"NA"),'MITRE ATT&amp;CK Mappings'!$F148))),ISNUMBER(SEARCH(IF(C$2&lt;&gt;"",C$2,"NA"),'MITRE ATT&amp;CK Mappings'!$G148))),ISNUMBER(SEARCH(IF(C$2&lt;&gt;"",C$2,"NA"),'MITRE ATT&amp;CK Mappings'!$H148))),ISNUMBER(SEARCH(IF(C$3&lt;&gt;"",C$3,"NA"),'MITRE ATT&amp;CK Mappings'!$I148))),ISNUMBER(SEARCH(IF(C$3&lt;&gt;"",C$3,"NA"),'MITRE ATT&amp;CK Mappings'!$J148))), 'MITRE ATT&amp;CK Mappings'!$B148,"")</f>
        <v/>
      </c>
      <c r="D152" s="26" t="str">
        <f>IF(OR(OR(OR(OR(OR(ISNUMBER(SEARCH(IF(D$1&lt;&gt;"",D$1,"NA"),'MITRE ATT&amp;CK Mappings'!$E148)),ISNUMBER(SEARCH(IF(D$1&lt;&gt;"",D$1,"NA"),'MITRE ATT&amp;CK Mappings'!$F148))),ISNUMBER(SEARCH(IF(D$2&lt;&gt;"",D$2,"NA"),'MITRE ATT&amp;CK Mappings'!$G148))),ISNUMBER(SEARCH(IF(D$2&lt;&gt;"",D$2,"NA"),'MITRE ATT&amp;CK Mappings'!$H148))),ISNUMBER(SEARCH(IF(D$3&lt;&gt;"",D$3,"NA"),'MITRE ATT&amp;CK Mappings'!$I148))),ISNUMBER(SEARCH(IF(D$3&lt;&gt;"",D$3,"NA"),'MITRE ATT&amp;CK Mappings'!$J148))), 'MITRE ATT&amp;CK Mappings'!$B148,"")</f>
        <v/>
      </c>
      <c r="E152" s="26" t="str">
        <f>IF(OR(OR(OR(OR(OR(ISNUMBER(SEARCH(IF(E$1&lt;&gt;"",E$1,"NA"),'MITRE ATT&amp;CK Mappings'!$E148)),ISNUMBER(SEARCH(IF(E$1&lt;&gt;"",E$1,"NA"),'MITRE ATT&amp;CK Mappings'!$F148))),ISNUMBER(SEARCH(IF(E$2&lt;&gt;"",E$2,"NA"),'MITRE ATT&amp;CK Mappings'!$G148))),ISNUMBER(SEARCH(IF(E$2&lt;&gt;"",E$2,"NA"),'MITRE ATT&amp;CK Mappings'!$H148))),ISNUMBER(SEARCH(IF(E$3&lt;&gt;"",E$3,"NA"),'MITRE ATT&amp;CK Mappings'!$I148))),ISNUMBER(SEARCH(IF(E$3&lt;&gt;"",E$3,"NA"),'MITRE ATT&amp;CK Mappings'!$J148))), 'MITRE ATT&amp;CK Mappings'!$B148,"")</f>
        <v/>
      </c>
      <c r="F152" s="26" t="str">
        <f>IF(OR(OR(OR(OR(OR(ISNUMBER(SEARCH(IF(F$1&lt;&gt;"",F$1,"NA"),'MITRE ATT&amp;CK Mappings'!$E148)),ISNUMBER(SEARCH(IF(F$1&lt;&gt;"",F$1,"NA"),'MITRE ATT&amp;CK Mappings'!$F148))),ISNUMBER(SEARCH(IF(F$2&lt;&gt;"",F$2,"NA"),'MITRE ATT&amp;CK Mappings'!$G148))),ISNUMBER(SEARCH(IF(F$2&lt;&gt;"",F$2,"NA"),'MITRE ATT&amp;CK Mappings'!$H148))),ISNUMBER(SEARCH(IF(F$3&lt;&gt;"",F$3,"NA"),'MITRE ATT&amp;CK Mappings'!$I148))),ISNUMBER(SEARCH(IF(F$3&lt;&gt;"",F$3,"NA"),'MITRE ATT&amp;CK Mappings'!$J148))), 'MITRE ATT&amp;CK Mappings'!$B148,"")</f>
        <v/>
      </c>
      <c r="G152" s="26" t="str">
        <f>IF(OR(OR(OR(OR(OR(ISNUMBER(SEARCH(IF(G$1&lt;&gt;"",G$1,"NA"),'MITRE ATT&amp;CK Mappings'!$E148)),ISNUMBER(SEARCH(IF(G$1&lt;&gt;"",G$1,"NA"),'MITRE ATT&amp;CK Mappings'!$F148))),ISNUMBER(SEARCH(IF(G$2&lt;&gt;"",G$2,"NA"),'MITRE ATT&amp;CK Mappings'!$G148))),ISNUMBER(SEARCH(IF(G$2&lt;&gt;"",G$2,"NA"),'MITRE ATT&amp;CK Mappings'!$H148))),ISNUMBER(SEARCH(IF(G$3&lt;&gt;"",G$3,"NA"),'MITRE ATT&amp;CK Mappings'!$I148))),ISNUMBER(SEARCH(IF(G$3&lt;&gt;"",G$3,"NA"),'MITRE ATT&amp;CK Mappings'!$J148))), 'MITRE ATT&amp;CK Mappings'!$B148,"")</f>
        <v/>
      </c>
      <c r="H152" s="26" t="str">
        <f>IF(OR(OR(OR(OR(OR(ISNUMBER(SEARCH(IF(H$1&lt;&gt;"",H$1,"NA"),'MITRE ATT&amp;CK Mappings'!$E148)),ISNUMBER(SEARCH(IF(H$1&lt;&gt;"",H$1,"NA"),'MITRE ATT&amp;CK Mappings'!$F148))),ISNUMBER(SEARCH(IF(H$2&lt;&gt;"",H$2,"NA"),'MITRE ATT&amp;CK Mappings'!$G148))),ISNUMBER(SEARCH(IF(H$2&lt;&gt;"",H$2,"NA"),'MITRE ATT&amp;CK Mappings'!$H148))),ISNUMBER(SEARCH(IF(H$3&lt;&gt;"",H$3,"NA"),'MITRE ATT&amp;CK Mappings'!$I148))),ISNUMBER(SEARCH(IF(H$3&lt;&gt;"",H$3,"NA"),'MITRE ATT&amp;CK Mappings'!$J148))), 'MITRE ATT&amp;CK Mappings'!$B148,"")</f>
        <v/>
      </c>
      <c r="I152" s="26" t="str">
        <f>IF(OR(OR(OR(OR(OR(ISNUMBER(SEARCH(IF(I$1&lt;&gt;"",I$1,"NA"),'MITRE ATT&amp;CK Mappings'!$E148)),ISNUMBER(SEARCH(IF(I$1&lt;&gt;"",I$1,"NA"),'MITRE ATT&amp;CK Mappings'!$F148))),ISNUMBER(SEARCH(IF(I$2&lt;&gt;"",I$2,"NA"),'MITRE ATT&amp;CK Mappings'!$G148))),ISNUMBER(SEARCH(IF(I$2&lt;&gt;"",I$2,"NA"),'MITRE ATT&amp;CK Mappings'!$H148))),ISNUMBER(SEARCH(IF(I$3&lt;&gt;"",I$3,"NA"),'MITRE ATT&amp;CK Mappings'!$I148))),ISNUMBER(SEARCH(IF(I$3&lt;&gt;"",I$3,"NA"),'MITRE ATT&amp;CK Mappings'!$J148))), 'MITRE ATT&amp;CK Mappings'!$B148,"")</f>
        <v/>
      </c>
      <c r="J152" s="26" t="str">
        <f>IF(OR(OR(OR(OR(OR(ISNUMBER(SEARCH(IF(J$1&lt;&gt;"",J$1,"NA"),'MITRE ATT&amp;CK Mappings'!$E148)),ISNUMBER(SEARCH(IF(J$1&lt;&gt;"",J$1,"NA"),'MITRE ATT&amp;CK Mappings'!$F148))),ISNUMBER(SEARCH(IF(J$2&lt;&gt;"",J$2,"NA"),'MITRE ATT&amp;CK Mappings'!$G148))),ISNUMBER(SEARCH(IF(J$2&lt;&gt;"",J$2,"NA"),'MITRE ATT&amp;CK Mappings'!$H148))),ISNUMBER(SEARCH(IF(J$3&lt;&gt;"",J$3,"NA"),'MITRE ATT&amp;CK Mappings'!$I148))),ISNUMBER(SEARCH(IF(J$3&lt;&gt;"",J$3,"NA"),'MITRE ATT&amp;CK Mappings'!$J148))), 'MITRE ATT&amp;CK Mappings'!$B148,"")</f>
        <v/>
      </c>
      <c r="K152" s="26" t="str">
        <f>IF(OR(OR(OR(OR(OR(ISNUMBER(SEARCH(IF(K$1&lt;&gt;"",K$1,"NA"),'MITRE ATT&amp;CK Mappings'!$E148)),ISNUMBER(SEARCH(IF(K$1&lt;&gt;"",K$1,"NA"),'MITRE ATT&amp;CK Mappings'!$F148))),ISNUMBER(SEARCH(IF(K$2&lt;&gt;"",K$2,"NA"),'MITRE ATT&amp;CK Mappings'!$G148))),ISNUMBER(SEARCH(IF(K$2&lt;&gt;"",K$2,"NA"),'MITRE ATT&amp;CK Mappings'!$H148))),ISNUMBER(SEARCH(IF(K$3&lt;&gt;"",K$3,"NA"),'MITRE ATT&amp;CK Mappings'!$I148))),ISNUMBER(SEARCH(IF(K$3&lt;&gt;"",K$3,"NA"),'MITRE ATT&amp;CK Mappings'!$J148))), 'MITRE ATT&amp;CK Mappings'!$B148,"")</f>
        <v/>
      </c>
      <c r="L152" s="26" t="str">
        <f>IF('MITRE ATT&amp;CK Mappings'!D148 &lt;&gt;"",'MITRE ATT&amp;CK Mappings'!D148,"" )</f>
        <v>Ensure Azure Resource Manager ReadOnly locks are considered for Azure Storage Accounts</v>
      </c>
    </row>
    <row r="153" spans="1:12" x14ac:dyDescent="0.25">
      <c r="A153" s="27" t="str">
        <f>IF(COUNTIF(B153:K153,"="&amp;'MITRE ATT&amp;CK Mappings'!B149)&gt;0,'MITRE ATT&amp;CK Mappings'!B149,"")</f>
        <v/>
      </c>
      <c r="B153" s="27" t="str">
        <f>IF(OR(OR(OR(OR(OR(ISNUMBER(SEARCH(IF(B$1&lt;&gt;"",B$1,"NA"),'MITRE ATT&amp;CK Mappings'!$E149)),ISNUMBER(SEARCH(IF(B$1&lt;&gt;"",B$1,"NA"),'MITRE ATT&amp;CK Mappings'!$F149))),ISNUMBER(SEARCH(IF(B$2&lt;&gt;"",B$2,"NA"),'MITRE ATT&amp;CK Mappings'!$G149))),ISNUMBER(SEARCH(IF(B$2&lt;&gt;"",B$2,"NA"),'MITRE ATT&amp;CK Mappings'!$H149))),ISNUMBER(SEARCH(IF(B$3&lt;&gt;"",B$3,"NA"),'MITRE ATT&amp;CK Mappings'!$I149))),ISNUMBER(SEARCH(IF(B$3&lt;&gt;"",B$3,"NA"),'MITRE ATT&amp;CK Mappings'!$J149))), 'MITRE ATT&amp;CK Mappings'!$B149,"")</f>
        <v/>
      </c>
      <c r="C153" s="27" t="str">
        <f>IF(OR(OR(OR(OR(OR(ISNUMBER(SEARCH(IF(C$1&lt;&gt;"",C$1,"NA"),'MITRE ATT&amp;CK Mappings'!$E149)),ISNUMBER(SEARCH(IF(C$1&lt;&gt;"",C$1,"NA"),'MITRE ATT&amp;CK Mappings'!$F149))),ISNUMBER(SEARCH(IF(C$2&lt;&gt;"",C$2,"NA"),'MITRE ATT&amp;CK Mappings'!$G149))),ISNUMBER(SEARCH(IF(C$2&lt;&gt;"",C$2,"NA"),'MITRE ATT&amp;CK Mappings'!$H149))),ISNUMBER(SEARCH(IF(C$3&lt;&gt;"",C$3,"NA"),'MITRE ATT&amp;CK Mappings'!$I149))),ISNUMBER(SEARCH(IF(C$3&lt;&gt;"",C$3,"NA"),'MITRE ATT&amp;CK Mappings'!$J149))), 'MITRE ATT&amp;CK Mappings'!$B149,"")</f>
        <v/>
      </c>
      <c r="D153" s="27" t="str">
        <f>IF(OR(OR(OR(OR(OR(ISNUMBER(SEARCH(IF(D$1&lt;&gt;"",D$1,"NA"),'MITRE ATT&amp;CK Mappings'!$E149)),ISNUMBER(SEARCH(IF(D$1&lt;&gt;"",D$1,"NA"),'MITRE ATT&amp;CK Mappings'!$F149))),ISNUMBER(SEARCH(IF(D$2&lt;&gt;"",D$2,"NA"),'MITRE ATT&amp;CK Mappings'!$G149))),ISNUMBER(SEARCH(IF(D$2&lt;&gt;"",D$2,"NA"),'MITRE ATT&amp;CK Mappings'!$H149))),ISNUMBER(SEARCH(IF(D$3&lt;&gt;"",D$3,"NA"),'MITRE ATT&amp;CK Mappings'!$I149))),ISNUMBER(SEARCH(IF(D$3&lt;&gt;"",D$3,"NA"),'MITRE ATT&amp;CK Mappings'!$J149))), 'MITRE ATT&amp;CK Mappings'!$B149,"")</f>
        <v/>
      </c>
      <c r="E153" s="27" t="str">
        <f>IF(OR(OR(OR(OR(OR(ISNUMBER(SEARCH(IF(E$1&lt;&gt;"",E$1,"NA"),'MITRE ATT&amp;CK Mappings'!$E149)),ISNUMBER(SEARCH(IF(E$1&lt;&gt;"",E$1,"NA"),'MITRE ATT&amp;CK Mappings'!$F149))),ISNUMBER(SEARCH(IF(E$2&lt;&gt;"",E$2,"NA"),'MITRE ATT&amp;CK Mappings'!$G149))),ISNUMBER(SEARCH(IF(E$2&lt;&gt;"",E$2,"NA"),'MITRE ATT&amp;CK Mappings'!$H149))),ISNUMBER(SEARCH(IF(E$3&lt;&gt;"",E$3,"NA"),'MITRE ATT&amp;CK Mappings'!$I149))),ISNUMBER(SEARCH(IF(E$3&lt;&gt;"",E$3,"NA"),'MITRE ATT&amp;CK Mappings'!$J149))), 'MITRE ATT&amp;CK Mappings'!$B149,"")</f>
        <v/>
      </c>
      <c r="F153" s="27" t="str">
        <f>IF(OR(OR(OR(OR(OR(ISNUMBER(SEARCH(IF(F$1&lt;&gt;"",F$1,"NA"),'MITRE ATT&amp;CK Mappings'!$E149)),ISNUMBER(SEARCH(IF(F$1&lt;&gt;"",F$1,"NA"),'MITRE ATT&amp;CK Mappings'!$F149))),ISNUMBER(SEARCH(IF(F$2&lt;&gt;"",F$2,"NA"),'MITRE ATT&amp;CK Mappings'!$G149))),ISNUMBER(SEARCH(IF(F$2&lt;&gt;"",F$2,"NA"),'MITRE ATT&amp;CK Mappings'!$H149))),ISNUMBER(SEARCH(IF(F$3&lt;&gt;"",F$3,"NA"),'MITRE ATT&amp;CK Mappings'!$I149))),ISNUMBER(SEARCH(IF(F$3&lt;&gt;"",F$3,"NA"),'MITRE ATT&amp;CK Mappings'!$J149))), 'MITRE ATT&amp;CK Mappings'!$B149,"")</f>
        <v/>
      </c>
      <c r="G153" s="27" t="str">
        <f>IF(OR(OR(OR(OR(OR(ISNUMBER(SEARCH(IF(G$1&lt;&gt;"",G$1,"NA"),'MITRE ATT&amp;CK Mappings'!$E149)),ISNUMBER(SEARCH(IF(G$1&lt;&gt;"",G$1,"NA"),'MITRE ATT&amp;CK Mappings'!$F149))),ISNUMBER(SEARCH(IF(G$2&lt;&gt;"",G$2,"NA"),'MITRE ATT&amp;CK Mappings'!$G149))),ISNUMBER(SEARCH(IF(G$2&lt;&gt;"",G$2,"NA"),'MITRE ATT&amp;CK Mappings'!$H149))),ISNUMBER(SEARCH(IF(G$3&lt;&gt;"",G$3,"NA"),'MITRE ATT&amp;CK Mappings'!$I149))),ISNUMBER(SEARCH(IF(G$3&lt;&gt;"",G$3,"NA"),'MITRE ATT&amp;CK Mappings'!$J149))), 'MITRE ATT&amp;CK Mappings'!$B149,"")</f>
        <v/>
      </c>
      <c r="H153" s="27" t="str">
        <f>IF(OR(OR(OR(OR(OR(ISNUMBER(SEARCH(IF(H$1&lt;&gt;"",H$1,"NA"),'MITRE ATT&amp;CK Mappings'!$E149)),ISNUMBER(SEARCH(IF(H$1&lt;&gt;"",H$1,"NA"),'MITRE ATT&amp;CK Mappings'!$F149))),ISNUMBER(SEARCH(IF(H$2&lt;&gt;"",H$2,"NA"),'MITRE ATT&amp;CK Mappings'!$G149))),ISNUMBER(SEARCH(IF(H$2&lt;&gt;"",H$2,"NA"),'MITRE ATT&amp;CK Mappings'!$H149))),ISNUMBER(SEARCH(IF(H$3&lt;&gt;"",H$3,"NA"),'MITRE ATT&amp;CK Mappings'!$I149))),ISNUMBER(SEARCH(IF(H$3&lt;&gt;"",H$3,"NA"),'MITRE ATT&amp;CK Mappings'!$J149))), 'MITRE ATT&amp;CK Mappings'!$B149,"")</f>
        <v/>
      </c>
      <c r="I153" s="27" t="str">
        <f>IF(OR(OR(OR(OR(OR(ISNUMBER(SEARCH(IF(I$1&lt;&gt;"",I$1,"NA"),'MITRE ATT&amp;CK Mappings'!$E149)),ISNUMBER(SEARCH(IF(I$1&lt;&gt;"",I$1,"NA"),'MITRE ATT&amp;CK Mappings'!$F149))),ISNUMBER(SEARCH(IF(I$2&lt;&gt;"",I$2,"NA"),'MITRE ATT&amp;CK Mappings'!$G149))),ISNUMBER(SEARCH(IF(I$2&lt;&gt;"",I$2,"NA"),'MITRE ATT&amp;CK Mappings'!$H149))),ISNUMBER(SEARCH(IF(I$3&lt;&gt;"",I$3,"NA"),'MITRE ATT&amp;CK Mappings'!$I149))),ISNUMBER(SEARCH(IF(I$3&lt;&gt;"",I$3,"NA"),'MITRE ATT&amp;CK Mappings'!$J149))), 'MITRE ATT&amp;CK Mappings'!$B149,"")</f>
        <v/>
      </c>
      <c r="J153" s="27" t="str">
        <f>IF(OR(OR(OR(OR(OR(ISNUMBER(SEARCH(IF(J$1&lt;&gt;"",J$1,"NA"),'MITRE ATT&amp;CK Mappings'!$E149)),ISNUMBER(SEARCH(IF(J$1&lt;&gt;"",J$1,"NA"),'MITRE ATT&amp;CK Mappings'!$F149))),ISNUMBER(SEARCH(IF(J$2&lt;&gt;"",J$2,"NA"),'MITRE ATT&amp;CK Mappings'!$G149))),ISNUMBER(SEARCH(IF(J$2&lt;&gt;"",J$2,"NA"),'MITRE ATT&amp;CK Mappings'!$H149))),ISNUMBER(SEARCH(IF(J$3&lt;&gt;"",J$3,"NA"),'MITRE ATT&amp;CK Mappings'!$I149))),ISNUMBER(SEARCH(IF(J$3&lt;&gt;"",J$3,"NA"),'MITRE ATT&amp;CK Mappings'!$J149))), 'MITRE ATT&amp;CK Mappings'!$B149,"")</f>
        <v/>
      </c>
      <c r="K153" s="27" t="str">
        <f>IF(OR(OR(OR(OR(OR(ISNUMBER(SEARCH(IF(K$1&lt;&gt;"",K$1,"NA"),'MITRE ATT&amp;CK Mappings'!$E149)),ISNUMBER(SEARCH(IF(K$1&lt;&gt;"",K$1,"NA"),'MITRE ATT&amp;CK Mappings'!$F149))),ISNUMBER(SEARCH(IF(K$2&lt;&gt;"",K$2,"NA"),'MITRE ATT&amp;CK Mappings'!$G149))),ISNUMBER(SEARCH(IF(K$2&lt;&gt;"",K$2,"NA"),'MITRE ATT&amp;CK Mappings'!$H149))),ISNUMBER(SEARCH(IF(K$3&lt;&gt;"",K$3,"NA"),'MITRE ATT&amp;CK Mappings'!$I149))),ISNUMBER(SEARCH(IF(K$3&lt;&gt;"",K$3,"NA"),'MITRE ATT&amp;CK Mappings'!$J149))), 'MITRE ATT&amp;CK Mappings'!$B149,"")</f>
        <v/>
      </c>
      <c r="L153" s="27" t="str">
        <f>IF('MITRE ATT&amp;CK Mappings'!D149 &lt;&gt;"",'MITRE ATT&amp;CK Mappings'!D149,"" )</f>
        <v>Ensure Redundancy is set to 'geo-redundant storage (GRS)' on critical Azure Storage Accounts</v>
      </c>
    </row>
    <row r="154" spans="1:12" x14ac:dyDescent="0.25">
      <c r="A154" s="26" t="str">
        <f>IF(COUNTIF(B154:K154,"="&amp;'MITRE ATT&amp;CK Mappings'!B150)&gt;0,'MITRE ATT&amp;CK Mappings'!B150,"")</f>
        <v/>
      </c>
      <c r="B154" s="26" t="str">
        <f>IF(OR(OR(OR(OR(OR(ISNUMBER(SEARCH(IF(B$1&lt;&gt;"",B$1,"NA"),'MITRE ATT&amp;CK Mappings'!$E150)),ISNUMBER(SEARCH(IF(B$1&lt;&gt;"",B$1,"NA"),'MITRE ATT&amp;CK Mappings'!$F150))),ISNUMBER(SEARCH(IF(B$2&lt;&gt;"",B$2,"NA"),'MITRE ATT&amp;CK Mappings'!$G150))),ISNUMBER(SEARCH(IF(B$2&lt;&gt;"",B$2,"NA"),'MITRE ATT&amp;CK Mappings'!$H150))),ISNUMBER(SEARCH(IF(B$3&lt;&gt;"",B$3,"NA"),'MITRE ATT&amp;CK Mappings'!$I150))),ISNUMBER(SEARCH(IF(B$3&lt;&gt;"",B$3,"NA"),'MITRE ATT&amp;CK Mappings'!$J150))), 'MITRE ATT&amp;CK Mappings'!$B150,"")</f>
        <v/>
      </c>
      <c r="C154" s="26" t="str">
        <f>IF(OR(OR(OR(OR(OR(ISNUMBER(SEARCH(IF(C$1&lt;&gt;"",C$1,"NA"),'MITRE ATT&amp;CK Mappings'!$E150)),ISNUMBER(SEARCH(IF(C$1&lt;&gt;"",C$1,"NA"),'MITRE ATT&amp;CK Mappings'!$F150))),ISNUMBER(SEARCH(IF(C$2&lt;&gt;"",C$2,"NA"),'MITRE ATT&amp;CK Mappings'!$G150))),ISNUMBER(SEARCH(IF(C$2&lt;&gt;"",C$2,"NA"),'MITRE ATT&amp;CK Mappings'!$H150))),ISNUMBER(SEARCH(IF(C$3&lt;&gt;"",C$3,"NA"),'MITRE ATT&amp;CK Mappings'!$I150))),ISNUMBER(SEARCH(IF(C$3&lt;&gt;"",C$3,"NA"),'MITRE ATT&amp;CK Mappings'!$J150))), 'MITRE ATT&amp;CK Mappings'!$B150,"")</f>
        <v/>
      </c>
      <c r="D154" s="26" t="str">
        <f>IF(OR(OR(OR(OR(OR(ISNUMBER(SEARCH(IF(D$1&lt;&gt;"",D$1,"NA"),'MITRE ATT&amp;CK Mappings'!$E150)),ISNUMBER(SEARCH(IF(D$1&lt;&gt;"",D$1,"NA"),'MITRE ATT&amp;CK Mappings'!$F150))),ISNUMBER(SEARCH(IF(D$2&lt;&gt;"",D$2,"NA"),'MITRE ATT&amp;CK Mappings'!$G150))),ISNUMBER(SEARCH(IF(D$2&lt;&gt;"",D$2,"NA"),'MITRE ATT&amp;CK Mappings'!$H150))),ISNUMBER(SEARCH(IF(D$3&lt;&gt;"",D$3,"NA"),'MITRE ATT&amp;CK Mappings'!$I150))),ISNUMBER(SEARCH(IF(D$3&lt;&gt;"",D$3,"NA"),'MITRE ATT&amp;CK Mappings'!$J150))), 'MITRE ATT&amp;CK Mappings'!$B150,"")</f>
        <v/>
      </c>
      <c r="E154" s="26" t="str">
        <f>IF(OR(OR(OR(OR(OR(ISNUMBER(SEARCH(IF(E$1&lt;&gt;"",E$1,"NA"),'MITRE ATT&amp;CK Mappings'!$E150)),ISNUMBER(SEARCH(IF(E$1&lt;&gt;"",E$1,"NA"),'MITRE ATT&amp;CK Mappings'!$F150))),ISNUMBER(SEARCH(IF(E$2&lt;&gt;"",E$2,"NA"),'MITRE ATT&amp;CK Mappings'!$G150))),ISNUMBER(SEARCH(IF(E$2&lt;&gt;"",E$2,"NA"),'MITRE ATT&amp;CK Mappings'!$H150))),ISNUMBER(SEARCH(IF(E$3&lt;&gt;"",E$3,"NA"),'MITRE ATT&amp;CK Mappings'!$I150))),ISNUMBER(SEARCH(IF(E$3&lt;&gt;"",E$3,"NA"),'MITRE ATT&amp;CK Mappings'!$J150))), 'MITRE ATT&amp;CK Mappings'!$B150,"")</f>
        <v/>
      </c>
      <c r="F154" s="26" t="str">
        <f>IF(OR(OR(OR(OR(OR(ISNUMBER(SEARCH(IF(F$1&lt;&gt;"",F$1,"NA"),'MITRE ATT&amp;CK Mappings'!$E150)),ISNUMBER(SEARCH(IF(F$1&lt;&gt;"",F$1,"NA"),'MITRE ATT&amp;CK Mappings'!$F150))),ISNUMBER(SEARCH(IF(F$2&lt;&gt;"",F$2,"NA"),'MITRE ATT&amp;CK Mappings'!$G150))),ISNUMBER(SEARCH(IF(F$2&lt;&gt;"",F$2,"NA"),'MITRE ATT&amp;CK Mappings'!$H150))),ISNUMBER(SEARCH(IF(F$3&lt;&gt;"",F$3,"NA"),'MITRE ATT&amp;CK Mappings'!$I150))),ISNUMBER(SEARCH(IF(F$3&lt;&gt;"",F$3,"NA"),'MITRE ATT&amp;CK Mappings'!$J150))), 'MITRE ATT&amp;CK Mappings'!$B150,"")</f>
        <v/>
      </c>
      <c r="G154" s="26" t="str">
        <f>IF(OR(OR(OR(OR(OR(ISNUMBER(SEARCH(IF(G$1&lt;&gt;"",G$1,"NA"),'MITRE ATT&amp;CK Mappings'!$E150)),ISNUMBER(SEARCH(IF(G$1&lt;&gt;"",G$1,"NA"),'MITRE ATT&amp;CK Mappings'!$F150))),ISNUMBER(SEARCH(IF(G$2&lt;&gt;"",G$2,"NA"),'MITRE ATT&amp;CK Mappings'!$G150))),ISNUMBER(SEARCH(IF(G$2&lt;&gt;"",G$2,"NA"),'MITRE ATT&amp;CK Mappings'!$H150))),ISNUMBER(SEARCH(IF(G$3&lt;&gt;"",G$3,"NA"),'MITRE ATT&amp;CK Mappings'!$I150))),ISNUMBER(SEARCH(IF(G$3&lt;&gt;"",G$3,"NA"),'MITRE ATT&amp;CK Mappings'!$J150))), 'MITRE ATT&amp;CK Mappings'!$B150,"")</f>
        <v/>
      </c>
      <c r="H154" s="26" t="str">
        <f>IF(OR(OR(OR(OR(OR(ISNUMBER(SEARCH(IF(H$1&lt;&gt;"",H$1,"NA"),'MITRE ATT&amp;CK Mappings'!$E150)),ISNUMBER(SEARCH(IF(H$1&lt;&gt;"",H$1,"NA"),'MITRE ATT&amp;CK Mappings'!$F150))),ISNUMBER(SEARCH(IF(H$2&lt;&gt;"",H$2,"NA"),'MITRE ATT&amp;CK Mappings'!$G150))),ISNUMBER(SEARCH(IF(H$2&lt;&gt;"",H$2,"NA"),'MITRE ATT&amp;CK Mappings'!$H150))),ISNUMBER(SEARCH(IF(H$3&lt;&gt;"",H$3,"NA"),'MITRE ATT&amp;CK Mappings'!$I150))),ISNUMBER(SEARCH(IF(H$3&lt;&gt;"",H$3,"NA"),'MITRE ATT&amp;CK Mappings'!$J150))), 'MITRE ATT&amp;CK Mappings'!$B150,"")</f>
        <v/>
      </c>
      <c r="I154" s="26" t="str">
        <f>IF(OR(OR(OR(OR(OR(ISNUMBER(SEARCH(IF(I$1&lt;&gt;"",I$1,"NA"),'MITRE ATT&amp;CK Mappings'!$E150)),ISNUMBER(SEARCH(IF(I$1&lt;&gt;"",I$1,"NA"),'MITRE ATT&amp;CK Mappings'!$F150))),ISNUMBER(SEARCH(IF(I$2&lt;&gt;"",I$2,"NA"),'MITRE ATT&amp;CK Mappings'!$G150))),ISNUMBER(SEARCH(IF(I$2&lt;&gt;"",I$2,"NA"),'MITRE ATT&amp;CK Mappings'!$H150))),ISNUMBER(SEARCH(IF(I$3&lt;&gt;"",I$3,"NA"),'MITRE ATT&amp;CK Mappings'!$I150))),ISNUMBER(SEARCH(IF(I$3&lt;&gt;"",I$3,"NA"),'MITRE ATT&amp;CK Mappings'!$J150))), 'MITRE ATT&amp;CK Mappings'!$B150,"")</f>
        <v/>
      </c>
      <c r="J154" s="26" t="str">
        <f>IF(OR(OR(OR(OR(OR(ISNUMBER(SEARCH(IF(J$1&lt;&gt;"",J$1,"NA"),'MITRE ATT&amp;CK Mappings'!$E150)),ISNUMBER(SEARCH(IF(J$1&lt;&gt;"",J$1,"NA"),'MITRE ATT&amp;CK Mappings'!$F150))),ISNUMBER(SEARCH(IF(J$2&lt;&gt;"",J$2,"NA"),'MITRE ATT&amp;CK Mappings'!$G150))),ISNUMBER(SEARCH(IF(J$2&lt;&gt;"",J$2,"NA"),'MITRE ATT&amp;CK Mappings'!$H150))),ISNUMBER(SEARCH(IF(J$3&lt;&gt;"",J$3,"NA"),'MITRE ATT&amp;CK Mappings'!$I150))),ISNUMBER(SEARCH(IF(J$3&lt;&gt;"",J$3,"NA"),'MITRE ATT&amp;CK Mappings'!$J150))), 'MITRE ATT&amp;CK Mappings'!$B150,"")</f>
        <v/>
      </c>
      <c r="K154" s="26" t="str">
        <f>IF(OR(OR(OR(OR(OR(ISNUMBER(SEARCH(IF(K$1&lt;&gt;"",K$1,"NA"),'MITRE ATT&amp;CK Mappings'!$E150)),ISNUMBER(SEARCH(IF(K$1&lt;&gt;"",K$1,"NA"),'MITRE ATT&amp;CK Mappings'!$F150))),ISNUMBER(SEARCH(IF(K$2&lt;&gt;"",K$2,"NA"),'MITRE ATT&amp;CK Mappings'!$G150))),ISNUMBER(SEARCH(IF(K$2&lt;&gt;"",K$2,"NA"),'MITRE ATT&amp;CK Mappings'!$H150))),ISNUMBER(SEARCH(IF(K$3&lt;&gt;"",K$3,"NA"),'MITRE ATT&amp;CK Mappings'!$I150))),ISNUMBER(SEARCH(IF(K$3&lt;&gt;"",K$3,"NA"),'MITRE ATT&amp;CK Mappings'!$J150))), 'MITRE ATT&amp;CK Mappings'!$B150,"")</f>
        <v/>
      </c>
      <c r="L154" s="26" t="str">
        <f>IF('MITRE ATT&amp;CK Mappings'!D150 &lt;&gt;"",'MITRE ATT&amp;CK Mappings'!D150,"" )</f>
        <v>Ensure that 'Enable key rotation reminders' is enabled for each Storage Account</v>
      </c>
    </row>
    <row r="155" spans="1:12" x14ac:dyDescent="0.25">
      <c r="A155" s="27" t="str">
        <f>IF(COUNTIF(B155:K155,"="&amp;'MITRE ATT&amp;CK Mappings'!B151)&gt;0,'MITRE ATT&amp;CK Mappings'!B151,"")</f>
        <v/>
      </c>
      <c r="B155" s="27" t="str">
        <f>IF(OR(OR(OR(OR(OR(ISNUMBER(SEARCH(IF(B$1&lt;&gt;"",B$1,"NA"),'MITRE ATT&amp;CK Mappings'!$E151)),ISNUMBER(SEARCH(IF(B$1&lt;&gt;"",B$1,"NA"),'MITRE ATT&amp;CK Mappings'!$F151))),ISNUMBER(SEARCH(IF(B$2&lt;&gt;"",B$2,"NA"),'MITRE ATT&amp;CK Mappings'!$G151))),ISNUMBER(SEARCH(IF(B$2&lt;&gt;"",B$2,"NA"),'MITRE ATT&amp;CK Mappings'!$H151))),ISNUMBER(SEARCH(IF(B$3&lt;&gt;"",B$3,"NA"),'MITRE ATT&amp;CK Mappings'!$I151))),ISNUMBER(SEARCH(IF(B$3&lt;&gt;"",B$3,"NA"),'MITRE ATT&amp;CK Mappings'!$J151))), 'MITRE ATT&amp;CK Mappings'!$B151,"")</f>
        <v/>
      </c>
      <c r="C155" s="27" t="str">
        <f>IF(OR(OR(OR(OR(OR(ISNUMBER(SEARCH(IF(C$1&lt;&gt;"",C$1,"NA"),'MITRE ATT&amp;CK Mappings'!$E151)),ISNUMBER(SEARCH(IF(C$1&lt;&gt;"",C$1,"NA"),'MITRE ATT&amp;CK Mappings'!$F151))),ISNUMBER(SEARCH(IF(C$2&lt;&gt;"",C$2,"NA"),'MITRE ATT&amp;CK Mappings'!$G151))),ISNUMBER(SEARCH(IF(C$2&lt;&gt;"",C$2,"NA"),'MITRE ATT&amp;CK Mappings'!$H151))),ISNUMBER(SEARCH(IF(C$3&lt;&gt;"",C$3,"NA"),'MITRE ATT&amp;CK Mappings'!$I151))),ISNUMBER(SEARCH(IF(C$3&lt;&gt;"",C$3,"NA"),'MITRE ATT&amp;CK Mappings'!$J151))), 'MITRE ATT&amp;CK Mappings'!$B151,"")</f>
        <v/>
      </c>
      <c r="D155" s="27" t="str">
        <f>IF(OR(OR(OR(OR(OR(ISNUMBER(SEARCH(IF(D$1&lt;&gt;"",D$1,"NA"),'MITRE ATT&amp;CK Mappings'!$E151)),ISNUMBER(SEARCH(IF(D$1&lt;&gt;"",D$1,"NA"),'MITRE ATT&amp;CK Mappings'!$F151))),ISNUMBER(SEARCH(IF(D$2&lt;&gt;"",D$2,"NA"),'MITRE ATT&amp;CK Mappings'!$G151))),ISNUMBER(SEARCH(IF(D$2&lt;&gt;"",D$2,"NA"),'MITRE ATT&amp;CK Mappings'!$H151))),ISNUMBER(SEARCH(IF(D$3&lt;&gt;"",D$3,"NA"),'MITRE ATT&amp;CK Mappings'!$I151))),ISNUMBER(SEARCH(IF(D$3&lt;&gt;"",D$3,"NA"),'MITRE ATT&amp;CK Mappings'!$J151))), 'MITRE ATT&amp;CK Mappings'!$B151,"")</f>
        <v/>
      </c>
      <c r="E155" s="27" t="str">
        <f>IF(OR(OR(OR(OR(OR(ISNUMBER(SEARCH(IF(E$1&lt;&gt;"",E$1,"NA"),'MITRE ATT&amp;CK Mappings'!$E151)),ISNUMBER(SEARCH(IF(E$1&lt;&gt;"",E$1,"NA"),'MITRE ATT&amp;CK Mappings'!$F151))),ISNUMBER(SEARCH(IF(E$2&lt;&gt;"",E$2,"NA"),'MITRE ATT&amp;CK Mappings'!$G151))),ISNUMBER(SEARCH(IF(E$2&lt;&gt;"",E$2,"NA"),'MITRE ATT&amp;CK Mappings'!$H151))),ISNUMBER(SEARCH(IF(E$3&lt;&gt;"",E$3,"NA"),'MITRE ATT&amp;CK Mappings'!$I151))),ISNUMBER(SEARCH(IF(E$3&lt;&gt;"",E$3,"NA"),'MITRE ATT&amp;CK Mappings'!$J151))), 'MITRE ATT&amp;CK Mappings'!$B151,"")</f>
        <v/>
      </c>
      <c r="F155" s="27" t="str">
        <f>IF(OR(OR(OR(OR(OR(ISNUMBER(SEARCH(IF(F$1&lt;&gt;"",F$1,"NA"),'MITRE ATT&amp;CK Mappings'!$E151)),ISNUMBER(SEARCH(IF(F$1&lt;&gt;"",F$1,"NA"),'MITRE ATT&amp;CK Mappings'!$F151))),ISNUMBER(SEARCH(IF(F$2&lt;&gt;"",F$2,"NA"),'MITRE ATT&amp;CK Mappings'!$G151))),ISNUMBER(SEARCH(IF(F$2&lt;&gt;"",F$2,"NA"),'MITRE ATT&amp;CK Mappings'!$H151))),ISNUMBER(SEARCH(IF(F$3&lt;&gt;"",F$3,"NA"),'MITRE ATT&amp;CK Mappings'!$I151))),ISNUMBER(SEARCH(IF(F$3&lt;&gt;"",F$3,"NA"),'MITRE ATT&amp;CK Mappings'!$J151))), 'MITRE ATT&amp;CK Mappings'!$B151,"")</f>
        <v/>
      </c>
      <c r="G155" s="27" t="str">
        <f>IF(OR(OR(OR(OR(OR(ISNUMBER(SEARCH(IF(G$1&lt;&gt;"",G$1,"NA"),'MITRE ATT&amp;CK Mappings'!$E151)),ISNUMBER(SEARCH(IF(G$1&lt;&gt;"",G$1,"NA"),'MITRE ATT&amp;CK Mappings'!$F151))),ISNUMBER(SEARCH(IF(G$2&lt;&gt;"",G$2,"NA"),'MITRE ATT&amp;CK Mappings'!$G151))),ISNUMBER(SEARCH(IF(G$2&lt;&gt;"",G$2,"NA"),'MITRE ATT&amp;CK Mappings'!$H151))),ISNUMBER(SEARCH(IF(G$3&lt;&gt;"",G$3,"NA"),'MITRE ATT&amp;CK Mappings'!$I151))),ISNUMBER(SEARCH(IF(G$3&lt;&gt;"",G$3,"NA"),'MITRE ATT&amp;CK Mappings'!$J151))), 'MITRE ATT&amp;CK Mappings'!$B151,"")</f>
        <v/>
      </c>
      <c r="H155" s="27" t="str">
        <f>IF(OR(OR(OR(OR(OR(ISNUMBER(SEARCH(IF(H$1&lt;&gt;"",H$1,"NA"),'MITRE ATT&amp;CK Mappings'!$E151)),ISNUMBER(SEARCH(IF(H$1&lt;&gt;"",H$1,"NA"),'MITRE ATT&amp;CK Mappings'!$F151))),ISNUMBER(SEARCH(IF(H$2&lt;&gt;"",H$2,"NA"),'MITRE ATT&amp;CK Mappings'!$G151))),ISNUMBER(SEARCH(IF(H$2&lt;&gt;"",H$2,"NA"),'MITRE ATT&amp;CK Mappings'!$H151))),ISNUMBER(SEARCH(IF(H$3&lt;&gt;"",H$3,"NA"),'MITRE ATT&amp;CK Mappings'!$I151))),ISNUMBER(SEARCH(IF(H$3&lt;&gt;"",H$3,"NA"),'MITRE ATT&amp;CK Mappings'!$J151))), 'MITRE ATT&amp;CK Mappings'!$B151,"")</f>
        <v/>
      </c>
      <c r="I155" s="27" t="str">
        <f>IF(OR(OR(OR(OR(OR(ISNUMBER(SEARCH(IF(I$1&lt;&gt;"",I$1,"NA"),'MITRE ATT&amp;CK Mappings'!$E151)),ISNUMBER(SEARCH(IF(I$1&lt;&gt;"",I$1,"NA"),'MITRE ATT&amp;CK Mappings'!$F151))),ISNUMBER(SEARCH(IF(I$2&lt;&gt;"",I$2,"NA"),'MITRE ATT&amp;CK Mappings'!$G151))),ISNUMBER(SEARCH(IF(I$2&lt;&gt;"",I$2,"NA"),'MITRE ATT&amp;CK Mappings'!$H151))),ISNUMBER(SEARCH(IF(I$3&lt;&gt;"",I$3,"NA"),'MITRE ATT&amp;CK Mappings'!$I151))),ISNUMBER(SEARCH(IF(I$3&lt;&gt;"",I$3,"NA"),'MITRE ATT&amp;CK Mappings'!$J151))), 'MITRE ATT&amp;CK Mappings'!$B151,"")</f>
        <v/>
      </c>
      <c r="J155" s="27" t="str">
        <f>IF(OR(OR(OR(OR(OR(ISNUMBER(SEARCH(IF(J$1&lt;&gt;"",J$1,"NA"),'MITRE ATT&amp;CK Mappings'!$E151)),ISNUMBER(SEARCH(IF(J$1&lt;&gt;"",J$1,"NA"),'MITRE ATT&amp;CK Mappings'!$F151))),ISNUMBER(SEARCH(IF(J$2&lt;&gt;"",J$2,"NA"),'MITRE ATT&amp;CK Mappings'!$G151))),ISNUMBER(SEARCH(IF(J$2&lt;&gt;"",J$2,"NA"),'MITRE ATT&amp;CK Mappings'!$H151))),ISNUMBER(SEARCH(IF(J$3&lt;&gt;"",J$3,"NA"),'MITRE ATT&amp;CK Mappings'!$I151))),ISNUMBER(SEARCH(IF(J$3&lt;&gt;"",J$3,"NA"),'MITRE ATT&amp;CK Mappings'!$J151))), 'MITRE ATT&amp;CK Mappings'!$B151,"")</f>
        <v/>
      </c>
      <c r="K155" s="27" t="str">
        <f>IF(OR(OR(OR(OR(OR(ISNUMBER(SEARCH(IF(K$1&lt;&gt;"",K$1,"NA"),'MITRE ATT&amp;CK Mappings'!$E151)),ISNUMBER(SEARCH(IF(K$1&lt;&gt;"",K$1,"NA"),'MITRE ATT&amp;CK Mappings'!$F151))),ISNUMBER(SEARCH(IF(K$2&lt;&gt;"",K$2,"NA"),'MITRE ATT&amp;CK Mappings'!$G151))),ISNUMBER(SEARCH(IF(K$2&lt;&gt;"",K$2,"NA"),'MITRE ATT&amp;CK Mappings'!$H151))),ISNUMBER(SEARCH(IF(K$3&lt;&gt;"",K$3,"NA"),'MITRE ATT&amp;CK Mappings'!$I151))),ISNUMBER(SEARCH(IF(K$3&lt;&gt;"",K$3,"NA"),'MITRE ATT&amp;CK Mappings'!$J151))), 'MITRE ATT&amp;CK Mappings'!$B151,"")</f>
        <v/>
      </c>
      <c r="L155" s="27" t="str">
        <f>IF('MITRE ATT&amp;CK Mappings'!D151 &lt;&gt;"",'MITRE ATT&amp;CK Mappings'!D151,"" )</f>
        <v>Ensure that Storage Account access keys are periodically regenerated</v>
      </c>
    </row>
    <row r="156" spans="1:12" x14ac:dyDescent="0.25">
      <c r="A156" s="26" t="str">
        <f>IF(COUNTIF(B156:K156,"="&amp;'MITRE ATT&amp;CK Mappings'!B152)&gt;0,'MITRE ATT&amp;CK Mappings'!B152,"")</f>
        <v/>
      </c>
      <c r="B156" s="26" t="str">
        <f>IF(OR(OR(OR(OR(OR(ISNUMBER(SEARCH(IF(B$1&lt;&gt;"",B$1,"NA"),'MITRE ATT&amp;CK Mappings'!$E152)),ISNUMBER(SEARCH(IF(B$1&lt;&gt;"",B$1,"NA"),'MITRE ATT&amp;CK Mappings'!$F152))),ISNUMBER(SEARCH(IF(B$2&lt;&gt;"",B$2,"NA"),'MITRE ATT&amp;CK Mappings'!$G152))),ISNUMBER(SEARCH(IF(B$2&lt;&gt;"",B$2,"NA"),'MITRE ATT&amp;CK Mappings'!$H152))),ISNUMBER(SEARCH(IF(B$3&lt;&gt;"",B$3,"NA"),'MITRE ATT&amp;CK Mappings'!$I152))),ISNUMBER(SEARCH(IF(B$3&lt;&gt;"",B$3,"NA"),'MITRE ATT&amp;CK Mappings'!$J152))), 'MITRE ATT&amp;CK Mappings'!$B152,"")</f>
        <v/>
      </c>
      <c r="C156" s="26" t="str">
        <f>IF(OR(OR(OR(OR(OR(ISNUMBER(SEARCH(IF(C$1&lt;&gt;"",C$1,"NA"),'MITRE ATT&amp;CK Mappings'!$E152)),ISNUMBER(SEARCH(IF(C$1&lt;&gt;"",C$1,"NA"),'MITRE ATT&amp;CK Mappings'!$F152))),ISNUMBER(SEARCH(IF(C$2&lt;&gt;"",C$2,"NA"),'MITRE ATT&amp;CK Mappings'!$G152))),ISNUMBER(SEARCH(IF(C$2&lt;&gt;"",C$2,"NA"),'MITRE ATT&amp;CK Mappings'!$H152))),ISNUMBER(SEARCH(IF(C$3&lt;&gt;"",C$3,"NA"),'MITRE ATT&amp;CK Mappings'!$I152))),ISNUMBER(SEARCH(IF(C$3&lt;&gt;"",C$3,"NA"),'MITRE ATT&amp;CK Mappings'!$J152))), 'MITRE ATT&amp;CK Mappings'!$B152,"")</f>
        <v/>
      </c>
      <c r="D156" s="26" t="str">
        <f>IF(OR(OR(OR(OR(OR(ISNUMBER(SEARCH(IF(D$1&lt;&gt;"",D$1,"NA"),'MITRE ATT&amp;CK Mappings'!$E152)),ISNUMBER(SEARCH(IF(D$1&lt;&gt;"",D$1,"NA"),'MITRE ATT&amp;CK Mappings'!$F152))),ISNUMBER(SEARCH(IF(D$2&lt;&gt;"",D$2,"NA"),'MITRE ATT&amp;CK Mappings'!$G152))),ISNUMBER(SEARCH(IF(D$2&lt;&gt;"",D$2,"NA"),'MITRE ATT&amp;CK Mappings'!$H152))),ISNUMBER(SEARCH(IF(D$3&lt;&gt;"",D$3,"NA"),'MITRE ATT&amp;CK Mappings'!$I152))),ISNUMBER(SEARCH(IF(D$3&lt;&gt;"",D$3,"NA"),'MITRE ATT&amp;CK Mappings'!$J152))), 'MITRE ATT&amp;CK Mappings'!$B152,"")</f>
        <v/>
      </c>
      <c r="E156" s="26" t="str">
        <f>IF(OR(OR(OR(OR(OR(ISNUMBER(SEARCH(IF(E$1&lt;&gt;"",E$1,"NA"),'MITRE ATT&amp;CK Mappings'!$E152)),ISNUMBER(SEARCH(IF(E$1&lt;&gt;"",E$1,"NA"),'MITRE ATT&amp;CK Mappings'!$F152))),ISNUMBER(SEARCH(IF(E$2&lt;&gt;"",E$2,"NA"),'MITRE ATT&amp;CK Mappings'!$G152))),ISNUMBER(SEARCH(IF(E$2&lt;&gt;"",E$2,"NA"),'MITRE ATT&amp;CK Mappings'!$H152))),ISNUMBER(SEARCH(IF(E$3&lt;&gt;"",E$3,"NA"),'MITRE ATT&amp;CK Mappings'!$I152))),ISNUMBER(SEARCH(IF(E$3&lt;&gt;"",E$3,"NA"),'MITRE ATT&amp;CK Mappings'!$J152))), 'MITRE ATT&amp;CK Mappings'!$B152,"")</f>
        <v/>
      </c>
      <c r="F156" s="26" t="str">
        <f>IF(OR(OR(OR(OR(OR(ISNUMBER(SEARCH(IF(F$1&lt;&gt;"",F$1,"NA"),'MITRE ATT&amp;CK Mappings'!$E152)),ISNUMBER(SEARCH(IF(F$1&lt;&gt;"",F$1,"NA"),'MITRE ATT&amp;CK Mappings'!$F152))),ISNUMBER(SEARCH(IF(F$2&lt;&gt;"",F$2,"NA"),'MITRE ATT&amp;CK Mappings'!$G152))),ISNUMBER(SEARCH(IF(F$2&lt;&gt;"",F$2,"NA"),'MITRE ATT&amp;CK Mappings'!$H152))),ISNUMBER(SEARCH(IF(F$3&lt;&gt;"",F$3,"NA"),'MITRE ATT&amp;CK Mappings'!$I152))),ISNUMBER(SEARCH(IF(F$3&lt;&gt;"",F$3,"NA"),'MITRE ATT&amp;CK Mappings'!$J152))), 'MITRE ATT&amp;CK Mappings'!$B152,"")</f>
        <v/>
      </c>
      <c r="G156" s="26" t="str">
        <f>IF(OR(OR(OR(OR(OR(ISNUMBER(SEARCH(IF(G$1&lt;&gt;"",G$1,"NA"),'MITRE ATT&amp;CK Mappings'!$E152)),ISNUMBER(SEARCH(IF(G$1&lt;&gt;"",G$1,"NA"),'MITRE ATT&amp;CK Mappings'!$F152))),ISNUMBER(SEARCH(IF(G$2&lt;&gt;"",G$2,"NA"),'MITRE ATT&amp;CK Mappings'!$G152))),ISNUMBER(SEARCH(IF(G$2&lt;&gt;"",G$2,"NA"),'MITRE ATT&amp;CK Mappings'!$H152))),ISNUMBER(SEARCH(IF(G$3&lt;&gt;"",G$3,"NA"),'MITRE ATT&amp;CK Mappings'!$I152))),ISNUMBER(SEARCH(IF(G$3&lt;&gt;"",G$3,"NA"),'MITRE ATT&amp;CK Mappings'!$J152))), 'MITRE ATT&amp;CK Mappings'!$B152,"")</f>
        <v/>
      </c>
      <c r="H156" s="26" t="str">
        <f>IF(OR(OR(OR(OR(OR(ISNUMBER(SEARCH(IF(H$1&lt;&gt;"",H$1,"NA"),'MITRE ATT&amp;CK Mappings'!$E152)),ISNUMBER(SEARCH(IF(H$1&lt;&gt;"",H$1,"NA"),'MITRE ATT&amp;CK Mappings'!$F152))),ISNUMBER(SEARCH(IF(H$2&lt;&gt;"",H$2,"NA"),'MITRE ATT&amp;CK Mappings'!$G152))),ISNUMBER(SEARCH(IF(H$2&lt;&gt;"",H$2,"NA"),'MITRE ATT&amp;CK Mappings'!$H152))),ISNUMBER(SEARCH(IF(H$3&lt;&gt;"",H$3,"NA"),'MITRE ATT&amp;CK Mappings'!$I152))),ISNUMBER(SEARCH(IF(H$3&lt;&gt;"",H$3,"NA"),'MITRE ATT&amp;CK Mappings'!$J152))), 'MITRE ATT&amp;CK Mappings'!$B152,"")</f>
        <v/>
      </c>
      <c r="I156" s="26" t="str">
        <f>IF(OR(OR(OR(OR(OR(ISNUMBER(SEARCH(IF(I$1&lt;&gt;"",I$1,"NA"),'MITRE ATT&amp;CK Mappings'!$E152)),ISNUMBER(SEARCH(IF(I$1&lt;&gt;"",I$1,"NA"),'MITRE ATT&amp;CK Mappings'!$F152))),ISNUMBER(SEARCH(IF(I$2&lt;&gt;"",I$2,"NA"),'MITRE ATT&amp;CK Mappings'!$G152))),ISNUMBER(SEARCH(IF(I$2&lt;&gt;"",I$2,"NA"),'MITRE ATT&amp;CK Mappings'!$H152))),ISNUMBER(SEARCH(IF(I$3&lt;&gt;"",I$3,"NA"),'MITRE ATT&amp;CK Mappings'!$I152))),ISNUMBER(SEARCH(IF(I$3&lt;&gt;"",I$3,"NA"),'MITRE ATT&amp;CK Mappings'!$J152))), 'MITRE ATT&amp;CK Mappings'!$B152,"")</f>
        <v/>
      </c>
      <c r="J156" s="26" t="str">
        <f>IF(OR(OR(OR(OR(OR(ISNUMBER(SEARCH(IF(J$1&lt;&gt;"",J$1,"NA"),'MITRE ATT&amp;CK Mappings'!$E152)),ISNUMBER(SEARCH(IF(J$1&lt;&gt;"",J$1,"NA"),'MITRE ATT&amp;CK Mappings'!$F152))),ISNUMBER(SEARCH(IF(J$2&lt;&gt;"",J$2,"NA"),'MITRE ATT&amp;CK Mappings'!$G152))),ISNUMBER(SEARCH(IF(J$2&lt;&gt;"",J$2,"NA"),'MITRE ATT&amp;CK Mappings'!$H152))),ISNUMBER(SEARCH(IF(J$3&lt;&gt;"",J$3,"NA"),'MITRE ATT&amp;CK Mappings'!$I152))),ISNUMBER(SEARCH(IF(J$3&lt;&gt;"",J$3,"NA"),'MITRE ATT&amp;CK Mappings'!$J152))), 'MITRE ATT&amp;CK Mappings'!$B152,"")</f>
        <v/>
      </c>
      <c r="K156" s="26" t="str">
        <f>IF(OR(OR(OR(OR(OR(ISNUMBER(SEARCH(IF(K$1&lt;&gt;"",K$1,"NA"),'MITRE ATT&amp;CK Mappings'!$E152)),ISNUMBER(SEARCH(IF(K$1&lt;&gt;"",K$1,"NA"),'MITRE ATT&amp;CK Mappings'!$F152))),ISNUMBER(SEARCH(IF(K$2&lt;&gt;"",K$2,"NA"),'MITRE ATT&amp;CK Mappings'!$G152))),ISNUMBER(SEARCH(IF(K$2&lt;&gt;"",K$2,"NA"),'MITRE ATT&amp;CK Mappings'!$H152))),ISNUMBER(SEARCH(IF(K$3&lt;&gt;"",K$3,"NA"),'MITRE ATT&amp;CK Mappings'!$I152))),ISNUMBER(SEARCH(IF(K$3&lt;&gt;"",K$3,"NA"),'MITRE ATT&amp;CK Mappings'!$J152))), 'MITRE ATT&amp;CK Mappings'!$B152,"")</f>
        <v/>
      </c>
      <c r="L156" s="26" t="str">
        <f>IF('MITRE ATT&amp;CK Mappings'!D152 &lt;&gt;"",'MITRE ATT&amp;CK Mappings'!D152,"" )</f>
        <v>Ensure 'Allow storage account key access' for Azure Storage Accounts is 'Disabled'</v>
      </c>
    </row>
    <row r="157" spans="1:12" x14ac:dyDescent="0.25">
      <c r="A157" s="27" t="str">
        <f>IF(COUNTIF(B157:K157,"="&amp;'MITRE ATT&amp;CK Mappings'!B153)&gt;0,'MITRE ATT&amp;CK Mappings'!B153,"")</f>
        <v/>
      </c>
      <c r="B157" s="27" t="str">
        <f>IF(OR(OR(OR(OR(OR(ISNUMBER(SEARCH(IF(B$1&lt;&gt;"",B$1,"NA"),'MITRE ATT&amp;CK Mappings'!$E153)),ISNUMBER(SEARCH(IF(B$1&lt;&gt;"",B$1,"NA"),'MITRE ATT&amp;CK Mappings'!$F153))),ISNUMBER(SEARCH(IF(B$2&lt;&gt;"",B$2,"NA"),'MITRE ATT&amp;CK Mappings'!$G153))),ISNUMBER(SEARCH(IF(B$2&lt;&gt;"",B$2,"NA"),'MITRE ATT&amp;CK Mappings'!$H153))),ISNUMBER(SEARCH(IF(B$3&lt;&gt;"",B$3,"NA"),'MITRE ATT&amp;CK Mappings'!$I153))),ISNUMBER(SEARCH(IF(B$3&lt;&gt;"",B$3,"NA"),'MITRE ATT&amp;CK Mappings'!$J153))), 'MITRE ATT&amp;CK Mappings'!$B153,"")</f>
        <v/>
      </c>
      <c r="C157" s="27" t="str">
        <f>IF(OR(OR(OR(OR(OR(ISNUMBER(SEARCH(IF(C$1&lt;&gt;"",C$1,"NA"),'MITRE ATT&amp;CK Mappings'!$E153)),ISNUMBER(SEARCH(IF(C$1&lt;&gt;"",C$1,"NA"),'MITRE ATT&amp;CK Mappings'!$F153))),ISNUMBER(SEARCH(IF(C$2&lt;&gt;"",C$2,"NA"),'MITRE ATT&amp;CK Mappings'!$G153))),ISNUMBER(SEARCH(IF(C$2&lt;&gt;"",C$2,"NA"),'MITRE ATT&amp;CK Mappings'!$H153))),ISNUMBER(SEARCH(IF(C$3&lt;&gt;"",C$3,"NA"),'MITRE ATT&amp;CK Mappings'!$I153))),ISNUMBER(SEARCH(IF(C$3&lt;&gt;"",C$3,"NA"),'MITRE ATT&amp;CK Mappings'!$J153))), 'MITRE ATT&amp;CK Mappings'!$B153,"")</f>
        <v/>
      </c>
      <c r="D157" s="27" t="str">
        <f>IF(OR(OR(OR(OR(OR(ISNUMBER(SEARCH(IF(D$1&lt;&gt;"",D$1,"NA"),'MITRE ATT&amp;CK Mappings'!$E153)),ISNUMBER(SEARCH(IF(D$1&lt;&gt;"",D$1,"NA"),'MITRE ATT&amp;CK Mappings'!$F153))),ISNUMBER(SEARCH(IF(D$2&lt;&gt;"",D$2,"NA"),'MITRE ATT&amp;CK Mappings'!$G153))),ISNUMBER(SEARCH(IF(D$2&lt;&gt;"",D$2,"NA"),'MITRE ATT&amp;CK Mappings'!$H153))),ISNUMBER(SEARCH(IF(D$3&lt;&gt;"",D$3,"NA"),'MITRE ATT&amp;CK Mappings'!$I153))),ISNUMBER(SEARCH(IF(D$3&lt;&gt;"",D$3,"NA"),'MITRE ATT&amp;CK Mappings'!$J153))), 'MITRE ATT&amp;CK Mappings'!$B153,"")</f>
        <v/>
      </c>
      <c r="E157" s="27" t="str">
        <f>IF(OR(OR(OR(OR(OR(ISNUMBER(SEARCH(IF(E$1&lt;&gt;"",E$1,"NA"),'MITRE ATT&amp;CK Mappings'!$E153)),ISNUMBER(SEARCH(IF(E$1&lt;&gt;"",E$1,"NA"),'MITRE ATT&amp;CK Mappings'!$F153))),ISNUMBER(SEARCH(IF(E$2&lt;&gt;"",E$2,"NA"),'MITRE ATT&amp;CK Mappings'!$G153))),ISNUMBER(SEARCH(IF(E$2&lt;&gt;"",E$2,"NA"),'MITRE ATT&amp;CK Mappings'!$H153))),ISNUMBER(SEARCH(IF(E$3&lt;&gt;"",E$3,"NA"),'MITRE ATT&amp;CK Mappings'!$I153))),ISNUMBER(SEARCH(IF(E$3&lt;&gt;"",E$3,"NA"),'MITRE ATT&amp;CK Mappings'!$J153))), 'MITRE ATT&amp;CK Mappings'!$B153,"")</f>
        <v/>
      </c>
      <c r="F157" s="27" t="str">
        <f>IF(OR(OR(OR(OR(OR(ISNUMBER(SEARCH(IF(F$1&lt;&gt;"",F$1,"NA"),'MITRE ATT&amp;CK Mappings'!$E153)),ISNUMBER(SEARCH(IF(F$1&lt;&gt;"",F$1,"NA"),'MITRE ATT&amp;CK Mappings'!$F153))),ISNUMBER(SEARCH(IF(F$2&lt;&gt;"",F$2,"NA"),'MITRE ATT&amp;CK Mappings'!$G153))),ISNUMBER(SEARCH(IF(F$2&lt;&gt;"",F$2,"NA"),'MITRE ATT&amp;CK Mappings'!$H153))),ISNUMBER(SEARCH(IF(F$3&lt;&gt;"",F$3,"NA"),'MITRE ATT&amp;CK Mappings'!$I153))),ISNUMBER(SEARCH(IF(F$3&lt;&gt;"",F$3,"NA"),'MITRE ATT&amp;CK Mappings'!$J153))), 'MITRE ATT&amp;CK Mappings'!$B153,"")</f>
        <v/>
      </c>
      <c r="G157" s="27" t="str">
        <f>IF(OR(OR(OR(OR(OR(ISNUMBER(SEARCH(IF(G$1&lt;&gt;"",G$1,"NA"),'MITRE ATT&amp;CK Mappings'!$E153)),ISNUMBER(SEARCH(IF(G$1&lt;&gt;"",G$1,"NA"),'MITRE ATT&amp;CK Mappings'!$F153))),ISNUMBER(SEARCH(IF(G$2&lt;&gt;"",G$2,"NA"),'MITRE ATT&amp;CK Mappings'!$G153))),ISNUMBER(SEARCH(IF(G$2&lt;&gt;"",G$2,"NA"),'MITRE ATT&amp;CK Mappings'!$H153))),ISNUMBER(SEARCH(IF(G$3&lt;&gt;"",G$3,"NA"),'MITRE ATT&amp;CK Mappings'!$I153))),ISNUMBER(SEARCH(IF(G$3&lt;&gt;"",G$3,"NA"),'MITRE ATT&amp;CK Mappings'!$J153))), 'MITRE ATT&amp;CK Mappings'!$B153,"")</f>
        <v/>
      </c>
      <c r="H157" s="27" t="str">
        <f>IF(OR(OR(OR(OR(OR(ISNUMBER(SEARCH(IF(H$1&lt;&gt;"",H$1,"NA"),'MITRE ATT&amp;CK Mappings'!$E153)),ISNUMBER(SEARCH(IF(H$1&lt;&gt;"",H$1,"NA"),'MITRE ATT&amp;CK Mappings'!$F153))),ISNUMBER(SEARCH(IF(H$2&lt;&gt;"",H$2,"NA"),'MITRE ATT&amp;CK Mappings'!$G153))),ISNUMBER(SEARCH(IF(H$2&lt;&gt;"",H$2,"NA"),'MITRE ATT&amp;CK Mappings'!$H153))),ISNUMBER(SEARCH(IF(H$3&lt;&gt;"",H$3,"NA"),'MITRE ATT&amp;CK Mappings'!$I153))),ISNUMBER(SEARCH(IF(H$3&lt;&gt;"",H$3,"NA"),'MITRE ATT&amp;CK Mappings'!$J153))), 'MITRE ATT&amp;CK Mappings'!$B153,"")</f>
        <v/>
      </c>
      <c r="I157" s="27" t="str">
        <f>IF(OR(OR(OR(OR(OR(ISNUMBER(SEARCH(IF(I$1&lt;&gt;"",I$1,"NA"),'MITRE ATT&amp;CK Mappings'!$E153)),ISNUMBER(SEARCH(IF(I$1&lt;&gt;"",I$1,"NA"),'MITRE ATT&amp;CK Mappings'!$F153))),ISNUMBER(SEARCH(IF(I$2&lt;&gt;"",I$2,"NA"),'MITRE ATT&amp;CK Mappings'!$G153))),ISNUMBER(SEARCH(IF(I$2&lt;&gt;"",I$2,"NA"),'MITRE ATT&amp;CK Mappings'!$H153))),ISNUMBER(SEARCH(IF(I$3&lt;&gt;"",I$3,"NA"),'MITRE ATT&amp;CK Mappings'!$I153))),ISNUMBER(SEARCH(IF(I$3&lt;&gt;"",I$3,"NA"),'MITRE ATT&amp;CK Mappings'!$J153))), 'MITRE ATT&amp;CK Mappings'!$B153,"")</f>
        <v/>
      </c>
      <c r="J157" s="27" t="str">
        <f>IF(OR(OR(OR(OR(OR(ISNUMBER(SEARCH(IF(J$1&lt;&gt;"",J$1,"NA"),'MITRE ATT&amp;CK Mappings'!$E153)),ISNUMBER(SEARCH(IF(J$1&lt;&gt;"",J$1,"NA"),'MITRE ATT&amp;CK Mappings'!$F153))),ISNUMBER(SEARCH(IF(J$2&lt;&gt;"",J$2,"NA"),'MITRE ATT&amp;CK Mappings'!$G153))),ISNUMBER(SEARCH(IF(J$2&lt;&gt;"",J$2,"NA"),'MITRE ATT&amp;CK Mappings'!$H153))),ISNUMBER(SEARCH(IF(J$3&lt;&gt;"",J$3,"NA"),'MITRE ATT&amp;CK Mappings'!$I153))),ISNUMBER(SEARCH(IF(J$3&lt;&gt;"",J$3,"NA"),'MITRE ATT&amp;CK Mappings'!$J153))), 'MITRE ATT&amp;CK Mappings'!$B153,"")</f>
        <v/>
      </c>
      <c r="K157" s="27" t="str">
        <f>IF(OR(OR(OR(OR(OR(ISNUMBER(SEARCH(IF(K$1&lt;&gt;"",K$1,"NA"),'MITRE ATT&amp;CK Mappings'!$E153)),ISNUMBER(SEARCH(IF(K$1&lt;&gt;"",K$1,"NA"),'MITRE ATT&amp;CK Mappings'!$F153))),ISNUMBER(SEARCH(IF(K$2&lt;&gt;"",K$2,"NA"),'MITRE ATT&amp;CK Mappings'!$G153))),ISNUMBER(SEARCH(IF(K$2&lt;&gt;"",K$2,"NA"),'MITRE ATT&amp;CK Mappings'!$H153))),ISNUMBER(SEARCH(IF(K$3&lt;&gt;"",K$3,"NA"),'MITRE ATT&amp;CK Mappings'!$I153))),ISNUMBER(SEARCH(IF(K$3&lt;&gt;"",K$3,"NA"),'MITRE ATT&amp;CK Mappings'!$J153))), 'MITRE ATT&amp;CK Mappings'!$B153,"")</f>
        <v/>
      </c>
      <c r="L157" s="27" t="str">
        <f>IF('MITRE ATT&amp;CK Mappings'!D153 &lt;&gt;"",'MITRE ATT&amp;CK Mappings'!D153,"" )</f>
        <v>Ensure Private Endpoints are used to access Storage Accounts</v>
      </c>
    </row>
    <row r="158" spans="1:12" x14ac:dyDescent="0.25">
      <c r="A158" s="26" t="str">
        <f>IF(COUNTIF(B158:K158,"="&amp;'MITRE ATT&amp;CK Mappings'!B154)&gt;0,'MITRE ATT&amp;CK Mappings'!B154,"")</f>
        <v/>
      </c>
      <c r="B158" s="26" t="str">
        <f>IF(OR(OR(OR(OR(OR(ISNUMBER(SEARCH(IF(B$1&lt;&gt;"",B$1,"NA"),'MITRE ATT&amp;CK Mappings'!$E154)),ISNUMBER(SEARCH(IF(B$1&lt;&gt;"",B$1,"NA"),'MITRE ATT&amp;CK Mappings'!$F154))),ISNUMBER(SEARCH(IF(B$2&lt;&gt;"",B$2,"NA"),'MITRE ATT&amp;CK Mappings'!$G154))),ISNUMBER(SEARCH(IF(B$2&lt;&gt;"",B$2,"NA"),'MITRE ATT&amp;CK Mappings'!$H154))),ISNUMBER(SEARCH(IF(B$3&lt;&gt;"",B$3,"NA"),'MITRE ATT&amp;CK Mappings'!$I154))),ISNUMBER(SEARCH(IF(B$3&lt;&gt;"",B$3,"NA"),'MITRE ATT&amp;CK Mappings'!$J154))), 'MITRE ATT&amp;CK Mappings'!$B154,"")</f>
        <v/>
      </c>
      <c r="C158" s="26" t="str">
        <f>IF(OR(OR(OR(OR(OR(ISNUMBER(SEARCH(IF(C$1&lt;&gt;"",C$1,"NA"),'MITRE ATT&amp;CK Mappings'!$E154)),ISNUMBER(SEARCH(IF(C$1&lt;&gt;"",C$1,"NA"),'MITRE ATT&amp;CK Mappings'!$F154))),ISNUMBER(SEARCH(IF(C$2&lt;&gt;"",C$2,"NA"),'MITRE ATT&amp;CK Mappings'!$G154))),ISNUMBER(SEARCH(IF(C$2&lt;&gt;"",C$2,"NA"),'MITRE ATT&amp;CK Mappings'!$H154))),ISNUMBER(SEARCH(IF(C$3&lt;&gt;"",C$3,"NA"),'MITRE ATT&amp;CK Mappings'!$I154))),ISNUMBER(SEARCH(IF(C$3&lt;&gt;"",C$3,"NA"),'MITRE ATT&amp;CK Mappings'!$J154))), 'MITRE ATT&amp;CK Mappings'!$B154,"")</f>
        <v/>
      </c>
      <c r="D158" s="26" t="str">
        <f>IF(OR(OR(OR(OR(OR(ISNUMBER(SEARCH(IF(D$1&lt;&gt;"",D$1,"NA"),'MITRE ATT&amp;CK Mappings'!$E154)),ISNUMBER(SEARCH(IF(D$1&lt;&gt;"",D$1,"NA"),'MITRE ATT&amp;CK Mappings'!$F154))),ISNUMBER(SEARCH(IF(D$2&lt;&gt;"",D$2,"NA"),'MITRE ATT&amp;CK Mappings'!$G154))),ISNUMBER(SEARCH(IF(D$2&lt;&gt;"",D$2,"NA"),'MITRE ATT&amp;CK Mappings'!$H154))),ISNUMBER(SEARCH(IF(D$3&lt;&gt;"",D$3,"NA"),'MITRE ATT&amp;CK Mappings'!$I154))),ISNUMBER(SEARCH(IF(D$3&lt;&gt;"",D$3,"NA"),'MITRE ATT&amp;CK Mappings'!$J154))), 'MITRE ATT&amp;CK Mappings'!$B154,"")</f>
        <v/>
      </c>
      <c r="E158" s="26" t="str">
        <f>IF(OR(OR(OR(OR(OR(ISNUMBER(SEARCH(IF(E$1&lt;&gt;"",E$1,"NA"),'MITRE ATT&amp;CK Mappings'!$E154)),ISNUMBER(SEARCH(IF(E$1&lt;&gt;"",E$1,"NA"),'MITRE ATT&amp;CK Mappings'!$F154))),ISNUMBER(SEARCH(IF(E$2&lt;&gt;"",E$2,"NA"),'MITRE ATT&amp;CK Mappings'!$G154))),ISNUMBER(SEARCH(IF(E$2&lt;&gt;"",E$2,"NA"),'MITRE ATT&amp;CK Mappings'!$H154))),ISNUMBER(SEARCH(IF(E$3&lt;&gt;"",E$3,"NA"),'MITRE ATT&amp;CK Mappings'!$I154))),ISNUMBER(SEARCH(IF(E$3&lt;&gt;"",E$3,"NA"),'MITRE ATT&amp;CK Mappings'!$J154))), 'MITRE ATT&amp;CK Mappings'!$B154,"")</f>
        <v/>
      </c>
      <c r="F158" s="26" t="str">
        <f>IF(OR(OR(OR(OR(OR(ISNUMBER(SEARCH(IF(F$1&lt;&gt;"",F$1,"NA"),'MITRE ATT&amp;CK Mappings'!$E154)),ISNUMBER(SEARCH(IF(F$1&lt;&gt;"",F$1,"NA"),'MITRE ATT&amp;CK Mappings'!$F154))),ISNUMBER(SEARCH(IF(F$2&lt;&gt;"",F$2,"NA"),'MITRE ATT&amp;CK Mappings'!$G154))),ISNUMBER(SEARCH(IF(F$2&lt;&gt;"",F$2,"NA"),'MITRE ATT&amp;CK Mappings'!$H154))),ISNUMBER(SEARCH(IF(F$3&lt;&gt;"",F$3,"NA"),'MITRE ATT&amp;CK Mappings'!$I154))),ISNUMBER(SEARCH(IF(F$3&lt;&gt;"",F$3,"NA"),'MITRE ATT&amp;CK Mappings'!$J154))), 'MITRE ATT&amp;CK Mappings'!$B154,"")</f>
        <v/>
      </c>
      <c r="G158" s="26" t="str">
        <f>IF(OR(OR(OR(OR(OR(ISNUMBER(SEARCH(IF(G$1&lt;&gt;"",G$1,"NA"),'MITRE ATT&amp;CK Mappings'!$E154)),ISNUMBER(SEARCH(IF(G$1&lt;&gt;"",G$1,"NA"),'MITRE ATT&amp;CK Mappings'!$F154))),ISNUMBER(SEARCH(IF(G$2&lt;&gt;"",G$2,"NA"),'MITRE ATT&amp;CK Mappings'!$G154))),ISNUMBER(SEARCH(IF(G$2&lt;&gt;"",G$2,"NA"),'MITRE ATT&amp;CK Mappings'!$H154))),ISNUMBER(SEARCH(IF(G$3&lt;&gt;"",G$3,"NA"),'MITRE ATT&amp;CK Mappings'!$I154))),ISNUMBER(SEARCH(IF(G$3&lt;&gt;"",G$3,"NA"),'MITRE ATT&amp;CK Mappings'!$J154))), 'MITRE ATT&amp;CK Mappings'!$B154,"")</f>
        <v/>
      </c>
      <c r="H158" s="26" t="str">
        <f>IF(OR(OR(OR(OR(OR(ISNUMBER(SEARCH(IF(H$1&lt;&gt;"",H$1,"NA"),'MITRE ATT&amp;CK Mappings'!$E154)),ISNUMBER(SEARCH(IF(H$1&lt;&gt;"",H$1,"NA"),'MITRE ATT&amp;CK Mappings'!$F154))),ISNUMBER(SEARCH(IF(H$2&lt;&gt;"",H$2,"NA"),'MITRE ATT&amp;CK Mappings'!$G154))),ISNUMBER(SEARCH(IF(H$2&lt;&gt;"",H$2,"NA"),'MITRE ATT&amp;CK Mappings'!$H154))),ISNUMBER(SEARCH(IF(H$3&lt;&gt;"",H$3,"NA"),'MITRE ATT&amp;CK Mappings'!$I154))),ISNUMBER(SEARCH(IF(H$3&lt;&gt;"",H$3,"NA"),'MITRE ATT&amp;CK Mappings'!$J154))), 'MITRE ATT&amp;CK Mappings'!$B154,"")</f>
        <v/>
      </c>
      <c r="I158" s="26" t="str">
        <f>IF(OR(OR(OR(OR(OR(ISNUMBER(SEARCH(IF(I$1&lt;&gt;"",I$1,"NA"),'MITRE ATT&amp;CK Mappings'!$E154)),ISNUMBER(SEARCH(IF(I$1&lt;&gt;"",I$1,"NA"),'MITRE ATT&amp;CK Mappings'!$F154))),ISNUMBER(SEARCH(IF(I$2&lt;&gt;"",I$2,"NA"),'MITRE ATT&amp;CK Mappings'!$G154))),ISNUMBER(SEARCH(IF(I$2&lt;&gt;"",I$2,"NA"),'MITRE ATT&amp;CK Mappings'!$H154))),ISNUMBER(SEARCH(IF(I$3&lt;&gt;"",I$3,"NA"),'MITRE ATT&amp;CK Mappings'!$I154))),ISNUMBER(SEARCH(IF(I$3&lt;&gt;"",I$3,"NA"),'MITRE ATT&amp;CK Mappings'!$J154))), 'MITRE ATT&amp;CK Mappings'!$B154,"")</f>
        <v/>
      </c>
      <c r="J158" s="26" t="str">
        <f>IF(OR(OR(OR(OR(OR(ISNUMBER(SEARCH(IF(J$1&lt;&gt;"",J$1,"NA"),'MITRE ATT&amp;CK Mappings'!$E154)),ISNUMBER(SEARCH(IF(J$1&lt;&gt;"",J$1,"NA"),'MITRE ATT&amp;CK Mappings'!$F154))),ISNUMBER(SEARCH(IF(J$2&lt;&gt;"",J$2,"NA"),'MITRE ATT&amp;CK Mappings'!$G154))),ISNUMBER(SEARCH(IF(J$2&lt;&gt;"",J$2,"NA"),'MITRE ATT&amp;CK Mappings'!$H154))),ISNUMBER(SEARCH(IF(J$3&lt;&gt;"",J$3,"NA"),'MITRE ATT&amp;CK Mappings'!$I154))),ISNUMBER(SEARCH(IF(J$3&lt;&gt;"",J$3,"NA"),'MITRE ATT&amp;CK Mappings'!$J154))), 'MITRE ATT&amp;CK Mappings'!$B154,"")</f>
        <v/>
      </c>
      <c r="K158" s="26" t="str">
        <f>IF(OR(OR(OR(OR(OR(ISNUMBER(SEARCH(IF(K$1&lt;&gt;"",K$1,"NA"),'MITRE ATT&amp;CK Mappings'!$E154)),ISNUMBER(SEARCH(IF(K$1&lt;&gt;"",K$1,"NA"),'MITRE ATT&amp;CK Mappings'!$F154))),ISNUMBER(SEARCH(IF(K$2&lt;&gt;"",K$2,"NA"),'MITRE ATT&amp;CK Mappings'!$G154))),ISNUMBER(SEARCH(IF(K$2&lt;&gt;"",K$2,"NA"),'MITRE ATT&amp;CK Mappings'!$H154))),ISNUMBER(SEARCH(IF(K$3&lt;&gt;"",K$3,"NA"),'MITRE ATT&amp;CK Mappings'!$I154))),ISNUMBER(SEARCH(IF(K$3&lt;&gt;"",K$3,"NA"),'MITRE ATT&amp;CK Mappings'!$J154))), 'MITRE ATT&amp;CK Mappings'!$B154,"")</f>
        <v/>
      </c>
      <c r="L158" s="26" t="str">
        <f>IF('MITRE ATT&amp;CK Mappings'!D154 &lt;&gt;"",'MITRE ATT&amp;CK Mappings'!D154,"" )</f>
        <v>Ensure that 'Public Network Access' is 'Disabled' for storage accounts</v>
      </c>
    </row>
    <row r="159" spans="1:12" x14ac:dyDescent="0.25">
      <c r="A159" s="27" t="str">
        <f>IF(COUNTIF(B159:K159,"="&amp;'MITRE ATT&amp;CK Mappings'!B155)&gt;0,'MITRE ATT&amp;CK Mappings'!B155,"")</f>
        <v/>
      </c>
      <c r="B159" s="27" t="str">
        <f>IF(OR(OR(OR(OR(OR(ISNUMBER(SEARCH(IF(B$1&lt;&gt;"",B$1,"NA"),'MITRE ATT&amp;CK Mappings'!$E155)),ISNUMBER(SEARCH(IF(B$1&lt;&gt;"",B$1,"NA"),'MITRE ATT&amp;CK Mappings'!$F155))),ISNUMBER(SEARCH(IF(B$2&lt;&gt;"",B$2,"NA"),'MITRE ATT&amp;CK Mappings'!$G155))),ISNUMBER(SEARCH(IF(B$2&lt;&gt;"",B$2,"NA"),'MITRE ATT&amp;CK Mappings'!$H155))),ISNUMBER(SEARCH(IF(B$3&lt;&gt;"",B$3,"NA"),'MITRE ATT&amp;CK Mappings'!$I155))),ISNUMBER(SEARCH(IF(B$3&lt;&gt;"",B$3,"NA"),'MITRE ATT&amp;CK Mappings'!$J155))), 'MITRE ATT&amp;CK Mappings'!$B155,"")</f>
        <v/>
      </c>
      <c r="C159" s="27" t="str">
        <f>IF(OR(OR(OR(OR(OR(ISNUMBER(SEARCH(IF(C$1&lt;&gt;"",C$1,"NA"),'MITRE ATT&amp;CK Mappings'!$E155)),ISNUMBER(SEARCH(IF(C$1&lt;&gt;"",C$1,"NA"),'MITRE ATT&amp;CK Mappings'!$F155))),ISNUMBER(SEARCH(IF(C$2&lt;&gt;"",C$2,"NA"),'MITRE ATT&amp;CK Mappings'!$G155))),ISNUMBER(SEARCH(IF(C$2&lt;&gt;"",C$2,"NA"),'MITRE ATT&amp;CK Mappings'!$H155))),ISNUMBER(SEARCH(IF(C$3&lt;&gt;"",C$3,"NA"),'MITRE ATT&amp;CK Mappings'!$I155))),ISNUMBER(SEARCH(IF(C$3&lt;&gt;"",C$3,"NA"),'MITRE ATT&amp;CK Mappings'!$J155))), 'MITRE ATT&amp;CK Mappings'!$B155,"")</f>
        <v/>
      </c>
      <c r="D159" s="27" t="str">
        <f>IF(OR(OR(OR(OR(OR(ISNUMBER(SEARCH(IF(D$1&lt;&gt;"",D$1,"NA"),'MITRE ATT&amp;CK Mappings'!$E155)),ISNUMBER(SEARCH(IF(D$1&lt;&gt;"",D$1,"NA"),'MITRE ATT&amp;CK Mappings'!$F155))),ISNUMBER(SEARCH(IF(D$2&lt;&gt;"",D$2,"NA"),'MITRE ATT&amp;CK Mappings'!$G155))),ISNUMBER(SEARCH(IF(D$2&lt;&gt;"",D$2,"NA"),'MITRE ATT&amp;CK Mappings'!$H155))),ISNUMBER(SEARCH(IF(D$3&lt;&gt;"",D$3,"NA"),'MITRE ATT&amp;CK Mappings'!$I155))),ISNUMBER(SEARCH(IF(D$3&lt;&gt;"",D$3,"NA"),'MITRE ATT&amp;CK Mappings'!$J155))), 'MITRE ATT&amp;CK Mappings'!$B155,"")</f>
        <v/>
      </c>
      <c r="E159" s="27" t="str">
        <f>IF(OR(OR(OR(OR(OR(ISNUMBER(SEARCH(IF(E$1&lt;&gt;"",E$1,"NA"),'MITRE ATT&amp;CK Mappings'!$E155)),ISNUMBER(SEARCH(IF(E$1&lt;&gt;"",E$1,"NA"),'MITRE ATT&amp;CK Mappings'!$F155))),ISNUMBER(SEARCH(IF(E$2&lt;&gt;"",E$2,"NA"),'MITRE ATT&amp;CK Mappings'!$G155))),ISNUMBER(SEARCH(IF(E$2&lt;&gt;"",E$2,"NA"),'MITRE ATT&amp;CK Mappings'!$H155))),ISNUMBER(SEARCH(IF(E$3&lt;&gt;"",E$3,"NA"),'MITRE ATT&amp;CK Mappings'!$I155))),ISNUMBER(SEARCH(IF(E$3&lt;&gt;"",E$3,"NA"),'MITRE ATT&amp;CK Mappings'!$J155))), 'MITRE ATT&amp;CK Mappings'!$B155,"")</f>
        <v/>
      </c>
      <c r="F159" s="27" t="str">
        <f>IF(OR(OR(OR(OR(OR(ISNUMBER(SEARCH(IF(F$1&lt;&gt;"",F$1,"NA"),'MITRE ATT&amp;CK Mappings'!$E155)),ISNUMBER(SEARCH(IF(F$1&lt;&gt;"",F$1,"NA"),'MITRE ATT&amp;CK Mappings'!$F155))),ISNUMBER(SEARCH(IF(F$2&lt;&gt;"",F$2,"NA"),'MITRE ATT&amp;CK Mappings'!$G155))),ISNUMBER(SEARCH(IF(F$2&lt;&gt;"",F$2,"NA"),'MITRE ATT&amp;CK Mappings'!$H155))),ISNUMBER(SEARCH(IF(F$3&lt;&gt;"",F$3,"NA"),'MITRE ATT&amp;CK Mappings'!$I155))),ISNUMBER(SEARCH(IF(F$3&lt;&gt;"",F$3,"NA"),'MITRE ATT&amp;CK Mappings'!$J155))), 'MITRE ATT&amp;CK Mappings'!$B155,"")</f>
        <v/>
      </c>
      <c r="G159" s="27" t="str">
        <f>IF(OR(OR(OR(OR(OR(ISNUMBER(SEARCH(IF(G$1&lt;&gt;"",G$1,"NA"),'MITRE ATT&amp;CK Mappings'!$E155)),ISNUMBER(SEARCH(IF(G$1&lt;&gt;"",G$1,"NA"),'MITRE ATT&amp;CK Mappings'!$F155))),ISNUMBER(SEARCH(IF(G$2&lt;&gt;"",G$2,"NA"),'MITRE ATT&amp;CK Mappings'!$G155))),ISNUMBER(SEARCH(IF(G$2&lt;&gt;"",G$2,"NA"),'MITRE ATT&amp;CK Mappings'!$H155))),ISNUMBER(SEARCH(IF(G$3&lt;&gt;"",G$3,"NA"),'MITRE ATT&amp;CK Mappings'!$I155))),ISNUMBER(SEARCH(IF(G$3&lt;&gt;"",G$3,"NA"),'MITRE ATT&amp;CK Mappings'!$J155))), 'MITRE ATT&amp;CK Mappings'!$B155,"")</f>
        <v/>
      </c>
      <c r="H159" s="27" t="str">
        <f>IF(OR(OR(OR(OR(OR(ISNUMBER(SEARCH(IF(H$1&lt;&gt;"",H$1,"NA"),'MITRE ATT&amp;CK Mappings'!$E155)),ISNUMBER(SEARCH(IF(H$1&lt;&gt;"",H$1,"NA"),'MITRE ATT&amp;CK Mappings'!$F155))),ISNUMBER(SEARCH(IF(H$2&lt;&gt;"",H$2,"NA"),'MITRE ATT&amp;CK Mappings'!$G155))),ISNUMBER(SEARCH(IF(H$2&lt;&gt;"",H$2,"NA"),'MITRE ATT&amp;CK Mappings'!$H155))),ISNUMBER(SEARCH(IF(H$3&lt;&gt;"",H$3,"NA"),'MITRE ATT&amp;CK Mappings'!$I155))),ISNUMBER(SEARCH(IF(H$3&lt;&gt;"",H$3,"NA"),'MITRE ATT&amp;CK Mappings'!$J155))), 'MITRE ATT&amp;CK Mappings'!$B155,"")</f>
        <v/>
      </c>
      <c r="I159" s="27" t="str">
        <f>IF(OR(OR(OR(OR(OR(ISNUMBER(SEARCH(IF(I$1&lt;&gt;"",I$1,"NA"),'MITRE ATT&amp;CK Mappings'!$E155)),ISNUMBER(SEARCH(IF(I$1&lt;&gt;"",I$1,"NA"),'MITRE ATT&amp;CK Mappings'!$F155))),ISNUMBER(SEARCH(IF(I$2&lt;&gt;"",I$2,"NA"),'MITRE ATT&amp;CK Mappings'!$G155))),ISNUMBER(SEARCH(IF(I$2&lt;&gt;"",I$2,"NA"),'MITRE ATT&amp;CK Mappings'!$H155))),ISNUMBER(SEARCH(IF(I$3&lt;&gt;"",I$3,"NA"),'MITRE ATT&amp;CK Mappings'!$I155))),ISNUMBER(SEARCH(IF(I$3&lt;&gt;"",I$3,"NA"),'MITRE ATT&amp;CK Mappings'!$J155))), 'MITRE ATT&amp;CK Mappings'!$B155,"")</f>
        <v/>
      </c>
      <c r="J159" s="27" t="str">
        <f>IF(OR(OR(OR(OR(OR(ISNUMBER(SEARCH(IF(J$1&lt;&gt;"",J$1,"NA"),'MITRE ATT&amp;CK Mappings'!$E155)),ISNUMBER(SEARCH(IF(J$1&lt;&gt;"",J$1,"NA"),'MITRE ATT&amp;CK Mappings'!$F155))),ISNUMBER(SEARCH(IF(J$2&lt;&gt;"",J$2,"NA"),'MITRE ATT&amp;CK Mappings'!$G155))),ISNUMBER(SEARCH(IF(J$2&lt;&gt;"",J$2,"NA"),'MITRE ATT&amp;CK Mappings'!$H155))),ISNUMBER(SEARCH(IF(J$3&lt;&gt;"",J$3,"NA"),'MITRE ATT&amp;CK Mappings'!$I155))),ISNUMBER(SEARCH(IF(J$3&lt;&gt;"",J$3,"NA"),'MITRE ATT&amp;CK Mappings'!$J155))), 'MITRE ATT&amp;CK Mappings'!$B155,"")</f>
        <v/>
      </c>
      <c r="K159" s="27" t="str">
        <f>IF(OR(OR(OR(OR(OR(ISNUMBER(SEARCH(IF(K$1&lt;&gt;"",K$1,"NA"),'MITRE ATT&amp;CK Mappings'!$E155)),ISNUMBER(SEARCH(IF(K$1&lt;&gt;"",K$1,"NA"),'MITRE ATT&amp;CK Mappings'!$F155))),ISNUMBER(SEARCH(IF(K$2&lt;&gt;"",K$2,"NA"),'MITRE ATT&amp;CK Mappings'!$G155))),ISNUMBER(SEARCH(IF(K$2&lt;&gt;"",K$2,"NA"),'MITRE ATT&amp;CK Mappings'!$H155))),ISNUMBER(SEARCH(IF(K$3&lt;&gt;"",K$3,"NA"),'MITRE ATT&amp;CK Mappings'!$I155))),ISNUMBER(SEARCH(IF(K$3&lt;&gt;"",K$3,"NA"),'MITRE ATT&amp;CK Mappings'!$J155))), 'MITRE ATT&amp;CK Mappings'!$B155,"")</f>
        <v/>
      </c>
      <c r="L159" s="27" t="str">
        <f>IF('MITRE ATT&amp;CK Mappings'!D155 &lt;&gt;"",'MITRE ATT&amp;CK Mappings'!D155,"" )</f>
        <v>Ensure default network access rule for storage accounts is set to deny</v>
      </c>
    </row>
    <row r="160" spans="1:12" x14ac:dyDescent="0.25">
      <c r="A160" s="26" t="str">
        <f>IF(COUNTIF(B160:K160,"="&amp;'MITRE ATT&amp;CK Mappings'!B156)&gt;0,'MITRE ATT&amp;CK Mappings'!B156,"")</f>
        <v/>
      </c>
      <c r="B160" s="26" t="str">
        <f>IF(OR(OR(OR(OR(OR(ISNUMBER(SEARCH(IF(B$1&lt;&gt;"",B$1,"NA"),'MITRE ATT&amp;CK Mappings'!$E156)),ISNUMBER(SEARCH(IF(B$1&lt;&gt;"",B$1,"NA"),'MITRE ATT&amp;CK Mappings'!$F156))),ISNUMBER(SEARCH(IF(B$2&lt;&gt;"",B$2,"NA"),'MITRE ATT&amp;CK Mappings'!$G156))),ISNUMBER(SEARCH(IF(B$2&lt;&gt;"",B$2,"NA"),'MITRE ATT&amp;CK Mappings'!$H156))),ISNUMBER(SEARCH(IF(B$3&lt;&gt;"",B$3,"NA"),'MITRE ATT&amp;CK Mappings'!$I156))),ISNUMBER(SEARCH(IF(B$3&lt;&gt;"",B$3,"NA"),'MITRE ATT&amp;CK Mappings'!$J156))), 'MITRE ATT&amp;CK Mappings'!$B156,"")</f>
        <v/>
      </c>
      <c r="C160" s="26" t="str">
        <f>IF(OR(OR(OR(OR(OR(ISNUMBER(SEARCH(IF(C$1&lt;&gt;"",C$1,"NA"),'MITRE ATT&amp;CK Mappings'!$E156)),ISNUMBER(SEARCH(IF(C$1&lt;&gt;"",C$1,"NA"),'MITRE ATT&amp;CK Mappings'!$F156))),ISNUMBER(SEARCH(IF(C$2&lt;&gt;"",C$2,"NA"),'MITRE ATT&amp;CK Mappings'!$G156))),ISNUMBER(SEARCH(IF(C$2&lt;&gt;"",C$2,"NA"),'MITRE ATT&amp;CK Mappings'!$H156))),ISNUMBER(SEARCH(IF(C$3&lt;&gt;"",C$3,"NA"),'MITRE ATT&amp;CK Mappings'!$I156))),ISNUMBER(SEARCH(IF(C$3&lt;&gt;"",C$3,"NA"),'MITRE ATT&amp;CK Mappings'!$J156))), 'MITRE ATT&amp;CK Mappings'!$B156,"")</f>
        <v/>
      </c>
      <c r="D160" s="26" t="str">
        <f>IF(OR(OR(OR(OR(OR(ISNUMBER(SEARCH(IF(D$1&lt;&gt;"",D$1,"NA"),'MITRE ATT&amp;CK Mappings'!$E156)),ISNUMBER(SEARCH(IF(D$1&lt;&gt;"",D$1,"NA"),'MITRE ATT&amp;CK Mappings'!$F156))),ISNUMBER(SEARCH(IF(D$2&lt;&gt;"",D$2,"NA"),'MITRE ATT&amp;CK Mappings'!$G156))),ISNUMBER(SEARCH(IF(D$2&lt;&gt;"",D$2,"NA"),'MITRE ATT&amp;CK Mappings'!$H156))),ISNUMBER(SEARCH(IF(D$3&lt;&gt;"",D$3,"NA"),'MITRE ATT&amp;CK Mappings'!$I156))),ISNUMBER(SEARCH(IF(D$3&lt;&gt;"",D$3,"NA"),'MITRE ATT&amp;CK Mappings'!$J156))), 'MITRE ATT&amp;CK Mappings'!$B156,"")</f>
        <v/>
      </c>
      <c r="E160" s="26" t="str">
        <f>IF(OR(OR(OR(OR(OR(ISNUMBER(SEARCH(IF(E$1&lt;&gt;"",E$1,"NA"),'MITRE ATT&amp;CK Mappings'!$E156)),ISNUMBER(SEARCH(IF(E$1&lt;&gt;"",E$1,"NA"),'MITRE ATT&amp;CK Mappings'!$F156))),ISNUMBER(SEARCH(IF(E$2&lt;&gt;"",E$2,"NA"),'MITRE ATT&amp;CK Mappings'!$G156))),ISNUMBER(SEARCH(IF(E$2&lt;&gt;"",E$2,"NA"),'MITRE ATT&amp;CK Mappings'!$H156))),ISNUMBER(SEARCH(IF(E$3&lt;&gt;"",E$3,"NA"),'MITRE ATT&amp;CK Mappings'!$I156))),ISNUMBER(SEARCH(IF(E$3&lt;&gt;"",E$3,"NA"),'MITRE ATT&amp;CK Mappings'!$J156))), 'MITRE ATT&amp;CK Mappings'!$B156,"")</f>
        <v/>
      </c>
      <c r="F160" s="26" t="str">
        <f>IF(OR(OR(OR(OR(OR(ISNUMBER(SEARCH(IF(F$1&lt;&gt;"",F$1,"NA"),'MITRE ATT&amp;CK Mappings'!$E156)),ISNUMBER(SEARCH(IF(F$1&lt;&gt;"",F$1,"NA"),'MITRE ATT&amp;CK Mappings'!$F156))),ISNUMBER(SEARCH(IF(F$2&lt;&gt;"",F$2,"NA"),'MITRE ATT&amp;CK Mappings'!$G156))),ISNUMBER(SEARCH(IF(F$2&lt;&gt;"",F$2,"NA"),'MITRE ATT&amp;CK Mappings'!$H156))),ISNUMBER(SEARCH(IF(F$3&lt;&gt;"",F$3,"NA"),'MITRE ATT&amp;CK Mappings'!$I156))),ISNUMBER(SEARCH(IF(F$3&lt;&gt;"",F$3,"NA"),'MITRE ATT&amp;CK Mappings'!$J156))), 'MITRE ATT&amp;CK Mappings'!$B156,"")</f>
        <v/>
      </c>
      <c r="G160" s="26" t="str">
        <f>IF(OR(OR(OR(OR(OR(ISNUMBER(SEARCH(IF(G$1&lt;&gt;"",G$1,"NA"),'MITRE ATT&amp;CK Mappings'!$E156)),ISNUMBER(SEARCH(IF(G$1&lt;&gt;"",G$1,"NA"),'MITRE ATT&amp;CK Mappings'!$F156))),ISNUMBER(SEARCH(IF(G$2&lt;&gt;"",G$2,"NA"),'MITRE ATT&amp;CK Mappings'!$G156))),ISNUMBER(SEARCH(IF(G$2&lt;&gt;"",G$2,"NA"),'MITRE ATT&amp;CK Mappings'!$H156))),ISNUMBER(SEARCH(IF(G$3&lt;&gt;"",G$3,"NA"),'MITRE ATT&amp;CK Mappings'!$I156))),ISNUMBER(SEARCH(IF(G$3&lt;&gt;"",G$3,"NA"),'MITRE ATT&amp;CK Mappings'!$J156))), 'MITRE ATT&amp;CK Mappings'!$B156,"")</f>
        <v/>
      </c>
      <c r="H160" s="26" t="str">
        <f>IF(OR(OR(OR(OR(OR(ISNUMBER(SEARCH(IF(H$1&lt;&gt;"",H$1,"NA"),'MITRE ATT&amp;CK Mappings'!$E156)),ISNUMBER(SEARCH(IF(H$1&lt;&gt;"",H$1,"NA"),'MITRE ATT&amp;CK Mappings'!$F156))),ISNUMBER(SEARCH(IF(H$2&lt;&gt;"",H$2,"NA"),'MITRE ATT&amp;CK Mappings'!$G156))),ISNUMBER(SEARCH(IF(H$2&lt;&gt;"",H$2,"NA"),'MITRE ATT&amp;CK Mappings'!$H156))),ISNUMBER(SEARCH(IF(H$3&lt;&gt;"",H$3,"NA"),'MITRE ATT&amp;CK Mappings'!$I156))),ISNUMBER(SEARCH(IF(H$3&lt;&gt;"",H$3,"NA"),'MITRE ATT&amp;CK Mappings'!$J156))), 'MITRE ATT&amp;CK Mappings'!$B156,"")</f>
        <v/>
      </c>
      <c r="I160" s="26" t="str">
        <f>IF(OR(OR(OR(OR(OR(ISNUMBER(SEARCH(IF(I$1&lt;&gt;"",I$1,"NA"),'MITRE ATT&amp;CK Mappings'!$E156)),ISNUMBER(SEARCH(IF(I$1&lt;&gt;"",I$1,"NA"),'MITRE ATT&amp;CK Mappings'!$F156))),ISNUMBER(SEARCH(IF(I$2&lt;&gt;"",I$2,"NA"),'MITRE ATT&amp;CK Mappings'!$G156))),ISNUMBER(SEARCH(IF(I$2&lt;&gt;"",I$2,"NA"),'MITRE ATT&amp;CK Mappings'!$H156))),ISNUMBER(SEARCH(IF(I$3&lt;&gt;"",I$3,"NA"),'MITRE ATT&amp;CK Mappings'!$I156))),ISNUMBER(SEARCH(IF(I$3&lt;&gt;"",I$3,"NA"),'MITRE ATT&amp;CK Mappings'!$J156))), 'MITRE ATT&amp;CK Mappings'!$B156,"")</f>
        <v/>
      </c>
      <c r="J160" s="26" t="str">
        <f>IF(OR(OR(OR(OR(OR(ISNUMBER(SEARCH(IF(J$1&lt;&gt;"",J$1,"NA"),'MITRE ATT&amp;CK Mappings'!$E156)),ISNUMBER(SEARCH(IF(J$1&lt;&gt;"",J$1,"NA"),'MITRE ATT&amp;CK Mappings'!$F156))),ISNUMBER(SEARCH(IF(J$2&lt;&gt;"",J$2,"NA"),'MITRE ATT&amp;CK Mappings'!$G156))),ISNUMBER(SEARCH(IF(J$2&lt;&gt;"",J$2,"NA"),'MITRE ATT&amp;CK Mappings'!$H156))),ISNUMBER(SEARCH(IF(J$3&lt;&gt;"",J$3,"NA"),'MITRE ATT&amp;CK Mappings'!$I156))),ISNUMBER(SEARCH(IF(J$3&lt;&gt;"",J$3,"NA"),'MITRE ATT&amp;CK Mappings'!$J156))), 'MITRE ATT&amp;CK Mappings'!$B156,"")</f>
        <v/>
      </c>
      <c r="K160" s="26" t="str">
        <f>IF(OR(OR(OR(OR(OR(ISNUMBER(SEARCH(IF(K$1&lt;&gt;"",K$1,"NA"),'MITRE ATT&amp;CK Mappings'!$E156)),ISNUMBER(SEARCH(IF(K$1&lt;&gt;"",K$1,"NA"),'MITRE ATT&amp;CK Mappings'!$F156))),ISNUMBER(SEARCH(IF(K$2&lt;&gt;"",K$2,"NA"),'MITRE ATT&amp;CK Mappings'!$G156))),ISNUMBER(SEARCH(IF(K$2&lt;&gt;"",K$2,"NA"),'MITRE ATT&amp;CK Mappings'!$H156))),ISNUMBER(SEARCH(IF(K$3&lt;&gt;"",K$3,"NA"),'MITRE ATT&amp;CK Mappings'!$I156))),ISNUMBER(SEARCH(IF(K$3&lt;&gt;"",K$3,"NA"),'MITRE ATT&amp;CK Mappings'!$J156))), 'MITRE ATT&amp;CK Mappings'!$B156,"")</f>
        <v/>
      </c>
      <c r="L160" s="26" t="str">
        <f>IF('MITRE ATT&amp;CK Mappings'!D156 &lt;&gt;"",'MITRE ATT&amp;CK Mappings'!D156,"" )</f>
        <v>Ensure that 'Default to Microsoft Entra authorization in the Azure portal' is set to 'Enabled'</v>
      </c>
    </row>
    <row r="161" spans="1:12" x14ac:dyDescent="0.25">
      <c r="A161" s="27" t="str">
        <f>IF(COUNTIF(B161:K161,"="&amp;'MITRE ATT&amp;CK Mappings'!B157)&gt;0,'MITRE ATT&amp;CK Mappings'!B157,"")</f>
        <v/>
      </c>
      <c r="B161" s="27" t="str">
        <f>IF(OR(OR(OR(OR(OR(ISNUMBER(SEARCH(IF(B$1&lt;&gt;"",B$1,"NA"),'MITRE ATT&amp;CK Mappings'!$E157)),ISNUMBER(SEARCH(IF(B$1&lt;&gt;"",B$1,"NA"),'MITRE ATT&amp;CK Mappings'!$F157))),ISNUMBER(SEARCH(IF(B$2&lt;&gt;"",B$2,"NA"),'MITRE ATT&amp;CK Mappings'!$G157))),ISNUMBER(SEARCH(IF(B$2&lt;&gt;"",B$2,"NA"),'MITRE ATT&amp;CK Mappings'!$H157))),ISNUMBER(SEARCH(IF(B$3&lt;&gt;"",B$3,"NA"),'MITRE ATT&amp;CK Mappings'!$I157))),ISNUMBER(SEARCH(IF(B$3&lt;&gt;"",B$3,"NA"),'MITRE ATT&amp;CK Mappings'!$J157))), 'MITRE ATT&amp;CK Mappings'!$B157,"")</f>
        <v/>
      </c>
      <c r="C161" s="27" t="str">
        <f>IF(OR(OR(OR(OR(OR(ISNUMBER(SEARCH(IF(C$1&lt;&gt;"",C$1,"NA"),'MITRE ATT&amp;CK Mappings'!$E157)),ISNUMBER(SEARCH(IF(C$1&lt;&gt;"",C$1,"NA"),'MITRE ATT&amp;CK Mappings'!$F157))),ISNUMBER(SEARCH(IF(C$2&lt;&gt;"",C$2,"NA"),'MITRE ATT&amp;CK Mappings'!$G157))),ISNUMBER(SEARCH(IF(C$2&lt;&gt;"",C$2,"NA"),'MITRE ATT&amp;CK Mappings'!$H157))),ISNUMBER(SEARCH(IF(C$3&lt;&gt;"",C$3,"NA"),'MITRE ATT&amp;CK Mappings'!$I157))),ISNUMBER(SEARCH(IF(C$3&lt;&gt;"",C$3,"NA"),'MITRE ATT&amp;CK Mappings'!$J157))), 'MITRE ATT&amp;CK Mappings'!$B157,"")</f>
        <v/>
      </c>
      <c r="D161" s="27" t="str">
        <f>IF(OR(OR(OR(OR(OR(ISNUMBER(SEARCH(IF(D$1&lt;&gt;"",D$1,"NA"),'MITRE ATT&amp;CK Mappings'!$E157)),ISNUMBER(SEARCH(IF(D$1&lt;&gt;"",D$1,"NA"),'MITRE ATT&amp;CK Mappings'!$F157))),ISNUMBER(SEARCH(IF(D$2&lt;&gt;"",D$2,"NA"),'MITRE ATT&amp;CK Mappings'!$G157))),ISNUMBER(SEARCH(IF(D$2&lt;&gt;"",D$2,"NA"),'MITRE ATT&amp;CK Mappings'!$H157))),ISNUMBER(SEARCH(IF(D$3&lt;&gt;"",D$3,"NA"),'MITRE ATT&amp;CK Mappings'!$I157))),ISNUMBER(SEARCH(IF(D$3&lt;&gt;"",D$3,"NA"),'MITRE ATT&amp;CK Mappings'!$J157))), 'MITRE ATT&amp;CK Mappings'!$B157,"")</f>
        <v/>
      </c>
      <c r="E161" s="27" t="str">
        <f>IF(OR(OR(OR(OR(OR(ISNUMBER(SEARCH(IF(E$1&lt;&gt;"",E$1,"NA"),'MITRE ATT&amp;CK Mappings'!$E157)),ISNUMBER(SEARCH(IF(E$1&lt;&gt;"",E$1,"NA"),'MITRE ATT&amp;CK Mappings'!$F157))),ISNUMBER(SEARCH(IF(E$2&lt;&gt;"",E$2,"NA"),'MITRE ATT&amp;CK Mappings'!$G157))),ISNUMBER(SEARCH(IF(E$2&lt;&gt;"",E$2,"NA"),'MITRE ATT&amp;CK Mappings'!$H157))),ISNUMBER(SEARCH(IF(E$3&lt;&gt;"",E$3,"NA"),'MITRE ATT&amp;CK Mappings'!$I157))),ISNUMBER(SEARCH(IF(E$3&lt;&gt;"",E$3,"NA"),'MITRE ATT&amp;CK Mappings'!$J157))), 'MITRE ATT&amp;CK Mappings'!$B157,"")</f>
        <v/>
      </c>
      <c r="F161" s="27" t="str">
        <f>IF(OR(OR(OR(OR(OR(ISNUMBER(SEARCH(IF(F$1&lt;&gt;"",F$1,"NA"),'MITRE ATT&amp;CK Mappings'!$E157)),ISNUMBER(SEARCH(IF(F$1&lt;&gt;"",F$1,"NA"),'MITRE ATT&amp;CK Mappings'!$F157))),ISNUMBER(SEARCH(IF(F$2&lt;&gt;"",F$2,"NA"),'MITRE ATT&amp;CK Mappings'!$G157))),ISNUMBER(SEARCH(IF(F$2&lt;&gt;"",F$2,"NA"),'MITRE ATT&amp;CK Mappings'!$H157))),ISNUMBER(SEARCH(IF(F$3&lt;&gt;"",F$3,"NA"),'MITRE ATT&amp;CK Mappings'!$I157))),ISNUMBER(SEARCH(IF(F$3&lt;&gt;"",F$3,"NA"),'MITRE ATT&amp;CK Mappings'!$J157))), 'MITRE ATT&amp;CK Mappings'!$B157,"")</f>
        <v/>
      </c>
      <c r="G161" s="27" t="str">
        <f>IF(OR(OR(OR(OR(OR(ISNUMBER(SEARCH(IF(G$1&lt;&gt;"",G$1,"NA"),'MITRE ATT&amp;CK Mappings'!$E157)),ISNUMBER(SEARCH(IF(G$1&lt;&gt;"",G$1,"NA"),'MITRE ATT&amp;CK Mappings'!$F157))),ISNUMBER(SEARCH(IF(G$2&lt;&gt;"",G$2,"NA"),'MITRE ATT&amp;CK Mappings'!$G157))),ISNUMBER(SEARCH(IF(G$2&lt;&gt;"",G$2,"NA"),'MITRE ATT&amp;CK Mappings'!$H157))),ISNUMBER(SEARCH(IF(G$3&lt;&gt;"",G$3,"NA"),'MITRE ATT&amp;CK Mappings'!$I157))),ISNUMBER(SEARCH(IF(G$3&lt;&gt;"",G$3,"NA"),'MITRE ATT&amp;CK Mappings'!$J157))), 'MITRE ATT&amp;CK Mappings'!$B157,"")</f>
        <v/>
      </c>
      <c r="H161" s="27" t="str">
        <f>IF(OR(OR(OR(OR(OR(ISNUMBER(SEARCH(IF(H$1&lt;&gt;"",H$1,"NA"),'MITRE ATT&amp;CK Mappings'!$E157)),ISNUMBER(SEARCH(IF(H$1&lt;&gt;"",H$1,"NA"),'MITRE ATT&amp;CK Mappings'!$F157))),ISNUMBER(SEARCH(IF(H$2&lt;&gt;"",H$2,"NA"),'MITRE ATT&amp;CK Mappings'!$G157))),ISNUMBER(SEARCH(IF(H$2&lt;&gt;"",H$2,"NA"),'MITRE ATT&amp;CK Mappings'!$H157))),ISNUMBER(SEARCH(IF(H$3&lt;&gt;"",H$3,"NA"),'MITRE ATT&amp;CK Mappings'!$I157))),ISNUMBER(SEARCH(IF(H$3&lt;&gt;"",H$3,"NA"),'MITRE ATT&amp;CK Mappings'!$J157))), 'MITRE ATT&amp;CK Mappings'!$B157,"")</f>
        <v/>
      </c>
      <c r="I161" s="27" t="str">
        <f>IF(OR(OR(OR(OR(OR(ISNUMBER(SEARCH(IF(I$1&lt;&gt;"",I$1,"NA"),'MITRE ATT&amp;CK Mappings'!$E157)),ISNUMBER(SEARCH(IF(I$1&lt;&gt;"",I$1,"NA"),'MITRE ATT&amp;CK Mappings'!$F157))),ISNUMBER(SEARCH(IF(I$2&lt;&gt;"",I$2,"NA"),'MITRE ATT&amp;CK Mappings'!$G157))),ISNUMBER(SEARCH(IF(I$2&lt;&gt;"",I$2,"NA"),'MITRE ATT&amp;CK Mappings'!$H157))),ISNUMBER(SEARCH(IF(I$3&lt;&gt;"",I$3,"NA"),'MITRE ATT&amp;CK Mappings'!$I157))),ISNUMBER(SEARCH(IF(I$3&lt;&gt;"",I$3,"NA"),'MITRE ATT&amp;CK Mappings'!$J157))), 'MITRE ATT&amp;CK Mappings'!$B157,"")</f>
        <v/>
      </c>
      <c r="J161" s="27" t="str">
        <f>IF(OR(OR(OR(OR(OR(ISNUMBER(SEARCH(IF(J$1&lt;&gt;"",J$1,"NA"),'MITRE ATT&amp;CK Mappings'!$E157)),ISNUMBER(SEARCH(IF(J$1&lt;&gt;"",J$1,"NA"),'MITRE ATT&amp;CK Mappings'!$F157))),ISNUMBER(SEARCH(IF(J$2&lt;&gt;"",J$2,"NA"),'MITRE ATT&amp;CK Mappings'!$G157))),ISNUMBER(SEARCH(IF(J$2&lt;&gt;"",J$2,"NA"),'MITRE ATT&amp;CK Mappings'!$H157))),ISNUMBER(SEARCH(IF(J$3&lt;&gt;"",J$3,"NA"),'MITRE ATT&amp;CK Mappings'!$I157))),ISNUMBER(SEARCH(IF(J$3&lt;&gt;"",J$3,"NA"),'MITRE ATT&amp;CK Mappings'!$J157))), 'MITRE ATT&amp;CK Mappings'!$B157,"")</f>
        <v/>
      </c>
      <c r="K161" s="27" t="str">
        <f>IF(OR(OR(OR(OR(OR(ISNUMBER(SEARCH(IF(K$1&lt;&gt;"",K$1,"NA"),'MITRE ATT&amp;CK Mappings'!$E157)),ISNUMBER(SEARCH(IF(K$1&lt;&gt;"",K$1,"NA"),'MITRE ATT&amp;CK Mappings'!$F157))),ISNUMBER(SEARCH(IF(K$2&lt;&gt;"",K$2,"NA"),'MITRE ATT&amp;CK Mappings'!$G157))),ISNUMBER(SEARCH(IF(K$2&lt;&gt;"",K$2,"NA"),'MITRE ATT&amp;CK Mappings'!$H157))),ISNUMBER(SEARCH(IF(K$3&lt;&gt;"",K$3,"NA"),'MITRE ATT&amp;CK Mappings'!$I157))),ISNUMBER(SEARCH(IF(K$3&lt;&gt;"",K$3,"NA"),'MITRE ATT&amp;CK Mappings'!$J157))), 'MITRE ATT&amp;CK Mappings'!$B157,"")</f>
        <v/>
      </c>
      <c r="L161" s="27" t="str">
        <f>IF('MITRE ATT&amp;CK Mappings'!D157 &lt;&gt;"",'MITRE ATT&amp;CK Mappings'!D157,"" )</f>
        <v/>
      </c>
    </row>
    <row r="162" spans="1:12" x14ac:dyDescent="0.25">
      <c r="A162" s="26" t="str">
        <f>IF(COUNTIF(B162:K162,"="&amp;'MITRE ATT&amp;CK Mappings'!B158)&gt;0,'MITRE ATT&amp;CK Mappings'!B158,"")</f>
        <v/>
      </c>
      <c r="B162" s="26" t="str">
        <f>IF(OR(OR(OR(OR(OR(ISNUMBER(SEARCH(IF(B$1&lt;&gt;"",B$1,"NA"),'MITRE ATT&amp;CK Mappings'!$E158)),ISNUMBER(SEARCH(IF(B$1&lt;&gt;"",B$1,"NA"),'MITRE ATT&amp;CK Mappings'!$F158))),ISNUMBER(SEARCH(IF(B$2&lt;&gt;"",B$2,"NA"),'MITRE ATT&amp;CK Mappings'!$G158))),ISNUMBER(SEARCH(IF(B$2&lt;&gt;"",B$2,"NA"),'MITRE ATT&amp;CK Mappings'!$H158))),ISNUMBER(SEARCH(IF(B$3&lt;&gt;"",B$3,"NA"),'MITRE ATT&amp;CK Mappings'!$I158))),ISNUMBER(SEARCH(IF(B$3&lt;&gt;"",B$3,"NA"),'MITRE ATT&amp;CK Mappings'!$J158))), 'MITRE ATT&amp;CK Mappings'!$B158,"")</f>
        <v/>
      </c>
      <c r="C162" s="26" t="str">
        <f>IF(OR(OR(OR(OR(OR(ISNUMBER(SEARCH(IF(C$1&lt;&gt;"",C$1,"NA"),'MITRE ATT&amp;CK Mappings'!$E158)),ISNUMBER(SEARCH(IF(C$1&lt;&gt;"",C$1,"NA"),'MITRE ATT&amp;CK Mappings'!$F158))),ISNUMBER(SEARCH(IF(C$2&lt;&gt;"",C$2,"NA"),'MITRE ATT&amp;CK Mappings'!$G158))),ISNUMBER(SEARCH(IF(C$2&lt;&gt;"",C$2,"NA"),'MITRE ATT&amp;CK Mappings'!$H158))),ISNUMBER(SEARCH(IF(C$3&lt;&gt;"",C$3,"NA"),'MITRE ATT&amp;CK Mappings'!$I158))),ISNUMBER(SEARCH(IF(C$3&lt;&gt;"",C$3,"NA"),'MITRE ATT&amp;CK Mappings'!$J158))), 'MITRE ATT&amp;CK Mappings'!$B158,"")</f>
        <v/>
      </c>
      <c r="D162" s="26" t="str">
        <f>IF(OR(OR(OR(OR(OR(ISNUMBER(SEARCH(IF(D$1&lt;&gt;"",D$1,"NA"),'MITRE ATT&amp;CK Mappings'!$E158)),ISNUMBER(SEARCH(IF(D$1&lt;&gt;"",D$1,"NA"),'MITRE ATT&amp;CK Mappings'!$F158))),ISNUMBER(SEARCH(IF(D$2&lt;&gt;"",D$2,"NA"),'MITRE ATT&amp;CK Mappings'!$G158))),ISNUMBER(SEARCH(IF(D$2&lt;&gt;"",D$2,"NA"),'MITRE ATT&amp;CK Mappings'!$H158))),ISNUMBER(SEARCH(IF(D$3&lt;&gt;"",D$3,"NA"),'MITRE ATT&amp;CK Mappings'!$I158))),ISNUMBER(SEARCH(IF(D$3&lt;&gt;"",D$3,"NA"),'MITRE ATT&amp;CK Mappings'!$J158))), 'MITRE ATT&amp;CK Mappings'!$B158,"")</f>
        <v/>
      </c>
      <c r="E162" s="26" t="str">
        <f>IF(OR(OR(OR(OR(OR(ISNUMBER(SEARCH(IF(E$1&lt;&gt;"",E$1,"NA"),'MITRE ATT&amp;CK Mappings'!$E158)),ISNUMBER(SEARCH(IF(E$1&lt;&gt;"",E$1,"NA"),'MITRE ATT&amp;CK Mappings'!$F158))),ISNUMBER(SEARCH(IF(E$2&lt;&gt;"",E$2,"NA"),'MITRE ATT&amp;CK Mappings'!$G158))),ISNUMBER(SEARCH(IF(E$2&lt;&gt;"",E$2,"NA"),'MITRE ATT&amp;CK Mappings'!$H158))),ISNUMBER(SEARCH(IF(E$3&lt;&gt;"",E$3,"NA"),'MITRE ATT&amp;CK Mappings'!$I158))),ISNUMBER(SEARCH(IF(E$3&lt;&gt;"",E$3,"NA"),'MITRE ATT&amp;CK Mappings'!$J158))), 'MITRE ATT&amp;CK Mappings'!$B158,"")</f>
        <v/>
      </c>
      <c r="F162" s="26" t="str">
        <f>IF(OR(OR(OR(OR(OR(ISNUMBER(SEARCH(IF(F$1&lt;&gt;"",F$1,"NA"),'MITRE ATT&amp;CK Mappings'!$E158)),ISNUMBER(SEARCH(IF(F$1&lt;&gt;"",F$1,"NA"),'MITRE ATT&amp;CK Mappings'!$F158))),ISNUMBER(SEARCH(IF(F$2&lt;&gt;"",F$2,"NA"),'MITRE ATT&amp;CK Mappings'!$G158))),ISNUMBER(SEARCH(IF(F$2&lt;&gt;"",F$2,"NA"),'MITRE ATT&amp;CK Mappings'!$H158))),ISNUMBER(SEARCH(IF(F$3&lt;&gt;"",F$3,"NA"),'MITRE ATT&amp;CK Mappings'!$I158))),ISNUMBER(SEARCH(IF(F$3&lt;&gt;"",F$3,"NA"),'MITRE ATT&amp;CK Mappings'!$J158))), 'MITRE ATT&amp;CK Mappings'!$B158,"")</f>
        <v/>
      </c>
      <c r="G162" s="26" t="str">
        <f>IF(OR(OR(OR(OR(OR(ISNUMBER(SEARCH(IF(G$1&lt;&gt;"",G$1,"NA"),'MITRE ATT&amp;CK Mappings'!$E158)),ISNUMBER(SEARCH(IF(G$1&lt;&gt;"",G$1,"NA"),'MITRE ATT&amp;CK Mappings'!$F158))),ISNUMBER(SEARCH(IF(G$2&lt;&gt;"",G$2,"NA"),'MITRE ATT&amp;CK Mappings'!$G158))),ISNUMBER(SEARCH(IF(G$2&lt;&gt;"",G$2,"NA"),'MITRE ATT&amp;CK Mappings'!$H158))),ISNUMBER(SEARCH(IF(G$3&lt;&gt;"",G$3,"NA"),'MITRE ATT&amp;CK Mappings'!$I158))),ISNUMBER(SEARCH(IF(G$3&lt;&gt;"",G$3,"NA"),'MITRE ATT&amp;CK Mappings'!$J158))), 'MITRE ATT&amp;CK Mappings'!$B158,"")</f>
        <v/>
      </c>
      <c r="H162" s="26" t="str">
        <f>IF(OR(OR(OR(OR(OR(ISNUMBER(SEARCH(IF(H$1&lt;&gt;"",H$1,"NA"),'MITRE ATT&amp;CK Mappings'!$E158)),ISNUMBER(SEARCH(IF(H$1&lt;&gt;"",H$1,"NA"),'MITRE ATT&amp;CK Mappings'!$F158))),ISNUMBER(SEARCH(IF(H$2&lt;&gt;"",H$2,"NA"),'MITRE ATT&amp;CK Mappings'!$G158))),ISNUMBER(SEARCH(IF(H$2&lt;&gt;"",H$2,"NA"),'MITRE ATT&amp;CK Mappings'!$H158))),ISNUMBER(SEARCH(IF(H$3&lt;&gt;"",H$3,"NA"),'MITRE ATT&amp;CK Mappings'!$I158))),ISNUMBER(SEARCH(IF(H$3&lt;&gt;"",H$3,"NA"),'MITRE ATT&amp;CK Mappings'!$J158))), 'MITRE ATT&amp;CK Mappings'!$B158,"")</f>
        <v/>
      </c>
      <c r="I162" s="26" t="str">
        <f>IF(OR(OR(OR(OR(OR(ISNUMBER(SEARCH(IF(I$1&lt;&gt;"",I$1,"NA"),'MITRE ATT&amp;CK Mappings'!$E158)),ISNUMBER(SEARCH(IF(I$1&lt;&gt;"",I$1,"NA"),'MITRE ATT&amp;CK Mappings'!$F158))),ISNUMBER(SEARCH(IF(I$2&lt;&gt;"",I$2,"NA"),'MITRE ATT&amp;CK Mappings'!$G158))),ISNUMBER(SEARCH(IF(I$2&lt;&gt;"",I$2,"NA"),'MITRE ATT&amp;CK Mappings'!$H158))),ISNUMBER(SEARCH(IF(I$3&lt;&gt;"",I$3,"NA"),'MITRE ATT&amp;CK Mappings'!$I158))),ISNUMBER(SEARCH(IF(I$3&lt;&gt;"",I$3,"NA"),'MITRE ATT&amp;CK Mappings'!$J158))), 'MITRE ATT&amp;CK Mappings'!$B158,"")</f>
        <v/>
      </c>
      <c r="J162" s="26" t="str">
        <f>IF(OR(OR(OR(OR(OR(ISNUMBER(SEARCH(IF(J$1&lt;&gt;"",J$1,"NA"),'MITRE ATT&amp;CK Mappings'!$E158)),ISNUMBER(SEARCH(IF(J$1&lt;&gt;"",J$1,"NA"),'MITRE ATT&amp;CK Mappings'!$F158))),ISNUMBER(SEARCH(IF(J$2&lt;&gt;"",J$2,"NA"),'MITRE ATT&amp;CK Mappings'!$G158))),ISNUMBER(SEARCH(IF(J$2&lt;&gt;"",J$2,"NA"),'MITRE ATT&amp;CK Mappings'!$H158))),ISNUMBER(SEARCH(IF(J$3&lt;&gt;"",J$3,"NA"),'MITRE ATT&amp;CK Mappings'!$I158))),ISNUMBER(SEARCH(IF(J$3&lt;&gt;"",J$3,"NA"),'MITRE ATT&amp;CK Mappings'!$J158))), 'MITRE ATT&amp;CK Mappings'!$B158,"")</f>
        <v/>
      </c>
      <c r="K162" s="26" t="str">
        <f>IF(OR(OR(OR(OR(OR(ISNUMBER(SEARCH(IF(K$1&lt;&gt;"",K$1,"NA"),'MITRE ATT&amp;CK Mappings'!$E158)),ISNUMBER(SEARCH(IF(K$1&lt;&gt;"",K$1,"NA"),'MITRE ATT&amp;CK Mappings'!$F158))),ISNUMBER(SEARCH(IF(K$2&lt;&gt;"",K$2,"NA"),'MITRE ATT&amp;CK Mappings'!$G158))),ISNUMBER(SEARCH(IF(K$2&lt;&gt;"",K$2,"NA"),'MITRE ATT&amp;CK Mappings'!$H158))),ISNUMBER(SEARCH(IF(K$3&lt;&gt;"",K$3,"NA"),'MITRE ATT&amp;CK Mappings'!$I158))),ISNUMBER(SEARCH(IF(K$3&lt;&gt;"",K$3,"NA"),'MITRE ATT&amp;CK Mappings'!$J158))), 'MITRE ATT&amp;CK Mappings'!$B158,"")</f>
        <v/>
      </c>
      <c r="L162" s="26" t="str">
        <f>IF('MITRE ATT&amp;CK Mappings'!D158 &lt;&gt;"",'MITRE ATT&amp;CK Mappings'!D158,"" )</f>
        <v/>
      </c>
    </row>
    <row r="163" spans="1:12" x14ac:dyDescent="0.25">
      <c r="A163" s="27" t="str">
        <f>IF(COUNTIF(B163:K163,"="&amp;'MITRE ATT&amp;CK Mappings'!B159)&gt;0,'MITRE ATT&amp;CK Mappings'!B159,"")</f>
        <v/>
      </c>
      <c r="B163" s="27" t="str">
        <f>IF(OR(OR(OR(OR(OR(ISNUMBER(SEARCH(IF(B$1&lt;&gt;"",B$1,"NA"),'MITRE ATT&amp;CK Mappings'!$E159)),ISNUMBER(SEARCH(IF(B$1&lt;&gt;"",B$1,"NA"),'MITRE ATT&amp;CK Mappings'!$F159))),ISNUMBER(SEARCH(IF(B$2&lt;&gt;"",B$2,"NA"),'MITRE ATT&amp;CK Mappings'!$G159))),ISNUMBER(SEARCH(IF(B$2&lt;&gt;"",B$2,"NA"),'MITRE ATT&amp;CK Mappings'!$H159))),ISNUMBER(SEARCH(IF(B$3&lt;&gt;"",B$3,"NA"),'MITRE ATT&amp;CK Mappings'!$I159))),ISNUMBER(SEARCH(IF(B$3&lt;&gt;"",B$3,"NA"),'MITRE ATT&amp;CK Mappings'!$J159))), 'MITRE ATT&amp;CK Mappings'!$B159,"")</f>
        <v/>
      </c>
      <c r="C163" s="27" t="str">
        <f>IF(OR(OR(OR(OR(OR(ISNUMBER(SEARCH(IF(C$1&lt;&gt;"",C$1,"NA"),'MITRE ATT&amp;CK Mappings'!$E159)),ISNUMBER(SEARCH(IF(C$1&lt;&gt;"",C$1,"NA"),'MITRE ATT&amp;CK Mappings'!$F159))),ISNUMBER(SEARCH(IF(C$2&lt;&gt;"",C$2,"NA"),'MITRE ATT&amp;CK Mappings'!$G159))),ISNUMBER(SEARCH(IF(C$2&lt;&gt;"",C$2,"NA"),'MITRE ATT&amp;CK Mappings'!$H159))),ISNUMBER(SEARCH(IF(C$3&lt;&gt;"",C$3,"NA"),'MITRE ATT&amp;CK Mappings'!$I159))),ISNUMBER(SEARCH(IF(C$3&lt;&gt;"",C$3,"NA"),'MITRE ATT&amp;CK Mappings'!$J159))), 'MITRE ATT&amp;CK Mappings'!$B159,"")</f>
        <v/>
      </c>
      <c r="D163" s="27" t="str">
        <f>IF(OR(OR(OR(OR(OR(ISNUMBER(SEARCH(IF(D$1&lt;&gt;"",D$1,"NA"),'MITRE ATT&amp;CK Mappings'!$E159)),ISNUMBER(SEARCH(IF(D$1&lt;&gt;"",D$1,"NA"),'MITRE ATT&amp;CK Mappings'!$F159))),ISNUMBER(SEARCH(IF(D$2&lt;&gt;"",D$2,"NA"),'MITRE ATT&amp;CK Mappings'!$G159))),ISNUMBER(SEARCH(IF(D$2&lt;&gt;"",D$2,"NA"),'MITRE ATT&amp;CK Mappings'!$H159))),ISNUMBER(SEARCH(IF(D$3&lt;&gt;"",D$3,"NA"),'MITRE ATT&amp;CK Mappings'!$I159))),ISNUMBER(SEARCH(IF(D$3&lt;&gt;"",D$3,"NA"),'MITRE ATT&amp;CK Mappings'!$J159))), 'MITRE ATT&amp;CK Mappings'!$B159,"")</f>
        <v/>
      </c>
      <c r="E163" s="27" t="str">
        <f>IF(OR(OR(OR(OR(OR(ISNUMBER(SEARCH(IF(E$1&lt;&gt;"",E$1,"NA"),'MITRE ATT&amp;CK Mappings'!$E159)),ISNUMBER(SEARCH(IF(E$1&lt;&gt;"",E$1,"NA"),'MITRE ATT&amp;CK Mappings'!$F159))),ISNUMBER(SEARCH(IF(E$2&lt;&gt;"",E$2,"NA"),'MITRE ATT&amp;CK Mappings'!$G159))),ISNUMBER(SEARCH(IF(E$2&lt;&gt;"",E$2,"NA"),'MITRE ATT&amp;CK Mappings'!$H159))),ISNUMBER(SEARCH(IF(E$3&lt;&gt;"",E$3,"NA"),'MITRE ATT&amp;CK Mappings'!$I159))),ISNUMBER(SEARCH(IF(E$3&lt;&gt;"",E$3,"NA"),'MITRE ATT&amp;CK Mappings'!$J159))), 'MITRE ATT&amp;CK Mappings'!$B159,"")</f>
        <v/>
      </c>
      <c r="F163" s="27" t="str">
        <f>IF(OR(OR(OR(OR(OR(ISNUMBER(SEARCH(IF(F$1&lt;&gt;"",F$1,"NA"),'MITRE ATT&amp;CK Mappings'!$E159)),ISNUMBER(SEARCH(IF(F$1&lt;&gt;"",F$1,"NA"),'MITRE ATT&amp;CK Mappings'!$F159))),ISNUMBER(SEARCH(IF(F$2&lt;&gt;"",F$2,"NA"),'MITRE ATT&amp;CK Mappings'!$G159))),ISNUMBER(SEARCH(IF(F$2&lt;&gt;"",F$2,"NA"),'MITRE ATT&amp;CK Mappings'!$H159))),ISNUMBER(SEARCH(IF(F$3&lt;&gt;"",F$3,"NA"),'MITRE ATT&amp;CK Mappings'!$I159))),ISNUMBER(SEARCH(IF(F$3&lt;&gt;"",F$3,"NA"),'MITRE ATT&amp;CK Mappings'!$J159))), 'MITRE ATT&amp;CK Mappings'!$B159,"")</f>
        <v/>
      </c>
      <c r="G163" s="27" t="str">
        <f>IF(OR(OR(OR(OR(OR(ISNUMBER(SEARCH(IF(G$1&lt;&gt;"",G$1,"NA"),'MITRE ATT&amp;CK Mappings'!$E159)),ISNUMBER(SEARCH(IF(G$1&lt;&gt;"",G$1,"NA"),'MITRE ATT&amp;CK Mappings'!$F159))),ISNUMBER(SEARCH(IF(G$2&lt;&gt;"",G$2,"NA"),'MITRE ATT&amp;CK Mappings'!$G159))),ISNUMBER(SEARCH(IF(G$2&lt;&gt;"",G$2,"NA"),'MITRE ATT&amp;CK Mappings'!$H159))),ISNUMBER(SEARCH(IF(G$3&lt;&gt;"",G$3,"NA"),'MITRE ATT&amp;CK Mappings'!$I159))),ISNUMBER(SEARCH(IF(G$3&lt;&gt;"",G$3,"NA"),'MITRE ATT&amp;CK Mappings'!$J159))), 'MITRE ATT&amp;CK Mappings'!$B159,"")</f>
        <v/>
      </c>
      <c r="H163" s="27" t="str">
        <f>IF(OR(OR(OR(OR(OR(ISNUMBER(SEARCH(IF(H$1&lt;&gt;"",H$1,"NA"),'MITRE ATT&amp;CK Mappings'!$E159)),ISNUMBER(SEARCH(IF(H$1&lt;&gt;"",H$1,"NA"),'MITRE ATT&amp;CK Mappings'!$F159))),ISNUMBER(SEARCH(IF(H$2&lt;&gt;"",H$2,"NA"),'MITRE ATT&amp;CK Mappings'!$G159))),ISNUMBER(SEARCH(IF(H$2&lt;&gt;"",H$2,"NA"),'MITRE ATT&amp;CK Mappings'!$H159))),ISNUMBER(SEARCH(IF(H$3&lt;&gt;"",H$3,"NA"),'MITRE ATT&amp;CK Mappings'!$I159))),ISNUMBER(SEARCH(IF(H$3&lt;&gt;"",H$3,"NA"),'MITRE ATT&amp;CK Mappings'!$J159))), 'MITRE ATT&amp;CK Mappings'!$B159,"")</f>
        <v/>
      </c>
      <c r="I163" s="27" t="str">
        <f>IF(OR(OR(OR(OR(OR(ISNUMBER(SEARCH(IF(I$1&lt;&gt;"",I$1,"NA"),'MITRE ATT&amp;CK Mappings'!$E159)),ISNUMBER(SEARCH(IF(I$1&lt;&gt;"",I$1,"NA"),'MITRE ATT&amp;CK Mappings'!$F159))),ISNUMBER(SEARCH(IF(I$2&lt;&gt;"",I$2,"NA"),'MITRE ATT&amp;CK Mappings'!$G159))),ISNUMBER(SEARCH(IF(I$2&lt;&gt;"",I$2,"NA"),'MITRE ATT&amp;CK Mappings'!$H159))),ISNUMBER(SEARCH(IF(I$3&lt;&gt;"",I$3,"NA"),'MITRE ATT&amp;CK Mappings'!$I159))),ISNUMBER(SEARCH(IF(I$3&lt;&gt;"",I$3,"NA"),'MITRE ATT&amp;CK Mappings'!$J159))), 'MITRE ATT&amp;CK Mappings'!$B159,"")</f>
        <v/>
      </c>
      <c r="J163" s="27" t="str">
        <f>IF(OR(OR(OR(OR(OR(ISNUMBER(SEARCH(IF(J$1&lt;&gt;"",J$1,"NA"),'MITRE ATT&amp;CK Mappings'!$E159)),ISNUMBER(SEARCH(IF(J$1&lt;&gt;"",J$1,"NA"),'MITRE ATT&amp;CK Mappings'!$F159))),ISNUMBER(SEARCH(IF(J$2&lt;&gt;"",J$2,"NA"),'MITRE ATT&amp;CK Mappings'!$G159))),ISNUMBER(SEARCH(IF(J$2&lt;&gt;"",J$2,"NA"),'MITRE ATT&amp;CK Mappings'!$H159))),ISNUMBER(SEARCH(IF(J$3&lt;&gt;"",J$3,"NA"),'MITRE ATT&amp;CK Mappings'!$I159))),ISNUMBER(SEARCH(IF(J$3&lt;&gt;"",J$3,"NA"),'MITRE ATT&amp;CK Mappings'!$J159))), 'MITRE ATT&amp;CK Mappings'!$B159,"")</f>
        <v/>
      </c>
      <c r="K163" s="27" t="str">
        <f>IF(OR(OR(OR(OR(OR(ISNUMBER(SEARCH(IF(K$1&lt;&gt;"",K$1,"NA"),'MITRE ATT&amp;CK Mappings'!$E159)),ISNUMBER(SEARCH(IF(K$1&lt;&gt;"",K$1,"NA"),'MITRE ATT&amp;CK Mappings'!$F159))),ISNUMBER(SEARCH(IF(K$2&lt;&gt;"",K$2,"NA"),'MITRE ATT&amp;CK Mappings'!$G159))),ISNUMBER(SEARCH(IF(K$2&lt;&gt;"",K$2,"NA"),'MITRE ATT&amp;CK Mappings'!$H159))),ISNUMBER(SEARCH(IF(K$3&lt;&gt;"",K$3,"NA"),'MITRE ATT&amp;CK Mappings'!$I159))),ISNUMBER(SEARCH(IF(K$3&lt;&gt;"",K$3,"NA"),'MITRE ATT&amp;CK Mappings'!$J159))), 'MITRE ATT&amp;CK Mappings'!$B159,"")</f>
        <v/>
      </c>
      <c r="L163" s="27" t="str">
        <f>IF('MITRE ATT&amp;CK Mappings'!D159 &lt;&gt;"",'MITRE ATT&amp;CK Mappings'!D159,"" )</f>
        <v/>
      </c>
    </row>
    <row r="164" spans="1:12" x14ac:dyDescent="0.25">
      <c r="A164" s="26" t="str">
        <f>IF(COUNTIF(B164:K164,"="&amp;'MITRE ATT&amp;CK Mappings'!B160)&gt;0,'MITRE ATT&amp;CK Mappings'!B160,"")</f>
        <v/>
      </c>
      <c r="B164" s="26" t="str">
        <f>IF(OR(OR(OR(OR(OR(ISNUMBER(SEARCH(IF(B$1&lt;&gt;"",B$1,"NA"),'MITRE ATT&amp;CK Mappings'!$E160)),ISNUMBER(SEARCH(IF(B$1&lt;&gt;"",B$1,"NA"),'MITRE ATT&amp;CK Mappings'!$F160))),ISNUMBER(SEARCH(IF(B$2&lt;&gt;"",B$2,"NA"),'MITRE ATT&amp;CK Mappings'!$G160))),ISNUMBER(SEARCH(IF(B$2&lt;&gt;"",B$2,"NA"),'MITRE ATT&amp;CK Mappings'!$H160))),ISNUMBER(SEARCH(IF(B$3&lt;&gt;"",B$3,"NA"),'MITRE ATT&amp;CK Mappings'!$I160))),ISNUMBER(SEARCH(IF(B$3&lt;&gt;"",B$3,"NA"),'MITRE ATT&amp;CK Mappings'!$J160))), 'MITRE ATT&amp;CK Mappings'!$B160,"")</f>
        <v/>
      </c>
      <c r="C164" s="26" t="str">
        <f>IF(OR(OR(OR(OR(OR(ISNUMBER(SEARCH(IF(C$1&lt;&gt;"",C$1,"NA"),'MITRE ATT&amp;CK Mappings'!$E160)),ISNUMBER(SEARCH(IF(C$1&lt;&gt;"",C$1,"NA"),'MITRE ATT&amp;CK Mappings'!$F160))),ISNUMBER(SEARCH(IF(C$2&lt;&gt;"",C$2,"NA"),'MITRE ATT&amp;CK Mappings'!$G160))),ISNUMBER(SEARCH(IF(C$2&lt;&gt;"",C$2,"NA"),'MITRE ATT&amp;CK Mappings'!$H160))),ISNUMBER(SEARCH(IF(C$3&lt;&gt;"",C$3,"NA"),'MITRE ATT&amp;CK Mappings'!$I160))),ISNUMBER(SEARCH(IF(C$3&lt;&gt;"",C$3,"NA"),'MITRE ATT&amp;CK Mappings'!$J160))), 'MITRE ATT&amp;CK Mappings'!$B160,"")</f>
        <v/>
      </c>
      <c r="D164" s="26" t="str">
        <f>IF(OR(OR(OR(OR(OR(ISNUMBER(SEARCH(IF(D$1&lt;&gt;"",D$1,"NA"),'MITRE ATT&amp;CK Mappings'!$E160)),ISNUMBER(SEARCH(IF(D$1&lt;&gt;"",D$1,"NA"),'MITRE ATT&amp;CK Mappings'!$F160))),ISNUMBER(SEARCH(IF(D$2&lt;&gt;"",D$2,"NA"),'MITRE ATT&amp;CK Mappings'!$G160))),ISNUMBER(SEARCH(IF(D$2&lt;&gt;"",D$2,"NA"),'MITRE ATT&amp;CK Mappings'!$H160))),ISNUMBER(SEARCH(IF(D$3&lt;&gt;"",D$3,"NA"),'MITRE ATT&amp;CK Mappings'!$I160))),ISNUMBER(SEARCH(IF(D$3&lt;&gt;"",D$3,"NA"),'MITRE ATT&amp;CK Mappings'!$J160))), 'MITRE ATT&amp;CK Mappings'!$B160,"")</f>
        <v/>
      </c>
      <c r="E164" s="26" t="str">
        <f>IF(OR(OR(OR(OR(OR(ISNUMBER(SEARCH(IF(E$1&lt;&gt;"",E$1,"NA"),'MITRE ATT&amp;CK Mappings'!$E160)),ISNUMBER(SEARCH(IF(E$1&lt;&gt;"",E$1,"NA"),'MITRE ATT&amp;CK Mappings'!$F160))),ISNUMBER(SEARCH(IF(E$2&lt;&gt;"",E$2,"NA"),'MITRE ATT&amp;CK Mappings'!$G160))),ISNUMBER(SEARCH(IF(E$2&lt;&gt;"",E$2,"NA"),'MITRE ATT&amp;CK Mappings'!$H160))),ISNUMBER(SEARCH(IF(E$3&lt;&gt;"",E$3,"NA"),'MITRE ATT&amp;CK Mappings'!$I160))),ISNUMBER(SEARCH(IF(E$3&lt;&gt;"",E$3,"NA"),'MITRE ATT&amp;CK Mappings'!$J160))), 'MITRE ATT&amp;CK Mappings'!$B160,"")</f>
        <v/>
      </c>
      <c r="F164" s="26" t="str">
        <f>IF(OR(OR(OR(OR(OR(ISNUMBER(SEARCH(IF(F$1&lt;&gt;"",F$1,"NA"),'MITRE ATT&amp;CK Mappings'!$E160)),ISNUMBER(SEARCH(IF(F$1&lt;&gt;"",F$1,"NA"),'MITRE ATT&amp;CK Mappings'!$F160))),ISNUMBER(SEARCH(IF(F$2&lt;&gt;"",F$2,"NA"),'MITRE ATT&amp;CK Mappings'!$G160))),ISNUMBER(SEARCH(IF(F$2&lt;&gt;"",F$2,"NA"),'MITRE ATT&amp;CK Mappings'!$H160))),ISNUMBER(SEARCH(IF(F$3&lt;&gt;"",F$3,"NA"),'MITRE ATT&amp;CK Mappings'!$I160))),ISNUMBER(SEARCH(IF(F$3&lt;&gt;"",F$3,"NA"),'MITRE ATT&amp;CK Mappings'!$J160))), 'MITRE ATT&amp;CK Mappings'!$B160,"")</f>
        <v/>
      </c>
      <c r="G164" s="26" t="str">
        <f>IF(OR(OR(OR(OR(OR(ISNUMBER(SEARCH(IF(G$1&lt;&gt;"",G$1,"NA"),'MITRE ATT&amp;CK Mappings'!$E160)),ISNUMBER(SEARCH(IF(G$1&lt;&gt;"",G$1,"NA"),'MITRE ATT&amp;CK Mappings'!$F160))),ISNUMBER(SEARCH(IF(G$2&lt;&gt;"",G$2,"NA"),'MITRE ATT&amp;CK Mappings'!$G160))),ISNUMBER(SEARCH(IF(G$2&lt;&gt;"",G$2,"NA"),'MITRE ATT&amp;CK Mappings'!$H160))),ISNUMBER(SEARCH(IF(G$3&lt;&gt;"",G$3,"NA"),'MITRE ATT&amp;CK Mappings'!$I160))),ISNUMBER(SEARCH(IF(G$3&lt;&gt;"",G$3,"NA"),'MITRE ATT&amp;CK Mappings'!$J160))), 'MITRE ATT&amp;CK Mappings'!$B160,"")</f>
        <v/>
      </c>
      <c r="H164" s="26" t="str">
        <f>IF(OR(OR(OR(OR(OR(ISNUMBER(SEARCH(IF(H$1&lt;&gt;"",H$1,"NA"),'MITRE ATT&amp;CK Mappings'!$E160)),ISNUMBER(SEARCH(IF(H$1&lt;&gt;"",H$1,"NA"),'MITRE ATT&amp;CK Mappings'!$F160))),ISNUMBER(SEARCH(IF(H$2&lt;&gt;"",H$2,"NA"),'MITRE ATT&amp;CK Mappings'!$G160))),ISNUMBER(SEARCH(IF(H$2&lt;&gt;"",H$2,"NA"),'MITRE ATT&amp;CK Mappings'!$H160))),ISNUMBER(SEARCH(IF(H$3&lt;&gt;"",H$3,"NA"),'MITRE ATT&amp;CK Mappings'!$I160))),ISNUMBER(SEARCH(IF(H$3&lt;&gt;"",H$3,"NA"),'MITRE ATT&amp;CK Mappings'!$J160))), 'MITRE ATT&amp;CK Mappings'!$B160,"")</f>
        <v/>
      </c>
      <c r="I164" s="26" t="str">
        <f>IF(OR(OR(OR(OR(OR(ISNUMBER(SEARCH(IF(I$1&lt;&gt;"",I$1,"NA"),'MITRE ATT&amp;CK Mappings'!$E160)),ISNUMBER(SEARCH(IF(I$1&lt;&gt;"",I$1,"NA"),'MITRE ATT&amp;CK Mappings'!$F160))),ISNUMBER(SEARCH(IF(I$2&lt;&gt;"",I$2,"NA"),'MITRE ATT&amp;CK Mappings'!$G160))),ISNUMBER(SEARCH(IF(I$2&lt;&gt;"",I$2,"NA"),'MITRE ATT&amp;CK Mappings'!$H160))),ISNUMBER(SEARCH(IF(I$3&lt;&gt;"",I$3,"NA"),'MITRE ATT&amp;CK Mappings'!$I160))),ISNUMBER(SEARCH(IF(I$3&lt;&gt;"",I$3,"NA"),'MITRE ATT&amp;CK Mappings'!$J160))), 'MITRE ATT&amp;CK Mappings'!$B160,"")</f>
        <v/>
      </c>
      <c r="J164" s="26" t="str">
        <f>IF(OR(OR(OR(OR(OR(ISNUMBER(SEARCH(IF(J$1&lt;&gt;"",J$1,"NA"),'MITRE ATT&amp;CK Mappings'!$E160)),ISNUMBER(SEARCH(IF(J$1&lt;&gt;"",J$1,"NA"),'MITRE ATT&amp;CK Mappings'!$F160))),ISNUMBER(SEARCH(IF(J$2&lt;&gt;"",J$2,"NA"),'MITRE ATT&amp;CK Mappings'!$G160))),ISNUMBER(SEARCH(IF(J$2&lt;&gt;"",J$2,"NA"),'MITRE ATT&amp;CK Mappings'!$H160))),ISNUMBER(SEARCH(IF(J$3&lt;&gt;"",J$3,"NA"),'MITRE ATT&amp;CK Mappings'!$I160))),ISNUMBER(SEARCH(IF(J$3&lt;&gt;"",J$3,"NA"),'MITRE ATT&amp;CK Mappings'!$J160))), 'MITRE ATT&amp;CK Mappings'!$B160,"")</f>
        <v/>
      </c>
      <c r="K164" s="26" t="str">
        <f>IF(OR(OR(OR(OR(OR(ISNUMBER(SEARCH(IF(K$1&lt;&gt;"",K$1,"NA"),'MITRE ATT&amp;CK Mappings'!$E160)),ISNUMBER(SEARCH(IF(K$1&lt;&gt;"",K$1,"NA"),'MITRE ATT&amp;CK Mappings'!$F160))),ISNUMBER(SEARCH(IF(K$2&lt;&gt;"",K$2,"NA"),'MITRE ATT&amp;CK Mappings'!$G160))),ISNUMBER(SEARCH(IF(K$2&lt;&gt;"",K$2,"NA"),'MITRE ATT&amp;CK Mappings'!$H160))),ISNUMBER(SEARCH(IF(K$3&lt;&gt;"",K$3,"NA"),'MITRE ATT&amp;CK Mappings'!$I160))),ISNUMBER(SEARCH(IF(K$3&lt;&gt;"",K$3,"NA"),'MITRE ATT&amp;CK Mappings'!$J160))), 'MITRE ATT&amp;CK Mappings'!$B160,"")</f>
        <v/>
      </c>
      <c r="L164" s="26" t="str">
        <f>IF('MITRE ATT&amp;CK Mappings'!D160 &lt;&gt;"",'MITRE ATT&amp;CK Mappings'!D160,"" )</f>
        <v/>
      </c>
    </row>
    <row r="165" spans="1:12" x14ac:dyDescent="0.25">
      <c r="A165" s="27" t="str">
        <f>IF(COUNTIF(B165:K165,"="&amp;'MITRE ATT&amp;CK Mappings'!B161)&gt;0,'MITRE ATT&amp;CK Mappings'!B161,"")</f>
        <v/>
      </c>
      <c r="B165" s="27" t="str">
        <f>IF(OR(OR(OR(OR(OR(ISNUMBER(SEARCH(IF(B$1&lt;&gt;"",B$1,"NA"),'MITRE ATT&amp;CK Mappings'!$E161)),ISNUMBER(SEARCH(IF(B$1&lt;&gt;"",B$1,"NA"),'MITRE ATT&amp;CK Mappings'!$F161))),ISNUMBER(SEARCH(IF(B$2&lt;&gt;"",B$2,"NA"),'MITRE ATT&amp;CK Mappings'!$G161))),ISNUMBER(SEARCH(IF(B$2&lt;&gt;"",B$2,"NA"),'MITRE ATT&amp;CK Mappings'!$H161))),ISNUMBER(SEARCH(IF(B$3&lt;&gt;"",B$3,"NA"),'MITRE ATT&amp;CK Mappings'!$I161))),ISNUMBER(SEARCH(IF(B$3&lt;&gt;"",B$3,"NA"),'MITRE ATT&amp;CK Mappings'!$J161))), 'MITRE ATT&amp;CK Mappings'!$B161,"")</f>
        <v/>
      </c>
      <c r="C165" s="27" t="str">
        <f>IF(OR(OR(OR(OR(OR(ISNUMBER(SEARCH(IF(C$1&lt;&gt;"",C$1,"NA"),'MITRE ATT&amp;CK Mappings'!$E161)),ISNUMBER(SEARCH(IF(C$1&lt;&gt;"",C$1,"NA"),'MITRE ATT&amp;CK Mappings'!$F161))),ISNUMBER(SEARCH(IF(C$2&lt;&gt;"",C$2,"NA"),'MITRE ATT&amp;CK Mappings'!$G161))),ISNUMBER(SEARCH(IF(C$2&lt;&gt;"",C$2,"NA"),'MITRE ATT&amp;CK Mappings'!$H161))),ISNUMBER(SEARCH(IF(C$3&lt;&gt;"",C$3,"NA"),'MITRE ATT&amp;CK Mappings'!$I161))),ISNUMBER(SEARCH(IF(C$3&lt;&gt;"",C$3,"NA"),'MITRE ATT&amp;CK Mappings'!$J161))), 'MITRE ATT&amp;CK Mappings'!$B161,"")</f>
        <v/>
      </c>
      <c r="D165" s="27" t="str">
        <f>IF(OR(OR(OR(OR(OR(ISNUMBER(SEARCH(IF(D$1&lt;&gt;"",D$1,"NA"),'MITRE ATT&amp;CK Mappings'!$E161)),ISNUMBER(SEARCH(IF(D$1&lt;&gt;"",D$1,"NA"),'MITRE ATT&amp;CK Mappings'!$F161))),ISNUMBER(SEARCH(IF(D$2&lt;&gt;"",D$2,"NA"),'MITRE ATT&amp;CK Mappings'!$G161))),ISNUMBER(SEARCH(IF(D$2&lt;&gt;"",D$2,"NA"),'MITRE ATT&amp;CK Mappings'!$H161))),ISNUMBER(SEARCH(IF(D$3&lt;&gt;"",D$3,"NA"),'MITRE ATT&amp;CK Mappings'!$I161))),ISNUMBER(SEARCH(IF(D$3&lt;&gt;"",D$3,"NA"),'MITRE ATT&amp;CK Mappings'!$J161))), 'MITRE ATT&amp;CK Mappings'!$B161,"")</f>
        <v/>
      </c>
      <c r="E165" s="27" t="str">
        <f>IF(OR(OR(OR(OR(OR(ISNUMBER(SEARCH(IF(E$1&lt;&gt;"",E$1,"NA"),'MITRE ATT&amp;CK Mappings'!$E161)),ISNUMBER(SEARCH(IF(E$1&lt;&gt;"",E$1,"NA"),'MITRE ATT&amp;CK Mappings'!$F161))),ISNUMBER(SEARCH(IF(E$2&lt;&gt;"",E$2,"NA"),'MITRE ATT&amp;CK Mappings'!$G161))),ISNUMBER(SEARCH(IF(E$2&lt;&gt;"",E$2,"NA"),'MITRE ATT&amp;CK Mappings'!$H161))),ISNUMBER(SEARCH(IF(E$3&lt;&gt;"",E$3,"NA"),'MITRE ATT&amp;CK Mappings'!$I161))),ISNUMBER(SEARCH(IF(E$3&lt;&gt;"",E$3,"NA"),'MITRE ATT&amp;CK Mappings'!$J161))), 'MITRE ATT&amp;CK Mappings'!$B161,"")</f>
        <v/>
      </c>
      <c r="F165" s="27" t="str">
        <f>IF(OR(OR(OR(OR(OR(ISNUMBER(SEARCH(IF(F$1&lt;&gt;"",F$1,"NA"),'MITRE ATT&amp;CK Mappings'!$E161)),ISNUMBER(SEARCH(IF(F$1&lt;&gt;"",F$1,"NA"),'MITRE ATT&amp;CK Mappings'!$F161))),ISNUMBER(SEARCH(IF(F$2&lt;&gt;"",F$2,"NA"),'MITRE ATT&amp;CK Mappings'!$G161))),ISNUMBER(SEARCH(IF(F$2&lt;&gt;"",F$2,"NA"),'MITRE ATT&amp;CK Mappings'!$H161))),ISNUMBER(SEARCH(IF(F$3&lt;&gt;"",F$3,"NA"),'MITRE ATT&amp;CK Mappings'!$I161))),ISNUMBER(SEARCH(IF(F$3&lt;&gt;"",F$3,"NA"),'MITRE ATT&amp;CK Mappings'!$J161))), 'MITRE ATT&amp;CK Mappings'!$B161,"")</f>
        <v/>
      </c>
      <c r="G165" s="27" t="str">
        <f>IF(OR(OR(OR(OR(OR(ISNUMBER(SEARCH(IF(G$1&lt;&gt;"",G$1,"NA"),'MITRE ATT&amp;CK Mappings'!$E161)),ISNUMBER(SEARCH(IF(G$1&lt;&gt;"",G$1,"NA"),'MITRE ATT&amp;CK Mappings'!$F161))),ISNUMBER(SEARCH(IF(G$2&lt;&gt;"",G$2,"NA"),'MITRE ATT&amp;CK Mappings'!$G161))),ISNUMBER(SEARCH(IF(G$2&lt;&gt;"",G$2,"NA"),'MITRE ATT&amp;CK Mappings'!$H161))),ISNUMBER(SEARCH(IF(G$3&lt;&gt;"",G$3,"NA"),'MITRE ATT&amp;CK Mappings'!$I161))),ISNUMBER(SEARCH(IF(G$3&lt;&gt;"",G$3,"NA"),'MITRE ATT&amp;CK Mappings'!$J161))), 'MITRE ATT&amp;CK Mappings'!$B161,"")</f>
        <v/>
      </c>
      <c r="H165" s="27" t="str">
        <f>IF(OR(OR(OR(OR(OR(ISNUMBER(SEARCH(IF(H$1&lt;&gt;"",H$1,"NA"),'MITRE ATT&amp;CK Mappings'!$E161)),ISNUMBER(SEARCH(IF(H$1&lt;&gt;"",H$1,"NA"),'MITRE ATT&amp;CK Mappings'!$F161))),ISNUMBER(SEARCH(IF(H$2&lt;&gt;"",H$2,"NA"),'MITRE ATT&amp;CK Mappings'!$G161))),ISNUMBER(SEARCH(IF(H$2&lt;&gt;"",H$2,"NA"),'MITRE ATT&amp;CK Mappings'!$H161))),ISNUMBER(SEARCH(IF(H$3&lt;&gt;"",H$3,"NA"),'MITRE ATT&amp;CK Mappings'!$I161))),ISNUMBER(SEARCH(IF(H$3&lt;&gt;"",H$3,"NA"),'MITRE ATT&amp;CK Mappings'!$J161))), 'MITRE ATT&amp;CK Mappings'!$B161,"")</f>
        <v/>
      </c>
      <c r="I165" s="27" t="str">
        <f>IF(OR(OR(OR(OR(OR(ISNUMBER(SEARCH(IF(I$1&lt;&gt;"",I$1,"NA"),'MITRE ATT&amp;CK Mappings'!$E161)),ISNUMBER(SEARCH(IF(I$1&lt;&gt;"",I$1,"NA"),'MITRE ATT&amp;CK Mappings'!$F161))),ISNUMBER(SEARCH(IF(I$2&lt;&gt;"",I$2,"NA"),'MITRE ATT&amp;CK Mappings'!$G161))),ISNUMBER(SEARCH(IF(I$2&lt;&gt;"",I$2,"NA"),'MITRE ATT&amp;CK Mappings'!$H161))),ISNUMBER(SEARCH(IF(I$3&lt;&gt;"",I$3,"NA"),'MITRE ATT&amp;CK Mappings'!$I161))),ISNUMBER(SEARCH(IF(I$3&lt;&gt;"",I$3,"NA"),'MITRE ATT&amp;CK Mappings'!$J161))), 'MITRE ATT&amp;CK Mappings'!$B161,"")</f>
        <v/>
      </c>
      <c r="J165" s="27" t="str">
        <f>IF(OR(OR(OR(OR(OR(ISNUMBER(SEARCH(IF(J$1&lt;&gt;"",J$1,"NA"),'MITRE ATT&amp;CK Mappings'!$E161)),ISNUMBER(SEARCH(IF(J$1&lt;&gt;"",J$1,"NA"),'MITRE ATT&amp;CK Mappings'!$F161))),ISNUMBER(SEARCH(IF(J$2&lt;&gt;"",J$2,"NA"),'MITRE ATT&amp;CK Mappings'!$G161))),ISNUMBER(SEARCH(IF(J$2&lt;&gt;"",J$2,"NA"),'MITRE ATT&amp;CK Mappings'!$H161))),ISNUMBER(SEARCH(IF(J$3&lt;&gt;"",J$3,"NA"),'MITRE ATT&amp;CK Mappings'!$I161))),ISNUMBER(SEARCH(IF(J$3&lt;&gt;"",J$3,"NA"),'MITRE ATT&amp;CK Mappings'!$J161))), 'MITRE ATT&amp;CK Mappings'!$B161,"")</f>
        <v/>
      </c>
      <c r="K165" s="27" t="str">
        <f>IF(OR(OR(OR(OR(OR(ISNUMBER(SEARCH(IF(K$1&lt;&gt;"",K$1,"NA"),'MITRE ATT&amp;CK Mappings'!$E161)),ISNUMBER(SEARCH(IF(K$1&lt;&gt;"",K$1,"NA"),'MITRE ATT&amp;CK Mappings'!$F161))),ISNUMBER(SEARCH(IF(K$2&lt;&gt;"",K$2,"NA"),'MITRE ATT&amp;CK Mappings'!$G161))),ISNUMBER(SEARCH(IF(K$2&lt;&gt;"",K$2,"NA"),'MITRE ATT&amp;CK Mappings'!$H161))),ISNUMBER(SEARCH(IF(K$3&lt;&gt;"",K$3,"NA"),'MITRE ATT&amp;CK Mappings'!$I161))),ISNUMBER(SEARCH(IF(K$3&lt;&gt;"",K$3,"NA"),'MITRE ATT&amp;CK Mappings'!$J161))), 'MITRE ATT&amp;CK Mappings'!$B161,"")</f>
        <v/>
      </c>
      <c r="L165" s="27" t="str">
        <f>IF('MITRE ATT&amp;CK Mappings'!D161 &lt;&gt;"",'MITRE ATT&amp;CK Mappings'!D161,"" )</f>
        <v/>
      </c>
    </row>
    <row r="166" spans="1:12" x14ac:dyDescent="0.25">
      <c r="A166" s="26" t="str">
        <f>IF(COUNTIF(B166:K166,"="&amp;'MITRE ATT&amp;CK Mappings'!B162)&gt;0,'MITRE ATT&amp;CK Mappings'!B162,"")</f>
        <v/>
      </c>
      <c r="B166" s="26" t="str">
        <f>IF(OR(OR(OR(OR(OR(ISNUMBER(SEARCH(IF(B$1&lt;&gt;"",B$1,"NA"),'MITRE ATT&amp;CK Mappings'!$E162)),ISNUMBER(SEARCH(IF(B$1&lt;&gt;"",B$1,"NA"),'MITRE ATT&amp;CK Mappings'!$F162))),ISNUMBER(SEARCH(IF(B$2&lt;&gt;"",B$2,"NA"),'MITRE ATT&amp;CK Mappings'!$G162))),ISNUMBER(SEARCH(IF(B$2&lt;&gt;"",B$2,"NA"),'MITRE ATT&amp;CK Mappings'!$H162))),ISNUMBER(SEARCH(IF(B$3&lt;&gt;"",B$3,"NA"),'MITRE ATT&amp;CK Mappings'!$I162))),ISNUMBER(SEARCH(IF(B$3&lt;&gt;"",B$3,"NA"),'MITRE ATT&amp;CK Mappings'!$J162))), 'MITRE ATT&amp;CK Mappings'!$B162,"")</f>
        <v/>
      </c>
      <c r="C166" s="26" t="str">
        <f>IF(OR(OR(OR(OR(OR(ISNUMBER(SEARCH(IF(C$1&lt;&gt;"",C$1,"NA"),'MITRE ATT&amp;CK Mappings'!$E162)),ISNUMBER(SEARCH(IF(C$1&lt;&gt;"",C$1,"NA"),'MITRE ATT&amp;CK Mappings'!$F162))),ISNUMBER(SEARCH(IF(C$2&lt;&gt;"",C$2,"NA"),'MITRE ATT&amp;CK Mappings'!$G162))),ISNUMBER(SEARCH(IF(C$2&lt;&gt;"",C$2,"NA"),'MITRE ATT&amp;CK Mappings'!$H162))),ISNUMBER(SEARCH(IF(C$3&lt;&gt;"",C$3,"NA"),'MITRE ATT&amp;CK Mappings'!$I162))),ISNUMBER(SEARCH(IF(C$3&lt;&gt;"",C$3,"NA"),'MITRE ATT&amp;CK Mappings'!$J162))), 'MITRE ATT&amp;CK Mappings'!$B162,"")</f>
        <v/>
      </c>
      <c r="D166" s="26" t="str">
        <f>IF(OR(OR(OR(OR(OR(ISNUMBER(SEARCH(IF(D$1&lt;&gt;"",D$1,"NA"),'MITRE ATT&amp;CK Mappings'!$E162)),ISNUMBER(SEARCH(IF(D$1&lt;&gt;"",D$1,"NA"),'MITRE ATT&amp;CK Mappings'!$F162))),ISNUMBER(SEARCH(IF(D$2&lt;&gt;"",D$2,"NA"),'MITRE ATT&amp;CK Mappings'!$G162))),ISNUMBER(SEARCH(IF(D$2&lt;&gt;"",D$2,"NA"),'MITRE ATT&amp;CK Mappings'!$H162))),ISNUMBER(SEARCH(IF(D$3&lt;&gt;"",D$3,"NA"),'MITRE ATT&amp;CK Mappings'!$I162))),ISNUMBER(SEARCH(IF(D$3&lt;&gt;"",D$3,"NA"),'MITRE ATT&amp;CK Mappings'!$J162))), 'MITRE ATT&amp;CK Mappings'!$B162,"")</f>
        <v/>
      </c>
      <c r="E166" s="26" t="str">
        <f>IF(OR(OR(OR(OR(OR(ISNUMBER(SEARCH(IF(E$1&lt;&gt;"",E$1,"NA"),'MITRE ATT&amp;CK Mappings'!$E162)),ISNUMBER(SEARCH(IF(E$1&lt;&gt;"",E$1,"NA"),'MITRE ATT&amp;CK Mappings'!$F162))),ISNUMBER(SEARCH(IF(E$2&lt;&gt;"",E$2,"NA"),'MITRE ATT&amp;CK Mappings'!$G162))),ISNUMBER(SEARCH(IF(E$2&lt;&gt;"",E$2,"NA"),'MITRE ATT&amp;CK Mappings'!$H162))),ISNUMBER(SEARCH(IF(E$3&lt;&gt;"",E$3,"NA"),'MITRE ATT&amp;CK Mappings'!$I162))),ISNUMBER(SEARCH(IF(E$3&lt;&gt;"",E$3,"NA"),'MITRE ATT&amp;CK Mappings'!$J162))), 'MITRE ATT&amp;CK Mappings'!$B162,"")</f>
        <v/>
      </c>
      <c r="F166" s="26" t="str">
        <f>IF(OR(OR(OR(OR(OR(ISNUMBER(SEARCH(IF(F$1&lt;&gt;"",F$1,"NA"),'MITRE ATT&amp;CK Mappings'!$E162)),ISNUMBER(SEARCH(IF(F$1&lt;&gt;"",F$1,"NA"),'MITRE ATT&amp;CK Mappings'!$F162))),ISNUMBER(SEARCH(IF(F$2&lt;&gt;"",F$2,"NA"),'MITRE ATT&amp;CK Mappings'!$G162))),ISNUMBER(SEARCH(IF(F$2&lt;&gt;"",F$2,"NA"),'MITRE ATT&amp;CK Mappings'!$H162))),ISNUMBER(SEARCH(IF(F$3&lt;&gt;"",F$3,"NA"),'MITRE ATT&amp;CK Mappings'!$I162))),ISNUMBER(SEARCH(IF(F$3&lt;&gt;"",F$3,"NA"),'MITRE ATT&amp;CK Mappings'!$J162))), 'MITRE ATT&amp;CK Mappings'!$B162,"")</f>
        <v/>
      </c>
      <c r="G166" s="26" t="str">
        <f>IF(OR(OR(OR(OR(OR(ISNUMBER(SEARCH(IF(G$1&lt;&gt;"",G$1,"NA"),'MITRE ATT&amp;CK Mappings'!$E162)),ISNUMBER(SEARCH(IF(G$1&lt;&gt;"",G$1,"NA"),'MITRE ATT&amp;CK Mappings'!$F162))),ISNUMBER(SEARCH(IF(G$2&lt;&gt;"",G$2,"NA"),'MITRE ATT&amp;CK Mappings'!$G162))),ISNUMBER(SEARCH(IF(G$2&lt;&gt;"",G$2,"NA"),'MITRE ATT&amp;CK Mappings'!$H162))),ISNUMBER(SEARCH(IF(G$3&lt;&gt;"",G$3,"NA"),'MITRE ATT&amp;CK Mappings'!$I162))),ISNUMBER(SEARCH(IF(G$3&lt;&gt;"",G$3,"NA"),'MITRE ATT&amp;CK Mappings'!$J162))), 'MITRE ATT&amp;CK Mappings'!$B162,"")</f>
        <v/>
      </c>
      <c r="H166" s="26" t="str">
        <f>IF(OR(OR(OR(OR(OR(ISNUMBER(SEARCH(IF(H$1&lt;&gt;"",H$1,"NA"),'MITRE ATT&amp;CK Mappings'!$E162)),ISNUMBER(SEARCH(IF(H$1&lt;&gt;"",H$1,"NA"),'MITRE ATT&amp;CK Mappings'!$F162))),ISNUMBER(SEARCH(IF(H$2&lt;&gt;"",H$2,"NA"),'MITRE ATT&amp;CK Mappings'!$G162))),ISNUMBER(SEARCH(IF(H$2&lt;&gt;"",H$2,"NA"),'MITRE ATT&amp;CK Mappings'!$H162))),ISNUMBER(SEARCH(IF(H$3&lt;&gt;"",H$3,"NA"),'MITRE ATT&amp;CK Mappings'!$I162))),ISNUMBER(SEARCH(IF(H$3&lt;&gt;"",H$3,"NA"),'MITRE ATT&amp;CK Mappings'!$J162))), 'MITRE ATT&amp;CK Mappings'!$B162,"")</f>
        <v/>
      </c>
      <c r="I166" s="26" t="str">
        <f>IF(OR(OR(OR(OR(OR(ISNUMBER(SEARCH(IF(I$1&lt;&gt;"",I$1,"NA"),'MITRE ATT&amp;CK Mappings'!$E162)),ISNUMBER(SEARCH(IF(I$1&lt;&gt;"",I$1,"NA"),'MITRE ATT&amp;CK Mappings'!$F162))),ISNUMBER(SEARCH(IF(I$2&lt;&gt;"",I$2,"NA"),'MITRE ATT&amp;CK Mappings'!$G162))),ISNUMBER(SEARCH(IF(I$2&lt;&gt;"",I$2,"NA"),'MITRE ATT&amp;CK Mappings'!$H162))),ISNUMBER(SEARCH(IF(I$3&lt;&gt;"",I$3,"NA"),'MITRE ATT&amp;CK Mappings'!$I162))),ISNUMBER(SEARCH(IF(I$3&lt;&gt;"",I$3,"NA"),'MITRE ATT&amp;CK Mappings'!$J162))), 'MITRE ATT&amp;CK Mappings'!$B162,"")</f>
        <v/>
      </c>
      <c r="J166" s="26" t="str">
        <f>IF(OR(OR(OR(OR(OR(ISNUMBER(SEARCH(IF(J$1&lt;&gt;"",J$1,"NA"),'MITRE ATT&amp;CK Mappings'!$E162)),ISNUMBER(SEARCH(IF(J$1&lt;&gt;"",J$1,"NA"),'MITRE ATT&amp;CK Mappings'!$F162))),ISNUMBER(SEARCH(IF(J$2&lt;&gt;"",J$2,"NA"),'MITRE ATT&amp;CK Mappings'!$G162))),ISNUMBER(SEARCH(IF(J$2&lt;&gt;"",J$2,"NA"),'MITRE ATT&amp;CK Mappings'!$H162))),ISNUMBER(SEARCH(IF(J$3&lt;&gt;"",J$3,"NA"),'MITRE ATT&amp;CK Mappings'!$I162))),ISNUMBER(SEARCH(IF(J$3&lt;&gt;"",J$3,"NA"),'MITRE ATT&amp;CK Mappings'!$J162))), 'MITRE ATT&amp;CK Mappings'!$B162,"")</f>
        <v/>
      </c>
      <c r="K166" s="26" t="str">
        <f>IF(OR(OR(OR(OR(OR(ISNUMBER(SEARCH(IF(K$1&lt;&gt;"",K$1,"NA"),'MITRE ATT&amp;CK Mappings'!$E162)),ISNUMBER(SEARCH(IF(K$1&lt;&gt;"",K$1,"NA"),'MITRE ATT&amp;CK Mappings'!$F162))),ISNUMBER(SEARCH(IF(K$2&lt;&gt;"",K$2,"NA"),'MITRE ATT&amp;CK Mappings'!$G162))),ISNUMBER(SEARCH(IF(K$2&lt;&gt;"",K$2,"NA"),'MITRE ATT&amp;CK Mappings'!$H162))),ISNUMBER(SEARCH(IF(K$3&lt;&gt;"",K$3,"NA"),'MITRE ATT&amp;CK Mappings'!$I162))),ISNUMBER(SEARCH(IF(K$3&lt;&gt;"",K$3,"NA"),'MITRE ATT&amp;CK Mappings'!$J162))), 'MITRE ATT&amp;CK Mappings'!$B162,"")</f>
        <v/>
      </c>
      <c r="L166" s="26" t="str">
        <f>IF('MITRE ATT&amp;CK Mappings'!D162 &lt;&gt;"",'MITRE ATT&amp;CK Mappings'!D162,"" )</f>
        <v/>
      </c>
    </row>
    <row r="167" spans="1:12" x14ac:dyDescent="0.25">
      <c r="A167" s="27" t="str">
        <f>IF(COUNTIF(B167:K167,"="&amp;'MITRE ATT&amp;CK Mappings'!B163)&gt;0,'MITRE ATT&amp;CK Mappings'!B163,"")</f>
        <v/>
      </c>
      <c r="B167" s="27" t="str">
        <f>IF(OR(OR(OR(OR(OR(ISNUMBER(SEARCH(IF(B$1&lt;&gt;"",B$1,"NA"),'MITRE ATT&amp;CK Mappings'!$E163)),ISNUMBER(SEARCH(IF(B$1&lt;&gt;"",B$1,"NA"),'MITRE ATT&amp;CK Mappings'!$F163))),ISNUMBER(SEARCH(IF(B$2&lt;&gt;"",B$2,"NA"),'MITRE ATT&amp;CK Mappings'!$G163))),ISNUMBER(SEARCH(IF(B$2&lt;&gt;"",B$2,"NA"),'MITRE ATT&amp;CK Mappings'!$H163))),ISNUMBER(SEARCH(IF(B$3&lt;&gt;"",B$3,"NA"),'MITRE ATT&amp;CK Mappings'!$I163))),ISNUMBER(SEARCH(IF(B$3&lt;&gt;"",B$3,"NA"),'MITRE ATT&amp;CK Mappings'!$J163))), 'MITRE ATT&amp;CK Mappings'!$B163,"")</f>
        <v/>
      </c>
      <c r="C167" s="27" t="str">
        <f>IF(OR(OR(OR(OR(OR(ISNUMBER(SEARCH(IF(C$1&lt;&gt;"",C$1,"NA"),'MITRE ATT&amp;CK Mappings'!$E163)),ISNUMBER(SEARCH(IF(C$1&lt;&gt;"",C$1,"NA"),'MITRE ATT&amp;CK Mappings'!$F163))),ISNUMBER(SEARCH(IF(C$2&lt;&gt;"",C$2,"NA"),'MITRE ATT&amp;CK Mappings'!$G163))),ISNUMBER(SEARCH(IF(C$2&lt;&gt;"",C$2,"NA"),'MITRE ATT&amp;CK Mappings'!$H163))),ISNUMBER(SEARCH(IF(C$3&lt;&gt;"",C$3,"NA"),'MITRE ATT&amp;CK Mappings'!$I163))),ISNUMBER(SEARCH(IF(C$3&lt;&gt;"",C$3,"NA"),'MITRE ATT&amp;CK Mappings'!$J163))), 'MITRE ATT&amp;CK Mappings'!$B163,"")</f>
        <v/>
      </c>
      <c r="D167" s="27" t="str">
        <f>IF(OR(OR(OR(OR(OR(ISNUMBER(SEARCH(IF(D$1&lt;&gt;"",D$1,"NA"),'MITRE ATT&amp;CK Mappings'!$E163)),ISNUMBER(SEARCH(IF(D$1&lt;&gt;"",D$1,"NA"),'MITRE ATT&amp;CK Mappings'!$F163))),ISNUMBER(SEARCH(IF(D$2&lt;&gt;"",D$2,"NA"),'MITRE ATT&amp;CK Mappings'!$G163))),ISNUMBER(SEARCH(IF(D$2&lt;&gt;"",D$2,"NA"),'MITRE ATT&amp;CK Mappings'!$H163))),ISNUMBER(SEARCH(IF(D$3&lt;&gt;"",D$3,"NA"),'MITRE ATT&amp;CK Mappings'!$I163))),ISNUMBER(SEARCH(IF(D$3&lt;&gt;"",D$3,"NA"),'MITRE ATT&amp;CK Mappings'!$J163))), 'MITRE ATT&amp;CK Mappings'!$B163,"")</f>
        <v/>
      </c>
      <c r="E167" s="27" t="str">
        <f>IF(OR(OR(OR(OR(OR(ISNUMBER(SEARCH(IF(E$1&lt;&gt;"",E$1,"NA"),'MITRE ATT&amp;CK Mappings'!$E163)),ISNUMBER(SEARCH(IF(E$1&lt;&gt;"",E$1,"NA"),'MITRE ATT&amp;CK Mappings'!$F163))),ISNUMBER(SEARCH(IF(E$2&lt;&gt;"",E$2,"NA"),'MITRE ATT&amp;CK Mappings'!$G163))),ISNUMBER(SEARCH(IF(E$2&lt;&gt;"",E$2,"NA"),'MITRE ATT&amp;CK Mappings'!$H163))),ISNUMBER(SEARCH(IF(E$3&lt;&gt;"",E$3,"NA"),'MITRE ATT&amp;CK Mappings'!$I163))),ISNUMBER(SEARCH(IF(E$3&lt;&gt;"",E$3,"NA"),'MITRE ATT&amp;CK Mappings'!$J163))), 'MITRE ATT&amp;CK Mappings'!$B163,"")</f>
        <v/>
      </c>
      <c r="F167" s="27" t="str">
        <f>IF(OR(OR(OR(OR(OR(ISNUMBER(SEARCH(IF(F$1&lt;&gt;"",F$1,"NA"),'MITRE ATT&amp;CK Mappings'!$E163)),ISNUMBER(SEARCH(IF(F$1&lt;&gt;"",F$1,"NA"),'MITRE ATT&amp;CK Mappings'!$F163))),ISNUMBER(SEARCH(IF(F$2&lt;&gt;"",F$2,"NA"),'MITRE ATT&amp;CK Mappings'!$G163))),ISNUMBER(SEARCH(IF(F$2&lt;&gt;"",F$2,"NA"),'MITRE ATT&amp;CK Mappings'!$H163))),ISNUMBER(SEARCH(IF(F$3&lt;&gt;"",F$3,"NA"),'MITRE ATT&amp;CK Mappings'!$I163))),ISNUMBER(SEARCH(IF(F$3&lt;&gt;"",F$3,"NA"),'MITRE ATT&amp;CK Mappings'!$J163))), 'MITRE ATT&amp;CK Mappings'!$B163,"")</f>
        <v/>
      </c>
      <c r="G167" s="27" t="str">
        <f>IF(OR(OR(OR(OR(OR(ISNUMBER(SEARCH(IF(G$1&lt;&gt;"",G$1,"NA"),'MITRE ATT&amp;CK Mappings'!$E163)),ISNUMBER(SEARCH(IF(G$1&lt;&gt;"",G$1,"NA"),'MITRE ATT&amp;CK Mappings'!$F163))),ISNUMBER(SEARCH(IF(G$2&lt;&gt;"",G$2,"NA"),'MITRE ATT&amp;CK Mappings'!$G163))),ISNUMBER(SEARCH(IF(G$2&lt;&gt;"",G$2,"NA"),'MITRE ATT&amp;CK Mappings'!$H163))),ISNUMBER(SEARCH(IF(G$3&lt;&gt;"",G$3,"NA"),'MITRE ATT&amp;CK Mappings'!$I163))),ISNUMBER(SEARCH(IF(G$3&lt;&gt;"",G$3,"NA"),'MITRE ATT&amp;CK Mappings'!$J163))), 'MITRE ATT&amp;CK Mappings'!$B163,"")</f>
        <v/>
      </c>
      <c r="H167" s="27" t="str">
        <f>IF(OR(OR(OR(OR(OR(ISNUMBER(SEARCH(IF(H$1&lt;&gt;"",H$1,"NA"),'MITRE ATT&amp;CK Mappings'!$E163)),ISNUMBER(SEARCH(IF(H$1&lt;&gt;"",H$1,"NA"),'MITRE ATT&amp;CK Mappings'!$F163))),ISNUMBER(SEARCH(IF(H$2&lt;&gt;"",H$2,"NA"),'MITRE ATT&amp;CK Mappings'!$G163))),ISNUMBER(SEARCH(IF(H$2&lt;&gt;"",H$2,"NA"),'MITRE ATT&amp;CK Mappings'!$H163))),ISNUMBER(SEARCH(IF(H$3&lt;&gt;"",H$3,"NA"),'MITRE ATT&amp;CK Mappings'!$I163))),ISNUMBER(SEARCH(IF(H$3&lt;&gt;"",H$3,"NA"),'MITRE ATT&amp;CK Mappings'!$J163))), 'MITRE ATT&amp;CK Mappings'!$B163,"")</f>
        <v/>
      </c>
      <c r="I167" s="27" t="str">
        <f>IF(OR(OR(OR(OR(OR(ISNUMBER(SEARCH(IF(I$1&lt;&gt;"",I$1,"NA"),'MITRE ATT&amp;CK Mappings'!$E163)),ISNUMBER(SEARCH(IF(I$1&lt;&gt;"",I$1,"NA"),'MITRE ATT&amp;CK Mappings'!$F163))),ISNUMBER(SEARCH(IF(I$2&lt;&gt;"",I$2,"NA"),'MITRE ATT&amp;CK Mappings'!$G163))),ISNUMBER(SEARCH(IF(I$2&lt;&gt;"",I$2,"NA"),'MITRE ATT&amp;CK Mappings'!$H163))),ISNUMBER(SEARCH(IF(I$3&lt;&gt;"",I$3,"NA"),'MITRE ATT&amp;CK Mappings'!$I163))),ISNUMBER(SEARCH(IF(I$3&lt;&gt;"",I$3,"NA"),'MITRE ATT&amp;CK Mappings'!$J163))), 'MITRE ATT&amp;CK Mappings'!$B163,"")</f>
        <v/>
      </c>
      <c r="J167" s="27" t="str">
        <f>IF(OR(OR(OR(OR(OR(ISNUMBER(SEARCH(IF(J$1&lt;&gt;"",J$1,"NA"),'MITRE ATT&amp;CK Mappings'!$E163)),ISNUMBER(SEARCH(IF(J$1&lt;&gt;"",J$1,"NA"),'MITRE ATT&amp;CK Mappings'!$F163))),ISNUMBER(SEARCH(IF(J$2&lt;&gt;"",J$2,"NA"),'MITRE ATT&amp;CK Mappings'!$G163))),ISNUMBER(SEARCH(IF(J$2&lt;&gt;"",J$2,"NA"),'MITRE ATT&amp;CK Mappings'!$H163))),ISNUMBER(SEARCH(IF(J$3&lt;&gt;"",J$3,"NA"),'MITRE ATT&amp;CK Mappings'!$I163))),ISNUMBER(SEARCH(IF(J$3&lt;&gt;"",J$3,"NA"),'MITRE ATT&amp;CK Mappings'!$J163))), 'MITRE ATT&amp;CK Mappings'!$B163,"")</f>
        <v/>
      </c>
      <c r="K167" s="27" t="str">
        <f>IF(OR(OR(OR(OR(OR(ISNUMBER(SEARCH(IF(K$1&lt;&gt;"",K$1,"NA"),'MITRE ATT&amp;CK Mappings'!$E163)),ISNUMBER(SEARCH(IF(K$1&lt;&gt;"",K$1,"NA"),'MITRE ATT&amp;CK Mappings'!$F163))),ISNUMBER(SEARCH(IF(K$2&lt;&gt;"",K$2,"NA"),'MITRE ATT&amp;CK Mappings'!$G163))),ISNUMBER(SEARCH(IF(K$2&lt;&gt;"",K$2,"NA"),'MITRE ATT&amp;CK Mappings'!$H163))),ISNUMBER(SEARCH(IF(K$3&lt;&gt;"",K$3,"NA"),'MITRE ATT&amp;CK Mappings'!$I163))),ISNUMBER(SEARCH(IF(K$3&lt;&gt;"",K$3,"NA"),'MITRE ATT&amp;CK Mappings'!$J163))), 'MITRE ATT&amp;CK Mappings'!$B163,"")</f>
        <v/>
      </c>
      <c r="L167" s="27" t="str">
        <f>IF('MITRE ATT&amp;CK Mappings'!D163 &lt;&gt;"",'MITRE ATT&amp;CK Mappings'!D163,"" )</f>
        <v/>
      </c>
    </row>
    <row r="168" spans="1:12" x14ac:dyDescent="0.25">
      <c r="A168" s="26" t="str">
        <f>IF(COUNTIF(B168:K168,"="&amp;'MITRE ATT&amp;CK Mappings'!B164)&gt;0,'MITRE ATT&amp;CK Mappings'!B164,"")</f>
        <v/>
      </c>
      <c r="B168" s="26" t="str">
        <f>IF(OR(OR(OR(OR(OR(ISNUMBER(SEARCH(IF(B$1&lt;&gt;"",B$1,"NA"),'MITRE ATT&amp;CK Mappings'!$E164)),ISNUMBER(SEARCH(IF(B$1&lt;&gt;"",B$1,"NA"),'MITRE ATT&amp;CK Mappings'!$F164))),ISNUMBER(SEARCH(IF(B$2&lt;&gt;"",B$2,"NA"),'MITRE ATT&amp;CK Mappings'!$G164))),ISNUMBER(SEARCH(IF(B$2&lt;&gt;"",B$2,"NA"),'MITRE ATT&amp;CK Mappings'!$H164))),ISNUMBER(SEARCH(IF(B$3&lt;&gt;"",B$3,"NA"),'MITRE ATT&amp;CK Mappings'!$I164))),ISNUMBER(SEARCH(IF(B$3&lt;&gt;"",B$3,"NA"),'MITRE ATT&amp;CK Mappings'!$J164))), 'MITRE ATT&amp;CK Mappings'!$B164,"")</f>
        <v/>
      </c>
      <c r="C168" s="26" t="str">
        <f>IF(OR(OR(OR(OR(OR(ISNUMBER(SEARCH(IF(C$1&lt;&gt;"",C$1,"NA"),'MITRE ATT&amp;CK Mappings'!$E164)),ISNUMBER(SEARCH(IF(C$1&lt;&gt;"",C$1,"NA"),'MITRE ATT&amp;CK Mappings'!$F164))),ISNUMBER(SEARCH(IF(C$2&lt;&gt;"",C$2,"NA"),'MITRE ATT&amp;CK Mappings'!$G164))),ISNUMBER(SEARCH(IF(C$2&lt;&gt;"",C$2,"NA"),'MITRE ATT&amp;CK Mappings'!$H164))),ISNUMBER(SEARCH(IF(C$3&lt;&gt;"",C$3,"NA"),'MITRE ATT&amp;CK Mappings'!$I164))),ISNUMBER(SEARCH(IF(C$3&lt;&gt;"",C$3,"NA"),'MITRE ATT&amp;CK Mappings'!$J164))), 'MITRE ATT&amp;CK Mappings'!$B164,"")</f>
        <v/>
      </c>
      <c r="D168" s="26" t="str">
        <f>IF(OR(OR(OR(OR(OR(ISNUMBER(SEARCH(IF(D$1&lt;&gt;"",D$1,"NA"),'MITRE ATT&amp;CK Mappings'!$E164)),ISNUMBER(SEARCH(IF(D$1&lt;&gt;"",D$1,"NA"),'MITRE ATT&amp;CK Mappings'!$F164))),ISNUMBER(SEARCH(IF(D$2&lt;&gt;"",D$2,"NA"),'MITRE ATT&amp;CK Mappings'!$G164))),ISNUMBER(SEARCH(IF(D$2&lt;&gt;"",D$2,"NA"),'MITRE ATT&amp;CK Mappings'!$H164))),ISNUMBER(SEARCH(IF(D$3&lt;&gt;"",D$3,"NA"),'MITRE ATT&amp;CK Mappings'!$I164))),ISNUMBER(SEARCH(IF(D$3&lt;&gt;"",D$3,"NA"),'MITRE ATT&amp;CK Mappings'!$J164))), 'MITRE ATT&amp;CK Mappings'!$B164,"")</f>
        <v/>
      </c>
      <c r="E168" s="26" t="str">
        <f>IF(OR(OR(OR(OR(OR(ISNUMBER(SEARCH(IF(E$1&lt;&gt;"",E$1,"NA"),'MITRE ATT&amp;CK Mappings'!$E164)),ISNUMBER(SEARCH(IF(E$1&lt;&gt;"",E$1,"NA"),'MITRE ATT&amp;CK Mappings'!$F164))),ISNUMBER(SEARCH(IF(E$2&lt;&gt;"",E$2,"NA"),'MITRE ATT&amp;CK Mappings'!$G164))),ISNUMBER(SEARCH(IF(E$2&lt;&gt;"",E$2,"NA"),'MITRE ATT&amp;CK Mappings'!$H164))),ISNUMBER(SEARCH(IF(E$3&lt;&gt;"",E$3,"NA"),'MITRE ATT&amp;CK Mappings'!$I164))),ISNUMBER(SEARCH(IF(E$3&lt;&gt;"",E$3,"NA"),'MITRE ATT&amp;CK Mappings'!$J164))), 'MITRE ATT&amp;CK Mappings'!$B164,"")</f>
        <v/>
      </c>
      <c r="F168" s="26" t="str">
        <f>IF(OR(OR(OR(OR(OR(ISNUMBER(SEARCH(IF(F$1&lt;&gt;"",F$1,"NA"),'MITRE ATT&amp;CK Mappings'!$E164)),ISNUMBER(SEARCH(IF(F$1&lt;&gt;"",F$1,"NA"),'MITRE ATT&amp;CK Mappings'!$F164))),ISNUMBER(SEARCH(IF(F$2&lt;&gt;"",F$2,"NA"),'MITRE ATT&amp;CK Mappings'!$G164))),ISNUMBER(SEARCH(IF(F$2&lt;&gt;"",F$2,"NA"),'MITRE ATT&amp;CK Mappings'!$H164))),ISNUMBER(SEARCH(IF(F$3&lt;&gt;"",F$3,"NA"),'MITRE ATT&amp;CK Mappings'!$I164))),ISNUMBER(SEARCH(IF(F$3&lt;&gt;"",F$3,"NA"),'MITRE ATT&amp;CK Mappings'!$J164))), 'MITRE ATT&amp;CK Mappings'!$B164,"")</f>
        <v/>
      </c>
      <c r="G168" s="26" t="str">
        <f>IF(OR(OR(OR(OR(OR(ISNUMBER(SEARCH(IF(G$1&lt;&gt;"",G$1,"NA"),'MITRE ATT&amp;CK Mappings'!$E164)),ISNUMBER(SEARCH(IF(G$1&lt;&gt;"",G$1,"NA"),'MITRE ATT&amp;CK Mappings'!$F164))),ISNUMBER(SEARCH(IF(G$2&lt;&gt;"",G$2,"NA"),'MITRE ATT&amp;CK Mappings'!$G164))),ISNUMBER(SEARCH(IF(G$2&lt;&gt;"",G$2,"NA"),'MITRE ATT&amp;CK Mappings'!$H164))),ISNUMBER(SEARCH(IF(G$3&lt;&gt;"",G$3,"NA"),'MITRE ATT&amp;CK Mappings'!$I164))),ISNUMBER(SEARCH(IF(G$3&lt;&gt;"",G$3,"NA"),'MITRE ATT&amp;CK Mappings'!$J164))), 'MITRE ATT&amp;CK Mappings'!$B164,"")</f>
        <v/>
      </c>
      <c r="H168" s="26" t="str">
        <f>IF(OR(OR(OR(OR(OR(ISNUMBER(SEARCH(IF(H$1&lt;&gt;"",H$1,"NA"),'MITRE ATT&amp;CK Mappings'!$E164)),ISNUMBER(SEARCH(IF(H$1&lt;&gt;"",H$1,"NA"),'MITRE ATT&amp;CK Mappings'!$F164))),ISNUMBER(SEARCH(IF(H$2&lt;&gt;"",H$2,"NA"),'MITRE ATT&amp;CK Mappings'!$G164))),ISNUMBER(SEARCH(IF(H$2&lt;&gt;"",H$2,"NA"),'MITRE ATT&amp;CK Mappings'!$H164))),ISNUMBER(SEARCH(IF(H$3&lt;&gt;"",H$3,"NA"),'MITRE ATT&amp;CK Mappings'!$I164))),ISNUMBER(SEARCH(IF(H$3&lt;&gt;"",H$3,"NA"),'MITRE ATT&amp;CK Mappings'!$J164))), 'MITRE ATT&amp;CK Mappings'!$B164,"")</f>
        <v/>
      </c>
      <c r="I168" s="26" t="str">
        <f>IF(OR(OR(OR(OR(OR(ISNUMBER(SEARCH(IF(I$1&lt;&gt;"",I$1,"NA"),'MITRE ATT&amp;CK Mappings'!$E164)),ISNUMBER(SEARCH(IF(I$1&lt;&gt;"",I$1,"NA"),'MITRE ATT&amp;CK Mappings'!$F164))),ISNUMBER(SEARCH(IF(I$2&lt;&gt;"",I$2,"NA"),'MITRE ATT&amp;CK Mappings'!$G164))),ISNUMBER(SEARCH(IF(I$2&lt;&gt;"",I$2,"NA"),'MITRE ATT&amp;CK Mappings'!$H164))),ISNUMBER(SEARCH(IF(I$3&lt;&gt;"",I$3,"NA"),'MITRE ATT&amp;CK Mappings'!$I164))),ISNUMBER(SEARCH(IF(I$3&lt;&gt;"",I$3,"NA"),'MITRE ATT&amp;CK Mappings'!$J164))), 'MITRE ATT&amp;CK Mappings'!$B164,"")</f>
        <v/>
      </c>
      <c r="J168" s="26" t="str">
        <f>IF(OR(OR(OR(OR(OR(ISNUMBER(SEARCH(IF(J$1&lt;&gt;"",J$1,"NA"),'MITRE ATT&amp;CK Mappings'!$E164)),ISNUMBER(SEARCH(IF(J$1&lt;&gt;"",J$1,"NA"),'MITRE ATT&amp;CK Mappings'!$F164))),ISNUMBER(SEARCH(IF(J$2&lt;&gt;"",J$2,"NA"),'MITRE ATT&amp;CK Mappings'!$G164))),ISNUMBER(SEARCH(IF(J$2&lt;&gt;"",J$2,"NA"),'MITRE ATT&amp;CK Mappings'!$H164))),ISNUMBER(SEARCH(IF(J$3&lt;&gt;"",J$3,"NA"),'MITRE ATT&amp;CK Mappings'!$I164))),ISNUMBER(SEARCH(IF(J$3&lt;&gt;"",J$3,"NA"),'MITRE ATT&amp;CK Mappings'!$J164))), 'MITRE ATT&amp;CK Mappings'!$B164,"")</f>
        <v/>
      </c>
      <c r="K168" s="26" t="str">
        <f>IF(OR(OR(OR(OR(OR(ISNUMBER(SEARCH(IF(K$1&lt;&gt;"",K$1,"NA"),'MITRE ATT&amp;CK Mappings'!$E164)),ISNUMBER(SEARCH(IF(K$1&lt;&gt;"",K$1,"NA"),'MITRE ATT&amp;CK Mappings'!$F164))),ISNUMBER(SEARCH(IF(K$2&lt;&gt;"",K$2,"NA"),'MITRE ATT&amp;CK Mappings'!$G164))),ISNUMBER(SEARCH(IF(K$2&lt;&gt;"",K$2,"NA"),'MITRE ATT&amp;CK Mappings'!$H164))),ISNUMBER(SEARCH(IF(K$3&lt;&gt;"",K$3,"NA"),'MITRE ATT&amp;CK Mappings'!$I164))),ISNUMBER(SEARCH(IF(K$3&lt;&gt;"",K$3,"NA"),'MITRE ATT&amp;CK Mappings'!$J164))), 'MITRE ATT&amp;CK Mappings'!$B164,"")</f>
        <v/>
      </c>
      <c r="L168" s="26" t="str">
        <f>IF('MITRE ATT&amp;CK Mappings'!D164 &lt;&gt;"",'MITRE ATT&amp;CK Mappings'!D164,"" )</f>
        <v/>
      </c>
    </row>
    <row r="169" spans="1:12" x14ac:dyDescent="0.25">
      <c r="A169" s="27" t="str">
        <f>IF(COUNTIF(B169:K169,"="&amp;'MITRE ATT&amp;CK Mappings'!B165)&gt;0,'MITRE ATT&amp;CK Mappings'!B165,"")</f>
        <v/>
      </c>
      <c r="B169" s="27" t="str">
        <f>IF(OR(OR(OR(OR(OR(ISNUMBER(SEARCH(IF(B$1&lt;&gt;"",B$1,"NA"),'MITRE ATT&amp;CK Mappings'!$E165)),ISNUMBER(SEARCH(IF(B$1&lt;&gt;"",B$1,"NA"),'MITRE ATT&amp;CK Mappings'!$F165))),ISNUMBER(SEARCH(IF(B$2&lt;&gt;"",B$2,"NA"),'MITRE ATT&amp;CK Mappings'!$G165))),ISNUMBER(SEARCH(IF(B$2&lt;&gt;"",B$2,"NA"),'MITRE ATT&amp;CK Mappings'!$H165))),ISNUMBER(SEARCH(IF(B$3&lt;&gt;"",B$3,"NA"),'MITRE ATT&amp;CK Mappings'!$I165))),ISNUMBER(SEARCH(IF(B$3&lt;&gt;"",B$3,"NA"),'MITRE ATT&amp;CK Mappings'!$J165))), 'MITRE ATT&amp;CK Mappings'!$B165,"")</f>
        <v/>
      </c>
      <c r="C169" s="27" t="str">
        <f>IF(OR(OR(OR(OR(OR(ISNUMBER(SEARCH(IF(C$1&lt;&gt;"",C$1,"NA"),'MITRE ATT&amp;CK Mappings'!$E165)),ISNUMBER(SEARCH(IF(C$1&lt;&gt;"",C$1,"NA"),'MITRE ATT&amp;CK Mappings'!$F165))),ISNUMBER(SEARCH(IF(C$2&lt;&gt;"",C$2,"NA"),'MITRE ATT&amp;CK Mappings'!$G165))),ISNUMBER(SEARCH(IF(C$2&lt;&gt;"",C$2,"NA"),'MITRE ATT&amp;CK Mappings'!$H165))),ISNUMBER(SEARCH(IF(C$3&lt;&gt;"",C$3,"NA"),'MITRE ATT&amp;CK Mappings'!$I165))),ISNUMBER(SEARCH(IF(C$3&lt;&gt;"",C$3,"NA"),'MITRE ATT&amp;CK Mappings'!$J165))), 'MITRE ATT&amp;CK Mappings'!$B165,"")</f>
        <v/>
      </c>
      <c r="D169" s="27" t="str">
        <f>IF(OR(OR(OR(OR(OR(ISNUMBER(SEARCH(IF(D$1&lt;&gt;"",D$1,"NA"),'MITRE ATT&amp;CK Mappings'!$E165)),ISNUMBER(SEARCH(IF(D$1&lt;&gt;"",D$1,"NA"),'MITRE ATT&amp;CK Mappings'!$F165))),ISNUMBER(SEARCH(IF(D$2&lt;&gt;"",D$2,"NA"),'MITRE ATT&amp;CK Mappings'!$G165))),ISNUMBER(SEARCH(IF(D$2&lt;&gt;"",D$2,"NA"),'MITRE ATT&amp;CK Mappings'!$H165))),ISNUMBER(SEARCH(IF(D$3&lt;&gt;"",D$3,"NA"),'MITRE ATT&amp;CK Mappings'!$I165))),ISNUMBER(SEARCH(IF(D$3&lt;&gt;"",D$3,"NA"),'MITRE ATT&amp;CK Mappings'!$J165))), 'MITRE ATT&amp;CK Mappings'!$B165,"")</f>
        <v/>
      </c>
      <c r="E169" s="27" t="str">
        <f>IF(OR(OR(OR(OR(OR(ISNUMBER(SEARCH(IF(E$1&lt;&gt;"",E$1,"NA"),'MITRE ATT&amp;CK Mappings'!$E165)),ISNUMBER(SEARCH(IF(E$1&lt;&gt;"",E$1,"NA"),'MITRE ATT&amp;CK Mappings'!$F165))),ISNUMBER(SEARCH(IF(E$2&lt;&gt;"",E$2,"NA"),'MITRE ATT&amp;CK Mappings'!$G165))),ISNUMBER(SEARCH(IF(E$2&lt;&gt;"",E$2,"NA"),'MITRE ATT&amp;CK Mappings'!$H165))),ISNUMBER(SEARCH(IF(E$3&lt;&gt;"",E$3,"NA"),'MITRE ATT&amp;CK Mappings'!$I165))),ISNUMBER(SEARCH(IF(E$3&lt;&gt;"",E$3,"NA"),'MITRE ATT&amp;CK Mappings'!$J165))), 'MITRE ATT&amp;CK Mappings'!$B165,"")</f>
        <v/>
      </c>
      <c r="F169" s="27" t="str">
        <f>IF(OR(OR(OR(OR(OR(ISNUMBER(SEARCH(IF(F$1&lt;&gt;"",F$1,"NA"),'MITRE ATT&amp;CK Mappings'!$E165)),ISNUMBER(SEARCH(IF(F$1&lt;&gt;"",F$1,"NA"),'MITRE ATT&amp;CK Mappings'!$F165))),ISNUMBER(SEARCH(IF(F$2&lt;&gt;"",F$2,"NA"),'MITRE ATT&amp;CK Mappings'!$G165))),ISNUMBER(SEARCH(IF(F$2&lt;&gt;"",F$2,"NA"),'MITRE ATT&amp;CK Mappings'!$H165))),ISNUMBER(SEARCH(IF(F$3&lt;&gt;"",F$3,"NA"),'MITRE ATT&amp;CK Mappings'!$I165))),ISNUMBER(SEARCH(IF(F$3&lt;&gt;"",F$3,"NA"),'MITRE ATT&amp;CK Mappings'!$J165))), 'MITRE ATT&amp;CK Mappings'!$B165,"")</f>
        <v/>
      </c>
      <c r="G169" s="27" t="str">
        <f>IF(OR(OR(OR(OR(OR(ISNUMBER(SEARCH(IF(G$1&lt;&gt;"",G$1,"NA"),'MITRE ATT&amp;CK Mappings'!$E165)),ISNUMBER(SEARCH(IF(G$1&lt;&gt;"",G$1,"NA"),'MITRE ATT&amp;CK Mappings'!$F165))),ISNUMBER(SEARCH(IF(G$2&lt;&gt;"",G$2,"NA"),'MITRE ATT&amp;CK Mappings'!$G165))),ISNUMBER(SEARCH(IF(G$2&lt;&gt;"",G$2,"NA"),'MITRE ATT&amp;CK Mappings'!$H165))),ISNUMBER(SEARCH(IF(G$3&lt;&gt;"",G$3,"NA"),'MITRE ATT&amp;CK Mappings'!$I165))),ISNUMBER(SEARCH(IF(G$3&lt;&gt;"",G$3,"NA"),'MITRE ATT&amp;CK Mappings'!$J165))), 'MITRE ATT&amp;CK Mappings'!$B165,"")</f>
        <v/>
      </c>
      <c r="H169" s="27" t="str">
        <f>IF(OR(OR(OR(OR(OR(ISNUMBER(SEARCH(IF(H$1&lt;&gt;"",H$1,"NA"),'MITRE ATT&amp;CK Mappings'!$E165)),ISNUMBER(SEARCH(IF(H$1&lt;&gt;"",H$1,"NA"),'MITRE ATT&amp;CK Mappings'!$F165))),ISNUMBER(SEARCH(IF(H$2&lt;&gt;"",H$2,"NA"),'MITRE ATT&amp;CK Mappings'!$G165))),ISNUMBER(SEARCH(IF(H$2&lt;&gt;"",H$2,"NA"),'MITRE ATT&amp;CK Mappings'!$H165))),ISNUMBER(SEARCH(IF(H$3&lt;&gt;"",H$3,"NA"),'MITRE ATT&amp;CK Mappings'!$I165))),ISNUMBER(SEARCH(IF(H$3&lt;&gt;"",H$3,"NA"),'MITRE ATT&amp;CK Mappings'!$J165))), 'MITRE ATT&amp;CK Mappings'!$B165,"")</f>
        <v/>
      </c>
      <c r="I169" s="27" t="str">
        <f>IF(OR(OR(OR(OR(OR(ISNUMBER(SEARCH(IF(I$1&lt;&gt;"",I$1,"NA"),'MITRE ATT&amp;CK Mappings'!$E165)),ISNUMBER(SEARCH(IF(I$1&lt;&gt;"",I$1,"NA"),'MITRE ATT&amp;CK Mappings'!$F165))),ISNUMBER(SEARCH(IF(I$2&lt;&gt;"",I$2,"NA"),'MITRE ATT&amp;CK Mappings'!$G165))),ISNUMBER(SEARCH(IF(I$2&lt;&gt;"",I$2,"NA"),'MITRE ATT&amp;CK Mappings'!$H165))),ISNUMBER(SEARCH(IF(I$3&lt;&gt;"",I$3,"NA"),'MITRE ATT&amp;CK Mappings'!$I165))),ISNUMBER(SEARCH(IF(I$3&lt;&gt;"",I$3,"NA"),'MITRE ATT&amp;CK Mappings'!$J165))), 'MITRE ATT&amp;CK Mappings'!$B165,"")</f>
        <v/>
      </c>
      <c r="J169" s="27" t="str">
        <f>IF(OR(OR(OR(OR(OR(ISNUMBER(SEARCH(IF(J$1&lt;&gt;"",J$1,"NA"),'MITRE ATT&amp;CK Mappings'!$E165)),ISNUMBER(SEARCH(IF(J$1&lt;&gt;"",J$1,"NA"),'MITRE ATT&amp;CK Mappings'!$F165))),ISNUMBER(SEARCH(IF(J$2&lt;&gt;"",J$2,"NA"),'MITRE ATT&amp;CK Mappings'!$G165))),ISNUMBER(SEARCH(IF(J$2&lt;&gt;"",J$2,"NA"),'MITRE ATT&amp;CK Mappings'!$H165))),ISNUMBER(SEARCH(IF(J$3&lt;&gt;"",J$3,"NA"),'MITRE ATT&amp;CK Mappings'!$I165))),ISNUMBER(SEARCH(IF(J$3&lt;&gt;"",J$3,"NA"),'MITRE ATT&amp;CK Mappings'!$J165))), 'MITRE ATT&amp;CK Mappings'!$B165,"")</f>
        <v/>
      </c>
      <c r="K169" s="27" t="str">
        <f>IF(OR(OR(OR(OR(OR(ISNUMBER(SEARCH(IF(K$1&lt;&gt;"",K$1,"NA"),'MITRE ATT&amp;CK Mappings'!$E165)),ISNUMBER(SEARCH(IF(K$1&lt;&gt;"",K$1,"NA"),'MITRE ATT&amp;CK Mappings'!$F165))),ISNUMBER(SEARCH(IF(K$2&lt;&gt;"",K$2,"NA"),'MITRE ATT&amp;CK Mappings'!$G165))),ISNUMBER(SEARCH(IF(K$2&lt;&gt;"",K$2,"NA"),'MITRE ATT&amp;CK Mappings'!$H165))),ISNUMBER(SEARCH(IF(K$3&lt;&gt;"",K$3,"NA"),'MITRE ATT&amp;CK Mappings'!$I165))),ISNUMBER(SEARCH(IF(K$3&lt;&gt;"",K$3,"NA"),'MITRE ATT&amp;CK Mappings'!$J165))), 'MITRE ATT&amp;CK Mappings'!$B165,"")</f>
        <v/>
      </c>
      <c r="L169" s="27" t="str">
        <f>IF('MITRE ATT&amp;CK Mappings'!D165 &lt;&gt;"",'MITRE ATT&amp;CK Mappings'!D165,"" )</f>
        <v/>
      </c>
    </row>
    <row r="170" spans="1:12" x14ac:dyDescent="0.25">
      <c r="A170" s="26" t="str">
        <f>IF(COUNTIF(B170:K170,"="&amp;'MITRE ATT&amp;CK Mappings'!B166)&gt;0,'MITRE ATT&amp;CK Mappings'!B166,"")</f>
        <v/>
      </c>
      <c r="B170" s="26" t="str">
        <f>IF(OR(OR(OR(OR(OR(ISNUMBER(SEARCH(IF(B$1&lt;&gt;"",B$1,"NA"),'MITRE ATT&amp;CK Mappings'!$E166)),ISNUMBER(SEARCH(IF(B$1&lt;&gt;"",B$1,"NA"),'MITRE ATT&amp;CK Mappings'!$F166))),ISNUMBER(SEARCH(IF(B$2&lt;&gt;"",B$2,"NA"),'MITRE ATT&amp;CK Mappings'!$G166))),ISNUMBER(SEARCH(IF(B$2&lt;&gt;"",B$2,"NA"),'MITRE ATT&amp;CK Mappings'!$H166))),ISNUMBER(SEARCH(IF(B$3&lt;&gt;"",B$3,"NA"),'MITRE ATT&amp;CK Mappings'!$I166))),ISNUMBER(SEARCH(IF(B$3&lt;&gt;"",B$3,"NA"),'MITRE ATT&amp;CK Mappings'!$J166))), 'MITRE ATT&amp;CK Mappings'!$B166,"")</f>
        <v/>
      </c>
      <c r="C170" s="26" t="str">
        <f>IF(OR(OR(OR(OR(OR(ISNUMBER(SEARCH(IF(C$1&lt;&gt;"",C$1,"NA"),'MITRE ATT&amp;CK Mappings'!$E166)),ISNUMBER(SEARCH(IF(C$1&lt;&gt;"",C$1,"NA"),'MITRE ATT&amp;CK Mappings'!$F166))),ISNUMBER(SEARCH(IF(C$2&lt;&gt;"",C$2,"NA"),'MITRE ATT&amp;CK Mappings'!$G166))),ISNUMBER(SEARCH(IF(C$2&lt;&gt;"",C$2,"NA"),'MITRE ATT&amp;CK Mappings'!$H166))),ISNUMBER(SEARCH(IF(C$3&lt;&gt;"",C$3,"NA"),'MITRE ATT&amp;CK Mappings'!$I166))),ISNUMBER(SEARCH(IF(C$3&lt;&gt;"",C$3,"NA"),'MITRE ATT&amp;CK Mappings'!$J166))), 'MITRE ATT&amp;CK Mappings'!$B166,"")</f>
        <v/>
      </c>
      <c r="D170" s="26" t="str">
        <f>IF(OR(OR(OR(OR(OR(ISNUMBER(SEARCH(IF(D$1&lt;&gt;"",D$1,"NA"),'MITRE ATT&amp;CK Mappings'!$E166)),ISNUMBER(SEARCH(IF(D$1&lt;&gt;"",D$1,"NA"),'MITRE ATT&amp;CK Mappings'!$F166))),ISNUMBER(SEARCH(IF(D$2&lt;&gt;"",D$2,"NA"),'MITRE ATT&amp;CK Mappings'!$G166))),ISNUMBER(SEARCH(IF(D$2&lt;&gt;"",D$2,"NA"),'MITRE ATT&amp;CK Mappings'!$H166))),ISNUMBER(SEARCH(IF(D$3&lt;&gt;"",D$3,"NA"),'MITRE ATT&amp;CK Mappings'!$I166))),ISNUMBER(SEARCH(IF(D$3&lt;&gt;"",D$3,"NA"),'MITRE ATT&amp;CK Mappings'!$J166))), 'MITRE ATT&amp;CK Mappings'!$B166,"")</f>
        <v/>
      </c>
      <c r="E170" s="26" t="str">
        <f>IF(OR(OR(OR(OR(OR(ISNUMBER(SEARCH(IF(E$1&lt;&gt;"",E$1,"NA"),'MITRE ATT&amp;CK Mappings'!$E166)),ISNUMBER(SEARCH(IF(E$1&lt;&gt;"",E$1,"NA"),'MITRE ATT&amp;CK Mappings'!$F166))),ISNUMBER(SEARCH(IF(E$2&lt;&gt;"",E$2,"NA"),'MITRE ATT&amp;CK Mappings'!$G166))),ISNUMBER(SEARCH(IF(E$2&lt;&gt;"",E$2,"NA"),'MITRE ATT&amp;CK Mappings'!$H166))),ISNUMBER(SEARCH(IF(E$3&lt;&gt;"",E$3,"NA"),'MITRE ATT&amp;CK Mappings'!$I166))),ISNUMBER(SEARCH(IF(E$3&lt;&gt;"",E$3,"NA"),'MITRE ATT&amp;CK Mappings'!$J166))), 'MITRE ATT&amp;CK Mappings'!$B166,"")</f>
        <v/>
      </c>
      <c r="F170" s="26" t="str">
        <f>IF(OR(OR(OR(OR(OR(ISNUMBER(SEARCH(IF(F$1&lt;&gt;"",F$1,"NA"),'MITRE ATT&amp;CK Mappings'!$E166)),ISNUMBER(SEARCH(IF(F$1&lt;&gt;"",F$1,"NA"),'MITRE ATT&amp;CK Mappings'!$F166))),ISNUMBER(SEARCH(IF(F$2&lt;&gt;"",F$2,"NA"),'MITRE ATT&amp;CK Mappings'!$G166))),ISNUMBER(SEARCH(IF(F$2&lt;&gt;"",F$2,"NA"),'MITRE ATT&amp;CK Mappings'!$H166))),ISNUMBER(SEARCH(IF(F$3&lt;&gt;"",F$3,"NA"),'MITRE ATT&amp;CK Mappings'!$I166))),ISNUMBER(SEARCH(IF(F$3&lt;&gt;"",F$3,"NA"),'MITRE ATT&amp;CK Mappings'!$J166))), 'MITRE ATT&amp;CK Mappings'!$B166,"")</f>
        <v/>
      </c>
      <c r="G170" s="26" t="str">
        <f>IF(OR(OR(OR(OR(OR(ISNUMBER(SEARCH(IF(G$1&lt;&gt;"",G$1,"NA"),'MITRE ATT&amp;CK Mappings'!$E166)),ISNUMBER(SEARCH(IF(G$1&lt;&gt;"",G$1,"NA"),'MITRE ATT&amp;CK Mappings'!$F166))),ISNUMBER(SEARCH(IF(G$2&lt;&gt;"",G$2,"NA"),'MITRE ATT&amp;CK Mappings'!$G166))),ISNUMBER(SEARCH(IF(G$2&lt;&gt;"",G$2,"NA"),'MITRE ATT&amp;CK Mappings'!$H166))),ISNUMBER(SEARCH(IF(G$3&lt;&gt;"",G$3,"NA"),'MITRE ATT&amp;CK Mappings'!$I166))),ISNUMBER(SEARCH(IF(G$3&lt;&gt;"",G$3,"NA"),'MITRE ATT&amp;CK Mappings'!$J166))), 'MITRE ATT&amp;CK Mappings'!$B166,"")</f>
        <v/>
      </c>
      <c r="H170" s="26" t="str">
        <f>IF(OR(OR(OR(OR(OR(ISNUMBER(SEARCH(IF(H$1&lt;&gt;"",H$1,"NA"),'MITRE ATT&amp;CK Mappings'!$E166)),ISNUMBER(SEARCH(IF(H$1&lt;&gt;"",H$1,"NA"),'MITRE ATT&amp;CK Mappings'!$F166))),ISNUMBER(SEARCH(IF(H$2&lt;&gt;"",H$2,"NA"),'MITRE ATT&amp;CK Mappings'!$G166))),ISNUMBER(SEARCH(IF(H$2&lt;&gt;"",H$2,"NA"),'MITRE ATT&amp;CK Mappings'!$H166))),ISNUMBER(SEARCH(IF(H$3&lt;&gt;"",H$3,"NA"),'MITRE ATT&amp;CK Mappings'!$I166))),ISNUMBER(SEARCH(IF(H$3&lt;&gt;"",H$3,"NA"),'MITRE ATT&amp;CK Mappings'!$J166))), 'MITRE ATT&amp;CK Mappings'!$B166,"")</f>
        <v/>
      </c>
      <c r="I170" s="26" t="str">
        <f>IF(OR(OR(OR(OR(OR(ISNUMBER(SEARCH(IF(I$1&lt;&gt;"",I$1,"NA"),'MITRE ATT&amp;CK Mappings'!$E166)),ISNUMBER(SEARCH(IF(I$1&lt;&gt;"",I$1,"NA"),'MITRE ATT&amp;CK Mappings'!$F166))),ISNUMBER(SEARCH(IF(I$2&lt;&gt;"",I$2,"NA"),'MITRE ATT&amp;CK Mappings'!$G166))),ISNUMBER(SEARCH(IF(I$2&lt;&gt;"",I$2,"NA"),'MITRE ATT&amp;CK Mappings'!$H166))),ISNUMBER(SEARCH(IF(I$3&lt;&gt;"",I$3,"NA"),'MITRE ATT&amp;CK Mappings'!$I166))),ISNUMBER(SEARCH(IF(I$3&lt;&gt;"",I$3,"NA"),'MITRE ATT&amp;CK Mappings'!$J166))), 'MITRE ATT&amp;CK Mappings'!$B166,"")</f>
        <v/>
      </c>
      <c r="J170" s="26" t="str">
        <f>IF(OR(OR(OR(OR(OR(ISNUMBER(SEARCH(IF(J$1&lt;&gt;"",J$1,"NA"),'MITRE ATT&amp;CK Mappings'!$E166)),ISNUMBER(SEARCH(IF(J$1&lt;&gt;"",J$1,"NA"),'MITRE ATT&amp;CK Mappings'!$F166))),ISNUMBER(SEARCH(IF(J$2&lt;&gt;"",J$2,"NA"),'MITRE ATT&amp;CK Mappings'!$G166))),ISNUMBER(SEARCH(IF(J$2&lt;&gt;"",J$2,"NA"),'MITRE ATT&amp;CK Mappings'!$H166))),ISNUMBER(SEARCH(IF(J$3&lt;&gt;"",J$3,"NA"),'MITRE ATT&amp;CK Mappings'!$I166))),ISNUMBER(SEARCH(IF(J$3&lt;&gt;"",J$3,"NA"),'MITRE ATT&amp;CK Mappings'!$J166))), 'MITRE ATT&amp;CK Mappings'!$B166,"")</f>
        <v/>
      </c>
      <c r="K170" s="26" t="str">
        <f>IF(OR(OR(OR(OR(OR(ISNUMBER(SEARCH(IF(K$1&lt;&gt;"",K$1,"NA"),'MITRE ATT&amp;CK Mappings'!$E166)),ISNUMBER(SEARCH(IF(K$1&lt;&gt;"",K$1,"NA"),'MITRE ATT&amp;CK Mappings'!$F166))),ISNUMBER(SEARCH(IF(K$2&lt;&gt;"",K$2,"NA"),'MITRE ATT&amp;CK Mappings'!$G166))),ISNUMBER(SEARCH(IF(K$2&lt;&gt;"",K$2,"NA"),'MITRE ATT&amp;CK Mappings'!$H166))),ISNUMBER(SEARCH(IF(K$3&lt;&gt;"",K$3,"NA"),'MITRE ATT&amp;CK Mappings'!$I166))),ISNUMBER(SEARCH(IF(K$3&lt;&gt;"",K$3,"NA"),'MITRE ATT&amp;CK Mappings'!$J166))), 'MITRE ATT&amp;CK Mappings'!$B166,"")</f>
        <v/>
      </c>
      <c r="L170" s="26" t="str">
        <f>IF('MITRE ATT&amp;CK Mappings'!D166 &lt;&gt;"",'MITRE ATT&amp;CK Mappings'!D166,"" )</f>
        <v/>
      </c>
    </row>
    <row r="171" spans="1:12" x14ac:dyDescent="0.25">
      <c r="A171" s="27" t="str">
        <f>IF(COUNTIF(B171:K171,"="&amp;'MITRE ATT&amp;CK Mappings'!B167)&gt;0,'MITRE ATT&amp;CK Mappings'!B167,"")</f>
        <v/>
      </c>
      <c r="B171" s="27" t="str">
        <f>IF(OR(OR(OR(OR(OR(ISNUMBER(SEARCH(IF(B$1&lt;&gt;"",B$1,"NA"),'MITRE ATT&amp;CK Mappings'!$E167)),ISNUMBER(SEARCH(IF(B$1&lt;&gt;"",B$1,"NA"),'MITRE ATT&amp;CK Mappings'!$F167))),ISNUMBER(SEARCH(IF(B$2&lt;&gt;"",B$2,"NA"),'MITRE ATT&amp;CK Mappings'!$G167))),ISNUMBER(SEARCH(IF(B$2&lt;&gt;"",B$2,"NA"),'MITRE ATT&amp;CK Mappings'!$H167))),ISNUMBER(SEARCH(IF(B$3&lt;&gt;"",B$3,"NA"),'MITRE ATT&amp;CK Mappings'!$I167))),ISNUMBER(SEARCH(IF(B$3&lt;&gt;"",B$3,"NA"),'MITRE ATT&amp;CK Mappings'!$J167))), 'MITRE ATT&amp;CK Mappings'!$B167,"")</f>
        <v/>
      </c>
      <c r="C171" s="27" t="str">
        <f>IF(OR(OR(OR(OR(OR(ISNUMBER(SEARCH(IF(C$1&lt;&gt;"",C$1,"NA"),'MITRE ATT&amp;CK Mappings'!$E167)),ISNUMBER(SEARCH(IF(C$1&lt;&gt;"",C$1,"NA"),'MITRE ATT&amp;CK Mappings'!$F167))),ISNUMBER(SEARCH(IF(C$2&lt;&gt;"",C$2,"NA"),'MITRE ATT&amp;CK Mappings'!$G167))),ISNUMBER(SEARCH(IF(C$2&lt;&gt;"",C$2,"NA"),'MITRE ATT&amp;CK Mappings'!$H167))),ISNUMBER(SEARCH(IF(C$3&lt;&gt;"",C$3,"NA"),'MITRE ATT&amp;CK Mappings'!$I167))),ISNUMBER(SEARCH(IF(C$3&lt;&gt;"",C$3,"NA"),'MITRE ATT&amp;CK Mappings'!$J167))), 'MITRE ATT&amp;CK Mappings'!$B167,"")</f>
        <v/>
      </c>
      <c r="D171" s="27" t="str">
        <f>IF(OR(OR(OR(OR(OR(ISNUMBER(SEARCH(IF(D$1&lt;&gt;"",D$1,"NA"),'MITRE ATT&amp;CK Mappings'!$E167)),ISNUMBER(SEARCH(IF(D$1&lt;&gt;"",D$1,"NA"),'MITRE ATT&amp;CK Mappings'!$F167))),ISNUMBER(SEARCH(IF(D$2&lt;&gt;"",D$2,"NA"),'MITRE ATT&amp;CK Mappings'!$G167))),ISNUMBER(SEARCH(IF(D$2&lt;&gt;"",D$2,"NA"),'MITRE ATT&amp;CK Mappings'!$H167))),ISNUMBER(SEARCH(IF(D$3&lt;&gt;"",D$3,"NA"),'MITRE ATT&amp;CK Mappings'!$I167))),ISNUMBER(SEARCH(IF(D$3&lt;&gt;"",D$3,"NA"),'MITRE ATT&amp;CK Mappings'!$J167))), 'MITRE ATT&amp;CK Mappings'!$B167,"")</f>
        <v/>
      </c>
      <c r="E171" s="27" t="str">
        <f>IF(OR(OR(OR(OR(OR(ISNUMBER(SEARCH(IF(E$1&lt;&gt;"",E$1,"NA"),'MITRE ATT&amp;CK Mappings'!$E167)),ISNUMBER(SEARCH(IF(E$1&lt;&gt;"",E$1,"NA"),'MITRE ATT&amp;CK Mappings'!$F167))),ISNUMBER(SEARCH(IF(E$2&lt;&gt;"",E$2,"NA"),'MITRE ATT&amp;CK Mappings'!$G167))),ISNUMBER(SEARCH(IF(E$2&lt;&gt;"",E$2,"NA"),'MITRE ATT&amp;CK Mappings'!$H167))),ISNUMBER(SEARCH(IF(E$3&lt;&gt;"",E$3,"NA"),'MITRE ATT&amp;CK Mappings'!$I167))),ISNUMBER(SEARCH(IF(E$3&lt;&gt;"",E$3,"NA"),'MITRE ATT&amp;CK Mappings'!$J167))), 'MITRE ATT&amp;CK Mappings'!$B167,"")</f>
        <v/>
      </c>
      <c r="F171" s="27" t="str">
        <f>IF(OR(OR(OR(OR(OR(ISNUMBER(SEARCH(IF(F$1&lt;&gt;"",F$1,"NA"),'MITRE ATT&amp;CK Mappings'!$E167)),ISNUMBER(SEARCH(IF(F$1&lt;&gt;"",F$1,"NA"),'MITRE ATT&amp;CK Mappings'!$F167))),ISNUMBER(SEARCH(IF(F$2&lt;&gt;"",F$2,"NA"),'MITRE ATT&amp;CK Mappings'!$G167))),ISNUMBER(SEARCH(IF(F$2&lt;&gt;"",F$2,"NA"),'MITRE ATT&amp;CK Mappings'!$H167))),ISNUMBER(SEARCH(IF(F$3&lt;&gt;"",F$3,"NA"),'MITRE ATT&amp;CK Mappings'!$I167))),ISNUMBER(SEARCH(IF(F$3&lt;&gt;"",F$3,"NA"),'MITRE ATT&amp;CK Mappings'!$J167))), 'MITRE ATT&amp;CK Mappings'!$B167,"")</f>
        <v/>
      </c>
      <c r="G171" s="27" t="str">
        <f>IF(OR(OR(OR(OR(OR(ISNUMBER(SEARCH(IF(G$1&lt;&gt;"",G$1,"NA"),'MITRE ATT&amp;CK Mappings'!$E167)),ISNUMBER(SEARCH(IF(G$1&lt;&gt;"",G$1,"NA"),'MITRE ATT&amp;CK Mappings'!$F167))),ISNUMBER(SEARCH(IF(G$2&lt;&gt;"",G$2,"NA"),'MITRE ATT&amp;CK Mappings'!$G167))),ISNUMBER(SEARCH(IF(G$2&lt;&gt;"",G$2,"NA"),'MITRE ATT&amp;CK Mappings'!$H167))),ISNUMBER(SEARCH(IF(G$3&lt;&gt;"",G$3,"NA"),'MITRE ATT&amp;CK Mappings'!$I167))),ISNUMBER(SEARCH(IF(G$3&lt;&gt;"",G$3,"NA"),'MITRE ATT&amp;CK Mappings'!$J167))), 'MITRE ATT&amp;CK Mappings'!$B167,"")</f>
        <v/>
      </c>
      <c r="H171" s="27" t="str">
        <f>IF(OR(OR(OR(OR(OR(ISNUMBER(SEARCH(IF(H$1&lt;&gt;"",H$1,"NA"),'MITRE ATT&amp;CK Mappings'!$E167)),ISNUMBER(SEARCH(IF(H$1&lt;&gt;"",H$1,"NA"),'MITRE ATT&amp;CK Mappings'!$F167))),ISNUMBER(SEARCH(IF(H$2&lt;&gt;"",H$2,"NA"),'MITRE ATT&amp;CK Mappings'!$G167))),ISNUMBER(SEARCH(IF(H$2&lt;&gt;"",H$2,"NA"),'MITRE ATT&amp;CK Mappings'!$H167))),ISNUMBER(SEARCH(IF(H$3&lt;&gt;"",H$3,"NA"),'MITRE ATT&amp;CK Mappings'!$I167))),ISNUMBER(SEARCH(IF(H$3&lt;&gt;"",H$3,"NA"),'MITRE ATT&amp;CK Mappings'!$J167))), 'MITRE ATT&amp;CK Mappings'!$B167,"")</f>
        <v/>
      </c>
      <c r="I171" s="27" t="str">
        <f>IF(OR(OR(OR(OR(OR(ISNUMBER(SEARCH(IF(I$1&lt;&gt;"",I$1,"NA"),'MITRE ATT&amp;CK Mappings'!$E167)),ISNUMBER(SEARCH(IF(I$1&lt;&gt;"",I$1,"NA"),'MITRE ATT&amp;CK Mappings'!$F167))),ISNUMBER(SEARCH(IF(I$2&lt;&gt;"",I$2,"NA"),'MITRE ATT&amp;CK Mappings'!$G167))),ISNUMBER(SEARCH(IF(I$2&lt;&gt;"",I$2,"NA"),'MITRE ATT&amp;CK Mappings'!$H167))),ISNUMBER(SEARCH(IF(I$3&lt;&gt;"",I$3,"NA"),'MITRE ATT&amp;CK Mappings'!$I167))),ISNUMBER(SEARCH(IF(I$3&lt;&gt;"",I$3,"NA"),'MITRE ATT&amp;CK Mappings'!$J167))), 'MITRE ATT&amp;CK Mappings'!$B167,"")</f>
        <v/>
      </c>
      <c r="J171" s="27" t="str">
        <f>IF(OR(OR(OR(OR(OR(ISNUMBER(SEARCH(IF(J$1&lt;&gt;"",J$1,"NA"),'MITRE ATT&amp;CK Mappings'!$E167)),ISNUMBER(SEARCH(IF(J$1&lt;&gt;"",J$1,"NA"),'MITRE ATT&amp;CK Mappings'!$F167))),ISNUMBER(SEARCH(IF(J$2&lt;&gt;"",J$2,"NA"),'MITRE ATT&amp;CK Mappings'!$G167))),ISNUMBER(SEARCH(IF(J$2&lt;&gt;"",J$2,"NA"),'MITRE ATT&amp;CK Mappings'!$H167))),ISNUMBER(SEARCH(IF(J$3&lt;&gt;"",J$3,"NA"),'MITRE ATT&amp;CK Mappings'!$I167))),ISNUMBER(SEARCH(IF(J$3&lt;&gt;"",J$3,"NA"),'MITRE ATT&amp;CK Mappings'!$J167))), 'MITRE ATT&amp;CK Mappings'!$B167,"")</f>
        <v/>
      </c>
      <c r="K171" s="27" t="str">
        <f>IF(OR(OR(OR(OR(OR(ISNUMBER(SEARCH(IF(K$1&lt;&gt;"",K$1,"NA"),'MITRE ATT&amp;CK Mappings'!$E167)),ISNUMBER(SEARCH(IF(K$1&lt;&gt;"",K$1,"NA"),'MITRE ATT&amp;CK Mappings'!$F167))),ISNUMBER(SEARCH(IF(K$2&lt;&gt;"",K$2,"NA"),'MITRE ATT&amp;CK Mappings'!$G167))),ISNUMBER(SEARCH(IF(K$2&lt;&gt;"",K$2,"NA"),'MITRE ATT&amp;CK Mappings'!$H167))),ISNUMBER(SEARCH(IF(K$3&lt;&gt;"",K$3,"NA"),'MITRE ATT&amp;CK Mappings'!$I167))),ISNUMBER(SEARCH(IF(K$3&lt;&gt;"",K$3,"NA"),'MITRE ATT&amp;CK Mappings'!$J167))), 'MITRE ATT&amp;CK Mappings'!$B167,"")</f>
        <v/>
      </c>
      <c r="L171" s="27" t="str">
        <f>IF('MITRE ATT&amp;CK Mappings'!D167 &lt;&gt;"",'MITRE ATT&amp;CK Mappings'!D167,"" )</f>
        <v/>
      </c>
    </row>
    <row r="172" spans="1:12" x14ac:dyDescent="0.25">
      <c r="A172" s="26" t="str">
        <f>IF(COUNTIF(B172:K172,"="&amp;'MITRE ATT&amp;CK Mappings'!B168)&gt;0,'MITRE ATT&amp;CK Mappings'!B168,"")</f>
        <v/>
      </c>
      <c r="B172" s="26" t="str">
        <f>IF(OR(OR(OR(OR(OR(ISNUMBER(SEARCH(IF(B$1&lt;&gt;"",B$1,"NA"),'MITRE ATT&amp;CK Mappings'!$E168)),ISNUMBER(SEARCH(IF(B$1&lt;&gt;"",B$1,"NA"),'MITRE ATT&amp;CK Mappings'!$F168))),ISNUMBER(SEARCH(IF(B$2&lt;&gt;"",B$2,"NA"),'MITRE ATT&amp;CK Mappings'!$G168))),ISNUMBER(SEARCH(IF(B$2&lt;&gt;"",B$2,"NA"),'MITRE ATT&amp;CK Mappings'!$H168))),ISNUMBER(SEARCH(IF(B$3&lt;&gt;"",B$3,"NA"),'MITRE ATT&amp;CK Mappings'!$I168))),ISNUMBER(SEARCH(IF(B$3&lt;&gt;"",B$3,"NA"),'MITRE ATT&amp;CK Mappings'!$J168))), 'MITRE ATT&amp;CK Mappings'!$B168,"")</f>
        <v/>
      </c>
      <c r="C172" s="26" t="str">
        <f>IF(OR(OR(OR(OR(OR(ISNUMBER(SEARCH(IF(C$1&lt;&gt;"",C$1,"NA"),'MITRE ATT&amp;CK Mappings'!$E168)),ISNUMBER(SEARCH(IF(C$1&lt;&gt;"",C$1,"NA"),'MITRE ATT&amp;CK Mappings'!$F168))),ISNUMBER(SEARCH(IF(C$2&lt;&gt;"",C$2,"NA"),'MITRE ATT&amp;CK Mappings'!$G168))),ISNUMBER(SEARCH(IF(C$2&lt;&gt;"",C$2,"NA"),'MITRE ATT&amp;CK Mappings'!$H168))),ISNUMBER(SEARCH(IF(C$3&lt;&gt;"",C$3,"NA"),'MITRE ATT&amp;CK Mappings'!$I168))),ISNUMBER(SEARCH(IF(C$3&lt;&gt;"",C$3,"NA"),'MITRE ATT&amp;CK Mappings'!$J168))), 'MITRE ATT&amp;CK Mappings'!$B168,"")</f>
        <v/>
      </c>
      <c r="D172" s="26" t="str">
        <f>IF(OR(OR(OR(OR(OR(ISNUMBER(SEARCH(IF(D$1&lt;&gt;"",D$1,"NA"),'MITRE ATT&amp;CK Mappings'!$E168)),ISNUMBER(SEARCH(IF(D$1&lt;&gt;"",D$1,"NA"),'MITRE ATT&amp;CK Mappings'!$F168))),ISNUMBER(SEARCH(IF(D$2&lt;&gt;"",D$2,"NA"),'MITRE ATT&amp;CK Mappings'!$G168))),ISNUMBER(SEARCH(IF(D$2&lt;&gt;"",D$2,"NA"),'MITRE ATT&amp;CK Mappings'!$H168))),ISNUMBER(SEARCH(IF(D$3&lt;&gt;"",D$3,"NA"),'MITRE ATT&amp;CK Mappings'!$I168))),ISNUMBER(SEARCH(IF(D$3&lt;&gt;"",D$3,"NA"),'MITRE ATT&amp;CK Mappings'!$J168))), 'MITRE ATT&amp;CK Mappings'!$B168,"")</f>
        <v/>
      </c>
      <c r="E172" s="26" t="str">
        <f>IF(OR(OR(OR(OR(OR(ISNUMBER(SEARCH(IF(E$1&lt;&gt;"",E$1,"NA"),'MITRE ATT&amp;CK Mappings'!$E168)),ISNUMBER(SEARCH(IF(E$1&lt;&gt;"",E$1,"NA"),'MITRE ATT&amp;CK Mappings'!$F168))),ISNUMBER(SEARCH(IF(E$2&lt;&gt;"",E$2,"NA"),'MITRE ATT&amp;CK Mappings'!$G168))),ISNUMBER(SEARCH(IF(E$2&lt;&gt;"",E$2,"NA"),'MITRE ATT&amp;CK Mappings'!$H168))),ISNUMBER(SEARCH(IF(E$3&lt;&gt;"",E$3,"NA"),'MITRE ATT&amp;CK Mappings'!$I168))),ISNUMBER(SEARCH(IF(E$3&lt;&gt;"",E$3,"NA"),'MITRE ATT&amp;CK Mappings'!$J168))), 'MITRE ATT&amp;CK Mappings'!$B168,"")</f>
        <v/>
      </c>
      <c r="F172" s="26" t="str">
        <f>IF(OR(OR(OR(OR(OR(ISNUMBER(SEARCH(IF(F$1&lt;&gt;"",F$1,"NA"),'MITRE ATT&amp;CK Mappings'!$E168)),ISNUMBER(SEARCH(IF(F$1&lt;&gt;"",F$1,"NA"),'MITRE ATT&amp;CK Mappings'!$F168))),ISNUMBER(SEARCH(IF(F$2&lt;&gt;"",F$2,"NA"),'MITRE ATT&amp;CK Mappings'!$G168))),ISNUMBER(SEARCH(IF(F$2&lt;&gt;"",F$2,"NA"),'MITRE ATT&amp;CK Mappings'!$H168))),ISNUMBER(SEARCH(IF(F$3&lt;&gt;"",F$3,"NA"),'MITRE ATT&amp;CK Mappings'!$I168))),ISNUMBER(SEARCH(IF(F$3&lt;&gt;"",F$3,"NA"),'MITRE ATT&amp;CK Mappings'!$J168))), 'MITRE ATT&amp;CK Mappings'!$B168,"")</f>
        <v/>
      </c>
      <c r="G172" s="26" t="str">
        <f>IF(OR(OR(OR(OR(OR(ISNUMBER(SEARCH(IF(G$1&lt;&gt;"",G$1,"NA"),'MITRE ATT&amp;CK Mappings'!$E168)),ISNUMBER(SEARCH(IF(G$1&lt;&gt;"",G$1,"NA"),'MITRE ATT&amp;CK Mappings'!$F168))),ISNUMBER(SEARCH(IF(G$2&lt;&gt;"",G$2,"NA"),'MITRE ATT&amp;CK Mappings'!$G168))),ISNUMBER(SEARCH(IF(G$2&lt;&gt;"",G$2,"NA"),'MITRE ATT&amp;CK Mappings'!$H168))),ISNUMBER(SEARCH(IF(G$3&lt;&gt;"",G$3,"NA"),'MITRE ATT&amp;CK Mappings'!$I168))),ISNUMBER(SEARCH(IF(G$3&lt;&gt;"",G$3,"NA"),'MITRE ATT&amp;CK Mappings'!$J168))), 'MITRE ATT&amp;CK Mappings'!$B168,"")</f>
        <v/>
      </c>
      <c r="H172" s="26" t="str">
        <f>IF(OR(OR(OR(OR(OR(ISNUMBER(SEARCH(IF(H$1&lt;&gt;"",H$1,"NA"),'MITRE ATT&amp;CK Mappings'!$E168)),ISNUMBER(SEARCH(IF(H$1&lt;&gt;"",H$1,"NA"),'MITRE ATT&amp;CK Mappings'!$F168))),ISNUMBER(SEARCH(IF(H$2&lt;&gt;"",H$2,"NA"),'MITRE ATT&amp;CK Mappings'!$G168))),ISNUMBER(SEARCH(IF(H$2&lt;&gt;"",H$2,"NA"),'MITRE ATT&amp;CK Mappings'!$H168))),ISNUMBER(SEARCH(IF(H$3&lt;&gt;"",H$3,"NA"),'MITRE ATT&amp;CK Mappings'!$I168))),ISNUMBER(SEARCH(IF(H$3&lt;&gt;"",H$3,"NA"),'MITRE ATT&amp;CK Mappings'!$J168))), 'MITRE ATT&amp;CK Mappings'!$B168,"")</f>
        <v/>
      </c>
      <c r="I172" s="26" t="str">
        <f>IF(OR(OR(OR(OR(OR(ISNUMBER(SEARCH(IF(I$1&lt;&gt;"",I$1,"NA"),'MITRE ATT&amp;CK Mappings'!$E168)),ISNUMBER(SEARCH(IF(I$1&lt;&gt;"",I$1,"NA"),'MITRE ATT&amp;CK Mappings'!$F168))),ISNUMBER(SEARCH(IF(I$2&lt;&gt;"",I$2,"NA"),'MITRE ATT&amp;CK Mappings'!$G168))),ISNUMBER(SEARCH(IF(I$2&lt;&gt;"",I$2,"NA"),'MITRE ATT&amp;CK Mappings'!$H168))),ISNUMBER(SEARCH(IF(I$3&lt;&gt;"",I$3,"NA"),'MITRE ATT&amp;CK Mappings'!$I168))),ISNUMBER(SEARCH(IF(I$3&lt;&gt;"",I$3,"NA"),'MITRE ATT&amp;CK Mappings'!$J168))), 'MITRE ATT&amp;CK Mappings'!$B168,"")</f>
        <v/>
      </c>
      <c r="J172" s="26" t="str">
        <f>IF(OR(OR(OR(OR(OR(ISNUMBER(SEARCH(IF(J$1&lt;&gt;"",J$1,"NA"),'MITRE ATT&amp;CK Mappings'!$E168)),ISNUMBER(SEARCH(IF(J$1&lt;&gt;"",J$1,"NA"),'MITRE ATT&amp;CK Mappings'!$F168))),ISNUMBER(SEARCH(IF(J$2&lt;&gt;"",J$2,"NA"),'MITRE ATT&amp;CK Mappings'!$G168))),ISNUMBER(SEARCH(IF(J$2&lt;&gt;"",J$2,"NA"),'MITRE ATT&amp;CK Mappings'!$H168))),ISNUMBER(SEARCH(IF(J$3&lt;&gt;"",J$3,"NA"),'MITRE ATT&amp;CK Mappings'!$I168))),ISNUMBER(SEARCH(IF(J$3&lt;&gt;"",J$3,"NA"),'MITRE ATT&amp;CK Mappings'!$J168))), 'MITRE ATT&amp;CK Mappings'!$B168,"")</f>
        <v/>
      </c>
      <c r="K172" s="26" t="str">
        <f>IF(OR(OR(OR(OR(OR(ISNUMBER(SEARCH(IF(K$1&lt;&gt;"",K$1,"NA"),'MITRE ATT&amp;CK Mappings'!$E168)),ISNUMBER(SEARCH(IF(K$1&lt;&gt;"",K$1,"NA"),'MITRE ATT&amp;CK Mappings'!$F168))),ISNUMBER(SEARCH(IF(K$2&lt;&gt;"",K$2,"NA"),'MITRE ATT&amp;CK Mappings'!$G168))),ISNUMBER(SEARCH(IF(K$2&lt;&gt;"",K$2,"NA"),'MITRE ATT&amp;CK Mappings'!$H168))),ISNUMBER(SEARCH(IF(K$3&lt;&gt;"",K$3,"NA"),'MITRE ATT&amp;CK Mappings'!$I168))),ISNUMBER(SEARCH(IF(K$3&lt;&gt;"",K$3,"NA"),'MITRE ATT&amp;CK Mappings'!$J168))), 'MITRE ATT&amp;CK Mappings'!$B168,"")</f>
        <v/>
      </c>
      <c r="L172" s="26" t="str">
        <f>IF('MITRE ATT&amp;CK Mappings'!D168 &lt;&gt;"",'MITRE ATT&amp;CK Mappings'!D168,"" )</f>
        <v/>
      </c>
    </row>
    <row r="173" spans="1:12" x14ac:dyDescent="0.25">
      <c r="A173" s="27" t="str">
        <f>IF(COUNTIF(B173:K173,"="&amp;'MITRE ATT&amp;CK Mappings'!B169)&gt;0,'MITRE ATT&amp;CK Mappings'!B169,"")</f>
        <v/>
      </c>
      <c r="B173" s="27" t="str">
        <f>IF(OR(OR(OR(OR(OR(ISNUMBER(SEARCH(IF(B$1&lt;&gt;"",B$1,"NA"),'MITRE ATT&amp;CK Mappings'!$E169)),ISNUMBER(SEARCH(IF(B$1&lt;&gt;"",B$1,"NA"),'MITRE ATT&amp;CK Mappings'!$F169))),ISNUMBER(SEARCH(IF(B$2&lt;&gt;"",B$2,"NA"),'MITRE ATT&amp;CK Mappings'!$G169))),ISNUMBER(SEARCH(IF(B$2&lt;&gt;"",B$2,"NA"),'MITRE ATT&amp;CK Mappings'!$H169))),ISNUMBER(SEARCH(IF(B$3&lt;&gt;"",B$3,"NA"),'MITRE ATT&amp;CK Mappings'!$I169))),ISNUMBER(SEARCH(IF(B$3&lt;&gt;"",B$3,"NA"),'MITRE ATT&amp;CK Mappings'!$J169))), 'MITRE ATT&amp;CK Mappings'!$B169,"")</f>
        <v/>
      </c>
      <c r="C173" s="27" t="str">
        <f>IF(OR(OR(OR(OR(OR(ISNUMBER(SEARCH(IF(C$1&lt;&gt;"",C$1,"NA"),'MITRE ATT&amp;CK Mappings'!$E169)),ISNUMBER(SEARCH(IF(C$1&lt;&gt;"",C$1,"NA"),'MITRE ATT&amp;CK Mappings'!$F169))),ISNUMBER(SEARCH(IF(C$2&lt;&gt;"",C$2,"NA"),'MITRE ATT&amp;CK Mappings'!$G169))),ISNUMBER(SEARCH(IF(C$2&lt;&gt;"",C$2,"NA"),'MITRE ATT&amp;CK Mappings'!$H169))),ISNUMBER(SEARCH(IF(C$3&lt;&gt;"",C$3,"NA"),'MITRE ATT&amp;CK Mappings'!$I169))),ISNUMBER(SEARCH(IF(C$3&lt;&gt;"",C$3,"NA"),'MITRE ATT&amp;CK Mappings'!$J169))), 'MITRE ATT&amp;CK Mappings'!$B169,"")</f>
        <v/>
      </c>
      <c r="D173" s="27" t="str">
        <f>IF(OR(OR(OR(OR(OR(ISNUMBER(SEARCH(IF(D$1&lt;&gt;"",D$1,"NA"),'MITRE ATT&amp;CK Mappings'!$E169)),ISNUMBER(SEARCH(IF(D$1&lt;&gt;"",D$1,"NA"),'MITRE ATT&amp;CK Mappings'!$F169))),ISNUMBER(SEARCH(IF(D$2&lt;&gt;"",D$2,"NA"),'MITRE ATT&amp;CK Mappings'!$G169))),ISNUMBER(SEARCH(IF(D$2&lt;&gt;"",D$2,"NA"),'MITRE ATT&amp;CK Mappings'!$H169))),ISNUMBER(SEARCH(IF(D$3&lt;&gt;"",D$3,"NA"),'MITRE ATT&amp;CK Mappings'!$I169))),ISNUMBER(SEARCH(IF(D$3&lt;&gt;"",D$3,"NA"),'MITRE ATT&amp;CK Mappings'!$J169))), 'MITRE ATT&amp;CK Mappings'!$B169,"")</f>
        <v/>
      </c>
      <c r="E173" s="27" t="str">
        <f>IF(OR(OR(OR(OR(OR(ISNUMBER(SEARCH(IF(E$1&lt;&gt;"",E$1,"NA"),'MITRE ATT&amp;CK Mappings'!$E169)),ISNUMBER(SEARCH(IF(E$1&lt;&gt;"",E$1,"NA"),'MITRE ATT&amp;CK Mappings'!$F169))),ISNUMBER(SEARCH(IF(E$2&lt;&gt;"",E$2,"NA"),'MITRE ATT&amp;CK Mappings'!$G169))),ISNUMBER(SEARCH(IF(E$2&lt;&gt;"",E$2,"NA"),'MITRE ATT&amp;CK Mappings'!$H169))),ISNUMBER(SEARCH(IF(E$3&lt;&gt;"",E$3,"NA"),'MITRE ATT&amp;CK Mappings'!$I169))),ISNUMBER(SEARCH(IF(E$3&lt;&gt;"",E$3,"NA"),'MITRE ATT&amp;CK Mappings'!$J169))), 'MITRE ATT&amp;CK Mappings'!$B169,"")</f>
        <v/>
      </c>
      <c r="F173" s="27" t="str">
        <f>IF(OR(OR(OR(OR(OR(ISNUMBER(SEARCH(IF(F$1&lt;&gt;"",F$1,"NA"),'MITRE ATT&amp;CK Mappings'!$E169)),ISNUMBER(SEARCH(IF(F$1&lt;&gt;"",F$1,"NA"),'MITRE ATT&amp;CK Mappings'!$F169))),ISNUMBER(SEARCH(IF(F$2&lt;&gt;"",F$2,"NA"),'MITRE ATT&amp;CK Mappings'!$G169))),ISNUMBER(SEARCH(IF(F$2&lt;&gt;"",F$2,"NA"),'MITRE ATT&amp;CK Mappings'!$H169))),ISNUMBER(SEARCH(IF(F$3&lt;&gt;"",F$3,"NA"),'MITRE ATT&amp;CK Mappings'!$I169))),ISNUMBER(SEARCH(IF(F$3&lt;&gt;"",F$3,"NA"),'MITRE ATT&amp;CK Mappings'!$J169))), 'MITRE ATT&amp;CK Mappings'!$B169,"")</f>
        <v/>
      </c>
      <c r="G173" s="27" t="str">
        <f>IF(OR(OR(OR(OR(OR(ISNUMBER(SEARCH(IF(G$1&lt;&gt;"",G$1,"NA"),'MITRE ATT&amp;CK Mappings'!$E169)),ISNUMBER(SEARCH(IF(G$1&lt;&gt;"",G$1,"NA"),'MITRE ATT&amp;CK Mappings'!$F169))),ISNUMBER(SEARCH(IF(G$2&lt;&gt;"",G$2,"NA"),'MITRE ATT&amp;CK Mappings'!$G169))),ISNUMBER(SEARCH(IF(G$2&lt;&gt;"",G$2,"NA"),'MITRE ATT&amp;CK Mappings'!$H169))),ISNUMBER(SEARCH(IF(G$3&lt;&gt;"",G$3,"NA"),'MITRE ATT&amp;CK Mappings'!$I169))),ISNUMBER(SEARCH(IF(G$3&lt;&gt;"",G$3,"NA"),'MITRE ATT&amp;CK Mappings'!$J169))), 'MITRE ATT&amp;CK Mappings'!$B169,"")</f>
        <v/>
      </c>
      <c r="H173" s="27" t="str">
        <f>IF(OR(OR(OR(OR(OR(ISNUMBER(SEARCH(IF(H$1&lt;&gt;"",H$1,"NA"),'MITRE ATT&amp;CK Mappings'!$E169)),ISNUMBER(SEARCH(IF(H$1&lt;&gt;"",H$1,"NA"),'MITRE ATT&amp;CK Mappings'!$F169))),ISNUMBER(SEARCH(IF(H$2&lt;&gt;"",H$2,"NA"),'MITRE ATT&amp;CK Mappings'!$G169))),ISNUMBER(SEARCH(IF(H$2&lt;&gt;"",H$2,"NA"),'MITRE ATT&amp;CK Mappings'!$H169))),ISNUMBER(SEARCH(IF(H$3&lt;&gt;"",H$3,"NA"),'MITRE ATT&amp;CK Mappings'!$I169))),ISNUMBER(SEARCH(IF(H$3&lt;&gt;"",H$3,"NA"),'MITRE ATT&amp;CK Mappings'!$J169))), 'MITRE ATT&amp;CK Mappings'!$B169,"")</f>
        <v/>
      </c>
      <c r="I173" s="27" t="str">
        <f>IF(OR(OR(OR(OR(OR(ISNUMBER(SEARCH(IF(I$1&lt;&gt;"",I$1,"NA"),'MITRE ATT&amp;CK Mappings'!$E169)),ISNUMBER(SEARCH(IF(I$1&lt;&gt;"",I$1,"NA"),'MITRE ATT&amp;CK Mappings'!$F169))),ISNUMBER(SEARCH(IF(I$2&lt;&gt;"",I$2,"NA"),'MITRE ATT&amp;CK Mappings'!$G169))),ISNUMBER(SEARCH(IF(I$2&lt;&gt;"",I$2,"NA"),'MITRE ATT&amp;CK Mappings'!$H169))),ISNUMBER(SEARCH(IF(I$3&lt;&gt;"",I$3,"NA"),'MITRE ATT&amp;CK Mappings'!$I169))),ISNUMBER(SEARCH(IF(I$3&lt;&gt;"",I$3,"NA"),'MITRE ATT&amp;CK Mappings'!$J169))), 'MITRE ATT&amp;CK Mappings'!$B169,"")</f>
        <v/>
      </c>
      <c r="J173" s="27" t="str">
        <f>IF(OR(OR(OR(OR(OR(ISNUMBER(SEARCH(IF(J$1&lt;&gt;"",J$1,"NA"),'MITRE ATT&amp;CK Mappings'!$E169)),ISNUMBER(SEARCH(IF(J$1&lt;&gt;"",J$1,"NA"),'MITRE ATT&amp;CK Mappings'!$F169))),ISNUMBER(SEARCH(IF(J$2&lt;&gt;"",J$2,"NA"),'MITRE ATT&amp;CK Mappings'!$G169))),ISNUMBER(SEARCH(IF(J$2&lt;&gt;"",J$2,"NA"),'MITRE ATT&amp;CK Mappings'!$H169))),ISNUMBER(SEARCH(IF(J$3&lt;&gt;"",J$3,"NA"),'MITRE ATT&amp;CK Mappings'!$I169))),ISNUMBER(SEARCH(IF(J$3&lt;&gt;"",J$3,"NA"),'MITRE ATT&amp;CK Mappings'!$J169))), 'MITRE ATT&amp;CK Mappings'!$B169,"")</f>
        <v/>
      </c>
      <c r="K173" s="27" t="str">
        <f>IF(OR(OR(OR(OR(OR(ISNUMBER(SEARCH(IF(K$1&lt;&gt;"",K$1,"NA"),'MITRE ATT&amp;CK Mappings'!$E169)),ISNUMBER(SEARCH(IF(K$1&lt;&gt;"",K$1,"NA"),'MITRE ATT&amp;CK Mappings'!$F169))),ISNUMBER(SEARCH(IF(K$2&lt;&gt;"",K$2,"NA"),'MITRE ATT&amp;CK Mappings'!$G169))),ISNUMBER(SEARCH(IF(K$2&lt;&gt;"",K$2,"NA"),'MITRE ATT&amp;CK Mappings'!$H169))),ISNUMBER(SEARCH(IF(K$3&lt;&gt;"",K$3,"NA"),'MITRE ATT&amp;CK Mappings'!$I169))),ISNUMBER(SEARCH(IF(K$3&lt;&gt;"",K$3,"NA"),'MITRE ATT&amp;CK Mappings'!$J169))), 'MITRE ATT&amp;CK Mappings'!$B169,"")</f>
        <v/>
      </c>
      <c r="L173" s="27" t="str">
        <f>IF('MITRE ATT&amp;CK Mappings'!D169 &lt;&gt;"",'MITRE ATT&amp;CK Mappings'!D169,"" )</f>
        <v/>
      </c>
    </row>
    <row r="174" spans="1:12" x14ac:dyDescent="0.25">
      <c r="A174" s="26" t="str">
        <f>IF(COUNTIF(B174:K174,"="&amp;'MITRE ATT&amp;CK Mappings'!B170)&gt;0,'MITRE ATT&amp;CK Mappings'!B170,"")</f>
        <v/>
      </c>
      <c r="B174" s="26" t="str">
        <f>IF(OR(OR(OR(OR(OR(ISNUMBER(SEARCH(IF(B$1&lt;&gt;"",B$1,"NA"),'MITRE ATT&amp;CK Mappings'!$E170)),ISNUMBER(SEARCH(IF(B$1&lt;&gt;"",B$1,"NA"),'MITRE ATT&amp;CK Mappings'!$F170))),ISNUMBER(SEARCH(IF(B$2&lt;&gt;"",B$2,"NA"),'MITRE ATT&amp;CK Mappings'!$G170))),ISNUMBER(SEARCH(IF(B$2&lt;&gt;"",B$2,"NA"),'MITRE ATT&amp;CK Mappings'!$H170))),ISNUMBER(SEARCH(IF(B$3&lt;&gt;"",B$3,"NA"),'MITRE ATT&amp;CK Mappings'!$I170))),ISNUMBER(SEARCH(IF(B$3&lt;&gt;"",B$3,"NA"),'MITRE ATT&amp;CK Mappings'!$J170))), 'MITRE ATT&amp;CK Mappings'!$B170,"")</f>
        <v/>
      </c>
      <c r="C174" s="26" t="str">
        <f>IF(OR(OR(OR(OR(OR(ISNUMBER(SEARCH(IF(C$1&lt;&gt;"",C$1,"NA"),'MITRE ATT&amp;CK Mappings'!$E170)),ISNUMBER(SEARCH(IF(C$1&lt;&gt;"",C$1,"NA"),'MITRE ATT&amp;CK Mappings'!$F170))),ISNUMBER(SEARCH(IF(C$2&lt;&gt;"",C$2,"NA"),'MITRE ATT&amp;CK Mappings'!$G170))),ISNUMBER(SEARCH(IF(C$2&lt;&gt;"",C$2,"NA"),'MITRE ATT&amp;CK Mappings'!$H170))),ISNUMBER(SEARCH(IF(C$3&lt;&gt;"",C$3,"NA"),'MITRE ATT&amp;CK Mappings'!$I170))),ISNUMBER(SEARCH(IF(C$3&lt;&gt;"",C$3,"NA"),'MITRE ATT&amp;CK Mappings'!$J170))), 'MITRE ATT&amp;CK Mappings'!$B170,"")</f>
        <v/>
      </c>
      <c r="D174" s="26" t="str">
        <f>IF(OR(OR(OR(OR(OR(ISNUMBER(SEARCH(IF(D$1&lt;&gt;"",D$1,"NA"),'MITRE ATT&amp;CK Mappings'!$E170)),ISNUMBER(SEARCH(IF(D$1&lt;&gt;"",D$1,"NA"),'MITRE ATT&amp;CK Mappings'!$F170))),ISNUMBER(SEARCH(IF(D$2&lt;&gt;"",D$2,"NA"),'MITRE ATT&amp;CK Mappings'!$G170))),ISNUMBER(SEARCH(IF(D$2&lt;&gt;"",D$2,"NA"),'MITRE ATT&amp;CK Mappings'!$H170))),ISNUMBER(SEARCH(IF(D$3&lt;&gt;"",D$3,"NA"),'MITRE ATT&amp;CK Mappings'!$I170))),ISNUMBER(SEARCH(IF(D$3&lt;&gt;"",D$3,"NA"),'MITRE ATT&amp;CK Mappings'!$J170))), 'MITRE ATT&amp;CK Mappings'!$B170,"")</f>
        <v/>
      </c>
      <c r="E174" s="26" t="str">
        <f>IF(OR(OR(OR(OR(OR(ISNUMBER(SEARCH(IF(E$1&lt;&gt;"",E$1,"NA"),'MITRE ATT&amp;CK Mappings'!$E170)),ISNUMBER(SEARCH(IF(E$1&lt;&gt;"",E$1,"NA"),'MITRE ATT&amp;CK Mappings'!$F170))),ISNUMBER(SEARCH(IF(E$2&lt;&gt;"",E$2,"NA"),'MITRE ATT&amp;CK Mappings'!$G170))),ISNUMBER(SEARCH(IF(E$2&lt;&gt;"",E$2,"NA"),'MITRE ATT&amp;CK Mappings'!$H170))),ISNUMBER(SEARCH(IF(E$3&lt;&gt;"",E$3,"NA"),'MITRE ATT&amp;CK Mappings'!$I170))),ISNUMBER(SEARCH(IF(E$3&lt;&gt;"",E$3,"NA"),'MITRE ATT&amp;CK Mappings'!$J170))), 'MITRE ATT&amp;CK Mappings'!$B170,"")</f>
        <v/>
      </c>
      <c r="F174" s="26" t="str">
        <f>IF(OR(OR(OR(OR(OR(ISNUMBER(SEARCH(IF(F$1&lt;&gt;"",F$1,"NA"),'MITRE ATT&amp;CK Mappings'!$E170)),ISNUMBER(SEARCH(IF(F$1&lt;&gt;"",F$1,"NA"),'MITRE ATT&amp;CK Mappings'!$F170))),ISNUMBER(SEARCH(IF(F$2&lt;&gt;"",F$2,"NA"),'MITRE ATT&amp;CK Mappings'!$G170))),ISNUMBER(SEARCH(IF(F$2&lt;&gt;"",F$2,"NA"),'MITRE ATT&amp;CK Mappings'!$H170))),ISNUMBER(SEARCH(IF(F$3&lt;&gt;"",F$3,"NA"),'MITRE ATT&amp;CK Mappings'!$I170))),ISNUMBER(SEARCH(IF(F$3&lt;&gt;"",F$3,"NA"),'MITRE ATT&amp;CK Mappings'!$J170))), 'MITRE ATT&amp;CK Mappings'!$B170,"")</f>
        <v/>
      </c>
      <c r="G174" s="26" t="str">
        <f>IF(OR(OR(OR(OR(OR(ISNUMBER(SEARCH(IF(G$1&lt;&gt;"",G$1,"NA"),'MITRE ATT&amp;CK Mappings'!$E170)),ISNUMBER(SEARCH(IF(G$1&lt;&gt;"",G$1,"NA"),'MITRE ATT&amp;CK Mappings'!$F170))),ISNUMBER(SEARCH(IF(G$2&lt;&gt;"",G$2,"NA"),'MITRE ATT&amp;CK Mappings'!$G170))),ISNUMBER(SEARCH(IF(G$2&lt;&gt;"",G$2,"NA"),'MITRE ATT&amp;CK Mappings'!$H170))),ISNUMBER(SEARCH(IF(G$3&lt;&gt;"",G$3,"NA"),'MITRE ATT&amp;CK Mappings'!$I170))),ISNUMBER(SEARCH(IF(G$3&lt;&gt;"",G$3,"NA"),'MITRE ATT&amp;CK Mappings'!$J170))), 'MITRE ATT&amp;CK Mappings'!$B170,"")</f>
        <v/>
      </c>
      <c r="H174" s="26" t="str">
        <f>IF(OR(OR(OR(OR(OR(ISNUMBER(SEARCH(IF(H$1&lt;&gt;"",H$1,"NA"),'MITRE ATT&amp;CK Mappings'!$E170)),ISNUMBER(SEARCH(IF(H$1&lt;&gt;"",H$1,"NA"),'MITRE ATT&amp;CK Mappings'!$F170))),ISNUMBER(SEARCH(IF(H$2&lt;&gt;"",H$2,"NA"),'MITRE ATT&amp;CK Mappings'!$G170))),ISNUMBER(SEARCH(IF(H$2&lt;&gt;"",H$2,"NA"),'MITRE ATT&amp;CK Mappings'!$H170))),ISNUMBER(SEARCH(IF(H$3&lt;&gt;"",H$3,"NA"),'MITRE ATT&amp;CK Mappings'!$I170))),ISNUMBER(SEARCH(IF(H$3&lt;&gt;"",H$3,"NA"),'MITRE ATT&amp;CK Mappings'!$J170))), 'MITRE ATT&amp;CK Mappings'!$B170,"")</f>
        <v/>
      </c>
      <c r="I174" s="26" t="str">
        <f>IF(OR(OR(OR(OR(OR(ISNUMBER(SEARCH(IF(I$1&lt;&gt;"",I$1,"NA"),'MITRE ATT&amp;CK Mappings'!$E170)),ISNUMBER(SEARCH(IF(I$1&lt;&gt;"",I$1,"NA"),'MITRE ATT&amp;CK Mappings'!$F170))),ISNUMBER(SEARCH(IF(I$2&lt;&gt;"",I$2,"NA"),'MITRE ATT&amp;CK Mappings'!$G170))),ISNUMBER(SEARCH(IF(I$2&lt;&gt;"",I$2,"NA"),'MITRE ATT&amp;CK Mappings'!$H170))),ISNUMBER(SEARCH(IF(I$3&lt;&gt;"",I$3,"NA"),'MITRE ATT&amp;CK Mappings'!$I170))),ISNUMBER(SEARCH(IF(I$3&lt;&gt;"",I$3,"NA"),'MITRE ATT&amp;CK Mappings'!$J170))), 'MITRE ATT&amp;CK Mappings'!$B170,"")</f>
        <v/>
      </c>
      <c r="J174" s="26" t="str">
        <f>IF(OR(OR(OR(OR(OR(ISNUMBER(SEARCH(IF(J$1&lt;&gt;"",J$1,"NA"),'MITRE ATT&amp;CK Mappings'!$E170)),ISNUMBER(SEARCH(IF(J$1&lt;&gt;"",J$1,"NA"),'MITRE ATT&amp;CK Mappings'!$F170))),ISNUMBER(SEARCH(IF(J$2&lt;&gt;"",J$2,"NA"),'MITRE ATT&amp;CK Mappings'!$G170))),ISNUMBER(SEARCH(IF(J$2&lt;&gt;"",J$2,"NA"),'MITRE ATT&amp;CK Mappings'!$H170))),ISNUMBER(SEARCH(IF(J$3&lt;&gt;"",J$3,"NA"),'MITRE ATT&amp;CK Mappings'!$I170))),ISNUMBER(SEARCH(IF(J$3&lt;&gt;"",J$3,"NA"),'MITRE ATT&amp;CK Mappings'!$J170))), 'MITRE ATT&amp;CK Mappings'!$B170,"")</f>
        <v/>
      </c>
      <c r="K174" s="26" t="str">
        <f>IF(OR(OR(OR(OR(OR(ISNUMBER(SEARCH(IF(K$1&lt;&gt;"",K$1,"NA"),'MITRE ATT&amp;CK Mappings'!$E170)),ISNUMBER(SEARCH(IF(K$1&lt;&gt;"",K$1,"NA"),'MITRE ATT&amp;CK Mappings'!$F170))),ISNUMBER(SEARCH(IF(K$2&lt;&gt;"",K$2,"NA"),'MITRE ATT&amp;CK Mappings'!$G170))),ISNUMBER(SEARCH(IF(K$2&lt;&gt;"",K$2,"NA"),'MITRE ATT&amp;CK Mappings'!$H170))),ISNUMBER(SEARCH(IF(K$3&lt;&gt;"",K$3,"NA"),'MITRE ATT&amp;CK Mappings'!$I170))),ISNUMBER(SEARCH(IF(K$3&lt;&gt;"",K$3,"NA"),'MITRE ATT&amp;CK Mappings'!$J170))), 'MITRE ATT&amp;CK Mappings'!$B170,"")</f>
        <v/>
      </c>
      <c r="L174" s="26" t="str">
        <f>IF('MITRE ATT&amp;CK Mappings'!D170 &lt;&gt;"",'MITRE ATT&amp;CK Mappings'!D170,"" )</f>
        <v/>
      </c>
    </row>
    <row r="175" spans="1:12" x14ac:dyDescent="0.25">
      <c r="A175" s="27" t="str">
        <f>IF(COUNTIF(B175:K175,"="&amp;'MITRE ATT&amp;CK Mappings'!B171)&gt;0,'MITRE ATT&amp;CK Mappings'!B171,"")</f>
        <v/>
      </c>
      <c r="B175" s="27" t="str">
        <f>IF(OR(OR(OR(OR(OR(ISNUMBER(SEARCH(IF(B$1&lt;&gt;"",B$1,"NA"),'MITRE ATT&amp;CK Mappings'!$E171)),ISNUMBER(SEARCH(IF(B$1&lt;&gt;"",B$1,"NA"),'MITRE ATT&amp;CK Mappings'!$F171))),ISNUMBER(SEARCH(IF(B$2&lt;&gt;"",B$2,"NA"),'MITRE ATT&amp;CK Mappings'!$G171))),ISNUMBER(SEARCH(IF(B$2&lt;&gt;"",B$2,"NA"),'MITRE ATT&amp;CK Mappings'!$H171))),ISNUMBER(SEARCH(IF(B$3&lt;&gt;"",B$3,"NA"),'MITRE ATT&amp;CK Mappings'!$I171))),ISNUMBER(SEARCH(IF(B$3&lt;&gt;"",B$3,"NA"),'MITRE ATT&amp;CK Mappings'!$J171))), 'MITRE ATT&amp;CK Mappings'!$B171,"")</f>
        <v/>
      </c>
      <c r="C175" s="27" t="str">
        <f>IF(OR(OR(OR(OR(OR(ISNUMBER(SEARCH(IF(C$1&lt;&gt;"",C$1,"NA"),'MITRE ATT&amp;CK Mappings'!$E171)),ISNUMBER(SEARCH(IF(C$1&lt;&gt;"",C$1,"NA"),'MITRE ATT&amp;CK Mappings'!$F171))),ISNUMBER(SEARCH(IF(C$2&lt;&gt;"",C$2,"NA"),'MITRE ATT&amp;CK Mappings'!$G171))),ISNUMBER(SEARCH(IF(C$2&lt;&gt;"",C$2,"NA"),'MITRE ATT&amp;CK Mappings'!$H171))),ISNUMBER(SEARCH(IF(C$3&lt;&gt;"",C$3,"NA"),'MITRE ATT&amp;CK Mappings'!$I171))),ISNUMBER(SEARCH(IF(C$3&lt;&gt;"",C$3,"NA"),'MITRE ATT&amp;CK Mappings'!$J171))), 'MITRE ATT&amp;CK Mappings'!$B171,"")</f>
        <v/>
      </c>
      <c r="D175" s="27" t="str">
        <f>IF(OR(OR(OR(OR(OR(ISNUMBER(SEARCH(IF(D$1&lt;&gt;"",D$1,"NA"),'MITRE ATT&amp;CK Mappings'!$E171)),ISNUMBER(SEARCH(IF(D$1&lt;&gt;"",D$1,"NA"),'MITRE ATT&amp;CK Mappings'!$F171))),ISNUMBER(SEARCH(IF(D$2&lt;&gt;"",D$2,"NA"),'MITRE ATT&amp;CK Mappings'!$G171))),ISNUMBER(SEARCH(IF(D$2&lt;&gt;"",D$2,"NA"),'MITRE ATT&amp;CK Mappings'!$H171))),ISNUMBER(SEARCH(IF(D$3&lt;&gt;"",D$3,"NA"),'MITRE ATT&amp;CK Mappings'!$I171))),ISNUMBER(SEARCH(IF(D$3&lt;&gt;"",D$3,"NA"),'MITRE ATT&amp;CK Mappings'!$J171))), 'MITRE ATT&amp;CK Mappings'!$B171,"")</f>
        <v/>
      </c>
      <c r="E175" s="27" t="str">
        <f>IF(OR(OR(OR(OR(OR(ISNUMBER(SEARCH(IF(E$1&lt;&gt;"",E$1,"NA"),'MITRE ATT&amp;CK Mappings'!$E171)),ISNUMBER(SEARCH(IF(E$1&lt;&gt;"",E$1,"NA"),'MITRE ATT&amp;CK Mappings'!$F171))),ISNUMBER(SEARCH(IF(E$2&lt;&gt;"",E$2,"NA"),'MITRE ATT&amp;CK Mappings'!$G171))),ISNUMBER(SEARCH(IF(E$2&lt;&gt;"",E$2,"NA"),'MITRE ATT&amp;CK Mappings'!$H171))),ISNUMBER(SEARCH(IF(E$3&lt;&gt;"",E$3,"NA"),'MITRE ATT&amp;CK Mappings'!$I171))),ISNUMBER(SEARCH(IF(E$3&lt;&gt;"",E$3,"NA"),'MITRE ATT&amp;CK Mappings'!$J171))), 'MITRE ATT&amp;CK Mappings'!$B171,"")</f>
        <v/>
      </c>
      <c r="F175" s="27" t="str">
        <f>IF(OR(OR(OR(OR(OR(ISNUMBER(SEARCH(IF(F$1&lt;&gt;"",F$1,"NA"),'MITRE ATT&amp;CK Mappings'!$E171)),ISNUMBER(SEARCH(IF(F$1&lt;&gt;"",F$1,"NA"),'MITRE ATT&amp;CK Mappings'!$F171))),ISNUMBER(SEARCH(IF(F$2&lt;&gt;"",F$2,"NA"),'MITRE ATT&amp;CK Mappings'!$G171))),ISNUMBER(SEARCH(IF(F$2&lt;&gt;"",F$2,"NA"),'MITRE ATT&amp;CK Mappings'!$H171))),ISNUMBER(SEARCH(IF(F$3&lt;&gt;"",F$3,"NA"),'MITRE ATT&amp;CK Mappings'!$I171))),ISNUMBER(SEARCH(IF(F$3&lt;&gt;"",F$3,"NA"),'MITRE ATT&amp;CK Mappings'!$J171))), 'MITRE ATT&amp;CK Mappings'!$B171,"")</f>
        <v/>
      </c>
      <c r="G175" s="27" t="str">
        <f>IF(OR(OR(OR(OR(OR(ISNUMBER(SEARCH(IF(G$1&lt;&gt;"",G$1,"NA"),'MITRE ATT&amp;CK Mappings'!$E171)),ISNUMBER(SEARCH(IF(G$1&lt;&gt;"",G$1,"NA"),'MITRE ATT&amp;CK Mappings'!$F171))),ISNUMBER(SEARCH(IF(G$2&lt;&gt;"",G$2,"NA"),'MITRE ATT&amp;CK Mappings'!$G171))),ISNUMBER(SEARCH(IF(G$2&lt;&gt;"",G$2,"NA"),'MITRE ATT&amp;CK Mappings'!$H171))),ISNUMBER(SEARCH(IF(G$3&lt;&gt;"",G$3,"NA"),'MITRE ATT&amp;CK Mappings'!$I171))),ISNUMBER(SEARCH(IF(G$3&lt;&gt;"",G$3,"NA"),'MITRE ATT&amp;CK Mappings'!$J171))), 'MITRE ATT&amp;CK Mappings'!$B171,"")</f>
        <v/>
      </c>
      <c r="H175" s="27" t="str">
        <f>IF(OR(OR(OR(OR(OR(ISNUMBER(SEARCH(IF(H$1&lt;&gt;"",H$1,"NA"),'MITRE ATT&amp;CK Mappings'!$E171)),ISNUMBER(SEARCH(IF(H$1&lt;&gt;"",H$1,"NA"),'MITRE ATT&amp;CK Mappings'!$F171))),ISNUMBER(SEARCH(IF(H$2&lt;&gt;"",H$2,"NA"),'MITRE ATT&amp;CK Mappings'!$G171))),ISNUMBER(SEARCH(IF(H$2&lt;&gt;"",H$2,"NA"),'MITRE ATT&amp;CK Mappings'!$H171))),ISNUMBER(SEARCH(IF(H$3&lt;&gt;"",H$3,"NA"),'MITRE ATT&amp;CK Mappings'!$I171))),ISNUMBER(SEARCH(IF(H$3&lt;&gt;"",H$3,"NA"),'MITRE ATT&amp;CK Mappings'!$J171))), 'MITRE ATT&amp;CK Mappings'!$B171,"")</f>
        <v/>
      </c>
      <c r="I175" s="27" t="str">
        <f>IF(OR(OR(OR(OR(OR(ISNUMBER(SEARCH(IF(I$1&lt;&gt;"",I$1,"NA"),'MITRE ATT&amp;CK Mappings'!$E171)),ISNUMBER(SEARCH(IF(I$1&lt;&gt;"",I$1,"NA"),'MITRE ATT&amp;CK Mappings'!$F171))),ISNUMBER(SEARCH(IF(I$2&lt;&gt;"",I$2,"NA"),'MITRE ATT&amp;CK Mappings'!$G171))),ISNUMBER(SEARCH(IF(I$2&lt;&gt;"",I$2,"NA"),'MITRE ATT&amp;CK Mappings'!$H171))),ISNUMBER(SEARCH(IF(I$3&lt;&gt;"",I$3,"NA"),'MITRE ATT&amp;CK Mappings'!$I171))),ISNUMBER(SEARCH(IF(I$3&lt;&gt;"",I$3,"NA"),'MITRE ATT&amp;CK Mappings'!$J171))), 'MITRE ATT&amp;CK Mappings'!$B171,"")</f>
        <v/>
      </c>
      <c r="J175" s="27" t="str">
        <f>IF(OR(OR(OR(OR(OR(ISNUMBER(SEARCH(IF(J$1&lt;&gt;"",J$1,"NA"),'MITRE ATT&amp;CK Mappings'!$E171)),ISNUMBER(SEARCH(IF(J$1&lt;&gt;"",J$1,"NA"),'MITRE ATT&amp;CK Mappings'!$F171))),ISNUMBER(SEARCH(IF(J$2&lt;&gt;"",J$2,"NA"),'MITRE ATT&amp;CK Mappings'!$G171))),ISNUMBER(SEARCH(IF(J$2&lt;&gt;"",J$2,"NA"),'MITRE ATT&amp;CK Mappings'!$H171))),ISNUMBER(SEARCH(IF(J$3&lt;&gt;"",J$3,"NA"),'MITRE ATT&amp;CK Mappings'!$I171))),ISNUMBER(SEARCH(IF(J$3&lt;&gt;"",J$3,"NA"),'MITRE ATT&amp;CK Mappings'!$J171))), 'MITRE ATT&amp;CK Mappings'!$B171,"")</f>
        <v/>
      </c>
      <c r="K175" s="27" t="str">
        <f>IF(OR(OR(OR(OR(OR(ISNUMBER(SEARCH(IF(K$1&lt;&gt;"",K$1,"NA"),'MITRE ATT&amp;CK Mappings'!$E171)),ISNUMBER(SEARCH(IF(K$1&lt;&gt;"",K$1,"NA"),'MITRE ATT&amp;CK Mappings'!$F171))),ISNUMBER(SEARCH(IF(K$2&lt;&gt;"",K$2,"NA"),'MITRE ATT&amp;CK Mappings'!$G171))),ISNUMBER(SEARCH(IF(K$2&lt;&gt;"",K$2,"NA"),'MITRE ATT&amp;CK Mappings'!$H171))),ISNUMBER(SEARCH(IF(K$3&lt;&gt;"",K$3,"NA"),'MITRE ATT&amp;CK Mappings'!$I171))),ISNUMBER(SEARCH(IF(K$3&lt;&gt;"",K$3,"NA"),'MITRE ATT&amp;CK Mappings'!$J171))), 'MITRE ATT&amp;CK Mappings'!$B171,"")</f>
        <v/>
      </c>
      <c r="L175" s="27" t="str">
        <f>IF('MITRE ATT&amp;CK Mappings'!D171 &lt;&gt;"",'MITRE ATT&amp;CK Mappings'!D171,"" )</f>
        <v/>
      </c>
    </row>
    <row r="176" spans="1:12" x14ac:dyDescent="0.25">
      <c r="A176" s="26" t="str">
        <f>IF(COUNTIF(B176:K176,"="&amp;'MITRE ATT&amp;CK Mappings'!B172)&gt;0,'MITRE ATT&amp;CK Mappings'!B172,"")</f>
        <v/>
      </c>
      <c r="B176" s="26" t="str">
        <f>IF(OR(OR(OR(OR(OR(ISNUMBER(SEARCH(IF(B$1&lt;&gt;"",B$1,"NA"),'MITRE ATT&amp;CK Mappings'!$E172)),ISNUMBER(SEARCH(IF(B$1&lt;&gt;"",B$1,"NA"),'MITRE ATT&amp;CK Mappings'!$F172))),ISNUMBER(SEARCH(IF(B$2&lt;&gt;"",B$2,"NA"),'MITRE ATT&amp;CK Mappings'!$G172))),ISNUMBER(SEARCH(IF(B$2&lt;&gt;"",B$2,"NA"),'MITRE ATT&amp;CK Mappings'!$H172))),ISNUMBER(SEARCH(IF(B$3&lt;&gt;"",B$3,"NA"),'MITRE ATT&amp;CK Mappings'!$I172))),ISNUMBER(SEARCH(IF(B$3&lt;&gt;"",B$3,"NA"),'MITRE ATT&amp;CK Mappings'!$J172))), 'MITRE ATT&amp;CK Mappings'!$B172,"")</f>
        <v/>
      </c>
      <c r="C176" s="26" t="str">
        <f>IF(OR(OR(OR(OR(OR(ISNUMBER(SEARCH(IF(C$1&lt;&gt;"",C$1,"NA"),'MITRE ATT&amp;CK Mappings'!$E172)),ISNUMBER(SEARCH(IF(C$1&lt;&gt;"",C$1,"NA"),'MITRE ATT&amp;CK Mappings'!$F172))),ISNUMBER(SEARCH(IF(C$2&lt;&gt;"",C$2,"NA"),'MITRE ATT&amp;CK Mappings'!$G172))),ISNUMBER(SEARCH(IF(C$2&lt;&gt;"",C$2,"NA"),'MITRE ATT&amp;CK Mappings'!$H172))),ISNUMBER(SEARCH(IF(C$3&lt;&gt;"",C$3,"NA"),'MITRE ATT&amp;CK Mappings'!$I172))),ISNUMBER(SEARCH(IF(C$3&lt;&gt;"",C$3,"NA"),'MITRE ATT&amp;CK Mappings'!$J172))), 'MITRE ATT&amp;CK Mappings'!$B172,"")</f>
        <v/>
      </c>
      <c r="D176" s="26" t="str">
        <f>IF(OR(OR(OR(OR(OR(ISNUMBER(SEARCH(IF(D$1&lt;&gt;"",D$1,"NA"),'MITRE ATT&amp;CK Mappings'!$E172)),ISNUMBER(SEARCH(IF(D$1&lt;&gt;"",D$1,"NA"),'MITRE ATT&amp;CK Mappings'!$F172))),ISNUMBER(SEARCH(IF(D$2&lt;&gt;"",D$2,"NA"),'MITRE ATT&amp;CK Mappings'!$G172))),ISNUMBER(SEARCH(IF(D$2&lt;&gt;"",D$2,"NA"),'MITRE ATT&amp;CK Mappings'!$H172))),ISNUMBER(SEARCH(IF(D$3&lt;&gt;"",D$3,"NA"),'MITRE ATT&amp;CK Mappings'!$I172))),ISNUMBER(SEARCH(IF(D$3&lt;&gt;"",D$3,"NA"),'MITRE ATT&amp;CK Mappings'!$J172))), 'MITRE ATT&amp;CK Mappings'!$B172,"")</f>
        <v/>
      </c>
      <c r="E176" s="26" t="str">
        <f>IF(OR(OR(OR(OR(OR(ISNUMBER(SEARCH(IF(E$1&lt;&gt;"",E$1,"NA"),'MITRE ATT&amp;CK Mappings'!$E172)),ISNUMBER(SEARCH(IF(E$1&lt;&gt;"",E$1,"NA"),'MITRE ATT&amp;CK Mappings'!$F172))),ISNUMBER(SEARCH(IF(E$2&lt;&gt;"",E$2,"NA"),'MITRE ATT&amp;CK Mappings'!$G172))),ISNUMBER(SEARCH(IF(E$2&lt;&gt;"",E$2,"NA"),'MITRE ATT&amp;CK Mappings'!$H172))),ISNUMBER(SEARCH(IF(E$3&lt;&gt;"",E$3,"NA"),'MITRE ATT&amp;CK Mappings'!$I172))),ISNUMBER(SEARCH(IF(E$3&lt;&gt;"",E$3,"NA"),'MITRE ATT&amp;CK Mappings'!$J172))), 'MITRE ATT&amp;CK Mappings'!$B172,"")</f>
        <v/>
      </c>
      <c r="F176" s="26" t="str">
        <f>IF(OR(OR(OR(OR(OR(ISNUMBER(SEARCH(IF(F$1&lt;&gt;"",F$1,"NA"),'MITRE ATT&amp;CK Mappings'!$E172)),ISNUMBER(SEARCH(IF(F$1&lt;&gt;"",F$1,"NA"),'MITRE ATT&amp;CK Mappings'!$F172))),ISNUMBER(SEARCH(IF(F$2&lt;&gt;"",F$2,"NA"),'MITRE ATT&amp;CK Mappings'!$G172))),ISNUMBER(SEARCH(IF(F$2&lt;&gt;"",F$2,"NA"),'MITRE ATT&amp;CK Mappings'!$H172))),ISNUMBER(SEARCH(IF(F$3&lt;&gt;"",F$3,"NA"),'MITRE ATT&amp;CK Mappings'!$I172))),ISNUMBER(SEARCH(IF(F$3&lt;&gt;"",F$3,"NA"),'MITRE ATT&amp;CK Mappings'!$J172))), 'MITRE ATT&amp;CK Mappings'!$B172,"")</f>
        <v/>
      </c>
      <c r="G176" s="26" t="str">
        <f>IF(OR(OR(OR(OR(OR(ISNUMBER(SEARCH(IF(G$1&lt;&gt;"",G$1,"NA"),'MITRE ATT&amp;CK Mappings'!$E172)),ISNUMBER(SEARCH(IF(G$1&lt;&gt;"",G$1,"NA"),'MITRE ATT&amp;CK Mappings'!$F172))),ISNUMBER(SEARCH(IF(G$2&lt;&gt;"",G$2,"NA"),'MITRE ATT&amp;CK Mappings'!$G172))),ISNUMBER(SEARCH(IF(G$2&lt;&gt;"",G$2,"NA"),'MITRE ATT&amp;CK Mappings'!$H172))),ISNUMBER(SEARCH(IF(G$3&lt;&gt;"",G$3,"NA"),'MITRE ATT&amp;CK Mappings'!$I172))),ISNUMBER(SEARCH(IF(G$3&lt;&gt;"",G$3,"NA"),'MITRE ATT&amp;CK Mappings'!$J172))), 'MITRE ATT&amp;CK Mappings'!$B172,"")</f>
        <v/>
      </c>
      <c r="H176" s="26" t="str">
        <f>IF(OR(OR(OR(OR(OR(ISNUMBER(SEARCH(IF(H$1&lt;&gt;"",H$1,"NA"),'MITRE ATT&amp;CK Mappings'!$E172)),ISNUMBER(SEARCH(IF(H$1&lt;&gt;"",H$1,"NA"),'MITRE ATT&amp;CK Mappings'!$F172))),ISNUMBER(SEARCH(IF(H$2&lt;&gt;"",H$2,"NA"),'MITRE ATT&amp;CK Mappings'!$G172))),ISNUMBER(SEARCH(IF(H$2&lt;&gt;"",H$2,"NA"),'MITRE ATT&amp;CK Mappings'!$H172))),ISNUMBER(SEARCH(IF(H$3&lt;&gt;"",H$3,"NA"),'MITRE ATT&amp;CK Mappings'!$I172))),ISNUMBER(SEARCH(IF(H$3&lt;&gt;"",H$3,"NA"),'MITRE ATT&amp;CK Mappings'!$J172))), 'MITRE ATT&amp;CK Mappings'!$B172,"")</f>
        <v/>
      </c>
      <c r="I176" s="26" t="str">
        <f>IF(OR(OR(OR(OR(OR(ISNUMBER(SEARCH(IF(I$1&lt;&gt;"",I$1,"NA"),'MITRE ATT&amp;CK Mappings'!$E172)),ISNUMBER(SEARCH(IF(I$1&lt;&gt;"",I$1,"NA"),'MITRE ATT&amp;CK Mappings'!$F172))),ISNUMBER(SEARCH(IF(I$2&lt;&gt;"",I$2,"NA"),'MITRE ATT&amp;CK Mappings'!$G172))),ISNUMBER(SEARCH(IF(I$2&lt;&gt;"",I$2,"NA"),'MITRE ATT&amp;CK Mappings'!$H172))),ISNUMBER(SEARCH(IF(I$3&lt;&gt;"",I$3,"NA"),'MITRE ATT&amp;CK Mappings'!$I172))),ISNUMBER(SEARCH(IF(I$3&lt;&gt;"",I$3,"NA"),'MITRE ATT&amp;CK Mappings'!$J172))), 'MITRE ATT&amp;CK Mappings'!$B172,"")</f>
        <v/>
      </c>
      <c r="J176" s="26" t="str">
        <f>IF(OR(OR(OR(OR(OR(ISNUMBER(SEARCH(IF(J$1&lt;&gt;"",J$1,"NA"),'MITRE ATT&amp;CK Mappings'!$E172)),ISNUMBER(SEARCH(IF(J$1&lt;&gt;"",J$1,"NA"),'MITRE ATT&amp;CK Mappings'!$F172))),ISNUMBER(SEARCH(IF(J$2&lt;&gt;"",J$2,"NA"),'MITRE ATT&amp;CK Mappings'!$G172))),ISNUMBER(SEARCH(IF(J$2&lt;&gt;"",J$2,"NA"),'MITRE ATT&amp;CK Mappings'!$H172))),ISNUMBER(SEARCH(IF(J$3&lt;&gt;"",J$3,"NA"),'MITRE ATT&amp;CK Mappings'!$I172))),ISNUMBER(SEARCH(IF(J$3&lt;&gt;"",J$3,"NA"),'MITRE ATT&amp;CK Mappings'!$J172))), 'MITRE ATT&amp;CK Mappings'!$B172,"")</f>
        <v/>
      </c>
      <c r="K176" s="26" t="str">
        <f>IF(OR(OR(OR(OR(OR(ISNUMBER(SEARCH(IF(K$1&lt;&gt;"",K$1,"NA"),'MITRE ATT&amp;CK Mappings'!$E172)),ISNUMBER(SEARCH(IF(K$1&lt;&gt;"",K$1,"NA"),'MITRE ATT&amp;CK Mappings'!$F172))),ISNUMBER(SEARCH(IF(K$2&lt;&gt;"",K$2,"NA"),'MITRE ATT&amp;CK Mappings'!$G172))),ISNUMBER(SEARCH(IF(K$2&lt;&gt;"",K$2,"NA"),'MITRE ATT&amp;CK Mappings'!$H172))),ISNUMBER(SEARCH(IF(K$3&lt;&gt;"",K$3,"NA"),'MITRE ATT&amp;CK Mappings'!$I172))),ISNUMBER(SEARCH(IF(K$3&lt;&gt;"",K$3,"NA"),'MITRE ATT&amp;CK Mappings'!$J172))), 'MITRE ATT&amp;CK Mappings'!$B172,"")</f>
        <v/>
      </c>
      <c r="L176" s="26" t="str">
        <f>IF('MITRE ATT&amp;CK Mappings'!D172 &lt;&gt;"",'MITRE ATT&amp;CK Mappings'!D172,"" )</f>
        <v/>
      </c>
    </row>
    <row r="177" spans="1:12" x14ac:dyDescent="0.25">
      <c r="A177" s="27" t="str">
        <f>IF(COUNTIF(B177:K177,"="&amp;'MITRE ATT&amp;CK Mappings'!B173)&gt;0,'MITRE ATT&amp;CK Mappings'!B173,"")</f>
        <v/>
      </c>
      <c r="B177" s="27" t="str">
        <f>IF(OR(OR(OR(OR(OR(ISNUMBER(SEARCH(IF(B$1&lt;&gt;"",B$1,"NA"),'MITRE ATT&amp;CK Mappings'!$E173)),ISNUMBER(SEARCH(IF(B$1&lt;&gt;"",B$1,"NA"),'MITRE ATT&amp;CK Mappings'!$F173))),ISNUMBER(SEARCH(IF(B$2&lt;&gt;"",B$2,"NA"),'MITRE ATT&amp;CK Mappings'!$G173))),ISNUMBER(SEARCH(IF(B$2&lt;&gt;"",B$2,"NA"),'MITRE ATT&amp;CK Mappings'!$H173))),ISNUMBER(SEARCH(IF(B$3&lt;&gt;"",B$3,"NA"),'MITRE ATT&amp;CK Mappings'!$I173))),ISNUMBER(SEARCH(IF(B$3&lt;&gt;"",B$3,"NA"),'MITRE ATT&amp;CK Mappings'!$J173))), 'MITRE ATT&amp;CK Mappings'!$B173,"")</f>
        <v/>
      </c>
      <c r="C177" s="27" t="str">
        <f>IF(OR(OR(OR(OR(OR(ISNUMBER(SEARCH(IF(C$1&lt;&gt;"",C$1,"NA"),'MITRE ATT&amp;CK Mappings'!$E173)),ISNUMBER(SEARCH(IF(C$1&lt;&gt;"",C$1,"NA"),'MITRE ATT&amp;CK Mappings'!$F173))),ISNUMBER(SEARCH(IF(C$2&lt;&gt;"",C$2,"NA"),'MITRE ATT&amp;CK Mappings'!$G173))),ISNUMBER(SEARCH(IF(C$2&lt;&gt;"",C$2,"NA"),'MITRE ATT&amp;CK Mappings'!$H173))),ISNUMBER(SEARCH(IF(C$3&lt;&gt;"",C$3,"NA"),'MITRE ATT&amp;CK Mappings'!$I173))),ISNUMBER(SEARCH(IF(C$3&lt;&gt;"",C$3,"NA"),'MITRE ATT&amp;CK Mappings'!$J173))), 'MITRE ATT&amp;CK Mappings'!$B173,"")</f>
        <v/>
      </c>
      <c r="D177" s="27" t="str">
        <f>IF(OR(OR(OR(OR(OR(ISNUMBER(SEARCH(IF(D$1&lt;&gt;"",D$1,"NA"),'MITRE ATT&amp;CK Mappings'!$E173)),ISNUMBER(SEARCH(IF(D$1&lt;&gt;"",D$1,"NA"),'MITRE ATT&amp;CK Mappings'!$F173))),ISNUMBER(SEARCH(IF(D$2&lt;&gt;"",D$2,"NA"),'MITRE ATT&amp;CK Mappings'!$G173))),ISNUMBER(SEARCH(IF(D$2&lt;&gt;"",D$2,"NA"),'MITRE ATT&amp;CK Mappings'!$H173))),ISNUMBER(SEARCH(IF(D$3&lt;&gt;"",D$3,"NA"),'MITRE ATT&amp;CK Mappings'!$I173))),ISNUMBER(SEARCH(IF(D$3&lt;&gt;"",D$3,"NA"),'MITRE ATT&amp;CK Mappings'!$J173))), 'MITRE ATT&amp;CK Mappings'!$B173,"")</f>
        <v/>
      </c>
      <c r="E177" s="27" t="str">
        <f>IF(OR(OR(OR(OR(OR(ISNUMBER(SEARCH(IF(E$1&lt;&gt;"",E$1,"NA"),'MITRE ATT&amp;CK Mappings'!$E173)),ISNUMBER(SEARCH(IF(E$1&lt;&gt;"",E$1,"NA"),'MITRE ATT&amp;CK Mappings'!$F173))),ISNUMBER(SEARCH(IF(E$2&lt;&gt;"",E$2,"NA"),'MITRE ATT&amp;CK Mappings'!$G173))),ISNUMBER(SEARCH(IF(E$2&lt;&gt;"",E$2,"NA"),'MITRE ATT&amp;CK Mappings'!$H173))),ISNUMBER(SEARCH(IF(E$3&lt;&gt;"",E$3,"NA"),'MITRE ATT&amp;CK Mappings'!$I173))),ISNUMBER(SEARCH(IF(E$3&lt;&gt;"",E$3,"NA"),'MITRE ATT&amp;CK Mappings'!$J173))), 'MITRE ATT&amp;CK Mappings'!$B173,"")</f>
        <v/>
      </c>
      <c r="F177" s="27" t="str">
        <f>IF(OR(OR(OR(OR(OR(ISNUMBER(SEARCH(IF(F$1&lt;&gt;"",F$1,"NA"),'MITRE ATT&amp;CK Mappings'!$E173)),ISNUMBER(SEARCH(IF(F$1&lt;&gt;"",F$1,"NA"),'MITRE ATT&amp;CK Mappings'!$F173))),ISNUMBER(SEARCH(IF(F$2&lt;&gt;"",F$2,"NA"),'MITRE ATT&amp;CK Mappings'!$G173))),ISNUMBER(SEARCH(IF(F$2&lt;&gt;"",F$2,"NA"),'MITRE ATT&amp;CK Mappings'!$H173))),ISNUMBER(SEARCH(IF(F$3&lt;&gt;"",F$3,"NA"),'MITRE ATT&amp;CK Mappings'!$I173))),ISNUMBER(SEARCH(IF(F$3&lt;&gt;"",F$3,"NA"),'MITRE ATT&amp;CK Mappings'!$J173))), 'MITRE ATT&amp;CK Mappings'!$B173,"")</f>
        <v/>
      </c>
      <c r="G177" s="27" t="str">
        <f>IF(OR(OR(OR(OR(OR(ISNUMBER(SEARCH(IF(G$1&lt;&gt;"",G$1,"NA"),'MITRE ATT&amp;CK Mappings'!$E173)),ISNUMBER(SEARCH(IF(G$1&lt;&gt;"",G$1,"NA"),'MITRE ATT&amp;CK Mappings'!$F173))),ISNUMBER(SEARCH(IF(G$2&lt;&gt;"",G$2,"NA"),'MITRE ATT&amp;CK Mappings'!$G173))),ISNUMBER(SEARCH(IF(G$2&lt;&gt;"",G$2,"NA"),'MITRE ATT&amp;CK Mappings'!$H173))),ISNUMBER(SEARCH(IF(G$3&lt;&gt;"",G$3,"NA"),'MITRE ATT&amp;CK Mappings'!$I173))),ISNUMBER(SEARCH(IF(G$3&lt;&gt;"",G$3,"NA"),'MITRE ATT&amp;CK Mappings'!$J173))), 'MITRE ATT&amp;CK Mappings'!$B173,"")</f>
        <v/>
      </c>
      <c r="H177" s="27" t="str">
        <f>IF(OR(OR(OR(OR(OR(ISNUMBER(SEARCH(IF(H$1&lt;&gt;"",H$1,"NA"),'MITRE ATT&amp;CK Mappings'!$E173)),ISNUMBER(SEARCH(IF(H$1&lt;&gt;"",H$1,"NA"),'MITRE ATT&amp;CK Mappings'!$F173))),ISNUMBER(SEARCH(IF(H$2&lt;&gt;"",H$2,"NA"),'MITRE ATT&amp;CK Mappings'!$G173))),ISNUMBER(SEARCH(IF(H$2&lt;&gt;"",H$2,"NA"),'MITRE ATT&amp;CK Mappings'!$H173))),ISNUMBER(SEARCH(IF(H$3&lt;&gt;"",H$3,"NA"),'MITRE ATT&amp;CK Mappings'!$I173))),ISNUMBER(SEARCH(IF(H$3&lt;&gt;"",H$3,"NA"),'MITRE ATT&amp;CK Mappings'!$J173))), 'MITRE ATT&amp;CK Mappings'!$B173,"")</f>
        <v/>
      </c>
      <c r="I177" s="27" t="str">
        <f>IF(OR(OR(OR(OR(OR(ISNUMBER(SEARCH(IF(I$1&lt;&gt;"",I$1,"NA"),'MITRE ATT&amp;CK Mappings'!$E173)),ISNUMBER(SEARCH(IF(I$1&lt;&gt;"",I$1,"NA"),'MITRE ATT&amp;CK Mappings'!$F173))),ISNUMBER(SEARCH(IF(I$2&lt;&gt;"",I$2,"NA"),'MITRE ATT&amp;CK Mappings'!$G173))),ISNUMBER(SEARCH(IF(I$2&lt;&gt;"",I$2,"NA"),'MITRE ATT&amp;CK Mappings'!$H173))),ISNUMBER(SEARCH(IF(I$3&lt;&gt;"",I$3,"NA"),'MITRE ATT&amp;CK Mappings'!$I173))),ISNUMBER(SEARCH(IF(I$3&lt;&gt;"",I$3,"NA"),'MITRE ATT&amp;CK Mappings'!$J173))), 'MITRE ATT&amp;CK Mappings'!$B173,"")</f>
        <v/>
      </c>
      <c r="J177" s="27" t="str">
        <f>IF(OR(OR(OR(OR(OR(ISNUMBER(SEARCH(IF(J$1&lt;&gt;"",J$1,"NA"),'MITRE ATT&amp;CK Mappings'!$E173)),ISNUMBER(SEARCH(IF(J$1&lt;&gt;"",J$1,"NA"),'MITRE ATT&amp;CK Mappings'!$F173))),ISNUMBER(SEARCH(IF(J$2&lt;&gt;"",J$2,"NA"),'MITRE ATT&amp;CK Mappings'!$G173))),ISNUMBER(SEARCH(IF(J$2&lt;&gt;"",J$2,"NA"),'MITRE ATT&amp;CK Mappings'!$H173))),ISNUMBER(SEARCH(IF(J$3&lt;&gt;"",J$3,"NA"),'MITRE ATT&amp;CK Mappings'!$I173))),ISNUMBER(SEARCH(IF(J$3&lt;&gt;"",J$3,"NA"),'MITRE ATT&amp;CK Mappings'!$J173))), 'MITRE ATT&amp;CK Mappings'!$B173,"")</f>
        <v/>
      </c>
      <c r="K177" s="27" t="str">
        <f>IF(OR(OR(OR(OR(OR(ISNUMBER(SEARCH(IF(K$1&lt;&gt;"",K$1,"NA"),'MITRE ATT&amp;CK Mappings'!$E173)),ISNUMBER(SEARCH(IF(K$1&lt;&gt;"",K$1,"NA"),'MITRE ATT&amp;CK Mappings'!$F173))),ISNUMBER(SEARCH(IF(K$2&lt;&gt;"",K$2,"NA"),'MITRE ATT&amp;CK Mappings'!$G173))),ISNUMBER(SEARCH(IF(K$2&lt;&gt;"",K$2,"NA"),'MITRE ATT&amp;CK Mappings'!$H173))),ISNUMBER(SEARCH(IF(K$3&lt;&gt;"",K$3,"NA"),'MITRE ATT&amp;CK Mappings'!$I173))),ISNUMBER(SEARCH(IF(K$3&lt;&gt;"",K$3,"NA"),'MITRE ATT&amp;CK Mappings'!$J173))), 'MITRE ATT&amp;CK Mappings'!$B173,"")</f>
        <v/>
      </c>
      <c r="L177" s="27" t="str">
        <f>IF('MITRE ATT&amp;CK Mappings'!D173 &lt;&gt;"",'MITRE ATT&amp;CK Mappings'!D173,"" )</f>
        <v/>
      </c>
    </row>
    <row r="178" spans="1:12" x14ac:dyDescent="0.25">
      <c r="A178" s="26" t="str">
        <f>IF(COUNTIF(B178:K178,"="&amp;'MITRE ATT&amp;CK Mappings'!B174)&gt;0,'MITRE ATT&amp;CK Mappings'!B174,"")</f>
        <v/>
      </c>
      <c r="B178" s="26" t="str">
        <f>IF(OR(OR(OR(OR(OR(ISNUMBER(SEARCH(IF(B$1&lt;&gt;"",B$1,"NA"),'MITRE ATT&amp;CK Mappings'!$E174)),ISNUMBER(SEARCH(IF(B$1&lt;&gt;"",B$1,"NA"),'MITRE ATT&amp;CK Mappings'!$F174))),ISNUMBER(SEARCH(IF(B$2&lt;&gt;"",B$2,"NA"),'MITRE ATT&amp;CK Mappings'!$G174))),ISNUMBER(SEARCH(IF(B$2&lt;&gt;"",B$2,"NA"),'MITRE ATT&amp;CK Mappings'!$H174))),ISNUMBER(SEARCH(IF(B$3&lt;&gt;"",B$3,"NA"),'MITRE ATT&amp;CK Mappings'!$I174))),ISNUMBER(SEARCH(IF(B$3&lt;&gt;"",B$3,"NA"),'MITRE ATT&amp;CK Mappings'!$J174))), 'MITRE ATT&amp;CK Mappings'!$B174,"")</f>
        <v/>
      </c>
      <c r="C178" s="26" t="str">
        <f>IF(OR(OR(OR(OR(OR(ISNUMBER(SEARCH(IF(C$1&lt;&gt;"",C$1,"NA"),'MITRE ATT&amp;CK Mappings'!$E174)),ISNUMBER(SEARCH(IF(C$1&lt;&gt;"",C$1,"NA"),'MITRE ATT&amp;CK Mappings'!$F174))),ISNUMBER(SEARCH(IF(C$2&lt;&gt;"",C$2,"NA"),'MITRE ATT&amp;CK Mappings'!$G174))),ISNUMBER(SEARCH(IF(C$2&lt;&gt;"",C$2,"NA"),'MITRE ATT&amp;CK Mappings'!$H174))),ISNUMBER(SEARCH(IF(C$3&lt;&gt;"",C$3,"NA"),'MITRE ATT&amp;CK Mappings'!$I174))),ISNUMBER(SEARCH(IF(C$3&lt;&gt;"",C$3,"NA"),'MITRE ATT&amp;CK Mappings'!$J174))), 'MITRE ATT&amp;CK Mappings'!$B174,"")</f>
        <v/>
      </c>
      <c r="D178" s="26" t="str">
        <f>IF(OR(OR(OR(OR(OR(ISNUMBER(SEARCH(IF(D$1&lt;&gt;"",D$1,"NA"),'MITRE ATT&amp;CK Mappings'!$E174)),ISNUMBER(SEARCH(IF(D$1&lt;&gt;"",D$1,"NA"),'MITRE ATT&amp;CK Mappings'!$F174))),ISNUMBER(SEARCH(IF(D$2&lt;&gt;"",D$2,"NA"),'MITRE ATT&amp;CK Mappings'!$G174))),ISNUMBER(SEARCH(IF(D$2&lt;&gt;"",D$2,"NA"),'MITRE ATT&amp;CK Mappings'!$H174))),ISNUMBER(SEARCH(IF(D$3&lt;&gt;"",D$3,"NA"),'MITRE ATT&amp;CK Mappings'!$I174))),ISNUMBER(SEARCH(IF(D$3&lt;&gt;"",D$3,"NA"),'MITRE ATT&amp;CK Mappings'!$J174))), 'MITRE ATT&amp;CK Mappings'!$B174,"")</f>
        <v/>
      </c>
      <c r="E178" s="26" t="str">
        <f>IF(OR(OR(OR(OR(OR(ISNUMBER(SEARCH(IF(E$1&lt;&gt;"",E$1,"NA"),'MITRE ATT&amp;CK Mappings'!$E174)),ISNUMBER(SEARCH(IF(E$1&lt;&gt;"",E$1,"NA"),'MITRE ATT&amp;CK Mappings'!$F174))),ISNUMBER(SEARCH(IF(E$2&lt;&gt;"",E$2,"NA"),'MITRE ATT&amp;CK Mappings'!$G174))),ISNUMBER(SEARCH(IF(E$2&lt;&gt;"",E$2,"NA"),'MITRE ATT&amp;CK Mappings'!$H174))),ISNUMBER(SEARCH(IF(E$3&lt;&gt;"",E$3,"NA"),'MITRE ATT&amp;CK Mappings'!$I174))),ISNUMBER(SEARCH(IF(E$3&lt;&gt;"",E$3,"NA"),'MITRE ATT&amp;CK Mappings'!$J174))), 'MITRE ATT&amp;CK Mappings'!$B174,"")</f>
        <v/>
      </c>
      <c r="F178" s="26" t="str">
        <f>IF(OR(OR(OR(OR(OR(ISNUMBER(SEARCH(IF(F$1&lt;&gt;"",F$1,"NA"),'MITRE ATT&amp;CK Mappings'!$E174)),ISNUMBER(SEARCH(IF(F$1&lt;&gt;"",F$1,"NA"),'MITRE ATT&amp;CK Mappings'!$F174))),ISNUMBER(SEARCH(IF(F$2&lt;&gt;"",F$2,"NA"),'MITRE ATT&amp;CK Mappings'!$G174))),ISNUMBER(SEARCH(IF(F$2&lt;&gt;"",F$2,"NA"),'MITRE ATT&amp;CK Mappings'!$H174))),ISNUMBER(SEARCH(IF(F$3&lt;&gt;"",F$3,"NA"),'MITRE ATT&amp;CK Mappings'!$I174))),ISNUMBER(SEARCH(IF(F$3&lt;&gt;"",F$3,"NA"),'MITRE ATT&amp;CK Mappings'!$J174))), 'MITRE ATT&amp;CK Mappings'!$B174,"")</f>
        <v/>
      </c>
      <c r="G178" s="26" t="str">
        <f>IF(OR(OR(OR(OR(OR(ISNUMBER(SEARCH(IF(G$1&lt;&gt;"",G$1,"NA"),'MITRE ATT&amp;CK Mappings'!$E174)),ISNUMBER(SEARCH(IF(G$1&lt;&gt;"",G$1,"NA"),'MITRE ATT&amp;CK Mappings'!$F174))),ISNUMBER(SEARCH(IF(G$2&lt;&gt;"",G$2,"NA"),'MITRE ATT&amp;CK Mappings'!$G174))),ISNUMBER(SEARCH(IF(G$2&lt;&gt;"",G$2,"NA"),'MITRE ATT&amp;CK Mappings'!$H174))),ISNUMBER(SEARCH(IF(G$3&lt;&gt;"",G$3,"NA"),'MITRE ATT&amp;CK Mappings'!$I174))),ISNUMBER(SEARCH(IF(G$3&lt;&gt;"",G$3,"NA"),'MITRE ATT&amp;CK Mappings'!$J174))), 'MITRE ATT&amp;CK Mappings'!$B174,"")</f>
        <v/>
      </c>
      <c r="H178" s="26" t="str">
        <f>IF(OR(OR(OR(OR(OR(ISNUMBER(SEARCH(IF(H$1&lt;&gt;"",H$1,"NA"),'MITRE ATT&amp;CK Mappings'!$E174)),ISNUMBER(SEARCH(IF(H$1&lt;&gt;"",H$1,"NA"),'MITRE ATT&amp;CK Mappings'!$F174))),ISNUMBER(SEARCH(IF(H$2&lt;&gt;"",H$2,"NA"),'MITRE ATT&amp;CK Mappings'!$G174))),ISNUMBER(SEARCH(IF(H$2&lt;&gt;"",H$2,"NA"),'MITRE ATT&amp;CK Mappings'!$H174))),ISNUMBER(SEARCH(IF(H$3&lt;&gt;"",H$3,"NA"),'MITRE ATT&amp;CK Mappings'!$I174))),ISNUMBER(SEARCH(IF(H$3&lt;&gt;"",H$3,"NA"),'MITRE ATT&amp;CK Mappings'!$J174))), 'MITRE ATT&amp;CK Mappings'!$B174,"")</f>
        <v/>
      </c>
      <c r="I178" s="26" t="str">
        <f>IF(OR(OR(OR(OR(OR(ISNUMBER(SEARCH(IF(I$1&lt;&gt;"",I$1,"NA"),'MITRE ATT&amp;CK Mappings'!$E174)),ISNUMBER(SEARCH(IF(I$1&lt;&gt;"",I$1,"NA"),'MITRE ATT&amp;CK Mappings'!$F174))),ISNUMBER(SEARCH(IF(I$2&lt;&gt;"",I$2,"NA"),'MITRE ATT&amp;CK Mappings'!$G174))),ISNUMBER(SEARCH(IF(I$2&lt;&gt;"",I$2,"NA"),'MITRE ATT&amp;CK Mappings'!$H174))),ISNUMBER(SEARCH(IF(I$3&lt;&gt;"",I$3,"NA"),'MITRE ATT&amp;CK Mappings'!$I174))),ISNUMBER(SEARCH(IF(I$3&lt;&gt;"",I$3,"NA"),'MITRE ATT&amp;CK Mappings'!$J174))), 'MITRE ATT&amp;CK Mappings'!$B174,"")</f>
        <v/>
      </c>
      <c r="J178" s="26" t="str">
        <f>IF(OR(OR(OR(OR(OR(ISNUMBER(SEARCH(IF(J$1&lt;&gt;"",J$1,"NA"),'MITRE ATT&amp;CK Mappings'!$E174)),ISNUMBER(SEARCH(IF(J$1&lt;&gt;"",J$1,"NA"),'MITRE ATT&amp;CK Mappings'!$F174))),ISNUMBER(SEARCH(IF(J$2&lt;&gt;"",J$2,"NA"),'MITRE ATT&amp;CK Mappings'!$G174))),ISNUMBER(SEARCH(IF(J$2&lt;&gt;"",J$2,"NA"),'MITRE ATT&amp;CK Mappings'!$H174))),ISNUMBER(SEARCH(IF(J$3&lt;&gt;"",J$3,"NA"),'MITRE ATT&amp;CK Mappings'!$I174))),ISNUMBER(SEARCH(IF(J$3&lt;&gt;"",J$3,"NA"),'MITRE ATT&amp;CK Mappings'!$J174))), 'MITRE ATT&amp;CK Mappings'!$B174,"")</f>
        <v/>
      </c>
      <c r="K178" s="26" t="str">
        <f>IF(OR(OR(OR(OR(OR(ISNUMBER(SEARCH(IF(K$1&lt;&gt;"",K$1,"NA"),'MITRE ATT&amp;CK Mappings'!$E174)),ISNUMBER(SEARCH(IF(K$1&lt;&gt;"",K$1,"NA"),'MITRE ATT&amp;CK Mappings'!$F174))),ISNUMBER(SEARCH(IF(K$2&lt;&gt;"",K$2,"NA"),'MITRE ATT&amp;CK Mappings'!$G174))),ISNUMBER(SEARCH(IF(K$2&lt;&gt;"",K$2,"NA"),'MITRE ATT&amp;CK Mappings'!$H174))),ISNUMBER(SEARCH(IF(K$3&lt;&gt;"",K$3,"NA"),'MITRE ATT&amp;CK Mappings'!$I174))),ISNUMBER(SEARCH(IF(K$3&lt;&gt;"",K$3,"NA"),'MITRE ATT&amp;CK Mappings'!$J174))), 'MITRE ATT&amp;CK Mappings'!$B174,"")</f>
        <v/>
      </c>
      <c r="L178" s="26" t="str">
        <f>IF('MITRE ATT&amp;CK Mappings'!D174 &lt;&gt;"",'MITRE ATT&amp;CK Mappings'!D174,"" )</f>
        <v/>
      </c>
    </row>
    <row r="179" spans="1:12" x14ac:dyDescent="0.25">
      <c r="A179" s="27" t="str">
        <f>IF(COUNTIF(B179:K179,"="&amp;'MITRE ATT&amp;CK Mappings'!B175)&gt;0,'MITRE ATT&amp;CK Mappings'!B175,"")</f>
        <v/>
      </c>
      <c r="B179" s="27" t="str">
        <f>IF(OR(OR(OR(OR(OR(ISNUMBER(SEARCH(IF(B$1&lt;&gt;"",B$1,"NA"),'MITRE ATT&amp;CK Mappings'!$E175)),ISNUMBER(SEARCH(IF(B$1&lt;&gt;"",B$1,"NA"),'MITRE ATT&amp;CK Mappings'!$F175))),ISNUMBER(SEARCH(IF(B$2&lt;&gt;"",B$2,"NA"),'MITRE ATT&amp;CK Mappings'!$G175))),ISNUMBER(SEARCH(IF(B$2&lt;&gt;"",B$2,"NA"),'MITRE ATT&amp;CK Mappings'!$H175))),ISNUMBER(SEARCH(IF(B$3&lt;&gt;"",B$3,"NA"),'MITRE ATT&amp;CK Mappings'!$I175))),ISNUMBER(SEARCH(IF(B$3&lt;&gt;"",B$3,"NA"),'MITRE ATT&amp;CK Mappings'!$J175))), 'MITRE ATT&amp;CK Mappings'!$B175,"")</f>
        <v/>
      </c>
      <c r="C179" s="27" t="str">
        <f>IF(OR(OR(OR(OR(OR(ISNUMBER(SEARCH(IF(C$1&lt;&gt;"",C$1,"NA"),'MITRE ATT&amp;CK Mappings'!$E175)),ISNUMBER(SEARCH(IF(C$1&lt;&gt;"",C$1,"NA"),'MITRE ATT&amp;CK Mappings'!$F175))),ISNUMBER(SEARCH(IF(C$2&lt;&gt;"",C$2,"NA"),'MITRE ATT&amp;CK Mappings'!$G175))),ISNUMBER(SEARCH(IF(C$2&lt;&gt;"",C$2,"NA"),'MITRE ATT&amp;CK Mappings'!$H175))),ISNUMBER(SEARCH(IF(C$3&lt;&gt;"",C$3,"NA"),'MITRE ATT&amp;CK Mappings'!$I175))),ISNUMBER(SEARCH(IF(C$3&lt;&gt;"",C$3,"NA"),'MITRE ATT&amp;CK Mappings'!$J175))), 'MITRE ATT&amp;CK Mappings'!$B175,"")</f>
        <v/>
      </c>
      <c r="D179" s="27" t="str">
        <f>IF(OR(OR(OR(OR(OR(ISNUMBER(SEARCH(IF(D$1&lt;&gt;"",D$1,"NA"),'MITRE ATT&amp;CK Mappings'!$E175)),ISNUMBER(SEARCH(IF(D$1&lt;&gt;"",D$1,"NA"),'MITRE ATT&amp;CK Mappings'!$F175))),ISNUMBER(SEARCH(IF(D$2&lt;&gt;"",D$2,"NA"),'MITRE ATT&amp;CK Mappings'!$G175))),ISNUMBER(SEARCH(IF(D$2&lt;&gt;"",D$2,"NA"),'MITRE ATT&amp;CK Mappings'!$H175))),ISNUMBER(SEARCH(IF(D$3&lt;&gt;"",D$3,"NA"),'MITRE ATT&amp;CK Mappings'!$I175))),ISNUMBER(SEARCH(IF(D$3&lt;&gt;"",D$3,"NA"),'MITRE ATT&amp;CK Mappings'!$J175))), 'MITRE ATT&amp;CK Mappings'!$B175,"")</f>
        <v/>
      </c>
      <c r="E179" s="27" t="str">
        <f>IF(OR(OR(OR(OR(OR(ISNUMBER(SEARCH(IF(E$1&lt;&gt;"",E$1,"NA"),'MITRE ATT&amp;CK Mappings'!$E175)),ISNUMBER(SEARCH(IF(E$1&lt;&gt;"",E$1,"NA"),'MITRE ATT&amp;CK Mappings'!$F175))),ISNUMBER(SEARCH(IF(E$2&lt;&gt;"",E$2,"NA"),'MITRE ATT&amp;CK Mappings'!$G175))),ISNUMBER(SEARCH(IF(E$2&lt;&gt;"",E$2,"NA"),'MITRE ATT&amp;CK Mappings'!$H175))),ISNUMBER(SEARCH(IF(E$3&lt;&gt;"",E$3,"NA"),'MITRE ATT&amp;CK Mappings'!$I175))),ISNUMBER(SEARCH(IF(E$3&lt;&gt;"",E$3,"NA"),'MITRE ATT&amp;CK Mappings'!$J175))), 'MITRE ATT&amp;CK Mappings'!$B175,"")</f>
        <v/>
      </c>
      <c r="F179" s="27" t="str">
        <f>IF(OR(OR(OR(OR(OR(ISNUMBER(SEARCH(IF(F$1&lt;&gt;"",F$1,"NA"),'MITRE ATT&amp;CK Mappings'!$E175)),ISNUMBER(SEARCH(IF(F$1&lt;&gt;"",F$1,"NA"),'MITRE ATT&amp;CK Mappings'!$F175))),ISNUMBER(SEARCH(IF(F$2&lt;&gt;"",F$2,"NA"),'MITRE ATT&amp;CK Mappings'!$G175))),ISNUMBER(SEARCH(IF(F$2&lt;&gt;"",F$2,"NA"),'MITRE ATT&amp;CK Mappings'!$H175))),ISNUMBER(SEARCH(IF(F$3&lt;&gt;"",F$3,"NA"),'MITRE ATT&amp;CK Mappings'!$I175))),ISNUMBER(SEARCH(IF(F$3&lt;&gt;"",F$3,"NA"),'MITRE ATT&amp;CK Mappings'!$J175))), 'MITRE ATT&amp;CK Mappings'!$B175,"")</f>
        <v/>
      </c>
      <c r="G179" s="27" t="str">
        <f>IF(OR(OR(OR(OR(OR(ISNUMBER(SEARCH(IF(G$1&lt;&gt;"",G$1,"NA"),'MITRE ATT&amp;CK Mappings'!$E175)),ISNUMBER(SEARCH(IF(G$1&lt;&gt;"",G$1,"NA"),'MITRE ATT&amp;CK Mappings'!$F175))),ISNUMBER(SEARCH(IF(G$2&lt;&gt;"",G$2,"NA"),'MITRE ATT&amp;CK Mappings'!$G175))),ISNUMBER(SEARCH(IF(G$2&lt;&gt;"",G$2,"NA"),'MITRE ATT&amp;CK Mappings'!$H175))),ISNUMBER(SEARCH(IF(G$3&lt;&gt;"",G$3,"NA"),'MITRE ATT&amp;CK Mappings'!$I175))),ISNUMBER(SEARCH(IF(G$3&lt;&gt;"",G$3,"NA"),'MITRE ATT&amp;CK Mappings'!$J175))), 'MITRE ATT&amp;CK Mappings'!$B175,"")</f>
        <v/>
      </c>
      <c r="H179" s="27" t="str">
        <f>IF(OR(OR(OR(OR(OR(ISNUMBER(SEARCH(IF(H$1&lt;&gt;"",H$1,"NA"),'MITRE ATT&amp;CK Mappings'!$E175)),ISNUMBER(SEARCH(IF(H$1&lt;&gt;"",H$1,"NA"),'MITRE ATT&amp;CK Mappings'!$F175))),ISNUMBER(SEARCH(IF(H$2&lt;&gt;"",H$2,"NA"),'MITRE ATT&amp;CK Mappings'!$G175))),ISNUMBER(SEARCH(IF(H$2&lt;&gt;"",H$2,"NA"),'MITRE ATT&amp;CK Mappings'!$H175))),ISNUMBER(SEARCH(IF(H$3&lt;&gt;"",H$3,"NA"),'MITRE ATT&amp;CK Mappings'!$I175))),ISNUMBER(SEARCH(IF(H$3&lt;&gt;"",H$3,"NA"),'MITRE ATT&amp;CK Mappings'!$J175))), 'MITRE ATT&amp;CK Mappings'!$B175,"")</f>
        <v/>
      </c>
      <c r="I179" s="27" t="str">
        <f>IF(OR(OR(OR(OR(OR(ISNUMBER(SEARCH(IF(I$1&lt;&gt;"",I$1,"NA"),'MITRE ATT&amp;CK Mappings'!$E175)),ISNUMBER(SEARCH(IF(I$1&lt;&gt;"",I$1,"NA"),'MITRE ATT&amp;CK Mappings'!$F175))),ISNUMBER(SEARCH(IF(I$2&lt;&gt;"",I$2,"NA"),'MITRE ATT&amp;CK Mappings'!$G175))),ISNUMBER(SEARCH(IF(I$2&lt;&gt;"",I$2,"NA"),'MITRE ATT&amp;CK Mappings'!$H175))),ISNUMBER(SEARCH(IF(I$3&lt;&gt;"",I$3,"NA"),'MITRE ATT&amp;CK Mappings'!$I175))),ISNUMBER(SEARCH(IF(I$3&lt;&gt;"",I$3,"NA"),'MITRE ATT&amp;CK Mappings'!$J175))), 'MITRE ATT&amp;CK Mappings'!$B175,"")</f>
        <v/>
      </c>
      <c r="J179" s="27" t="str">
        <f>IF(OR(OR(OR(OR(OR(ISNUMBER(SEARCH(IF(J$1&lt;&gt;"",J$1,"NA"),'MITRE ATT&amp;CK Mappings'!$E175)),ISNUMBER(SEARCH(IF(J$1&lt;&gt;"",J$1,"NA"),'MITRE ATT&amp;CK Mappings'!$F175))),ISNUMBER(SEARCH(IF(J$2&lt;&gt;"",J$2,"NA"),'MITRE ATT&amp;CK Mappings'!$G175))),ISNUMBER(SEARCH(IF(J$2&lt;&gt;"",J$2,"NA"),'MITRE ATT&amp;CK Mappings'!$H175))),ISNUMBER(SEARCH(IF(J$3&lt;&gt;"",J$3,"NA"),'MITRE ATT&amp;CK Mappings'!$I175))),ISNUMBER(SEARCH(IF(J$3&lt;&gt;"",J$3,"NA"),'MITRE ATT&amp;CK Mappings'!$J175))), 'MITRE ATT&amp;CK Mappings'!$B175,"")</f>
        <v/>
      </c>
      <c r="K179" s="27" t="str">
        <f>IF(OR(OR(OR(OR(OR(ISNUMBER(SEARCH(IF(K$1&lt;&gt;"",K$1,"NA"),'MITRE ATT&amp;CK Mappings'!$E175)),ISNUMBER(SEARCH(IF(K$1&lt;&gt;"",K$1,"NA"),'MITRE ATT&amp;CK Mappings'!$F175))),ISNUMBER(SEARCH(IF(K$2&lt;&gt;"",K$2,"NA"),'MITRE ATT&amp;CK Mappings'!$G175))),ISNUMBER(SEARCH(IF(K$2&lt;&gt;"",K$2,"NA"),'MITRE ATT&amp;CK Mappings'!$H175))),ISNUMBER(SEARCH(IF(K$3&lt;&gt;"",K$3,"NA"),'MITRE ATT&amp;CK Mappings'!$I175))),ISNUMBER(SEARCH(IF(K$3&lt;&gt;"",K$3,"NA"),'MITRE ATT&amp;CK Mappings'!$J175))), 'MITRE ATT&amp;CK Mappings'!$B175,"")</f>
        <v/>
      </c>
      <c r="L179" s="27" t="str">
        <f>IF('MITRE ATT&amp;CK Mappings'!D175 &lt;&gt;"",'MITRE ATT&amp;CK Mappings'!D175,"" )</f>
        <v/>
      </c>
    </row>
    <row r="180" spans="1:12" x14ac:dyDescent="0.25">
      <c r="A180" s="26" t="str">
        <f>IF(COUNTIF(B180:K180,"="&amp;'MITRE ATT&amp;CK Mappings'!B176)&gt;0,'MITRE ATT&amp;CK Mappings'!B176,"")</f>
        <v/>
      </c>
      <c r="B180" s="26" t="str">
        <f>IF(OR(OR(OR(OR(OR(ISNUMBER(SEARCH(IF(B$1&lt;&gt;"",B$1,"NA"),'MITRE ATT&amp;CK Mappings'!$E176)),ISNUMBER(SEARCH(IF(B$1&lt;&gt;"",B$1,"NA"),'MITRE ATT&amp;CK Mappings'!$F176))),ISNUMBER(SEARCH(IF(B$2&lt;&gt;"",B$2,"NA"),'MITRE ATT&amp;CK Mappings'!$G176))),ISNUMBER(SEARCH(IF(B$2&lt;&gt;"",B$2,"NA"),'MITRE ATT&amp;CK Mappings'!$H176))),ISNUMBER(SEARCH(IF(B$3&lt;&gt;"",B$3,"NA"),'MITRE ATT&amp;CK Mappings'!$I176))),ISNUMBER(SEARCH(IF(B$3&lt;&gt;"",B$3,"NA"),'MITRE ATT&amp;CK Mappings'!$J176))), 'MITRE ATT&amp;CK Mappings'!$B176,"")</f>
        <v/>
      </c>
      <c r="C180" s="26" t="str">
        <f>IF(OR(OR(OR(OR(OR(ISNUMBER(SEARCH(IF(C$1&lt;&gt;"",C$1,"NA"),'MITRE ATT&amp;CK Mappings'!$E176)),ISNUMBER(SEARCH(IF(C$1&lt;&gt;"",C$1,"NA"),'MITRE ATT&amp;CK Mappings'!$F176))),ISNUMBER(SEARCH(IF(C$2&lt;&gt;"",C$2,"NA"),'MITRE ATT&amp;CK Mappings'!$G176))),ISNUMBER(SEARCH(IF(C$2&lt;&gt;"",C$2,"NA"),'MITRE ATT&amp;CK Mappings'!$H176))),ISNUMBER(SEARCH(IF(C$3&lt;&gt;"",C$3,"NA"),'MITRE ATT&amp;CK Mappings'!$I176))),ISNUMBER(SEARCH(IF(C$3&lt;&gt;"",C$3,"NA"),'MITRE ATT&amp;CK Mappings'!$J176))), 'MITRE ATT&amp;CK Mappings'!$B176,"")</f>
        <v/>
      </c>
      <c r="D180" s="26" t="str">
        <f>IF(OR(OR(OR(OR(OR(ISNUMBER(SEARCH(IF(D$1&lt;&gt;"",D$1,"NA"),'MITRE ATT&amp;CK Mappings'!$E176)),ISNUMBER(SEARCH(IF(D$1&lt;&gt;"",D$1,"NA"),'MITRE ATT&amp;CK Mappings'!$F176))),ISNUMBER(SEARCH(IF(D$2&lt;&gt;"",D$2,"NA"),'MITRE ATT&amp;CK Mappings'!$G176))),ISNUMBER(SEARCH(IF(D$2&lt;&gt;"",D$2,"NA"),'MITRE ATT&amp;CK Mappings'!$H176))),ISNUMBER(SEARCH(IF(D$3&lt;&gt;"",D$3,"NA"),'MITRE ATT&amp;CK Mappings'!$I176))),ISNUMBER(SEARCH(IF(D$3&lt;&gt;"",D$3,"NA"),'MITRE ATT&amp;CK Mappings'!$J176))), 'MITRE ATT&amp;CK Mappings'!$B176,"")</f>
        <v/>
      </c>
      <c r="E180" s="26" t="str">
        <f>IF(OR(OR(OR(OR(OR(ISNUMBER(SEARCH(IF(E$1&lt;&gt;"",E$1,"NA"),'MITRE ATT&amp;CK Mappings'!$E176)),ISNUMBER(SEARCH(IF(E$1&lt;&gt;"",E$1,"NA"),'MITRE ATT&amp;CK Mappings'!$F176))),ISNUMBER(SEARCH(IF(E$2&lt;&gt;"",E$2,"NA"),'MITRE ATT&amp;CK Mappings'!$G176))),ISNUMBER(SEARCH(IF(E$2&lt;&gt;"",E$2,"NA"),'MITRE ATT&amp;CK Mappings'!$H176))),ISNUMBER(SEARCH(IF(E$3&lt;&gt;"",E$3,"NA"),'MITRE ATT&amp;CK Mappings'!$I176))),ISNUMBER(SEARCH(IF(E$3&lt;&gt;"",E$3,"NA"),'MITRE ATT&amp;CK Mappings'!$J176))), 'MITRE ATT&amp;CK Mappings'!$B176,"")</f>
        <v/>
      </c>
      <c r="F180" s="26" t="str">
        <f>IF(OR(OR(OR(OR(OR(ISNUMBER(SEARCH(IF(F$1&lt;&gt;"",F$1,"NA"),'MITRE ATT&amp;CK Mappings'!$E176)),ISNUMBER(SEARCH(IF(F$1&lt;&gt;"",F$1,"NA"),'MITRE ATT&amp;CK Mappings'!$F176))),ISNUMBER(SEARCH(IF(F$2&lt;&gt;"",F$2,"NA"),'MITRE ATT&amp;CK Mappings'!$G176))),ISNUMBER(SEARCH(IF(F$2&lt;&gt;"",F$2,"NA"),'MITRE ATT&amp;CK Mappings'!$H176))),ISNUMBER(SEARCH(IF(F$3&lt;&gt;"",F$3,"NA"),'MITRE ATT&amp;CK Mappings'!$I176))),ISNUMBER(SEARCH(IF(F$3&lt;&gt;"",F$3,"NA"),'MITRE ATT&amp;CK Mappings'!$J176))), 'MITRE ATT&amp;CK Mappings'!$B176,"")</f>
        <v/>
      </c>
      <c r="G180" s="26" t="str">
        <f>IF(OR(OR(OR(OR(OR(ISNUMBER(SEARCH(IF(G$1&lt;&gt;"",G$1,"NA"),'MITRE ATT&amp;CK Mappings'!$E176)),ISNUMBER(SEARCH(IF(G$1&lt;&gt;"",G$1,"NA"),'MITRE ATT&amp;CK Mappings'!$F176))),ISNUMBER(SEARCH(IF(G$2&lt;&gt;"",G$2,"NA"),'MITRE ATT&amp;CK Mappings'!$G176))),ISNUMBER(SEARCH(IF(G$2&lt;&gt;"",G$2,"NA"),'MITRE ATT&amp;CK Mappings'!$H176))),ISNUMBER(SEARCH(IF(G$3&lt;&gt;"",G$3,"NA"),'MITRE ATT&amp;CK Mappings'!$I176))),ISNUMBER(SEARCH(IF(G$3&lt;&gt;"",G$3,"NA"),'MITRE ATT&amp;CK Mappings'!$J176))), 'MITRE ATT&amp;CK Mappings'!$B176,"")</f>
        <v/>
      </c>
      <c r="H180" s="26" t="str">
        <f>IF(OR(OR(OR(OR(OR(ISNUMBER(SEARCH(IF(H$1&lt;&gt;"",H$1,"NA"),'MITRE ATT&amp;CK Mappings'!$E176)),ISNUMBER(SEARCH(IF(H$1&lt;&gt;"",H$1,"NA"),'MITRE ATT&amp;CK Mappings'!$F176))),ISNUMBER(SEARCH(IF(H$2&lt;&gt;"",H$2,"NA"),'MITRE ATT&amp;CK Mappings'!$G176))),ISNUMBER(SEARCH(IF(H$2&lt;&gt;"",H$2,"NA"),'MITRE ATT&amp;CK Mappings'!$H176))),ISNUMBER(SEARCH(IF(H$3&lt;&gt;"",H$3,"NA"),'MITRE ATT&amp;CK Mappings'!$I176))),ISNUMBER(SEARCH(IF(H$3&lt;&gt;"",H$3,"NA"),'MITRE ATT&amp;CK Mappings'!$J176))), 'MITRE ATT&amp;CK Mappings'!$B176,"")</f>
        <v/>
      </c>
      <c r="I180" s="26" t="str">
        <f>IF(OR(OR(OR(OR(OR(ISNUMBER(SEARCH(IF(I$1&lt;&gt;"",I$1,"NA"),'MITRE ATT&amp;CK Mappings'!$E176)),ISNUMBER(SEARCH(IF(I$1&lt;&gt;"",I$1,"NA"),'MITRE ATT&amp;CK Mappings'!$F176))),ISNUMBER(SEARCH(IF(I$2&lt;&gt;"",I$2,"NA"),'MITRE ATT&amp;CK Mappings'!$G176))),ISNUMBER(SEARCH(IF(I$2&lt;&gt;"",I$2,"NA"),'MITRE ATT&amp;CK Mappings'!$H176))),ISNUMBER(SEARCH(IF(I$3&lt;&gt;"",I$3,"NA"),'MITRE ATT&amp;CK Mappings'!$I176))),ISNUMBER(SEARCH(IF(I$3&lt;&gt;"",I$3,"NA"),'MITRE ATT&amp;CK Mappings'!$J176))), 'MITRE ATT&amp;CK Mappings'!$B176,"")</f>
        <v/>
      </c>
      <c r="J180" s="26" t="str">
        <f>IF(OR(OR(OR(OR(OR(ISNUMBER(SEARCH(IF(J$1&lt;&gt;"",J$1,"NA"),'MITRE ATT&amp;CK Mappings'!$E176)),ISNUMBER(SEARCH(IF(J$1&lt;&gt;"",J$1,"NA"),'MITRE ATT&amp;CK Mappings'!$F176))),ISNUMBER(SEARCH(IF(J$2&lt;&gt;"",J$2,"NA"),'MITRE ATT&amp;CK Mappings'!$G176))),ISNUMBER(SEARCH(IF(J$2&lt;&gt;"",J$2,"NA"),'MITRE ATT&amp;CK Mappings'!$H176))),ISNUMBER(SEARCH(IF(J$3&lt;&gt;"",J$3,"NA"),'MITRE ATT&amp;CK Mappings'!$I176))),ISNUMBER(SEARCH(IF(J$3&lt;&gt;"",J$3,"NA"),'MITRE ATT&amp;CK Mappings'!$J176))), 'MITRE ATT&amp;CK Mappings'!$B176,"")</f>
        <v/>
      </c>
      <c r="K180" s="26" t="str">
        <f>IF(OR(OR(OR(OR(OR(ISNUMBER(SEARCH(IF(K$1&lt;&gt;"",K$1,"NA"),'MITRE ATT&amp;CK Mappings'!$E176)),ISNUMBER(SEARCH(IF(K$1&lt;&gt;"",K$1,"NA"),'MITRE ATT&amp;CK Mappings'!$F176))),ISNUMBER(SEARCH(IF(K$2&lt;&gt;"",K$2,"NA"),'MITRE ATT&amp;CK Mappings'!$G176))),ISNUMBER(SEARCH(IF(K$2&lt;&gt;"",K$2,"NA"),'MITRE ATT&amp;CK Mappings'!$H176))),ISNUMBER(SEARCH(IF(K$3&lt;&gt;"",K$3,"NA"),'MITRE ATT&amp;CK Mappings'!$I176))),ISNUMBER(SEARCH(IF(K$3&lt;&gt;"",K$3,"NA"),'MITRE ATT&amp;CK Mappings'!$J176))), 'MITRE ATT&amp;CK Mappings'!$B176,"")</f>
        <v/>
      </c>
      <c r="L180" s="26" t="str">
        <f>IF('MITRE ATT&amp;CK Mappings'!D176 &lt;&gt;"",'MITRE ATT&amp;CK Mappings'!D176,"" )</f>
        <v/>
      </c>
    </row>
    <row r="181" spans="1:12" x14ac:dyDescent="0.25">
      <c r="A181" s="27" t="str">
        <f>IF(COUNTIF(B181:K181,"="&amp;'MITRE ATT&amp;CK Mappings'!B177)&gt;0,'MITRE ATT&amp;CK Mappings'!B177,"")</f>
        <v/>
      </c>
      <c r="B181" s="27" t="str">
        <f>IF(OR(OR(OR(OR(OR(ISNUMBER(SEARCH(IF(B$1&lt;&gt;"",B$1,"NA"),'MITRE ATT&amp;CK Mappings'!$E177)),ISNUMBER(SEARCH(IF(B$1&lt;&gt;"",B$1,"NA"),'MITRE ATT&amp;CK Mappings'!$F177))),ISNUMBER(SEARCH(IF(B$2&lt;&gt;"",B$2,"NA"),'MITRE ATT&amp;CK Mappings'!$G177))),ISNUMBER(SEARCH(IF(B$2&lt;&gt;"",B$2,"NA"),'MITRE ATT&amp;CK Mappings'!$H177))),ISNUMBER(SEARCH(IF(B$3&lt;&gt;"",B$3,"NA"),'MITRE ATT&amp;CK Mappings'!$I177))),ISNUMBER(SEARCH(IF(B$3&lt;&gt;"",B$3,"NA"),'MITRE ATT&amp;CK Mappings'!$J177))), 'MITRE ATT&amp;CK Mappings'!$B177,"")</f>
        <v/>
      </c>
      <c r="C181" s="27" t="str">
        <f>IF(OR(OR(OR(OR(OR(ISNUMBER(SEARCH(IF(C$1&lt;&gt;"",C$1,"NA"),'MITRE ATT&amp;CK Mappings'!$E177)),ISNUMBER(SEARCH(IF(C$1&lt;&gt;"",C$1,"NA"),'MITRE ATT&amp;CK Mappings'!$F177))),ISNUMBER(SEARCH(IF(C$2&lt;&gt;"",C$2,"NA"),'MITRE ATT&amp;CK Mappings'!$G177))),ISNUMBER(SEARCH(IF(C$2&lt;&gt;"",C$2,"NA"),'MITRE ATT&amp;CK Mappings'!$H177))),ISNUMBER(SEARCH(IF(C$3&lt;&gt;"",C$3,"NA"),'MITRE ATT&amp;CK Mappings'!$I177))),ISNUMBER(SEARCH(IF(C$3&lt;&gt;"",C$3,"NA"),'MITRE ATT&amp;CK Mappings'!$J177))), 'MITRE ATT&amp;CK Mappings'!$B177,"")</f>
        <v/>
      </c>
      <c r="D181" s="27" t="str">
        <f>IF(OR(OR(OR(OR(OR(ISNUMBER(SEARCH(IF(D$1&lt;&gt;"",D$1,"NA"),'MITRE ATT&amp;CK Mappings'!$E177)),ISNUMBER(SEARCH(IF(D$1&lt;&gt;"",D$1,"NA"),'MITRE ATT&amp;CK Mappings'!$F177))),ISNUMBER(SEARCH(IF(D$2&lt;&gt;"",D$2,"NA"),'MITRE ATT&amp;CK Mappings'!$G177))),ISNUMBER(SEARCH(IF(D$2&lt;&gt;"",D$2,"NA"),'MITRE ATT&amp;CK Mappings'!$H177))),ISNUMBER(SEARCH(IF(D$3&lt;&gt;"",D$3,"NA"),'MITRE ATT&amp;CK Mappings'!$I177))),ISNUMBER(SEARCH(IF(D$3&lt;&gt;"",D$3,"NA"),'MITRE ATT&amp;CK Mappings'!$J177))), 'MITRE ATT&amp;CK Mappings'!$B177,"")</f>
        <v/>
      </c>
      <c r="E181" s="27" t="str">
        <f>IF(OR(OR(OR(OR(OR(ISNUMBER(SEARCH(IF(E$1&lt;&gt;"",E$1,"NA"),'MITRE ATT&amp;CK Mappings'!$E177)),ISNUMBER(SEARCH(IF(E$1&lt;&gt;"",E$1,"NA"),'MITRE ATT&amp;CK Mappings'!$F177))),ISNUMBER(SEARCH(IF(E$2&lt;&gt;"",E$2,"NA"),'MITRE ATT&amp;CK Mappings'!$G177))),ISNUMBER(SEARCH(IF(E$2&lt;&gt;"",E$2,"NA"),'MITRE ATT&amp;CK Mappings'!$H177))),ISNUMBER(SEARCH(IF(E$3&lt;&gt;"",E$3,"NA"),'MITRE ATT&amp;CK Mappings'!$I177))),ISNUMBER(SEARCH(IF(E$3&lt;&gt;"",E$3,"NA"),'MITRE ATT&amp;CK Mappings'!$J177))), 'MITRE ATT&amp;CK Mappings'!$B177,"")</f>
        <v/>
      </c>
      <c r="F181" s="27" t="str">
        <f>IF(OR(OR(OR(OR(OR(ISNUMBER(SEARCH(IF(F$1&lt;&gt;"",F$1,"NA"),'MITRE ATT&amp;CK Mappings'!$E177)),ISNUMBER(SEARCH(IF(F$1&lt;&gt;"",F$1,"NA"),'MITRE ATT&amp;CK Mappings'!$F177))),ISNUMBER(SEARCH(IF(F$2&lt;&gt;"",F$2,"NA"),'MITRE ATT&amp;CK Mappings'!$G177))),ISNUMBER(SEARCH(IF(F$2&lt;&gt;"",F$2,"NA"),'MITRE ATT&amp;CK Mappings'!$H177))),ISNUMBER(SEARCH(IF(F$3&lt;&gt;"",F$3,"NA"),'MITRE ATT&amp;CK Mappings'!$I177))),ISNUMBER(SEARCH(IF(F$3&lt;&gt;"",F$3,"NA"),'MITRE ATT&amp;CK Mappings'!$J177))), 'MITRE ATT&amp;CK Mappings'!$B177,"")</f>
        <v/>
      </c>
      <c r="G181" s="27" t="str">
        <f>IF(OR(OR(OR(OR(OR(ISNUMBER(SEARCH(IF(G$1&lt;&gt;"",G$1,"NA"),'MITRE ATT&amp;CK Mappings'!$E177)),ISNUMBER(SEARCH(IF(G$1&lt;&gt;"",G$1,"NA"),'MITRE ATT&amp;CK Mappings'!$F177))),ISNUMBER(SEARCH(IF(G$2&lt;&gt;"",G$2,"NA"),'MITRE ATT&amp;CK Mappings'!$G177))),ISNUMBER(SEARCH(IF(G$2&lt;&gt;"",G$2,"NA"),'MITRE ATT&amp;CK Mappings'!$H177))),ISNUMBER(SEARCH(IF(G$3&lt;&gt;"",G$3,"NA"),'MITRE ATT&amp;CK Mappings'!$I177))),ISNUMBER(SEARCH(IF(G$3&lt;&gt;"",G$3,"NA"),'MITRE ATT&amp;CK Mappings'!$J177))), 'MITRE ATT&amp;CK Mappings'!$B177,"")</f>
        <v/>
      </c>
      <c r="H181" s="27" t="str">
        <f>IF(OR(OR(OR(OR(OR(ISNUMBER(SEARCH(IF(H$1&lt;&gt;"",H$1,"NA"),'MITRE ATT&amp;CK Mappings'!$E177)),ISNUMBER(SEARCH(IF(H$1&lt;&gt;"",H$1,"NA"),'MITRE ATT&amp;CK Mappings'!$F177))),ISNUMBER(SEARCH(IF(H$2&lt;&gt;"",H$2,"NA"),'MITRE ATT&amp;CK Mappings'!$G177))),ISNUMBER(SEARCH(IF(H$2&lt;&gt;"",H$2,"NA"),'MITRE ATT&amp;CK Mappings'!$H177))),ISNUMBER(SEARCH(IF(H$3&lt;&gt;"",H$3,"NA"),'MITRE ATT&amp;CK Mappings'!$I177))),ISNUMBER(SEARCH(IF(H$3&lt;&gt;"",H$3,"NA"),'MITRE ATT&amp;CK Mappings'!$J177))), 'MITRE ATT&amp;CK Mappings'!$B177,"")</f>
        <v/>
      </c>
      <c r="I181" s="27" t="str">
        <f>IF(OR(OR(OR(OR(OR(ISNUMBER(SEARCH(IF(I$1&lt;&gt;"",I$1,"NA"),'MITRE ATT&amp;CK Mappings'!$E177)),ISNUMBER(SEARCH(IF(I$1&lt;&gt;"",I$1,"NA"),'MITRE ATT&amp;CK Mappings'!$F177))),ISNUMBER(SEARCH(IF(I$2&lt;&gt;"",I$2,"NA"),'MITRE ATT&amp;CK Mappings'!$G177))),ISNUMBER(SEARCH(IF(I$2&lt;&gt;"",I$2,"NA"),'MITRE ATT&amp;CK Mappings'!$H177))),ISNUMBER(SEARCH(IF(I$3&lt;&gt;"",I$3,"NA"),'MITRE ATT&amp;CK Mappings'!$I177))),ISNUMBER(SEARCH(IF(I$3&lt;&gt;"",I$3,"NA"),'MITRE ATT&amp;CK Mappings'!$J177))), 'MITRE ATT&amp;CK Mappings'!$B177,"")</f>
        <v/>
      </c>
      <c r="J181" s="27" t="str">
        <f>IF(OR(OR(OR(OR(OR(ISNUMBER(SEARCH(IF(J$1&lt;&gt;"",J$1,"NA"),'MITRE ATT&amp;CK Mappings'!$E177)),ISNUMBER(SEARCH(IF(J$1&lt;&gt;"",J$1,"NA"),'MITRE ATT&amp;CK Mappings'!$F177))),ISNUMBER(SEARCH(IF(J$2&lt;&gt;"",J$2,"NA"),'MITRE ATT&amp;CK Mappings'!$G177))),ISNUMBER(SEARCH(IF(J$2&lt;&gt;"",J$2,"NA"),'MITRE ATT&amp;CK Mappings'!$H177))),ISNUMBER(SEARCH(IF(J$3&lt;&gt;"",J$3,"NA"),'MITRE ATT&amp;CK Mappings'!$I177))),ISNUMBER(SEARCH(IF(J$3&lt;&gt;"",J$3,"NA"),'MITRE ATT&amp;CK Mappings'!$J177))), 'MITRE ATT&amp;CK Mappings'!$B177,"")</f>
        <v/>
      </c>
      <c r="K181" s="27" t="str">
        <f>IF(OR(OR(OR(OR(OR(ISNUMBER(SEARCH(IF(K$1&lt;&gt;"",K$1,"NA"),'MITRE ATT&amp;CK Mappings'!$E177)),ISNUMBER(SEARCH(IF(K$1&lt;&gt;"",K$1,"NA"),'MITRE ATT&amp;CK Mappings'!$F177))),ISNUMBER(SEARCH(IF(K$2&lt;&gt;"",K$2,"NA"),'MITRE ATT&amp;CK Mappings'!$G177))),ISNUMBER(SEARCH(IF(K$2&lt;&gt;"",K$2,"NA"),'MITRE ATT&amp;CK Mappings'!$H177))),ISNUMBER(SEARCH(IF(K$3&lt;&gt;"",K$3,"NA"),'MITRE ATT&amp;CK Mappings'!$I177))),ISNUMBER(SEARCH(IF(K$3&lt;&gt;"",K$3,"NA"),'MITRE ATT&amp;CK Mappings'!$J177))), 'MITRE ATT&amp;CK Mappings'!$B177,"")</f>
        <v/>
      </c>
      <c r="L181" s="27" t="str">
        <f>IF('MITRE ATT&amp;CK Mappings'!D177 &lt;&gt;"",'MITRE ATT&amp;CK Mappings'!D177,"" )</f>
        <v/>
      </c>
    </row>
    <row r="182" spans="1:12" x14ac:dyDescent="0.25">
      <c r="A182" s="26" t="str">
        <f>IF(COUNTIF(B182:K182,"="&amp;'MITRE ATT&amp;CK Mappings'!B178)&gt;0,'MITRE ATT&amp;CK Mappings'!B178,"")</f>
        <v/>
      </c>
      <c r="B182" s="26" t="str">
        <f>IF(OR(OR(OR(OR(OR(ISNUMBER(SEARCH(IF(B$1&lt;&gt;"",B$1,"NA"),'MITRE ATT&amp;CK Mappings'!$E178)),ISNUMBER(SEARCH(IF(B$1&lt;&gt;"",B$1,"NA"),'MITRE ATT&amp;CK Mappings'!$F178))),ISNUMBER(SEARCH(IF(B$2&lt;&gt;"",B$2,"NA"),'MITRE ATT&amp;CK Mappings'!$G178))),ISNUMBER(SEARCH(IF(B$2&lt;&gt;"",B$2,"NA"),'MITRE ATT&amp;CK Mappings'!$H178))),ISNUMBER(SEARCH(IF(B$3&lt;&gt;"",B$3,"NA"),'MITRE ATT&amp;CK Mappings'!$I178))),ISNUMBER(SEARCH(IF(B$3&lt;&gt;"",B$3,"NA"),'MITRE ATT&amp;CK Mappings'!$J178))), 'MITRE ATT&amp;CK Mappings'!$B178,"")</f>
        <v/>
      </c>
      <c r="C182" s="26" t="str">
        <f>IF(OR(OR(OR(OR(OR(ISNUMBER(SEARCH(IF(C$1&lt;&gt;"",C$1,"NA"),'MITRE ATT&amp;CK Mappings'!$E178)),ISNUMBER(SEARCH(IF(C$1&lt;&gt;"",C$1,"NA"),'MITRE ATT&amp;CK Mappings'!$F178))),ISNUMBER(SEARCH(IF(C$2&lt;&gt;"",C$2,"NA"),'MITRE ATT&amp;CK Mappings'!$G178))),ISNUMBER(SEARCH(IF(C$2&lt;&gt;"",C$2,"NA"),'MITRE ATT&amp;CK Mappings'!$H178))),ISNUMBER(SEARCH(IF(C$3&lt;&gt;"",C$3,"NA"),'MITRE ATT&amp;CK Mappings'!$I178))),ISNUMBER(SEARCH(IF(C$3&lt;&gt;"",C$3,"NA"),'MITRE ATT&amp;CK Mappings'!$J178))), 'MITRE ATT&amp;CK Mappings'!$B178,"")</f>
        <v/>
      </c>
      <c r="D182" s="26" t="str">
        <f>IF(OR(OR(OR(OR(OR(ISNUMBER(SEARCH(IF(D$1&lt;&gt;"",D$1,"NA"),'MITRE ATT&amp;CK Mappings'!$E178)),ISNUMBER(SEARCH(IF(D$1&lt;&gt;"",D$1,"NA"),'MITRE ATT&amp;CK Mappings'!$F178))),ISNUMBER(SEARCH(IF(D$2&lt;&gt;"",D$2,"NA"),'MITRE ATT&amp;CK Mappings'!$G178))),ISNUMBER(SEARCH(IF(D$2&lt;&gt;"",D$2,"NA"),'MITRE ATT&amp;CK Mappings'!$H178))),ISNUMBER(SEARCH(IF(D$3&lt;&gt;"",D$3,"NA"),'MITRE ATT&amp;CK Mappings'!$I178))),ISNUMBER(SEARCH(IF(D$3&lt;&gt;"",D$3,"NA"),'MITRE ATT&amp;CK Mappings'!$J178))), 'MITRE ATT&amp;CK Mappings'!$B178,"")</f>
        <v/>
      </c>
      <c r="E182" s="26" t="str">
        <f>IF(OR(OR(OR(OR(OR(ISNUMBER(SEARCH(IF(E$1&lt;&gt;"",E$1,"NA"),'MITRE ATT&amp;CK Mappings'!$E178)),ISNUMBER(SEARCH(IF(E$1&lt;&gt;"",E$1,"NA"),'MITRE ATT&amp;CK Mappings'!$F178))),ISNUMBER(SEARCH(IF(E$2&lt;&gt;"",E$2,"NA"),'MITRE ATT&amp;CK Mappings'!$G178))),ISNUMBER(SEARCH(IF(E$2&lt;&gt;"",E$2,"NA"),'MITRE ATT&amp;CK Mappings'!$H178))),ISNUMBER(SEARCH(IF(E$3&lt;&gt;"",E$3,"NA"),'MITRE ATT&amp;CK Mappings'!$I178))),ISNUMBER(SEARCH(IF(E$3&lt;&gt;"",E$3,"NA"),'MITRE ATT&amp;CK Mappings'!$J178))), 'MITRE ATT&amp;CK Mappings'!$B178,"")</f>
        <v/>
      </c>
      <c r="F182" s="26" t="str">
        <f>IF(OR(OR(OR(OR(OR(ISNUMBER(SEARCH(IF(F$1&lt;&gt;"",F$1,"NA"),'MITRE ATT&amp;CK Mappings'!$E178)),ISNUMBER(SEARCH(IF(F$1&lt;&gt;"",F$1,"NA"),'MITRE ATT&amp;CK Mappings'!$F178))),ISNUMBER(SEARCH(IF(F$2&lt;&gt;"",F$2,"NA"),'MITRE ATT&amp;CK Mappings'!$G178))),ISNUMBER(SEARCH(IF(F$2&lt;&gt;"",F$2,"NA"),'MITRE ATT&amp;CK Mappings'!$H178))),ISNUMBER(SEARCH(IF(F$3&lt;&gt;"",F$3,"NA"),'MITRE ATT&amp;CK Mappings'!$I178))),ISNUMBER(SEARCH(IF(F$3&lt;&gt;"",F$3,"NA"),'MITRE ATT&amp;CK Mappings'!$J178))), 'MITRE ATT&amp;CK Mappings'!$B178,"")</f>
        <v/>
      </c>
      <c r="G182" s="26" t="str">
        <f>IF(OR(OR(OR(OR(OR(ISNUMBER(SEARCH(IF(G$1&lt;&gt;"",G$1,"NA"),'MITRE ATT&amp;CK Mappings'!$E178)),ISNUMBER(SEARCH(IF(G$1&lt;&gt;"",G$1,"NA"),'MITRE ATT&amp;CK Mappings'!$F178))),ISNUMBER(SEARCH(IF(G$2&lt;&gt;"",G$2,"NA"),'MITRE ATT&amp;CK Mappings'!$G178))),ISNUMBER(SEARCH(IF(G$2&lt;&gt;"",G$2,"NA"),'MITRE ATT&amp;CK Mappings'!$H178))),ISNUMBER(SEARCH(IF(G$3&lt;&gt;"",G$3,"NA"),'MITRE ATT&amp;CK Mappings'!$I178))),ISNUMBER(SEARCH(IF(G$3&lt;&gt;"",G$3,"NA"),'MITRE ATT&amp;CK Mappings'!$J178))), 'MITRE ATT&amp;CK Mappings'!$B178,"")</f>
        <v/>
      </c>
      <c r="H182" s="26" t="str">
        <f>IF(OR(OR(OR(OR(OR(ISNUMBER(SEARCH(IF(H$1&lt;&gt;"",H$1,"NA"),'MITRE ATT&amp;CK Mappings'!$E178)),ISNUMBER(SEARCH(IF(H$1&lt;&gt;"",H$1,"NA"),'MITRE ATT&amp;CK Mappings'!$F178))),ISNUMBER(SEARCH(IF(H$2&lt;&gt;"",H$2,"NA"),'MITRE ATT&amp;CK Mappings'!$G178))),ISNUMBER(SEARCH(IF(H$2&lt;&gt;"",H$2,"NA"),'MITRE ATT&amp;CK Mappings'!$H178))),ISNUMBER(SEARCH(IF(H$3&lt;&gt;"",H$3,"NA"),'MITRE ATT&amp;CK Mappings'!$I178))),ISNUMBER(SEARCH(IF(H$3&lt;&gt;"",H$3,"NA"),'MITRE ATT&amp;CK Mappings'!$J178))), 'MITRE ATT&amp;CK Mappings'!$B178,"")</f>
        <v/>
      </c>
      <c r="I182" s="26" t="str">
        <f>IF(OR(OR(OR(OR(OR(ISNUMBER(SEARCH(IF(I$1&lt;&gt;"",I$1,"NA"),'MITRE ATT&amp;CK Mappings'!$E178)),ISNUMBER(SEARCH(IF(I$1&lt;&gt;"",I$1,"NA"),'MITRE ATT&amp;CK Mappings'!$F178))),ISNUMBER(SEARCH(IF(I$2&lt;&gt;"",I$2,"NA"),'MITRE ATT&amp;CK Mappings'!$G178))),ISNUMBER(SEARCH(IF(I$2&lt;&gt;"",I$2,"NA"),'MITRE ATT&amp;CK Mappings'!$H178))),ISNUMBER(SEARCH(IF(I$3&lt;&gt;"",I$3,"NA"),'MITRE ATT&amp;CK Mappings'!$I178))),ISNUMBER(SEARCH(IF(I$3&lt;&gt;"",I$3,"NA"),'MITRE ATT&amp;CK Mappings'!$J178))), 'MITRE ATT&amp;CK Mappings'!$B178,"")</f>
        <v/>
      </c>
      <c r="J182" s="26" t="str">
        <f>IF(OR(OR(OR(OR(OR(ISNUMBER(SEARCH(IF(J$1&lt;&gt;"",J$1,"NA"),'MITRE ATT&amp;CK Mappings'!$E178)),ISNUMBER(SEARCH(IF(J$1&lt;&gt;"",J$1,"NA"),'MITRE ATT&amp;CK Mappings'!$F178))),ISNUMBER(SEARCH(IF(J$2&lt;&gt;"",J$2,"NA"),'MITRE ATT&amp;CK Mappings'!$G178))),ISNUMBER(SEARCH(IF(J$2&lt;&gt;"",J$2,"NA"),'MITRE ATT&amp;CK Mappings'!$H178))),ISNUMBER(SEARCH(IF(J$3&lt;&gt;"",J$3,"NA"),'MITRE ATT&amp;CK Mappings'!$I178))),ISNUMBER(SEARCH(IF(J$3&lt;&gt;"",J$3,"NA"),'MITRE ATT&amp;CK Mappings'!$J178))), 'MITRE ATT&amp;CK Mappings'!$B178,"")</f>
        <v/>
      </c>
      <c r="K182" s="26" t="str">
        <f>IF(OR(OR(OR(OR(OR(ISNUMBER(SEARCH(IF(K$1&lt;&gt;"",K$1,"NA"),'MITRE ATT&amp;CK Mappings'!$E178)),ISNUMBER(SEARCH(IF(K$1&lt;&gt;"",K$1,"NA"),'MITRE ATT&amp;CK Mappings'!$F178))),ISNUMBER(SEARCH(IF(K$2&lt;&gt;"",K$2,"NA"),'MITRE ATT&amp;CK Mappings'!$G178))),ISNUMBER(SEARCH(IF(K$2&lt;&gt;"",K$2,"NA"),'MITRE ATT&amp;CK Mappings'!$H178))),ISNUMBER(SEARCH(IF(K$3&lt;&gt;"",K$3,"NA"),'MITRE ATT&amp;CK Mappings'!$I178))),ISNUMBER(SEARCH(IF(K$3&lt;&gt;"",K$3,"NA"),'MITRE ATT&amp;CK Mappings'!$J178))), 'MITRE ATT&amp;CK Mappings'!$B178,"")</f>
        <v/>
      </c>
      <c r="L182" s="26" t="str">
        <f>IF('MITRE ATT&amp;CK Mappings'!D178 &lt;&gt;"",'MITRE ATT&amp;CK Mappings'!D178,"" )</f>
        <v/>
      </c>
    </row>
    <row r="183" spans="1:12" x14ac:dyDescent="0.25">
      <c r="A183" s="27" t="str">
        <f>IF(COUNTIF(B183:K183,"="&amp;'MITRE ATT&amp;CK Mappings'!B179)&gt;0,'MITRE ATT&amp;CK Mappings'!B179,"")</f>
        <v/>
      </c>
      <c r="B183" s="27" t="str">
        <f>IF(OR(OR(OR(OR(OR(ISNUMBER(SEARCH(IF(B$1&lt;&gt;"",B$1,"NA"),'MITRE ATT&amp;CK Mappings'!$E179)),ISNUMBER(SEARCH(IF(B$1&lt;&gt;"",B$1,"NA"),'MITRE ATT&amp;CK Mappings'!$F179))),ISNUMBER(SEARCH(IF(B$2&lt;&gt;"",B$2,"NA"),'MITRE ATT&amp;CK Mappings'!$G179))),ISNUMBER(SEARCH(IF(B$2&lt;&gt;"",B$2,"NA"),'MITRE ATT&amp;CK Mappings'!$H179))),ISNUMBER(SEARCH(IF(B$3&lt;&gt;"",B$3,"NA"),'MITRE ATT&amp;CK Mappings'!$I179))),ISNUMBER(SEARCH(IF(B$3&lt;&gt;"",B$3,"NA"),'MITRE ATT&amp;CK Mappings'!$J179))), 'MITRE ATT&amp;CK Mappings'!$B179,"")</f>
        <v/>
      </c>
      <c r="C183" s="27" t="str">
        <f>IF(OR(OR(OR(OR(OR(ISNUMBER(SEARCH(IF(C$1&lt;&gt;"",C$1,"NA"),'MITRE ATT&amp;CK Mappings'!$E179)),ISNUMBER(SEARCH(IF(C$1&lt;&gt;"",C$1,"NA"),'MITRE ATT&amp;CK Mappings'!$F179))),ISNUMBER(SEARCH(IF(C$2&lt;&gt;"",C$2,"NA"),'MITRE ATT&amp;CK Mappings'!$G179))),ISNUMBER(SEARCH(IF(C$2&lt;&gt;"",C$2,"NA"),'MITRE ATT&amp;CK Mappings'!$H179))),ISNUMBER(SEARCH(IF(C$3&lt;&gt;"",C$3,"NA"),'MITRE ATT&amp;CK Mappings'!$I179))),ISNUMBER(SEARCH(IF(C$3&lt;&gt;"",C$3,"NA"),'MITRE ATT&amp;CK Mappings'!$J179))), 'MITRE ATT&amp;CK Mappings'!$B179,"")</f>
        <v/>
      </c>
      <c r="D183" s="27" t="str">
        <f>IF(OR(OR(OR(OR(OR(ISNUMBER(SEARCH(IF(D$1&lt;&gt;"",D$1,"NA"),'MITRE ATT&amp;CK Mappings'!$E179)),ISNUMBER(SEARCH(IF(D$1&lt;&gt;"",D$1,"NA"),'MITRE ATT&amp;CK Mappings'!$F179))),ISNUMBER(SEARCH(IF(D$2&lt;&gt;"",D$2,"NA"),'MITRE ATT&amp;CK Mappings'!$G179))),ISNUMBER(SEARCH(IF(D$2&lt;&gt;"",D$2,"NA"),'MITRE ATT&amp;CK Mappings'!$H179))),ISNUMBER(SEARCH(IF(D$3&lt;&gt;"",D$3,"NA"),'MITRE ATT&amp;CK Mappings'!$I179))),ISNUMBER(SEARCH(IF(D$3&lt;&gt;"",D$3,"NA"),'MITRE ATT&amp;CK Mappings'!$J179))), 'MITRE ATT&amp;CK Mappings'!$B179,"")</f>
        <v/>
      </c>
      <c r="E183" s="27" t="str">
        <f>IF(OR(OR(OR(OR(OR(ISNUMBER(SEARCH(IF(E$1&lt;&gt;"",E$1,"NA"),'MITRE ATT&amp;CK Mappings'!$E179)),ISNUMBER(SEARCH(IF(E$1&lt;&gt;"",E$1,"NA"),'MITRE ATT&amp;CK Mappings'!$F179))),ISNUMBER(SEARCH(IF(E$2&lt;&gt;"",E$2,"NA"),'MITRE ATT&amp;CK Mappings'!$G179))),ISNUMBER(SEARCH(IF(E$2&lt;&gt;"",E$2,"NA"),'MITRE ATT&amp;CK Mappings'!$H179))),ISNUMBER(SEARCH(IF(E$3&lt;&gt;"",E$3,"NA"),'MITRE ATT&amp;CK Mappings'!$I179))),ISNUMBER(SEARCH(IF(E$3&lt;&gt;"",E$3,"NA"),'MITRE ATT&amp;CK Mappings'!$J179))), 'MITRE ATT&amp;CK Mappings'!$B179,"")</f>
        <v/>
      </c>
      <c r="F183" s="27" t="str">
        <f>IF(OR(OR(OR(OR(OR(ISNUMBER(SEARCH(IF(F$1&lt;&gt;"",F$1,"NA"),'MITRE ATT&amp;CK Mappings'!$E179)),ISNUMBER(SEARCH(IF(F$1&lt;&gt;"",F$1,"NA"),'MITRE ATT&amp;CK Mappings'!$F179))),ISNUMBER(SEARCH(IF(F$2&lt;&gt;"",F$2,"NA"),'MITRE ATT&amp;CK Mappings'!$G179))),ISNUMBER(SEARCH(IF(F$2&lt;&gt;"",F$2,"NA"),'MITRE ATT&amp;CK Mappings'!$H179))),ISNUMBER(SEARCH(IF(F$3&lt;&gt;"",F$3,"NA"),'MITRE ATT&amp;CK Mappings'!$I179))),ISNUMBER(SEARCH(IF(F$3&lt;&gt;"",F$3,"NA"),'MITRE ATT&amp;CK Mappings'!$J179))), 'MITRE ATT&amp;CK Mappings'!$B179,"")</f>
        <v/>
      </c>
      <c r="G183" s="27" t="str">
        <f>IF(OR(OR(OR(OR(OR(ISNUMBER(SEARCH(IF(G$1&lt;&gt;"",G$1,"NA"),'MITRE ATT&amp;CK Mappings'!$E179)),ISNUMBER(SEARCH(IF(G$1&lt;&gt;"",G$1,"NA"),'MITRE ATT&amp;CK Mappings'!$F179))),ISNUMBER(SEARCH(IF(G$2&lt;&gt;"",G$2,"NA"),'MITRE ATT&amp;CK Mappings'!$G179))),ISNUMBER(SEARCH(IF(G$2&lt;&gt;"",G$2,"NA"),'MITRE ATT&amp;CK Mappings'!$H179))),ISNUMBER(SEARCH(IF(G$3&lt;&gt;"",G$3,"NA"),'MITRE ATT&amp;CK Mappings'!$I179))),ISNUMBER(SEARCH(IF(G$3&lt;&gt;"",G$3,"NA"),'MITRE ATT&amp;CK Mappings'!$J179))), 'MITRE ATT&amp;CK Mappings'!$B179,"")</f>
        <v/>
      </c>
      <c r="H183" s="27" t="str">
        <f>IF(OR(OR(OR(OR(OR(ISNUMBER(SEARCH(IF(H$1&lt;&gt;"",H$1,"NA"),'MITRE ATT&amp;CK Mappings'!$E179)),ISNUMBER(SEARCH(IF(H$1&lt;&gt;"",H$1,"NA"),'MITRE ATT&amp;CK Mappings'!$F179))),ISNUMBER(SEARCH(IF(H$2&lt;&gt;"",H$2,"NA"),'MITRE ATT&amp;CK Mappings'!$G179))),ISNUMBER(SEARCH(IF(H$2&lt;&gt;"",H$2,"NA"),'MITRE ATT&amp;CK Mappings'!$H179))),ISNUMBER(SEARCH(IF(H$3&lt;&gt;"",H$3,"NA"),'MITRE ATT&amp;CK Mappings'!$I179))),ISNUMBER(SEARCH(IF(H$3&lt;&gt;"",H$3,"NA"),'MITRE ATT&amp;CK Mappings'!$J179))), 'MITRE ATT&amp;CK Mappings'!$B179,"")</f>
        <v/>
      </c>
      <c r="I183" s="27" t="str">
        <f>IF(OR(OR(OR(OR(OR(ISNUMBER(SEARCH(IF(I$1&lt;&gt;"",I$1,"NA"),'MITRE ATT&amp;CK Mappings'!$E179)),ISNUMBER(SEARCH(IF(I$1&lt;&gt;"",I$1,"NA"),'MITRE ATT&amp;CK Mappings'!$F179))),ISNUMBER(SEARCH(IF(I$2&lt;&gt;"",I$2,"NA"),'MITRE ATT&amp;CK Mappings'!$G179))),ISNUMBER(SEARCH(IF(I$2&lt;&gt;"",I$2,"NA"),'MITRE ATT&amp;CK Mappings'!$H179))),ISNUMBER(SEARCH(IF(I$3&lt;&gt;"",I$3,"NA"),'MITRE ATT&amp;CK Mappings'!$I179))),ISNUMBER(SEARCH(IF(I$3&lt;&gt;"",I$3,"NA"),'MITRE ATT&amp;CK Mappings'!$J179))), 'MITRE ATT&amp;CK Mappings'!$B179,"")</f>
        <v/>
      </c>
      <c r="J183" s="27" t="str">
        <f>IF(OR(OR(OR(OR(OR(ISNUMBER(SEARCH(IF(J$1&lt;&gt;"",J$1,"NA"),'MITRE ATT&amp;CK Mappings'!$E179)),ISNUMBER(SEARCH(IF(J$1&lt;&gt;"",J$1,"NA"),'MITRE ATT&amp;CK Mappings'!$F179))),ISNUMBER(SEARCH(IF(J$2&lt;&gt;"",J$2,"NA"),'MITRE ATT&amp;CK Mappings'!$G179))),ISNUMBER(SEARCH(IF(J$2&lt;&gt;"",J$2,"NA"),'MITRE ATT&amp;CK Mappings'!$H179))),ISNUMBER(SEARCH(IF(J$3&lt;&gt;"",J$3,"NA"),'MITRE ATT&amp;CK Mappings'!$I179))),ISNUMBER(SEARCH(IF(J$3&lt;&gt;"",J$3,"NA"),'MITRE ATT&amp;CK Mappings'!$J179))), 'MITRE ATT&amp;CK Mappings'!$B179,"")</f>
        <v/>
      </c>
      <c r="K183" s="27" t="str">
        <f>IF(OR(OR(OR(OR(OR(ISNUMBER(SEARCH(IF(K$1&lt;&gt;"",K$1,"NA"),'MITRE ATT&amp;CK Mappings'!$E179)),ISNUMBER(SEARCH(IF(K$1&lt;&gt;"",K$1,"NA"),'MITRE ATT&amp;CK Mappings'!$F179))),ISNUMBER(SEARCH(IF(K$2&lt;&gt;"",K$2,"NA"),'MITRE ATT&amp;CK Mappings'!$G179))),ISNUMBER(SEARCH(IF(K$2&lt;&gt;"",K$2,"NA"),'MITRE ATT&amp;CK Mappings'!$H179))),ISNUMBER(SEARCH(IF(K$3&lt;&gt;"",K$3,"NA"),'MITRE ATT&amp;CK Mappings'!$I179))),ISNUMBER(SEARCH(IF(K$3&lt;&gt;"",K$3,"NA"),'MITRE ATT&amp;CK Mappings'!$J179))), 'MITRE ATT&amp;CK Mappings'!$B179,"")</f>
        <v/>
      </c>
      <c r="L183" s="27" t="str">
        <f>IF('MITRE ATT&amp;CK Mappings'!D179 &lt;&gt;"",'MITRE ATT&amp;CK Mappings'!D179,"" )</f>
        <v/>
      </c>
    </row>
    <row r="184" spans="1:12" x14ac:dyDescent="0.25">
      <c r="A184" s="26" t="str">
        <f>IF(COUNTIF(B184:K184,"="&amp;'MITRE ATT&amp;CK Mappings'!B180)&gt;0,'MITRE ATT&amp;CK Mappings'!B180,"")</f>
        <v/>
      </c>
      <c r="B184" s="26" t="str">
        <f>IF(OR(OR(OR(OR(OR(ISNUMBER(SEARCH(IF(B$1&lt;&gt;"",B$1,"NA"),'MITRE ATT&amp;CK Mappings'!$E180)),ISNUMBER(SEARCH(IF(B$1&lt;&gt;"",B$1,"NA"),'MITRE ATT&amp;CK Mappings'!$F180))),ISNUMBER(SEARCH(IF(B$2&lt;&gt;"",B$2,"NA"),'MITRE ATT&amp;CK Mappings'!$G180))),ISNUMBER(SEARCH(IF(B$2&lt;&gt;"",B$2,"NA"),'MITRE ATT&amp;CK Mappings'!$H180))),ISNUMBER(SEARCH(IF(B$3&lt;&gt;"",B$3,"NA"),'MITRE ATT&amp;CK Mappings'!$I180))),ISNUMBER(SEARCH(IF(B$3&lt;&gt;"",B$3,"NA"),'MITRE ATT&amp;CK Mappings'!$J180))), 'MITRE ATT&amp;CK Mappings'!$B180,"")</f>
        <v/>
      </c>
      <c r="C184" s="26" t="str">
        <f>IF(OR(OR(OR(OR(OR(ISNUMBER(SEARCH(IF(C$1&lt;&gt;"",C$1,"NA"),'MITRE ATT&amp;CK Mappings'!$E180)),ISNUMBER(SEARCH(IF(C$1&lt;&gt;"",C$1,"NA"),'MITRE ATT&amp;CK Mappings'!$F180))),ISNUMBER(SEARCH(IF(C$2&lt;&gt;"",C$2,"NA"),'MITRE ATT&amp;CK Mappings'!$G180))),ISNUMBER(SEARCH(IF(C$2&lt;&gt;"",C$2,"NA"),'MITRE ATT&amp;CK Mappings'!$H180))),ISNUMBER(SEARCH(IF(C$3&lt;&gt;"",C$3,"NA"),'MITRE ATT&amp;CK Mappings'!$I180))),ISNUMBER(SEARCH(IF(C$3&lt;&gt;"",C$3,"NA"),'MITRE ATT&amp;CK Mappings'!$J180))), 'MITRE ATT&amp;CK Mappings'!$B180,"")</f>
        <v/>
      </c>
      <c r="D184" s="26" t="str">
        <f>IF(OR(OR(OR(OR(OR(ISNUMBER(SEARCH(IF(D$1&lt;&gt;"",D$1,"NA"),'MITRE ATT&amp;CK Mappings'!$E180)),ISNUMBER(SEARCH(IF(D$1&lt;&gt;"",D$1,"NA"),'MITRE ATT&amp;CK Mappings'!$F180))),ISNUMBER(SEARCH(IF(D$2&lt;&gt;"",D$2,"NA"),'MITRE ATT&amp;CK Mappings'!$G180))),ISNUMBER(SEARCH(IF(D$2&lt;&gt;"",D$2,"NA"),'MITRE ATT&amp;CK Mappings'!$H180))),ISNUMBER(SEARCH(IF(D$3&lt;&gt;"",D$3,"NA"),'MITRE ATT&amp;CK Mappings'!$I180))),ISNUMBER(SEARCH(IF(D$3&lt;&gt;"",D$3,"NA"),'MITRE ATT&amp;CK Mappings'!$J180))), 'MITRE ATT&amp;CK Mappings'!$B180,"")</f>
        <v/>
      </c>
      <c r="E184" s="26" t="str">
        <f>IF(OR(OR(OR(OR(OR(ISNUMBER(SEARCH(IF(E$1&lt;&gt;"",E$1,"NA"),'MITRE ATT&amp;CK Mappings'!$E180)),ISNUMBER(SEARCH(IF(E$1&lt;&gt;"",E$1,"NA"),'MITRE ATT&amp;CK Mappings'!$F180))),ISNUMBER(SEARCH(IF(E$2&lt;&gt;"",E$2,"NA"),'MITRE ATT&amp;CK Mappings'!$G180))),ISNUMBER(SEARCH(IF(E$2&lt;&gt;"",E$2,"NA"),'MITRE ATT&amp;CK Mappings'!$H180))),ISNUMBER(SEARCH(IF(E$3&lt;&gt;"",E$3,"NA"),'MITRE ATT&amp;CK Mappings'!$I180))),ISNUMBER(SEARCH(IF(E$3&lt;&gt;"",E$3,"NA"),'MITRE ATT&amp;CK Mappings'!$J180))), 'MITRE ATT&amp;CK Mappings'!$B180,"")</f>
        <v/>
      </c>
      <c r="F184" s="26" t="str">
        <f>IF(OR(OR(OR(OR(OR(ISNUMBER(SEARCH(IF(F$1&lt;&gt;"",F$1,"NA"),'MITRE ATT&amp;CK Mappings'!$E180)),ISNUMBER(SEARCH(IF(F$1&lt;&gt;"",F$1,"NA"),'MITRE ATT&amp;CK Mappings'!$F180))),ISNUMBER(SEARCH(IF(F$2&lt;&gt;"",F$2,"NA"),'MITRE ATT&amp;CK Mappings'!$G180))),ISNUMBER(SEARCH(IF(F$2&lt;&gt;"",F$2,"NA"),'MITRE ATT&amp;CK Mappings'!$H180))),ISNUMBER(SEARCH(IF(F$3&lt;&gt;"",F$3,"NA"),'MITRE ATT&amp;CK Mappings'!$I180))),ISNUMBER(SEARCH(IF(F$3&lt;&gt;"",F$3,"NA"),'MITRE ATT&amp;CK Mappings'!$J180))), 'MITRE ATT&amp;CK Mappings'!$B180,"")</f>
        <v/>
      </c>
      <c r="G184" s="26" t="str">
        <f>IF(OR(OR(OR(OR(OR(ISNUMBER(SEARCH(IF(G$1&lt;&gt;"",G$1,"NA"),'MITRE ATT&amp;CK Mappings'!$E180)),ISNUMBER(SEARCH(IF(G$1&lt;&gt;"",G$1,"NA"),'MITRE ATT&amp;CK Mappings'!$F180))),ISNUMBER(SEARCH(IF(G$2&lt;&gt;"",G$2,"NA"),'MITRE ATT&amp;CK Mappings'!$G180))),ISNUMBER(SEARCH(IF(G$2&lt;&gt;"",G$2,"NA"),'MITRE ATT&amp;CK Mappings'!$H180))),ISNUMBER(SEARCH(IF(G$3&lt;&gt;"",G$3,"NA"),'MITRE ATT&amp;CK Mappings'!$I180))),ISNUMBER(SEARCH(IF(G$3&lt;&gt;"",G$3,"NA"),'MITRE ATT&amp;CK Mappings'!$J180))), 'MITRE ATT&amp;CK Mappings'!$B180,"")</f>
        <v/>
      </c>
      <c r="H184" s="26" t="str">
        <f>IF(OR(OR(OR(OR(OR(ISNUMBER(SEARCH(IF(H$1&lt;&gt;"",H$1,"NA"),'MITRE ATT&amp;CK Mappings'!$E180)),ISNUMBER(SEARCH(IF(H$1&lt;&gt;"",H$1,"NA"),'MITRE ATT&amp;CK Mappings'!$F180))),ISNUMBER(SEARCH(IF(H$2&lt;&gt;"",H$2,"NA"),'MITRE ATT&amp;CK Mappings'!$G180))),ISNUMBER(SEARCH(IF(H$2&lt;&gt;"",H$2,"NA"),'MITRE ATT&amp;CK Mappings'!$H180))),ISNUMBER(SEARCH(IF(H$3&lt;&gt;"",H$3,"NA"),'MITRE ATT&amp;CK Mappings'!$I180))),ISNUMBER(SEARCH(IF(H$3&lt;&gt;"",H$3,"NA"),'MITRE ATT&amp;CK Mappings'!$J180))), 'MITRE ATT&amp;CK Mappings'!$B180,"")</f>
        <v/>
      </c>
      <c r="I184" s="26" t="str">
        <f>IF(OR(OR(OR(OR(OR(ISNUMBER(SEARCH(IF(I$1&lt;&gt;"",I$1,"NA"),'MITRE ATT&amp;CK Mappings'!$E180)),ISNUMBER(SEARCH(IF(I$1&lt;&gt;"",I$1,"NA"),'MITRE ATT&amp;CK Mappings'!$F180))),ISNUMBER(SEARCH(IF(I$2&lt;&gt;"",I$2,"NA"),'MITRE ATT&amp;CK Mappings'!$G180))),ISNUMBER(SEARCH(IF(I$2&lt;&gt;"",I$2,"NA"),'MITRE ATT&amp;CK Mappings'!$H180))),ISNUMBER(SEARCH(IF(I$3&lt;&gt;"",I$3,"NA"),'MITRE ATT&amp;CK Mappings'!$I180))),ISNUMBER(SEARCH(IF(I$3&lt;&gt;"",I$3,"NA"),'MITRE ATT&amp;CK Mappings'!$J180))), 'MITRE ATT&amp;CK Mappings'!$B180,"")</f>
        <v/>
      </c>
      <c r="J184" s="26" t="str">
        <f>IF(OR(OR(OR(OR(OR(ISNUMBER(SEARCH(IF(J$1&lt;&gt;"",J$1,"NA"),'MITRE ATT&amp;CK Mappings'!$E180)),ISNUMBER(SEARCH(IF(J$1&lt;&gt;"",J$1,"NA"),'MITRE ATT&amp;CK Mappings'!$F180))),ISNUMBER(SEARCH(IF(J$2&lt;&gt;"",J$2,"NA"),'MITRE ATT&amp;CK Mappings'!$G180))),ISNUMBER(SEARCH(IF(J$2&lt;&gt;"",J$2,"NA"),'MITRE ATT&amp;CK Mappings'!$H180))),ISNUMBER(SEARCH(IF(J$3&lt;&gt;"",J$3,"NA"),'MITRE ATT&amp;CK Mappings'!$I180))),ISNUMBER(SEARCH(IF(J$3&lt;&gt;"",J$3,"NA"),'MITRE ATT&amp;CK Mappings'!$J180))), 'MITRE ATT&amp;CK Mappings'!$B180,"")</f>
        <v/>
      </c>
      <c r="K184" s="26" t="str">
        <f>IF(OR(OR(OR(OR(OR(ISNUMBER(SEARCH(IF(K$1&lt;&gt;"",K$1,"NA"),'MITRE ATT&amp;CK Mappings'!$E180)),ISNUMBER(SEARCH(IF(K$1&lt;&gt;"",K$1,"NA"),'MITRE ATT&amp;CK Mappings'!$F180))),ISNUMBER(SEARCH(IF(K$2&lt;&gt;"",K$2,"NA"),'MITRE ATT&amp;CK Mappings'!$G180))),ISNUMBER(SEARCH(IF(K$2&lt;&gt;"",K$2,"NA"),'MITRE ATT&amp;CK Mappings'!$H180))),ISNUMBER(SEARCH(IF(K$3&lt;&gt;"",K$3,"NA"),'MITRE ATT&amp;CK Mappings'!$I180))),ISNUMBER(SEARCH(IF(K$3&lt;&gt;"",K$3,"NA"),'MITRE ATT&amp;CK Mappings'!$J180))), 'MITRE ATT&amp;CK Mappings'!$B180,"")</f>
        <v/>
      </c>
      <c r="L184" s="26" t="str">
        <f>IF('MITRE ATT&amp;CK Mappings'!D180 &lt;&gt;"",'MITRE ATT&amp;CK Mappings'!D180,"" )</f>
        <v/>
      </c>
    </row>
    <row r="185" spans="1:12" x14ac:dyDescent="0.25">
      <c r="A185" s="27" t="str">
        <f>IF(COUNTIF(B185:K185,"="&amp;'MITRE ATT&amp;CK Mappings'!B181)&gt;0,'MITRE ATT&amp;CK Mappings'!B181,"")</f>
        <v/>
      </c>
      <c r="B185" s="27" t="str">
        <f>IF(OR(OR(OR(OR(OR(ISNUMBER(SEARCH(IF(B$1&lt;&gt;"",B$1,"NA"),'MITRE ATT&amp;CK Mappings'!$E181)),ISNUMBER(SEARCH(IF(B$1&lt;&gt;"",B$1,"NA"),'MITRE ATT&amp;CK Mappings'!$F181))),ISNUMBER(SEARCH(IF(B$2&lt;&gt;"",B$2,"NA"),'MITRE ATT&amp;CK Mappings'!$G181))),ISNUMBER(SEARCH(IF(B$2&lt;&gt;"",B$2,"NA"),'MITRE ATT&amp;CK Mappings'!$H181))),ISNUMBER(SEARCH(IF(B$3&lt;&gt;"",B$3,"NA"),'MITRE ATT&amp;CK Mappings'!$I181))),ISNUMBER(SEARCH(IF(B$3&lt;&gt;"",B$3,"NA"),'MITRE ATT&amp;CK Mappings'!$J181))), 'MITRE ATT&amp;CK Mappings'!$B181,"")</f>
        <v/>
      </c>
      <c r="C185" s="27" t="str">
        <f>IF(OR(OR(OR(OR(OR(ISNUMBER(SEARCH(IF(C$1&lt;&gt;"",C$1,"NA"),'MITRE ATT&amp;CK Mappings'!$E181)),ISNUMBER(SEARCH(IF(C$1&lt;&gt;"",C$1,"NA"),'MITRE ATT&amp;CK Mappings'!$F181))),ISNUMBER(SEARCH(IF(C$2&lt;&gt;"",C$2,"NA"),'MITRE ATT&amp;CK Mappings'!$G181))),ISNUMBER(SEARCH(IF(C$2&lt;&gt;"",C$2,"NA"),'MITRE ATT&amp;CK Mappings'!$H181))),ISNUMBER(SEARCH(IF(C$3&lt;&gt;"",C$3,"NA"),'MITRE ATT&amp;CK Mappings'!$I181))),ISNUMBER(SEARCH(IF(C$3&lt;&gt;"",C$3,"NA"),'MITRE ATT&amp;CK Mappings'!$J181))), 'MITRE ATT&amp;CK Mappings'!$B181,"")</f>
        <v/>
      </c>
      <c r="D185" s="27" t="str">
        <f>IF(OR(OR(OR(OR(OR(ISNUMBER(SEARCH(IF(D$1&lt;&gt;"",D$1,"NA"),'MITRE ATT&amp;CK Mappings'!$E181)),ISNUMBER(SEARCH(IF(D$1&lt;&gt;"",D$1,"NA"),'MITRE ATT&amp;CK Mappings'!$F181))),ISNUMBER(SEARCH(IF(D$2&lt;&gt;"",D$2,"NA"),'MITRE ATT&amp;CK Mappings'!$G181))),ISNUMBER(SEARCH(IF(D$2&lt;&gt;"",D$2,"NA"),'MITRE ATT&amp;CK Mappings'!$H181))),ISNUMBER(SEARCH(IF(D$3&lt;&gt;"",D$3,"NA"),'MITRE ATT&amp;CK Mappings'!$I181))),ISNUMBER(SEARCH(IF(D$3&lt;&gt;"",D$3,"NA"),'MITRE ATT&amp;CK Mappings'!$J181))), 'MITRE ATT&amp;CK Mappings'!$B181,"")</f>
        <v/>
      </c>
      <c r="E185" s="27" t="str">
        <f>IF(OR(OR(OR(OR(OR(ISNUMBER(SEARCH(IF(E$1&lt;&gt;"",E$1,"NA"),'MITRE ATT&amp;CK Mappings'!$E181)),ISNUMBER(SEARCH(IF(E$1&lt;&gt;"",E$1,"NA"),'MITRE ATT&amp;CK Mappings'!$F181))),ISNUMBER(SEARCH(IF(E$2&lt;&gt;"",E$2,"NA"),'MITRE ATT&amp;CK Mappings'!$G181))),ISNUMBER(SEARCH(IF(E$2&lt;&gt;"",E$2,"NA"),'MITRE ATT&amp;CK Mappings'!$H181))),ISNUMBER(SEARCH(IF(E$3&lt;&gt;"",E$3,"NA"),'MITRE ATT&amp;CK Mappings'!$I181))),ISNUMBER(SEARCH(IF(E$3&lt;&gt;"",E$3,"NA"),'MITRE ATT&amp;CK Mappings'!$J181))), 'MITRE ATT&amp;CK Mappings'!$B181,"")</f>
        <v/>
      </c>
      <c r="F185" s="27" t="str">
        <f>IF(OR(OR(OR(OR(OR(ISNUMBER(SEARCH(IF(F$1&lt;&gt;"",F$1,"NA"),'MITRE ATT&amp;CK Mappings'!$E181)),ISNUMBER(SEARCH(IF(F$1&lt;&gt;"",F$1,"NA"),'MITRE ATT&amp;CK Mappings'!$F181))),ISNUMBER(SEARCH(IF(F$2&lt;&gt;"",F$2,"NA"),'MITRE ATT&amp;CK Mappings'!$G181))),ISNUMBER(SEARCH(IF(F$2&lt;&gt;"",F$2,"NA"),'MITRE ATT&amp;CK Mappings'!$H181))),ISNUMBER(SEARCH(IF(F$3&lt;&gt;"",F$3,"NA"),'MITRE ATT&amp;CK Mappings'!$I181))),ISNUMBER(SEARCH(IF(F$3&lt;&gt;"",F$3,"NA"),'MITRE ATT&amp;CK Mappings'!$J181))), 'MITRE ATT&amp;CK Mappings'!$B181,"")</f>
        <v/>
      </c>
      <c r="G185" s="27" t="str">
        <f>IF(OR(OR(OR(OR(OR(ISNUMBER(SEARCH(IF(G$1&lt;&gt;"",G$1,"NA"),'MITRE ATT&amp;CK Mappings'!$E181)),ISNUMBER(SEARCH(IF(G$1&lt;&gt;"",G$1,"NA"),'MITRE ATT&amp;CK Mappings'!$F181))),ISNUMBER(SEARCH(IF(G$2&lt;&gt;"",G$2,"NA"),'MITRE ATT&amp;CK Mappings'!$G181))),ISNUMBER(SEARCH(IF(G$2&lt;&gt;"",G$2,"NA"),'MITRE ATT&amp;CK Mappings'!$H181))),ISNUMBER(SEARCH(IF(G$3&lt;&gt;"",G$3,"NA"),'MITRE ATT&amp;CK Mappings'!$I181))),ISNUMBER(SEARCH(IF(G$3&lt;&gt;"",G$3,"NA"),'MITRE ATT&amp;CK Mappings'!$J181))), 'MITRE ATT&amp;CK Mappings'!$B181,"")</f>
        <v/>
      </c>
      <c r="H185" s="27" t="str">
        <f>IF(OR(OR(OR(OR(OR(ISNUMBER(SEARCH(IF(H$1&lt;&gt;"",H$1,"NA"),'MITRE ATT&amp;CK Mappings'!$E181)),ISNUMBER(SEARCH(IF(H$1&lt;&gt;"",H$1,"NA"),'MITRE ATT&amp;CK Mappings'!$F181))),ISNUMBER(SEARCH(IF(H$2&lt;&gt;"",H$2,"NA"),'MITRE ATT&amp;CK Mappings'!$G181))),ISNUMBER(SEARCH(IF(H$2&lt;&gt;"",H$2,"NA"),'MITRE ATT&amp;CK Mappings'!$H181))),ISNUMBER(SEARCH(IF(H$3&lt;&gt;"",H$3,"NA"),'MITRE ATT&amp;CK Mappings'!$I181))),ISNUMBER(SEARCH(IF(H$3&lt;&gt;"",H$3,"NA"),'MITRE ATT&amp;CK Mappings'!$J181))), 'MITRE ATT&amp;CK Mappings'!$B181,"")</f>
        <v/>
      </c>
      <c r="I185" s="27" t="str">
        <f>IF(OR(OR(OR(OR(OR(ISNUMBER(SEARCH(IF(I$1&lt;&gt;"",I$1,"NA"),'MITRE ATT&amp;CK Mappings'!$E181)),ISNUMBER(SEARCH(IF(I$1&lt;&gt;"",I$1,"NA"),'MITRE ATT&amp;CK Mappings'!$F181))),ISNUMBER(SEARCH(IF(I$2&lt;&gt;"",I$2,"NA"),'MITRE ATT&amp;CK Mappings'!$G181))),ISNUMBER(SEARCH(IF(I$2&lt;&gt;"",I$2,"NA"),'MITRE ATT&amp;CK Mappings'!$H181))),ISNUMBER(SEARCH(IF(I$3&lt;&gt;"",I$3,"NA"),'MITRE ATT&amp;CK Mappings'!$I181))),ISNUMBER(SEARCH(IF(I$3&lt;&gt;"",I$3,"NA"),'MITRE ATT&amp;CK Mappings'!$J181))), 'MITRE ATT&amp;CK Mappings'!$B181,"")</f>
        <v/>
      </c>
      <c r="J185" s="27" t="str">
        <f>IF(OR(OR(OR(OR(OR(ISNUMBER(SEARCH(IF(J$1&lt;&gt;"",J$1,"NA"),'MITRE ATT&amp;CK Mappings'!$E181)),ISNUMBER(SEARCH(IF(J$1&lt;&gt;"",J$1,"NA"),'MITRE ATT&amp;CK Mappings'!$F181))),ISNUMBER(SEARCH(IF(J$2&lt;&gt;"",J$2,"NA"),'MITRE ATT&amp;CK Mappings'!$G181))),ISNUMBER(SEARCH(IF(J$2&lt;&gt;"",J$2,"NA"),'MITRE ATT&amp;CK Mappings'!$H181))),ISNUMBER(SEARCH(IF(J$3&lt;&gt;"",J$3,"NA"),'MITRE ATT&amp;CK Mappings'!$I181))),ISNUMBER(SEARCH(IF(J$3&lt;&gt;"",J$3,"NA"),'MITRE ATT&amp;CK Mappings'!$J181))), 'MITRE ATT&amp;CK Mappings'!$B181,"")</f>
        <v/>
      </c>
      <c r="K185" s="27" t="str">
        <f>IF(OR(OR(OR(OR(OR(ISNUMBER(SEARCH(IF(K$1&lt;&gt;"",K$1,"NA"),'MITRE ATT&amp;CK Mappings'!$E181)),ISNUMBER(SEARCH(IF(K$1&lt;&gt;"",K$1,"NA"),'MITRE ATT&amp;CK Mappings'!$F181))),ISNUMBER(SEARCH(IF(K$2&lt;&gt;"",K$2,"NA"),'MITRE ATT&amp;CK Mappings'!$G181))),ISNUMBER(SEARCH(IF(K$2&lt;&gt;"",K$2,"NA"),'MITRE ATT&amp;CK Mappings'!$H181))),ISNUMBER(SEARCH(IF(K$3&lt;&gt;"",K$3,"NA"),'MITRE ATT&amp;CK Mappings'!$I181))),ISNUMBER(SEARCH(IF(K$3&lt;&gt;"",K$3,"NA"),'MITRE ATT&amp;CK Mappings'!$J181))), 'MITRE ATT&amp;CK Mappings'!$B181,"")</f>
        <v/>
      </c>
      <c r="L185" s="27" t="str">
        <f>IF('MITRE ATT&amp;CK Mappings'!D181 &lt;&gt;"",'MITRE ATT&amp;CK Mappings'!D181,"" )</f>
        <v/>
      </c>
    </row>
    <row r="186" spans="1:12" x14ac:dyDescent="0.25">
      <c r="A186" s="26" t="str">
        <f>IF(COUNTIF(B186:K186,"="&amp;'MITRE ATT&amp;CK Mappings'!B182)&gt;0,'MITRE ATT&amp;CK Mappings'!B182,"")</f>
        <v/>
      </c>
      <c r="B186" s="26" t="str">
        <f>IF(OR(OR(OR(OR(OR(ISNUMBER(SEARCH(IF(B$1&lt;&gt;"",B$1,"NA"),'MITRE ATT&amp;CK Mappings'!$E182)),ISNUMBER(SEARCH(IF(B$1&lt;&gt;"",B$1,"NA"),'MITRE ATT&amp;CK Mappings'!$F182))),ISNUMBER(SEARCH(IF(B$2&lt;&gt;"",B$2,"NA"),'MITRE ATT&amp;CK Mappings'!$G182))),ISNUMBER(SEARCH(IF(B$2&lt;&gt;"",B$2,"NA"),'MITRE ATT&amp;CK Mappings'!$H182))),ISNUMBER(SEARCH(IF(B$3&lt;&gt;"",B$3,"NA"),'MITRE ATT&amp;CK Mappings'!$I182))),ISNUMBER(SEARCH(IF(B$3&lt;&gt;"",B$3,"NA"),'MITRE ATT&amp;CK Mappings'!$J182))), 'MITRE ATT&amp;CK Mappings'!$B182,"")</f>
        <v/>
      </c>
      <c r="C186" s="26" t="str">
        <f>IF(OR(OR(OR(OR(OR(ISNUMBER(SEARCH(IF(C$1&lt;&gt;"",C$1,"NA"),'MITRE ATT&amp;CK Mappings'!$E182)),ISNUMBER(SEARCH(IF(C$1&lt;&gt;"",C$1,"NA"),'MITRE ATT&amp;CK Mappings'!$F182))),ISNUMBER(SEARCH(IF(C$2&lt;&gt;"",C$2,"NA"),'MITRE ATT&amp;CK Mappings'!$G182))),ISNUMBER(SEARCH(IF(C$2&lt;&gt;"",C$2,"NA"),'MITRE ATT&amp;CK Mappings'!$H182))),ISNUMBER(SEARCH(IF(C$3&lt;&gt;"",C$3,"NA"),'MITRE ATT&amp;CK Mappings'!$I182))),ISNUMBER(SEARCH(IF(C$3&lt;&gt;"",C$3,"NA"),'MITRE ATT&amp;CK Mappings'!$J182))), 'MITRE ATT&amp;CK Mappings'!$B182,"")</f>
        <v/>
      </c>
      <c r="D186" s="26" t="str">
        <f>IF(OR(OR(OR(OR(OR(ISNUMBER(SEARCH(IF(D$1&lt;&gt;"",D$1,"NA"),'MITRE ATT&amp;CK Mappings'!$E182)),ISNUMBER(SEARCH(IF(D$1&lt;&gt;"",D$1,"NA"),'MITRE ATT&amp;CK Mappings'!$F182))),ISNUMBER(SEARCH(IF(D$2&lt;&gt;"",D$2,"NA"),'MITRE ATT&amp;CK Mappings'!$G182))),ISNUMBER(SEARCH(IF(D$2&lt;&gt;"",D$2,"NA"),'MITRE ATT&amp;CK Mappings'!$H182))),ISNUMBER(SEARCH(IF(D$3&lt;&gt;"",D$3,"NA"),'MITRE ATT&amp;CK Mappings'!$I182))),ISNUMBER(SEARCH(IF(D$3&lt;&gt;"",D$3,"NA"),'MITRE ATT&amp;CK Mappings'!$J182))), 'MITRE ATT&amp;CK Mappings'!$B182,"")</f>
        <v/>
      </c>
      <c r="E186" s="26" t="str">
        <f>IF(OR(OR(OR(OR(OR(ISNUMBER(SEARCH(IF(E$1&lt;&gt;"",E$1,"NA"),'MITRE ATT&amp;CK Mappings'!$E182)),ISNUMBER(SEARCH(IF(E$1&lt;&gt;"",E$1,"NA"),'MITRE ATT&amp;CK Mappings'!$F182))),ISNUMBER(SEARCH(IF(E$2&lt;&gt;"",E$2,"NA"),'MITRE ATT&amp;CK Mappings'!$G182))),ISNUMBER(SEARCH(IF(E$2&lt;&gt;"",E$2,"NA"),'MITRE ATT&amp;CK Mappings'!$H182))),ISNUMBER(SEARCH(IF(E$3&lt;&gt;"",E$3,"NA"),'MITRE ATT&amp;CK Mappings'!$I182))),ISNUMBER(SEARCH(IF(E$3&lt;&gt;"",E$3,"NA"),'MITRE ATT&amp;CK Mappings'!$J182))), 'MITRE ATT&amp;CK Mappings'!$B182,"")</f>
        <v/>
      </c>
      <c r="F186" s="26" t="str">
        <f>IF(OR(OR(OR(OR(OR(ISNUMBER(SEARCH(IF(F$1&lt;&gt;"",F$1,"NA"),'MITRE ATT&amp;CK Mappings'!$E182)),ISNUMBER(SEARCH(IF(F$1&lt;&gt;"",F$1,"NA"),'MITRE ATT&amp;CK Mappings'!$F182))),ISNUMBER(SEARCH(IF(F$2&lt;&gt;"",F$2,"NA"),'MITRE ATT&amp;CK Mappings'!$G182))),ISNUMBER(SEARCH(IF(F$2&lt;&gt;"",F$2,"NA"),'MITRE ATT&amp;CK Mappings'!$H182))),ISNUMBER(SEARCH(IF(F$3&lt;&gt;"",F$3,"NA"),'MITRE ATT&amp;CK Mappings'!$I182))),ISNUMBER(SEARCH(IF(F$3&lt;&gt;"",F$3,"NA"),'MITRE ATT&amp;CK Mappings'!$J182))), 'MITRE ATT&amp;CK Mappings'!$B182,"")</f>
        <v/>
      </c>
      <c r="G186" s="26" t="str">
        <f>IF(OR(OR(OR(OR(OR(ISNUMBER(SEARCH(IF(G$1&lt;&gt;"",G$1,"NA"),'MITRE ATT&amp;CK Mappings'!$E182)),ISNUMBER(SEARCH(IF(G$1&lt;&gt;"",G$1,"NA"),'MITRE ATT&amp;CK Mappings'!$F182))),ISNUMBER(SEARCH(IF(G$2&lt;&gt;"",G$2,"NA"),'MITRE ATT&amp;CK Mappings'!$G182))),ISNUMBER(SEARCH(IF(G$2&lt;&gt;"",G$2,"NA"),'MITRE ATT&amp;CK Mappings'!$H182))),ISNUMBER(SEARCH(IF(G$3&lt;&gt;"",G$3,"NA"),'MITRE ATT&amp;CK Mappings'!$I182))),ISNUMBER(SEARCH(IF(G$3&lt;&gt;"",G$3,"NA"),'MITRE ATT&amp;CK Mappings'!$J182))), 'MITRE ATT&amp;CK Mappings'!$B182,"")</f>
        <v/>
      </c>
      <c r="H186" s="26" t="str">
        <f>IF(OR(OR(OR(OR(OR(ISNUMBER(SEARCH(IF(H$1&lt;&gt;"",H$1,"NA"),'MITRE ATT&amp;CK Mappings'!$E182)),ISNUMBER(SEARCH(IF(H$1&lt;&gt;"",H$1,"NA"),'MITRE ATT&amp;CK Mappings'!$F182))),ISNUMBER(SEARCH(IF(H$2&lt;&gt;"",H$2,"NA"),'MITRE ATT&amp;CK Mappings'!$G182))),ISNUMBER(SEARCH(IF(H$2&lt;&gt;"",H$2,"NA"),'MITRE ATT&amp;CK Mappings'!$H182))),ISNUMBER(SEARCH(IF(H$3&lt;&gt;"",H$3,"NA"),'MITRE ATT&amp;CK Mappings'!$I182))),ISNUMBER(SEARCH(IF(H$3&lt;&gt;"",H$3,"NA"),'MITRE ATT&amp;CK Mappings'!$J182))), 'MITRE ATT&amp;CK Mappings'!$B182,"")</f>
        <v/>
      </c>
      <c r="I186" s="26" t="str">
        <f>IF(OR(OR(OR(OR(OR(ISNUMBER(SEARCH(IF(I$1&lt;&gt;"",I$1,"NA"),'MITRE ATT&amp;CK Mappings'!$E182)),ISNUMBER(SEARCH(IF(I$1&lt;&gt;"",I$1,"NA"),'MITRE ATT&amp;CK Mappings'!$F182))),ISNUMBER(SEARCH(IF(I$2&lt;&gt;"",I$2,"NA"),'MITRE ATT&amp;CK Mappings'!$G182))),ISNUMBER(SEARCH(IF(I$2&lt;&gt;"",I$2,"NA"),'MITRE ATT&amp;CK Mappings'!$H182))),ISNUMBER(SEARCH(IF(I$3&lt;&gt;"",I$3,"NA"),'MITRE ATT&amp;CK Mappings'!$I182))),ISNUMBER(SEARCH(IF(I$3&lt;&gt;"",I$3,"NA"),'MITRE ATT&amp;CK Mappings'!$J182))), 'MITRE ATT&amp;CK Mappings'!$B182,"")</f>
        <v/>
      </c>
      <c r="J186" s="26" t="str">
        <f>IF(OR(OR(OR(OR(OR(ISNUMBER(SEARCH(IF(J$1&lt;&gt;"",J$1,"NA"),'MITRE ATT&amp;CK Mappings'!$E182)),ISNUMBER(SEARCH(IF(J$1&lt;&gt;"",J$1,"NA"),'MITRE ATT&amp;CK Mappings'!$F182))),ISNUMBER(SEARCH(IF(J$2&lt;&gt;"",J$2,"NA"),'MITRE ATT&amp;CK Mappings'!$G182))),ISNUMBER(SEARCH(IF(J$2&lt;&gt;"",J$2,"NA"),'MITRE ATT&amp;CK Mappings'!$H182))),ISNUMBER(SEARCH(IF(J$3&lt;&gt;"",J$3,"NA"),'MITRE ATT&amp;CK Mappings'!$I182))),ISNUMBER(SEARCH(IF(J$3&lt;&gt;"",J$3,"NA"),'MITRE ATT&amp;CK Mappings'!$J182))), 'MITRE ATT&amp;CK Mappings'!$B182,"")</f>
        <v/>
      </c>
      <c r="K186" s="26" t="str">
        <f>IF(OR(OR(OR(OR(OR(ISNUMBER(SEARCH(IF(K$1&lt;&gt;"",K$1,"NA"),'MITRE ATT&amp;CK Mappings'!$E182)),ISNUMBER(SEARCH(IF(K$1&lt;&gt;"",K$1,"NA"),'MITRE ATT&amp;CK Mappings'!$F182))),ISNUMBER(SEARCH(IF(K$2&lt;&gt;"",K$2,"NA"),'MITRE ATT&amp;CK Mappings'!$G182))),ISNUMBER(SEARCH(IF(K$2&lt;&gt;"",K$2,"NA"),'MITRE ATT&amp;CK Mappings'!$H182))),ISNUMBER(SEARCH(IF(K$3&lt;&gt;"",K$3,"NA"),'MITRE ATT&amp;CK Mappings'!$I182))),ISNUMBER(SEARCH(IF(K$3&lt;&gt;"",K$3,"NA"),'MITRE ATT&amp;CK Mappings'!$J182))), 'MITRE ATT&amp;CK Mappings'!$B182,"")</f>
        <v/>
      </c>
      <c r="L186" s="26" t="str">
        <f>IF('MITRE ATT&amp;CK Mappings'!D182 &lt;&gt;"",'MITRE ATT&amp;CK Mappings'!D182,"" )</f>
        <v/>
      </c>
    </row>
    <row r="187" spans="1:12" x14ac:dyDescent="0.25">
      <c r="A187" s="27" t="str">
        <f>IF(COUNTIF(B187:K187,"="&amp;'MITRE ATT&amp;CK Mappings'!B183)&gt;0,'MITRE ATT&amp;CK Mappings'!B183,"")</f>
        <v/>
      </c>
      <c r="B187" s="27" t="str">
        <f>IF(OR(OR(OR(OR(OR(ISNUMBER(SEARCH(IF(B$1&lt;&gt;"",B$1,"NA"),'MITRE ATT&amp;CK Mappings'!$E183)),ISNUMBER(SEARCH(IF(B$1&lt;&gt;"",B$1,"NA"),'MITRE ATT&amp;CK Mappings'!$F183))),ISNUMBER(SEARCH(IF(B$2&lt;&gt;"",B$2,"NA"),'MITRE ATT&amp;CK Mappings'!$G183))),ISNUMBER(SEARCH(IF(B$2&lt;&gt;"",B$2,"NA"),'MITRE ATT&amp;CK Mappings'!$H183))),ISNUMBER(SEARCH(IF(B$3&lt;&gt;"",B$3,"NA"),'MITRE ATT&amp;CK Mappings'!$I183))),ISNUMBER(SEARCH(IF(B$3&lt;&gt;"",B$3,"NA"),'MITRE ATT&amp;CK Mappings'!$J183))), 'MITRE ATT&amp;CK Mappings'!$B183,"")</f>
        <v/>
      </c>
      <c r="C187" s="27" t="str">
        <f>IF(OR(OR(OR(OR(OR(ISNUMBER(SEARCH(IF(C$1&lt;&gt;"",C$1,"NA"),'MITRE ATT&amp;CK Mappings'!$E183)),ISNUMBER(SEARCH(IF(C$1&lt;&gt;"",C$1,"NA"),'MITRE ATT&amp;CK Mappings'!$F183))),ISNUMBER(SEARCH(IF(C$2&lt;&gt;"",C$2,"NA"),'MITRE ATT&amp;CK Mappings'!$G183))),ISNUMBER(SEARCH(IF(C$2&lt;&gt;"",C$2,"NA"),'MITRE ATT&amp;CK Mappings'!$H183))),ISNUMBER(SEARCH(IF(C$3&lt;&gt;"",C$3,"NA"),'MITRE ATT&amp;CK Mappings'!$I183))),ISNUMBER(SEARCH(IF(C$3&lt;&gt;"",C$3,"NA"),'MITRE ATT&amp;CK Mappings'!$J183))), 'MITRE ATT&amp;CK Mappings'!$B183,"")</f>
        <v/>
      </c>
      <c r="D187" s="27" t="str">
        <f>IF(OR(OR(OR(OR(OR(ISNUMBER(SEARCH(IF(D$1&lt;&gt;"",D$1,"NA"),'MITRE ATT&amp;CK Mappings'!$E183)),ISNUMBER(SEARCH(IF(D$1&lt;&gt;"",D$1,"NA"),'MITRE ATT&amp;CK Mappings'!$F183))),ISNUMBER(SEARCH(IF(D$2&lt;&gt;"",D$2,"NA"),'MITRE ATT&amp;CK Mappings'!$G183))),ISNUMBER(SEARCH(IF(D$2&lt;&gt;"",D$2,"NA"),'MITRE ATT&amp;CK Mappings'!$H183))),ISNUMBER(SEARCH(IF(D$3&lt;&gt;"",D$3,"NA"),'MITRE ATT&amp;CK Mappings'!$I183))),ISNUMBER(SEARCH(IF(D$3&lt;&gt;"",D$3,"NA"),'MITRE ATT&amp;CK Mappings'!$J183))), 'MITRE ATT&amp;CK Mappings'!$B183,"")</f>
        <v/>
      </c>
      <c r="E187" s="27" t="str">
        <f>IF(OR(OR(OR(OR(OR(ISNUMBER(SEARCH(IF(E$1&lt;&gt;"",E$1,"NA"),'MITRE ATT&amp;CK Mappings'!$E183)),ISNUMBER(SEARCH(IF(E$1&lt;&gt;"",E$1,"NA"),'MITRE ATT&amp;CK Mappings'!$F183))),ISNUMBER(SEARCH(IF(E$2&lt;&gt;"",E$2,"NA"),'MITRE ATT&amp;CK Mappings'!$G183))),ISNUMBER(SEARCH(IF(E$2&lt;&gt;"",E$2,"NA"),'MITRE ATT&amp;CK Mappings'!$H183))),ISNUMBER(SEARCH(IF(E$3&lt;&gt;"",E$3,"NA"),'MITRE ATT&amp;CK Mappings'!$I183))),ISNUMBER(SEARCH(IF(E$3&lt;&gt;"",E$3,"NA"),'MITRE ATT&amp;CK Mappings'!$J183))), 'MITRE ATT&amp;CK Mappings'!$B183,"")</f>
        <v/>
      </c>
      <c r="F187" s="27" t="str">
        <f>IF(OR(OR(OR(OR(OR(ISNUMBER(SEARCH(IF(F$1&lt;&gt;"",F$1,"NA"),'MITRE ATT&amp;CK Mappings'!$E183)),ISNUMBER(SEARCH(IF(F$1&lt;&gt;"",F$1,"NA"),'MITRE ATT&amp;CK Mappings'!$F183))),ISNUMBER(SEARCH(IF(F$2&lt;&gt;"",F$2,"NA"),'MITRE ATT&amp;CK Mappings'!$G183))),ISNUMBER(SEARCH(IF(F$2&lt;&gt;"",F$2,"NA"),'MITRE ATT&amp;CK Mappings'!$H183))),ISNUMBER(SEARCH(IF(F$3&lt;&gt;"",F$3,"NA"),'MITRE ATT&amp;CK Mappings'!$I183))),ISNUMBER(SEARCH(IF(F$3&lt;&gt;"",F$3,"NA"),'MITRE ATT&amp;CK Mappings'!$J183))), 'MITRE ATT&amp;CK Mappings'!$B183,"")</f>
        <v/>
      </c>
      <c r="G187" s="27" t="str">
        <f>IF(OR(OR(OR(OR(OR(ISNUMBER(SEARCH(IF(G$1&lt;&gt;"",G$1,"NA"),'MITRE ATT&amp;CK Mappings'!$E183)),ISNUMBER(SEARCH(IF(G$1&lt;&gt;"",G$1,"NA"),'MITRE ATT&amp;CK Mappings'!$F183))),ISNUMBER(SEARCH(IF(G$2&lt;&gt;"",G$2,"NA"),'MITRE ATT&amp;CK Mappings'!$G183))),ISNUMBER(SEARCH(IF(G$2&lt;&gt;"",G$2,"NA"),'MITRE ATT&amp;CK Mappings'!$H183))),ISNUMBER(SEARCH(IF(G$3&lt;&gt;"",G$3,"NA"),'MITRE ATT&amp;CK Mappings'!$I183))),ISNUMBER(SEARCH(IF(G$3&lt;&gt;"",G$3,"NA"),'MITRE ATT&amp;CK Mappings'!$J183))), 'MITRE ATT&amp;CK Mappings'!$B183,"")</f>
        <v/>
      </c>
      <c r="H187" s="27" t="str">
        <f>IF(OR(OR(OR(OR(OR(ISNUMBER(SEARCH(IF(H$1&lt;&gt;"",H$1,"NA"),'MITRE ATT&amp;CK Mappings'!$E183)),ISNUMBER(SEARCH(IF(H$1&lt;&gt;"",H$1,"NA"),'MITRE ATT&amp;CK Mappings'!$F183))),ISNUMBER(SEARCH(IF(H$2&lt;&gt;"",H$2,"NA"),'MITRE ATT&amp;CK Mappings'!$G183))),ISNUMBER(SEARCH(IF(H$2&lt;&gt;"",H$2,"NA"),'MITRE ATT&amp;CK Mappings'!$H183))),ISNUMBER(SEARCH(IF(H$3&lt;&gt;"",H$3,"NA"),'MITRE ATT&amp;CK Mappings'!$I183))),ISNUMBER(SEARCH(IF(H$3&lt;&gt;"",H$3,"NA"),'MITRE ATT&amp;CK Mappings'!$J183))), 'MITRE ATT&amp;CK Mappings'!$B183,"")</f>
        <v/>
      </c>
      <c r="I187" s="27" t="str">
        <f>IF(OR(OR(OR(OR(OR(ISNUMBER(SEARCH(IF(I$1&lt;&gt;"",I$1,"NA"),'MITRE ATT&amp;CK Mappings'!$E183)),ISNUMBER(SEARCH(IF(I$1&lt;&gt;"",I$1,"NA"),'MITRE ATT&amp;CK Mappings'!$F183))),ISNUMBER(SEARCH(IF(I$2&lt;&gt;"",I$2,"NA"),'MITRE ATT&amp;CK Mappings'!$G183))),ISNUMBER(SEARCH(IF(I$2&lt;&gt;"",I$2,"NA"),'MITRE ATT&amp;CK Mappings'!$H183))),ISNUMBER(SEARCH(IF(I$3&lt;&gt;"",I$3,"NA"),'MITRE ATT&amp;CK Mappings'!$I183))),ISNUMBER(SEARCH(IF(I$3&lt;&gt;"",I$3,"NA"),'MITRE ATT&amp;CK Mappings'!$J183))), 'MITRE ATT&amp;CK Mappings'!$B183,"")</f>
        <v/>
      </c>
      <c r="J187" s="27" t="str">
        <f>IF(OR(OR(OR(OR(OR(ISNUMBER(SEARCH(IF(J$1&lt;&gt;"",J$1,"NA"),'MITRE ATT&amp;CK Mappings'!$E183)),ISNUMBER(SEARCH(IF(J$1&lt;&gt;"",J$1,"NA"),'MITRE ATT&amp;CK Mappings'!$F183))),ISNUMBER(SEARCH(IF(J$2&lt;&gt;"",J$2,"NA"),'MITRE ATT&amp;CK Mappings'!$G183))),ISNUMBER(SEARCH(IF(J$2&lt;&gt;"",J$2,"NA"),'MITRE ATT&amp;CK Mappings'!$H183))),ISNUMBER(SEARCH(IF(J$3&lt;&gt;"",J$3,"NA"),'MITRE ATT&amp;CK Mappings'!$I183))),ISNUMBER(SEARCH(IF(J$3&lt;&gt;"",J$3,"NA"),'MITRE ATT&amp;CK Mappings'!$J183))), 'MITRE ATT&amp;CK Mappings'!$B183,"")</f>
        <v/>
      </c>
      <c r="K187" s="27" t="str">
        <f>IF(OR(OR(OR(OR(OR(ISNUMBER(SEARCH(IF(K$1&lt;&gt;"",K$1,"NA"),'MITRE ATT&amp;CK Mappings'!$E183)),ISNUMBER(SEARCH(IF(K$1&lt;&gt;"",K$1,"NA"),'MITRE ATT&amp;CK Mappings'!$F183))),ISNUMBER(SEARCH(IF(K$2&lt;&gt;"",K$2,"NA"),'MITRE ATT&amp;CK Mappings'!$G183))),ISNUMBER(SEARCH(IF(K$2&lt;&gt;"",K$2,"NA"),'MITRE ATT&amp;CK Mappings'!$H183))),ISNUMBER(SEARCH(IF(K$3&lt;&gt;"",K$3,"NA"),'MITRE ATT&amp;CK Mappings'!$I183))),ISNUMBER(SEARCH(IF(K$3&lt;&gt;"",K$3,"NA"),'MITRE ATT&amp;CK Mappings'!$J183))), 'MITRE ATT&amp;CK Mappings'!$B183,"")</f>
        <v/>
      </c>
      <c r="L187" s="27" t="str">
        <f>IF('MITRE ATT&amp;CK Mappings'!D183 &lt;&gt;"",'MITRE ATT&amp;CK Mappings'!D183,"" )</f>
        <v/>
      </c>
    </row>
    <row r="188" spans="1:12" x14ac:dyDescent="0.25">
      <c r="A188" s="26" t="str">
        <f>IF(COUNTIF(B188:K188,"="&amp;'MITRE ATT&amp;CK Mappings'!B184)&gt;0,'MITRE ATT&amp;CK Mappings'!B184,"")</f>
        <v/>
      </c>
      <c r="B188" s="26" t="str">
        <f>IF(OR(OR(OR(OR(OR(ISNUMBER(SEARCH(IF(B$1&lt;&gt;"",B$1,"NA"),'MITRE ATT&amp;CK Mappings'!$E184)),ISNUMBER(SEARCH(IF(B$1&lt;&gt;"",B$1,"NA"),'MITRE ATT&amp;CK Mappings'!$F184))),ISNUMBER(SEARCH(IF(B$2&lt;&gt;"",B$2,"NA"),'MITRE ATT&amp;CK Mappings'!$G184))),ISNUMBER(SEARCH(IF(B$2&lt;&gt;"",B$2,"NA"),'MITRE ATT&amp;CK Mappings'!$H184))),ISNUMBER(SEARCH(IF(B$3&lt;&gt;"",B$3,"NA"),'MITRE ATT&amp;CK Mappings'!$I184))),ISNUMBER(SEARCH(IF(B$3&lt;&gt;"",B$3,"NA"),'MITRE ATT&amp;CK Mappings'!$J184))), 'MITRE ATT&amp;CK Mappings'!$B184,"")</f>
        <v/>
      </c>
      <c r="C188" s="26" t="str">
        <f>IF(OR(OR(OR(OR(OR(ISNUMBER(SEARCH(IF(C$1&lt;&gt;"",C$1,"NA"),'MITRE ATT&amp;CK Mappings'!$E184)),ISNUMBER(SEARCH(IF(C$1&lt;&gt;"",C$1,"NA"),'MITRE ATT&amp;CK Mappings'!$F184))),ISNUMBER(SEARCH(IF(C$2&lt;&gt;"",C$2,"NA"),'MITRE ATT&amp;CK Mappings'!$G184))),ISNUMBER(SEARCH(IF(C$2&lt;&gt;"",C$2,"NA"),'MITRE ATT&amp;CK Mappings'!$H184))),ISNUMBER(SEARCH(IF(C$3&lt;&gt;"",C$3,"NA"),'MITRE ATT&amp;CK Mappings'!$I184))),ISNUMBER(SEARCH(IF(C$3&lt;&gt;"",C$3,"NA"),'MITRE ATT&amp;CK Mappings'!$J184))), 'MITRE ATT&amp;CK Mappings'!$B184,"")</f>
        <v/>
      </c>
      <c r="D188" s="26" t="str">
        <f>IF(OR(OR(OR(OR(OR(ISNUMBER(SEARCH(IF(D$1&lt;&gt;"",D$1,"NA"),'MITRE ATT&amp;CK Mappings'!$E184)),ISNUMBER(SEARCH(IF(D$1&lt;&gt;"",D$1,"NA"),'MITRE ATT&amp;CK Mappings'!$F184))),ISNUMBER(SEARCH(IF(D$2&lt;&gt;"",D$2,"NA"),'MITRE ATT&amp;CK Mappings'!$G184))),ISNUMBER(SEARCH(IF(D$2&lt;&gt;"",D$2,"NA"),'MITRE ATT&amp;CK Mappings'!$H184))),ISNUMBER(SEARCH(IF(D$3&lt;&gt;"",D$3,"NA"),'MITRE ATT&amp;CK Mappings'!$I184))),ISNUMBER(SEARCH(IF(D$3&lt;&gt;"",D$3,"NA"),'MITRE ATT&amp;CK Mappings'!$J184))), 'MITRE ATT&amp;CK Mappings'!$B184,"")</f>
        <v/>
      </c>
      <c r="E188" s="26" t="str">
        <f>IF(OR(OR(OR(OR(OR(ISNUMBER(SEARCH(IF(E$1&lt;&gt;"",E$1,"NA"),'MITRE ATT&amp;CK Mappings'!$E184)),ISNUMBER(SEARCH(IF(E$1&lt;&gt;"",E$1,"NA"),'MITRE ATT&amp;CK Mappings'!$F184))),ISNUMBER(SEARCH(IF(E$2&lt;&gt;"",E$2,"NA"),'MITRE ATT&amp;CK Mappings'!$G184))),ISNUMBER(SEARCH(IF(E$2&lt;&gt;"",E$2,"NA"),'MITRE ATT&amp;CK Mappings'!$H184))),ISNUMBER(SEARCH(IF(E$3&lt;&gt;"",E$3,"NA"),'MITRE ATT&amp;CK Mappings'!$I184))),ISNUMBER(SEARCH(IF(E$3&lt;&gt;"",E$3,"NA"),'MITRE ATT&amp;CK Mappings'!$J184))), 'MITRE ATT&amp;CK Mappings'!$B184,"")</f>
        <v/>
      </c>
      <c r="F188" s="26" t="str">
        <f>IF(OR(OR(OR(OR(OR(ISNUMBER(SEARCH(IF(F$1&lt;&gt;"",F$1,"NA"),'MITRE ATT&amp;CK Mappings'!$E184)),ISNUMBER(SEARCH(IF(F$1&lt;&gt;"",F$1,"NA"),'MITRE ATT&amp;CK Mappings'!$F184))),ISNUMBER(SEARCH(IF(F$2&lt;&gt;"",F$2,"NA"),'MITRE ATT&amp;CK Mappings'!$G184))),ISNUMBER(SEARCH(IF(F$2&lt;&gt;"",F$2,"NA"),'MITRE ATT&amp;CK Mappings'!$H184))),ISNUMBER(SEARCH(IF(F$3&lt;&gt;"",F$3,"NA"),'MITRE ATT&amp;CK Mappings'!$I184))),ISNUMBER(SEARCH(IF(F$3&lt;&gt;"",F$3,"NA"),'MITRE ATT&amp;CK Mappings'!$J184))), 'MITRE ATT&amp;CK Mappings'!$B184,"")</f>
        <v/>
      </c>
      <c r="G188" s="26" t="str">
        <f>IF(OR(OR(OR(OR(OR(ISNUMBER(SEARCH(IF(G$1&lt;&gt;"",G$1,"NA"),'MITRE ATT&amp;CK Mappings'!$E184)),ISNUMBER(SEARCH(IF(G$1&lt;&gt;"",G$1,"NA"),'MITRE ATT&amp;CK Mappings'!$F184))),ISNUMBER(SEARCH(IF(G$2&lt;&gt;"",G$2,"NA"),'MITRE ATT&amp;CK Mappings'!$G184))),ISNUMBER(SEARCH(IF(G$2&lt;&gt;"",G$2,"NA"),'MITRE ATT&amp;CK Mappings'!$H184))),ISNUMBER(SEARCH(IF(G$3&lt;&gt;"",G$3,"NA"),'MITRE ATT&amp;CK Mappings'!$I184))),ISNUMBER(SEARCH(IF(G$3&lt;&gt;"",G$3,"NA"),'MITRE ATT&amp;CK Mappings'!$J184))), 'MITRE ATT&amp;CK Mappings'!$B184,"")</f>
        <v/>
      </c>
      <c r="H188" s="26" t="str">
        <f>IF(OR(OR(OR(OR(OR(ISNUMBER(SEARCH(IF(H$1&lt;&gt;"",H$1,"NA"),'MITRE ATT&amp;CK Mappings'!$E184)),ISNUMBER(SEARCH(IF(H$1&lt;&gt;"",H$1,"NA"),'MITRE ATT&amp;CK Mappings'!$F184))),ISNUMBER(SEARCH(IF(H$2&lt;&gt;"",H$2,"NA"),'MITRE ATT&amp;CK Mappings'!$G184))),ISNUMBER(SEARCH(IF(H$2&lt;&gt;"",H$2,"NA"),'MITRE ATT&amp;CK Mappings'!$H184))),ISNUMBER(SEARCH(IF(H$3&lt;&gt;"",H$3,"NA"),'MITRE ATT&amp;CK Mappings'!$I184))),ISNUMBER(SEARCH(IF(H$3&lt;&gt;"",H$3,"NA"),'MITRE ATT&amp;CK Mappings'!$J184))), 'MITRE ATT&amp;CK Mappings'!$B184,"")</f>
        <v/>
      </c>
      <c r="I188" s="26" t="str">
        <f>IF(OR(OR(OR(OR(OR(ISNUMBER(SEARCH(IF(I$1&lt;&gt;"",I$1,"NA"),'MITRE ATT&amp;CK Mappings'!$E184)),ISNUMBER(SEARCH(IF(I$1&lt;&gt;"",I$1,"NA"),'MITRE ATT&amp;CK Mappings'!$F184))),ISNUMBER(SEARCH(IF(I$2&lt;&gt;"",I$2,"NA"),'MITRE ATT&amp;CK Mappings'!$G184))),ISNUMBER(SEARCH(IF(I$2&lt;&gt;"",I$2,"NA"),'MITRE ATT&amp;CK Mappings'!$H184))),ISNUMBER(SEARCH(IF(I$3&lt;&gt;"",I$3,"NA"),'MITRE ATT&amp;CK Mappings'!$I184))),ISNUMBER(SEARCH(IF(I$3&lt;&gt;"",I$3,"NA"),'MITRE ATT&amp;CK Mappings'!$J184))), 'MITRE ATT&amp;CK Mappings'!$B184,"")</f>
        <v/>
      </c>
      <c r="J188" s="26" t="str">
        <f>IF(OR(OR(OR(OR(OR(ISNUMBER(SEARCH(IF(J$1&lt;&gt;"",J$1,"NA"),'MITRE ATT&amp;CK Mappings'!$E184)),ISNUMBER(SEARCH(IF(J$1&lt;&gt;"",J$1,"NA"),'MITRE ATT&amp;CK Mappings'!$F184))),ISNUMBER(SEARCH(IF(J$2&lt;&gt;"",J$2,"NA"),'MITRE ATT&amp;CK Mappings'!$G184))),ISNUMBER(SEARCH(IF(J$2&lt;&gt;"",J$2,"NA"),'MITRE ATT&amp;CK Mappings'!$H184))),ISNUMBER(SEARCH(IF(J$3&lt;&gt;"",J$3,"NA"),'MITRE ATT&amp;CK Mappings'!$I184))),ISNUMBER(SEARCH(IF(J$3&lt;&gt;"",J$3,"NA"),'MITRE ATT&amp;CK Mappings'!$J184))), 'MITRE ATT&amp;CK Mappings'!$B184,"")</f>
        <v/>
      </c>
      <c r="K188" s="26" t="str">
        <f>IF(OR(OR(OR(OR(OR(ISNUMBER(SEARCH(IF(K$1&lt;&gt;"",K$1,"NA"),'MITRE ATT&amp;CK Mappings'!$E184)),ISNUMBER(SEARCH(IF(K$1&lt;&gt;"",K$1,"NA"),'MITRE ATT&amp;CK Mappings'!$F184))),ISNUMBER(SEARCH(IF(K$2&lt;&gt;"",K$2,"NA"),'MITRE ATT&amp;CK Mappings'!$G184))),ISNUMBER(SEARCH(IF(K$2&lt;&gt;"",K$2,"NA"),'MITRE ATT&amp;CK Mappings'!$H184))),ISNUMBER(SEARCH(IF(K$3&lt;&gt;"",K$3,"NA"),'MITRE ATT&amp;CK Mappings'!$I184))),ISNUMBER(SEARCH(IF(K$3&lt;&gt;"",K$3,"NA"),'MITRE ATT&amp;CK Mappings'!$J184))), 'MITRE ATT&amp;CK Mappings'!$B184,"")</f>
        <v/>
      </c>
      <c r="L188" s="26" t="str">
        <f>IF('MITRE ATT&amp;CK Mappings'!D184 &lt;&gt;"",'MITRE ATT&amp;CK Mappings'!D184,"" )</f>
        <v/>
      </c>
    </row>
    <row r="189" spans="1:12" x14ac:dyDescent="0.25">
      <c r="A189" s="27" t="str">
        <f>IF(COUNTIF(B189:K189,"="&amp;'MITRE ATT&amp;CK Mappings'!B185)&gt;0,'MITRE ATT&amp;CK Mappings'!B185,"")</f>
        <v/>
      </c>
      <c r="B189" s="27" t="str">
        <f>IF(OR(OR(OR(OR(OR(ISNUMBER(SEARCH(IF(B$1&lt;&gt;"",B$1,"NA"),'MITRE ATT&amp;CK Mappings'!$E185)),ISNUMBER(SEARCH(IF(B$1&lt;&gt;"",B$1,"NA"),'MITRE ATT&amp;CK Mappings'!$F185))),ISNUMBER(SEARCH(IF(B$2&lt;&gt;"",B$2,"NA"),'MITRE ATT&amp;CK Mappings'!$G185))),ISNUMBER(SEARCH(IF(B$2&lt;&gt;"",B$2,"NA"),'MITRE ATT&amp;CK Mappings'!$H185))),ISNUMBER(SEARCH(IF(B$3&lt;&gt;"",B$3,"NA"),'MITRE ATT&amp;CK Mappings'!$I185))),ISNUMBER(SEARCH(IF(B$3&lt;&gt;"",B$3,"NA"),'MITRE ATT&amp;CK Mappings'!$J185))), 'MITRE ATT&amp;CK Mappings'!$B185,"")</f>
        <v/>
      </c>
      <c r="C189" s="27" t="str">
        <f>IF(OR(OR(OR(OR(OR(ISNUMBER(SEARCH(IF(C$1&lt;&gt;"",C$1,"NA"),'MITRE ATT&amp;CK Mappings'!$E185)),ISNUMBER(SEARCH(IF(C$1&lt;&gt;"",C$1,"NA"),'MITRE ATT&amp;CK Mappings'!$F185))),ISNUMBER(SEARCH(IF(C$2&lt;&gt;"",C$2,"NA"),'MITRE ATT&amp;CK Mappings'!$G185))),ISNUMBER(SEARCH(IF(C$2&lt;&gt;"",C$2,"NA"),'MITRE ATT&amp;CK Mappings'!$H185))),ISNUMBER(SEARCH(IF(C$3&lt;&gt;"",C$3,"NA"),'MITRE ATT&amp;CK Mappings'!$I185))),ISNUMBER(SEARCH(IF(C$3&lt;&gt;"",C$3,"NA"),'MITRE ATT&amp;CK Mappings'!$J185))), 'MITRE ATT&amp;CK Mappings'!$B185,"")</f>
        <v/>
      </c>
      <c r="D189" s="27" t="str">
        <f>IF(OR(OR(OR(OR(OR(ISNUMBER(SEARCH(IF(D$1&lt;&gt;"",D$1,"NA"),'MITRE ATT&amp;CK Mappings'!$E185)),ISNUMBER(SEARCH(IF(D$1&lt;&gt;"",D$1,"NA"),'MITRE ATT&amp;CK Mappings'!$F185))),ISNUMBER(SEARCH(IF(D$2&lt;&gt;"",D$2,"NA"),'MITRE ATT&amp;CK Mappings'!$G185))),ISNUMBER(SEARCH(IF(D$2&lt;&gt;"",D$2,"NA"),'MITRE ATT&amp;CK Mappings'!$H185))),ISNUMBER(SEARCH(IF(D$3&lt;&gt;"",D$3,"NA"),'MITRE ATT&amp;CK Mappings'!$I185))),ISNUMBER(SEARCH(IF(D$3&lt;&gt;"",D$3,"NA"),'MITRE ATT&amp;CK Mappings'!$J185))), 'MITRE ATT&amp;CK Mappings'!$B185,"")</f>
        <v/>
      </c>
      <c r="E189" s="27" t="str">
        <f>IF(OR(OR(OR(OR(OR(ISNUMBER(SEARCH(IF(E$1&lt;&gt;"",E$1,"NA"),'MITRE ATT&amp;CK Mappings'!$E185)),ISNUMBER(SEARCH(IF(E$1&lt;&gt;"",E$1,"NA"),'MITRE ATT&amp;CK Mappings'!$F185))),ISNUMBER(SEARCH(IF(E$2&lt;&gt;"",E$2,"NA"),'MITRE ATT&amp;CK Mappings'!$G185))),ISNUMBER(SEARCH(IF(E$2&lt;&gt;"",E$2,"NA"),'MITRE ATT&amp;CK Mappings'!$H185))),ISNUMBER(SEARCH(IF(E$3&lt;&gt;"",E$3,"NA"),'MITRE ATT&amp;CK Mappings'!$I185))),ISNUMBER(SEARCH(IF(E$3&lt;&gt;"",E$3,"NA"),'MITRE ATT&amp;CK Mappings'!$J185))), 'MITRE ATT&amp;CK Mappings'!$B185,"")</f>
        <v/>
      </c>
      <c r="F189" s="27" t="str">
        <f>IF(OR(OR(OR(OR(OR(ISNUMBER(SEARCH(IF(F$1&lt;&gt;"",F$1,"NA"),'MITRE ATT&amp;CK Mappings'!$E185)),ISNUMBER(SEARCH(IF(F$1&lt;&gt;"",F$1,"NA"),'MITRE ATT&amp;CK Mappings'!$F185))),ISNUMBER(SEARCH(IF(F$2&lt;&gt;"",F$2,"NA"),'MITRE ATT&amp;CK Mappings'!$G185))),ISNUMBER(SEARCH(IF(F$2&lt;&gt;"",F$2,"NA"),'MITRE ATT&amp;CK Mappings'!$H185))),ISNUMBER(SEARCH(IF(F$3&lt;&gt;"",F$3,"NA"),'MITRE ATT&amp;CK Mappings'!$I185))),ISNUMBER(SEARCH(IF(F$3&lt;&gt;"",F$3,"NA"),'MITRE ATT&amp;CK Mappings'!$J185))), 'MITRE ATT&amp;CK Mappings'!$B185,"")</f>
        <v/>
      </c>
      <c r="G189" s="27" t="str">
        <f>IF(OR(OR(OR(OR(OR(ISNUMBER(SEARCH(IF(G$1&lt;&gt;"",G$1,"NA"),'MITRE ATT&amp;CK Mappings'!$E185)),ISNUMBER(SEARCH(IF(G$1&lt;&gt;"",G$1,"NA"),'MITRE ATT&amp;CK Mappings'!$F185))),ISNUMBER(SEARCH(IF(G$2&lt;&gt;"",G$2,"NA"),'MITRE ATT&amp;CK Mappings'!$G185))),ISNUMBER(SEARCH(IF(G$2&lt;&gt;"",G$2,"NA"),'MITRE ATT&amp;CK Mappings'!$H185))),ISNUMBER(SEARCH(IF(G$3&lt;&gt;"",G$3,"NA"),'MITRE ATT&amp;CK Mappings'!$I185))),ISNUMBER(SEARCH(IF(G$3&lt;&gt;"",G$3,"NA"),'MITRE ATT&amp;CK Mappings'!$J185))), 'MITRE ATT&amp;CK Mappings'!$B185,"")</f>
        <v/>
      </c>
      <c r="H189" s="27" t="str">
        <f>IF(OR(OR(OR(OR(OR(ISNUMBER(SEARCH(IF(H$1&lt;&gt;"",H$1,"NA"),'MITRE ATT&amp;CK Mappings'!$E185)),ISNUMBER(SEARCH(IF(H$1&lt;&gt;"",H$1,"NA"),'MITRE ATT&amp;CK Mappings'!$F185))),ISNUMBER(SEARCH(IF(H$2&lt;&gt;"",H$2,"NA"),'MITRE ATT&amp;CK Mappings'!$G185))),ISNUMBER(SEARCH(IF(H$2&lt;&gt;"",H$2,"NA"),'MITRE ATT&amp;CK Mappings'!$H185))),ISNUMBER(SEARCH(IF(H$3&lt;&gt;"",H$3,"NA"),'MITRE ATT&amp;CK Mappings'!$I185))),ISNUMBER(SEARCH(IF(H$3&lt;&gt;"",H$3,"NA"),'MITRE ATT&amp;CK Mappings'!$J185))), 'MITRE ATT&amp;CK Mappings'!$B185,"")</f>
        <v/>
      </c>
      <c r="I189" s="27" t="str">
        <f>IF(OR(OR(OR(OR(OR(ISNUMBER(SEARCH(IF(I$1&lt;&gt;"",I$1,"NA"),'MITRE ATT&amp;CK Mappings'!$E185)),ISNUMBER(SEARCH(IF(I$1&lt;&gt;"",I$1,"NA"),'MITRE ATT&amp;CK Mappings'!$F185))),ISNUMBER(SEARCH(IF(I$2&lt;&gt;"",I$2,"NA"),'MITRE ATT&amp;CK Mappings'!$G185))),ISNUMBER(SEARCH(IF(I$2&lt;&gt;"",I$2,"NA"),'MITRE ATT&amp;CK Mappings'!$H185))),ISNUMBER(SEARCH(IF(I$3&lt;&gt;"",I$3,"NA"),'MITRE ATT&amp;CK Mappings'!$I185))),ISNUMBER(SEARCH(IF(I$3&lt;&gt;"",I$3,"NA"),'MITRE ATT&amp;CK Mappings'!$J185))), 'MITRE ATT&amp;CK Mappings'!$B185,"")</f>
        <v/>
      </c>
      <c r="J189" s="27" t="str">
        <f>IF(OR(OR(OR(OR(OR(ISNUMBER(SEARCH(IF(J$1&lt;&gt;"",J$1,"NA"),'MITRE ATT&amp;CK Mappings'!$E185)),ISNUMBER(SEARCH(IF(J$1&lt;&gt;"",J$1,"NA"),'MITRE ATT&amp;CK Mappings'!$F185))),ISNUMBER(SEARCH(IF(J$2&lt;&gt;"",J$2,"NA"),'MITRE ATT&amp;CK Mappings'!$G185))),ISNUMBER(SEARCH(IF(J$2&lt;&gt;"",J$2,"NA"),'MITRE ATT&amp;CK Mappings'!$H185))),ISNUMBER(SEARCH(IF(J$3&lt;&gt;"",J$3,"NA"),'MITRE ATT&amp;CK Mappings'!$I185))),ISNUMBER(SEARCH(IF(J$3&lt;&gt;"",J$3,"NA"),'MITRE ATT&amp;CK Mappings'!$J185))), 'MITRE ATT&amp;CK Mappings'!$B185,"")</f>
        <v/>
      </c>
      <c r="K189" s="27" t="str">
        <f>IF(OR(OR(OR(OR(OR(ISNUMBER(SEARCH(IF(K$1&lt;&gt;"",K$1,"NA"),'MITRE ATT&amp;CK Mappings'!$E185)),ISNUMBER(SEARCH(IF(K$1&lt;&gt;"",K$1,"NA"),'MITRE ATT&amp;CK Mappings'!$F185))),ISNUMBER(SEARCH(IF(K$2&lt;&gt;"",K$2,"NA"),'MITRE ATT&amp;CK Mappings'!$G185))),ISNUMBER(SEARCH(IF(K$2&lt;&gt;"",K$2,"NA"),'MITRE ATT&amp;CK Mappings'!$H185))),ISNUMBER(SEARCH(IF(K$3&lt;&gt;"",K$3,"NA"),'MITRE ATT&amp;CK Mappings'!$I185))),ISNUMBER(SEARCH(IF(K$3&lt;&gt;"",K$3,"NA"),'MITRE ATT&amp;CK Mappings'!$J185))), 'MITRE ATT&amp;CK Mappings'!$B185,"")</f>
        <v/>
      </c>
      <c r="L189" s="27" t="str">
        <f>IF('MITRE ATT&amp;CK Mappings'!D185 &lt;&gt;"",'MITRE ATT&amp;CK Mappings'!D185,"" )</f>
        <v/>
      </c>
    </row>
    <row r="190" spans="1:12" x14ac:dyDescent="0.25">
      <c r="A190" s="26" t="str">
        <f>IF(COUNTIF(B190:K190,"="&amp;'MITRE ATT&amp;CK Mappings'!B186)&gt;0,'MITRE ATT&amp;CK Mappings'!B186,"")</f>
        <v/>
      </c>
      <c r="B190" s="26" t="str">
        <f>IF(OR(OR(OR(OR(OR(ISNUMBER(SEARCH(IF(B$1&lt;&gt;"",B$1,"NA"),'MITRE ATT&amp;CK Mappings'!$E186)),ISNUMBER(SEARCH(IF(B$1&lt;&gt;"",B$1,"NA"),'MITRE ATT&amp;CK Mappings'!$F186))),ISNUMBER(SEARCH(IF(B$2&lt;&gt;"",B$2,"NA"),'MITRE ATT&amp;CK Mappings'!$G186))),ISNUMBER(SEARCH(IF(B$2&lt;&gt;"",B$2,"NA"),'MITRE ATT&amp;CK Mappings'!$H186))),ISNUMBER(SEARCH(IF(B$3&lt;&gt;"",B$3,"NA"),'MITRE ATT&amp;CK Mappings'!$I186))),ISNUMBER(SEARCH(IF(B$3&lt;&gt;"",B$3,"NA"),'MITRE ATT&amp;CK Mappings'!$J186))), 'MITRE ATT&amp;CK Mappings'!$B186,"")</f>
        <v/>
      </c>
      <c r="C190" s="26" t="str">
        <f>IF(OR(OR(OR(OR(OR(ISNUMBER(SEARCH(IF(C$1&lt;&gt;"",C$1,"NA"),'MITRE ATT&amp;CK Mappings'!$E186)),ISNUMBER(SEARCH(IF(C$1&lt;&gt;"",C$1,"NA"),'MITRE ATT&amp;CK Mappings'!$F186))),ISNUMBER(SEARCH(IF(C$2&lt;&gt;"",C$2,"NA"),'MITRE ATT&amp;CK Mappings'!$G186))),ISNUMBER(SEARCH(IF(C$2&lt;&gt;"",C$2,"NA"),'MITRE ATT&amp;CK Mappings'!$H186))),ISNUMBER(SEARCH(IF(C$3&lt;&gt;"",C$3,"NA"),'MITRE ATT&amp;CK Mappings'!$I186))),ISNUMBER(SEARCH(IF(C$3&lt;&gt;"",C$3,"NA"),'MITRE ATT&amp;CK Mappings'!$J186))), 'MITRE ATT&amp;CK Mappings'!$B186,"")</f>
        <v/>
      </c>
      <c r="D190" s="26" t="str">
        <f>IF(OR(OR(OR(OR(OR(ISNUMBER(SEARCH(IF(D$1&lt;&gt;"",D$1,"NA"),'MITRE ATT&amp;CK Mappings'!$E186)),ISNUMBER(SEARCH(IF(D$1&lt;&gt;"",D$1,"NA"),'MITRE ATT&amp;CK Mappings'!$F186))),ISNUMBER(SEARCH(IF(D$2&lt;&gt;"",D$2,"NA"),'MITRE ATT&amp;CK Mappings'!$G186))),ISNUMBER(SEARCH(IF(D$2&lt;&gt;"",D$2,"NA"),'MITRE ATT&amp;CK Mappings'!$H186))),ISNUMBER(SEARCH(IF(D$3&lt;&gt;"",D$3,"NA"),'MITRE ATT&amp;CK Mappings'!$I186))),ISNUMBER(SEARCH(IF(D$3&lt;&gt;"",D$3,"NA"),'MITRE ATT&amp;CK Mappings'!$J186))), 'MITRE ATT&amp;CK Mappings'!$B186,"")</f>
        <v/>
      </c>
      <c r="E190" s="26" t="str">
        <f>IF(OR(OR(OR(OR(OR(ISNUMBER(SEARCH(IF(E$1&lt;&gt;"",E$1,"NA"),'MITRE ATT&amp;CK Mappings'!$E186)),ISNUMBER(SEARCH(IF(E$1&lt;&gt;"",E$1,"NA"),'MITRE ATT&amp;CK Mappings'!$F186))),ISNUMBER(SEARCH(IF(E$2&lt;&gt;"",E$2,"NA"),'MITRE ATT&amp;CK Mappings'!$G186))),ISNUMBER(SEARCH(IF(E$2&lt;&gt;"",E$2,"NA"),'MITRE ATT&amp;CK Mappings'!$H186))),ISNUMBER(SEARCH(IF(E$3&lt;&gt;"",E$3,"NA"),'MITRE ATT&amp;CK Mappings'!$I186))),ISNUMBER(SEARCH(IF(E$3&lt;&gt;"",E$3,"NA"),'MITRE ATT&amp;CK Mappings'!$J186))), 'MITRE ATT&amp;CK Mappings'!$B186,"")</f>
        <v/>
      </c>
      <c r="F190" s="26" t="str">
        <f>IF(OR(OR(OR(OR(OR(ISNUMBER(SEARCH(IF(F$1&lt;&gt;"",F$1,"NA"),'MITRE ATT&amp;CK Mappings'!$E186)),ISNUMBER(SEARCH(IF(F$1&lt;&gt;"",F$1,"NA"),'MITRE ATT&amp;CK Mappings'!$F186))),ISNUMBER(SEARCH(IF(F$2&lt;&gt;"",F$2,"NA"),'MITRE ATT&amp;CK Mappings'!$G186))),ISNUMBER(SEARCH(IF(F$2&lt;&gt;"",F$2,"NA"),'MITRE ATT&amp;CK Mappings'!$H186))),ISNUMBER(SEARCH(IF(F$3&lt;&gt;"",F$3,"NA"),'MITRE ATT&amp;CK Mappings'!$I186))),ISNUMBER(SEARCH(IF(F$3&lt;&gt;"",F$3,"NA"),'MITRE ATT&amp;CK Mappings'!$J186))), 'MITRE ATT&amp;CK Mappings'!$B186,"")</f>
        <v/>
      </c>
      <c r="G190" s="26" t="str">
        <f>IF(OR(OR(OR(OR(OR(ISNUMBER(SEARCH(IF(G$1&lt;&gt;"",G$1,"NA"),'MITRE ATT&amp;CK Mappings'!$E186)),ISNUMBER(SEARCH(IF(G$1&lt;&gt;"",G$1,"NA"),'MITRE ATT&amp;CK Mappings'!$F186))),ISNUMBER(SEARCH(IF(G$2&lt;&gt;"",G$2,"NA"),'MITRE ATT&amp;CK Mappings'!$G186))),ISNUMBER(SEARCH(IF(G$2&lt;&gt;"",G$2,"NA"),'MITRE ATT&amp;CK Mappings'!$H186))),ISNUMBER(SEARCH(IF(G$3&lt;&gt;"",G$3,"NA"),'MITRE ATT&amp;CK Mappings'!$I186))),ISNUMBER(SEARCH(IF(G$3&lt;&gt;"",G$3,"NA"),'MITRE ATT&amp;CK Mappings'!$J186))), 'MITRE ATT&amp;CK Mappings'!$B186,"")</f>
        <v/>
      </c>
      <c r="H190" s="26" t="str">
        <f>IF(OR(OR(OR(OR(OR(ISNUMBER(SEARCH(IF(H$1&lt;&gt;"",H$1,"NA"),'MITRE ATT&amp;CK Mappings'!$E186)),ISNUMBER(SEARCH(IF(H$1&lt;&gt;"",H$1,"NA"),'MITRE ATT&amp;CK Mappings'!$F186))),ISNUMBER(SEARCH(IF(H$2&lt;&gt;"",H$2,"NA"),'MITRE ATT&amp;CK Mappings'!$G186))),ISNUMBER(SEARCH(IF(H$2&lt;&gt;"",H$2,"NA"),'MITRE ATT&amp;CK Mappings'!$H186))),ISNUMBER(SEARCH(IF(H$3&lt;&gt;"",H$3,"NA"),'MITRE ATT&amp;CK Mappings'!$I186))),ISNUMBER(SEARCH(IF(H$3&lt;&gt;"",H$3,"NA"),'MITRE ATT&amp;CK Mappings'!$J186))), 'MITRE ATT&amp;CK Mappings'!$B186,"")</f>
        <v/>
      </c>
      <c r="I190" s="26" t="str">
        <f>IF(OR(OR(OR(OR(OR(ISNUMBER(SEARCH(IF(I$1&lt;&gt;"",I$1,"NA"),'MITRE ATT&amp;CK Mappings'!$E186)),ISNUMBER(SEARCH(IF(I$1&lt;&gt;"",I$1,"NA"),'MITRE ATT&amp;CK Mappings'!$F186))),ISNUMBER(SEARCH(IF(I$2&lt;&gt;"",I$2,"NA"),'MITRE ATT&amp;CK Mappings'!$G186))),ISNUMBER(SEARCH(IF(I$2&lt;&gt;"",I$2,"NA"),'MITRE ATT&amp;CK Mappings'!$H186))),ISNUMBER(SEARCH(IF(I$3&lt;&gt;"",I$3,"NA"),'MITRE ATT&amp;CK Mappings'!$I186))),ISNUMBER(SEARCH(IF(I$3&lt;&gt;"",I$3,"NA"),'MITRE ATT&amp;CK Mappings'!$J186))), 'MITRE ATT&amp;CK Mappings'!$B186,"")</f>
        <v/>
      </c>
      <c r="J190" s="26" t="str">
        <f>IF(OR(OR(OR(OR(OR(ISNUMBER(SEARCH(IF(J$1&lt;&gt;"",J$1,"NA"),'MITRE ATT&amp;CK Mappings'!$E186)),ISNUMBER(SEARCH(IF(J$1&lt;&gt;"",J$1,"NA"),'MITRE ATT&amp;CK Mappings'!$F186))),ISNUMBER(SEARCH(IF(J$2&lt;&gt;"",J$2,"NA"),'MITRE ATT&amp;CK Mappings'!$G186))),ISNUMBER(SEARCH(IF(J$2&lt;&gt;"",J$2,"NA"),'MITRE ATT&amp;CK Mappings'!$H186))),ISNUMBER(SEARCH(IF(J$3&lt;&gt;"",J$3,"NA"),'MITRE ATT&amp;CK Mappings'!$I186))),ISNUMBER(SEARCH(IF(J$3&lt;&gt;"",J$3,"NA"),'MITRE ATT&amp;CK Mappings'!$J186))), 'MITRE ATT&amp;CK Mappings'!$B186,"")</f>
        <v/>
      </c>
      <c r="K190" s="26" t="str">
        <f>IF(OR(OR(OR(OR(OR(ISNUMBER(SEARCH(IF(K$1&lt;&gt;"",K$1,"NA"),'MITRE ATT&amp;CK Mappings'!$E186)),ISNUMBER(SEARCH(IF(K$1&lt;&gt;"",K$1,"NA"),'MITRE ATT&amp;CK Mappings'!$F186))),ISNUMBER(SEARCH(IF(K$2&lt;&gt;"",K$2,"NA"),'MITRE ATT&amp;CK Mappings'!$G186))),ISNUMBER(SEARCH(IF(K$2&lt;&gt;"",K$2,"NA"),'MITRE ATT&amp;CK Mappings'!$H186))),ISNUMBER(SEARCH(IF(K$3&lt;&gt;"",K$3,"NA"),'MITRE ATT&amp;CK Mappings'!$I186))),ISNUMBER(SEARCH(IF(K$3&lt;&gt;"",K$3,"NA"),'MITRE ATT&amp;CK Mappings'!$J186))), 'MITRE ATT&amp;CK Mappings'!$B186,"")</f>
        <v/>
      </c>
      <c r="L190" s="26" t="str">
        <f>IF('MITRE ATT&amp;CK Mappings'!D186 &lt;&gt;"",'MITRE ATT&amp;CK Mappings'!D186,"" )</f>
        <v/>
      </c>
    </row>
    <row r="191" spans="1:12" x14ac:dyDescent="0.25">
      <c r="A191" s="27" t="str">
        <f>IF(COUNTIF(B191:K191,"="&amp;'MITRE ATT&amp;CK Mappings'!B187)&gt;0,'MITRE ATT&amp;CK Mappings'!B187,"")</f>
        <v/>
      </c>
      <c r="B191" s="27" t="str">
        <f>IF(OR(OR(OR(OR(OR(ISNUMBER(SEARCH(IF(B$1&lt;&gt;"",B$1,"NA"),'MITRE ATT&amp;CK Mappings'!$E187)),ISNUMBER(SEARCH(IF(B$1&lt;&gt;"",B$1,"NA"),'MITRE ATT&amp;CK Mappings'!$F187))),ISNUMBER(SEARCH(IF(B$2&lt;&gt;"",B$2,"NA"),'MITRE ATT&amp;CK Mappings'!$G187))),ISNUMBER(SEARCH(IF(B$2&lt;&gt;"",B$2,"NA"),'MITRE ATT&amp;CK Mappings'!$H187))),ISNUMBER(SEARCH(IF(B$3&lt;&gt;"",B$3,"NA"),'MITRE ATT&amp;CK Mappings'!$I187))),ISNUMBER(SEARCH(IF(B$3&lt;&gt;"",B$3,"NA"),'MITRE ATT&amp;CK Mappings'!$J187))), 'MITRE ATT&amp;CK Mappings'!$B187,"")</f>
        <v/>
      </c>
      <c r="C191" s="27" t="str">
        <f>IF(OR(OR(OR(OR(OR(ISNUMBER(SEARCH(IF(C$1&lt;&gt;"",C$1,"NA"),'MITRE ATT&amp;CK Mappings'!$E187)),ISNUMBER(SEARCH(IF(C$1&lt;&gt;"",C$1,"NA"),'MITRE ATT&amp;CK Mappings'!$F187))),ISNUMBER(SEARCH(IF(C$2&lt;&gt;"",C$2,"NA"),'MITRE ATT&amp;CK Mappings'!$G187))),ISNUMBER(SEARCH(IF(C$2&lt;&gt;"",C$2,"NA"),'MITRE ATT&amp;CK Mappings'!$H187))),ISNUMBER(SEARCH(IF(C$3&lt;&gt;"",C$3,"NA"),'MITRE ATT&amp;CK Mappings'!$I187))),ISNUMBER(SEARCH(IF(C$3&lt;&gt;"",C$3,"NA"),'MITRE ATT&amp;CK Mappings'!$J187))), 'MITRE ATT&amp;CK Mappings'!$B187,"")</f>
        <v/>
      </c>
      <c r="D191" s="27" t="str">
        <f>IF(OR(OR(OR(OR(OR(ISNUMBER(SEARCH(IF(D$1&lt;&gt;"",D$1,"NA"),'MITRE ATT&amp;CK Mappings'!$E187)),ISNUMBER(SEARCH(IF(D$1&lt;&gt;"",D$1,"NA"),'MITRE ATT&amp;CK Mappings'!$F187))),ISNUMBER(SEARCH(IF(D$2&lt;&gt;"",D$2,"NA"),'MITRE ATT&amp;CK Mappings'!$G187))),ISNUMBER(SEARCH(IF(D$2&lt;&gt;"",D$2,"NA"),'MITRE ATT&amp;CK Mappings'!$H187))),ISNUMBER(SEARCH(IF(D$3&lt;&gt;"",D$3,"NA"),'MITRE ATT&amp;CK Mappings'!$I187))),ISNUMBER(SEARCH(IF(D$3&lt;&gt;"",D$3,"NA"),'MITRE ATT&amp;CK Mappings'!$J187))), 'MITRE ATT&amp;CK Mappings'!$B187,"")</f>
        <v/>
      </c>
      <c r="E191" s="27" t="str">
        <f>IF(OR(OR(OR(OR(OR(ISNUMBER(SEARCH(IF(E$1&lt;&gt;"",E$1,"NA"),'MITRE ATT&amp;CK Mappings'!$E187)),ISNUMBER(SEARCH(IF(E$1&lt;&gt;"",E$1,"NA"),'MITRE ATT&amp;CK Mappings'!$F187))),ISNUMBER(SEARCH(IF(E$2&lt;&gt;"",E$2,"NA"),'MITRE ATT&amp;CK Mappings'!$G187))),ISNUMBER(SEARCH(IF(E$2&lt;&gt;"",E$2,"NA"),'MITRE ATT&amp;CK Mappings'!$H187))),ISNUMBER(SEARCH(IF(E$3&lt;&gt;"",E$3,"NA"),'MITRE ATT&amp;CK Mappings'!$I187))),ISNUMBER(SEARCH(IF(E$3&lt;&gt;"",E$3,"NA"),'MITRE ATT&amp;CK Mappings'!$J187))), 'MITRE ATT&amp;CK Mappings'!$B187,"")</f>
        <v/>
      </c>
      <c r="F191" s="27" t="str">
        <f>IF(OR(OR(OR(OR(OR(ISNUMBER(SEARCH(IF(F$1&lt;&gt;"",F$1,"NA"),'MITRE ATT&amp;CK Mappings'!$E187)),ISNUMBER(SEARCH(IF(F$1&lt;&gt;"",F$1,"NA"),'MITRE ATT&amp;CK Mappings'!$F187))),ISNUMBER(SEARCH(IF(F$2&lt;&gt;"",F$2,"NA"),'MITRE ATT&amp;CK Mappings'!$G187))),ISNUMBER(SEARCH(IF(F$2&lt;&gt;"",F$2,"NA"),'MITRE ATT&amp;CK Mappings'!$H187))),ISNUMBER(SEARCH(IF(F$3&lt;&gt;"",F$3,"NA"),'MITRE ATT&amp;CK Mappings'!$I187))),ISNUMBER(SEARCH(IF(F$3&lt;&gt;"",F$3,"NA"),'MITRE ATT&amp;CK Mappings'!$J187))), 'MITRE ATT&amp;CK Mappings'!$B187,"")</f>
        <v/>
      </c>
      <c r="G191" s="27" t="str">
        <f>IF(OR(OR(OR(OR(OR(ISNUMBER(SEARCH(IF(G$1&lt;&gt;"",G$1,"NA"),'MITRE ATT&amp;CK Mappings'!$E187)),ISNUMBER(SEARCH(IF(G$1&lt;&gt;"",G$1,"NA"),'MITRE ATT&amp;CK Mappings'!$F187))),ISNUMBER(SEARCH(IF(G$2&lt;&gt;"",G$2,"NA"),'MITRE ATT&amp;CK Mappings'!$G187))),ISNUMBER(SEARCH(IF(G$2&lt;&gt;"",G$2,"NA"),'MITRE ATT&amp;CK Mappings'!$H187))),ISNUMBER(SEARCH(IF(G$3&lt;&gt;"",G$3,"NA"),'MITRE ATT&amp;CK Mappings'!$I187))),ISNUMBER(SEARCH(IF(G$3&lt;&gt;"",G$3,"NA"),'MITRE ATT&amp;CK Mappings'!$J187))), 'MITRE ATT&amp;CK Mappings'!$B187,"")</f>
        <v/>
      </c>
      <c r="H191" s="27" t="str">
        <f>IF(OR(OR(OR(OR(OR(ISNUMBER(SEARCH(IF(H$1&lt;&gt;"",H$1,"NA"),'MITRE ATT&amp;CK Mappings'!$E187)),ISNUMBER(SEARCH(IF(H$1&lt;&gt;"",H$1,"NA"),'MITRE ATT&amp;CK Mappings'!$F187))),ISNUMBER(SEARCH(IF(H$2&lt;&gt;"",H$2,"NA"),'MITRE ATT&amp;CK Mappings'!$G187))),ISNUMBER(SEARCH(IF(H$2&lt;&gt;"",H$2,"NA"),'MITRE ATT&amp;CK Mappings'!$H187))),ISNUMBER(SEARCH(IF(H$3&lt;&gt;"",H$3,"NA"),'MITRE ATT&amp;CK Mappings'!$I187))),ISNUMBER(SEARCH(IF(H$3&lt;&gt;"",H$3,"NA"),'MITRE ATT&amp;CK Mappings'!$J187))), 'MITRE ATT&amp;CK Mappings'!$B187,"")</f>
        <v/>
      </c>
      <c r="I191" s="27" t="str">
        <f>IF(OR(OR(OR(OR(OR(ISNUMBER(SEARCH(IF(I$1&lt;&gt;"",I$1,"NA"),'MITRE ATT&amp;CK Mappings'!$E187)),ISNUMBER(SEARCH(IF(I$1&lt;&gt;"",I$1,"NA"),'MITRE ATT&amp;CK Mappings'!$F187))),ISNUMBER(SEARCH(IF(I$2&lt;&gt;"",I$2,"NA"),'MITRE ATT&amp;CK Mappings'!$G187))),ISNUMBER(SEARCH(IF(I$2&lt;&gt;"",I$2,"NA"),'MITRE ATT&amp;CK Mappings'!$H187))),ISNUMBER(SEARCH(IF(I$3&lt;&gt;"",I$3,"NA"),'MITRE ATT&amp;CK Mappings'!$I187))),ISNUMBER(SEARCH(IF(I$3&lt;&gt;"",I$3,"NA"),'MITRE ATT&amp;CK Mappings'!$J187))), 'MITRE ATT&amp;CK Mappings'!$B187,"")</f>
        <v/>
      </c>
      <c r="J191" s="27" t="str">
        <f>IF(OR(OR(OR(OR(OR(ISNUMBER(SEARCH(IF(J$1&lt;&gt;"",J$1,"NA"),'MITRE ATT&amp;CK Mappings'!$E187)),ISNUMBER(SEARCH(IF(J$1&lt;&gt;"",J$1,"NA"),'MITRE ATT&amp;CK Mappings'!$F187))),ISNUMBER(SEARCH(IF(J$2&lt;&gt;"",J$2,"NA"),'MITRE ATT&amp;CK Mappings'!$G187))),ISNUMBER(SEARCH(IF(J$2&lt;&gt;"",J$2,"NA"),'MITRE ATT&amp;CK Mappings'!$H187))),ISNUMBER(SEARCH(IF(J$3&lt;&gt;"",J$3,"NA"),'MITRE ATT&amp;CK Mappings'!$I187))),ISNUMBER(SEARCH(IF(J$3&lt;&gt;"",J$3,"NA"),'MITRE ATT&amp;CK Mappings'!$J187))), 'MITRE ATT&amp;CK Mappings'!$B187,"")</f>
        <v/>
      </c>
      <c r="K191" s="27" t="str">
        <f>IF(OR(OR(OR(OR(OR(ISNUMBER(SEARCH(IF(K$1&lt;&gt;"",K$1,"NA"),'MITRE ATT&amp;CK Mappings'!$E187)),ISNUMBER(SEARCH(IF(K$1&lt;&gt;"",K$1,"NA"),'MITRE ATT&amp;CK Mappings'!$F187))),ISNUMBER(SEARCH(IF(K$2&lt;&gt;"",K$2,"NA"),'MITRE ATT&amp;CK Mappings'!$G187))),ISNUMBER(SEARCH(IF(K$2&lt;&gt;"",K$2,"NA"),'MITRE ATT&amp;CK Mappings'!$H187))),ISNUMBER(SEARCH(IF(K$3&lt;&gt;"",K$3,"NA"),'MITRE ATT&amp;CK Mappings'!$I187))),ISNUMBER(SEARCH(IF(K$3&lt;&gt;"",K$3,"NA"),'MITRE ATT&amp;CK Mappings'!$J187))), 'MITRE ATT&amp;CK Mappings'!$B187,"")</f>
        <v/>
      </c>
      <c r="L191" s="27" t="str">
        <f>IF('MITRE ATT&amp;CK Mappings'!D187 &lt;&gt;"",'MITRE ATT&amp;CK Mappings'!D187,"" )</f>
        <v/>
      </c>
    </row>
    <row r="192" spans="1:12" x14ac:dyDescent="0.25">
      <c r="A192" s="26" t="str">
        <f>IF(COUNTIF(B192:K192,"="&amp;'MITRE ATT&amp;CK Mappings'!B188)&gt;0,'MITRE ATT&amp;CK Mappings'!B188,"")</f>
        <v/>
      </c>
      <c r="B192" s="26" t="str">
        <f>IF(OR(OR(OR(OR(OR(ISNUMBER(SEARCH(IF(B$1&lt;&gt;"",B$1,"NA"),'MITRE ATT&amp;CK Mappings'!$E188)),ISNUMBER(SEARCH(IF(B$1&lt;&gt;"",B$1,"NA"),'MITRE ATT&amp;CK Mappings'!$F188))),ISNUMBER(SEARCH(IF(B$2&lt;&gt;"",B$2,"NA"),'MITRE ATT&amp;CK Mappings'!$G188))),ISNUMBER(SEARCH(IF(B$2&lt;&gt;"",B$2,"NA"),'MITRE ATT&amp;CK Mappings'!$H188))),ISNUMBER(SEARCH(IF(B$3&lt;&gt;"",B$3,"NA"),'MITRE ATT&amp;CK Mappings'!$I188))),ISNUMBER(SEARCH(IF(B$3&lt;&gt;"",B$3,"NA"),'MITRE ATT&amp;CK Mappings'!$J188))), 'MITRE ATT&amp;CK Mappings'!$B188,"")</f>
        <v/>
      </c>
      <c r="C192" s="26" t="str">
        <f>IF(OR(OR(OR(OR(OR(ISNUMBER(SEARCH(IF(C$1&lt;&gt;"",C$1,"NA"),'MITRE ATT&amp;CK Mappings'!$E188)),ISNUMBER(SEARCH(IF(C$1&lt;&gt;"",C$1,"NA"),'MITRE ATT&amp;CK Mappings'!$F188))),ISNUMBER(SEARCH(IF(C$2&lt;&gt;"",C$2,"NA"),'MITRE ATT&amp;CK Mappings'!$G188))),ISNUMBER(SEARCH(IF(C$2&lt;&gt;"",C$2,"NA"),'MITRE ATT&amp;CK Mappings'!$H188))),ISNUMBER(SEARCH(IF(C$3&lt;&gt;"",C$3,"NA"),'MITRE ATT&amp;CK Mappings'!$I188))),ISNUMBER(SEARCH(IF(C$3&lt;&gt;"",C$3,"NA"),'MITRE ATT&amp;CK Mappings'!$J188))), 'MITRE ATT&amp;CK Mappings'!$B188,"")</f>
        <v/>
      </c>
      <c r="D192" s="26" t="str">
        <f>IF(OR(OR(OR(OR(OR(ISNUMBER(SEARCH(IF(D$1&lt;&gt;"",D$1,"NA"),'MITRE ATT&amp;CK Mappings'!$E188)),ISNUMBER(SEARCH(IF(D$1&lt;&gt;"",D$1,"NA"),'MITRE ATT&amp;CK Mappings'!$F188))),ISNUMBER(SEARCH(IF(D$2&lt;&gt;"",D$2,"NA"),'MITRE ATT&amp;CK Mappings'!$G188))),ISNUMBER(SEARCH(IF(D$2&lt;&gt;"",D$2,"NA"),'MITRE ATT&amp;CK Mappings'!$H188))),ISNUMBER(SEARCH(IF(D$3&lt;&gt;"",D$3,"NA"),'MITRE ATT&amp;CK Mappings'!$I188))),ISNUMBER(SEARCH(IF(D$3&lt;&gt;"",D$3,"NA"),'MITRE ATT&amp;CK Mappings'!$J188))), 'MITRE ATT&amp;CK Mappings'!$B188,"")</f>
        <v/>
      </c>
      <c r="E192" s="26" t="str">
        <f>IF(OR(OR(OR(OR(OR(ISNUMBER(SEARCH(IF(E$1&lt;&gt;"",E$1,"NA"),'MITRE ATT&amp;CK Mappings'!$E188)),ISNUMBER(SEARCH(IF(E$1&lt;&gt;"",E$1,"NA"),'MITRE ATT&amp;CK Mappings'!$F188))),ISNUMBER(SEARCH(IF(E$2&lt;&gt;"",E$2,"NA"),'MITRE ATT&amp;CK Mappings'!$G188))),ISNUMBER(SEARCH(IF(E$2&lt;&gt;"",E$2,"NA"),'MITRE ATT&amp;CK Mappings'!$H188))),ISNUMBER(SEARCH(IF(E$3&lt;&gt;"",E$3,"NA"),'MITRE ATT&amp;CK Mappings'!$I188))),ISNUMBER(SEARCH(IF(E$3&lt;&gt;"",E$3,"NA"),'MITRE ATT&amp;CK Mappings'!$J188))), 'MITRE ATT&amp;CK Mappings'!$B188,"")</f>
        <v/>
      </c>
      <c r="F192" s="26" t="str">
        <f>IF(OR(OR(OR(OR(OR(ISNUMBER(SEARCH(IF(F$1&lt;&gt;"",F$1,"NA"),'MITRE ATT&amp;CK Mappings'!$E188)),ISNUMBER(SEARCH(IF(F$1&lt;&gt;"",F$1,"NA"),'MITRE ATT&amp;CK Mappings'!$F188))),ISNUMBER(SEARCH(IF(F$2&lt;&gt;"",F$2,"NA"),'MITRE ATT&amp;CK Mappings'!$G188))),ISNUMBER(SEARCH(IF(F$2&lt;&gt;"",F$2,"NA"),'MITRE ATT&amp;CK Mappings'!$H188))),ISNUMBER(SEARCH(IF(F$3&lt;&gt;"",F$3,"NA"),'MITRE ATT&amp;CK Mappings'!$I188))),ISNUMBER(SEARCH(IF(F$3&lt;&gt;"",F$3,"NA"),'MITRE ATT&amp;CK Mappings'!$J188))), 'MITRE ATT&amp;CK Mappings'!$B188,"")</f>
        <v/>
      </c>
      <c r="G192" s="26" t="str">
        <f>IF(OR(OR(OR(OR(OR(ISNUMBER(SEARCH(IF(G$1&lt;&gt;"",G$1,"NA"),'MITRE ATT&amp;CK Mappings'!$E188)),ISNUMBER(SEARCH(IF(G$1&lt;&gt;"",G$1,"NA"),'MITRE ATT&amp;CK Mappings'!$F188))),ISNUMBER(SEARCH(IF(G$2&lt;&gt;"",G$2,"NA"),'MITRE ATT&amp;CK Mappings'!$G188))),ISNUMBER(SEARCH(IF(G$2&lt;&gt;"",G$2,"NA"),'MITRE ATT&amp;CK Mappings'!$H188))),ISNUMBER(SEARCH(IF(G$3&lt;&gt;"",G$3,"NA"),'MITRE ATT&amp;CK Mappings'!$I188))),ISNUMBER(SEARCH(IF(G$3&lt;&gt;"",G$3,"NA"),'MITRE ATT&amp;CK Mappings'!$J188))), 'MITRE ATT&amp;CK Mappings'!$B188,"")</f>
        <v/>
      </c>
      <c r="H192" s="26" t="str">
        <f>IF(OR(OR(OR(OR(OR(ISNUMBER(SEARCH(IF(H$1&lt;&gt;"",H$1,"NA"),'MITRE ATT&amp;CK Mappings'!$E188)),ISNUMBER(SEARCH(IF(H$1&lt;&gt;"",H$1,"NA"),'MITRE ATT&amp;CK Mappings'!$F188))),ISNUMBER(SEARCH(IF(H$2&lt;&gt;"",H$2,"NA"),'MITRE ATT&amp;CK Mappings'!$G188))),ISNUMBER(SEARCH(IF(H$2&lt;&gt;"",H$2,"NA"),'MITRE ATT&amp;CK Mappings'!$H188))),ISNUMBER(SEARCH(IF(H$3&lt;&gt;"",H$3,"NA"),'MITRE ATT&amp;CK Mappings'!$I188))),ISNUMBER(SEARCH(IF(H$3&lt;&gt;"",H$3,"NA"),'MITRE ATT&amp;CK Mappings'!$J188))), 'MITRE ATT&amp;CK Mappings'!$B188,"")</f>
        <v/>
      </c>
      <c r="I192" s="26" t="str">
        <f>IF(OR(OR(OR(OR(OR(ISNUMBER(SEARCH(IF(I$1&lt;&gt;"",I$1,"NA"),'MITRE ATT&amp;CK Mappings'!$E188)),ISNUMBER(SEARCH(IF(I$1&lt;&gt;"",I$1,"NA"),'MITRE ATT&amp;CK Mappings'!$F188))),ISNUMBER(SEARCH(IF(I$2&lt;&gt;"",I$2,"NA"),'MITRE ATT&amp;CK Mappings'!$G188))),ISNUMBER(SEARCH(IF(I$2&lt;&gt;"",I$2,"NA"),'MITRE ATT&amp;CK Mappings'!$H188))),ISNUMBER(SEARCH(IF(I$3&lt;&gt;"",I$3,"NA"),'MITRE ATT&amp;CK Mappings'!$I188))),ISNUMBER(SEARCH(IF(I$3&lt;&gt;"",I$3,"NA"),'MITRE ATT&amp;CK Mappings'!$J188))), 'MITRE ATT&amp;CK Mappings'!$B188,"")</f>
        <v/>
      </c>
      <c r="J192" s="26" t="str">
        <f>IF(OR(OR(OR(OR(OR(ISNUMBER(SEARCH(IF(J$1&lt;&gt;"",J$1,"NA"),'MITRE ATT&amp;CK Mappings'!$E188)),ISNUMBER(SEARCH(IF(J$1&lt;&gt;"",J$1,"NA"),'MITRE ATT&amp;CK Mappings'!$F188))),ISNUMBER(SEARCH(IF(J$2&lt;&gt;"",J$2,"NA"),'MITRE ATT&amp;CK Mappings'!$G188))),ISNUMBER(SEARCH(IF(J$2&lt;&gt;"",J$2,"NA"),'MITRE ATT&amp;CK Mappings'!$H188))),ISNUMBER(SEARCH(IF(J$3&lt;&gt;"",J$3,"NA"),'MITRE ATT&amp;CK Mappings'!$I188))),ISNUMBER(SEARCH(IF(J$3&lt;&gt;"",J$3,"NA"),'MITRE ATT&amp;CK Mappings'!$J188))), 'MITRE ATT&amp;CK Mappings'!$B188,"")</f>
        <v/>
      </c>
      <c r="K192" s="26" t="str">
        <f>IF(OR(OR(OR(OR(OR(ISNUMBER(SEARCH(IF(K$1&lt;&gt;"",K$1,"NA"),'MITRE ATT&amp;CK Mappings'!$E188)),ISNUMBER(SEARCH(IF(K$1&lt;&gt;"",K$1,"NA"),'MITRE ATT&amp;CK Mappings'!$F188))),ISNUMBER(SEARCH(IF(K$2&lt;&gt;"",K$2,"NA"),'MITRE ATT&amp;CK Mappings'!$G188))),ISNUMBER(SEARCH(IF(K$2&lt;&gt;"",K$2,"NA"),'MITRE ATT&amp;CK Mappings'!$H188))),ISNUMBER(SEARCH(IF(K$3&lt;&gt;"",K$3,"NA"),'MITRE ATT&amp;CK Mappings'!$I188))),ISNUMBER(SEARCH(IF(K$3&lt;&gt;"",K$3,"NA"),'MITRE ATT&amp;CK Mappings'!$J188))), 'MITRE ATT&amp;CK Mappings'!$B188,"")</f>
        <v/>
      </c>
      <c r="L192" s="26" t="str">
        <f>IF('MITRE ATT&amp;CK Mappings'!D188 &lt;&gt;"",'MITRE ATT&amp;CK Mappings'!D188,"" )</f>
        <v/>
      </c>
    </row>
    <row r="193" spans="1:12" x14ac:dyDescent="0.25">
      <c r="A193" s="27" t="str">
        <f>IF(COUNTIF(B193:K193,"="&amp;'MITRE ATT&amp;CK Mappings'!B189)&gt;0,'MITRE ATT&amp;CK Mappings'!B189,"")</f>
        <v/>
      </c>
      <c r="B193" s="27" t="str">
        <f>IF(OR(OR(OR(OR(OR(ISNUMBER(SEARCH(IF(B$1&lt;&gt;"",B$1,"NA"),'MITRE ATT&amp;CK Mappings'!$E189)),ISNUMBER(SEARCH(IF(B$1&lt;&gt;"",B$1,"NA"),'MITRE ATT&amp;CK Mappings'!$F189))),ISNUMBER(SEARCH(IF(B$2&lt;&gt;"",B$2,"NA"),'MITRE ATT&amp;CK Mappings'!$G189))),ISNUMBER(SEARCH(IF(B$2&lt;&gt;"",B$2,"NA"),'MITRE ATT&amp;CK Mappings'!$H189))),ISNUMBER(SEARCH(IF(B$3&lt;&gt;"",B$3,"NA"),'MITRE ATT&amp;CK Mappings'!$I189))),ISNUMBER(SEARCH(IF(B$3&lt;&gt;"",B$3,"NA"),'MITRE ATT&amp;CK Mappings'!$J189))), 'MITRE ATT&amp;CK Mappings'!$B189,"")</f>
        <v/>
      </c>
      <c r="C193" s="27" t="str">
        <f>IF(OR(OR(OR(OR(OR(ISNUMBER(SEARCH(IF(C$1&lt;&gt;"",C$1,"NA"),'MITRE ATT&amp;CK Mappings'!$E189)),ISNUMBER(SEARCH(IF(C$1&lt;&gt;"",C$1,"NA"),'MITRE ATT&amp;CK Mappings'!$F189))),ISNUMBER(SEARCH(IF(C$2&lt;&gt;"",C$2,"NA"),'MITRE ATT&amp;CK Mappings'!$G189))),ISNUMBER(SEARCH(IF(C$2&lt;&gt;"",C$2,"NA"),'MITRE ATT&amp;CK Mappings'!$H189))),ISNUMBER(SEARCH(IF(C$3&lt;&gt;"",C$3,"NA"),'MITRE ATT&amp;CK Mappings'!$I189))),ISNUMBER(SEARCH(IF(C$3&lt;&gt;"",C$3,"NA"),'MITRE ATT&amp;CK Mappings'!$J189))), 'MITRE ATT&amp;CK Mappings'!$B189,"")</f>
        <v/>
      </c>
      <c r="D193" s="27" t="str">
        <f>IF(OR(OR(OR(OR(OR(ISNUMBER(SEARCH(IF(D$1&lt;&gt;"",D$1,"NA"),'MITRE ATT&amp;CK Mappings'!$E189)),ISNUMBER(SEARCH(IF(D$1&lt;&gt;"",D$1,"NA"),'MITRE ATT&amp;CK Mappings'!$F189))),ISNUMBER(SEARCH(IF(D$2&lt;&gt;"",D$2,"NA"),'MITRE ATT&amp;CK Mappings'!$G189))),ISNUMBER(SEARCH(IF(D$2&lt;&gt;"",D$2,"NA"),'MITRE ATT&amp;CK Mappings'!$H189))),ISNUMBER(SEARCH(IF(D$3&lt;&gt;"",D$3,"NA"),'MITRE ATT&amp;CK Mappings'!$I189))),ISNUMBER(SEARCH(IF(D$3&lt;&gt;"",D$3,"NA"),'MITRE ATT&amp;CK Mappings'!$J189))), 'MITRE ATT&amp;CK Mappings'!$B189,"")</f>
        <v/>
      </c>
      <c r="E193" s="27" t="str">
        <f>IF(OR(OR(OR(OR(OR(ISNUMBER(SEARCH(IF(E$1&lt;&gt;"",E$1,"NA"),'MITRE ATT&amp;CK Mappings'!$E189)),ISNUMBER(SEARCH(IF(E$1&lt;&gt;"",E$1,"NA"),'MITRE ATT&amp;CK Mappings'!$F189))),ISNUMBER(SEARCH(IF(E$2&lt;&gt;"",E$2,"NA"),'MITRE ATT&amp;CK Mappings'!$G189))),ISNUMBER(SEARCH(IF(E$2&lt;&gt;"",E$2,"NA"),'MITRE ATT&amp;CK Mappings'!$H189))),ISNUMBER(SEARCH(IF(E$3&lt;&gt;"",E$3,"NA"),'MITRE ATT&amp;CK Mappings'!$I189))),ISNUMBER(SEARCH(IF(E$3&lt;&gt;"",E$3,"NA"),'MITRE ATT&amp;CK Mappings'!$J189))), 'MITRE ATT&amp;CK Mappings'!$B189,"")</f>
        <v/>
      </c>
      <c r="F193" s="27" t="str">
        <f>IF(OR(OR(OR(OR(OR(ISNUMBER(SEARCH(IF(F$1&lt;&gt;"",F$1,"NA"),'MITRE ATT&amp;CK Mappings'!$E189)),ISNUMBER(SEARCH(IF(F$1&lt;&gt;"",F$1,"NA"),'MITRE ATT&amp;CK Mappings'!$F189))),ISNUMBER(SEARCH(IF(F$2&lt;&gt;"",F$2,"NA"),'MITRE ATT&amp;CK Mappings'!$G189))),ISNUMBER(SEARCH(IF(F$2&lt;&gt;"",F$2,"NA"),'MITRE ATT&amp;CK Mappings'!$H189))),ISNUMBER(SEARCH(IF(F$3&lt;&gt;"",F$3,"NA"),'MITRE ATT&amp;CK Mappings'!$I189))),ISNUMBER(SEARCH(IF(F$3&lt;&gt;"",F$3,"NA"),'MITRE ATT&amp;CK Mappings'!$J189))), 'MITRE ATT&amp;CK Mappings'!$B189,"")</f>
        <v/>
      </c>
      <c r="G193" s="27" t="str">
        <f>IF(OR(OR(OR(OR(OR(ISNUMBER(SEARCH(IF(G$1&lt;&gt;"",G$1,"NA"),'MITRE ATT&amp;CK Mappings'!$E189)),ISNUMBER(SEARCH(IF(G$1&lt;&gt;"",G$1,"NA"),'MITRE ATT&amp;CK Mappings'!$F189))),ISNUMBER(SEARCH(IF(G$2&lt;&gt;"",G$2,"NA"),'MITRE ATT&amp;CK Mappings'!$G189))),ISNUMBER(SEARCH(IF(G$2&lt;&gt;"",G$2,"NA"),'MITRE ATT&amp;CK Mappings'!$H189))),ISNUMBER(SEARCH(IF(G$3&lt;&gt;"",G$3,"NA"),'MITRE ATT&amp;CK Mappings'!$I189))),ISNUMBER(SEARCH(IF(G$3&lt;&gt;"",G$3,"NA"),'MITRE ATT&amp;CK Mappings'!$J189))), 'MITRE ATT&amp;CK Mappings'!$B189,"")</f>
        <v/>
      </c>
      <c r="H193" s="27" t="str">
        <f>IF(OR(OR(OR(OR(OR(ISNUMBER(SEARCH(IF(H$1&lt;&gt;"",H$1,"NA"),'MITRE ATT&amp;CK Mappings'!$E189)),ISNUMBER(SEARCH(IF(H$1&lt;&gt;"",H$1,"NA"),'MITRE ATT&amp;CK Mappings'!$F189))),ISNUMBER(SEARCH(IF(H$2&lt;&gt;"",H$2,"NA"),'MITRE ATT&amp;CK Mappings'!$G189))),ISNUMBER(SEARCH(IF(H$2&lt;&gt;"",H$2,"NA"),'MITRE ATT&amp;CK Mappings'!$H189))),ISNUMBER(SEARCH(IF(H$3&lt;&gt;"",H$3,"NA"),'MITRE ATT&amp;CK Mappings'!$I189))),ISNUMBER(SEARCH(IF(H$3&lt;&gt;"",H$3,"NA"),'MITRE ATT&amp;CK Mappings'!$J189))), 'MITRE ATT&amp;CK Mappings'!$B189,"")</f>
        <v/>
      </c>
      <c r="I193" s="27" t="str">
        <f>IF(OR(OR(OR(OR(OR(ISNUMBER(SEARCH(IF(I$1&lt;&gt;"",I$1,"NA"),'MITRE ATT&amp;CK Mappings'!$E189)),ISNUMBER(SEARCH(IF(I$1&lt;&gt;"",I$1,"NA"),'MITRE ATT&amp;CK Mappings'!$F189))),ISNUMBER(SEARCH(IF(I$2&lt;&gt;"",I$2,"NA"),'MITRE ATT&amp;CK Mappings'!$G189))),ISNUMBER(SEARCH(IF(I$2&lt;&gt;"",I$2,"NA"),'MITRE ATT&amp;CK Mappings'!$H189))),ISNUMBER(SEARCH(IF(I$3&lt;&gt;"",I$3,"NA"),'MITRE ATT&amp;CK Mappings'!$I189))),ISNUMBER(SEARCH(IF(I$3&lt;&gt;"",I$3,"NA"),'MITRE ATT&amp;CK Mappings'!$J189))), 'MITRE ATT&amp;CK Mappings'!$B189,"")</f>
        <v/>
      </c>
      <c r="J193" s="27" t="str">
        <f>IF(OR(OR(OR(OR(OR(ISNUMBER(SEARCH(IF(J$1&lt;&gt;"",J$1,"NA"),'MITRE ATT&amp;CK Mappings'!$E189)),ISNUMBER(SEARCH(IF(J$1&lt;&gt;"",J$1,"NA"),'MITRE ATT&amp;CK Mappings'!$F189))),ISNUMBER(SEARCH(IF(J$2&lt;&gt;"",J$2,"NA"),'MITRE ATT&amp;CK Mappings'!$G189))),ISNUMBER(SEARCH(IF(J$2&lt;&gt;"",J$2,"NA"),'MITRE ATT&amp;CK Mappings'!$H189))),ISNUMBER(SEARCH(IF(J$3&lt;&gt;"",J$3,"NA"),'MITRE ATT&amp;CK Mappings'!$I189))),ISNUMBER(SEARCH(IF(J$3&lt;&gt;"",J$3,"NA"),'MITRE ATT&amp;CK Mappings'!$J189))), 'MITRE ATT&amp;CK Mappings'!$B189,"")</f>
        <v/>
      </c>
      <c r="K193" s="27" t="str">
        <f>IF(OR(OR(OR(OR(OR(ISNUMBER(SEARCH(IF(K$1&lt;&gt;"",K$1,"NA"),'MITRE ATT&amp;CK Mappings'!$E189)),ISNUMBER(SEARCH(IF(K$1&lt;&gt;"",K$1,"NA"),'MITRE ATT&amp;CK Mappings'!$F189))),ISNUMBER(SEARCH(IF(K$2&lt;&gt;"",K$2,"NA"),'MITRE ATT&amp;CK Mappings'!$G189))),ISNUMBER(SEARCH(IF(K$2&lt;&gt;"",K$2,"NA"),'MITRE ATT&amp;CK Mappings'!$H189))),ISNUMBER(SEARCH(IF(K$3&lt;&gt;"",K$3,"NA"),'MITRE ATT&amp;CK Mappings'!$I189))),ISNUMBER(SEARCH(IF(K$3&lt;&gt;"",K$3,"NA"),'MITRE ATT&amp;CK Mappings'!$J189))), 'MITRE ATT&amp;CK Mappings'!$B189,"")</f>
        <v/>
      </c>
      <c r="L193" s="27" t="str">
        <f>IF('MITRE ATT&amp;CK Mappings'!D189 &lt;&gt;"",'MITRE ATT&amp;CK Mappings'!D189,"" )</f>
        <v/>
      </c>
    </row>
    <row r="194" spans="1:12" x14ac:dyDescent="0.25">
      <c r="A194" s="26" t="str">
        <f>IF(COUNTIF(B194:K194,"="&amp;'MITRE ATT&amp;CK Mappings'!B190)&gt;0,'MITRE ATT&amp;CK Mappings'!B190,"")</f>
        <v/>
      </c>
      <c r="B194" s="26" t="str">
        <f>IF(OR(OR(OR(OR(OR(ISNUMBER(SEARCH(IF(B$1&lt;&gt;"",B$1,"NA"),'MITRE ATT&amp;CK Mappings'!$E190)),ISNUMBER(SEARCH(IF(B$1&lt;&gt;"",B$1,"NA"),'MITRE ATT&amp;CK Mappings'!$F190))),ISNUMBER(SEARCH(IF(B$2&lt;&gt;"",B$2,"NA"),'MITRE ATT&amp;CK Mappings'!$G190))),ISNUMBER(SEARCH(IF(B$2&lt;&gt;"",B$2,"NA"),'MITRE ATT&amp;CK Mappings'!$H190))),ISNUMBER(SEARCH(IF(B$3&lt;&gt;"",B$3,"NA"),'MITRE ATT&amp;CK Mappings'!$I190))),ISNUMBER(SEARCH(IF(B$3&lt;&gt;"",B$3,"NA"),'MITRE ATT&amp;CK Mappings'!$J190))), 'MITRE ATT&amp;CK Mappings'!$B190,"")</f>
        <v/>
      </c>
      <c r="C194" s="26" t="str">
        <f>IF(OR(OR(OR(OR(OR(ISNUMBER(SEARCH(IF(C$1&lt;&gt;"",C$1,"NA"),'MITRE ATT&amp;CK Mappings'!$E190)),ISNUMBER(SEARCH(IF(C$1&lt;&gt;"",C$1,"NA"),'MITRE ATT&amp;CK Mappings'!$F190))),ISNUMBER(SEARCH(IF(C$2&lt;&gt;"",C$2,"NA"),'MITRE ATT&amp;CK Mappings'!$G190))),ISNUMBER(SEARCH(IF(C$2&lt;&gt;"",C$2,"NA"),'MITRE ATT&amp;CK Mappings'!$H190))),ISNUMBER(SEARCH(IF(C$3&lt;&gt;"",C$3,"NA"),'MITRE ATT&amp;CK Mappings'!$I190))),ISNUMBER(SEARCH(IF(C$3&lt;&gt;"",C$3,"NA"),'MITRE ATT&amp;CK Mappings'!$J190))), 'MITRE ATT&amp;CK Mappings'!$B190,"")</f>
        <v/>
      </c>
      <c r="D194" s="26" t="str">
        <f>IF(OR(OR(OR(OR(OR(ISNUMBER(SEARCH(IF(D$1&lt;&gt;"",D$1,"NA"),'MITRE ATT&amp;CK Mappings'!$E190)),ISNUMBER(SEARCH(IF(D$1&lt;&gt;"",D$1,"NA"),'MITRE ATT&amp;CK Mappings'!$F190))),ISNUMBER(SEARCH(IF(D$2&lt;&gt;"",D$2,"NA"),'MITRE ATT&amp;CK Mappings'!$G190))),ISNUMBER(SEARCH(IF(D$2&lt;&gt;"",D$2,"NA"),'MITRE ATT&amp;CK Mappings'!$H190))),ISNUMBER(SEARCH(IF(D$3&lt;&gt;"",D$3,"NA"),'MITRE ATT&amp;CK Mappings'!$I190))),ISNUMBER(SEARCH(IF(D$3&lt;&gt;"",D$3,"NA"),'MITRE ATT&amp;CK Mappings'!$J190))), 'MITRE ATT&amp;CK Mappings'!$B190,"")</f>
        <v/>
      </c>
      <c r="E194" s="26" t="str">
        <f>IF(OR(OR(OR(OR(OR(ISNUMBER(SEARCH(IF(E$1&lt;&gt;"",E$1,"NA"),'MITRE ATT&amp;CK Mappings'!$E190)),ISNUMBER(SEARCH(IF(E$1&lt;&gt;"",E$1,"NA"),'MITRE ATT&amp;CK Mappings'!$F190))),ISNUMBER(SEARCH(IF(E$2&lt;&gt;"",E$2,"NA"),'MITRE ATT&amp;CK Mappings'!$G190))),ISNUMBER(SEARCH(IF(E$2&lt;&gt;"",E$2,"NA"),'MITRE ATT&amp;CK Mappings'!$H190))),ISNUMBER(SEARCH(IF(E$3&lt;&gt;"",E$3,"NA"),'MITRE ATT&amp;CK Mappings'!$I190))),ISNUMBER(SEARCH(IF(E$3&lt;&gt;"",E$3,"NA"),'MITRE ATT&amp;CK Mappings'!$J190))), 'MITRE ATT&amp;CK Mappings'!$B190,"")</f>
        <v/>
      </c>
      <c r="F194" s="26" t="str">
        <f>IF(OR(OR(OR(OR(OR(ISNUMBER(SEARCH(IF(F$1&lt;&gt;"",F$1,"NA"),'MITRE ATT&amp;CK Mappings'!$E190)),ISNUMBER(SEARCH(IF(F$1&lt;&gt;"",F$1,"NA"),'MITRE ATT&amp;CK Mappings'!$F190))),ISNUMBER(SEARCH(IF(F$2&lt;&gt;"",F$2,"NA"),'MITRE ATT&amp;CK Mappings'!$G190))),ISNUMBER(SEARCH(IF(F$2&lt;&gt;"",F$2,"NA"),'MITRE ATT&amp;CK Mappings'!$H190))),ISNUMBER(SEARCH(IF(F$3&lt;&gt;"",F$3,"NA"),'MITRE ATT&amp;CK Mappings'!$I190))),ISNUMBER(SEARCH(IF(F$3&lt;&gt;"",F$3,"NA"),'MITRE ATT&amp;CK Mappings'!$J190))), 'MITRE ATT&amp;CK Mappings'!$B190,"")</f>
        <v/>
      </c>
      <c r="G194" s="26" t="str">
        <f>IF(OR(OR(OR(OR(OR(ISNUMBER(SEARCH(IF(G$1&lt;&gt;"",G$1,"NA"),'MITRE ATT&amp;CK Mappings'!$E190)),ISNUMBER(SEARCH(IF(G$1&lt;&gt;"",G$1,"NA"),'MITRE ATT&amp;CK Mappings'!$F190))),ISNUMBER(SEARCH(IF(G$2&lt;&gt;"",G$2,"NA"),'MITRE ATT&amp;CK Mappings'!$G190))),ISNUMBER(SEARCH(IF(G$2&lt;&gt;"",G$2,"NA"),'MITRE ATT&amp;CK Mappings'!$H190))),ISNUMBER(SEARCH(IF(G$3&lt;&gt;"",G$3,"NA"),'MITRE ATT&amp;CK Mappings'!$I190))),ISNUMBER(SEARCH(IF(G$3&lt;&gt;"",G$3,"NA"),'MITRE ATT&amp;CK Mappings'!$J190))), 'MITRE ATT&amp;CK Mappings'!$B190,"")</f>
        <v/>
      </c>
      <c r="H194" s="26" t="str">
        <f>IF(OR(OR(OR(OR(OR(ISNUMBER(SEARCH(IF(H$1&lt;&gt;"",H$1,"NA"),'MITRE ATT&amp;CK Mappings'!$E190)),ISNUMBER(SEARCH(IF(H$1&lt;&gt;"",H$1,"NA"),'MITRE ATT&amp;CK Mappings'!$F190))),ISNUMBER(SEARCH(IF(H$2&lt;&gt;"",H$2,"NA"),'MITRE ATT&amp;CK Mappings'!$G190))),ISNUMBER(SEARCH(IF(H$2&lt;&gt;"",H$2,"NA"),'MITRE ATT&amp;CK Mappings'!$H190))),ISNUMBER(SEARCH(IF(H$3&lt;&gt;"",H$3,"NA"),'MITRE ATT&amp;CK Mappings'!$I190))),ISNUMBER(SEARCH(IF(H$3&lt;&gt;"",H$3,"NA"),'MITRE ATT&amp;CK Mappings'!$J190))), 'MITRE ATT&amp;CK Mappings'!$B190,"")</f>
        <v/>
      </c>
      <c r="I194" s="26" t="str">
        <f>IF(OR(OR(OR(OR(OR(ISNUMBER(SEARCH(IF(I$1&lt;&gt;"",I$1,"NA"),'MITRE ATT&amp;CK Mappings'!$E190)),ISNUMBER(SEARCH(IF(I$1&lt;&gt;"",I$1,"NA"),'MITRE ATT&amp;CK Mappings'!$F190))),ISNUMBER(SEARCH(IF(I$2&lt;&gt;"",I$2,"NA"),'MITRE ATT&amp;CK Mappings'!$G190))),ISNUMBER(SEARCH(IF(I$2&lt;&gt;"",I$2,"NA"),'MITRE ATT&amp;CK Mappings'!$H190))),ISNUMBER(SEARCH(IF(I$3&lt;&gt;"",I$3,"NA"),'MITRE ATT&amp;CK Mappings'!$I190))),ISNUMBER(SEARCH(IF(I$3&lt;&gt;"",I$3,"NA"),'MITRE ATT&amp;CK Mappings'!$J190))), 'MITRE ATT&amp;CK Mappings'!$B190,"")</f>
        <v/>
      </c>
      <c r="J194" s="26" t="str">
        <f>IF(OR(OR(OR(OR(OR(ISNUMBER(SEARCH(IF(J$1&lt;&gt;"",J$1,"NA"),'MITRE ATT&amp;CK Mappings'!$E190)),ISNUMBER(SEARCH(IF(J$1&lt;&gt;"",J$1,"NA"),'MITRE ATT&amp;CK Mappings'!$F190))),ISNUMBER(SEARCH(IF(J$2&lt;&gt;"",J$2,"NA"),'MITRE ATT&amp;CK Mappings'!$G190))),ISNUMBER(SEARCH(IF(J$2&lt;&gt;"",J$2,"NA"),'MITRE ATT&amp;CK Mappings'!$H190))),ISNUMBER(SEARCH(IF(J$3&lt;&gt;"",J$3,"NA"),'MITRE ATT&amp;CK Mappings'!$I190))),ISNUMBER(SEARCH(IF(J$3&lt;&gt;"",J$3,"NA"),'MITRE ATT&amp;CK Mappings'!$J190))), 'MITRE ATT&amp;CK Mappings'!$B190,"")</f>
        <v/>
      </c>
      <c r="K194" s="26" t="str">
        <f>IF(OR(OR(OR(OR(OR(ISNUMBER(SEARCH(IF(K$1&lt;&gt;"",K$1,"NA"),'MITRE ATT&amp;CK Mappings'!$E190)),ISNUMBER(SEARCH(IF(K$1&lt;&gt;"",K$1,"NA"),'MITRE ATT&amp;CK Mappings'!$F190))),ISNUMBER(SEARCH(IF(K$2&lt;&gt;"",K$2,"NA"),'MITRE ATT&amp;CK Mappings'!$G190))),ISNUMBER(SEARCH(IF(K$2&lt;&gt;"",K$2,"NA"),'MITRE ATT&amp;CK Mappings'!$H190))),ISNUMBER(SEARCH(IF(K$3&lt;&gt;"",K$3,"NA"),'MITRE ATT&amp;CK Mappings'!$I190))),ISNUMBER(SEARCH(IF(K$3&lt;&gt;"",K$3,"NA"),'MITRE ATT&amp;CK Mappings'!$J190))), 'MITRE ATT&amp;CK Mappings'!$B190,"")</f>
        <v/>
      </c>
      <c r="L194" s="26" t="str">
        <f>IF('MITRE ATT&amp;CK Mappings'!D190 &lt;&gt;"",'MITRE ATT&amp;CK Mappings'!D190,"" )</f>
        <v/>
      </c>
    </row>
    <row r="195" spans="1:12" x14ac:dyDescent="0.25">
      <c r="A195" s="27" t="str">
        <f>IF(COUNTIF(B195:K195,"="&amp;'MITRE ATT&amp;CK Mappings'!B191)&gt;0,'MITRE ATT&amp;CK Mappings'!B191,"")</f>
        <v/>
      </c>
      <c r="B195" s="27" t="str">
        <f>IF(OR(OR(OR(OR(OR(ISNUMBER(SEARCH(IF(B$1&lt;&gt;"",B$1,"NA"),'MITRE ATT&amp;CK Mappings'!$E191)),ISNUMBER(SEARCH(IF(B$1&lt;&gt;"",B$1,"NA"),'MITRE ATT&amp;CK Mappings'!$F191))),ISNUMBER(SEARCH(IF(B$2&lt;&gt;"",B$2,"NA"),'MITRE ATT&amp;CK Mappings'!$G191))),ISNUMBER(SEARCH(IF(B$2&lt;&gt;"",B$2,"NA"),'MITRE ATT&amp;CK Mappings'!$H191))),ISNUMBER(SEARCH(IF(B$3&lt;&gt;"",B$3,"NA"),'MITRE ATT&amp;CK Mappings'!$I191))),ISNUMBER(SEARCH(IF(B$3&lt;&gt;"",B$3,"NA"),'MITRE ATT&amp;CK Mappings'!$J191))), 'MITRE ATT&amp;CK Mappings'!$B191,"")</f>
        <v/>
      </c>
      <c r="C195" s="27" t="str">
        <f>IF(OR(OR(OR(OR(OR(ISNUMBER(SEARCH(IF(C$1&lt;&gt;"",C$1,"NA"),'MITRE ATT&amp;CK Mappings'!$E191)),ISNUMBER(SEARCH(IF(C$1&lt;&gt;"",C$1,"NA"),'MITRE ATT&amp;CK Mappings'!$F191))),ISNUMBER(SEARCH(IF(C$2&lt;&gt;"",C$2,"NA"),'MITRE ATT&amp;CK Mappings'!$G191))),ISNUMBER(SEARCH(IF(C$2&lt;&gt;"",C$2,"NA"),'MITRE ATT&amp;CK Mappings'!$H191))),ISNUMBER(SEARCH(IF(C$3&lt;&gt;"",C$3,"NA"),'MITRE ATT&amp;CK Mappings'!$I191))),ISNUMBER(SEARCH(IF(C$3&lt;&gt;"",C$3,"NA"),'MITRE ATT&amp;CK Mappings'!$J191))), 'MITRE ATT&amp;CK Mappings'!$B191,"")</f>
        <v/>
      </c>
      <c r="D195" s="27" t="str">
        <f>IF(OR(OR(OR(OR(OR(ISNUMBER(SEARCH(IF(D$1&lt;&gt;"",D$1,"NA"),'MITRE ATT&amp;CK Mappings'!$E191)),ISNUMBER(SEARCH(IF(D$1&lt;&gt;"",D$1,"NA"),'MITRE ATT&amp;CK Mappings'!$F191))),ISNUMBER(SEARCH(IF(D$2&lt;&gt;"",D$2,"NA"),'MITRE ATT&amp;CK Mappings'!$G191))),ISNUMBER(SEARCH(IF(D$2&lt;&gt;"",D$2,"NA"),'MITRE ATT&amp;CK Mappings'!$H191))),ISNUMBER(SEARCH(IF(D$3&lt;&gt;"",D$3,"NA"),'MITRE ATT&amp;CK Mappings'!$I191))),ISNUMBER(SEARCH(IF(D$3&lt;&gt;"",D$3,"NA"),'MITRE ATT&amp;CK Mappings'!$J191))), 'MITRE ATT&amp;CK Mappings'!$B191,"")</f>
        <v/>
      </c>
      <c r="E195" s="27" t="str">
        <f>IF(OR(OR(OR(OR(OR(ISNUMBER(SEARCH(IF(E$1&lt;&gt;"",E$1,"NA"),'MITRE ATT&amp;CK Mappings'!$E191)),ISNUMBER(SEARCH(IF(E$1&lt;&gt;"",E$1,"NA"),'MITRE ATT&amp;CK Mappings'!$F191))),ISNUMBER(SEARCH(IF(E$2&lt;&gt;"",E$2,"NA"),'MITRE ATT&amp;CK Mappings'!$G191))),ISNUMBER(SEARCH(IF(E$2&lt;&gt;"",E$2,"NA"),'MITRE ATT&amp;CK Mappings'!$H191))),ISNUMBER(SEARCH(IF(E$3&lt;&gt;"",E$3,"NA"),'MITRE ATT&amp;CK Mappings'!$I191))),ISNUMBER(SEARCH(IF(E$3&lt;&gt;"",E$3,"NA"),'MITRE ATT&amp;CK Mappings'!$J191))), 'MITRE ATT&amp;CK Mappings'!$B191,"")</f>
        <v/>
      </c>
      <c r="F195" s="27" t="str">
        <f>IF(OR(OR(OR(OR(OR(ISNUMBER(SEARCH(IF(F$1&lt;&gt;"",F$1,"NA"),'MITRE ATT&amp;CK Mappings'!$E191)),ISNUMBER(SEARCH(IF(F$1&lt;&gt;"",F$1,"NA"),'MITRE ATT&amp;CK Mappings'!$F191))),ISNUMBER(SEARCH(IF(F$2&lt;&gt;"",F$2,"NA"),'MITRE ATT&amp;CK Mappings'!$G191))),ISNUMBER(SEARCH(IF(F$2&lt;&gt;"",F$2,"NA"),'MITRE ATT&amp;CK Mappings'!$H191))),ISNUMBER(SEARCH(IF(F$3&lt;&gt;"",F$3,"NA"),'MITRE ATT&amp;CK Mappings'!$I191))),ISNUMBER(SEARCH(IF(F$3&lt;&gt;"",F$3,"NA"),'MITRE ATT&amp;CK Mappings'!$J191))), 'MITRE ATT&amp;CK Mappings'!$B191,"")</f>
        <v/>
      </c>
      <c r="G195" s="27" t="str">
        <f>IF(OR(OR(OR(OR(OR(ISNUMBER(SEARCH(IF(G$1&lt;&gt;"",G$1,"NA"),'MITRE ATT&amp;CK Mappings'!$E191)),ISNUMBER(SEARCH(IF(G$1&lt;&gt;"",G$1,"NA"),'MITRE ATT&amp;CK Mappings'!$F191))),ISNUMBER(SEARCH(IF(G$2&lt;&gt;"",G$2,"NA"),'MITRE ATT&amp;CK Mappings'!$G191))),ISNUMBER(SEARCH(IF(G$2&lt;&gt;"",G$2,"NA"),'MITRE ATT&amp;CK Mappings'!$H191))),ISNUMBER(SEARCH(IF(G$3&lt;&gt;"",G$3,"NA"),'MITRE ATT&amp;CK Mappings'!$I191))),ISNUMBER(SEARCH(IF(G$3&lt;&gt;"",G$3,"NA"),'MITRE ATT&amp;CK Mappings'!$J191))), 'MITRE ATT&amp;CK Mappings'!$B191,"")</f>
        <v/>
      </c>
      <c r="H195" s="27" t="str">
        <f>IF(OR(OR(OR(OR(OR(ISNUMBER(SEARCH(IF(H$1&lt;&gt;"",H$1,"NA"),'MITRE ATT&amp;CK Mappings'!$E191)),ISNUMBER(SEARCH(IF(H$1&lt;&gt;"",H$1,"NA"),'MITRE ATT&amp;CK Mappings'!$F191))),ISNUMBER(SEARCH(IF(H$2&lt;&gt;"",H$2,"NA"),'MITRE ATT&amp;CK Mappings'!$G191))),ISNUMBER(SEARCH(IF(H$2&lt;&gt;"",H$2,"NA"),'MITRE ATT&amp;CK Mappings'!$H191))),ISNUMBER(SEARCH(IF(H$3&lt;&gt;"",H$3,"NA"),'MITRE ATT&amp;CK Mappings'!$I191))),ISNUMBER(SEARCH(IF(H$3&lt;&gt;"",H$3,"NA"),'MITRE ATT&amp;CK Mappings'!$J191))), 'MITRE ATT&amp;CK Mappings'!$B191,"")</f>
        <v/>
      </c>
      <c r="I195" s="27" t="str">
        <f>IF(OR(OR(OR(OR(OR(ISNUMBER(SEARCH(IF(I$1&lt;&gt;"",I$1,"NA"),'MITRE ATT&amp;CK Mappings'!$E191)),ISNUMBER(SEARCH(IF(I$1&lt;&gt;"",I$1,"NA"),'MITRE ATT&amp;CK Mappings'!$F191))),ISNUMBER(SEARCH(IF(I$2&lt;&gt;"",I$2,"NA"),'MITRE ATT&amp;CK Mappings'!$G191))),ISNUMBER(SEARCH(IF(I$2&lt;&gt;"",I$2,"NA"),'MITRE ATT&amp;CK Mappings'!$H191))),ISNUMBER(SEARCH(IF(I$3&lt;&gt;"",I$3,"NA"),'MITRE ATT&amp;CK Mappings'!$I191))),ISNUMBER(SEARCH(IF(I$3&lt;&gt;"",I$3,"NA"),'MITRE ATT&amp;CK Mappings'!$J191))), 'MITRE ATT&amp;CK Mappings'!$B191,"")</f>
        <v/>
      </c>
      <c r="J195" s="27" t="str">
        <f>IF(OR(OR(OR(OR(OR(ISNUMBER(SEARCH(IF(J$1&lt;&gt;"",J$1,"NA"),'MITRE ATT&amp;CK Mappings'!$E191)),ISNUMBER(SEARCH(IF(J$1&lt;&gt;"",J$1,"NA"),'MITRE ATT&amp;CK Mappings'!$F191))),ISNUMBER(SEARCH(IF(J$2&lt;&gt;"",J$2,"NA"),'MITRE ATT&amp;CK Mappings'!$G191))),ISNUMBER(SEARCH(IF(J$2&lt;&gt;"",J$2,"NA"),'MITRE ATT&amp;CK Mappings'!$H191))),ISNUMBER(SEARCH(IF(J$3&lt;&gt;"",J$3,"NA"),'MITRE ATT&amp;CK Mappings'!$I191))),ISNUMBER(SEARCH(IF(J$3&lt;&gt;"",J$3,"NA"),'MITRE ATT&amp;CK Mappings'!$J191))), 'MITRE ATT&amp;CK Mappings'!$B191,"")</f>
        <v/>
      </c>
      <c r="K195" s="27" t="str">
        <f>IF(OR(OR(OR(OR(OR(ISNUMBER(SEARCH(IF(K$1&lt;&gt;"",K$1,"NA"),'MITRE ATT&amp;CK Mappings'!$E191)),ISNUMBER(SEARCH(IF(K$1&lt;&gt;"",K$1,"NA"),'MITRE ATT&amp;CK Mappings'!$F191))),ISNUMBER(SEARCH(IF(K$2&lt;&gt;"",K$2,"NA"),'MITRE ATT&amp;CK Mappings'!$G191))),ISNUMBER(SEARCH(IF(K$2&lt;&gt;"",K$2,"NA"),'MITRE ATT&amp;CK Mappings'!$H191))),ISNUMBER(SEARCH(IF(K$3&lt;&gt;"",K$3,"NA"),'MITRE ATT&amp;CK Mappings'!$I191))),ISNUMBER(SEARCH(IF(K$3&lt;&gt;"",K$3,"NA"),'MITRE ATT&amp;CK Mappings'!$J191))), 'MITRE ATT&amp;CK Mappings'!$B191,"")</f>
        <v/>
      </c>
      <c r="L195" s="27" t="str">
        <f>IF('MITRE ATT&amp;CK Mappings'!D191 &lt;&gt;"",'MITRE ATT&amp;CK Mappings'!D191,"" )</f>
        <v/>
      </c>
    </row>
    <row r="196" spans="1:12" x14ac:dyDescent="0.25">
      <c r="A196" s="26" t="str">
        <f>IF(COUNTIF(B196:K196,"="&amp;'MITRE ATT&amp;CK Mappings'!B192)&gt;0,'MITRE ATT&amp;CK Mappings'!B192,"")</f>
        <v/>
      </c>
      <c r="B196" s="26" t="str">
        <f>IF(OR(OR(OR(OR(OR(ISNUMBER(SEARCH(IF(B$1&lt;&gt;"",B$1,"NA"),'MITRE ATT&amp;CK Mappings'!$E192)),ISNUMBER(SEARCH(IF(B$1&lt;&gt;"",B$1,"NA"),'MITRE ATT&amp;CK Mappings'!$F192))),ISNUMBER(SEARCH(IF(B$2&lt;&gt;"",B$2,"NA"),'MITRE ATT&amp;CK Mappings'!$G192))),ISNUMBER(SEARCH(IF(B$2&lt;&gt;"",B$2,"NA"),'MITRE ATT&amp;CK Mappings'!$H192))),ISNUMBER(SEARCH(IF(B$3&lt;&gt;"",B$3,"NA"),'MITRE ATT&amp;CK Mappings'!$I192))),ISNUMBER(SEARCH(IF(B$3&lt;&gt;"",B$3,"NA"),'MITRE ATT&amp;CK Mappings'!$J192))), 'MITRE ATT&amp;CK Mappings'!$B192,"")</f>
        <v/>
      </c>
      <c r="C196" s="26" t="str">
        <f>IF(OR(OR(OR(OR(OR(ISNUMBER(SEARCH(IF(C$1&lt;&gt;"",C$1,"NA"),'MITRE ATT&amp;CK Mappings'!$E192)),ISNUMBER(SEARCH(IF(C$1&lt;&gt;"",C$1,"NA"),'MITRE ATT&amp;CK Mappings'!$F192))),ISNUMBER(SEARCH(IF(C$2&lt;&gt;"",C$2,"NA"),'MITRE ATT&amp;CK Mappings'!$G192))),ISNUMBER(SEARCH(IF(C$2&lt;&gt;"",C$2,"NA"),'MITRE ATT&amp;CK Mappings'!$H192))),ISNUMBER(SEARCH(IF(C$3&lt;&gt;"",C$3,"NA"),'MITRE ATT&amp;CK Mappings'!$I192))),ISNUMBER(SEARCH(IF(C$3&lt;&gt;"",C$3,"NA"),'MITRE ATT&amp;CK Mappings'!$J192))), 'MITRE ATT&amp;CK Mappings'!$B192,"")</f>
        <v/>
      </c>
      <c r="D196" s="26" t="str">
        <f>IF(OR(OR(OR(OR(OR(ISNUMBER(SEARCH(IF(D$1&lt;&gt;"",D$1,"NA"),'MITRE ATT&amp;CK Mappings'!$E192)),ISNUMBER(SEARCH(IF(D$1&lt;&gt;"",D$1,"NA"),'MITRE ATT&amp;CK Mappings'!$F192))),ISNUMBER(SEARCH(IF(D$2&lt;&gt;"",D$2,"NA"),'MITRE ATT&amp;CK Mappings'!$G192))),ISNUMBER(SEARCH(IF(D$2&lt;&gt;"",D$2,"NA"),'MITRE ATT&amp;CK Mappings'!$H192))),ISNUMBER(SEARCH(IF(D$3&lt;&gt;"",D$3,"NA"),'MITRE ATT&amp;CK Mappings'!$I192))),ISNUMBER(SEARCH(IF(D$3&lt;&gt;"",D$3,"NA"),'MITRE ATT&amp;CK Mappings'!$J192))), 'MITRE ATT&amp;CK Mappings'!$B192,"")</f>
        <v/>
      </c>
      <c r="E196" s="26" t="str">
        <f>IF(OR(OR(OR(OR(OR(ISNUMBER(SEARCH(IF(E$1&lt;&gt;"",E$1,"NA"),'MITRE ATT&amp;CK Mappings'!$E192)),ISNUMBER(SEARCH(IF(E$1&lt;&gt;"",E$1,"NA"),'MITRE ATT&amp;CK Mappings'!$F192))),ISNUMBER(SEARCH(IF(E$2&lt;&gt;"",E$2,"NA"),'MITRE ATT&amp;CK Mappings'!$G192))),ISNUMBER(SEARCH(IF(E$2&lt;&gt;"",E$2,"NA"),'MITRE ATT&amp;CK Mappings'!$H192))),ISNUMBER(SEARCH(IF(E$3&lt;&gt;"",E$3,"NA"),'MITRE ATT&amp;CK Mappings'!$I192))),ISNUMBER(SEARCH(IF(E$3&lt;&gt;"",E$3,"NA"),'MITRE ATT&amp;CK Mappings'!$J192))), 'MITRE ATT&amp;CK Mappings'!$B192,"")</f>
        <v/>
      </c>
      <c r="F196" s="26" t="str">
        <f>IF(OR(OR(OR(OR(OR(ISNUMBER(SEARCH(IF(F$1&lt;&gt;"",F$1,"NA"),'MITRE ATT&amp;CK Mappings'!$E192)),ISNUMBER(SEARCH(IF(F$1&lt;&gt;"",F$1,"NA"),'MITRE ATT&amp;CK Mappings'!$F192))),ISNUMBER(SEARCH(IF(F$2&lt;&gt;"",F$2,"NA"),'MITRE ATT&amp;CK Mappings'!$G192))),ISNUMBER(SEARCH(IF(F$2&lt;&gt;"",F$2,"NA"),'MITRE ATT&amp;CK Mappings'!$H192))),ISNUMBER(SEARCH(IF(F$3&lt;&gt;"",F$3,"NA"),'MITRE ATT&amp;CK Mappings'!$I192))),ISNUMBER(SEARCH(IF(F$3&lt;&gt;"",F$3,"NA"),'MITRE ATT&amp;CK Mappings'!$J192))), 'MITRE ATT&amp;CK Mappings'!$B192,"")</f>
        <v/>
      </c>
      <c r="G196" s="26" t="str">
        <f>IF(OR(OR(OR(OR(OR(ISNUMBER(SEARCH(IF(G$1&lt;&gt;"",G$1,"NA"),'MITRE ATT&amp;CK Mappings'!$E192)),ISNUMBER(SEARCH(IF(G$1&lt;&gt;"",G$1,"NA"),'MITRE ATT&amp;CK Mappings'!$F192))),ISNUMBER(SEARCH(IF(G$2&lt;&gt;"",G$2,"NA"),'MITRE ATT&amp;CK Mappings'!$G192))),ISNUMBER(SEARCH(IF(G$2&lt;&gt;"",G$2,"NA"),'MITRE ATT&amp;CK Mappings'!$H192))),ISNUMBER(SEARCH(IF(G$3&lt;&gt;"",G$3,"NA"),'MITRE ATT&amp;CK Mappings'!$I192))),ISNUMBER(SEARCH(IF(G$3&lt;&gt;"",G$3,"NA"),'MITRE ATT&amp;CK Mappings'!$J192))), 'MITRE ATT&amp;CK Mappings'!$B192,"")</f>
        <v/>
      </c>
      <c r="H196" s="26" t="str">
        <f>IF(OR(OR(OR(OR(OR(ISNUMBER(SEARCH(IF(H$1&lt;&gt;"",H$1,"NA"),'MITRE ATT&amp;CK Mappings'!$E192)),ISNUMBER(SEARCH(IF(H$1&lt;&gt;"",H$1,"NA"),'MITRE ATT&amp;CK Mappings'!$F192))),ISNUMBER(SEARCH(IF(H$2&lt;&gt;"",H$2,"NA"),'MITRE ATT&amp;CK Mappings'!$G192))),ISNUMBER(SEARCH(IF(H$2&lt;&gt;"",H$2,"NA"),'MITRE ATT&amp;CK Mappings'!$H192))),ISNUMBER(SEARCH(IF(H$3&lt;&gt;"",H$3,"NA"),'MITRE ATT&amp;CK Mappings'!$I192))),ISNUMBER(SEARCH(IF(H$3&lt;&gt;"",H$3,"NA"),'MITRE ATT&amp;CK Mappings'!$J192))), 'MITRE ATT&amp;CK Mappings'!$B192,"")</f>
        <v/>
      </c>
      <c r="I196" s="26" t="str">
        <f>IF(OR(OR(OR(OR(OR(ISNUMBER(SEARCH(IF(I$1&lt;&gt;"",I$1,"NA"),'MITRE ATT&amp;CK Mappings'!$E192)),ISNUMBER(SEARCH(IF(I$1&lt;&gt;"",I$1,"NA"),'MITRE ATT&amp;CK Mappings'!$F192))),ISNUMBER(SEARCH(IF(I$2&lt;&gt;"",I$2,"NA"),'MITRE ATT&amp;CK Mappings'!$G192))),ISNUMBER(SEARCH(IF(I$2&lt;&gt;"",I$2,"NA"),'MITRE ATT&amp;CK Mappings'!$H192))),ISNUMBER(SEARCH(IF(I$3&lt;&gt;"",I$3,"NA"),'MITRE ATT&amp;CK Mappings'!$I192))),ISNUMBER(SEARCH(IF(I$3&lt;&gt;"",I$3,"NA"),'MITRE ATT&amp;CK Mappings'!$J192))), 'MITRE ATT&amp;CK Mappings'!$B192,"")</f>
        <v/>
      </c>
      <c r="J196" s="26" t="str">
        <f>IF(OR(OR(OR(OR(OR(ISNUMBER(SEARCH(IF(J$1&lt;&gt;"",J$1,"NA"),'MITRE ATT&amp;CK Mappings'!$E192)),ISNUMBER(SEARCH(IF(J$1&lt;&gt;"",J$1,"NA"),'MITRE ATT&amp;CK Mappings'!$F192))),ISNUMBER(SEARCH(IF(J$2&lt;&gt;"",J$2,"NA"),'MITRE ATT&amp;CK Mappings'!$G192))),ISNUMBER(SEARCH(IF(J$2&lt;&gt;"",J$2,"NA"),'MITRE ATT&amp;CK Mappings'!$H192))),ISNUMBER(SEARCH(IF(J$3&lt;&gt;"",J$3,"NA"),'MITRE ATT&amp;CK Mappings'!$I192))),ISNUMBER(SEARCH(IF(J$3&lt;&gt;"",J$3,"NA"),'MITRE ATT&amp;CK Mappings'!$J192))), 'MITRE ATT&amp;CK Mappings'!$B192,"")</f>
        <v/>
      </c>
      <c r="K196" s="26" t="str">
        <f>IF(OR(OR(OR(OR(OR(ISNUMBER(SEARCH(IF(K$1&lt;&gt;"",K$1,"NA"),'MITRE ATT&amp;CK Mappings'!$E192)),ISNUMBER(SEARCH(IF(K$1&lt;&gt;"",K$1,"NA"),'MITRE ATT&amp;CK Mappings'!$F192))),ISNUMBER(SEARCH(IF(K$2&lt;&gt;"",K$2,"NA"),'MITRE ATT&amp;CK Mappings'!$G192))),ISNUMBER(SEARCH(IF(K$2&lt;&gt;"",K$2,"NA"),'MITRE ATT&amp;CK Mappings'!$H192))),ISNUMBER(SEARCH(IF(K$3&lt;&gt;"",K$3,"NA"),'MITRE ATT&amp;CK Mappings'!$I192))),ISNUMBER(SEARCH(IF(K$3&lt;&gt;"",K$3,"NA"),'MITRE ATT&amp;CK Mappings'!$J192))), 'MITRE ATT&amp;CK Mappings'!$B192,"")</f>
        <v/>
      </c>
      <c r="L196" s="26" t="str">
        <f>IF('MITRE ATT&amp;CK Mappings'!D192 &lt;&gt;"",'MITRE ATT&amp;CK Mappings'!D192,"" )</f>
        <v/>
      </c>
    </row>
    <row r="197" spans="1:12" x14ac:dyDescent="0.25">
      <c r="A197" s="27" t="str">
        <f>IF(COUNTIF(B197:K197,"="&amp;'MITRE ATT&amp;CK Mappings'!B193)&gt;0,'MITRE ATT&amp;CK Mappings'!B193,"")</f>
        <v/>
      </c>
      <c r="B197" s="27" t="str">
        <f>IF(OR(OR(OR(OR(OR(ISNUMBER(SEARCH(IF(B$1&lt;&gt;"",B$1,"NA"),'MITRE ATT&amp;CK Mappings'!$E193)),ISNUMBER(SEARCH(IF(B$1&lt;&gt;"",B$1,"NA"),'MITRE ATT&amp;CK Mappings'!$F193))),ISNUMBER(SEARCH(IF(B$2&lt;&gt;"",B$2,"NA"),'MITRE ATT&amp;CK Mappings'!$G193))),ISNUMBER(SEARCH(IF(B$2&lt;&gt;"",B$2,"NA"),'MITRE ATT&amp;CK Mappings'!$H193))),ISNUMBER(SEARCH(IF(B$3&lt;&gt;"",B$3,"NA"),'MITRE ATT&amp;CK Mappings'!$I193))),ISNUMBER(SEARCH(IF(B$3&lt;&gt;"",B$3,"NA"),'MITRE ATT&amp;CK Mappings'!$J193))), 'MITRE ATT&amp;CK Mappings'!$B193,"")</f>
        <v/>
      </c>
      <c r="C197" s="27" t="str">
        <f>IF(OR(OR(OR(OR(OR(ISNUMBER(SEARCH(IF(C$1&lt;&gt;"",C$1,"NA"),'MITRE ATT&amp;CK Mappings'!$E193)),ISNUMBER(SEARCH(IF(C$1&lt;&gt;"",C$1,"NA"),'MITRE ATT&amp;CK Mappings'!$F193))),ISNUMBER(SEARCH(IF(C$2&lt;&gt;"",C$2,"NA"),'MITRE ATT&amp;CK Mappings'!$G193))),ISNUMBER(SEARCH(IF(C$2&lt;&gt;"",C$2,"NA"),'MITRE ATT&amp;CK Mappings'!$H193))),ISNUMBER(SEARCH(IF(C$3&lt;&gt;"",C$3,"NA"),'MITRE ATT&amp;CK Mappings'!$I193))),ISNUMBER(SEARCH(IF(C$3&lt;&gt;"",C$3,"NA"),'MITRE ATT&amp;CK Mappings'!$J193))), 'MITRE ATT&amp;CK Mappings'!$B193,"")</f>
        <v/>
      </c>
      <c r="D197" s="27" t="str">
        <f>IF(OR(OR(OR(OR(OR(ISNUMBER(SEARCH(IF(D$1&lt;&gt;"",D$1,"NA"),'MITRE ATT&amp;CK Mappings'!$E193)),ISNUMBER(SEARCH(IF(D$1&lt;&gt;"",D$1,"NA"),'MITRE ATT&amp;CK Mappings'!$F193))),ISNUMBER(SEARCH(IF(D$2&lt;&gt;"",D$2,"NA"),'MITRE ATT&amp;CK Mappings'!$G193))),ISNUMBER(SEARCH(IF(D$2&lt;&gt;"",D$2,"NA"),'MITRE ATT&amp;CK Mappings'!$H193))),ISNUMBER(SEARCH(IF(D$3&lt;&gt;"",D$3,"NA"),'MITRE ATT&amp;CK Mappings'!$I193))),ISNUMBER(SEARCH(IF(D$3&lt;&gt;"",D$3,"NA"),'MITRE ATT&amp;CK Mappings'!$J193))), 'MITRE ATT&amp;CK Mappings'!$B193,"")</f>
        <v/>
      </c>
      <c r="E197" s="27" t="str">
        <f>IF(OR(OR(OR(OR(OR(ISNUMBER(SEARCH(IF(E$1&lt;&gt;"",E$1,"NA"),'MITRE ATT&amp;CK Mappings'!$E193)),ISNUMBER(SEARCH(IF(E$1&lt;&gt;"",E$1,"NA"),'MITRE ATT&amp;CK Mappings'!$F193))),ISNUMBER(SEARCH(IF(E$2&lt;&gt;"",E$2,"NA"),'MITRE ATT&amp;CK Mappings'!$G193))),ISNUMBER(SEARCH(IF(E$2&lt;&gt;"",E$2,"NA"),'MITRE ATT&amp;CK Mappings'!$H193))),ISNUMBER(SEARCH(IF(E$3&lt;&gt;"",E$3,"NA"),'MITRE ATT&amp;CK Mappings'!$I193))),ISNUMBER(SEARCH(IF(E$3&lt;&gt;"",E$3,"NA"),'MITRE ATT&amp;CK Mappings'!$J193))), 'MITRE ATT&amp;CK Mappings'!$B193,"")</f>
        <v/>
      </c>
      <c r="F197" s="27" t="str">
        <f>IF(OR(OR(OR(OR(OR(ISNUMBER(SEARCH(IF(F$1&lt;&gt;"",F$1,"NA"),'MITRE ATT&amp;CK Mappings'!$E193)),ISNUMBER(SEARCH(IF(F$1&lt;&gt;"",F$1,"NA"),'MITRE ATT&amp;CK Mappings'!$F193))),ISNUMBER(SEARCH(IF(F$2&lt;&gt;"",F$2,"NA"),'MITRE ATT&amp;CK Mappings'!$G193))),ISNUMBER(SEARCH(IF(F$2&lt;&gt;"",F$2,"NA"),'MITRE ATT&amp;CK Mappings'!$H193))),ISNUMBER(SEARCH(IF(F$3&lt;&gt;"",F$3,"NA"),'MITRE ATT&amp;CK Mappings'!$I193))),ISNUMBER(SEARCH(IF(F$3&lt;&gt;"",F$3,"NA"),'MITRE ATT&amp;CK Mappings'!$J193))), 'MITRE ATT&amp;CK Mappings'!$B193,"")</f>
        <v/>
      </c>
      <c r="G197" s="27" t="str">
        <f>IF(OR(OR(OR(OR(OR(ISNUMBER(SEARCH(IF(G$1&lt;&gt;"",G$1,"NA"),'MITRE ATT&amp;CK Mappings'!$E193)),ISNUMBER(SEARCH(IF(G$1&lt;&gt;"",G$1,"NA"),'MITRE ATT&amp;CK Mappings'!$F193))),ISNUMBER(SEARCH(IF(G$2&lt;&gt;"",G$2,"NA"),'MITRE ATT&amp;CK Mappings'!$G193))),ISNUMBER(SEARCH(IF(G$2&lt;&gt;"",G$2,"NA"),'MITRE ATT&amp;CK Mappings'!$H193))),ISNUMBER(SEARCH(IF(G$3&lt;&gt;"",G$3,"NA"),'MITRE ATT&amp;CK Mappings'!$I193))),ISNUMBER(SEARCH(IF(G$3&lt;&gt;"",G$3,"NA"),'MITRE ATT&amp;CK Mappings'!$J193))), 'MITRE ATT&amp;CK Mappings'!$B193,"")</f>
        <v/>
      </c>
      <c r="H197" s="27" t="str">
        <f>IF(OR(OR(OR(OR(OR(ISNUMBER(SEARCH(IF(H$1&lt;&gt;"",H$1,"NA"),'MITRE ATT&amp;CK Mappings'!$E193)),ISNUMBER(SEARCH(IF(H$1&lt;&gt;"",H$1,"NA"),'MITRE ATT&amp;CK Mappings'!$F193))),ISNUMBER(SEARCH(IF(H$2&lt;&gt;"",H$2,"NA"),'MITRE ATT&amp;CK Mappings'!$G193))),ISNUMBER(SEARCH(IF(H$2&lt;&gt;"",H$2,"NA"),'MITRE ATT&amp;CK Mappings'!$H193))),ISNUMBER(SEARCH(IF(H$3&lt;&gt;"",H$3,"NA"),'MITRE ATT&amp;CK Mappings'!$I193))),ISNUMBER(SEARCH(IF(H$3&lt;&gt;"",H$3,"NA"),'MITRE ATT&amp;CK Mappings'!$J193))), 'MITRE ATT&amp;CK Mappings'!$B193,"")</f>
        <v/>
      </c>
      <c r="I197" s="27" t="str">
        <f>IF(OR(OR(OR(OR(OR(ISNUMBER(SEARCH(IF(I$1&lt;&gt;"",I$1,"NA"),'MITRE ATT&amp;CK Mappings'!$E193)),ISNUMBER(SEARCH(IF(I$1&lt;&gt;"",I$1,"NA"),'MITRE ATT&amp;CK Mappings'!$F193))),ISNUMBER(SEARCH(IF(I$2&lt;&gt;"",I$2,"NA"),'MITRE ATT&amp;CK Mappings'!$G193))),ISNUMBER(SEARCH(IF(I$2&lt;&gt;"",I$2,"NA"),'MITRE ATT&amp;CK Mappings'!$H193))),ISNUMBER(SEARCH(IF(I$3&lt;&gt;"",I$3,"NA"),'MITRE ATT&amp;CK Mappings'!$I193))),ISNUMBER(SEARCH(IF(I$3&lt;&gt;"",I$3,"NA"),'MITRE ATT&amp;CK Mappings'!$J193))), 'MITRE ATT&amp;CK Mappings'!$B193,"")</f>
        <v/>
      </c>
      <c r="J197" s="27" t="str">
        <f>IF(OR(OR(OR(OR(OR(ISNUMBER(SEARCH(IF(J$1&lt;&gt;"",J$1,"NA"),'MITRE ATT&amp;CK Mappings'!$E193)),ISNUMBER(SEARCH(IF(J$1&lt;&gt;"",J$1,"NA"),'MITRE ATT&amp;CK Mappings'!$F193))),ISNUMBER(SEARCH(IF(J$2&lt;&gt;"",J$2,"NA"),'MITRE ATT&amp;CK Mappings'!$G193))),ISNUMBER(SEARCH(IF(J$2&lt;&gt;"",J$2,"NA"),'MITRE ATT&amp;CK Mappings'!$H193))),ISNUMBER(SEARCH(IF(J$3&lt;&gt;"",J$3,"NA"),'MITRE ATT&amp;CK Mappings'!$I193))),ISNUMBER(SEARCH(IF(J$3&lt;&gt;"",J$3,"NA"),'MITRE ATT&amp;CK Mappings'!$J193))), 'MITRE ATT&amp;CK Mappings'!$B193,"")</f>
        <v/>
      </c>
      <c r="K197" s="27" t="str">
        <f>IF(OR(OR(OR(OR(OR(ISNUMBER(SEARCH(IF(K$1&lt;&gt;"",K$1,"NA"),'MITRE ATT&amp;CK Mappings'!$E193)),ISNUMBER(SEARCH(IF(K$1&lt;&gt;"",K$1,"NA"),'MITRE ATT&amp;CK Mappings'!$F193))),ISNUMBER(SEARCH(IF(K$2&lt;&gt;"",K$2,"NA"),'MITRE ATT&amp;CK Mappings'!$G193))),ISNUMBER(SEARCH(IF(K$2&lt;&gt;"",K$2,"NA"),'MITRE ATT&amp;CK Mappings'!$H193))),ISNUMBER(SEARCH(IF(K$3&lt;&gt;"",K$3,"NA"),'MITRE ATT&amp;CK Mappings'!$I193))),ISNUMBER(SEARCH(IF(K$3&lt;&gt;"",K$3,"NA"),'MITRE ATT&amp;CK Mappings'!$J193))), 'MITRE ATT&amp;CK Mappings'!$B193,"")</f>
        <v/>
      </c>
      <c r="L197" s="27" t="str">
        <f>IF('MITRE ATT&amp;CK Mappings'!D193 &lt;&gt;"",'MITRE ATT&amp;CK Mappings'!D193,"" )</f>
        <v/>
      </c>
    </row>
    <row r="198" spans="1:12" x14ac:dyDescent="0.25">
      <c r="A198" s="26" t="str">
        <f>IF(COUNTIF(B198:K198,"="&amp;'MITRE ATT&amp;CK Mappings'!B194)&gt;0,'MITRE ATT&amp;CK Mappings'!B194,"")</f>
        <v/>
      </c>
      <c r="B198" s="26" t="str">
        <f>IF(OR(OR(OR(OR(OR(ISNUMBER(SEARCH(IF(B$1&lt;&gt;"",B$1,"NA"),'MITRE ATT&amp;CK Mappings'!$E194)),ISNUMBER(SEARCH(IF(B$1&lt;&gt;"",B$1,"NA"),'MITRE ATT&amp;CK Mappings'!$F194))),ISNUMBER(SEARCH(IF(B$2&lt;&gt;"",B$2,"NA"),'MITRE ATT&amp;CK Mappings'!$G194))),ISNUMBER(SEARCH(IF(B$2&lt;&gt;"",B$2,"NA"),'MITRE ATT&amp;CK Mappings'!$H194))),ISNUMBER(SEARCH(IF(B$3&lt;&gt;"",B$3,"NA"),'MITRE ATT&amp;CK Mappings'!$I194))),ISNUMBER(SEARCH(IF(B$3&lt;&gt;"",B$3,"NA"),'MITRE ATT&amp;CK Mappings'!$J194))), 'MITRE ATT&amp;CK Mappings'!$B194,"")</f>
        <v/>
      </c>
      <c r="C198" s="26" t="str">
        <f>IF(OR(OR(OR(OR(OR(ISNUMBER(SEARCH(IF(C$1&lt;&gt;"",C$1,"NA"),'MITRE ATT&amp;CK Mappings'!$E194)),ISNUMBER(SEARCH(IF(C$1&lt;&gt;"",C$1,"NA"),'MITRE ATT&amp;CK Mappings'!$F194))),ISNUMBER(SEARCH(IF(C$2&lt;&gt;"",C$2,"NA"),'MITRE ATT&amp;CK Mappings'!$G194))),ISNUMBER(SEARCH(IF(C$2&lt;&gt;"",C$2,"NA"),'MITRE ATT&amp;CK Mappings'!$H194))),ISNUMBER(SEARCH(IF(C$3&lt;&gt;"",C$3,"NA"),'MITRE ATT&amp;CK Mappings'!$I194))),ISNUMBER(SEARCH(IF(C$3&lt;&gt;"",C$3,"NA"),'MITRE ATT&amp;CK Mappings'!$J194))), 'MITRE ATT&amp;CK Mappings'!$B194,"")</f>
        <v/>
      </c>
      <c r="D198" s="26" t="str">
        <f>IF(OR(OR(OR(OR(OR(ISNUMBER(SEARCH(IF(D$1&lt;&gt;"",D$1,"NA"),'MITRE ATT&amp;CK Mappings'!$E194)),ISNUMBER(SEARCH(IF(D$1&lt;&gt;"",D$1,"NA"),'MITRE ATT&amp;CK Mappings'!$F194))),ISNUMBER(SEARCH(IF(D$2&lt;&gt;"",D$2,"NA"),'MITRE ATT&amp;CK Mappings'!$G194))),ISNUMBER(SEARCH(IF(D$2&lt;&gt;"",D$2,"NA"),'MITRE ATT&amp;CK Mappings'!$H194))),ISNUMBER(SEARCH(IF(D$3&lt;&gt;"",D$3,"NA"),'MITRE ATT&amp;CK Mappings'!$I194))),ISNUMBER(SEARCH(IF(D$3&lt;&gt;"",D$3,"NA"),'MITRE ATT&amp;CK Mappings'!$J194))), 'MITRE ATT&amp;CK Mappings'!$B194,"")</f>
        <v/>
      </c>
      <c r="E198" s="26" t="str">
        <f>IF(OR(OR(OR(OR(OR(ISNUMBER(SEARCH(IF(E$1&lt;&gt;"",E$1,"NA"),'MITRE ATT&amp;CK Mappings'!$E194)),ISNUMBER(SEARCH(IF(E$1&lt;&gt;"",E$1,"NA"),'MITRE ATT&amp;CK Mappings'!$F194))),ISNUMBER(SEARCH(IF(E$2&lt;&gt;"",E$2,"NA"),'MITRE ATT&amp;CK Mappings'!$G194))),ISNUMBER(SEARCH(IF(E$2&lt;&gt;"",E$2,"NA"),'MITRE ATT&amp;CK Mappings'!$H194))),ISNUMBER(SEARCH(IF(E$3&lt;&gt;"",E$3,"NA"),'MITRE ATT&amp;CK Mappings'!$I194))),ISNUMBER(SEARCH(IF(E$3&lt;&gt;"",E$3,"NA"),'MITRE ATT&amp;CK Mappings'!$J194))), 'MITRE ATT&amp;CK Mappings'!$B194,"")</f>
        <v/>
      </c>
      <c r="F198" s="26" t="str">
        <f>IF(OR(OR(OR(OR(OR(ISNUMBER(SEARCH(IF(F$1&lt;&gt;"",F$1,"NA"),'MITRE ATT&amp;CK Mappings'!$E194)),ISNUMBER(SEARCH(IF(F$1&lt;&gt;"",F$1,"NA"),'MITRE ATT&amp;CK Mappings'!$F194))),ISNUMBER(SEARCH(IF(F$2&lt;&gt;"",F$2,"NA"),'MITRE ATT&amp;CK Mappings'!$G194))),ISNUMBER(SEARCH(IF(F$2&lt;&gt;"",F$2,"NA"),'MITRE ATT&amp;CK Mappings'!$H194))),ISNUMBER(SEARCH(IF(F$3&lt;&gt;"",F$3,"NA"),'MITRE ATT&amp;CK Mappings'!$I194))),ISNUMBER(SEARCH(IF(F$3&lt;&gt;"",F$3,"NA"),'MITRE ATT&amp;CK Mappings'!$J194))), 'MITRE ATT&amp;CK Mappings'!$B194,"")</f>
        <v/>
      </c>
      <c r="G198" s="26" t="str">
        <f>IF(OR(OR(OR(OR(OR(ISNUMBER(SEARCH(IF(G$1&lt;&gt;"",G$1,"NA"),'MITRE ATT&amp;CK Mappings'!$E194)),ISNUMBER(SEARCH(IF(G$1&lt;&gt;"",G$1,"NA"),'MITRE ATT&amp;CK Mappings'!$F194))),ISNUMBER(SEARCH(IF(G$2&lt;&gt;"",G$2,"NA"),'MITRE ATT&amp;CK Mappings'!$G194))),ISNUMBER(SEARCH(IF(G$2&lt;&gt;"",G$2,"NA"),'MITRE ATT&amp;CK Mappings'!$H194))),ISNUMBER(SEARCH(IF(G$3&lt;&gt;"",G$3,"NA"),'MITRE ATT&amp;CK Mappings'!$I194))),ISNUMBER(SEARCH(IF(G$3&lt;&gt;"",G$3,"NA"),'MITRE ATT&amp;CK Mappings'!$J194))), 'MITRE ATT&amp;CK Mappings'!$B194,"")</f>
        <v/>
      </c>
      <c r="H198" s="26" t="str">
        <f>IF(OR(OR(OR(OR(OR(ISNUMBER(SEARCH(IF(H$1&lt;&gt;"",H$1,"NA"),'MITRE ATT&amp;CK Mappings'!$E194)),ISNUMBER(SEARCH(IF(H$1&lt;&gt;"",H$1,"NA"),'MITRE ATT&amp;CK Mappings'!$F194))),ISNUMBER(SEARCH(IF(H$2&lt;&gt;"",H$2,"NA"),'MITRE ATT&amp;CK Mappings'!$G194))),ISNUMBER(SEARCH(IF(H$2&lt;&gt;"",H$2,"NA"),'MITRE ATT&amp;CK Mappings'!$H194))),ISNUMBER(SEARCH(IF(H$3&lt;&gt;"",H$3,"NA"),'MITRE ATT&amp;CK Mappings'!$I194))),ISNUMBER(SEARCH(IF(H$3&lt;&gt;"",H$3,"NA"),'MITRE ATT&amp;CK Mappings'!$J194))), 'MITRE ATT&amp;CK Mappings'!$B194,"")</f>
        <v/>
      </c>
      <c r="I198" s="26" t="str">
        <f>IF(OR(OR(OR(OR(OR(ISNUMBER(SEARCH(IF(I$1&lt;&gt;"",I$1,"NA"),'MITRE ATT&amp;CK Mappings'!$E194)),ISNUMBER(SEARCH(IF(I$1&lt;&gt;"",I$1,"NA"),'MITRE ATT&amp;CK Mappings'!$F194))),ISNUMBER(SEARCH(IF(I$2&lt;&gt;"",I$2,"NA"),'MITRE ATT&amp;CK Mappings'!$G194))),ISNUMBER(SEARCH(IF(I$2&lt;&gt;"",I$2,"NA"),'MITRE ATT&amp;CK Mappings'!$H194))),ISNUMBER(SEARCH(IF(I$3&lt;&gt;"",I$3,"NA"),'MITRE ATT&amp;CK Mappings'!$I194))),ISNUMBER(SEARCH(IF(I$3&lt;&gt;"",I$3,"NA"),'MITRE ATT&amp;CK Mappings'!$J194))), 'MITRE ATT&amp;CK Mappings'!$B194,"")</f>
        <v/>
      </c>
      <c r="J198" s="26" t="str">
        <f>IF(OR(OR(OR(OR(OR(ISNUMBER(SEARCH(IF(J$1&lt;&gt;"",J$1,"NA"),'MITRE ATT&amp;CK Mappings'!$E194)),ISNUMBER(SEARCH(IF(J$1&lt;&gt;"",J$1,"NA"),'MITRE ATT&amp;CK Mappings'!$F194))),ISNUMBER(SEARCH(IF(J$2&lt;&gt;"",J$2,"NA"),'MITRE ATT&amp;CK Mappings'!$G194))),ISNUMBER(SEARCH(IF(J$2&lt;&gt;"",J$2,"NA"),'MITRE ATT&amp;CK Mappings'!$H194))),ISNUMBER(SEARCH(IF(J$3&lt;&gt;"",J$3,"NA"),'MITRE ATT&amp;CK Mappings'!$I194))),ISNUMBER(SEARCH(IF(J$3&lt;&gt;"",J$3,"NA"),'MITRE ATT&amp;CK Mappings'!$J194))), 'MITRE ATT&amp;CK Mappings'!$B194,"")</f>
        <v/>
      </c>
      <c r="K198" s="26" t="str">
        <f>IF(OR(OR(OR(OR(OR(ISNUMBER(SEARCH(IF(K$1&lt;&gt;"",K$1,"NA"),'MITRE ATT&amp;CK Mappings'!$E194)),ISNUMBER(SEARCH(IF(K$1&lt;&gt;"",K$1,"NA"),'MITRE ATT&amp;CK Mappings'!$F194))),ISNUMBER(SEARCH(IF(K$2&lt;&gt;"",K$2,"NA"),'MITRE ATT&amp;CK Mappings'!$G194))),ISNUMBER(SEARCH(IF(K$2&lt;&gt;"",K$2,"NA"),'MITRE ATT&amp;CK Mappings'!$H194))),ISNUMBER(SEARCH(IF(K$3&lt;&gt;"",K$3,"NA"),'MITRE ATT&amp;CK Mappings'!$I194))),ISNUMBER(SEARCH(IF(K$3&lt;&gt;"",K$3,"NA"),'MITRE ATT&amp;CK Mappings'!$J194))), 'MITRE ATT&amp;CK Mappings'!$B194,"")</f>
        <v/>
      </c>
      <c r="L198" s="26" t="str">
        <f>IF('MITRE ATT&amp;CK Mappings'!D194 &lt;&gt;"",'MITRE ATT&amp;CK Mappings'!D194,"" )</f>
        <v/>
      </c>
    </row>
    <row r="199" spans="1:12" x14ac:dyDescent="0.25">
      <c r="A199" s="27" t="str">
        <f>IF(COUNTIF(B199:K199,"="&amp;'MITRE ATT&amp;CK Mappings'!B195)&gt;0,'MITRE ATT&amp;CK Mappings'!B195,"")</f>
        <v/>
      </c>
      <c r="B199" s="27" t="str">
        <f>IF(OR(OR(OR(OR(OR(ISNUMBER(SEARCH(IF(B$1&lt;&gt;"",B$1,"NA"),'MITRE ATT&amp;CK Mappings'!$E195)),ISNUMBER(SEARCH(IF(B$1&lt;&gt;"",B$1,"NA"),'MITRE ATT&amp;CK Mappings'!$F195))),ISNUMBER(SEARCH(IF(B$2&lt;&gt;"",B$2,"NA"),'MITRE ATT&amp;CK Mappings'!$G195))),ISNUMBER(SEARCH(IF(B$2&lt;&gt;"",B$2,"NA"),'MITRE ATT&amp;CK Mappings'!$H195))),ISNUMBER(SEARCH(IF(B$3&lt;&gt;"",B$3,"NA"),'MITRE ATT&amp;CK Mappings'!$I195))),ISNUMBER(SEARCH(IF(B$3&lt;&gt;"",B$3,"NA"),'MITRE ATT&amp;CK Mappings'!$J195))), 'MITRE ATT&amp;CK Mappings'!$B195,"")</f>
        <v/>
      </c>
      <c r="C199" s="27" t="str">
        <f>IF(OR(OR(OR(OR(OR(ISNUMBER(SEARCH(IF(C$1&lt;&gt;"",C$1,"NA"),'MITRE ATT&amp;CK Mappings'!$E195)),ISNUMBER(SEARCH(IF(C$1&lt;&gt;"",C$1,"NA"),'MITRE ATT&amp;CK Mappings'!$F195))),ISNUMBER(SEARCH(IF(C$2&lt;&gt;"",C$2,"NA"),'MITRE ATT&amp;CK Mappings'!$G195))),ISNUMBER(SEARCH(IF(C$2&lt;&gt;"",C$2,"NA"),'MITRE ATT&amp;CK Mappings'!$H195))),ISNUMBER(SEARCH(IF(C$3&lt;&gt;"",C$3,"NA"),'MITRE ATT&amp;CK Mappings'!$I195))),ISNUMBER(SEARCH(IF(C$3&lt;&gt;"",C$3,"NA"),'MITRE ATT&amp;CK Mappings'!$J195))), 'MITRE ATT&amp;CK Mappings'!$B195,"")</f>
        <v/>
      </c>
      <c r="D199" s="27" t="str">
        <f>IF(OR(OR(OR(OR(OR(ISNUMBER(SEARCH(IF(D$1&lt;&gt;"",D$1,"NA"),'MITRE ATT&amp;CK Mappings'!$E195)),ISNUMBER(SEARCH(IF(D$1&lt;&gt;"",D$1,"NA"),'MITRE ATT&amp;CK Mappings'!$F195))),ISNUMBER(SEARCH(IF(D$2&lt;&gt;"",D$2,"NA"),'MITRE ATT&amp;CK Mappings'!$G195))),ISNUMBER(SEARCH(IF(D$2&lt;&gt;"",D$2,"NA"),'MITRE ATT&amp;CK Mappings'!$H195))),ISNUMBER(SEARCH(IF(D$3&lt;&gt;"",D$3,"NA"),'MITRE ATT&amp;CK Mappings'!$I195))),ISNUMBER(SEARCH(IF(D$3&lt;&gt;"",D$3,"NA"),'MITRE ATT&amp;CK Mappings'!$J195))), 'MITRE ATT&amp;CK Mappings'!$B195,"")</f>
        <v/>
      </c>
      <c r="E199" s="27" t="str">
        <f>IF(OR(OR(OR(OR(OR(ISNUMBER(SEARCH(IF(E$1&lt;&gt;"",E$1,"NA"),'MITRE ATT&amp;CK Mappings'!$E195)),ISNUMBER(SEARCH(IF(E$1&lt;&gt;"",E$1,"NA"),'MITRE ATT&amp;CK Mappings'!$F195))),ISNUMBER(SEARCH(IF(E$2&lt;&gt;"",E$2,"NA"),'MITRE ATT&amp;CK Mappings'!$G195))),ISNUMBER(SEARCH(IF(E$2&lt;&gt;"",E$2,"NA"),'MITRE ATT&amp;CK Mappings'!$H195))),ISNUMBER(SEARCH(IF(E$3&lt;&gt;"",E$3,"NA"),'MITRE ATT&amp;CK Mappings'!$I195))),ISNUMBER(SEARCH(IF(E$3&lt;&gt;"",E$3,"NA"),'MITRE ATT&amp;CK Mappings'!$J195))), 'MITRE ATT&amp;CK Mappings'!$B195,"")</f>
        <v/>
      </c>
      <c r="F199" s="27" t="str">
        <f>IF(OR(OR(OR(OR(OR(ISNUMBER(SEARCH(IF(F$1&lt;&gt;"",F$1,"NA"),'MITRE ATT&amp;CK Mappings'!$E195)),ISNUMBER(SEARCH(IF(F$1&lt;&gt;"",F$1,"NA"),'MITRE ATT&amp;CK Mappings'!$F195))),ISNUMBER(SEARCH(IF(F$2&lt;&gt;"",F$2,"NA"),'MITRE ATT&amp;CK Mappings'!$G195))),ISNUMBER(SEARCH(IF(F$2&lt;&gt;"",F$2,"NA"),'MITRE ATT&amp;CK Mappings'!$H195))),ISNUMBER(SEARCH(IF(F$3&lt;&gt;"",F$3,"NA"),'MITRE ATT&amp;CK Mappings'!$I195))),ISNUMBER(SEARCH(IF(F$3&lt;&gt;"",F$3,"NA"),'MITRE ATT&amp;CK Mappings'!$J195))), 'MITRE ATT&amp;CK Mappings'!$B195,"")</f>
        <v/>
      </c>
      <c r="G199" s="27" t="str">
        <f>IF(OR(OR(OR(OR(OR(ISNUMBER(SEARCH(IF(G$1&lt;&gt;"",G$1,"NA"),'MITRE ATT&amp;CK Mappings'!$E195)),ISNUMBER(SEARCH(IF(G$1&lt;&gt;"",G$1,"NA"),'MITRE ATT&amp;CK Mappings'!$F195))),ISNUMBER(SEARCH(IF(G$2&lt;&gt;"",G$2,"NA"),'MITRE ATT&amp;CK Mappings'!$G195))),ISNUMBER(SEARCH(IF(G$2&lt;&gt;"",G$2,"NA"),'MITRE ATT&amp;CK Mappings'!$H195))),ISNUMBER(SEARCH(IF(G$3&lt;&gt;"",G$3,"NA"),'MITRE ATT&amp;CK Mappings'!$I195))),ISNUMBER(SEARCH(IF(G$3&lt;&gt;"",G$3,"NA"),'MITRE ATT&amp;CK Mappings'!$J195))), 'MITRE ATT&amp;CK Mappings'!$B195,"")</f>
        <v/>
      </c>
      <c r="H199" s="27" t="str">
        <f>IF(OR(OR(OR(OR(OR(ISNUMBER(SEARCH(IF(H$1&lt;&gt;"",H$1,"NA"),'MITRE ATT&amp;CK Mappings'!$E195)),ISNUMBER(SEARCH(IF(H$1&lt;&gt;"",H$1,"NA"),'MITRE ATT&amp;CK Mappings'!$F195))),ISNUMBER(SEARCH(IF(H$2&lt;&gt;"",H$2,"NA"),'MITRE ATT&amp;CK Mappings'!$G195))),ISNUMBER(SEARCH(IF(H$2&lt;&gt;"",H$2,"NA"),'MITRE ATT&amp;CK Mappings'!$H195))),ISNUMBER(SEARCH(IF(H$3&lt;&gt;"",H$3,"NA"),'MITRE ATT&amp;CK Mappings'!$I195))),ISNUMBER(SEARCH(IF(H$3&lt;&gt;"",H$3,"NA"),'MITRE ATT&amp;CK Mappings'!$J195))), 'MITRE ATT&amp;CK Mappings'!$B195,"")</f>
        <v/>
      </c>
      <c r="I199" s="27" t="str">
        <f>IF(OR(OR(OR(OR(OR(ISNUMBER(SEARCH(IF(I$1&lt;&gt;"",I$1,"NA"),'MITRE ATT&amp;CK Mappings'!$E195)),ISNUMBER(SEARCH(IF(I$1&lt;&gt;"",I$1,"NA"),'MITRE ATT&amp;CK Mappings'!$F195))),ISNUMBER(SEARCH(IF(I$2&lt;&gt;"",I$2,"NA"),'MITRE ATT&amp;CK Mappings'!$G195))),ISNUMBER(SEARCH(IF(I$2&lt;&gt;"",I$2,"NA"),'MITRE ATT&amp;CK Mappings'!$H195))),ISNUMBER(SEARCH(IF(I$3&lt;&gt;"",I$3,"NA"),'MITRE ATT&amp;CK Mappings'!$I195))),ISNUMBER(SEARCH(IF(I$3&lt;&gt;"",I$3,"NA"),'MITRE ATT&amp;CK Mappings'!$J195))), 'MITRE ATT&amp;CK Mappings'!$B195,"")</f>
        <v/>
      </c>
      <c r="J199" s="27" t="str">
        <f>IF(OR(OR(OR(OR(OR(ISNUMBER(SEARCH(IF(J$1&lt;&gt;"",J$1,"NA"),'MITRE ATT&amp;CK Mappings'!$E195)),ISNUMBER(SEARCH(IF(J$1&lt;&gt;"",J$1,"NA"),'MITRE ATT&amp;CK Mappings'!$F195))),ISNUMBER(SEARCH(IF(J$2&lt;&gt;"",J$2,"NA"),'MITRE ATT&amp;CK Mappings'!$G195))),ISNUMBER(SEARCH(IF(J$2&lt;&gt;"",J$2,"NA"),'MITRE ATT&amp;CK Mappings'!$H195))),ISNUMBER(SEARCH(IF(J$3&lt;&gt;"",J$3,"NA"),'MITRE ATT&amp;CK Mappings'!$I195))),ISNUMBER(SEARCH(IF(J$3&lt;&gt;"",J$3,"NA"),'MITRE ATT&amp;CK Mappings'!$J195))), 'MITRE ATT&amp;CK Mappings'!$B195,"")</f>
        <v/>
      </c>
      <c r="K199" s="27" t="str">
        <f>IF(OR(OR(OR(OR(OR(ISNUMBER(SEARCH(IF(K$1&lt;&gt;"",K$1,"NA"),'MITRE ATT&amp;CK Mappings'!$E195)),ISNUMBER(SEARCH(IF(K$1&lt;&gt;"",K$1,"NA"),'MITRE ATT&amp;CK Mappings'!$F195))),ISNUMBER(SEARCH(IF(K$2&lt;&gt;"",K$2,"NA"),'MITRE ATT&amp;CK Mappings'!$G195))),ISNUMBER(SEARCH(IF(K$2&lt;&gt;"",K$2,"NA"),'MITRE ATT&amp;CK Mappings'!$H195))),ISNUMBER(SEARCH(IF(K$3&lt;&gt;"",K$3,"NA"),'MITRE ATT&amp;CK Mappings'!$I195))),ISNUMBER(SEARCH(IF(K$3&lt;&gt;"",K$3,"NA"),'MITRE ATT&amp;CK Mappings'!$J195))), 'MITRE ATT&amp;CK Mappings'!$B195,"")</f>
        <v/>
      </c>
      <c r="L199" s="27" t="str">
        <f>IF('MITRE ATT&amp;CK Mappings'!D195 &lt;&gt;"",'MITRE ATT&amp;CK Mappings'!D195,"" )</f>
        <v/>
      </c>
    </row>
    <row r="200" spans="1:12" x14ac:dyDescent="0.25">
      <c r="A200" s="26" t="str">
        <f>IF(COUNTIF(B200:K200,"="&amp;'MITRE ATT&amp;CK Mappings'!B196)&gt;0,'MITRE ATT&amp;CK Mappings'!B196,"")</f>
        <v/>
      </c>
      <c r="B200" s="26" t="str">
        <f>IF(OR(OR(OR(OR(OR(ISNUMBER(SEARCH(IF(B$1&lt;&gt;"",B$1,"NA"),'MITRE ATT&amp;CK Mappings'!$E196)),ISNUMBER(SEARCH(IF(B$1&lt;&gt;"",B$1,"NA"),'MITRE ATT&amp;CK Mappings'!$F196))),ISNUMBER(SEARCH(IF(B$2&lt;&gt;"",B$2,"NA"),'MITRE ATT&amp;CK Mappings'!$G196))),ISNUMBER(SEARCH(IF(B$2&lt;&gt;"",B$2,"NA"),'MITRE ATT&amp;CK Mappings'!$H196))),ISNUMBER(SEARCH(IF(B$3&lt;&gt;"",B$3,"NA"),'MITRE ATT&amp;CK Mappings'!$I196))),ISNUMBER(SEARCH(IF(B$3&lt;&gt;"",B$3,"NA"),'MITRE ATT&amp;CK Mappings'!$J196))), 'MITRE ATT&amp;CK Mappings'!$B196,"")</f>
        <v/>
      </c>
      <c r="C200" s="26" t="str">
        <f>IF(OR(OR(OR(OR(OR(ISNUMBER(SEARCH(IF(C$1&lt;&gt;"",C$1,"NA"),'MITRE ATT&amp;CK Mappings'!$E196)),ISNUMBER(SEARCH(IF(C$1&lt;&gt;"",C$1,"NA"),'MITRE ATT&amp;CK Mappings'!$F196))),ISNUMBER(SEARCH(IF(C$2&lt;&gt;"",C$2,"NA"),'MITRE ATT&amp;CK Mappings'!$G196))),ISNUMBER(SEARCH(IF(C$2&lt;&gt;"",C$2,"NA"),'MITRE ATT&amp;CK Mappings'!$H196))),ISNUMBER(SEARCH(IF(C$3&lt;&gt;"",C$3,"NA"),'MITRE ATT&amp;CK Mappings'!$I196))),ISNUMBER(SEARCH(IF(C$3&lt;&gt;"",C$3,"NA"),'MITRE ATT&amp;CK Mappings'!$J196))), 'MITRE ATT&amp;CK Mappings'!$B196,"")</f>
        <v/>
      </c>
      <c r="D200" s="26" t="str">
        <f>IF(OR(OR(OR(OR(OR(ISNUMBER(SEARCH(IF(D$1&lt;&gt;"",D$1,"NA"),'MITRE ATT&amp;CK Mappings'!$E196)),ISNUMBER(SEARCH(IF(D$1&lt;&gt;"",D$1,"NA"),'MITRE ATT&amp;CK Mappings'!$F196))),ISNUMBER(SEARCH(IF(D$2&lt;&gt;"",D$2,"NA"),'MITRE ATT&amp;CK Mappings'!$G196))),ISNUMBER(SEARCH(IF(D$2&lt;&gt;"",D$2,"NA"),'MITRE ATT&amp;CK Mappings'!$H196))),ISNUMBER(SEARCH(IF(D$3&lt;&gt;"",D$3,"NA"),'MITRE ATT&amp;CK Mappings'!$I196))),ISNUMBER(SEARCH(IF(D$3&lt;&gt;"",D$3,"NA"),'MITRE ATT&amp;CK Mappings'!$J196))), 'MITRE ATT&amp;CK Mappings'!$B196,"")</f>
        <v/>
      </c>
      <c r="E200" s="26" t="str">
        <f>IF(OR(OR(OR(OR(OR(ISNUMBER(SEARCH(IF(E$1&lt;&gt;"",E$1,"NA"),'MITRE ATT&amp;CK Mappings'!$E196)),ISNUMBER(SEARCH(IF(E$1&lt;&gt;"",E$1,"NA"),'MITRE ATT&amp;CK Mappings'!$F196))),ISNUMBER(SEARCH(IF(E$2&lt;&gt;"",E$2,"NA"),'MITRE ATT&amp;CK Mappings'!$G196))),ISNUMBER(SEARCH(IF(E$2&lt;&gt;"",E$2,"NA"),'MITRE ATT&amp;CK Mappings'!$H196))),ISNUMBER(SEARCH(IF(E$3&lt;&gt;"",E$3,"NA"),'MITRE ATT&amp;CK Mappings'!$I196))),ISNUMBER(SEARCH(IF(E$3&lt;&gt;"",E$3,"NA"),'MITRE ATT&amp;CK Mappings'!$J196))), 'MITRE ATT&amp;CK Mappings'!$B196,"")</f>
        <v/>
      </c>
      <c r="F200" s="26" t="str">
        <f>IF(OR(OR(OR(OR(OR(ISNUMBER(SEARCH(IF(F$1&lt;&gt;"",F$1,"NA"),'MITRE ATT&amp;CK Mappings'!$E196)),ISNUMBER(SEARCH(IF(F$1&lt;&gt;"",F$1,"NA"),'MITRE ATT&amp;CK Mappings'!$F196))),ISNUMBER(SEARCH(IF(F$2&lt;&gt;"",F$2,"NA"),'MITRE ATT&amp;CK Mappings'!$G196))),ISNUMBER(SEARCH(IF(F$2&lt;&gt;"",F$2,"NA"),'MITRE ATT&amp;CK Mappings'!$H196))),ISNUMBER(SEARCH(IF(F$3&lt;&gt;"",F$3,"NA"),'MITRE ATT&amp;CK Mappings'!$I196))),ISNUMBER(SEARCH(IF(F$3&lt;&gt;"",F$3,"NA"),'MITRE ATT&amp;CK Mappings'!$J196))), 'MITRE ATT&amp;CK Mappings'!$B196,"")</f>
        <v/>
      </c>
      <c r="G200" s="26" t="str">
        <f>IF(OR(OR(OR(OR(OR(ISNUMBER(SEARCH(IF(G$1&lt;&gt;"",G$1,"NA"),'MITRE ATT&amp;CK Mappings'!$E196)),ISNUMBER(SEARCH(IF(G$1&lt;&gt;"",G$1,"NA"),'MITRE ATT&amp;CK Mappings'!$F196))),ISNUMBER(SEARCH(IF(G$2&lt;&gt;"",G$2,"NA"),'MITRE ATT&amp;CK Mappings'!$G196))),ISNUMBER(SEARCH(IF(G$2&lt;&gt;"",G$2,"NA"),'MITRE ATT&amp;CK Mappings'!$H196))),ISNUMBER(SEARCH(IF(G$3&lt;&gt;"",G$3,"NA"),'MITRE ATT&amp;CK Mappings'!$I196))),ISNUMBER(SEARCH(IF(G$3&lt;&gt;"",G$3,"NA"),'MITRE ATT&amp;CK Mappings'!$J196))), 'MITRE ATT&amp;CK Mappings'!$B196,"")</f>
        <v/>
      </c>
      <c r="H200" s="26" t="str">
        <f>IF(OR(OR(OR(OR(OR(ISNUMBER(SEARCH(IF(H$1&lt;&gt;"",H$1,"NA"),'MITRE ATT&amp;CK Mappings'!$E196)),ISNUMBER(SEARCH(IF(H$1&lt;&gt;"",H$1,"NA"),'MITRE ATT&amp;CK Mappings'!$F196))),ISNUMBER(SEARCH(IF(H$2&lt;&gt;"",H$2,"NA"),'MITRE ATT&amp;CK Mappings'!$G196))),ISNUMBER(SEARCH(IF(H$2&lt;&gt;"",H$2,"NA"),'MITRE ATT&amp;CK Mappings'!$H196))),ISNUMBER(SEARCH(IF(H$3&lt;&gt;"",H$3,"NA"),'MITRE ATT&amp;CK Mappings'!$I196))),ISNUMBER(SEARCH(IF(H$3&lt;&gt;"",H$3,"NA"),'MITRE ATT&amp;CK Mappings'!$J196))), 'MITRE ATT&amp;CK Mappings'!$B196,"")</f>
        <v/>
      </c>
      <c r="I200" s="26" t="str">
        <f>IF(OR(OR(OR(OR(OR(ISNUMBER(SEARCH(IF(I$1&lt;&gt;"",I$1,"NA"),'MITRE ATT&amp;CK Mappings'!$E196)),ISNUMBER(SEARCH(IF(I$1&lt;&gt;"",I$1,"NA"),'MITRE ATT&amp;CK Mappings'!$F196))),ISNUMBER(SEARCH(IF(I$2&lt;&gt;"",I$2,"NA"),'MITRE ATT&amp;CK Mappings'!$G196))),ISNUMBER(SEARCH(IF(I$2&lt;&gt;"",I$2,"NA"),'MITRE ATT&amp;CK Mappings'!$H196))),ISNUMBER(SEARCH(IF(I$3&lt;&gt;"",I$3,"NA"),'MITRE ATT&amp;CK Mappings'!$I196))),ISNUMBER(SEARCH(IF(I$3&lt;&gt;"",I$3,"NA"),'MITRE ATT&amp;CK Mappings'!$J196))), 'MITRE ATT&amp;CK Mappings'!$B196,"")</f>
        <v/>
      </c>
      <c r="J200" s="26" t="str">
        <f>IF(OR(OR(OR(OR(OR(ISNUMBER(SEARCH(IF(J$1&lt;&gt;"",J$1,"NA"),'MITRE ATT&amp;CK Mappings'!$E196)),ISNUMBER(SEARCH(IF(J$1&lt;&gt;"",J$1,"NA"),'MITRE ATT&amp;CK Mappings'!$F196))),ISNUMBER(SEARCH(IF(J$2&lt;&gt;"",J$2,"NA"),'MITRE ATT&amp;CK Mappings'!$G196))),ISNUMBER(SEARCH(IF(J$2&lt;&gt;"",J$2,"NA"),'MITRE ATT&amp;CK Mappings'!$H196))),ISNUMBER(SEARCH(IF(J$3&lt;&gt;"",J$3,"NA"),'MITRE ATT&amp;CK Mappings'!$I196))),ISNUMBER(SEARCH(IF(J$3&lt;&gt;"",J$3,"NA"),'MITRE ATT&amp;CK Mappings'!$J196))), 'MITRE ATT&amp;CK Mappings'!$B196,"")</f>
        <v/>
      </c>
      <c r="K200" s="26" t="str">
        <f>IF(OR(OR(OR(OR(OR(ISNUMBER(SEARCH(IF(K$1&lt;&gt;"",K$1,"NA"),'MITRE ATT&amp;CK Mappings'!$E196)),ISNUMBER(SEARCH(IF(K$1&lt;&gt;"",K$1,"NA"),'MITRE ATT&amp;CK Mappings'!$F196))),ISNUMBER(SEARCH(IF(K$2&lt;&gt;"",K$2,"NA"),'MITRE ATT&amp;CK Mappings'!$G196))),ISNUMBER(SEARCH(IF(K$2&lt;&gt;"",K$2,"NA"),'MITRE ATT&amp;CK Mappings'!$H196))),ISNUMBER(SEARCH(IF(K$3&lt;&gt;"",K$3,"NA"),'MITRE ATT&amp;CK Mappings'!$I196))),ISNUMBER(SEARCH(IF(K$3&lt;&gt;"",K$3,"NA"),'MITRE ATT&amp;CK Mappings'!$J196))), 'MITRE ATT&amp;CK Mappings'!$B196,"")</f>
        <v/>
      </c>
      <c r="L200" s="26" t="str">
        <f>IF('MITRE ATT&amp;CK Mappings'!D196 &lt;&gt;"",'MITRE ATT&amp;CK Mappings'!D196,"" )</f>
        <v/>
      </c>
    </row>
    <row r="201" spans="1:12" x14ac:dyDescent="0.25">
      <c r="A201" s="27" t="str">
        <f>IF(COUNTIF(B201:K201,"="&amp;'MITRE ATT&amp;CK Mappings'!B197)&gt;0,'MITRE ATT&amp;CK Mappings'!B197,"")</f>
        <v/>
      </c>
      <c r="B201" s="27" t="str">
        <f>IF(OR(OR(OR(OR(OR(ISNUMBER(SEARCH(IF(B$1&lt;&gt;"",B$1,"NA"),'MITRE ATT&amp;CK Mappings'!$E197)),ISNUMBER(SEARCH(IF(B$1&lt;&gt;"",B$1,"NA"),'MITRE ATT&amp;CK Mappings'!$F197))),ISNUMBER(SEARCH(IF(B$2&lt;&gt;"",B$2,"NA"),'MITRE ATT&amp;CK Mappings'!$G197))),ISNUMBER(SEARCH(IF(B$2&lt;&gt;"",B$2,"NA"),'MITRE ATT&amp;CK Mappings'!$H197))),ISNUMBER(SEARCH(IF(B$3&lt;&gt;"",B$3,"NA"),'MITRE ATT&amp;CK Mappings'!$I197))),ISNUMBER(SEARCH(IF(B$3&lt;&gt;"",B$3,"NA"),'MITRE ATT&amp;CK Mappings'!$J197))), 'MITRE ATT&amp;CK Mappings'!$B197,"")</f>
        <v/>
      </c>
      <c r="C201" s="27" t="str">
        <f>IF(OR(OR(OR(OR(OR(ISNUMBER(SEARCH(IF(C$1&lt;&gt;"",C$1,"NA"),'MITRE ATT&amp;CK Mappings'!$E197)),ISNUMBER(SEARCH(IF(C$1&lt;&gt;"",C$1,"NA"),'MITRE ATT&amp;CK Mappings'!$F197))),ISNUMBER(SEARCH(IF(C$2&lt;&gt;"",C$2,"NA"),'MITRE ATT&amp;CK Mappings'!$G197))),ISNUMBER(SEARCH(IF(C$2&lt;&gt;"",C$2,"NA"),'MITRE ATT&amp;CK Mappings'!$H197))),ISNUMBER(SEARCH(IF(C$3&lt;&gt;"",C$3,"NA"),'MITRE ATT&amp;CK Mappings'!$I197))),ISNUMBER(SEARCH(IF(C$3&lt;&gt;"",C$3,"NA"),'MITRE ATT&amp;CK Mappings'!$J197))), 'MITRE ATT&amp;CK Mappings'!$B197,"")</f>
        <v/>
      </c>
      <c r="D201" s="27" t="str">
        <f>IF(OR(OR(OR(OR(OR(ISNUMBER(SEARCH(IF(D$1&lt;&gt;"",D$1,"NA"),'MITRE ATT&amp;CK Mappings'!$E197)),ISNUMBER(SEARCH(IF(D$1&lt;&gt;"",D$1,"NA"),'MITRE ATT&amp;CK Mappings'!$F197))),ISNUMBER(SEARCH(IF(D$2&lt;&gt;"",D$2,"NA"),'MITRE ATT&amp;CK Mappings'!$G197))),ISNUMBER(SEARCH(IF(D$2&lt;&gt;"",D$2,"NA"),'MITRE ATT&amp;CK Mappings'!$H197))),ISNUMBER(SEARCH(IF(D$3&lt;&gt;"",D$3,"NA"),'MITRE ATT&amp;CK Mappings'!$I197))),ISNUMBER(SEARCH(IF(D$3&lt;&gt;"",D$3,"NA"),'MITRE ATT&amp;CK Mappings'!$J197))), 'MITRE ATT&amp;CK Mappings'!$B197,"")</f>
        <v/>
      </c>
      <c r="E201" s="27" t="str">
        <f>IF(OR(OR(OR(OR(OR(ISNUMBER(SEARCH(IF(E$1&lt;&gt;"",E$1,"NA"),'MITRE ATT&amp;CK Mappings'!$E197)),ISNUMBER(SEARCH(IF(E$1&lt;&gt;"",E$1,"NA"),'MITRE ATT&amp;CK Mappings'!$F197))),ISNUMBER(SEARCH(IF(E$2&lt;&gt;"",E$2,"NA"),'MITRE ATT&amp;CK Mappings'!$G197))),ISNUMBER(SEARCH(IF(E$2&lt;&gt;"",E$2,"NA"),'MITRE ATT&amp;CK Mappings'!$H197))),ISNUMBER(SEARCH(IF(E$3&lt;&gt;"",E$3,"NA"),'MITRE ATT&amp;CK Mappings'!$I197))),ISNUMBER(SEARCH(IF(E$3&lt;&gt;"",E$3,"NA"),'MITRE ATT&amp;CK Mappings'!$J197))), 'MITRE ATT&amp;CK Mappings'!$B197,"")</f>
        <v/>
      </c>
      <c r="F201" s="27" t="str">
        <f>IF(OR(OR(OR(OR(OR(ISNUMBER(SEARCH(IF(F$1&lt;&gt;"",F$1,"NA"),'MITRE ATT&amp;CK Mappings'!$E197)),ISNUMBER(SEARCH(IF(F$1&lt;&gt;"",F$1,"NA"),'MITRE ATT&amp;CK Mappings'!$F197))),ISNUMBER(SEARCH(IF(F$2&lt;&gt;"",F$2,"NA"),'MITRE ATT&amp;CK Mappings'!$G197))),ISNUMBER(SEARCH(IF(F$2&lt;&gt;"",F$2,"NA"),'MITRE ATT&amp;CK Mappings'!$H197))),ISNUMBER(SEARCH(IF(F$3&lt;&gt;"",F$3,"NA"),'MITRE ATT&amp;CK Mappings'!$I197))),ISNUMBER(SEARCH(IF(F$3&lt;&gt;"",F$3,"NA"),'MITRE ATT&amp;CK Mappings'!$J197))), 'MITRE ATT&amp;CK Mappings'!$B197,"")</f>
        <v/>
      </c>
      <c r="G201" s="27" t="str">
        <f>IF(OR(OR(OR(OR(OR(ISNUMBER(SEARCH(IF(G$1&lt;&gt;"",G$1,"NA"),'MITRE ATT&amp;CK Mappings'!$E197)),ISNUMBER(SEARCH(IF(G$1&lt;&gt;"",G$1,"NA"),'MITRE ATT&amp;CK Mappings'!$F197))),ISNUMBER(SEARCH(IF(G$2&lt;&gt;"",G$2,"NA"),'MITRE ATT&amp;CK Mappings'!$G197))),ISNUMBER(SEARCH(IF(G$2&lt;&gt;"",G$2,"NA"),'MITRE ATT&amp;CK Mappings'!$H197))),ISNUMBER(SEARCH(IF(G$3&lt;&gt;"",G$3,"NA"),'MITRE ATT&amp;CK Mappings'!$I197))),ISNUMBER(SEARCH(IF(G$3&lt;&gt;"",G$3,"NA"),'MITRE ATT&amp;CK Mappings'!$J197))), 'MITRE ATT&amp;CK Mappings'!$B197,"")</f>
        <v/>
      </c>
      <c r="H201" s="27" t="str">
        <f>IF(OR(OR(OR(OR(OR(ISNUMBER(SEARCH(IF(H$1&lt;&gt;"",H$1,"NA"),'MITRE ATT&amp;CK Mappings'!$E197)),ISNUMBER(SEARCH(IF(H$1&lt;&gt;"",H$1,"NA"),'MITRE ATT&amp;CK Mappings'!$F197))),ISNUMBER(SEARCH(IF(H$2&lt;&gt;"",H$2,"NA"),'MITRE ATT&amp;CK Mappings'!$G197))),ISNUMBER(SEARCH(IF(H$2&lt;&gt;"",H$2,"NA"),'MITRE ATT&amp;CK Mappings'!$H197))),ISNUMBER(SEARCH(IF(H$3&lt;&gt;"",H$3,"NA"),'MITRE ATT&amp;CK Mappings'!$I197))),ISNUMBER(SEARCH(IF(H$3&lt;&gt;"",H$3,"NA"),'MITRE ATT&amp;CK Mappings'!$J197))), 'MITRE ATT&amp;CK Mappings'!$B197,"")</f>
        <v/>
      </c>
      <c r="I201" s="27" t="str">
        <f>IF(OR(OR(OR(OR(OR(ISNUMBER(SEARCH(IF(I$1&lt;&gt;"",I$1,"NA"),'MITRE ATT&amp;CK Mappings'!$E197)),ISNUMBER(SEARCH(IF(I$1&lt;&gt;"",I$1,"NA"),'MITRE ATT&amp;CK Mappings'!$F197))),ISNUMBER(SEARCH(IF(I$2&lt;&gt;"",I$2,"NA"),'MITRE ATT&amp;CK Mappings'!$G197))),ISNUMBER(SEARCH(IF(I$2&lt;&gt;"",I$2,"NA"),'MITRE ATT&amp;CK Mappings'!$H197))),ISNUMBER(SEARCH(IF(I$3&lt;&gt;"",I$3,"NA"),'MITRE ATT&amp;CK Mappings'!$I197))),ISNUMBER(SEARCH(IF(I$3&lt;&gt;"",I$3,"NA"),'MITRE ATT&amp;CK Mappings'!$J197))), 'MITRE ATT&amp;CK Mappings'!$B197,"")</f>
        <v/>
      </c>
      <c r="J201" s="27" t="str">
        <f>IF(OR(OR(OR(OR(OR(ISNUMBER(SEARCH(IF(J$1&lt;&gt;"",J$1,"NA"),'MITRE ATT&amp;CK Mappings'!$E197)),ISNUMBER(SEARCH(IF(J$1&lt;&gt;"",J$1,"NA"),'MITRE ATT&amp;CK Mappings'!$F197))),ISNUMBER(SEARCH(IF(J$2&lt;&gt;"",J$2,"NA"),'MITRE ATT&amp;CK Mappings'!$G197))),ISNUMBER(SEARCH(IF(J$2&lt;&gt;"",J$2,"NA"),'MITRE ATT&amp;CK Mappings'!$H197))),ISNUMBER(SEARCH(IF(J$3&lt;&gt;"",J$3,"NA"),'MITRE ATT&amp;CK Mappings'!$I197))),ISNUMBER(SEARCH(IF(J$3&lt;&gt;"",J$3,"NA"),'MITRE ATT&amp;CK Mappings'!$J197))), 'MITRE ATT&amp;CK Mappings'!$B197,"")</f>
        <v/>
      </c>
      <c r="K201" s="27" t="str">
        <f>IF(OR(OR(OR(OR(OR(ISNUMBER(SEARCH(IF(K$1&lt;&gt;"",K$1,"NA"),'MITRE ATT&amp;CK Mappings'!$E197)),ISNUMBER(SEARCH(IF(K$1&lt;&gt;"",K$1,"NA"),'MITRE ATT&amp;CK Mappings'!$F197))),ISNUMBER(SEARCH(IF(K$2&lt;&gt;"",K$2,"NA"),'MITRE ATT&amp;CK Mappings'!$G197))),ISNUMBER(SEARCH(IF(K$2&lt;&gt;"",K$2,"NA"),'MITRE ATT&amp;CK Mappings'!$H197))),ISNUMBER(SEARCH(IF(K$3&lt;&gt;"",K$3,"NA"),'MITRE ATT&amp;CK Mappings'!$I197))),ISNUMBER(SEARCH(IF(K$3&lt;&gt;"",K$3,"NA"),'MITRE ATT&amp;CK Mappings'!$J197))), 'MITRE ATT&amp;CK Mappings'!$B197,"")</f>
        <v/>
      </c>
      <c r="L201" s="27" t="str">
        <f>IF('MITRE ATT&amp;CK Mappings'!D197 &lt;&gt;"",'MITRE ATT&amp;CK Mappings'!D197,"" )</f>
        <v/>
      </c>
    </row>
    <row r="202" spans="1:12" x14ac:dyDescent="0.25">
      <c r="A202" s="26" t="str">
        <f>IF(COUNTIF(B202:K202,"="&amp;'MITRE ATT&amp;CK Mappings'!B198)&gt;0,'MITRE ATT&amp;CK Mappings'!B198,"")</f>
        <v/>
      </c>
      <c r="B202" s="26" t="str">
        <f>IF(OR(OR(OR(OR(OR(ISNUMBER(SEARCH(IF(B$1&lt;&gt;"",B$1,"NA"),'MITRE ATT&amp;CK Mappings'!$E198)),ISNUMBER(SEARCH(IF(B$1&lt;&gt;"",B$1,"NA"),'MITRE ATT&amp;CK Mappings'!$F198))),ISNUMBER(SEARCH(IF(B$2&lt;&gt;"",B$2,"NA"),'MITRE ATT&amp;CK Mappings'!$G198))),ISNUMBER(SEARCH(IF(B$2&lt;&gt;"",B$2,"NA"),'MITRE ATT&amp;CK Mappings'!$H198))),ISNUMBER(SEARCH(IF(B$3&lt;&gt;"",B$3,"NA"),'MITRE ATT&amp;CK Mappings'!$I198))),ISNUMBER(SEARCH(IF(B$3&lt;&gt;"",B$3,"NA"),'MITRE ATT&amp;CK Mappings'!$J198))), 'MITRE ATT&amp;CK Mappings'!$B198,"")</f>
        <v/>
      </c>
      <c r="C202" s="26" t="str">
        <f>IF(OR(OR(OR(OR(OR(ISNUMBER(SEARCH(IF(C$1&lt;&gt;"",C$1,"NA"),'MITRE ATT&amp;CK Mappings'!$E198)),ISNUMBER(SEARCH(IF(C$1&lt;&gt;"",C$1,"NA"),'MITRE ATT&amp;CK Mappings'!$F198))),ISNUMBER(SEARCH(IF(C$2&lt;&gt;"",C$2,"NA"),'MITRE ATT&amp;CK Mappings'!$G198))),ISNUMBER(SEARCH(IF(C$2&lt;&gt;"",C$2,"NA"),'MITRE ATT&amp;CK Mappings'!$H198))),ISNUMBER(SEARCH(IF(C$3&lt;&gt;"",C$3,"NA"),'MITRE ATT&amp;CK Mappings'!$I198))),ISNUMBER(SEARCH(IF(C$3&lt;&gt;"",C$3,"NA"),'MITRE ATT&amp;CK Mappings'!$J198))), 'MITRE ATT&amp;CK Mappings'!$B198,"")</f>
        <v/>
      </c>
      <c r="D202" s="26" t="str">
        <f>IF(OR(OR(OR(OR(OR(ISNUMBER(SEARCH(IF(D$1&lt;&gt;"",D$1,"NA"),'MITRE ATT&amp;CK Mappings'!$E198)),ISNUMBER(SEARCH(IF(D$1&lt;&gt;"",D$1,"NA"),'MITRE ATT&amp;CK Mappings'!$F198))),ISNUMBER(SEARCH(IF(D$2&lt;&gt;"",D$2,"NA"),'MITRE ATT&amp;CK Mappings'!$G198))),ISNUMBER(SEARCH(IF(D$2&lt;&gt;"",D$2,"NA"),'MITRE ATT&amp;CK Mappings'!$H198))),ISNUMBER(SEARCH(IF(D$3&lt;&gt;"",D$3,"NA"),'MITRE ATT&amp;CK Mappings'!$I198))),ISNUMBER(SEARCH(IF(D$3&lt;&gt;"",D$3,"NA"),'MITRE ATT&amp;CK Mappings'!$J198))), 'MITRE ATT&amp;CK Mappings'!$B198,"")</f>
        <v/>
      </c>
      <c r="E202" s="26" t="str">
        <f>IF(OR(OR(OR(OR(OR(ISNUMBER(SEARCH(IF(E$1&lt;&gt;"",E$1,"NA"),'MITRE ATT&amp;CK Mappings'!$E198)),ISNUMBER(SEARCH(IF(E$1&lt;&gt;"",E$1,"NA"),'MITRE ATT&amp;CK Mappings'!$F198))),ISNUMBER(SEARCH(IF(E$2&lt;&gt;"",E$2,"NA"),'MITRE ATT&amp;CK Mappings'!$G198))),ISNUMBER(SEARCH(IF(E$2&lt;&gt;"",E$2,"NA"),'MITRE ATT&amp;CK Mappings'!$H198))),ISNUMBER(SEARCH(IF(E$3&lt;&gt;"",E$3,"NA"),'MITRE ATT&amp;CK Mappings'!$I198))),ISNUMBER(SEARCH(IF(E$3&lt;&gt;"",E$3,"NA"),'MITRE ATT&amp;CK Mappings'!$J198))), 'MITRE ATT&amp;CK Mappings'!$B198,"")</f>
        <v/>
      </c>
      <c r="F202" s="26" t="str">
        <f>IF(OR(OR(OR(OR(OR(ISNUMBER(SEARCH(IF(F$1&lt;&gt;"",F$1,"NA"),'MITRE ATT&amp;CK Mappings'!$E198)),ISNUMBER(SEARCH(IF(F$1&lt;&gt;"",F$1,"NA"),'MITRE ATT&amp;CK Mappings'!$F198))),ISNUMBER(SEARCH(IF(F$2&lt;&gt;"",F$2,"NA"),'MITRE ATT&amp;CK Mappings'!$G198))),ISNUMBER(SEARCH(IF(F$2&lt;&gt;"",F$2,"NA"),'MITRE ATT&amp;CK Mappings'!$H198))),ISNUMBER(SEARCH(IF(F$3&lt;&gt;"",F$3,"NA"),'MITRE ATT&amp;CK Mappings'!$I198))),ISNUMBER(SEARCH(IF(F$3&lt;&gt;"",F$3,"NA"),'MITRE ATT&amp;CK Mappings'!$J198))), 'MITRE ATT&amp;CK Mappings'!$B198,"")</f>
        <v/>
      </c>
      <c r="G202" s="26" t="str">
        <f>IF(OR(OR(OR(OR(OR(ISNUMBER(SEARCH(IF(G$1&lt;&gt;"",G$1,"NA"),'MITRE ATT&amp;CK Mappings'!$E198)),ISNUMBER(SEARCH(IF(G$1&lt;&gt;"",G$1,"NA"),'MITRE ATT&amp;CK Mappings'!$F198))),ISNUMBER(SEARCH(IF(G$2&lt;&gt;"",G$2,"NA"),'MITRE ATT&amp;CK Mappings'!$G198))),ISNUMBER(SEARCH(IF(G$2&lt;&gt;"",G$2,"NA"),'MITRE ATT&amp;CK Mappings'!$H198))),ISNUMBER(SEARCH(IF(G$3&lt;&gt;"",G$3,"NA"),'MITRE ATT&amp;CK Mappings'!$I198))),ISNUMBER(SEARCH(IF(G$3&lt;&gt;"",G$3,"NA"),'MITRE ATT&amp;CK Mappings'!$J198))), 'MITRE ATT&amp;CK Mappings'!$B198,"")</f>
        <v/>
      </c>
      <c r="H202" s="26" t="str">
        <f>IF(OR(OR(OR(OR(OR(ISNUMBER(SEARCH(IF(H$1&lt;&gt;"",H$1,"NA"),'MITRE ATT&amp;CK Mappings'!$E198)),ISNUMBER(SEARCH(IF(H$1&lt;&gt;"",H$1,"NA"),'MITRE ATT&amp;CK Mappings'!$F198))),ISNUMBER(SEARCH(IF(H$2&lt;&gt;"",H$2,"NA"),'MITRE ATT&amp;CK Mappings'!$G198))),ISNUMBER(SEARCH(IF(H$2&lt;&gt;"",H$2,"NA"),'MITRE ATT&amp;CK Mappings'!$H198))),ISNUMBER(SEARCH(IF(H$3&lt;&gt;"",H$3,"NA"),'MITRE ATT&amp;CK Mappings'!$I198))),ISNUMBER(SEARCH(IF(H$3&lt;&gt;"",H$3,"NA"),'MITRE ATT&amp;CK Mappings'!$J198))), 'MITRE ATT&amp;CK Mappings'!$B198,"")</f>
        <v/>
      </c>
      <c r="I202" s="26" t="str">
        <f>IF(OR(OR(OR(OR(OR(ISNUMBER(SEARCH(IF(I$1&lt;&gt;"",I$1,"NA"),'MITRE ATT&amp;CK Mappings'!$E198)),ISNUMBER(SEARCH(IF(I$1&lt;&gt;"",I$1,"NA"),'MITRE ATT&amp;CK Mappings'!$F198))),ISNUMBER(SEARCH(IF(I$2&lt;&gt;"",I$2,"NA"),'MITRE ATT&amp;CK Mappings'!$G198))),ISNUMBER(SEARCH(IF(I$2&lt;&gt;"",I$2,"NA"),'MITRE ATT&amp;CK Mappings'!$H198))),ISNUMBER(SEARCH(IF(I$3&lt;&gt;"",I$3,"NA"),'MITRE ATT&amp;CK Mappings'!$I198))),ISNUMBER(SEARCH(IF(I$3&lt;&gt;"",I$3,"NA"),'MITRE ATT&amp;CK Mappings'!$J198))), 'MITRE ATT&amp;CK Mappings'!$B198,"")</f>
        <v/>
      </c>
      <c r="J202" s="26" t="str">
        <f>IF(OR(OR(OR(OR(OR(ISNUMBER(SEARCH(IF(J$1&lt;&gt;"",J$1,"NA"),'MITRE ATT&amp;CK Mappings'!$E198)),ISNUMBER(SEARCH(IF(J$1&lt;&gt;"",J$1,"NA"),'MITRE ATT&amp;CK Mappings'!$F198))),ISNUMBER(SEARCH(IF(J$2&lt;&gt;"",J$2,"NA"),'MITRE ATT&amp;CK Mappings'!$G198))),ISNUMBER(SEARCH(IF(J$2&lt;&gt;"",J$2,"NA"),'MITRE ATT&amp;CK Mappings'!$H198))),ISNUMBER(SEARCH(IF(J$3&lt;&gt;"",J$3,"NA"),'MITRE ATT&amp;CK Mappings'!$I198))),ISNUMBER(SEARCH(IF(J$3&lt;&gt;"",J$3,"NA"),'MITRE ATT&amp;CK Mappings'!$J198))), 'MITRE ATT&amp;CK Mappings'!$B198,"")</f>
        <v/>
      </c>
      <c r="K202" s="26" t="str">
        <f>IF(OR(OR(OR(OR(OR(ISNUMBER(SEARCH(IF(K$1&lt;&gt;"",K$1,"NA"),'MITRE ATT&amp;CK Mappings'!$E198)),ISNUMBER(SEARCH(IF(K$1&lt;&gt;"",K$1,"NA"),'MITRE ATT&amp;CK Mappings'!$F198))),ISNUMBER(SEARCH(IF(K$2&lt;&gt;"",K$2,"NA"),'MITRE ATT&amp;CK Mappings'!$G198))),ISNUMBER(SEARCH(IF(K$2&lt;&gt;"",K$2,"NA"),'MITRE ATT&amp;CK Mappings'!$H198))),ISNUMBER(SEARCH(IF(K$3&lt;&gt;"",K$3,"NA"),'MITRE ATT&amp;CK Mappings'!$I198))),ISNUMBER(SEARCH(IF(K$3&lt;&gt;"",K$3,"NA"),'MITRE ATT&amp;CK Mappings'!$J198))), 'MITRE ATT&amp;CK Mappings'!$B198,"")</f>
        <v/>
      </c>
      <c r="L202" s="26" t="str">
        <f>IF('MITRE ATT&amp;CK Mappings'!D198 &lt;&gt;"",'MITRE ATT&amp;CK Mappings'!D198,"" )</f>
        <v/>
      </c>
    </row>
    <row r="203" spans="1:12" x14ac:dyDescent="0.25">
      <c r="A203" s="27" t="str">
        <f>IF(COUNTIF(B203:K203,"="&amp;'MITRE ATT&amp;CK Mappings'!B199)&gt;0,'MITRE ATT&amp;CK Mappings'!B199,"")</f>
        <v/>
      </c>
      <c r="B203" s="27" t="str">
        <f>IF(OR(OR(OR(OR(OR(ISNUMBER(SEARCH(IF(B$1&lt;&gt;"",B$1,"NA"),'MITRE ATT&amp;CK Mappings'!$E199)),ISNUMBER(SEARCH(IF(B$1&lt;&gt;"",B$1,"NA"),'MITRE ATT&amp;CK Mappings'!$F199))),ISNUMBER(SEARCH(IF(B$2&lt;&gt;"",B$2,"NA"),'MITRE ATT&amp;CK Mappings'!$G199))),ISNUMBER(SEARCH(IF(B$2&lt;&gt;"",B$2,"NA"),'MITRE ATT&amp;CK Mappings'!$H199))),ISNUMBER(SEARCH(IF(B$3&lt;&gt;"",B$3,"NA"),'MITRE ATT&amp;CK Mappings'!$I199))),ISNUMBER(SEARCH(IF(B$3&lt;&gt;"",B$3,"NA"),'MITRE ATT&amp;CK Mappings'!$J199))), 'MITRE ATT&amp;CK Mappings'!$B199,"")</f>
        <v/>
      </c>
      <c r="C203" s="27" t="str">
        <f>IF(OR(OR(OR(OR(OR(ISNUMBER(SEARCH(IF(C$1&lt;&gt;"",C$1,"NA"),'MITRE ATT&amp;CK Mappings'!$E199)),ISNUMBER(SEARCH(IF(C$1&lt;&gt;"",C$1,"NA"),'MITRE ATT&amp;CK Mappings'!$F199))),ISNUMBER(SEARCH(IF(C$2&lt;&gt;"",C$2,"NA"),'MITRE ATT&amp;CK Mappings'!$G199))),ISNUMBER(SEARCH(IF(C$2&lt;&gt;"",C$2,"NA"),'MITRE ATT&amp;CK Mappings'!$H199))),ISNUMBER(SEARCH(IF(C$3&lt;&gt;"",C$3,"NA"),'MITRE ATT&amp;CK Mappings'!$I199))),ISNUMBER(SEARCH(IF(C$3&lt;&gt;"",C$3,"NA"),'MITRE ATT&amp;CK Mappings'!$J199))), 'MITRE ATT&amp;CK Mappings'!$B199,"")</f>
        <v/>
      </c>
      <c r="D203" s="27" t="str">
        <f>IF(OR(OR(OR(OR(OR(ISNUMBER(SEARCH(IF(D$1&lt;&gt;"",D$1,"NA"),'MITRE ATT&amp;CK Mappings'!$E199)),ISNUMBER(SEARCH(IF(D$1&lt;&gt;"",D$1,"NA"),'MITRE ATT&amp;CK Mappings'!$F199))),ISNUMBER(SEARCH(IF(D$2&lt;&gt;"",D$2,"NA"),'MITRE ATT&amp;CK Mappings'!$G199))),ISNUMBER(SEARCH(IF(D$2&lt;&gt;"",D$2,"NA"),'MITRE ATT&amp;CK Mappings'!$H199))),ISNUMBER(SEARCH(IF(D$3&lt;&gt;"",D$3,"NA"),'MITRE ATT&amp;CK Mappings'!$I199))),ISNUMBER(SEARCH(IF(D$3&lt;&gt;"",D$3,"NA"),'MITRE ATT&amp;CK Mappings'!$J199))), 'MITRE ATT&amp;CK Mappings'!$B199,"")</f>
        <v/>
      </c>
      <c r="E203" s="27" t="str">
        <f>IF(OR(OR(OR(OR(OR(ISNUMBER(SEARCH(IF(E$1&lt;&gt;"",E$1,"NA"),'MITRE ATT&amp;CK Mappings'!$E199)),ISNUMBER(SEARCH(IF(E$1&lt;&gt;"",E$1,"NA"),'MITRE ATT&amp;CK Mappings'!$F199))),ISNUMBER(SEARCH(IF(E$2&lt;&gt;"",E$2,"NA"),'MITRE ATT&amp;CK Mappings'!$G199))),ISNUMBER(SEARCH(IF(E$2&lt;&gt;"",E$2,"NA"),'MITRE ATT&amp;CK Mappings'!$H199))),ISNUMBER(SEARCH(IF(E$3&lt;&gt;"",E$3,"NA"),'MITRE ATT&amp;CK Mappings'!$I199))),ISNUMBER(SEARCH(IF(E$3&lt;&gt;"",E$3,"NA"),'MITRE ATT&amp;CK Mappings'!$J199))), 'MITRE ATT&amp;CK Mappings'!$B199,"")</f>
        <v/>
      </c>
      <c r="F203" s="27" t="str">
        <f>IF(OR(OR(OR(OR(OR(ISNUMBER(SEARCH(IF(F$1&lt;&gt;"",F$1,"NA"),'MITRE ATT&amp;CK Mappings'!$E199)),ISNUMBER(SEARCH(IF(F$1&lt;&gt;"",F$1,"NA"),'MITRE ATT&amp;CK Mappings'!$F199))),ISNUMBER(SEARCH(IF(F$2&lt;&gt;"",F$2,"NA"),'MITRE ATT&amp;CK Mappings'!$G199))),ISNUMBER(SEARCH(IF(F$2&lt;&gt;"",F$2,"NA"),'MITRE ATT&amp;CK Mappings'!$H199))),ISNUMBER(SEARCH(IF(F$3&lt;&gt;"",F$3,"NA"),'MITRE ATT&amp;CK Mappings'!$I199))),ISNUMBER(SEARCH(IF(F$3&lt;&gt;"",F$3,"NA"),'MITRE ATT&amp;CK Mappings'!$J199))), 'MITRE ATT&amp;CK Mappings'!$B199,"")</f>
        <v/>
      </c>
      <c r="G203" s="27" t="str">
        <f>IF(OR(OR(OR(OR(OR(ISNUMBER(SEARCH(IF(G$1&lt;&gt;"",G$1,"NA"),'MITRE ATT&amp;CK Mappings'!$E199)),ISNUMBER(SEARCH(IF(G$1&lt;&gt;"",G$1,"NA"),'MITRE ATT&amp;CK Mappings'!$F199))),ISNUMBER(SEARCH(IF(G$2&lt;&gt;"",G$2,"NA"),'MITRE ATT&amp;CK Mappings'!$G199))),ISNUMBER(SEARCH(IF(G$2&lt;&gt;"",G$2,"NA"),'MITRE ATT&amp;CK Mappings'!$H199))),ISNUMBER(SEARCH(IF(G$3&lt;&gt;"",G$3,"NA"),'MITRE ATT&amp;CK Mappings'!$I199))),ISNUMBER(SEARCH(IF(G$3&lt;&gt;"",G$3,"NA"),'MITRE ATT&amp;CK Mappings'!$J199))), 'MITRE ATT&amp;CK Mappings'!$B199,"")</f>
        <v/>
      </c>
      <c r="H203" s="27" t="str">
        <f>IF(OR(OR(OR(OR(OR(ISNUMBER(SEARCH(IF(H$1&lt;&gt;"",H$1,"NA"),'MITRE ATT&amp;CK Mappings'!$E199)),ISNUMBER(SEARCH(IF(H$1&lt;&gt;"",H$1,"NA"),'MITRE ATT&amp;CK Mappings'!$F199))),ISNUMBER(SEARCH(IF(H$2&lt;&gt;"",H$2,"NA"),'MITRE ATT&amp;CK Mappings'!$G199))),ISNUMBER(SEARCH(IF(H$2&lt;&gt;"",H$2,"NA"),'MITRE ATT&amp;CK Mappings'!$H199))),ISNUMBER(SEARCH(IF(H$3&lt;&gt;"",H$3,"NA"),'MITRE ATT&amp;CK Mappings'!$I199))),ISNUMBER(SEARCH(IF(H$3&lt;&gt;"",H$3,"NA"),'MITRE ATT&amp;CK Mappings'!$J199))), 'MITRE ATT&amp;CK Mappings'!$B199,"")</f>
        <v/>
      </c>
      <c r="I203" s="27" t="str">
        <f>IF(OR(OR(OR(OR(OR(ISNUMBER(SEARCH(IF(I$1&lt;&gt;"",I$1,"NA"),'MITRE ATT&amp;CK Mappings'!$E199)),ISNUMBER(SEARCH(IF(I$1&lt;&gt;"",I$1,"NA"),'MITRE ATT&amp;CK Mappings'!$F199))),ISNUMBER(SEARCH(IF(I$2&lt;&gt;"",I$2,"NA"),'MITRE ATT&amp;CK Mappings'!$G199))),ISNUMBER(SEARCH(IF(I$2&lt;&gt;"",I$2,"NA"),'MITRE ATT&amp;CK Mappings'!$H199))),ISNUMBER(SEARCH(IF(I$3&lt;&gt;"",I$3,"NA"),'MITRE ATT&amp;CK Mappings'!$I199))),ISNUMBER(SEARCH(IF(I$3&lt;&gt;"",I$3,"NA"),'MITRE ATT&amp;CK Mappings'!$J199))), 'MITRE ATT&amp;CK Mappings'!$B199,"")</f>
        <v/>
      </c>
      <c r="J203" s="27" t="str">
        <f>IF(OR(OR(OR(OR(OR(ISNUMBER(SEARCH(IF(J$1&lt;&gt;"",J$1,"NA"),'MITRE ATT&amp;CK Mappings'!$E199)),ISNUMBER(SEARCH(IF(J$1&lt;&gt;"",J$1,"NA"),'MITRE ATT&amp;CK Mappings'!$F199))),ISNUMBER(SEARCH(IF(J$2&lt;&gt;"",J$2,"NA"),'MITRE ATT&amp;CK Mappings'!$G199))),ISNUMBER(SEARCH(IF(J$2&lt;&gt;"",J$2,"NA"),'MITRE ATT&amp;CK Mappings'!$H199))),ISNUMBER(SEARCH(IF(J$3&lt;&gt;"",J$3,"NA"),'MITRE ATT&amp;CK Mappings'!$I199))),ISNUMBER(SEARCH(IF(J$3&lt;&gt;"",J$3,"NA"),'MITRE ATT&amp;CK Mappings'!$J199))), 'MITRE ATT&amp;CK Mappings'!$B199,"")</f>
        <v/>
      </c>
      <c r="K203" s="27" t="str">
        <f>IF(OR(OR(OR(OR(OR(ISNUMBER(SEARCH(IF(K$1&lt;&gt;"",K$1,"NA"),'MITRE ATT&amp;CK Mappings'!$E199)),ISNUMBER(SEARCH(IF(K$1&lt;&gt;"",K$1,"NA"),'MITRE ATT&amp;CK Mappings'!$F199))),ISNUMBER(SEARCH(IF(K$2&lt;&gt;"",K$2,"NA"),'MITRE ATT&amp;CK Mappings'!$G199))),ISNUMBER(SEARCH(IF(K$2&lt;&gt;"",K$2,"NA"),'MITRE ATT&amp;CK Mappings'!$H199))),ISNUMBER(SEARCH(IF(K$3&lt;&gt;"",K$3,"NA"),'MITRE ATT&amp;CK Mappings'!$I199))),ISNUMBER(SEARCH(IF(K$3&lt;&gt;"",K$3,"NA"),'MITRE ATT&amp;CK Mappings'!$J199))), 'MITRE ATT&amp;CK Mappings'!$B199,"")</f>
        <v/>
      </c>
      <c r="L203" s="27" t="str">
        <f>IF('MITRE ATT&amp;CK Mappings'!D199 &lt;&gt;"",'MITRE ATT&amp;CK Mappings'!D199,"" )</f>
        <v/>
      </c>
    </row>
    <row r="204" spans="1:12" x14ac:dyDescent="0.25">
      <c r="A204" s="26" t="str">
        <f>IF(COUNTIF(B204:K204,"="&amp;'MITRE ATT&amp;CK Mappings'!B200)&gt;0,'MITRE ATT&amp;CK Mappings'!B200,"")</f>
        <v/>
      </c>
      <c r="B204" s="26" t="str">
        <f>IF(OR(OR(OR(OR(OR(ISNUMBER(SEARCH(IF(B$1&lt;&gt;"",B$1,"NA"),'MITRE ATT&amp;CK Mappings'!$E200)),ISNUMBER(SEARCH(IF(B$1&lt;&gt;"",B$1,"NA"),'MITRE ATT&amp;CK Mappings'!$F200))),ISNUMBER(SEARCH(IF(B$2&lt;&gt;"",B$2,"NA"),'MITRE ATT&amp;CK Mappings'!$G200))),ISNUMBER(SEARCH(IF(B$2&lt;&gt;"",B$2,"NA"),'MITRE ATT&amp;CK Mappings'!$H200))),ISNUMBER(SEARCH(IF(B$3&lt;&gt;"",B$3,"NA"),'MITRE ATT&amp;CK Mappings'!$I200))),ISNUMBER(SEARCH(IF(B$3&lt;&gt;"",B$3,"NA"),'MITRE ATT&amp;CK Mappings'!$J200))), 'MITRE ATT&amp;CK Mappings'!$B200,"")</f>
        <v/>
      </c>
      <c r="C204" s="26" t="str">
        <f>IF(OR(OR(OR(OR(OR(ISNUMBER(SEARCH(IF(C$1&lt;&gt;"",C$1,"NA"),'MITRE ATT&amp;CK Mappings'!$E200)),ISNUMBER(SEARCH(IF(C$1&lt;&gt;"",C$1,"NA"),'MITRE ATT&amp;CK Mappings'!$F200))),ISNUMBER(SEARCH(IF(C$2&lt;&gt;"",C$2,"NA"),'MITRE ATT&amp;CK Mappings'!$G200))),ISNUMBER(SEARCH(IF(C$2&lt;&gt;"",C$2,"NA"),'MITRE ATT&amp;CK Mappings'!$H200))),ISNUMBER(SEARCH(IF(C$3&lt;&gt;"",C$3,"NA"),'MITRE ATT&amp;CK Mappings'!$I200))),ISNUMBER(SEARCH(IF(C$3&lt;&gt;"",C$3,"NA"),'MITRE ATT&amp;CK Mappings'!$J200))), 'MITRE ATT&amp;CK Mappings'!$B200,"")</f>
        <v/>
      </c>
      <c r="D204" s="26" t="str">
        <f>IF(OR(OR(OR(OR(OR(ISNUMBER(SEARCH(IF(D$1&lt;&gt;"",D$1,"NA"),'MITRE ATT&amp;CK Mappings'!$E200)),ISNUMBER(SEARCH(IF(D$1&lt;&gt;"",D$1,"NA"),'MITRE ATT&amp;CK Mappings'!$F200))),ISNUMBER(SEARCH(IF(D$2&lt;&gt;"",D$2,"NA"),'MITRE ATT&amp;CK Mappings'!$G200))),ISNUMBER(SEARCH(IF(D$2&lt;&gt;"",D$2,"NA"),'MITRE ATT&amp;CK Mappings'!$H200))),ISNUMBER(SEARCH(IF(D$3&lt;&gt;"",D$3,"NA"),'MITRE ATT&amp;CK Mappings'!$I200))),ISNUMBER(SEARCH(IF(D$3&lt;&gt;"",D$3,"NA"),'MITRE ATT&amp;CK Mappings'!$J200))), 'MITRE ATT&amp;CK Mappings'!$B200,"")</f>
        <v/>
      </c>
      <c r="E204" s="26" t="str">
        <f>IF(OR(OR(OR(OR(OR(ISNUMBER(SEARCH(IF(E$1&lt;&gt;"",E$1,"NA"),'MITRE ATT&amp;CK Mappings'!$E200)),ISNUMBER(SEARCH(IF(E$1&lt;&gt;"",E$1,"NA"),'MITRE ATT&amp;CK Mappings'!$F200))),ISNUMBER(SEARCH(IF(E$2&lt;&gt;"",E$2,"NA"),'MITRE ATT&amp;CK Mappings'!$G200))),ISNUMBER(SEARCH(IF(E$2&lt;&gt;"",E$2,"NA"),'MITRE ATT&amp;CK Mappings'!$H200))),ISNUMBER(SEARCH(IF(E$3&lt;&gt;"",E$3,"NA"),'MITRE ATT&amp;CK Mappings'!$I200))),ISNUMBER(SEARCH(IF(E$3&lt;&gt;"",E$3,"NA"),'MITRE ATT&amp;CK Mappings'!$J200))), 'MITRE ATT&amp;CK Mappings'!$B200,"")</f>
        <v/>
      </c>
      <c r="F204" s="26" t="str">
        <f>IF(OR(OR(OR(OR(OR(ISNUMBER(SEARCH(IF(F$1&lt;&gt;"",F$1,"NA"),'MITRE ATT&amp;CK Mappings'!$E200)),ISNUMBER(SEARCH(IF(F$1&lt;&gt;"",F$1,"NA"),'MITRE ATT&amp;CK Mappings'!$F200))),ISNUMBER(SEARCH(IF(F$2&lt;&gt;"",F$2,"NA"),'MITRE ATT&amp;CK Mappings'!$G200))),ISNUMBER(SEARCH(IF(F$2&lt;&gt;"",F$2,"NA"),'MITRE ATT&amp;CK Mappings'!$H200))),ISNUMBER(SEARCH(IF(F$3&lt;&gt;"",F$3,"NA"),'MITRE ATT&amp;CK Mappings'!$I200))),ISNUMBER(SEARCH(IF(F$3&lt;&gt;"",F$3,"NA"),'MITRE ATT&amp;CK Mappings'!$J200))), 'MITRE ATT&amp;CK Mappings'!$B200,"")</f>
        <v/>
      </c>
      <c r="G204" s="26" t="str">
        <f>IF(OR(OR(OR(OR(OR(ISNUMBER(SEARCH(IF(G$1&lt;&gt;"",G$1,"NA"),'MITRE ATT&amp;CK Mappings'!$E200)),ISNUMBER(SEARCH(IF(G$1&lt;&gt;"",G$1,"NA"),'MITRE ATT&amp;CK Mappings'!$F200))),ISNUMBER(SEARCH(IF(G$2&lt;&gt;"",G$2,"NA"),'MITRE ATT&amp;CK Mappings'!$G200))),ISNUMBER(SEARCH(IF(G$2&lt;&gt;"",G$2,"NA"),'MITRE ATT&amp;CK Mappings'!$H200))),ISNUMBER(SEARCH(IF(G$3&lt;&gt;"",G$3,"NA"),'MITRE ATT&amp;CK Mappings'!$I200))),ISNUMBER(SEARCH(IF(G$3&lt;&gt;"",G$3,"NA"),'MITRE ATT&amp;CK Mappings'!$J200))), 'MITRE ATT&amp;CK Mappings'!$B200,"")</f>
        <v/>
      </c>
      <c r="H204" s="26" t="str">
        <f>IF(OR(OR(OR(OR(OR(ISNUMBER(SEARCH(IF(H$1&lt;&gt;"",H$1,"NA"),'MITRE ATT&amp;CK Mappings'!$E200)),ISNUMBER(SEARCH(IF(H$1&lt;&gt;"",H$1,"NA"),'MITRE ATT&amp;CK Mappings'!$F200))),ISNUMBER(SEARCH(IF(H$2&lt;&gt;"",H$2,"NA"),'MITRE ATT&amp;CK Mappings'!$G200))),ISNUMBER(SEARCH(IF(H$2&lt;&gt;"",H$2,"NA"),'MITRE ATT&amp;CK Mappings'!$H200))),ISNUMBER(SEARCH(IF(H$3&lt;&gt;"",H$3,"NA"),'MITRE ATT&amp;CK Mappings'!$I200))),ISNUMBER(SEARCH(IF(H$3&lt;&gt;"",H$3,"NA"),'MITRE ATT&amp;CK Mappings'!$J200))), 'MITRE ATT&amp;CK Mappings'!$B200,"")</f>
        <v/>
      </c>
      <c r="I204" s="26" t="str">
        <f>IF(OR(OR(OR(OR(OR(ISNUMBER(SEARCH(IF(I$1&lt;&gt;"",I$1,"NA"),'MITRE ATT&amp;CK Mappings'!$E200)),ISNUMBER(SEARCH(IF(I$1&lt;&gt;"",I$1,"NA"),'MITRE ATT&amp;CK Mappings'!$F200))),ISNUMBER(SEARCH(IF(I$2&lt;&gt;"",I$2,"NA"),'MITRE ATT&amp;CK Mappings'!$G200))),ISNUMBER(SEARCH(IF(I$2&lt;&gt;"",I$2,"NA"),'MITRE ATT&amp;CK Mappings'!$H200))),ISNUMBER(SEARCH(IF(I$3&lt;&gt;"",I$3,"NA"),'MITRE ATT&amp;CK Mappings'!$I200))),ISNUMBER(SEARCH(IF(I$3&lt;&gt;"",I$3,"NA"),'MITRE ATT&amp;CK Mappings'!$J200))), 'MITRE ATT&amp;CK Mappings'!$B200,"")</f>
        <v/>
      </c>
      <c r="J204" s="26" t="str">
        <f>IF(OR(OR(OR(OR(OR(ISNUMBER(SEARCH(IF(J$1&lt;&gt;"",J$1,"NA"),'MITRE ATT&amp;CK Mappings'!$E200)),ISNUMBER(SEARCH(IF(J$1&lt;&gt;"",J$1,"NA"),'MITRE ATT&amp;CK Mappings'!$F200))),ISNUMBER(SEARCH(IF(J$2&lt;&gt;"",J$2,"NA"),'MITRE ATT&amp;CK Mappings'!$G200))),ISNUMBER(SEARCH(IF(J$2&lt;&gt;"",J$2,"NA"),'MITRE ATT&amp;CK Mappings'!$H200))),ISNUMBER(SEARCH(IF(J$3&lt;&gt;"",J$3,"NA"),'MITRE ATT&amp;CK Mappings'!$I200))),ISNUMBER(SEARCH(IF(J$3&lt;&gt;"",J$3,"NA"),'MITRE ATT&amp;CK Mappings'!$J200))), 'MITRE ATT&amp;CK Mappings'!$B200,"")</f>
        <v/>
      </c>
      <c r="K204" s="26" t="str">
        <f>IF(OR(OR(OR(OR(OR(ISNUMBER(SEARCH(IF(K$1&lt;&gt;"",K$1,"NA"),'MITRE ATT&amp;CK Mappings'!$E200)),ISNUMBER(SEARCH(IF(K$1&lt;&gt;"",K$1,"NA"),'MITRE ATT&amp;CK Mappings'!$F200))),ISNUMBER(SEARCH(IF(K$2&lt;&gt;"",K$2,"NA"),'MITRE ATT&amp;CK Mappings'!$G200))),ISNUMBER(SEARCH(IF(K$2&lt;&gt;"",K$2,"NA"),'MITRE ATT&amp;CK Mappings'!$H200))),ISNUMBER(SEARCH(IF(K$3&lt;&gt;"",K$3,"NA"),'MITRE ATT&amp;CK Mappings'!$I200))),ISNUMBER(SEARCH(IF(K$3&lt;&gt;"",K$3,"NA"),'MITRE ATT&amp;CK Mappings'!$J200))), 'MITRE ATT&amp;CK Mappings'!$B200,"")</f>
        <v/>
      </c>
      <c r="L204" s="26" t="str">
        <f>IF('MITRE ATT&amp;CK Mappings'!D200 &lt;&gt;"",'MITRE ATT&amp;CK Mappings'!D200,"" )</f>
        <v/>
      </c>
    </row>
    <row r="205" spans="1:12" x14ac:dyDescent="0.25">
      <c r="A205" s="27" t="str">
        <f>IF(COUNTIF(B205:K205,"="&amp;'MITRE ATT&amp;CK Mappings'!B201)&gt;0,'MITRE ATT&amp;CK Mappings'!B201,"")</f>
        <v/>
      </c>
      <c r="B205" s="27" t="str">
        <f>IF(OR(OR(OR(OR(OR(ISNUMBER(SEARCH(IF(B$1&lt;&gt;"",B$1,"NA"),'MITRE ATT&amp;CK Mappings'!$E201)),ISNUMBER(SEARCH(IF(B$1&lt;&gt;"",B$1,"NA"),'MITRE ATT&amp;CK Mappings'!$F201))),ISNUMBER(SEARCH(IF(B$2&lt;&gt;"",B$2,"NA"),'MITRE ATT&amp;CK Mappings'!$G201))),ISNUMBER(SEARCH(IF(B$2&lt;&gt;"",B$2,"NA"),'MITRE ATT&amp;CK Mappings'!$H201))),ISNUMBER(SEARCH(IF(B$3&lt;&gt;"",B$3,"NA"),'MITRE ATT&amp;CK Mappings'!$I201))),ISNUMBER(SEARCH(IF(B$3&lt;&gt;"",B$3,"NA"),'MITRE ATT&amp;CK Mappings'!$J201))), 'MITRE ATT&amp;CK Mappings'!$B201,"")</f>
        <v/>
      </c>
      <c r="C205" s="27" t="str">
        <f>IF(OR(OR(OR(OR(OR(ISNUMBER(SEARCH(IF(C$1&lt;&gt;"",C$1,"NA"),'MITRE ATT&amp;CK Mappings'!$E201)),ISNUMBER(SEARCH(IF(C$1&lt;&gt;"",C$1,"NA"),'MITRE ATT&amp;CK Mappings'!$F201))),ISNUMBER(SEARCH(IF(C$2&lt;&gt;"",C$2,"NA"),'MITRE ATT&amp;CK Mappings'!$G201))),ISNUMBER(SEARCH(IF(C$2&lt;&gt;"",C$2,"NA"),'MITRE ATT&amp;CK Mappings'!$H201))),ISNUMBER(SEARCH(IF(C$3&lt;&gt;"",C$3,"NA"),'MITRE ATT&amp;CK Mappings'!$I201))),ISNUMBER(SEARCH(IF(C$3&lt;&gt;"",C$3,"NA"),'MITRE ATT&amp;CK Mappings'!$J201))), 'MITRE ATT&amp;CK Mappings'!$B201,"")</f>
        <v/>
      </c>
      <c r="D205" s="27" t="str">
        <f>IF(OR(OR(OR(OR(OR(ISNUMBER(SEARCH(IF(D$1&lt;&gt;"",D$1,"NA"),'MITRE ATT&amp;CK Mappings'!$E201)),ISNUMBER(SEARCH(IF(D$1&lt;&gt;"",D$1,"NA"),'MITRE ATT&amp;CK Mappings'!$F201))),ISNUMBER(SEARCH(IF(D$2&lt;&gt;"",D$2,"NA"),'MITRE ATT&amp;CK Mappings'!$G201))),ISNUMBER(SEARCH(IF(D$2&lt;&gt;"",D$2,"NA"),'MITRE ATT&amp;CK Mappings'!$H201))),ISNUMBER(SEARCH(IF(D$3&lt;&gt;"",D$3,"NA"),'MITRE ATT&amp;CK Mappings'!$I201))),ISNUMBER(SEARCH(IF(D$3&lt;&gt;"",D$3,"NA"),'MITRE ATT&amp;CK Mappings'!$J201))), 'MITRE ATT&amp;CK Mappings'!$B201,"")</f>
        <v/>
      </c>
      <c r="E205" s="27" t="str">
        <f>IF(OR(OR(OR(OR(OR(ISNUMBER(SEARCH(IF(E$1&lt;&gt;"",E$1,"NA"),'MITRE ATT&amp;CK Mappings'!$E201)),ISNUMBER(SEARCH(IF(E$1&lt;&gt;"",E$1,"NA"),'MITRE ATT&amp;CK Mappings'!$F201))),ISNUMBER(SEARCH(IF(E$2&lt;&gt;"",E$2,"NA"),'MITRE ATT&amp;CK Mappings'!$G201))),ISNUMBER(SEARCH(IF(E$2&lt;&gt;"",E$2,"NA"),'MITRE ATT&amp;CK Mappings'!$H201))),ISNUMBER(SEARCH(IF(E$3&lt;&gt;"",E$3,"NA"),'MITRE ATT&amp;CK Mappings'!$I201))),ISNUMBER(SEARCH(IF(E$3&lt;&gt;"",E$3,"NA"),'MITRE ATT&amp;CK Mappings'!$J201))), 'MITRE ATT&amp;CK Mappings'!$B201,"")</f>
        <v/>
      </c>
      <c r="F205" s="27" t="str">
        <f>IF(OR(OR(OR(OR(OR(ISNUMBER(SEARCH(IF(F$1&lt;&gt;"",F$1,"NA"),'MITRE ATT&amp;CK Mappings'!$E201)),ISNUMBER(SEARCH(IF(F$1&lt;&gt;"",F$1,"NA"),'MITRE ATT&amp;CK Mappings'!$F201))),ISNUMBER(SEARCH(IF(F$2&lt;&gt;"",F$2,"NA"),'MITRE ATT&amp;CK Mappings'!$G201))),ISNUMBER(SEARCH(IF(F$2&lt;&gt;"",F$2,"NA"),'MITRE ATT&amp;CK Mappings'!$H201))),ISNUMBER(SEARCH(IF(F$3&lt;&gt;"",F$3,"NA"),'MITRE ATT&amp;CK Mappings'!$I201))),ISNUMBER(SEARCH(IF(F$3&lt;&gt;"",F$3,"NA"),'MITRE ATT&amp;CK Mappings'!$J201))), 'MITRE ATT&amp;CK Mappings'!$B201,"")</f>
        <v/>
      </c>
      <c r="G205" s="27" t="str">
        <f>IF(OR(OR(OR(OR(OR(ISNUMBER(SEARCH(IF(G$1&lt;&gt;"",G$1,"NA"),'MITRE ATT&amp;CK Mappings'!$E201)),ISNUMBER(SEARCH(IF(G$1&lt;&gt;"",G$1,"NA"),'MITRE ATT&amp;CK Mappings'!$F201))),ISNUMBER(SEARCH(IF(G$2&lt;&gt;"",G$2,"NA"),'MITRE ATT&amp;CK Mappings'!$G201))),ISNUMBER(SEARCH(IF(G$2&lt;&gt;"",G$2,"NA"),'MITRE ATT&amp;CK Mappings'!$H201))),ISNUMBER(SEARCH(IF(G$3&lt;&gt;"",G$3,"NA"),'MITRE ATT&amp;CK Mappings'!$I201))),ISNUMBER(SEARCH(IF(G$3&lt;&gt;"",G$3,"NA"),'MITRE ATT&amp;CK Mappings'!$J201))), 'MITRE ATT&amp;CK Mappings'!$B201,"")</f>
        <v/>
      </c>
      <c r="H205" s="27" t="str">
        <f>IF(OR(OR(OR(OR(OR(ISNUMBER(SEARCH(IF(H$1&lt;&gt;"",H$1,"NA"),'MITRE ATT&amp;CK Mappings'!$E201)),ISNUMBER(SEARCH(IF(H$1&lt;&gt;"",H$1,"NA"),'MITRE ATT&amp;CK Mappings'!$F201))),ISNUMBER(SEARCH(IF(H$2&lt;&gt;"",H$2,"NA"),'MITRE ATT&amp;CK Mappings'!$G201))),ISNUMBER(SEARCH(IF(H$2&lt;&gt;"",H$2,"NA"),'MITRE ATT&amp;CK Mappings'!$H201))),ISNUMBER(SEARCH(IF(H$3&lt;&gt;"",H$3,"NA"),'MITRE ATT&amp;CK Mappings'!$I201))),ISNUMBER(SEARCH(IF(H$3&lt;&gt;"",H$3,"NA"),'MITRE ATT&amp;CK Mappings'!$J201))), 'MITRE ATT&amp;CK Mappings'!$B201,"")</f>
        <v/>
      </c>
      <c r="I205" s="27" t="str">
        <f>IF(OR(OR(OR(OR(OR(ISNUMBER(SEARCH(IF(I$1&lt;&gt;"",I$1,"NA"),'MITRE ATT&amp;CK Mappings'!$E201)),ISNUMBER(SEARCH(IF(I$1&lt;&gt;"",I$1,"NA"),'MITRE ATT&amp;CK Mappings'!$F201))),ISNUMBER(SEARCH(IF(I$2&lt;&gt;"",I$2,"NA"),'MITRE ATT&amp;CK Mappings'!$G201))),ISNUMBER(SEARCH(IF(I$2&lt;&gt;"",I$2,"NA"),'MITRE ATT&amp;CK Mappings'!$H201))),ISNUMBER(SEARCH(IF(I$3&lt;&gt;"",I$3,"NA"),'MITRE ATT&amp;CK Mappings'!$I201))),ISNUMBER(SEARCH(IF(I$3&lt;&gt;"",I$3,"NA"),'MITRE ATT&amp;CK Mappings'!$J201))), 'MITRE ATT&amp;CK Mappings'!$B201,"")</f>
        <v/>
      </c>
      <c r="J205" s="27" t="str">
        <f>IF(OR(OR(OR(OR(OR(ISNUMBER(SEARCH(IF(J$1&lt;&gt;"",J$1,"NA"),'MITRE ATT&amp;CK Mappings'!$E201)),ISNUMBER(SEARCH(IF(J$1&lt;&gt;"",J$1,"NA"),'MITRE ATT&amp;CK Mappings'!$F201))),ISNUMBER(SEARCH(IF(J$2&lt;&gt;"",J$2,"NA"),'MITRE ATT&amp;CK Mappings'!$G201))),ISNUMBER(SEARCH(IF(J$2&lt;&gt;"",J$2,"NA"),'MITRE ATT&amp;CK Mappings'!$H201))),ISNUMBER(SEARCH(IF(J$3&lt;&gt;"",J$3,"NA"),'MITRE ATT&amp;CK Mappings'!$I201))),ISNUMBER(SEARCH(IF(J$3&lt;&gt;"",J$3,"NA"),'MITRE ATT&amp;CK Mappings'!$J201))), 'MITRE ATT&amp;CK Mappings'!$B201,"")</f>
        <v/>
      </c>
      <c r="K205" s="27" t="str">
        <f>IF(OR(OR(OR(OR(OR(ISNUMBER(SEARCH(IF(K$1&lt;&gt;"",K$1,"NA"),'MITRE ATT&amp;CK Mappings'!$E201)),ISNUMBER(SEARCH(IF(K$1&lt;&gt;"",K$1,"NA"),'MITRE ATT&amp;CK Mappings'!$F201))),ISNUMBER(SEARCH(IF(K$2&lt;&gt;"",K$2,"NA"),'MITRE ATT&amp;CK Mappings'!$G201))),ISNUMBER(SEARCH(IF(K$2&lt;&gt;"",K$2,"NA"),'MITRE ATT&amp;CK Mappings'!$H201))),ISNUMBER(SEARCH(IF(K$3&lt;&gt;"",K$3,"NA"),'MITRE ATT&amp;CK Mappings'!$I201))),ISNUMBER(SEARCH(IF(K$3&lt;&gt;"",K$3,"NA"),'MITRE ATT&amp;CK Mappings'!$J201))), 'MITRE ATT&amp;CK Mappings'!$B201,"")</f>
        <v/>
      </c>
      <c r="L205" s="27" t="str">
        <f>IF('MITRE ATT&amp;CK Mappings'!D201 &lt;&gt;"",'MITRE ATT&amp;CK Mappings'!D201,"" )</f>
        <v/>
      </c>
    </row>
    <row r="206" spans="1:12" x14ac:dyDescent="0.25">
      <c r="A206" s="26" t="str">
        <f>IF(COUNTIF(B206:K206,"="&amp;'MITRE ATT&amp;CK Mappings'!B202)&gt;0,'MITRE ATT&amp;CK Mappings'!B202,"")</f>
        <v/>
      </c>
      <c r="B206" s="26" t="str">
        <f>IF(OR(OR(OR(OR(OR(ISNUMBER(SEARCH(IF(B$1&lt;&gt;"",B$1,"NA"),'MITRE ATT&amp;CK Mappings'!$E202)),ISNUMBER(SEARCH(IF(B$1&lt;&gt;"",B$1,"NA"),'MITRE ATT&amp;CK Mappings'!$F202))),ISNUMBER(SEARCH(IF(B$2&lt;&gt;"",B$2,"NA"),'MITRE ATT&amp;CK Mappings'!$G202))),ISNUMBER(SEARCH(IF(B$2&lt;&gt;"",B$2,"NA"),'MITRE ATT&amp;CK Mappings'!$H202))),ISNUMBER(SEARCH(IF(B$3&lt;&gt;"",B$3,"NA"),'MITRE ATT&amp;CK Mappings'!$I202))),ISNUMBER(SEARCH(IF(B$3&lt;&gt;"",B$3,"NA"),'MITRE ATT&amp;CK Mappings'!$J202))), 'MITRE ATT&amp;CK Mappings'!$B202,"")</f>
        <v/>
      </c>
      <c r="C206" s="26" t="str">
        <f>IF(OR(OR(OR(OR(OR(ISNUMBER(SEARCH(IF(C$1&lt;&gt;"",C$1,"NA"),'MITRE ATT&amp;CK Mappings'!$E202)),ISNUMBER(SEARCH(IF(C$1&lt;&gt;"",C$1,"NA"),'MITRE ATT&amp;CK Mappings'!$F202))),ISNUMBER(SEARCH(IF(C$2&lt;&gt;"",C$2,"NA"),'MITRE ATT&amp;CK Mappings'!$G202))),ISNUMBER(SEARCH(IF(C$2&lt;&gt;"",C$2,"NA"),'MITRE ATT&amp;CK Mappings'!$H202))),ISNUMBER(SEARCH(IF(C$3&lt;&gt;"",C$3,"NA"),'MITRE ATT&amp;CK Mappings'!$I202))),ISNUMBER(SEARCH(IF(C$3&lt;&gt;"",C$3,"NA"),'MITRE ATT&amp;CK Mappings'!$J202))), 'MITRE ATT&amp;CK Mappings'!$B202,"")</f>
        <v/>
      </c>
      <c r="D206" s="26" t="str">
        <f>IF(OR(OR(OR(OR(OR(ISNUMBER(SEARCH(IF(D$1&lt;&gt;"",D$1,"NA"),'MITRE ATT&amp;CK Mappings'!$E202)),ISNUMBER(SEARCH(IF(D$1&lt;&gt;"",D$1,"NA"),'MITRE ATT&amp;CK Mappings'!$F202))),ISNUMBER(SEARCH(IF(D$2&lt;&gt;"",D$2,"NA"),'MITRE ATT&amp;CK Mappings'!$G202))),ISNUMBER(SEARCH(IF(D$2&lt;&gt;"",D$2,"NA"),'MITRE ATT&amp;CK Mappings'!$H202))),ISNUMBER(SEARCH(IF(D$3&lt;&gt;"",D$3,"NA"),'MITRE ATT&amp;CK Mappings'!$I202))),ISNUMBER(SEARCH(IF(D$3&lt;&gt;"",D$3,"NA"),'MITRE ATT&amp;CK Mappings'!$J202))), 'MITRE ATT&amp;CK Mappings'!$B202,"")</f>
        <v/>
      </c>
      <c r="E206" s="26" t="str">
        <f>IF(OR(OR(OR(OR(OR(ISNUMBER(SEARCH(IF(E$1&lt;&gt;"",E$1,"NA"),'MITRE ATT&amp;CK Mappings'!$E202)),ISNUMBER(SEARCH(IF(E$1&lt;&gt;"",E$1,"NA"),'MITRE ATT&amp;CK Mappings'!$F202))),ISNUMBER(SEARCH(IF(E$2&lt;&gt;"",E$2,"NA"),'MITRE ATT&amp;CK Mappings'!$G202))),ISNUMBER(SEARCH(IF(E$2&lt;&gt;"",E$2,"NA"),'MITRE ATT&amp;CK Mappings'!$H202))),ISNUMBER(SEARCH(IF(E$3&lt;&gt;"",E$3,"NA"),'MITRE ATT&amp;CK Mappings'!$I202))),ISNUMBER(SEARCH(IF(E$3&lt;&gt;"",E$3,"NA"),'MITRE ATT&amp;CK Mappings'!$J202))), 'MITRE ATT&amp;CK Mappings'!$B202,"")</f>
        <v/>
      </c>
      <c r="F206" s="26" t="str">
        <f>IF(OR(OR(OR(OR(OR(ISNUMBER(SEARCH(IF(F$1&lt;&gt;"",F$1,"NA"),'MITRE ATT&amp;CK Mappings'!$E202)),ISNUMBER(SEARCH(IF(F$1&lt;&gt;"",F$1,"NA"),'MITRE ATT&amp;CK Mappings'!$F202))),ISNUMBER(SEARCH(IF(F$2&lt;&gt;"",F$2,"NA"),'MITRE ATT&amp;CK Mappings'!$G202))),ISNUMBER(SEARCH(IF(F$2&lt;&gt;"",F$2,"NA"),'MITRE ATT&amp;CK Mappings'!$H202))),ISNUMBER(SEARCH(IF(F$3&lt;&gt;"",F$3,"NA"),'MITRE ATT&amp;CK Mappings'!$I202))),ISNUMBER(SEARCH(IF(F$3&lt;&gt;"",F$3,"NA"),'MITRE ATT&amp;CK Mappings'!$J202))), 'MITRE ATT&amp;CK Mappings'!$B202,"")</f>
        <v/>
      </c>
      <c r="G206" s="26" t="str">
        <f>IF(OR(OR(OR(OR(OR(ISNUMBER(SEARCH(IF(G$1&lt;&gt;"",G$1,"NA"),'MITRE ATT&amp;CK Mappings'!$E202)),ISNUMBER(SEARCH(IF(G$1&lt;&gt;"",G$1,"NA"),'MITRE ATT&amp;CK Mappings'!$F202))),ISNUMBER(SEARCH(IF(G$2&lt;&gt;"",G$2,"NA"),'MITRE ATT&amp;CK Mappings'!$G202))),ISNUMBER(SEARCH(IF(G$2&lt;&gt;"",G$2,"NA"),'MITRE ATT&amp;CK Mappings'!$H202))),ISNUMBER(SEARCH(IF(G$3&lt;&gt;"",G$3,"NA"),'MITRE ATT&amp;CK Mappings'!$I202))),ISNUMBER(SEARCH(IF(G$3&lt;&gt;"",G$3,"NA"),'MITRE ATT&amp;CK Mappings'!$J202))), 'MITRE ATT&amp;CK Mappings'!$B202,"")</f>
        <v/>
      </c>
      <c r="H206" s="26" t="str">
        <f>IF(OR(OR(OR(OR(OR(ISNUMBER(SEARCH(IF(H$1&lt;&gt;"",H$1,"NA"),'MITRE ATT&amp;CK Mappings'!$E202)),ISNUMBER(SEARCH(IF(H$1&lt;&gt;"",H$1,"NA"),'MITRE ATT&amp;CK Mappings'!$F202))),ISNUMBER(SEARCH(IF(H$2&lt;&gt;"",H$2,"NA"),'MITRE ATT&amp;CK Mappings'!$G202))),ISNUMBER(SEARCH(IF(H$2&lt;&gt;"",H$2,"NA"),'MITRE ATT&amp;CK Mappings'!$H202))),ISNUMBER(SEARCH(IF(H$3&lt;&gt;"",H$3,"NA"),'MITRE ATT&amp;CK Mappings'!$I202))),ISNUMBER(SEARCH(IF(H$3&lt;&gt;"",H$3,"NA"),'MITRE ATT&amp;CK Mappings'!$J202))), 'MITRE ATT&amp;CK Mappings'!$B202,"")</f>
        <v/>
      </c>
      <c r="I206" s="26" t="str">
        <f>IF(OR(OR(OR(OR(OR(ISNUMBER(SEARCH(IF(I$1&lt;&gt;"",I$1,"NA"),'MITRE ATT&amp;CK Mappings'!$E202)),ISNUMBER(SEARCH(IF(I$1&lt;&gt;"",I$1,"NA"),'MITRE ATT&amp;CK Mappings'!$F202))),ISNUMBER(SEARCH(IF(I$2&lt;&gt;"",I$2,"NA"),'MITRE ATT&amp;CK Mappings'!$G202))),ISNUMBER(SEARCH(IF(I$2&lt;&gt;"",I$2,"NA"),'MITRE ATT&amp;CK Mappings'!$H202))),ISNUMBER(SEARCH(IF(I$3&lt;&gt;"",I$3,"NA"),'MITRE ATT&amp;CK Mappings'!$I202))),ISNUMBER(SEARCH(IF(I$3&lt;&gt;"",I$3,"NA"),'MITRE ATT&amp;CK Mappings'!$J202))), 'MITRE ATT&amp;CK Mappings'!$B202,"")</f>
        <v/>
      </c>
      <c r="J206" s="26" t="str">
        <f>IF(OR(OR(OR(OR(OR(ISNUMBER(SEARCH(IF(J$1&lt;&gt;"",J$1,"NA"),'MITRE ATT&amp;CK Mappings'!$E202)),ISNUMBER(SEARCH(IF(J$1&lt;&gt;"",J$1,"NA"),'MITRE ATT&amp;CK Mappings'!$F202))),ISNUMBER(SEARCH(IF(J$2&lt;&gt;"",J$2,"NA"),'MITRE ATT&amp;CK Mappings'!$G202))),ISNUMBER(SEARCH(IF(J$2&lt;&gt;"",J$2,"NA"),'MITRE ATT&amp;CK Mappings'!$H202))),ISNUMBER(SEARCH(IF(J$3&lt;&gt;"",J$3,"NA"),'MITRE ATT&amp;CK Mappings'!$I202))),ISNUMBER(SEARCH(IF(J$3&lt;&gt;"",J$3,"NA"),'MITRE ATT&amp;CK Mappings'!$J202))), 'MITRE ATT&amp;CK Mappings'!$B202,"")</f>
        <v/>
      </c>
      <c r="K206" s="26" t="str">
        <f>IF(OR(OR(OR(OR(OR(ISNUMBER(SEARCH(IF(K$1&lt;&gt;"",K$1,"NA"),'MITRE ATT&amp;CK Mappings'!$E202)),ISNUMBER(SEARCH(IF(K$1&lt;&gt;"",K$1,"NA"),'MITRE ATT&amp;CK Mappings'!$F202))),ISNUMBER(SEARCH(IF(K$2&lt;&gt;"",K$2,"NA"),'MITRE ATT&amp;CK Mappings'!$G202))),ISNUMBER(SEARCH(IF(K$2&lt;&gt;"",K$2,"NA"),'MITRE ATT&amp;CK Mappings'!$H202))),ISNUMBER(SEARCH(IF(K$3&lt;&gt;"",K$3,"NA"),'MITRE ATT&amp;CK Mappings'!$I202))),ISNUMBER(SEARCH(IF(K$3&lt;&gt;"",K$3,"NA"),'MITRE ATT&amp;CK Mappings'!$J202))), 'MITRE ATT&amp;CK Mappings'!$B202,"")</f>
        <v/>
      </c>
      <c r="L206" s="26" t="str">
        <f>IF('MITRE ATT&amp;CK Mappings'!D202 &lt;&gt;"",'MITRE ATT&amp;CK Mappings'!D202,"" )</f>
        <v/>
      </c>
    </row>
    <row r="207" spans="1:12" x14ac:dyDescent="0.25">
      <c r="A207" s="27" t="str">
        <f>IF(COUNTIF(B207:K207,"="&amp;'MITRE ATT&amp;CK Mappings'!B203)&gt;0,'MITRE ATT&amp;CK Mappings'!B203,"")</f>
        <v/>
      </c>
      <c r="B207" s="27" t="str">
        <f>IF(OR(OR(OR(OR(OR(ISNUMBER(SEARCH(IF(B$1&lt;&gt;"",B$1,"NA"),'MITRE ATT&amp;CK Mappings'!$E203)),ISNUMBER(SEARCH(IF(B$1&lt;&gt;"",B$1,"NA"),'MITRE ATT&amp;CK Mappings'!$F203))),ISNUMBER(SEARCH(IF(B$2&lt;&gt;"",B$2,"NA"),'MITRE ATT&amp;CK Mappings'!$G203))),ISNUMBER(SEARCH(IF(B$2&lt;&gt;"",B$2,"NA"),'MITRE ATT&amp;CK Mappings'!$H203))),ISNUMBER(SEARCH(IF(B$3&lt;&gt;"",B$3,"NA"),'MITRE ATT&amp;CK Mappings'!$I203))),ISNUMBER(SEARCH(IF(B$3&lt;&gt;"",B$3,"NA"),'MITRE ATT&amp;CK Mappings'!$J203))), 'MITRE ATT&amp;CK Mappings'!$B203,"")</f>
        <v/>
      </c>
      <c r="C207" s="27" t="str">
        <f>IF(OR(OR(OR(OR(OR(ISNUMBER(SEARCH(IF(C$1&lt;&gt;"",C$1,"NA"),'MITRE ATT&amp;CK Mappings'!$E203)),ISNUMBER(SEARCH(IF(C$1&lt;&gt;"",C$1,"NA"),'MITRE ATT&amp;CK Mappings'!$F203))),ISNUMBER(SEARCH(IF(C$2&lt;&gt;"",C$2,"NA"),'MITRE ATT&amp;CK Mappings'!$G203))),ISNUMBER(SEARCH(IF(C$2&lt;&gt;"",C$2,"NA"),'MITRE ATT&amp;CK Mappings'!$H203))),ISNUMBER(SEARCH(IF(C$3&lt;&gt;"",C$3,"NA"),'MITRE ATT&amp;CK Mappings'!$I203))),ISNUMBER(SEARCH(IF(C$3&lt;&gt;"",C$3,"NA"),'MITRE ATT&amp;CK Mappings'!$J203))), 'MITRE ATT&amp;CK Mappings'!$B203,"")</f>
        <v/>
      </c>
      <c r="D207" s="27" t="str">
        <f>IF(OR(OR(OR(OR(OR(ISNUMBER(SEARCH(IF(D$1&lt;&gt;"",D$1,"NA"),'MITRE ATT&amp;CK Mappings'!$E203)),ISNUMBER(SEARCH(IF(D$1&lt;&gt;"",D$1,"NA"),'MITRE ATT&amp;CK Mappings'!$F203))),ISNUMBER(SEARCH(IF(D$2&lt;&gt;"",D$2,"NA"),'MITRE ATT&amp;CK Mappings'!$G203))),ISNUMBER(SEARCH(IF(D$2&lt;&gt;"",D$2,"NA"),'MITRE ATT&amp;CK Mappings'!$H203))),ISNUMBER(SEARCH(IF(D$3&lt;&gt;"",D$3,"NA"),'MITRE ATT&amp;CK Mappings'!$I203))),ISNUMBER(SEARCH(IF(D$3&lt;&gt;"",D$3,"NA"),'MITRE ATT&amp;CK Mappings'!$J203))), 'MITRE ATT&amp;CK Mappings'!$B203,"")</f>
        <v/>
      </c>
      <c r="E207" s="27" t="str">
        <f>IF(OR(OR(OR(OR(OR(ISNUMBER(SEARCH(IF(E$1&lt;&gt;"",E$1,"NA"),'MITRE ATT&amp;CK Mappings'!$E203)),ISNUMBER(SEARCH(IF(E$1&lt;&gt;"",E$1,"NA"),'MITRE ATT&amp;CK Mappings'!$F203))),ISNUMBER(SEARCH(IF(E$2&lt;&gt;"",E$2,"NA"),'MITRE ATT&amp;CK Mappings'!$G203))),ISNUMBER(SEARCH(IF(E$2&lt;&gt;"",E$2,"NA"),'MITRE ATT&amp;CK Mappings'!$H203))),ISNUMBER(SEARCH(IF(E$3&lt;&gt;"",E$3,"NA"),'MITRE ATT&amp;CK Mappings'!$I203))),ISNUMBER(SEARCH(IF(E$3&lt;&gt;"",E$3,"NA"),'MITRE ATT&amp;CK Mappings'!$J203))), 'MITRE ATT&amp;CK Mappings'!$B203,"")</f>
        <v/>
      </c>
      <c r="F207" s="27" t="str">
        <f>IF(OR(OR(OR(OR(OR(ISNUMBER(SEARCH(IF(F$1&lt;&gt;"",F$1,"NA"),'MITRE ATT&amp;CK Mappings'!$E203)),ISNUMBER(SEARCH(IF(F$1&lt;&gt;"",F$1,"NA"),'MITRE ATT&amp;CK Mappings'!$F203))),ISNUMBER(SEARCH(IF(F$2&lt;&gt;"",F$2,"NA"),'MITRE ATT&amp;CK Mappings'!$G203))),ISNUMBER(SEARCH(IF(F$2&lt;&gt;"",F$2,"NA"),'MITRE ATT&amp;CK Mappings'!$H203))),ISNUMBER(SEARCH(IF(F$3&lt;&gt;"",F$3,"NA"),'MITRE ATT&amp;CK Mappings'!$I203))),ISNUMBER(SEARCH(IF(F$3&lt;&gt;"",F$3,"NA"),'MITRE ATT&amp;CK Mappings'!$J203))), 'MITRE ATT&amp;CK Mappings'!$B203,"")</f>
        <v/>
      </c>
      <c r="G207" s="27" t="str">
        <f>IF(OR(OR(OR(OR(OR(ISNUMBER(SEARCH(IF(G$1&lt;&gt;"",G$1,"NA"),'MITRE ATT&amp;CK Mappings'!$E203)),ISNUMBER(SEARCH(IF(G$1&lt;&gt;"",G$1,"NA"),'MITRE ATT&amp;CK Mappings'!$F203))),ISNUMBER(SEARCH(IF(G$2&lt;&gt;"",G$2,"NA"),'MITRE ATT&amp;CK Mappings'!$G203))),ISNUMBER(SEARCH(IF(G$2&lt;&gt;"",G$2,"NA"),'MITRE ATT&amp;CK Mappings'!$H203))),ISNUMBER(SEARCH(IF(G$3&lt;&gt;"",G$3,"NA"),'MITRE ATT&amp;CK Mappings'!$I203))),ISNUMBER(SEARCH(IF(G$3&lt;&gt;"",G$3,"NA"),'MITRE ATT&amp;CK Mappings'!$J203))), 'MITRE ATT&amp;CK Mappings'!$B203,"")</f>
        <v/>
      </c>
      <c r="H207" s="27" t="str">
        <f>IF(OR(OR(OR(OR(OR(ISNUMBER(SEARCH(IF(H$1&lt;&gt;"",H$1,"NA"),'MITRE ATT&amp;CK Mappings'!$E203)),ISNUMBER(SEARCH(IF(H$1&lt;&gt;"",H$1,"NA"),'MITRE ATT&amp;CK Mappings'!$F203))),ISNUMBER(SEARCH(IF(H$2&lt;&gt;"",H$2,"NA"),'MITRE ATT&amp;CK Mappings'!$G203))),ISNUMBER(SEARCH(IF(H$2&lt;&gt;"",H$2,"NA"),'MITRE ATT&amp;CK Mappings'!$H203))),ISNUMBER(SEARCH(IF(H$3&lt;&gt;"",H$3,"NA"),'MITRE ATT&amp;CK Mappings'!$I203))),ISNUMBER(SEARCH(IF(H$3&lt;&gt;"",H$3,"NA"),'MITRE ATT&amp;CK Mappings'!$J203))), 'MITRE ATT&amp;CK Mappings'!$B203,"")</f>
        <v/>
      </c>
      <c r="I207" s="27" t="str">
        <f>IF(OR(OR(OR(OR(OR(ISNUMBER(SEARCH(IF(I$1&lt;&gt;"",I$1,"NA"),'MITRE ATT&amp;CK Mappings'!$E203)),ISNUMBER(SEARCH(IF(I$1&lt;&gt;"",I$1,"NA"),'MITRE ATT&amp;CK Mappings'!$F203))),ISNUMBER(SEARCH(IF(I$2&lt;&gt;"",I$2,"NA"),'MITRE ATT&amp;CK Mappings'!$G203))),ISNUMBER(SEARCH(IF(I$2&lt;&gt;"",I$2,"NA"),'MITRE ATT&amp;CK Mappings'!$H203))),ISNUMBER(SEARCH(IF(I$3&lt;&gt;"",I$3,"NA"),'MITRE ATT&amp;CK Mappings'!$I203))),ISNUMBER(SEARCH(IF(I$3&lt;&gt;"",I$3,"NA"),'MITRE ATT&amp;CK Mappings'!$J203))), 'MITRE ATT&amp;CK Mappings'!$B203,"")</f>
        <v/>
      </c>
      <c r="J207" s="27" t="str">
        <f>IF(OR(OR(OR(OR(OR(ISNUMBER(SEARCH(IF(J$1&lt;&gt;"",J$1,"NA"),'MITRE ATT&amp;CK Mappings'!$E203)),ISNUMBER(SEARCH(IF(J$1&lt;&gt;"",J$1,"NA"),'MITRE ATT&amp;CK Mappings'!$F203))),ISNUMBER(SEARCH(IF(J$2&lt;&gt;"",J$2,"NA"),'MITRE ATT&amp;CK Mappings'!$G203))),ISNUMBER(SEARCH(IF(J$2&lt;&gt;"",J$2,"NA"),'MITRE ATT&amp;CK Mappings'!$H203))),ISNUMBER(SEARCH(IF(J$3&lt;&gt;"",J$3,"NA"),'MITRE ATT&amp;CK Mappings'!$I203))),ISNUMBER(SEARCH(IF(J$3&lt;&gt;"",J$3,"NA"),'MITRE ATT&amp;CK Mappings'!$J203))), 'MITRE ATT&amp;CK Mappings'!$B203,"")</f>
        <v/>
      </c>
      <c r="K207" s="27" t="str">
        <f>IF(OR(OR(OR(OR(OR(ISNUMBER(SEARCH(IF(K$1&lt;&gt;"",K$1,"NA"),'MITRE ATT&amp;CK Mappings'!$E203)),ISNUMBER(SEARCH(IF(K$1&lt;&gt;"",K$1,"NA"),'MITRE ATT&amp;CK Mappings'!$F203))),ISNUMBER(SEARCH(IF(K$2&lt;&gt;"",K$2,"NA"),'MITRE ATT&amp;CK Mappings'!$G203))),ISNUMBER(SEARCH(IF(K$2&lt;&gt;"",K$2,"NA"),'MITRE ATT&amp;CK Mappings'!$H203))),ISNUMBER(SEARCH(IF(K$3&lt;&gt;"",K$3,"NA"),'MITRE ATT&amp;CK Mappings'!$I203))),ISNUMBER(SEARCH(IF(K$3&lt;&gt;"",K$3,"NA"),'MITRE ATT&amp;CK Mappings'!$J203))), 'MITRE ATT&amp;CK Mappings'!$B203,"")</f>
        <v/>
      </c>
      <c r="L207" s="27" t="str">
        <f>IF('MITRE ATT&amp;CK Mappings'!D203 &lt;&gt;"",'MITRE ATT&amp;CK Mappings'!D203,"" )</f>
        <v/>
      </c>
    </row>
    <row r="208" spans="1:12" x14ac:dyDescent="0.25">
      <c r="A208" s="26" t="str">
        <f>IF(COUNTIF(B208:K208,"="&amp;'MITRE ATT&amp;CK Mappings'!B204)&gt;0,'MITRE ATT&amp;CK Mappings'!B204,"")</f>
        <v/>
      </c>
      <c r="B208" s="26" t="str">
        <f>IF(OR(OR(OR(OR(OR(ISNUMBER(SEARCH(IF(B$1&lt;&gt;"",B$1,"NA"),'MITRE ATT&amp;CK Mappings'!$E204)),ISNUMBER(SEARCH(IF(B$1&lt;&gt;"",B$1,"NA"),'MITRE ATT&amp;CK Mappings'!$F204))),ISNUMBER(SEARCH(IF(B$2&lt;&gt;"",B$2,"NA"),'MITRE ATT&amp;CK Mappings'!$G204))),ISNUMBER(SEARCH(IF(B$2&lt;&gt;"",B$2,"NA"),'MITRE ATT&amp;CK Mappings'!$H204))),ISNUMBER(SEARCH(IF(B$3&lt;&gt;"",B$3,"NA"),'MITRE ATT&amp;CK Mappings'!$I204))),ISNUMBER(SEARCH(IF(B$3&lt;&gt;"",B$3,"NA"),'MITRE ATT&amp;CK Mappings'!$J204))), 'MITRE ATT&amp;CK Mappings'!$B204,"")</f>
        <v/>
      </c>
      <c r="C208" s="26" t="str">
        <f>IF(OR(OR(OR(OR(OR(ISNUMBER(SEARCH(IF(C$1&lt;&gt;"",C$1,"NA"),'MITRE ATT&amp;CK Mappings'!$E204)),ISNUMBER(SEARCH(IF(C$1&lt;&gt;"",C$1,"NA"),'MITRE ATT&amp;CK Mappings'!$F204))),ISNUMBER(SEARCH(IF(C$2&lt;&gt;"",C$2,"NA"),'MITRE ATT&amp;CK Mappings'!$G204))),ISNUMBER(SEARCH(IF(C$2&lt;&gt;"",C$2,"NA"),'MITRE ATT&amp;CK Mappings'!$H204))),ISNUMBER(SEARCH(IF(C$3&lt;&gt;"",C$3,"NA"),'MITRE ATT&amp;CK Mappings'!$I204))),ISNUMBER(SEARCH(IF(C$3&lt;&gt;"",C$3,"NA"),'MITRE ATT&amp;CK Mappings'!$J204))), 'MITRE ATT&amp;CK Mappings'!$B204,"")</f>
        <v/>
      </c>
      <c r="D208" s="26" t="str">
        <f>IF(OR(OR(OR(OR(OR(ISNUMBER(SEARCH(IF(D$1&lt;&gt;"",D$1,"NA"),'MITRE ATT&amp;CK Mappings'!$E204)),ISNUMBER(SEARCH(IF(D$1&lt;&gt;"",D$1,"NA"),'MITRE ATT&amp;CK Mappings'!$F204))),ISNUMBER(SEARCH(IF(D$2&lt;&gt;"",D$2,"NA"),'MITRE ATT&amp;CK Mappings'!$G204))),ISNUMBER(SEARCH(IF(D$2&lt;&gt;"",D$2,"NA"),'MITRE ATT&amp;CK Mappings'!$H204))),ISNUMBER(SEARCH(IF(D$3&lt;&gt;"",D$3,"NA"),'MITRE ATT&amp;CK Mappings'!$I204))),ISNUMBER(SEARCH(IF(D$3&lt;&gt;"",D$3,"NA"),'MITRE ATT&amp;CK Mappings'!$J204))), 'MITRE ATT&amp;CK Mappings'!$B204,"")</f>
        <v/>
      </c>
      <c r="E208" s="26" t="str">
        <f>IF(OR(OR(OR(OR(OR(ISNUMBER(SEARCH(IF(E$1&lt;&gt;"",E$1,"NA"),'MITRE ATT&amp;CK Mappings'!$E204)),ISNUMBER(SEARCH(IF(E$1&lt;&gt;"",E$1,"NA"),'MITRE ATT&amp;CK Mappings'!$F204))),ISNUMBER(SEARCH(IF(E$2&lt;&gt;"",E$2,"NA"),'MITRE ATT&amp;CK Mappings'!$G204))),ISNUMBER(SEARCH(IF(E$2&lt;&gt;"",E$2,"NA"),'MITRE ATT&amp;CK Mappings'!$H204))),ISNUMBER(SEARCH(IF(E$3&lt;&gt;"",E$3,"NA"),'MITRE ATT&amp;CK Mappings'!$I204))),ISNUMBER(SEARCH(IF(E$3&lt;&gt;"",E$3,"NA"),'MITRE ATT&amp;CK Mappings'!$J204))), 'MITRE ATT&amp;CK Mappings'!$B204,"")</f>
        <v/>
      </c>
      <c r="F208" s="26" t="str">
        <f>IF(OR(OR(OR(OR(OR(ISNUMBER(SEARCH(IF(F$1&lt;&gt;"",F$1,"NA"),'MITRE ATT&amp;CK Mappings'!$E204)),ISNUMBER(SEARCH(IF(F$1&lt;&gt;"",F$1,"NA"),'MITRE ATT&amp;CK Mappings'!$F204))),ISNUMBER(SEARCH(IF(F$2&lt;&gt;"",F$2,"NA"),'MITRE ATT&amp;CK Mappings'!$G204))),ISNUMBER(SEARCH(IF(F$2&lt;&gt;"",F$2,"NA"),'MITRE ATT&amp;CK Mappings'!$H204))),ISNUMBER(SEARCH(IF(F$3&lt;&gt;"",F$3,"NA"),'MITRE ATT&amp;CK Mappings'!$I204))),ISNUMBER(SEARCH(IF(F$3&lt;&gt;"",F$3,"NA"),'MITRE ATT&amp;CK Mappings'!$J204))), 'MITRE ATT&amp;CK Mappings'!$B204,"")</f>
        <v/>
      </c>
      <c r="G208" s="26" t="str">
        <f>IF(OR(OR(OR(OR(OR(ISNUMBER(SEARCH(IF(G$1&lt;&gt;"",G$1,"NA"),'MITRE ATT&amp;CK Mappings'!$E204)),ISNUMBER(SEARCH(IF(G$1&lt;&gt;"",G$1,"NA"),'MITRE ATT&amp;CK Mappings'!$F204))),ISNUMBER(SEARCH(IF(G$2&lt;&gt;"",G$2,"NA"),'MITRE ATT&amp;CK Mappings'!$G204))),ISNUMBER(SEARCH(IF(G$2&lt;&gt;"",G$2,"NA"),'MITRE ATT&amp;CK Mappings'!$H204))),ISNUMBER(SEARCH(IF(G$3&lt;&gt;"",G$3,"NA"),'MITRE ATT&amp;CK Mappings'!$I204))),ISNUMBER(SEARCH(IF(G$3&lt;&gt;"",G$3,"NA"),'MITRE ATT&amp;CK Mappings'!$J204))), 'MITRE ATT&amp;CK Mappings'!$B204,"")</f>
        <v/>
      </c>
      <c r="H208" s="26" t="str">
        <f>IF(OR(OR(OR(OR(OR(ISNUMBER(SEARCH(IF(H$1&lt;&gt;"",H$1,"NA"),'MITRE ATT&amp;CK Mappings'!$E204)),ISNUMBER(SEARCH(IF(H$1&lt;&gt;"",H$1,"NA"),'MITRE ATT&amp;CK Mappings'!$F204))),ISNUMBER(SEARCH(IF(H$2&lt;&gt;"",H$2,"NA"),'MITRE ATT&amp;CK Mappings'!$G204))),ISNUMBER(SEARCH(IF(H$2&lt;&gt;"",H$2,"NA"),'MITRE ATT&amp;CK Mappings'!$H204))),ISNUMBER(SEARCH(IF(H$3&lt;&gt;"",H$3,"NA"),'MITRE ATT&amp;CK Mappings'!$I204))),ISNUMBER(SEARCH(IF(H$3&lt;&gt;"",H$3,"NA"),'MITRE ATT&amp;CK Mappings'!$J204))), 'MITRE ATT&amp;CK Mappings'!$B204,"")</f>
        <v/>
      </c>
      <c r="I208" s="26" t="str">
        <f>IF(OR(OR(OR(OR(OR(ISNUMBER(SEARCH(IF(I$1&lt;&gt;"",I$1,"NA"),'MITRE ATT&amp;CK Mappings'!$E204)),ISNUMBER(SEARCH(IF(I$1&lt;&gt;"",I$1,"NA"),'MITRE ATT&amp;CK Mappings'!$F204))),ISNUMBER(SEARCH(IF(I$2&lt;&gt;"",I$2,"NA"),'MITRE ATT&amp;CK Mappings'!$G204))),ISNUMBER(SEARCH(IF(I$2&lt;&gt;"",I$2,"NA"),'MITRE ATT&amp;CK Mappings'!$H204))),ISNUMBER(SEARCH(IF(I$3&lt;&gt;"",I$3,"NA"),'MITRE ATT&amp;CK Mappings'!$I204))),ISNUMBER(SEARCH(IF(I$3&lt;&gt;"",I$3,"NA"),'MITRE ATT&amp;CK Mappings'!$J204))), 'MITRE ATT&amp;CK Mappings'!$B204,"")</f>
        <v/>
      </c>
      <c r="J208" s="26" t="str">
        <f>IF(OR(OR(OR(OR(OR(ISNUMBER(SEARCH(IF(J$1&lt;&gt;"",J$1,"NA"),'MITRE ATT&amp;CK Mappings'!$E204)),ISNUMBER(SEARCH(IF(J$1&lt;&gt;"",J$1,"NA"),'MITRE ATT&amp;CK Mappings'!$F204))),ISNUMBER(SEARCH(IF(J$2&lt;&gt;"",J$2,"NA"),'MITRE ATT&amp;CK Mappings'!$G204))),ISNUMBER(SEARCH(IF(J$2&lt;&gt;"",J$2,"NA"),'MITRE ATT&amp;CK Mappings'!$H204))),ISNUMBER(SEARCH(IF(J$3&lt;&gt;"",J$3,"NA"),'MITRE ATT&amp;CK Mappings'!$I204))),ISNUMBER(SEARCH(IF(J$3&lt;&gt;"",J$3,"NA"),'MITRE ATT&amp;CK Mappings'!$J204))), 'MITRE ATT&amp;CK Mappings'!$B204,"")</f>
        <v/>
      </c>
      <c r="K208" s="26" t="str">
        <f>IF(OR(OR(OR(OR(OR(ISNUMBER(SEARCH(IF(K$1&lt;&gt;"",K$1,"NA"),'MITRE ATT&amp;CK Mappings'!$E204)),ISNUMBER(SEARCH(IF(K$1&lt;&gt;"",K$1,"NA"),'MITRE ATT&amp;CK Mappings'!$F204))),ISNUMBER(SEARCH(IF(K$2&lt;&gt;"",K$2,"NA"),'MITRE ATT&amp;CK Mappings'!$G204))),ISNUMBER(SEARCH(IF(K$2&lt;&gt;"",K$2,"NA"),'MITRE ATT&amp;CK Mappings'!$H204))),ISNUMBER(SEARCH(IF(K$3&lt;&gt;"",K$3,"NA"),'MITRE ATT&amp;CK Mappings'!$I204))),ISNUMBER(SEARCH(IF(K$3&lt;&gt;"",K$3,"NA"),'MITRE ATT&amp;CK Mappings'!$J204))), 'MITRE ATT&amp;CK Mappings'!$B204,"")</f>
        <v/>
      </c>
      <c r="L208" s="26" t="str">
        <f>IF('MITRE ATT&amp;CK Mappings'!D204 &lt;&gt;"",'MITRE ATT&amp;CK Mappings'!D204,"" )</f>
        <v/>
      </c>
    </row>
    <row r="209" spans="1:12" x14ac:dyDescent="0.25">
      <c r="A209" s="27" t="str">
        <f>IF(COUNTIF(B209:K209,"="&amp;'MITRE ATT&amp;CK Mappings'!B205)&gt;0,'MITRE ATT&amp;CK Mappings'!B205,"")</f>
        <v/>
      </c>
      <c r="B209" s="27" t="str">
        <f>IF(OR(OR(OR(OR(OR(ISNUMBER(SEARCH(IF(B$1&lt;&gt;"",B$1,"NA"),'MITRE ATT&amp;CK Mappings'!$E205)),ISNUMBER(SEARCH(IF(B$1&lt;&gt;"",B$1,"NA"),'MITRE ATT&amp;CK Mappings'!$F205))),ISNUMBER(SEARCH(IF(B$2&lt;&gt;"",B$2,"NA"),'MITRE ATT&amp;CK Mappings'!$G205))),ISNUMBER(SEARCH(IF(B$2&lt;&gt;"",B$2,"NA"),'MITRE ATT&amp;CK Mappings'!$H205))),ISNUMBER(SEARCH(IF(B$3&lt;&gt;"",B$3,"NA"),'MITRE ATT&amp;CK Mappings'!$I205))),ISNUMBER(SEARCH(IF(B$3&lt;&gt;"",B$3,"NA"),'MITRE ATT&amp;CK Mappings'!$J205))), 'MITRE ATT&amp;CK Mappings'!$B205,"")</f>
        <v/>
      </c>
      <c r="C209" s="27" t="str">
        <f>IF(OR(OR(OR(OR(OR(ISNUMBER(SEARCH(IF(C$1&lt;&gt;"",C$1,"NA"),'MITRE ATT&amp;CK Mappings'!$E205)),ISNUMBER(SEARCH(IF(C$1&lt;&gt;"",C$1,"NA"),'MITRE ATT&amp;CK Mappings'!$F205))),ISNUMBER(SEARCH(IF(C$2&lt;&gt;"",C$2,"NA"),'MITRE ATT&amp;CK Mappings'!$G205))),ISNUMBER(SEARCH(IF(C$2&lt;&gt;"",C$2,"NA"),'MITRE ATT&amp;CK Mappings'!$H205))),ISNUMBER(SEARCH(IF(C$3&lt;&gt;"",C$3,"NA"),'MITRE ATT&amp;CK Mappings'!$I205))),ISNUMBER(SEARCH(IF(C$3&lt;&gt;"",C$3,"NA"),'MITRE ATT&amp;CK Mappings'!$J205))), 'MITRE ATT&amp;CK Mappings'!$B205,"")</f>
        <v/>
      </c>
      <c r="D209" s="27" t="str">
        <f>IF(OR(OR(OR(OR(OR(ISNUMBER(SEARCH(IF(D$1&lt;&gt;"",D$1,"NA"),'MITRE ATT&amp;CK Mappings'!$E205)),ISNUMBER(SEARCH(IF(D$1&lt;&gt;"",D$1,"NA"),'MITRE ATT&amp;CK Mappings'!$F205))),ISNUMBER(SEARCH(IF(D$2&lt;&gt;"",D$2,"NA"),'MITRE ATT&amp;CK Mappings'!$G205))),ISNUMBER(SEARCH(IF(D$2&lt;&gt;"",D$2,"NA"),'MITRE ATT&amp;CK Mappings'!$H205))),ISNUMBER(SEARCH(IF(D$3&lt;&gt;"",D$3,"NA"),'MITRE ATT&amp;CK Mappings'!$I205))),ISNUMBER(SEARCH(IF(D$3&lt;&gt;"",D$3,"NA"),'MITRE ATT&amp;CK Mappings'!$J205))), 'MITRE ATT&amp;CK Mappings'!$B205,"")</f>
        <v/>
      </c>
      <c r="E209" s="27" t="str">
        <f>IF(OR(OR(OR(OR(OR(ISNUMBER(SEARCH(IF(E$1&lt;&gt;"",E$1,"NA"),'MITRE ATT&amp;CK Mappings'!$E205)),ISNUMBER(SEARCH(IF(E$1&lt;&gt;"",E$1,"NA"),'MITRE ATT&amp;CK Mappings'!$F205))),ISNUMBER(SEARCH(IF(E$2&lt;&gt;"",E$2,"NA"),'MITRE ATT&amp;CK Mappings'!$G205))),ISNUMBER(SEARCH(IF(E$2&lt;&gt;"",E$2,"NA"),'MITRE ATT&amp;CK Mappings'!$H205))),ISNUMBER(SEARCH(IF(E$3&lt;&gt;"",E$3,"NA"),'MITRE ATT&amp;CK Mappings'!$I205))),ISNUMBER(SEARCH(IF(E$3&lt;&gt;"",E$3,"NA"),'MITRE ATT&amp;CK Mappings'!$J205))), 'MITRE ATT&amp;CK Mappings'!$B205,"")</f>
        <v/>
      </c>
      <c r="F209" s="27" t="str">
        <f>IF(OR(OR(OR(OR(OR(ISNUMBER(SEARCH(IF(F$1&lt;&gt;"",F$1,"NA"),'MITRE ATT&amp;CK Mappings'!$E205)),ISNUMBER(SEARCH(IF(F$1&lt;&gt;"",F$1,"NA"),'MITRE ATT&amp;CK Mappings'!$F205))),ISNUMBER(SEARCH(IF(F$2&lt;&gt;"",F$2,"NA"),'MITRE ATT&amp;CK Mappings'!$G205))),ISNUMBER(SEARCH(IF(F$2&lt;&gt;"",F$2,"NA"),'MITRE ATT&amp;CK Mappings'!$H205))),ISNUMBER(SEARCH(IF(F$3&lt;&gt;"",F$3,"NA"),'MITRE ATT&amp;CK Mappings'!$I205))),ISNUMBER(SEARCH(IF(F$3&lt;&gt;"",F$3,"NA"),'MITRE ATT&amp;CK Mappings'!$J205))), 'MITRE ATT&amp;CK Mappings'!$B205,"")</f>
        <v/>
      </c>
      <c r="G209" s="27" t="str">
        <f>IF(OR(OR(OR(OR(OR(ISNUMBER(SEARCH(IF(G$1&lt;&gt;"",G$1,"NA"),'MITRE ATT&amp;CK Mappings'!$E205)),ISNUMBER(SEARCH(IF(G$1&lt;&gt;"",G$1,"NA"),'MITRE ATT&amp;CK Mappings'!$F205))),ISNUMBER(SEARCH(IF(G$2&lt;&gt;"",G$2,"NA"),'MITRE ATT&amp;CK Mappings'!$G205))),ISNUMBER(SEARCH(IF(G$2&lt;&gt;"",G$2,"NA"),'MITRE ATT&amp;CK Mappings'!$H205))),ISNUMBER(SEARCH(IF(G$3&lt;&gt;"",G$3,"NA"),'MITRE ATT&amp;CK Mappings'!$I205))),ISNUMBER(SEARCH(IF(G$3&lt;&gt;"",G$3,"NA"),'MITRE ATT&amp;CK Mappings'!$J205))), 'MITRE ATT&amp;CK Mappings'!$B205,"")</f>
        <v/>
      </c>
      <c r="H209" s="27" t="str">
        <f>IF(OR(OR(OR(OR(OR(ISNUMBER(SEARCH(IF(H$1&lt;&gt;"",H$1,"NA"),'MITRE ATT&amp;CK Mappings'!$E205)),ISNUMBER(SEARCH(IF(H$1&lt;&gt;"",H$1,"NA"),'MITRE ATT&amp;CK Mappings'!$F205))),ISNUMBER(SEARCH(IF(H$2&lt;&gt;"",H$2,"NA"),'MITRE ATT&amp;CK Mappings'!$G205))),ISNUMBER(SEARCH(IF(H$2&lt;&gt;"",H$2,"NA"),'MITRE ATT&amp;CK Mappings'!$H205))),ISNUMBER(SEARCH(IF(H$3&lt;&gt;"",H$3,"NA"),'MITRE ATT&amp;CK Mappings'!$I205))),ISNUMBER(SEARCH(IF(H$3&lt;&gt;"",H$3,"NA"),'MITRE ATT&amp;CK Mappings'!$J205))), 'MITRE ATT&amp;CK Mappings'!$B205,"")</f>
        <v/>
      </c>
      <c r="I209" s="27" t="str">
        <f>IF(OR(OR(OR(OR(OR(ISNUMBER(SEARCH(IF(I$1&lt;&gt;"",I$1,"NA"),'MITRE ATT&amp;CK Mappings'!$E205)),ISNUMBER(SEARCH(IF(I$1&lt;&gt;"",I$1,"NA"),'MITRE ATT&amp;CK Mappings'!$F205))),ISNUMBER(SEARCH(IF(I$2&lt;&gt;"",I$2,"NA"),'MITRE ATT&amp;CK Mappings'!$G205))),ISNUMBER(SEARCH(IF(I$2&lt;&gt;"",I$2,"NA"),'MITRE ATT&amp;CK Mappings'!$H205))),ISNUMBER(SEARCH(IF(I$3&lt;&gt;"",I$3,"NA"),'MITRE ATT&amp;CK Mappings'!$I205))),ISNUMBER(SEARCH(IF(I$3&lt;&gt;"",I$3,"NA"),'MITRE ATT&amp;CK Mappings'!$J205))), 'MITRE ATT&amp;CK Mappings'!$B205,"")</f>
        <v/>
      </c>
      <c r="J209" s="27" t="str">
        <f>IF(OR(OR(OR(OR(OR(ISNUMBER(SEARCH(IF(J$1&lt;&gt;"",J$1,"NA"),'MITRE ATT&amp;CK Mappings'!$E205)),ISNUMBER(SEARCH(IF(J$1&lt;&gt;"",J$1,"NA"),'MITRE ATT&amp;CK Mappings'!$F205))),ISNUMBER(SEARCH(IF(J$2&lt;&gt;"",J$2,"NA"),'MITRE ATT&amp;CK Mappings'!$G205))),ISNUMBER(SEARCH(IF(J$2&lt;&gt;"",J$2,"NA"),'MITRE ATT&amp;CK Mappings'!$H205))),ISNUMBER(SEARCH(IF(J$3&lt;&gt;"",J$3,"NA"),'MITRE ATT&amp;CK Mappings'!$I205))),ISNUMBER(SEARCH(IF(J$3&lt;&gt;"",J$3,"NA"),'MITRE ATT&amp;CK Mappings'!$J205))), 'MITRE ATT&amp;CK Mappings'!$B205,"")</f>
        <v/>
      </c>
      <c r="K209" s="27" t="str">
        <f>IF(OR(OR(OR(OR(OR(ISNUMBER(SEARCH(IF(K$1&lt;&gt;"",K$1,"NA"),'MITRE ATT&amp;CK Mappings'!$E205)),ISNUMBER(SEARCH(IF(K$1&lt;&gt;"",K$1,"NA"),'MITRE ATT&amp;CK Mappings'!$F205))),ISNUMBER(SEARCH(IF(K$2&lt;&gt;"",K$2,"NA"),'MITRE ATT&amp;CK Mappings'!$G205))),ISNUMBER(SEARCH(IF(K$2&lt;&gt;"",K$2,"NA"),'MITRE ATT&amp;CK Mappings'!$H205))),ISNUMBER(SEARCH(IF(K$3&lt;&gt;"",K$3,"NA"),'MITRE ATT&amp;CK Mappings'!$I205))),ISNUMBER(SEARCH(IF(K$3&lt;&gt;"",K$3,"NA"),'MITRE ATT&amp;CK Mappings'!$J205))), 'MITRE ATT&amp;CK Mappings'!$B205,"")</f>
        <v/>
      </c>
      <c r="L209" s="27" t="str">
        <f>IF('MITRE ATT&amp;CK Mappings'!D205 &lt;&gt;"",'MITRE ATT&amp;CK Mappings'!D205,"" )</f>
        <v/>
      </c>
    </row>
    <row r="210" spans="1:12" x14ac:dyDescent="0.25">
      <c r="A210" s="26" t="str">
        <f>IF(COUNTIF(B210:K210,"="&amp;'MITRE ATT&amp;CK Mappings'!B206)&gt;0,'MITRE ATT&amp;CK Mappings'!B206,"")</f>
        <v/>
      </c>
      <c r="B210" s="26" t="str">
        <f>IF(OR(OR(OR(OR(OR(ISNUMBER(SEARCH(IF(B$1&lt;&gt;"",B$1,"NA"),'MITRE ATT&amp;CK Mappings'!$E206)),ISNUMBER(SEARCH(IF(B$1&lt;&gt;"",B$1,"NA"),'MITRE ATT&amp;CK Mappings'!$F206))),ISNUMBER(SEARCH(IF(B$2&lt;&gt;"",B$2,"NA"),'MITRE ATT&amp;CK Mappings'!$G206))),ISNUMBER(SEARCH(IF(B$2&lt;&gt;"",B$2,"NA"),'MITRE ATT&amp;CK Mappings'!$H206))),ISNUMBER(SEARCH(IF(B$3&lt;&gt;"",B$3,"NA"),'MITRE ATT&amp;CK Mappings'!$I206))),ISNUMBER(SEARCH(IF(B$3&lt;&gt;"",B$3,"NA"),'MITRE ATT&amp;CK Mappings'!$J206))), 'MITRE ATT&amp;CK Mappings'!$B206,"")</f>
        <v/>
      </c>
      <c r="C210" s="26" t="str">
        <f>IF(OR(OR(OR(OR(OR(ISNUMBER(SEARCH(IF(C$1&lt;&gt;"",C$1,"NA"),'MITRE ATT&amp;CK Mappings'!$E206)),ISNUMBER(SEARCH(IF(C$1&lt;&gt;"",C$1,"NA"),'MITRE ATT&amp;CK Mappings'!$F206))),ISNUMBER(SEARCH(IF(C$2&lt;&gt;"",C$2,"NA"),'MITRE ATT&amp;CK Mappings'!$G206))),ISNUMBER(SEARCH(IF(C$2&lt;&gt;"",C$2,"NA"),'MITRE ATT&amp;CK Mappings'!$H206))),ISNUMBER(SEARCH(IF(C$3&lt;&gt;"",C$3,"NA"),'MITRE ATT&amp;CK Mappings'!$I206))),ISNUMBER(SEARCH(IF(C$3&lt;&gt;"",C$3,"NA"),'MITRE ATT&amp;CK Mappings'!$J206))), 'MITRE ATT&amp;CK Mappings'!$B206,"")</f>
        <v/>
      </c>
      <c r="D210" s="26" t="str">
        <f>IF(OR(OR(OR(OR(OR(ISNUMBER(SEARCH(IF(D$1&lt;&gt;"",D$1,"NA"),'MITRE ATT&amp;CK Mappings'!$E206)),ISNUMBER(SEARCH(IF(D$1&lt;&gt;"",D$1,"NA"),'MITRE ATT&amp;CK Mappings'!$F206))),ISNUMBER(SEARCH(IF(D$2&lt;&gt;"",D$2,"NA"),'MITRE ATT&amp;CK Mappings'!$G206))),ISNUMBER(SEARCH(IF(D$2&lt;&gt;"",D$2,"NA"),'MITRE ATT&amp;CK Mappings'!$H206))),ISNUMBER(SEARCH(IF(D$3&lt;&gt;"",D$3,"NA"),'MITRE ATT&amp;CK Mappings'!$I206))),ISNUMBER(SEARCH(IF(D$3&lt;&gt;"",D$3,"NA"),'MITRE ATT&amp;CK Mappings'!$J206))), 'MITRE ATT&amp;CK Mappings'!$B206,"")</f>
        <v/>
      </c>
      <c r="E210" s="26" t="str">
        <f>IF(OR(OR(OR(OR(OR(ISNUMBER(SEARCH(IF(E$1&lt;&gt;"",E$1,"NA"),'MITRE ATT&amp;CK Mappings'!$E206)),ISNUMBER(SEARCH(IF(E$1&lt;&gt;"",E$1,"NA"),'MITRE ATT&amp;CK Mappings'!$F206))),ISNUMBER(SEARCH(IF(E$2&lt;&gt;"",E$2,"NA"),'MITRE ATT&amp;CK Mappings'!$G206))),ISNUMBER(SEARCH(IF(E$2&lt;&gt;"",E$2,"NA"),'MITRE ATT&amp;CK Mappings'!$H206))),ISNUMBER(SEARCH(IF(E$3&lt;&gt;"",E$3,"NA"),'MITRE ATT&amp;CK Mappings'!$I206))),ISNUMBER(SEARCH(IF(E$3&lt;&gt;"",E$3,"NA"),'MITRE ATT&amp;CK Mappings'!$J206))), 'MITRE ATT&amp;CK Mappings'!$B206,"")</f>
        <v/>
      </c>
      <c r="F210" s="26" t="str">
        <f>IF(OR(OR(OR(OR(OR(ISNUMBER(SEARCH(IF(F$1&lt;&gt;"",F$1,"NA"),'MITRE ATT&amp;CK Mappings'!$E206)),ISNUMBER(SEARCH(IF(F$1&lt;&gt;"",F$1,"NA"),'MITRE ATT&amp;CK Mappings'!$F206))),ISNUMBER(SEARCH(IF(F$2&lt;&gt;"",F$2,"NA"),'MITRE ATT&amp;CK Mappings'!$G206))),ISNUMBER(SEARCH(IF(F$2&lt;&gt;"",F$2,"NA"),'MITRE ATT&amp;CK Mappings'!$H206))),ISNUMBER(SEARCH(IF(F$3&lt;&gt;"",F$3,"NA"),'MITRE ATT&amp;CK Mappings'!$I206))),ISNUMBER(SEARCH(IF(F$3&lt;&gt;"",F$3,"NA"),'MITRE ATT&amp;CK Mappings'!$J206))), 'MITRE ATT&amp;CK Mappings'!$B206,"")</f>
        <v/>
      </c>
      <c r="G210" s="26" t="str">
        <f>IF(OR(OR(OR(OR(OR(ISNUMBER(SEARCH(IF(G$1&lt;&gt;"",G$1,"NA"),'MITRE ATT&amp;CK Mappings'!$E206)),ISNUMBER(SEARCH(IF(G$1&lt;&gt;"",G$1,"NA"),'MITRE ATT&amp;CK Mappings'!$F206))),ISNUMBER(SEARCH(IF(G$2&lt;&gt;"",G$2,"NA"),'MITRE ATT&amp;CK Mappings'!$G206))),ISNUMBER(SEARCH(IF(G$2&lt;&gt;"",G$2,"NA"),'MITRE ATT&amp;CK Mappings'!$H206))),ISNUMBER(SEARCH(IF(G$3&lt;&gt;"",G$3,"NA"),'MITRE ATT&amp;CK Mappings'!$I206))),ISNUMBER(SEARCH(IF(G$3&lt;&gt;"",G$3,"NA"),'MITRE ATT&amp;CK Mappings'!$J206))), 'MITRE ATT&amp;CK Mappings'!$B206,"")</f>
        <v/>
      </c>
      <c r="H210" s="26" t="str">
        <f>IF(OR(OR(OR(OR(OR(ISNUMBER(SEARCH(IF(H$1&lt;&gt;"",H$1,"NA"),'MITRE ATT&amp;CK Mappings'!$E206)),ISNUMBER(SEARCH(IF(H$1&lt;&gt;"",H$1,"NA"),'MITRE ATT&amp;CK Mappings'!$F206))),ISNUMBER(SEARCH(IF(H$2&lt;&gt;"",H$2,"NA"),'MITRE ATT&amp;CK Mappings'!$G206))),ISNUMBER(SEARCH(IF(H$2&lt;&gt;"",H$2,"NA"),'MITRE ATT&amp;CK Mappings'!$H206))),ISNUMBER(SEARCH(IF(H$3&lt;&gt;"",H$3,"NA"),'MITRE ATT&amp;CK Mappings'!$I206))),ISNUMBER(SEARCH(IF(H$3&lt;&gt;"",H$3,"NA"),'MITRE ATT&amp;CK Mappings'!$J206))), 'MITRE ATT&amp;CK Mappings'!$B206,"")</f>
        <v/>
      </c>
      <c r="I210" s="26" t="str">
        <f>IF(OR(OR(OR(OR(OR(ISNUMBER(SEARCH(IF(I$1&lt;&gt;"",I$1,"NA"),'MITRE ATT&amp;CK Mappings'!$E206)),ISNUMBER(SEARCH(IF(I$1&lt;&gt;"",I$1,"NA"),'MITRE ATT&amp;CK Mappings'!$F206))),ISNUMBER(SEARCH(IF(I$2&lt;&gt;"",I$2,"NA"),'MITRE ATT&amp;CK Mappings'!$G206))),ISNUMBER(SEARCH(IF(I$2&lt;&gt;"",I$2,"NA"),'MITRE ATT&amp;CK Mappings'!$H206))),ISNUMBER(SEARCH(IF(I$3&lt;&gt;"",I$3,"NA"),'MITRE ATT&amp;CK Mappings'!$I206))),ISNUMBER(SEARCH(IF(I$3&lt;&gt;"",I$3,"NA"),'MITRE ATT&amp;CK Mappings'!$J206))), 'MITRE ATT&amp;CK Mappings'!$B206,"")</f>
        <v/>
      </c>
      <c r="J210" s="26" t="str">
        <f>IF(OR(OR(OR(OR(OR(ISNUMBER(SEARCH(IF(J$1&lt;&gt;"",J$1,"NA"),'MITRE ATT&amp;CK Mappings'!$E206)),ISNUMBER(SEARCH(IF(J$1&lt;&gt;"",J$1,"NA"),'MITRE ATT&amp;CK Mappings'!$F206))),ISNUMBER(SEARCH(IF(J$2&lt;&gt;"",J$2,"NA"),'MITRE ATT&amp;CK Mappings'!$G206))),ISNUMBER(SEARCH(IF(J$2&lt;&gt;"",J$2,"NA"),'MITRE ATT&amp;CK Mappings'!$H206))),ISNUMBER(SEARCH(IF(J$3&lt;&gt;"",J$3,"NA"),'MITRE ATT&amp;CK Mappings'!$I206))),ISNUMBER(SEARCH(IF(J$3&lt;&gt;"",J$3,"NA"),'MITRE ATT&amp;CK Mappings'!$J206))), 'MITRE ATT&amp;CK Mappings'!$B206,"")</f>
        <v/>
      </c>
      <c r="K210" s="26" t="str">
        <f>IF(OR(OR(OR(OR(OR(ISNUMBER(SEARCH(IF(K$1&lt;&gt;"",K$1,"NA"),'MITRE ATT&amp;CK Mappings'!$E206)),ISNUMBER(SEARCH(IF(K$1&lt;&gt;"",K$1,"NA"),'MITRE ATT&amp;CK Mappings'!$F206))),ISNUMBER(SEARCH(IF(K$2&lt;&gt;"",K$2,"NA"),'MITRE ATT&amp;CK Mappings'!$G206))),ISNUMBER(SEARCH(IF(K$2&lt;&gt;"",K$2,"NA"),'MITRE ATT&amp;CK Mappings'!$H206))),ISNUMBER(SEARCH(IF(K$3&lt;&gt;"",K$3,"NA"),'MITRE ATT&amp;CK Mappings'!$I206))),ISNUMBER(SEARCH(IF(K$3&lt;&gt;"",K$3,"NA"),'MITRE ATT&amp;CK Mappings'!$J206))), 'MITRE ATT&amp;CK Mappings'!$B206,"")</f>
        <v/>
      </c>
      <c r="L210" s="26" t="str">
        <f>IF('MITRE ATT&amp;CK Mappings'!D206 &lt;&gt;"",'MITRE ATT&amp;CK Mappings'!D206,"" )</f>
        <v/>
      </c>
    </row>
    <row r="211" spans="1:12" x14ac:dyDescent="0.25">
      <c r="A211" s="27" t="str">
        <f>IF(COUNTIF(B211:K211,"="&amp;'MITRE ATT&amp;CK Mappings'!B207)&gt;0,'MITRE ATT&amp;CK Mappings'!B207,"")</f>
        <v/>
      </c>
      <c r="B211" s="27" t="str">
        <f>IF(OR(OR(OR(OR(OR(ISNUMBER(SEARCH(IF(B$1&lt;&gt;"",B$1,"NA"),'MITRE ATT&amp;CK Mappings'!$E207)),ISNUMBER(SEARCH(IF(B$1&lt;&gt;"",B$1,"NA"),'MITRE ATT&amp;CK Mappings'!$F207))),ISNUMBER(SEARCH(IF(B$2&lt;&gt;"",B$2,"NA"),'MITRE ATT&amp;CK Mappings'!$G207))),ISNUMBER(SEARCH(IF(B$2&lt;&gt;"",B$2,"NA"),'MITRE ATT&amp;CK Mappings'!$H207))),ISNUMBER(SEARCH(IF(B$3&lt;&gt;"",B$3,"NA"),'MITRE ATT&amp;CK Mappings'!$I207))),ISNUMBER(SEARCH(IF(B$3&lt;&gt;"",B$3,"NA"),'MITRE ATT&amp;CK Mappings'!$J207))), 'MITRE ATT&amp;CK Mappings'!$B207,"")</f>
        <v/>
      </c>
      <c r="C211" s="27" t="str">
        <f>IF(OR(OR(OR(OR(OR(ISNUMBER(SEARCH(IF(C$1&lt;&gt;"",C$1,"NA"),'MITRE ATT&amp;CK Mappings'!$E207)),ISNUMBER(SEARCH(IF(C$1&lt;&gt;"",C$1,"NA"),'MITRE ATT&amp;CK Mappings'!$F207))),ISNUMBER(SEARCH(IF(C$2&lt;&gt;"",C$2,"NA"),'MITRE ATT&amp;CK Mappings'!$G207))),ISNUMBER(SEARCH(IF(C$2&lt;&gt;"",C$2,"NA"),'MITRE ATT&amp;CK Mappings'!$H207))),ISNUMBER(SEARCH(IF(C$3&lt;&gt;"",C$3,"NA"),'MITRE ATT&amp;CK Mappings'!$I207))),ISNUMBER(SEARCH(IF(C$3&lt;&gt;"",C$3,"NA"),'MITRE ATT&amp;CK Mappings'!$J207))), 'MITRE ATT&amp;CK Mappings'!$B207,"")</f>
        <v/>
      </c>
      <c r="D211" s="27" t="str">
        <f>IF(OR(OR(OR(OR(OR(ISNUMBER(SEARCH(IF(D$1&lt;&gt;"",D$1,"NA"),'MITRE ATT&amp;CK Mappings'!$E207)),ISNUMBER(SEARCH(IF(D$1&lt;&gt;"",D$1,"NA"),'MITRE ATT&amp;CK Mappings'!$F207))),ISNUMBER(SEARCH(IF(D$2&lt;&gt;"",D$2,"NA"),'MITRE ATT&amp;CK Mappings'!$G207))),ISNUMBER(SEARCH(IF(D$2&lt;&gt;"",D$2,"NA"),'MITRE ATT&amp;CK Mappings'!$H207))),ISNUMBER(SEARCH(IF(D$3&lt;&gt;"",D$3,"NA"),'MITRE ATT&amp;CK Mappings'!$I207))),ISNUMBER(SEARCH(IF(D$3&lt;&gt;"",D$3,"NA"),'MITRE ATT&amp;CK Mappings'!$J207))), 'MITRE ATT&amp;CK Mappings'!$B207,"")</f>
        <v/>
      </c>
      <c r="E211" s="27" t="str">
        <f>IF(OR(OR(OR(OR(OR(ISNUMBER(SEARCH(IF(E$1&lt;&gt;"",E$1,"NA"),'MITRE ATT&amp;CK Mappings'!$E207)),ISNUMBER(SEARCH(IF(E$1&lt;&gt;"",E$1,"NA"),'MITRE ATT&amp;CK Mappings'!$F207))),ISNUMBER(SEARCH(IF(E$2&lt;&gt;"",E$2,"NA"),'MITRE ATT&amp;CK Mappings'!$G207))),ISNUMBER(SEARCH(IF(E$2&lt;&gt;"",E$2,"NA"),'MITRE ATT&amp;CK Mappings'!$H207))),ISNUMBER(SEARCH(IF(E$3&lt;&gt;"",E$3,"NA"),'MITRE ATT&amp;CK Mappings'!$I207))),ISNUMBER(SEARCH(IF(E$3&lt;&gt;"",E$3,"NA"),'MITRE ATT&amp;CK Mappings'!$J207))), 'MITRE ATT&amp;CK Mappings'!$B207,"")</f>
        <v/>
      </c>
      <c r="F211" s="27" t="str">
        <f>IF(OR(OR(OR(OR(OR(ISNUMBER(SEARCH(IF(F$1&lt;&gt;"",F$1,"NA"),'MITRE ATT&amp;CK Mappings'!$E207)),ISNUMBER(SEARCH(IF(F$1&lt;&gt;"",F$1,"NA"),'MITRE ATT&amp;CK Mappings'!$F207))),ISNUMBER(SEARCH(IF(F$2&lt;&gt;"",F$2,"NA"),'MITRE ATT&amp;CK Mappings'!$G207))),ISNUMBER(SEARCH(IF(F$2&lt;&gt;"",F$2,"NA"),'MITRE ATT&amp;CK Mappings'!$H207))),ISNUMBER(SEARCH(IF(F$3&lt;&gt;"",F$3,"NA"),'MITRE ATT&amp;CK Mappings'!$I207))),ISNUMBER(SEARCH(IF(F$3&lt;&gt;"",F$3,"NA"),'MITRE ATT&amp;CK Mappings'!$J207))), 'MITRE ATT&amp;CK Mappings'!$B207,"")</f>
        <v/>
      </c>
      <c r="G211" s="27" t="str">
        <f>IF(OR(OR(OR(OR(OR(ISNUMBER(SEARCH(IF(G$1&lt;&gt;"",G$1,"NA"),'MITRE ATT&amp;CK Mappings'!$E207)),ISNUMBER(SEARCH(IF(G$1&lt;&gt;"",G$1,"NA"),'MITRE ATT&amp;CK Mappings'!$F207))),ISNUMBER(SEARCH(IF(G$2&lt;&gt;"",G$2,"NA"),'MITRE ATT&amp;CK Mappings'!$G207))),ISNUMBER(SEARCH(IF(G$2&lt;&gt;"",G$2,"NA"),'MITRE ATT&amp;CK Mappings'!$H207))),ISNUMBER(SEARCH(IF(G$3&lt;&gt;"",G$3,"NA"),'MITRE ATT&amp;CK Mappings'!$I207))),ISNUMBER(SEARCH(IF(G$3&lt;&gt;"",G$3,"NA"),'MITRE ATT&amp;CK Mappings'!$J207))), 'MITRE ATT&amp;CK Mappings'!$B207,"")</f>
        <v/>
      </c>
      <c r="H211" s="27" t="str">
        <f>IF(OR(OR(OR(OR(OR(ISNUMBER(SEARCH(IF(H$1&lt;&gt;"",H$1,"NA"),'MITRE ATT&amp;CK Mappings'!$E207)),ISNUMBER(SEARCH(IF(H$1&lt;&gt;"",H$1,"NA"),'MITRE ATT&amp;CK Mappings'!$F207))),ISNUMBER(SEARCH(IF(H$2&lt;&gt;"",H$2,"NA"),'MITRE ATT&amp;CK Mappings'!$G207))),ISNUMBER(SEARCH(IF(H$2&lt;&gt;"",H$2,"NA"),'MITRE ATT&amp;CK Mappings'!$H207))),ISNUMBER(SEARCH(IF(H$3&lt;&gt;"",H$3,"NA"),'MITRE ATT&amp;CK Mappings'!$I207))),ISNUMBER(SEARCH(IF(H$3&lt;&gt;"",H$3,"NA"),'MITRE ATT&amp;CK Mappings'!$J207))), 'MITRE ATT&amp;CK Mappings'!$B207,"")</f>
        <v/>
      </c>
      <c r="I211" s="27" t="str">
        <f>IF(OR(OR(OR(OR(OR(ISNUMBER(SEARCH(IF(I$1&lt;&gt;"",I$1,"NA"),'MITRE ATT&amp;CK Mappings'!$E207)),ISNUMBER(SEARCH(IF(I$1&lt;&gt;"",I$1,"NA"),'MITRE ATT&amp;CK Mappings'!$F207))),ISNUMBER(SEARCH(IF(I$2&lt;&gt;"",I$2,"NA"),'MITRE ATT&amp;CK Mappings'!$G207))),ISNUMBER(SEARCH(IF(I$2&lt;&gt;"",I$2,"NA"),'MITRE ATT&amp;CK Mappings'!$H207))),ISNUMBER(SEARCH(IF(I$3&lt;&gt;"",I$3,"NA"),'MITRE ATT&amp;CK Mappings'!$I207))),ISNUMBER(SEARCH(IF(I$3&lt;&gt;"",I$3,"NA"),'MITRE ATT&amp;CK Mappings'!$J207))), 'MITRE ATT&amp;CK Mappings'!$B207,"")</f>
        <v/>
      </c>
      <c r="J211" s="27" t="str">
        <f>IF(OR(OR(OR(OR(OR(ISNUMBER(SEARCH(IF(J$1&lt;&gt;"",J$1,"NA"),'MITRE ATT&amp;CK Mappings'!$E207)),ISNUMBER(SEARCH(IF(J$1&lt;&gt;"",J$1,"NA"),'MITRE ATT&amp;CK Mappings'!$F207))),ISNUMBER(SEARCH(IF(J$2&lt;&gt;"",J$2,"NA"),'MITRE ATT&amp;CK Mappings'!$G207))),ISNUMBER(SEARCH(IF(J$2&lt;&gt;"",J$2,"NA"),'MITRE ATT&amp;CK Mappings'!$H207))),ISNUMBER(SEARCH(IF(J$3&lt;&gt;"",J$3,"NA"),'MITRE ATT&amp;CK Mappings'!$I207))),ISNUMBER(SEARCH(IF(J$3&lt;&gt;"",J$3,"NA"),'MITRE ATT&amp;CK Mappings'!$J207))), 'MITRE ATT&amp;CK Mappings'!$B207,"")</f>
        <v/>
      </c>
      <c r="K211" s="27" t="str">
        <f>IF(OR(OR(OR(OR(OR(ISNUMBER(SEARCH(IF(K$1&lt;&gt;"",K$1,"NA"),'MITRE ATT&amp;CK Mappings'!$E207)),ISNUMBER(SEARCH(IF(K$1&lt;&gt;"",K$1,"NA"),'MITRE ATT&amp;CK Mappings'!$F207))),ISNUMBER(SEARCH(IF(K$2&lt;&gt;"",K$2,"NA"),'MITRE ATT&amp;CK Mappings'!$G207))),ISNUMBER(SEARCH(IF(K$2&lt;&gt;"",K$2,"NA"),'MITRE ATT&amp;CK Mappings'!$H207))),ISNUMBER(SEARCH(IF(K$3&lt;&gt;"",K$3,"NA"),'MITRE ATT&amp;CK Mappings'!$I207))),ISNUMBER(SEARCH(IF(K$3&lt;&gt;"",K$3,"NA"),'MITRE ATT&amp;CK Mappings'!$J207))), 'MITRE ATT&amp;CK Mappings'!$B207,"")</f>
        <v/>
      </c>
      <c r="L211" s="27" t="str">
        <f>IF('MITRE ATT&amp;CK Mappings'!D207 &lt;&gt;"",'MITRE ATT&amp;CK Mappings'!D207,"" )</f>
        <v/>
      </c>
    </row>
    <row r="212" spans="1:12" x14ac:dyDescent="0.25">
      <c r="A212" s="26" t="str">
        <f>IF(COUNTIF(B212:K212,"="&amp;'MITRE ATT&amp;CK Mappings'!B208)&gt;0,'MITRE ATT&amp;CK Mappings'!B208,"")</f>
        <v/>
      </c>
      <c r="B212" s="26" t="str">
        <f>IF(OR(OR(OR(OR(OR(ISNUMBER(SEARCH(IF(B$1&lt;&gt;"",B$1,"NA"),'MITRE ATT&amp;CK Mappings'!$E208)),ISNUMBER(SEARCH(IF(B$1&lt;&gt;"",B$1,"NA"),'MITRE ATT&amp;CK Mappings'!$F208))),ISNUMBER(SEARCH(IF(B$2&lt;&gt;"",B$2,"NA"),'MITRE ATT&amp;CK Mappings'!$G208))),ISNUMBER(SEARCH(IF(B$2&lt;&gt;"",B$2,"NA"),'MITRE ATT&amp;CK Mappings'!$H208))),ISNUMBER(SEARCH(IF(B$3&lt;&gt;"",B$3,"NA"),'MITRE ATT&amp;CK Mappings'!$I208))),ISNUMBER(SEARCH(IF(B$3&lt;&gt;"",B$3,"NA"),'MITRE ATT&amp;CK Mappings'!$J208))), 'MITRE ATT&amp;CK Mappings'!$B208,"")</f>
        <v/>
      </c>
      <c r="C212" s="26" t="str">
        <f>IF(OR(OR(OR(OR(OR(ISNUMBER(SEARCH(IF(C$1&lt;&gt;"",C$1,"NA"),'MITRE ATT&amp;CK Mappings'!$E208)),ISNUMBER(SEARCH(IF(C$1&lt;&gt;"",C$1,"NA"),'MITRE ATT&amp;CK Mappings'!$F208))),ISNUMBER(SEARCH(IF(C$2&lt;&gt;"",C$2,"NA"),'MITRE ATT&amp;CK Mappings'!$G208))),ISNUMBER(SEARCH(IF(C$2&lt;&gt;"",C$2,"NA"),'MITRE ATT&amp;CK Mappings'!$H208))),ISNUMBER(SEARCH(IF(C$3&lt;&gt;"",C$3,"NA"),'MITRE ATT&amp;CK Mappings'!$I208))),ISNUMBER(SEARCH(IF(C$3&lt;&gt;"",C$3,"NA"),'MITRE ATT&amp;CK Mappings'!$J208))), 'MITRE ATT&amp;CK Mappings'!$B208,"")</f>
        <v/>
      </c>
      <c r="D212" s="26" t="str">
        <f>IF(OR(OR(OR(OR(OR(ISNUMBER(SEARCH(IF(D$1&lt;&gt;"",D$1,"NA"),'MITRE ATT&amp;CK Mappings'!$E208)),ISNUMBER(SEARCH(IF(D$1&lt;&gt;"",D$1,"NA"),'MITRE ATT&amp;CK Mappings'!$F208))),ISNUMBER(SEARCH(IF(D$2&lt;&gt;"",D$2,"NA"),'MITRE ATT&amp;CK Mappings'!$G208))),ISNUMBER(SEARCH(IF(D$2&lt;&gt;"",D$2,"NA"),'MITRE ATT&amp;CK Mappings'!$H208))),ISNUMBER(SEARCH(IF(D$3&lt;&gt;"",D$3,"NA"),'MITRE ATT&amp;CK Mappings'!$I208))),ISNUMBER(SEARCH(IF(D$3&lt;&gt;"",D$3,"NA"),'MITRE ATT&amp;CK Mappings'!$J208))), 'MITRE ATT&amp;CK Mappings'!$B208,"")</f>
        <v/>
      </c>
      <c r="E212" s="26" t="str">
        <f>IF(OR(OR(OR(OR(OR(ISNUMBER(SEARCH(IF(E$1&lt;&gt;"",E$1,"NA"),'MITRE ATT&amp;CK Mappings'!$E208)),ISNUMBER(SEARCH(IF(E$1&lt;&gt;"",E$1,"NA"),'MITRE ATT&amp;CK Mappings'!$F208))),ISNUMBER(SEARCH(IF(E$2&lt;&gt;"",E$2,"NA"),'MITRE ATT&amp;CK Mappings'!$G208))),ISNUMBER(SEARCH(IF(E$2&lt;&gt;"",E$2,"NA"),'MITRE ATT&amp;CK Mappings'!$H208))),ISNUMBER(SEARCH(IF(E$3&lt;&gt;"",E$3,"NA"),'MITRE ATT&amp;CK Mappings'!$I208))),ISNUMBER(SEARCH(IF(E$3&lt;&gt;"",E$3,"NA"),'MITRE ATT&amp;CK Mappings'!$J208))), 'MITRE ATT&amp;CK Mappings'!$B208,"")</f>
        <v/>
      </c>
      <c r="F212" s="26" t="str">
        <f>IF(OR(OR(OR(OR(OR(ISNUMBER(SEARCH(IF(F$1&lt;&gt;"",F$1,"NA"),'MITRE ATT&amp;CK Mappings'!$E208)),ISNUMBER(SEARCH(IF(F$1&lt;&gt;"",F$1,"NA"),'MITRE ATT&amp;CK Mappings'!$F208))),ISNUMBER(SEARCH(IF(F$2&lt;&gt;"",F$2,"NA"),'MITRE ATT&amp;CK Mappings'!$G208))),ISNUMBER(SEARCH(IF(F$2&lt;&gt;"",F$2,"NA"),'MITRE ATT&amp;CK Mappings'!$H208))),ISNUMBER(SEARCH(IF(F$3&lt;&gt;"",F$3,"NA"),'MITRE ATT&amp;CK Mappings'!$I208))),ISNUMBER(SEARCH(IF(F$3&lt;&gt;"",F$3,"NA"),'MITRE ATT&amp;CK Mappings'!$J208))), 'MITRE ATT&amp;CK Mappings'!$B208,"")</f>
        <v/>
      </c>
      <c r="G212" s="26" t="str">
        <f>IF(OR(OR(OR(OR(OR(ISNUMBER(SEARCH(IF(G$1&lt;&gt;"",G$1,"NA"),'MITRE ATT&amp;CK Mappings'!$E208)),ISNUMBER(SEARCH(IF(G$1&lt;&gt;"",G$1,"NA"),'MITRE ATT&amp;CK Mappings'!$F208))),ISNUMBER(SEARCH(IF(G$2&lt;&gt;"",G$2,"NA"),'MITRE ATT&amp;CK Mappings'!$G208))),ISNUMBER(SEARCH(IF(G$2&lt;&gt;"",G$2,"NA"),'MITRE ATT&amp;CK Mappings'!$H208))),ISNUMBER(SEARCH(IF(G$3&lt;&gt;"",G$3,"NA"),'MITRE ATT&amp;CK Mappings'!$I208))),ISNUMBER(SEARCH(IF(G$3&lt;&gt;"",G$3,"NA"),'MITRE ATT&amp;CK Mappings'!$J208))), 'MITRE ATT&amp;CK Mappings'!$B208,"")</f>
        <v/>
      </c>
      <c r="H212" s="26" t="str">
        <f>IF(OR(OR(OR(OR(OR(ISNUMBER(SEARCH(IF(H$1&lt;&gt;"",H$1,"NA"),'MITRE ATT&amp;CK Mappings'!$E208)),ISNUMBER(SEARCH(IF(H$1&lt;&gt;"",H$1,"NA"),'MITRE ATT&amp;CK Mappings'!$F208))),ISNUMBER(SEARCH(IF(H$2&lt;&gt;"",H$2,"NA"),'MITRE ATT&amp;CK Mappings'!$G208))),ISNUMBER(SEARCH(IF(H$2&lt;&gt;"",H$2,"NA"),'MITRE ATT&amp;CK Mappings'!$H208))),ISNUMBER(SEARCH(IF(H$3&lt;&gt;"",H$3,"NA"),'MITRE ATT&amp;CK Mappings'!$I208))),ISNUMBER(SEARCH(IF(H$3&lt;&gt;"",H$3,"NA"),'MITRE ATT&amp;CK Mappings'!$J208))), 'MITRE ATT&amp;CK Mappings'!$B208,"")</f>
        <v/>
      </c>
      <c r="I212" s="26" t="str">
        <f>IF(OR(OR(OR(OR(OR(ISNUMBER(SEARCH(IF(I$1&lt;&gt;"",I$1,"NA"),'MITRE ATT&amp;CK Mappings'!$E208)),ISNUMBER(SEARCH(IF(I$1&lt;&gt;"",I$1,"NA"),'MITRE ATT&amp;CK Mappings'!$F208))),ISNUMBER(SEARCH(IF(I$2&lt;&gt;"",I$2,"NA"),'MITRE ATT&amp;CK Mappings'!$G208))),ISNUMBER(SEARCH(IF(I$2&lt;&gt;"",I$2,"NA"),'MITRE ATT&amp;CK Mappings'!$H208))),ISNUMBER(SEARCH(IF(I$3&lt;&gt;"",I$3,"NA"),'MITRE ATT&amp;CK Mappings'!$I208))),ISNUMBER(SEARCH(IF(I$3&lt;&gt;"",I$3,"NA"),'MITRE ATT&amp;CK Mappings'!$J208))), 'MITRE ATT&amp;CK Mappings'!$B208,"")</f>
        <v/>
      </c>
      <c r="J212" s="26" t="str">
        <f>IF(OR(OR(OR(OR(OR(ISNUMBER(SEARCH(IF(J$1&lt;&gt;"",J$1,"NA"),'MITRE ATT&amp;CK Mappings'!$E208)),ISNUMBER(SEARCH(IF(J$1&lt;&gt;"",J$1,"NA"),'MITRE ATT&amp;CK Mappings'!$F208))),ISNUMBER(SEARCH(IF(J$2&lt;&gt;"",J$2,"NA"),'MITRE ATT&amp;CK Mappings'!$G208))),ISNUMBER(SEARCH(IF(J$2&lt;&gt;"",J$2,"NA"),'MITRE ATT&amp;CK Mappings'!$H208))),ISNUMBER(SEARCH(IF(J$3&lt;&gt;"",J$3,"NA"),'MITRE ATT&amp;CK Mappings'!$I208))),ISNUMBER(SEARCH(IF(J$3&lt;&gt;"",J$3,"NA"),'MITRE ATT&amp;CK Mappings'!$J208))), 'MITRE ATT&amp;CK Mappings'!$B208,"")</f>
        <v/>
      </c>
      <c r="K212" s="26" t="str">
        <f>IF(OR(OR(OR(OR(OR(ISNUMBER(SEARCH(IF(K$1&lt;&gt;"",K$1,"NA"),'MITRE ATT&amp;CK Mappings'!$E208)),ISNUMBER(SEARCH(IF(K$1&lt;&gt;"",K$1,"NA"),'MITRE ATT&amp;CK Mappings'!$F208))),ISNUMBER(SEARCH(IF(K$2&lt;&gt;"",K$2,"NA"),'MITRE ATT&amp;CK Mappings'!$G208))),ISNUMBER(SEARCH(IF(K$2&lt;&gt;"",K$2,"NA"),'MITRE ATT&amp;CK Mappings'!$H208))),ISNUMBER(SEARCH(IF(K$3&lt;&gt;"",K$3,"NA"),'MITRE ATT&amp;CK Mappings'!$I208))),ISNUMBER(SEARCH(IF(K$3&lt;&gt;"",K$3,"NA"),'MITRE ATT&amp;CK Mappings'!$J208))), 'MITRE ATT&amp;CK Mappings'!$B208,"")</f>
        <v/>
      </c>
      <c r="L212" s="26" t="str">
        <f>IF('MITRE ATT&amp;CK Mappings'!D208 &lt;&gt;"",'MITRE ATT&amp;CK Mappings'!D208,"" )</f>
        <v/>
      </c>
    </row>
    <row r="213" spans="1:12" x14ac:dyDescent="0.25">
      <c r="A213" s="27" t="str">
        <f>IF(COUNTIF(B213:K213,"="&amp;'MITRE ATT&amp;CK Mappings'!B209)&gt;0,'MITRE ATT&amp;CK Mappings'!B209,"")</f>
        <v/>
      </c>
      <c r="B213" s="27" t="str">
        <f>IF(OR(OR(OR(OR(OR(ISNUMBER(SEARCH(IF(B$1&lt;&gt;"",B$1,"NA"),'MITRE ATT&amp;CK Mappings'!$E209)),ISNUMBER(SEARCH(IF(B$1&lt;&gt;"",B$1,"NA"),'MITRE ATT&amp;CK Mappings'!$F209))),ISNUMBER(SEARCH(IF(B$2&lt;&gt;"",B$2,"NA"),'MITRE ATT&amp;CK Mappings'!$G209))),ISNUMBER(SEARCH(IF(B$2&lt;&gt;"",B$2,"NA"),'MITRE ATT&amp;CK Mappings'!$H209))),ISNUMBER(SEARCH(IF(B$3&lt;&gt;"",B$3,"NA"),'MITRE ATT&amp;CK Mappings'!$I209))),ISNUMBER(SEARCH(IF(B$3&lt;&gt;"",B$3,"NA"),'MITRE ATT&amp;CK Mappings'!$J209))), 'MITRE ATT&amp;CK Mappings'!$B209,"")</f>
        <v/>
      </c>
      <c r="C213" s="27" t="str">
        <f>IF(OR(OR(OR(OR(OR(ISNUMBER(SEARCH(IF(C$1&lt;&gt;"",C$1,"NA"),'MITRE ATT&amp;CK Mappings'!$E209)),ISNUMBER(SEARCH(IF(C$1&lt;&gt;"",C$1,"NA"),'MITRE ATT&amp;CK Mappings'!$F209))),ISNUMBER(SEARCH(IF(C$2&lt;&gt;"",C$2,"NA"),'MITRE ATT&amp;CK Mappings'!$G209))),ISNUMBER(SEARCH(IF(C$2&lt;&gt;"",C$2,"NA"),'MITRE ATT&amp;CK Mappings'!$H209))),ISNUMBER(SEARCH(IF(C$3&lt;&gt;"",C$3,"NA"),'MITRE ATT&amp;CK Mappings'!$I209))),ISNUMBER(SEARCH(IF(C$3&lt;&gt;"",C$3,"NA"),'MITRE ATT&amp;CK Mappings'!$J209))), 'MITRE ATT&amp;CK Mappings'!$B209,"")</f>
        <v/>
      </c>
      <c r="D213" s="27" t="str">
        <f>IF(OR(OR(OR(OR(OR(ISNUMBER(SEARCH(IF(D$1&lt;&gt;"",D$1,"NA"),'MITRE ATT&amp;CK Mappings'!$E209)),ISNUMBER(SEARCH(IF(D$1&lt;&gt;"",D$1,"NA"),'MITRE ATT&amp;CK Mappings'!$F209))),ISNUMBER(SEARCH(IF(D$2&lt;&gt;"",D$2,"NA"),'MITRE ATT&amp;CK Mappings'!$G209))),ISNUMBER(SEARCH(IF(D$2&lt;&gt;"",D$2,"NA"),'MITRE ATT&amp;CK Mappings'!$H209))),ISNUMBER(SEARCH(IF(D$3&lt;&gt;"",D$3,"NA"),'MITRE ATT&amp;CK Mappings'!$I209))),ISNUMBER(SEARCH(IF(D$3&lt;&gt;"",D$3,"NA"),'MITRE ATT&amp;CK Mappings'!$J209))), 'MITRE ATT&amp;CK Mappings'!$B209,"")</f>
        <v/>
      </c>
      <c r="E213" s="27" t="str">
        <f>IF(OR(OR(OR(OR(OR(ISNUMBER(SEARCH(IF(E$1&lt;&gt;"",E$1,"NA"),'MITRE ATT&amp;CK Mappings'!$E209)),ISNUMBER(SEARCH(IF(E$1&lt;&gt;"",E$1,"NA"),'MITRE ATT&amp;CK Mappings'!$F209))),ISNUMBER(SEARCH(IF(E$2&lt;&gt;"",E$2,"NA"),'MITRE ATT&amp;CK Mappings'!$G209))),ISNUMBER(SEARCH(IF(E$2&lt;&gt;"",E$2,"NA"),'MITRE ATT&amp;CK Mappings'!$H209))),ISNUMBER(SEARCH(IF(E$3&lt;&gt;"",E$3,"NA"),'MITRE ATT&amp;CK Mappings'!$I209))),ISNUMBER(SEARCH(IF(E$3&lt;&gt;"",E$3,"NA"),'MITRE ATT&amp;CK Mappings'!$J209))), 'MITRE ATT&amp;CK Mappings'!$B209,"")</f>
        <v/>
      </c>
      <c r="F213" s="27" t="str">
        <f>IF(OR(OR(OR(OR(OR(ISNUMBER(SEARCH(IF(F$1&lt;&gt;"",F$1,"NA"),'MITRE ATT&amp;CK Mappings'!$E209)),ISNUMBER(SEARCH(IF(F$1&lt;&gt;"",F$1,"NA"),'MITRE ATT&amp;CK Mappings'!$F209))),ISNUMBER(SEARCH(IF(F$2&lt;&gt;"",F$2,"NA"),'MITRE ATT&amp;CK Mappings'!$G209))),ISNUMBER(SEARCH(IF(F$2&lt;&gt;"",F$2,"NA"),'MITRE ATT&amp;CK Mappings'!$H209))),ISNUMBER(SEARCH(IF(F$3&lt;&gt;"",F$3,"NA"),'MITRE ATT&amp;CK Mappings'!$I209))),ISNUMBER(SEARCH(IF(F$3&lt;&gt;"",F$3,"NA"),'MITRE ATT&amp;CK Mappings'!$J209))), 'MITRE ATT&amp;CK Mappings'!$B209,"")</f>
        <v/>
      </c>
      <c r="G213" s="27" t="str">
        <f>IF(OR(OR(OR(OR(OR(ISNUMBER(SEARCH(IF(G$1&lt;&gt;"",G$1,"NA"),'MITRE ATT&amp;CK Mappings'!$E209)),ISNUMBER(SEARCH(IF(G$1&lt;&gt;"",G$1,"NA"),'MITRE ATT&amp;CK Mappings'!$F209))),ISNUMBER(SEARCH(IF(G$2&lt;&gt;"",G$2,"NA"),'MITRE ATT&amp;CK Mappings'!$G209))),ISNUMBER(SEARCH(IF(G$2&lt;&gt;"",G$2,"NA"),'MITRE ATT&amp;CK Mappings'!$H209))),ISNUMBER(SEARCH(IF(G$3&lt;&gt;"",G$3,"NA"),'MITRE ATT&amp;CK Mappings'!$I209))),ISNUMBER(SEARCH(IF(G$3&lt;&gt;"",G$3,"NA"),'MITRE ATT&amp;CK Mappings'!$J209))), 'MITRE ATT&amp;CK Mappings'!$B209,"")</f>
        <v/>
      </c>
      <c r="H213" s="27" t="str">
        <f>IF(OR(OR(OR(OR(OR(ISNUMBER(SEARCH(IF(H$1&lt;&gt;"",H$1,"NA"),'MITRE ATT&amp;CK Mappings'!$E209)),ISNUMBER(SEARCH(IF(H$1&lt;&gt;"",H$1,"NA"),'MITRE ATT&amp;CK Mappings'!$F209))),ISNUMBER(SEARCH(IF(H$2&lt;&gt;"",H$2,"NA"),'MITRE ATT&amp;CK Mappings'!$G209))),ISNUMBER(SEARCH(IF(H$2&lt;&gt;"",H$2,"NA"),'MITRE ATT&amp;CK Mappings'!$H209))),ISNUMBER(SEARCH(IF(H$3&lt;&gt;"",H$3,"NA"),'MITRE ATT&amp;CK Mappings'!$I209))),ISNUMBER(SEARCH(IF(H$3&lt;&gt;"",H$3,"NA"),'MITRE ATT&amp;CK Mappings'!$J209))), 'MITRE ATT&amp;CK Mappings'!$B209,"")</f>
        <v/>
      </c>
      <c r="I213" s="27" t="str">
        <f>IF(OR(OR(OR(OR(OR(ISNUMBER(SEARCH(IF(I$1&lt;&gt;"",I$1,"NA"),'MITRE ATT&amp;CK Mappings'!$E209)),ISNUMBER(SEARCH(IF(I$1&lt;&gt;"",I$1,"NA"),'MITRE ATT&amp;CK Mappings'!$F209))),ISNUMBER(SEARCH(IF(I$2&lt;&gt;"",I$2,"NA"),'MITRE ATT&amp;CK Mappings'!$G209))),ISNUMBER(SEARCH(IF(I$2&lt;&gt;"",I$2,"NA"),'MITRE ATT&amp;CK Mappings'!$H209))),ISNUMBER(SEARCH(IF(I$3&lt;&gt;"",I$3,"NA"),'MITRE ATT&amp;CK Mappings'!$I209))),ISNUMBER(SEARCH(IF(I$3&lt;&gt;"",I$3,"NA"),'MITRE ATT&amp;CK Mappings'!$J209))), 'MITRE ATT&amp;CK Mappings'!$B209,"")</f>
        <v/>
      </c>
      <c r="J213" s="27" t="str">
        <f>IF(OR(OR(OR(OR(OR(ISNUMBER(SEARCH(IF(J$1&lt;&gt;"",J$1,"NA"),'MITRE ATT&amp;CK Mappings'!$E209)),ISNUMBER(SEARCH(IF(J$1&lt;&gt;"",J$1,"NA"),'MITRE ATT&amp;CK Mappings'!$F209))),ISNUMBER(SEARCH(IF(J$2&lt;&gt;"",J$2,"NA"),'MITRE ATT&amp;CK Mappings'!$G209))),ISNUMBER(SEARCH(IF(J$2&lt;&gt;"",J$2,"NA"),'MITRE ATT&amp;CK Mappings'!$H209))),ISNUMBER(SEARCH(IF(J$3&lt;&gt;"",J$3,"NA"),'MITRE ATT&amp;CK Mappings'!$I209))),ISNUMBER(SEARCH(IF(J$3&lt;&gt;"",J$3,"NA"),'MITRE ATT&amp;CK Mappings'!$J209))), 'MITRE ATT&amp;CK Mappings'!$B209,"")</f>
        <v/>
      </c>
      <c r="K213" s="27" t="str">
        <f>IF(OR(OR(OR(OR(OR(ISNUMBER(SEARCH(IF(K$1&lt;&gt;"",K$1,"NA"),'MITRE ATT&amp;CK Mappings'!$E209)),ISNUMBER(SEARCH(IF(K$1&lt;&gt;"",K$1,"NA"),'MITRE ATT&amp;CK Mappings'!$F209))),ISNUMBER(SEARCH(IF(K$2&lt;&gt;"",K$2,"NA"),'MITRE ATT&amp;CK Mappings'!$G209))),ISNUMBER(SEARCH(IF(K$2&lt;&gt;"",K$2,"NA"),'MITRE ATT&amp;CK Mappings'!$H209))),ISNUMBER(SEARCH(IF(K$3&lt;&gt;"",K$3,"NA"),'MITRE ATT&amp;CK Mappings'!$I209))),ISNUMBER(SEARCH(IF(K$3&lt;&gt;"",K$3,"NA"),'MITRE ATT&amp;CK Mappings'!$J209))), 'MITRE ATT&amp;CK Mappings'!$B209,"")</f>
        <v/>
      </c>
      <c r="L213" s="27" t="str">
        <f>IF('MITRE ATT&amp;CK Mappings'!D209 &lt;&gt;"",'MITRE ATT&amp;CK Mappings'!D209,"" )</f>
        <v/>
      </c>
    </row>
    <row r="214" spans="1:12" x14ac:dyDescent="0.25">
      <c r="A214" s="26" t="str">
        <f>IF(COUNTIF(B214:K214,"="&amp;'MITRE ATT&amp;CK Mappings'!B210)&gt;0,'MITRE ATT&amp;CK Mappings'!B210,"")</f>
        <v/>
      </c>
      <c r="B214" s="26" t="str">
        <f>IF(OR(OR(OR(OR(OR(ISNUMBER(SEARCH(IF(B$1&lt;&gt;"",B$1,"NA"),'MITRE ATT&amp;CK Mappings'!$E210)),ISNUMBER(SEARCH(IF(B$1&lt;&gt;"",B$1,"NA"),'MITRE ATT&amp;CK Mappings'!$F210))),ISNUMBER(SEARCH(IF(B$2&lt;&gt;"",B$2,"NA"),'MITRE ATT&amp;CK Mappings'!$G210))),ISNUMBER(SEARCH(IF(B$2&lt;&gt;"",B$2,"NA"),'MITRE ATT&amp;CK Mappings'!$H210))),ISNUMBER(SEARCH(IF(B$3&lt;&gt;"",B$3,"NA"),'MITRE ATT&amp;CK Mappings'!$I210))),ISNUMBER(SEARCH(IF(B$3&lt;&gt;"",B$3,"NA"),'MITRE ATT&amp;CK Mappings'!$J210))), 'MITRE ATT&amp;CK Mappings'!$B210,"")</f>
        <v/>
      </c>
      <c r="C214" s="26" t="str">
        <f>IF(OR(OR(OR(OR(OR(ISNUMBER(SEARCH(IF(C$1&lt;&gt;"",C$1,"NA"),'MITRE ATT&amp;CK Mappings'!$E210)),ISNUMBER(SEARCH(IF(C$1&lt;&gt;"",C$1,"NA"),'MITRE ATT&amp;CK Mappings'!$F210))),ISNUMBER(SEARCH(IF(C$2&lt;&gt;"",C$2,"NA"),'MITRE ATT&amp;CK Mappings'!$G210))),ISNUMBER(SEARCH(IF(C$2&lt;&gt;"",C$2,"NA"),'MITRE ATT&amp;CK Mappings'!$H210))),ISNUMBER(SEARCH(IF(C$3&lt;&gt;"",C$3,"NA"),'MITRE ATT&amp;CK Mappings'!$I210))),ISNUMBER(SEARCH(IF(C$3&lt;&gt;"",C$3,"NA"),'MITRE ATT&amp;CK Mappings'!$J210))), 'MITRE ATT&amp;CK Mappings'!$B210,"")</f>
        <v/>
      </c>
      <c r="D214" s="26" t="str">
        <f>IF(OR(OR(OR(OR(OR(ISNUMBER(SEARCH(IF(D$1&lt;&gt;"",D$1,"NA"),'MITRE ATT&amp;CK Mappings'!$E210)),ISNUMBER(SEARCH(IF(D$1&lt;&gt;"",D$1,"NA"),'MITRE ATT&amp;CK Mappings'!$F210))),ISNUMBER(SEARCH(IF(D$2&lt;&gt;"",D$2,"NA"),'MITRE ATT&amp;CK Mappings'!$G210))),ISNUMBER(SEARCH(IF(D$2&lt;&gt;"",D$2,"NA"),'MITRE ATT&amp;CK Mappings'!$H210))),ISNUMBER(SEARCH(IF(D$3&lt;&gt;"",D$3,"NA"),'MITRE ATT&amp;CK Mappings'!$I210))),ISNUMBER(SEARCH(IF(D$3&lt;&gt;"",D$3,"NA"),'MITRE ATT&amp;CK Mappings'!$J210))), 'MITRE ATT&amp;CK Mappings'!$B210,"")</f>
        <v/>
      </c>
      <c r="E214" s="26" t="str">
        <f>IF(OR(OR(OR(OR(OR(ISNUMBER(SEARCH(IF(E$1&lt;&gt;"",E$1,"NA"),'MITRE ATT&amp;CK Mappings'!$E210)),ISNUMBER(SEARCH(IF(E$1&lt;&gt;"",E$1,"NA"),'MITRE ATT&amp;CK Mappings'!$F210))),ISNUMBER(SEARCH(IF(E$2&lt;&gt;"",E$2,"NA"),'MITRE ATT&amp;CK Mappings'!$G210))),ISNUMBER(SEARCH(IF(E$2&lt;&gt;"",E$2,"NA"),'MITRE ATT&amp;CK Mappings'!$H210))),ISNUMBER(SEARCH(IF(E$3&lt;&gt;"",E$3,"NA"),'MITRE ATT&amp;CK Mappings'!$I210))),ISNUMBER(SEARCH(IF(E$3&lt;&gt;"",E$3,"NA"),'MITRE ATT&amp;CK Mappings'!$J210))), 'MITRE ATT&amp;CK Mappings'!$B210,"")</f>
        <v/>
      </c>
      <c r="F214" s="26" t="str">
        <f>IF(OR(OR(OR(OR(OR(ISNUMBER(SEARCH(IF(F$1&lt;&gt;"",F$1,"NA"),'MITRE ATT&amp;CK Mappings'!$E210)),ISNUMBER(SEARCH(IF(F$1&lt;&gt;"",F$1,"NA"),'MITRE ATT&amp;CK Mappings'!$F210))),ISNUMBER(SEARCH(IF(F$2&lt;&gt;"",F$2,"NA"),'MITRE ATT&amp;CK Mappings'!$G210))),ISNUMBER(SEARCH(IF(F$2&lt;&gt;"",F$2,"NA"),'MITRE ATT&amp;CK Mappings'!$H210))),ISNUMBER(SEARCH(IF(F$3&lt;&gt;"",F$3,"NA"),'MITRE ATT&amp;CK Mappings'!$I210))),ISNUMBER(SEARCH(IF(F$3&lt;&gt;"",F$3,"NA"),'MITRE ATT&amp;CK Mappings'!$J210))), 'MITRE ATT&amp;CK Mappings'!$B210,"")</f>
        <v/>
      </c>
      <c r="G214" s="26" t="str">
        <f>IF(OR(OR(OR(OR(OR(ISNUMBER(SEARCH(IF(G$1&lt;&gt;"",G$1,"NA"),'MITRE ATT&amp;CK Mappings'!$E210)),ISNUMBER(SEARCH(IF(G$1&lt;&gt;"",G$1,"NA"),'MITRE ATT&amp;CK Mappings'!$F210))),ISNUMBER(SEARCH(IF(G$2&lt;&gt;"",G$2,"NA"),'MITRE ATT&amp;CK Mappings'!$G210))),ISNUMBER(SEARCH(IF(G$2&lt;&gt;"",G$2,"NA"),'MITRE ATT&amp;CK Mappings'!$H210))),ISNUMBER(SEARCH(IF(G$3&lt;&gt;"",G$3,"NA"),'MITRE ATT&amp;CK Mappings'!$I210))),ISNUMBER(SEARCH(IF(G$3&lt;&gt;"",G$3,"NA"),'MITRE ATT&amp;CK Mappings'!$J210))), 'MITRE ATT&amp;CK Mappings'!$B210,"")</f>
        <v/>
      </c>
      <c r="H214" s="26" t="str">
        <f>IF(OR(OR(OR(OR(OR(ISNUMBER(SEARCH(IF(H$1&lt;&gt;"",H$1,"NA"),'MITRE ATT&amp;CK Mappings'!$E210)),ISNUMBER(SEARCH(IF(H$1&lt;&gt;"",H$1,"NA"),'MITRE ATT&amp;CK Mappings'!$F210))),ISNUMBER(SEARCH(IF(H$2&lt;&gt;"",H$2,"NA"),'MITRE ATT&amp;CK Mappings'!$G210))),ISNUMBER(SEARCH(IF(H$2&lt;&gt;"",H$2,"NA"),'MITRE ATT&amp;CK Mappings'!$H210))),ISNUMBER(SEARCH(IF(H$3&lt;&gt;"",H$3,"NA"),'MITRE ATT&amp;CK Mappings'!$I210))),ISNUMBER(SEARCH(IF(H$3&lt;&gt;"",H$3,"NA"),'MITRE ATT&amp;CK Mappings'!$J210))), 'MITRE ATT&amp;CK Mappings'!$B210,"")</f>
        <v/>
      </c>
      <c r="I214" s="26" t="str">
        <f>IF(OR(OR(OR(OR(OR(ISNUMBER(SEARCH(IF(I$1&lt;&gt;"",I$1,"NA"),'MITRE ATT&amp;CK Mappings'!$E210)),ISNUMBER(SEARCH(IF(I$1&lt;&gt;"",I$1,"NA"),'MITRE ATT&amp;CK Mappings'!$F210))),ISNUMBER(SEARCH(IF(I$2&lt;&gt;"",I$2,"NA"),'MITRE ATT&amp;CK Mappings'!$G210))),ISNUMBER(SEARCH(IF(I$2&lt;&gt;"",I$2,"NA"),'MITRE ATT&amp;CK Mappings'!$H210))),ISNUMBER(SEARCH(IF(I$3&lt;&gt;"",I$3,"NA"),'MITRE ATT&amp;CK Mappings'!$I210))),ISNUMBER(SEARCH(IF(I$3&lt;&gt;"",I$3,"NA"),'MITRE ATT&amp;CK Mappings'!$J210))), 'MITRE ATT&amp;CK Mappings'!$B210,"")</f>
        <v/>
      </c>
      <c r="J214" s="26" t="str">
        <f>IF(OR(OR(OR(OR(OR(ISNUMBER(SEARCH(IF(J$1&lt;&gt;"",J$1,"NA"),'MITRE ATT&amp;CK Mappings'!$E210)),ISNUMBER(SEARCH(IF(J$1&lt;&gt;"",J$1,"NA"),'MITRE ATT&amp;CK Mappings'!$F210))),ISNUMBER(SEARCH(IF(J$2&lt;&gt;"",J$2,"NA"),'MITRE ATT&amp;CK Mappings'!$G210))),ISNUMBER(SEARCH(IF(J$2&lt;&gt;"",J$2,"NA"),'MITRE ATT&amp;CK Mappings'!$H210))),ISNUMBER(SEARCH(IF(J$3&lt;&gt;"",J$3,"NA"),'MITRE ATT&amp;CK Mappings'!$I210))),ISNUMBER(SEARCH(IF(J$3&lt;&gt;"",J$3,"NA"),'MITRE ATT&amp;CK Mappings'!$J210))), 'MITRE ATT&amp;CK Mappings'!$B210,"")</f>
        <v/>
      </c>
      <c r="K214" s="26" t="str">
        <f>IF(OR(OR(OR(OR(OR(ISNUMBER(SEARCH(IF(K$1&lt;&gt;"",K$1,"NA"),'MITRE ATT&amp;CK Mappings'!$E210)),ISNUMBER(SEARCH(IF(K$1&lt;&gt;"",K$1,"NA"),'MITRE ATT&amp;CK Mappings'!$F210))),ISNUMBER(SEARCH(IF(K$2&lt;&gt;"",K$2,"NA"),'MITRE ATT&amp;CK Mappings'!$G210))),ISNUMBER(SEARCH(IF(K$2&lt;&gt;"",K$2,"NA"),'MITRE ATT&amp;CK Mappings'!$H210))),ISNUMBER(SEARCH(IF(K$3&lt;&gt;"",K$3,"NA"),'MITRE ATT&amp;CK Mappings'!$I210))),ISNUMBER(SEARCH(IF(K$3&lt;&gt;"",K$3,"NA"),'MITRE ATT&amp;CK Mappings'!$J210))), 'MITRE ATT&amp;CK Mappings'!$B210,"")</f>
        <v/>
      </c>
      <c r="L214" s="26" t="str">
        <f>IF('MITRE ATT&amp;CK Mappings'!D210 &lt;&gt;"",'MITRE ATT&amp;CK Mappings'!D210,"" )</f>
        <v/>
      </c>
    </row>
    <row r="215" spans="1:12" x14ac:dyDescent="0.25">
      <c r="A215" s="27" t="str">
        <f>IF(COUNTIF(B215:K215,"="&amp;'MITRE ATT&amp;CK Mappings'!B211)&gt;0,'MITRE ATT&amp;CK Mappings'!B211,"")</f>
        <v/>
      </c>
      <c r="B215" s="27" t="str">
        <f>IF(OR(OR(OR(OR(OR(ISNUMBER(SEARCH(IF(B$1&lt;&gt;"",B$1,"NA"),'MITRE ATT&amp;CK Mappings'!$E211)),ISNUMBER(SEARCH(IF(B$1&lt;&gt;"",B$1,"NA"),'MITRE ATT&amp;CK Mappings'!$F211))),ISNUMBER(SEARCH(IF(B$2&lt;&gt;"",B$2,"NA"),'MITRE ATT&amp;CK Mappings'!$G211))),ISNUMBER(SEARCH(IF(B$2&lt;&gt;"",B$2,"NA"),'MITRE ATT&amp;CK Mappings'!$H211))),ISNUMBER(SEARCH(IF(B$3&lt;&gt;"",B$3,"NA"),'MITRE ATT&amp;CK Mappings'!$I211))),ISNUMBER(SEARCH(IF(B$3&lt;&gt;"",B$3,"NA"),'MITRE ATT&amp;CK Mappings'!$J211))), 'MITRE ATT&amp;CK Mappings'!$B211,"")</f>
        <v/>
      </c>
      <c r="C215" s="27" t="str">
        <f>IF(OR(OR(OR(OR(OR(ISNUMBER(SEARCH(IF(C$1&lt;&gt;"",C$1,"NA"),'MITRE ATT&amp;CK Mappings'!$E211)),ISNUMBER(SEARCH(IF(C$1&lt;&gt;"",C$1,"NA"),'MITRE ATT&amp;CK Mappings'!$F211))),ISNUMBER(SEARCH(IF(C$2&lt;&gt;"",C$2,"NA"),'MITRE ATT&amp;CK Mappings'!$G211))),ISNUMBER(SEARCH(IF(C$2&lt;&gt;"",C$2,"NA"),'MITRE ATT&amp;CK Mappings'!$H211))),ISNUMBER(SEARCH(IF(C$3&lt;&gt;"",C$3,"NA"),'MITRE ATT&amp;CK Mappings'!$I211))),ISNUMBER(SEARCH(IF(C$3&lt;&gt;"",C$3,"NA"),'MITRE ATT&amp;CK Mappings'!$J211))), 'MITRE ATT&amp;CK Mappings'!$B211,"")</f>
        <v/>
      </c>
      <c r="D215" s="27" t="str">
        <f>IF(OR(OR(OR(OR(OR(ISNUMBER(SEARCH(IF(D$1&lt;&gt;"",D$1,"NA"),'MITRE ATT&amp;CK Mappings'!$E211)),ISNUMBER(SEARCH(IF(D$1&lt;&gt;"",D$1,"NA"),'MITRE ATT&amp;CK Mappings'!$F211))),ISNUMBER(SEARCH(IF(D$2&lt;&gt;"",D$2,"NA"),'MITRE ATT&amp;CK Mappings'!$G211))),ISNUMBER(SEARCH(IF(D$2&lt;&gt;"",D$2,"NA"),'MITRE ATT&amp;CK Mappings'!$H211))),ISNUMBER(SEARCH(IF(D$3&lt;&gt;"",D$3,"NA"),'MITRE ATT&amp;CK Mappings'!$I211))),ISNUMBER(SEARCH(IF(D$3&lt;&gt;"",D$3,"NA"),'MITRE ATT&amp;CK Mappings'!$J211))), 'MITRE ATT&amp;CK Mappings'!$B211,"")</f>
        <v/>
      </c>
      <c r="E215" s="27" t="str">
        <f>IF(OR(OR(OR(OR(OR(ISNUMBER(SEARCH(IF(E$1&lt;&gt;"",E$1,"NA"),'MITRE ATT&amp;CK Mappings'!$E211)),ISNUMBER(SEARCH(IF(E$1&lt;&gt;"",E$1,"NA"),'MITRE ATT&amp;CK Mappings'!$F211))),ISNUMBER(SEARCH(IF(E$2&lt;&gt;"",E$2,"NA"),'MITRE ATT&amp;CK Mappings'!$G211))),ISNUMBER(SEARCH(IF(E$2&lt;&gt;"",E$2,"NA"),'MITRE ATT&amp;CK Mappings'!$H211))),ISNUMBER(SEARCH(IF(E$3&lt;&gt;"",E$3,"NA"),'MITRE ATT&amp;CK Mappings'!$I211))),ISNUMBER(SEARCH(IF(E$3&lt;&gt;"",E$3,"NA"),'MITRE ATT&amp;CK Mappings'!$J211))), 'MITRE ATT&amp;CK Mappings'!$B211,"")</f>
        <v/>
      </c>
      <c r="F215" s="27" t="str">
        <f>IF(OR(OR(OR(OR(OR(ISNUMBER(SEARCH(IF(F$1&lt;&gt;"",F$1,"NA"),'MITRE ATT&amp;CK Mappings'!$E211)),ISNUMBER(SEARCH(IF(F$1&lt;&gt;"",F$1,"NA"),'MITRE ATT&amp;CK Mappings'!$F211))),ISNUMBER(SEARCH(IF(F$2&lt;&gt;"",F$2,"NA"),'MITRE ATT&amp;CK Mappings'!$G211))),ISNUMBER(SEARCH(IF(F$2&lt;&gt;"",F$2,"NA"),'MITRE ATT&amp;CK Mappings'!$H211))),ISNUMBER(SEARCH(IF(F$3&lt;&gt;"",F$3,"NA"),'MITRE ATT&amp;CK Mappings'!$I211))),ISNUMBER(SEARCH(IF(F$3&lt;&gt;"",F$3,"NA"),'MITRE ATT&amp;CK Mappings'!$J211))), 'MITRE ATT&amp;CK Mappings'!$B211,"")</f>
        <v/>
      </c>
      <c r="G215" s="27" t="str">
        <f>IF(OR(OR(OR(OR(OR(ISNUMBER(SEARCH(IF(G$1&lt;&gt;"",G$1,"NA"),'MITRE ATT&amp;CK Mappings'!$E211)),ISNUMBER(SEARCH(IF(G$1&lt;&gt;"",G$1,"NA"),'MITRE ATT&amp;CK Mappings'!$F211))),ISNUMBER(SEARCH(IF(G$2&lt;&gt;"",G$2,"NA"),'MITRE ATT&amp;CK Mappings'!$G211))),ISNUMBER(SEARCH(IF(G$2&lt;&gt;"",G$2,"NA"),'MITRE ATT&amp;CK Mappings'!$H211))),ISNUMBER(SEARCH(IF(G$3&lt;&gt;"",G$3,"NA"),'MITRE ATT&amp;CK Mappings'!$I211))),ISNUMBER(SEARCH(IF(G$3&lt;&gt;"",G$3,"NA"),'MITRE ATT&amp;CK Mappings'!$J211))), 'MITRE ATT&amp;CK Mappings'!$B211,"")</f>
        <v/>
      </c>
      <c r="H215" s="27" t="str">
        <f>IF(OR(OR(OR(OR(OR(ISNUMBER(SEARCH(IF(H$1&lt;&gt;"",H$1,"NA"),'MITRE ATT&amp;CK Mappings'!$E211)),ISNUMBER(SEARCH(IF(H$1&lt;&gt;"",H$1,"NA"),'MITRE ATT&amp;CK Mappings'!$F211))),ISNUMBER(SEARCH(IF(H$2&lt;&gt;"",H$2,"NA"),'MITRE ATT&amp;CK Mappings'!$G211))),ISNUMBER(SEARCH(IF(H$2&lt;&gt;"",H$2,"NA"),'MITRE ATT&amp;CK Mappings'!$H211))),ISNUMBER(SEARCH(IF(H$3&lt;&gt;"",H$3,"NA"),'MITRE ATT&amp;CK Mappings'!$I211))),ISNUMBER(SEARCH(IF(H$3&lt;&gt;"",H$3,"NA"),'MITRE ATT&amp;CK Mappings'!$J211))), 'MITRE ATT&amp;CK Mappings'!$B211,"")</f>
        <v/>
      </c>
      <c r="I215" s="27" t="str">
        <f>IF(OR(OR(OR(OR(OR(ISNUMBER(SEARCH(IF(I$1&lt;&gt;"",I$1,"NA"),'MITRE ATT&amp;CK Mappings'!$E211)),ISNUMBER(SEARCH(IF(I$1&lt;&gt;"",I$1,"NA"),'MITRE ATT&amp;CK Mappings'!$F211))),ISNUMBER(SEARCH(IF(I$2&lt;&gt;"",I$2,"NA"),'MITRE ATT&amp;CK Mappings'!$G211))),ISNUMBER(SEARCH(IF(I$2&lt;&gt;"",I$2,"NA"),'MITRE ATT&amp;CK Mappings'!$H211))),ISNUMBER(SEARCH(IF(I$3&lt;&gt;"",I$3,"NA"),'MITRE ATT&amp;CK Mappings'!$I211))),ISNUMBER(SEARCH(IF(I$3&lt;&gt;"",I$3,"NA"),'MITRE ATT&amp;CK Mappings'!$J211))), 'MITRE ATT&amp;CK Mappings'!$B211,"")</f>
        <v/>
      </c>
      <c r="J215" s="27" t="str">
        <f>IF(OR(OR(OR(OR(OR(ISNUMBER(SEARCH(IF(J$1&lt;&gt;"",J$1,"NA"),'MITRE ATT&amp;CK Mappings'!$E211)),ISNUMBER(SEARCH(IF(J$1&lt;&gt;"",J$1,"NA"),'MITRE ATT&amp;CK Mappings'!$F211))),ISNUMBER(SEARCH(IF(J$2&lt;&gt;"",J$2,"NA"),'MITRE ATT&amp;CK Mappings'!$G211))),ISNUMBER(SEARCH(IF(J$2&lt;&gt;"",J$2,"NA"),'MITRE ATT&amp;CK Mappings'!$H211))),ISNUMBER(SEARCH(IF(J$3&lt;&gt;"",J$3,"NA"),'MITRE ATT&amp;CK Mappings'!$I211))),ISNUMBER(SEARCH(IF(J$3&lt;&gt;"",J$3,"NA"),'MITRE ATT&amp;CK Mappings'!$J211))), 'MITRE ATT&amp;CK Mappings'!$B211,"")</f>
        <v/>
      </c>
      <c r="K215" s="27" t="str">
        <f>IF(OR(OR(OR(OR(OR(ISNUMBER(SEARCH(IF(K$1&lt;&gt;"",K$1,"NA"),'MITRE ATT&amp;CK Mappings'!$E211)),ISNUMBER(SEARCH(IF(K$1&lt;&gt;"",K$1,"NA"),'MITRE ATT&amp;CK Mappings'!$F211))),ISNUMBER(SEARCH(IF(K$2&lt;&gt;"",K$2,"NA"),'MITRE ATT&amp;CK Mappings'!$G211))),ISNUMBER(SEARCH(IF(K$2&lt;&gt;"",K$2,"NA"),'MITRE ATT&amp;CK Mappings'!$H211))),ISNUMBER(SEARCH(IF(K$3&lt;&gt;"",K$3,"NA"),'MITRE ATT&amp;CK Mappings'!$I211))),ISNUMBER(SEARCH(IF(K$3&lt;&gt;"",K$3,"NA"),'MITRE ATT&amp;CK Mappings'!$J211))), 'MITRE ATT&amp;CK Mappings'!$B211,"")</f>
        <v/>
      </c>
      <c r="L215" s="27" t="str">
        <f>IF('MITRE ATT&amp;CK Mappings'!D211 &lt;&gt;"",'MITRE ATT&amp;CK Mappings'!D211,"" )</f>
        <v/>
      </c>
    </row>
    <row r="216" spans="1:12" x14ac:dyDescent="0.25">
      <c r="A216" s="26" t="str">
        <f>IF(COUNTIF(B216:K216,"="&amp;'MITRE ATT&amp;CK Mappings'!B212)&gt;0,'MITRE ATT&amp;CK Mappings'!B212,"")</f>
        <v/>
      </c>
      <c r="B216" s="26" t="str">
        <f>IF(OR(OR(OR(OR(OR(ISNUMBER(SEARCH(IF(B$1&lt;&gt;"",B$1,"NA"),'MITRE ATT&amp;CK Mappings'!$E212)),ISNUMBER(SEARCH(IF(B$1&lt;&gt;"",B$1,"NA"),'MITRE ATT&amp;CK Mappings'!$F212))),ISNUMBER(SEARCH(IF(B$2&lt;&gt;"",B$2,"NA"),'MITRE ATT&amp;CK Mappings'!$G212))),ISNUMBER(SEARCH(IF(B$2&lt;&gt;"",B$2,"NA"),'MITRE ATT&amp;CK Mappings'!$H212))),ISNUMBER(SEARCH(IF(B$3&lt;&gt;"",B$3,"NA"),'MITRE ATT&amp;CK Mappings'!$I212))),ISNUMBER(SEARCH(IF(B$3&lt;&gt;"",B$3,"NA"),'MITRE ATT&amp;CK Mappings'!$J212))), 'MITRE ATT&amp;CK Mappings'!$B212,"")</f>
        <v/>
      </c>
      <c r="C216" s="26" t="str">
        <f>IF(OR(OR(OR(OR(OR(ISNUMBER(SEARCH(IF(C$1&lt;&gt;"",C$1,"NA"),'MITRE ATT&amp;CK Mappings'!$E212)),ISNUMBER(SEARCH(IF(C$1&lt;&gt;"",C$1,"NA"),'MITRE ATT&amp;CK Mappings'!$F212))),ISNUMBER(SEARCH(IF(C$2&lt;&gt;"",C$2,"NA"),'MITRE ATT&amp;CK Mappings'!$G212))),ISNUMBER(SEARCH(IF(C$2&lt;&gt;"",C$2,"NA"),'MITRE ATT&amp;CK Mappings'!$H212))),ISNUMBER(SEARCH(IF(C$3&lt;&gt;"",C$3,"NA"),'MITRE ATT&amp;CK Mappings'!$I212))),ISNUMBER(SEARCH(IF(C$3&lt;&gt;"",C$3,"NA"),'MITRE ATT&amp;CK Mappings'!$J212))), 'MITRE ATT&amp;CK Mappings'!$B212,"")</f>
        <v/>
      </c>
      <c r="D216" s="26" t="str">
        <f>IF(OR(OR(OR(OR(OR(ISNUMBER(SEARCH(IF(D$1&lt;&gt;"",D$1,"NA"),'MITRE ATT&amp;CK Mappings'!$E212)),ISNUMBER(SEARCH(IF(D$1&lt;&gt;"",D$1,"NA"),'MITRE ATT&amp;CK Mappings'!$F212))),ISNUMBER(SEARCH(IF(D$2&lt;&gt;"",D$2,"NA"),'MITRE ATT&amp;CK Mappings'!$G212))),ISNUMBER(SEARCH(IF(D$2&lt;&gt;"",D$2,"NA"),'MITRE ATT&amp;CK Mappings'!$H212))),ISNUMBER(SEARCH(IF(D$3&lt;&gt;"",D$3,"NA"),'MITRE ATT&amp;CK Mappings'!$I212))),ISNUMBER(SEARCH(IF(D$3&lt;&gt;"",D$3,"NA"),'MITRE ATT&amp;CK Mappings'!$J212))), 'MITRE ATT&amp;CK Mappings'!$B212,"")</f>
        <v/>
      </c>
      <c r="E216" s="26" t="str">
        <f>IF(OR(OR(OR(OR(OR(ISNUMBER(SEARCH(IF(E$1&lt;&gt;"",E$1,"NA"),'MITRE ATT&amp;CK Mappings'!$E212)),ISNUMBER(SEARCH(IF(E$1&lt;&gt;"",E$1,"NA"),'MITRE ATT&amp;CK Mappings'!$F212))),ISNUMBER(SEARCH(IF(E$2&lt;&gt;"",E$2,"NA"),'MITRE ATT&amp;CK Mappings'!$G212))),ISNUMBER(SEARCH(IF(E$2&lt;&gt;"",E$2,"NA"),'MITRE ATT&amp;CK Mappings'!$H212))),ISNUMBER(SEARCH(IF(E$3&lt;&gt;"",E$3,"NA"),'MITRE ATT&amp;CK Mappings'!$I212))),ISNUMBER(SEARCH(IF(E$3&lt;&gt;"",E$3,"NA"),'MITRE ATT&amp;CK Mappings'!$J212))), 'MITRE ATT&amp;CK Mappings'!$B212,"")</f>
        <v/>
      </c>
      <c r="F216" s="26" t="str">
        <f>IF(OR(OR(OR(OR(OR(ISNUMBER(SEARCH(IF(F$1&lt;&gt;"",F$1,"NA"),'MITRE ATT&amp;CK Mappings'!$E212)),ISNUMBER(SEARCH(IF(F$1&lt;&gt;"",F$1,"NA"),'MITRE ATT&amp;CK Mappings'!$F212))),ISNUMBER(SEARCH(IF(F$2&lt;&gt;"",F$2,"NA"),'MITRE ATT&amp;CK Mappings'!$G212))),ISNUMBER(SEARCH(IF(F$2&lt;&gt;"",F$2,"NA"),'MITRE ATT&amp;CK Mappings'!$H212))),ISNUMBER(SEARCH(IF(F$3&lt;&gt;"",F$3,"NA"),'MITRE ATT&amp;CK Mappings'!$I212))),ISNUMBER(SEARCH(IF(F$3&lt;&gt;"",F$3,"NA"),'MITRE ATT&amp;CK Mappings'!$J212))), 'MITRE ATT&amp;CK Mappings'!$B212,"")</f>
        <v/>
      </c>
      <c r="G216" s="26" t="str">
        <f>IF(OR(OR(OR(OR(OR(ISNUMBER(SEARCH(IF(G$1&lt;&gt;"",G$1,"NA"),'MITRE ATT&amp;CK Mappings'!$E212)),ISNUMBER(SEARCH(IF(G$1&lt;&gt;"",G$1,"NA"),'MITRE ATT&amp;CK Mappings'!$F212))),ISNUMBER(SEARCH(IF(G$2&lt;&gt;"",G$2,"NA"),'MITRE ATT&amp;CK Mappings'!$G212))),ISNUMBER(SEARCH(IF(G$2&lt;&gt;"",G$2,"NA"),'MITRE ATT&amp;CK Mappings'!$H212))),ISNUMBER(SEARCH(IF(G$3&lt;&gt;"",G$3,"NA"),'MITRE ATT&amp;CK Mappings'!$I212))),ISNUMBER(SEARCH(IF(G$3&lt;&gt;"",G$3,"NA"),'MITRE ATT&amp;CK Mappings'!$J212))), 'MITRE ATT&amp;CK Mappings'!$B212,"")</f>
        <v/>
      </c>
      <c r="H216" s="26" t="str">
        <f>IF(OR(OR(OR(OR(OR(ISNUMBER(SEARCH(IF(H$1&lt;&gt;"",H$1,"NA"),'MITRE ATT&amp;CK Mappings'!$E212)),ISNUMBER(SEARCH(IF(H$1&lt;&gt;"",H$1,"NA"),'MITRE ATT&amp;CK Mappings'!$F212))),ISNUMBER(SEARCH(IF(H$2&lt;&gt;"",H$2,"NA"),'MITRE ATT&amp;CK Mappings'!$G212))),ISNUMBER(SEARCH(IF(H$2&lt;&gt;"",H$2,"NA"),'MITRE ATT&amp;CK Mappings'!$H212))),ISNUMBER(SEARCH(IF(H$3&lt;&gt;"",H$3,"NA"),'MITRE ATT&amp;CK Mappings'!$I212))),ISNUMBER(SEARCH(IF(H$3&lt;&gt;"",H$3,"NA"),'MITRE ATT&amp;CK Mappings'!$J212))), 'MITRE ATT&amp;CK Mappings'!$B212,"")</f>
        <v/>
      </c>
      <c r="I216" s="26" t="str">
        <f>IF(OR(OR(OR(OR(OR(ISNUMBER(SEARCH(IF(I$1&lt;&gt;"",I$1,"NA"),'MITRE ATT&amp;CK Mappings'!$E212)),ISNUMBER(SEARCH(IF(I$1&lt;&gt;"",I$1,"NA"),'MITRE ATT&amp;CK Mappings'!$F212))),ISNUMBER(SEARCH(IF(I$2&lt;&gt;"",I$2,"NA"),'MITRE ATT&amp;CK Mappings'!$G212))),ISNUMBER(SEARCH(IF(I$2&lt;&gt;"",I$2,"NA"),'MITRE ATT&amp;CK Mappings'!$H212))),ISNUMBER(SEARCH(IF(I$3&lt;&gt;"",I$3,"NA"),'MITRE ATT&amp;CK Mappings'!$I212))),ISNUMBER(SEARCH(IF(I$3&lt;&gt;"",I$3,"NA"),'MITRE ATT&amp;CK Mappings'!$J212))), 'MITRE ATT&amp;CK Mappings'!$B212,"")</f>
        <v/>
      </c>
      <c r="J216" s="26" t="str">
        <f>IF(OR(OR(OR(OR(OR(ISNUMBER(SEARCH(IF(J$1&lt;&gt;"",J$1,"NA"),'MITRE ATT&amp;CK Mappings'!$E212)),ISNUMBER(SEARCH(IF(J$1&lt;&gt;"",J$1,"NA"),'MITRE ATT&amp;CK Mappings'!$F212))),ISNUMBER(SEARCH(IF(J$2&lt;&gt;"",J$2,"NA"),'MITRE ATT&amp;CK Mappings'!$G212))),ISNUMBER(SEARCH(IF(J$2&lt;&gt;"",J$2,"NA"),'MITRE ATT&amp;CK Mappings'!$H212))),ISNUMBER(SEARCH(IF(J$3&lt;&gt;"",J$3,"NA"),'MITRE ATT&amp;CK Mappings'!$I212))),ISNUMBER(SEARCH(IF(J$3&lt;&gt;"",J$3,"NA"),'MITRE ATT&amp;CK Mappings'!$J212))), 'MITRE ATT&amp;CK Mappings'!$B212,"")</f>
        <v/>
      </c>
      <c r="K216" s="26" t="str">
        <f>IF(OR(OR(OR(OR(OR(ISNUMBER(SEARCH(IF(K$1&lt;&gt;"",K$1,"NA"),'MITRE ATT&amp;CK Mappings'!$E212)),ISNUMBER(SEARCH(IF(K$1&lt;&gt;"",K$1,"NA"),'MITRE ATT&amp;CK Mappings'!$F212))),ISNUMBER(SEARCH(IF(K$2&lt;&gt;"",K$2,"NA"),'MITRE ATT&amp;CK Mappings'!$G212))),ISNUMBER(SEARCH(IF(K$2&lt;&gt;"",K$2,"NA"),'MITRE ATT&amp;CK Mappings'!$H212))),ISNUMBER(SEARCH(IF(K$3&lt;&gt;"",K$3,"NA"),'MITRE ATT&amp;CK Mappings'!$I212))),ISNUMBER(SEARCH(IF(K$3&lt;&gt;"",K$3,"NA"),'MITRE ATT&amp;CK Mappings'!$J212))), 'MITRE ATT&amp;CK Mappings'!$B212,"")</f>
        <v/>
      </c>
      <c r="L216" s="26" t="str">
        <f>IF('MITRE ATT&amp;CK Mappings'!D212 &lt;&gt;"",'MITRE ATT&amp;CK Mappings'!D212,"" )</f>
        <v/>
      </c>
    </row>
    <row r="217" spans="1:12" x14ac:dyDescent="0.25">
      <c r="A217" s="27" t="str">
        <f>IF(COUNTIF(B217:K217,"="&amp;'MITRE ATT&amp;CK Mappings'!B213)&gt;0,'MITRE ATT&amp;CK Mappings'!B213,"")</f>
        <v/>
      </c>
      <c r="B217" s="27" t="str">
        <f>IF(OR(OR(OR(OR(OR(ISNUMBER(SEARCH(IF(B$1&lt;&gt;"",B$1,"NA"),'MITRE ATT&amp;CK Mappings'!$E213)),ISNUMBER(SEARCH(IF(B$1&lt;&gt;"",B$1,"NA"),'MITRE ATT&amp;CK Mappings'!$F213))),ISNUMBER(SEARCH(IF(B$2&lt;&gt;"",B$2,"NA"),'MITRE ATT&amp;CK Mappings'!$G213))),ISNUMBER(SEARCH(IF(B$2&lt;&gt;"",B$2,"NA"),'MITRE ATT&amp;CK Mappings'!$H213))),ISNUMBER(SEARCH(IF(B$3&lt;&gt;"",B$3,"NA"),'MITRE ATT&amp;CK Mappings'!$I213))),ISNUMBER(SEARCH(IF(B$3&lt;&gt;"",B$3,"NA"),'MITRE ATT&amp;CK Mappings'!$J213))), 'MITRE ATT&amp;CK Mappings'!$B213,"")</f>
        <v/>
      </c>
      <c r="C217" s="27" t="str">
        <f>IF(OR(OR(OR(OR(OR(ISNUMBER(SEARCH(IF(C$1&lt;&gt;"",C$1,"NA"),'MITRE ATT&amp;CK Mappings'!$E213)),ISNUMBER(SEARCH(IF(C$1&lt;&gt;"",C$1,"NA"),'MITRE ATT&amp;CK Mappings'!$F213))),ISNUMBER(SEARCH(IF(C$2&lt;&gt;"",C$2,"NA"),'MITRE ATT&amp;CK Mappings'!$G213))),ISNUMBER(SEARCH(IF(C$2&lt;&gt;"",C$2,"NA"),'MITRE ATT&amp;CK Mappings'!$H213))),ISNUMBER(SEARCH(IF(C$3&lt;&gt;"",C$3,"NA"),'MITRE ATT&amp;CK Mappings'!$I213))),ISNUMBER(SEARCH(IF(C$3&lt;&gt;"",C$3,"NA"),'MITRE ATT&amp;CK Mappings'!$J213))), 'MITRE ATT&amp;CK Mappings'!$B213,"")</f>
        <v/>
      </c>
      <c r="D217" s="27" t="str">
        <f>IF(OR(OR(OR(OR(OR(ISNUMBER(SEARCH(IF(D$1&lt;&gt;"",D$1,"NA"),'MITRE ATT&amp;CK Mappings'!$E213)),ISNUMBER(SEARCH(IF(D$1&lt;&gt;"",D$1,"NA"),'MITRE ATT&amp;CK Mappings'!$F213))),ISNUMBER(SEARCH(IF(D$2&lt;&gt;"",D$2,"NA"),'MITRE ATT&amp;CK Mappings'!$G213))),ISNUMBER(SEARCH(IF(D$2&lt;&gt;"",D$2,"NA"),'MITRE ATT&amp;CK Mappings'!$H213))),ISNUMBER(SEARCH(IF(D$3&lt;&gt;"",D$3,"NA"),'MITRE ATT&amp;CK Mappings'!$I213))),ISNUMBER(SEARCH(IF(D$3&lt;&gt;"",D$3,"NA"),'MITRE ATT&amp;CK Mappings'!$J213))), 'MITRE ATT&amp;CK Mappings'!$B213,"")</f>
        <v/>
      </c>
      <c r="E217" s="27" t="str">
        <f>IF(OR(OR(OR(OR(OR(ISNUMBER(SEARCH(IF(E$1&lt;&gt;"",E$1,"NA"),'MITRE ATT&amp;CK Mappings'!$E213)),ISNUMBER(SEARCH(IF(E$1&lt;&gt;"",E$1,"NA"),'MITRE ATT&amp;CK Mappings'!$F213))),ISNUMBER(SEARCH(IF(E$2&lt;&gt;"",E$2,"NA"),'MITRE ATT&amp;CK Mappings'!$G213))),ISNUMBER(SEARCH(IF(E$2&lt;&gt;"",E$2,"NA"),'MITRE ATT&amp;CK Mappings'!$H213))),ISNUMBER(SEARCH(IF(E$3&lt;&gt;"",E$3,"NA"),'MITRE ATT&amp;CK Mappings'!$I213))),ISNUMBER(SEARCH(IF(E$3&lt;&gt;"",E$3,"NA"),'MITRE ATT&amp;CK Mappings'!$J213))), 'MITRE ATT&amp;CK Mappings'!$B213,"")</f>
        <v/>
      </c>
      <c r="F217" s="27" t="str">
        <f>IF(OR(OR(OR(OR(OR(ISNUMBER(SEARCH(IF(F$1&lt;&gt;"",F$1,"NA"),'MITRE ATT&amp;CK Mappings'!$E213)),ISNUMBER(SEARCH(IF(F$1&lt;&gt;"",F$1,"NA"),'MITRE ATT&amp;CK Mappings'!$F213))),ISNUMBER(SEARCH(IF(F$2&lt;&gt;"",F$2,"NA"),'MITRE ATT&amp;CK Mappings'!$G213))),ISNUMBER(SEARCH(IF(F$2&lt;&gt;"",F$2,"NA"),'MITRE ATT&amp;CK Mappings'!$H213))),ISNUMBER(SEARCH(IF(F$3&lt;&gt;"",F$3,"NA"),'MITRE ATT&amp;CK Mappings'!$I213))),ISNUMBER(SEARCH(IF(F$3&lt;&gt;"",F$3,"NA"),'MITRE ATT&amp;CK Mappings'!$J213))), 'MITRE ATT&amp;CK Mappings'!$B213,"")</f>
        <v/>
      </c>
      <c r="G217" s="27" t="str">
        <f>IF(OR(OR(OR(OR(OR(ISNUMBER(SEARCH(IF(G$1&lt;&gt;"",G$1,"NA"),'MITRE ATT&amp;CK Mappings'!$E213)),ISNUMBER(SEARCH(IF(G$1&lt;&gt;"",G$1,"NA"),'MITRE ATT&amp;CK Mappings'!$F213))),ISNUMBER(SEARCH(IF(G$2&lt;&gt;"",G$2,"NA"),'MITRE ATT&amp;CK Mappings'!$G213))),ISNUMBER(SEARCH(IF(G$2&lt;&gt;"",G$2,"NA"),'MITRE ATT&amp;CK Mappings'!$H213))),ISNUMBER(SEARCH(IF(G$3&lt;&gt;"",G$3,"NA"),'MITRE ATT&amp;CK Mappings'!$I213))),ISNUMBER(SEARCH(IF(G$3&lt;&gt;"",G$3,"NA"),'MITRE ATT&amp;CK Mappings'!$J213))), 'MITRE ATT&amp;CK Mappings'!$B213,"")</f>
        <v/>
      </c>
      <c r="H217" s="27" t="str">
        <f>IF(OR(OR(OR(OR(OR(ISNUMBER(SEARCH(IF(H$1&lt;&gt;"",H$1,"NA"),'MITRE ATT&amp;CK Mappings'!$E213)),ISNUMBER(SEARCH(IF(H$1&lt;&gt;"",H$1,"NA"),'MITRE ATT&amp;CK Mappings'!$F213))),ISNUMBER(SEARCH(IF(H$2&lt;&gt;"",H$2,"NA"),'MITRE ATT&amp;CK Mappings'!$G213))),ISNUMBER(SEARCH(IF(H$2&lt;&gt;"",H$2,"NA"),'MITRE ATT&amp;CK Mappings'!$H213))),ISNUMBER(SEARCH(IF(H$3&lt;&gt;"",H$3,"NA"),'MITRE ATT&amp;CK Mappings'!$I213))),ISNUMBER(SEARCH(IF(H$3&lt;&gt;"",H$3,"NA"),'MITRE ATT&amp;CK Mappings'!$J213))), 'MITRE ATT&amp;CK Mappings'!$B213,"")</f>
        <v/>
      </c>
      <c r="I217" s="27" t="str">
        <f>IF(OR(OR(OR(OR(OR(ISNUMBER(SEARCH(IF(I$1&lt;&gt;"",I$1,"NA"),'MITRE ATT&amp;CK Mappings'!$E213)),ISNUMBER(SEARCH(IF(I$1&lt;&gt;"",I$1,"NA"),'MITRE ATT&amp;CK Mappings'!$F213))),ISNUMBER(SEARCH(IF(I$2&lt;&gt;"",I$2,"NA"),'MITRE ATT&amp;CK Mappings'!$G213))),ISNUMBER(SEARCH(IF(I$2&lt;&gt;"",I$2,"NA"),'MITRE ATT&amp;CK Mappings'!$H213))),ISNUMBER(SEARCH(IF(I$3&lt;&gt;"",I$3,"NA"),'MITRE ATT&amp;CK Mappings'!$I213))),ISNUMBER(SEARCH(IF(I$3&lt;&gt;"",I$3,"NA"),'MITRE ATT&amp;CK Mappings'!$J213))), 'MITRE ATT&amp;CK Mappings'!$B213,"")</f>
        <v/>
      </c>
      <c r="J217" s="27" t="str">
        <f>IF(OR(OR(OR(OR(OR(ISNUMBER(SEARCH(IF(J$1&lt;&gt;"",J$1,"NA"),'MITRE ATT&amp;CK Mappings'!$E213)),ISNUMBER(SEARCH(IF(J$1&lt;&gt;"",J$1,"NA"),'MITRE ATT&amp;CK Mappings'!$F213))),ISNUMBER(SEARCH(IF(J$2&lt;&gt;"",J$2,"NA"),'MITRE ATT&amp;CK Mappings'!$G213))),ISNUMBER(SEARCH(IF(J$2&lt;&gt;"",J$2,"NA"),'MITRE ATT&amp;CK Mappings'!$H213))),ISNUMBER(SEARCH(IF(J$3&lt;&gt;"",J$3,"NA"),'MITRE ATT&amp;CK Mappings'!$I213))),ISNUMBER(SEARCH(IF(J$3&lt;&gt;"",J$3,"NA"),'MITRE ATT&amp;CK Mappings'!$J213))), 'MITRE ATT&amp;CK Mappings'!$B213,"")</f>
        <v/>
      </c>
      <c r="K217" s="27" t="str">
        <f>IF(OR(OR(OR(OR(OR(ISNUMBER(SEARCH(IF(K$1&lt;&gt;"",K$1,"NA"),'MITRE ATT&amp;CK Mappings'!$E213)),ISNUMBER(SEARCH(IF(K$1&lt;&gt;"",K$1,"NA"),'MITRE ATT&amp;CK Mappings'!$F213))),ISNUMBER(SEARCH(IF(K$2&lt;&gt;"",K$2,"NA"),'MITRE ATT&amp;CK Mappings'!$G213))),ISNUMBER(SEARCH(IF(K$2&lt;&gt;"",K$2,"NA"),'MITRE ATT&amp;CK Mappings'!$H213))),ISNUMBER(SEARCH(IF(K$3&lt;&gt;"",K$3,"NA"),'MITRE ATT&amp;CK Mappings'!$I213))),ISNUMBER(SEARCH(IF(K$3&lt;&gt;"",K$3,"NA"),'MITRE ATT&amp;CK Mappings'!$J213))), 'MITRE ATT&amp;CK Mappings'!$B213,"")</f>
        <v/>
      </c>
      <c r="L217" s="27" t="str">
        <f>IF('MITRE ATT&amp;CK Mappings'!D213 &lt;&gt;"",'MITRE ATT&amp;CK Mappings'!D213,"" )</f>
        <v/>
      </c>
    </row>
    <row r="218" spans="1:12" x14ac:dyDescent="0.25">
      <c r="A218" s="26" t="str">
        <f>IF(COUNTIF(B218:K218,"="&amp;'MITRE ATT&amp;CK Mappings'!B214)&gt;0,'MITRE ATT&amp;CK Mappings'!B214,"")</f>
        <v/>
      </c>
      <c r="B218" s="26" t="str">
        <f>IF(OR(OR(OR(OR(OR(ISNUMBER(SEARCH(IF(B$1&lt;&gt;"",B$1,"NA"),'MITRE ATT&amp;CK Mappings'!$E214)),ISNUMBER(SEARCH(IF(B$1&lt;&gt;"",B$1,"NA"),'MITRE ATT&amp;CK Mappings'!$F214))),ISNUMBER(SEARCH(IF(B$2&lt;&gt;"",B$2,"NA"),'MITRE ATT&amp;CK Mappings'!$G214))),ISNUMBER(SEARCH(IF(B$2&lt;&gt;"",B$2,"NA"),'MITRE ATT&amp;CK Mappings'!$H214))),ISNUMBER(SEARCH(IF(B$3&lt;&gt;"",B$3,"NA"),'MITRE ATT&amp;CK Mappings'!$I214))),ISNUMBER(SEARCH(IF(B$3&lt;&gt;"",B$3,"NA"),'MITRE ATT&amp;CK Mappings'!$J214))), 'MITRE ATT&amp;CK Mappings'!$B214,"")</f>
        <v/>
      </c>
      <c r="C218" s="26" t="str">
        <f>IF(OR(OR(OR(OR(OR(ISNUMBER(SEARCH(IF(C$1&lt;&gt;"",C$1,"NA"),'MITRE ATT&amp;CK Mappings'!$E214)),ISNUMBER(SEARCH(IF(C$1&lt;&gt;"",C$1,"NA"),'MITRE ATT&amp;CK Mappings'!$F214))),ISNUMBER(SEARCH(IF(C$2&lt;&gt;"",C$2,"NA"),'MITRE ATT&amp;CK Mappings'!$G214))),ISNUMBER(SEARCH(IF(C$2&lt;&gt;"",C$2,"NA"),'MITRE ATT&amp;CK Mappings'!$H214))),ISNUMBER(SEARCH(IF(C$3&lt;&gt;"",C$3,"NA"),'MITRE ATT&amp;CK Mappings'!$I214))),ISNUMBER(SEARCH(IF(C$3&lt;&gt;"",C$3,"NA"),'MITRE ATT&amp;CK Mappings'!$J214))), 'MITRE ATT&amp;CK Mappings'!$B214,"")</f>
        <v/>
      </c>
      <c r="D218" s="26" t="str">
        <f>IF(OR(OR(OR(OR(OR(ISNUMBER(SEARCH(IF(D$1&lt;&gt;"",D$1,"NA"),'MITRE ATT&amp;CK Mappings'!$E214)),ISNUMBER(SEARCH(IF(D$1&lt;&gt;"",D$1,"NA"),'MITRE ATT&amp;CK Mappings'!$F214))),ISNUMBER(SEARCH(IF(D$2&lt;&gt;"",D$2,"NA"),'MITRE ATT&amp;CK Mappings'!$G214))),ISNUMBER(SEARCH(IF(D$2&lt;&gt;"",D$2,"NA"),'MITRE ATT&amp;CK Mappings'!$H214))),ISNUMBER(SEARCH(IF(D$3&lt;&gt;"",D$3,"NA"),'MITRE ATT&amp;CK Mappings'!$I214))),ISNUMBER(SEARCH(IF(D$3&lt;&gt;"",D$3,"NA"),'MITRE ATT&amp;CK Mappings'!$J214))), 'MITRE ATT&amp;CK Mappings'!$B214,"")</f>
        <v/>
      </c>
      <c r="E218" s="26" t="str">
        <f>IF(OR(OR(OR(OR(OR(ISNUMBER(SEARCH(IF(E$1&lt;&gt;"",E$1,"NA"),'MITRE ATT&amp;CK Mappings'!$E214)),ISNUMBER(SEARCH(IF(E$1&lt;&gt;"",E$1,"NA"),'MITRE ATT&amp;CK Mappings'!$F214))),ISNUMBER(SEARCH(IF(E$2&lt;&gt;"",E$2,"NA"),'MITRE ATT&amp;CK Mappings'!$G214))),ISNUMBER(SEARCH(IF(E$2&lt;&gt;"",E$2,"NA"),'MITRE ATT&amp;CK Mappings'!$H214))),ISNUMBER(SEARCH(IF(E$3&lt;&gt;"",E$3,"NA"),'MITRE ATT&amp;CK Mappings'!$I214))),ISNUMBER(SEARCH(IF(E$3&lt;&gt;"",E$3,"NA"),'MITRE ATT&amp;CK Mappings'!$J214))), 'MITRE ATT&amp;CK Mappings'!$B214,"")</f>
        <v/>
      </c>
      <c r="F218" s="26" t="str">
        <f>IF(OR(OR(OR(OR(OR(ISNUMBER(SEARCH(IF(F$1&lt;&gt;"",F$1,"NA"),'MITRE ATT&amp;CK Mappings'!$E214)),ISNUMBER(SEARCH(IF(F$1&lt;&gt;"",F$1,"NA"),'MITRE ATT&amp;CK Mappings'!$F214))),ISNUMBER(SEARCH(IF(F$2&lt;&gt;"",F$2,"NA"),'MITRE ATT&amp;CK Mappings'!$G214))),ISNUMBER(SEARCH(IF(F$2&lt;&gt;"",F$2,"NA"),'MITRE ATT&amp;CK Mappings'!$H214))),ISNUMBER(SEARCH(IF(F$3&lt;&gt;"",F$3,"NA"),'MITRE ATT&amp;CK Mappings'!$I214))),ISNUMBER(SEARCH(IF(F$3&lt;&gt;"",F$3,"NA"),'MITRE ATT&amp;CK Mappings'!$J214))), 'MITRE ATT&amp;CK Mappings'!$B214,"")</f>
        <v/>
      </c>
      <c r="G218" s="26" t="str">
        <f>IF(OR(OR(OR(OR(OR(ISNUMBER(SEARCH(IF(G$1&lt;&gt;"",G$1,"NA"),'MITRE ATT&amp;CK Mappings'!$E214)),ISNUMBER(SEARCH(IF(G$1&lt;&gt;"",G$1,"NA"),'MITRE ATT&amp;CK Mappings'!$F214))),ISNUMBER(SEARCH(IF(G$2&lt;&gt;"",G$2,"NA"),'MITRE ATT&amp;CK Mappings'!$G214))),ISNUMBER(SEARCH(IF(G$2&lt;&gt;"",G$2,"NA"),'MITRE ATT&amp;CK Mappings'!$H214))),ISNUMBER(SEARCH(IF(G$3&lt;&gt;"",G$3,"NA"),'MITRE ATT&amp;CK Mappings'!$I214))),ISNUMBER(SEARCH(IF(G$3&lt;&gt;"",G$3,"NA"),'MITRE ATT&amp;CK Mappings'!$J214))), 'MITRE ATT&amp;CK Mappings'!$B214,"")</f>
        <v/>
      </c>
      <c r="H218" s="26" t="str">
        <f>IF(OR(OR(OR(OR(OR(ISNUMBER(SEARCH(IF(H$1&lt;&gt;"",H$1,"NA"),'MITRE ATT&amp;CK Mappings'!$E214)),ISNUMBER(SEARCH(IF(H$1&lt;&gt;"",H$1,"NA"),'MITRE ATT&amp;CK Mappings'!$F214))),ISNUMBER(SEARCH(IF(H$2&lt;&gt;"",H$2,"NA"),'MITRE ATT&amp;CK Mappings'!$G214))),ISNUMBER(SEARCH(IF(H$2&lt;&gt;"",H$2,"NA"),'MITRE ATT&amp;CK Mappings'!$H214))),ISNUMBER(SEARCH(IF(H$3&lt;&gt;"",H$3,"NA"),'MITRE ATT&amp;CK Mappings'!$I214))),ISNUMBER(SEARCH(IF(H$3&lt;&gt;"",H$3,"NA"),'MITRE ATT&amp;CK Mappings'!$J214))), 'MITRE ATT&amp;CK Mappings'!$B214,"")</f>
        <v/>
      </c>
      <c r="I218" s="26" t="str">
        <f>IF(OR(OR(OR(OR(OR(ISNUMBER(SEARCH(IF(I$1&lt;&gt;"",I$1,"NA"),'MITRE ATT&amp;CK Mappings'!$E214)),ISNUMBER(SEARCH(IF(I$1&lt;&gt;"",I$1,"NA"),'MITRE ATT&amp;CK Mappings'!$F214))),ISNUMBER(SEARCH(IF(I$2&lt;&gt;"",I$2,"NA"),'MITRE ATT&amp;CK Mappings'!$G214))),ISNUMBER(SEARCH(IF(I$2&lt;&gt;"",I$2,"NA"),'MITRE ATT&amp;CK Mappings'!$H214))),ISNUMBER(SEARCH(IF(I$3&lt;&gt;"",I$3,"NA"),'MITRE ATT&amp;CK Mappings'!$I214))),ISNUMBER(SEARCH(IF(I$3&lt;&gt;"",I$3,"NA"),'MITRE ATT&amp;CK Mappings'!$J214))), 'MITRE ATT&amp;CK Mappings'!$B214,"")</f>
        <v/>
      </c>
      <c r="J218" s="26" t="str">
        <f>IF(OR(OR(OR(OR(OR(ISNUMBER(SEARCH(IF(J$1&lt;&gt;"",J$1,"NA"),'MITRE ATT&amp;CK Mappings'!$E214)),ISNUMBER(SEARCH(IF(J$1&lt;&gt;"",J$1,"NA"),'MITRE ATT&amp;CK Mappings'!$F214))),ISNUMBER(SEARCH(IF(J$2&lt;&gt;"",J$2,"NA"),'MITRE ATT&amp;CK Mappings'!$G214))),ISNUMBER(SEARCH(IF(J$2&lt;&gt;"",J$2,"NA"),'MITRE ATT&amp;CK Mappings'!$H214))),ISNUMBER(SEARCH(IF(J$3&lt;&gt;"",J$3,"NA"),'MITRE ATT&amp;CK Mappings'!$I214))),ISNUMBER(SEARCH(IF(J$3&lt;&gt;"",J$3,"NA"),'MITRE ATT&amp;CK Mappings'!$J214))), 'MITRE ATT&amp;CK Mappings'!$B214,"")</f>
        <v/>
      </c>
      <c r="K218" s="26" t="str">
        <f>IF(OR(OR(OR(OR(OR(ISNUMBER(SEARCH(IF(K$1&lt;&gt;"",K$1,"NA"),'MITRE ATT&amp;CK Mappings'!$E214)),ISNUMBER(SEARCH(IF(K$1&lt;&gt;"",K$1,"NA"),'MITRE ATT&amp;CK Mappings'!$F214))),ISNUMBER(SEARCH(IF(K$2&lt;&gt;"",K$2,"NA"),'MITRE ATT&amp;CK Mappings'!$G214))),ISNUMBER(SEARCH(IF(K$2&lt;&gt;"",K$2,"NA"),'MITRE ATT&amp;CK Mappings'!$H214))),ISNUMBER(SEARCH(IF(K$3&lt;&gt;"",K$3,"NA"),'MITRE ATT&amp;CK Mappings'!$I214))),ISNUMBER(SEARCH(IF(K$3&lt;&gt;"",K$3,"NA"),'MITRE ATT&amp;CK Mappings'!$J214))), 'MITRE ATT&amp;CK Mappings'!$B214,"")</f>
        <v/>
      </c>
      <c r="L218" s="26" t="str">
        <f>IF('MITRE ATT&amp;CK Mappings'!D214 &lt;&gt;"",'MITRE ATT&amp;CK Mappings'!D214,"" )</f>
        <v/>
      </c>
    </row>
    <row r="219" spans="1:12" x14ac:dyDescent="0.25">
      <c r="A219" s="27" t="str">
        <f>IF(COUNTIF(B219:K219,"="&amp;'MITRE ATT&amp;CK Mappings'!B215)&gt;0,'MITRE ATT&amp;CK Mappings'!B215,"")</f>
        <v/>
      </c>
      <c r="B219" s="27" t="str">
        <f>IF(OR(OR(OR(OR(OR(ISNUMBER(SEARCH(IF(B$1&lt;&gt;"",B$1,"NA"),'MITRE ATT&amp;CK Mappings'!$E215)),ISNUMBER(SEARCH(IF(B$1&lt;&gt;"",B$1,"NA"),'MITRE ATT&amp;CK Mappings'!$F215))),ISNUMBER(SEARCH(IF(B$2&lt;&gt;"",B$2,"NA"),'MITRE ATT&amp;CK Mappings'!$G215))),ISNUMBER(SEARCH(IF(B$2&lt;&gt;"",B$2,"NA"),'MITRE ATT&amp;CK Mappings'!$H215))),ISNUMBER(SEARCH(IF(B$3&lt;&gt;"",B$3,"NA"),'MITRE ATT&amp;CK Mappings'!$I215))),ISNUMBER(SEARCH(IF(B$3&lt;&gt;"",B$3,"NA"),'MITRE ATT&amp;CK Mappings'!$J215))), 'MITRE ATT&amp;CK Mappings'!$B215,"")</f>
        <v/>
      </c>
      <c r="C219" s="27" t="str">
        <f>IF(OR(OR(OR(OR(OR(ISNUMBER(SEARCH(IF(C$1&lt;&gt;"",C$1,"NA"),'MITRE ATT&amp;CK Mappings'!$E215)),ISNUMBER(SEARCH(IF(C$1&lt;&gt;"",C$1,"NA"),'MITRE ATT&amp;CK Mappings'!$F215))),ISNUMBER(SEARCH(IF(C$2&lt;&gt;"",C$2,"NA"),'MITRE ATT&amp;CK Mappings'!$G215))),ISNUMBER(SEARCH(IF(C$2&lt;&gt;"",C$2,"NA"),'MITRE ATT&amp;CK Mappings'!$H215))),ISNUMBER(SEARCH(IF(C$3&lt;&gt;"",C$3,"NA"),'MITRE ATT&amp;CK Mappings'!$I215))),ISNUMBER(SEARCH(IF(C$3&lt;&gt;"",C$3,"NA"),'MITRE ATT&amp;CK Mappings'!$J215))), 'MITRE ATT&amp;CK Mappings'!$B215,"")</f>
        <v/>
      </c>
      <c r="D219" s="27" t="str">
        <f>IF(OR(OR(OR(OR(OR(ISNUMBER(SEARCH(IF(D$1&lt;&gt;"",D$1,"NA"),'MITRE ATT&amp;CK Mappings'!$E215)),ISNUMBER(SEARCH(IF(D$1&lt;&gt;"",D$1,"NA"),'MITRE ATT&amp;CK Mappings'!$F215))),ISNUMBER(SEARCH(IF(D$2&lt;&gt;"",D$2,"NA"),'MITRE ATT&amp;CK Mappings'!$G215))),ISNUMBER(SEARCH(IF(D$2&lt;&gt;"",D$2,"NA"),'MITRE ATT&amp;CK Mappings'!$H215))),ISNUMBER(SEARCH(IF(D$3&lt;&gt;"",D$3,"NA"),'MITRE ATT&amp;CK Mappings'!$I215))),ISNUMBER(SEARCH(IF(D$3&lt;&gt;"",D$3,"NA"),'MITRE ATT&amp;CK Mappings'!$J215))), 'MITRE ATT&amp;CK Mappings'!$B215,"")</f>
        <v/>
      </c>
      <c r="E219" s="27" t="str">
        <f>IF(OR(OR(OR(OR(OR(ISNUMBER(SEARCH(IF(E$1&lt;&gt;"",E$1,"NA"),'MITRE ATT&amp;CK Mappings'!$E215)),ISNUMBER(SEARCH(IF(E$1&lt;&gt;"",E$1,"NA"),'MITRE ATT&amp;CK Mappings'!$F215))),ISNUMBER(SEARCH(IF(E$2&lt;&gt;"",E$2,"NA"),'MITRE ATT&amp;CK Mappings'!$G215))),ISNUMBER(SEARCH(IF(E$2&lt;&gt;"",E$2,"NA"),'MITRE ATT&amp;CK Mappings'!$H215))),ISNUMBER(SEARCH(IF(E$3&lt;&gt;"",E$3,"NA"),'MITRE ATT&amp;CK Mappings'!$I215))),ISNUMBER(SEARCH(IF(E$3&lt;&gt;"",E$3,"NA"),'MITRE ATT&amp;CK Mappings'!$J215))), 'MITRE ATT&amp;CK Mappings'!$B215,"")</f>
        <v/>
      </c>
      <c r="F219" s="27" t="str">
        <f>IF(OR(OR(OR(OR(OR(ISNUMBER(SEARCH(IF(F$1&lt;&gt;"",F$1,"NA"),'MITRE ATT&amp;CK Mappings'!$E215)),ISNUMBER(SEARCH(IF(F$1&lt;&gt;"",F$1,"NA"),'MITRE ATT&amp;CK Mappings'!$F215))),ISNUMBER(SEARCH(IF(F$2&lt;&gt;"",F$2,"NA"),'MITRE ATT&amp;CK Mappings'!$G215))),ISNUMBER(SEARCH(IF(F$2&lt;&gt;"",F$2,"NA"),'MITRE ATT&amp;CK Mappings'!$H215))),ISNUMBER(SEARCH(IF(F$3&lt;&gt;"",F$3,"NA"),'MITRE ATT&amp;CK Mappings'!$I215))),ISNUMBER(SEARCH(IF(F$3&lt;&gt;"",F$3,"NA"),'MITRE ATT&amp;CK Mappings'!$J215))), 'MITRE ATT&amp;CK Mappings'!$B215,"")</f>
        <v/>
      </c>
      <c r="G219" s="27" t="str">
        <f>IF(OR(OR(OR(OR(OR(ISNUMBER(SEARCH(IF(G$1&lt;&gt;"",G$1,"NA"),'MITRE ATT&amp;CK Mappings'!$E215)),ISNUMBER(SEARCH(IF(G$1&lt;&gt;"",G$1,"NA"),'MITRE ATT&amp;CK Mappings'!$F215))),ISNUMBER(SEARCH(IF(G$2&lt;&gt;"",G$2,"NA"),'MITRE ATT&amp;CK Mappings'!$G215))),ISNUMBER(SEARCH(IF(G$2&lt;&gt;"",G$2,"NA"),'MITRE ATT&amp;CK Mappings'!$H215))),ISNUMBER(SEARCH(IF(G$3&lt;&gt;"",G$3,"NA"),'MITRE ATT&amp;CK Mappings'!$I215))),ISNUMBER(SEARCH(IF(G$3&lt;&gt;"",G$3,"NA"),'MITRE ATT&amp;CK Mappings'!$J215))), 'MITRE ATT&amp;CK Mappings'!$B215,"")</f>
        <v/>
      </c>
      <c r="H219" s="27" t="str">
        <f>IF(OR(OR(OR(OR(OR(ISNUMBER(SEARCH(IF(H$1&lt;&gt;"",H$1,"NA"),'MITRE ATT&amp;CK Mappings'!$E215)),ISNUMBER(SEARCH(IF(H$1&lt;&gt;"",H$1,"NA"),'MITRE ATT&amp;CK Mappings'!$F215))),ISNUMBER(SEARCH(IF(H$2&lt;&gt;"",H$2,"NA"),'MITRE ATT&amp;CK Mappings'!$G215))),ISNUMBER(SEARCH(IF(H$2&lt;&gt;"",H$2,"NA"),'MITRE ATT&amp;CK Mappings'!$H215))),ISNUMBER(SEARCH(IF(H$3&lt;&gt;"",H$3,"NA"),'MITRE ATT&amp;CK Mappings'!$I215))),ISNUMBER(SEARCH(IF(H$3&lt;&gt;"",H$3,"NA"),'MITRE ATT&amp;CK Mappings'!$J215))), 'MITRE ATT&amp;CK Mappings'!$B215,"")</f>
        <v/>
      </c>
      <c r="I219" s="27" t="str">
        <f>IF(OR(OR(OR(OR(OR(ISNUMBER(SEARCH(IF(I$1&lt;&gt;"",I$1,"NA"),'MITRE ATT&amp;CK Mappings'!$E215)),ISNUMBER(SEARCH(IF(I$1&lt;&gt;"",I$1,"NA"),'MITRE ATT&amp;CK Mappings'!$F215))),ISNUMBER(SEARCH(IF(I$2&lt;&gt;"",I$2,"NA"),'MITRE ATT&amp;CK Mappings'!$G215))),ISNUMBER(SEARCH(IF(I$2&lt;&gt;"",I$2,"NA"),'MITRE ATT&amp;CK Mappings'!$H215))),ISNUMBER(SEARCH(IF(I$3&lt;&gt;"",I$3,"NA"),'MITRE ATT&amp;CK Mappings'!$I215))),ISNUMBER(SEARCH(IF(I$3&lt;&gt;"",I$3,"NA"),'MITRE ATT&amp;CK Mappings'!$J215))), 'MITRE ATT&amp;CK Mappings'!$B215,"")</f>
        <v/>
      </c>
      <c r="J219" s="27" t="str">
        <f>IF(OR(OR(OR(OR(OR(ISNUMBER(SEARCH(IF(J$1&lt;&gt;"",J$1,"NA"),'MITRE ATT&amp;CK Mappings'!$E215)),ISNUMBER(SEARCH(IF(J$1&lt;&gt;"",J$1,"NA"),'MITRE ATT&amp;CK Mappings'!$F215))),ISNUMBER(SEARCH(IF(J$2&lt;&gt;"",J$2,"NA"),'MITRE ATT&amp;CK Mappings'!$G215))),ISNUMBER(SEARCH(IF(J$2&lt;&gt;"",J$2,"NA"),'MITRE ATT&amp;CK Mappings'!$H215))),ISNUMBER(SEARCH(IF(J$3&lt;&gt;"",J$3,"NA"),'MITRE ATT&amp;CK Mappings'!$I215))),ISNUMBER(SEARCH(IF(J$3&lt;&gt;"",J$3,"NA"),'MITRE ATT&amp;CK Mappings'!$J215))), 'MITRE ATT&amp;CK Mappings'!$B215,"")</f>
        <v/>
      </c>
      <c r="K219" s="27" t="str">
        <f>IF(OR(OR(OR(OR(OR(ISNUMBER(SEARCH(IF(K$1&lt;&gt;"",K$1,"NA"),'MITRE ATT&amp;CK Mappings'!$E215)),ISNUMBER(SEARCH(IF(K$1&lt;&gt;"",K$1,"NA"),'MITRE ATT&amp;CK Mappings'!$F215))),ISNUMBER(SEARCH(IF(K$2&lt;&gt;"",K$2,"NA"),'MITRE ATT&amp;CK Mappings'!$G215))),ISNUMBER(SEARCH(IF(K$2&lt;&gt;"",K$2,"NA"),'MITRE ATT&amp;CK Mappings'!$H215))),ISNUMBER(SEARCH(IF(K$3&lt;&gt;"",K$3,"NA"),'MITRE ATT&amp;CK Mappings'!$I215))),ISNUMBER(SEARCH(IF(K$3&lt;&gt;"",K$3,"NA"),'MITRE ATT&amp;CK Mappings'!$J215))), 'MITRE ATT&amp;CK Mappings'!$B215,"")</f>
        <v/>
      </c>
      <c r="L219" s="27" t="str">
        <f>IF('MITRE ATT&amp;CK Mappings'!D215 &lt;&gt;"",'MITRE ATT&amp;CK Mappings'!D215,"" )</f>
        <v/>
      </c>
    </row>
    <row r="220" spans="1:12" x14ac:dyDescent="0.25">
      <c r="A220" s="26" t="str">
        <f>IF(COUNTIF(B220:K220,"="&amp;'MITRE ATT&amp;CK Mappings'!B216)&gt;0,'MITRE ATT&amp;CK Mappings'!B216,"")</f>
        <v/>
      </c>
      <c r="B220" s="26" t="str">
        <f>IF(OR(OR(OR(OR(OR(ISNUMBER(SEARCH(IF(B$1&lt;&gt;"",B$1,"NA"),'MITRE ATT&amp;CK Mappings'!$E216)),ISNUMBER(SEARCH(IF(B$1&lt;&gt;"",B$1,"NA"),'MITRE ATT&amp;CK Mappings'!$F216))),ISNUMBER(SEARCH(IF(B$2&lt;&gt;"",B$2,"NA"),'MITRE ATT&amp;CK Mappings'!$G216))),ISNUMBER(SEARCH(IF(B$2&lt;&gt;"",B$2,"NA"),'MITRE ATT&amp;CK Mappings'!$H216))),ISNUMBER(SEARCH(IF(B$3&lt;&gt;"",B$3,"NA"),'MITRE ATT&amp;CK Mappings'!$I216))),ISNUMBER(SEARCH(IF(B$3&lt;&gt;"",B$3,"NA"),'MITRE ATT&amp;CK Mappings'!$J216))), 'MITRE ATT&amp;CK Mappings'!$B216,"")</f>
        <v/>
      </c>
      <c r="C220" s="26" t="str">
        <f>IF(OR(OR(OR(OR(OR(ISNUMBER(SEARCH(IF(C$1&lt;&gt;"",C$1,"NA"),'MITRE ATT&amp;CK Mappings'!$E216)),ISNUMBER(SEARCH(IF(C$1&lt;&gt;"",C$1,"NA"),'MITRE ATT&amp;CK Mappings'!$F216))),ISNUMBER(SEARCH(IF(C$2&lt;&gt;"",C$2,"NA"),'MITRE ATT&amp;CK Mappings'!$G216))),ISNUMBER(SEARCH(IF(C$2&lt;&gt;"",C$2,"NA"),'MITRE ATT&amp;CK Mappings'!$H216))),ISNUMBER(SEARCH(IF(C$3&lt;&gt;"",C$3,"NA"),'MITRE ATT&amp;CK Mappings'!$I216))),ISNUMBER(SEARCH(IF(C$3&lt;&gt;"",C$3,"NA"),'MITRE ATT&amp;CK Mappings'!$J216))), 'MITRE ATT&amp;CK Mappings'!$B216,"")</f>
        <v/>
      </c>
      <c r="D220" s="26" t="str">
        <f>IF(OR(OR(OR(OR(OR(ISNUMBER(SEARCH(IF(D$1&lt;&gt;"",D$1,"NA"),'MITRE ATT&amp;CK Mappings'!$E216)),ISNUMBER(SEARCH(IF(D$1&lt;&gt;"",D$1,"NA"),'MITRE ATT&amp;CK Mappings'!$F216))),ISNUMBER(SEARCH(IF(D$2&lt;&gt;"",D$2,"NA"),'MITRE ATT&amp;CK Mappings'!$G216))),ISNUMBER(SEARCH(IF(D$2&lt;&gt;"",D$2,"NA"),'MITRE ATT&amp;CK Mappings'!$H216))),ISNUMBER(SEARCH(IF(D$3&lt;&gt;"",D$3,"NA"),'MITRE ATT&amp;CK Mappings'!$I216))),ISNUMBER(SEARCH(IF(D$3&lt;&gt;"",D$3,"NA"),'MITRE ATT&amp;CK Mappings'!$J216))), 'MITRE ATT&amp;CK Mappings'!$B216,"")</f>
        <v/>
      </c>
      <c r="E220" s="26" t="str">
        <f>IF(OR(OR(OR(OR(OR(ISNUMBER(SEARCH(IF(E$1&lt;&gt;"",E$1,"NA"),'MITRE ATT&amp;CK Mappings'!$E216)),ISNUMBER(SEARCH(IF(E$1&lt;&gt;"",E$1,"NA"),'MITRE ATT&amp;CK Mappings'!$F216))),ISNUMBER(SEARCH(IF(E$2&lt;&gt;"",E$2,"NA"),'MITRE ATT&amp;CK Mappings'!$G216))),ISNUMBER(SEARCH(IF(E$2&lt;&gt;"",E$2,"NA"),'MITRE ATT&amp;CK Mappings'!$H216))),ISNUMBER(SEARCH(IF(E$3&lt;&gt;"",E$3,"NA"),'MITRE ATT&amp;CK Mappings'!$I216))),ISNUMBER(SEARCH(IF(E$3&lt;&gt;"",E$3,"NA"),'MITRE ATT&amp;CK Mappings'!$J216))), 'MITRE ATT&amp;CK Mappings'!$B216,"")</f>
        <v/>
      </c>
      <c r="F220" s="26" t="str">
        <f>IF(OR(OR(OR(OR(OR(ISNUMBER(SEARCH(IF(F$1&lt;&gt;"",F$1,"NA"),'MITRE ATT&amp;CK Mappings'!$E216)),ISNUMBER(SEARCH(IF(F$1&lt;&gt;"",F$1,"NA"),'MITRE ATT&amp;CK Mappings'!$F216))),ISNUMBER(SEARCH(IF(F$2&lt;&gt;"",F$2,"NA"),'MITRE ATT&amp;CK Mappings'!$G216))),ISNUMBER(SEARCH(IF(F$2&lt;&gt;"",F$2,"NA"),'MITRE ATT&amp;CK Mappings'!$H216))),ISNUMBER(SEARCH(IF(F$3&lt;&gt;"",F$3,"NA"),'MITRE ATT&amp;CK Mappings'!$I216))),ISNUMBER(SEARCH(IF(F$3&lt;&gt;"",F$3,"NA"),'MITRE ATT&amp;CK Mappings'!$J216))), 'MITRE ATT&amp;CK Mappings'!$B216,"")</f>
        <v/>
      </c>
      <c r="G220" s="26" t="str">
        <f>IF(OR(OR(OR(OR(OR(ISNUMBER(SEARCH(IF(G$1&lt;&gt;"",G$1,"NA"),'MITRE ATT&amp;CK Mappings'!$E216)),ISNUMBER(SEARCH(IF(G$1&lt;&gt;"",G$1,"NA"),'MITRE ATT&amp;CK Mappings'!$F216))),ISNUMBER(SEARCH(IF(G$2&lt;&gt;"",G$2,"NA"),'MITRE ATT&amp;CK Mappings'!$G216))),ISNUMBER(SEARCH(IF(G$2&lt;&gt;"",G$2,"NA"),'MITRE ATT&amp;CK Mappings'!$H216))),ISNUMBER(SEARCH(IF(G$3&lt;&gt;"",G$3,"NA"),'MITRE ATT&amp;CK Mappings'!$I216))),ISNUMBER(SEARCH(IF(G$3&lt;&gt;"",G$3,"NA"),'MITRE ATT&amp;CK Mappings'!$J216))), 'MITRE ATT&amp;CK Mappings'!$B216,"")</f>
        <v/>
      </c>
      <c r="H220" s="26" t="str">
        <f>IF(OR(OR(OR(OR(OR(ISNUMBER(SEARCH(IF(H$1&lt;&gt;"",H$1,"NA"),'MITRE ATT&amp;CK Mappings'!$E216)),ISNUMBER(SEARCH(IF(H$1&lt;&gt;"",H$1,"NA"),'MITRE ATT&amp;CK Mappings'!$F216))),ISNUMBER(SEARCH(IF(H$2&lt;&gt;"",H$2,"NA"),'MITRE ATT&amp;CK Mappings'!$G216))),ISNUMBER(SEARCH(IF(H$2&lt;&gt;"",H$2,"NA"),'MITRE ATT&amp;CK Mappings'!$H216))),ISNUMBER(SEARCH(IF(H$3&lt;&gt;"",H$3,"NA"),'MITRE ATT&amp;CK Mappings'!$I216))),ISNUMBER(SEARCH(IF(H$3&lt;&gt;"",H$3,"NA"),'MITRE ATT&amp;CK Mappings'!$J216))), 'MITRE ATT&amp;CK Mappings'!$B216,"")</f>
        <v/>
      </c>
      <c r="I220" s="26" t="str">
        <f>IF(OR(OR(OR(OR(OR(ISNUMBER(SEARCH(IF(I$1&lt;&gt;"",I$1,"NA"),'MITRE ATT&amp;CK Mappings'!$E216)),ISNUMBER(SEARCH(IF(I$1&lt;&gt;"",I$1,"NA"),'MITRE ATT&amp;CK Mappings'!$F216))),ISNUMBER(SEARCH(IF(I$2&lt;&gt;"",I$2,"NA"),'MITRE ATT&amp;CK Mappings'!$G216))),ISNUMBER(SEARCH(IF(I$2&lt;&gt;"",I$2,"NA"),'MITRE ATT&amp;CK Mappings'!$H216))),ISNUMBER(SEARCH(IF(I$3&lt;&gt;"",I$3,"NA"),'MITRE ATT&amp;CK Mappings'!$I216))),ISNUMBER(SEARCH(IF(I$3&lt;&gt;"",I$3,"NA"),'MITRE ATT&amp;CK Mappings'!$J216))), 'MITRE ATT&amp;CK Mappings'!$B216,"")</f>
        <v/>
      </c>
      <c r="J220" s="26" t="str">
        <f>IF(OR(OR(OR(OR(OR(ISNUMBER(SEARCH(IF(J$1&lt;&gt;"",J$1,"NA"),'MITRE ATT&amp;CK Mappings'!$E216)),ISNUMBER(SEARCH(IF(J$1&lt;&gt;"",J$1,"NA"),'MITRE ATT&amp;CK Mappings'!$F216))),ISNUMBER(SEARCH(IF(J$2&lt;&gt;"",J$2,"NA"),'MITRE ATT&amp;CK Mappings'!$G216))),ISNUMBER(SEARCH(IF(J$2&lt;&gt;"",J$2,"NA"),'MITRE ATT&amp;CK Mappings'!$H216))),ISNUMBER(SEARCH(IF(J$3&lt;&gt;"",J$3,"NA"),'MITRE ATT&amp;CK Mappings'!$I216))),ISNUMBER(SEARCH(IF(J$3&lt;&gt;"",J$3,"NA"),'MITRE ATT&amp;CK Mappings'!$J216))), 'MITRE ATT&amp;CK Mappings'!$B216,"")</f>
        <v/>
      </c>
      <c r="K220" s="26" t="str">
        <f>IF(OR(OR(OR(OR(OR(ISNUMBER(SEARCH(IF(K$1&lt;&gt;"",K$1,"NA"),'MITRE ATT&amp;CK Mappings'!$E216)),ISNUMBER(SEARCH(IF(K$1&lt;&gt;"",K$1,"NA"),'MITRE ATT&amp;CK Mappings'!$F216))),ISNUMBER(SEARCH(IF(K$2&lt;&gt;"",K$2,"NA"),'MITRE ATT&amp;CK Mappings'!$G216))),ISNUMBER(SEARCH(IF(K$2&lt;&gt;"",K$2,"NA"),'MITRE ATT&amp;CK Mappings'!$H216))),ISNUMBER(SEARCH(IF(K$3&lt;&gt;"",K$3,"NA"),'MITRE ATT&amp;CK Mappings'!$I216))),ISNUMBER(SEARCH(IF(K$3&lt;&gt;"",K$3,"NA"),'MITRE ATT&amp;CK Mappings'!$J216))), 'MITRE ATT&amp;CK Mappings'!$B216,"")</f>
        <v/>
      </c>
      <c r="L220" s="26" t="str">
        <f>IF('MITRE ATT&amp;CK Mappings'!D216 &lt;&gt;"",'MITRE ATT&amp;CK Mappings'!D216,"" )</f>
        <v/>
      </c>
    </row>
    <row r="221" spans="1:12" x14ac:dyDescent="0.25">
      <c r="A221" s="27" t="str">
        <f>IF(COUNTIF(B221:K221,"="&amp;'MITRE ATT&amp;CK Mappings'!B217)&gt;0,'MITRE ATT&amp;CK Mappings'!B217,"")</f>
        <v/>
      </c>
      <c r="B221" s="27" t="str">
        <f>IF(OR(OR(OR(OR(OR(ISNUMBER(SEARCH(IF(B$1&lt;&gt;"",B$1,"NA"),'MITRE ATT&amp;CK Mappings'!$E217)),ISNUMBER(SEARCH(IF(B$1&lt;&gt;"",B$1,"NA"),'MITRE ATT&amp;CK Mappings'!$F217))),ISNUMBER(SEARCH(IF(B$2&lt;&gt;"",B$2,"NA"),'MITRE ATT&amp;CK Mappings'!$G217))),ISNUMBER(SEARCH(IF(B$2&lt;&gt;"",B$2,"NA"),'MITRE ATT&amp;CK Mappings'!$H217))),ISNUMBER(SEARCH(IF(B$3&lt;&gt;"",B$3,"NA"),'MITRE ATT&amp;CK Mappings'!$I217))),ISNUMBER(SEARCH(IF(B$3&lt;&gt;"",B$3,"NA"),'MITRE ATT&amp;CK Mappings'!$J217))), 'MITRE ATT&amp;CK Mappings'!$B217,"")</f>
        <v/>
      </c>
      <c r="C221" s="27" t="str">
        <f>IF(OR(OR(OR(OR(OR(ISNUMBER(SEARCH(IF(C$1&lt;&gt;"",C$1,"NA"),'MITRE ATT&amp;CK Mappings'!$E217)),ISNUMBER(SEARCH(IF(C$1&lt;&gt;"",C$1,"NA"),'MITRE ATT&amp;CK Mappings'!$F217))),ISNUMBER(SEARCH(IF(C$2&lt;&gt;"",C$2,"NA"),'MITRE ATT&amp;CK Mappings'!$G217))),ISNUMBER(SEARCH(IF(C$2&lt;&gt;"",C$2,"NA"),'MITRE ATT&amp;CK Mappings'!$H217))),ISNUMBER(SEARCH(IF(C$3&lt;&gt;"",C$3,"NA"),'MITRE ATT&amp;CK Mappings'!$I217))),ISNUMBER(SEARCH(IF(C$3&lt;&gt;"",C$3,"NA"),'MITRE ATT&amp;CK Mappings'!$J217))), 'MITRE ATT&amp;CK Mappings'!$B217,"")</f>
        <v/>
      </c>
      <c r="D221" s="27" t="str">
        <f>IF(OR(OR(OR(OR(OR(ISNUMBER(SEARCH(IF(D$1&lt;&gt;"",D$1,"NA"),'MITRE ATT&amp;CK Mappings'!$E217)),ISNUMBER(SEARCH(IF(D$1&lt;&gt;"",D$1,"NA"),'MITRE ATT&amp;CK Mappings'!$F217))),ISNUMBER(SEARCH(IF(D$2&lt;&gt;"",D$2,"NA"),'MITRE ATT&amp;CK Mappings'!$G217))),ISNUMBER(SEARCH(IF(D$2&lt;&gt;"",D$2,"NA"),'MITRE ATT&amp;CK Mappings'!$H217))),ISNUMBER(SEARCH(IF(D$3&lt;&gt;"",D$3,"NA"),'MITRE ATT&amp;CK Mappings'!$I217))),ISNUMBER(SEARCH(IF(D$3&lt;&gt;"",D$3,"NA"),'MITRE ATT&amp;CK Mappings'!$J217))), 'MITRE ATT&amp;CK Mappings'!$B217,"")</f>
        <v/>
      </c>
      <c r="E221" s="27" t="str">
        <f>IF(OR(OR(OR(OR(OR(ISNUMBER(SEARCH(IF(E$1&lt;&gt;"",E$1,"NA"),'MITRE ATT&amp;CK Mappings'!$E217)),ISNUMBER(SEARCH(IF(E$1&lt;&gt;"",E$1,"NA"),'MITRE ATT&amp;CK Mappings'!$F217))),ISNUMBER(SEARCH(IF(E$2&lt;&gt;"",E$2,"NA"),'MITRE ATT&amp;CK Mappings'!$G217))),ISNUMBER(SEARCH(IF(E$2&lt;&gt;"",E$2,"NA"),'MITRE ATT&amp;CK Mappings'!$H217))),ISNUMBER(SEARCH(IF(E$3&lt;&gt;"",E$3,"NA"),'MITRE ATT&amp;CK Mappings'!$I217))),ISNUMBER(SEARCH(IF(E$3&lt;&gt;"",E$3,"NA"),'MITRE ATT&amp;CK Mappings'!$J217))), 'MITRE ATT&amp;CK Mappings'!$B217,"")</f>
        <v/>
      </c>
      <c r="F221" s="27" t="str">
        <f>IF(OR(OR(OR(OR(OR(ISNUMBER(SEARCH(IF(F$1&lt;&gt;"",F$1,"NA"),'MITRE ATT&amp;CK Mappings'!$E217)),ISNUMBER(SEARCH(IF(F$1&lt;&gt;"",F$1,"NA"),'MITRE ATT&amp;CK Mappings'!$F217))),ISNUMBER(SEARCH(IF(F$2&lt;&gt;"",F$2,"NA"),'MITRE ATT&amp;CK Mappings'!$G217))),ISNUMBER(SEARCH(IF(F$2&lt;&gt;"",F$2,"NA"),'MITRE ATT&amp;CK Mappings'!$H217))),ISNUMBER(SEARCH(IF(F$3&lt;&gt;"",F$3,"NA"),'MITRE ATT&amp;CK Mappings'!$I217))),ISNUMBER(SEARCH(IF(F$3&lt;&gt;"",F$3,"NA"),'MITRE ATT&amp;CK Mappings'!$J217))), 'MITRE ATT&amp;CK Mappings'!$B217,"")</f>
        <v/>
      </c>
      <c r="G221" s="27" t="str">
        <f>IF(OR(OR(OR(OR(OR(ISNUMBER(SEARCH(IF(G$1&lt;&gt;"",G$1,"NA"),'MITRE ATT&amp;CK Mappings'!$E217)),ISNUMBER(SEARCH(IF(G$1&lt;&gt;"",G$1,"NA"),'MITRE ATT&amp;CK Mappings'!$F217))),ISNUMBER(SEARCH(IF(G$2&lt;&gt;"",G$2,"NA"),'MITRE ATT&amp;CK Mappings'!$G217))),ISNUMBER(SEARCH(IF(G$2&lt;&gt;"",G$2,"NA"),'MITRE ATT&amp;CK Mappings'!$H217))),ISNUMBER(SEARCH(IF(G$3&lt;&gt;"",G$3,"NA"),'MITRE ATT&amp;CK Mappings'!$I217))),ISNUMBER(SEARCH(IF(G$3&lt;&gt;"",G$3,"NA"),'MITRE ATT&amp;CK Mappings'!$J217))), 'MITRE ATT&amp;CK Mappings'!$B217,"")</f>
        <v/>
      </c>
      <c r="H221" s="27" t="str">
        <f>IF(OR(OR(OR(OR(OR(ISNUMBER(SEARCH(IF(H$1&lt;&gt;"",H$1,"NA"),'MITRE ATT&amp;CK Mappings'!$E217)),ISNUMBER(SEARCH(IF(H$1&lt;&gt;"",H$1,"NA"),'MITRE ATT&amp;CK Mappings'!$F217))),ISNUMBER(SEARCH(IF(H$2&lt;&gt;"",H$2,"NA"),'MITRE ATT&amp;CK Mappings'!$G217))),ISNUMBER(SEARCH(IF(H$2&lt;&gt;"",H$2,"NA"),'MITRE ATT&amp;CK Mappings'!$H217))),ISNUMBER(SEARCH(IF(H$3&lt;&gt;"",H$3,"NA"),'MITRE ATT&amp;CK Mappings'!$I217))),ISNUMBER(SEARCH(IF(H$3&lt;&gt;"",H$3,"NA"),'MITRE ATT&amp;CK Mappings'!$J217))), 'MITRE ATT&amp;CK Mappings'!$B217,"")</f>
        <v/>
      </c>
      <c r="I221" s="27" t="str">
        <f>IF(OR(OR(OR(OR(OR(ISNUMBER(SEARCH(IF(I$1&lt;&gt;"",I$1,"NA"),'MITRE ATT&amp;CK Mappings'!$E217)),ISNUMBER(SEARCH(IF(I$1&lt;&gt;"",I$1,"NA"),'MITRE ATT&amp;CK Mappings'!$F217))),ISNUMBER(SEARCH(IF(I$2&lt;&gt;"",I$2,"NA"),'MITRE ATT&amp;CK Mappings'!$G217))),ISNUMBER(SEARCH(IF(I$2&lt;&gt;"",I$2,"NA"),'MITRE ATT&amp;CK Mappings'!$H217))),ISNUMBER(SEARCH(IF(I$3&lt;&gt;"",I$3,"NA"),'MITRE ATT&amp;CK Mappings'!$I217))),ISNUMBER(SEARCH(IF(I$3&lt;&gt;"",I$3,"NA"),'MITRE ATT&amp;CK Mappings'!$J217))), 'MITRE ATT&amp;CK Mappings'!$B217,"")</f>
        <v/>
      </c>
      <c r="J221" s="27" t="str">
        <f>IF(OR(OR(OR(OR(OR(ISNUMBER(SEARCH(IF(J$1&lt;&gt;"",J$1,"NA"),'MITRE ATT&amp;CK Mappings'!$E217)),ISNUMBER(SEARCH(IF(J$1&lt;&gt;"",J$1,"NA"),'MITRE ATT&amp;CK Mappings'!$F217))),ISNUMBER(SEARCH(IF(J$2&lt;&gt;"",J$2,"NA"),'MITRE ATT&amp;CK Mappings'!$G217))),ISNUMBER(SEARCH(IF(J$2&lt;&gt;"",J$2,"NA"),'MITRE ATT&amp;CK Mappings'!$H217))),ISNUMBER(SEARCH(IF(J$3&lt;&gt;"",J$3,"NA"),'MITRE ATT&amp;CK Mappings'!$I217))),ISNUMBER(SEARCH(IF(J$3&lt;&gt;"",J$3,"NA"),'MITRE ATT&amp;CK Mappings'!$J217))), 'MITRE ATT&amp;CK Mappings'!$B217,"")</f>
        <v/>
      </c>
      <c r="K221" s="27" t="str">
        <f>IF(OR(OR(OR(OR(OR(ISNUMBER(SEARCH(IF(K$1&lt;&gt;"",K$1,"NA"),'MITRE ATT&amp;CK Mappings'!$E217)),ISNUMBER(SEARCH(IF(K$1&lt;&gt;"",K$1,"NA"),'MITRE ATT&amp;CK Mappings'!$F217))),ISNUMBER(SEARCH(IF(K$2&lt;&gt;"",K$2,"NA"),'MITRE ATT&amp;CK Mappings'!$G217))),ISNUMBER(SEARCH(IF(K$2&lt;&gt;"",K$2,"NA"),'MITRE ATT&amp;CK Mappings'!$H217))),ISNUMBER(SEARCH(IF(K$3&lt;&gt;"",K$3,"NA"),'MITRE ATT&amp;CK Mappings'!$I217))),ISNUMBER(SEARCH(IF(K$3&lt;&gt;"",K$3,"NA"),'MITRE ATT&amp;CK Mappings'!$J217))), 'MITRE ATT&amp;CK Mappings'!$B217,"")</f>
        <v/>
      </c>
      <c r="L221" s="27" t="str">
        <f>IF('MITRE ATT&amp;CK Mappings'!D217 &lt;&gt;"",'MITRE ATT&amp;CK Mappings'!D217,"" )</f>
        <v/>
      </c>
    </row>
    <row r="222" spans="1:12" x14ac:dyDescent="0.25">
      <c r="A222" s="26" t="str">
        <f>IF(COUNTIF(B222:K222,"="&amp;'MITRE ATT&amp;CK Mappings'!B218)&gt;0,'MITRE ATT&amp;CK Mappings'!B218,"")</f>
        <v/>
      </c>
      <c r="B222" s="26" t="str">
        <f>IF(OR(OR(OR(OR(OR(ISNUMBER(SEARCH(IF(B$1&lt;&gt;"",B$1,"NA"),'MITRE ATT&amp;CK Mappings'!$E218)),ISNUMBER(SEARCH(IF(B$1&lt;&gt;"",B$1,"NA"),'MITRE ATT&amp;CK Mappings'!$F218))),ISNUMBER(SEARCH(IF(B$2&lt;&gt;"",B$2,"NA"),'MITRE ATT&amp;CK Mappings'!$G218))),ISNUMBER(SEARCH(IF(B$2&lt;&gt;"",B$2,"NA"),'MITRE ATT&amp;CK Mappings'!$H218))),ISNUMBER(SEARCH(IF(B$3&lt;&gt;"",B$3,"NA"),'MITRE ATT&amp;CK Mappings'!$I218))),ISNUMBER(SEARCH(IF(B$3&lt;&gt;"",B$3,"NA"),'MITRE ATT&amp;CK Mappings'!$J218))), 'MITRE ATT&amp;CK Mappings'!$B218,"")</f>
        <v/>
      </c>
      <c r="C222" s="26" t="str">
        <f>IF(OR(OR(OR(OR(OR(ISNUMBER(SEARCH(IF(C$1&lt;&gt;"",C$1,"NA"),'MITRE ATT&amp;CK Mappings'!$E218)),ISNUMBER(SEARCH(IF(C$1&lt;&gt;"",C$1,"NA"),'MITRE ATT&amp;CK Mappings'!$F218))),ISNUMBER(SEARCH(IF(C$2&lt;&gt;"",C$2,"NA"),'MITRE ATT&amp;CK Mappings'!$G218))),ISNUMBER(SEARCH(IF(C$2&lt;&gt;"",C$2,"NA"),'MITRE ATT&amp;CK Mappings'!$H218))),ISNUMBER(SEARCH(IF(C$3&lt;&gt;"",C$3,"NA"),'MITRE ATT&amp;CK Mappings'!$I218))),ISNUMBER(SEARCH(IF(C$3&lt;&gt;"",C$3,"NA"),'MITRE ATT&amp;CK Mappings'!$J218))), 'MITRE ATT&amp;CK Mappings'!$B218,"")</f>
        <v/>
      </c>
      <c r="D222" s="26" t="str">
        <f>IF(OR(OR(OR(OR(OR(ISNUMBER(SEARCH(IF(D$1&lt;&gt;"",D$1,"NA"),'MITRE ATT&amp;CK Mappings'!$E218)),ISNUMBER(SEARCH(IF(D$1&lt;&gt;"",D$1,"NA"),'MITRE ATT&amp;CK Mappings'!$F218))),ISNUMBER(SEARCH(IF(D$2&lt;&gt;"",D$2,"NA"),'MITRE ATT&amp;CK Mappings'!$G218))),ISNUMBER(SEARCH(IF(D$2&lt;&gt;"",D$2,"NA"),'MITRE ATT&amp;CK Mappings'!$H218))),ISNUMBER(SEARCH(IF(D$3&lt;&gt;"",D$3,"NA"),'MITRE ATT&amp;CK Mappings'!$I218))),ISNUMBER(SEARCH(IF(D$3&lt;&gt;"",D$3,"NA"),'MITRE ATT&amp;CK Mappings'!$J218))), 'MITRE ATT&amp;CK Mappings'!$B218,"")</f>
        <v/>
      </c>
      <c r="E222" s="26" t="str">
        <f>IF(OR(OR(OR(OR(OR(ISNUMBER(SEARCH(IF(E$1&lt;&gt;"",E$1,"NA"),'MITRE ATT&amp;CK Mappings'!$E218)),ISNUMBER(SEARCH(IF(E$1&lt;&gt;"",E$1,"NA"),'MITRE ATT&amp;CK Mappings'!$F218))),ISNUMBER(SEARCH(IF(E$2&lt;&gt;"",E$2,"NA"),'MITRE ATT&amp;CK Mappings'!$G218))),ISNUMBER(SEARCH(IF(E$2&lt;&gt;"",E$2,"NA"),'MITRE ATT&amp;CK Mappings'!$H218))),ISNUMBER(SEARCH(IF(E$3&lt;&gt;"",E$3,"NA"),'MITRE ATT&amp;CK Mappings'!$I218))),ISNUMBER(SEARCH(IF(E$3&lt;&gt;"",E$3,"NA"),'MITRE ATT&amp;CK Mappings'!$J218))), 'MITRE ATT&amp;CK Mappings'!$B218,"")</f>
        <v/>
      </c>
      <c r="F222" s="26" t="str">
        <f>IF(OR(OR(OR(OR(OR(ISNUMBER(SEARCH(IF(F$1&lt;&gt;"",F$1,"NA"),'MITRE ATT&amp;CK Mappings'!$E218)),ISNUMBER(SEARCH(IF(F$1&lt;&gt;"",F$1,"NA"),'MITRE ATT&amp;CK Mappings'!$F218))),ISNUMBER(SEARCH(IF(F$2&lt;&gt;"",F$2,"NA"),'MITRE ATT&amp;CK Mappings'!$G218))),ISNUMBER(SEARCH(IF(F$2&lt;&gt;"",F$2,"NA"),'MITRE ATT&amp;CK Mappings'!$H218))),ISNUMBER(SEARCH(IF(F$3&lt;&gt;"",F$3,"NA"),'MITRE ATT&amp;CK Mappings'!$I218))),ISNUMBER(SEARCH(IF(F$3&lt;&gt;"",F$3,"NA"),'MITRE ATT&amp;CK Mappings'!$J218))), 'MITRE ATT&amp;CK Mappings'!$B218,"")</f>
        <v/>
      </c>
      <c r="G222" s="26" t="str">
        <f>IF(OR(OR(OR(OR(OR(ISNUMBER(SEARCH(IF(G$1&lt;&gt;"",G$1,"NA"),'MITRE ATT&amp;CK Mappings'!$E218)),ISNUMBER(SEARCH(IF(G$1&lt;&gt;"",G$1,"NA"),'MITRE ATT&amp;CK Mappings'!$F218))),ISNUMBER(SEARCH(IF(G$2&lt;&gt;"",G$2,"NA"),'MITRE ATT&amp;CK Mappings'!$G218))),ISNUMBER(SEARCH(IF(G$2&lt;&gt;"",G$2,"NA"),'MITRE ATT&amp;CK Mappings'!$H218))),ISNUMBER(SEARCH(IF(G$3&lt;&gt;"",G$3,"NA"),'MITRE ATT&amp;CK Mappings'!$I218))),ISNUMBER(SEARCH(IF(G$3&lt;&gt;"",G$3,"NA"),'MITRE ATT&amp;CK Mappings'!$J218))), 'MITRE ATT&amp;CK Mappings'!$B218,"")</f>
        <v/>
      </c>
      <c r="H222" s="26" t="str">
        <f>IF(OR(OR(OR(OR(OR(ISNUMBER(SEARCH(IF(H$1&lt;&gt;"",H$1,"NA"),'MITRE ATT&amp;CK Mappings'!$E218)),ISNUMBER(SEARCH(IF(H$1&lt;&gt;"",H$1,"NA"),'MITRE ATT&amp;CK Mappings'!$F218))),ISNUMBER(SEARCH(IF(H$2&lt;&gt;"",H$2,"NA"),'MITRE ATT&amp;CK Mappings'!$G218))),ISNUMBER(SEARCH(IF(H$2&lt;&gt;"",H$2,"NA"),'MITRE ATT&amp;CK Mappings'!$H218))),ISNUMBER(SEARCH(IF(H$3&lt;&gt;"",H$3,"NA"),'MITRE ATT&amp;CK Mappings'!$I218))),ISNUMBER(SEARCH(IF(H$3&lt;&gt;"",H$3,"NA"),'MITRE ATT&amp;CK Mappings'!$J218))), 'MITRE ATT&amp;CK Mappings'!$B218,"")</f>
        <v/>
      </c>
      <c r="I222" s="26" t="str">
        <f>IF(OR(OR(OR(OR(OR(ISNUMBER(SEARCH(IF(I$1&lt;&gt;"",I$1,"NA"),'MITRE ATT&amp;CK Mappings'!$E218)),ISNUMBER(SEARCH(IF(I$1&lt;&gt;"",I$1,"NA"),'MITRE ATT&amp;CK Mappings'!$F218))),ISNUMBER(SEARCH(IF(I$2&lt;&gt;"",I$2,"NA"),'MITRE ATT&amp;CK Mappings'!$G218))),ISNUMBER(SEARCH(IF(I$2&lt;&gt;"",I$2,"NA"),'MITRE ATT&amp;CK Mappings'!$H218))),ISNUMBER(SEARCH(IF(I$3&lt;&gt;"",I$3,"NA"),'MITRE ATT&amp;CK Mappings'!$I218))),ISNUMBER(SEARCH(IF(I$3&lt;&gt;"",I$3,"NA"),'MITRE ATT&amp;CK Mappings'!$J218))), 'MITRE ATT&amp;CK Mappings'!$B218,"")</f>
        <v/>
      </c>
      <c r="J222" s="26" t="str">
        <f>IF(OR(OR(OR(OR(OR(ISNUMBER(SEARCH(IF(J$1&lt;&gt;"",J$1,"NA"),'MITRE ATT&amp;CK Mappings'!$E218)),ISNUMBER(SEARCH(IF(J$1&lt;&gt;"",J$1,"NA"),'MITRE ATT&amp;CK Mappings'!$F218))),ISNUMBER(SEARCH(IF(J$2&lt;&gt;"",J$2,"NA"),'MITRE ATT&amp;CK Mappings'!$G218))),ISNUMBER(SEARCH(IF(J$2&lt;&gt;"",J$2,"NA"),'MITRE ATT&amp;CK Mappings'!$H218))),ISNUMBER(SEARCH(IF(J$3&lt;&gt;"",J$3,"NA"),'MITRE ATT&amp;CK Mappings'!$I218))),ISNUMBER(SEARCH(IF(J$3&lt;&gt;"",J$3,"NA"),'MITRE ATT&amp;CK Mappings'!$J218))), 'MITRE ATT&amp;CK Mappings'!$B218,"")</f>
        <v/>
      </c>
      <c r="K222" s="26" t="str">
        <f>IF(OR(OR(OR(OR(OR(ISNUMBER(SEARCH(IF(K$1&lt;&gt;"",K$1,"NA"),'MITRE ATT&amp;CK Mappings'!$E218)),ISNUMBER(SEARCH(IF(K$1&lt;&gt;"",K$1,"NA"),'MITRE ATT&amp;CK Mappings'!$F218))),ISNUMBER(SEARCH(IF(K$2&lt;&gt;"",K$2,"NA"),'MITRE ATT&amp;CK Mappings'!$G218))),ISNUMBER(SEARCH(IF(K$2&lt;&gt;"",K$2,"NA"),'MITRE ATT&amp;CK Mappings'!$H218))),ISNUMBER(SEARCH(IF(K$3&lt;&gt;"",K$3,"NA"),'MITRE ATT&amp;CK Mappings'!$I218))),ISNUMBER(SEARCH(IF(K$3&lt;&gt;"",K$3,"NA"),'MITRE ATT&amp;CK Mappings'!$J218))), 'MITRE ATT&amp;CK Mappings'!$B218,"")</f>
        <v/>
      </c>
      <c r="L222" s="26" t="str">
        <f>IF('MITRE ATT&amp;CK Mappings'!D218 &lt;&gt;"",'MITRE ATT&amp;CK Mappings'!D218,"" )</f>
        <v/>
      </c>
    </row>
    <row r="223" spans="1:12" x14ac:dyDescent="0.25">
      <c r="A223" s="27" t="str">
        <f>IF(COUNTIF(B223:K223,"="&amp;'MITRE ATT&amp;CK Mappings'!B219)&gt;0,'MITRE ATT&amp;CK Mappings'!B219,"")</f>
        <v/>
      </c>
      <c r="B223" s="27" t="str">
        <f>IF(OR(OR(OR(OR(OR(ISNUMBER(SEARCH(IF(B$1&lt;&gt;"",B$1,"NA"),'MITRE ATT&amp;CK Mappings'!$E219)),ISNUMBER(SEARCH(IF(B$1&lt;&gt;"",B$1,"NA"),'MITRE ATT&amp;CK Mappings'!$F219))),ISNUMBER(SEARCH(IF(B$2&lt;&gt;"",B$2,"NA"),'MITRE ATT&amp;CK Mappings'!$G219))),ISNUMBER(SEARCH(IF(B$2&lt;&gt;"",B$2,"NA"),'MITRE ATT&amp;CK Mappings'!$H219))),ISNUMBER(SEARCH(IF(B$3&lt;&gt;"",B$3,"NA"),'MITRE ATT&amp;CK Mappings'!$I219))),ISNUMBER(SEARCH(IF(B$3&lt;&gt;"",B$3,"NA"),'MITRE ATT&amp;CK Mappings'!$J219))), 'MITRE ATT&amp;CK Mappings'!$B219,"")</f>
        <v/>
      </c>
      <c r="C223" s="27" t="str">
        <f>IF(OR(OR(OR(OR(OR(ISNUMBER(SEARCH(IF(C$1&lt;&gt;"",C$1,"NA"),'MITRE ATT&amp;CK Mappings'!$E219)),ISNUMBER(SEARCH(IF(C$1&lt;&gt;"",C$1,"NA"),'MITRE ATT&amp;CK Mappings'!$F219))),ISNUMBER(SEARCH(IF(C$2&lt;&gt;"",C$2,"NA"),'MITRE ATT&amp;CK Mappings'!$G219))),ISNUMBER(SEARCH(IF(C$2&lt;&gt;"",C$2,"NA"),'MITRE ATT&amp;CK Mappings'!$H219))),ISNUMBER(SEARCH(IF(C$3&lt;&gt;"",C$3,"NA"),'MITRE ATT&amp;CK Mappings'!$I219))),ISNUMBER(SEARCH(IF(C$3&lt;&gt;"",C$3,"NA"),'MITRE ATT&amp;CK Mappings'!$J219))), 'MITRE ATT&amp;CK Mappings'!$B219,"")</f>
        <v/>
      </c>
      <c r="D223" s="27" t="str">
        <f>IF(OR(OR(OR(OR(OR(ISNUMBER(SEARCH(IF(D$1&lt;&gt;"",D$1,"NA"),'MITRE ATT&amp;CK Mappings'!$E219)),ISNUMBER(SEARCH(IF(D$1&lt;&gt;"",D$1,"NA"),'MITRE ATT&amp;CK Mappings'!$F219))),ISNUMBER(SEARCH(IF(D$2&lt;&gt;"",D$2,"NA"),'MITRE ATT&amp;CK Mappings'!$G219))),ISNUMBER(SEARCH(IF(D$2&lt;&gt;"",D$2,"NA"),'MITRE ATT&amp;CK Mappings'!$H219))),ISNUMBER(SEARCH(IF(D$3&lt;&gt;"",D$3,"NA"),'MITRE ATT&amp;CK Mappings'!$I219))),ISNUMBER(SEARCH(IF(D$3&lt;&gt;"",D$3,"NA"),'MITRE ATT&amp;CK Mappings'!$J219))), 'MITRE ATT&amp;CK Mappings'!$B219,"")</f>
        <v/>
      </c>
      <c r="E223" s="27" t="str">
        <f>IF(OR(OR(OR(OR(OR(ISNUMBER(SEARCH(IF(E$1&lt;&gt;"",E$1,"NA"),'MITRE ATT&amp;CK Mappings'!$E219)),ISNUMBER(SEARCH(IF(E$1&lt;&gt;"",E$1,"NA"),'MITRE ATT&amp;CK Mappings'!$F219))),ISNUMBER(SEARCH(IF(E$2&lt;&gt;"",E$2,"NA"),'MITRE ATT&amp;CK Mappings'!$G219))),ISNUMBER(SEARCH(IF(E$2&lt;&gt;"",E$2,"NA"),'MITRE ATT&amp;CK Mappings'!$H219))),ISNUMBER(SEARCH(IF(E$3&lt;&gt;"",E$3,"NA"),'MITRE ATT&amp;CK Mappings'!$I219))),ISNUMBER(SEARCH(IF(E$3&lt;&gt;"",E$3,"NA"),'MITRE ATT&amp;CK Mappings'!$J219))), 'MITRE ATT&amp;CK Mappings'!$B219,"")</f>
        <v/>
      </c>
      <c r="F223" s="27" t="str">
        <f>IF(OR(OR(OR(OR(OR(ISNUMBER(SEARCH(IF(F$1&lt;&gt;"",F$1,"NA"),'MITRE ATT&amp;CK Mappings'!$E219)),ISNUMBER(SEARCH(IF(F$1&lt;&gt;"",F$1,"NA"),'MITRE ATT&amp;CK Mappings'!$F219))),ISNUMBER(SEARCH(IF(F$2&lt;&gt;"",F$2,"NA"),'MITRE ATT&amp;CK Mappings'!$G219))),ISNUMBER(SEARCH(IF(F$2&lt;&gt;"",F$2,"NA"),'MITRE ATT&amp;CK Mappings'!$H219))),ISNUMBER(SEARCH(IF(F$3&lt;&gt;"",F$3,"NA"),'MITRE ATT&amp;CK Mappings'!$I219))),ISNUMBER(SEARCH(IF(F$3&lt;&gt;"",F$3,"NA"),'MITRE ATT&amp;CK Mappings'!$J219))), 'MITRE ATT&amp;CK Mappings'!$B219,"")</f>
        <v/>
      </c>
      <c r="G223" s="27" t="str">
        <f>IF(OR(OR(OR(OR(OR(ISNUMBER(SEARCH(IF(G$1&lt;&gt;"",G$1,"NA"),'MITRE ATT&amp;CK Mappings'!$E219)),ISNUMBER(SEARCH(IF(G$1&lt;&gt;"",G$1,"NA"),'MITRE ATT&amp;CK Mappings'!$F219))),ISNUMBER(SEARCH(IF(G$2&lt;&gt;"",G$2,"NA"),'MITRE ATT&amp;CK Mappings'!$G219))),ISNUMBER(SEARCH(IF(G$2&lt;&gt;"",G$2,"NA"),'MITRE ATT&amp;CK Mappings'!$H219))),ISNUMBER(SEARCH(IF(G$3&lt;&gt;"",G$3,"NA"),'MITRE ATT&amp;CK Mappings'!$I219))),ISNUMBER(SEARCH(IF(G$3&lt;&gt;"",G$3,"NA"),'MITRE ATT&amp;CK Mappings'!$J219))), 'MITRE ATT&amp;CK Mappings'!$B219,"")</f>
        <v/>
      </c>
      <c r="H223" s="27" t="str">
        <f>IF(OR(OR(OR(OR(OR(ISNUMBER(SEARCH(IF(H$1&lt;&gt;"",H$1,"NA"),'MITRE ATT&amp;CK Mappings'!$E219)),ISNUMBER(SEARCH(IF(H$1&lt;&gt;"",H$1,"NA"),'MITRE ATT&amp;CK Mappings'!$F219))),ISNUMBER(SEARCH(IF(H$2&lt;&gt;"",H$2,"NA"),'MITRE ATT&amp;CK Mappings'!$G219))),ISNUMBER(SEARCH(IF(H$2&lt;&gt;"",H$2,"NA"),'MITRE ATT&amp;CK Mappings'!$H219))),ISNUMBER(SEARCH(IF(H$3&lt;&gt;"",H$3,"NA"),'MITRE ATT&amp;CK Mappings'!$I219))),ISNUMBER(SEARCH(IF(H$3&lt;&gt;"",H$3,"NA"),'MITRE ATT&amp;CK Mappings'!$J219))), 'MITRE ATT&amp;CK Mappings'!$B219,"")</f>
        <v/>
      </c>
      <c r="I223" s="27" t="str">
        <f>IF(OR(OR(OR(OR(OR(ISNUMBER(SEARCH(IF(I$1&lt;&gt;"",I$1,"NA"),'MITRE ATT&amp;CK Mappings'!$E219)),ISNUMBER(SEARCH(IF(I$1&lt;&gt;"",I$1,"NA"),'MITRE ATT&amp;CK Mappings'!$F219))),ISNUMBER(SEARCH(IF(I$2&lt;&gt;"",I$2,"NA"),'MITRE ATT&amp;CK Mappings'!$G219))),ISNUMBER(SEARCH(IF(I$2&lt;&gt;"",I$2,"NA"),'MITRE ATT&amp;CK Mappings'!$H219))),ISNUMBER(SEARCH(IF(I$3&lt;&gt;"",I$3,"NA"),'MITRE ATT&amp;CK Mappings'!$I219))),ISNUMBER(SEARCH(IF(I$3&lt;&gt;"",I$3,"NA"),'MITRE ATT&amp;CK Mappings'!$J219))), 'MITRE ATT&amp;CK Mappings'!$B219,"")</f>
        <v/>
      </c>
      <c r="J223" s="27" t="str">
        <f>IF(OR(OR(OR(OR(OR(ISNUMBER(SEARCH(IF(J$1&lt;&gt;"",J$1,"NA"),'MITRE ATT&amp;CK Mappings'!$E219)),ISNUMBER(SEARCH(IF(J$1&lt;&gt;"",J$1,"NA"),'MITRE ATT&amp;CK Mappings'!$F219))),ISNUMBER(SEARCH(IF(J$2&lt;&gt;"",J$2,"NA"),'MITRE ATT&amp;CK Mappings'!$G219))),ISNUMBER(SEARCH(IF(J$2&lt;&gt;"",J$2,"NA"),'MITRE ATT&amp;CK Mappings'!$H219))),ISNUMBER(SEARCH(IF(J$3&lt;&gt;"",J$3,"NA"),'MITRE ATT&amp;CK Mappings'!$I219))),ISNUMBER(SEARCH(IF(J$3&lt;&gt;"",J$3,"NA"),'MITRE ATT&amp;CK Mappings'!$J219))), 'MITRE ATT&amp;CK Mappings'!$B219,"")</f>
        <v/>
      </c>
      <c r="K223" s="27" t="str">
        <f>IF(OR(OR(OR(OR(OR(ISNUMBER(SEARCH(IF(K$1&lt;&gt;"",K$1,"NA"),'MITRE ATT&amp;CK Mappings'!$E219)),ISNUMBER(SEARCH(IF(K$1&lt;&gt;"",K$1,"NA"),'MITRE ATT&amp;CK Mappings'!$F219))),ISNUMBER(SEARCH(IF(K$2&lt;&gt;"",K$2,"NA"),'MITRE ATT&amp;CK Mappings'!$G219))),ISNUMBER(SEARCH(IF(K$2&lt;&gt;"",K$2,"NA"),'MITRE ATT&amp;CK Mappings'!$H219))),ISNUMBER(SEARCH(IF(K$3&lt;&gt;"",K$3,"NA"),'MITRE ATT&amp;CK Mappings'!$I219))),ISNUMBER(SEARCH(IF(K$3&lt;&gt;"",K$3,"NA"),'MITRE ATT&amp;CK Mappings'!$J219))), 'MITRE ATT&amp;CK Mappings'!$B219,"")</f>
        <v/>
      </c>
      <c r="L223" s="27" t="str">
        <f>IF('MITRE ATT&amp;CK Mappings'!D219 &lt;&gt;"",'MITRE ATT&amp;CK Mappings'!D219,"" )</f>
        <v/>
      </c>
    </row>
    <row r="224" spans="1:12" x14ac:dyDescent="0.25">
      <c r="A224" s="26" t="str">
        <f>IF(COUNTIF(B224:K224,"="&amp;'MITRE ATT&amp;CK Mappings'!B220)&gt;0,'MITRE ATT&amp;CK Mappings'!B220,"")</f>
        <v/>
      </c>
      <c r="B224" s="26" t="str">
        <f>IF(OR(OR(OR(OR(OR(ISNUMBER(SEARCH(IF(B$1&lt;&gt;"",B$1,"NA"),'MITRE ATT&amp;CK Mappings'!$E220)),ISNUMBER(SEARCH(IF(B$1&lt;&gt;"",B$1,"NA"),'MITRE ATT&amp;CK Mappings'!$F220))),ISNUMBER(SEARCH(IF(B$2&lt;&gt;"",B$2,"NA"),'MITRE ATT&amp;CK Mappings'!$G220))),ISNUMBER(SEARCH(IF(B$2&lt;&gt;"",B$2,"NA"),'MITRE ATT&amp;CK Mappings'!$H220))),ISNUMBER(SEARCH(IF(B$3&lt;&gt;"",B$3,"NA"),'MITRE ATT&amp;CK Mappings'!$I220))),ISNUMBER(SEARCH(IF(B$3&lt;&gt;"",B$3,"NA"),'MITRE ATT&amp;CK Mappings'!$J220))), 'MITRE ATT&amp;CK Mappings'!$B220,"")</f>
        <v/>
      </c>
      <c r="C224" s="26" t="str">
        <f>IF(OR(OR(OR(OR(OR(ISNUMBER(SEARCH(IF(C$1&lt;&gt;"",C$1,"NA"),'MITRE ATT&amp;CK Mappings'!$E220)),ISNUMBER(SEARCH(IF(C$1&lt;&gt;"",C$1,"NA"),'MITRE ATT&amp;CK Mappings'!$F220))),ISNUMBER(SEARCH(IF(C$2&lt;&gt;"",C$2,"NA"),'MITRE ATT&amp;CK Mappings'!$G220))),ISNUMBER(SEARCH(IF(C$2&lt;&gt;"",C$2,"NA"),'MITRE ATT&amp;CK Mappings'!$H220))),ISNUMBER(SEARCH(IF(C$3&lt;&gt;"",C$3,"NA"),'MITRE ATT&amp;CK Mappings'!$I220))),ISNUMBER(SEARCH(IF(C$3&lt;&gt;"",C$3,"NA"),'MITRE ATT&amp;CK Mappings'!$J220))), 'MITRE ATT&amp;CK Mappings'!$B220,"")</f>
        <v/>
      </c>
      <c r="D224" s="26" t="str">
        <f>IF(OR(OR(OR(OR(OR(ISNUMBER(SEARCH(IF(D$1&lt;&gt;"",D$1,"NA"),'MITRE ATT&amp;CK Mappings'!$E220)),ISNUMBER(SEARCH(IF(D$1&lt;&gt;"",D$1,"NA"),'MITRE ATT&amp;CK Mappings'!$F220))),ISNUMBER(SEARCH(IF(D$2&lt;&gt;"",D$2,"NA"),'MITRE ATT&amp;CK Mappings'!$G220))),ISNUMBER(SEARCH(IF(D$2&lt;&gt;"",D$2,"NA"),'MITRE ATT&amp;CK Mappings'!$H220))),ISNUMBER(SEARCH(IF(D$3&lt;&gt;"",D$3,"NA"),'MITRE ATT&amp;CK Mappings'!$I220))),ISNUMBER(SEARCH(IF(D$3&lt;&gt;"",D$3,"NA"),'MITRE ATT&amp;CK Mappings'!$J220))), 'MITRE ATT&amp;CK Mappings'!$B220,"")</f>
        <v/>
      </c>
      <c r="E224" s="26" t="str">
        <f>IF(OR(OR(OR(OR(OR(ISNUMBER(SEARCH(IF(E$1&lt;&gt;"",E$1,"NA"),'MITRE ATT&amp;CK Mappings'!$E220)),ISNUMBER(SEARCH(IF(E$1&lt;&gt;"",E$1,"NA"),'MITRE ATT&amp;CK Mappings'!$F220))),ISNUMBER(SEARCH(IF(E$2&lt;&gt;"",E$2,"NA"),'MITRE ATT&amp;CK Mappings'!$G220))),ISNUMBER(SEARCH(IF(E$2&lt;&gt;"",E$2,"NA"),'MITRE ATT&amp;CK Mappings'!$H220))),ISNUMBER(SEARCH(IF(E$3&lt;&gt;"",E$3,"NA"),'MITRE ATT&amp;CK Mappings'!$I220))),ISNUMBER(SEARCH(IF(E$3&lt;&gt;"",E$3,"NA"),'MITRE ATT&amp;CK Mappings'!$J220))), 'MITRE ATT&amp;CK Mappings'!$B220,"")</f>
        <v/>
      </c>
      <c r="F224" s="26" t="str">
        <f>IF(OR(OR(OR(OR(OR(ISNUMBER(SEARCH(IF(F$1&lt;&gt;"",F$1,"NA"),'MITRE ATT&amp;CK Mappings'!$E220)),ISNUMBER(SEARCH(IF(F$1&lt;&gt;"",F$1,"NA"),'MITRE ATT&amp;CK Mappings'!$F220))),ISNUMBER(SEARCH(IF(F$2&lt;&gt;"",F$2,"NA"),'MITRE ATT&amp;CK Mappings'!$G220))),ISNUMBER(SEARCH(IF(F$2&lt;&gt;"",F$2,"NA"),'MITRE ATT&amp;CK Mappings'!$H220))),ISNUMBER(SEARCH(IF(F$3&lt;&gt;"",F$3,"NA"),'MITRE ATT&amp;CK Mappings'!$I220))),ISNUMBER(SEARCH(IF(F$3&lt;&gt;"",F$3,"NA"),'MITRE ATT&amp;CK Mappings'!$J220))), 'MITRE ATT&amp;CK Mappings'!$B220,"")</f>
        <v/>
      </c>
      <c r="G224" s="26" t="str">
        <f>IF(OR(OR(OR(OR(OR(ISNUMBER(SEARCH(IF(G$1&lt;&gt;"",G$1,"NA"),'MITRE ATT&amp;CK Mappings'!$E220)),ISNUMBER(SEARCH(IF(G$1&lt;&gt;"",G$1,"NA"),'MITRE ATT&amp;CK Mappings'!$F220))),ISNUMBER(SEARCH(IF(G$2&lt;&gt;"",G$2,"NA"),'MITRE ATT&amp;CK Mappings'!$G220))),ISNUMBER(SEARCH(IF(G$2&lt;&gt;"",G$2,"NA"),'MITRE ATT&amp;CK Mappings'!$H220))),ISNUMBER(SEARCH(IF(G$3&lt;&gt;"",G$3,"NA"),'MITRE ATT&amp;CK Mappings'!$I220))),ISNUMBER(SEARCH(IF(G$3&lt;&gt;"",G$3,"NA"),'MITRE ATT&amp;CK Mappings'!$J220))), 'MITRE ATT&amp;CK Mappings'!$B220,"")</f>
        <v/>
      </c>
      <c r="H224" s="26" t="str">
        <f>IF(OR(OR(OR(OR(OR(ISNUMBER(SEARCH(IF(H$1&lt;&gt;"",H$1,"NA"),'MITRE ATT&amp;CK Mappings'!$E220)),ISNUMBER(SEARCH(IF(H$1&lt;&gt;"",H$1,"NA"),'MITRE ATT&amp;CK Mappings'!$F220))),ISNUMBER(SEARCH(IF(H$2&lt;&gt;"",H$2,"NA"),'MITRE ATT&amp;CK Mappings'!$G220))),ISNUMBER(SEARCH(IF(H$2&lt;&gt;"",H$2,"NA"),'MITRE ATT&amp;CK Mappings'!$H220))),ISNUMBER(SEARCH(IF(H$3&lt;&gt;"",H$3,"NA"),'MITRE ATT&amp;CK Mappings'!$I220))),ISNUMBER(SEARCH(IF(H$3&lt;&gt;"",H$3,"NA"),'MITRE ATT&amp;CK Mappings'!$J220))), 'MITRE ATT&amp;CK Mappings'!$B220,"")</f>
        <v/>
      </c>
      <c r="I224" s="26" t="str">
        <f>IF(OR(OR(OR(OR(OR(ISNUMBER(SEARCH(IF(I$1&lt;&gt;"",I$1,"NA"),'MITRE ATT&amp;CK Mappings'!$E220)),ISNUMBER(SEARCH(IF(I$1&lt;&gt;"",I$1,"NA"),'MITRE ATT&amp;CK Mappings'!$F220))),ISNUMBER(SEARCH(IF(I$2&lt;&gt;"",I$2,"NA"),'MITRE ATT&amp;CK Mappings'!$G220))),ISNUMBER(SEARCH(IF(I$2&lt;&gt;"",I$2,"NA"),'MITRE ATT&amp;CK Mappings'!$H220))),ISNUMBER(SEARCH(IF(I$3&lt;&gt;"",I$3,"NA"),'MITRE ATT&amp;CK Mappings'!$I220))),ISNUMBER(SEARCH(IF(I$3&lt;&gt;"",I$3,"NA"),'MITRE ATT&amp;CK Mappings'!$J220))), 'MITRE ATT&amp;CK Mappings'!$B220,"")</f>
        <v/>
      </c>
      <c r="J224" s="26" t="str">
        <f>IF(OR(OR(OR(OR(OR(ISNUMBER(SEARCH(IF(J$1&lt;&gt;"",J$1,"NA"),'MITRE ATT&amp;CK Mappings'!$E220)),ISNUMBER(SEARCH(IF(J$1&lt;&gt;"",J$1,"NA"),'MITRE ATT&amp;CK Mappings'!$F220))),ISNUMBER(SEARCH(IF(J$2&lt;&gt;"",J$2,"NA"),'MITRE ATT&amp;CK Mappings'!$G220))),ISNUMBER(SEARCH(IF(J$2&lt;&gt;"",J$2,"NA"),'MITRE ATT&amp;CK Mappings'!$H220))),ISNUMBER(SEARCH(IF(J$3&lt;&gt;"",J$3,"NA"),'MITRE ATT&amp;CK Mappings'!$I220))),ISNUMBER(SEARCH(IF(J$3&lt;&gt;"",J$3,"NA"),'MITRE ATT&amp;CK Mappings'!$J220))), 'MITRE ATT&amp;CK Mappings'!$B220,"")</f>
        <v/>
      </c>
      <c r="K224" s="26" t="str">
        <f>IF(OR(OR(OR(OR(OR(ISNUMBER(SEARCH(IF(K$1&lt;&gt;"",K$1,"NA"),'MITRE ATT&amp;CK Mappings'!$E220)),ISNUMBER(SEARCH(IF(K$1&lt;&gt;"",K$1,"NA"),'MITRE ATT&amp;CK Mappings'!$F220))),ISNUMBER(SEARCH(IF(K$2&lt;&gt;"",K$2,"NA"),'MITRE ATT&amp;CK Mappings'!$G220))),ISNUMBER(SEARCH(IF(K$2&lt;&gt;"",K$2,"NA"),'MITRE ATT&amp;CK Mappings'!$H220))),ISNUMBER(SEARCH(IF(K$3&lt;&gt;"",K$3,"NA"),'MITRE ATT&amp;CK Mappings'!$I220))),ISNUMBER(SEARCH(IF(K$3&lt;&gt;"",K$3,"NA"),'MITRE ATT&amp;CK Mappings'!$J220))), 'MITRE ATT&amp;CK Mappings'!$B220,"")</f>
        <v/>
      </c>
      <c r="L224" s="26" t="str">
        <f>IF('MITRE ATT&amp;CK Mappings'!D220 &lt;&gt;"",'MITRE ATT&amp;CK Mappings'!D220,"" )</f>
        <v/>
      </c>
    </row>
    <row r="225" spans="1:12" x14ac:dyDescent="0.25">
      <c r="A225" s="27" t="str">
        <f>IF(COUNTIF(B225:K225,"="&amp;'MITRE ATT&amp;CK Mappings'!B221)&gt;0,'MITRE ATT&amp;CK Mappings'!B221,"")</f>
        <v/>
      </c>
      <c r="B225" s="27" t="str">
        <f>IF(OR(OR(OR(OR(OR(ISNUMBER(SEARCH(IF(B$1&lt;&gt;"",B$1,"NA"),'MITRE ATT&amp;CK Mappings'!$E221)),ISNUMBER(SEARCH(IF(B$1&lt;&gt;"",B$1,"NA"),'MITRE ATT&amp;CK Mappings'!$F221))),ISNUMBER(SEARCH(IF(B$2&lt;&gt;"",B$2,"NA"),'MITRE ATT&amp;CK Mappings'!$G221))),ISNUMBER(SEARCH(IF(B$2&lt;&gt;"",B$2,"NA"),'MITRE ATT&amp;CK Mappings'!$H221))),ISNUMBER(SEARCH(IF(B$3&lt;&gt;"",B$3,"NA"),'MITRE ATT&amp;CK Mappings'!$I221))),ISNUMBER(SEARCH(IF(B$3&lt;&gt;"",B$3,"NA"),'MITRE ATT&amp;CK Mappings'!$J221))), 'MITRE ATT&amp;CK Mappings'!$B221,"")</f>
        <v/>
      </c>
      <c r="C225" s="27" t="str">
        <f>IF(OR(OR(OR(OR(OR(ISNUMBER(SEARCH(IF(C$1&lt;&gt;"",C$1,"NA"),'MITRE ATT&amp;CK Mappings'!$E221)),ISNUMBER(SEARCH(IF(C$1&lt;&gt;"",C$1,"NA"),'MITRE ATT&amp;CK Mappings'!$F221))),ISNUMBER(SEARCH(IF(C$2&lt;&gt;"",C$2,"NA"),'MITRE ATT&amp;CK Mappings'!$G221))),ISNUMBER(SEARCH(IF(C$2&lt;&gt;"",C$2,"NA"),'MITRE ATT&amp;CK Mappings'!$H221))),ISNUMBER(SEARCH(IF(C$3&lt;&gt;"",C$3,"NA"),'MITRE ATT&amp;CK Mappings'!$I221))),ISNUMBER(SEARCH(IF(C$3&lt;&gt;"",C$3,"NA"),'MITRE ATT&amp;CK Mappings'!$J221))), 'MITRE ATT&amp;CK Mappings'!$B221,"")</f>
        <v/>
      </c>
      <c r="D225" s="27" t="str">
        <f>IF(OR(OR(OR(OR(OR(ISNUMBER(SEARCH(IF(D$1&lt;&gt;"",D$1,"NA"),'MITRE ATT&amp;CK Mappings'!$E221)),ISNUMBER(SEARCH(IF(D$1&lt;&gt;"",D$1,"NA"),'MITRE ATT&amp;CK Mappings'!$F221))),ISNUMBER(SEARCH(IF(D$2&lt;&gt;"",D$2,"NA"),'MITRE ATT&amp;CK Mappings'!$G221))),ISNUMBER(SEARCH(IF(D$2&lt;&gt;"",D$2,"NA"),'MITRE ATT&amp;CK Mappings'!$H221))),ISNUMBER(SEARCH(IF(D$3&lt;&gt;"",D$3,"NA"),'MITRE ATT&amp;CK Mappings'!$I221))),ISNUMBER(SEARCH(IF(D$3&lt;&gt;"",D$3,"NA"),'MITRE ATT&amp;CK Mappings'!$J221))), 'MITRE ATT&amp;CK Mappings'!$B221,"")</f>
        <v/>
      </c>
      <c r="E225" s="27" t="str">
        <f>IF(OR(OR(OR(OR(OR(ISNUMBER(SEARCH(IF(E$1&lt;&gt;"",E$1,"NA"),'MITRE ATT&amp;CK Mappings'!$E221)),ISNUMBER(SEARCH(IF(E$1&lt;&gt;"",E$1,"NA"),'MITRE ATT&amp;CK Mappings'!$F221))),ISNUMBER(SEARCH(IF(E$2&lt;&gt;"",E$2,"NA"),'MITRE ATT&amp;CK Mappings'!$G221))),ISNUMBER(SEARCH(IF(E$2&lt;&gt;"",E$2,"NA"),'MITRE ATT&amp;CK Mappings'!$H221))),ISNUMBER(SEARCH(IF(E$3&lt;&gt;"",E$3,"NA"),'MITRE ATT&amp;CK Mappings'!$I221))),ISNUMBER(SEARCH(IF(E$3&lt;&gt;"",E$3,"NA"),'MITRE ATT&amp;CK Mappings'!$J221))), 'MITRE ATT&amp;CK Mappings'!$B221,"")</f>
        <v/>
      </c>
      <c r="F225" s="27" t="str">
        <f>IF(OR(OR(OR(OR(OR(ISNUMBER(SEARCH(IF(F$1&lt;&gt;"",F$1,"NA"),'MITRE ATT&amp;CK Mappings'!$E221)),ISNUMBER(SEARCH(IF(F$1&lt;&gt;"",F$1,"NA"),'MITRE ATT&amp;CK Mappings'!$F221))),ISNUMBER(SEARCH(IF(F$2&lt;&gt;"",F$2,"NA"),'MITRE ATT&amp;CK Mappings'!$G221))),ISNUMBER(SEARCH(IF(F$2&lt;&gt;"",F$2,"NA"),'MITRE ATT&amp;CK Mappings'!$H221))),ISNUMBER(SEARCH(IF(F$3&lt;&gt;"",F$3,"NA"),'MITRE ATT&amp;CK Mappings'!$I221))),ISNUMBER(SEARCH(IF(F$3&lt;&gt;"",F$3,"NA"),'MITRE ATT&amp;CK Mappings'!$J221))), 'MITRE ATT&amp;CK Mappings'!$B221,"")</f>
        <v/>
      </c>
      <c r="G225" s="27" t="str">
        <f>IF(OR(OR(OR(OR(OR(ISNUMBER(SEARCH(IF(G$1&lt;&gt;"",G$1,"NA"),'MITRE ATT&amp;CK Mappings'!$E221)),ISNUMBER(SEARCH(IF(G$1&lt;&gt;"",G$1,"NA"),'MITRE ATT&amp;CK Mappings'!$F221))),ISNUMBER(SEARCH(IF(G$2&lt;&gt;"",G$2,"NA"),'MITRE ATT&amp;CK Mappings'!$G221))),ISNUMBER(SEARCH(IF(G$2&lt;&gt;"",G$2,"NA"),'MITRE ATT&amp;CK Mappings'!$H221))),ISNUMBER(SEARCH(IF(G$3&lt;&gt;"",G$3,"NA"),'MITRE ATT&amp;CK Mappings'!$I221))),ISNUMBER(SEARCH(IF(G$3&lt;&gt;"",G$3,"NA"),'MITRE ATT&amp;CK Mappings'!$J221))), 'MITRE ATT&amp;CK Mappings'!$B221,"")</f>
        <v/>
      </c>
      <c r="H225" s="27" t="str">
        <f>IF(OR(OR(OR(OR(OR(ISNUMBER(SEARCH(IF(H$1&lt;&gt;"",H$1,"NA"),'MITRE ATT&amp;CK Mappings'!$E221)),ISNUMBER(SEARCH(IF(H$1&lt;&gt;"",H$1,"NA"),'MITRE ATT&amp;CK Mappings'!$F221))),ISNUMBER(SEARCH(IF(H$2&lt;&gt;"",H$2,"NA"),'MITRE ATT&amp;CK Mappings'!$G221))),ISNUMBER(SEARCH(IF(H$2&lt;&gt;"",H$2,"NA"),'MITRE ATT&amp;CK Mappings'!$H221))),ISNUMBER(SEARCH(IF(H$3&lt;&gt;"",H$3,"NA"),'MITRE ATT&amp;CK Mappings'!$I221))),ISNUMBER(SEARCH(IF(H$3&lt;&gt;"",H$3,"NA"),'MITRE ATT&amp;CK Mappings'!$J221))), 'MITRE ATT&amp;CK Mappings'!$B221,"")</f>
        <v/>
      </c>
      <c r="I225" s="27" t="str">
        <f>IF(OR(OR(OR(OR(OR(ISNUMBER(SEARCH(IF(I$1&lt;&gt;"",I$1,"NA"),'MITRE ATT&amp;CK Mappings'!$E221)),ISNUMBER(SEARCH(IF(I$1&lt;&gt;"",I$1,"NA"),'MITRE ATT&amp;CK Mappings'!$F221))),ISNUMBER(SEARCH(IF(I$2&lt;&gt;"",I$2,"NA"),'MITRE ATT&amp;CK Mappings'!$G221))),ISNUMBER(SEARCH(IF(I$2&lt;&gt;"",I$2,"NA"),'MITRE ATT&amp;CK Mappings'!$H221))),ISNUMBER(SEARCH(IF(I$3&lt;&gt;"",I$3,"NA"),'MITRE ATT&amp;CK Mappings'!$I221))),ISNUMBER(SEARCH(IF(I$3&lt;&gt;"",I$3,"NA"),'MITRE ATT&amp;CK Mappings'!$J221))), 'MITRE ATT&amp;CK Mappings'!$B221,"")</f>
        <v/>
      </c>
      <c r="J225" s="27" t="str">
        <f>IF(OR(OR(OR(OR(OR(ISNUMBER(SEARCH(IF(J$1&lt;&gt;"",J$1,"NA"),'MITRE ATT&amp;CK Mappings'!$E221)),ISNUMBER(SEARCH(IF(J$1&lt;&gt;"",J$1,"NA"),'MITRE ATT&amp;CK Mappings'!$F221))),ISNUMBER(SEARCH(IF(J$2&lt;&gt;"",J$2,"NA"),'MITRE ATT&amp;CK Mappings'!$G221))),ISNUMBER(SEARCH(IF(J$2&lt;&gt;"",J$2,"NA"),'MITRE ATT&amp;CK Mappings'!$H221))),ISNUMBER(SEARCH(IF(J$3&lt;&gt;"",J$3,"NA"),'MITRE ATT&amp;CK Mappings'!$I221))),ISNUMBER(SEARCH(IF(J$3&lt;&gt;"",J$3,"NA"),'MITRE ATT&amp;CK Mappings'!$J221))), 'MITRE ATT&amp;CK Mappings'!$B221,"")</f>
        <v/>
      </c>
      <c r="K225" s="27" t="str">
        <f>IF(OR(OR(OR(OR(OR(ISNUMBER(SEARCH(IF(K$1&lt;&gt;"",K$1,"NA"),'MITRE ATT&amp;CK Mappings'!$E221)),ISNUMBER(SEARCH(IF(K$1&lt;&gt;"",K$1,"NA"),'MITRE ATT&amp;CK Mappings'!$F221))),ISNUMBER(SEARCH(IF(K$2&lt;&gt;"",K$2,"NA"),'MITRE ATT&amp;CK Mappings'!$G221))),ISNUMBER(SEARCH(IF(K$2&lt;&gt;"",K$2,"NA"),'MITRE ATT&amp;CK Mappings'!$H221))),ISNUMBER(SEARCH(IF(K$3&lt;&gt;"",K$3,"NA"),'MITRE ATT&amp;CK Mappings'!$I221))),ISNUMBER(SEARCH(IF(K$3&lt;&gt;"",K$3,"NA"),'MITRE ATT&amp;CK Mappings'!$J221))), 'MITRE ATT&amp;CK Mappings'!$B221,"")</f>
        <v/>
      </c>
      <c r="L225" s="27" t="str">
        <f>IF('MITRE ATT&amp;CK Mappings'!D221 &lt;&gt;"",'MITRE ATT&amp;CK Mappings'!D221,"" )</f>
        <v/>
      </c>
    </row>
    <row r="226" spans="1:12" x14ac:dyDescent="0.25">
      <c r="A226" s="26" t="str">
        <f>IF(COUNTIF(B226:K226,"="&amp;'MITRE ATT&amp;CK Mappings'!B222)&gt;0,'MITRE ATT&amp;CK Mappings'!B222,"")</f>
        <v/>
      </c>
      <c r="B226" s="26" t="str">
        <f>IF(OR(OR(OR(OR(OR(ISNUMBER(SEARCH(IF(B$1&lt;&gt;"",B$1,"NA"),'MITRE ATT&amp;CK Mappings'!$E222)),ISNUMBER(SEARCH(IF(B$1&lt;&gt;"",B$1,"NA"),'MITRE ATT&amp;CK Mappings'!$F222))),ISNUMBER(SEARCH(IF(B$2&lt;&gt;"",B$2,"NA"),'MITRE ATT&amp;CK Mappings'!$G222))),ISNUMBER(SEARCH(IF(B$2&lt;&gt;"",B$2,"NA"),'MITRE ATT&amp;CK Mappings'!$H222))),ISNUMBER(SEARCH(IF(B$3&lt;&gt;"",B$3,"NA"),'MITRE ATT&amp;CK Mappings'!$I222))),ISNUMBER(SEARCH(IF(B$3&lt;&gt;"",B$3,"NA"),'MITRE ATT&amp;CK Mappings'!$J222))), 'MITRE ATT&amp;CK Mappings'!$B222,"")</f>
        <v/>
      </c>
      <c r="C226" s="26" t="str">
        <f>IF(OR(OR(OR(OR(OR(ISNUMBER(SEARCH(IF(C$1&lt;&gt;"",C$1,"NA"),'MITRE ATT&amp;CK Mappings'!$E222)),ISNUMBER(SEARCH(IF(C$1&lt;&gt;"",C$1,"NA"),'MITRE ATT&amp;CK Mappings'!$F222))),ISNUMBER(SEARCH(IF(C$2&lt;&gt;"",C$2,"NA"),'MITRE ATT&amp;CK Mappings'!$G222))),ISNUMBER(SEARCH(IF(C$2&lt;&gt;"",C$2,"NA"),'MITRE ATT&amp;CK Mappings'!$H222))),ISNUMBER(SEARCH(IF(C$3&lt;&gt;"",C$3,"NA"),'MITRE ATT&amp;CK Mappings'!$I222))),ISNUMBER(SEARCH(IF(C$3&lt;&gt;"",C$3,"NA"),'MITRE ATT&amp;CK Mappings'!$J222))), 'MITRE ATT&amp;CK Mappings'!$B222,"")</f>
        <v/>
      </c>
      <c r="D226" s="26" t="str">
        <f>IF(OR(OR(OR(OR(OR(ISNUMBER(SEARCH(IF(D$1&lt;&gt;"",D$1,"NA"),'MITRE ATT&amp;CK Mappings'!$E222)),ISNUMBER(SEARCH(IF(D$1&lt;&gt;"",D$1,"NA"),'MITRE ATT&amp;CK Mappings'!$F222))),ISNUMBER(SEARCH(IF(D$2&lt;&gt;"",D$2,"NA"),'MITRE ATT&amp;CK Mappings'!$G222))),ISNUMBER(SEARCH(IF(D$2&lt;&gt;"",D$2,"NA"),'MITRE ATT&amp;CK Mappings'!$H222))),ISNUMBER(SEARCH(IF(D$3&lt;&gt;"",D$3,"NA"),'MITRE ATT&amp;CK Mappings'!$I222))),ISNUMBER(SEARCH(IF(D$3&lt;&gt;"",D$3,"NA"),'MITRE ATT&amp;CK Mappings'!$J222))), 'MITRE ATT&amp;CK Mappings'!$B222,"")</f>
        <v/>
      </c>
      <c r="E226" s="26" t="str">
        <f>IF(OR(OR(OR(OR(OR(ISNUMBER(SEARCH(IF(E$1&lt;&gt;"",E$1,"NA"),'MITRE ATT&amp;CK Mappings'!$E222)),ISNUMBER(SEARCH(IF(E$1&lt;&gt;"",E$1,"NA"),'MITRE ATT&amp;CK Mappings'!$F222))),ISNUMBER(SEARCH(IF(E$2&lt;&gt;"",E$2,"NA"),'MITRE ATT&amp;CK Mappings'!$G222))),ISNUMBER(SEARCH(IF(E$2&lt;&gt;"",E$2,"NA"),'MITRE ATT&amp;CK Mappings'!$H222))),ISNUMBER(SEARCH(IF(E$3&lt;&gt;"",E$3,"NA"),'MITRE ATT&amp;CK Mappings'!$I222))),ISNUMBER(SEARCH(IF(E$3&lt;&gt;"",E$3,"NA"),'MITRE ATT&amp;CK Mappings'!$J222))), 'MITRE ATT&amp;CK Mappings'!$B222,"")</f>
        <v/>
      </c>
      <c r="F226" s="26" t="str">
        <f>IF(OR(OR(OR(OR(OR(ISNUMBER(SEARCH(IF(F$1&lt;&gt;"",F$1,"NA"),'MITRE ATT&amp;CK Mappings'!$E222)),ISNUMBER(SEARCH(IF(F$1&lt;&gt;"",F$1,"NA"),'MITRE ATT&amp;CK Mappings'!$F222))),ISNUMBER(SEARCH(IF(F$2&lt;&gt;"",F$2,"NA"),'MITRE ATT&amp;CK Mappings'!$G222))),ISNUMBER(SEARCH(IF(F$2&lt;&gt;"",F$2,"NA"),'MITRE ATT&amp;CK Mappings'!$H222))),ISNUMBER(SEARCH(IF(F$3&lt;&gt;"",F$3,"NA"),'MITRE ATT&amp;CK Mappings'!$I222))),ISNUMBER(SEARCH(IF(F$3&lt;&gt;"",F$3,"NA"),'MITRE ATT&amp;CK Mappings'!$J222))), 'MITRE ATT&amp;CK Mappings'!$B222,"")</f>
        <v/>
      </c>
      <c r="G226" s="26" t="str">
        <f>IF(OR(OR(OR(OR(OR(ISNUMBER(SEARCH(IF(G$1&lt;&gt;"",G$1,"NA"),'MITRE ATT&amp;CK Mappings'!$E222)),ISNUMBER(SEARCH(IF(G$1&lt;&gt;"",G$1,"NA"),'MITRE ATT&amp;CK Mappings'!$F222))),ISNUMBER(SEARCH(IF(G$2&lt;&gt;"",G$2,"NA"),'MITRE ATT&amp;CK Mappings'!$G222))),ISNUMBER(SEARCH(IF(G$2&lt;&gt;"",G$2,"NA"),'MITRE ATT&amp;CK Mappings'!$H222))),ISNUMBER(SEARCH(IF(G$3&lt;&gt;"",G$3,"NA"),'MITRE ATT&amp;CK Mappings'!$I222))),ISNUMBER(SEARCH(IF(G$3&lt;&gt;"",G$3,"NA"),'MITRE ATT&amp;CK Mappings'!$J222))), 'MITRE ATT&amp;CK Mappings'!$B222,"")</f>
        <v/>
      </c>
      <c r="H226" s="26" t="str">
        <f>IF(OR(OR(OR(OR(OR(ISNUMBER(SEARCH(IF(H$1&lt;&gt;"",H$1,"NA"),'MITRE ATT&amp;CK Mappings'!$E222)),ISNUMBER(SEARCH(IF(H$1&lt;&gt;"",H$1,"NA"),'MITRE ATT&amp;CK Mappings'!$F222))),ISNUMBER(SEARCH(IF(H$2&lt;&gt;"",H$2,"NA"),'MITRE ATT&amp;CK Mappings'!$G222))),ISNUMBER(SEARCH(IF(H$2&lt;&gt;"",H$2,"NA"),'MITRE ATT&amp;CK Mappings'!$H222))),ISNUMBER(SEARCH(IF(H$3&lt;&gt;"",H$3,"NA"),'MITRE ATT&amp;CK Mappings'!$I222))),ISNUMBER(SEARCH(IF(H$3&lt;&gt;"",H$3,"NA"),'MITRE ATT&amp;CK Mappings'!$J222))), 'MITRE ATT&amp;CK Mappings'!$B222,"")</f>
        <v/>
      </c>
      <c r="I226" s="26" t="str">
        <f>IF(OR(OR(OR(OR(OR(ISNUMBER(SEARCH(IF(I$1&lt;&gt;"",I$1,"NA"),'MITRE ATT&amp;CK Mappings'!$E222)),ISNUMBER(SEARCH(IF(I$1&lt;&gt;"",I$1,"NA"),'MITRE ATT&amp;CK Mappings'!$F222))),ISNUMBER(SEARCH(IF(I$2&lt;&gt;"",I$2,"NA"),'MITRE ATT&amp;CK Mappings'!$G222))),ISNUMBER(SEARCH(IF(I$2&lt;&gt;"",I$2,"NA"),'MITRE ATT&amp;CK Mappings'!$H222))),ISNUMBER(SEARCH(IF(I$3&lt;&gt;"",I$3,"NA"),'MITRE ATT&amp;CK Mappings'!$I222))),ISNUMBER(SEARCH(IF(I$3&lt;&gt;"",I$3,"NA"),'MITRE ATT&amp;CK Mappings'!$J222))), 'MITRE ATT&amp;CK Mappings'!$B222,"")</f>
        <v/>
      </c>
      <c r="J226" s="26" t="str">
        <f>IF(OR(OR(OR(OR(OR(ISNUMBER(SEARCH(IF(J$1&lt;&gt;"",J$1,"NA"),'MITRE ATT&amp;CK Mappings'!$E222)),ISNUMBER(SEARCH(IF(J$1&lt;&gt;"",J$1,"NA"),'MITRE ATT&amp;CK Mappings'!$F222))),ISNUMBER(SEARCH(IF(J$2&lt;&gt;"",J$2,"NA"),'MITRE ATT&amp;CK Mappings'!$G222))),ISNUMBER(SEARCH(IF(J$2&lt;&gt;"",J$2,"NA"),'MITRE ATT&amp;CK Mappings'!$H222))),ISNUMBER(SEARCH(IF(J$3&lt;&gt;"",J$3,"NA"),'MITRE ATT&amp;CK Mappings'!$I222))),ISNUMBER(SEARCH(IF(J$3&lt;&gt;"",J$3,"NA"),'MITRE ATT&amp;CK Mappings'!$J222))), 'MITRE ATT&amp;CK Mappings'!$B222,"")</f>
        <v/>
      </c>
      <c r="K226" s="26" t="str">
        <f>IF(OR(OR(OR(OR(OR(ISNUMBER(SEARCH(IF(K$1&lt;&gt;"",K$1,"NA"),'MITRE ATT&amp;CK Mappings'!$E222)),ISNUMBER(SEARCH(IF(K$1&lt;&gt;"",K$1,"NA"),'MITRE ATT&amp;CK Mappings'!$F222))),ISNUMBER(SEARCH(IF(K$2&lt;&gt;"",K$2,"NA"),'MITRE ATT&amp;CK Mappings'!$G222))),ISNUMBER(SEARCH(IF(K$2&lt;&gt;"",K$2,"NA"),'MITRE ATT&amp;CK Mappings'!$H222))),ISNUMBER(SEARCH(IF(K$3&lt;&gt;"",K$3,"NA"),'MITRE ATT&amp;CK Mappings'!$I222))),ISNUMBER(SEARCH(IF(K$3&lt;&gt;"",K$3,"NA"),'MITRE ATT&amp;CK Mappings'!$J222))), 'MITRE ATT&amp;CK Mappings'!$B222,"")</f>
        <v/>
      </c>
      <c r="L226" s="26" t="str">
        <f>IF('MITRE ATT&amp;CK Mappings'!D222 &lt;&gt;"",'MITRE ATT&amp;CK Mappings'!D222,"" )</f>
        <v/>
      </c>
    </row>
    <row r="227" spans="1:12" x14ac:dyDescent="0.25">
      <c r="A227" s="27" t="str">
        <f>IF(COUNTIF(B227:K227,"="&amp;'MITRE ATT&amp;CK Mappings'!B223)&gt;0,'MITRE ATT&amp;CK Mappings'!B223,"")</f>
        <v/>
      </c>
      <c r="B227" s="27" t="str">
        <f>IF(OR(OR(OR(OR(OR(ISNUMBER(SEARCH(IF(B$1&lt;&gt;"",B$1,"NA"),'MITRE ATT&amp;CK Mappings'!$E223)),ISNUMBER(SEARCH(IF(B$1&lt;&gt;"",B$1,"NA"),'MITRE ATT&amp;CK Mappings'!$F223))),ISNUMBER(SEARCH(IF(B$2&lt;&gt;"",B$2,"NA"),'MITRE ATT&amp;CK Mappings'!$G223))),ISNUMBER(SEARCH(IF(B$2&lt;&gt;"",B$2,"NA"),'MITRE ATT&amp;CK Mappings'!$H223))),ISNUMBER(SEARCH(IF(B$3&lt;&gt;"",B$3,"NA"),'MITRE ATT&amp;CK Mappings'!$I223))),ISNUMBER(SEARCH(IF(B$3&lt;&gt;"",B$3,"NA"),'MITRE ATT&amp;CK Mappings'!$J223))), 'MITRE ATT&amp;CK Mappings'!$B223,"")</f>
        <v/>
      </c>
      <c r="C227" s="27" t="str">
        <f>IF(OR(OR(OR(OR(OR(ISNUMBER(SEARCH(IF(C$1&lt;&gt;"",C$1,"NA"),'MITRE ATT&amp;CK Mappings'!$E223)),ISNUMBER(SEARCH(IF(C$1&lt;&gt;"",C$1,"NA"),'MITRE ATT&amp;CK Mappings'!$F223))),ISNUMBER(SEARCH(IF(C$2&lt;&gt;"",C$2,"NA"),'MITRE ATT&amp;CK Mappings'!$G223))),ISNUMBER(SEARCH(IF(C$2&lt;&gt;"",C$2,"NA"),'MITRE ATT&amp;CK Mappings'!$H223))),ISNUMBER(SEARCH(IF(C$3&lt;&gt;"",C$3,"NA"),'MITRE ATT&amp;CK Mappings'!$I223))),ISNUMBER(SEARCH(IF(C$3&lt;&gt;"",C$3,"NA"),'MITRE ATT&amp;CK Mappings'!$J223))), 'MITRE ATT&amp;CK Mappings'!$B223,"")</f>
        <v/>
      </c>
      <c r="D227" s="27" t="str">
        <f>IF(OR(OR(OR(OR(OR(ISNUMBER(SEARCH(IF(D$1&lt;&gt;"",D$1,"NA"),'MITRE ATT&amp;CK Mappings'!$E223)),ISNUMBER(SEARCH(IF(D$1&lt;&gt;"",D$1,"NA"),'MITRE ATT&amp;CK Mappings'!$F223))),ISNUMBER(SEARCH(IF(D$2&lt;&gt;"",D$2,"NA"),'MITRE ATT&amp;CK Mappings'!$G223))),ISNUMBER(SEARCH(IF(D$2&lt;&gt;"",D$2,"NA"),'MITRE ATT&amp;CK Mappings'!$H223))),ISNUMBER(SEARCH(IF(D$3&lt;&gt;"",D$3,"NA"),'MITRE ATT&amp;CK Mappings'!$I223))),ISNUMBER(SEARCH(IF(D$3&lt;&gt;"",D$3,"NA"),'MITRE ATT&amp;CK Mappings'!$J223))), 'MITRE ATT&amp;CK Mappings'!$B223,"")</f>
        <v/>
      </c>
      <c r="E227" s="27" t="str">
        <f>IF(OR(OR(OR(OR(OR(ISNUMBER(SEARCH(IF(E$1&lt;&gt;"",E$1,"NA"),'MITRE ATT&amp;CK Mappings'!$E223)),ISNUMBER(SEARCH(IF(E$1&lt;&gt;"",E$1,"NA"),'MITRE ATT&amp;CK Mappings'!$F223))),ISNUMBER(SEARCH(IF(E$2&lt;&gt;"",E$2,"NA"),'MITRE ATT&amp;CK Mappings'!$G223))),ISNUMBER(SEARCH(IF(E$2&lt;&gt;"",E$2,"NA"),'MITRE ATT&amp;CK Mappings'!$H223))),ISNUMBER(SEARCH(IF(E$3&lt;&gt;"",E$3,"NA"),'MITRE ATT&amp;CK Mappings'!$I223))),ISNUMBER(SEARCH(IF(E$3&lt;&gt;"",E$3,"NA"),'MITRE ATT&amp;CK Mappings'!$J223))), 'MITRE ATT&amp;CK Mappings'!$B223,"")</f>
        <v/>
      </c>
      <c r="F227" s="27" t="str">
        <f>IF(OR(OR(OR(OR(OR(ISNUMBER(SEARCH(IF(F$1&lt;&gt;"",F$1,"NA"),'MITRE ATT&amp;CK Mappings'!$E223)),ISNUMBER(SEARCH(IF(F$1&lt;&gt;"",F$1,"NA"),'MITRE ATT&amp;CK Mappings'!$F223))),ISNUMBER(SEARCH(IF(F$2&lt;&gt;"",F$2,"NA"),'MITRE ATT&amp;CK Mappings'!$G223))),ISNUMBER(SEARCH(IF(F$2&lt;&gt;"",F$2,"NA"),'MITRE ATT&amp;CK Mappings'!$H223))),ISNUMBER(SEARCH(IF(F$3&lt;&gt;"",F$3,"NA"),'MITRE ATT&amp;CK Mappings'!$I223))),ISNUMBER(SEARCH(IF(F$3&lt;&gt;"",F$3,"NA"),'MITRE ATT&amp;CK Mappings'!$J223))), 'MITRE ATT&amp;CK Mappings'!$B223,"")</f>
        <v/>
      </c>
      <c r="G227" s="27" t="str">
        <f>IF(OR(OR(OR(OR(OR(ISNUMBER(SEARCH(IF(G$1&lt;&gt;"",G$1,"NA"),'MITRE ATT&amp;CK Mappings'!$E223)),ISNUMBER(SEARCH(IF(G$1&lt;&gt;"",G$1,"NA"),'MITRE ATT&amp;CK Mappings'!$F223))),ISNUMBER(SEARCH(IF(G$2&lt;&gt;"",G$2,"NA"),'MITRE ATT&amp;CK Mappings'!$G223))),ISNUMBER(SEARCH(IF(G$2&lt;&gt;"",G$2,"NA"),'MITRE ATT&amp;CK Mappings'!$H223))),ISNUMBER(SEARCH(IF(G$3&lt;&gt;"",G$3,"NA"),'MITRE ATT&amp;CK Mappings'!$I223))),ISNUMBER(SEARCH(IF(G$3&lt;&gt;"",G$3,"NA"),'MITRE ATT&amp;CK Mappings'!$J223))), 'MITRE ATT&amp;CK Mappings'!$B223,"")</f>
        <v/>
      </c>
      <c r="H227" s="27" t="str">
        <f>IF(OR(OR(OR(OR(OR(ISNUMBER(SEARCH(IF(H$1&lt;&gt;"",H$1,"NA"),'MITRE ATT&amp;CK Mappings'!$E223)),ISNUMBER(SEARCH(IF(H$1&lt;&gt;"",H$1,"NA"),'MITRE ATT&amp;CK Mappings'!$F223))),ISNUMBER(SEARCH(IF(H$2&lt;&gt;"",H$2,"NA"),'MITRE ATT&amp;CK Mappings'!$G223))),ISNUMBER(SEARCH(IF(H$2&lt;&gt;"",H$2,"NA"),'MITRE ATT&amp;CK Mappings'!$H223))),ISNUMBER(SEARCH(IF(H$3&lt;&gt;"",H$3,"NA"),'MITRE ATT&amp;CK Mappings'!$I223))),ISNUMBER(SEARCH(IF(H$3&lt;&gt;"",H$3,"NA"),'MITRE ATT&amp;CK Mappings'!$J223))), 'MITRE ATT&amp;CK Mappings'!$B223,"")</f>
        <v/>
      </c>
      <c r="I227" s="27" t="str">
        <f>IF(OR(OR(OR(OR(OR(ISNUMBER(SEARCH(IF(I$1&lt;&gt;"",I$1,"NA"),'MITRE ATT&amp;CK Mappings'!$E223)),ISNUMBER(SEARCH(IF(I$1&lt;&gt;"",I$1,"NA"),'MITRE ATT&amp;CK Mappings'!$F223))),ISNUMBER(SEARCH(IF(I$2&lt;&gt;"",I$2,"NA"),'MITRE ATT&amp;CK Mappings'!$G223))),ISNUMBER(SEARCH(IF(I$2&lt;&gt;"",I$2,"NA"),'MITRE ATT&amp;CK Mappings'!$H223))),ISNUMBER(SEARCH(IF(I$3&lt;&gt;"",I$3,"NA"),'MITRE ATT&amp;CK Mappings'!$I223))),ISNUMBER(SEARCH(IF(I$3&lt;&gt;"",I$3,"NA"),'MITRE ATT&amp;CK Mappings'!$J223))), 'MITRE ATT&amp;CK Mappings'!$B223,"")</f>
        <v/>
      </c>
      <c r="J227" s="27" t="str">
        <f>IF(OR(OR(OR(OR(OR(ISNUMBER(SEARCH(IF(J$1&lt;&gt;"",J$1,"NA"),'MITRE ATT&amp;CK Mappings'!$E223)),ISNUMBER(SEARCH(IF(J$1&lt;&gt;"",J$1,"NA"),'MITRE ATT&amp;CK Mappings'!$F223))),ISNUMBER(SEARCH(IF(J$2&lt;&gt;"",J$2,"NA"),'MITRE ATT&amp;CK Mappings'!$G223))),ISNUMBER(SEARCH(IF(J$2&lt;&gt;"",J$2,"NA"),'MITRE ATT&amp;CK Mappings'!$H223))),ISNUMBER(SEARCH(IF(J$3&lt;&gt;"",J$3,"NA"),'MITRE ATT&amp;CK Mappings'!$I223))),ISNUMBER(SEARCH(IF(J$3&lt;&gt;"",J$3,"NA"),'MITRE ATT&amp;CK Mappings'!$J223))), 'MITRE ATT&amp;CK Mappings'!$B223,"")</f>
        <v/>
      </c>
      <c r="K227" s="27" t="str">
        <f>IF(OR(OR(OR(OR(OR(ISNUMBER(SEARCH(IF(K$1&lt;&gt;"",K$1,"NA"),'MITRE ATT&amp;CK Mappings'!$E223)),ISNUMBER(SEARCH(IF(K$1&lt;&gt;"",K$1,"NA"),'MITRE ATT&amp;CK Mappings'!$F223))),ISNUMBER(SEARCH(IF(K$2&lt;&gt;"",K$2,"NA"),'MITRE ATT&amp;CK Mappings'!$G223))),ISNUMBER(SEARCH(IF(K$2&lt;&gt;"",K$2,"NA"),'MITRE ATT&amp;CK Mappings'!$H223))),ISNUMBER(SEARCH(IF(K$3&lt;&gt;"",K$3,"NA"),'MITRE ATT&amp;CK Mappings'!$I223))),ISNUMBER(SEARCH(IF(K$3&lt;&gt;"",K$3,"NA"),'MITRE ATT&amp;CK Mappings'!$J223))), 'MITRE ATT&amp;CK Mappings'!$B223,"")</f>
        <v/>
      </c>
      <c r="L227" s="27" t="str">
        <f>IF('MITRE ATT&amp;CK Mappings'!D223 &lt;&gt;"",'MITRE ATT&amp;CK Mappings'!D223,"" )</f>
        <v/>
      </c>
    </row>
    <row r="228" spans="1:12" x14ac:dyDescent="0.25">
      <c r="A228" s="26" t="str">
        <f>IF(COUNTIF(B228:K228,"="&amp;'MITRE ATT&amp;CK Mappings'!B224)&gt;0,'MITRE ATT&amp;CK Mappings'!B224,"")</f>
        <v/>
      </c>
      <c r="B228" s="26" t="str">
        <f>IF(OR(OR(OR(OR(OR(ISNUMBER(SEARCH(IF(B$1&lt;&gt;"",B$1,"NA"),'MITRE ATT&amp;CK Mappings'!$E224)),ISNUMBER(SEARCH(IF(B$1&lt;&gt;"",B$1,"NA"),'MITRE ATT&amp;CK Mappings'!$F224))),ISNUMBER(SEARCH(IF(B$2&lt;&gt;"",B$2,"NA"),'MITRE ATT&amp;CK Mappings'!$G224))),ISNUMBER(SEARCH(IF(B$2&lt;&gt;"",B$2,"NA"),'MITRE ATT&amp;CK Mappings'!$H224))),ISNUMBER(SEARCH(IF(B$3&lt;&gt;"",B$3,"NA"),'MITRE ATT&amp;CK Mappings'!$I224))),ISNUMBER(SEARCH(IF(B$3&lt;&gt;"",B$3,"NA"),'MITRE ATT&amp;CK Mappings'!$J224))), 'MITRE ATT&amp;CK Mappings'!$B224,"")</f>
        <v/>
      </c>
      <c r="C228" s="26" t="str">
        <f>IF(OR(OR(OR(OR(OR(ISNUMBER(SEARCH(IF(C$1&lt;&gt;"",C$1,"NA"),'MITRE ATT&amp;CK Mappings'!$E224)),ISNUMBER(SEARCH(IF(C$1&lt;&gt;"",C$1,"NA"),'MITRE ATT&amp;CK Mappings'!$F224))),ISNUMBER(SEARCH(IF(C$2&lt;&gt;"",C$2,"NA"),'MITRE ATT&amp;CK Mappings'!$G224))),ISNUMBER(SEARCH(IF(C$2&lt;&gt;"",C$2,"NA"),'MITRE ATT&amp;CK Mappings'!$H224))),ISNUMBER(SEARCH(IF(C$3&lt;&gt;"",C$3,"NA"),'MITRE ATT&amp;CK Mappings'!$I224))),ISNUMBER(SEARCH(IF(C$3&lt;&gt;"",C$3,"NA"),'MITRE ATT&amp;CK Mappings'!$J224))), 'MITRE ATT&amp;CK Mappings'!$B224,"")</f>
        <v/>
      </c>
      <c r="D228" s="26" t="str">
        <f>IF(OR(OR(OR(OR(OR(ISNUMBER(SEARCH(IF(D$1&lt;&gt;"",D$1,"NA"),'MITRE ATT&amp;CK Mappings'!$E224)),ISNUMBER(SEARCH(IF(D$1&lt;&gt;"",D$1,"NA"),'MITRE ATT&amp;CK Mappings'!$F224))),ISNUMBER(SEARCH(IF(D$2&lt;&gt;"",D$2,"NA"),'MITRE ATT&amp;CK Mappings'!$G224))),ISNUMBER(SEARCH(IF(D$2&lt;&gt;"",D$2,"NA"),'MITRE ATT&amp;CK Mappings'!$H224))),ISNUMBER(SEARCH(IF(D$3&lt;&gt;"",D$3,"NA"),'MITRE ATT&amp;CK Mappings'!$I224))),ISNUMBER(SEARCH(IF(D$3&lt;&gt;"",D$3,"NA"),'MITRE ATT&amp;CK Mappings'!$J224))), 'MITRE ATT&amp;CK Mappings'!$B224,"")</f>
        <v/>
      </c>
      <c r="E228" s="26" t="str">
        <f>IF(OR(OR(OR(OR(OR(ISNUMBER(SEARCH(IF(E$1&lt;&gt;"",E$1,"NA"),'MITRE ATT&amp;CK Mappings'!$E224)),ISNUMBER(SEARCH(IF(E$1&lt;&gt;"",E$1,"NA"),'MITRE ATT&amp;CK Mappings'!$F224))),ISNUMBER(SEARCH(IF(E$2&lt;&gt;"",E$2,"NA"),'MITRE ATT&amp;CK Mappings'!$G224))),ISNUMBER(SEARCH(IF(E$2&lt;&gt;"",E$2,"NA"),'MITRE ATT&amp;CK Mappings'!$H224))),ISNUMBER(SEARCH(IF(E$3&lt;&gt;"",E$3,"NA"),'MITRE ATT&amp;CK Mappings'!$I224))),ISNUMBER(SEARCH(IF(E$3&lt;&gt;"",E$3,"NA"),'MITRE ATT&amp;CK Mappings'!$J224))), 'MITRE ATT&amp;CK Mappings'!$B224,"")</f>
        <v/>
      </c>
      <c r="F228" s="26" t="str">
        <f>IF(OR(OR(OR(OR(OR(ISNUMBER(SEARCH(IF(F$1&lt;&gt;"",F$1,"NA"),'MITRE ATT&amp;CK Mappings'!$E224)),ISNUMBER(SEARCH(IF(F$1&lt;&gt;"",F$1,"NA"),'MITRE ATT&amp;CK Mappings'!$F224))),ISNUMBER(SEARCH(IF(F$2&lt;&gt;"",F$2,"NA"),'MITRE ATT&amp;CK Mappings'!$G224))),ISNUMBER(SEARCH(IF(F$2&lt;&gt;"",F$2,"NA"),'MITRE ATT&amp;CK Mappings'!$H224))),ISNUMBER(SEARCH(IF(F$3&lt;&gt;"",F$3,"NA"),'MITRE ATT&amp;CK Mappings'!$I224))),ISNUMBER(SEARCH(IF(F$3&lt;&gt;"",F$3,"NA"),'MITRE ATT&amp;CK Mappings'!$J224))), 'MITRE ATT&amp;CK Mappings'!$B224,"")</f>
        <v/>
      </c>
      <c r="G228" s="26" t="str">
        <f>IF(OR(OR(OR(OR(OR(ISNUMBER(SEARCH(IF(G$1&lt;&gt;"",G$1,"NA"),'MITRE ATT&amp;CK Mappings'!$E224)),ISNUMBER(SEARCH(IF(G$1&lt;&gt;"",G$1,"NA"),'MITRE ATT&amp;CK Mappings'!$F224))),ISNUMBER(SEARCH(IF(G$2&lt;&gt;"",G$2,"NA"),'MITRE ATT&amp;CK Mappings'!$G224))),ISNUMBER(SEARCH(IF(G$2&lt;&gt;"",G$2,"NA"),'MITRE ATT&amp;CK Mappings'!$H224))),ISNUMBER(SEARCH(IF(G$3&lt;&gt;"",G$3,"NA"),'MITRE ATT&amp;CK Mappings'!$I224))),ISNUMBER(SEARCH(IF(G$3&lt;&gt;"",G$3,"NA"),'MITRE ATT&amp;CK Mappings'!$J224))), 'MITRE ATT&amp;CK Mappings'!$B224,"")</f>
        <v/>
      </c>
      <c r="H228" s="26" t="str">
        <f>IF(OR(OR(OR(OR(OR(ISNUMBER(SEARCH(IF(H$1&lt;&gt;"",H$1,"NA"),'MITRE ATT&amp;CK Mappings'!$E224)),ISNUMBER(SEARCH(IF(H$1&lt;&gt;"",H$1,"NA"),'MITRE ATT&amp;CK Mappings'!$F224))),ISNUMBER(SEARCH(IF(H$2&lt;&gt;"",H$2,"NA"),'MITRE ATT&amp;CK Mappings'!$G224))),ISNUMBER(SEARCH(IF(H$2&lt;&gt;"",H$2,"NA"),'MITRE ATT&amp;CK Mappings'!$H224))),ISNUMBER(SEARCH(IF(H$3&lt;&gt;"",H$3,"NA"),'MITRE ATT&amp;CK Mappings'!$I224))),ISNUMBER(SEARCH(IF(H$3&lt;&gt;"",H$3,"NA"),'MITRE ATT&amp;CK Mappings'!$J224))), 'MITRE ATT&amp;CK Mappings'!$B224,"")</f>
        <v/>
      </c>
      <c r="I228" s="26" t="str">
        <f>IF(OR(OR(OR(OR(OR(ISNUMBER(SEARCH(IF(I$1&lt;&gt;"",I$1,"NA"),'MITRE ATT&amp;CK Mappings'!$E224)),ISNUMBER(SEARCH(IF(I$1&lt;&gt;"",I$1,"NA"),'MITRE ATT&amp;CK Mappings'!$F224))),ISNUMBER(SEARCH(IF(I$2&lt;&gt;"",I$2,"NA"),'MITRE ATT&amp;CK Mappings'!$G224))),ISNUMBER(SEARCH(IF(I$2&lt;&gt;"",I$2,"NA"),'MITRE ATT&amp;CK Mappings'!$H224))),ISNUMBER(SEARCH(IF(I$3&lt;&gt;"",I$3,"NA"),'MITRE ATT&amp;CK Mappings'!$I224))),ISNUMBER(SEARCH(IF(I$3&lt;&gt;"",I$3,"NA"),'MITRE ATT&amp;CK Mappings'!$J224))), 'MITRE ATT&amp;CK Mappings'!$B224,"")</f>
        <v/>
      </c>
      <c r="J228" s="26" t="str">
        <f>IF(OR(OR(OR(OR(OR(ISNUMBER(SEARCH(IF(J$1&lt;&gt;"",J$1,"NA"),'MITRE ATT&amp;CK Mappings'!$E224)),ISNUMBER(SEARCH(IF(J$1&lt;&gt;"",J$1,"NA"),'MITRE ATT&amp;CK Mappings'!$F224))),ISNUMBER(SEARCH(IF(J$2&lt;&gt;"",J$2,"NA"),'MITRE ATT&amp;CK Mappings'!$G224))),ISNUMBER(SEARCH(IF(J$2&lt;&gt;"",J$2,"NA"),'MITRE ATT&amp;CK Mappings'!$H224))),ISNUMBER(SEARCH(IF(J$3&lt;&gt;"",J$3,"NA"),'MITRE ATT&amp;CK Mappings'!$I224))),ISNUMBER(SEARCH(IF(J$3&lt;&gt;"",J$3,"NA"),'MITRE ATT&amp;CK Mappings'!$J224))), 'MITRE ATT&amp;CK Mappings'!$B224,"")</f>
        <v/>
      </c>
      <c r="K228" s="26" t="str">
        <f>IF(OR(OR(OR(OR(OR(ISNUMBER(SEARCH(IF(K$1&lt;&gt;"",K$1,"NA"),'MITRE ATT&amp;CK Mappings'!$E224)),ISNUMBER(SEARCH(IF(K$1&lt;&gt;"",K$1,"NA"),'MITRE ATT&amp;CK Mappings'!$F224))),ISNUMBER(SEARCH(IF(K$2&lt;&gt;"",K$2,"NA"),'MITRE ATT&amp;CK Mappings'!$G224))),ISNUMBER(SEARCH(IF(K$2&lt;&gt;"",K$2,"NA"),'MITRE ATT&amp;CK Mappings'!$H224))),ISNUMBER(SEARCH(IF(K$3&lt;&gt;"",K$3,"NA"),'MITRE ATT&amp;CK Mappings'!$I224))),ISNUMBER(SEARCH(IF(K$3&lt;&gt;"",K$3,"NA"),'MITRE ATT&amp;CK Mappings'!$J224))), 'MITRE ATT&amp;CK Mappings'!$B224,"")</f>
        <v/>
      </c>
      <c r="L228" s="26" t="str">
        <f>IF('MITRE ATT&amp;CK Mappings'!D224 &lt;&gt;"",'MITRE ATT&amp;CK Mappings'!D224,"" )</f>
        <v/>
      </c>
    </row>
    <row r="229" spans="1:12" x14ac:dyDescent="0.25">
      <c r="A229" s="27" t="str">
        <f>IF(COUNTIF(B229:K229,"="&amp;'MITRE ATT&amp;CK Mappings'!B225)&gt;0,'MITRE ATT&amp;CK Mappings'!B225,"")</f>
        <v/>
      </c>
      <c r="B229" s="27" t="str">
        <f>IF(OR(OR(OR(OR(OR(ISNUMBER(SEARCH(IF(B$1&lt;&gt;"",B$1,"NA"),'MITRE ATT&amp;CK Mappings'!$E225)),ISNUMBER(SEARCH(IF(B$1&lt;&gt;"",B$1,"NA"),'MITRE ATT&amp;CK Mappings'!$F225))),ISNUMBER(SEARCH(IF(B$2&lt;&gt;"",B$2,"NA"),'MITRE ATT&amp;CK Mappings'!$G225))),ISNUMBER(SEARCH(IF(B$2&lt;&gt;"",B$2,"NA"),'MITRE ATT&amp;CK Mappings'!$H225))),ISNUMBER(SEARCH(IF(B$3&lt;&gt;"",B$3,"NA"),'MITRE ATT&amp;CK Mappings'!$I225))),ISNUMBER(SEARCH(IF(B$3&lt;&gt;"",B$3,"NA"),'MITRE ATT&amp;CK Mappings'!$J225))), 'MITRE ATT&amp;CK Mappings'!$B225,"")</f>
        <v/>
      </c>
      <c r="C229" s="27" t="str">
        <f>IF(OR(OR(OR(OR(OR(ISNUMBER(SEARCH(IF(C$1&lt;&gt;"",C$1,"NA"),'MITRE ATT&amp;CK Mappings'!$E225)),ISNUMBER(SEARCH(IF(C$1&lt;&gt;"",C$1,"NA"),'MITRE ATT&amp;CK Mappings'!$F225))),ISNUMBER(SEARCH(IF(C$2&lt;&gt;"",C$2,"NA"),'MITRE ATT&amp;CK Mappings'!$G225))),ISNUMBER(SEARCH(IF(C$2&lt;&gt;"",C$2,"NA"),'MITRE ATT&amp;CK Mappings'!$H225))),ISNUMBER(SEARCH(IF(C$3&lt;&gt;"",C$3,"NA"),'MITRE ATT&amp;CK Mappings'!$I225))),ISNUMBER(SEARCH(IF(C$3&lt;&gt;"",C$3,"NA"),'MITRE ATT&amp;CK Mappings'!$J225))), 'MITRE ATT&amp;CK Mappings'!$B225,"")</f>
        <v/>
      </c>
      <c r="D229" s="27" t="str">
        <f>IF(OR(OR(OR(OR(OR(ISNUMBER(SEARCH(IF(D$1&lt;&gt;"",D$1,"NA"),'MITRE ATT&amp;CK Mappings'!$E225)),ISNUMBER(SEARCH(IF(D$1&lt;&gt;"",D$1,"NA"),'MITRE ATT&amp;CK Mappings'!$F225))),ISNUMBER(SEARCH(IF(D$2&lt;&gt;"",D$2,"NA"),'MITRE ATT&amp;CK Mappings'!$G225))),ISNUMBER(SEARCH(IF(D$2&lt;&gt;"",D$2,"NA"),'MITRE ATT&amp;CK Mappings'!$H225))),ISNUMBER(SEARCH(IF(D$3&lt;&gt;"",D$3,"NA"),'MITRE ATT&amp;CK Mappings'!$I225))),ISNUMBER(SEARCH(IF(D$3&lt;&gt;"",D$3,"NA"),'MITRE ATT&amp;CK Mappings'!$J225))), 'MITRE ATT&amp;CK Mappings'!$B225,"")</f>
        <v/>
      </c>
      <c r="E229" s="27" t="str">
        <f>IF(OR(OR(OR(OR(OR(ISNUMBER(SEARCH(IF(E$1&lt;&gt;"",E$1,"NA"),'MITRE ATT&amp;CK Mappings'!$E225)),ISNUMBER(SEARCH(IF(E$1&lt;&gt;"",E$1,"NA"),'MITRE ATT&amp;CK Mappings'!$F225))),ISNUMBER(SEARCH(IF(E$2&lt;&gt;"",E$2,"NA"),'MITRE ATT&amp;CK Mappings'!$G225))),ISNUMBER(SEARCH(IF(E$2&lt;&gt;"",E$2,"NA"),'MITRE ATT&amp;CK Mappings'!$H225))),ISNUMBER(SEARCH(IF(E$3&lt;&gt;"",E$3,"NA"),'MITRE ATT&amp;CK Mappings'!$I225))),ISNUMBER(SEARCH(IF(E$3&lt;&gt;"",E$3,"NA"),'MITRE ATT&amp;CK Mappings'!$J225))), 'MITRE ATT&amp;CK Mappings'!$B225,"")</f>
        <v/>
      </c>
      <c r="F229" s="27" t="str">
        <f>IF(OR(OR(OR(OR(OR(ISNUMBER(SEARCH(IF(F$1&lt;&gt;"",F$1,"NA"),'MITRE ATT&amp;CK Mappings'!$E225)),ISNUMBER(SEARCH(IF(F$1&lt;&gt;"",F$1,"NA"),'MITRE ATT&amp;CK Mappings'!$F225))),ISNUMBER(SEARCH(IF(F$2&lt;&gt;"",F$2,"NA"),'MITRE ATT&amp;CK Mappings'!$G225))),ISNUMBER(SEARCH(IF(F$2&lt;&gt;"",F$2,"NA"),'MITRE ATT&amp;CK Mappings'!$H225))),ISNUMBER(SEARCH(IF(F$3&lt;&gt;"",F$3,"NA"),'MITRE ATT&amp;CK Mappings'!$I225))),ISNUMBER(SEARCH(IF(F$3&lt;&gt;"",F$3,"NA"),'MITRE ATT&amp;CK Mappings'!$J225))), 'MITRE ATT&amp;CK Mappings'!$B225,"")</f>
        <v/>
      </c>
      <c r="G229" s="27" t="str">
        <f>IF(OR(OR(OR(OR(OR(ISNUMBER(SEARCH(IF(G$1&lt;&gt;"",G$1,"NA"),'MITRE ATT&amp;CK Mappings'!$E225)),ISNUMBER(SEARCH(IF(G$1&lt;&gt;"",G$1,"NA"),'MITRE ATT&amp;CK Mappings'!$F225))),ISNUMBER(SEARCH(IF(G$2&lt;&gt;"",G$2,"NA"),'MITRE ATT&amp;CK Mappings'!$G225))),ISNUMBER(SEARCH(IF(G$2&lt;&gt;"",G$2,"NA"),'MITRE ATT&amp;CK Mappings'!$H225))),ISNUMBER(SEARCH(IF(G$3&lt;&gt;"",G$3,"NA"),'MITRE ATT&amp;CK Mappings'!$I225))),ISNUMBER(SEARCH(IF(G$3&lt;&gt;"",G$3,"NA"),'MITRE ATT&amp;CK Mappings'!$J225))), 'MITRE ATT&amp;CK Mappings'!$B225,"")</f>
        <v/>
      </c>
      <c r="H229" s="27" t="str">
        <f>IF(OR(OR(OR(OR(OR(ISNUMBER(SEARCH(IF(H$1&lt;&gt;"",H$1,"NA"),'MITRE ATT&amp;CK Mappings'!$E225)),ISNUMBER(SEARCH(IF(H$1&lt;&gt;"",H$1,"NA"),'MITRE ATT&amp;CK Mappings'!$F225))),ISNUMBER(SEARCH(IF(H$2&lt;&gt;"",H$2,"NA"),'MITRE ATT&amp;CK Mappings'!$G225))),ISNUMBER(SEARCH(IF(H$2&lt;&gt;"",H$2,"NA"),'MITRE ATT&amp;CK Mappings'!$H225))),ISNUMBER(SEARCH(IF(H$3&lt;&gt;"",H$3,"NA"),'MITRE ATT&amp;CK Mappings'!$I225))),ISNUMBER(SEARCH(IF(H$3&lt;&gt;"",H$3,"NA"),'MITRE ATT&amp;CK Mappings'!$J225))), 'MITRE ATT&amp;CK Mappings'!$B225,"")</f>
        <v/>
      </c>
      <c r="I229" s="27" t="str">
        <f>IF(OR(OR(OR(OR(OR(ISNUMBER(SEARCH(IF(I$1&lt;&gt;"",I$1,"NA"),'MITRE ATT&amp;CK Mappings'!$E225)),ISNUMBER(SEARCH(IF(I$1&lt;&gt;"",I$1,"NA"),'MITRE ATT&amp;CK Mappings'!$F225))),ISNUMBER(SEARCH(IF(I$2&lt;&gt;"",I$2,"NA"),'MITRE ATT&amp;CK Mappings'!$G225))),ISNUMBER(SEARCH(IF(I$2&lt;&gt;"",I$2,"NA"),'MITRE ATT&amp;CK Mappings'!$H225))),ISNUMBER(SEARCH(IF(I$3&lt;&gt;"",I$3,"NA"),'MITRE ATT&amp;CK Mappings'!$I225))),ISNUMBER(SEARCH(IF(I$3&lt;&gt;"",I$3,"NA"),'MITRE ATT&amp;CK Mappings'!$J225))), 'MITRE ATT&amp;CK Mappings'!$B225,"")</f>
        <v/>
      </c>
      <c r="J229" s="27" t="str">
        <f>IF(OR(OR(OR(OR(OR(ISNUMBER(SEARCH(IF(J$1&lt;&gt;"",J$1,"NA"),'MITRE ATT&amp;CK Mappings'!$E225)),ISNUMBER(SEARCH(IF(J$1&lt;&gt;"",J$1,"NA"),'MITRE ATT&amp;CK Mappings'!$F225))),ISNUMBER(SEARCH(IF(J$2&lt;&gt;"",J$2,"NA"),'MITRE ATT&amp;CK Mappings'!$G225))),ISNUMBER(SEARCH(IF(J$2&lt;&gt;"",J$2,"NA"),'MITRE ATT&amp;CK Mappings'!$H225))),ISNUMBER(SEARCH(IF(J$3&lt;&gt;"",J$3,"NA"),'MITRE ATT&amp;CK Mappings'!$I225))),ISNUMBER(SEARCH(IF(J$3&lt;&gt;"",J$3,"NA"),'MITRE ATT&amp;CK Mappings'!$J225))), 'MITRE ATT&amp;CK Mappings'!$B225,"")</f>
        <v/>
      </c>
      <c r="K229" s="27" t="str">
        <f>IF(OR(OR(OR(OR(OR(ISNUMBER(SEARCH(IF(K$1&lt;&gt;"",K$1,"NA"),'MITRE ATT&amp;CK Mappings'!$E225)),ISNUMBER(SEARCH(IF(K$1&lt;&gt;"",K$1,"NA"),'MITRE ATT&amp;CK Mappings'!$F225))),ISNUMBER(SEARCH(IF(K$2&lt;&gt;"",K$2,"NA"),'MITRE ATT&amp;CK Mappings'!$G225))),ISNUMBER(SEARCH(IF(K$2&lt;&gt;"",K$2,"NA"),'MITRE ATT&amp;CK Mappings'!$H225))),ISNUMBER(SEARCH(IF(K$3&lt;&gt;"",K$3,"NA"),'MITRE ATT&amp;CK Mappings'!$I225))),ISNUMBER(SEARCH(IF(K$3&lt;&gt;"",K$3,"NA"),'MITRE ATT&amp;CK Mappings'!$J225))), 'MITRE ATT&amp;CK Mappings'!$B225,"")</f>
        <v/>
      </c>
      <c r="L229" s="27" t="str">
        <f>IF('MITRE ATT&amp;CK Mappings'!D225 &lt;&gt;"",'MITRE ATT&amp;CK Mappings'!D225,"" )</f>
        <v/>
      </c>
    </row>
    <row r="230" spans="1:12" x14ac:dyDescent="0.25">
      <c r="A230" s="26" t="str">
        <f>IF(COUNTIF(B230:K230,"="&amp;'MITRE ATT&amp;CK Mappings'!B226)&gt;0,'MITRE ATT&amp;CK Mappings'!B226,"")</f>
        <v/>
      </c>
      <c r="B230" s="26" t="str">
        <f>IF(OR(OR(OR(OR(OR(ISNUMBER(SEARCH(IF(B$1&lt;&gt;"",B$1,"NA"),'MITRE ATT&amp;CK Mappings'!$E226)),ISNUMBER(SEARCH(IF(B$1&lt;&gt;"",B$1,"NA"),'MITRE ATT&amp;CK Mappings'!$F226))),ISNUMBER(SEARCH(IF(B$2&lt;&gt;"",B$2,"NA"),'MITRE ATT&amp;CK Mappings'!$G226))),ISNUMBER(SEARCH(IF(B$2&lt;&gt;"",B$2,"NA"),'MITRE ATT&amp;CK Mappings'!$H226))),ISNUMBER(SEARCH(IF(B$3&lt;&gt;"",B$3,"NA"),'MITRE ATT&amp;CK Mappings'!$I226))),ISNUMBER(SEARCH(IF(B$3&lt;&gt;"",B$3,"NA"),'MITRE ATT&amp;CK Mappings'!$J226))), 'MITRE ATT&amp;CK Mappings'!$B226,"")</f>
        <v/>
      </c>
      <c r="C230" s="26" t="str">
        <f>IF(OR(OR(OR(OR(OR(ISNUMBER(SEARCH(IF(C$1&lt;&gt;"",C$1,"NA"),'MITRE ATT&amp;CK Mappings'!$E226)),ISNUMBER(SEARCH(IF(C$1&lt;&gt;"",C$1,"NA"),'MITRE ATT&amp;CK Mappings'!$F226))),ISNUMBER(SEARCH(IF(C$2&lt;&gt;"",C$2,"NA"),'MITRE ATT&amp;CK Mappings'!$G226))),ISNUMBER(SEARCH(IF(C$2&lt;&gt;"",C$2,"NA"),'MITRE ATT&amp;CK Mappings'!$H226))),ISNUMBER(SEARCH(IF(C$3&lt;&gt;"",C$3,"NA"),'MITRE ATT&amp;CK Mappings'!$I226))),ISNUMBER(SEARCH(IF(C$3&lt;&gt;"",C$3,"NA"),'MITRE ATT&amp;CK Mappings'!$J226))), 'MITRE ATT&amp;CK Mappings'!$B226,"")</f>
        <v/>
      </c>
      <c r="D230" s="26" t="str">
        <f>IF(OR(OR(OR(OR(OR(ISNUMBER(SEARCH(IF(D$1&lt;&gt;"",D$1,"NA"),'MITRE ATT&amp;CK Mappings'!$E226)),ISNUMBER(SEARCH(IF(D$1&lt;&gt;"",D$1,"NA"),'MITRE ATT&amp;CK Mappings'!$F226))),ISNUMBER(SEARCH(IF(D$2&lt;&gt;"",D$2,"NA"),'MITRE ATT&amp;CK Mappings'!$G226))),ISNUMBER(SEARCH(IF(D$2&lt;&gt;"",D$2,"NA"),'MITRE ATT&amp;CK Mappings'!$H226))),ISNUMBER(SEARCH(IF(D$3&lt;&gt;"",D$3,"NA"),'MITRE ATT&amp;CK Mappings'!$I226))),ISNUMBER(SEARCH(IF(D$3&lt;&gt;"",D$3,"NA"),'MITRE ATT&amp;CK Mappings'!$J226))), 'MITRE ATT&amp;CK Mappings'!$B226,"")</f>
        <v/>
      </c>
      <c r="E230" s="26" t="str">
        <f>IF(OR(OR(OR(OR(OR(ISNUMBER(SEARCH(IF(E$1&lt;&gt;"",E$1,"NA"),'MITRE ATT&amp;CK Mappings'!$E226)),ISNUMBER(SEARCH(IF(E$1&lt;&gt;"",E$1,"NA"),'MITRE ATT&amp;CK Mappings'!$F226))),ISNUMBER(SEARCH(IF(E$2&lt;&gt;"",E$2,"NA"),'MITRE ATT&amp;CK Mappings'!$G226))),ISNUMBER(SEARCH(IF(E$2&lt;&gt;"",E$2,"NA"),'MITRE ATT&amp;CK Mappings'!$H226))),ISNUMBER(SEARCH(IF(E$3&lt;&gt;"",E$3,"NA"),'MITRE ATT&amp;CK Mappings'!$I226))),ISNUMBER(SEARCH(IF(E$3&lt;&gt;"",E$3,"NA"),'MITRE ATT&amp;CK Mappings'!$J226))), 'MITRE ATT&amp;CK Mappings'!$B226,"")</f>
        <v/>
      </c>
      <c r="F230" s="26" t="str">
        <f>IF(OR(OR(OR(OR(OR(ISNUMBER(SEARCH(IF(F$1&lt;&gt;"",F$1,"NA"),'MITRE ATT&amp;CK Mappings'!$E226)),ISNUMBER(SEARCH(IF(F$1&lt;&gt;"",F$1,"NA"),'MITRE ATT&amp;CK Mappings'!$F226))),ISNUMBER(SEARCH(IF(F$2&lt;&gt;"",F$2,"NA"),'MITRE ATT&amp;CK Mappings'!$G226))),ISNUMBER(SEARCH(IF(F$2&lt;&gt;"",F$2,"NA"),'MITRE ATT&amp;CK Mappings'!$H226))),ISNUMBER(SEARCH(IF(F$3&lt;&gt;"",F$3,"NA"),'MITRE ATT&amp;CK Mappings'!$I226))),ISNUMBER(SEARCH(IF(F$3&lt;&gt;"",F$3,"NA"),'MITRE ATT&amp;CK Mappings'!$J226))), 'MITRE ATT&amp;CK Mappings'!$B226,"")</f>
        <v/>
      </c>
      <c r="G230" s="26" t="str">
        <f>IF(OR(OR(OR(OR(OR(ISNUMBER(SEARCH(IF(G$1&lt;&gt;"",G$1,"NA"),'MITRE ATT&amp;CK Mappings'!$E226)),ISNUMBER(SEARCH(IF(G$1&lt;&gt;"",G$1,"NA"),'MITRE ATT&amp;CK Mappings'!$F226))),ISNUMBER(SEARCH(IF(G$2&lt;&gt;"",G$2,"NA"),'MITRE ATT&amp;CK Mappings'!$G226))),ISNUMBER(SEARCH(IF(G$2&lt;&gt;"",G$2,"NA"),'MITRE ATT&amp;CK Mappings'!$H226))),ISNUMBER(SEARCH(IF(G$3&lt;&gt;"",G$3,"NA"),'MITRE ATT&amp;CK Mappings'!$I226))),ISNUMBER(SEARCH(IF(G$3&lt;&gt;"",G$3,"NA"),'MITRE ATT&amp;CK Mappings'!$J226))), 'MITRE ATT&amp;CK Mappings'!$B226,"")</f>
        <v/>
      </c>
      <c r="H230" s="26" t="str">
        <f>IF(OR(OR(OR(OR(OR(ISNUMBER(SEARCH(IF(H$1&lt;&gt;"",H$1,"NA"),'MITRE ATT&amp;CK Mappings'!$E226)),ISNUMBER(SEARCH(IF(H$1&lt;&gt;"",H$1,"NA"),'MITRE ATT&amp;CK Mappings'!$F226))),ISNUMBER(SEARCH(IF(H$2&lt;&gt;"",H$2,"NA"),'MITRE ATT&amp;CK Mappings'!$G226))),ISNUMBER(SEARCH(IF(H$2&lt;&gt;"",H$2,"NA"),'MITRE ATT&amp;CK Mappings'!$H226))),ISNUMBER(SEARCH(IF(H$3&lt;&gt;"",H$3,"NA"),'MITRE ATT&amp;CK Mappings'!$I226))),ISNUMBER(SEARCH(IF(H$3&lt;&gt;"",H$3,"NA"),'MITRE ATT&amp;CK Mappings'!$J226))), 'MITRE ATT&amp;CK Mappings'!$B226,"")</f>
        <v/>
      </c>
      <c r="I230" s="26" t="str">
        <f>IF(OR(OR(OR(OR(OR(ISNUMBER(SEARCH(IF(I$1&lt;&gt;"",I$1,"NA"),'MITRE ATT&amp;CK Mappings'!$E226)),ISNUMBER(SEARCH(IF(I$1&lt;&gt;"",I$1,"NA"),'MITRE ATT&amp;CK Mappings'!$F226))),ISNUMBER(SEARCH(IF(I$2&lt;&gt;"",I$2,"NA"),'MITRE ATT&amp;CK Mappings'!$G226))),ISNUMBER(SEARCH(IF(I$2&lt;&gt;"",I$2,"NA"),'MITRE ATT&amp;CK Mappings'!$H226))),ISNUMBER(SEARCH(IF(I$3&lt;&gt;"",I$3,"NA"),'MITRE ATT&amp;CK Mappings'!$I226))),ISNUMBER(SEARCH(IF(I$3&lt;&gt;"",I$3,"NA"),'MITRE ATT&amp;CK Mappings'!$J226))), 'MITRE ATT&amp;CK Mappings'!$B226,"")</f>
        <v/>
      </c>
      <c r="J230" s="26" t="str">
        <f>IF(OR(OR(OR(OR(OR(ISNUMBER(SEARCH(IF(J$1&lt;&gt;"",J$1,"NA"),'MITRE ATT&amp;CK Mappings'!$E226)),ISNUMBER(SEARCH(IF(J$1&lt;&gt;"",J$1,"NA"),'MITRE ATT&amp;CK Mappings'!$F226))),ISNUMBER(SEARCH(IF(J$2&lt;&gt;"",J$2,"NA"),'MITRE ATT&amp;CK Mappings'!$G226))),ISNUMBER(SEARCH(IF(J$2&lt;&gt;"",J$2,"NA"),'MITRE ATT&amp;CK Mappings'!$H226))),ISNUMBER(SEARCH(IF(J$3&lt;&gt;"",J$3,"NA"),'MITRE ATT&amp;CK Mappings'!$I226))),ISNUMBER(SEARCH(IF(J$3&lt;&gt;"",J$3,"NA"),'MITRE ATT&amp;CK Mappings'!$J226))), 'MITRE ATT&amp;CK Mappings'!$B226,"")</f>
        <v/>
      </c>
      <c r="K230" s="26" t="str">
        <f>IF(OR(OR(OR(OR(OR(ISNUMBER(SEARCH(IF(K$1&lt;&gt;"",K$1,"NA"),'MITRE ATT&amp;CK Mappings'!$E226)),ISNUMBER(SEARCH(IF(K$1&lt;&gt;"",K$1,"NA"),'MITRE ATT&amp;CK Mappings'!$F226))),ISNUMBER(SEARCH(IF(K$2&lt;&gt;"",K$2,"NA"),'MITRE ATT&amp;CK Mappings'!$G226))),ISNUMBER(SEARCH(IF(K$2&lt;&gt;"",K$2,"NA"),'MITRE ATT&amp;CK Mappings'!$H226))),ISNUMBER(SEARCH(IF(K$3&lt;&gt;"",K$3,"NA"),'MITRE ATT&amp;CK Mappings'!$I226))),ISNUMBER(SEARCH(IF(K$3&lt;&gt;"",K$3,"NA"),'MITRE ATT&amp;CK Mappings'!$J226))), 'MITRE ATT&amp;CK Mappings'!$B226,"")</f>
        <v/>
      </c>
      <c r="L230" s="26" t="str">
        <f>IF('MITRE ATT&amp;CK Mappings'!D226 &lt;&gt;"",'MITRE ATT&amp;CK Mappings'!D226,"" )</f>
        <v/>
      </c>
    </row>
    <row r="231" spans="1:12" x14ac:dyDescent="0.25">
      <c r="A231" s="27" t="str">
        <f>IF(COUNTIF(B231:K231,"="&amp;'MITRE ATT&amp;CK Mappings'!B227)&gt;0,'MITRE ATT&amp;CK Mappings'!B227,"")</f>
        <v/>
      </c>
      <c r="B231" s="27" t="str">
        <f>IF(OR(OR(OR(OR(OR(ISNUMBER(SEARCH(IF(B$1&lt;&gt;"",B$1,"NA"),'MITRE ATT&amp;CK Mappings'!$E227)),ISNUMBER(SEARCH(IF(B$1&lt;&gt;"",B$1,"NA"),'MITRE ATT&amp;CK Mappings'!$F227))),ISNUMBER(SEARCH(IF(B$2&lt;&gt;"",B$2,"NA"),'MITRE ATT&amp;CK Mappings'!$G227))),ISNUMBER(SEARCH(IF(B$2&lt;&gt;"",B$2,"NA"),'MITRE ATT&amp;CK Mappings'!$H227))),ISNUMBER(SEARCH(IF(B$3&lt;&gt;"",B$3,"NA"),'MITRE ATT&amp;CK Mappings'!$I227))),ISNUMBER(SEARCH(IF(B$3&lt;&gt;"",B$3,"NA"),'MITRE ATT&amp;CK Mappings'!$J227))), 'MITRE ATT&amp;CK Mappings'!$B227,"")</f>
        <v/>
      </c>
      <c r="C231" s="27" t="str">
        <f>IF(OR(OR(OR(OR(OR(ISNUMBER(SEARCH(IF(C$1&lt;&gt;"",C$1,"NA"),'MITRE ATT&amp;CK Mappings'!$E227)),ISNUMBER(SEARCH(IF(C$1&lt;&gt;"",C$1,"NA"),'MITRE ATT&amp;CK Mappings'!$F227))),ISNUMBER(SEARCH(IF(C$2&lt;&gt;"",C$2,"NA"),'MITRE ATT&amp;CK Mappings'!$G227))),ISNUMBER(SEARCH(IF(C$2&lt;&gt;"",C$2,"NA"),'MITRE ATT&amp;CK Mappings'!$H227))),ISNUMBER(SEARCH(IF(C$3&lt;&gt;"",C$3,"NA"),'MITRE ATT&amp;CK Mappings'!$I227))),ISNUMBER(SEARCH(IF(C$3&lt;&gt;"",C$3,"NA"),'MITRE ATT&amp;CK Mappings'!$J227))), 'MITRE ATT&amp;CK Mappings'!$B227,"")</f>
        <v/>
      </c>
      <c r="D231" s="27" t="str">
        <f>IF(OR(OR(OR(OR(OR(ISNUMBER(SEARCH(IF(D$1&lt;&gt;"",D$1,"NA"),'MITRE ATT&amp;CK Mappings'!$E227)),ISNUMBER(SEARCH(IF(D$1&lt;&gt;"",D$1,"NA"),'MITRE ATT&amp;CK Mappings'!$F227))),ISNUMBER(SEARCH(IF(D$2&lt;&gt;"",D$2,"NA"),'MITRE ATT&amp;CK Mappings'!$G227))),ISNUMBER(SEARCH(IF(D$2&lt;&gt;"",D$2,"NA"),'MITRE ATT&amp;CK Mappings'!$H227))),ISNUMBER(SEARCH(IF(D$3&lt;&gt;"",D$3,"NA"),'MITRE ATT&amp;CK Mappings'!$I227))),ISNUMBER(SEARCH(IF(D$3&lt;&gt;"",D$3,"NA"),'MITRE ATT&amp;CK Mappings'!$J227))), 'MITRE ATT&amp;CK Mappings'!$B227,"")</f>
        <v/>
      </c>
      <c r="E231" s="27" t="str">
        <f>IF(OR(OR(OR(OR(OR(ISNUMBER(SEARCH(IF(E$1&lt;&gt;"",E$1,"NA"),'MITRE ATT&amp;CK Mappings'!$E227)),ISNUMBER(SEARCH(IF(E$1&lt;&gt;"",E$1,"NA"),'MITRE ATT&amp;CK Mappings'!$F227))),ISNUMBER(SEARCH(IF(E$2&lt;&gt;"",E$2,"NA"),'MITRE ATT&amp;CK Mappings'!$G227))),ISNUMBER(SEARCH(IF(E$2&lt;&gt;"",E$2,"NA"),'MITRE ATT&amp;CK Mappings'!$H227))),ISNUMBER(SEARCH(IF(E$3&lt;&gt;"",E$3,"NA"),'MITRE ATT&amp;CK Mappings'!$I227))),ISNUMBER(SEARCH(IF(E$3&lt;&gt;"",E$3,"NA"),'MITRE ATT&amp;CK Mappings'!$J227))), 'MITRE ATT&amp;CK Mappings'!$B227,"")</f>
        <v/>
      </c>
      <c r="F231" s="27" t="str">
        <f>IF(OR(OR(OR(OR(OR(ISNUMBER(SEARCH(IF(F$1&lt;&gt;"",F$1,"NA"),'MITRE ATT&amp;CK Mappings'!$E227)),ISNUMBER(SEARCH(IF(F$1&lt;&gt;"",F$1,"NA"),'MITRE ATT&amp;CK Mappings'!$F227))),ISNUMBER(SEARCH(IF(F$2&lt;&gt;"",F$2,"NA"),'MITRE ATT&amp;CK Mappings'!$G227))),ISNUMBER(SEARCH(IF(F$2&lt;&gt;"",F$2,"NA"),'MITRE ATT&amp;CK Mappings'!$H227))),ISNUMBER(SEARCH(IF(F$3&lt;&gt;"",F$3,"NA"),'MITRE ATT&amp;CK Mappings'!$I227))),ISNUMBER(SEARCH(IF(F$3&lt;&gt;"",F$3,"NA"),'MITRE ATT&amp;CK Mappings'!$J227))), 'MITRE ATT&amp;CK Mappings'!$B227,"")</f>
        <v/>
      </c>
      <c r="G231" s="27" t="str">
        <f>IF(OR(OR(OR(OR(OR(ISNUMBER(SEARCH(IF(G$1&lt;&gt;"",G$1,"NA"),'MITRE ATT&amp;CK Mappings'!$E227)),ISNUMBER(SEARCH(IF(G$1&lt;&gt;"",G$1,"NA"),'MITRE ATT&amp;CK Mappings'!$F227))),ISNUMBER(SEARCH(IF(G$2&lt;&gt;"",G$2,"NA"),'MITRE ATT&amp;CK Mappings'!$G227))),ISNUMBER(SEARCH(IF(G$2&lt;&gt;"",G$2,"NA"),'MITRE ATT&amp;CK Mappings'!$H227))),ISNUMBER(SEARCH(IF(G$3&lt;&gt;"",G$3,"NA"),'MITRE ATT&amp;CK Mappings'!$I227))),ISNUMBER(SEARCH(IF(G$3&lt;&gt;"",G$3,"NA"),'MITRE ATT&amp;CK Mappings'!$J227))), 'MITRE ATT&amp;CK Mappings'!$B227,"")</f>
        <v/>
      </c>
      <c r="H231" s="27" t="str">
        <f>IF(OR(OR(OR(OR(OR(ISNUMBER(SEARCH(IF(H$1&lt;&gt;"",H$1,"NA"),'MITRE ATT&amp;CK Mappings'!$E227)),ISNUMBER(SEARCH(IF(H$1&lt;&gt;"",H$1,"NA"),'MITRE ATT&amp;CK Mappings'!$F227))),ISNUMBER(SEARCH(IF(H$2&lt;&gt;"",H$2,"NA"),'MITRE ATT&amp;CK Mappings'!$G227))),ISNUMBER(SEARCH(IF(H$2&lt;&gt;"",H$2,"NA"),'MITRE ATT&amp;CK Mappings'!$H227))),ISNUMBER(SEARCH(IF(H$3&lt;&gt;"",H$3,"NA"),'MITRE ATT&amp;CK Mappings'!$I227))),ISNUMBER(SEARCH(IF(H$3&lt;&gt;"",H$3,"NA"),'MITRE ATT&amp;CK Mappings'!$J227))), 'MITRE ATT&amp;CK Mappings'!$B227,"")</f>
        <v/>
      </c>
      <c r="I231" s="27" t="str">
        <f>IF(OR(OR(OR(OR(OR(ISNUMBER(SEARCH(IF(I$1&lt;&gt;"",I$1,"NA"),'MITRE ATT&amp;CK Mappings'!$E227)),ISNUMBER(SEARCH(IF(I$1&lt;&gt;"",I$1,"NA"),'MITRE ATT&amp;CK Mappings'!$F227))),ISNUMBER(SEARCH(IF(I$2&lt;&gt;"",I$2,"NA"),'MITRE ATT&amp;CK Mappings'!$G227))),ISNUMBER(SEARCH(IF(I$2&lt;&gt;"",I$2,"NA"),'MITRE ATT&amp;CK Mappings'!$H227))),ISNUMBER(SEARCH(IF(I$3&lt;&gt;"",I$3,"NA"),'MITRE ATT&amp;CK Mappings'!$I227))),ISNUMBER(SEARCH(IF(I$3&lt;&gt;"",I$3,"NA"),'MITRE ATT&amp;CK Mappings'!$J227))), 'MITRE ATT&amp;CK Mappings'!$B227,"")</f>
        <v/>
      </c>
      <c r="J231" s="27" t="str">
        <f>IF(OR(OR(OR(OR(OR(ISNUMBER(SEARCH(IF(J$1&lt;&gt;"",J$1,"NA"),'MITRE ATT&amp;CK Mappings'!$E227)),ISNUMBER(SEARCH(IF(J$1&lt;&gt;"",J$1,"NA"),'MITRE ATT&amp;CK Mappings'!$F227))),ISNUMBER(SEARCH(IF(J$2&lt;&gt;"",J$2,"NA"),'MITRE ATT&amp;CK Mappings'!$G227))),ISNUMBER(SEARCH(IF(J$2&lt;&gt;"",J$2,"NA"),'MITRE ATT&amp;CK Mappings'!$H227))),ISNUMBER(SEARCH(IF(J$3&lt;&gt;"",J$3,"NA"),'MITRE ATT&amp;CK Mappings'!$I227))),ISNUMBER(SEARCH(IF(J$3&lt;&gt;"",J$3,"NA"),'MITRE ATT&amp;CK Mappings'!$J227))), 'MITRE ATT&amp;CK Mappings'!$B227,"")</f>
        <v/>
      </c>
      <c r="K231" s="27" t="str">
        <f>IF(OR(OR(OR(OR(OR(ISNUMBER(SEARCH(IF(K$1&lt;&gt;"",K$1,"NA"),'MITRE ATT&amp;CK Mappings'!$E227)),ISNUMBER(SEARCH(IF(K$1&lt;&gt;"",K$1,"NA"),'MITRE ATT&amp;CK Mappings'!$F227))),ISNUMBER(SEARCH(IF(K$2&lt;&gt;"",K$2,"NA"),'MITRE ATT&amp;CK Mappings'!$G227))),ISNUMBER(SEARCH(IF(K$2&lt;&gt;"",K$2,"NA"),'MITRE ATT&amp;CK Mappings'!$H227))),ISNUMBER(SEARCH(IF(K$3&lt;&gt;"",K$3,"NA"),'MITRE ATT&amp;CK Mappings'!$I227))),ISNUMBER(SEARCH(IF(K$3&lt;&gt;"",K$3,"NA"),'MITRE ATT&amp;CK Mappings'!$J227))), 'MITRE ATT&amp;CK Mappings'!$B227,"")</f>
        <v/>
      </c>
      <c r="L231" s="27" t="str">
        <f>IF('MITRE ATT&amp;CK Mappings'!D227 &lt;&gt;"",'MITRE ATT&amp;CK Mappings'!D227,"" )</f>
        <v/>
      </c>
    </row>
    <row r="232" spans="1:12" x14ac:dyDescent="0.25">
      <c r="A232" s="26" t="str">
        <f>IF(COUNTIF(B232:K232,"="&amp;'MITRE ATT&amp;CK Mappings'!B228)&gt;0,'MITRE ATT&amp;CK Mappings'!B228,"")</f>
        <v/>
      </c>
      <c r="B232" s="26" t="str">
        <f>IF(OR(OR(OR(OR(OR(ISNUMBER(SEARCH(IF(B$1&lt;&gt;"",B$1,"NA"),'MITRE ATT&amp;CK Mappings'!$E228)),ISNUMBER(SEARCH(IF(B$1&lt;&gt;"",B$1,"NA"),'MITRE ATT&amp;CK Mappings'!$F228))),ISNUMBER(SEARCH(IF(B$2&lt;&gt;"",B$2,"NA"),'MITRE ATT&amp;CK Mappings'!$G228))),ISNUMBER(SEARCH(IF(B$2&lt;&gt;"",B$2,"NA"),'MITRE ATT&amp;CK Mappings'!$H228))),ISNUMBER(SEARCH(IF(B$3&lt;&gt;"",B$3,"NA"),'MITRE ATT&amp;CK Mappings'!$I228))),ISNUMBER(SEARCH(IF(B$3&lt;&gt;"",B$3,"NA"),'MITRE ATT&amp;CK Mappings'!$J228))), 'MITRE ATT&amp;CK Mappings'!$B228,"")</f>
        <v/>
      </c>
      <c r="C232" s="26" t="str">
        <f>IF(OR(OR(OR(OR(OR(ISNUMBER(SEARCH(IF(C$1&lt;&gt;"",C$1,"NA"),'MITRE ATT&amp;CK Mappings'!$E228)),ISNUMBER(SEARCH(IF(C$1&lt;&gt;"",C$1,"NA"),'MITRE ATT&amp;CK Mappings'!$F228))),ISNUMBER(SEARCH(IF(C$2&lt;&gt;"",C$2,"NA"),'MITRE ATT&amp;CK Mappings'!$G228))),ISNUMBER(SEARCH(IF(C$2&lt;&gt;"",C$2,"NA"),'MITRE ATT&amp;CK Mappings'!$H228))),ISNUMBER(SEARCH(IF(C$3&lt;&gt;"",C$3,"NA"),'MITRE ATT&amp;CK Mappings'!$I228))),ISNUMBER(SEARCH(IF(C$3&lt;&gt;"",C$3,"NA"),'MITRE ATT&amp;CK Mappings'!$J228))), 'MITRE ATT&amp;CK Mappings'!$B228,"")</f>
        <v/>
      </c>
      <c r="D232" s="26" t="str">
        <f>IF(OR(OR(OR(OR(OR(ISNUMBER(SEARCH(IF(D$1&lt;&gt;"",D$1,"NA"),'MITRE ATT&amp;CK Mappings'!$E228)),ISNUMBER(SEARCH(IF(D$1&lt;&gt;"",D$1,"NA"),'MITRE ATT&amp;CK Mappings'!$F228))),ISNUMBER(SEARCH(IF(D$2&lt;&gt;"",D$2,"NA"),'MITRE ATT&amp;CK Mappings'!$G228))),ISNUMBER(SEARCH(IF(D$2&lt;&gt;"",D$2,"NA"),'MITRE ATT&amp;CK Mappings'!$H228))),ISNUMBER(SEARCH(IF(D$3&lt;&gt;"",D$3,"NA"),'MITRE ATT&amp;CK Mappings'!$I228))),ISNUMBER(SEARCH(IF(D$3&lt;&gt;"",D$3,"NA"),'MITRE ATT&amp;CK Mappings'!$J228))), 'MITRE ATT&amp;CK Mappings'!$B228,"")</f>
        <v/>
      </c>
      <c r="E232" s="26" t="str">
        <f>IF(OR(OR(OR(OR(OR(ISNUMBER(SEARCH(IF(E$1&lt;&gt;"",E$1,"NA"),'MITRE ATT&amp;CK Mappings'!$E228)),ISNUMBER(SEARCH(IF(E$1&lt;&gt;"",E$1,"NA"),'MITRE ATT&amp;CK Mappings'!$F228))),ISNUMBER(SEARCH(IF(E$2&lt;&gt;"",E$2,"NA"),'MITRE ATT&amp;CK Mappings'!$G228))),ISNUMBER(SEARCH(IF(E$2&lt;&gt;"",E$2,"NA"),'MITRE ATT&amp;CK Mappings'!$H228))),ISNUMBER(SEARCH(IF(E$3&lt;&gt;"",E$3,"NA"),'MITRE ATT&amp;CK Mappings'!$I228))),ISNUMBER(SEARCH(IF(E$3&lt;&gt;"",E$3,"NA"),'MITRE ATT&amp;CK Mappings'!$J228))), 'MITRE ATT&amp;CK Mappings'!$B228,"")</f>
        <v/>
      </c>
      <c r="F232" s="26" t="str">
        <f>IF(OR(OR(OR(OR(OR(ISNUMBER(SEARCH(IF(F$1&lt;&gt;"",F$1,"NA"),'MITRE ATT&amp;CK Mappings'!$E228)),ISNUMBER(SEARCH(IF(F$1&lt;&gt;"",F$1,"NA"),'MITRE ATT&amp;CK Mappings'!$F228))),ISNUMBER(SEARCH(IF(F$2&lt;&gt;"",F$2,"NA"),'MITRE ATT&amp;CK Mappings'!$G228))),ISNUMBER(SEARCH(IF(F$2&lt;&gt;"",F$2,"NA"),'MITRE ATT&amp;CK Mappings'!$H228))),ISNUMBER(SEARCH(IF(F$3&lt;&gt;"",F$3,"NA"),'MITRE ATT&amp;CK Mappings'!$I228))),ISNUMBER(SEARCH(IF(F$3&lt;&gt;"",F$3,"NA"),'MITRE ATT&amp;CK Mappings'!$J228))), 'MITRE ATT&amp;CK Mappings'!$B228,"")</f>
        <v/>
      </c>
      <c r="G232" s="26" t="str">
        <f>IF(OR(OR(OR(OR(OR(ISNUMBER(SEARCH(IF(G$1&lt;&gt;"",G$1,"NA"),'MITRE ATT&amp;CK Mappings'!$E228)),ISNUMBER(SEARCH(IF(G$1&lt;&gt;"",G$1,"NA"),'MITRE ATT&amp;CK Mappings'!$F228))),ISNUMBER(SEARCH(IF(G$2&lt;&gt;"",G$2,"NA"),'MITRE ATT&amp;CK Mappings'!$G228))),ISNUMBER(SEARCH(IF(G$2&lt;&gt;"",G$2,"NA"),'MITRE ATT&amp;CK Mappings'!$H228))),ISNUMBER(SEARCH(IF(G$3&lt;&gt;"",G$3,"NA"),'MITRE ATT&amp;CK Mappings'!$I228))),ISNUMBER(SEARCH(IF(G$3&lt;&gt;"",G$3,"NA"),'MITRE ATT&amp;CK Mappings'!$J228))), 'MITRE ATT&amp;CK Mappings'!$B228,"")</f>
        <v/>
      </c>
      <c r="H232" s="26" t="str">
        <f>IF(OR(OR(OR(OR(OR(ISNUMBER(SEARCH(IF(H$1&lt;&gt;"",H$1,"NA"),'MITRE ATT&amp;CK Mappings'!$E228)),ISNUMBER(SEARCH(IF(H$1&lt;&gt;"",H$1,"NA"),'MITRE ATT&amp;CK Mappings'!$F228))),ISNUMBER(SEARCH(IF(H$2&lt;&gt;"",H$2,"NA"),'MITRE ATT&amp;CK Mappings'!$G228))),ISNUMBER(SEARCH(IF(H$2&lt;&gt;"",H$2,"NA"),'MITRE ATT&amp;CK Mappings'!$H228))),ISNUMBER(SEARCH(IF(H$3&lt;&gt;"",H$3,"NA"),'MITRE ATT&amp;CK Mappings'!$I228))),ISNUMBER(SEARCH(IF(H$3&lt;&gt;"",H$3,"NA"),'MITRE ATT&amp;CK Mappings'!$J228))), 'MITRE ATT&amp;CK Mappings'!$B228,"")</f>
        <v/>
      </c>
      <c r="I232" s="26" t="str">
        <f>IF(OR(OR(OR(OR(OR(ISNUMBER(SEARCH(IF(I$1&lt;&gt;"",I$1,"NA"),'MITRE ATT&amp;CK Mappings'!$E228)),ISNUMBER(SEARCH(IF(I$1&lt;&gt;"",I$1,"NA"),'MITRE ATT&amp;CK Mappings'!$F228))),ISNUMBER(SEARCH(IF(I$2&lt;&gt;"",I$2,"NA"),'MITRE ATT&amp;CK Mappings'!$G228))),ISNUMBER(SEARCH(IF(I$2&lt;&gt;"",I$2,"NA"),'MITRE ATT&amp;CK Mappings'!$H228))),ISNUMBER(SEARCH(IF(I$3&lt;&gt;"",I$3,"NA"),'MITRE ATT&amp;CK Mappings'!$I228))),ISNUMBER(SEARCH(IF(I$3&lt;&gt;"",I$3,"NA"),'MITRE ATT&amp;CK Mappings'!$J228))), 'MITRE ATT&amp;CK Mappings'!$B228,"")</f>
        <v/>
      </c>
      <c r="J232" s="26" t="str">
        <f>IF(OR(OR(OR(OR(OR(ISNUMBER(SEARCH(IF(J$1&lt;&gt;"",J$1,"NA"),'MITRE ATT&amp;CK Mappings'!$E228)),ISNUMBER(SEARCH(IF(J$1&lt;&gt;"",J$1,"NA"),'MITRE ATT&amp;CK Mappings'!$F228))),ISNUMBER(SEARCH(IF(J$2&lt;&gt;"",J$2,"NA"),'MITRE ATT&amp;CK Mappings'!$G228))),ISNUMBER(SEARCH(IF(J$2&lt;&gt;"",J$2,"NA"),'MITRE ATT&amp;CK Mappings'!$H228))),ISNUMBER(SEARCH(IF(J$3&lt;&gt;"",J$3,"NA"),'MITRE ATT&amp;CK Mappings'!$I228))),ISNUMBER(SEARCH(IF(J$3&lt;&gt;"",J$3,"NA"),'MITRE ATT&amp;CK Mappings'!$J228))), 'MITRE ATT&amp;CK Mappings'!$B228,"")</f>
        <v/>
      </c>
      <c r="K232" s="26" t="str">
        <f>IF(OR(OR(OR(OR(OR(ISNUMBER(SEARCH(IF(K$1&lt;&gt;"",K$1,"NA"),'MITRE ATT&amp;CK Mappings'!$E228)),ISNUMBER(SEARCH(IF(K$1&lt;&gt;"",K$1,"NA"),'MITRE ATT&amp;CK Mappings'!$F228))),ISNUMBER(SEARCH(IF(K$2&lt;&gt;"",K$2,"NA"),'MITRE ATT&amp;CK Mappings'!$G228))),ISNUMBER(SEARCH(IF(K$2&lt;&gt;"",K$2,"NA"),'MITRE ATT&amp;CK Mappings'!$H228))),ISNUMBER(SEARCH(IF(K$3&lt;&gt;"",K$3,"NA"),'MITRE ATT&amp;CK Mappings'!$I228))),ISNUMBER(SEARCH(IF(K$3&lt;&gt;"",K$3,"NA"),'MITRE ATT&amp;CK Mappings'!$J228))), 'MITRE ATT&amp;CK Mappings'!$B228,"")</f>
        <v/>
      </c>
      <c r="L232" s="26" t="str">
        <f>IF('MITRE ATT&amp;CK Mappings'!D228 &lt;&gt;"",'MITRE ATT&amp;CK Mappings'!D228,"" )</f>
        <v/>
      </c>
    </row>
    <row r="233" spans="1:12" x14ac:dyDescent="0.25">
      <c r="A233" s="27" t="str">
        <f>IF(COUNTIF(B233:K233,"="&amp;'MITRE ATT&amp;CK Mappings'!B229)&gt;0,'MITRE ATT&amp;CK Mappings'!B229,"")</f>
        <v/>
      </c>
      <c r="B233" s="27" t="str">
        <f>IF(OR(OR(OR(OR(OR(ISNUMBER(SEARCH(IF(B$1&lt;&gt;"",B$1,"NA"),'MITRE ATT&amp;CK Mappings'!$E229)),ISNUMBER(SEARCH(IF(B$1&lt;&gt;"",B$1,"NA"),'MITRE ATT&amp;CK Mappings'!$F229))),ISNUMBER(SEARCH(IF(B$2&lt;&gt;"",B$2,"NA"),'MITRE ATT&amp;CK Mappings'!$G229))),ISNUMBER(SEARCH(IF(B$2&lt;&gt;"",B$2,"NA"),'MITRE ATT&amp;CK Mappings'!$H229))),ISNUMBER(SEARCH(IF(B$3&lt;&gt;"",B$3,"NA"),'MITRE ATT&amp;CK Mappings'!$I229))),ISNUMBER(SEARCH(IF(B$3&lt;&gt;"",B$3,"NA"),'MITRE ATT&amp;CK Mappings'!$J229))), 'MITRE ATT&amp;CK Mappings'!$B229,"")</f>
        <v/>
      </c>
      <c r="C233" s="27" t="str">
        <f>IF(OR(OR(OR(OR(OR(ISNUMBER(SEARCH(IF(C$1&lt;&gt;"",C$1,"NA"),'MITRE ATT&amp;CK Mappings'!$E229)),ISNUMBER(SEARCH(IF(C$1&lt;&gt;"",C$1,"NA"),'MITRE ATT&amp;CK Mappings'!$F229))),ISNUMBER(SEARCH(IF(C$2&lt;&gt;"",C$2,"NA"),'MITRE ATT&amp;CK Mappings'!$G229))),ISNUMBER(SEARCH(IF(C$2&lt;&gt;"",C$2,"NA"),'MITRE ATT&amp;CK Mappings'!$H229))),ISNUMBER(SEARCH(IF(C$3&lt;&gt;"",C$3,"NA"),'MITRE ATT&amp;CK Mappings'!$I229))),ISNUMBER(SEARCH(IF(C$3&lt;&gt;"",C$3,"NA"),'MITRE ATT&amp;CK Mappings'!$J229))), 'MITRE ATT&amp;CK Mappings'!$B229,"")</f>
        <v/>
      </c>
      <c r="D233" s="27" t="str">
        <f>IF(OR(OR(OR(OR(OR(ISNUMBER(SEARCH(IF(D$1&lt;&gt;"",D$1,"NA"),'MITRE ATT&amp;CK Mappings'!$E229)),ISNUMBER(SEARCH(IF(D$1&lt;&gt;"",D$1,"NA"),'MITRE ATT&amp;CK Mappings'!$F229))),ISNUMBER(SEARCH(IF(D$2&lt;&gt;"",D$2,"NA"),'MITRE ATT&amp;CK Mappings'!$G229))),ISNUMBER(SEARCH(IF(D$2&lt;&gt;"",D$2,"NA"),'MITRE ATT&amp;CK Mappings'!$H229))),ISNUMBER(SEARCH(IF(D$3&lt;&gt;"",D$3,"NA"),'MITRE ATT&amp;CK Mappings'!$I229))),ISNUMBER(SEARCH(IF(D$3&lt;&gt;"",D$3,"NA"),'MITRE ATT&amp;CK Mappings'!$J229))), 'MITRE ATT&amp;CK Mappings'!$B229,"")</f>
        <v/>
      </c>
      <c r="E233" s="27" t="str">
        <f>IF(OR(OR(OR(OR(OR(ISNUMBER(SEARCH(IF(E$1&lt;&gt;"",E$1,"NA"),'MITRE ATT&amp;CK Mappings'!$E229)),ISNUMBER(SEARCH(IF(E$1&lt;&gt;"",E$1,"NA"),'MITRE ATT&amp;CK Mappings'!$F229))),ISNUMBER(SEARCH(IF(E$2&lt;&gt;"",E$2,"NA"),'MITRE ATT&amp;CK Mappings'!$G229))),ISNUMBER(SEARCH(IF(E$2&lt;&gt;"",E$2,"NA"),'MITRE ATT&amp;CK Mappings'!$H229))),ISNUMBER(SEARCH(IF(E$3&lt;&gt;"",E$3,"NA"),'MITRE ATT&amp;CK Mappings'!$I229))),ISNUMBER(SEARCH(IF(E$3&lt;&gt;"",E$3,"NA"),'MITRE ATT&amp;CK Mappings'!$J229))), 'MITRE ATT&amp;CK Mappings'!$B229,"")</f>
        <v/>
      </c>
      <c r="F233" s="27" t="str">
        <f>IF(OR(OR(OR(OR(OR(ISNUMBER(SEARCH(IF(F$1&lt;&gt;"",F$1,"NA"),'MITRE ATT&amp;CK Mappings'!$E229)),ISNUMBER(SEARCH(IF(F$1&lt;&gt;"",F$1,"NA"),'MITRE ATT&amp;CK Mappings'!$F229))),ISNUMBER(SEARCH(IF(F$2&lt;&gt;"",F$2,"NA"),'MITRE ATT&amp;CK Mappings'!$G229))),ISNUMBER(SEARCH(IF(F$2&lt;&gt;"",F$2,"NA"),'MITRE ATT&amp;CK Mappings'!$H229))),ISNUMBER(SEARCH(IF(F$3&lt;&gt;"",F$3,"NA"),'MITRE ATT&amp;CK Mappings'!$I229))),ISNUMBER(SEARCH(IF(F$3&lt;&gt;"",F$3,"NA"),'MITRE ATT&amp;CK Mappings'!$J229))), 'MITRE ATT&amp;CK Mappings'!$B229,"")</f>
        <v/>
      </c>
      <c r="G233" s="27" t="str">
        <f>IF(OR(OR(OR(OR(OR(ISNUMBER(SEARCH(IF(G$1&lt;&gt;"",G$1,"NA"),'MITRE ATT&amp;CK Mappings'!$E229)),ISNUMBER(SEARCH(IF(G$1&lt;&gt;"",G$1,"NA"),'MITRE ATT&amp;CK Mappings'!$F229))),ISNUMBER(SEARCH(IF(G$2&lt;&gt;"",G$2,"NA"),'MITRE ATT&amp;CK Mappings'!$G229))),ISNUMBER(SEARCH(IF(G$2&lt;&gt;"",G$2,"NA"),'MITRE ATT&amp;CK Mappings'!$H229))),ISNUMBER(SEARCH(IF(G$3&lt;&gt;"",G$3,"NA"),'MITRE ATT&amp;CK Mappings'!$I229))),ISNUMBER(SEARCH(IF(G$3&lt;&gt;"",G$3,"NA"),'MITRE ATT&amp;CK Mappings'!$J229))), 'MITRE ATT&amp;CK Mappings'!$B229,"")</f>
        <v/>
      </c>
      <c r="H233" s="27" t="str">
        <f>IF(OR(OR(OR(OR(OR(ISNUMBER(SEARCH(IF(H$1&lt;&gt;"",H$1,"NA"),'MITRE ATT&amp;CK Mappings'!$E229)),ISNUMBER(SEARCH(IF(H$1&lt;&gt;"",H$1,"NA"),'MITRE ATT&amp;CK Mappings'!$F229))),ISNUMBER(SEARCH(IF(H$2&lt;&gt;"",H$2,"NA"),'MITRE ATT&amp;CK Mappings'!$G229))),ISNUMBER(SEARCH(IF(H$2&lt;&gt;"",H$2,"NA"),'MITRE ATT&amp;CK Mappings'!$H229))),ISNUMBER(SEARCH(IF(H$3&lt;&gt;"",H$3,"NA"),'MITRE ATT&amp;CK Mappings'!$I229))),ISNUMBER(SEARCH(IF(H$3&lt;&gt;"",H$3,"NA"),'MITRE ATT&amp;CK Mappings'!$J229))), 'MITRE ATT&amp;CK Mappings'!$B229,"")</f>
        <v/>
      </c>
      <c r="I233" s="27" t="str">
        <f>IF(OR(OR(OR(OR(OR(ISNUMBER(SEARCH(IF(I$1&lt;&gt;"",I$1,"NA"),'MITRE ATT&amp;CK Mappings'!$E229)),ISNUMBER(SEARCH(IF(I$1&lt;&gt;"",I$1,"NA"),'MITRE ATT&amp;CK Mappings'!$F229))),ISNUMBER(SEARCH(IF(I$2&lt;&gt;"",I$2,"NA"),'MITRE ATT&amp;CK Mappings'!$G229))),ISNUMBER(SEARCH(IF(I$2&lt;&gt;"",I$2,"NA"),'MITRE ATT&amp;CK Mappings'!$H229))),ISNUMBER(SEARCH(IF(I$3&lt;&gt;"",I$3,"NA"),'MITRE ATT&amp;CK Mappings'!$I229))),ISNUMBER(SEARCH(IF(I$3&lt;&gt;"",I$3,"NA"),'MITRE ATT&amp;CK Mappings'!$J229))), 'MITRE ATT&amp;CK Mappings'!$B229,"")</f>
        <v/>
      </c>
      <c r="J233" s="27" t="str">
        <f>IF(OR(OR(OR(OR(OR(ISNUMBER(SEARCH(IF(J$1&lt;&gt;"",J$1,"NA"),'MITRE ATT&amp;CK Mappings'!$E229)),ISNUMBER(SEARCH(IF(J$1&lt;&gt;"",J$1,"NA"),'MITRE ATT&amp;CK Mappings'!$F229))),ISNUMBER(SEARCH(IF(J$2&lt;&gt;"",J$2,"NA"),'MITRE ATT&amp;CK Mappings'!$G229))),ISNUMBER(SEARCH(IF(J$2&lt;&gt;"",J$2,"NA"),'MITRE ATT&amp;CK Mappings'!$H229))),ISNUMBER(SEARCH(IF(J$3&lt;&gt;"",J$3,"NA"),'MITRE ATT&amp;CK Mappings'!$I229))),ISNUMBER(SEARCH(IF(J$3&lt;&gt;"",J$3,"NA"),'MITRE ATT&amp;CK Mappings'!$J229))), 'MITRE ATT&amp;CK Mappings'!$B229,"")</f>
        <v/>
      </c>
      <c r="K233" s="27" t="str">
        <f>IF(OR(OR(OR(OR(OR(ISNUMBER(SEARCH(IF(K$1&lt;&gt;"",K$1,"NA"),'MITRE ATT&amp;CK Mappings'!$E229)),ISNUMBER(SEARCH(IF(K$1&lt;&gt;"",K$1,"NA"),'MITRE ATT&amp;CK Mappings'!$F229))),ISNUMBER(SEARCH(IF(K$2&lt;&gt;"",K$2,"NA"),'MITRE ATT&amp;CK Mappings'!$G229))),ISNUMBER(SEARCH(IF(K$2&lt;&gt;"",K$2,"NA"),'MITRE ATT&amp;CK Mappings'!$H229))),ISNUMBER(SEARCH(IF(K$3&lt;&gt;"",K$3,"NA"),'MITRE ATT&amp;CK Mappings'!$I229))),ISNUMBER(SEARCH(IF(K$3&lt;&gt;"",K$3,"NA"),'MITRE ATT&amp;CK Mappings'!$J229))), 'MITRE ATT&amp;CK Mappings'!$B229,"")</f>
        <v/>
      </c>
      <c r="L233" s="27" t="str">
        <f>IF('MITRE ATT&amp;CK Mappings'!D229 &lt;&gt;"",'MITRE ATT&amp;CK Mappings'!D229,"" )</f>
        <v/>
      </c>
    </row>
    <row r="234" spans="1:12" x14ac:dyDescent="0.25">
      <c r="A234" s="26" t="str">
        <f>IF(COUNTIF(B234:K234,"="&amp;'MITRE ATT&amp;CK Mappings'!B230)&gt;0,'MITRE ATT&amp;CK Mappings'!B230,"")</f>
        <v/>
      </c>
      <c r="B234" s="26" t="str">
        <f>IF(OR(OR(OR(OR(OR(ISNUMBER(SEARCH(IF(B$1&lt;&gt;"",B$1,"NA"),'MITRE ATT&amp;CK Mappings'!$E230)),ISNUMBER(SEARCH(IF(B$1&lt;&gt;"",B$1,"NA"),'MITRE ATT&amp;CK Mappings'!$F230))),ISNUMBER(SEARCH(IF(B$2&lt;&gt;"",B$2,"NA"),'MITRE ATT&amp;CK Mappings'!$G230))),ISNUMBER(SEARCH(IF(B$2&lt;&gt;"",B$2,"NA"),'MITRE ATT&amp;CK Mappings'!$H230))),ISNUMBER(SEARCH(IF(B$3&lt;&gt;"",B$3,"NA"),'MITRE ATT&amp;CK Mappings'!$I230))),ISNUMBER(SEARCH(IF(B$3&lt;&gt;"",B$3,"NA"),'MITRE ATT&amp;CK Mappings'!$J230))), 'MITRE ATT&amp;CK Mappings'!$B230,"")</f>
        <v/>
      </c>
      <c r="C234" s="26" t="str">
        <f>IF(OR(OR(OR(OR(OR(ISNUMBER(SEARCH(IF(C$1&lt;&gt;"",C$1,"NA"),'MITRE ATT&amp;CK Mappings'!$E230)),ISNUMBER(SEARCH(IF(C$1&lt;&gt;"",C$1,"NA"),'MITRE ATT&amp;CK Mappings'!$F230))),ISNUMBER(SEARCH(IF(C$2&lt;&gt;"",C$2,"NA"),'MITRE ATT&amp;CK Mappings'!$G230))),ISNUMBER(SEARCH(IF(C$2&lt;&gt;"",C$2,"NA"),'MITRE ATT&amp;CK Mappings'!$H230))),ISNUMBER(SEARCH(IF(C$3&lt;&gt;"",C$3,"NA"),'MITRE ATT&amp;CK Mappings'!$I230))),ISNUMBER(SEARCH(IF(C$3&lt;&gt;"",C$3,"NA"),'MITRE ATT&amp;CK Mappings'!$J230))), 'MITRE ATT&amp;CK Mappings'!$B230,"")</f>
        <v/>
      </c>
      <c r="D234" s="26" t="str">
        <f>IF(OR(OR(OR(OR(OR(ISNUMBER(SEARCH(IF(D$1&lt;&gt;"",D$1,"NA"),'MITRE ATT&amp;CK Mappings'!$E230)),ISNUMBER(SEARCH(IF(D$1&lt;&gt;"",D$1,"NA"),'MITRE ATT&amp;CK Mappings'!$F230))),ISNUMBER(SEARCH(IF(D$2&lt;&gt;"",D$2,"NA"),'MITRE ATT&amp;CK Mappings'!$G230))),ISNUMBER(SEARCH(IF(D$2&lt;&gt;"",D$2,"NA"),'MITRE ATT&amp;CK Mappings'!$H230))),ISNUMBER(SEARCH(IF(D$3&lt;&gt;"",D$3,"NA"),'MITRE ATT&amp;CK Mappings'!$I230))),ISNUMBER(SEARCH(IF(D$3&lt;&gt;"",D$3,"NA"),'MITRE ATT&amp;CK Mappings'!$J230))), 'MITRE ATT&amp;CK Mappings'!$B230,"")</f>
        <v/>
      </c>
      <c r="E234" s="26" t="str">
        <f>IF(OR(OR(OR(OR(OR(ISNUMBER(SEARCH(IF(E$1&lt;&gt;"",E$1,"NA"),'MITRE ATT&amp;CK Mappings'!$E230)),ISNUMBER(SEARCH(IF(E$1&lt;&gt;"",E$1,"NA"),'MITRE ATT&amp;CK Mappings'!$F230))),ISNUMBER(SEARCH(IF(E$2&lt;&gt;"",E$2,"NA"),'MITRE ATT&amp;CK Mappings'!$G230))),ISNUMBER(SEARCH(IF(E$2&lt;&gt;"",E$2,"NA"),'MITRE ATT&amp;CK Mappings'!$H230))),ISNUMBER(SEARCH(IF(E$3&lt;&gt;"",E$3,"NA"),'MITRE ATT&amp;CK Mappings'!$I230))),ISNUMBER(SEARCH(IF(E$3&lt;&gt;"",E$3,"NA"),'MITRE ATT&amp;CK Mappings'!$J230))), 'MITRE ATT&amp;CK Mappings'!$B230,"")</f>
        <v/>
      </c>
      <c r="F234" s="26" t="str">
        <f>IF(OR(OR(OR(OR(OR(ISNUMBER(SEARCH(IF(F$1&lt;&gt;"",F$1,"NA"),'MITRE ATT&amp;CK Mappings'!$E230)),ISNUMBER(SEARCH(IF(F$1&lt;&gt;"",F$1,"NA"),'MITRE ATT&amp;CK Mappings'!$F230))),ISNUMBER(SEARCH(IF(F$2&lt;&gt;"",F$2,"NA"),'MITRE ATT&amp;CK Mappings'!$G230))),ISNUMBER(SEARCH(IF(F$2&lt;&gt;"",F$2,"NA"),'MITRE ATT&amp;CK Mappings'!$H230))),ISNUMBER(SEARCH(IF(F$3&lt;&gt;"",F$3,"NA"),'MITRE ATT&amp;CK Mappings'!$I230))),ISNUMBER(SEARCH(IF(F$3&lt;&gt;"",F$3,"NA"),'MITRE ATT&amp;CK Mappings'!$J230))), 'MITRE ATT&amp;CK Mappings'!$B230,"")</f>
        <v/>
      </c>
      <c r="G234" s="26" t="str">
        <f>IF(OR(OR(OR(OR(OR(ISNUMBER(SEARCH(IF(G$1&lt;&gt;"",G$1,"NA"),'MITRE ATT&amp;CK Mappings'!$E230)),ISNUMBER(SEARCH(IF(G$1&lt;&gt;"",G$1,"NA"),'MITRE ATT&amp;CK Mappings'!$F230))),ISNUMBER(SEARCH(IF(G$2&lt;&gt;"",G$2,"NA"),'MITRE ATT&amp;CK Mappings'!$G230))),ISNUMBER(SEARCH(IF(G$2&lt;&gt;"",G$2,"NA"),'MITRE ATT&amp;CK Mappings'!$H230))),ISNUMBER(SEARCH(IF(G$3&lt;&gt;"",G$3,"NA"),'MITRE ATT&amp;CK Mappings'!$I230))),ISNUMBER(SEARCH(IF(G$3&lt;&gt;"",G$3,"NA"),'MITRE ATT&amp;CK Mappings'!$J230))), 'MITRE ATT&amp;CK Mappings'!$B230,"")</f>
        <v/>
      </c>
      <c r="H234" s="26" t="str">
        <f>IF(OR(OR(OR(OR(OR(ISNUMBER(SEARCH(IF(H$1&lt;&gt;"",H$1,"NA"),'MITRE ATT&amp;CK Mappings'!$E230)),ISNUMBER(SEARCH(IF(H$1&lt;&gt;"",H$1,"NA"),'MITRE ATT&amp;CK Mappings'!$F230))),ISNUMBER(SEARCH(IF(H$2&lt;&gt;"",H$2,"NA"),'MITRE ATT&amp;CK Mappings'!$G230))),ISNUMBER(SEARCH(IF(H$2&lt;&gt;"",H$2,"NA"),'MITRE ATT&amp;CK Mappings'!$H230))),ISNUMBER(SEARCH(IF(H$3&lt;&gt;"",H$3,"NA"),'MITRE ATT&amp;CK Mappings'!$I230))),ISNUMBER(SEARCH(IF(H$3&lt;&gt;"",H$3,"NA"),'MITRE ATT&amp;CK Mappings'!$J230))), 'MITRE ATT&amp;CK Mappings'!$B230,"")</f>
        <v/>
      </c>
      <c r="I234" s="26" t="str">
        <f>IF(OR(OR(OR(OR(OR(ISNUMBER(SEARCH(IF(I$1&lt;&gt;"",I$1,"NA"),'MITRE ATT&amp;CK Mappings'!$E230)),ISNUMBER(SEARCH(IF(I$1&lt;&gt;"",I$1,"NA"),'MITRE ATT&amp;CK Mappings'!$F230))),ISNUMBER(SEARCH(IF(I$2&lt;&gt;"",I$2,"NA"),'MITRE ATT&amp;CK Mappings'!$G230))),ISNUMBER(SEARCH(IF(I$2&lt;&gt;"",I$2,"NA"),'MITRE ATT&amp;CK Mappings'!$H230))),ISNUMBER(SEARCH(IF(I$3&lt;&gt;"",I$3,"NA"),'MITRE ATT&amp;CK Mappings'!$I230))),ISNUMBER(SEARCH(IF(I$3&lt;&gt;"",I$3,"NA"),'MITRE ATT&amp;CK Mappings'!$J230))), 'MITRE ATT&amp;CK Mappings'!$B230,"")</f>
        <v/>
      </c>
      <c r="J234" s="26" t="str">
        <f>IF(OR(OR(OR(OR(OR(ISNUMBER(SEARCH(IF(J$1&lt;&gt;"",J$1,"NA"),'MITRE ATT&amp;CK Mappings'!$E230)),ISNUMBER(SEARCH(IF(J$1&lt;&gt;"",J$1,"NA"),'MITRE ATT&amp;CK Mappings'!$F230))),ISNUMBER(SEARCH(IF(J$2&lt;&gt;"",J$2,"NA"),'MITRE ATT&amp;CK Mappings'!$G230))),ISNUMBER(SEARCH(IF(J$2&lt;&gt;"",J$2,"NA"),'MITRE ATT&amp;CK Mappings'!$H230))),ISNUMBER(SEARCH(IF(J$3&lt;&gt;"",J$3,"NA"),'MITRE ATT&amp;CK Mappings'!$I230))),ISNUMBER(SEARCH(IF(J$3&lt;&gt;"",J$3,"NA"),'MITRE ATT&amp;CK Mappings'!$J230))), 'MITRE ATT&amp;CK Mappings'!$B230,"")</f>
        <v/>
      </c>
      <c r="K234" s="26" t="str">
        <f>IF(OR(OR(OR(OR(OR(ISNUMBER(SEARCH(IF(K$1&lt;&gt;"",K$1,"NA"),'MITRE ATT&amp;CK Mappings'!$E230)),ISNUMBER(SEARCH(IF(K$1&lt;&gt;"",K$1,"NA"),'MITRE ATT&amp;CK Mappings'!$F230))),ISNUMBER(SEARCH(IF(K$2&lt;&gt;"",K$2,"NA"),'MITRE ATT&amp;CK Mappings'!$G230))),ISNUMBER(SEARCH(IF(K$2&lt;&gt;"",K$2,"NA"),'MITRE ATT&amp;CK Mappings'!$H230))),ISNUMBER(SEARCH(IF(K$3&lt;&gt;"",K$3,"NA"),'MITRE ATT&amp;CK Mappings'!$I230))),ISNUMBER(SEARCH(IF(K$3&lt;&gt;"",K$3,"NA"),'MITRE ATT&amp;CK Mappings'!$J230))), 'MITRE ATT&amp;CK Mappings'!$B230,"")</f>
        <v/>
      </c>
      <c r="L234" s="26" t="str">
        <f>IF('MITRE ATT&amp;CK Mappings'!D230 &lt;&gt;"",'MITRE ATT&amp;CK Mappings'!D230,"" )</f>
        <v/>
      </c>
    </row>
    <row r="235" spans="1:12" x14ac:dyDescent="0.25">
      <c r="A235" s="27" t="str">
        <f>IF(COUNTIF(B235:K235,"="&amp;'MITRE ATT&amp;CK Mappings'!B231)&gt;0,'MITRE ATT&amp;CK Mappings'!B231,"")</f>
        <v/>
      </c>
      <c r="B235" s="27" t="str">
        <f>IF(OR(OR(OR(OR(OR(ISNUMBER(SEARCH(IF(B$1&lt;&gt;"",B$1,"NA"),'MITRE ATT&amp;CK Mappings'!$E231)),ISNUMBER(SEARCH(IF(B$1&lt;&gt;"",B$1,"NA"),'MITRE ATT&amp;CK Mappings'!$F231))),ISNUMBER(SEARCH(IF(B$2&lt;&gt;"",B$2,"NA"),'MITRE ATT&amp;CK Mappings'!$G231))),ISNUMBER(SEARCH(IF(B$2&lt;&gt;"",B$2,"NA"),'MITRE ATT&amp;CK Mappings'!$H231))),ISNUMBER(SEARCH(IF(B$3&lt;&gt;"",B$3,"NA"),'MITRE ATT&amp;CK Mappings'!$I231))),ISNUMBER(SEARCH(IF(B$3&lt;&gt;"",B$3,"NA"),'MITRE ATT&amp;CK Mappings'!$J231))), 'MITRE ATT&amp;CK Mappings'!$B231,"")</f>
        <v/>
      </c>
      <c r="C235" s="27" t="str">
        <f>IF(OR(OR(OR(OR(OR(ISNUMBER(SEARCH(IF(C$1&lt;&gt;"",C$1,"NA"),'MITRE ATT&amp;CK Mappings'!$E231)),ISNUMBER(SEARCH(IF(C$1&lt;&gt;"",C$1,"NA"),'MITRE ATT&amp;CK Mappings'!$F231))),ISNUMBER(SEARCH(IF(C$2&lt;&gt;"",C$2,"NA"),'MITRE ATT&amp;CK Mappings'!$G231))),ISNUMBER(SEARCH(IF(C$2&lt;&gt;"",C$2,"NA"),'MITRE ATT&amp;CK Mappings'!$H231))),ISNUMBER(SEARCH(IF(C$3&lt;&gt;"",C$3,"NA"),'MITRE ATT&amp;CK Mappings'!$I231))),ISNUMBER(SEARCH(IF(C$3&lt;&gt;"",C$3,"NA"),'MITRE ATT&amp;CK Mappings'!$J231))), 'MITRE ATT&amp;CK Mappings'!$B231,"")</f>
        <v/>
      </c>
      <c r="D235" s="27" t="str">
        <f>IF(OR(OR(OR(OR(OR(ISNUMBER(SEARCH(IF(D$1&lt;&gt;"",D$1,"NA"),'MITRE ATT&amp;CK Mappings'!$E231)),ISNUMBER(SEARCH(IF(D$1&lt;&gt;"",D$1,"NA"),'MITRE ATT&amp;CK Mappings'!$F231))),ISNUMBER(SEARCH(IF(D$2&lt;&gt;"",D$2,"NA"),'MITRE ATT&amp;CK Mappings'!$G231))),ISNUMBER(SEARCH(IF(D$2&lt;&gt;"",D$2,"NA"),'MITRE ATT&amp;CK Mappings'!$H231))),ISNUMBER(SEARCH(IF(D$3&lt;&gt;"",D$3,"NA"),'MITRE ATT&amp;CK Mappings'!$I231))),ISNUMBER(SEARCH(IF(D$3&lt;&gt;"",D$3,"NA"),'MITRE ATT&amp;CK Mappings'!$J231))), 'MITRE ATT&amp;CK Mappings'!$B231,"")</f>
        <v/>
      </c>
      <c r="E235" s="27" t="str">
        <f>IF(OR(OR(OR(OR(OR(ISNUMBER(SEARCH(IF(E$1&lt;&gt;"",E$1,"NA"),'MITRE ATT&amp;CK Mappings'!$E231)),ISNUMBER(SEARCH(IF(E$1&lt;&gt;"",E$1,"NA"),'MITRE ATT&amp;CK Mappings'!$F231))),ISNUMBER(SEARCH(IF(E$2&lt;&gt;"",E$2,"NA"),'MITRE ATT&amp;CK Mappings'!$G231))),ISNUMBER(SEARCH(IF(E$2&lt;&gt;"",E$2,"NA"),'MITRE ATT&amp;CK Mappings'!$H231))),ISNUMBER(SEARCH(IF(E$3&lt;&gt;"",E$3,"NA"),'MITRE ATT&amp;CK Mappings'!$I231))),ISNUMBER(SEARCH(IF(E$3&lt;&gt;"",E$3,"NA"),'MITRE ATT&amp;CK Mappings'!$J231))), 'MITRE ATT&amp;CK Mappings'!$B231,"")</f>
        <v/>
      </c>
      <c r="F235" s="27" t="str">
        <f>IF(OR(OR(OR(OR(OR(ISNUMBER(SEARCH(IF(F$1&lt;&gt;"",F$1,"NA"),'MITRE ATT&amp;CK Mappings'!$E231)),ISNUMBER(SEARCH(IF(F$1&lt;&gt;"",F$1,"NA"),'MITRE ATT&amp;CK Mappings'!$F231))),ISNUMBER(SEARCH(IF(F$2&lt;&gt;"",F$2,"NA"),'MITRE ATT&amp;CK Mappings'!$G231))),ISNUMBER(SEARCH(IF(F$2&lt;&gt;"",F$2,"NA"),'MITRE ATT&amp;CK Mappings'!$H231))),ISNUMBER(SEARCH(IF(F$3&lt;&gt;"",F$3,"NA"),'MITRE ATT&amp;CK Mappings'!$I231))),ISNUMBER(SEARCH(IF(F$3&lt;&gt;"",F$3,"NA"),'MITRE ATT&amp;CK Mappings'!$J231))), 'MITRE ATT&amp;CK Mappings'!$B231,"")</f>
        <v/>
      </c>
      <c r="G235" s="27" t="str">
        <f>IF(OR(OR(OR(OR(OR(ISNUMBER(SEARCH(IF(G$1&lt;&gt;"",G$1,"NA"),'MITRE ATT&amp;CK Mappings'!$E231)),ISNUMBER(SEARCH(IF(G$1&lt;&gt;"",G$1,"NA"),'MITRE ATT&amp;CK Mappings'!$F231))),ISNUMBER(SEARCH(IF(G$2&lt;&gt;"",G$2,"NA"),'MITRE ATT&amp;CK Mappings'!$G231))),ISNUMBER(SEARCH(IF(G$2&lt;&gt;"",G$2,"NA"),'MITRE ATT&amp;CK Mappings'!$H231))),ISNUMBER(SEARCH(IF(G$3&lt;&gt;"",G$3,"NA"),'MITRE ATT&amp;CK Mappings'!$I231))),ISNUMBER(SEARCH(IF(G$3&lt;&gt;"",G$3,"NA"),'MITRE ATT&amp;CK Mappings'!$J231))), 'MITRE ATT&amp;CK Mappings'!$B231,"")</f>
        <v/>
      </c>
      <c r="H235" s="27" t="str">
        <f>IF(OR(OR(OR(OR(OR(ISNUMBER(SEARCH(IF(H$1&lt;&gt;"",H$1,"NA"),'MITRE ATT&amp;CK Mappings'!$E231)),ISNUMBER(SEARCH(IF(H$1&lt;&gt;"",H$1,"NA"),'MITRE ATT&amp;CK Mappings'!$F231))),ISNUMBER(SEARCH(IF(H$2&lt;&gt;"",H$2,"NA"),'MITRE ATT&amp;CK Mappings'!$G231))),ISNUMBER(SEARCH(IF(H$2&lt;&gt;"",H$2,"NA"),'MITRE ATT&amp;CK Mappings'!$H231))),ISNUMBER(SEARCH(IF(H$3&lt;&gt;"",H$3,"NA"),'MITRE ATT&amp;CK Mappings'!$I231))),ISNUMBER(SEARCH(IF(H$3&lt;&gt;"",H$3,"NA"),'MITRE ATT&amp;CK Mappings'!$J231))), 'MITRE ATT&amp;CK Mappings'!$B231,"")</f>
        <v/>
      </c>
      <c r="I235" s="27" t="str">
        <f>IF(OR(OR(OR(OR(OR(ISNUMBER(SEARCH(IF(I$1&lt;&gt;"",I$1,"NA"),'MITRE ATT&amp;CK Mappings'!$E231)),ISNUMBER(SEARCH(IF(I$1&lt;&gt;"",I$1,"NA"),'MITRE ATT&amp;CK Mappings'!$F231))),ISNUMBER(SEARCH(IF(I$2&lt;&gt;"",I$2,"NA"),'MITRE ATT&amp;CK Mappings'!$G231))),ISNUMBER(SEARCH(IF(I$2&lt;&gt;"",I$2,"NA"),'MITRE ATT&amp;CK Mappings'!$H231))),ISNUMBER(SEARCH(IF(I$3&lt;&gt;"",I$3,"NA"),'MITRE ATT&amp;CK Mappings'!$I231))),ISNUMBER(SEARCH(IF(I$3&lt;&gt;"",I$3,"NA"),'MITRE ATT&amp;CK Mappings'!$J231))), 'MITRE ATT&amp;CK Mappings'!$B231,"")</f>
        <v/>
      </c>
      <c r="J235" s="27" t="str">
        <f>IF(OR(OR(OR(OR(OR(ISNUMBER(SEARCH(IF(J$1&lt;&gt;"",J$1,"NA"),'MITRE ATT&amp;CK Mappings'!$E231)),ISNUMBER(SEARCH(IF(J$1&lt;&gt;"",J$1,"NA"),'MITRE ATT&amp;CK Mappings'!$F231))),ISNUMBER(SEARCH(IF(J$2&lt;&gt;"",J$2,"NA"),'MITRE ATT&amp;CK Mappings'!$G231))),ISNUMBER(SEARCH(IF(J$2&lt;&gt;"",J$2,"NA"),'MITRE ATT&amp;CK Mappings'!$H231))),ISNUMBER(SEARCH(IF(J$3&lt;&gt;"",J$3,"NA"),'MITRE ATT&amp;CK Mappings'!$I231))),ISNUMBER(SEARCH(IF(J$3&lt;&gt;"",J$3,"NA"),'MITRE ATT&amp;CK Mappings'!$J231))), 'MITRE ATT&amp;CK Mappings'!$B231,"")</f>
        <v/>
      </c>
      <c r="K235" s="27" t="str">
        <f>IF(OR(OR(OR(OR(OR(ISNUMBER(SEARCH(IF(K$1&lt;&gt;"",K$1,"NA"),'MITRE ATT&amp;CK Mappings'!$E231)),ISNUMBER(SEARCH(IF(K$1&lt;&gt;"",K$1,"NA"),'MITRE ATT&amp;CK Mappings'!$F231))),ISNUMBER(SEARCH(IF(K$2&lt;&gt;"",K$2,"NA"),'MITRE ATT&amp;CK Mappings'!$G231))),ISNUMBER(SEARCH(IF(K$2&lt;&gt;"",K$2,"NA"),'MITRE ATT&amp;CK Mappings'!$H231))),ISNUMBER(SEARCH(IF(K$3&lt;&gt;"",K$3,"NA"),'MITRE ATT&amp;CK Mappings'!$I231))),ISNUMBER(SEARCH(IF(K$3&lt;&gt;"",K$3,"NA"),'MITRE ATT&amp;CK Mappings'!$J231))), 'MITRE ATT&amp;CK Mappings'!$B231,"")</f>
        <v/>
      </c>
      <c r="L235" s="27" t="str">
        <f>IF('MITRE ATT&amp;CK Mappings'!D231 &lt;&gt;"",'MITRE ATT&amp;CK Mappings'!D231,"" )</f>
        <v/>
      </c>
    </row>
    <row r="236" spans="1:12" x14ac:dyDescent="0.25">
      <c r="A236" s="26" t="str">
        <f>IF(COUNTIF(B236:K236,"="&amp;'MITRE ATT&amp;CK Mappings'!B232)&gt;0,'MITRE ATT&amp;CK Mappings'!B232,"")</f>
        <v/>
      </c>
      <c r="B236" s="26" t="str">
        <f>IF(OR(OR(OR(OR(OR(ISNUMBER(SEARCH(IF(B$1&lt;&gt;"",B$1,"NA"),'MITRE ATT&amp;CK Mappings'!$E232)),ISNUMBER(SEARCH(IF(B$1&lt;&gt;"",B$1,"NA"),'MITRE ATT&amp;CK Mappings'!$F232))),ISNUMBER(SEARCH(IF(B$2&lt;&gt;"",B$2,"NA"),'MITRE ATT&amp;CK Mappings'!$G232))),ISNUMBER(SEARCH(IF(B$2&lt;&gt;"",B$2,"NA"),'MITRE ATT&amp;CK Mappings'!$H232))),ISNUMBER(SEARCH(IF(B$3&lt;&gt;"",B$3,"NA"),'MITRE ATT&amp;CK Mappings'!$I232))),ISNUMBER(SEARCH(IF(B$3&lt;&gt;"",B$3,"NA"),'MITRE ATT&amp;CK Mappings'!$J232))), 'MITRE ATT&amp;CK Mappings'!$B232,"")</f>
        <v/>
      </c>
      <c r="C236" s="26" t="str">
        <f>IF(OR(OR(OR(OR(OR(ISNUMBER(SEARCH(IF(C$1&lt;&gt;"",C$1,"NA"),'MITRE ATT&amp;CK Mappings'!$E232)),ISNUMBER(SEARCH(IF(C$1&lt;&gt;"",C$1,"NA"),'MITRE ATT&amp;CK Mappings'!$F232))),ISNUMBER(SEARCH(IF(C$2&lt;&gt;"",C$2,"NA"),'MITRE ATT&amp;CK Mappings'!$G232))),ISNUMBER(SEARCH(IF(C$2&lt;&gt;"",C$2,"NA"),'MITRE ATT&amp;CK Mappings'!$H232))),ISNUMBER(SEARCH(IF(C$3&lt;&gt;"",C$3,"NA"),'MITRE ATT&amp;CK Mappings'!$I232))),ISNUMBER(SEARCH(IF(C$3&lt;&gt;"",C$3,"NA"),'MITRE ATT&amp;CK Mappings'!$J232))), 'MITRE ATT&amp;CK Mappings'!$B232,"")</f>
        <v/>
      </c>
      <c r="D236" s="26" t="str">
        <f>IF(OR(OR(OR(OR(OR(ISNUMBER(SEARCH(IF(D$1&lt;&gt;"",D$1,"NA"),'MITRE ATT&amp;CK Mappings'!$E232)),ISNUMBER(SEARCH(IF(D$1&lt;&gt;"",D$1,"NA"),'MITRE ATT&amp;CK Mappings'!$F232))),ISNUMBER(SEARCH(IF(D$2&lt;&gt;"",D$2,"NA"),'MITRE ATT&amp;CK Mappings'!$G232))),ISNUMBER(SEARCH(IF(D$2&lt;&gt;"",D$2,"NA"),'MITRE ATT&amp;CK Mappings'!$H232))),ISNUMBER(SEARCH(IF(D$3&lt;&gt;"",D$3,"NA"),'MITRE ATT&amp;CK Mappings'!$I232))),ISNUMBER(SEARCH(IF(D$3&lt;&gt;"",D$3,"NA"),'MITRE ATT&amp;CK Mappings'!$J232))), 'MITRE ATT&amp;CK Mappings'!$B232,"")</f>
        <v/>
      </c>
      <c r="E236" s="26" t="str">
        <f>IF(OR(OR(OR(OR(OR(ISNUMBER(SEARCH(IF(E$1&lt;&gt;"",E$1,"NA"),'MITRE ATT&amp;CK Mappings'!$E232)),ISNUMBER(SEARCH(IF(E$1&lt;&gt;"",E$1,"NA"),'MITRE ATT&amp;CK Mappings'!$F232))),ISNUMBER(SEARCH(IF(E$2&lt;&gt;"",E$2,"NA"),'MITRE ATT&amp;CK Mappings'!$G232))),ISNUMBER(SEARCH(IF(E$2&lt;&gt;"",E$2,"NA"),'MITRE ATT&amp;CK Mappings'!$H232))),ISNUMBER(SEARCH(IF(E$3&lt;&gt;"",E$3,"NA"),'MITRE ATT&amp;CK Mappings'!$I232))),ISNUMBER(SEARCH(IF(E$3&lt;&gt;"",E$3,"NA"),'MITRE ATT&amp;CK Mappings'!$J232))), 'MITRE ATT&amp;CK Mappings'!$B232,"")</f>
        <v/>
      </c>
      <c r="F236" s="26" t="str">
        <f>IF(OR(OR(OR(OR(OR(ISNUMBER(SEARCH(IF(F$1&lt;&gt;"",F$1,"NA"),'MITRE ATT&amp;CK Mappings'!$E232)),ISNUMBER(SEARCH(IF(F$1&lt;&gt;"",F$1,"NA"),'MITRE ATT&amp;CK Mappings'!$F232))),ISNUMBER(SEARCH(IF(F$2&lt;&gt;"",F$2,"NA"),'MITRE ATT&amp;CK Mappings'!$G232))),ISNUMBER(SEARCH(IF(F$2&lt;&gt;"",F$2,"NA"),'MITRE ATT&amp;CK Mappings'!$H232))),ISNUMBER(SEARCH(IF(F$3&lt;&gt;"",F$3,"NA"),'MITRE ATT&amp;CK Mappings'!$I232))),ISNUMBER(SEARCH(IF(F$3&lt;&gt;"",F$3,"NA"),'MITRE ATT&amp;CK Mappings'!$J232))), 'MITRE ATT&amp;CK Mappings'!$B232,"")</f>
        <v/>
      </c>
      <c r="G236" s="26" t="str">
        <f>IF(OR(OR(OR(OR(OR(ISNUMBER(SEARCH(IF(G$1&lt;&gt;"",G$1,"NA"),'MITRE ATT&amp;CK Mappings'!$E232)),ISNUMBER(SEARCH(IF(G$1&lt;&gt;"",G$1,"NA"),'MITRE ATT&amp;CK Mappings'!$F232))),ISNUMBER(SEARCH(IF(G$2&lt;&gt;"",G$2,"NA"),'MITRE ATT&amp;CK Mappings'!$G232))),ISNUMBER(SEARCH(IF(G$2&lt;&gt;"",G$2,"NA"),'MITRE ATT&amp;CK Mappings'!$H232))),ISNUMBER(SEARCH(IF(G$3&lt;&gt;"",G$3,"NA"),'MITRE ATT&amp;CK Mappings'!$I232))),ISNUMBER(SEARCH(IF(G$3&lt;&gt;"",G$3,"NA"),'MITRE ATT&amp;CK Mappings'!$J232))), 'MITRE ATT&amp;CK Mappings'!$B232,"")</f>
        <v/>
      </c>
      <c r="H236" s="26" t="str">
        <f>IF(OR(OR(OR(OR(OR(ISNUMBER(SEARCH(IF(H$1&lt;&gt;"",H$1,"NA"),'MITRE ATT&amp;CK Mappings'!$E232)),ISNUMBER(SEARCH(IF(H$1&lt;&gt;"",H$1,"NA"),'MITRE ATT&amp;CK Mappings'!$F232))),ISNUMBER(SEARCH(IF(H$2&lt;&gt;"",H$2,"NA"),'MITRE ATT&amp;CK Mappings'!$G232))),ISNUMBER(SEARCH(IF(H$2&lt;&gt;"",H$2,"NA"),'MITRE ATT&amp;CK Mappings'!$H232))),ISNUMBER(SEARCH(IF(H$3&lt;&gt;"",H$3,"NA"),'MITRE ATT&amp;CK Mappings'!$I232))),ISNUMBER(SEARCH(IF(H$3&lt;&gt;"",H$3,"NA"),'MITRE ATT&amp;CK Mappings'!$J232))), 'MITRE ATT&amp;CK Mappings'!$B232,"")</f>
        <v/>
      </c>
      <c r="I236" s="26" t="str">
        <f>IF(OR(OR(OR(OR(OR(ISNUMBER(SEARCH(IF(I$1&lt;&gt;"",I$1,"NA"),'MITRE ATT&amp;CK Mappings'!$E232)),ISNUMBER(SEARCH(IF(I$1&lt;&gt;"",I$1,"NA"),'MITRE ATT&amp;CK Mappings'!$F232))),ISNUMBER(SEARCH(IF(I$2&lt;&gt;"",I$2,"NA"),'MITRE ATT&amp;CK Mappings'!$G232))),ISNUMBER(SEARCH(IF(I$2&lt;&gt;"",I$2,"NA"),'MITRE ATT&amp;CK Mappings'!$H232))),ISNUMBER(SEARCH(IF(I$3&lt;&gt;"",I$3,"NA"),'MITRE ATT&amp;CK Mappings'!$I232))),ISNUMBER(SEARCH(IF(I$3&lt;&gt;"",I$3,"NA"),'MITRE ATT&amp;CK Mappings'!$J232))), 'MITRE ATT&amp;CK Mappings'!$B232,"")</f>
        <v/>
      </c>
      <c r="J236" s="26" t="str">
        <f>IF(OR(OR(OR(OR(OR(ISNUMBER(SEARCH(IF(J$1&lt;&gt;"",J$1,"NA"),'MITRE ATT&amp;CK Mappings'!$E232)),ISNUMBER(SEARCH(IF(J$1&lt;&gt;"",J$1,"NA"),'MITRE ATT&amp;CK Mappings'!$F232))),ISNUMBER(SEARCH(IF(J$2&lt;&gt;"",J$2,"NA"),'MITRE ATT&amp;CK Mappings'!$G232))),ISNUMBER(SEARCH(IF(J$2&lt;&gt;"",J$2,"NA"),'MITRE ATT&amp;CK Mappings'!$H232))),ISNUMBER(SEARCH(IF(J$3&lt;&gt;"",J$3,"NA"),'MITRE ATT&amp;CK Mappings'!$I232))),ISNUMBER(SEARCH(IF(J$3&lt;&gt;"",J$3,"NA"),'MITRE ATT&amp;CK Mappings'!$J232))), 'MITRE ATT&amp;CK Mappings'!$B232,"")</f>
        <v/>
      </c>
      <c r="K236" s="26" t="str">
        <f>IF(OR(OR(OR(OR(OR(ISNUMBER(SEARCH(IF(K$1&lt;&gt;"",K$1,"NA"),'MITRE ATT&amp;CK Mappings'!$E232)),ISNUMBER(SEARCH(IF(K$1&lt;&gt;"",K$1,"NA"),'MITRE ATT&amp;CK Mappings'!$F232))),ISNUMBER(SEARCH(IF(K$2&lt;&gt;"",K$2,"NA"),'MITRE ATT&amp;CK Mappings'!$G232))),ISNUMBER(SEARCH(IF(K$2&lt;&gt;"",K$2,"NA"),'MITRE ATT&amp;CK Mappings'!$H232))),ISNUMBER(SEARCH(IF(K$3&lt;&gt;"",K$3,"NA"),'MITRE ATT&amp;CK Mappings'!$I232))),ISNUMBER(SEARCH(IF(K$3&lt;&gt;"",K$3,"NA"),'MITRE ATT&amp;CK Mappings'!$J232))), 'MITRE ATT&amp;CK Mappings'!$B232,"")</f>
        <v/>
      </c>
      <c r="L236" s="26" t="str">
        <f>IF('MITRE ATT&amp;CK Mappings'!D232 &lt;&gt;"",'MITRE ATT&amp;CK Mappings'!D232,"" )</f>
        <v/>
      </c>
    </row>
    <row r="237" spans="1:12" x14ac:dyDescent="0.25">
      <c r="A237" s="27" t="str">
        <f>IF(COUNTIF(B237:K237,"="&amp;'MITRE ATT&amp;CK Mappings'!B233)&gt;0,'MITRE ATT&amp;CK Mappings'!B233,"")</f>
        <v/>
      </c>
      <c r="B237" s="27" t="str">
        <f>IF(OR(OR(OR(OR(OR(ISNUMBER(SEARCH(IF(B$1&lt;&gt;"",B$1,"NA"),'MITRE ATT&amp;CK Mappings'!$E233)),ISNUMBER(SEARCH(IF(B$1&lt;&gt;"",B$1,"NA"),'MITRE ATT&amp;CK Mappings'!$F233))),ISNUMBER(SEARCH(IF(B$2&lt;&gt;"",B$2,"NA"),'MITRE ATT&amp;CK Mappings'!$G233))),ISNUMBER(SEARCH(IF(B$2&lt;&gt;"",B$2,"NA"),'MITRE ATT&amp;CK Mappings'!$H233))),ISNUMBER(SEARCH(IF(B$3&lt;&gt;"",B$3,"NA"),'MITRE ATT&amp;CK Mappings'!$I233))),ISNUMBER(SEARCH(IF(B$3&lt;&gt;"",B$3,"NA"),'MITRE ATT&amp;CK Mappings'!$J233))), 'MITRE ATT&amp;CK Mappings'!$B233,"")</f>
        <v/>
      </c>
      <c r="C237" s="27" t="str">
        <f>IF(OR(OR(OR(OR(OR(ISNUMBER(SEARCH(IF(C$1&lt;&gt;"",C$1,"NA"),'MITRE ATT&amp;CK Mappings'!$E233)),ISNUMBER(SEARCH(IF(C$1&lt;&gt;"",C$1,"NA"),'MITRE ATT&amp;CK Mappings'!$F233))),ISNUMBER(SEARCH(IF(C$2&lt;&gt;"",C$2,"NA"),'MITRE ATT&amp;CK Mappings'!$G233))),ISNUMBER(SEARCH(IF(C$2&lt;&gt;"",C$2,"NA"),'MITRE ATT&amp;CK Mappings'!$H233))),ISNUMBER(SEARCH(IF(C$3&lt;&gt;"",C$3,"NA"),'MITRE ATT&amp;CK Mappings'!$I233))),ISNUMBER(SEARCH(IF(C$3&lt;&gt;"",C$3,"NA"),'MITRE ATT&amp;CK Mappings'!$J233))), 'MITRE ATT&amp;CK Mappings'!$B233,"")</f>
        <v/>
      </c>
      <c r="D237" s="27" t="str">
        <f>IF(OR(OR(OR(OR(OR(ISNUMBER(SEARCH(IF(D$1&lt;&gt;"",D$1,"NA"),'MITRE ATT&amp;CK Mappings'!$E233)),ISNUMBER(SEARCH(IF(D$1&lt;&gt;"",D$1,"NA"),'MITRE ATT&amp;CK Mappings'!$F233))),ISNUMBER(SEARCH(IF(D$2&lt;&gt;"",D$2,"NA"),'MITRE ATT&amp;CK Mappings'!$G233))),ISNUMBER(SEARCH(IF(D$2&lt;&gt;"",D$2,"NA"),'MITRE ATT&amp;CK Mappings'!$H233))),ISNUMBER(SEARCH(IF(D$3&lt;&gt;"",D$3,"NA"),'MITRE ATT&amp;CK Mappings'!$I233))),ISNUMBER(SEARCH(IF(D$3&lt;&gt;"",D$3,"NA"),'MITRE ATT&amp;CK Mappings'!$J233))), 'MITRE ATT&amp;CK Mappings'!$B233,"")</f>
        <v/>
      </c>
      <c r="E237" s="27" t="str">
        <f>IF(OR(OR(OR(OR(OR(ISNUMBER(SEARCH(IF(E$1&lt;&gt;"",E$1,"NA"),'MITRE ATT&amp;CK Mappings'!$E233)),ISNUMBER(SEARCH(IF(E$1&lt;&gt;"",E$1,"NA"),'MITRE ATT&amp;CK Mappings'!$F233))),ISNUMBER(SEARCH(IF(E$2&lt;&gt;"",E$2,"NA"),'MITRE ATT&amp;CK Mappings'!$G233))),ISNUMBER(SEARCH(IF(E$2&lt;&gt;"",E$2,"NA"),'MITRE ATT&amp;CK Mappings'!$H233))),ISNUMBER(SEARCH(IF(E$3&lt;&gt;"",E$3,"NA"),'MITRE ATT&amp;CK Mappings'!$I233))),ISNUMBER(SEARCH(IF(E$3&lt;&gt;"",E$3,"NA"),'MITRE ATT&amp;CK Mappings'!$J233))), 'MITRE ATT&amp;CK Mappings'!$B233,"")</f>
        <v/>
      </c>
      <c r="F237" s="27" t="str">
        <f>IF(OR(OR(OR(OR(OR(ISNUMBER(SEARCH(IF(F$1&lt;&gt;"",F$1,"NA"),'MITRE ATT&amp;CK Mappings'!$E233)),ISNUMBER(SEARCH(IF(F$1&lt;&gt;"",F$1,"NA"),'MITRE ATT&amp;CK Mappings'!$F233))),ISNUMBER(SEARCH(IF(F$2&lt;&gt;"",F$2,"NA"),'MITRE ATT&amp;CK Mappings'!$G233))),ISNUMBER(SEARCH(IF(F$2&lt;&gt;"",F$2,"NA"),'MITRE ATT&amp;CK Mappings'!$H233))),ISNUMBER(SEARCH(IF(F$3&lt;&gt;"",F$3,"NA"),'MITRE ATT&amp;CK Mappings'!$I233))),ISNUMBER(SEARCH(IF(F$3&lt;&gt;"",F$3,"NA"),'MITRE ATT&amp;CK Mappings'!$J233))), 'MITRE ATT&amp;CK Mappings'!$B233,"")</f>
        <v/>
      </c>
      <c r="G237" s="27" t="str">
        <f>IF(OR(OR(OR(OR(OR(ISNUMBER(SEARCH(IF(G$1&lt;&gt;"",G$1,"NA"),'MITRE ATT&amp;CK Mappings'!$E233)),ISNUMBER(SEARCH(IF(G$1&lt;&gt;"",G$1,"NA"),'MITRE ATT&amp;CK Mappings'!$F233))),ISNUMBER(SEARCH(IF(G$2&lt;&gt;"",G$2,"NA"),'MITRE ATT&amp;CK Mappings'!$G233))),ISNUMBER(SEARCH(IF(G$2&lt;&gt;"",G$2,"NA"),'MITRE ATT&amp;CK Mappings'!$H233))),ISNUMBER(SEARCH(IF(G$3&lt;&gt;"",G$3,"NA"),'MITRE ATT&amp;CK Mappings'!$I233))),ISNUMBER(SEARCH(IF(G$3&lt;&gt;"",G$3,"NA"),'MITRE ATT&amp;CK Mappings'!$J233))), 'MITRE ATT&amp;CK Mappings'!$B233,"")</f>
        <v/>
      </c>
      <c r="H237" s="27" t="str">
        <f>IF(OR(OR(OR(OR(OR(ISNUMBER(SEARCH(IF(H$1&lt;&gt;"",H$1,"NA"),'MITRE ATT&amp;CK Mappings'!$E233)),ISNUMBER(SEARCH(IF(H$1&lt;&gt;"",H$1,"NA"),'MITRE ATT&amp;CK Mappings'!$F233))),ISNUMBER(SEARCH(IF(H$2&lt;&gt;"",H$2,"NA"),'MITRE ATT&amp;CK Mappings'!$G233))),ISNUMBER(SEARCH(IF(H$2&lt;&gt;"",H$2,"NA"),'MITRE ATT&amp;CK Mappings'!$H233))),ISNUMBER(SEARCH(IF(H$3&lt;&gt;"",H$3,"NA"),'MITRE ATT&amp;CK Mappings'!$I233))),ISNUMBER(SEARCH(IF(H$3&lt;&gt;"",H$3,"NA"),'MITRE ATT&amp;CK Mappings'!$J233))), 'MITRE ATT&amp;CK Mappings'!$B233,"")</f>
        <v/>
      </c>
      <c r="I237" s="27" t="str">
        <f>IF(OR(OR(OR(OR(OR(ISNUMBER(SEARCH(IF(I$1&lt;&gt;"",I$1,"NA"),'MITRE ATT&amp;CK Mappings'!$E233)),ISNUMBER(SEARCH(IF(I$1&lt;&gt;"",I$1,"NA"),'MITRE ATT&amp;CK Mappings'!$F233))),ISNUMBER(SEARCH(IF(I$2&lt;&gt;"",I$2,"NA"),'MITRE ATT&amp;CK Mappings'!$G233))),ISNUMBER(SEARCH(IF(I$2&lt;&gt;"",I$2,"NA"),'MITRE ATT&amp;CK Mappings'!$H233))),ISNUMBER(SEARCH(IF(I$3&lt;&gt;"",I$3,"NA"),'MITRE ATT&amp;CK Mappings'!$I233))),ISNUMBER(SEARCH(IF(I$3&lt;&gt;"",I$3,"NA"),'MITRE ATT&amp;CK Mappings'!$J233))), 'MITRE ATT&amp;CK Mappings'!$B233,"")</f>
        <v/>
      </c>
      <c r="J237" s="27" t="str">
        <f>IF(OR(OR(OR(OR(OR(ISNUMBER(SEARCH(IF(J$1&lt;&gt;"",J$1,"NA"),'MITRE ATT&amp;CK Mappings'!$E233)),ISNUMBER(SEARCH(IF(J$1&lt;&gt;"",J$1,"NA"),'MITRE ATT&amp;CK Mappings'!$F233))),ISNUMBER(SEARCH(IF(J$2&lt;&gt;"",J$2,"NA"),'MITRE ATT&amp;CK Mappings'!$G233))),ISNUMBER(SEARCH(IF(J$2&lt;&gt;"",J$2,"NA"),'MITRE ATT&amp;CK Mappings'!$H233))),ISNUMBER(SEARCH(IF(J$3&lt;&gt;"",J$3,"NA"),'MITRE ATT&amp;CK Mappings'!$I233))),ISNUMBER(SEARCH(IF(J$3&lt;&gt;"",J$3,"NA"),'MITRE ATT&amp;CK Mappings'!$J233))), 'MITRE ATT&amp;CK Mappings'!$B233,"")</f>
        <v/>
      </c>
      <c r="K237" s="27" t="str">
        <f>IF(OR(OR(OR(OR(OR(ISNUMBER(SEARCH(IF(K$1&lt;&gt;"",K$1,"NA"),'MITRE ATT&amp;CK Mappings'!$E233)),ISNUMBER(SEARCH(IF(K$1&lt;&gt;"",K$1,"NA"),'MITRE ATT&amp;CK Mappings'!$F233))),ISNUMBER(SEARCH(IF(K$2&lt;&gt;"",K$2,"NA"),'MITRE ATT&amp;CK Mappings'!$G233))),ISNUMBER(SEARCH(IF(K$2&lt;&gt;"",K$2,"NA"),'MITRE ATT&amp;CK Mappings'!$H233))),ISNUMBER(SEARCH(IF(K$3&lt;&gt;"",K$3,"NA"),'MITRE ATT&amp;CK Mappings'!$I233))),ISNUMBER(SEARCH(IF(K$3&lt;&gt;"",K$3,"NA"),'MITRE ATT&amp;CK Mappings'!$J233))), 'MITRE ATT&amp;CK Mappings'!$B233,"")</f>
        <v/>
      </c>
      <c r="L237" s="27" t="str">
        <f>IF('MITRE ATT&amp;CK Mappings'!D233 &lt;&gt;"",'MITRE ATT&amp;CK Mappings'!D233,"" )</f>
        <v/>
      </c>
    </row>
    <row r="238" spans="1:12" x14ac:dyDescent="0.25">
      <c r="A238" s="26" t="str">
        <f>IF(COUNTIF(B238:K238,"="&amp;'MITRE ATT&amp;CK Mappings'!B234)&gt;0,'MITRE ATT&amp;CK Mappings'!B234,"")</f>
        <v/>
      </c>
      <c r="B238" s="26" t="str">
        <f>IF(OR(OR(OR(OR(OR(ISNUMBER(SEARCH(IF(B$1&lt;&gt;"",B$1,"NA"),'MITRE ATT&amp;CK Mappings'!$E234)),ISNUMBER(SEARCH(IF(B$1&lt;&gt;"",B$1,"NA"),'MITRE ATT&amp;CK Mappings'!$F234))),ISNUMBER(SEARCH(IF(B$2&lt;&gt;"",B$2,"NA"),'MITRE ATT&amp;CK Mappings'!$G234))),ISNUMBER(SEARCH(IF(B$2&lt;&gt;"",B$2,"NA"),'MITRE ATT&amp;CK Mappings'!$H234))),ISNUMBER(SEARCH(IF(B$3&lt;&gt;"",B$3,"NA"),'MITRE ATT&amp;CK Mappings'!$I234))),ISNUMBER(SEARCH(IF(B$3&lt;&gt;"",B$3,"NA"),'MITRE ATT&amp;CK Mappings'!$J234))), 'MITRE ATT&amp;CK Mappings'!$B234,"")</f>
        <v/>
      </c>
      <c r="C238" s="26" t="str">
        <f>IF(OR(OR(OR(OR(OR(ISNUMBER(SEARCH(IF(C$1&lt;&gt;"",C$1,"NA"),'MITRE ATT&amp;CK Mappings'!$E234)),ISNUMBER(SEARCH(IF(C$1&lt;&gt;"",C$1,"NA"),'MITRE ATT&amp;CK Mappings'!$F234))),ISNUMBER(SEARCH(IF(C$2&lt;&gt;"",C$2,"NA"),'MITRE ATT&amp;CK Mappings'!$G234))),ISNUMBER(SEARCH(IF(C$2&lt;&gt;"",C$2,"NA"),'MITRE ATT&amp;CK Mappings'!$H234))),ISNUMBER(SEARCH(IF(C$3&lt;&gt;"",C$3,"NA"),'MITRE ATT&amp;CK Mappings'!$I234))),ISNUMBER(SEARCH(IF(C$3&lt;&gt;"",C$3,"NA"),'MITRE ATT&amp;CK Mappings'!$J234))), 'MITRE ATT&amp;CK Mappings'!$B234,"")</f>
        <v/>
      </c>
      <c r="D238" s="26" t="str">
        <f>IF(OR(OR(OR(OR(OR(ISNUMBER(SEARCH(IF(D$1&lt;&gt;"",D$1,"NA"),'MITRE ATT&amp;CK Mappings'!$E234)),ISNUMBER(SEARCH(IF(D$1&lt;&gt;"",D$1,"NA"),'MITRE ATT&amp;CK Mappings'!$F234))),ISNUMBER(SEARCH(IF(D$2&lt;&gt;"",D$2,"NA"),'MITRE ATT&amp;CK Mappings'!$G234))),ISNUMBER(SEARCH(IF(D$2&lt;&gt;"",D$2,"NA"),'MITRE ATT&amp;CK Mappings'!$H234))),ISNUMBER(SEARCH(IF(D$3&lt;&gt;"",D$3,"NA"),'MITRE ATT&amp;CK Mappings'!$I234))),ISNUMBER(SEARCH(IF(D$3&lt;&gt;"",D$3,"NA"),'MITRE ATT&amp;CK Mappings'!$J234))), 'MITRE ATT&amp;CK Mappings'!$B234,"")</f>
        <v/>
      </c>
      <c r="E238" s="26" t="str">
        <f>IF(OR(OR(OR(OR(OR(ISNUMBER(SEARCH(IF(E$1&lt;&gt;"",E$1,"NA"),'MITRE ATT&amp;CK Mappings'!$E234)),ISNUMBER(SEARCH(IF(E$1&lt;&gt;"",E$1,"NA"),'MITRE ATT&amp;CK Mappings'!$F234))),ISNUMBER(SEARCH(IF(E$2&lt;&gt;"",E$2,"NA"),'MITRE ATT&amp;CK Mappings'!$G234))),ISNUMBER(SEARCH(IF(E$2&lt;&gt;"",E$2,"NA"),'MITRE ATT&amp;CK Mappings'!$H234))),ISNUMBER(SEARCH(IF(E$3&lt;&gt;"",E$3,"NA"),'MITRE ATT&amp;CK Mappings'!$I234))),ISNUMBER(SEARCH(IF(E$3&lt;&gt;"",E$3,"NA"),'MITRE ATT&amp;CK Mappings'!$J234))), 'MITRE ATT&amp;CK Mappings'!$B234,"")</f>
        <v/>
      </c>
      <c r="F238" s="26" t="str">
        <f>IF(OR(OR(OR(OR(OR(ISNUMBER(SEARCH(IF(F$1&lt;&gt;"",F$1,"NA"),'MITRE ATT&amp;CK Mappings'!$E234)),ISNUMBER(SEARCH(IF(F$1&lt;&gt;"",F$1,"NA"),'MITRE ATT&amp;CK Mappings'!$F234))),ISNUMBER(SEARCH(IF(F$2&lt;&gt;"",F$2,"NA"),'MITRE ATT&amp;CK Mappings'!$G234))),ISNUMBER(SEARCH(IF(F$2&lt;&gt;"",F$2,"NA"),'MITRE ATT&amp;CK Mappings'!$H234))),ISNUMBER(SEARCH(IF(F$3&lt;&gt;"",F$3,"NA"),'MITRE ATT&amp;CK Mappings'!$I234))),ISNUMBER(SEARCH(IF(F$3&lt;&gt;"",F$3,"NA"),'MITRE ATT&amp;CK Mappings'!$J234))), 'MITRE ATT&amp;CK Mappings'!$B234,"")</f>
        <v/>
      </c>
      <c r="G238" s="26" t="str">
        <f>IF(OR(OR(OR(OR(OR(ISNUMBER(SEARCH(IF(G$1&lt;&gt;"",G$1,"NA"),'MITRE ATT&amp;CK Mappings'!$E234)),ISNUMBER(SEARCH(IF(G$1&lt;&gt;"",G$1,"NA"),'MITRE ATT&amp;CK Mappings'!$F234))),ISNUMBER(SEARCH(IF(G$2&lt;&gt;"",G$2,"NA"),'MITRE ATT&amp;CK Mappings'!$G234))),ISNUMBER(SEARCH(IF(G$2&lt;&gt;"",G$2,"NA"),'MITRE ATT&amp;CK Mappings'!$H234))),ISNUMBER(SEARCH(IF(G$3&lt;&gt;"",G$3,"NA"),'MITRE ATT&amp;CK Mappings'!$I234))),ISNUMBER(SEARCH(IF(G$3&lt;&gt;"",G$3,"NA"),'MITRE ATT&amp;CK Mappings'!$J234))), 'MITRE ATT&amp;CK Mappings'!$B234,"")</f>
        <v/>
      </c>
      <c r="H238" s="26" t="str">
        <f>IF(OR(OR(OR(OR(OR(ISNUMBER(SEARCH(IF(H$1&lt;&gt;"",H$1,"NA"),'MITRE ATT&amp;CK Mappings'!$E234)),ISNUMBER(SEARCH(IF(H$1&lt;&gt;"",H$1,"NA"),'MITRE ATT&amp;CK Mappings'!$F234))),ISNUMBER(SEARCH(IF(H$2&lt;&gt;"",H$2,"NA"),'MITRE ATT&amp;CK Mappings'!$G234))),ISNUMBER(SEARCH(IF(H$2&lt;&gt;"",H$2,"NA"),'MITRE ATT&amp;CK Mappings'!$H234))),ISNUMBER(SEARCH(IF(H$3&lt;&gt;"",H$3,"NA"),'MITRE ATT&amp;CK Mappings'!$I234))),ISNUMBER(SEARCH(IF(H$3&lt;&gt;"",H$3,"NA"),'MITRE ATT&amp;CK Mappings'!$J234))), 'MITRE ATT&amp;CK Mappings'!$B234,"")</f>
        <v/>
      </c>
      <c r="I238" s="26" t="str">
        <f>IF(OR(OR(OR(OR(OR(ISNUMBER(SEARCH(IF(I$1&lt;&gt;"",I$1,"NA"),'MITRE ATT&amp;CK Mappings'!$E234)),ISNUMBER(SEARCH(IF(I$1&lt;&gt;"",I$1,"NA"),'MITRE ATT&amp;CK Mappings'!$F234))),ISNUMBER(SEARCH(IF(I$2&lt;&gt;"",I$2,"NA"),'MITRE ATT&amp;CK Mappings'!$G234))),ISNUMBER(SEARCH(IF(I$2&lt;&gt;"",I$2,"NA"),'MITRE ATT&amp;CK Mappings'!$H234))),ISNUMBER(SEARCH(IF(I$3&lt;&gt;"",I$3,"NA"),'MITRE ATT&amp;CK Mappings'!$I234))),ISNUMBER(SEARCH(IF(I$3&lt;&gt;"",I$3,"NA"),'MITRE ATT&amp;CK Mappings'!$J234))), 'MITRE ATT&amp;CK Mappings'!$B234,"")</f>
        <v/>
      </c>
      <c r="J238" s="26" t="str">
        <f>IF(OR(OR(OR(OR(OR(ISNUMBER(SEARCH(IF(J$1&lt;&gt;"",J$1,"NA"),'MITRE ATT&amp;CK Mappings'!$E234)),ISNUMBER(SEARCH(IF(J$1&lt;&gt;"",J$1,"NA"),'MITRE ATT&amp;CK Mappings'!$F234))),ISNUMBER(SEARCH(IF(J$2&lt;&gt;"",J$2,"NA"),'MITRE ATT&amp;CK Mappings'!$G234))),ISNUMBER(SEARCH(IF(J$2&lt;&gt;"",J$2,"NA"),'MITRE ATT&amp;CK Mappings'!$H234))),ISNUMBER(SEARCH(IF(J$3&lt;&gt;"",J$3,"NA"),'MITRE ATT&amp;CK Mappings'!$I234))),ISNUMBER(SEARCH(IF(J$3&lt;&gt;"",J$3,"NA"),'MITRE ATT&amp;CK Mappings'!$J234))), 'MITRE ATT&amp;CK Mappings'!$B234,"")</f>
        <v/>
      </c>
      <c r="K238" s="26" t="str">
        <f>IF(OR(OR(OR(OR(OR(ISNUMBER(SEARCH(IF(K$1&lt;&gt;"",K$1,"NA"),'MITRE ATT&amp;CK Mappings'!$E234)),ISNUMBER(SEARCH(IF(K$1&lt;&gt;"",K$1,"NA"),'MITRE ATT&amp;CK Mappings'!$F234))),ISNUMBER(SEARCH(IF(K$2&lt;&gt;"",K$2,"NA"),'MITRE ATT&amp;CK Mappings'!$G234))),ISNUMBER(SEARCH(IF(K$2&lt;&gt;"",K$2,"NA"),'MITRE ATT&amp;CK Mappings'!$H234))),ISNUMBER(SEARCH(IF(K$3&lt;&gt;"",K$3,"NA"),'MITRE ATT&amp;CK Mappings'!$I234))),ISNUMBER(SEARCH(IF(K$3&lt;&gt;"",K$3,"NA"),'MITRE ATT&amp;CK Mappings'!$J234))), 'MITRE ATT&amp;CK Mappings'!$B234,"")</f>
        <v/>
      </c>
      <c r="L238" s="26" t="str">
        <f>IF('MITRE ATT&amp;CK Mappings'!D234 &lt;&gt;"",'MITRE ATT&amp;CK Mappings'!D234,"" )</f>
        <v/>
      </c>
    </row>
    <row r="239" spans="1:12" x14ac:dyDescent="0.25">
      <c r="A239" s="27" t="str">
        <f>IF(COUNTIF(B239:K239,"="&amp;'MITRE ATT&amp;CK Mappings'!B235)&gt;0,'MITRE ATT&amp;CK Mappings'!B235,"")</f>
        <v/>
      </c>
      <c r="B239" s="27" t="str">
        <f>IF(OR(OR(OR(OR(OR(ISNUMBER(SEARCH(IF(B$1&lt;&gt;"",B$1,"NA"),'MITRE ATT&amp;CK Mappings'!$E235)),ISNUMBER(SEARCH(IF(B$1&lt;&gt;"",B$1,"NA"),'MITRE ATT&amp;CK Mappings'!$F235))),ISNUMBER(SEARCH(IF(B$2&lt;&gt;"",B$2,"NA"),'MITRE ATT&amp;CK Mappings'!$G235))),ISNUMBER(SEARCH(IF(B$2&lt;&gt;"",B$2,"NA"),'MITRE ATT&amp;CK Mappings'!$H235))),ISNUMBER(SEARCH(IF(B$3&lt;&gt;"",B$3,"NA"),'MITRE ATT&amp;CK Mappings'!$I235))),ISNUMBER(SEARCH(IF(B$3&lt;&gt;"",B$3,"NA"),'MITRE ATT&amp;CK Mappings'!$J235))), 'MITRE ATT&amp;CK Mappings'!$B235,"")</f>
        <v/>
      </c>
      <c r="C239" s="27" t="str">
        <f>IF(OR(OR(OR(OR(OR(ISNUMBER(SEARCH(IF(C$1&lt;&gt;"",C$1,"NA"),'MITRE ATT&amp;CK Mappings'!$E235)),ISNUMBER(SEARCH(IF(C$1&lt;&gt;"",C$1,"NA"),'MITRE ATT&amp;CK Mappings'!$F235))),ISNUMBER(SEARCH(IF(C$2&lt;&gt;"",C$2,"NA"),'MITRE ATT&amp;CK Mappings'!$G235))),ISNUMBER(SEARCH(IF(C$2&lt;&gt;"",C$2,"NA"),'MITRE ATT&amp;CK Mappings'!$H235))),ISNUMBER(SEARCH(IF(C$3&lt;&gt;"",C$3,"NA"),'MITRE ATT&amp;CK Mappings'!$I235))),ISNUMBER(SEARCH(IF(C$3&lt;&gt;"",C$3,"NA"),'MITRE ATT&amp;CK Mappings'!$J235))), 'MITRE ATT&amp;CK Mappings'!$B235,"")</f>
        <v/>
      </c>
      <c r="D239" s="27" t="str">
        <f>IF(OR(OR(OR(OR(OR(ISNUMBER(SEARCH(IF(D$1&lt;&gt;"",D$1,"NA"),'MITRE ATT&amp;CK Mappings'!$E235)),ISNUMBER(SEARCH(IF(D$1&lt;&gt;"",D$1,"NA"),'MITRE ATT&amp;CK Mappings'!$F235))),ISNUMBER(SEARCH(IF(D$2&lt;&gt;"",D$2,"NA"),'MITRE ATT&amp;CK Mappings'!$G235))),ISNUMBER(SEARCH(IF(D$2&lt;&gt;"",D$2,"NA"),'MITRE ATT&amp;CK Mappings'!$H235))),ISNUMBER(SEARCH(IF(D$3&lt;&gt;"",D$3,"NA"),'MITRE ATT&amp;CK Mappings'!$I235))),ISNUMBER(SEARCH(IF(D$3&lt;&gt;"",D$3,"NA"),'MITRE ATT&amp;CK Mappings'!$J235))), 'MITRE ATT&amp;CK Mappings'!$B235,"")</f>
        <v/>
      </c>
      <c r="E239" s="27" t="str">
        <f>IF(OR(OR(OR(OR(OR(ISNUMBER(SEARCH(IF(E$1&lt;&gt;"",E$1,"NA"),'MITRE ATT&amp;CK Mappings'!$E235)),ISNUMBER(SEARCH(IF(E$1&lt;&gt;"",E$1,"NA"),'MITRE ATT&amp;CK Mappings'!$F235))),ISNUMBER(SEARCH(IF(E$2&lt;&gt;"",E$2,"NA"),'MITRE ATT&amp;CK Mappings'!$G235))),ISNUMBER(SEARCH(IF(E$2&lt;&gt;"",E$2,"NA"),'MITRE ATT&amp;CK Mappings'!$H235))),ISNUMBER(SEARCH(IF(E$3&lt;&gt;"",E$3,"NA"),'MITRE ATT&amp;CK Mappings'!$I235))),ISNUMBER(SEARCH(IF(E$3&lt;&gt;"",E$3,"NA"),'MITRE ATT&amp;CK Mappings'!$J235))), 'MITRE ATT&amp;CK Mappings'!$B235,"")</f>
        <v/>
      </c>
      <c r="F239" s="27" t="str">
        <f>IF(OR(OR(OR(OR(OR(ISNUMBER(SEARCH(IF(F$1&lt;&gt;"",F$1,"NA"),'MITRE ATT&amp;CK Mappings'!$E235)),ISNUMBER(SEARCH(IF(F$1&lt;&gt;"",F$1,"NA"),'MITRE ATT&amp;CK Mappings'!$F235))),ISNUMBER(SEARCH(IF(F$2&lt;&gt;"",F$2,"NA"),'MITRE ATT&amp;CK Mappings'!$G235))),ISNUMBER(SEARCH(IF(F$2&lt;&gt;"",F$2,"NA"),'MITRE ATT&amp;CK Mappings'!$H235))),ISNUMBER(SEARCH(IF(F$3&lt;&gt;"",F$3,"NA"),'MITRE ATT&amp;CK Mappings'!$I235))),ISNUMBER(SEARCH(IF(F$3&lt;&gt;"",F$3,"NA"),'MITRE ATT&amp;CK Mappings'!$J235))), 'MITRE ATT&amp;CK Mappings'!$B235,"")</f>
        <v/>
      </c>
      <c r="G239" s="27" t="str">
        <f>IF(OR(OR(OR(OR(OR(ISNUMBER(SEARCH(IF(G$1&lt;&gt;"",G$1,"NA"),'MITRE ATT&amp;CK Mappings'!$E235)),ISNUMBER(SEARCH(IF(G$1&lt;&gt;"",G$1,"NA"),'MITRE ATT&amp;CK Mappings'!$F235))),ISNUMBER(SEARCH(IF(G$2&lt;&gt;"",G$2,"NA"),'MITRE ATT&amp;CK Mappings'!$G235))),ISNUMBER(SEARCH(IF(G$2&lt;&gt;"",G$2,"NA"),'MITRE ATT&amp;CK Mappings'!$H235))),ISNUMBER(SEARCH(IF(G$3&lt;&gt;"",G$3,"NA"),'MITRE ATT&amp;CK Mappings'!$I235))),ISNUMBER(SEARCH(IF(G$3&lt;&gt;"",G$3,"NA"),'MITRE ATT&amp;CK Mappings'!$J235))), 'MITRE ATT&amp;CK Mappings'!$B235,"")</f>
        <v/>
      </c>
      <c r="H239" s="27" t="str">
        <f>IF(OR(OR(OR(OR(OR(ISNUMBER(SEARCH(IF(H$1&lt;&gt;"",H$1,"NA"),'MITRE ATT&amp;CK Mappings'!$E235)),ISNUMBER(SEARCH(IF(H$1&lt;&gt;"",H$1,"NA"),'MITRE ATT&amp;CK Mappings'!$F235))),ISNUMBER(SEARCH(IF(H$2&lt;&gt;"",H$2,"NA"),'MITRE ATT&amp;CK Mappings'!$G235))),ISNUMBER(SEARCH(IF(H$2&lt;&gt;"",H$2,"NA"),'MITRE ATT&amp;CK Mappings'!$H235))),ISNUMBER(SEARCH(IF(H$3&lt;&gt;"",H$3,"NA"),'MITRE ATT&amp;CK Mappings'!$I235))),ISNUMBER(SEARCH(IF(H$3&lt;&gt;"",H$3,"NA"),'MITRE ATT&amp;CK Mappings'!$J235))), 'MITRE ATT&amp;CK Mappings'!$B235,"")</f>
        <v/>
      </c>
      <c r="I239" s="27" t="str">
        <f>IF(OR(OR(OR(OR(OR(ISNUMBER(SEARCH(IF(I$1&lt;&gt;"",I$1,"NA"),'MITRE ATT&amp;CK Mappings'!$E235)),ISNUMBER(SEARCH(IF(I$1&lt;&gt;"",I$1,"NA"),'MITRE ATT&amp;CK Mappings'!$F235))),ISNUMBER(SEARCH(IF(I$2&lt;&gt;"",I$2,"NA"),'MITRE ATT&amp;CK Mappings'!$G235))),ISNUMBER(SEARCH(IF(I$2&lt;&gt;"",I$2,"NA"),'MITRE ATT&amp;CK Mappings'!$H235))),ISNUMBER(SEARCH(IF(I$3&lt;&gt;"",I$3,"NA"),'MITRE ATT&amp;CK Mappings'!$I235))),ISNUMBER(SEARCH(IF(I$3&lt;&gt;"",I$3,"NA"),'MITRE ATT&amp;CK Mappings'!$J235))), 'MITRE ATT&amp;CK Mappings'!$B235,"")</f>
        <v/>
      </c>
      <c r="J239" s="27" t="str">
        <f>IF(OR(OR(OR(OR(OR(ISNUMBER(SEARCH(IF(J$1&lt;&gt;"",J$1,"NA"),'MITRE ATT&amp;CK Mappings'!$E235)),ISNUMBER(SEARCH(IF(J$1&lt;&gt;"",J$1,"NA"),'MITRE ATT&amp;CK Mappings'!$F235))),ISNUMBER(SEARCH(IF(J$2&lt;&gt;"",J$2,"NA"),'MITRE ATT&amp;CK Mappings'!$G235))),ISNUMBER(SEARCH(IF(J$2&lt;&gt;"",J$2,"NA"),'MITRE ATT&amp;CK Mappings'!$H235))),ISNUMBER(SEARCH(IF(J$3&lt;&gt;"",J$3,"NA"),'MITRE ATT&amp;CK Mappings'!$I235))),ISNUMBER(SEARCH(IF(J$3&lt;&gt;"",J$3,"NA"),'MITRE ATT&amp;CK Mappings'!$J235))), 'MITRE ATT&amp;CK Mappings'!$B235,"")</f>
        <v/>
      </c>
      <c r="K239" s="27" t="str">
        <f>IF(OR(OR(OR(OR(OR(ISNUMBER(SEARCH(IF(K$1&lt;&gt;"",K$1,"NA"),'MITRE ATT&amp;CK Mappings'!$E235)),ISNUMBER(SEARCH(IF(K$1&lt;&gt;"",K$1,"NA"),'MITRE ATT&amp;CK Mappings'!$F235))),ISNUMBER(SEARCH(IF(K$2&lt;&gt;"",K$2,"NA"),'MITRE ATT&amp;CK Mappings'!$G235))),ISNUMBER(SEARCH(IF(K$2&lt;&gt;"",K$2,"NA"),'MITRE ATT&amp;CK Mappings'!$H235))),ISNUMBER(SEARCH(IF(K$3&lt;&gt;"",K$3,"NA"),'MITRE ATT&amp;CK Mappings'!$I235))),ISNUMBER(SEARCH(IF(K$3&lt;&gt;"",K$3,"NA"),'MITRE ATT&amp;CK Mappings'!$J235))), 'MITRE ATT&amp;CK Mappings'!$B235,"")</f>
        <v/>
      </c>
      <c r="L239" s="27" t="str">
        <f>IF('MITRE ATT&amp;CK Mappings'!D235 &lt;&gt;"",'MITRE ATT&amp;CK Mappings'!D235,"" )</f>
        <v/>
      </c>
    </row>
    <row r="240" spans="1:12" x14ac:dyDescent="0.25">
      <c r="A240" s="26" t="str">
        <f>IF(COUNTIF(B240:K240,"="&amp;'MITRE ATT&amp;CK Mappings'!B236)&gt;0,'MITRE ATT&amp;CK Mappings'!B236,"")</f>
        <v/>
      </c>
      <c r="B240" s="26" t="str">
        <f>IF(OR(OR(OR(OR(OR(ISNUMBER(SEARCH(IF(B$1&lt;&gt;"",B$1,"NA"),'MITRE ATT&amp;CK Mappings'!$E236)),ISNUMBER(SEARCH(IF(B$1&lt;&gt;"",B$1,"NA"),'MITRE ATT&amp;CK Mappings'!$F236))),ISNUMBER(SEARCH(IF(B$2&lt;&gt;"",B$2,"NA"),'MITRE ATT&amp;CK Mappings'!$G236))),ISNUMBER(SEARCH(IF(B$2&lt;&gt;"",B$2,"NA"),'MITRE ATT&amp;CK Mappings'!$H236))),ISNUMBER(SEARCH(IF(B$3&lt;&gt;"",B$3,"NA"),'MITRE ATT&amp;CK Mappings'!$I236))),ISNUMBER(SEARCH(IF(B$3&lt;&gt;"",B$3,"NA"),'MITRE ATT&amp;CK Mappings'!$J236))), 'MITRE ATT&amp;CK Mappings'!$B236,"")</f>
        <v/>
      </c>
      <c r="C240" s="26" t="str">
        <f>IF(OR(OR(OR(OR(OR(ISNUMBER(SEARCH(IF(C$1&lt;&gt;"",C$1,"NA"),'MITRE ATT&amp;CK Mappings'!$E236)),ISNUMBER(SEARCH(IF(C$1&lt;&gt;"",C$1,"NA"),'MITRE ATT&amp;CK Mappings'!$F236))),ISNUMBER(SEARCH(IF(C$2&lt;&gt;"",C$2,"NA"),'MITRE ATT&amp;CK Mappings'!$G236))),ISNUMBER(SEARCH(IF(C$2&lt;&gt;"",C$2,"NA"),'MITRE ATT&amp;CK Mappings'!$H236))),ISNUMBER(SEARCH(IF(C$3&lt;&gt;"",C$3,"NA"),'MITRE ATT&amp;CK Mappings'!$I236))),ISNUMBER(SEARCH(IF(C$3&lt;&gt;"",C$3,"NA"),'MITRE ATT&amp;CK Mappings'!$J236))), 'MITRE ATT&amp;CK Mappings'!$B236,"")</f>
        <v/>
      </c>
      <c r="D240" s="26" t="str">
        <f>IF(OR(OR(OR(OR(OR(ISNUMBER(SEARCH(IF(D$1&lt;&gt;"",D$1,"NA"),'MITRE ATT&amp;CK Mappings'!$E236)),ISNUMBER(SEARCH(IF(D$1&lt;&gt;"",D$1,"NA"),'MITRE ATT&amp;CK Mappings'!$F236))),ISNUMBER(SEARCH(IF(D$2&lt;&gt;"",D$2,"NA"),'MITRE ATT&amp;CK Mappings'!$G236))),ISNUMBER(SEARCH(IF(D$2&lt;&gt;"",D$2,"NA"),'MITRE ATT&amp;CK Mappings'!$H236))),ISNUMBER(SEARCH(IF(D$3&lt;&gt;"",D$3,"NA"),'MITRE ATT&amp;CK Mappings'!$I236))),ISNUMBER(SEARCH(IF(D$3&lt;&gt;"",D$3,"NA"),'MITRE ATT&amp;CK Mappings'!$J236))), 'MITRE ATT&amp;CK Mappings'!$B236,"")</f>
        <v/>
      </c>
      <c r="E240" s="26" t="str">
        <f>IF(OR(OR(OR(OR(OR(ISNUMBER(SEARCH(IF(E$1&lt;&gt;"",E$1,"NA"),'MITRE ATT&amp;CK Mappings'!$E236)),ISNUMBER(SEARCH(IF(E$1&lt;&gt;"",E$1,"NA"),'MITRE ATT&amp;CK Mappings'!$F236))),ISNUMBER(SEARCH(IF(E$2&lt;&gt;"",E$2,"NA"),'MITRE ATT&amp;CK Mappings'!$G236))),ISNUMBER(SEARCH(IF(E$2&lt;&gt;"",E$2,"NA"),'MITRE ATT&amp;CK Mappings'!$H236))),ISNUMBER(SEARCH(IF(E$3&lt;&gt;"",E$3,"NA"),'MITRE ATT&amp;CK Mappings'!$I236))),ISNUMBER(SEARCH(IF(E$3&lt;&gt;"",E$3,"NA"),'MITRE ATT&amp;CK Mappings'!$J236))), 'MITRE ATT&amp;CK Mappings'!$B236,"")</f>
        <v/>
      </c>
      <c r="F240" s="26" t="str">
        <f>IF(OR(OR(OR(OR(OR(ISNUMBER(SEARCH(IF(F$1&lt;&gt;"",F$1,"NA"),'MITRE ATT&amp;CK Mappings'!$E236)),ISNUMBER(SEARCH(IF(F$1&lt;&gt;"",F$1,"NA"),'MITRE ATT&amp;CK Mappings'!$F236))),ISNUMBER(SEARCH(IF(F$2&lt;&gt;"",F$2,"NA"),'MITRE ATT&amp;CK Mappings'!$G236))),ISNUMBER(SEARCH(IF(F$2&lt;&gt;"",F$2,"NA"),'MITRE ATT&amp;CK Mappings'!$H236))),ISNUMBER(SEARCH(IF(F$3&lt;&gt;"",F$3,"NA"),'MITRE ATT&amp;CK Mappings'!$I236))),ISNUMBER(SEARCH(IF(F$3&lt;&gt;"",F$3,"NA"),'MITRE ATT&amp;CK Mappings'!$J236))), 'MITRE ATT&amp;CK Mappings'!$B236,"")</f>
        <v/>
      </c>
      <c r="G240" s="26" t="str">
        <f>IF(OR(OR(OR(OR(OR(ISNUMBER(SEARCH(IF(G$1&lt;&gt;"",G$1,"NA"),'MITRE ATT&amp;CK Mappings'!$E236)),ISNUMBER(SEARCH(IF(G$1&lt;&gt;"",G$1,"NA"),'MITRE ATT&amp;CK Mappings'!$F236))),ISNUMBER(SEARCH(IF(G$2&lt;&gt;"",G$2,"NA"),'MITRE ATT&amp;CK Mappings'!$G236))),ISNUMBER(SEARCH(IF(G$2&lt;&gt;"",G$2,"NA"),'MITRE ATT&amp;CK Mappings'!$H236))),ISNUMBER(SEARCH(IF(G$3&lt;&gt;"",G$3,"NA"),'MITRE ATT&amp;CK Mappings'!$I236))),ISNUMBER(SEARCH(IF(G$3&lt;&gt;"",G$3,"NA"),'MITRE ATT&amp;CK Mappings'!$J236))), 'MITRE ATT&amp;CK Mappings'!$B236,"")</f>
        <v/>
      </c>
      <c r="H240" s="26" t="str">
        <f>IF(OR(OR(OR(OR(OR(ISNUMBER(SEARCH(IF(H$1&lt;&gt;"",H$1,"NA"),'MITRE ATT&amp;CK Mappings'!$E236)),ISNUMBER(SEARCH(IF(H$1&lt;&gt;"",H$1,"NA"),'MITRE ATT&amp;CK Mappings'!$F236))),ISNUMBER(SEARCH(IF(H$2&lt;&gt;"",H$2,"NA"),'MITRE ATT&amp;CK Mappings'!$G236))),ISNUMBER(SEARCH(IF(H$2&lt;&gt;"",H$2,"NA"),'MITRE ATT&amp;CK Mappings'!$H236))),ISNUMBER(SEARCH(IF(H$3&lt;&gt;"",H$3,"NA"),'MITRE ATT&amp;CK Mappings'!$I236))),ISNUMBER(SEARCH(IF(H$3&lt;&gt;"",H$3,"NA"),'MITRE ATT&amp;CK Mappings'!$J236))), 'MITRE ATT&amp;CK Mappings'!$B236,"")</f>
        <v/>
      </c>
      <c r="I240" s="26" t="str">
        <f>IF(OR(OR(OR(OR(OR(ISNUMBER(SEARCH(IF(I$1&lt;&gt;"",I$1,"NA"),'MITRE ATT&amp;CK Mappings'!$E236)),ISNUMBER(SEARCH(IF(I$1&lt;&gt;"",I$1,"NA"),'MITRE ATT&amp;CK Mappings'!$F236))),ISNUMBER(SEARCH(IF(I$2&lt;&gt;"",I$2,"NA"),'MITRE ATT&amp;CK Mappings'!$G236))),ISNUMBER(SEARCH(IF(I$2&lt;&gt;"",I$2,"NA"),'MITRE ATT&amp;CK Mappings'!$H236))),ISNUMBER(SEARCH(IF(I$3&lt;&gt;"",I$3,"NA"),'MITRE ATT&amp;CK Mappings'!$I236))),ISNUMBER(SEARCH(IF(I$3&lt;&gt;"",I$3,"NA"),'MITRE ATT&amp;CK Mappings'!$J236))), 'MITRE ATT&amp;CK Mappings'!$B236,"")</f>
        <v/>
      </c>
      <c r="J240" s="26" t="str">
        <f>IF(OR(OR(OR(OR(OR(ISNUMBER(SEARCH(IF(J$1&lt;&gt;"",J$1,"NA"),'MITRE ATT&amp;CK Mappings'!$E236)),ISNUMBER(SEARCH(IF(J$1&lt;&gt;"",J$1,"NA"),'MITRE ATT&amp;CK Mappings'!$F236))),ISNUMBER(SEARCH(IF(J$2&lt;&gt;"",J$2,"NA"),'MITRE ATT&amp;CK Mappings'!$G236))),ISNUMBER(SEARCH(IF(J$2&lt;&gt;"",J$2,"NA"),'MITRE ATT&amp;CK Mappings'!$H236))),ISNUMBER(SEARCH(IF(J$3&lt;&gt;"",J$3,"NA"),'MITRE ATT&amp;CK Mappings'!$I236))),ISNUMBER(SEARCH(IF(J$3&lt;&gt;"",J$3,"NA"),'MITRE ATT&amp;CK Mappings'!$J236))), 'MITRE ATT&amp;CK Mappings'!$B236,"")</f>
        <v/>
      </c>
      <c r="K240" s="26" t="str">
        <f>IF(OR(OR(OR(OR(OR(ISNUMBER(SEARCH(IF(K$1&lt;&gt;"",K$1,"NA"),'MITRE ATT&amp;CK Mappings'!$E236)),ISNUMBER(SEARCH(IF(K$1&lt;&gt;"",K$1,"NA"),'MITRE ATT&amp;CK Mappings'!$F236))),ISNUMBER(SEARCH(IF(K$2&lt;&gt;"",K$2,"NA"),'MITRE ATT&amp;CK Mappings'!$G236))),ISNUMBER(SEARCH(IF(K$2&lt;&gt;"",K$2,"NA"),'MITRE ATT&amp;CK Mappings'!$H236))),ISNUMBER(SEARCH(IF(K$3&lt;&gt;"",K$3,"NA"),'MITRE ATT&amp;CK Mappings'!$I236))),ISNUMBER(SEARCH(IF(K$3&lt;&gt;"",K$3,"NA"),'MITRE ATT&amp;CK Mappings'!$J236))), 'MITRE ATT&amp;CK Mappings'!$B236,"")</f>
        <v/>
      </c>
      <c r="L240" s="26" t="str">
        <f>IF('MITRE ATT&amp;CK Mappings'!D236 &lt;&gt;"",'MITRE ATT&amp;CK Mappings'!D236,"" )</f>
        <v/>
      </c>
    </row>
    <row r="241" spans="1:12" x14ac:dyDescent="0.25">
      <c r="A241" s="27" t="str">
        <f>IF(COUNTIF(B241:K241,"="&amp;'MITRE ATT&amp;CK Mappings'!B237)&gt;0,'MITRE ATT&amp;CK Mappings'!B237,"")</f>
        <v/>
      </c>
      <c r="B241" s="27" t="str">
        <f>IF(OR(OR(OR(OR(OR(ISNUMBER(SEARCH(IF(B$1&lt;&gt;"",B$1,"NA"),'MITRE ATT&amp;CK Mappings'!$E237)),ISNUMBER(SEARCH(IF(B$1&lt;&gt;"",B$1,"NA"),'MITRE ATT&amp;CK Mappings'!$F237))),ISNUMBER(SEARCH(IF(B$2&lt;&gt;"",B$2,"NA"),'MITRE ATT&amp;CK Mappings'!$G237))),ISNUMBER(SEARCH(IF(B$2&lt;&gt;"",B$2,"NA"),'MITRE ATT&amp;CK Mappings'!$H237))),ISNUMBER(SEARCH(IF(B$3&lt;&gt;"",B$3,"NA"),'MITRE ATT&amp;CK Mappings'!$I237))),ISNUMBER(SEARCH(IF(B$3&lt;&gt;"",B$3,"NA"),'MITRE ATT&amp;CK Mappings'!$J237))), 'MITRE ATT&amp;CK Mappings'!$B237,"")</f>
        <v/>
      </c>
      <c r="C241" s="27" t="str">
        <f>IF(OR(OR(OR(OR(OR(ISNUMBER(SEARCH(IF(C$1&lt;&gt;"",C$1,"NA"),'MITRE ATT&amp;CK Mappings'!$E237)),ISNUMBER(SEARCH(IF(C$1&lt;&gt;"",C$1,"NA"),'MITRE ATT&amp;CK Mappings'!$F237))),ISNUMBER(SEARCH(IF(C$2&lt;&gt;"",C$2,"NA"),'MITRE ATT&amp;CK Mappings'!$G237))),ISNUMBER(SEARCH(IF(C$2&lt;&gt;"",C$2,"NA"),'MITRE ATT&amp;CK Mappings'!$H237))),ISNUMBER(SEARCH(IF(C$3&lt;&gt;"",C$3,"NA"),'MITRE ATT&amp;CK Mappings'!$I237))),ISNUMBER(SEARCH(IF(C$3&lt;&gt;"",C$3,"NA"),'MITRE ATT&amp;CK Mappings'!$J237))), 'MITRE ATT&amp;CK Mappings'!$B237,"")</f>
        <v/>
      </c>
      <c r="D241" s="27" t="str">
        <f>IF(OR(OR(OR(OR(OR(ISNUMBER(SEARCH(IF(D$1&lt;&gt;"",D$1,"NA"),'MITRE ATT&amp;CK Mappings'!$E237)),ISNUMBER(SEARCH(IF(D$1&lt;&gt;"",D$1,"NA"),'MITRE ATT&amp;CK Mappings'!$F237))),ISNUMBER(SEARCH(IF(D$2&lt;&gt;"",D$2,"NA"),'MITRE ATT&amp;CK Mappings'!$G237))),ISNUMBER(SEARCH(IF(D$2&lt;&gt;"",D$2,"NA"),'MITRE ATT&amp;CK Mappings'!$H237))),ISNUMBER(SEARCH(IF(D$3&lt;&gt;"",D$3,"NA"),'MITRE ATT&amp;CK Mappings'!$I237))),ISNUMBER(SEARCH(IF(D$3&lt;&gt;"",D$3,"NA"),'MITRE ATT&amp;CK Mappings'!$J237))), 'MITRE ATT&amp;CK Mappings'!$B237,"")</f>
        <v/>
      </c>
      <c r="E241" s="27" t="str">
        <f>IF(OR(OR(OR(OR(OR(ISNUMBER(SEARCH(IF(E$1&lt;&gt;"",E$1,"NA"),'MITRE ATT&amp;CK Mappings'!$E237)),ISNUMBER(SEARCH(IF(E$1&lt;&gt;"",E$1,"NA"),'MITRE ATT&amp;CK Mappings'!$F237))),ISNUMBER(SEARCH(IF(E$2&lt;&gt;"",E$2,"NA"),'MITRE ATT&amp;CK Mappings'!$G237))),ISNUMBER(SEARCH(IF(E$2&lt;&gt;"",E$2,"NA"),'MITRE ATT&amp;CK Mappings'!$H237))),ISNUMBER(SEARCH(IF(E$3&lt;&gt;"",E$3,"NA"),'MITRE ATT&amp;CK Mappings'!$I237))),ISNUMBER(SEARCH(IF(E$3&lt;&gt;"",E$3,"NA"),'MITRE ATT&amp;CK Mappings'!$J237))), 'MITRE ATT&amp;CK Mappings'!$B237,"")</f>
        <v/>
      </c>
      <c r="F241" s="27" t="str">
        <f>IF(OR(OR(OR(OR(OR(ISNUMBER(SEARCH(IF(F$1&lt;&gt;"",F$1,"NA"),'MITRE ATT&amp;CK Mappings'!$E237)),ISNUMBER(SEARCH(IF(F$1&lt;&gt;"",F$1,"NA"),'MITRE ATT&amp;CK Mappings'!$F237))),ISNUMBER(SEARCH(IF(F$2&lt;&gt;"",F$2,"NA"),'MITRE ATT&amp;CK Mappings'!$G237))),ISNUMBER(SEARCH(IF(F$2&lt;&gt;"",F$2,"NA"),'MITRE ATT&amp;CK Mappings'!$H237))),ISNUMBER(SEARCH(IF(F$3&lt;&gt;"",F$3,"NA"),'MITRE ATT&amp;CK Mappings'!$I237))),ISNUMBER(SEARCH(IF(F$3&lt;&gt;"",F$3,"NA"),'MITRE ATT&amp;CK Mappings'!$J237))), 'MITRE ATT&amp;CK Mappings'!$B237,"")</f>
        <v/>
      </c>
      <c r="G241" s="27" t="str">
        <f>IF(OR(OR(OR(OR(OR(ISNUMBER(SEARCH(IF(G$1&lt;&gt;"",G$1,"NA"),'MITRE ATT&amp;CK Mappings'!$E237)),ISNUMBER(SEARCH(IF(G$1&lt;&gt;"",G$1,"NA"),'MITRE ATT&amp;CK Mappings'!$F237))),ISNUMBER(SEARCH(IF(G$2&lt;&gt;"",G$2,"NA"),'MITRE ATT&amp;CK Mappings'!$G237))),ISNUMBER(SEARCH(IF(G$2&lt;&gt;"",G$2,"NA"),'MITRE ATT&amp;CK Mappings'!$H237))),ISNUMBER(SEARCH(IF(G$3&lt;&gt;"",G$3,"NA"),'MITRE ATT&amp;CK Mappings'!$I237))),ISNUMBER(SEARCH(IF(G$3&lt;&gt;"",G$3,"NA"),'MITRE ATT&amp;CK Mappings'!$J237))), 'MITRE ATT&amp;CK Mappings'!$B237,"")</f>
        <v/>
      </c>
      <c r="H241" s="27" t="str">
        <f>IF(OR(OR(OR(OR(OR(ISNUMBER(SEARCH(IF(H$1&lt;&gt;"",H$1,"NA"),'MITRE ATT&amp;CK Mappings'!$E237)),ISNUMBER(SEARCH(IF(H$1&lt;&gt;"",H$1,"NA"),'MITRE ATT&amp;CK Mappings'!$F237))),ISNUMBER(SEARCH(IF(H$2&lt;&gt;"",H$2,"NA"),'MITRE ATT&amp;CK Mappings'!$G237))),ISNUMBER(SEARCH(IF(H$2&lt;&gt;"",H$2,"NA"),'MITRE ATT&amp;CK Mappings'!$H237))),ISNUMBER(SEARCH(IF(H$3&lt;&gt;"",H$3,"NA"),'MITRE ATT&amp;CK Mappings'!$I237))),ISNUMBER(SEARCH(IF(H$3&lt;&gt;"",H$3,"NA"),'MITRE ATT&amp;CK Mappings'!$J237))), 'MITRE ATT&amp;CK Mappings'!$B237,"")</f>
        <v/>
      </c>
      <c r="I241" s="27" t="str">
        <f>IF(OR(OR(OR(OR(OR(ISNUMBER(SEARCH(IF(I$1&lt;&gt;"",I$1,"NA"),'MITRE ATT&amp;CK Mappings'!$E237)),ISNUMBER(SEARCH(IF(I$1&lt;&gt;"",I$1,"NA"),'MITRE ATT&amp;CK Mappings'!$F237))),ISNUMBER(SEARCH(IF(I$2&lt;&gt;"",I$2,"NA"),'MITRE ATT&amp;CK Mappings'!$G237))),ISNUMBER(SEARCH(IF(I$2&lt;&gt;"",I$2,"NA"),'MITRE ATT&amp;CK Mappings'!$H237))),ISNUMBER(SEARCH(IF(I$3&lt;&gt;"",I$3,"NA"),'MITRE ATT&amp;CK Mappings'!$I237))),ISNUMBER(SEARCH(IF(I$3&lt;&gt;"",I$3,"NA"),'MITRE ATT&amp;CK Mappings'!$J237))), 'MITRE ATT&amp;CK Mappings'!$B237,"")</f>
        <v/>
      </c>
      <c r="J241" s="27" t="str">
        <f>IF(OR(OR(OR(OR(OR(ISNUMBER(SEARCH(IF(J$1&lt;&gt;"",J$1,"NA"),'MITRE ATT&amp;CK Mappings'!$E237)),ISNUMBER(SEARCH(IF(J$1&lt;&gt;"",J$1,"NA"),'MITRE ATT&amp;CK Mappings'!$F237))),ISNUMBER(SEARCH(IF(J$2&lt;&gt;"",J$2,"NA"),'MITRE ATT&amp;CK Mappings'!$G237))),ISNUMBER(SEARCH(IF(J$2&lt;&gt;"",J$2,"NA"),'MITRE ATT&amp;CK Mappings'!$H237))),ISNUMBER(SEARCH(IF(J$3&lt;&gt;"",J$3,"NA"),'MITRE ATT&amp;CK Mappings'!$I237))),ISNUMBER(SEARCH(IF(J$3&lt;&gt;"",J$3,"NA"),'MITRE ATT&amp;CK Mappings'!$J237))), 'MITRE ATT&amp;CK Mappings'!$B237,"")</f>
        <v/>
      </c>
      <c r="K241" s="27" t="str">
        <f>IF(OR(OR(OR(OR(OR(ISNUMBER(SEARCH(IF(K$1&lt;&gt;"",K$1,"NA"),'MITRE ATT&amp;CK Mappings'!$E237)),ISNUMBER(SEARCH(IF(K$1&lt;&gt;"",K$1,"NA"),'MITRE ATT&amp;CK Mappings'!$F237))),ISNUMBER(SEARCH(IF(K$2&lt;&gt;"",K$2,"NA"),'MITRE ATT&amp;CK Mappings'!$G237))),ISNUMBER(SEARCH(IF(K$2&lt;&gt;"",K$2,"NA"),'MITRE ATT&amp;CK Mappings'!$H237))),ISNUMBER(SEARCH(IF(K$3&lt;&gt;"",K$3,"NA"),'MITRE ATT&amp;CK Mappings'!$I237))),ISNUMBER(SEARCH(IF(K$3&lt;&gt;"",K$3,"NA"),'MITRE ATT&amp;CK Mappings'!$J237))), 'MITRE ATT&amp;CK Mappings'!$B237,"")</f>
        <v/>
      </c>
      <c r="L241" s="27" t="str">
        <f>IF('MITRE ATT&amp;CK Mappings'!D237 &lt;&gt;"",'MITRE ATT&amp;CK Mappings'!D237,"" )</f>
        <v/>
      </c>
    </row>
    <row r="242" spans="1:12" x14ac:dyDescent="0.25">
      <c r="A242" s="26" t="str">
        <f>IF(COUNTIF(B242:K242,"="&amp;'MITRE ATT&amp;CK Mappings'!B238)&gt;0,'MITRE ATT&amp;CK Mappings'!B238,"")</f>
        <v/>
      </c>
      <c r="B242" s="26" t="str">
        <f>IF(OR(OR(OR(OR(OR(ISNUMBER(SEARCH(IF(B$1&lt;&gt;"",B$1,"NA"),'MITRE ATT&amp;CK Mappings'!$E238)),ISNUMBER(SEARCH(IF(B$1&lt;&gt;"",B$1,"NA"),'MITRE ATT&amp;CK Mappings'!$F238))),ISNUMBER(SEARCH(IF(B$2&lt;&gt;"",B$2,"NA"),'MITRE ATT&amp;CK Mappings'!$G238))),ISNUMBER(SEARCH(IF(B$2&lt;&gt;"",B$2,"NA"),'MITRE ATT&amp;CK Mappings'!$H238))),ISNUMBER(SEARCH(IF(B$3&lt;&gt;"",B$3,"NA"),'MITRE ATT&amp;CK Mappings'!$I238))),ISNUMBER(SEARCH(IF(B$3&lt;&gt;"",B$3,"NA"),'MITRE ATT&amp;CK Mappings'!$J238))), 'MITRE ATT&amp;CK Mappings'!$B238,"")</f>
        <v/>
      </c>
      <c r="C242" s="26" t="str">
        <f>IF(OR(OR(OR(OR(OR(ISNUMBER(SEARCH(IF(C$1&lt;&gt;"",C$1,"NA"),'MITRE ATT&amp;CK Mappings'!$E238)),ISNUMBER(SEARCH(IF(C$1&lt;&gt;"",C$1,"NA"),'MITRE ATT&amp;CK Mappings'!$F238))),ISNUMBER(SEARCH(IF(C$2&lt;&gt;"",C$2,"NA"),'MITRE ATT&amp;CK Mappings'!$G238))),ISNUMBER(SEARCH(IF(C$2&lt;&gt;"",C$2,"NA"),'MITRE ATT&amp;CK Mappings'!$H238))),ISNUMBER(SEARCH(IF(C$3&lt;&gt;"",C$3,"NA"),'MITRE ATT&amp;CK Mappings'!$I238))),ISNUMBER(SEARCH(IF(C$3&lt;&gt;"",C$3,"NA"),'MITRE ATT&amp;CK Mappings'!$J238))), 'MITRE ATT&amp;CK Mappings'!$B238,"")</f>
        <v/>
      </c>
      <c r="D242" s="26" t="str">
        <f>IF(OR(OR(OR(OR(OR(ISNUMBER(SEARCH(IF(D$1&lt;&gt;"",D$1,"NA"),'MITRE ATT&amp;CK Mappings'!$E238)),ISNUMBER(SEARCH(IF(D$1&lt;&gt;"",D$1,"NA"),'MITRE ATT&amp;CK Mappings'!$F238))),ISNUMBER(SEARCH(IF(D$2&lt;&gt;"",D$2,"NA"),'MITRE ATT&amp;CK Mappings'!$G238))),ISNUMBER(SEARCH(IF(D$2&lt;&gt;"",D$2,"NA"),'MITRE ATT&amp;CK Mappings'!$H238))),ISNUMBER(SEARCH(IF(D$3&lt;&gt;"",D$3,"NA"),'MITRE ATT&amp;CK Mappings'!$I238))),ISNUMBER(SEARCH(IF(D$3&lt;&gt;"",D$3,"NA"),'MITRE ATT&amp;CK Mappings'!$J238))), 'MITRE ATT&amp;CK Mappings'!$B238,"")</f>
        <v/>
      </c>
      <c r="E242" s="26" t="str">
        <f>IF(OR(OR(OR(OR(OR(ISNUMBER(SEARCH(IF(E$1&lt;&gt;"",E$1,"NA"),'MITRE ATT&amp;CK Mappings'!$E238)),ISNUMBER(SEARCH(IF(E$1&lt;&gt;"",E$1,"NA"),'MITRE ATT&amp;CK Mappings'!$F238))),ISNUMBER(SEARCH(IF(E$2&lt;&gt;"",E$2,"NA"),'MITRE ATT&amp;CK Mappings'!$G238))),ISNUMBER(SEARCH(IF(E$2&lt;&gt;"",E$2,"NA"),'MITRE ATT&amp;CK Mappings'!$H238))),ISNUMBER(SEARCH(IF(E$3&lt;&gt;"",E$3,"NA"),'MITRE ATT&amp;CK Mappings'!$I238))),ISNUMBER(SEARCH(IF(E$3&lt;&gt;"",E$3,"NA"),'MITRE ATT&amp;CK Mappings'!$J238))), 'MITRE ATT&amp;CK Mappings'!$B238,"")</f>
        <v/>
      </c>
      <c r="F242" s="26" t="str">
        <f>IF(OR(OR(OR(OR(OR(ISNUMBER(SEARCH(IF(F$1&lt;&gt;"",F$1,"NA"),'MITRE ATT&amp;CK Mappings'!$E238)),ISNUMBER(SEARCH(IF(F$1&lt;&gt;"",F$1,"NA"),'MITRE ATT&amp;CK Mappings'!$F238))),ISNUMBER(SEARCH(IF(F$2&lt;&gt;"",F$2,"NA"),'MITRE ATT&amp;CK Mappings'!$G238))),ISNUMBER(SEARCH(IF(F$2&lt;&gt;"",F$2,"NA"),'MITRE ATT&amp;CK Mappings'!$H238))),ISNUMBER(SEARCH(IF(F$3&lt;&gt;"",F$3,"NA"),'MITRE ATT&amp;CK Mappings'!$I238))),ISNUMBER(SEARCH(IF(F$3&lt;&gt;"",F$3,"NA"),'MITRE ATT&amp;CK Mappings'!$J238))), 'MITRE ATT&amp;CK Mappings'!$B238,"")</f>
        <v/>
      </c>
      <c r="G242" s="26" t="str">
        <f>IF(OR(OR(OR(OR(OR(ISNUMBER(SEARCH(IF(G$1&lt;&gt;"",G$1,"NA"),'MITRE ATT&amp;CK Mappings'!$E238)),ISNUMBER(SEARCH(IF(G$1&lt;&gt;"",G$1,"NA"),'MITRE ATT&amp;CK Mappings'!$F238))),ISNUMBER(SEARCH(IF(G$2&lt;&gt;"",G$2,"NA"),'MITRE ATT&amp;CK Mappings'!$G238))),ISNUMBER(SEARCH(IF(G$2&lt;&gt;"",G$2,"NA"),'MITRE ATT&amp;CK Mappings'!$H238))),ISNUMBER(SEARCH(IF(G$3&lt;&gt;"",G$3,"NA"),'MITRE ATT&amp;CK Mappings'!$I238))),ISNUMBER(SEARCH(IF(G$3&lt;&gt;"",G$3,"NA"),'MITRE ATT&amp;CK Mappings'!$J238))), 'MITRE ATT&amp;CK Mappings'!$B238,"")</f>
        <v/>
      </c>
      <c r="H242" s="26" t="str">
        <f>IF(OR(OR(OR(OR(OR(ISNUMBER(SEARCH(IF(H$1&lt;&gt;"",H$1,"NA"),'MITRE ATT&amp;CK Mappings'!$E238)),ISNUMBER(SEARCH(IF(H$1&lt;&gt;"",H$1,"NA"),'MITRE ATT&amp;CK Mappings'!$F238))),ISNUMBER(SEARCH(IF(H$2&lt;&gt;"",H$2,"NA"),'MITRE ATT&amp;CK Mappings'!$G238))),ISNUMBER(SEARCH(IF(H$2&lt;&gt;"",H$2,"NA"),'MITRE ATT&amp;CK Mappings'!$H238))),ISNUMBER(SEARCH(IF(H$3&lt;&gt;"",H$3,"NA"),'MITRE ATT&amp;CK Mappings'!$I238))),ISNUMBER(SEARCH(IF(H$3&lt;&gt;"",H$3,"NA"),'MITRE ATT&amp;CK Mappings'!$J238))), 'MITRE ATT&amp;CK Mappings'!$B238,"")</f>
        <v/>
      </c>
      <c r="I242" s="26" t="str">
        <f>IF(OR(OR(OR(OR(OR(ISNUMBER(SEARCH(IF(I$1&lt;&gt;"",I$1,"NA"),'MITRE ATT&amp;CK Mappings'!$E238)),ISNUMBER(SEARCH(IF(I$1&lt;&gt;"",I$1,"NA"),'MITRE ATT&amp;CK Mappings'!$F238))),ISNUMBER(SEARCH(IF(I$2&lt;&gt;"",I$2,"NA"),'MITRE ATT&amp;CK Mappings'!$G238))),ISNUMBER(SEARCH(IF(I$2&lt;&gt;"",I$2,"NA"),'MITRE ATT&amp;CK Mappings'!$H238))),ISNUMBER(SEARCH(IF(I$3&lt;&gt;"",I$3,"NA"),'MITRE ATT&amp;CK Mappings'!$I238))),ISNUMBER(SEARCH(IF(I$3&lt;&gt;"",I$3,"NA"),'MITRE ATT&amp;CK Mappings'!$J238))), 'MITRE ATT&amp;CK Mappings'!$B238,"")</f>
        <v/>
      </c>
      <c r="J242" s="26" t="str">
        <f>IF(OR(OR(OR(OR(OR(ISNUMBER(SEARCH(IF(J$1&lt;&gt;"",J$1,"NA"),'MITRE ATT&amp;CK Mappings'!$E238)),ISNUMBER(SEARCH(IF(J$1&lt;&gt;"",J$1,"NA"),'MITRE ATT&amp;CK Mappings'!$F238))),ISNUMBER(SEARCH(IF(J$2&lt;&gt;"",J$2,"NA"),'MITRE ATT&amp;CK Mappings'!$G238))),ISNUMBER(SEARCH(IF(J$2&lt;&gt;"",J$2,"NA"),'MITRE ATT&amp;CK Mappings'!$H238))),ISNUMBER(SEARCH(IF(J$3&lt;&gt;"",J$3,"NA"),'MITRE ATT&amp;CK Mappings'!$I238))),ISNUMBER(SEARCH(IF(J$3&lt;&gt;"",J$3,"NA"),'MITRE ATT&amp;CK Mappings'!$J238))), 'MITRE ATT&amp;CK Mappings'!$B238,"")</f>
        <v/>
      </c>
      <c r="K242" s="26" t="str">
        <f>IF(OR(OR(OR(OR(OR(ISNUMBER(SEARCH(IF(K$1&lt;&gt;"",K$1,"NA"),'MITRE ATT&amp;CK Mappings'!$E238)),ISNUMBER(SEARCH(IF(K$1&lt;&gt;"",K$1,"NA"),'MITRE ATT&amp;CK Mappings'!$F238))),ISNUMBER(SEARCH(IF(K$2&lt;&gt;"",K$2,"NA"),'MITRE ATT&amp;CK Mappings'!$G238))),ISNUMBER(SEARCH(IF(K$2&lt;&gt;"",K$2,"NA"),'MITRE ATT&amp;CK Mappings'!$H238))),ISNUMBER(SEARCH(IF(K$3&lt;&gt;"",K$3,"NA"),'MITRE ATT&amp;CK Mappings'!$I238))),ISNUMBER(SEARCH(IF(K$3&lt;&gt;"",K$3,"NA"),'MITRE ATT&amp;CK Mappings'!$J238))), 'MITRE ATT&amp;CK Mappings'!$B238,"")</f>
        <v/>
      </c>
      <c r="L242" s="26" t="str">
        <f>IF('MITRE ATT&amp;CK Mappings'!D238 &lt;&gt;"",'MITRE ATT&amp;CK Mappings'!D238,"" )</f>
        <v/>
      </c>
    </row>
    <row r="243" spans="1:12" x14ac:dyDescent="0.25">
      <c r="A243" s="27" t="str">
        <f>IF(COUNTIF(B243:K243,"="&amp;'MITRE ATT&amp;CK Mappings'!B239)&gt;0,'MITRE ATT&amp;CK Mappings'!B239,"")</f>
        <v/>
      </c>
      <c r="B243" s="27" t="str">
        <f>IF(OR(OR(OR(OR(OR(ISNUMBER(SEARCH(IF(B$1&lt;&gt;"",B$1,"NA"),'MITRE ATT&amp;CK Mappings'!$E239)),ISNUMBER(SEARCH(IF(B$1&lt;&gt;"",B$1,"NA"),'MITRE ATT&amp;CK Mappings'!$F239))),ISNUMBER(SEARCH(IF(B$2&lt;&gt;"",B$2,"NA"),'MITRE ATT&amp;CK Mappings'!$G239))),ISNUMBER(SEARCH(IF(B$2&lt;&gt;"",B$2,"NA"),'MITRE ATT&amp;CK Mappings'!$H239))),ISNUMBER(SEARCH(IF(B$3&lt;&gt;"",B$3,"NA"),'MITRE ATT&amp;CK Mappings'!$I239))),ISNUMBER(SEARCH(IF(B$3&lt;&gt;"",B$3,"NA"),'MITRE ATT&amp;CK Mappings'!$J239))), 'MITRE ATT&amp;CK Mappings'!$B239,"")</f>
        <v/>
      </c>
      <c r="C243" s="27" t="str">
        <f>IF(OR(OR(OR(OR(OR(ISNUMBER(SEARCH(IF(C$1&lt;&gt;"",C$1,"NA"),'MITRE ATT&amp;CK Mappings'!$E239)),ISNUMBER(SEARCH(IF(C$1&lt;&gt;"",C$1,"NA"),'MITRE ATT&amp;CK Mappings'!$F239))),ISNUMBER(SEARCH(IF(C$2&lt;&gt;"",C$2,"NA"),'MITRE ATT&amp;CK Mappings'!$G239))),ISNUMBER(SEARCH(IF(C$2&lt;&gt;"",C$2,"NA"),'MITRE ATT&amp;CK Mappings'!$H239))),ISNUMBER(SEARCH(IF(C$3&lt;&gt;"",C$3,"NA"),'MITRE ATT&amp;CK Mappings'!$I239))),ISNUMBER(SEARCH(IF(C$3&lt;&gt;"",C$3,"NA"),'MITRE ATT&amp;CK Mappings'!$J239))), 'MITRE ATT&amp;CK Mappings'!$B239,"")</f>
        <v/>
      </c>
      <c r="D243" s="27" t="str">
        <f>IF(OR(OR(OR(OR(OR(ISNUMBER(SEARCH(IF(D$1&lt;&gt;"",D$1,"NA"),'MITRE ATT&amp;CK Mappings'!$E239)),ISNUMBER(SEARCH(IF(D$1&lt;&gt;"",D$1,"NA"),'MITRE ATT&amp;CK Mappings'!$F239))),ISNUMBER(SEARCH(IF(D$2&lt;&gt;"",D$2,"NA"),'MITRE ATT&amp;CK Mappings'!$G239))),ISNUMBER(SEARCH(IF(D$2&lt;&gt;"",D$2,"NA"),'MITRE ATT&amp;CK Mappings'!$H239))),ISNUMBER(SEARCH(IF(D$3&lt;&gt;"",D$3,"NA"),'MITRE ATT&amp;CK Mappings'!$I239))),ISNUMBER(SEARCH(IF(D$3&lt;&gt;"",D$3,"NA"),'MITRE ATT&amp;CK Mappings'!$J239))), 'MITRE ATT&amp;CK Mappings'!$B239,"")</f>
        <v/>
      </c>
      <c r="E243" s="27" t="str">
        <f>IF(OR(OR(OR(OR(OR(ISNUMBER(SEARCH(IF(E$1&lt;&gt;"",E$1,"NA"),'MITRE ATT&amp;CK Mappings'!$E239)),ISNUMBER(SEARCH(IF(E$1&lt;&gt;"",E$1,"NA"),'MITRE ATT&amp;CK Mappings'!$F239))),ISNUMBER(SEARCH(IF(E$2&lt;&gt;"",E$2,"NA"),'MITRE ATT&amp;CK Mappings'!$G239))),ISNUMBER(SEARCH(IF(E$2&lt;&gt;"",E$2,"NA"),'MITRE ATT&amp;CK Mappings'!$H239))),ISNUMBER(SEARCH(IF(E$3&lt;&gt;"",E$3,"NA"),'MITRE ATT&amp;CK Mappings'!$I239))),ISNUMBER(SEARCH(IF(E$3&lt;&gt;"",E$3,"NA"),'MITRE ATT&amp;CK Mappings'!$J239))), 'MITRE ATT&amp;CK Mappings'!$B239,"")</f>
        <v/>
      </c>
      <c r="F243" s="27" t="str">
        <f>IF(OR(OR(OR(OR(OR(ISNUMBER(SEARCH(IF(F$1&lt;&gt;"",F$1,"NA"),'MITRE ATT&amp;CK Mappings'!$E239)),ISNUMBER(SEARCH(IF(F$1&lt;&gt;"",F$1,"NA"),'MITRE ATT&amp;CK Mappings'!$F239))),ISNUMBER(SEARCH(IF(F$2&lt;&gt;"",F$2,"NA"),'MITRE ATT&amp;CK Mappings'!$G239))),ISNUMBER(SEARCH(IF(F$2&lt;&gt;"",F$2,"NA"),'MITRE ATT&amp;CK Mappings'!$H239))),ISNUMBER(SEARCH(IF(F$3&lt;&gt;"",F$3,"NA"),'MITRE ATT&amp;CK Mappings'!$I239))),ISNUMBER(SEARCH(IF(F$3&lt;&gt;"",F$3,"NA"),'MITRE ATT&amp;CK Mappings'!$J239))), 'MITRE ATT&amp;CK Mappings'!$B239,"")</f>
        <v/>
      </c>
      <c r="G243" s="27" t="str">
        <f>IF(OR(OR(OR(OR(OR(ISNUMBER(SEARCH(IF(G$1&lt;&gt;"",G$1,"NA"),'MITRE ATT&amp;CK Mappings'!$E239)),ISNUMBER(SEARCH(IF(G$1&lt;&gt;"",G$1,"NA"),'MITRE ATT&amp;CK Mappings'!$F239))),ISNUMBER(SEARCH(IF(G$2&lt;&gt;"",G$2,"NA"),'MITRE ATT&amp;CK Mappings'!$G239))),ISNUMBER(SEARCH(IF(G$2&lt;&gt;"",G$2,"NA"),'MITRE ATT&amp;CK Mappings'!$H239))),ISNUMBER(SEARCH(IF(G$3&lt;&gt;"",G$3,"NA"),'MITRE ATT&amp;CK Mappings'!$I239))),ISNUMBER(SEARCH(IF(G$3&lt;&gt;"",G$3,"NA"),'MITRE ATT&amp;CK Mappings'!$J239))), 'MITRE ATT&amp;CK Mappings'!$B239,"")</f>
        <v/>
      </c>
      <c r="H243" s="27" t="str">
        <f>IF(OR(OR(OR(OR(OR(ISNUMBER(SEARCH(IF(H$1&lt;&gt;"",H$1,"NA"),'MITRE ATT&amp;CK Mappings'!$E239)),ISNUMBER(SEARCH(IF(H$1&lt;&gt;"",H$1,"NA"),'MITRE ATT&amp;CK Mappings'!$F239))),ISNUMBER(SEARCH(IF(H$2&lt;&gt;"",H$2,"NA"),'MITRE ATT&amp;CK Mappings'!$G239))),ISNUMBER(SEARCH(IF(H$2&lt;&gt;"",H$2,"NA"),'MITRE ATT&amp;CK Mappings'!$H239))),ISNUMBER(SEARCH(IF(H$3&lt;&gt;"",H$3,"NA"),'MITRE ATT&amp;CK Mappings'!$I239))),ISNUMBER(SEARCH(IF(H$3&lt;&gt;"",H$3,"NA"),'MITRE ATT&amp;CK Mappings'!$J239))), 'MITRE ATT&amp;CK Mappings'!$B239,"")</f>
        <v/>
      </c>
      <c r="I243" s="27" t="str">
        <f>IF(OR(OR(OR(OR(OR(ISNUMBER(SEARCH(IF(I$1&lt;&gt;"",I$1,"NA"),'MITRE ATT&amp;CK Mappings'!$E239)),ISNUMBER(SEARCH(IF(I$1&lt;&gt;"",I$1,"NA"),'MITRE ATT&amp;CK Mappings'!$F239))),ISNUMBER(SEARCH(IF(I$2&lt;&gt;"",I$2,"NA"),'MITRE ATT&amp;CK Mappings'!$G239))),ISNUMBER(SEARCH(IF(I$2&lt;&gt;"",I$2,"NA"),'MITRE ATT&amp;CK Mappings'!$H239))),ISNUMBER(SEARCH(IF(I$3&lt;&gt;"",I$3,"NA"),'MITRE ATT&amp;CK Mappings'!$I239))),ISNUMBER(SEARCH(IF(I$3&lt;&gt;"",I$3,"NA"),'MITRE ATT&amp;CK Mappings'!$J239))), 'MITRE ATT&amp;CK Mappings'!$B239,"")</f>
        <v/>
      </c>
      <c r="J243" s="27" t="str">
        <f>IF(OR(OR(OR(OR(OR(ISNUMBER(SEARCH(IF(J$1&lt;&gt;"",J$1,"NA"),'MITRE ATT&amp;CK Mappings'!$E239)),ISNUMBER(SEARCH(IF(J$1&lt;&gt;"",J$1,"NA"),'MITRE ATT&amp;CK Mappings'!$F239))),ISNUMBER(SEARCH(IF(J$2&lt;&gt;"",J$2,"NA"),'MITRE ATT&amp;CK Mappings'!$G239))),ISNUMBER(SEARCH(IF(J$2&lt;&gt;"",J$2,"NA"),'MITRE ATT&amp;CK Mappings'!$H239))),ISNUMBER(SEARCH(IF(J$3&lt;&gt;"",J$3,"NA"),'MITRE ATT&amp;CK Mappings'!$I239))),ISNUMBER(SEARCH(IF(J$3&lt;&gt;"",J$3,"NA"),'MITRE ATT&amp;CK Mappings'!$J239))), 'MITRE ATT&amp;CK Mappings'!$B239,"")</f>
        <v/>
      </c>
      <c r="K243" s="27" t="str">
        <f>IF(OR(OR(OR(OR(OR(ISNUMBER(SEARCH(IF(K$1&lt;&gt;"",K$1,"NA"),'MITRE ATT&amp;CK Mappings'!$E239)),ISNUMBER(SEARCH(IF(K$1&lt;&gt;"",K$1,"NA"),'MITRE ATT&amp;CK Mappings'!$F239))),ISNUMBER(SEARCH(IF(K$2&lt;&gt;"",K$2,"NA"),'MITRE ATT&amp;CK Mappings'!$G239))),ISNUMBER(SEARCH(IF(K$2&lt;&gt;"",K$2,"NA"),'MITRE ATT&amp;CK Mappings'!$H239))),ISNUMBER(SEARCH(IF(K$3&lt;&gt;"",K$3,"NA"),'MITRE ATT&amp;CK Mappings'!$I239))),ISNUMBER(SEARCH(IF(K$3&lt;&gt;"",K$3,"NA"),'MITRE ATT&amp;CK Mappings'!$J239))), 'MITRE ATT&amp;CK Mappings'!$B239,"")</f>
        <v/>
      </c>
      <c r="L243" s="27" t="str">
        <f>IF('MITRE ATT&amp;CK Mappings'!D239 &lt;&gt;"",'MITRE ATT&amp;CK Mappings'!D239,"" )</f>
        <v/>
      </c>
    </row>
    <row r="244" spans="1:12" x14ac:dyDescent="0.25">
      <c r="A244" s="26" t="str">
        <f>IF(COUNTIF(B244:K244,"="&amp;'MITRE ATT&amp;CK Mappings'!B240)&gt;0,'MITRE ATT&amp;CK Mappings'!B240,"")</f>
        <v/>
      </c>
      <c r="B244" s="26" t="str">
        <f>IF(OR(OR(OR(OR(OR(ISNUMBER(SEARCH(IF(B$1&lt;&gt;"",B$1,"NA"),'MITRE ATT&amp;CK Mappings'!$E240)),ISNUMBER(SEARCH(IF(B$1&lt;&gt;"",B$1,"NA"),'MITRE ATT&amp;CK Mappings'!$F240))),ISNUMBER(SEARCH(IF(B$2&lt;&gt;"",B$2,"NA"),'MITRE ATT&amp;CK Mappings'!$G240))),ISNUMBER(SEARCH(IF(B$2&lt;&gt;"",B$2,"NA"),'MITRE ATT&amp;CK Mappings'!$H240))),ISNUMBER(SEARCH(IF(B$3&lt;&gt;"",B$3,"NA"),'MITRE ATT&amp;CK Mappings'!$I240))),ISNUMBER(SEARCH(IF(B$3&lt;&gt;"",B$3,"NA"),'MITRE ATT&amp;CK Mappings'!$J240))), 'MITRE ATT&amp;CK Mappings'!$B240,"")</f>
        <v/>
      </c>
      <c r="C244" s="26" t="str">
        <f>IF(OR(OR(OR(OR(OR(ISNUMBER(SEARCH(IF(C$1&lt;&gt;"",C$1,"NA"),'MITRE ATT&amp;CK Mappings'!$E240)),ISNUMBER(SEARCH(IF(C$1&lt;&gt;"",C$1,"NA"),'MITRE ATT&amp;CK Mappings'!$F240))),ISNUMBER(SEARCH(IF(C$2&lt;&gt;"",C$2,"NA"),'MITRE ATT&amp;CK Mappings'!$G240))),ISNUMBER(SEARCH(IF(C$2&lt;&gt;"",C$2,"NA"),'MITRE ATT&amp;CK Mappings'!$H240))),ISNUMBER(SEARCH(IF(C$3&lt;&gt;"",C$3,"NA"),'MITRE ATT&amp;CK Mappings'!$I240))),ISNUMBER(SEARCH(IF(C$3&lt;&gt;"",C$3,"NA"),'MITRE ATT&amp;CK Mappings'!$J240))), 'MITRE ATT&amp;CK Mappings'!$B240,"")</f>
        <v/>
      </c>
      <c r="D244" s="26" t="str">
        <f>IF(OR(OR(OR(OR(OR(ISNUMBER(SEARCH(IF(D$1&lt;&gt;"",D$1,"NA"),'MITRE ATT&amp;CK Mappings'!$E240)),ISNUMBER(SEARCH(IF(D$1&lt;&gt;"",D$1,"NA"),'MITRE ATT&amp;CK Mappings'!$F240))),ISNUMBER(SEARCH(IF(D$2&lt;&gt;"",D$2,"NA"),'MITRE ATT&amp;CK Mappings'!$G240))),ISNUMBER(SEARCH(IF(D$2&lt;&gt;"",D$2,"NA"),'MITRE ATT&amp;CK Mappings'!$H240))),ISNUMBER(SEARCH(IF(D$3&lt;&gt;"",D$3,"NA"),'MITRE ATT&amp;CK Mappings'!$I240))),ISNUMBER(SEARCH(IF(D$3&lt;&gt;"",D$3,"NA"),'MITRE ATT&amp;CK Mappings'!$J240))), 'MITRE ATT&amp;CK Mappings'!$B240,"")</f>
        <v/>
      </c>
      <c r="E244" s="26" t="str">
        <f>IF(OR(OR(OR(OR(OR(ISNUMBER(SEARCH(IF(E$1&lt;&gt;"",E$1,"NA"),'MITRE ATT&amp;CK Mappings'!$E240)),ISNUMBER(SEARCH(IF(E$1&lt;&gt;"",E$1,"NA"),'MITRE ATT&amp;CK Mappings'!$F240))),ISNUMBER(SEARCH(IF(E$2&lt;&gt;"",E$2,"NA"),'MITRE ATT&amp;CK Mappings'!$G240))),ISNUMBER(SEARCH(IF(E$2&lt;&gt;"",E$2,"NA"),'MITRE ATT&amp;CK Mappings'!$H240))),ISNUMBER(SEARCH(IF(E$3&lt;&gt;"",E$3,"NA"),'MITRE ATT&amp;CK Mappings'!$I240))),ISNUMBER(SEARCH(IF(E$3&lt;&gt;"",E$3,"NA"),'MITRE ATT&amp;CK Mappings'!$J240))), 'MITRE ATT&amp;CK Mappings'!$B240,"")</f>
        <v/>
      </c>
      <c r="F244" s="26" t="str">
        <f>IF(OR(OR(OR(OR(OR(ISNUMBER(SEARCH(IF(F$1&lt;&gt;"",F$1,"NA"),'MITRE ATT&amp;CK Mappings'!$E240)),ISNUMBER(SEARCH(IF(F$1&lt;&gt;"",F$1,"NA"),'MITRE ATT&amp;CK Mappings'!$F240))),ISNUMBER(SEARCH(IF(F$2&lt;&gt;"",F$2,"NA"),'MITRE ATT&amp;CK Mappings'!$G240))),ISNUMBER(SEARCH(IF(F$2&lt;&gt;"",F$2,"NA"),'MITRE ATT&amp;CK Mappings'!$H240))),ISNUMBER(SEARCH(IF(F$3&lt;&gt;"",F$3,"NA"),'MITRE ATT&amp;CK Mappings'!$I240))),ISNUMBER(SEARCH(IF(F$3&lt;&gt;"",F$3,"NA"),'MITRE ATT&amp;CK Mappings'!$J240))), 'MITRE ATT&amp;CK Mappings'!$B240,"")</f>
        <v/>
      </c>
      <c r="G244" s="26" t="str">
        <f>IF(OR(OR(OR(OR(OR(ISNUMBER(SEARCH(IF(G$1&lt;&gt;"",G$1,"NA"),'MITRE ATT&amp;CK Mappings'!$E240)),ISNUMBER(SEARCH(IF(G$1&lt;&gt;"",G$1,"NA"),'MITRE ATT&amp;CK Mappings'!$F240))),ISNUMBER(SEARCH(IF(G$2&lt;&gt;"",G$2,"NA"),'MITRE ATT&amp;CK Mappings'!$G240))),ISNUMBER(SEARCH(IF(G$2&lt;&gt;"",G$2,"NA"),'MITRE ATT&amp;CK Mappings'!$H240))),ISNUMBER(SEARCH(IF(G$3&lt;&gt;"",G$3,"NA"),'MITRE ATT&amp;CK Mappings'!$I240))),ISNUMBER(SEARCH(IF(G$3&lt;&gt;"",G$3,"NA"),'MITRE ATT&amp;CK Mappings'!$J240))), 'MITRE ATT&amp;CK Mappings'!$B240,"")</f>
        <v/>
      </c>
      <c r="H244" s="26" t="str">
        <f>IF(OR(OR(OR(OR(OR(ISNUMBER(SEARCH(IF(H$1&lt;&gt;"",H$1,"NA"),'MITRE ATT&amp;CK Mappings'!$E240)),ISNUMBER(SEARCH(IF(H$1&lt;&gt;"",H$1,"NA"),'MITRE ATT&amp;CK Mappings'!$F240))),ISNUMBER(SEARCH(IF(H$2&lt;&gt;"",H$2,"NA"),'MITRE ATT&amp;CK Mappings'!$G240))),ISNUMBER(SEARCH(IF(H$2&lt;&gt;"",H$2,"NA"),'MITRE ATT&amp;CK Mappings'!$H240))),ISNUMBER(SEARCH(IF(H$3&lt;&gt;"",H$3,"NA"),'MITRE ATT&amp;CK Mappings'!$I240))),ISNUMBER(SEARCH(IF(H$3&lt;&gt;"",H$3,"NA"),'MITRE ATT&amp;CK Mappings'!$J240))), 'MITRE ATT&amp;CK Mappings'!$B240,"")</f>
        <v/>
      </c>
      <c r="I244" s="26" t="str">
        <f>IF(OR(OR(OR(OR(OR(ISNUMBER(SEARCH(IF(I$1&lt;&gt;"",I$1,"NA"),'MITRE ATT&amp;CK Mappings'!$E240)),ISNUMBER(SEARCH(IF(I$1&lt;&gt;"",I$1,"NA"),'MITRE ATT&amp;CK Mappings'!$F240))),ISNUMBER(SEARCH(IF(I$2&lt;&gt;"",I$2,"NA"),'MITRE ATT&amp;CK Mappings'!$G240))),ISNUMBER(SEARCH(IF(I$2&lt;&gt;"",I$2,"NA"),'MITRE ATT&amp;CK Mappings'!$H240))),ISNUMBER(SEARCH(IF(I$3&lt;&gt;"",I$3,"NA"),'MITRE ATT&amp;CK Mappings'!$I240))),ISNUMBER(SEARCH(IF(I$3&lt;&gt;"",I$3,"NA"),'MITRE ATT&amp;CK Mappings'!$J240))), 'MITRE ATT&amp;CK Mappings'!$B240,"")</f>
        <v/>
      </c>
      <c r="J244" s="26" t="str">
        <f>IF(OR(OR(OR(OR(OR(ISNUMBER(SEARCH(IF(J$1&lt;&gt;"",J$1,"NA"),'MITRE ATT&amp;CK Mappings'!$E240)),ISNUMBER(SEARCH(IF(J$1&lt;&gt;"",J$1,"NA"),'MITRE ATT&amp;CK Mappings'!$F240))),ISNUMBER(SEARCH(IF(J$2&lt;&gt;"",J$2,"NA"),'MITRE ATT&amp;CK Mappings'!$G240))),ISNUMBER(SEARCH(IF(J$2&lt;&gt;"",J$2,"NA"),'MITRE ATT&amp;CK Mappings'!$H240))),ISNUMBER(SEARCH(IF(J$3&lt;&gt;"",J$3,"NA"),'MITRE ATT&amp;CK Mappings'!$I240))),ISNUMBER(SEARCH(IF(J$3&lt;&gt;"",J$3,"NA"),'MITRE ATT&amp;CK Mappings'!$J240))), 'MITRE ATT&amp;CK Mappings'!$B240,"")</f>
        <v/>
      </c>
      <c r="K244" s="26" t="str">
        <f>IF(OR(OR(OR(OR(OR(ISNUMBER(SEARCH(IF(K$1&lt;&gt;"",K$1,"NA"),'MITRE ATT&amp;CK Mappings'!$E240)),ISNUMBER(SEARCH(IF(K$1&lt;&gt;"",K$1,"NA"),'MITRE ATT&amp;CK Mappings'!$F240))),ISNUMBER(SEARCH(IF(K$2&lt;&gt;"",K$2,"NA"),'MITRE ATT&amp;CK Mappings'!$G240))),ISNUMBER(SEARCH(IF(K$2&lt;&gt;"",K$2,"NA"),'MITRE ATT&amp;CK Mappings'!$H240))),ISNUMBER(SEARCH(IF(K$3&lt;&gt;"",K$3,"NA"),'MITRE ATT&amp;CK Mappings'!$I240))),ISNUMBER(SEARCH(IF(K$3&lt;&gt;"",K$3,"NA"),'MITRE ATT&amp;CK Mappings'!$J240))), 'MITRE ATT&amp;CK Mappings'!$B240,"")</f>
        <v/>
      </c>
      <c r="L244" s="26" t="str">
        <f>IF('MITRE ATT&amp;CK Mappings'!D240 &lt;&gt;"",'MITRE ATT&amp;CK Mappings'!D240,"" )</f>
        <v/>
      </c>
    </row>
    <row r="245" spans="1:12" x14ac:dyDescent="0.25">
      <c r="A245" s="27" t="str">
        <f>IF(COUNTIF(B245:K245,"="&amp;'MITRE ATT&amp;CK Mappings'!B241)&gt;0,'MITRE ATT&amp;CK Mappings'!B241,"")</f>
        <v/>
      </c>
      <c r="B245" s="27" t="str">
        <f>IF(OR(OR(OR(OR(OR(ISNUMBER(SEARCH(IF(B$1&lt;&gt;"",B$1,"NA"),'MITRE ATT&amp;CK Mappings'!$E241)),ISNUMBER(SEARCH(IF(B$1&lt;&gt;"",B$1,"NA"),'MITRE ATT&amp;CK Mappings'!$F241))),ISNUMBER(SEARCH(IF(B$2&lt;&gt;"",B$2,"NA"),'MITRE ATT&amp;CK Mappings'!$G241))),ISNUMBER(SEARCH(IF(B$2&lt;&gt;"",B$2,"NA"),'MITRE ATT&amp;CK Mappings'!$H241))),ISNUMBER(SEARCH(IF(B$3&lt;&gt;"",B$3,"NA"),'MITRE ATT&amp;CK Mappings'!$I241))),ISNUMBER(SEARCH(IF(B$3&lt;&gt;"",B$3,"NA"),'MITRE ATT&amp;CK Mappings'!$J241))), 'MITRE ATT&amp;CK Mappings'!$B241,"")</f>
        <v/>
      </c>
      <c r="C245" s="27" t="str">
        <f>IF(OR(OR(OR(OR(OR(ISNUMBER(SEARCH(IF(C$1&lt;&gt;"",C$1,"NA"),'MITRE ATT&amp;CK Mappings'!$E241)),ISNUMBER(SEARCH(IF(C$1&lt;&gt;"",C$1,"NA"),'MITRE ATT&amp;CK Mappings'!$F241))),ISNUMBER(SEARCH(IF(C$2&lt;&gt;"",C$2,"NA"),'MITRE ATT&amp;CK Mappings'!$G241))),ISNUMBER(SEARCH(IF(C$2&lt;&gt;"",C$2,"NA"),'MITRE ATT&amp;CK Mappings'!$H241))),ISNUMBER(SEARCH(IF(C$3&lt;&gt;"",C$3,"NA"),'MITRE ATT&amp;CK Mappings'!$I241))),ISNUMBER(SEARCH(IF(C$3&lt;&gt;"",C$3,"NA"),'MITRE ATT&amp;CK Mappings'!$J241))), 'MITRE ATT&amp;CK Mappings'!$B241,"")</f>
        <v/>
      </c>
      <c r="D245" s="27" t="str">
        <f>IF(OR(OR(OR(OR(OR(ISNUMBER(SEARCH(IF(D$1&lt;&gt;"",D$1,"NA"),'MITRE ATT&amp;CK Mappings'!$E241)),ISNUMBER(SEARCH(IF(D$1&lt;&gt;"",D$1,"NA"),'MITRE ATT&amp;CK Mappings'!$F241))),ISNUMBER(SEARCH(IF(D$2&lt;&gt;"",D$2,"NA"),'MITRE ATT&amp;CK Mappings'!$G241))),ISNUMBER(SEARCH(IF(D$2&lt;&gt;"",D$2,"NA"),'MITRE ATT&amp;CK Mappings'!$H241))),ISNUMBER(SEARCH(IF(D$3&lt;&gt;"",D$3,"NA"),'MITRE ATT&amp;CK Mappings'!$I241))),ISNUMBER(SEARCH(IF(D$3&lt;&gt;"",D$3,"NA"),'MITRE ATT&amp;CK Mappings'!$J241))), 'MITRE ATT&amp;CK Mappings'!$B241,"")</f>
        <v/>
      </c>
      <c r="E245" s="27" t="str">
        <f>IF(OR(OR(OR(OR(OR(ISNUMBER(SEARCH(IF(E$1&lt;&gt;"",E$1,"NA"),'MITRE ATT&amp;CK Mappings'!$E241)),ISNUMBER(SEARCH(IF(E$1&lt;&gt;"",E$1,"NA"),'MITRE ATT&amp;CK Mappings'!$F241))),ISNUMBER(SEARCH(IF(E$2&lt;&gt;"",E$2,"NA"),'MITRE ATT&amp;CK Mappings'!$G241))),ISNUMBER(SEARCH(IF(E$2&lt;&gt;"",E$2,"NA"),'MITRE ATT&amp;CK Mappings'!$H241))),ISNUMBER(SEARCH(IF(E$3&lt;&gt;"",E$3,"NA"),'MITRE ATT&amp;CK Mappings'!$I241))),ISNUMBER(SEARCH(IF(E$3&lt;&gt;"",E$3,"NA"),'MITRE ATT&amp;CK Mappings'!$J241))), 'MITRE ATT&amp;CK Mappings'!$B241,"")</f>
        <v/>
      </c>
      <c r="F245" s="27" t="str">
        <f>IF(OR(OR(OR(OR(OR(ISNUMBER(SEARCH(IF(F$1&lt;&gt;"",F$1,"NA"),'MITRE ATT&amp;CK Mappings'!$E241)),ISNUMBER(SEARCH(IF(F$1&lt;&gt;"",F$1,"NA"),'MITRE ATT&amp;CK Mappings'!$F241))),ISNUMBER(SEARCH(IF(F$2&lt;&gt;"",F$2,"NA"),'MITRE ATT&amp;CK Mappings'!$G241))),ISNUMBER(SEARCH(IF(F$2&lt;&gt;"",F$2,"NA"),'MITRE ATT&amp;CK Mappings'!$H241))),ISNUMBER(SEARCH(IF(F$3&lt;&gt;"",F$3,"NA"),'MITRE ATT&amp;CK Mappings'!$I241))),ISNUMBER(SEARCH(IF(F$3&lt;&gt;"",F$3,"NA"),'MITRE ATT&amp;CK Mappings'!$J241))), 'MITRE ATT&amp;CK Mappings'!$B241,"")</f>
        <v/>
      </c>
      <c r="G245" s="27" t="str">
        <f>IF(OR(OR(OR(OR(OR(ISNUMBER(SEARCH(IF(G$1&lt;&gt;"",G$1,"NA"),'MITRE ATT&amp;CK Mappings'!$E241)),ISNUMBER(SEARCH(IF(G$1&lt;&gt;"",G$1,"NA"),'MITRE ATT&amp;CK Mappings'!$F241))),ISNUMBER(SEARCH(IF(G$2&lt;&gt;"",G$2,"NA"),'MITRE ATT&amp;CK Mappings'!$G241))),ISNUMBER(SEARCH(IF(G$2&lt;&gt;"",G$2,"NA"),'MITRE ATT&amp;CK Mappings'!$H241))),ISNUMBER(SEARCH(IF(G$3&lt;&gt;"",G$3,"NA"),'MITRE ATT&amp;CK Mappings'!$I241))),ISNUMBER(SEARCH(IF(G$3&lt;&gt;"",G$3,"NA"),'MITRE ATT&amp;CK Mappings'!$J241))), 'MITRE ATT&amp;CK Mappings'!$B241,"")</f>
        <v/>
      </c>
      <c r="H245" s="27" t="str">
        <f>IF(OR(OR(OR(OR(OR(ISNUMBER(SEARCH(IF(H$1&lt;&gt;"",H$1,"NA"),'MITRE ATT&amp;CK Mappings'!$E241)),ISNUMBER(SEARCH(IF(H$1&lt;&gt;"",H$1,"NA"),'MITRE ATT&amp;CK Mappings'!$F241))),ISNUMBER(SEARCH(IF(H$2&lt;&gt;"",H$2,"NA"),'MITRE ATT&amp;CK Mappings'!$G241))),ISNUMBER(SEARCH(IF(H$2&lt;&gt;"",H$2,"NA"),'MITRE ATT&amp;CK Mappings'!$H241))),ISNUMBER(SEARCH(IF(H$3&lt;&gt;"",H$3,"NA"),'MITRE ATT&amp;CK Mappings'!$I241))),ISNUMBER(SEARCH(IF(H$3&lt;&gt;"",H$3,"NA"),'MITRE ATT&amp;CK Mappings'!$J241))), 'MITRE ATT&amp;CK Mappings'!$B241,"")</f>
        <v/>
      </c>
      <c r="I245" s="27" t="str">
        <f>IF(OR(OR(OR(OR(OR(ISNUMBER(SEARCH(IF(I$1&lt;&gt;"",I$1,"NA"),'MITRE ATT&amp;CK Mappings'!$E241)),ISNUMBER(SEARCH(IF(I$1&lt;&gt;"",I$1,"NA"),'MITRE ATT&amp;CK Mappings'!$F241))),ISNUMBER(SEARCH(IF(I$2&lt;&gt;"",I$2,"NA"),'MITRE ATT&amp;CK Mappings'!$G241))),ISNUMBER(SEARCH(IF(I$2&lt;&gt;"",I$2,"NA"),'MITRE ATT&amp;CK Mappings'!$H241))),ISNUMBER(SEARCH(IF(I$3&lt;&gt;"",I$3,"NA"),'MITRE ATT&amp;CK Mappings'!$I241))),ISNUMBER(SEARCH(IF(I$3&lt;&gt;"",I$3,"NA"),'MITRE ATT&amp;CK Mappings'!$J241))), 'MITRE ATT&amp;CK Mappings'!$B241,"")</f>
        <v/>
      </c>
      <c r="J245" s="27" t="str">
        <f>IF(OR(OR(OR(OR(OR(ISNUMBER(SEARCH(IF(J$1&lt;&gt;"",J$1,"NA"),'MITRE ATT&amp;CK Mappings'!$E241)),ISNUMBER(SEARCH(IF(J$1&lt;&gt;"",J$1,"NA"),'MITRE ATT&amp;CK Mappings'!$F241))),ISNUMBER(SEARCH(IF(J$2&lt;&gt;"",J$2,"NA"),'MITRE ATT&amp;CK Mappings'!$G241))),ISNUMBER(SEARCH(IF(J$2&lt;&gt;"",J$2,"NA"),'MITRE ATT&amp;CK Mappings'!$H241))),ISNUMBER(SEARCH(IF(J$3&lt;&gt;"",J$3,"NA"),'MITRE ATT&amp;CK Mappings'!$I241))),ISNUMBER(SEARCH(IF(J$3&lt;&gt;"",J$3,"NA"),'MITRE ATT&amp;CK Mappings'!$J241))), 'MITRE ATT&amp;CK Mappings'!$B241,"")</f>
        <v/>
      </c>
      <c r="K245" s="27" t="str">
        <f>IF(OR(OR(OR(OR(OR(ISNUMBER(SEARCH(IF(K$1&lt;&gt;"",K$1,"NA"),'MITRE ATT&amp;CK Mappings'!$E241)),ISNUMBER(SEARCH(IF(K$1&lt;&gt;"",K$1,"NA"),'MITRE ATT&amp;CK Mappings'!$F241))),ISNUMBER(SEARCH(IF(K$2&lt;&gt;"",K$2,"NA"),'MITRE ATT&amp;CK Mappings'!$G241))),ISNUMBER(SEARCH(IF(K$2&lt;&gt;"",K$2,"NA"),'MITRE ATT&amp;CK Mappings'!$H241))),ISNUMBER(SEARCH(IF(K$3&lt;&gt;"",K$3,"NA"),'MITRE ATT&amp;CK Mappings'!$I241))),ISNUMBER(SEARCH(IF(K$3&lt;&gt;"",K$3,"NA"),'MITRE ATT&amp;CK Mappings'!$J241))), 'MITRE ATT&amp;CK Mappings'!$B241,"")</f>
        <v/>
      </c>
      <c r="L245" s="27" t="str">
        <f>IF('MITRE ATT&amp;CK Mappings'!D241 &lt;&gt;"",'MITRE ATT&amp;CK Mappings'!D241,"" )</f>
        <v/>
      </c>
    </row>
    <row r="246" spans="1:12" x14ac:dyDescent="0.25">
      <c r="A246" s="26" t="str">
        <f>IF(COUNTIF(B246:K246,"="&amp;'MITRE ATT&amp;CK Mappings'!B242)&gt;0,'MITRE ATT&amp;CK Mappings'!B242,"")</f>
        <v/>
      </c>
      <c r="B246" s="26" t="str">
        <f>IF(OR(OR(OR(OR(OR(ISNUMBER(SEARCH(IF(B$1&lt;&gt;"",B$1,"NA"),'MITRE ATT&amp;CK Mappings'!$E242)),ISNUMBER(SEARCH(IF(B$1&lt;&gt;"",B$1,"NA"),'MITRE ATT&amp;CK Mappings'!$F242))),ISNUMBER(SEARCH(IF(B$2&lt;&gt;"",B$2,"NA"),'MITRE ATT&amp;CK Mappings'!$G242))),ISNUMBER(SEARCH(IF(B$2&lt;&gt;"",B$2,"NA"),'MITRE ATT&amp;CK Mappings'!$H242))),ISNUMBER(SEARCH(IF(B$3&lt;&gt;"",B$3,"NA"),'MITRE ATT&amp;CK Mappings'!$I242))),ISNUMBER(SEARCH(IF(B$3&lt;&gt;"",B$3,"NA"),'MITRE ATT&amp;CK Mappings'!$J242))), 'MITRE ATT&amp;CK Mappings'!$B242,"")</f>
        <v/>
      </c>
      <c r="C246" s="26" t="str">
        <f>IF(OR(OR(OR(OR(OR(ISNUMBER(SEARCH(IF(C$1&lt;&gt;"",C$1,"NA"),'MITRE ATT&amp;CK Mappings'!$E242)),ISNUMBER(SEARCH(IF(C$1&lt;&gt;"",C$1,"NA"),'MITRE ATT&amp;CK Mappings'!$F242))),ISNUMBER(SEARCH(IF(C$2&lt;&gt;"",C$2,"NA"),'MITRE ATT&amp;CK Mappings'!$G242))),ISNUMBER(SEARCH(IF(C$2&lt;&gt;"",C$2,"NA"),'MITRE ATT&amp;CK Mappings'!$H242))),ISNUMBER(SEARCH(IF(C$3&lt;&gt;"",C$3,"NA"),'MITRE ATT&amp;CK Mappings'!$I242))),ISNUMBER(SEARCH(IF(C$3&lt;&gt;"",C$3,"NA"),'MITRE ATT&amp;CK Mappings'!$J242))), 'MITRE ATT&amp;CK Mappings'!$B242,"")</f>
        <v/>
      </c>
      <c r="D246" s="26" t="str">
        <f>IF(OR(OR(OR(OR(OR(ISNUMBER(SEARCH(IF(D$1&lt;&gt;"",D$1,"NA"),'MITRE ATT&amp;CK Mappings'!$E242)),ISNUMBER(SEARCH(IF(D$1&lt;&gt;"",D$1,"NA"),'MITRE ATT&amp;CK Mappings'!$F242))),ISNUMBER(SEARCH(IF(D$2&lt;&gt;"",D$2,"NA"),'MITRE ATT&amp;CK Mappings'!$G242))),ISNUMBER(SEARCH(IF(D$2&lt;&gt;"",D$2,"NA"),'MITRE ATT&amp;CK Mappings'!$H242))),ISNUMBER(SEARCH(IF(D$3&lt;&gt;"",D$3,"NA"),'MITRE ATT&amp;CK Mappings'!$I242))),ISNUMBER(SEARCH(IF(D$3&lt;&gt;"",D$3,"NA"),'MITRE ATT&amp;CK Mappings'!$J242))), 'MITRE ATT&amp;CK Mappings'!$B242,"")</f>
        <v/>
      </c>
      <c r="E246" s="26" t="str">
        <f>IF(OR(OR(OR(OR(OR(ISNUMBER(SEARCH(IF(E$1&lt;&gt;"",E$1,"NA"),'MITRE ATT&amp;CK Mappings'!$E242)),ISNUMBER(SEARCH(IF(E$1&lt;&gt;"",E$1,"NA"),'MITRE ATT&amp;CK Mappings'!$F242))),ISNUMBER(SEARCH(IF(E$2&lt;&gt;"",E$2,"NA"),'MITRE ATT&amp;CK Mappings'!$G242))),ISNUMBER(SEARCH(IF(E$2&lt;&gt;"",E$2,"NA"),'MITRE ATT&amp;CK Mappings'!$H242))),ISNUMBER(SEARCH(IF(E$3&lt;&gt;"",E$3,"NA"),'MITRE ATT&amp;CK Mappings'!$I242))),ISNUMBER(SEARCH(IF(E$3&lt;&gt;"",E$3,"NA"),'MITRE ATT&amp;CK Mappings'!$J242))), 'MITRE ATT&amp;CK Mappings'!$B242,"")</f>
        <v/>
      </c>
      <c r="F246" s="26" t="str">
        <f>IF(OR(OR(OR(OR(OR(ISNUMBER(SEARCH(IF(F$1&lt;&gt;"",F$1,"NA"),'MITRE ATT&amp;CK Mappings'!$E242)),ISNUMBER(SEARCH(IF(F$1&lt;&gt;"",F$1,"NA"),'MITRE ATT&amp;CK Mappings'!$F242))),ISNUMBER(SEARCH(IF(F$2&lt;&gt;"",F$2,"NA"),'MITRE ATT&amp;CK Mappings'!$G242))),ISNUMBER(SEARCH(IF(F$2&lt;&gt;"",F$2,"NA"),'MITRE ATT&amp;CK Mappings'!$H242))),ISNUMBER(SEARCH(IF(F$3&lt;&gt;"",F$3,"NA"),'MITRE ATT&amp;CK Mappings'!$I242))),ISNUMBER(SEARCH(IF(F$3&lt;&gt;"",F$3,"NA"),'MITRE ATT&amp;CK Mappings'!$J242))), 'MITRE ATT&amp;CK Mappings'!$B242,"")</f>
        <v/>
      </c>
      <c r="G246" s="26" t="str">
        <f>IF(OR(OR(OR(OR(OR(ISNUMBER(SEARCH(IF(G$1&lt;&gt;"",G$1,"NA"),'MITRE ATT&amp;CK Mappings'!$E242)),ISNUMBER(SEARCH(IF(G$1&lt;&gt;"",G$1,"NA"),'MITRE ATT&amp;CK Mappings'!$F242))),ISNUMBER(SEARCH(IF(G$2&lt;&gt;"",G$2,"NA"),'MITRE ATT&amp;CK Mappings'!$G242))),ISNUMBER(SEARCH(IF(G$2&lt;&gt;"",G$2,"NA"),'MITRE ATT&amp;CK Mappings'!$H242))),ISNUMBER(SEARCH(IF(G$3&lt;&gt;"",G$3,"NA"),'MITRE ATT&amp;CK Mappings'!$I242))),ISNUMBER(SEARCH(IF(G$3&lt;&gt;"",G$3,"NA"),'MITRE ATT&amp;CK Mappings'!$J242))), 'MITRE ATT&amp;CK Mappings'!$B242,"")</f>
        <v/>
      </c>
      <c r="H246" s="26" t="str">
        <f>IF(OR(OR(OR(OR(OR(ISNUMBER(SEARCH(IF(H$1&lt;&gt;"",H$1,"NA"),'MITRE ATT&amp;CK Mappings'!$E242)),ISNUMBER(SEARCH(IF(H$1&lt;&gt;"",H$1,"NA"),'MITRE ATT&amp;CK Mappings'!$F242))),ISNUMBER(SEARCH(IF(H$2&lt;&gt;"",H$2,"NA"),'MITRE ATT&amp;CK Mappings'!$G242))),ISNUMBER(SEARCH(IF(H$2&lt;&gt;"",H$2,"NA"),'MITRE ATT&amp;CK Mappings'!$H242))),ISNUMBER(SEARCH(IF(H$3&lt;&gt;"",H$3,"NA"),'MITRE ATT&amp;CK Mappings'!$I242))),ISNUMBER(SEARCH(IF(H$3&lt;&gt;"",H$3,"NA"),'MITRE ATT&amp;CK Mappings'!$J242))), 'MITRE ATT&amp;CK Mappings'!$B242,"")</f>
        <v/>
      </c>
      <c r="I246" s="26" t="str">
        <f>IF(OR(OR(OR(OR(OR(ISNUMBER(SEARCH(IF(I$1&lt;&gt;"",I$1,"NA"),'MITRE ATT&amp;CK Mappings'!$E242)),ISNUMBER(SEARCH(IF(I$1&lt;&gt;"",I$1,"NA"),'MITRE ATT&amp;CK Mappings'!$F242))),ISNUMBER(SEARCH(IF(I$2&lt;&gt;"",I$2,"NA"),'MITRE ATT&amp;CK Mappings'!$G242))),ISNUMBER(SEARCH(IF(I$2&lt;&gt;"",I$2,"NA"),'MITRE ATT&amp;CK Mappings'!$H242))),ISNUMBER(SEARCH(IF(I$3&lt;&gt;"",I$3,"NA"),'MITRE ATT&amp;CK Mappings'!$I242))),ISNUMBER(SEARCH(IF(I$3&lt;&gt;"",I$3,"NA"),'MITRE ATT&amp;CK Mappings'!$J242))), 'MITRE ATT&amp;CK Mappings'!$B242,"")</f>
        <v/>
      </c>
      <c r="J246" s="26" t="str">
        <f>IF(OR(OR(OR(OR(OR(ISNUMBER(SEARCH(IF(J$1&lt;&gt;"",J$1,"NA"),'MITRE ATT&amp;CK Mappings'!$E242)),ISNUMBER(SEARCH(IF(J$1&lt;&gt;"",J$1,"NA"),'MITRE ATT&amp;CK Mappings'!$F242))),ISNUMBER(SEARCH(IF(J$2&lt;&gt;"",J$2,"NA"),'MITRE ATT&amp;CK Mappings'!$G242))),ISNUMBER(SEARCH(IF(J$2&lt;&gt;"",J$2,"NA"),'MITRE ATT&amp;CK Mappings'!$H242))),ISNUMBER(SEARCH(IF(J$3&lt;&gt;"",J$3,"NA"),'MITRE ATT&amp;CK Mappings'!$I242))),ISNUMBER(SEARCH(IF(J$3&lt;&gt;"",J$3,"NA"),'MITRE ATT&amp;CK Mappings'!$J242))), 'MITRE ATT&amp;CK Mappings'!$B242,"")</f>
        <v/>
      </c>
      <c r="K246" s="26" t="str">
        <f>IF(OR(OR(OR(OR(OR(ISNUMBER(SEARCH(IF(K$1&lt;&gt;"",K$1,"NA"),'MITRE ATT&amp;CK Mappings'!$E242)),ISNUMBER(SEARCH(IF(K$1&lt;&gt;"",K$1,"NA"),'MITRE ATT&amp;CK Mappings'!$F242))),ISNUMBER(SEARCH(IF(K$2&lt;&gt;"",K$2,"NA"),'MITRE ATT&amp;CK Mappings'!$G242))),ISNUMBER(SEARCH(IF(K$2&lt;&gt;"",K$2,"NA"),'MITRE ATT&amp;CK Mappings'!$H242))),ISNUMBER(SEARCH(IF(K$3&lt;&gt;"",K$3,"NA"),'MITRE ATT&amp;CK Mappings'!$I242))),ISNUMBER(SEARCH(IF(K$3&lt;&gt;"",K$3,"NA"),'MITRE ATT&amp;CK Mappings'!$J242))), 'MITRE ATT&amp;CK Mappings'!$B242,"")</f>
        <v/>
      </c>
      <c r="L246" s="26" t="str">
        <f>IF('MITRE ATT&amp;CK Mappings'!D242 &lt;&gt;"",'MITRE ATT&amp;CK Mappings'!D242,"" )</f>
        <v/>
      </c>
    </row>
    <row r="247" spans="1:12" x14ac:dyDescent="0.25">
      <c r="A247" s="27" t="str">
        <f>IF(COUNTIF(B247:K247,"="&amp;'MITRE ATT&amp;CK Mappings'!B243)&gt;0,'MITRE ATT&amp;CK Mappings'!B243,"")</f>
        <v/>
      </c>
      <c r="B247" s="27" t="str">
        <f>IF(OR(OR(OR(OR(OR(ISNUMBER(SEARCH(IF(B$1&lt;&gt;"",B$1,"NA"),'MITRE ATT&amp;CK Mappings'!$E243)),ISNUMBER(SEARCH(IF(B$1&lt;&gt;"",B$1,"NA"),'MITRE ATT&amp;CK Mappings'!$F243))),ISNUMBER(SEARCH(IF(B$2&lt;&gt;"",B$2,"NA"),'MITRE ATT&amp;CK Mappings'!$G243))),ISNUMBER(SEARCH(IF(B$2&lt;&gt;"",B$2,"NA"),'MITRE ATT&amp;CK Mappings'!$H243))),ISNUMBER(SEARCH(IF(B$3&lt;&gt;"",B$3,"NA"),'MITRE ATT&amp;CK Mappings'!$I243))),ISNUMBER(SEARCH(IF(B$3&lt;&gt;"",B$3,"NA"),'MITRE ATT&amp;CK Mappings'!$J243))), 'MITRE ATT&amp;CK Mappings'!$B243,"")</f>
        <v/>
      </c>
      <c r="C247" s="27" t="str">
        <f>IF(OR(OR(OR(OR(OR(ISNUMBER(SEARCH(IF(C$1&lt;&gt;"",C$1,"NA"),'MITRE ATT&amp;CK Mappings'!$E243)),ISNUMBER(SEARCH(IF(C$1&lt;&gt;"",C$1,"NA"),'MITRE ATT&amp;CK Mappings'!$F243))),ISNUMBER(SEARCH(IF(C$2&lt;&gt;"",C$2,"NA"),'MITRE ATT&amp;CK Mappings'!$G243))),ISNUMBER(SEARCH(IF(C$2&lt;&gt;"",C$2,"NA"),'MITRE ATT&amp;CK Mappings'!$H243))),ISNUMBER(SEARCH(IF(C$3&lt;&gt;"",C$3,"NA"),'MITRE ATT&amp;CK Mappings'!$I243))),ISNUMBER(SEARCH(IF(C$3&lt;&gt;"",C$3,"NA"),'MITRE ATT&amp;CK Mappings'!$J243))), 'MITRE ATT&amp;CK Mappings'!$B243,"")</f>
        <v/>
      </c>
      <c r="D247" s="27" t="str">
        <f>IF(OR(OR(OR(OR(OR(ISNUMBER(SEARCH(IF(D$1&lt;&gt;"",D$1,"NA"),'MITRE ATT&amp;CK Mappings'!$E243)),ISNUMBER(SEARCH(IF(D$1&lt;&gt;"",D$1,"NA"),'MITRE ATT&amp;CK Mappings'!$F243))),ISNUMBER(SEARCH(IF(D$2&lt;&gt;"",D$2,"NA"),'MITRE ATT&amp;CK Mappings'!$G243))),ISNUMBER(SEARCH(IF(D$2&lt;&gt;"",D$2,"NA"),'MITRE ATT&amp;CK Mappings'!$H243))),ISNUMBER(SEARCH(IF(D$3&lt;&gt;"",D$3,"NA"),'MITRE ATT&amp;CK Mappings'!$I243))),ISNUMBER(SEARCH(IF(D$3&lt;&gt;"",D$3,"NA"),'MITRE ATT&amp;CK Mappings'!$J243))), 'MITRE ATT&amp;CK Mappings'!$B243,"")</f>
        <v/>
      </c>
      <c r="E247" s="27" t="str">
        <f>IF(OR(OR(OR(OR(OR(ISNUMBER(SEARCH(IF(E$1&lt;&gt;"",E$1,"NA"),'MITRE ATT&amp;CK Mappings'!$E243)),ISNUMBER(SEARCH(IF(E$1&lt;&gt;"",E$1,"NA"),'MITRE ATT&amp;CK Mappings'!$F243))),ISNUMBER(SEARCH(IF(E$2&lt;&gt;"",E$2,"NA"),'MITRE ATT&amp;CK Mappings'!$G243))),ISNUMBER(SEARCH(IF(E$2&lt;&gt;"",E$2,"NA"),'MITRE ATT&amp;CK Mappings'!$H243))),ISNUMBER(SEARCH(IF(E$3&lt;&gt;"",E$3,"NA"),'MITRE ATT&amp;CK Mappings'!$I243))),ISNUMBER(SEARCH(IF(E$3&lt;&gt;"",E$3,"NA"),'MITRE ATT&amp;CK Mappings'!$J243))), 'MITRE ATT&amp;CK Mappings'!$B243,"")</f>
        <v/>
      </c>
      <c r="F247" s="27" t="str">
        <f>IF(OR(OR(OR(OR(OR(ISNUMBER(SEARCH(IF(F$1&lt;&gt;"",F$1,"NA"),'MITRE ATT&amp;CK Mappings'!$E243)),ISNUMBER(SEARCH(IF(F$1&lt;&gt;"",F$1,"NA"),'MITRE ATT&amp;CK Mappings'!$F243))),ISNUMBER(SEARCH(IF(F$2&lt;&gt;"",F$2,"NA"),'MITRE ATT&amp;CK Mappings'!$G243))),ISNUMBER(SEARCH(IF(F$2&lt;&gt;"",F$2,"NA"),'MITRE ATT&amp;CK Mappings'!$H243))),ISNUMBER(SEARCH(IF(F$3&lt;&gt;"",F$3,"NA"),'MITRE ATT&amp;CK Mappings'!$I243))),ISNUMBER(SEARCH(IF(F$3&lt;&gt;"",F$3,"NA"),'MITRE ATT&amp;CK Mappings'!$J243))), 'MITRE ATT&amp;CK Mappings'!$B243,"")</f>
        <v/>
      </c>
      <c r="G247" s="27" t="str">
        <f>IF(OR(OR(OR(OR(OR(ISNUMBER(SEARCH(IF(G$1&lt;&gt;"",G$1,"NA"),'MITRE ATT&amp;CK Mappings'!$E243)),ISNUMBER(SEARCH(IF(G$1&lt;&gt;"",G$1,"NA"),'MITRE ATT&amp;CK Mappings'!$F243))),ISNUMBER(SEARCH(IF(G$2&lt;&gt;"",G$2,"NA"),'MITRE ATT&amp;CK Mappings'!$G243))),ISNUMBER(SEARCH(IF(G$2&lt;&gt;"",G$2,"NA"),'MITRE ATT&amp;CK Mappings'!$H243))),ISNUMBER(SEARCH(IF(G$3&lt;&gt;"",G$3,"NA"),'MITRE ATT&amp;CK Mappings'!$I243))),ISNUMBER(SEARCH(IF(G$3&lt;&gt;"",G$3,"NA"),'MITRE ATT&amp;CK Mappings'!$J243))), 'MITRE ATT&amp;CK Mappings'!$B243,"")</f>
        <v/>
      </c>
      <c r="H247" s="27" t="str">
        <f>IF(OR(OR(OR(OR(OR(ISNUMBER(SEARCH(IF(H$1&lt;&gt;"",H$1,"NA"),'MITRE ATT&amp;CK Mappings'!$E243)),ISNUMBER(SEARCH(IF(H$1&lt;&gt;"",H$1,"NA"),'MITRE ATT&amp;CK Mappings'!$F243))),ISNUMBER(SEARCH(IF(H$2&lt;&gt;"",H$2,"NA"),'MITRE ATT&amp;CK Mappings'!$G243))),ISNUMBER(SEARCH(IF(H$2&lt;&gt;"",H$2,"NA"),'MITRE ATT&amp;CK Mappings'!$H243))),ISNUMBER(SEARCH(IF(H$3&lt;&gt;"",H$3,"NA"),'MITRE ATT&amp;CK Mappings'!$I243))),ISNUMBER(SEARCH(IF(H$3&lt;&gt;"",H$3,"NA"),'MITRE ATT&amp;CK Mappings'!$J243))), 'MITRE ATT&amp;CK Mappings'!$B243,"")</f>
        <v/>
      </c>
      <c r="I247" s="27" t="str">
        <f>IF(OR(OR(OR(OR(OR(ISNUMBER(SEARCH(IF(I$1&lt;&gt;"",I$1,"NA"),'MITRE ATT&amp;CK Mappings'!$E243)),ISNUMBER(SEARCH(IF(I$1&lt;&gt;"",I$1,"NA"),'MITRE ATT&amp;CK Mappings'!$F243))),ISNUMBER(SEARCH(IF(I$2&lt;&gt;"",I$2,"NA"),'MITRE ATT&amp;CK Mappings'!$G243))),ISNUMBER(SEARCH(IF(I$2&lt;&gt;"",I$2,"NA"),'MITRE ATT&amp;CK Mappings'!$H243))),ISNUMBER(SEARCH(IF(I$3&lt;&gt;"",I$3,"NA"),'MITRE ATT&amp;CK Mappings'!$I243))),ISNUMBER(SEARCH(IF(I$3&lt;&gt;"",I$3,"NA"),'MITRE ATT&amp;CK Mappings'!$J243))), 'MITRE ATT&amp;CK Mappings'!$B243,"")</f>
        <v/>
      </c>
      <c r="J247" s="27" t="str">
        <f>IF(OR(OR(OR(OR(OR(ISNUMBER(SEARCH(IF(J$1&lt;&gt;"",J$1,"NA"),'MITRE ATT&amp;CK Mappings'!$E243)),ISNUMBER(SEARCH(IF(J$1&lt;&gt;"",J$1,"NA"),'MITRE ATT&amp;CK Mappings'!$F243))),ISNUMBER(SEARCH(IF(J$2&lt;&gt;"",J$2,"NA"),'MITRE ATT&amp;CK Mappings'!$G243))),ISNUMBER(SEARCH(IF(J$2&lt;&gt;"",J$2,"NA"),'MITRE ATT&amp;CK Mappings'!$H243))),ISNUMBER(SEARCH(IF(J$3&lt;&gt;"",J$3,"NA"),'MITRE ATT&amp;CK Mappings'!$I243))),ISNUMBER(SEARCH(IF(J$3&lt;&gt;"",J$3,"NA"),'MITRE ATT&amp;CK Mappings'!$J243))), 'MITRE ATT&amp;CK Mappings'!$B243,"")</f>
        <v/>
      </c>
      <c r="K247" s="27" t="str">
        <f>IF(OR(OR(OR(OR(OR(ISNUMBER(SEARCH(IF(K$1&lt;&gt;"",K$1,"NA"),'MITRE ATT&amp;CK Mappings'!$E243)),ISNUMBER(SEARCH(IF(K$1&lt;&gt;"",K$1,"NA"),'MITRE ATT&amp;CK Mappings'!$F243))),ISNUMBER(SEARCH(IF(K$2&lt;&gt;"",K$2,"NA"),'MITRE ATT&amp;CK Mappings'!$G243))),ISNUMBER(SEARCH(IF(K$2&lt;&gt;"",K$2,"NA"),'MITRE ATT&amp;CK Mappings'!$H243))),ISNUMBER(SEARCH(IF(K$3&lt;&gt;"",K$3,"NA"),'MITRE ATT&amp;CK Mappings'!$I243))),ISNUMBER(SEARCH(IF(K$3&lt;&gt;"",K$3,"NA"),'MITRE ATT&amp;CK Mappings'!$J243))), 'MITRE ATT&amp;CK Mappings'!$B243,"")</f>
        <v/>
      </c>
      <c r="L247" s="27" t="str">
        <f>IF('MITRE ATT&amp;CK Mappings'!D243 &lt;&gt;"",'MITRE ATT&amp;CK Mappings'!D243,"" )</f>
        <v/>
      </c>
    </row>
    <row r="248" spans="1:12" x14ac:dyDescent="0.25">
      <c r="A248" s="26" t="str">
        <f>IF(COUNTIF(B248:K248,"="&amp;'MITRE ATT&amp;CK Mappings'!B244)&gt;0,'MITRE ATT&amp;CK Mappings'!B244,"")</f>
        <v/>
      </c>
      <c r="B248" s="26" t="str">
        <f>IF(OR(OR(OR(OR(OR(ISNUMBER(SEARCH(IF(B$1&lt;&gt;"",B$1,"NA"),'MITRE ATT&amp;CK Mappings'!$E244)),ISNUMBER(SEARCH(IF(B$1&lt;&gt;"",B$1,"NA"),'MITRE ATT&amp;CK Mappings'!$F244))),ISNUMBER(SEARCH(IF(B$2&lt;&gt;"",B$2,"NA"),'MITRE ATT&amp;CK Mappings'!$G244))),ISNUMBER(SEARCH(IF(B$2&lt;&gt;"",B$2,"NA"),'MITRE ATT&amp;CK Mappings'!$H244))),ISNUMBER(SEARCH(IF(B$3&lt;&gt;"",B$3,"NA"),'MITRE ATT&amp;CK Mappings'!$I244))),ISNUMBER(SEARCH(IF(B$3&lt;&gt;"",B$3,"NA"),'MITRE ATT&amp;CK Mappings'!$J244))), 'MITRE ATT&amp;CK Mappings'!$B244,"")</f>
        <v/>
      </c>
      <c r="C248" s="26" t="str">
        <f>IF(OR(OR(OR(OR(OR(ISNUMBER(SEARCH(IF(C$1&lt;&gt;"",C$1,"NA"),'MITRE ATT&amp;CK Mappings'!$E244)),ISNUMBER(SEARCH(IF(C$1&lt;&gt;"",C$1,"NA"),'MITRE ATT&amp;CK Mappings'!$F244))),ISNUMBER(SEARCH(IF(C$2&lt;&gt;"",C$2,"NA"),'MITRE ATT&amp;CK Mappings'!$G244))),ISNUMBER(SEARCH(IF(C$2&lt;&gt;"",C$2,"NA"),'MITRE ATT&amp;CK Mappings'!$H244))),ISNUMBER(SEARCH(IF(C$3&lt;&gt;"",C$3,"NA"),'MITRE ATT&amp;CK Mappings'!$I244))),ISNUMBER(SEARCH(IF(C$3&lt;&gt;"",C$3,"NA"),'MITRE ATT&amp;CK Mappings'!$J244))), 'MITRE ATT&amp;CK Mappings'!$B244,"")</f>
        <v/>
      </c>
      <c r="D248" s="26" t="str">
        <f>IF(OR(OR(OR(OR(OR(ISNUMBER(SEARCH(IF(D$1&lt;&gt;"",D$1,"NA"),'MITRE ATT&amp;CK Mappings'!$E244)),ISNUMBER(SEARCH(IF(D$1&lt;&gt;"",D$1,"NA"),'MITRE ATT&amp;CK Mappings'!$F244))),ISNUMBER(SEARCH(IF(D$2&lt;&gt;"",D$2,"NA"),'MITRE ATT&amp;CK Mappings'!$G244))),ISNUMBER(SEARCH(IF(D$2&lt;&gt;"",D$2,"NA"),'MITRE ATT&amp;CK Mappings'!$H244))),ISNUMBER(SEARCH(IF(D$3&lt;&gt;"",D$3,"NA"),'MITRE ATT&amp;CK Mappings'!$I244))),ISNUMBER(SEARCH(IF(D$3&lt;&gt;"",D$3,"NA"),'MITRE ATT&amp;CK Mappings'!$J244))), 'MITRE ATT&amp;CK Mappings'!$B244,"")</f>
        <v/>
      </c>
      <c r="E248" s="26" t="str">
        <f>IF(OR(OR(OR(OR(OR(ISNUMBER(SEARCH(IF(E$1&lt;&gt;"",E$1,"NA"),'MITRE ATT&amp;CK Mappings'!$E244)),ISNUMBER(SEARCH(IF(E$1&lt;&gt;"",E$1,"NA"),'MITRE ATT&amp;CK Mappings'!$F244))),ISNUMBER(SEARCH(IF(E$2&lt;&gt;"",E$2,"NA"),'MITRE ATT&amp;CK Mappings'!$G244))),ISNUMBER(SEARCH(IF(E$2&lt;&gt;"",E$2,"NA"),'MITRE ATT&amp;CK Mappings'!$H244))),ISNUMBER(SEARCH(IF(E$3&lt;&gt;"",E$3,"NA"),'MITRE ATT&amp;CK Mappings'!$I244))),ISNUMBER(SEARCH(IF(E$3&lt;&gt;"",E$3,"NA"),'MITRE ATT&amp;CK Mappings'!$J244))), 'MITRE ATT&amp;CK Mappings'!$B244,"")</f>
        <v/>
      </c>
      <c r="F248" s="26" t="str">
        <f>IF(OR(OR(OR(OR(OR(ISNUMBER(SEARCH(IF(F$1&lt;&gt;"",F$1,"NA"),'MITRE ATT&amp;CK Mappings'!$E244)),ISNUMBER(SEARCH(IF(F$1&lt;&gt;"",F$1,"NA"),'MITRE ATT&amp;CK Mappings'!$F244))),ISNUMBER(SEARCH(IF(F$2&lt;&gt;"",F$2,"NA"),'MITRE ATT&amp;CK Mappings'!$G244))),ISNUMBER(SEARCH(IF(F$2&lt;&gt;"",F$2,"NA"),'MITRE ATT&amp;CK Mappings'!$H244))),ISNUMBER(SEARCH(IF(F$3&lt;&gt;"",F$3,"NA"),'MITRE ATT&amp;CK Mappings'!$I244))),ISNUMBER(SEARCH(IF(F$3&lt;&gt;"",F$3,"NA"),'MITRE ATT&amp;CK Mappings'!$J244))), 'MITRE ATT&amp;CK Mappings'!$B244,"")</f>
        <v/>
      </c>
      <c r="G248" s="26" t="str">
        <f>IF(OR(OR(OR(OR(OR(ISNUMBER(SEARCH(IF(G$1&lt;&gt;"",G$1,"NA"),'MITRE ATT&amp;CK Mappings'!$E244)),ISNUMBER(SEARCH(IF(G$1&lt;&gt;"",G$1,"NA"),'MITRE ATT&amp;CK Mappings'!$F244))),ISNUMBER(SEARCH(IF(G$2&lt;&gt;"",G$2,"NA"),'MITRE ATT&amp;CK Mappings'!$G244))),ISNUMBER(SEARCH(IF(G$2&lt;&gt;"",G$2,"NA"),'MITRE ATT&amp;CK Mappings'!$H244))),ISNUMBER(SEARCH(IF(G$3&lt;&gt;"",G$3,"NA"),'MITRE ATT&amp;CK Mappings'!$I244))),ISNUMBER(SEARCH(IF(G$3&lt;&gt;"",G$3,"NA"),'MITRE ATT&amp;CK Mappings'!$J244))), 'MITRE ATT&amp;CK Mappings'!$B244,"")</f>
        <v/>
      </c>
      <c r="H248" s="26" t="str">
        <f>IF(OR(OR(OR(OR(OR(ISNUMBER(SEARCH(IF(H$1&lt;&gt;"",H$1,"NA"),'MITRE ATT&amp;CK Mappings'!$E244)),ISNUMBER(SEARCH(IF(H$1&lt;&gt;"",H$1,"NA"),'MITRE ATT&amp;CK Mappings'!$F244))),ISNUMBER(SEARCH(IF(H$2&lt;&gt;"",H$2,"NA"),'MITRE ATT&amp;CK Mappings'!$G244))),ISNUMBER(SEARCH(IF(H$2&lt;&gt;"",H$2,"NA"),'MITRE ATT&amp;CK Mappings'!$H244))),ISNUMBER(SEARCH(IF(H$3&lt;&gt;"",H$3,"NA"),'MITRE ATT&amp;CK Mappings'!$I244))),ISNUMBER(SEARCH(IF(H$3&lt;&gt;"",H$3,"NA"),'MITRE ATT&amp;CK Mappings'!$J244))), 'MITRE ATT&amp;CK Mappings'!$B244,"")</f>
        <v/>
      </c>
      <c r="I248" s="26" t="str">
        <f>IF(OR(OR(OR(OR(OR(ISNUMBER(SEARCH(IF(I$1&lt;&gt;"",I$1,"NA"),'MITRE ATT&amp;CK Mappings'!$E244)),ISNUMBER(SEARCH(IF(I$1&lt;&gt;"",I$1,"NA"),'MITRE ATT&amp;CK Mappings'!$F244))),ISNUMBER(SEARCH(IF(I$2&lt;&gt;"",I$2,"NA"),'MITRE ATT&amp;CK Mappings'!$G244))),ISNUMBER(SEARCH(IF(I$2&lt;&gt;"",I$2,"NA"),'MITRE ATT&amp;CK Mappings'!$H244))),ISNUMBER(SEARCH(IF(I$3&lt;&gt;"",I$3,"NA"),'MITRE ATT&amp;CK Mappings'!$I244))),ISNUMBER(SEARCH(IF(I$3&lt;&gt;"",I$3,"NA"),'MITRE ATT&amp;CK Mappings'!$J244))), 'MITRE ATT&amp;CK Mappings'!$B244,"")</f>
        <v/>
      </c>
      <c r="J248" s="26" t="str">
        <f>IF(OR(OR(OR(OR(OR(ISNUMBER(SEARCH(IF(J$1&lt;&gt;"",J$1,"NA"),'MITRE ATT&amp;CK Mappings'!$E244)),ISNUMBER(SEARCH(IF(J$1&lt;&gt;"",J$1,"NA"),'MITRE ATT&amp;CK Mappings'!$F244))),ISNUMBER(SEARCH(IF(J$2&lt;&gt;"",J$2,"NA"),'MITRE ATT&amp;CK Mappings'!$G244))),ISNUMBER(SEARCH(IF(J$2&lt;&gt;"",J$2,"NA"),'MITRE ATT&amp;CK Mappings'!$H244))),ISNUMBER(SEARCH(IF(J$3&lt;&gt;"",J$3,"NA"),'MITRE ATT&amp;CK Mappings'!$I244))),ISNUMBER(SEARCH(IF(J$3&lt;&gt;"",J$3,"NA"),'MITRE ATT&amp;CK Mappings'!$J244))), 'MITRE ATT&amp;CK Mappings'!$B244,"")</f>
        <v/>
      </c>
      <c r="K248" s="26" t="str">
        <f>IF(OR(OR(OR(OR(OR(ISNUMBER(SEARCH(IF(K$1&lt;&gt;"",K$1,"NA"),'MITRE ATT&amp;CK Mappings'!$E244)),ISNUMBER(SEARCH(IF(K$1&lt;&gt;"",K$1,"NA"),'MITRE ATT&amp;CK Mappings'!$F244))),ISNUMBER(SEARCH(IF(K$2&lt;&gt;"",K$2,"NA"),'MITRE ATT&amp;CK Mappings'!$G244))),ISNUMBER(SEARCH(IF(K$2&lt;&gt;"",K$2,"NA"),'MITRE ATT&amp;CK Mappings'!$H244))),ISNUMBER(SEARCH(IF(K$3&lt;&gt;"",K$3,"NA"),'MITRE ATT&amp;CK Mappings'!$I244))),ISNUMBER(SEARCH(IF(K$3&lt;&gt;"",K$3,"NA"),'MITRE ATT&amp;CK Mappings'!$J244))), 'MITRE ATT&amp;CK Mappings'!$B244,"")</f>
        <v/>
      </c>
      <c r="L248" s="26" t="str">
        <f>IF('MITRE ATT&amp;CK Mappings'!D244 &lt;&gt;"",'MITRE ATT&amp;CK Mappings'!D244,"" )</f>
        <v/>
      </c>
    </row>
    <row r="249" spans="1:12" x14ac:dyDescent="0.25">
      <c r="A249" s="27" t="str">
        <f>IF(COUNTIF(B249:K249,"="&amp;'MITRE ATT&amp;CK Mappings'!B245)&gt;0,'MITRE ATT&amp;CK Mappings'!B245,"")</f>
        <v/>
      </c>
      <c r="B249" s="27" t="str">
        <f>IF(OR(OR(OR(OR(OR(ISNUMBER(SEARCH(IF(B$1&lt;&gt;"",B$1,"NA"),'MITRE ATT&amp;CK Mappings'!$E245)),ISNUMBER(SEARCH(IF(B$1&lt;&gt;"",B$1,"NA"),'MITRE ATT&amp;CK Mappings'!$F245))),ISNUMBER(SEARCH(IF(B$2&lt;&gt;"",B$2,"NA"),'MITRE ATT&amp;CK Mappings'!$G245))),ISNUMBER(SEARCH(IF(B$2&lt;&gt;"",B$2,"NA"),'MITRE ATT&amp;CK Mappings'!$H245))),ISNUMBER(SEARCH(IF(B$3&lt;&gt;"",B$3,"NA"),'MITRE ATT&amp;CK Mappings'!$I245))),ISNUMBER(SEARCH(IF(B$3&lt;&gt;"",B$3,"NA"),'MITRE ATT&amp;CK Mappings'!$J245))), 'MITRE ATT&amp;CK Mappings'!$B245,"")</f>
        <v/>
      </c>
      <c r="C249" s="27" t="str">
        <f>IF(OR(OR(OR(OR(OR(ISNUMBER(SEARCH(IF(C$1&lt;&gt;"",C$1,"NA"),'MITRE ATT&amp;CK Mappings'!$E245)),ISNUMBER(SEARCH(IF(C$1&lt;&gt;"",C$1,"NA"),'MITRE ATT&amp;CK Mappings'!$F245))),ISNUMBER(SEARCH(IF(C$2&lt;&gt;"",C$2,"NA"),'MITRE ATT&amp;CK Mappings'!$G245))),ISNUMBER(SEARCH(IF(C$2&lt;&gt;"",C$2,"NA"),'MITRE ATT&amp;CK Mappings'!$H245))),ISNUMBER(SEARCH(IF(C$3&lt;&gt;"",C$3,"NA"),'MITRE ATT&amp;CK Mappings'!$I245))),ISNUMBER(SEARCH(IF(C$3&lt;&gt;"",C$3,"NA"),'MITRE ATT&amp;CK Mappings'!$J245))), 'MITRE ATT&amp;CK Mappings'!$B245,"")</f>
        <v/>
      </c>
      <c r="D249" s="27" t="str">
        <f>IF(OR(OR(OR(OR(OR(ISNUMBER(SEARCH(IF(D$1&lt;&gt;"",D$1,"NA"),'MITRE ATT&amp;CK Mappings'!$E245)),ISNUMBER(SEARCH(IF(D$1&lt;&gt;"",D$1,"NA"),'MITRE ATT&amp;CK Mappings'!$F245))),ISNUMBER(SEARCH(IF(D$2&lt;&gt;"",D$2,"NA"),'MITRE ATT&amp;CK Mappings'!$G245))),ISNUMBER(SEARCH(IF(D$2&lt;&gt;"",D$2,"NA"),'MITRE ATT&amp;CK Mappings'!$H245))),ISNUMBER(SEARCH(IF(D$3&lt;&gt;"",D$3,"NA"),'MITRE ATT&amp;CK Mappings'!$I245))),ISNUMBER(SEARCH(IF(D$3&lt;&gt;"",D$3,"NA"),'MITRE ATT&amp;CK Mappings'!$J245))), 'MITRE ATT&amp;CK Mappings'!$B245,"")</f>
        <v/>
      </c>
      <c r="E249" s="27" t="str">
        <f>IF(OR(OR(OR(OR(OR(ISNUMBER(SEARCH(IF(E$1&lt;&gt;"",E$1,"NA"),'MITRE ATT&amp;CK Mappings'!$E245)),ISNUMBER(SEARCH(IF(E$1&lt;&gt;"",E$1,"NA"),'MITRE ATT&amp;CK Mappings'!$F245))),ISNUMBER(SEARCH(IF(E$2&lt;&gt;"",E$2,"NA"),'MITRE ATT&amp;CK Mappings'!$G245))),ISNUMBER(SEARCH(IF(E$2&lt;&gt;"",E$2,"NA"),'MITRE ATT&amp;CK Mappings'!$H245))),ISNUMBER(SEARCH(IF(E$3&lt;&gt;"",E$3,"NA"),'MITRE ATT&amp;CK Mappings'!$I245))),ISNUMBER(SEARCH(IF(E$3&lt;&gt;"",E$3,"NA"),'MITRE ATT&amp;CK Mappings'!$J245))), 'MITRE ATT&amp;CK Mappings'!$B245,"")</f>
        <v/>
      </c>
      <c r="F249" s="27" t="str">
        <f>IF(OR(OR(OR(OR(OR(ISNUMBER(SEARCH(IF(F$1&lt;&gt;"",F$1,"NA"),'MITRE ATT&amp;CK Mappings'!$E245)),ISNUMBER(SEARCH(IF(F$1&lt;&gt;"",F$1,"NA"),'MITRE ATT&amp;CK Mappings'!$F245))),ISNUMBER(SEARCH(IF(F$2&lt;&gt;"",F$2,"NA"),'MITRE ATT&amp;CK Mappings'!$G245))),ISNUMBER(SEARCH(IF(F$2&lt;&gt;"",F$2,"NA"),'MITRE ATT&amp;CK Mappings'!$H245))),ISNUMBER(SEARCH(IF(F$3&lt;&gt;"",F$3,"NA"),'MITRE ATT&amp;CK Mappings'!$I245))),ISNUMBER(SEARCH(IF(F$3&lt;&gt;"",F$3,"NA"),'MITRE ATT&amp;CK Mappings'!$J245))), 'MITRE ATT&amp;CK Mappings'!$B245,"")</f>
        <v/>
      </c>
      <c r="G249" s="27" t="str">
        <f>IF(OR(OR(OR(OR(OR(ISNUMBER(SEARCH(IF(G$1&lt;&gt;"",G$1,"NA"),'MITRE ATT&amp;CK Mappings'!$E245)),ISNUMBER(SEARCH(IF(G$1&lt;&gt;"",G$1,"NA"),'MITRE ATT&amp;CK Mappings'!$F245))),ISNUMBER(SEARCH(IF(G$2&lt;&gt;"",G$2,"NA"),'MITRE ATT&amp;CK Mappings'!$G245))),ISNUMBER(SEARCH(IF(G$2&lt;&gt;"",G$2,"NA"),'MITRE ATT&amp;CK Mappings'!$H245))),ISNUMBER(SEARCH(IF(G$3&lt;&gt;"",G$3,"NA"),'MITRE ATT&amp;CK Mappings'!$I245))),ISNUMBER(SEARCH(IF(G$3&lt;&gt;"",G$3,"NA"),'MITRE ATT&amp;CK Mappings'!$J245))), 'MITRE ATT&amp;CK Mappings'!$B245,"")</f>
        <v/>
      </c>
      <c r="H249" s="27" t="str">
        <f>IF(OR(OR(OR(OR(OR(ISNUMBER(SEARCH(IF(H$1&lt;&gt;"",H$1,"NA"),'MITRE ATT&amp;CK Mappings'!$E245)),ISNUMBER(SEARCH(IF(H$1&lt;&gt;"",H$1,"NA"),'MITRE ATT&amp;CK Mappings'!$F245))),ISNUMBER(SEARCH(IF(H$2&lt;&gt;"",H$2,"NA"),'MITRE ATT&amp;CK Mappings'!$G245))),ISNUMBER(SEARCH(IF(H$2&lt;&gt;"",H$2,"NA"),'MITRE ATT&amp;CK Mappings'!$H245))),ISNUMBER(SEARCH(IF(H$3&lt;&gt;"",H$3,"NA"),'MITRE ATT&amp;CK Mappings'!$I245))),ISNUMBER(SEARCH(IF(H$3&lt;&gt;"",H$3,"NA"),'MITRE ATT&amp;CK Mappings'!$J245))), 'MITRE ATT&amp;CK Mappings'!$B245,"")</f>
        <v/>
      </c>
      <c r="I249" s="27" t="str">
        <f>IF(OR(OR(OR(OR(OR(ISNUMBER(SEARCH(IF(I$1&lt;&gt;"",I$1,"NA"),'MITRE ATT&amp;CK Mappings'!$E245)),ISNUMBER(SEARCH(IF(I$1&lt;&gt;"",I$1,"NA"),'MITRE ATT&amp;CK Mappings'!$F245))),ISNUMBER(SEARCH(IF(I$2&lt;&gt;"",I$2,"NA"),'MITRE ATT&amp;CK Mappings'!$G245))),ISNUMBER(SEARCH(IF(I$2&lt;&gt;"",I$2,"NA"),'MITRE ATT&amp;CK Mappings'!$H245))),ISNUMBER(SEARCH(IF(I$3&lt;&gt;"",I$3,"NA"),'MITRE ATT&amp;CK Mappings'!$I245))),ISNUMBER(SEARCH(IF(I$3&lt;&gt;"",I$3,"NA"),'MITRE ATT&amp;CK Mappings'!$J245))), 'MITRE ATT&amp;CK Mappings'!$B245,"")</f>
        <v/>
      </c>
      <c r="J249" s="27" t="str">
        <f>IF(OR(OR(OR(OR(OR(ISNUMBER(SEARCH(IF(J$1&lt;&gt;"",J$1,"NA"),'MITRE ATT&amp;CK Mappings'!$E245)),ISNUMBER(SEARCH(IF(J$1&lt;&gt;"",J$1,"NA"),'MITRE ATT&amp;CK Mappings'!$F245))),ISNUMBER(SEARCH(IF(J$2&lt;&gt;"",J$2,"NA"),'MITRE ATT&amp;CK Mappings'!$G245))),ISNUMBER(SEARCH(IF(J$2&lt;&gt;"",J$2,"NA"),'MITRE ATT&amp;CK Mappings'!$H245))),ISNUMBER(SEARCH(IF(J$3&lt;&gt;"",J$3,"NA"),'MITRE ATT&amp;CK Mappings'!$I245))),ISNUMBER(SEARCH(IF(J$3&lt;&gt;"",J$3,"NA"),'MITRE ATT&amp;CK Mappings'!$J245))), 'MITRE ATT&amp;CK Mappings'!$B245,"")</f>
        <v/>
      </c>
      <c r="K249" s="27" t="str">
        <f>IF(OR(OR(OR(OR(OR(ISNUMBER(SEARCH(IF(K$1&lt;&gt;"",K$1,"NA"),'MITRE ATT&amp;CK Mappings'!$E245)),ISNUMBER(SEARCH(IF(K$1&lt;&gt;"",K$1,"NA"),'MITRE ATT&amp;CK Mappings'!$F245))),ISNUMBER(SEARCH(IF(K$2&lt;&gt;"",K$2,"NA"),'MITRE ATT&amp;CK Mappings'!$G245))),ISNUMBER(SEARCH(IF(K$2&lt;&gt;"",K$2,"NA"),'MITRE ATT&amp;CK Mappings'!$H245))),ISNUMBER(SEARCH(IF(K$3&lt;&gt;"",K$3,"NA"),'MITRE ATT&amp;CK Mappings'!$I245))),ISNUMBER(SEARCH(IF(K$3&lt;&gt;"",K$3,"NA"),'MITRE ATT&amp;CK Mappings'!$J245))), 'MITRE ATT&amp;CK Mappings'!$B245,"")</f>
        <v/>
      </c>
      <c r="L249" s="27" t="str">
        <f>IF('MITRE ATT&amp;CK Mappings'!D245 &lt;&gt;"",'MITRE ATT&amp;CK Mappings'!D245,"" )</f>
        <v/>
      </c>
    </row>
    <row r="250" spans="1:12" x14ac:dyDescent="0.25">
      <c r="A250" s="26" t="str">
        <f>IF(COUNTIF(B250:K250,"="&amp;'MITRE ATT&amp;CK Mappings'!B246)&gt;0,'MITRE ATT&amp;CK Mappings'!B246,"")</f>
        <v/>
      </c>
      <c r="B250" s="26" t="str">
        <f>IF(OR(OR(OR(OR(OR(ISNUMBER(SEARCH(IF(B$1&lt;&gt;"",B$1,"NA"),'MITRE ATT&amp;CK Mappings'!$E246)),ISNUMBER(SEARCH(IF(B$1&lt;&gt;"",B$1,"NA"),'MITRE ATT&amp;CK Mappings'!$F246))),ISNUMBER(SEARCH(IF(B$2&lt;&gt;"",B$2,"NA"),'MITRE ATT&amp;CK Mappings'!$G246))),ISNUMBER(SEARCH(IF(B$2&lt;&gt;"",B$2,"NA"),'MITRE ATT&amp;CK Mappings'!$H246))),ISNUMBER(SEARCH(IF(B$3&lt;&gt;"",B$3,"NA"),'MITRE ATT&amp;CK Mappings'!$I246))),ISNUMBER(SEARCH(IF(B$3&lt;&gt;"",B$3,"NA"),'MITRE ATT&amp;CK Mappings'!$J246))), 'MITRE ATT&amp;CK Mappings'!$B246,"")</f>
        <v/>
      </c>
      <c r="C250" s="26" t="str">
        <f>IF(OR(OR(OR(OR(OR(ISNUMBER(SEARCH(IF(C$1&lt;&gt;"",C$1,"NA"),'MITRE ATT&amp;CK Mappings'!$E246)),ISNUMBER(SEARCH(IF(C$1&lt;&gt;"",C$1,"NA"),'MITRE ATT&amp;CK Mappings'!$F246))),ISNUMBER(SEARCH(IF(C$2&lt;&gt;"",C$2,"NA"),'MITRE ATT&amp;CK Mappings'!$G246))),ISNUMBER(SEARCH(IF(C$2&lt;&gt;"",C$2,"NA"),'MITRE ATT&amp;CK Mappings'!$H246))),ISNUMBER(SEARCH(IF(C$3&lt;&gt;"",C$3,"NA"),'MITRE ATT&amp;CK Mappings'!$I246))),ISNUMBER(SEARCH(IF(C$3&lt;&gt;"",C$3,"NA"),'MITRE ATT&amp;CK Mappings'!$J246))), 'MITRE ATT&amp;CK Mappings'!$B246,"")</f>
        <v/>
      </c>
      <c r="D250" s="26" t="str">
        <f>IF(OR(OR(OR(OR(OR(ISNUMBER(SEARCH(IF(D$1&lt;&gt;"",D$1,"NA"),'MITRE ATT&amp;CK Mappings'!$E246)),ISNUMBER(SEARCH(IF(D$1&lt;&gt;"",D$1,"NA"),'MITRE ATT&amp;CK Mappings'!$F246))),ISNUMBER(SEARCH(IF(D$2&lt;&gt;"",D$2,"NA"),'MITRE ATT&amp;CK Mappings'!$G246))),ISNUMBER(SEARCH(IF(D$2&lt;&gt;"",D$2,"NA"),'MITRE ATT&amp;CK Mappings'!$H246))),ISNUMBER(SEARCH(IF(D$3&lt;&gt;"",D$3,"NA"),'MITRE ATT&amp;CK Mappings'!$I246))),ISNUMBER(SEARCH(IF(D$3&lt;&gt;"",D$3,"NA"),'MITRE ATT&amp;CK Mappings'!$J246))), 'MITRE ATT&amp;CK Mappings'!$B246,"")</f>
        <v/>
      </c>
      <c r="E250" s="26" t="str">
        <f>IF(OR(OR(OR(OR(OR(ISNUMBER(SEARCH(IF(E$1&lt;&gt;"",E$1,"NA"),'MITRE ATT&amp;CK Mappings'!$E246)),ISNUMBER(SEARCH(IF(E$1&lt;&gt;"",E$1,"NA"),'MITRE ATT&amp;CK Mappings'!$F246))),ISNUMBER(SEARCH(IF(E$2&lt;&gt;"",E$2,"NA"),'MITRE ATT&amp;CK Mappings'!$G246))),ISNUMBER(SEARCH(IF(E$2&lt;&gt;"",E$2,"NA"),'MITRE ATT&amp;CK Mappings'!$H246))),ISNUMBER(SEARCH(IF(E$3&lt;&gt;"",E$3,"NA"),'MITRE ATT&amp;CK Mappings'!$I246))),ISNUMBER(SEARCH(IF(E$3&lt;&gt;"",E$3,"NA"),'MITRE ATT&amp;CK Mappings'!$J246))), 'MITRE ATT&amp;CK Mappings'!$B246,"")</f>
        <v/>
      </c>
      <c r="F250" s="26" t="str">
        <f>IF(OR(OR(OR(OR(OR(ISNUMBER(SEARCH(IF(F$1&lt;&gt;"",F$1,"NA"),'MITRE ATT&amp;CK Mappings'!$E246)),ISNUMBER(SEARCH(IF(F$1&lt;&gt;"",F$1,"NA"),'MITRE ATT&amp;CK Mappings'!$F246))),ISNUMBER(SEARCH(IF(F$2&lt;&gt;"",F$2,"NA"),'MITRE ATT&amp;CK Mappings'!$G246))),ISNUMBER(SEARCH(IF(F$2&lt;&gt;"",F$2,"NA"),'MITRE ATT&amp;CK Mappings'!$H246))),ISNUMBER(SEARCH(IF(F$3&lt;&gt;"",F$3,"NA"),'MITRE ATT&amp;CK Mappings'!$I246))),ISNUMBER(SEARCH(IF(F$3&lt;&gt;"",F$3,"NA"),'MITRE ATT&amp;CK Mappings'!$J246))), 'MITRE ATT&amp;CK Mappings'!$B246,"")</f>
        <v/>
      </c>
      <c r="G250" s="26" t="str">
        <f>IF(OR(OR(OR(OR(OR(ISNUMBER(SEARCH(IF(G$1&lt;&gt;"",G$1,"NA"),'MITRE ATT&amp;CK Mappings'!$E246)),ISNUMBER(SEARCH(IF(G$1&lt;&gt;"",G$1,"NA"),'MITRE ATT&amp;CK Mappings'!$F246))),ISNUMBER(SEARCH(IF(G$2&lt;&gt;"",G$2,"NA"),'MITRE ATT&amp;CK Mappings'!$G246))),ISNUMBER(SEARCH(IF(G$2&lt;&gt;"",G$2,"NA"),'MITRE ATT&amp;CK Mappings'!$H246))),ISNUMBER(SEARCH(IF(G$3&lt;&gt;"",G$3,"NA"),'MITRE ATT&amp;CK Mappings'!$I246))),ISNUMBER(SEARCH(IF(G$3&lt;&gt;"",G$3,"NA"),'MITRE ATT&amp;CK Mappings'!$J246))), 'MITRE ATT&amp;CK Mappings'!$B246,"")</f>
        <v/>
      </c>
      <c r="H250" s="26" t="str">
        <f>IF(OR(OR(OR(OR(OR(ISNUMBER(SEARCH(IF(H$1&lt;&gt;"",H$1,"NA"),'MITRE ATT&amp;CK Mappings'!$E246)),ISNUMBER(SEARCH(IF(H$1&lt;&gt;"",H$1,"NA"),'MITRE ATT&amp;CK Mappings'!$F246))),ISNUMBER(SEARCH(IF(H$2&lt;&gt;"",H$2,"NA"),'MITRE ATT&amp;CK Mappings'!$G246))),ISNUMBER(SEARCH(IF(H$2&lt;&gt;"",H$2,"NA"),'MITRE ATT&amp;CK Mappings'!$H246))),ISNUMBER(SEARCH(IF(H$3&lt;&gt;"",H$3,"NA"),'MITRE ATT&amp;CK Mappings'!$I246))),ISNUMBER(SEARCH(IF(H$3&lt;&gt;"",H$3,"NA"),'MITRE ATT&amp;CK Mappings'!$J246))), 'MITRE ATT&amp;CK Mappings'!$B246,"")</f>
        <v/>
      </c>
      <c r="I250" s="26" t="str">
        <f>IF(OR(OR(OR(OR(OR(ISNUMBER(SEARCH(IF(I$1&lt;&gt;"",I$1,"NA"),'MITRE ATT&amp;CK Mappings'!$E246)),ISNUMBER(SEARCH(IF(I$1&lt;&gt;"",I$1,"NA"),'MITRE ATT&amp;CK Mappings'!$F246))),ISNUMBER(SEARCH(IF(I$2&lt;&gt;"",I$2,"NA"),'MITRE ATT&amp;CK Mappings'!$G246))),ISNUMBER(SEARCH(IF(I$2&lt;&gt;"",I$2,"NA"),'MITRE ATT&amp;CK Mappings'!$H246))),ISNUMBER(SEARCH(IF(I$3&lt;&gt;"",I$3,"NA"),'MITRE ATT&amp;CK Mappings'!$I246))),ISNUMBER(SEARCH(IF(I$3&lt;&gt;"",I$3,"NA"),'MITRE ATT&amp;CK Mappings'!$J246))), 'MITRE ATT&amp;CK Mappings'!$B246,"")</f>
        <v/>
      </c>
      <c r="J250" s="26" t="str">
        <f>IF(OR(OR(OR(OR(OR(ISNUMBER(SEARCH(IF(J$1&lt;&gt;"",J$1,"NA"),'MITRE ATT&amp;CK Mappings'!$E246)),ISNUMBER(SEARCH(IF(J$1&lt;&gt;"",J$1,"NA"),'MITRE ATT&amp;CK Mappings'!$F246))),ISNUMBER(SEARCH(IF(J$2&lt;&gt;"",J$2,"NA"),'MITRE ATT&amp;CK Mappings'!$G246))),ISNUMBER(SEARCH(IF(J$2&lt;&gt;"",J$2,"NA"),'MITRE ATT&amp;CK Mappings'!$H246))),ISNUMBER(SEARCH(IF(J$3&lt;&gt;"",J$3,"NA"),'MITRE ATT&amp;CK Mappings'!$I246))),ISNUMBER(SEARCH(IF(J$3&lt;&gt;"",J$3,"NA"),'MITRE ATT&amp;CK Mappings'!$J246))), 'MITRE ATT&amp;CK Mappings'!$B246,"")</f>
        <v/>
      </c>
      <c r="K250" s="26" t="str">
        <f>IF(OR(OR(OR(OR(OR(ISNUMBER(SEARCH(IF(K$1&lt;&gt;"",K$1,"NA"),'MITRE ATT&amp;CK Mappings'!$E246)),ISNUMBER(SEARCH(IF(K$1&lt;&gt;"",K$1,"NA"),'MITRE ATT&amp;CK Mappings'!$F246))),ISNUMBER(SEARCH(IF(K$2&lt;&gt;"",K$2,"NA"),'MITRE ATT&amp;CK Mappings'!$G246))),ISNUMBER(SEARCH(IF(K$2&lt;&gt;"",K$2,"NA"),'MITRE ATT&amp;CK Mappings'!$H246))),ISNUMBER(SEARCH(IF(K$3&lt;&gt;"",K$3,"NA"),'MITRE ATT&amp;CK Mappings'!$I246))),ISNUMBER(SEARCH(IF(K$3&lt;&gt;"",K$3,"NA"),'MITRE ATT&amp;CK Mappings'!$J246))), 'MITRE ATT&amp;CK Mappings'!$B246,"")</f>
        <v/>
      </c>
      <c r="L250" s="26" t="str">
        <f>IF('MITRE ATT&amp;CK Mappings'!D246 &lt;&gt;"",'MITRE ATT&amp;CK Mappings'!D246,"" )</f>
        <v/>
      </c>
    </row>
    <row r="251" spans="1:12" x14ac:dyDescent="0.25">
      <c r="A251" s="27" t="str">
        <f>IF(COUNTIF(B251:K251,"="&amp;'MITRE ATT&amp;CK Mappings'!B247)&gt;0,'MITRE ATT&amp;CK Mappings'!B247,"")</f>
        <v/>
      </c>
      <c r="B251" s="27" t="str">
        <f>IF(OR(OR(OR(OR(OR(ISNUMBER(SEARCH(IF(B$1&lt;&gt;"",B$1,"NA"),'MITRE ATT&amp;CK Mappings'!$E247)),ISNUMBER(SEARCH(IF(B$1&lt;&gt;"",B$1,"NA"),'MITRE ATT&amp;CK Mappings'!$F247))),ISNUMBER(SEARCH(IF(B$2&lt;&gt;"",B$2,"NA"),'MITRE ATT&amp;CK Mappings'!$G247))),ISNUMBER(SEARCH(IF(B$2&lt;&gt;"",B$2,"NA"),'MITRE ATT&amp;CK Mappings'!$H247))),ISNUMBER(SEARCH(IF(B$3&lt;&gt;"",B$3,"NA"),'MITRE ATT&amp;CK Mappings'!$I247))),ISNUMBER(SEARCH(IF(B$3&lt;&gt;"",B$3,"NA"),'MITRE ATT&amp;CK Mappings'!$J247))), 'MITRE ATT&amp;CK Mappings'!$B247,"")</f>
        <v/>
      </c>
      <c r="C251" s="27" t="str">
        <f>IF(OR(OR(OR(OR(OR(ISNUMBER(SEARCH(IF(C$1&lt;&gt;"",C$1,"NA"),'MITRE ATT&amp;CK Mappings'!$E247)),ISNUMBER(SEARCH(IF(C$1&lt;&gt;"",C$1,"NA"),'MITRE ATT&amp;CK Mappings'!$F247))),ISNUMBER(SEARCH(IF(C$2&lt;&gt;"",C$2,"NA"),'MITRE ATT&amp;CK Mappings'!$G247))),ISNUMBER(SEARCH(IF(C$2&lt;&gt;"",C$2,"NA"),'MITRE ATT&amp;CK Mappings'!$H247))),ISNUMBER(SEARCH(IF(C$3&lt;&gt;"",C$3,"NA"),'MITRE ATT&amp;CK Mappings'!$I247))),ISNUMBER(SEARCH(IF(C$3&lt;&gt;"",C$3,"NA"),'MITRE ATT&amp;CK Mappings'!$J247))), 'MITRE ATT&amp;CK Mappings'!$B247,"")</f>
        <v/>
      </c>
      <c r="D251" s="27" t="str">
        <f>IF(OR(OR(OR(OR(OR(ISNUMBER(SEARCH(IF(D$1&lt;&gt;"",D$1,"NA"),'MITRE ATT&amp;CK Mappings'!$E247)),ISNUMBER(SEARCH(IF(D$1&lt;&gt;"",D$1,"NA"),'MITRE ATT&amp;CK Mappings'!$F247))),ISNUMBER(SEARCH(IF(D$2&lt;&gt;"",D$2,"NA"),'MITRE ATT&amp;CK Mappings'!$G247))),ISNUMBER(SEARCH(IF(D$2&lt;&gt;"",D$2,"NA"),'MITRE ATT&amp;CK Mappings'!$H247))),ISNUMBER(SEARCH(IF(D$3&lt;&gt;"",D$3,"NA"),'MITRE ATT&amp;CK Mappings'!$I247))),ISNUMBER(SEARCH(IF(D$3&lt;&gt;"",D$3,"NA"),'MITRE ATT&amp;CK Mappings'!$J247))), 'MITRE ATT&amp;CK Mappings'!$B247,"")</f>
        <v/>
      </c>
      <c r="E251" s="27" t="str">
        <f>IF(OR(OR(OR(OR(OR(ISNUMBER(SEARCH(IF(E$1&lt;&gt;"",E$1,"NA"),'MITRE ATT&amp;CK Mappings'!$E247)),ISNUMBER(SEARCH(IF(E$1&lt;&gt;"",E$1,"NA"),'MITRE ATT&amp;CK Mappings'!$F247))),ISNUMBER(SEARCH(IF(E$2&lt;&gt;"",E$2,"NA"),'MITRE ATT&amp;CK Mappings'!$G247))),ISNUMBER(SEARCH(IF(E$2&lt;&gt;"",E$2,"NA"),'MITRE ATT&amp;CK Mappings'!$H247))),ISNUMBER(SEARCH(IF(E$3&lt;&gt;"",E$3,"NA"),'MITRE ATT&amp;CK Mappings'!$I247))),ISNUMBER(SEARCH(IF(E$3&lt;&gt;"",E$3,"NA"),'MITRE ATT&amp;CK Mappings'!$J247))), 'MITRE ATT&amp;CK Mappings'!$B247,"")</f>
        <v/>
      </c>
      <c r="F251" s="27" t="str">
        <f>IF(OR(OR(OR(OR(OR(ISNUMBER(SEARCH(IF(F$1&lt;&gt;"",F$1,"NA"),'MITRE ATT&amp;CK Mappings'!$E247)),ISNUMBER(SEARCH(IF(F$1&lt;&gt;"",F$1,"NA"),'MITRE ATT&amp;CK Mappings'!$F247))),ISNUMBER(SEARCH(IF(F$2&lt;&gt;"",F$2,"NA"),'MITRE ATT&amp;CK Mappings'!$G247))),ISNUMBER(SEARCH(IF(F$2&lt;&gt;"",F$2,"NA"),'MITRE ATT&amp;CK Mappings'!$H247))),ISNUMBER(SEARCH(IF(F$3&lt;&gt;"",F$3,"NA"),'MITRE ATT&amp;CK Mappings'!$I247))),ISNUMBER(SEARCH(IF(F$3&lt;&gt;"",F$3,"NA"),'MITRE ATT&amp;CK Mappings'!$J247))), 'MITRE ATT&amp;CK Mappings'!$B247,"")</f>
        <v/>
      </c>
      <c r="G251" s="27" t="str">
        <f>IF(OR(OR(OR(OR(OR(ISNUMBER(SEARCH(IF(G$1&lt;&gt;"",G$1,"NA"),'MITRE ATT&amp;CK Mappings'!$E247)),ISNUMBER(SEARCH(IF(G$1&lt;&gt;"",G$1,"NA"),'MITRE ATT&amp;CK Mappings'!$F247))),ISNUMBER(SEARCH(IF(G$2&lt;&gt;"",G$2,"NA"),'MITRE ATT&amp;CK Mappings'!$G247))),ISNUMBER(SEARCH(IF(G$2&lt;&gt;"",G$2,"NA"),'MITRE ATT&amp;CK Mappings'!$H247))),ISNUMBER(SEARCH(IF(G$3&lt;&gt;"",G$3,"NA"),'MITRE ATT&amp;CK Mappings'!$I247))),ISNUMBER(SEARCH(IF(G$3&lt;&gt;"",G$3,"NA"),'MITRE ATT&amp;CK Mappings'!$J247))), 'MITRE ATT&amp;CK Mappings'!$B247,"")</f>
        <v/>
      </c>
      <c r="H251" s="27" t="str">
        <f>IF(OR(OR(OR(OR(OR(ISNUMBER(SEARCH(IF(H$1&lt;&gt;"",H$1,"NA"),'MITRE ATT&amp;CK Mappings'!$E247)),ISNUMBER(SEARCH(IF(H$1&lt;&gt;"",H$1,"NA"),'MITRE ATT&amp;CK Mappings'!$F247))),ISNUMBER(SEARCH(IF(H$2&lt;&gt;"",H$2,"NA"),'MITRE ATT&amp;CK Mappings'!$G247))),ISNUMBER(SEARCH(IF(H$2&lt;&gt;"",H$2,"NA"),'MITRE ATT&amp;CK Mappings'!$H247))),ISNUMBER(SEARCH(IF(H$3&lt;&gt;"",H$3,"NA"),'MITRE ATT&amp;CK Mappings'!$I247))),ISNUMBER(SEARCH(IF(H$3&lt;&gt;"",H$3,"NA"),'MITRE ATT&amp;CK Mappings'!$J247))), 'MITRE ATT&amp;CK Mappings'!$B247,"")</f>
        <v/>
      </c>
      <c r="I251" s="27" t="str">
        <f>IF(OR(OR(OR(OR(OR(ISNUMBER(SEARCH(IF(I$1&lt;&gt;"",I$1,"NA"),'MITRE ATT&amp;CK Mappings'!$E247)),ISNUMBER(SEARCH(IF(I$1&lt;&gt;"",I$1,"NA"),'MITRE ATT&amp;CK Mappings'!$F247))),ISNUMBER(SEARCH(IF(I$2&lt;&gt;"",I$2,"NA"),'MITRE ATT&amp;CK Mappings'!$G247))),ISNUMBER(SEARCH(IF(I$2&lt;&gt;"",I$2,"NA"),'MITRE ATT&amp;CK Mappings'!$H247))),ISNUMBER(SEARCH(IF(I$3&lt;&gt;"",I$3,"NA"),'MITRE ATT&amp;CK Mappings'!$I247))),ISNUMBER(SEARCH(IF(I$3&lt;&gt;"",I$3,"NA"),'MITRE ATT&amp;CK Mappings'!$J247))), 'MITRE ATT&amp;CK Mappings'!$B247,"")</f>
        <v/>
      </c>
      <c r="J251" s="27" t="str">
        <f>IF(OR(OR(OR(OR(OR(ISNUMBER(SEARCH(IF(J$1&lt;&gt;"",J$1,"NA"),'MITRE ATT&amp;CK Mappings'!$E247)),ISNUMBER(SEARCH(IF(J$1&lt;&gt;"",J$1,"NA"),'MITRE ATT&amp;CK Mappings'!$F247))),ISNUMBER(SEARCH(IF(J$2&lt;&gt;"",J$2,"NA"),'MITRE ATT&amp;CK Mappings'!$G247))),ISNUMBER(SEARCH(IF(J$2&lt;&gt;"",J$2,"NA"),'MITRE ATT&amp;CK Mappings'!$H247))),ISNUMBER(SEARCH(IF(J$3&lt;&gt;"",J$3,"NA"),'MITRE ATT&amp;CK Mappings'!$I247))),ISNUMBER(SEARCH(IF(J$3&lt;&gt;"",J$3,"NA"),'MITRE ATT&amp;CK Mappings'!$J247))), 'MITRE ATT&amp;CK Mappings'!$B247,"")</f>
        <v/>
      </c>
      <c r="K251" s="27" t="str">
        <f>IF(OR(OR(OR(OR(OR(ISNUMBER(SEARCH(IF(K$1&lt;&gt;"",K$1,"NA"),'MITRE ATT&amp;CK Mappings'!$E247)),ISNUMBER(SEARCH(IF(K$1&lt;&gt;"",K$1,"NA"),'MITRE ATT&amp;CK Mappings'!$F247))),ISNUMBER(SEARCH(IF(K$2&lt;&gt;"",K$2,"NA"),'MITRE ATT&amp;CK Mappings'!$G247))),ISNUMBER(SEARCH(IF(K$2&lt;&gt;"",K$2,"NA"),'MITRE ATT&amp;CK Mappings'!$H247))),ISNUMBER(SEARCH(IF(K$3&lt;&gt;"",K$3,"NA"),'MITRE ATT&amp;CK Mappings'!$I247))),ISNUMBER(SEARCH(IF(K$3&lt;&gt;"",K$3,"NA"),'MITRE ATT&amp;CK Mappings'!$J247))), 'MITRE ATT&amp;CK Mappings'!$B247,"")</f>
        <v/>
      </c>
      <c r="L251" s="27" t="str">
        <f>IF('MITRE ATT&amp;CK Mappings'!D247 &lt;&gt;"",'MITRE ATT&amp;CK Mappings'!D247,"" )</f>
        <v/>
      </c>
    </row>
    <row r="252" spans="1:12" x14ac:dyDescent="0.25">
      <c r="A252" s="26" t="str">
        <f>IF(COUNTIF(B252:K252,"="&amp;'MITRE ATT&amp;CK Mappings'!B248)&gt;0,'MITRE ATT&amp;CK Mappings'!B248,"")</f>
        <v/>
      </c>
      <c r="B252" s="26" t="str">
        <f>IF(OR(OR(OR(OR(OR(ISNUMBER(SEARCH(IF(B$1&lt;&gt;"",B$1,"NA"),'MITRE ATT&amp;CK Mappings'!$E248)),ISNUMBER(SEARCH(IF(B$1&lt;&gt;"",B$1,"NA"),'MITRE ATT&amp;CK Mappings'!$F248))),ISNUMBER(SEARCH(IF(B$2&lt;&gt;"",B$2,"NA"),'MITRE ATT&amp;CK Mappings'!$G248))),ISNUMBER(SEARCH(IF(B$2&lt;&gt;"",B$2,"NA"),'MITRE ATT&amp;CK Mappings'!$H248))),ISNUMBER(SEARCH(IF(B$3&lt;&gt;"",B$3,"NA"),'MITRE ATT&amp;CK Mappings'!$I248))),ISNUMBER(SEARCH(IF(B$3&lt;&gt;"",B$3,"NA"),'MITRE ATT&amp;CK Mappings'!$J248))), 'MITRE ATT&amp;CK Mappings'!$B248,"")</f>
        <v/>
      </c>
      <c r="C252" s="26" t="str">
        <f>IF(OR(OR(OR(OR(OR(ISNUMBER(SEARCH(IF(C$1&lt;&gt;"",C$1,"NA"),'MITRE ATT&amp;CK Mappings'!$E248)),ISNUMBER(SEARCH(IF(C$1&lt;&gt;"",C$1,"NA"),'MITRE ATT&amp;CK Mappings'!$F248))),ISNUMBER(SEARCH(IF(C$2&lt;&gt;"",C$2,"NA"),'MITRE ATT&amp;CK Mappings'!$G248))),ISNUMBER(SEARCH(IF(C$2&lt;&gt;"",C$2,"NA"),'MITRE ATT&amp;CK Mappings'!$H248))),ISNUMBER(SEARCH(IF(C$3&lt;&gt;"",C$3,"NA"),'MITRE ATT&amp;CK Mappings'!$I248))),ISNUMBER(SEARCH(IF(C$3&lt;&gt;"",C$3,"NA"),'MITRE ATT&amp;CK Mappings'!$J248))), 'MITRE ATT&amp;CK Mappings'!$B248,"")</f>
        <v/>
      </c>
      <c r="D252" s="26" t="str">
        <f>IF(OR(OR(OR(OR(OR(ISNUMBER(SEARCH(IF(D$1&lt;&gt;"",D$1,"NA"),'MITRE ATT&amp;CK Mappings'!$E248)),ISNUMBER(SEARCH(IF(D$1&lt;&gt;"",D$1,"NA"),'MITRE ATT&amp;CK Mappings'!$F248))),ISNUMBER(SEARCH(IF(D$2&lt;&gt;"",D$2,"NA"),'MITRE ATT&amp;CK Mappings'!$G248))),ISNUMBER(SEARCH(IF(D$2&lt;&gt;"",D$2,"NA"),'MITRE ATT&amp;CK Mappings'!$H248))),ISNUMBER(SEARCH(IF(D$3&lt;&gt;"",D$3,"NA"),'MITRE ATT&amp;CK Mappings'!$I248))),ISNUMBER(SEARCH(IF(D$3&lt;&gt;"",D$3,"NA"),'MITRE ATT&amp;CK Mappings'!$J248))), 'MITRE ATT&amp;CK Mappings'!$B248,"")</f>
        <v/>
      </c>
      <c r="E252" s="26" t="str">
        <f>IF(OR(OR(OR(OR(OR(ISNUMBER(SEARCH(IF(E$1&lt;&gt;"",E$1,"NA"),'MITRE ATT&amp;CK Mappings'!$E248)),ISNUMBER(SEARCH(IF(E$1&lt;&gt;"",E$1,"NA"),'MITRE ATT&amp;CK Mappings'!$F248))),ISNUMBER(SEARCH(IF(E$2&lt;&gt;"",E$2,"NA"),'MITRE ATT&amp;CK Mappings'!$G248))),ISNUMBER(SEARCH(IF(E$2&lt;&gt;"",E$2,"NA"),'MITRE ATT&amp;CK Mappings'!$H248))),ISNUMBER(SEARCH(IF(E$3&lt;&gt;"",E$3,"NA"),'MITRE ATT&amp;CK Mappings'!$I248))),ISNUMBER(SEARCH(IF(E$3&lt;&gt;"",E$3,"NA"),'MITRE ATT&amp;CK Mappings'!$J248))), 'MITRE ATT&amp;CK Mappings'!$B248,"")</f>
        <v/>
      </c>
      <c r="F252" s="26" t="str">
        <f>IF(OR(OR(OR(OR(OR(ISNUMBER(SEARCH(IF(F$1&lt;&gt;"",F$1,"NA"),'MITRE ATT&amp;CK Mappings'!$E248)),ISNUMBER(SEARCH(IF(F$1&lt;&gt;"",F$1,"NA"),'MITRE ATT&amp;CK Mappings'!$F248))),ISNUMBER(SEARCH(IF(F$2&lt;&gt;"",F$2,"NA"),'MITRE ATT&amp;CK Mappings'!$G248))),ISNUMBER(SEARCH(IF(F$2&lt;&gt;"",F$2,"NA"),'MITRE ATT&amp;CK Mappings'!$H248))),ISNUMBER(SEARCH(IF(F$3&lt;&gt;"",F$3,"NA"),'MITRE ATT&amp;CK Mappings'!$I248))),ISNUMBER(SEARCH(IF(F$3&lt;&gt;"",F$3,"NA"),'MITRE ATT&amp;CK Mappings'!$J248))), 'MITRE ATT&amp;CK Mappings'!$B248,"")</f>
        <v/>
      </c>
      <c r="G252" s="26" t="str">
        <f>IF(OR(OR(OR(OR(OR(ISNUMBER(SEARCH(IF(G$1&lt;&gt;"",G$1,"NA"),'MITRE ATT&amp;CK Mappings'!$E248)),ISNUMBER(SEARCH(IF(G$1&lt;&gt;"",G$1,"NA"),'MITRE ATT&amp;CK Mappings'!$F248))),ISNUMBER(SEARCH(IF(G$2&lt;&gt;"",G$2,"NA"),'MITRE ATT&amp;CK Mappings'!$G248))),ISNUMBER(SEARCH(IF(G$2&lt;&gt;"",G$2,"NA"),'MITRE ATT&amp;CK Mappings'!$H248))),ISNUMBER(SEARCH(IF(G$3&lt;&gt;"",G$3,"NA"),'MITRE ATT&amp;CK Mappings'!$I248))),ISNUMBER(SEARCH(IF(G$3&lt;&gt;"",G$3,"NA"),'MITRE ATT&amp;CK Mappings'!$J248))), 'MITRE ATT&amp;CK Mappings'!$B248,"")</f>
        <v/>
      </c>
      <c r="H252" s="26" t="str">
        <f>IF(OR(OR(OR(OR(OR(ISNUMBER(SEARCH(IF(H$1&lt;&gt;"",H$1,"NA"),'MITRE ATT&amp;CK Mappings'!$E248)),ISNUMBER(SEARCH(IF(H$1&lt;&gt;"",H$1,"NA"),'MITRE ATT&amp;CK Mappings'!$F248))),ISNUMBER(SEARCH(IF(H$2&lt;&gt;"",H$2,"NA"),'MITRE ATT&amp;CK Mappings'!$G248))),ISNUMBER(SEARCH(IF(H$2&lt;&gt;"",H$2,"NA"),'MITRE ATT&amp;CK Mappings'!$H248))),ISNUMBER(SEARCH(IF(H$3&lt;&gt;"",H$3,"NA"),'MITRE ATT&amp;CK Mappings'!$I248))),ISNUMBER(SEARCH(IF(H$3&lt;&gt;"",H$3,"NA"),'MITRE ATT&amp;CK Mappings'!$J248))), 'MITRE ATT&amp;CK Mappings'!$B248,"")</f>
        <v/>
      </c>
      <c r="I252" s="26" t="str">
        <f>IF(OR(OR(OR(OR(OR(ISNUMBER(SEARCH(IF(I$1&lt;&gt;"",I$1,"NA"),'MITRE ATT&amp;CK Mappings'!$E248)),ISNUMBER(SEARCH(IF(I$1&lt;&gt;"",I$1,"NA"),'MITRE ATT&amp;CK Mappings'!$F248))),ISNUMBER(SEARCH(IF(I$2&lt;&gt;"",I$2,"NA"),'MITRE ATT&amp;CK Mappings'!$G248))),ISNUMBER(SEARCH(IF(I$2&lt;&gt;"",I$2,"NA"),'MITRE ATT&amp;CK Mappings'!$H248))),ISNUMBER(SEARCH(IF(I$3&lt;&gt;"",I$3,"NA"),'MITRE ATT&amp;CK Mappings'!$I248))),ISNUMBER(SEARCH(IF(I$3&lt;&gt;"",I$3,"NA"),'MITRE ATT&amp;CK Mappings'!$J248))), 'MITRE ATT&amp;CK Mappings'!$B248,"")</f>
        <v/>
      </c>
      <c r="J252" s="26" t="str">
        <f>IF(OR(OR(OR(OR(OR(ISNUMBER(SEARCH(IF(J$1&lt;&gt;"",J$1,"NA"),'MITRE ATT&amp;CK Mappings'!$E248)),ISNUMBER(SEARCH(IF(J$1&lt;&gt;"",J$1,"NA"),'MITRE ATT&amp;CK Mappings'!$F248))),ISNUMBER(SEARCH(IF(J$2&lt;&gt;"",J$2,"NA"),'MITRE ATT&amp;CK Mappings'!$G248))),ISNUMBER(SEARCH(IF(J$2&lt;&gt;"",J$2,"NA"),'MITRE ATT&amp;CK Mappings'!$H248))),ISNUMBER(SEARCH(IF(J$3&lt;&gt;"",J$3,"NA"),'MITRE ATT&amp;CK Mappings'!$I248))),ISNUMBER(SEARCH(IF(J$3&lt;&gt;"",J$3,"NA"),'MITRE ATT&amp;CK Mappings'!$J248))), 'MITRE ATT&amp;CK Mappings'!$B248,"")</f>
        <v/>
      </c>
      <c r="K252" s="26" t="str">
        <f>IF(OR(OR(OR(OR(OR(ISNUMBER(SEARCH(IF(K$1&lt;&gt;"",K$1,"NA"),'MITRE ATT&amp;CK Mappings'!$E248)),ISNUMBER(SEARCH(IF(K$1&lt;&gt;"",K$1,"NA"),'MITRE ATT&amp;CK Mappings'!$F248))),ISNUMBER(SEARCH(IF(K$2&lt;&gt;"",K$2,"NA"),'MITRE ATT&amp;CK Mappings'!$G248))),ISNUMBER(SEARCH(IF(K$2&lt;&gt;"",K$2,"NA"),'MITRE ATT&amp;CK Mappings'!$H248))),ISNUMBER(SEARCH(IF(K$3&lt;&gt;"",K$3,"NA"),'MITRE ATT&amp;CK Mappings'!$I248))),ISNUMBER(SEARCH(IF(K$3&lt;&gt;"",K$3,"NA"),'MITRE ATT&amp;CK Mappings'!$J248))), 'MITRE ATT&amp;CK Mappings'!$B248,"")</f>
        <v/>
      </c>
      <c r="L252" s="26" t="str">
        <f>IF('MITRE ATT&amp;CK Mappings'!D248 &lt;&gt;"",'MITRE ATT&amp;CK Mappings'!D248,"" )</f>
        <v/>
      </c>
    </row>
    <row r="253" spans="1:12" x14ac:dyDescent="0.25">
      <c r="A253" s="27" t="str">
        <f>IF(COUNTIF(B253:K253,"="&amp;'MITRE ATT&amp;CK Mappings'!B249)&gt;0,'MITRE ATT&amp;CK Mappings'!B249,"")</f>
        <v/>
      </c>
      <c r="B253" s="27" t="str">
        <f>IF(OR(OR(OR(OR(OR(ISNUMBER(SEARCH(IF(B$1&lt;&gt;"",B$1,"NA"),'MITRE ATT&amp;CK Mappings'!$E249)),ISNUMBER(SEARCH(IF(B$1&lt;&gt;"",B$1,"NA"),'MITRE ATT&amp;CK Mappings'!$F249))),ISNUMBER(SEARCH(IF(B$2&lt;&gt;"",B$2,"NA"),'MITRE ATT&amp;CK Mappings'!$G249))),ISNUMBER(SEARCH(IF(B$2&lt;&gt;"",B$2,"NA"),'MITRE ATT&amp;CK Mappings'!$H249))),ISNUMBER(SEARCH(IF(B$3&lt;&gt;"",B$3,"NA"),'MITRE ATT&amp;CK Mappings'!$I249))),ISNUMBER(SEARCH(IF(B$3&lt;&gt;"",B$3,"NA"),'MITRE ATT&amp;CK Mappings'!$J249))), 'MITRE ATT&amp;CK Mappings'!$B249,"")</f>
        <v/>
      </c>
      <c r="C253" s="27" t="str">
        <f>IF(OR(OR(OR(OR(OR(ISNUMBER(SEARCH(IF(C$1&lt;&gt;"",C$1,"NA"),'MITRE ATT&amp;CK Mappings'!$E249)),ISNUMBER(SEARCH(IF(C$1&lt;&gt;"",C$1,"NA"),'MITRE ATT&amp;CK Mappings'!$F249))),ISNUMBER(SEARCH(IF(C$2&lt;&gt;"",C$2,"NA"),'MITRE ATT&amp;CK Mappings'!$G249))),ISNUMBER(SEARCH(IF(C$2&lt;&gt;"",C$2,"NA"),'MITRE ATT&amp;CK Mappings'!$H249))),ISNUMBER(SEARCH(IF(C$3&lt;&gt;"",C$3,"NA"),'MITRE ATT&amp;CK Mappings'!$I249))),ISNUMBER(SEARCH(IF(C$3&lt;&gt;"",C$3,"NA"),'MITRE ATT&amp;CK Mappings'!$J249))), 'MITRE ATT&amp;CK Mappings'!$B249,"")</f>
        <v/>
      </c>
      <c r="D253" s="27" t="str">
        <f>IF(OR(OR(OR(OR(OR(ISNUMBER(SEARCH(IF(D$1&lt;&gt;"",D$1,"NA"),'MITRE ATT&amp;CK Mappings'!$E249)),ISNUMBER(SEARCH(IF(D$1&lt;&gt;"",D$1,"NA"),'MITRE ATT&amp;CK Mappings'!$F249))),ISNUMBER(SEARCH(IF(D$2&lt;&gt;"",D$2,"NA"),'MITRE ATT&amp;CK Mappings'!$G249))),ISNUMBER(SEARCH(IF(D$2&lt;&gt;"",D$2,"NA"),'MITRE ATT&amp;CK Mappings'!$H249))),ISNUMBER(SEARCH(IF(D$3&lt;&gt;"",D$3,"NA"),'MITRE ATT&amp;CK Mappings'!$I249))),ISNUMBER(SEARCH(IF(D$3&lt;&gt;"",D$3,"NA"),'MITRE ATT&amp;CK Mappings'!$J249))), 'MITRE ATT&amp;CK Mappings'!$B249,"")</f>
        <v/>
      </c>
      <c r="E253" s="27" t="str">
        <f>IF(OR(OR(OR(OR(OR(ISNUMBER(SEARCH(IF(E$1&lt;&gt;"",E$1,"NA"),'MITRE ATT&amp;CK Mappings'!$E249)),ISNUMBER(SEARCH(IF(E$1&lt;&gt;"",E$1,"NA"),'MITRE ATT&amp;CK Mappings'!$F249))),ISNUMBER(SEARCH(IF(E$2&lt;&gt;"",E$2,"NA"),'MITRE ATT&amp;CK Mappings'!$G249))),ISNUMBER(SEARCH(IF(E$2&lt;&gt;"",E$2,"NA"),'MITRE ATT&amp;CK Mappings'!$H249))),ISNUMBER(SEARCH(IF(E$3&lt;&gt;"",E$3,"NA"),'MITRE ATT&amp;CK Mappings'!$I249))),ISNUMBER(SEARCH(IF(E$3&lt;&gt;"",E$3,"NA"),'MITRE ATT&amp;CK Mappings'!$J249))), 'MITRE ATT&amp;CK Mappings'!$B249,"")</f>
        <v/>
      </c>
      <c r="F253" s="27" t="str">
        <f>IF(OR(OR(OR(OR(OR(ISNUMBER(SEARCH(IF(F$1&lt;&gt;"",F$1,"NA"),'MITRE ATT&amp;CK Mappings'!$E249)),ISNUMBER(SEARCH(IF(F$1&lt;&gt;"",F$1,"NA"),'MITRE ATT&amp;CK Mappings'!$F249))),ISNUMBER(SEARCH(IF(F$2&lt;&gt;"",F$2,"NA"),'MITRE ATT&amp;CK Mappings'!$G249))),ISNUMBER(SEARCH(IF(F$2&lt;&gt;"",F$2,"NA"),'MITRE ATT&amp;CK Mappings'!$H249))),ISNUMBER(SEARCH(IF(F$3&lt;&gt;"",F$3,"NA"),'MITRE ATT&amp;CK Mappings'!$I249))),ISNUMBER(SEARCH(IF(F$3&lt;&gt;"",F$3,"NA"),'MITRE ATT&amp;CK Mappings'!$J249))), 'MITRE ATT&amp;CK Mappings'!$B249,"")</f>
        <v/>
      </c>
      <c r="G253" s="27" t="str">
        <f>IF(OR(OR(OR(OR(OR(ISNUMBER(SEARCH(IF(G$1&lt;&gt;"",G$1,"NA"),'MITRE ATT&amp;CK Mappings'!$E249)),ISNUMBER(SEARCH(IF(G$1&lt;&gt;"",G$1,"NA"),'MITRE ATT&amp;CK Mappings'!$F249))),ISNUMBER(SEARCH(IF(G$2&lt;&gt;"",G$2,"NA"),'MITRE ATT&amp;CK Mappings'!$G249))),ISNUMBER(SEARCH(IF(G$2&lt;&gt;"",G$2,"NA"),'MITRE ATT&amp;CK Mappings'!$H249))),ISNUMBER(SEARCH(IF(G$3&lt;&gt;"",G$3,"NA"),'MITRE ATT&amp;CK Mappings'!$I249))),ISNUMBER(SEARCH(IF(G$3&lt;&gt;"",G$3,"NA"),'MITRE ATT&amp;CK Mappings'!$J249))), 'MITRE ATT&amp;CK Mappings'!$B249,"")</f>
        <v/>
      </c>
      <c r="H253" s="27" t="str">
        <f>IF(OR(OR(OR(OR(OR(ISNUMBER(SEARCH(IF(H$1&lt;&gt;"",H$1,"NA"),'MITRE ATT&amp;CK Mappings'!$E249)),ISNUMBER(SEARCH(IF(H$1&lt;&gt;"",H$1,"NA"),'MITRE ATT&amp;CK Mappings'!$F249))),ISNUMBER(SEARCH(IF(H$2&lt;&gt;"",H$2,"NA"),'MITRE ATT&amp;CK Mappings'!$G249))),ISNUMBER(SEARCH(IF(H$2&lt;&gt;"",H$2,"NA"),'MITRE ATT&amp;CK Mappings'!$H249))),ISNUMBER(SEARCH(IF(H$3&lt;&gt;"",H$3,"NA"),'MITRE ATT&amp;CK Mappings'!$I249))),ISNUMBER(SEARCH(IF(H$3&lt;&gt;"",H$3,"NA"),'MITRE ATT&amp;CK Mappings'!$J249))), 'MITRE ATT&amp;CK Mappings'!$B249,"")</f>
        <v/>
      </c>
      <c r="I253" s="27" t="str">
        <f>IF(OR(OR(OR(OR(OR(ISNUMBER(SEARCH(IF(I$1&lt;&gt;"",I$1,"NA"),'MITRE ATT&amp;CK Mappings'!$E249)),ISNUMBER(SEARCH(IF(I$1&lt;&gt;"",I$1,"NA"),'MITRE ATT&amp;CK Mappings'!$F249))),ISNUMBER(SEARCH(IF(I$2&lt;&gt;"",I$2,"NA"),'MITRE ATT&amp;CK Mappings'!$G249))),ISNUMBER(SEARCH(IF(I$2&lt;&gt;"",I$2,"NA"),'MITRE ATT&amp;CK Mappings'!$H249))),ISNUMBER(SEARCH(IF(I$3&lt;&gt;"",I$3,"NA"),'MITRE ATT&amp;CK Mappings'!$I249))),ISNUMBER(SEARCH(IF(I$3&lt;&gt;"",I$3,"NA"),'MITRE ATT&amp;CK Mappings'!$J249))), 'MITRE ATT&amp;CK Mappings'!$B249,"")</f>
        <v/>
      </c>
      <c r="J253" s="27" t="str">
        <f>IF(OR(OR(OR(OR(OR(ISNUMBER(SEARCH(IF(J$1&lt;&gt;"",J$1,"NA"),'MITRE ATT&amp;CK Mappings'!$E249)),ISNUMBER(SEARCH(IF(J$1&lt;&gt;"",J$1,"NA"),'MITRE ATT&amp;CK Mappings'!$F249))),ISNUMBER(SEARCH(IF(J$2&lt;&gt;"",J$2,"NA"),'MITRE ATT&amp;CK Mappings'!$G249))),ISNUMBER(SEARCH(IF(J$2&lt;&gt;"",J$2,"NA"),'MITRE ATT&amp;CK Mappings'!$H249))),ISNUMBER(SEARCH(IF(J$3&lt;&gt;"",J$3,"NA"),'MITRE ATT&amp;CK Mappings'!$I249))),ISNUMBER(SEARCH(IF(J$3&lt;&gt;"",J$3,"NA"),'MITRE ATT&amp;CK Mappings'!$J249))), 'MITRE ATT&amp;CK Mappings'!$B249,"")</f>
        <v/>
      </c>
      <c r="K253" s="27" t="str">
        <f>IF(OR(OR(OR(OR(OR(ISNUMBER(SEARCH(IF(K$1&lt;&gt;"",K$1,"NA"),'MITRE ATT&amp;CK Mappings'!$E249)),ISNUMBER(SEARCH(IF(K$1&lt;&gt;"",K$1,"NA"),'MITRE ATT&amp;CK Mappings'!$F249))),ISNUMBER(SEARCH(IF(K$2&lt;&gt;"",K$2,"NA"),'MITRE ATT&amp;CK Mappings'!$G249))),ISNUMBER(SEARCH(IF(K$2&lt;&gt;"",K$2,"NA"),'MITRE ATT&amp;CK Mappings'!$H249))),ISNUMBER(SEARCH(IF(K$3&lt;&gt;"",K$3,"NA"),'MITRE ATT&amp;CK Mappings'!$I249))),ISNUMBER(SEARCH(IF(K$3&lt;&gt;"",K$3,"NA"),'MITRE ATT&amp;CK Mappings'!$J249))), 'MITRE ATT&amp;CK Mappings'!$B249,"")</f>
        <v/>
      </c>
      <c r="L253" s="27" t="str">
        <f>IF('MITRE ATT&amp;CK Mappings'!D249 &lt;&gt;"",'MITRE ATT&amp;CK Mappings'!D249,"" )</f>
        <v/>
      </c>
    </row>
    <row r="254" spans="1:12" x14ac:dyDescent="0.25">
      <c r="A254" s="26" t="str">
        <f>IF(COUNTIF(B254:K254,"="&amp;'MITRE ATT&amp;CK Mappings'!B250)&gt;0,'MITRE ATT&amp;CK Mappings'!B250,"")</f>
        <v/>
      </c>
      <c r="B254" s="26" t="str">
        <f>IF(OR(OR(OR(OR(OR(ISNUMBER(SEARCH(IF(B$1&lt;&gt;"",B$1,"NA"),'MITRE ATT&amp;CK Mappings'!$E250)),ISNUMBER(SEARCH(IF(B$1&lt;&gt;"",B$1,"NA"),'MITRE ATT&amp;CK Mappings'!$F250))),ISNUMBER(SEARCH(IF(B$2&lt;&gt;"",B$2,"NA"),'MITRE ATT&amp;CK Mappings'!$G250))),ISNUMBER(SEARCH(IF(B$2&lt;&gt;"",B$2,"NA"),'MITRE ATT&amp;CK Mappings'!$H250))),ISNUMBER(SEARCH(IF(B$3&lt;&gt;"",B$3,"NA"),'MITRE ATT&amp;CK Mappings'!$I250))),ISNUMBER(SEARCH(IF(B$3&lt;&gt;"",B$3,"NA"),'MITRE ATT&amp;CK Mappings'!$J250))), 'MITRE ATT&amp;CK Mappings'!$B250,"")</f>
        <v/>
      </c>
      <c r="C254" s="26" t="str">
        <f>IF(OR(OR(OR(OR(OR(ISNUMBER(SEARCH(IF(C$1&lt;&gt;"",C$1,"NA"),'MITRE ATT&amp;CK Mappings'!$E250)),ISNUMBER(SEARCH(IF(C$1&lt;&gt;"",C$1,"NA"),'MITRE ATT&amp;CK Mappings'!$F250))),ISNUMBER(SEARCH(IF(C$2&lt;&gt;"",C$2,"NA"),'MITRE ATT&amp;CK Mappings'!$G250))),ISNUMBER(SEARCH(IF(C$2&lt;&gt;"",C$2,"NA"),'MITRE ATT&amp;CK Mappings'!$H250))),ISNUMBER(SEARCH(IF(C$3&lt;&gt;"",C$3,"NA"),'MITRE ATT&amp;CK Mappings'!$I250))),ISNUMBER(SEARCH(IF(C$3&lt;&gt;"",C$3,"NA"),'MITRE ATT&amp;CK Mappings'!$J250))), 'MITRE ATT&amp;CK Mappings'!$B250,"")</f>
        <v/>
      </c>
      <c r="D254" s="26" t="str">
        <f>IF(OR(OR(OR(OR(OR(ISNUMBER(SEARCH(IF(D$1&lt;&gt;"",D$1,"NA"),'MITRE ATT&amp;CK Mappings'!$E250)),ISNUMBER(SEARCH(IF(D$1&lt;&gt;"",D$1,"NA"),'MITRE ATT&amp;CK Mappings'!$F250))),ISNUMBER(SEARCH(IF(D$2&lt;&gt;"",D$2,"NA"),'MITRE ATT&amp;CK Mappings'!$G250))),ISNUMBER(SEARCH(IF(D$2&lt;&gt;"",D$2,"NA"),'MITRE ATT&amp;CK Mappings'!$H250))),ISNUMBER(SEARCH(IF(D$3&lt;&gt;"",D$3,"NA"),'MITRE ATT&amp;CK Mappings'!$I250))),ISNUMBER(SEARCH(IF(D$3&lt;&gt;"",D$3,"NA"),'MITRE ATT&amp;CK Mappings'!$J250))), 'MITRE ATT&amp;CK Mappings'!$B250,"")</f>
        <v/>
      </c>
      <c r="E254" s="26" t="str">
        <f>IF(OR(OR(OR(OR(OR(ISNUMBER(SEARCH(IF(E$1&lt;&gt;"",E$1,"NA"),'MITRE ATT&amp;CK Mappings'!$E250)),ISNUMBER(SEARCH(IF(E$1&lt;&gt;"",E$1,"NA"),'MITRE ATT&amp;CK Mappings'!$F250))),ISNUMBER(SEARCH(IF(E$2&lt;&gt;"",E$2,"NA"),'MITRE ATT&amp;CK Mappings'!$G250))),ISNUMBER(SEARCH(IF(E$2&lt;&gt;"",E$2,"NA"),'MITRE ATT&amp;CK Mappings'!$H250))),ISNUMBER(SEARCH(IF(E$3&lt;&gt;"",E$3,"NA"),'MITRE ATT&amp;CK Mappings'!$I250))),ISNUMBER(SEARCH(IF(E$3&lt;&gt;"",E$3,"NA"),'MITRE ATT&amp;CK Mappings'!$J250))), 'MITRE ATT&amp;CK Mappings'!$B250,"")</f>
        <v/>
      </c>
      <c r="F254" s="26" t="str">
        <f>IF(OR(OR(OR(OR(OR(ISNUMBER(SEARCH(IF(F$1&lt;&gt;"",F$1,"NA"),'MITRE ATT&amp;CK Mappings'!$E250)),ISNUMBER(SEARCH(IF(F$1&lt;&gt;"",F$1,"NA"),'MITRE ATT&amp;CK Mappings'!$F250))),ISNUMBER(SEARCH(IF(F$2&lt;&gt;"",F$2,"NA"),'MITRE ATT&amp;CK Mappings'!$G250))),ISNUMBER(SEARCH(IF(F$2&lt;&gt;"",F$2,"NA"),'MITRE ATT&amp;CK Mappings'!$H250))),ISNUMBER(SEARCH(IF(F$3&lt;&gt;"",F$3,"NA"),'MITRE ATT&amp;CK Mappings'!$I250))),ISNUMBER(SEARCH(IF(F$3&lt;&gt;"",F$3,"NA"),'MITRE ATT&amp;CK Mappings'!$J250))), 'MITRE ATT&amp;CK Mappings'!$B250,"")</f>
        <v/>
      </c>
      <c r="G254" s="26" t="str">
        <f>IF(OR(OR(OR(OR(OR(ISNUMBER(SEARCH(IF(G$1&lt;&gt;"",G$1,"NA"),'MITRE ATT&amp;CK Mappings'!$E250)),ISNUMBER(SEARCH(IF(G$1&lt;&gt;"",G$1,"NA"),'MITRE ATT&amp;CK Mappings'!$F250))),ISNUMBER(SEARCH(IF(G$2&lt;&gt;"",G$2,"NA"),'MITRE ATT&amp;CK Mappings'!$G250))),ISNUMBER(SEARCH(IF(G$2&lt;&gt;"",G$2,"NA"),'MITRE ATT&amp;CK Mappings'!$H250))),ISNUMBER(SEARCH(IF(G$3&lt;&gt;"",G$3,"NA"),'MITRE ATT&amp;CK Mappings'!$I250))),ISNUMBER(SEARCH(IF(G$3&lt;&gt;"",G$3,"NA"),'MITRE ATT&amp;CK Mappings'!$J250))), 'MITRE ATT&amp;CK Mappings'!$B250,"")</f>
        <v/>
      </c>
      <c r="H254" s="26" t="str">
        <f>IF(OR(OR(OR(OR(OR(ISNUMBER(SEARCH(IF(H$1&lt;&gt;"",H$1,"NA"),'MITRE ATT&amp;CK Mappings'!$E250)),ISNUMBER(SEARCH(IF(H$1&lt;&gt;"",H$1,"NA"),'MITRE ATT&amp;CK Mappings'!$F250))),ISNUMBER(SEARCH(IF(H$2&lt;&gt;"",H$2,"NA"),'MITRE ATT&amp;CK Mappings'!$G250))),ISNUMBER(SEARCH(IF(H$2&lt;&gt;"",H$2,"NA"),'MITRE ATT&amp;CK Mappings'!$H250))),ISNUMBER(SEARCH(IF(H$3&lt;&gt;"",H$3,"NA"),'MITRE ATT&amp;CK Mappings'!$I250))),ISNUMBER(SEARCH(IF(H$3&lt;&gt;"",H$3,"NA"),'MITRE ATT&amp;CK Mappings'!$J250))), 'MITRE ATT&amp;CK Mappings'!$B250,"")</f>
        <v/>
      </c>
      <c r="I254" s="26" t="str">
        <f>IF(OR(OR(OR(OR(OR(ISNUMBER(SEARCH(IF(I$1&lt;&gt;"",I$1,"NA"),'MITRE ATT&amp;CK Mappings'!$E250)),ISNUMBER(SEARCH(IF(I$1&lt;&gt;"",I$1,"NA"),'MITRE ATT&amp;CK Mappings'!$F250))),ISNUMBER(SEARCH(IF(I$2&lt;&gt;"",I$2,"NA"),'MITRE ATT&amp;CK Mappings'!$G250))),ISNUMBER(SEARCH(IF(I$2&lt;&gt;"",I$2,"NA"),'MITRE ATT&amp;CK Mappings'!$H250))),ISNUMBER(SEARCH(IF(I$3&lt;&gt;"",I$3,"NA"),'MITRE ATT&amp;CK Mappings'!$I250))),ISNUMBER(SEARCH(IF(I$3&lt;&gt;"",I$3,"NA"),'MITRE ATT&amp;CK Mappings'!$J250))), 'MITRE ATT&amp;CK Mappings'!$B250,"")</f>
        <v/>
      </c>
      <c r="J254" s="26" t="str">
        <f>IF(OR(OR(OR(OR(OR(ISNUMBER(SEARCH(IF(J$1&lt;&gt;"",J$1,"NA"),'MITRE ATT&amp;CK Mappings'!$E250)),ISNUMBER(SEARCH(IF(J$1&lt;&gt;"",J$1,"NA"),'MITRE ATT&amp;CK Mappings'!$F250))),ISNUMBER(SEARCH(IF(J$2&lt;&gt;"",J$2,"NA"),'MITRE ATT&amp;CK Mappings'!$G250))),ISNUMBER(SEARCH(IF(J$2&lt;&gt;"",J$2,"NA"),'MITRE ATT&amp;CK Mappings'!$H250))),ISNUMBER(SEARCH(IF(J$3&lt;&gt;"",J$3,"NA"),'MITRE ATT&amp;CK Mappings'!$I250))),ISNUMBER(SEARCH(IF(J$3&lt;&gt;"",J$3,"NA"),'MITRE ATT&amp;CK Mappings'!$J250))), 'MITRE ATT&amp;CK Mappings'!$B250,"")</f>
        <v/>
      </c>
      <c r="K254" s="26" t="str">
        <f>IF(OR(OR(OR(OR(OR(ISNUMBER(SEARCH(IF(K$1&lt;&gt;"",K$1,"NA"),'MITRE ATT&amp;CK Mappings'!$E250)),ISNUMBER(SEARCH(IF(K$1&lt;&gt;"",K$1,"NA"),'MITRE ATT&amp;CK Mappings'!$F250))),ISNUMBER(SEARCH(IF(K$2&lt;&gt;"",K$2,"NA"),'MITRE ATT&amp;CK Mappings'!$G250))),ISNUMBER(SEARCH(IF(K$2&lt;&gt;"",K$2,"NA"),'MITRE ATT&amp;CK Mappings'!$H250))),ISNUMBER(SEARCH(IF(K$3&lt;&gt;"",K$3,"NA"),'MITRE ATT&amp;CK Mappings'!$I250))),ISNUMBER(SEARCH(IF(K$3&lt;&gt;"",K$3,"NA"),'MITRE ATT&amp;CK Mappings'!$J250))), 'MITRE ATT&amp;CK Mappings'!$B250,"")</f>
        <v/>
      </c>
      <c r="L254" s="26" t="str">
        <f>IF('MITRE ATT&amp;CK Mappings'!D250 &lt;&gt;"",'MITRE ATT&amp;CK Mappings'!D250,"" )</f>
        <v/>
      </c>
    </row>
    <row r="255" spans="1:12" x14ac:dyDescent="0.25">
      <c r="A255" s="27" t="str">
        <f>IF(COUNTIF(B255:K255,"="&amp;'MITRE ATT&amp;CK Mappings'!B251)&gt;0,'MITRE ATT&amp;CK Mappings'!B251,"")</f>
        <v/>
      </c>
      <c r="B255" s="27" t="str">
        <f>IF(OR(OR(OR(OR(OR(ISNUMBER(SEARCH(IF(B$1&lt;&gt;"",B$1,"NA"),'MITRE ATT&amp;CK Mappings'!$E251)),ISNUMBER(SEARCH(IF(B$1&lt;&gt;"",B$1,"NA"),'MITRE ATT&amp;CK Mappings'!$F251))),ISNUMBER(SEARCH(IF(B$2&lt;&gt;"",B$2,"NA"),'MITRE ATT&amp;CK Mappings'!$G251))),ISNUMBER(SEARCH(IF(B$2&lt;&gt;"",B$2,"NA"),'MITRE ATT&amp;CK Mappings'!$H251))),ISNUMBER(SEARCH(IF(B$3&lt;&gt;"",B$3,"NA"),'MITRE ATT&amp;CK Mappings'!$I251))),ISNUMBER(SEARCH(IF(B$3&lt;&gt;"",B$3,"NA"),'MITRE ATT&amp;CK Mappings'!$J251))), 'MITRE ATT&amp;CK Mappings'!$B251,"")</f>
        <v/>
      </c>
      <c r="C255" s="27" t="str">
        <f>IF(OR(OR(OR(OR(OR(ISNUMBER(SEARCH(IF(C$1&lt;&gt;"",C$1,"NA"),'MITRE ATT&amp;CK Mappings'!$E251)),ISNUMBER(SEARCH(IF(C$1&lt;&gt;"",C$1,"NA"),'MITRE ATT&amp;CK Mappings'!$F251))),ISNUMBER(SEARCH(IF(C$2&lt;&gt;"",C$2,"NA"),'MITRE ATT&amp;CK Mappings'!$G251))),ISNUMBER(SEARCH(IF(C$2&lt;&gt;"",C$2,"NA"),'MITRE ATT&amp;CK Mappings'!$H251))),ISNUMBER(SEARCH(IF(C$3&lt;&gt;"",C$3,"NA"),'MITRE ATT&amp;CK Mappings'!$I251))),ISNUMBER(SEARCH(IF(C$3&lt;&gt;"",C$3,"NA"),'MITRE ATT&amp;CK Mappings'!$J251))), 'MITRE ATT&amp;CK Mappings'!$B251,"")</f>
        <v/>
      </c>
      <c r="D255" s="27" t="str">
        <f>IF(OR(OR(OR(OR(OR(ISNUMBER(SEARCH(IF(D$1&lt;&gt;"",D$1,"NA"),'MITRE ATT&amp;CK Mappings'!$E251)),ISNUMBER(SEARCH(IF(D$1&lt;&gt;"",D$1,"NA"),'MITRE ATT&amp;CK Mappings'!$F251))),ISNUMBER(SEARCH(IF(D$2&lt;&gt;"",D$2,"NA"),'MITRE ATT&amp;CK Mappings'!$G251))),ISNUMBER(SEARCH(IF(D$2&lt;&gt;"",D$2,"NA"),'MITRE ATT&amp;CK Mappings'!$H251))),ISNUMBER(SEARCH(IF(D$3&lt;&gt;"",D$3,"NA"),'MITRE ATT&amp;CK Mappings'!$I251))),ISNUMBER(SEARCH(IF(D$3&lt;&gt;"",D$3,"NA"),'MITRE ATT&amp;CK Mappings'!$J251))), 'MITRE ATT&amp;CK Mappings'!$B251,"")</f>
        <v/>
      </c>
      <c r="E255" s="27" t="str">
        <f>IF(OR(OR(OR(OR(OR(ISNUMBER(SEARCH(IF(E$1&lt;&gt;"",E$1,"NA"),'MITRE ATT&amp;CK Mappings'!$E251)),ISNUMBER(SEARCH(IF(E$1&lt;&gt;"",E$1,"NA"),'MITRE ATT&amp;CK Mappings'!$F251))),ISNUMBER(SEARCH(IF(E$2&lt;&gt;"",E$2,"NA"),'MITRE ATT&amp;CK Mappings'!$G251))),ISNUMBER(SEARCH(IF(E$2&lt;&gt;"",E$2,"NA"),'MITRE ATT&amp;CK Mappings'!$H251))),ISNUMBER(SEARCH(IF(E$3&lt;&gt;"",E$3,"NA"),'MITRE ATT&amp;CK Mappings'!$I251))),ISNUMBER(SEARCH(IF(E$3&lt;&gt;"",E$3,"NA"),'MITRE ATT&amp;CK Mappings'!$J251))), 'MITRE ATT&amp;CK Mappings'!$B251,"")</f>
        <v/>
      </c>
      <c r="F255" s="27" t="str">
        <f>IF(OR(OR(OR(OR(OR(ISNUMBER(SEARCH(IF(F$1&lt;&gt;"",F$1,"NA"),'MITRE ATT&amp;CK Mappings'!$E251)),ISNUMBER(SEARCH(IF(F$1&lt;&gt;"",F$1,"NA"),'MITRE ATT&amp;CK Mappings'!$F251))),ISNUMBER(SEARCH(IF(F$2&lt;&gt;"",F$2,"NA"),'MITRE ATT&amp;CK Mappings'!$G251))),ISNUMBER(SEARCH(IF(F$2&lt;&gt;"",F$2,"NA"),'MITRE ATT&amp;CK Mappings'!$H251))),ISNUMBER(SEARCH(IF(F$3&lt;&gt;"",F$3,"NA"),'MITRE ATT&amp;CK Mappings'!$I251))),ISNUMBER(SEARCH(IF(F$3&lt;&gt;"",F$3,"NA"),'MITRE ATT&amp;CK Mappings'!$J251))), 'MITRE ATT&amp;CK Mappings'!$B251,"")</f>
        <v/>
      </c>
      <c r="G255" s="27" t="str">
        <f>IF(OR(OR(OR(OR(OR(ISNUMBER(SEARCH(IF(G$1&lt;&gt;"",G$1,"NA"),'MITRE ATT&amp;CK Mappings'!$E251)),ISNUMBER(SEARCH(IF(G$1&lt;&gt;"",G$1,"NA"),'MITRE ATT&amp;CK Mappings'!$F251))),ISNUMBER(SEARCH(IF(G$2&lt;&gt;"",G$2,"NA"),'MITRE ATT&amp;CK Mappings'!$G251))),ISNUMBER(SEARCH(IF(G$2&lt;&gt;"",G$2,"NA"),'MITRE ATT&amp;CK Mappings'!$H251))),ISNUMBER(SEARCH(IF(G$3&lt;&gt;"",G$3,"NA"),'MITRE ATT&amp;CK Mappings'!$I251))),ISNUMBER(SEARCH(IF(G$3&lt;&gt;"",G$3,"NA"),'MITRE ATT&amp;CK Mappings'!$J251))), 'MITRE ATT&amp;CK Mappings'!$B251,"")</f>
        <v/>
      </c>
      <c r="H255" s="27" t="str">
        <f>IF(OR(OR(OR(OR(OR(ISNUMBER(SEARCH(IF(H$1&lt;&gt;"",H$1,"NA"),'MITRE ATT&amp;CK Mappings'!$E251)),ISNUMBER(SEARCH(IF(H$1&lt;&gt;"",H$1,"NA"),'MITRE ATT&amp;CK Mappings'!$F251))),ISNUMBER(SEARCH(IF(H$2&lt;&gt;"",H$2,"NA"),'MITRE ATT&amp;CK Mappings'!$G251))),ISNUMBER(SEARCH(IF(H$2&lt;&gt;"",H$2,"NA"),'MITRE ATT&amp;CK Mappings'!$H251))),ISNUMBER(SEARCH(IF(H$3&lt;&gt;"",H$3,"NA"),'MITRE ATT&amp;CK Mappings'!$I251))),ISNUMBER(SEARCH(IF(H$3&lt;&gt;"",H$3,"NA"),'MITRE ATT&amp;CK Mappings'!$J251))), 'MITRE ATT&amp;CK Mappings'!$B251,"")</f>
        <v/>
      </c>
      <c r="I255" s="27" t="str">
        <f>IF(OR(OR(OR(OR(OR(ISNUMBER(SEARCH(IF(I$1&lt;&gt;"",I$1,"NA"),'MITRE ATT&amp;CK Mappings'!$E251)),ISNUMBER(SEARCH(IF(I$1&lt;&gt;"",I$1,"NA"),'MITRE ATT&amp;CK Mappings'!$F251))),ISNUMBER(SEARCH(IF(I$2&lt;&gt;"",I$2,"NA"),'MITRE ATT&amp;CK Mappings'!$G251))),ISNUMBER(SEARCH(IF(I$2&lt;&gt;"",I$2,"NA"),'MITRE ATT&amp;CK Mappings'!$H251))),ISNUMBER(SEARCH(IF(I$3&lt;&gt;"",I$3,"NA"),'MITRE ATT&amp;CK Mappings'!$I251))),ISNUMBER(SEARCH(IF(I$3&lt;&gt;"",I$3,"NA"),'MITRE ATT&amp;CK Mappings'!$J251))), 'MITRE ATT&amp;CK Mappings'!$B251,"")</f>
        <v/>
      </c>
      <c r="J255" s="27" t="str">
        <f>IF(OR(OR(OR(OR(OR(ISNUMBER(SEARCH(IF(J$1&lt;&gt;"",J$1,"NA"),'MITRE ATT&amp;CK Mappings'!$E251)),ISNUMBER(SEARCH(IF(J$1&lt;&gt;"",J$1,"NA"),'MITRE ATT&amp;CK Mappings'!$F251))),ISNUMBER(SEARCH(IF(J$2&lt;&gt;"",J$2,"NA"),'MITRE ATT&amp;CK Mappings'!$G251))),ISNUMBER(SEARCH(IF(J$2&lt;&gt;"",J$2,"NA"),'MITRE ATT&amp;CK Mappings'!$H251))),ISNUMBER(SEARCH(IF(J$3&lt;&gt;"",J$3,"NA"),'MITRE ATT&amp;CK Mappings'!$I251))),ISNUMBER(SEARCH(IF(J$3&lt;&gt;"",J$3,"NA"),'MITRE ATT&amp;CK Mappings'!$J251))), 'MITRE ATT&amp;CK Mappings'!$B251,"")</f>
        <v/>
      </c>
      <c r="K255" s="27" t="str">
        <f>IF(OR(OR(OR(OR(OR(ISNUMBER(SEARCH(IF(K$1&lt;&gt;"",K$1,"NA"),'MITRE ATT&amp;CK Mappings'!$E251)),ISNUMBER(SEARCH(IF(K$1&lt;&gt;"",K$1,"NA"),'MITRE ATT&amp;CK Mappings'!$F251))),ISNUMBER(SEARCH(IF(K$2&lt;&gt;"",K$2,"NA"),'MITRE ATT&amp;CK Mappings'!$G251))),ISNUMBER(SEARCH(IF(K$2&lt;&gt;"",K$2,"NA"),'MITRE ATT&amp;CK Mappings'!$H251))),ISNUMBER(SEARCH(IF(K$3&lt;&gt;"",K$3,"NA"),'MITRE ATT&amp;CK Mappings'!$I251))),ISNUMBER(SEARCH(IF(K$3&lt;&gt;"",K$3,"NA"),'MITRE ATT&amp;CK Mappings'!$J251))), 'MITRE ATT&amp;CK Mappings'!$B251,"")</f>
        <v/>
      </c>
      <c r="L255" s="27" t="str">
        <f>IF('MITRE ATT&amp;CK Mappings'!D251 &lt;&gt;"",'MITRE ATT&amp;CK Mappings'!D251,"" )</f>
        <v/>
      </c>
    </row>
    <row r="256" spans="1:12" x14ac:dyDescent="0.25">
      <c r="A256" s="26" t="str">
        <f>IF(COUNTIF(B256:K256,"="&amp;'MITRE ATT&amp;CK Mappings'!B252)&gt;0,'MITRE ATT&amp;CK Mappings'!B252,"")</f>
        <v/>
      </c>
      <c r="B256" s="26" t="str">
        <f>IF(OR(OR(OR(OR(OR(ISNUMBER(SEARCH(IF(B$1&lt;&gt;"",B$1,"NA"),'MITRE ATT&amp;CK Mappings'!$E252)),ISNUMBER(SEARCH(IF(B$1&lt;&gt;"",B$1,"NA"),'MITRE ATT&amp;CK Mappings'!$F252))),ISNUMBER(SEARCH(IF(B$2&lt;&gt;"",B$2,"NA"),'MITRE ATT&amp;CK Mappings'!$G252))),ISNUMBER(SEARCH(IF(B$2&lt;&gt;"",B$2,"NA"),'MITRE ATT&amp;CK Mappings'!$H252))),ISNUMBER(SEARCH(IF(B$3&lt;&gt;"",B$3,"NA"),'MITRE ATT&amp;CK Mappings'!$I252))),ISNUMBER(SEARCH(IF(B$3&lt;&gt;"",B$3,"NA"),'MITRE ATT&amp;CK Mappings'!$J252))), 'MITRE ATT&amp;CK Mappings'!$B252,"")</f>
        <v/>
      </c>
      <c r="C256" s="26" t="str">
        <f>IF(OR(OR(OR(OR(OR(ISNUMBER(SEARCH(IF(C$1&lt;&gt;"",C$1,"NA"),'MITRE ATT&amp;CK Mappings'!$E252)),ISNUMBER(SEARCH(IF(C$1&lt;&gt;"",C$1,"NA"),'MITRE ATT&amp;CK Mappings'!$F252))),ISNUMBER(SEARCH(IF(C$2&lt;&gt;"",C$2,"NA"),'MITRE ATT&amp;CK Mappings'!$G252))),ISNUMBER(SEARCH(IF(C$2&lt;&gt;"",C$2,"NA"),'MITRE ATT&amp;CK Mappings'!$H252))),ISNUMBER(SEARCH(IF(C$3&lt;&gt;"",C$3,"NA"),'MITRE ATT&amp;CK Mappings'!$I252))),ISNUMBER(SEARCH(IF(C$3&lt;&gt;"",C$3,"NA"),'MITRE ATT&amp;CK Mappings'!$J252))), 'MITRE ATT&amp;CK Mappings'!$B252,"")</f>
        <v/>
      </c>
      <c r="D256" s="26" t="str">
        <f>IF(OR(OR(OR(OR(OR(ISNUMBER(SEARCH(IF(D$1&lt;&gt;"",D$1,"NA"),'MITRE ATT&amp;CK Mappings'!$E252)),ISNUMBER(SEARCH(IF(D$1&lt;&gt;"",D$1,"NA"),'MITRE ATT&amp;CK Mappings'!$F252))),ISNUMBER(SEARCH(IF(D$2&lt;&gt;"",D$2,"NA"),'MITRE ATT&amp;CK Mappings'!$G252))),ISNUMBER(SEARCH(IF(D$2&lt;&gt;"",D$2,"NA"),'MITRE ATT&amp;CK Mappings'!$H252))),ISNUMBER(SEARCH(IF(D$3&lt;&gt;"",D$3,"NA"),'MITRE ATT&amp;CK Mappings'!$I252))),ISNUMBER(SEARCH(IF(D$3&lt;&gt;"",D$3,"NA"),'MITRE ATT&amp;CK Mappings'!$J252))), 'MITRE ATT&amp;CK Mappings'!$B252,"")</f>
        <v/>
      </c>
      <c r="E256" s="26" t="str">
        <f>IF(OR(OR(OR(OR(OR(ISNUMBER(SEARCH(IF(E$1&lt;&gt;"",E$1,"NA"),'MITRE ATT&amp;CK Mappings'!$E252)),ISNUMBER(SEARCH(IF(E$1&lt;&gt;"",E$1,"NA"),'MITRE ATT&amp;CK Mappings'!$F252))),ISNUMBER(SEARCH(IF(E$2&lt;&gt;"",E$2,"NA"),'MITRE ATT&amp;CK Mappings'!$G252))),ISNUMBER(SEARCH(IF(E$2&lt;&gt;"",E$2,"NA"),'MITRE ATT&amp;CK Mappings'!$H252))),ISNUMBER(SEARCH(IF(E$3&lt;&gt;"",E$3,"NA"),'MITRE ATT&amp;CK Mappings'!$I252))),ISNUMBER(SEARCH(IF(E$3&lt;&gt;"",E$3,"NA"),'MITRE ATT&amp;CK Mappings'!$J252))), 'MITRE ATT&amp;CK Mappings'!$B252,"")</f>
        <v/>
      </c>
      <c r="F256" s="26" t="str">
        <f>IF(OR(OR(OR(OR(OR(ISNUMBER(SEARCH(IF(F$1&lt;&gt;"",F$1,"NA"),'MITRE ATT&amp;CK Mappings'!$E252)),ISNUMBER(SEARCH(IF(F$1&lt;&gt;"",F$1,"NA"),'MITRE ATT&amp;CK Mappings'!$F252))),ISNUMBER(SEARCH(IF(F$2&lt;&gt;"",F$2,"NA"),'MITRE ATT&amp;CK Mappings'!$G252))),ISNUMBER(SEARCH(IF(F$2&lt;&gt;"",F$2,"NA"),'MITRE ATT&amp;CK Mappings'!$H252))),ISNUMBER(SEARCH(IF(F$3&lt;&gt;"",F$3,"NA"),'MITRE ATT&amp;CK Mappings'!$I252))),ISNUMBER(SEARCH(IF(F$3&lt;&gt;"",F$3,"NA"),'MITRE ATT&amp;CK Mappings'!$J252))), 'MITRE ATT&amp;CK Mappings'!$B252,"")</f>
        <v/>
      </c>
      <c r="G256" s="26" t="str">
        <f>IF(OR(OR(OR(OR(OR(ISNUMBER(SEARCH(IF(G$1&lt;&gt;"",G$1,"NA"),'MITRE ATT&amp;CK Mappings'!$E252)),ISNUMBER(SEARCH(IF(G$1&lt;&gt;"",G$1,"NA"),'MITRE ATT&amp;CK Mappings'!$F252))),ISNUMBER(SEARCH(IF(G$2&lt;&gt;"",G$2,"NA"),'MITRE ATT&amp;CK Mappings'!$G252))),ISNUMBER(SEARCH(IF(G$2&lt;&gt;"",G$2,"NA"),'MITRE ATT&amp;CK Mappings'!$H252))),ISNUMBER(SEARCH(IF(G$3&lt;&gt;"",G$3,"NA"),'MITRE ATT&amp;CK Mappings'!$I252))),ISNUMBER(SEARCH(IF(G$3&lt;&gt;"",G$3,"NA"),'MITRE ATT&amp;CK Mappings'!$J252))), 'MITRE ATT&amp;CK Mappings'!$B252,"")</f>
        <v/>
      </c>
      <c r="H256" s="26" t="str">
        <f>IF(OR(OR(OR(OR(OR(ISNUMBER(SEARCH(IF(H$1&lt;&gt;"",H$1,"NA"),'MITRE ATT&amp;CK Mappings'!$E252)),ISNUMBER(SEARCH(IF(H$1&lt;&gt;"",H$1,"NA"),'MITRE ATT&amp;CK Mappings'!$F252))),ISNUMBER(SEARCH(IF(H$2&lt;&gt;"",H$2,"NA"),'MITRE ATT&amp;CK Mappings'!$G252))),ISNUMBER(SEARCH(IF(H$2&lt;&gt;"",H$2,"NA"),'MITRE ATT&amp;CK Mappings'!$H252))),ISNUMBER(SEARCH(IF(H$3&lt;&gt;"",H$3,"NA"),'MITRE ATT&amp;CK Mappings'!$I252))),ISNUMBER(SEARCH(IF(H$3&lt;&gt;"",H$3,"NA"),'MITRE ATT&amp;CK Mappings'!$J252))), 'MITRE ATT&amp;CK Mappings'!$B252,"")</f>
        <v/>
      </c>
      <c r="I256" s="26" t="str">
        <f>IF(OR(OR(OR(OR(OR(ISNUMBER(SEARCH(IF(I$1&lt;&gt;"",I$1,"NA"),'MITRE ATT&amp;CK Mappings'!$E252)),ISNUMBER(SEARCH(IF(I$1&lt;&gt;"",I$1,"NA"),'MITRE ATT&amp;CK Mappings'!$F252))),ISNUMBER(SEARCH(IF(I$2&lt;&gt;"",I$2,"NA"),'MITRE ATT&amp;CK Mappings'!$G252))),ISNUMBER(SEARCH(IF(I$2&lt;&gt;"",I$2,"NA"),'MITRE ATT&amp;CK Mappings'!$H252))),ISNUMBER(SEARCH(IF(I$3&lt;&gt;"",I$3,"NA"),'MITRE ATT&amp;CK Mappings'!$I252))),ISNUMBER(SEARCH(IF(I$3&lt;&gt;"",I$3,"NA"),'MITRE ATT&amp;CK Mappings'!$J252))), 'MITRE ATT&amp;CK Mappings'!$B252,"")</f>
        <v/>
      </c>
      <c r="J256" s="26" t="str">
        <f>IF(OR(OR(OR(OR(OR(ISNUMBER(SEARCH(IF(J$1&lt;&gt;"",J$1,"NA"),'MITRE ATT&amp;CK Mappings'!$E252)),ISNUMBER(SEARCH(IF(J$1&lt;&gt;"",J$1,"NA"),'MITRE ATT&amp;CK Mappings'!$F252))),ISNUMBER(SEARCH(IF(J$2&lt;&gt;"",J$2,"NA"),'MITRE ATT&amp;CK Mappings'!$G252))),ISNUMBER(SEARCH(IF(J$2&lt;&gt;"",J$2,"NA"),'MITRE ATT&amp;CK Mappings'!$H252))),ISNUMBER(SEARCH(IF(J$3&lt;&gt;"",J$3,"NA"),'MITRE ATT&amp;CK Mappings'!$I252))),ISNUMBER(SEARCH(IF(J$3&lt;&gt;"",J$3,"NA"),'MITRE ATT&amp;CK Mappings'!$J252))), 'MITRE ATT&amp;CK Mappings'!$B252,"")</f>
        <v/>
      </c>
      <c r="K256" s="26" t="str">
        <f>IF(OR(OR(OR(OR(OR(ISNUMBER(SEARCH(IF(K$1&lt;&gt;"",K$1,"NA"),'MITRE ATT&amp;CK Mappings'!$E252)),ISNUMBER(SEARCH(IF(K$1&lt;&gt;"",K$1,"NA"),'MITRE ATT&amp;CK Mappings'!$F252))),ISNUMBER(SEARCH(IF(K$2&lt;&gt;"",K$2,"NA"),'MITRE ATT&amp;CK Mappings'!$G252))),ISNUMBER(SEARCH(IF(K$2&lt;&gt;"",K$2,"NA"),'MITRE ATT&amp;CK Mappings'!$H252))),ISNUMBER(SEARCH(IF(K$3&lt;&gt;"",K$3,"NA"),'MITRE ATT&amp;CK Mappings'!$I252))),ISNUMBER(SEARCH(IF(K$3&lt;&gt;"",K$3,"NA"),'MITRE ATT&amp;CK Mappings'!$J252))), 'MITRE ATT&amp;CK Mappings'!$B252,"")</f>
        <v/>
      </c>
      <c r="L256" s="26" t="str">
        <f>IF('MITRE ATT&amp;CK Mappings'!D252 &lt;&gt;"",'MITRE ATT&amp;CK Mappings'!D252,"" )</f>
        <v/>
      </c>
    </row>
    <row r="257" spans="1:12" x14ac:dyDescent="0.25">
      <c r="A257" s="27" t="str">
        <f>IF(COUNTIF(B257:K257,"="&amp;'MITRE ATT&amp;CK Mappings'!B253)&gt;0,'MITRE ATT&amp;CK Mappings'!B253,"")</f>
        <v/>
      </c>
      <c r="B257" s="27" t="str">
        <f>IF(OR(OR(OR(OR(OR(ISNUMBER(SEARCH(IF(B$1&lt;&gt;"",B$1,"NA"),'MITRE ATT&amp;CK Mappings'!$E253)),ISNUMBER(SEARCH(IF(B$1&lt;&gt;"",B$1,"NA"),'MITRE ATT&amp;CK Mappings'!$F253))),ISNUMBER(SEARCH(IF(B$2&lt;&gt;"",B$2,"NA"),'MITRE ATT&amp;CK Mappings'!$G253))),ISNUMBER(SEARCH(IF(B$2&lt;&gt;"",B$2,"NA"),'MITRE ATT&amp;CK Mappings'!$H253))),ISNUMBER(SEARCH(IF(B$3&lt;&gt;"",B$3,"NA"),'MITRE ATT&amp;CK Mappings'!$I253))),ISNUMBER(SEARCH(IF(B$3&lt;&gt;"",B$3,"NA"),'MITRE ATT&amp;CK Mappings'!$J253))), 'MITRE ATT&amp;CK Mappings'!$B253,"")</f>
        <v/>
      </c>
      <c r="C257" s="27" t="str">
        <f>IF(OR(OR(OR(OR(OR(ISNUMBER(SEARCH(IF(C$1&lt;&gt;"",C$1,"NA"),'MITRE ATT&amp;CK Mappings'!$E253)),ISNUMBER(SEARCH(IF(C$1&lt;&gt;"",C$1,"NA"),'MITRE ATT&amp;CK Mappings'!$F253))),ISNUMBER(SEARCH(IF(C$2&lt;&gt;"",C$2,"NA"),'MITRE ATT&amp;CK Mappings'!$G253))),ISNUMBER(SEARCH(IF(C$2&lt;&gt;"",C$2,"NA"),'MITRE ATT&amp;CK Mappings'!$H253))),ISNUMBER(SEARCH(IF(C$3&lt;&gt;"",C$3,"NA"),'MITRE ATT&amp;CK Mappings'!$I253))),ISNUMBER(SEARCH(IF(C$3&lt;&gt;"",C$3,"NA"),'MITRE ATT&amp;CK Mappings'!$J253))), 'MITRE ATT&amp;CK Mappings'!$B253,"")</f>
        <v/>
      </c>
      <c r="D257" s="27" t="str">
        <f>IF(OR(OR(OR(OR(OR(ISNUMBER(SEARCH(IF(D$1&lt;&gt;"",D$1,"NA"),'MITRE ATT&amp;CK Mappings'!$E253)),ISNUMBER(SEARCH(IF(D$1&lt;&gt;"",D$1,"NA"),'MITRE ATT&amp;CK Mappings'!$F253))),ISNUMBER(SEARCH(IF(D$2&lt;&gt;"",D$2,"NA"),'MITRE ATT&amp;CK Mappings'!$G253))),ISNUMBER(SEARCH(IF(D$2&lt;&gt;"",D$2,"NA"),'MITRE ATT&amp;CK Mappings'!$H253))),ISNUMBER(SEARCH(IF(D$3&lt;&gt;"",D$3,"NA"),'MITRE ATT&amp;CK Mappings'!$I253))),ISNUMBER(SEARCH(IF(D$3&lt;&gt;"",D$3,"NA"),'MITRE ATT&amp;CK Mappings'!$J253))), 'MITRE ATT&amp;CK Mappings'!$B253,"")</f>
        <v/>
      </c>
      <c r="E257" s="27" t="str">
        <f>IF(OR(OR(OR(OR(OR(ISNUMBER(SEARCH(IF(E$1&lt;&gt;"",E$1,"NA"),'MITRE ATT&amp;CK Mappings'!$E253)),ISNUMBER(SEARCH(IF(E$1&lt;&gt;"",E$1,"NA"),'MITRE ATT&amp;CK Mappings'!$F253))),ISNUMBER(SEARCH(IF(E$2&lt;&gt;"",E$2,"NA"),'MITRE ATT&amp;CK Mappings'!$G253))),ISNUMBER(SEARCH(IF(E$2&lt;&gt;"",E$2,"NA"),'MITRE ATT&amp;CK Mappings'!$H253))),ISNUMBER(SEARCH(IF(E$3&lt;&gt;"",E$3,"NA"),'MITRE ATT&amp;CK Mappings'!$I253))),ISNUMBER(SEARCH(IF(E$3&lt;&gt;"",E$3,"NA"),'MITRE ATT&amp;CK Mappings'!$J253))), 'MITRE ATT&amp;CK Mappings'!$B253,"")</f>
        <v/>
      </c>
      <c r="F257" s="27" t="str">
        <f>IF(OR(OR(OR(OR(OR(ISNUMBER(SEARCH(IF(F$1&lt;&gt;"",F$1,"NA"),'MITRE ATT&amp;CK Mappings'!$E253)),ISNUMBER(SEARCH(IF(F$1&lt;&gt;"",F$1,"NA"),'MITRE ATT&amp;CK Mappings'!$F253))),ISNUMBER(SEARCH(IF(F$2&lt;&gt;"",F$2,"NA"),'MITRE ATT&amp;CK Mappings'!$G253))),ISNUMBER(SEARCH(IF(F$2&lt;&gt;"",F$2,"NA"),'MITRE ATT&amp;CK Mappings'!$H253))),ISNUMBER(SEARCH(IF(F$3&lt;&gt;"",F$3,"NA"),'MITRE ATT&amp;CK Mappings'!$I253))),ISNUMBER(SEARCH(IF(F$3&lt;&gt;"",F$3,"NA"),'MITRE ATT&amp;CK Mappings'!$J253))), 'MITRE ATT&amp;CK Mappings'!$B253,"")</f>
        <v/>
      </c>
      <c r="G257" s="27" t="str">
        <f>IF(OR(OR(OR(OR(OR(ISNUMBER(SEARCH(IF(G$1&lt;&gt;"",G$1,"NA"),'MITRE ATT&amp;CK Mappings'!$E253)),ISNUMBER(SEARCH(IF(G$1&lt;&gt;"",G$1,"NA"),'MITRE ATT&amp;CK Mappings'!$F253))),ISNUMBER(SEARCH(IF(G$2&lt;&gt;"",G$2,"NA"),'MITRE ATT&amp;CK Mappings'!$G253))),ISNUMBER(SEARCH(IF(G$2&lt;&gt;"",G$2,"NA"),'MITRE ATT&amp;CK Mappings'!$H253))),ISNUMBER(SEARCH(IF(G$3&lt;&gt;"",G$3,"NA"),'MITRE ATT&amp;CK Mappings'!$I253))),ISNUMBER(SEARCH(IF(G$3&lt;&gt;"",G$3,"NA"),'MITRE ATT&amp;CK Mappings'!$J253))), 'MITRE ATT&amp;CK Mappings'!$B253,"")</f>
        <v/>
      </c>
      <c r="H257" s="27" t="str">
        <f>IF(OR(OR(OR(OR(OR(ISNUMBER(SEARCH(IF(H$1&lt;&gt;"",H$1,"NA"),'MITRE ATT&amp;CK Mappings'!$E253)),ISNUMBER(SEARCH(IF(H$1&lt;&gt;"",H$1,"NA"),'MITRE ATT&amp;CK Mappings'!$F253))),ISNUMBER(SEARCH(IF(H$2&lt;&gt;"",H$2,"NA"),'MITRE ATT&amp;CK Mappings'!$G253))),ISNUMBER(SEARCH(IF(H$2&lt;&gt;"",H$2,"NA"),'MITRE ATT&amp;CK Mappings'!$H253))),ISNUMBER(SEARCH(IF(H$3&lt;&gt;"",H$3,"NA"),'MITRE ATT&amp;CK Mappings'!$I253))),ISNUMBER(SEARCH(IF(H$3&lt;&gt;"",H$3,"NA"),'MITRE ATT&amp;CK Mappings'!$J253))), 'MITRE ATT&amp;CK Mappings'!$B253,"")</f>
        <v/>
      </c>
      <c r="I257" s="27" t="str">
        <f>IF(OR(OR(OR(OR(OR(ISNUMBER(SEARCH(IF(I$1&lt;&gt;"",I$1,"NA"),'MITRE ATT&amp;CK Mappings'!$E253)),ISNUMBER(SEARCH(IF(I$1&lt;&gt;"",I$1,"NA"),'MITRE ATT&amp;CK Mappings'!$F253))),ISNUMBER(SEARCH(IF(I$2&lt;&gt;"",I$2,"NA"),'MITRE ATT&amp;CK Mappings'!$G253))),ISNUMBER(SEARCH(IF(I$2&lt;&gt;"",I$2,"NA"),'MITRE ATT&amp;CK Mappings'!$H253))),ISNUMBER(SEARCH(IF(I$3&lt;&gt;"",I$3,"NA"),'MITRE ATT&amp;CK Mappings'!$I253))),ISNUMBER(SEARCH(IF(I$3&lt;&gt;"",I$3,"NA"),'MITRE ATT&amp;CK Mappings'!$J253))), 'MITRE ATT&amp;CK Mappings'!$B253,"")</f>
        <v/>
      </c>
      <c r="J257" s="27" t="str">
        <f>IF(OR(OR(OR(OR(OR(ISNUMBER(SEARCH(IF(J$1&lt;&gt;"",J$1,"NA"),'MITRE ATT&amp;CK Mappings'!$E253)),ISNUMBER(SEARCH(IF(J$1&lt;&gt;"",J$1,"NA"),'MITRE ATT&amp;CK Mappings'!$F253))),ISNUMBER(SEARCH(IF(J$2&lt;&gt;"",J$2,"NA"),'MITRE ATT&amp;CK Mappings'!$G253))),ISNUMBER(SEARCH(IF(J$2&lt;&gt;"",J$2,"NA"),'MITRE ATT&amp;CK Mappings'!$H253))),ISNUMBER(SEARCH(IF(J$3&lt;&gt;"",J$3,"NA"),'MITRE ATT&amp;CK Mappings'!$I253))),ISNUMBER(SEARCH(IF(J$3&lt;&gt;"",J$3,"NA"),'MITRE ATT&amp;CK Mappings'!$J253))), 'MITRE ATT&amp;CK Mappings'!$B253,"")</f>
        <v/>
      </c>
      <c r="K257" s="27" t="str">
        <f>IF(OR(OR(OR(OR(OR(ISNUMBER(SEARCH(IF(K$1&lt;&gt;"",K$1,"NA"),'MITRE ATT&amp;CK Mappings'!$E253)),ISNUMBER(SEARCH(IF(K$1&lt;&gt;"",K$1,"NA"),'MITRE ATT&amp;CK Mappings'!$F253))),ISNUMBER(SEARCH(IF(K$2&lt;&gt;"",K$2,"NA"),'MITRE ATT&amp;CK Mappings'!$G253))),ISNUMBER(SEARCH(IF(K$2&lt;&gt;"",K$2,"NA"),'MITRE ATT&amp;CK Mappings'!$H253))),ISNUMBER(SEARCH(IF(K$3&lt;&gt;"",K$3,"NA"),'MITRE ATT&amp;CK Mappings'!$I253))),ISNUMBER(SEARCH(IF(K$3&lt;&gt;"",K$3,"NA"),'MITRE ATT&amp;CK Mappings'!$J253))), 'MITRE ATT&amp;CK Mappings'!$B253,"")</f>
        <v/>
      </c>
      <c r="L257" s="27" t="str">
        <f>IF('MITRE ATT&amp;CK Mappings'!D253 &lt;&gt;"",'MITRE ATT&amp;CK Mappings'!D253,"" )</f>
        <v/>
      </c>
    </row>
    <row r="258" spans="1:12" x14ac:dyDescent="0.25">
      <c r="A258" s="26" t="str">
        <f>IF(COUNTIF(B258:K258,"="&amp;'MITRE ATT&amp;CK Mappings'!B254)&gt;0,'MITRE ATT&amp;CK Mappings'!B254,"")</f>
        <v/>
      </c>
      <c r="B258" s="26" t="str">
        <f>IF(OR(OR(OR(OR(OR(ISNUMBER(SEARCH(IF(B$1&lt;&gt;"",B$1,"NA"),'MITRE ATT&amp;CK Mappings'!$E254)),ISNUMBER(SEARCH(IF(B$1&lt;&gt;"",B$1,"NA"),'MITRE ATT&amp;CK Mappings'!$F254))),ISNUMBER(SEARCH(IF(B$2&lt;&gt;"",B$2,"NA"),'MITRE ATT&amp;CK Mappings'!$G254))),ISNUMBER(SEARCH(IF(B$2&lt;&gt;"",B$2,"NA"),'MITRE ATT&amp;CK Mappings'!$H254))),ISNUMBER(SEARCH(IF(B$3&lt;&gt;"",B$3,"NA"),'MITRE ATT&amp;CK Mappings'!$I254))),ISNUMBER(SEARCH(IF(B$3&lt;&gt;"",B$3,"NA"),'MITRE ATT&amp;CK Mappings'!$J254))), 'MITRE ATT&amp;CK Mappings'!$B254,"")</f>
        <v/>
      </c>
      <c r="C258" s="26" t="str">
        <f>IF(OR(OR(OR(OR(OR(ISNUMBER(SEARCH(IF(C$1&lt;&gt;"",C$1,"NA"),'MITRE ATT&amp;CK Mappings'!$E254)),ISNUMBER(SEARCH(IF(C$1&lt;&gt;"",C$1,"NA"),'MITRE ATT&amp;CK Mappings'!$F254))),ISNUMBER(SEARCH(IF(C$2&lt;&gt;"",C$2,"NA"),'MITRE ATT&amp;CK Mappings'!$G254))),ISNUMBER(SEARCH(IF(C$2&lt;&gt;"",C$2,"NA"),'MITRE ATT&amp;CK Mappings'!$H254))),ISNUMBER(SEARCH(IF(C$3&lt;&gt;"",C$3,"NA"),'MITRE ATT&amp;CK Mappings'!$I254))),ISNUMBER(SEARCH(IF(C$3&lt;&gt;"",C$3,"NA"),'MITRE ATT&amp;CK Mappings'!$J254))), 'MITRE ATT&amp;CK Mappings'!$B254,"")</f>
        <v/>
      </c>
      <c r="D258" s="26" t="str">
        <f>IF(OR(OR(OR(OR(OR(ISNUMBER(SEARCH(IF(D$1&lt;&gt;"",D$1,"NA"),'MITRE ATT&amp;CK Mappings'!$E254)),ISNUMBER(SEARCH(IF(D$1&lt;&gt;"",D$1,"NA"),'MITRE ATT&amp;CK Mappings'!$F254))),ISNUMBER(SEARCH(IF(D$2&lt;&gt;"",D$2,"NA"),'MITRE ATT&amp;CK Mappings'!$G254))),ISNUMBER(SEARCH(IF(D$2&lt;&gt;"",D$2,"NA"),'MITRE ATT&amp;CK Mappings'!$H254))),ISNUMBER(SEARCH(IF(D$3&lt;&gt;"",D$3,"NA"),'MITRE ATT&amp;CK Mappings'!$I254))),ISNUMBER(SEARCH(IF(D$3&lt;&gt;"",D$3,"NA"),'MITRE ATT&amp;CK Mappings'!$J254))), 'MITRE ATT&amp;CK Mappings'!$B254,"")</f>
        <v/>
      </c>
      <c r="E258" s="26" t="str">
        <f>IF(OR(OR(OR(OR(OR(ISNUMBER(SEARCH(IF(E$1&lt;&gt;"",E$1,"NA"),'MITRE ATT&amp;CK Mappings'!$E254)),ISNUMBER(SEARCH(IF(E$1&lt;&gt;"",E$1,"NA"),'MITRE ATT&amp;CK Mappings'!$F254))),ISNUMBER(SEARCH(IF(E$2&lt;&gt;"",E$2,"NA"),'MITRE ATT&amp;CK Mappings'!$G254))),ISNUMBER(SEARCH(IF(E$2&lt;&gt;"",E$2,"NA"),'MITRE ATT&amp;CK Mappings'!$H254))),ISNUMBER(SEARCH(IF(E$3&lt;&gt;"",E$3,"NA"),'MITRE ATT&amp;CK Mappings'!$I254))),ISNUMBER(SEARCH(IF(E$3&lt;&gt;"",E$3,"NA"),'MITRE ATT&amp;CK Mappings'!$J254))), 'MITRE ATT&amp;CK Mappings'!$B254,"")</f>
        <v/>
      </c>
      <c r="F258" s="26" t="str">
        <f>IF(OR(OR(OR(OR(OR(ISNUMBER(SEARCH(IF(F$1&lt;&gt;"",F$1,"NA"),'MITRE ATT&amp;CK Mappings'!$E254)),ISNUMBER(SEARCH(IF(F$1&lt;&gt;"",F$1,"NA"),'MITRE ATT&amp;CK Mappings'!$F254))),ISNUMBER(SEARCH(IF(F$2&lt;&gt;"",F$2,"NA"),'MITRE ATT&amp;CK Mappings'!$G254))),ISNUMBER(SEARCH(IF(F$2&lt;&gt;"",F$2,"NA"),'MITRE ATT&amp;CK Mappings'!$H254))),ISNUMBER(SEARCH(IF(F$3&lt;&gt;"",F$3,"NA"),'MITRE ATT&amp;CK Mappings'!$I254))),ISNUMBER(SEARCH(IF(F$3&lt;&gt;"",F$3,"NA"),'MITRE ATT&amp;CK Mappings'!$J254))), 'MITRE ATT&amp;CK Mappings'!$B254,"")</f>
        <v/>
      </c>
      <c r="G258" s="26" t="str">
        <f>IF(OR(OR(OR(OR(OR(ISNUMBER(SEARCH(IF(G$1&lt;&gt;"",G$1,"NA"),'MITRE ATT&amp;CK Mappings'!$E254)),ISNUMBER(SEARCH(IF(G$1&lt;&gt;"",G$1,"NA"),'MITRE ATT&amp;CK Mappings'!$F254))),ISNUMBER(SEARCH(IF(G$2&lt;&gt;"",G$2,"NA"),'MITRE ATT&amp;CK Mappings'!$G254))),ISNUMBER(SEARCH(IF(G$2&lt;&gt;"",G$2,"NA"),'MITRE ATT&amp;CK Mappings'!$H254))),ISNUMBER(SEARCH(IF(G$3&lt;&gt;"",G$3,"NA"),'MITRE ATT&amp;CK Mappings'!$I254))),ISNUMBER(SEARCH(IF(G$3&lt;&gt;"",G$3,"NA"),'MITRE ATT&amp;CK Mappings'!$J254))), 'MITRE ATT&amp;CK Mappings'!$B254,"")</f>
        <v/>
      </c>
      <c r="H258" s="26" t="str">
        <f>IF(OR(OR(OR(OR(OR(ISNUMBER(SEARCH(IF(H$1&lt;&gt;"",H$1,"NA"),'MITRE ATT&amp;CK Mappings'!$E254)),ISNUMBER(SEARCH(IF(H$1&lt;&gt;"",H$1,"NA"),'MITRE ATT&amp;CK Mappings'!$F254))),ISNUMBER(SEARCH(IF(H$2&lt;&gt;"",H$2,"NA"),'MITRE ATT&amp;CK Mappings'!$G254))),ISNUMBER(SEARCH(IF(H$2&lt;&gt;"",H$2,"NA"),'MITRE ATT&amp;CK Mappings'!$H254))),ISNUMBER(SEARCH(IF(H$3&lt;&gt;"",H$3,"NA"),'MITRE ATT&amp;CK Mappings'!$I254))),ISNUMBER(SEARCH(IF(H$3&lt;&gt;"",H$3,"NA"),'MITRE ATT&amp;CK Mappings'!$J254))), 'MITRE ATT&amp;CK Mappings'!$B254,"")</f>
        <v/>
      </c>
      <c r="I258" s="26" t="str">
        <f>IF(OR(OR(OR(OR(OR(ISNUMBER(SEARCH(IF(I$1&lt;&gt;"",I$1,"NA"),'MITRE ATT&amp;CK Mappings'!$E254)),ISNUMBER(SEARCH(IF(I$1&lt;&gt;"",I$1,"NA"),'MITRE ATT&amp;CK Mappings'!$F254))),ISNUMBER(SEARCH(IF(I$2&lt;&gt;"",I$2,"NA"),'MITRE ATT&amp;CK Mappings'!$G254))),ISNUMBER(SEARCH(IF(I$2&lt;&gt;"",I$2,"NA"),'MITRE ATT&amp;CK Mappings'!$H254))),ISNUMBER(SEARCH(IF(I$3&lt;&gt;"",I$3,"NA"),'MITRE ATT&amp;CK Mappings'!$I254))),ISNUMBER(SEARCH(IF(I$3&lt;&gt;"",I$3,"NA"),'MITRE ATT&amp;CK Mappings'!$J254))), 'MITRE ATT&amp;CK Mappings'!$B254,"")</f>
        <v/>
      </c>
      <c r="J258" s="26" t="str">
        <f>IF(OR(OR(OR(OR(OR(ISNUMBER(SEARCH(IF(J$1&lt;&gt;"",J$1,"NA"),'MITRE ATT&amp;CK Mappings'!$E254)),ISNUMBER(SEARCH(IF(J$1&lt;&gt;"",J$1,"NA"),'MITRE ATT&amp;CK Mappings'!$F254))),ISNUMBER(SEARCH(IF(J$2&lt;&gt;"",J$2,"NA"),'MITRE ATT&amp;CK Mappings'!$G254))),ISNUMBER(SEARCH(IF(J$2&lt;&gt;"",J$2,"NA"),'MITRE ATT&amp;CK Mappings'!$H254))),ISNUMBER(SEARCH(IF(J$3&lt;&gt;"",J$3,"NA"),'MITRE ATT&amp;CK Mappings'!$I254))),ISNUMBER(SEARCH(IF(J$3&lt;&gt;"",J$3,"NA"),'MITRE ATT&amp;CK Mappings'!$J254))), 'MITRE ATT&amp;CK Mappings'!$B254,"")</f>
        <v/>
      </c>
      <c r="K258" s="26" t="str">
        <f>IF(OR(OR(OR(OR(OR(ISNUMBER(SEARCH(IF(K$1&lt;&gt;"",K$1,"NA"),'MITRE ATT&amp;CK Mappings'!$E254)),ISNUMBER(SEARCH(IF(K$1&lt;&gt;"",K$1,"NA"),'MITRE ATT&amp;CK Mappings'!$F254))),ISNUMBER(SEARCH(IF(K$2&lt;&gt;"",K$2,"NA"),'MITRE ATT&amp;CK Mappings'!$G254))),ISNUMBER(SEARCH(IF(K$2&lt;&gt;"",K$2,"NA"),'MITRE ATT&amp;CK Mappings'!$H254))),ISNUMBER(SEARCH(IF(K$3&lt;&gt;"",K$3,"NA"),'MITRE ATT&amp;CK Mappings'!$I254))),ISNUMBER(SEARCH(IF(K$3&lt;&gt;"",K$3,"NA"),'MITRE ATT&amp;CK Mappings'!$J254))), 'MITRE ATT&amp;CK Mappings'!$B254,"")</f>
        <v/>
      </c>
      <c r="L258" s="26" t="str">
        <f>IF('MITRE ATT&amp;CK Mappings'!D254 &lt;&gt;"",'MITRE ATT&amp;CK Mappings'!D254,"" )</f>
        <v/>
      </c>
    </row>
    <row r="259" spans="1:12" x14ac:dyDescent="0.25">
      <c r="A259" s="27" t="str">
        <f>IF(COUNTIF(B259:K259,"="&amp;'MITRE ATT&amp;CK Mappings'!B255)&gt;0,'MITRE ATT&amp;CK Mappings'!B255,"")</f>
        <v/>
      </c>
      <c r="B259" s="27" t="str">
        <f>IF(OR(OR(OR(OR(OR(ISNUMBER(SEARCH(IF(B$1&lt;&gt;"",B$1,"NA"),'MITRE ATT&amp;CK Mappings'!$E255)),ISNUMBER(SEARCH(IF(B$1&lt;&gt;"",B$1,"NA"),'MITRE ATT&amp;CK Mappings'!$F255))),ISNUMBER(SEARCH(IF(B$2&lt;&gt;"",B$2,"NA"),'MITRE ATT&amp;CK Mappings'!$G255))),ISNUMBER(SEARCH(IF(B$2&lt;&gt;"",B$2,"NA"),'MITRE ATT&amp;CK Mappings'!$H255))),ISNUMBER(SEARCH(IF(B$3&lt;&gt;"",B$3,"NA"),'MITRE ATT&amp;CK Mappings'!$I255))),ISNUMBER(SEARCH(IF(B$3&lt;&gt;"",B$3,"NA"),'MITRE ATT&amp;CK Mappings'!$J255))), 'MITRE ATT&amp;CK Mappings'!$B255,"")</f>
        <v/>
      </c>
      <c r="C259" s="27" t="str">
        <f>IF(OR(OR(OR(OR(OR(ISNUMBER(SEARCH(IF(C$1&lt;&gt;"",C$1,"NA"),'MITRE ATT&amp;CK Mappings'!$E255)),ISNUMBER(SEARCH(IF(C$1&lt;&gt;"",C$1,"NA"),'MITRE ATT&amp;CK Mappings'!$F255))),ISNUMBER(SEARCH(IF(C$2&lt;&gt;"",C$2,"NA"),'MITRE ATT&amp;CK Mappings'!$G255))),ISNUMBER(SEARCH(IF(C$2&lt;&gt;"",C$2,"NA"),'MITRE ATT&amp;CK Mappings'!$H255))),ISNUMBER(SEARCH(IF(C$3&lt;&gt;"",C$3,"NA"),'MITRE ATT&amp;CK Mappings'!$I255))),ISNUMBER(SEARCH(IF(C$3&lt;&gt;"",C$3,"NA"),'MITRE ATT&amp;CK Mappings'!$J255))), 'MITRE ATT&amp;CK Mappings'!$B255,"")</f>
        <v/>
      </c>
      <c r="D259" s="27" t="str">
        <f>IF(OR(OR(OR(OR(OR(ISNUMBER(SEARCH(IF(D$1&lt;&gt;"",D$1,"NA"),'MITRE ATT&amp;CK Mappings'!$E255)),ISNUMBER(SEARCH(IF(D$1&lt;&gt;"",D$1,"NA"),'MITRE ATT&amp;CK Mappings'!$F255))),ISNUMBER(SEARCH(IF(D$2&lt;&gt;"",D$2,"NA"),'MITRE ATT&amp;CK Mappings'!$G255))),ISNUMBER(SEARCH(IF(D$2&lt;&gt;"",D$2,"NA"),'MITRE ATT&amp;CK Mappings'!$H255))),ISNUMBER(SEARCH(IF(D$3&lt;&gt;"",D$3,"NA"),'MITRE ATT&amp;CK Mappings'!$I255))),ISNUMBER(SEARCH(IF(D$3&lt;&gt;"",D$3,"NA"),'MITRE ATT&amp;CK Mappings'!$J255))), 'MITRE ATT&amp;CK Mappings'!$B255,"")</f>
        <v/>
      </c>
      <c r="E259" s="27" t="str">
        <f>IF(OR(OR(OR(OR(OR(ISNUMBER(SEARCH(IF(E$1&lt;&gt;"",E$1,"NA"),'MITRE ATT&amp;CK Mappings'!$E255)),ISNUMBER(SEARCH(IF(E$1&lt;&gt;"",E$1,"NA"),'MITRE ATT&amp;CK Mappings'!$F255))),ISNUMBER(SEARCH(IF(E$2&lt;&gt;"",E$2,"NA"),'MITRE ATT&amp;CK Mappings'!$G255))),ISNUMBER(SEARCH(IF(E$2&lt;&gt;"",E$2,"NA"),'MITRE ATT&amp;CK Mappings'!$H255))),ISNUMBER(SEARCH(IF(E$3&lt;&gt;"",E$3,"NA"),'MITRE ATT&amp;CK Mappings'!$I255))),ISNUMBER(SEARCH(IF(E$3&lt;&gt;"",E$3,"NA"),'MITRE ATT&amp;CK Mappings'!$J255))), 'MITRE ATT&amp;CK Mappings'!$B255,"")</f>
        <v/>
      </c>
      <c r="F259" s="27" t="str">
        <f>IF(OR(OR(OR(OR(OR(ISNUMBER(SEARCH(IF(F$1&lt;&gt;"",F$1,"NA"),'MITRE ATT&amp;CK Mappings'!$E255)),ISNUMBER(SEARCH(IF(F$1&lt;&gt;"",F$1,"NA"),'MITRE ATT&amp;CK Mappings'!$F255))),ISNUMBER(SEARCH(IF(F$2&lt;&gt;"",F$2,"NA"),'MITRE ATT&amp;CK Mappings'!$G255))),ISNUMBER(SEARCH(IF(F$2&lt;&gt;"",F$2,"NA"),'MITRE ATT&amp;CK Mappings'!$H255))),ISNUMBER(SEARCH(IF(F$3&lt;&gt;"",F$3,"NA"),'MITRE ATT&amp;CK Mappings'!$I255))),ISNUMBER(SEARCH(IF(F$3&lt;&gt;"",F$3,"NA"),'MITRE ATT&amp;CK Mappings'!$J255))), 'MITRE ATT&amp;CK Mappings'!$B255,"")</f>
        <v/>
      </c>
      <c r="G259" s="27" t="str">
        <f>IF(OR(OR(OR(OR(OR(ISNUMBER(SEARCH(IF(G$1&lt;&gt;"",G$1,"NA"),'MITRE ATT&amp;CK Mappings'!$E255)),ISNUMBER(SEARCH(IF(G$1&lt;&gt;"",G$1,"NA"),'MITRE ATT&amp;CK Mappings'!$F255))),ISNUMBER(SEARCH(IF(G$2&lt;&gt;"",G$2,"NA"),'MITRE ATT&amp;CK Mappings'!$G255))),ISNUMBER(SEARCH(IF(G$2&lt;&gt;"",G$2,"NA"),'MITRE ATT&amp;CK Mappings'!$H255))),ISNUMBER(SEARCH(IF(G$3&lt;&gt;"",G$3,"NA"),'MITRE ATT&amp;CK Mappings'!$I255))),ISNUMBER(SEARCH(IF(G$3&lt;&gt;"",G$3,"NA"),'MITRE ATT&amp;CK Mappings'!$J255))), 'MITRE ATT&amp;CK Mappings'!$B255,"")</f>
        <v/>
      </c>
      <c r="H259" s="27" t="str">
        <f>IF(OR(OR(OR(OR(OR(ISNUMBER(SEARCH(IF(H$1&lt;&gt;"",H$1,"NA"),'MITRE ATT&amp;CK Mappings'!$E255)),ISNUMBER(SEARCH(IF(H$1&lt;&gt;"",H$1,"NA"),'MITRE ATT&amp;CK Mappings'!$F255))),ISNUMBER(SEARCH(IF(H$2&lt;&gt;"",H$2,"NA"),'MITRE ATT&amp;CK Mappings'!$G255))),ISNUMBER(SEARCH(IF(H$2&lt;&gt;"",H$2,"NA"),'MITRE ATT&amp;CK Mappings'!$H255))),ISNUMBER(SEARCH(IF(H$3&lt;&gt;"",H$3,"NA"),'MITRE ATT&amp;CK Mappings'!$I255))),ISNUMBER(SEARCH(IF(H$3&lt;&gt;"",H$3,"NA"),'MITRE ATT&amp;CK Mappings'!$J255))), 'MITRE ATT&amp;CK Mappings'!$B255,"")</f>
        <v/>
      </c>
      <c r="I259" s="27" t="str">
        <f>IF(OR(OR(OR(OR(OR(ISNUMBER(SEARCH(IF(I$1&lt;&gt;"",I$1,"NA"),'MITRE ATT&amp;CK Mappings'!$E255)),ISNUMBER(SEARCH(IF(I$1&lt;&gt;"",I$1,"NA"),'MITRE ATT&amp;CK Mappings'!$F255))),ISNUMBER(SEARCH(IF(I$2&lt;&gt;"",I$2,"NA"),'MITRE ATT&amp;CK Mappings'!$G255))),ISNUMBER(SEARCH(IF(I$2&lt;&gt;"",I$2,"NA"),'MITRE ATT&amp;CK Mappings'!$H255))),ISNUMBER(SEARCH(IF(I$3&lt;&gt;"",I$3,"NA"),'MITRE ATT&amp;CK Mappings'!$I255))),ISNUMBER(SEARCH(IF(I$3&lt;&gt;"",I$3,"NA"),'MITRE ATT&amp;CK Mappings'!$J255))), 'MITRE ATT&amp;CK Mappings'!$B255,"")</f>
        <v/>
      </c>
      <c r="J259" s="27" t="str">
        <f>IF(OR(OR(OR(OR(OR(ISNUMBER(SEARCH(IF(J$1&lt;&gt;"",J$1,"NA"),'MITRE ATT&amp;CK Mappings'!$E255)),ISNUMBER(SEARCH(IF(J$1&lt;&gt;"",J$1,"NA"),'MITRE ATT&amp;CK Mappings'!$F255))),ISNUMBER(SEARCH(IF(J$2&lt;&gt;"",J$2,"NA"),'MITRE ATT&amp;CK Mappings'!$G255))),ISNUMBER(SEARCH(IF(J$2&lt;&gt;"",J$2,"NA"),'MITRE ATT&amp;CK Mappings'!$H255))),ISNUMBER(SEARCH(IF(J$3&lt;&gt;"",J$3,"NA"),'MITRE ATT&amp;CK Mappings'!$I255))),ISNUMBER(SEARCH(IF(J$3&lt;&gt;"",J$3,"NA"),'MITRE ATT&amp;CK Mappings'!$J255))), 'MITRE ATT&amp;CK Mappings'!$B255,"")</f>
        <v/>
      </c>
      <c r="K259" s="27" t="str">
        <f>IF(OR(OR(OR(OR(OR(ISNUMBER(SEARCH(IF(K$1&lt;&gt;"",K$1,"NA"),'MITRE ATT&amp;CK Mappings'!$E255)),ISNUMBER(SEARCH(IF(K$1&lt;&gt;"",K$1,"NA"),'MITRE ATT&amp;CK Mappings'!$F255))),ISNUMBER(SEARCH(IF(K$2&lt;&gt;"",K$2,"NA"),'MITRE ATT&amp;CK Mappings'!$G255))),ISNUMBER(SEARCH(IF(K$2&lt;&gt;"",K$2,"NA"),'MITRE ATT&amp;CK Mappings'!$H255))),ISNUMBER(SEARCH(IF(K$3&lt;&gt;"",K$3,"NA"),'MITRE ATT&amp;CK Mappings'!$I255))),ISNUMBER(SEARCH(IF(K$3&lt;&gt;"",K$3,"NA"),'MITRE ATT&amp;CK Mappings'!$J255))), 'MITRE ATT&amp;CK Mappings'!$B255,"")</f>
        <v/>
      </c>
      <c r="L259" s="27" t="str">
        <f>IF('MITRE ATT&amp;CK Mappings'!D255 &lt;&gt;"",'MITRE ATT&amp;CK Mappings'!D255,"" )</f>
        <v/>
      </c>
    </row>
    <row r="260" spans="1:12" x14ac:dyDescent="0.25">
      <c r="A260" s="26" t="str">
        <f>IF(COUNTIF(B260:K260,"="&amp;'MITRE ATT&amp;CK Mappings'!B256)&gt;0,'MITRE ATT&amp;CK Mappings'!B256,"")</f>
        <v/>
      </c>
      <c r="B260" s="26" t="str">
        <f>IF(OR(OR(OR(OR(OR(ISNUMBER(SEARCH(IF(B$1&lt;&gt;"",B$1,"NA"),'MITRE ATT&amp;CK Mappings'!$E256)),ISNUMBER(SEARCH(IF(B$1&lt;&gt;"",B$1,"NA"),'MITRE ATT&amp;CK Mappings'!$F256))),ISNUMBER(SEARCH(IF(B$2&lt;&gt;"",B$2,"NA"),'MITRE ATT&amp;CK Mappings'!$G256))),ISNUMBER(SEARCH(IF(B$2&lt;&gt;"",B$2,"NA"),'MITRE ATT&amp;CK Mappings'!$H256))),ISNUMBER(SEARCH(IF(B$3&lt;&gt;"",B$3,"NA"),'MITRE ATT&amp;CK Mappings'!$I256))),ISNUMBER(SEARCH(IF(B$3&lt;&gt;"",B$3,"NA"),'MITRE ATT&amp;CK Mappings'!$J256))), 'MITRE ATT&amp;CK Mappings'!$B256,"")</f>
        <v/>
      </c>
      <c r="C260" s="26" t="str">
        <f>IF(OR(OR(OR(OR(OR(ISNUMBER(SEARCH(IF(C$1&lt;&gt;"",C$1,"NA"),'MITRE ATT&amp;CK Mappings'!$E256)),ISNUMBER(SEARCH(IF(C$1&lt;&gt;"",C$1,"NA"),'MITRE ATT&amp;CK Mappings'!$F256))),ISNUMBER(SEARCH(IF(C$2&lt;&gt;"",C$2,"NA"),'MITRE ATT&amp;CK Mappings'!$G256))),ISNUMBER(SEARCH(IF(C$2&lt;&gt;"",C$2,"NA"),'MITRE ATT&amp;CK Mappings'!$H256))),ISNUMBER(SEARCH(IF(C$3&lt;&gt;"",C$3,"NA"),'MITRE ATT&amp;CK Mappings'!$I256))),ISNUMBER(SEARCH(IF(C$3&lt;&gt;"",C$3,"NA"),'MITRE ATT&amp;CK Mappings'!$J256))), 'MITRE ATT&amp;CK Mappings'!$B256,"")</f>
        <v/>
      </c>
      <c r="D260" s="26" t="str">
        <f>IF(OR(OR(OR(OR(OR(ISNUMBER(SEARCH(IF(D$1&lt;&gt;"",D$1,"NA"),'MITRE ATT&amp;CK Mappings'!$E256)),ISNUMBER(SEARCH(IF(D$1&lt;&gt;"",D$1,"NA"),'MITRE ATT&amp;CK Mappings'!$F256))),ISNUMBER(SEARCH(IF(D$2&lt;&gt;"",D$2,"NA"),'MITRE ATT&amp;CK Mappings'!$G256))),ISNUMBER(SEARCH(IF(D$2&lt;&gt;"",D$2,"NA"),'MITRE ATT&amp;CK Mappings'!$H256))),ISNUMBER(SEARCH(IF(D$3&lt;&gt;"",D$3,"NA"),'MITRE ATT&amp;CK Mappings'!$I256))),ISNUMBER(SEARCH(IF(D$3&lt;&gt;"",D$3,"NA"),'MITRE ATT&amp;CK Mappings'!$J256))), 'MITRE ATT&amp;CK Mappings'!$B256,"")</f>
        <v/>
      </c>
      <c r="E260" s="26" t="str">
        <f>IF(OR(OR(OR(OR(OR(ISNUMBER(SEARCH(IF(E$1&lt;&gt;"",E$1,"NA"),'MITRE ATT&amp;CK Mappings'!$E256)),ISNUMBER(SEARCH(IF(E$1&lt;&gt;"",E$1,"NA"),'MITRE ATT&amp;CK Mappings'!$F256))),ISNUMBER(SEARCH(IF(E$2&lt;&gt;"",E$2,"NA"),'MITRE ATT&amp;CK Mappings'!$G256))),ISNUMBER(SEARCH(IF(E$2&lt;&gt;"",E$2,"NA"),'MITRE ATT&amp;CK Mappings'!$H256))),ISNUMBER(SEARCH(IF(E$3&lt;&gt;"",E$3,"NA"),'MITRE ATT&amp;CK Mappings'!$I256))),ISNUMBER(SEARCH(IF(E$3&lt;&gt;"",E$3,"NA"),'MITRE ATT&amp;CK Mappings'!$J256))), 'MITRE ATT&amp;CK Mappings'!$B256,"")</f>
        <v/>
      </c>
      <c r="F260" s="26" t="str">
        <f>IF(OR(OR(OR(OR(OR(ISNUMBER(SEARCH(IF(F$1&lt;&gt;"",F$1,"NA"),'MITRE ATT&amp;CK Mappings'!$E256)),ISNUMBER(SEARCH(IF(F$1&lt;&gt;"",F$1,"NA"),'MITRE ATT&amp;CK Mappings'!$F256))),ISNUMBER(SEARCH(IF(F$2&lt;&gt;"",F$2,"NA"),'MITRE ATT&amp;CK Mappings'!$G256))),ISNUMBER(SEARCH(IF(F$2&lt;&gt;"",F$2,"NA"),'MITRE ATT&amp;CK Mappings'!$H256))),ISNUMBER(SEARCH(IF(F$3&lt;&gt;"",F$3,"NA"),'MITRE ATT&amp;CK Mappings'!$I256))),ISNUMBER(SEARCH(IF(F$3&lt;&gt;"",F$3,"NA"),'MITRE ATT&amp;CK Mappings'!$J256))), 'MITRE ATT&amp;CK Mappings'!$B256,"")</f>
        <v/>
      </c>
      <c r="G260" s="26" t="str">
        <f>IF(OR(OR(OR(OR(OR(ISNUMBER(SEARCH(IF(G$1&lt;&gt;"",G$1,"NA"),'MITRE ATT&amp;CK Mappings'!$E256)),ISNUMBER(SEARCH(IF(G$1&lt;&gt;"",G$1,"NA"),'MITRE ATT&amp;CK Mappings'!$F256))),ISNUMBER(SEARCH(IF(G$2&lt;&gt;"",G$2,"NA"),'MITRE ATT&amp;CK Mappings'!$G256))),ISNUMBER(SEARCH(IF(G$2&lt;&gt;"",G$2,"NA"),'MITRE ATT&amp;CK Mappings'!$H256))),ISNUMBER(SEARCH(IF(G$3&lt;&gt;"",G$3,"NA"),'MITRE ATT&amp;CK Mappings'!$I256))),ISNUMBER(SEARCH(IF(G$3&lt;&gt;"",G$3,"NA"),'MITRE ATT&amp;CK Mappings'!$J256))), 'MITRE ATT&amp;CK Mappings'!$B256,"")</f>
        <v/>
      </c>
      <c r="H260" s="26" t="str">
        <f>IF(OR(OR(OR(OR(OR(ISNUMBER(SEARCH(IF(H$1&lt;&gt;"",H$1,"NA"),'MITRE ATT&amp;CK Mappings'!$E256)),ISNUMBER(SEARCH(IF(H$1&lt;&gt;"",H$1,"NA"),'MITRE ATT&amp;CK Mappings'!$F256))),ISNUMBER(SEARCH(IF(H$2&lt;&gt;"",H$2,"NA"),'MITRE ATT&amp;CK Mappings'!$G256))),ISNUMBER(SEARCH(IF(H$2&lt;&gt;"",H$2,"NA"),'MITRE ATT&amp;CK Mappings'!$H256))),ISNUMBER(SEARCH(IF(H$3&lt;&gt;"",H$3,"NA"),'MITRE ATT&amp;CK Mappings'!$I256))),ISNUMBER(SEARCH(IF(H$3&lt;&gt;"",H$3,"NA"),'MITRE ATT&amp;CK Mappings'!$J256))), 'MITRE ATT&amp;CK Mappings'!$B256,"")</f>
        <v/>
      </c>
      <c r="I260" s="26" t="str">
        <f>IF(OR(OR(OR(OR(OR(ISNUMBER(SEARCH(IF(I$1&lt;&gt;"",I$1,"NA"),'MITRE ATT&amp;CK Mappings'!$E256)),ISNUMBER(SEARCH(IF(I$1&lt;&gt;"",I$1,"NA"),'MITRE ATT&amp;CK Mappings'!$F256))),ISNUMBER(SEARCH(IF(I$2&lt;&gt;"",I$2,"NA"),'MITRE ATT&amp;CK Mappings'!$G256))),ISNUMBER(SEARCH(IF(I$2&lt;&gt;"",I$2,"NA"),'MITRE ATT&amp;CK Mappings'!$H256))),ISNUMBER(SEARCH(IF(I$3&lt;&gt;"",I$3,"NA"),'MITRE ATT&amp;CK Mappings'!$I256))),ISNUMBER(SEARCH(IF(I$3&lt;&gt;"",I$3,"NA"),'MITRE ATT&amp;CK Mappings'!$J256))), 'MITRE ATT&amp;CK Mappings'!$B256,"")</f>
        <v/>
      </c>
      <c r="J260" s="26" t="str">
        <f>IF(OR(OR(OR(OR(OR(ISNUMBER(SEARCH(IF(J$1&lt;&gt;"",J$1,"NA"),'MITRE ATT&amp;CK Mappings'!$E256)),ISNUMBER(SEARCH(IF(J$1&lt;&gt;"",J$1,"NA"),'MITRE ATT&amp;CK Mappings'!$F256))),ISNUMBER(SEARCH(IF(J$2&lt;&gt;"",J$2,"NA"),'MITRE ATT&amp;CK Mappings'!$G256))),ISNUMBER(SEARCH(IF(J$2&lt;&gt;"",J$2,"NA"),'MITRE ATT&amp;CK Mappings'!$H256))),ISNUMBER(SEARCH(IF(J$3&lt;&gt;"",J$3,"NA"),'MITRE ATT&amp;CK Mappings'!$I256))),ISNUMBER(SEARCH(IF(J$3&lt;&gt;"",J$3,"NA"),'MITRE ATT&amp;CK Mappings'!$J256))), 'MITRE ATT&amp;CK Mappings'!$B256,"")</f>
        <v/>
      </c>
      <c r="K260" s="26" t="str">
        <f>IF(OR(OR(OR(OR(OR(ISNUMBER(SEARCH(IF(K$1&lt;&gt;"",K$1,"NA"),'MITRE ATT&amp;CK Mappings'!$E256)),ISNUMBER(SEARCH(IF(K$1&lt;&gt;"",K$1,"NA"),'MITRE ATT&amp;CK Mappings'!$F256))),ISNUMBER(SEARCH(IF(K$2&lt;&gt;"",K$2,"NA"),'MITRE ATT&amp;CK Mappings'!$G256))),ISNUMBER(SEARCH(IF(K$2&lt;&gt;"",K$2,"NA"),'MITRE ATT&amp;CK Mappings'!$H256))),ISNUMBER(SEARCH(IF(K$3&lt;&gt;"",K$3,"NA"),'MITRE ATT&amp;CK Mappings'!$I256))),ISNUMBER(SEARCH(IF(K$3&lt;&gt;"",K$3,"NA"),'MITRE ATT&amp;CK Mappings'!$J256))), 'MITRE ATT&amp;CK Mappings'!$B256,"")</f>
        <v/>
      </c>
      <c r="L260" s="26" t="str">
        <f>IF('MITRE ATT&amp;CK Mappings'!D256 &lt;&gt;"",'MITRE ATT&amp;CK Mappings'!D256,"" )</f>
        <v/>
      </c>
    </row>
    <row r="261" spans="1:12" x14ac:dyDescent="0.25">
      <c r="A261" s="27" t="str">
        <f>IF(COUNTIF(B261:K261,"="&amp;'MITRE ATT&amp;CK Mappings'!B257)&gt;0,'MITRE ATT&amp;CK Mappings'!B257,"")</f>
        <v/>
      </c>
      <c r="B261" s="27" t="str">
        <f>IF(OR(OR(OR(OR(OR(ISNUMBER(SEARCH(IF(B$1&lt;&gt;"",B$1,"NA"),'MITRE ATT&amp;CK Mappings'!$E257)),ISNUMBER(SEARCH(IF(B$1&lt;&gt;"",B$1,"NA"),'MITRE ATT&amp;CK Mappings'!$F257))),ISNUMBER(SEARCH(IF(B$2&lt;&gt;"",B$2,"NA"),'MITRE ATT&amp;CK Mappings'!$G257))),ISNUMBER(SEARCH(IF(B$2&lt;&gt;"",B$2,"NA"),'MITRE ATT&amp;CK Mappings'!$H257))),ISNUMBER(SEARCH(IF(B$3&lt;&gt;"",B$3,"NA"),'MITRE ATT&amp;CK Mappings'!$I257))),ISNUMBER(SEARCH(IF(B$3&lt;&gt;"",B$3,"NA"),'MITRE ATT&amp;CK Mappings'!$J257))), 'MITRE ATT&amp;CK Mappings'!$B257,"")</f>
        <v/>
      </c>
      <c r="C261" s="27" t="str">
        <f>IF(OR(OR(OR(OR(OR(ISNUMBER(SEARCH(IF(C$1&lt;&gt;"",C$1,"NA"),'MITRE ATT&amp;CK Mappings'!$E257)),ISNUMBER(SEARCH(IF(C$1&lt;&gt;"",C$1,"NA"),'MITRE ATT&amp;CK Mappings'!$F257))),ISNUMBER(SEARCH(IF(C$2&lt;&gt;"",C$2,"NA"),'MITRE ATT&amp;CK Mappings'!$G257))),ISNUMBER(SEARCH(IF(C$2&lt;&gt;"",C$2,"NA"),'MITRE ATT&amp;CK Mappings'!$H257))),ISNUMBER(SEARCH(IF(C$3&lt;&gt;"",C$3,"NA"),'MITRE ATT&amp;CK Mappings'!$I257))),ISNUMBER(SEARCH(IF(C$3&lt;&gt;"",C$3,"NA"),'MITRE ATT&amp;CK Mappings'!$J257))), 'MITRE ATT&amp;CK Mappings'!$B257,"")</f>
        <v/>
      </c>
      <c r="D261" s="27" t="str">
        <f>IF(OR(OR(OR(OR(OR(ISNUMBER(SEARCH(IF(D$1&lt;&gt;"",D$1,"NA"),'MITRE ATT&amp;CK Mappings'!$E257)),ISNUMBER(SEARCH(IF(D$1&lt;&gt;"",D$1,"NA"),'MITRE ATT&amp;CK Mappings'!$F257))),ISNUMBER(SEARCH(IF(D$2&lt;&gt;"",D$2,"NA"),'MITRE ATT&amp;CK Mappings'!$G257))),ISNUMBER(SEARCH(IF(D$2&lt;&gt;"",D$2,"NA"),'MITRE ATT&amp;CK Mappings'!$H257))),ISNUMBER(SEARCH(IF(D$3&lt;&gt;"",D$3,"NA"),'MITRE ATT&amp;CK Mappings'!$I257))),ISNUMBER(SEARCH(IF(D$3&lt;&gt;"",D$3,"NA"),'MITRE ATT&amp;CK Mappings'!$J257))), 'MITRE ATT&amp;CK Mappings'!$B257,"")</f>
        <v/>
      </c>
      <c r="E261" s="27" t="str">
        <f>IF(OR(OR(OR(OR(OR(ISNUMBER(SEARCH(IF(E$1&lt;&gt;"",E$1,"NA"),'MITRE ATT&amp;CK Mappings'!$E257)),ISNUMBER(SEARCH(IF(E$1&lt;&gt;"",E$1,"NA"),'MITRE ATT&amp;CK Mappings'!$F257))),ISNUMBER(SEARCH(IF(E$2&lt;&gt;"",E$2,"NA"),'MITRE ATT&amp;CK Mappings'!$G257))),ISNUMBER(SEARCH(IF(E$2&lt;&gt;"",E$2,"NA"),'MITRE ATT&amp;CK Mappings'!$H257))),ISNUMBER(SEARCH(IF(E$3&lt;&gt;"",E$3,"NA"),'MITRE ATT&amp;CK Mappings'!$I257))),ISNUMBER(SEARCH(IF(E$3&lt;&gt;"",E$3,"NA"),'MITRE ATT&amp;CK Mappings'!$J257))), 'MITRE ATT&amp;CK Mappings'!$B257,"")</f>
        <v/>
      </c>
      <c r="F261" s="27" t="str">
        <f>IF(OR(OR(OR(OR(OR(ISNUMBER(SEARCH(IF(F$1&lt;&gt;"",F$1,"NA"),'MITRE ATT&amp;CK Mappings'!$E257)),ISNUMBER(SEARCH(IF(F$1&lt;&gt;"",F$1,"NA"),'MITRE ATT&amp;CK Mappings'!$F257))),ISNUMBER(SEARCH(IF(F$2&lt;&gt;"",F$2,"NA"),'MITRE ATT&amp;CK Mappings'!$G257))),ISNUMBER(SEARCH(IF(F$2&lt;&gt;"",F$2,"NA"),'MITRE ATT&amp;CK Mappings'!$H257))),ISNUMBER(SEARCH(IF(F$3&lt;&gt;"",F$3,"NA"),'MITRE ATT&amp;CK Mappings'!$I257))),ISNUMBER(SEARCH(IF(F$3&lt;&gt;"",F$3,"NA"),'MITRE ATT&amp;CK Mappings'!$J257))), 'MITRE ATT&amp;CK Mappings'!$B257,"")</f>
        <v/>
      </c>
      <c r="G261" s="27" t="str">
        <f>IF(OR(OR(OR(OR(OR(ISNUMBER(SEARCH(IF(G$1&lt;&gt;"",G$1,"NA"),'MITRE ATT&amp;CK Mappings'!$E257)),ISNUMBER(SEARCH(IF(G$1&lt;&gt;"",G$1,"NA"),'MITRE ATT&amp;CK Mappings'!$F257))),ISNUMBER(SEARCH(IF(G$2&lt;&gt;"",G$2,"NA"),'MITRE ATT&amp;CK Mappings'!$G257))),ISNUMBER(SEARCH(IF(G$2&lt;&gt;"",G$2,"NA"),'MITRE ATT&amp;CK Mappings'!$H257))),ISNUMBER(SEARCH(IF(G$3&lt;&gt;"",G$3,"NA"),'MITRE ATT&amp;CK Mappings'!$I257))),ISNUMBER(SEARCH(IF(G$3&lt;&gt;"",G$3,"NA"),'MITRE ATT&amp;CK Mappings'!$J257))), 'MITRE ATT&amp;CK Mappings'!$B257,"")</f>
        <v/>
      </c>
      <c r="H261" s="27" t="str">
        <f>IF(OR(OR(OR(OR(OR(ISNUMBER(SEARCH(IF(H$1&lt;&gt;"",H$1,"NA"),'MITRE ATT&amp;CK Mappings'!$E257)),ISNUMBER(SEARCH(IF(H$1&lt;&gt;"",H$1,"NA"),'MITRE ATT&amp;CK Mappings'!$F257))),ISNUMBER(SEARCH(IF(H$2&lt;&gt;"",H$2,"NA"),'MITRE ATT&amp;CK Mappings'!$G257))),ISNUMBER(SEARCH(IF(H$2&lt;&gt;"",H$2,"NA"),'MITRE ATT&amp;CK Mappings'!$H257))),ISNUMBER(SEARCH(IF(H$3&lt;&gt;"",H$3,"NA"),'MITRE ATT&amp;CK Mappings'!$I257))),ISNUMBER(SEARCH(IF(H$3&lt;&gt;"",H$3,"NA"),'MITRE ATT&amp;CK Mappings'!$J257))), 'MITRE ATT&amp;CK Mappings'!$B257,"")</f>
        <v/>
      </c>
      <c r="I261" s="27" t="str">
        <f>IF(OR(OR(OR(OR(OR(ISNUMBER(SEARCH(IF(I$1&lt;&gt;"",I$1,"NA"),'MITRE ATT&amp;CK Mappings'!$E257)),ISNUMBER(SEARCH(IF(I$1&lt;&gt;"",I$1,"NA"),'MITRE ATT&amp;CK Mappings'!$F257))),ISNUMBER(SEARCH(IF(I$2&lt;&gt;"",I$2,"NA"),'MITRE ATT&amp;CK Mappings'!$G257))),ISNUMBER(SEARCH(IF(I$2&lt;&gt;"",I$2,"NA"),'MITRE ATT&amp;CK Mappings'!$H257))),ISNUMBER(SEARCH(IF(I$3&lt;&gt;"",I$3,"NA"),'MITRE ATT&amp;CK Mappings'!$I257))),ISNUMBER(SEARCH(IF(I$3&lt;&gt;"",I$3,"NA"),'MITRE ATT&amp;CK Mappings'!$J257))), 'MITRE ATT&amp;CK Mappings'!$B257,"")</f>
        <v/>
      </c>
      <c r="J261" s="27" t="str">
        <f>IF(OR(OR(OR(OR(OR(ISNUMBER(SEARCH(IF(J$1&lt;&gt;"",J$1,"NA"),'MITRE ATT&amp;CK Mappings'!$E257)),ISNUMBER(SEARCH(IF(J$1&lt;&gt;"",J$1,"NA"),'MITRE ATT&amp;CK Mappings'!$F257))),ISNUMBER(SEARCH(IF(J$2&lt;&gt;"",J$2,"NA"),'MITRE ATT&amp;CK Mappings'!$G257))),ISNUMBER(SEARCH(IF(J$2&lt;&gt;"",J$2,"NA"),'MITRE ATT&amp;CK Mappings'!$H257))),ISNUMBER(SEARCH(IF(J$3&lt;&gt;"",J$3,"NA"),'MITRE ATT&amp;CK Mappings'!$I257))),ISNUMBER(SEARCH(IF(J$3&lt;&gt;"",J$3,"NA"),'MITRE ATT&amp;CK Mappings'!$J257))), 'MITRE ATT&amp;CK Mappings'!$B257,"")</f>
        <v/>
      </c>
      <c r="K261" s="27" t="str">
        <f>IF(OR(OR(OR(OR(OR(ISNUMBER(SEARCH(IF(K$1&lt;&gt;"",K$1,"NA"),'MITRE ATT&amp;CK Mappings'!$E257)),ISNUMBER(SEARCH(IF(K$1&lt;&gt;"",K$1,"NA"),'MITRE ATT&amp;CK Mappings'!$F257))),ISNUMBER(SEARCH(IF(K$2&lt;&gt;"",K$2,"NA"),'MITRE ATT&amp;CK Mappings'!$G257))),ISNUMBER(SEARCH(IF(K$2&lt;&gt;"",K$2,"NA"),'MITRE ATT&amp;CK Mappings'!$H257))),ISNUMBER(SEARCH(IF(K$3&lt;&gt;"",K$3,"NA"),'MITRE ATT&amp;CK Mappings'!$I257))),ISNUMBER(SEARCH(IF(K$3&lt;&gt;"",K$3,"NA"),'MITRE ATT&amp;CK Mappings'!$J257))), 'MITRE ATT&amp;CK Mappings'!$B257,"")</f>
        <v/>
      </c>
      <c r="L261" s="27" t="str">
        <f>IF('MITRE ATT&amp;CK Mappings'!D257 &lt;&gt;"",'MITRE ATT&amp;CK Mappings'!D257,"" )</f>
        <v/>
      </c>
    </row>
    <row r="262" spans="1:12" x14ac:dyDescent="0.25">
      <c r="A262" s="26" t="str">
        <f>IF(COUNTIF(B262:K262,"="&amp;'MITRE ATT&amp;CK Mappings'!B258)&gt;0,'MITRE ATT&amp;CK Mappings'!B258,"")</f>
        <v/>
      </c>
      <c r="B262" s="26" t="str">
        <f>IF(OR(OR(OR(OR(OR(ISNUMBER(SEARCH(IF(B$1&lt;&gt;"",B$1,"NA"),'MITRE ATT&amp;CK Mappings'!$E258)),ISNUMBER(SEARCH(IF(B$1&lt;&gt;"",B$1,"NA"),'MITRE ATT&amp;CK Mappings'!$F258))),ISNUMBER(SEARCH(IF(B$2&lt;&gt;"",B$2,"NA"),'MITRE ATT&amp;CK Mappings'!$G258))),ISNUMBER(SEARCH(IF(B$2&lt;&gt;"",B$2,"NA"),'MITRE ATT&amp;CK Mappings'!$H258))),ISNUMBER(SEARCH(IF(B$3&lt;&gt;"",B$3,"NA"),'MITRE ATT&amp;CK Mappings'!$I258))),ISNUMBER(SEARCH(IF(B$3&lt;&gt;"",B$3,"NA"),'MITRE ATT&amp;CK Mappings'!$J258))), 'MITRE ATT&amp;CK Mappings'!$B258,"")</f>
        <v/>
      </c>
      <c r="C262" s="26" t="str">
        <f>IF(OR(OR(OR(OR(OR(ISNUMBER(SEARCH(IF(C$1&lt;&gt;"",C$1,"NA"),'MITRE ATT&amp;CK Mappings'!$E258)),ISNUMBER(SEARCH(IF(C$1&lt;&gt;"",C$1,"NA"),'MITRE ATT&amp;CK Mappings'!$F258))),ISNUMBER(SEARCH(IF(C$2&lt;&gt;"",C$2,"NA"),'MITRE ATT&amp;CK Mappings'!$G258))),ISNUMBER(SEARCH(IF(C$2&lt;&gt;"",C$2,"NA"),'MITRE ATT&amp;CK Mappings'!$H258))),ISNUMBER(SEARCH(IF(C$3&lt;&gt;"",C$3,"NA"),'MITRE ATT&amp;CK Mappings'!$I258))),ISNUMBER(SEARCH(IF(C$3&lt;&gt;"",C$3,"NA"),'MITRE ATT&amp;CK Mappings'!$J258))), 'MITRE ATT&amp;CK Mappings'!$B258,"")</f>
        <v/>
      </c>
      <c r="D262" s="26" t="str">
        <f>IF(OR(OR(OR(OR(OR(ISNUMBER(SEARCH(IF(D$1&lt;&gt;"",D$1,"NA"),'MITRE ATT&amp;CK Mappings'!$E258)),ISNUMBER(SEARCH(IF(D$1&lt;&gt;"",D$1,"NA"),'MITRE ATT&amp;CK Mappings'!$F258))),ISNUMBER(SEARCH(IF(D$2&lt;&gt;"",D$2,"NA"),'MITRE ATT&amp;CK Mappings'!$G258))),ISNUMBER(SEARCH(IF(D$2&lt;&gt;"",D$2,"NA"),'MITRE ATT&amp;CK Mappings'!$H258))),ISNUMBER(SEARCH(IF(D$3&lt;&gt;"",D$3,"NA"),'MITRE ATT&amp;CK Mappings'!$I258))),ISNUMBER(SEARCH(IF(D$3&lt;&gt;"",D$3,"NA"),'MITRE ATT&amp;CK Mappings'!$J258))), 'MITRE ATT&amp;CK Mappings'!$B258,"")</f>
        <v/>
      </c>
      <c r="E262" s="26" t="str">
        <f>IF(OR(OR(OR(OR(OR(ISNUMBER(SEARCH(IF(E$1&lt;&gt;"",E$1,"NA"),'MITRE ATT&amp;CK Mappings'!$E258)),ISNUMBER(SEARCH(IF(E$1&lt;&gt;"",E$1,"NA"),'MITRE ATT&amp;CK Mappings'!$F258))),ISNUMBER(SEARCH(IF(E$2&lt;&gt;"",E$2,"NA"),'MITRE ATT&amp;CK Mappings'!$G258))),ISNUMBER(SEARCH(IF(E$2&lt;&gt;"",E$2,"NA"),'MITRE ATT&amp;CK Mappings'!$H258))),ISNUMBER(SEARCH(IF(E$3&lt;&gt;"",E$3,"NA"),'MITRE ATT&amp;CK Mappings'!$I258))),ISNUMBER(SEARCH(IF(E$3&lt;&gt;"",E$3,"NA"),'MITRE ATT&amp;CK Mappings'!$J258))), 'MITRE ATT&amp;CK Mappings'!$B258,"")</f>
        <v/>
      </c>
      <c r="F262" s="26" t="str">
        <f>IF(OR(OR(OR(OR(OR(ISNUMBER(SEARCH(IF(F$1&lt;&gt;"",F$1,"NA"),'MITRE ATT&amp;CK Mappings'!$E258)),ISNUMBER(SEARCH(IF(F$1&lt;&gt;"",F$1,"NA"),'MITRE ATT&amp;CK Mappings'!$F258))),ISNUMBER(SEARCH(IF(F$2&lt;&gt;"",F$2,"NA"),'MITRE ATT&amp;CK Mappings'!$G258))),ISNUMBER(SEARCH(IF(F$2&lt;&gt;"",F$2,"NA"),'MITRE ATT&amp;CK Mappings'!$H258))),ISNUMBER(SEARCH(IF(F$3&lt;&gt;"",F$3,"NA"),'MITRE ATT&amp;CK Mappings'!$I258))),ISNUMBER(SEARCH(IF(F$3&lt;&gt;"",F$3,"NA"),'MITRE ATT&amp;CK Mappings'!$J258))), 'MITRE ATT&amp;CK Mappings'!$B258,"")</f>
        <v/>
      </c>
      <c r="G262" s="26" t="str">
        <f>IF(OR(OR(OR(OR(OR(ISNUMBER(SEARCH(IF(G$1&lt;&gt;"",G$1,"NA"),'MITRE ATT&amp;CK Mappings'!$E258)),ISNUMBER(SEARCH(IF(G$1&lt;&gt;"",G$1,"NA"),'MITRE ATT&amp;CK Mappings'!$F258))),ISNUMBER(SEARCH(IF(G$2&lt;&gt;"",G$2,"NA"),'MITRE ATT&amp;CK Mappings'!$G258))),ISNUMBER(SEARCH(IF(G$2&lt;&gt;"",G$2,"NA"),'MITRE ATT&amp;CK Mappings'!$H258))),ISNUMBER(SEARCH(IF(G$3&lt;&gt;"",G$3,"NA"),'MITRE ATT&amp;CK Mappings'!$I258))),ISNUMBER(SEARCH(IF(G$3&lt;&gt;"",G$3,"NA"),'MITRE ATT&amp;CK Mappings'!$J258))), 'MITRE ATT&amp;CK Mappings'!$B258,"")</f>
        <v/>
      </c>
      <c r="H262" s="26" t="str">
        <f>IF(OR(OR(OR(OR(OR(ISNUMBER(SEARCH(IF(H$1&lt;&gt;"",H$1,"NA"),'MITRE ATT&amp;CK Mappings'!$E258)),ISNUMBER(SEARCH(IF(H$1&lt;&gt;"",H$1,"NA"),'MITRE ATT&amp;CK Mappings'!$F258))),ISNUMBER(SEARCH(IF(H$2&lt;&gt;"",H$2,"NA"),'MITRE ATT&amp;CK Mappings'!$G258))),ISNUMBER(SEARCH(IF(H$2&lt;&gt;"",H$2,"NA"),'MITRE ATT&amp;CK Mappings'!$H258))),ISNUMBER(SEARCH(IF(H$3&lt;&gt;"",H$3,"NA"),'MITRE ATT&amp;CK Mappings'!$I258))),ISNUMBER(SEARCH(IF(H$3&lt;&gt;"",H$3,"NA"),'MITRE ATT&amp;CK Mappings'!$J258))), 'MITRE ATT&amp;CK Mappings'!$B258,"")</f>
        <v/>
      </c>
      <c r="I262" s="26" t="str">
        <f>IF(OR(OR(OR(OR(OR(ISNUMBER(SEARCH(IF(I$1&lt;&gt;"",I$1,"NA"),'MITRE ATT&amp;CK Mappings'!$E258)),ISNUMBER(SEARCH(IF(I$1&lt;&gt;"",I$1,"NA"),'MITRE ATT&amp;CK Mappings'!$F258))),ISNUMBER(SEARCH(IF(I$2&lt;&gt;"",I$2,"NA"),'MITRE ATT&amp;CK Mappings'!$G258))),ISNUMBER(SEARCH(IF(I$2&lt;&gt;"",I$2,"NA"),'MITRE ATT&amp;CK Mappings'!$H258))),ISNUMBER(SEARCH(IF(I$3&lt;&gt;"",I$3,"NA"),'MITRE ATT&amp;CK Mappings'!$I258))),ISNUMBER(SEARCH(IF(I$3&lt;&gt;"",I$3,"NA"),'MITRE ATT&amp;CK Mappings'!$J258))), 'MITRE ATT&amp;CK Mappings'!$B258,"")</f>
        <v/>
      </c>
      <c r="J262" s="26" t="str">
        <f>IF(OR(OR(OR(OR(OR(ISNUMBER(SEARCH(IF(J$1&lt;&gt;"",J$1,"NA"),'MITRE ATT&amp;CK Mappings'!$E258)),ISNUMBER(SEARCH(IF(J$1&lt;&gt;"",J$1,"NA"),'MITRE ATT&amp;CK Mappings'!$F258))),ISNUMBER(SEARCH(IF(J$2&lt;&gt;"",J$2,"NA"),'MITRE ATT&amp;CK Mappings'!$G258))),ISNUMBER(SEARCH(IF(J$2&lt;&gt;"",J$2,"NA"),'MITRE ATT&amp;CK Mappings'!$H258))),ISNUMBER(SEARCH(IF(J$3&lt;&gt;"",J$3,"NA"),'MITRE ATT&amp;CK Mappings'!$I258))),ISNUMBER(SEARCH(IF(J$3&lt;&gt;"",J$3,"NA"),'MITRE ATT&amp;CK Mappings'!$J258))), 'MITRE ATT&amp;CK Mappings'!$B258,"")</f>
        <v/>
      </c>
      <c r="K262" s="26" t="str">
        <f>IF(OR(OR(OR(OR(OR(ISNUMBER(SEARCH(IF(K$1&lt;&gt;"",K$1,"NA"),'MITRE ATT&amp;CK Mappings'!$E258)),ISNUMBER(SEARCH(IF(K$1&lt;&gt;"",K$1,"NA"),'MITRE ATT&amp;CK Mappings'!$F258))),ISNUMBER(SEARCH(IF(K$2&lt;&gt;"",K$2,"NA"),'MITRE ATT&amp;CK Mappings'!$G258))),ISNUMBER(SEARCH(IF(K$2&lt;&gt;"",K$2,"NA"),'MITRE ATT&amp;CK Mappings'!$H258))),ISNUMBER(SEARCH(IF(K$3&lt;&gt;"",K$3,"NA"),'MITRE ATT&amp;CK Mappings'!$I258))),ISNUMBER(SEARCH(IF(K$3&lt;&gt;"",K$3,"NA"),'MITRE ATT&amp;CK Mappings'!$J258))), 'MITRE ATT&amp;CK Mappings'!$B258,"")</f>
        <v/>
      </c>
      <c r="L262" s="26" t="str">
        <f>IF('MITRE ATT&amp;CK Mappings'!D258 &lt;&gt;"",'MITRE ATT&amp;CK Mappings'!D258,"" )</f>
        <v/>
      </c>
    </row>
    <row r="263" spans="1:12" x14ac:dyDescent="0.25">
      <c r="A263" s="27" t="str">
        <f>IF(COUNTIF(B263:K263,"="&amp;'MITRE ATT&amp;CK Mappings'!B259)&gt;0,'MITRE ATT&amp;CK Mappings'!B259,"")</f>
        <v/>
      </c>
      <c r="B263" s="27" t="str">
        <f>IF(OR(OR(OR(OR(OR(ISNUMBER(SEARCH(IF(B$1&lt;&gt;"",B$1,"NA"),'MITRE ATT&amp;CK Mappings'!$E259)),ISNUMBER(SEARCH(IF(B$1&lt;&gt;"",B$1,"NA"),'MITRE ATT&amp;CK Mappings'!$F259))),ISNUMBER(SEARCH(IF(B$2&lt;&gt;"",B$2,"NA"),'MITRE ATT&amp;CK Mappings'!$G259))),ISNUMBER(SEARCH(IF(B$2&lt;&gt;"",B$2,"NA"),'MITRE ATT&amp;CK Mappings'!$H259))),ISNUMBER(SEARCH(IF(B$3&lt;&gt;"",B$3,"NA"),'MITRE ATT&amp;CK Mappings'!$I259))),ISNUMBER(SEARCH(IF(B$3&lt;&gt;"",B$3,"NA"),'MITRE ATT&amp;CK Mappings'!$J259))), 'MITRE ATT&amp;CK Mappings'!$B259,"")</f>
        <v/>
      </c>
      <c r="C263" s="27" t="str">
        <f>IF(OR(OR(OR(OR(OR(ISNUMBER(SEARCH(IF(C$1&lt;&gt;"",C$1,"NA"),'MITRE ATT&amp;CK Mappings'!$E259)),ISNUMBER(SEARCH(IF(C$1&lt;&gt;"",C$1,"NA"),'MITRE ATT&amp;CK Mappings'!$F259))),ISNUMBER(SEARCH(IF(C$2&lt;&gt;"",C$2,"NA"),'MITRE ATT&amp;CK Mappings'!$G259))),ISNUMBER(SEARCH(IF(C$2&lt;&gt;"",C$2,"NA"),'MITRE ATT&amp;CK Mappings'!$H259))),ISNUMBER(SEARCH(IF(C$3&lt;&gt;"",C$3,"NA"),'MITRE ATT&amp;CK Mappings'!$I259))),ISNUMBER(SEARCH(IF(C$3&lt;&gt;"",C$3,"NA"),'MITRE ATT&amp;CK Mappings'!$J259))), 'MITRE ATT&amp;CK Mappings'!$B259,"")</f>
        <v/>
      </c>
      <c r="D263" s="27" t="str">
        <f>IF(OR(OR(OR(OR(OR(ISNUMBER(SEARCH(IF(D$1&lt;&gt;"",D$1,"NA"),'MITRE ATT&amp;CK Mappings'!$E259)),ISNUMBER(SEARCH(IF(D$1&lt;&gt;"",D$1,"NA"),'MITRE ATT&amp;CK Mappings'!$F259))),ISNUMBER(SEARCH(IF(D$2&lt;&gt;"",D$2,"NA"),'MITRE ATT&amp;CK Mappings'!$G259))),ISNUMBER(SEARCH(IF(D$2&lt;&gt;"",D$2,"NA"),'MITRE ATT&amp;CK Mappings'!$H259))),ISNUMBER(SEARCH(IF(D$3&lt;&gt;"",D$3,"NA"),'MITRE ATT&amp;CK Mappings'!$I259))),ISNUMBER(SEARCH(IF(D$3&lt;&gt;"",D$3,"NA"),'MITRE ATT&amp;CK Mappings'!$J259))), 'MITRE ATT&amp;CK Mappings'!$B259,"")</f>
        <v/>
      </c>
      <c r="E263" s="27" t="str">
        <f>IF(OR(OR(OR(OR(OR(ISNUMBER(SEARCH(IF(E$1&lt;&gt;"",E$1,"NA"),'MITRE ATT&amp;CK Mappings'!$E259)),ISNUMBER(SEARCH(IF(E$1&lt;&gt;"",E$1,"NA"),'MITRE ATT&amp;CK Mappings'!$F259))),ISNUMBER(SEARCH(IF(E$2&lt;&gt;"",E$2,"NA"),'MITRE ATT&amp;CK Mappings'!$G259))),ISNUMBER(SEARCH(IF(E$2&lt;&gt;"",E$2,"NA"),'MITRE ATT&amp;CK Mappings'!$H259))),ISNUMBER(SEARCH(IF(E$3&lt;&gt;"",E$3,"NA"),'MITRE ATT&amp;CK Mappings'!$I259))),ISNUMBER(SEARCH(IF(E$3&lt;&gt;"",E$3,"NA"),'MITRE ATT&amp;CK Mappings'!$J259))), 'MITRE ATT&amp;CK Mappings'!$B259,"")</f>
        <v/>
      </c>
      <c r="F263" s="27" t="str">
        <f>IF(OR(OR(OR(OR(OR(ISNUMBER(SEARCH(IF(F$1&lt;&gt;"",F$1,"NA"),'MITRE ATT&amp;CK Mappings'!$E259)),ISNUMBER(SEARCH(IF(F$1&lt;&gt;"",F$1,"NA"),'MITRE ATT&amp;CK Mappings'!$F259))),ISNUMBER(SEARCH(IF(F$2&lt;&gt;"",F$2,"NA"),'MITRE ATT&amp;CK Mappings'!$G259))),ISNUMBER(SEARCH(IF(F$2&lt;&gt;"",F$2,"NA"),'MITRE ATT&amp;CK Mappings'!$H259))),ISNUMBER(SEARCH(IF(F$3&lt;&gt;"",F$3,"NA"),'MITRE ATT&amp;CK Mappings'!$I259))),ISNUMBER(SEARCH(IF(F$3&lt;&gt;"",F$3,"NA"),'MITRE ATT&amp;CK Mappings'!$J259))), 'MITRE ATT&amp;CK Mappings'!$B259,"")</f>
        <v/>
      </c>
      <c r="G263" s="27" t="str">
        <f>IF(OR(OR(OR(OR(OR(ISNUMBER(SEARCH(IF(G$1&lt;&gt;"",G$1,"NA"),'MITRE ATT&amp;CK Mappings'!$E259)),ISNUMBER(SEARCH(IF(G$1&lt;&gt;"",G$1,"NA"),'MITRE ATT&amp;CK Mappings'!$F259))),ISNUMBER(SEARCH(IF(G$2&lt;&gt;"",G$2,"NA"),'MITRE ATT&amp;CK Mappings'!$G259))),ISNUMBER(SEARCH(IF(G$2&lt;&gt;"",G$2,"NA"),'MITRE ATT&amp;CK Mappings'!$H259))),ISNUMBER(SEARCH(IF(G$3&lt;&gt;"",G$3,"NA"),'MITRE ATT&amp;CK Mappings'!$I259))),ISNUMBER(SEARCH(IF(G$3&lt;&gt;"",G$3,"NA"),'MITRE ATT&amp;CK Mappings'!$J259))), 'MITRE ATT&amp;CK Mappings'!$B259,"")</f>
        <v/>
      </c>
      <c r="H263" s="27" t="str">
        <f>IF(OR(OR(OR(OR(OR(ISNUMBER(SEARCH(IF(H$1&lt;&gt;"",H$1,"NA"),'MITRE ATT&amp;CK Mappings'!$E259)),ISNUMBER(SEARCH(IF(H$1&lt;&gt;"",H$1,"NA"),'MITRE ATT&amp;CK Mappings'!$F259))),ISNUMBER(SEARCH(IF(H$2&lt;&gt;"",H$2,"NA"),'MITRE ATT&amp;CK Mappings'!$G259))),ISNUMBER(SEARCH(IF(H$2&lt;&gt;"",H$2,"NA"),'MITRE ATT&amp;CK Mappings'!$H259))),ISNUMBER(SEARCH(IF(H$3&lt;&gt;"",H$3,"NA"),'MITRE ATT&amp;CK Mappings'!$I259))),ISNUMBER(SEARCH(IF(H$3&lt;&gt;"",H$3,"NA"),'MITRE ATT&amp;CK Mappings'!$J259))), 'MITRE ATT&amp;CK Mappings'!$B259,"")</f>
        <v/>
      </c>
      <c r="I263" s="27" t="str">
        <f>IF(OR(OR(OR(OR(OR(ISNUMBER(SEARCH(IF(I$1&lt;&gt;"",I$1,"NA"),'MITRE ATT&amp;CK Mappings'!$E259)),ISNUMBER(SEARCH(IF(I$1&lt;&gt;"",I$1,"NA"),'MITRE ATT&amp;CK Mappings'!$F259))),ISNUMBER(SEARCH(IF(I$2&lt;&gt;"",I$2,"NA"),'MITRE ATT&amp;CK Mappings'!$G259))),ISNUMBER(SEARCH(IF(I$2&lt;&gt;"",I$2,"NA"),'MITRE ATT&amp;CK Mappings'!$H259))),ISNUMBER(SEARCH(IF(I$3&lt;&gt;"",I$3,"NA"),'MITRE ATT&amp;CK Mappings'!$I259))),ISNUMBER(SEARCH(IF(I$3&lt;&gt;"",I$3,"NA"),'MITRE ATT&amp;CK Mappings'!$J259))), 'MITRE ATT&amp;CK Mappings'!$B259,"")</f>
        <v/>
      </c>
      <c r="J263" s="27" t="str">
        <f>IF(OR(OR(OR(OR(OR(ISNUMBER(SEARCH(IF(J$1&lt;&gt;"",J$1,"NA"),'MITRE ATT&amp;CK Mappings'!$E259)),ISNUMBER(SEARCH(IF(J$1&lt;&gt;"",J$1,"NA"),'MITRE ATT&amp;CK Mappings'!$F259))),ISNUMBER(SEARCH(IF(J$2&lt;&gt;"",J$2,"NA"),'MITRE ATT&amp;CK Mappings'!$G259))),ISNUMBER(SEARCH(IF(J$2&lt;&gt;"",J$2,"NA"),'MITRE ATT&amp;CK Mappings'!$H259))),ISNUMBER(SEARCH(IF(J$3&lt;&gt;"",J$3,"NA"),'MITRE ATT&amp;CK Mappings'!$I259))),ISNUMBER(SEARCH(IF(J$3&lt;&gt;"",J$3,"NA"),'MITRE ATT&amp;CK Mappings'!$J259))), 'MITRE ATT&amp;CK Mappings'!$B259,"")</f>
        <v/>
      </c>
      <c r="K263" s="27" t="str">
        <f>IF(OR(OR(OR(OR(OR(ISNUMBER(SEARCH(IF(K$1&lt;&gt;"",K$1,"NA"),'MITRE ATT&amp;CK Mappings'!$E259)),ISNUMBER(SEARCH(IF(K$1&lt;&gt;"",K$1,"NA"),'MITRE ATT&amp;CK Mappings'!$F259))),ISNUMBER(SEARCH(IF(K$2&lt;&gt;"",K$2,"NA"),'MITRE ATT&amp;CK Mappings'!$G259))),ISNUMBER(SEARCH(IF(K$2&lt;&gt;"",K$2,"NA"),'MITRE ATT&amp;CK Mappings'!$H259))),ISNUMBER(SEARCH(IF(K$3&lt;&gt;"",K$3,"NA"),'MITRE ATT&amp;CK Mappings'!$I259))),ISNUMBER(SEARCH(IF(K$3&lt;&gt;"",K$3,"NA"),'MITRE ATT&amp;CK Mappings'!$J259))), 'MITRE ATT&amp;CK Mappings'!$B259,"")</f>
        <v/>
      </c>
      <c r="L263" s="27" t="str">
        <f>IF('MITRE ATT&amp;CK Mappings'!D259 &lt;&gt;"",'MITRE ATT&amp;CK Mappings'!D259,"" )</f>
        <v/>
      </c>
    </row>
    <row r="264" spans="1:12" x14ac:dyDescent="0.25">
      <c r="A264" s="26" t="str">
        <f>IF(COUNTIF(B264:K264,"="&amp;'MITRE ATT&amp;CK Mappings'!B260)&gt;0,'MITRE ATT&amp;CK Mappings'!B260,"")</f>
        <v/>
      </c>
      <c r="B264" s="26" t="str">
        <f>IF(OR(OR(OR(OR(OR(ISNUMBER(SEARCH(IF(B$1&lt;&gt;"",B$1,"NA"),'MITRE ATT&amp;CK Mappings'!$E260)),ISNUMBER(SEARCH(IF(B$1&lt;&gt;"",B$1,"NA"),'MITRE ATT&amp;CK Mappings'!$F260))),ISNUMBER(SEARCH(IF(B$2&lt;&gt;"",B$2,"NA"),'MITRE ATT&amp;CK Mappings'!$G260))),ISNUMBER(SEARCH(IF(B$2&lt;&gt;"",B$2,"NA"),'MITRE ATT&amp;CK Mappings'!$H260))),ISNUMBER(SEARCH(IF(B$3&lt;&gt;"",B$3,"NA"),'MITRE ATT&amp;CK Mappings'!$I260))),ISNUMBER(SEARCH(IF(B$3&lt;&gt;"",B$3,"NA"),'MITRE ATT&amp;CK Mappings'!$J260))), 'MITRE ATT&amp;CK Mappings'!$B260,"")</f>
        <v/>
      </c>
      <c r="C264" s="26" t="str">
        <f>IF(OR(OR(OR(OR(OR(ISNUMBER(SEARCH(IF(C$1&lt;&gt;"",C$1,"NA"),'MITRE ATT&amp;CK Mappings'!$E260)),ISNUMBER(SEARCH(IF(C$1&lt;&gt;"",C$1,"NA"),'MITRE ATT&amp;CK Mappings'!$F260))),ISNUMBER(SEARCH(IF(C$2&lt;&gt;"",C$2,"NA"),'MITRE ATT&amp;CK Mappings'!$G260))),ISNUMBER(SEARCH(IF(C$2&lt;&gt;"",C$2,"NA"),'MITRE ATT&amp;CK Mappings'!$H260))),ISNUMBER(SEARCH(IF(C$3&lt;&gt;"",C$3,"NA"),'MITRE ATT&amp;CK Mappings'!$I260))),ISNUMBER(SEARCH(IF(C$3&lt;&gt;"",C$3,"NA"),'MITRE ATT&amp;CK Mappings'!$J260))), 'MITRE ATT&amp;CK Mappings'!$B260,"")</f>
        <v/>
      </c>
      <c r="D264" s="26" t="str">
        <f>IF(OR(OR(OR(OR(OR(ISNUMBER(SEARCH(IF(D$1&lt;&gt;"",D$1,"NA"),'MITRE ATT&amp;CK Mappings'!$E260)),ISNUMBER(SEARCH(IF(D$1&lt;&gt;"",D$1,"NA"),'MITRE ATT&amp;CK Mappings'!$F260))),ISNUMBER(SEARCH(IF(D$2&lt;&gt;"",D$2,"NA"),'MITRE ATT&amp;CK Mappings'!$G260))),ISNUMBER(SEARCH(IF(D$2&lt;&gt;"",D$2,"NA"),'MITRE ATT&amp;CK Mappings'!$H260))),ISNUMBER(SEARCH(IF(D$3&lt;&gt;"",D$3,"NA"),'MITRE ATT&amp;CK Mappings'!$I260))),ISNUMBER(SEARCH(IF(D$3&lt;&gt;"",D$3,"NA"),'MITRE ATT&amp;CK Mappings'!$J260))), 'MITRE ATT&amp;CK Mappings'!$B260,"")</f>
        <v/>
      </c>
      <c r="E264" s="26" t="str">
        <f>IF(OR(OR(OR(OR(OR(ISNUMBER(SEARCH(IF(E$1&lt;&gt;"",E$1,"NA"),'MITRE ATT&amp;CK Mappings'!$E260)),ISNUMBER(SEARCH(IF(E$1&lt;&gt;"",E$1,"NA"),'MITRE ATT&amp;CK Mappings'!$F260))),ISNUMBER(SEARCH(IF(E$2&lt;&gt;"",E$2,"NA"),'MITRE ATT&amp;CK Mappings'!$G260))),ISNUMBER(SEARCH(IF(E$2&lt;&gt;"",E$2,"NA"),'MITRE ATT&amp;CK Mappings'!$H260))),ISNUMBER(SEARCH(IF(E$3&lt;&gt;"",E$3,"NA"),'MITRE ATT&amp;CK Mappings'!$I260))),ISNUMBER(SEARCH(IF(E$3&lt;&gt;"",E$3,"NA"),'MITRE ATT&amp;CK Mappings'!$J260))), 'MITRE ATT&amp;CK Mappings'!$B260,"")</f>
        <v/>
      </c>
      <c r="F264" s="26" t="str">
        <f>IF(OR(OR(OR(OR(OR(ISNUMBER(SEARCH(IF(F$1&lt;&gt;"",F$1,"NA"),'MITRE ATT&amp;CK Mappings'!$E260)),ISNUMBER(SEARCH(IF(F$1&lt;&gt;"",F$1,"NA"),'MITRE ATT&amp;CK Mappings'!$F260))),ISNUMBER(SEARCH(IF(F$2&lt;&gt;"",F$2,"NA"),'MITRE ATT&amp;CK Mappings'!$G260))),ISNUMBER(SEARCH(IF(F$2&lt;&gt;"",F$2,"NA"),'MITRE ATT&amp;CK Mappings'!$H260))),ISNUMBER(SEARCH(IF(F$3&lt;&gt;"",F$3,"NA"),'MITRE ATT&amp;CK Mappings'!$I260))),ISNUMBER(SEARCH(IF(F$3&lt;&gt;"",F$3,"NA"),'MITRE ATT&amp;CK Mappings'!$J260))), 'MITRE ATT&amp;CK Mappings'!$B260,"")</f>
        <v/>
      </c>
      <c r="G264" s="26" t="str">
        <f>IF(OR(OR(OR(OR(OR(ISNUMBER(SEARCH(IF(G$1&lt;&gt;"",G$1,"NA"),'MITRE ATT&amp;CK Mappings'!$E260)),ISNUMBER(SEARCH(IF(G$1&lt;&gt;"",G$1,"NA"),'MITRE ATT&amp;CK Mappings'!$F260))),ISNUMBER(SEARCH(IF(G$2&lt;&gt;"",G$2,"NA"),'MITRE ATT&amp;CK Mappings'!$G260))),ISNUMBER(SEARCH(IF(G$2&lt;&gt;"",G$2,"NA"),'MITRE ATT&amp;CK Mappings'!$H260))),ISNUMBER(SEARCH(IF(G$3&lt;&gt;"",G$3,"NA"),'MITRE ATT&amp;CK Mappings'!$I260))),ISNUMBER(SEARCH(IF(G$3&lt;&gt;"",G$3,"NA"),'MITRE ATT&amp;CK Mappings'!$J260))), 'MITRE ATT&amp;CK Mappings'!$B260,"")</f>
        <v/>
      </c>
      <c r="H264" s="26" t="str">
        <f>IF(OR(OR(OR(OR(OR(ISNUMBER(SEARCH(IF(H$1&lt;&gt;"",H$1,"NA"),'MITRE ATT&amp;CK Mappings'!$E260)),ISNUMBER(SEARCH(IF(H$1&lt;&gt;"",H$1,"NA"),'MITRE ATT&amp;CK Mappings'!$F260))),ISNUMBER(SEARCH(IF(H$2&lt;&gt;"",H$2,"NA"),'MITRE ATT&amp;CK Mappings'!$G260))),ISNUMBER(SEARCH(IF(H$2&lt;&gt;"",H$2,"NA"),'MITRE ATT&amp;CK Mappings'!$H260))),ISNUMBER(SEARCH(IF(H$3&lt;&gt;"",H$3,"NA"),'MITRE ATT&amp;CK Mappings'!$I260))),ISNUMBER(SEARCH(IF(H$3&lt;&gt;"",H$3,"NA"),'MITRE ATT&amp;CK Mappings'!$J260))), 'MITRE ATT&amp;CK Mappings'!$B260,"")</f>
        <v/>
      </c>
      <c r="I264" s="26" t="str">
        <f>IF(OR(OR(OR(OR(OR(ISNUMBER(SEARCH(IF(I$1&lt;&gt;"",I$1,"NA"),'MITRE ATT&amp;CK Mappings'!$E260)),ISNUMBER(SEARCH(IF(I$1&lt;&gt;"",I$1,"NA"),'MITRE ATT&amp;CK Mappings'!$F260))),ISNUMBER(SEARCH(IF(I$2&lt;&gt;"",I$2,"NA"),'MITRE ATT&amp;CK Mappings'!$G260))),ISNUMBER(SEARCH(IF(I$2&lt;&gt;"",I$2,"NA"),'MITRE ATT&amp;CK Mappings'!$H260))),ISNUMBER(SEARCH(IF(I$3&lt;&gt;"",I$3,"NA"),'MITRE ATT&amp;CK Mappings'!$I260))),ISNUMBER(SEARCH(IF(I$3&lt;&gt;"",I$3,"NA"),'MITRE ATT&amp;CK Mappings'!$J260))), 'MITRE ATT&amp;CK Mappings'!$B260,"")</f>
        <v/>
      </c>
      <c r="J264" s="26" t="str">
        <f>IF(OR(OR(OR(OR(OR(ISNUMBER(SEARCH(IF(J$1&lt;&gt;"",J$1,"NA"),'MITRE ATT&amp;CK Mappings'!$E260)),ISNUMBER(SEARCH(IF(J$1&lt;&gt;"",J$1,"NA"),'MITRE ATT&amp;CK Mappings'!$F260))),ISNUMBER(SEARCH(IF(J$2&lt;&gt;"",J$2,"NA"),'MITRE ATT&amp;CK Mappings'!$G260))),ISNUMBER(SEARCH(IF(J$2&lt;&gt;"",J$2,"NA"),'MITRE ATT&amp;CK Mappings'!$H260))),ISNUMBER(SEARCH(IF(J$3&lt;&gt;"",J$3,"NA"),'MITRE ATT&amp;CK Mappings'!$I260))),ISNUMBER(SEARCH(IF(J$3&lt;&gt;"",J$3,"NA"),'MITRE ATT&amp;CK Mappings'!$J260))), 'MITRE ATT&amp;CK Mappings'!$B260,"")</f>
        <v/>
      </c>
      <c r="K264" s="26" t="str">
        <f>IF(OR(OR(OR(OR(OR(ISNUMBER(SEARCH(IF(K$1&lt;&gt;"",K$1,"NA"),'MITRE ATT&amp;CK Mappings'!$E260)),ISNUMBER(SEARCH(IF(K$1&lt;&gt;"",K$1,"NA"),'MITRE ATT&amp;CK Mappings'!$F260))),ISNUMBER(SEARCH(IF(K$2&lt;&gt;"",K$2,"NA"),'MITRE ATT&amp;CK Mappings'!$G260))),ISNUMBER(SEARCH(IF(K$2&lt;&gt;"",K$2,"NA"),'MITRE ATT&amp;CK Mappings'!$H260))),ISNUMBER(SEARCH(IF(K$3&lt;&gt;"",K$3,"NA"),'MITRE ATT&amp;CK Mappings'!$I260))),ISNUMBER(SEARCH(IF(K$3&lt;&gt;"",K$3,"NA"),'MITRE ATT&amp;CK Mappings'!$J260))), 'MITRE ATT&amp;CK Mappings'!$B260,"")</f>
        <v/>
      </c>
      <c r="L264" s="26" t="str">
        <f>IF('MITRE ATT&amp;CK Mappings'!D260 &lt;&gt;"",'MITRE ATT&amp;CK Mappings'!D260,"" )</f>
        <v/>
      </c>
    </row>
    <row r="265" spans="1:12" x14ac:dyDescent="0.25">
      <c r="A265" s="27" t="str">
        <f>IF(COUNTIF(B265:K265,"="&amp;'MITRE ATT&amp;CK Mappings'!B261)&gt;0,'MITRE ATT&amp;CK Mappings'!B261,"")</f>
        <v/>
      </c>
      <c r="B265" s="27" t="str">
        <f>IF(OR(OR(OR(OR(OR(ISNUMBER(SEARCH(IF(B$1&lt;&gt;"",B$1,"NA"),'MITRE ATT&amp;CK Mappings'!$E261)),ISNUMBER(SEARCH(IF(B$1&lt;&gt;"",B$1,"NA"),'MITRE ATT&amp;CK Mappings'!$F261))),ISNUMBER(SEARCH(IF(B$2&lt;&gt;"",B$2,"NA"),'MITRE ATT&amp;CK Mappings'!$G261))),ISNUMBER(SEARCH(IF(B$2&lt;&gt;"",B$2,"NA"),'MITRE ATT&amp;CK Mappings'!$H261))),ISNUMBER(SEARCH(IF(B$3&lt;&gt;"",B$3,"NA"),'MITRE ATT&amp;CK Mappings'!$I261))),ISNUMBER(SEARCH(IF(B$3&lt;&gt;"",B$3,"NA"),'MITRE ATT&amp;CK Mappings'!$J261))), 'MITRE ATT&amp;CK Mappings'!$B261,"")</f>
        <v/>
      </c>
      <c r="C265" s="27" t="str">
        <f>IF(OR(OR(OR(OR(OR(ISNUMBER(SEARCH(IF(C$1&lt;&gt;"",C$1,"NA"),'MITRE ATT&amp;CK Mappings'!$E261)),ISNUMBER(SEARCH(IF(C$1&lt;&gt;"",C$1,"NA"),'MITRE ATT&amp;CK Mappings'!$F261))),ISNUMBER(SEARCH(IF(C$2&lt;&gt;"",C$2,"NA"),'MITRE ATT&amp;CK Mappings'!$G261))),ISNUMBER(SEARCH(IF(C$2&lt;&gt;"",C$2,"NA"),'MITRE ATT&amp;CK Mappings'!$H261))),ISNUMBER(SEARCH(IF(C$3&lt;&gt;"",C$3,"NA"),'MITRE ATT&amp;CK Mappings'!$I261))),ISNUMBER(SEARCH(IF(C$3&lt;&gt;"",C$3,"NA"),'MITRE ATT&amp;CK Mappings'!$J261))), 'MITRE ATT&amp;CK Mappings'!$B261,"")</f>
        <v/>
      </c>
      <c r="D265" s="27" t="str">
        <f>IF(OR(OR(OR(OR(OR(ISNUMBER(SEARCH(IF(D$1&lt;&gt;"",D$1,"NA"),'MITRE ATT&amp;CK Mappings'!$E261)),ISNUMBER(SEARCH(IF(D$1&lt;&gt;"",D$1,"NA"),'MITRE ATT&amp;CK Mappings'!$F261))),ISNUMBER(SEARCH(IF(D$2&lt;&gt;"",D$2,"NA"),'MITRE ATT&amp;CK Mappings'!$G261))),ISNUMBER(SEARCH(IF(D$2&lt;&gt;"",D$2,"NA"),'MITRE ATT&amp;CK Mappings'!$H261))),ISNUMBER(SEARCH(IF(D$3&lt;&gt;"",D$3,"NA"),'MITRE ATT&amp;CK Mappings'!$I261))),ISNUMBER(SEARCH(IF(D$3&lt;&gt;"",D$3,"NA"),'MITRE ATT&amp;CK Mappings'!$J261))), 'MITRE ATT&amp;CK Mappings'!$B261,"")</f>
        <v/>
      </c>
      <c r="E265" s="27" t="str">
        <f>IF(OR(OR(OR(OR(OR(ISNUMBER(SEARCH(IF(E$1&lt;&gt;"",E$1,"NA"),'MITRE ATT&amp;CK Mappings'!$E261)),ISNUMBER(SEARCH(IF(E$1&lt;&gt;"",E$1,"NA"),'MITRE ATT&amp;CK Mappings'!$F261))),ISNUMBER(SEARCH(IF(E$2&lt;&gt;"",E$2,"NA"),'MITRE ATT&amp;CK Mappings'!$G261))),ISNUMBER(SEARCH(IF(E$2&lt;&gt;"",E$2,"NA"),'MITRE ATT&amp;CK Mappings'!$H261))),ISNUMBER(SEARCH(IF(E$3&lt;&gt;"",E$3,"NA"),'MITRE ATT&amp;CK Mappings'!$I261))),ISNUMBER(SEARCH(IF(E$3&lt;&gt;"",E$3,"NA"),'MITRE ATT&amp;CK Mappings'!$J261))), 'MITRE ATT&amp;CK Mappings'!$B261,"")</f>
        <v/>
      </c>
      <c r="F265" s="27" t="str">
        <f>IF(OR(OR(OR(OR(OR(ISNUMBER(SEARCH(IF(F$1&lt;&gt;"",F$1,"NA"),'MITRE ATT&amp;CK Mappings'!$E261)),ISNUMBER(SEARCH(IF(F$1&lt;&gt;"",F$1,"NA"),'MITRE ATT&amp;CK Mappings'!$F261))),ISNUMBER(SEARCH(IF(F$2&lt;&gt;"",F$2,"NA"),'MITRE ATT&amp;CK Mappings'!$G261))),ISNUMBER(SEARCH(IF(F$2&lt;&gt;"",F$2,"NA"),'MITRE ATT&amp;CK Mappings'!$H261))),ISNUMBER(SEARCH(IF(F$3&lt;&gt;"",F$3,"NA"),'MITRE ATT&amp;CK Mappings'!$I261))),ISNUMBER(SEARCH(IF(F$3&lt;&gt;"",F$3,"NA"),'MITRE ATT&amp;CK Mappings'!$J261))), 'MITRE ATT&amp;CK Mappings'!$B261,"")</f>
        <v/>
      </c>
      <c r="G265" s="27" t="str">
        <f>IF(OR(OR(OR(OR(OR(ISNUMBER(SEARCH(IF(G$1&lt;&gt;"",G$1,"NA"),'MITRE ATT&amp;CK Mappings'!$E261)),ISNUMBER(SEARCH(IF(G$1&lt;&gt;"",G$1,"NA"),'MITRE ATT&amp;CK Mappings'!$F261))),ISNUMBER(SEARCH(IF(G$2&lt;&gt;"",G$2,"NA"),'MITRE ATT&amp;CK Mappings'!$G261))),ISNUMBER(SEARCH(IF(G$2&lt;&gt;"",G$2,"NA"),'MITRE ATT&amp;CK Mappings'!$H261))),ISNUMBER(SEARCH(IF(G$3&lt;&gt;"",G$3,"NA"),'MITRE ATT&amp;CK Mappings'!$I261))),ISNUMBER(SEARCH(IF(G$3&lt;&gt;"",G$3,"NA"),'MITRE ATT&amp;CK Mappings'!$J261))), 'MITRE ATT&amp;CK Mappings'!$B261,"")</f>
        <v/>
      </c>
      <c r="H265" s="27" t="str">
        <f>IF(OR(OR(OR(OR(OR(ISNUMBER(SEARCH(IF(H$1&lt;&gt;"",H$1,"NA"),'MITRE ATT&amp;CK Mappings'!$E261)),ISNUMBER(SEARCH(IF(H$1&lt;&gt;"",H$1,"NA"),'MITRE ATT&amp;CK Mappings'!$F261))),ISNUMBER(SEARCH(IF(H$2&lt;&gt;"",H$2,"NA"),'MITRE ATT&amp;CK Mappings'!$G261))),ISNUMBER(SEARCH(IF(H$2&lt;&gt;"",H$2,"NA"),'MITRE ATT&amp;CK Mappings'!$H261))),ISNUMBER(SEARCH(IF(H$3&lt;&gt;"",H$3,"NA"),'MITRE ATT&amp;CK Mappings'!$I261))),ISNUMBER(SEARCH(IF(H$3&lt;&gt;"",H$3,"NA"),'MITRE ATT&amp;CK Mappings'!$J261))), 'MITRE ATT&amp;CK Mappings'!$B261,"")</f>
        <v/>
      </c>
      <c r="I265" s="27" t="str">
        <f>IF(OR(OR(OR(OR(OR(ISNUMBER(SEARCH(IF(I$1&lt;&gt;"",I$1,"NA"),'MITRE ATT&amp;CK Mappings'!$E261)),ISNUMBER(SEARCH(IF(I$1&lt;&gt;"",I$1,"NA"),'MITRE ATT&amp;CK Mappings'!$F261))),ISNUMBER(SEARCH(IF(I$2&lt;&gt;"",I$2,"NA"),'MITRE ATT&amp;CK Mappings'!$G261))),ISNUMBER(SEARCH(IF(I$2&lt;&gt;"",I$2,"NA"),'MITRE ATT&amp;CK Mappings'!$H261))),ISNUMBER(SEARCH(IF(I$3&lt;&gt;"",I$3,"NA"),'MITRE ATT&amp;CK Mappings'!$I261))),ISNUMBER(SEARCH(IF(I$3&lt;&gt;"",I$3,"NA"),'MITRE ATT&amp;CK Mappings'!$J261))), 'MITRE ATT&amp;CK Mappings'!$B261,"")</f>
        <v/>
      </c>
      <c r="J265" s="27" t="str">
        <f>IF(OR(OR(OR(OR(OR(ISNUMBER(SEARCH(IF(J$1&lt;&gt;"",J$1,"NA"),'MITRE ATT&amp;CK Mappings'!$E261)),ISNUMBER(SEARCH(IF(J$1&lt;&gt;"",J$1,"NA"),'MITRE ATT&amp;CK Mappings'!$F261))),ISNUMBER(SEARCH(IF(J$2&lt;&gt;"",J$2,"NA"),'MITRE ATT&amp;CK Mappings'!$G261))),ISNUMBER(SEARCH(IF(J$2&lt;&gt;"",J$2,"NA"),'MITRE ATT&amp;CK Mappings'!$H261))),ISNUMBER(SEARCH(IF(J$3&lt;&gt;"",J$3,"NA"),'MITRE ATT&amp;CK Mappings'!$I261))),ISNUMBER(SEARCH(IF(J$3&lt;&gt;"",J$3,"NA"),'MITRE ATT&amp;CK Mappings'!$J261))), 'MITRE ATT&amp;CK Mappings'!$B261,"")</f>
        <v/>
      </c>
      <c r="K265" s="27" t="str">
        <f>IF(OR(OR(OR(OR(OR(ISNUMBER(SEARCH(IF(K$1&lt;&gt;"",K$1,"NA"),'MITRE ATT&amp;CK Mappings'!$E261)),ISNUMBER(SEARCH(IF(K$1&lt;&gt;"",K$1,"NA"),'MITRE ATT&amp;CK Mappings'!$F261))),ISNUMBER(SEARCH(IF(K$2&lt;&gt;"",K$2,"NA"),'MITRE ATT&amp;CK Mappings'!$G261))),ISNUMBER(SEARCH(IF(K$2&lt;&gt;"",K$2,"NA"),'MITRE ATT&amp;CK Mappings'!$H261))),ISNUMBER(SEARCH(IF(K$3&lt;&gt;"",K$3,"NA"),'MITRE ATT&amp;CK Mappings'!$I261))),ISNUMBER(SEARCH(IF(K$3&lt;&gt;"",K$3,"NA"),'MITRE ATT&amp;CK Mappings'!$J261))), 'MITRE ATT&amp;CK Mappings'!$B261,"")</f>
        <v/>
      </c>
      <c r="L265" s="27" t="str">
        <f>IF('MITRE ATT&amp;CK Mappings'!D261 &lt;&gt;"",'MITRE ATT&amp;CK Mappings'!D261,"" )</f>
        <v/>
      </c>
    </row>
    <row r="266" spans="1:12" x14ac:dyDescent="0.25">
      <c r="A266" s="26" t="str">
        <f>IF(COUNTIF(B266:K266,"="&amp;'MITRE ATT&amp;CK Mappings'!B262)&gt;0,'MITRE ATT&amp;CK Mappings'!B262,"")</f>
        <v/>
      </c>
      <c r="B266" s="26" t="str">
        <f>IF(OR(OR(OR(OR(OR(ISNUMBER(SEARCH(IF(B$1&lt;&gt;"",B$1,"NA"),'MITRE ATT&amp;CK Mappings'!$E262)),ISNUMBER(SEARCH(IF(B$1&lt;&gt;"",B$1,"NA"),'MITRE ATT&amp;CK Mappings'!$F262))),ISNUMBER(SEARCH(IF(B$2&lt;&gt;"",B$2,"NA"),'MITRE ATT&amp;CK Mappings'!$G262))),ISNUMBER(SEARCH(IF(B$2&lt;&gt;"",B$2,"NA"),'MITRE ATT&amp;CK Mappings'!$H262))),ISNUMBER(SEARCH(IF(B$3&lt;&gt;"",B$3,"NA"),'MITRE ATT&amp;CK Mappings'!$I262))),ISNUMBER(SEARCH(IF(B$3&lt;&gt;"",B$3,"NA"),'MITRE ATT&amp;CK Mappings'!$J262))), 'MITRE ATT&amp;CK Mappings'!$B262,"")</f>
        <v/>
      </c>
      <c r="C266" s="26" t="str">
        <f>IF(OR(OR(OR(OR(OR(ISNUMBER(SEARCH(IF(C$1&lt;&gt;"",C$1,"NA"),'MITRE ATT&amp;CK Mappings'!$E262)),ISNUMBER(SEARCH(IF(C$1&lt;&gt;"",C$1,"NA"),'MITRE ATT&amp;CK Mappings'!$F262))),ISNUMBER(SEARCH(IF(C$2&lt;&gt;"",C$2,"NA"),'MITRE ATT&amp;CK Mappings'!$G262))),ISNUMBER(SEARCH(IF(C$2&lt;&gt;"",C$2,"NA"),'MITRE ATT&amp;CK Mappings'!$H262))),ISNUMBER(SEARCH(IF(C$3&lt;&gt;"",C$3,"NA"),'MITRE ATT&amp;CK Mappings'!$I262))),ISNUMBER(SEARCH(IF(C$3&lt;&gt;"",C$3,"NA"),'MITRE ATT&amp;CK Mappings'!$J262))), 'MITRE ATT&amp;CK Mappings'!$B262,"")</f>
        <v/>
      </c>
      <c r="D266" s="26" t="str">
        <f>IF(OR(OR(OR(OR(OR(ISNUMBER(SEARCH(IF(D$1&lt;&gt;"",D$1,"NA"),'MITRE ATT&amp;CK Mappings'!$E262)),ISNUMBER(SEARCH(IF(D$1&lt;&gt;"",D$1,"NA"),'MITRE ATT&amp;CK Mappings'!$F262))),ISNUMBER(SEARCH(IF(D$2&lt;&gt;"",D$2,"NA"),'MITRE ATT&amp;CK Mappings'!$G262))),ISNUMBER(SEARCH(IF(D$2&lt;&gt;"",D$2,"NA"),'MITRE ATT&amp;CK Mappings'!$H262))),ISNUMBER(SEARCH(IF(D$3&lt;&gt;"",D$3,"NA"),'MITRE ATT&amp;CK Mappings'!$I262))),ISNUMBER(SEARCH(IF(D$3&lt;&gt;"",D$3,"NA"),'MITRE ATT&amp;CK Mappings'!$J262))), 'MITRE ATT&amp;CK Mappings'!$B262,"")</f>
        <v/>
      </c>
      <c r="E266" s="26" t="str">
        <f>IF(OR(OR(OR(OR(OR(ISNUMBER(SEARCH(IF(E$1&lt;&gt;"",E$1,"NA"),'MITRE ATT&amp;CK Mappings'!$E262)),ISNUMBER(SEARCH(IF(E$1&lt;&gt;"",E$1,"NA"),'MITRE ATT&amp;CK Mappings'!$F262))),ISNUMBER(SEARCH(IF(E$2&lt;&gt;"",E$2,"NA"),'MITRE ATT&amp;CK Mappings'!$G262))),ISNUMBER(SEARCH(IF(E$2&lt;&gt;"",E$2,"NA"),'MITRE ATT&amp;CK Mappings'!$H262))),ISNUMBER(SEARCH(IF(E$3&lt;&gt;"",E$3,"NA"),'MITRE ATT&amp;CK Mappings'!$I262))),ISNUMBER(SEARCH(IF(E$3&lt;&gt;"",E$3,"NA"),'MITRE ATT&amp;CK Mappings'!$J262))), 'MITRE ATT&amp;CK Mappings'!$B262,"")</f>
        <v/>
      </c>
      <c r="F266" s="26" t="str">
        <f>IF(OR(OR(OR(OR(OR(ISNUMBER(SEARCH(IF(F$1&lt;&gt;"",F$1,"NA"),'MITRE ATT&amp;CK Mappings'!$E262)),ISNUMBER(SEARCH(IF(F$1&lt;&gt;"",F$1,"NA"),'MITRE ATT&amp;CK Mappings'!$F262))),ISNUMBER(SEARCH(IF(F$2&lt;&gt;"",F$2,"NA"),'MITRE ATT&amp;CK Mappings'!$G262))),ISNUMBER(SEARCH(IF(F$2&lt;&gt;"",F$2,"NA"),'MITRE ATT&amp;CK Mappings'!$H262))),ISNUMBER(SEARCH(IF(F$3&lt;&gt;"",F$3,"NA"),'MITRE ATT&amp;CK Mappings'!$I262))),ISNUMBER(SEARCH(IF(F$3&lt;&gt;"",F$3,"NA"),'MITRE ATT&amp;CK Mappings'!$J262))), 'MITRE ATT&amp;CK Mappings'!$B262,"")</f>
        <v/>
      </c>
      <c r="G266" s="26" t="str">
        <f>IF(OR(OR(OR(OR(OR(ISNUMBER(SEARCH(IF(G$1&lt;&gt;"",G$1,"NA"),'MITRE ATT&amp;CK Mappings'!$E262)),ISNUMBER(SEARCH(IF(G$1&lt;&gt;"",G$1,"NA"),'MITRE ATT&amp;CK Mappings'!$F262))),ISNUMBER(SEARCH(IF(G$2&lt;&gt;"",G$2,"NA"),'MITRE ATT&amp;CK Mappings'!$G262))),ISNUMBER(SEARCH(IF(G$2&lt;&gt;"",G$2,"NA"),'MITRE ATT&amp;CK Mappings'!$H262))),ISNUMBER(SEARCH(IF(G$3&lt;&gt;"",G$3,"NA"),'MITRE ATT&amp;CK Mappings'!$I262))),ISNUMBER(SEARCH(IF(G$3&lt;&gt;"",G$3,"NA"),'MITRE ATT&amp;CK Mappings'!$J262))), 'MITRE ATT&amp;CK Mappings'!$B262,"")</f>
        <v/>
      </c>
      <c r="H266" s="26" t="str">
        <f>IF(OR(OR(OR(OR(OR(ISNUMBER(SEARCH(IF(H$1&lt;&gt;"",H$1,"NA"),'MITRE ATT&amp;CK Mappings'!$E262)),ISNUMBER(SEARCH(IF(H$1&lt;&gt;"",H$1,"NA"),'MITRE ATT&amp;CK Mappings'!$F262))),ISNUMBER(SEARCH(IF(H$2&lt;&gt;"",H$2,"NA"),'MITRE ATT&amp;CK Mappings'!$G262))),ISNUMBER(SEARCH(IF(H$2&lt;&gt;"",H$2,"NA"),'MITRE ATT&amp;CK Mappings'!$H262))),ISNUMBER(SEARCH(IF(H$3&lt;&gt;"",H$3,"NA"),'MITRE ATT&amp;CK Mappings'!$I262))),ISNUMBER(SEARCH(IF(H$3&lt;&gt;"",H$3,"NA"),'MITRE ATT&amp;CK Mappings'!$J262))), 'MITRE ATT&amp;CK Mappings'!$B262,"")</f>
        <v/>
      </c>
      <c r="I266" s="26" t="str">
        <f>IF(OR(OR(OR(OR(OR(ISNUMBER(SEARCH(IF(I$1&lt;&gt;"",I$1,"NA"),'MITRE ATT&amp;CK Mappings'!$E262)),ISNUMBER(SEARCH(IF(I$1&lt;&gt;"",I$1,"NA"),'MITRE ATT&amp;CK Mappings'!$F262))),ISNUMBER(SEARCH(IF(I$2&lt;&gt;"",I$2,"NA"),'MITRE ATT&amp;CK Mappings'!$G262))),ISNUMBER(SEARCH(IF(I$2&lt;&gt;"",I$2,"NA"),'MITRE ATT&amp;CK Mappings'!$H262))),ISNUMBER(SEARCH(IF(I$3&lt;&gt;"",I$3,"NA"),'MITRE ATT&amp;CK Mappings'!$I262))),ISNUMBER(SEARCH(IF(I$3&lt;&gt;"",I$3,"NA"),'MITRE ATT&amp;CK Mappings'!$J262))), 'MITRE ATT&amp;CK Mappings'!$B262,"")</f>
        <v/>
      </c>
      <c r="J266" s="26" t="str">
        <f>IF(OR(OR(OR(OR(OR(ISNUMBER(SEARCH(IF(J$1&lt;&gt;"",J$1,"NA"),'MITRE ATT&amp;CK Mappings'!$E262)),ISNUMBER(SEARCH(IF(J$1&lt;&gt;"",J$1,"NA"),'MITRE ATT&amp;CK Mappings'!$F262))),ISNUMBER(SEARCH(IF(J$2&lt;&gt;"",J$2,"NA"),'MITRE ATT&amp;CK Mappings'!$G262))),ISNUMBER(SEARCH(IF(J$2&lt;&gt;"",J$2,"NA"),'MITRE ATT&amp;CK Mappings'!$H262))),ISNUMBER(SEARCH(IF(J$3&lt;&gt;"",J$3,"NA"),'MITRE ATT&amp;CK Mappings'!$I262))),ISNUMBER(SEARCH(IF(J$3&lt;&gt;"",J$3,"NA"),'MITRE ATT&amp;CK Mappings'!$J262))), 'MITRE ATT&amp;CK Mappings'!$B262,"")</f>
        <v/>
      </c>
      <c r="K266" s="26" t="str">
        <f>IF(OR(OR(OR(OR(OR(ISNUMBER(SEARCH(IF(K$1&lt;&gt;"",K$1,"NA"),'MITRE ATT&amp;CK Mappings'!$E262)),ISNUMBER(SEARCH(IF(K$1&lt;&gt;"",K$1,"NA"),'MITRE ATT&amp;CK Mappings'!$F262))),ISNUMBER(SEARCH(IF(K$2&lt;&gt;"",K$2,"NA"),'MITRE ATT&amp;CK Mappings'!$G262))),ISNUMBER(SEARCH(IF(K$2&lt;&gt;"",K$2,"NA"),'MITRE ATT&amp;CK Mappings'!$H262))),ISNUMBER(SEARCH(IF(K$3&lt;&gt;"",K$3,"NA"),'MITRE ATT&amp;CK Mappings'!$I262))),ISNUMBER(SEARCH(IF(K$3&lt;&gt;"",K$3,"NA"),'MITRE ATT&amp;CK Mappings'!$J262))), 'MITRE ATT&amp;CK Mappings'!$B262,"")</f>
        <v/>
      </c>
      <c r="L266" s="26" t="str">
        <f>IF('MITRE ATT&amp;CK Mappings'!D262 &lt;&gt;"",'MITRE ATT&amp;CK Mappings'!D262,"" )</f>
        <v/>
      </c>
    </row>
    <row r="267" spans="1:12" x14ac:dyDescent="0.25">
      <c r="A267" s="27" t="str">
        <f>IF(COUNTIF(B267:K267,"="&amp;'MITRE ATT&amp;CK Mappings'!B263)&gt;0,'MITRE ATT&amp;CK Mappings'!B263,"")</f>
        <v/>
      </c>
      <c r="B267" s="27" t="str">
        <f>IF(OR(OR(OR(OR(OR(ISNUMBER(SEARCH(IF(B$1&lt;&gt;"",B$1,"NA"),'MITRE ATT&amp;CK Mappings'!$E263)),ISNUMBER(SEARCH(IF(B$1&lt;&gt;"",B$1,"NA"),'MITRE ATT&amp;CK Mappings'!$F263))),ISNUMBER(SEARCH(IF(B$2&lt;&gt;"",B$2,"NA"),'MITRE ATT&amp;CK Mappings'!$G263))),ISNUMBER(SEARCH(IF(B$2&lt;&gt;"",B$2,"NA"),'MITRE ATT&amp;CK Mappings'!$H263))),ISNUMBER(SEARCH(IF(B$3&lt;&gt;"",B$3,"NA"),'MITRE ATT&amp;CK Mappings'!$I263))),ISNUMBER(SEARCH(IF(B$3&lt;&gt;"",B$3,"NA"),'MITRE ATT&amp;CK Mappings'!$J263))), 'MITRE ATT&amp;CK Mappings'!$B263,"")</f>
        <v/>
      </c>
      <c r="C267" s="27" t="str">
        <f>IF(OR(OR(OR(OR(OR(ISNUMBER(SEARCH(IF(C$1&lt;&gt;"",C$1,"NA"),'MITRE ATT&amp;CK Mappings'!$E263)),ISNUMBER(SEARCH(IF(C$1&lt;&gt;"",C$1,"NA"),'MITRE ATT&amp;CK Mappings'!$F263))),ISNUMBER(SEARCH(IF(C$2&lt;&gt;"",C$2,"NA"),'MITRE ATT&amp;CK Mappings'!$G263))),ISNUMBER(SEARCH(IF(C$2&lt;&gt;"",C$2,"NA"),'MITRE ATT&amp;CK Mappings'!$H263))),ISNUMBER(SEARCH(IF(C$3&lt;&gt;"",C$3,"NA"),'MITRE ATT&amp;CK Mappings'!$I263))),ISNUMBER(SEARCH(IF(C$3&lt;&gt;"",C$3,"NA"),'MITRE ATT&amp;CK Mappings'!$J263))), 'MITRE ATT&amp;CK Mappings'!$B263,"")</f>
        <v/>
      </c>
      <c r="D267" s="27" t="str">
        <f>IF(OR(OR(OR(OR(OR(ISNUMBER(SEARCH(IF(D$1&lt;&gt;"",D$1,"NA"),'MITRE ATT&amp;CK Mappings'!$E263)),ISNUMBER(SEARCH(IF(D$1&lt;&gt;"",D$1,"NA"),'MITRE ATT&amp;CK Mappings'!$F263))),ISNUMBER(SEARCH(IF(D$2&lt;&gt;"",D$2,"NA"),'MITRE ATT&amp;CK Mappings'!$G263))),ISNUMBER(SEARCH(IF(D$2&lt;&gt;"",D$2,"NA"),'MITRE ATT&amp;CK Mappings'!$H263))),ISNUMBER(SEARCH(IF(D$3&lt;&gt;"",D$3,"NA"),'MITRE ATT&amp;CK Mappings'!$I263))),ISNUMBER(SEARCH(IF(D$3&lt;&gt;"",D$3,"NA"),'MITRE ATT&amp;CK Mappings'!$J263))), 'MITRE ATT&amp;CK Mappings'!$B263,"")</f>
        <v/>
      </c>
      <c r="E267" s="27" t="str">
        <f>IF(OR(OR(OR(OR(OR(ISNUMBER(SEARCH(IF(E$1&lt;&gt;"",E$1,"NA"),'MITRE ATT&amp;CK Mappings'!$E263)),ISNUMBER(SEARCH(IF(E$1&lt;&gt;"",E$1,"NA"),'MITRE ATT&amp;CK Mappings'!$F263))),ISNUMBER(SEARCH(IF(E$2&lt;&gt;"",E$2,"NA"),'MITRE ATT&amp;CK Mappings'!$G263))),ISNUMBER(SEARCH(IF(E$2&lt;&gt;"",E$2,"NA"),'MITRE ATT&amp;CK Mappings'!$H263))),ISNUMBER(SEARCH(IF(E$3&lt;&gt;"",E$3,"NA"),'MITRE ATT&amp;CK Mappings'!$I263))),ISNUMBER(SEARCH(IF(E$3&lt;&gt;"",E$3,"NA"),'MITRE ATT&amp;CK Mappings'!$J263))), 'MITRE ATT&amp;CK Mappings'!$B263,"")</f>
        <v/>
      </c>
      <c r="F267" s="27" t="str">
        <f>IF(OR(OR(OR(OR(OR(ISNUMBER(SEARCH(IF(F$1&lt;&gt;"",F$1,"NA"),'MITRE ATT&amp;CK Mappings'!$E263)),ISNUMBER(SEARCH(IF(F$1&lt;&gt;"",F$1,"NA"),'MITRE ATT&amp;CK Mappings'!$F263))),ISNUMBER(SEARCH(IF(F$2&lt;&gt;"",F$2,"NA"),'MITRE ATT&amp;CK Mappings'!$G263))),ISNUMBER(SEARCH(IF(F$2&lt;&gt;"",F$2,"NA"),'MITRE ATT&amp;CK Mappings'!$H263))),ISNUMBER(SEARCH(IF(F$3&lt;&gt;"",F$3,"NA"),'MITRE ATT&amp;CK Mappings'!$I263))),ISNUMBER(SEARCH(IF(F$3&lt;&gt;"",F$3,"NA"),'MITRE ATT&amp;CK Mappings'!$J263))), 'MITRE ATT&amp;CK Mappings'!$B263,"")</f>
        <v/>
      </c>
      <c r="G267" s="27" t="str">
        <f>IF(OR(OR(OR(OR(OR(ISNUMBER(SEARCH(IF(G$1&lt;&gt;"",G$1,"NA"),'MITRE ATT&amp;CK Mappings'!$E263)),ISNUMBER(SEARCH(IF(G$1&lt;&gt;"",G$1,"NA"),'MITRE ATT&amp;CK Mappings'!$F263))),ISNUMBER(SEARCH(IF(G$2&lt;&gt;"",G$2,"NA"),'MITRE ATT&amp;CK Mappings'!$G263))),ISNUMBER(SEARCH(IF(G$2&lt;&gt;"",G$2,"NA"),'MITRE ATT&amp;CK Mappings'!$H263))),ISNUMBER(SEARCH(IF(G$3&lt;&gt;"",G$3,"NA"),'MITRE ATT&amp;CK Mappings'!$I263))),ISNUMBER(SEARCH(IF(G$3&lt;&gt;"",G$3,"NA"),'MITRE ATT&amp;CK Mappings'!$J263))), 'MITRE ATT&amp;CK Mappings'!$B263,"")</f>
        <v/>
      </c>
      <c r="H267" s="27" t="str">
        <f>IF(OR(OR(OR(OR(OR(ISNUMBER(SEARCH(IF(H$1&lt;&gt;"",H$1,"NA"),'MITRE ATT&amp;CK Mappings'!$E263)),ISNUMBER(SEARCH(IF(H$1&lt;&gt;"",H$1,"NA"),'MITRE ATT&amp;CK Mappings'!$F263))),ISNUMBER(SEARCH(IF(H$2&lt;&gt;"",H$2,"NA"),'MITRE ATT&amp;CK Mappings'!$G263))),ISNUMBER(SEARCH(IF(H$2&lt;&gt;"",H$2,"NA"),'MITRE ATT&amp;CK Mappings'!$H263))),ISNUMBER(SEARCH(IF(H$3&lt;&gt;"",H$3,"NA"),'MITRE ATT&amp;CK Mappings'!$I263))),ISNUMBER(SEARCH(IF(H$3&lt;&gt;"",H$3,"NA"),'MITRE ATT&amp;CK Mappings'!$J263))), 'MITRE ATT&amp;CK Mappings'!$B263,"")</f>
        <v/>
      </c>
      <c r="I267" s="27" t="str">
        <f>IF(OR(OR(OR(OR(OR(ISNUMBER(SEARCH(IF(I$1&lt;&gt;"",I$1,"NA"),'MITRE ATT&amp;CK Mappings'!$E263)),ISNUMBER(SEARCH(IF(I$1&lt;&gt;"",I$1,"NA"),'MITRE ATT&amp;CK Mappings'!$F263))),ISNUMBER(SEARCH(IF(I$2&lt;&gt;"",I$2,"NA"),'MITRE ATT&amp;CK Mappings'!$G263))),ISNUMBER(SEARCH(IF(I$2&lt;&gt;"",I$2,"NA"),'MITRE ATT&amp;CK Mappings'!$H263))),ISNUMBER(SEARCH(IF(I$3&lt;&gt;"",I$3,"NA"),'MITRE ATT&amp;CK Mappings'!$I263))),ISNUMBER(SEARCH(IF(I$3&lt;&gt;"",I$3,"NA"),'MITRE ATT&amp;CK Mappings'!$J263))), 'MITRE ATT&amp;CK Mappings'!$B263,"")</f>
        <v/>
      </c>
      <c r="J267" s="27" t="str">
        <f>IF(OR(OR(OR(OR(OR(ISNUMBER(SEARCH(IF(J$1&lt;&gt;"",J$1,"NA"),'MITRE ATT&amp;CK Mappings'!$E263)),ISNUMBER(SEARCH(IF(J$1&lt;&gt;"",J$1,"NA"),'MITRE ATT&amp;CK Mappings'!$F263))),ISNUMBER(SEARCH(IF(J$2&lt;&gt;"",J$2,"NA"),'MITRE ATT&amp;CK Mappings'!$G263))),ISNUMBER(SEARCH(IF(J$2&lt;&gt;"",J$2,"NA"),'MITRE ATT&amp;CK Mappings'!$H263))),ISNUMBER(SEARCH(IF(J$3&lt;&gt;"",J$3,"NA"),'MITRE ATT&amp;CK Mappings'!$I263))),ISNUMBER(SEARCH(IF(J$3&lt;&gt;"",J$3,"NA"),'MITRE ATT&amp;CK Mappings'!$J263))), 'MITRE ATT&amp;CK Mappings'!$B263,"")</f>
        <v/>
      </c>
      <c r="K267" s="27" t="str">
        <f>IF(OR(OR(OR(OR(OR(ISNUMBER(SEARCH(IF(K$1&lt;&gt;"",K$1,"NA"),'MITRE ATT&amp;CK Mappings'!$E263)),ISNUMBER(SEARCH(IF(K$1&lt;&gt;"",K$1,"NA"),'MITRE ATT&amp;CK Mappings'!$F263))),ISNUMBER(SEARCH(IF(K$2&lt;&gt;"",K$2,"NA"),'MITRE ATT&amp;CK Mappings'!$G263))),ISNUMBER(SEARCH(IF(K$2&lt;&gt;"",K$2,"NA"),'MITRE ATT&amp;CK Mappings'!$H263))),ISNUMBER(SEARCH(IF(K$3&lt;&gt;"",K$3,"NA"),'MITRE ATT&amp;CK Mappings'!$I263))),ISNUMBER(SEARCH(IF(K$3&lt;&gt;"",K$3,"NA"),'MITRE ATT&amp;CK Mappings'!$J263))), 'MITRE ATT&amp;CK Mappings'!$B263,"")</f>
        <v/>
      </c>
      <c r="L267" s="27" t="str">
        <f>IF('MITRE ATT&amp;CK Mappings'!D263 &lt;&gt;"",'MITRE ATT&amp;CK Mappings'!D263,"" )</f>
        <v/>
      </c>
    </row>
    <row r="268" spans="1:12" x14ac:dyDescent="0.25">
      <c r="A268" s="26" t="str">
        <f>IF(COUNTIF(B268:K268,"="&amp;'MITRE ATT&amp;CK Mappings'!B264)&gt;0,'MITRE ATT&amp;CK Mappings'!B264,"")</f>
        <v/>
      </c>
      <c r="B268" s="26" t="str">
        <f>IF(OR(OR(OR(OR(OR(ISNUMBER(SEARCH(IF(B$1&lt;&gt;"",B$1,"NA"),'MITRE ATT&amp;CK Mappings'!$E264)),ISNUMBER(SEARCH(IF(B$1&lt;&gt;"",B$1,"NA"),'MITRE ATT&amp;CK Mappings'!$F264))),ISNUMBER(SEARCH(IF(B$2&lt;&gt;"",B$2,"NA"),'MITRE ATT&amp;CK Mappings'!$G264))),ISNUMBER(SEARCH(IF(B$2&lt;&gt;"",B$2,"NA"),'MITRE ATT&amp;CK Mappings'!$H264))),ISNUMBER(SEARCH(IF(B$3&lt;&gt;"",B$3,"NA"),'MITRE ATT&amp;CK Mappings'!$I264))),ISNUMBER(SEARCH(IF(B$3&lt;&gt;"",B$3,"NA"),'MITRE ATT&amp;CK Mappings'!$J264))), 'MITRE ATT&amp;CK Mappings'!$B264,"")</f>
        <v/>
      </c>
      <c r="C268" s="26" t="str">
        <f>IF(OR(OR(OR(OR(OR(ISNUMBER(SEARCH(IF(C$1&lt;&gt;"",C$1,"NA"),'MITRE ATT&amp;CK Mappings'!$E264)),ISNUMBER(SEARCH(IF(C$1&lt;&gt;"",C$1,"NA"),'MITRE ATT&amp;CK Mappings'!$F264))),ISNUMBER(SEARCH(IF(C$2&lt;&gt;"",C$2,"NA"),'MITRE ATT&amp;CK Mappings'!$G264))),ISNUMBER(SEARCH(IF(C$2&lt;&gt;"",C$2,"NA"),'MITRE ATT&amp;CK Mappings'!$H264))),ISNUMBER(SEARCH(IF(C$3&lt;&gt;"",C$3,"NA"),'MITRE ATT&amp;CK Mappings'!$I264))),ISNUMBER(SEARCH(IF(C$3&lt;&gt;"",C$3,"NA"),'MITRE ATT&amp;CK Mappings'!$J264))), 'MITRE ATT&amp;CK Mappings'!$B264,"")</f>
        <v/>
      </c>
      <c r="D268" s="26" t="str">
        <f>IF(OR(OR(OR(OR(OR(ISNUMBER(SEARCH(IF(D$1&lt;&gt;"",D$1,"NA"),'MITRE ATT&amp;CK Mappings'!$E264)),ISNUMBER(SEARCH(IF(D$1&lt;&gt;"",D$1,"NA"),'MITRE ATT&amp;CK Mappings'!$F264))),ISNUMBER(SEARCH(IF(D$2&lt;&gt;"",D$2,"NA"),'MITRE ATT&amp;CK Mappings'!$G264))),ISNUMBER(SEARCH(IF(D$2&lt;&gt;"",D$2,"NA"),'MITRE ATT&amp;CK Mappings'!$H264))),ISNUMBER(SEARCH(IF(D$3&lt;&gt;"",D$3,"NA"),'MITRE ATT&amp;CK Mappings'!$I264))),ISNUMBER(SEARCH(IF(D$3&lt;&gt;"",D$3,"NA"),'MITRE ATT&amp;CK Mappings'!$J264))), 'MITRE ATT&amp;CK Mappings'!$B264,"")</f>
        <v/>
      </c>
      <c r="E268" s="26" t="str">
        <f>IF(OR(OR(OR(OR(OR(ISNUMBER(SEARCH(IF(E$1&lt;&gt;"",E$1,"NA"),'MITRE ATT&amp;CK Mappings'!$E264)),ISNUMBER(SEARCH(IF(E$1&lt;&gt;"",E$1,"NA"),'MITRE ATT&amp;CK Mappings'!$F264))),ISNUMBER(SEARCH(IF(E$2&lt;&gt;"",E$2,"NA"),'MITRE ATT&amp;CK Mappings'!$G264))),ISNUMBER(SEARCH(IF(E$2&lt;&gt;"",E$2,"NA"),'MITRE ATT&amp;CK Mappings'!$H264))),ISNUMBER(SEARCH(IF(E$3&lt;&gt;"",E$3,"NA"),'MITRE ATT&amp;CK Mappings'!$I264))),ISNUMBER(SEARCH(IF(E$3&lt;&gt;"",E$3,"NA"),'MITRE ATT&amp;CK Mappings'!$J264))), 'MITRE ATT&amp;CK Mappings'!$B264,"")</f>
        <v/>
      </c>
      <c r="F268" s="26" t="str">
        <f>IF(OR(OR(OR(OR(OR(ISNUMBER(SEARCH(IF(F$1&lt;&gt;"",F$1,"NA"),'MITRE ATT&amp;CK Mappings'!$E264)),ISNUMBER(SEARCH(IF(F$1&lt;&gt;"",F$1,"NA"),'MITRE ATT&amp;CK Mappings'!$F264))),ISNUMBER(SEARCH(IF(F$2&lt;&gt;"",F$2,"NA"),'MITRE ATT&amp;CK Mappings'!$G264))),ISNUMBER(SEARCH(IF(F$2&lt;&gt;"",F$2,"NA"),'MITRE ATT&amp;CK Mappings'!$H264))),ISNUMBER(SEARCH(IF(F$3&lt;&gt;"",F$3,"NA"),'MITRE ATT&amp;CK Mappings'!$I264))),ISNUMBER(SEARCH(IF(F$3&lt;&gt;"",F$3,"NA"),'MITRE ATT&amp;CK Mappings'!$J264))), 'MITRE ATT&amp;CK Mappings'!$B264,"")</f>
        <v/>
      </c>
      <c r="G268" s="26" t="str">
        <f>IF(OR(OR(OR(OR(OR(ISNUMBER(SEARCH(IF(G$1&lt;&gt;"",G$1,"NA"),'MITRE ATT&amp;CK Mappings'!$E264)),ISNUMBER(SEARCH(IF(G$1&lt;&gt;"",G$1,"NA"),'MITRE ATT&amp;CK Mappings'!$F264))),ISNUMBER(SEARCH(IF(G$2&lt;&gt;"",G$2,"NA"),'MITRE ATT&amp;CK Mappings'!$G264))),ISNUMBER(SEARCH(IF(G$2&lt;&gt;"",G$2,"NA"),'MITRE ATT&amp;CK Mappings'!$H264))),ISNUMBER(SEARCH(IF(G$3&lt;&gt;"",G$3,"NA"),'MITRE ATT&amp;CK Mappings'!$I264))),ISNUMBER(SEARCH(IF(G$3&lt;&gt;"",G$3,"NA"),'MITRE ATT&amp;CK Mappings'!$J264))), 'MITRE ATT&amp;CK Mappings'!$B264,"")</f>
        <v/>
      </c>
      <c r="H268" s="26" t="str">
        <f>IF(OR(OR(OR(OR(OR(ISNUMBER(SEARCH(IF(H$1&lt;&gt;"",H$1,"NA"),'MITRE ATT&amp;CK Mappings'!$E264)),ISNUMBER(SEARCH(IF(H$1&lt;&gt;"",H$1,"NA"),'MITRE ATT&amp;CK Mappings'!$F264))),ISNUMBER(SEARCH(IF(H$2&lt;&gt;"",H$2,"NA"),'MITRE ATT&amp;CK Mappings'!$G264))),ISNUMBER(SEARCH(IF(H$2&lt;&gt;"",H$2,"NA"),'MITRE ATT&amp;CK Mappings'!$H264))),ISNUMBER(SEARCH(IF(H$3&lt;&gt;"",H$3,"NA"),'MITRE ATT&amp;CK Mappings'!$I264))),ISNUMBER(SEARCH(IF(H$3&lt;&gt;"",H$3,"NA"),'MITRE ATT&amp;CK Mappings'!$J264))), 'MITRE ATT&amp;CK Mappings'!$B264,"")</f>
        <v/>
      </c>
      <c r="I268" s="26" t="str">
        <f>IF(OR(OR(OR(OR(OR(ISNUMBER(SEARCH(IF(I$1&lt;&gt;"",I$1,"NA"),'MITRE ATT&amp;CK Mappings'!$E264)),ISNUMBER(SEARCH(IF(I$1&lt;&gt;"",I$1,"NA"),'MITRE ATT&amp;CK Mappings'!$F264))),ISNUMBER(SEARCH(IF(I$2&lt;&gt;"",I$2,"NA"),'MITRE ATT&amp;CK Mappings'!$G264))),ISNUMBER(SEARCH(IF(I$2&lt;&gt;"",I$2,"NA"),'MITRE ATT&amp;CK Mappings'!$H264))),ISNUMBER(SEARCH(IF(I$3&lt;&gt;"",I$3,"NA"),'MITRE ATT&amp;CK Mappings'!$I264))),ISNUMBER(SEARCH(IF(I$3&lt;&gt;"",I$3,"NA"),'MITRE ATT&amp;CK Mappings'!$J264))), 'MITRE ATT&amp;CK Mappings'!$B264,"")</f>
        <v/>
      </c>
      <c r="J268" s="26" t="str">
        <f>IF(OR(OR(OR(OR(OR(ISNUMBER(SEARCH(IF(J$1&lt;&gt;"",J$1,"NA"),'MITRE ATT&amp;CK Mappings'!$E264)),ISNUMBER(SEARCH(IF(J$1&lt;&gt;"",J$1,"NA"),'MITRE ATT&amp;CK Mappings'!$F264))),ISNUMBER(SEARCH(IF(J$2&lt;&gt;"",J$2,"NA"),'MITRE ATT&amp;CK Mappings'!$G264))),ISNUMBER(SEARCH(IF(J$2&lt;&gt;"",J$2,"NA"),'MITRE ATT&amp;CK Mappings'!$H264))),ISNUMBER(SEARCH(IF(J$3&lt;&gt;"",J$3,"NA"),'MITRE ATT&amp;CK Mappings'!$I264))),ISNUMBER(SEARCH(IF(J$3&lt;&gt;"",J$3,"NA"),'MITRE ATT&amp;CK Mappings'!$J264))), 'MITRE ATT&amp;CK Mappings'!$B264,"")</f>
        <v/>
      </c>
      <c r="K268" s="26" t="str">
        <f>IF(OR(OR(OR(OR(OR(ISNUMBER(SEARCH(IF(K$1&lt;&gt;"",K$1,"NA"),'MITRE ATT&amp;CK Mappings'!$E264)),ISNUMBER(SEARCH(IF(K$1&lt;&gt;"",K$1,"NA"),'MITRE ATT&amp;CK Mappings'!$F264))),ISNUMBER(SEARCH(IF(K$2&lt;&gt;"",K$2,"NA"),'MITRE ATT&amp;CK Mappings'!$G264))),ISNUMBER(SEARCH(IF(K$2&lt;&gt;"",K$2,"NA"),'MITRE ATT&amp;CK Mappings'!$H264))),ISNUMBER(SEARCH(IF(K$3&lt;&gt;"",K$3,"NA"),'MITRE ATT&amp;CK Mappings'!$I264))),ISNUMBER(SEARCH(IF(K$3&lt;&gt;"",K$3,"NA"),'MITRE ATT&amp;CK Mappings'!$J264))), 'MITRE ATT&amp;CK Mappings'!$B264,"")</f>
        <v/>
      </c>
      <c r="L268" s="26" t="str">
        <f>IF('MITRE ATT&amp;CK Mappings'!D264 &lt;&gt;"",'MITRE ATT&amp;CK Mappings'!D264,"" )</f>
        <v/>
      </c>
    </row>
    <row r="269" spans="1:12" x14ac:dyDescent="0.25">
      <c r="A269" s="27" t="str">
        <f>IF(COUNTIF(B269:K269,"="&amp;'MITRE ATT&amp;CK Mappings'!B265)&gt;0,'MITRE ATT&amp;CK Mappings'!B265,"")</f>
        <v/>
      </c>
      <c r="B269" s="27" t="str">
        <f>IF(OR(OR(OR(OR(OR(ISNUMBER(SEARCH(IF(B$1&lt;&gt;"",B$1,"NA"),'MITRE ATT&amp;CK Mappings'!$E265)),ISNUMBER(SEARCH(IF(B$1&lt;&gt;"",B$1,"NA"),'MITRE ATT&amp;CK Mappings'!$F265))),ISNUMBER(SEARCH(IF(B$2&lt;&gt;"",B$2,"NA"),'MITRE ATT&amp;CK Mappings'!$G265))),ISNUMBER(SEARCH(IF(B$2&lt;&gt;"",B$2,"NA"),'MITRE ATT&amp;CK Mappings'!$H265))),ISNUMBER(SEARCH(IF(B$3&lt;&gt;"",B$3,"NA"),'MITRE ATT&amp;CK Mappings'!$I265))),ISNUMBER(SEARCH(IF(B$3&lt;&gt;"",B$3,"NA"),'MITRE ATT&amp;CK Mappings'!$J265))), 'MITRE ATT&amp;CK Mappings'!$B265,"")</f>
        <v/>
      </c>
      <c r="C269" s="27" t="str">
        <f>IF(OR(OR(OR(OR(OR(ISNUMBER(SEARCH(IF(C$1&lt;&gt;"",C$1,"NA"),'MITRE ATT&amp;CK Mappings'!$E265)),ISNUMBER(SEARCH(IF(C$1&lt;&gt;"",C$1,"NA"),'MITRE ATT&amp;CK Mappings'!$F265))),ISNUMBER(SEARCH(IF(C$2&lt;&gt;"",C$2,"NA"),'MITRE ATT&amp;CK Mappings'!$G265))),ISNUMBER(SEARCH(IF(C$2&lt;&gt;"",C$2,"NA"),'MITRE ATT&amp;CK Mappings'!$H265))),ISNUMBER(SEARCH(IF(C$3&lt;&gt;"",C$3,"NA"),'MITRE ATT&amp;CK Mappings'!$I265))),ISNUMBER(SEARCH(IF(C$3&lt;&gt;"",C$3,"NA"),'MITRE ATT&amp;CK Mappings'!$J265))), 'MITRE ATT&amp;CK Mappings'!$B265,"")</f>
        <v/>
      </c>
      <c r="D269" s="27" t="str">
        <f>IF(OR(OR(OR(OR(OR(ISNUMBER(SEARCH(IF(D$1&lt;&gt;"",D$1,"NA"),'MITRE ATT&amp;CK Mappings'!$E265)),ISNUMBER(SEARCH(IF(D$1&lt;&gt;"",D$1,"NA"),'MITRE ATT&amp;CK Mappings'!$F265))),ISNUMBER(SEARCH(IF(D$2&lt;&gt;"",D$2,"NA"),'MITRE ATT&amp;CK Mappings'!$G265))),ISNUMBER(SEARCH(IF(D$2&lt;&gt;"",D$2,"NA"),'MITRE ATT&amp;CK Mappings'!$H265))),ISNUMBER(SEARCH(IF(D$3&lt;&gt;"",D$3,"NA"),'MITRE ATT&amp;CK Mappings'!$I265))),ISNUMBER(SEARCH(IF(D$3&lt;&gt;"",D$3,"NA"),'MITRE ATT&amp;CK Mappings'!$J265))), 'MITRE ATT&amp;CK Mappings'!$B265,"")</f>
        <v/>
      </c>
      <c r="E269" s="27" t="str">
        <f>IF(OR(OR(OR(OR(OR(ISNUMBER(SEARCH(IF(E$1&lt;&gt;"",E$1,"NA"),'MITRE ATT&amp;CK Mappings'!$E265)),ISNUMBER(SEARCH(IF(E$1&lt;&gt;"",E$1,"NA"),'MITRE ATT&amp;CK Mappings'!$F265))),ISNUMBER(SEARCH(IF(E$2&lt;&gt;"",E$2,"NA"),'MITRE ATT&amp;CK Mappings'!$G265))),ISNUMBER(SEARCH(IF(E$2&lt;&gt;"",E$2,"NA"),'MITRE ATT&amp;CK Mappings'!$H265))),ISNUMBER(SEARCH(IF(E$3&lt;&gt;"",E$3,"NA"),'MITRE ATT&amp;CK Mappings'!$I265))),ISNUMBER(SEARCH(IF(E$3&lt;&gt;"",E$3,"NA"),'MITRE ATT&amp;CK Mappings'!$J265))), 'MITRE ATT&amp;CK Mappings'!$B265,"")</f>
        <v/>
      </c>
      <c r="F269" s="27" t="str">
        <f>IF(OR(OR(OR(OR(OR(ISNUMBER(SEARCH(IF(F$1&lt;&gt;"",F$1,"NA"),'MITRE ATT&amp;CK Mappings'!$E265)),ISNUMBER(SEARCH(IF(F$1&lt;&gt;"",F$1,"NA"),'MITRE ATT&amp;CK Mappings'!$F265))),ISNUMBER(SEARCH(IF(F$2&lt;&gt;"",F$2,"NA"),'MITRE ATT&amp;CK Mappings'!$G265))),ISNUMBER(SEARCH(IF(F$2&lt;&gt;"",F$2,"NA"),'MITRE ATT&amp;CK Mappings'!$H265))),ISNUMBER(SEARCH(IF(F$3&lt;&gt;"",F$3,"NA"),'MITRE ATT&amp;CK Mappings'!$I265))),ISNUMBER(SEARCH(IF(F$3&lt;&gt;"",F$3,"NA"),'MITRE ATT&amp;CK Mappings'!$J265))), 'MITRE ATT&amp;CK Mappings'!$B265,"")</f>
        <v/>
      </c>
      <c r="G269" s="27" t="str">
        <f>IF(OR(OR(OR(OR(OR(ISNUMBER(SEARCH(IF(G$1&lt;&gt;"",G$1,"NA"),'MITRE ATT&amp;CK Mappings'!$E265)),ISNUMBER(SEARCH(IF(G$1&lt;&gt;"",G$1,"NA"),'MITRE ATT&amp;CK Mappings'!$F265))),ISNUMBER(SEARCH(IF(G$2&lt;&gt;"",G$2,"NA"),'MITRE ATT&amp;CK Mappings'!$G265))),ISNUMBER(SEARCH(IF(G$2&lt;&gt;"",G$2,"NA"),'MITRE ATT&amp;CK Mappings'!$H265))),ISNUMBER(SEARCH(IF(G$3&lt;&gt;"",G$3,"NA"),'MITRE ATT&amp;CK Mappings'!$I265))),ISNUMBER(SEARCH(IF(G$3&lt;&gt;"",G$3,"NA"),'MITRE ATT&amp;CK Mappings'!$J265))), 'MITRE ATT&amp;CK Mappings'!$B265,"")</f>
        <v/>
      </c>
      <c r="H269" s="27" t="str">
        <f>IF(OR(OR(OR(OR(OR(ISNUMBER(SEARCH(IF(H$1&lt;&gt;"",H$1,"NA"),'MITRE ATT&amp;CK Mappings'!$E265)),ISNUMBER(SEARCH(IF(H$1&lt;&gt;"",H$1,"NA"),'MITRE ATT&amp;CK Mappings'!$F265))),ISNUMBER(SEARCH(IF(H$2&lt;&gt;"",H$2,"NA"),'MITRE ATT&amp;CK Mappings'!$G265))),ISNUMBER(SEARCH(IF(H$2&lt;&gt;"",H$2,"NA"),'MITRE ATT&amp;CK Mappings'!$H265))),ISNUMBER(SEARCH(IF(H$3&lt;&gt;"",H$3,"NA"),'MITRE ATT&amp;CK Mappings'!$I265))),ISNUMBER(SEARCH(IF(H$3&lt;&gt;"",H$3,"NA"),'MITRE ATT&amp;CK Mappings'!$J265))), 'MITRE ATT&amp;CK Mappings'!$B265,"")</f>
        <v/>
      </c>
      <c r="I269" s="27" t="str">
        <f>IF(OR(OR(OR(OR(OR(ISNUMBER(SEARCH(IF(I$1&lt;&gt;"",I$1,"NA"),'MITRE ATT&amp;CK Mappings'!$E265)),ISNUMBER(SEARCH(IF(I$1&lt;&gt;"",I$1,"NA"),'MITRE ATT&amp;CK Mappings'!$F265))),ISNUMBER(SEARCH(IF(I$2&lt;&gt;"",I$2,"NA"),'MITRE ATT&amp;CK Mappings'!$G265))),ISNUMBER(SEARCH(IF(I$2&lt;&gt;"",I$2,"NA"),'MITRE ATT&amp;CK Mappings'!$H265))),ISNUMBER(SEARCH(IF(I$3&lt;&gt;"",I$3,"NA"),'MITRE ATT&amp;CK Mappings'!$I265))),ISNUMBER(SEARCH(IF(I$3&lt;&gt;"",I$3,"NA"),'MITRE ATT&amp;CK Mappings'!$J265))), 'MITRE ATT&amp;CK Mappings'!$B265,"")</f>
        <v/>
      </c>
      <c r="J269" s="27" t="str">
        <f>IF(OR(OR(OR(OR(OR(ISNUMBER(SEARCH(IF(J$1&lt;&gt;"",J$1,"NA"),'MITRE ATT&amp;CK Mappings'!$E265)),ISNUMBER(SEARCH(IF(J$1&lt;&gt;"",J$1,"NA"),'MITRE ATT&amp;CK Mappings'!$F265))),ISNUMBER(SEARCH(IF(J$2&lt;&gt;"",J$2,"NA"),'MITRE ATT&amp;CK Mappings'!$G265))),ISNUMBER(SEARCH(IF(J$2&lt;&gt;"",J$2,"NA"),'MITRE ATT&amp;CK Mappings'!$H265))),ISNUMBER(SEARCH(IF(J$3&lt;&gt;"",J$3,"NA"),'MITRE ATT&amp;CK Mappings'!$I265))),ISNUMBER(SEARCH(IF(J$3&lt;&gt;"",J$3,"NA"),'MITRE ATT&amp;CK Mappings'!$J265))), 'MITRE ATT&amp;CK Mappings'!$B265,"")</f>
        <v/>
      </c>
      <c r="K269" s="27" t="str">
        <f>IF(OR(OR(OR(OR(OR(ISNUMBER(SEARCH(IF(K$1&lt;&gt;"",K$1,"NA"),'MITRE ATT&amp;CK Mappings'!$E265)),ISNUMBER(SEARCH(IF(K$1&lt;&gt;"",K$1,"NA"),'MITRE ATT&amp;CK Mappings'!$F265))),ISNUMBER(SEARCH(IF(K$2&lt;&gt;"",K$2,"NA"),'MITRE ATT&amp;CK Mappings'!$G265))),ISNUMBER(SEARCH(IF(K$2&lt;&gt;"",K$2,"NA"),'MITRE ATT&amp;CK Mappings'!$H265))),ISNUMBER(SEARCH(IF(K$3&lt;&gt;"",K$3,"NA"),'MITRE ATT&amp;CK Mappings'!$I265))),ISNUMBER(SEARCH(IF(K$3&lt;&gt;"",K$3,"NA"),'MITRE ATT&amp;CK Mappings'!$J265))), 'MITRE ATT&amp;CK Mappings'!$B265,"")</f>
        <v/>
      </c>
      <c r="L269" s="27" t="str">
        <f>IF('MITRE ATT&amp;CK Mappings'!D265 &lt;&gt;"",'MITRE ATT&amp;CK Mappings'!D265,"" )</f>
        <v/>
      </c>
    </row>
    <row r="270" spans="1:12" x14ac:dyDescent="0.25">
      <c r="A270" s="26" t="str">
        <f>IF(COUNTIF(B270:K270,"="&amp;'MITRE ATT&amp;CK Mappings'!B266)&gt;0,'MITRE ATT&amp;CK Mappings'!B266,"")</f>
        <v/>
      </c>
      <c r="B270" s="26" t="str">
        <f>IF(OR(OR(OR(OR(OR(ISNUMBER(SEARCH(IF(B$1&lt;&gt;"",B$1,"NA"),'MITRE ATT&amp;CK Mappings'!$E266)),ISNUMBER(SEARCH(IF(B$1&lt;&gt;"",B$1,"NA"),'MITRE ATT&amp;CK Mappings'!$F266))),ISNUMBER(SEARCH(IF(B$2&lt;&gt;"",B$2,"NA"),'MITRE ATT&amp;CK Mappings'!$G266))),ISNUMBER(SEARCH(IF(B$2&lt;&gt;"",B$2,"NA"),'MITRE ATT&amp;CK Mappings'!$H266))),ISNUMBER(SEARCH(IF(B$3&lt;&gt;"",B$3,"NA"),'MITRE ATT&amp;CK Mappings'!$I266))),ISNUMBER(SEARCH(IF(B$3&lt;&gt;"",B$3,"NA"),'MITRE ATT&amp;CK Mappings'!$J266))), 'MITRE ATT&amp;CK Mappings'!$B266,"")</f>
        <v/>
      </c>
      <c r="C270" s="26" t="str">
        <f>IF(OR(OR(OR(OR(OR(ISNUMBER(SEARCH(IF(C$1&lt;&gt;"",C$1,"NA"),'MITRE ATT&amp;CK Mappings'!$E266)),ISNUMBER(SEARCH(IF(C$1&lt;&gt;"",C$1,"NA"),'MITRE ATT&amp;CK Mappings'!$F266))),ISNUMBER(SEARCH(IF(C$2&lt;&gt;"",C$2,"NA"),'MITRE ATT&amp;CK Mappings'!$G266))),ISNUMBER(SEARCH(IF(C$2&lt;&gt;"",C$2,"NA"),'MITRE ATT&amp;CK Mappings'!$H266))),ISNUMBER(SEARCH(IF(C$3&lt;&gt;"",C$3,"NA"),'MITRE ATT&amp;CK Mappings'!$I266))),ISNUMBER(SEARCH(IF(C$3&lt;&gt;"",C$3,"NA"),'MITRE ATT&amp;CK Mappings'!$J266))), 'MITRE ATT&amp;CK Mappings'!$B266,"")</f>
        <v/>
      </c>
      <c r="D270" s="26" t="str">
        <f>IF(OR(OR(OR(OR(OR(ISNUMBER(SEARCH(IF(D$1&lt;&gt;"",D$1,"NA"),'MITRE ATT&amp;CK Mappings'!$E266)),ISNUMBER(SEARCH(IF(D$1&lt;&gt;"",D$1,"NA"),'MITRE ATT&amp;CK Mappings'!$F266))),ISNUMBER(SEARCH(IF(D$2&lt;&gt;"",D$2,"NA"),'MITRE ATT&amp;CK Mappings'!$G266))),ISNUMBER(SEARCH(IF(D$2&lt;&gt;"",D$2,"NA"),'MITRE ATT&amp;CK Mappings'!$H266))),ISNUMBER(SEARCH(IF(D$3&lt;&gt;"",D$3,"NA"),'MITRE ATT&amp;CK Mappings'!$I266))),ISNUMBER(SEARCH(IF(D$3&lt;&gt;"",D$3,"NA"),'MITRE ATT&amp;CK Mappings'!$J266))), 'MITRE ATT&amp;CK Mappings'!$B266,"")</f>
        <v/>
      </c>
      <c r="E270" s="26" t="str">
        <f>IF(OR(OR(OR(OR(OR(ISNUMBER(SEARCH(IF(E$1&lt;&gt;"",E$1,"NA"),'MITRE ATT&amp;CK Mappings'!$E266)),ISNUMBER(SEARCH(IF(E$1&lt;&gt;"",E$1,"NA"),'MITRE ATT&amp;CK Mappings'!$F266))),ISNUMBER(SEARCH(IF(E$2&lt;&gt;"",E$2,"NA"),'MITRE ATT&amp;CK Mappings'!$G266))),ISNUMBER(SEARCH(IF(E$2&lt;&gt;"",E$2,"NA"),'MITRE ATT&amp;CK Mappings'!$H266))),ISNUMBER(SEARCH(IF(E$3&lt;&gt;"",E$3,"NA"),'MITRE ATT&amp;CK Mappings'!$I266))),ISNUMBER(SEARCH(IF(E$3&lt;&gt;"",E$3,"NA"),'MITRE ATT&amp;CK Mappings'!$J266))), 'MITRE ATT&amp;CK Mappings'!$B266,"")</f>
        <v/>
      </c>
      <c r="F270" s="26" t="str">
        <f>IF(OR(OR(OR(OR(OR(ISNUMBER(SEARCH(IF(F$1&lt;&gt;"",F$1,"NA"),'MITRE ATT&amp;CK Mappings'!$E266)),ISNUMBER(SEARCH(IF(F$1&lt;&gt;"",F$1,"NA"),'MITRE ATT&amp;CK Mappings'!$F266))),ISNUMBER(SEARCH(IF(F$2&lt;&gt;"",F$2,"NA"),'MITRE ATT&amp;CK Mappings'!$G266))),ISNUMBER(SEARCH(IF(F$2&lt;&gt;"",F$2,"NA"),'MITRE ATT&amp;CK Mappings'!$H266))),ISNUMBER(SEARCH(IF(F$3&lt;&gt;"",F$3,"NA"),'MITRE ATT&amp;CK Mappings'!$I266))),ISNUMBER(SEARCH(IF(F$3&lt;&gt;"",F$3,"NA"),'MITRE ATT&amp;CK Mappings'!$J266))), 'MITRE ATT&amp;CK Mappings'!$B266,"")</f>
        <v/>
      </c>
      <c r="G270" s="26" t="str">
        <f>IF(OR(OR(OR(OR(OR(ISNUMBER(SEARCH(IF(G$1&lt;&gt;"",G$1,"NA"),'MITRE ATT&amp;CK Mappings'!$E266)),ISNUMBER(SEARCH(IF(G$1&lt;&gt;"",G$1,"NA"),'MITRE ATT&amp;CK Mappings'!$F266))),ISNUMBER(SEARCH(IF(G$2&lt;&gt;"",G$2,"NA"),'MITRE ATT&amp;CK Mappings'!$G266))),ISNUMBER(SEARCH(IF(G$2&lt;&gt;"",G$2,"NA"),'MITRE ATT&amp;CK Mappings'!$H266))),ISNUMBER(SEARCH(IF(G$3&lt;&gt;"",G$3,"NA"),'MITRE ATT&amp;CK Mappings'!$I266))),ISNUMBER(SEARCH(IF(G$3&lt;&gt;"",G$3,"NA"),'MITRE ATT&amp;CK Mappings'!$J266))), 'MITRE ATT&amp;CK Mappings'!$B266,"")</f>
        <v/>
      </c>
      <c r="H270" s="26" t="str">
        <f>IF(OR(OR(OR(OR(OR(ISNUMBER(SEARCH(IF(H$1&lt;&gt;"",H$1,"NA"),'MITRE ATT&amp;CK Mappings'!$E266)),ISNUMBER(SEARCH(IF(H$1&lt;&gt;"",H$1,"NA"),'MITRE ATT&amp;CK Mappings'!$F266))),ISNUMBER(SEARCH(IF(H$2&lt;&gt;"",H$2,"NA"),'MITRE ATT&amp;CK Mappings'!$G266))),ISNUMBER(SEARCH(IF(H$2&lt;&gt;"",H$2,"NA"),'MITRE ATT&amp;CK Mappings'!$H266))),ISNUMBER(SEARCH(IF(H$3&lt;&gt;"",H$3,"NA"),'MITRE ATT&amp;CK Mappings'!$I266))),ISNUMBER(SEARCH(IF(H$3&lt;&gt;"",H$3,"NA"),'MITRE ATT&amp;CK Mappings'!$J266))), 'MITRE ATT&amp;CK Mappings'!$B266,"")</f>
        <v/>
      </c>
      <c r="I270" s="26" t="str">
        <f>IF(OR(OR(OR(OR(OR(ISNUMBER(SEARCH(IF(I$1&lt;&gt;"",I$1,"NA"),'MITRE ATT&amp;CK Mappings'!$E266)),ISNUMBER(SEARCH(IF(I$1&lt;&gt;"",I$1,"NA"),'MITRE ATT&amp;CK Mappings'!$F266))),ISNUMBER(SEARCH(IF(I$2&lt;&gt;"",I$2,"NA"),'MITRE ATT&amp;CK Mappings'!$G266))),ISNUMBER(SEARCH(IF(I$2&lt;&gt;"",I$2,"NA"),'MITRE ATT&amp;CK Mappings'!$H266))),ISNUMBER(SEARCH(IF(I$3&lt;&gt;"",I$3,"NA"),'MITRE ATT&amp;CK Mappings'!$I266))),ISNUMBER(SEARCH(IF(I$3&lt;&gt;"",I$3,"NA"),'MITRE ATT&amp;CK Mappings'!$J266))), 'MITRE ATT&amp;CK Mappings'!$B266,"")</f>
        <v/>
      </c>
      <c r="J270" s="26" t="str">
        <f>IF(OR(OR(OR(OR(OR(ISNUMBER(SEARCH(IF(J$1&lt;&gt;"",J$1,"NA"),'MITRE ATT&amp;CK Mappings'!$E266)),ISNUMBER(SEARCH(IF(J$1&lt;&gt;"",J$1,"NA"),'MITRE ATT&amp;CK Mappings'!$F266))),ISNUMBER(SEARCH(IF(J$2&lt;&gt;"",J$2,"NA"),'MITRE ATT&amp;CK Mappings'!$G266))),ISNUMBER(SEARCH(IF(J$2&lt;&gt;"",J$2,"NA"),'MITRE ATT&amp;CK Mappings'!$H266))),ISNUMBER(SEARCH(IF(J$3&lt;&gt;"",J$3,"NA"),'MITRE ATT&amp;CK Mappings'!$I266))),ISNUMBER(SEARCH(IF(J$3&lt;&gt;"",J$3,"NA"),'MITRE ATT&amp;CK Mappings'!$J266))), 'MITRE ATT&amp;CK Mappings'!$B266,"")</f>
        <v/>
      </c>
      <c r="K270" s="26" t="str">
        <f>IF(OR(OR(OR(OR(OR(ISNUMBER(SEARCH(IF(K$1&lt;&gt;"",K$1,"NA"),'MITRE ATT&amp;CK Mappings'!$E266)),ISNUMBER(SEARCH(IF(K$1&lt;&gt;"",K$1,"NA"),'MITRE ATT&amp;CK Mappings'!$F266))),ISNUMBER(SEARCH(IF(K$2&lt;&gt;"",K$2,"NA"),'MITRE ATT&amp;CK Mappings'!$G266))),ISNUMBER(SEARCH(IF(K$2&lt;&gt;"",K$2,"NA"),'MITRE ATT&amp;CK Mappings'!$H266))),ISNUMBER(SEARCH(IF(K$3&lt;&gt;"",K$3,"NA"),'MITRE ATT&amp;CK Mappings'!$I266))),ISNUMBER(SEARCH(IF(K$3&lt;&gt;"",K$3,"NA"),'MITRE ATT&amp;CK Mappings'!$J266))), 'MITRE ATT&amp;CK Mappings'!$B266,"")</f>
        <v/>
      </c>
      <c r="L270" s="26" t="str">
        <f>IF('MITRE ATT&amp;CK Mappings'!D266 &lt;&gt;"",'MITRE ATT&amp;CK Mappings'!D266,"" )</f>
        <v/>
      </c>
    </row>
    <row r="271" spans="1:12" x14ac:dyDescent="0.25">
      <c r="A271" s="27" t="str">
        <f>IF(COUNTIF(B271:K271,"="&amp;'MITRE ATT&amp;CK Mappings'!B267)&gt;0,'MITRE ATT&amp;CK Mappings'!B267,"")</f>
        <v/>
      </c>
      <c r="B271" s="27" t="str">
        <f>IF(OR(OR(OR(OR(OR(ISNUMBER(SEARCH(IF(B$1&lt;&gt;"",B$1,"NA"),'MITRE ATT&amp;CK Mappings'!$E267)),ISNUMBER(SEARCH(IF(B$1&lt;&gt;"",B$1,"NA"),'MITRE ATT&amp;CK Mappings'!$F267))),ISNUMBER(SEARCH(IF(B$2&lt;&gt;"",B$2,"NA"),'MITRE ATT&amp;CK Mappings'!$G267))),ISNUMBER(SEARCH(IF(B$2&lt;&gt;"",B$2,"NA"),'MITRE ATT&amp;CK Mappings'!$H267))),ISNUMBER(SEARCH(IF(B$3&lt;&gt;"",B$3,"NA"),'MITRE ATT&amp;CK Mappings'!$I267))),ISNUMBER(SEARCH(IF(B$3&lt;&gt;"",B$3,"NA"),'MITRE ATT&amp;CK Mappings'!$J267))), 'MITRE ATT&amp;CK Mappings'!$B267,"")</f>
        <v/>
      </c>
      <c r="C271" s="27" t="str">
        <f>IF(OR(OR(OR(OR(OR(ISNUMBER(SEARCH(IF(C$1&lt;&gt;"",C$1,"NA"),'MITRE ATT&amp;CK Mappings'!$E267)),ISNUMBER(SEARCH(IF(C$1&lt;&gt;"",C$1,"NA"),'MITRE ATT&amp;CK Mappings'!$F267))),ISNUMBER(SEARCH(IF(C$2&lt;&gt;"",C$2,"NA"),'MITRE ATT&amp;CK Mappings'!$G267))),ISNUMBER(SEARCH(IF(C$2&lt;&gt;"",C$2,"NA"),'MITRE ATT&amp;CK Mappings'!$H267))),ISNUMBER(SEARCH(IF(C$3&lt;&gt;"",C$3,"NA"),'MITRE ATT&amp;CK Mappings'!$I267))),ISNUMBER(SEARCH(IF(C$3&lt;&gt;"",C$3,"NA"),'MITRE ATT&amp;CK Mappings'!$J267))), 'MITRE ATT&amp;CK Mappings'!$B267,"")</f>
        <v/>
      </c>
      <c r="D271" s="27" t="str">
        <f>IF(OR(OR(OR(OR(OR(ISNUMBER(SEARCH(IF(D$1&lt;&gt;"",D$1,"NA"),'MITRE ATT&amp;CK Mappings'!$E267)),ISNUMBER(SEARCH(IF(D$1&lt;&gt;"",D$1,"NA"),'MITRE ATT&amp;CK Mappings'!$F267))),ISNUMBER(SEARCH(IF(D$2&lt;&gt;"",D$2,"NA"),'MITRE ATT&amp;CK Mappings'!$G267))),ISNUMBER(SEARCH(IF(D$2&lt;&gt;"",D$2,"NA"),'MITRE ATT&amp;CK Mappings'!$H267))),ISNUMBER(SEARCH(IF(D$3&lt;&gt;"",D$3,"NA"),'MITRE ATT&amp;CK Mappings'!$I267))),ISNUMBER(SEARCH(IF(D$3&lt;&gt;"",D$3,"NA"),'MITRE ATT&amp;CK Mappings'!$J267))), 'MITRE ATT&amp;CK Mappings'!$B267,"")</f>
        <v/>
      </c>
      <c r="E271" s="27" t="str">
        <f>IF(OR(OR(OR(OR(OR(ISNUMBER(SEARCH(IF(E$1&lt;&gt;"",E$1,"NA"),'MITRE ATT&amp;CK Mappings'!$E267)),ISNUMBER(SEARCH(IF(E$1&lt;&gt;"",E$1,"NA"),'MITRE ATT&amp;CK Mappings'!$F267))),ISNUMBER(SEARCH(IF(E$2&lt;&gt;"",E$2,"NA"),'MITRE ATT&amp;CK Mappings'!$G267))),ISNUMBER(SEARCH(IF(E$2&lt;&gt;"",E$2,"NA"),'MITRE ATT&amp;CK Mappings'!$H267))),ISNUMBER(SEARCH(IF(E$3&lt;&gt;"",E$3,"NA"),'MITRE ATT&amp;CK Mappings'!$I267))),ISNUMBER(SEARCH(IF(E$3&lt;&gt;"",E$3,"NA"),'MITRE ATT&amp;CK Mappings'!$J267))), 'MITRE ATT&amp;CK Mappings'!$B267,"")</f>
        <v/>
      </c>
      <c r="F271" s="27" t="str">
        <f>IF(OR(OR(OR(OR(OR(ISNUMBER(SEARCH(IF(F$1&lt;&gt;"",F$1,"NA"),'MITRE ATT&amp;CK Mappings'!$E267)),ISNUMBER(SEARCH(IF(F$1&lt;&gt;"",F$1,"NA"),'MITRE ATT&amp;CK Mappings'!$F267))),ISNUMBER(SEARCH(IF(F$2&lt;&gt;"",F$2,"NA"),'MITRE ATT&amp;CK Mappings'!$G267))),ISNUMBER(SEARCH(IF(F$2&lt;&gt;"",F$2,"NA"),'MITRE ATT&amp;CK Mappings'!$H267))),ISNUMBER(SEARCH(IF(F$3&lt;&gt;"",F$3,"NA"),'MITRE ATT&amp;CK Mappings'!$I267))),ISNUMBER(SEARCH(IF(F$3&lt;&gt;"",F$3,"NA"),'MITRE ATT&amp;CK Mappings'!$J267))), 'MITRE ATT&amp;CK Mappings'!$B267,"")</f>
        <v/>
      </c>
      <c r="G271" s="27" t="str">
        <f>IF(OR(OR(OR(OR(OR(ISNUMBER(SEARCH(IF(G$1&lt;&gt;"",G$1,"NA"),'MITRE ATT&amp;CK Mappings'!$E267)),ISNUMBER(SEARCH(IF(G$1&lt;&gt;"",G$1,"NA"),'MITRE ATT&amp;CK Mappings'!$F267))),ISNUMBER(SEARCH(IF(G$2&lt;&gt;"",G$2,"NA"),'MITRE ATT&amp;CK Mappings'!$G267))),ISNUMBER(SEARCH(IF(G$2&lt;&gt;"",G$2,"NA"),'MITRE ATT&amp;CK Mappings'!$H267))),ISNUMBER(SEARCH(IF(G$3&lt;&gt;"",G$3,"NA"),'MITRE ATT&amp;CK Mappings'!$I267))),ISNUMBER(SEARCH(IF(G$3&lt;&gt;"",G$3,"NA"),'MITRE ATT&amp;CK Mappings'!$J267))), 'MITRE ATT&amp;CK Mappings'!$B267,"")</f>
        <v/>
      </c>
      <c r="H271" s="27" t="str">
        <f>IF(OR(OR(OR(OR(OR(ISNUMBER(SEARCH(IF(H$1&lt;&gt;"",H$1,"NA"),'MITRE ATT&amp;CK Mappings'!$E267)),ISNUMBER(SEARCH(IF(H$1&lt;&gt;"",H$1,"NA"),'MITRE ATT&amp;CK Mappings'!$F267))),ISNUMBER(SEARCH(IF(H$2&lt;&gt;"",H$2,"NA"),'MITRE ATT&amp;CK Mappings'!$G267))),ISNUMBER(SEARCH(IF(H$2&lt;&gt;"",H$2,"NA"),'MITRE ATT&amp;CK Mappings'!$H267))),ISNUMBER(SEARCH(IF(H$3&lt;&gt;"",H$3,"NA"),'MITRE ATT&amp;CK Mappings'!$I267))),ISNUMBER(SEARCH(IF(H$3&lt;&gt;"",H$3,"NA"),'MITRE ATT&amp;CK Mappings'!$J267))), 'MITRE ATT&amp;CK Mappings'!$B267,"")</f>
        <v/>
      </c>
      <c r="I271" s="27" t="str">
        <f>IF(OR(OR(OR(OR(OR(ISNUMBER(SEARCH(IF(I$1&lt;&gt;"",I$1,"NA"),'MITRE ATT&amp;CK Mappings'!$E267)),ISNUMBER(SEARCH(IF(I$1&lt;&gt;"",I$1,"NA"),'MITRE ATT&amp;CK Mappings'!$F267))),ISNUMBER(SEARCH(IF(I$2&lt;&gt;"",I$2,"NA"),'MITRE ATT&amp;CK Mappings'!$G267))),ISNUMBER(SEARCH(IF(I$2&lt;&gt;"",I$2,"NA"),'MITRE ATT&amp;CK Mappings'!$H267))),ISNUMBER(SEARCH(IF(I$3&lt;&gt;"",I$3,"NA"),'MITRE ATT&amp;CK Mappings'!$I267))),ISNUMBER(SEARCH(IF(I$3&lt;&gt;"",I$3,"NA"),'MITRE ATT&amp;CK Mappings'!$J267))), 'MITRE ATT&amp;CK Mappings'!$B267,"")</f>
        <v/>
      </c>
      <c r="J271" s="27" t="str">
        <f>IF(OR(OR(OR(OR(OR(ISNUMBER(SEARCH(IF(J$1&lt;&gt;"",J$1,"NA"),'MITRE ATT&amp;CK Mappings'!$E267)),ISNUMBER(SEARCH(IF(J$1&lt;&gt;"",J$1,"NA"),'MITRE ATT&amp;CK Mappings'!$F267))),ISNUMBER(SEARCH(IF(J$2&lt;&gt;"",J$2,"NA"),'MITRE ATT&amp;CK Mappings'!$G267))),ISNUMBER(SEARCH(IF(J$2&lt;&gt;"",J$2,"NA"),'MITRE ATT&amp;CK Mappings'!$H267))),ISNUMBER(SEARCH(IF(J$3&lt;&gt;"",J$3,"NA"),'MITRE ATT&amp;CK Mappings'!$I267))),ISNUMBER(SEARCH(IF(J$3&lt;&gt;"",J$3,"NA"),'MITRE ATT&amp;CK Mappings'!$J267))), 'MITRE ATT&amp;CK Mappings'!$B267,"")</f>
        <v/>
      </c>
      <c r="K271" s="27" t="str">
        <f>IF(OR(OR(OR(OR(OR(ISNUMBER(SEARCH(IF(K$1&lt;&gt;"",K$1,"NA"),'MITRE ATT&amp;CK Mappings'!$E267)),ISNUMBER(SEARCH(IF(K$1&lt;&gt;"",K$1,"NA"),'MITRE ATT&amp;CK Mappings'!$F267))),ISNUMBER(SEARCH(IF(K$2&lt;&gt;"",K$2,"NA"),'MITRE ATT&amp;CK Mappings'!$G267))),ISNUMBER(SEARCH(IF(K$2&lt;&gt;"",K$2,"NA"),'MITRE ATT&amp;CK Mappings'!$H267))),ISNUMBER(SEARCH(IF(K$3&lt;&gt;"",K$3,"NA"),'MITRE ATT&amp;CK Mappings'!$I267))),ISNUMBER(SEARCH(IF(K$3&lt;&gt;"",K$3,"NA"),'MITRE ATT&amp;CK Mappings'!$J267))), 'MITRE ATT&amp;CK Mappings'!$B267,"")</f>
        <v/>
      </c>
      <c r="L271" s="27" t="str">
        <f>IF('MITRE ATT&amp;CK Mappings'!D267 &lt;&gt;"",'MITRE ATT&amp;CK Mappings'!D267,"" )</f>
        <v/>
      </c>
    </row>
    <row r="272" spans="1:12" x14ac:dyDescent="0.25">
      <c r="A272" s="26" t="str">
        <f>IF(COUNTIF(B272:K272,"="&amp;'MITRE ATT&amp;CK Mappings'!B268)&gt;0,'MITRE ATT&amp;CK Mappings'!B268,"")</f>
        <v/>
      </c>
      <c r="B272" s="26" t="str">
        <f>IF(OR(OR(OR(OR(OR(ISNUMBER(SEARCH(IF(B$1&lt;&gt;"",B$1,"NA"),'MITRE ATT&amp;CK Mappings'!$E268)),ISNUMBER(SEARCH(IF(B$1&lt;&gt;"",B$1,"NA"),'MITRE ATT&amp;CK Mappings'!$F268))),ISNUMBER(SEARCH(IF(B$2&lt;&gt;"",B$2,"NA"),'MITRE ATT&amp;CK Mappings'!$G268))),ISNUMBER(SEARCH(IF(B$2&lt;&gt;"",B$2,"NA"),'MITRE ATT&amp;CK Mappings'!$H268))),ISNUMBER(SEARCH(IF(B$3&lt;&gt;"",B$3,"NA"),'MITRE ATT&amp;CK Mappings'!$I268))),ISNUMBER(SEARCH(IF(B$3&lt;&gt;"",B$3,"NA"),'MITRE ATT&amp;CK Mappings'!$J268))), 'MITRE ATT&amp;CK Mappings'!$B268,"")</f>
        <v/>
      </c>
      <c r="C272" s="26" t="str">
        <f>IF(OR(OR(OR(OR(OR(ISNUMBER(SEARCH(IF(C$1&lt;&gt;"",C$1,"NA"),'MITRE ATT&amp;CK Mappings'!$E268)),ISNUMBER(SEARCH(IF(C$1&lt;&gt;"",C$1,"NA"),'MITRE ATT&amp;CK Mappings'!$F268))),ISNUMBER(SEARCH(IF(C$2&lt;&gt;"",C$2,"NA"),'MITRE ATT&amp;CK Mappings'!$G268))),ISNUMBER(SEARCH(IF(C$2&lt;&gt;"",C$2,"NA"),'MITRE ATT&amp;CK Mappings'!$H268))),ISNUMBER(SEARCH(IF(C$3&lt;&gt;"",C$3,"NA"),'MITRE ATT&amp;CK Mappings'!$I268))),ISNUMBER(SEARCH(IF(C$3&lt;&gt;"",C$3,"NA"),'MITRE ATT&amp;CK Mappings'!$J268))), 'MITRE ATT&amp;CK Mappings'!$B268,"")</f>
        <v/>
      </c>
      <c r="D272" s="26" t="str">
        <f>IF(OR(OR(OR(OR(OR(ISNUMBER(SEARCH(IF(D$1&lt;&gt;"",D$1,"NA"),'MITRE ATT&amp;CK Mappings'!$E268)),ISNUMBER(SEARCH(IF(D$1&lt;&gt;"",D$1,"NA"),'MITRE ATT&amp;CK Mappings'!$F268))),ISNUMBER(SEARCH(IF(D$2&lt;&gt;"",D$2,"NA"),'MITRE ATT&amp;CK Mappings'!$G268))),ISNUMBER(SEARCH(IF(D$2&lt;&gt;"",D$2,"NA"),'MITRE ATT&amp;CK Mappings'!$H268))),ISNUMBER(SEARCH(IF(D$3&lt;&gt;"",D$3,"NA"),'MITRE ATT&amp;CK Mappings'!$I268))),ISNUMBER(SEARCH(IF(D$3&lt;&gt;"",D$3,"NA"),'MITRE ATT&amp;CK Mappings'!$J268))), 'MITRE ATT&amp;CK Mappings'!$B268,"")</f>
        <v/>
      </c>
      <c r="E272" s="26" t="str">
        <f>IF(OR(OR(OR(OR(OR(ISNUMBER(SEARCH(IF(E$1&lt;&gt;"",E$1,"NA"),'MITRE ATT&amp;CK Mappings'!$E268)),ISNUMBER(SEARCH(IF(E$1&lt;&gt;"",E$1,"NA"),'MITRE ATT&amp;CK Mappings'!$F268))),ISNUMBER(SEARCH(IF(E$2&lt;&gt;"",E$2,"NA"),'MITRE ATT&amp;CK Mappings'!$G268))),ISNUMBER(SEARCH(IF(E$2&lt;&gt;"",E$2,"NA"),'MITRE ATT&amp;CK Mappings'!$H268))),ISNUMBER(SEARCH(IF(E$3&lt;&gt;"",E$3,"NA"),'MITRE ATT&amp;CK Mappings'!$I268))),ISNUMBER(SEARCH(IF(E$3&lt;&gt;"",E$3,"NA"),'MITRE ATT&amp;CK Mappings'!$J268))), 'MITRE ATT&amp;CK Mappings'!$B268,"")</f>
        <v/>
      </c>
      <c r="F272" s="26" t="str">
        <f>IF(OR(OR(OR(OR(OR(ISNUMBER(SEARCH(IF(F$1&lt;&gt;"",F$1,"NA"),'MITRE ATT&amp;CK Mappings'!$E268)),ISNUMBER(SEARCH(IF(F$1&lt;&gt;"",F$1,"NA"),'MITRE ATT&amp;CK Mappings'!$F268))),ISNUMBER(SEARCH(IF(F$2&lt;&gt;"",F$2,"NA"),'MITRE ATT&amp;CK Mappings'!$G268))),ISNUMBER(SEARCH(IF(F$2&lt;&gt;"",F$2,"NA"),'MITRE ATT&amp;CK Mappings'!$H268))),ISNUMBER(SEARCH(IF(F$3&lt;&gt;"",F$3,"NA"),'MITRE ATT&amp;CK Mappings'!$I268))),ISNUMBER(SEARCH(IF(F$3&lt;&gt;"",F$3,"NA"),'MITRE ATT&amp;CK Mappings'!$J268))), 'MITRE ATT&amp;CK Mappings'!$B268,"")</f>
        <v/>
      </c>
      <c r="G272" s="26" t="str">
        <f>IF(OR(OR(OR(OR(OR(ISNUMBER(SEARCH(IF(G$1&lt;&gt;"",G$1,"NA"),'MITRE ATT&amp;CK Mappings'!$E268)),ISNUMBER(SEARCH(IF(G$1&lt;&gt;"",G$1,"NA"),'MITRE ATT&amp;CK Mappings'!$F268))),ISNUMBER(SEARCH(IF(G$2&lt;&gt;"",G$2,"NA"),'MITRE ATT&amp;CK Mappings'!$G268))),ISNUMBER(SEARCH(IF(G$2&lt;&gt;"",G$2,"NA"),'MITRE ATT&amp;CK Mappings'!$H268))),ISNUMBER(SEARCH(IF(G$3&lt;&gt;"",G$3,"NA"),'MITRE ATT&amp;CK Mappings'!$I268))),ISNUMBER(SEARCH(IF(G$3&lt;&gt;"",G$3,"NA"),'MITRE ATT&amp;CK Mappings'!$J268))), 'MITRE ATT&amp;CK Mappings'!$B268,"")</f>
        <v/>
      </c>
      <c r="H272" s="26" t="str">
        <f>IF(OR(OR(OR(OR(OR(ISNUMBER(SEARCH(IF(H$1&lt;&gt;"",H$1,"NA"),'MITRE ATT&amp;CK Mappings'!$E268)),ISNUMBER(SEARCH(IF(H$1&lt;&gt;"",H$1,"NA"),'MITRE ATT&amp;CK Mappings'!$F268))),ISNUMBER(SEARCH(IF(H$2&lt;&gt;"",H$2,"NA"),'MITRE ATT&amp;CK Mappings'!$G268))),ISNUMBER(SEARCH(IF(H$2&lt;&gt;"",H$2,"NA"),'MITRE ATT&amp;CK Mappings'!$H268))),ISNUMBER(SEARCH(IF(H$3&lt;&gt;"",H$3,"NA"),'MITRE ATT&amp;CK Mappings'!$I268))),ISNUMBER(SEARCH(IF(H$3&lt;&gt;"",H$3,"NA"),'MITRE ATT&amp;CK Mappings'!$J268))), 'MITRE ATT&amp;CK Mappings'!$B268,"")</f>
        <v/>
      </c>
      <c r="I272" s="26" t="str">
        <f>IF(OR(OR(OR(OR(OR(ISNUMBER(SEARCH(IF(I$1&lt;&gt;"",I$1,"NA"),'MITRE ATT&amp;CK Mappings'!$E268)),ISNUMBER(SEARCH(IF(I$1&lt;&gt;"",I$1,"NA"),'MITRE ATT&amp;CK Mappings'!$F268))),ISNUMBER(SEARCH(IF(I$2&lt;&gt;"",I$2,"NA"),'MITRE ATT&amp;CK Mappings'!$G268))),ISNUMBER(SEARCH(IF(I$2&lt;&gt;"",I$2,"NA"),'MITRE ATT&amp;CK Mappings'!$H268))),ISNUMBER(SEARCH(IF(I$3&lt;&gt;"",I$3,"NA"),'MITRE ATT&amp;CK Mappings'!$I268))),ISNUMBER(SEARCH(IF(I$3&lt;&gt;"",I$3,"NA"),'MITRE ATT&amp;CK Mappings'!$J268))), 'MITRE ATT&amp;CK Mappings'!$B268,"")</f>
        <v/>
      </c>
      <c r="J272" s="26" t="str">
        <f>IF(OR(OR(OR(OR(OR(ISNUMBER(SEARCH(IF(J$1&lt;&gt;"",J$1,"NA"),'MITRE ATT&amp;CK Mappings'!$E268)),ISNUMBER(SEARCH(IF(J$1&lt;&gt;"",J$1,"NA"),'MITRE ATT&amp;CK Mappings'!$F268))),ISNUMBER(SEARCH(IF(J$2&lt;&gt;"",J$2,"NA"),'MITRE ATT&amp;CK Mappings'!$G268))),ISNUMBER(SEARCH(IF(J$2&lt;&gt;"",J$2,"NA"),'MITRE ATT&amp;CK Mappings'!$H268))),ISNUMBER(SEARCH(IF(J$3&lt;&gt;"",J$3,"NA"),'MITRE ATT&amp;CK Mappings'!$I268))),ISNUMBER(SEARCH(IF(J$3&lt;&gt;"",J$3,"NA"),'MITRE ATT&amp;CK Mappings'!$J268))), 'MITRE ATT&amp;CK Mappings'!$B268,"")</f>
        <v/>
      </c>
      <c r="K272" s="26" t="str">
        <f>IF(OR(OR(OR(OR(OR(ISNUMBER(SEARCH(IF(K$1&lt;&gt;"",K$1,"NA"),'MITRE ATT&amp;CK Mappings'!$E268)),ISNUMBER(SEARCH(IF(K$1&lt;&gt;"",K$1,"NA"),'MITRE ATT&amp;CK Mappings'!$F268))),ISNUMBER(SEARCH(IF(K$2&lt;&gt;"",K$2,"NA"),'MITRE ATT&amp;CK Mappings'!$G268))),ISNUMBER(SEARCH(IF(K$2&lt;&gt;"",K$2,"NA"),'MITRE ATT&amp;CK Mappings'!$H268))),ISNUMBER(SEARCH(IF(K$3&lt;&gt;"",K$3,"NA"),'MITRE ATT&amp;CK Mappings'!$I268))),ISNUMBER(SEARCH(IF(K$3&lt;&gt;"",K$3,"NA"),'MITRE ATT&amp;CK Mappings'!$J268))), 'MITRE ATT&amp;CK Mappings'!$B268,"")</f>
        <v/>
      </c>
      <c r="L272" s="26" t="str">
        <f>IF('MITRE ATT&amp;CK Mappings'!D268 &lt;&gt;"",'MITRE ATT&amp;CK Mappings'!D268,"" )</f>
        <v/>
      </c>
    </row>
    <row r="273" spans="1:12" x14ac:dyDescent="0.25">
      <c r="A273" s="27" t="str">
        <f>IF(COUNTIF(B273:K273,"="&amp;'MITRE ATT&amp;CK Mappings'!B269)&gt;0,'MITRE ATT&amp;CK Mappings'!B269,"")</f>
        <v/>
      </c>
      <c r="B273" s="27" t="str">
        <f>IF(OR(OR(OR(OR(OR(ISNUMBER(SEARCH(IF(B$1&lt;&gt;"",B$1,"NA"),'MITRE ATT&amp;CK Mappings'!$E269)),ISNUMBER(SEARCH(IF(B$1&lt;&gt;"",B$1,"NA"),'MITRE ATT&amp;CK Mappings'!$F269))),ISNUMBER(SEARCH(IF(B$2&lt;&gt;"",B$2,"NA"),'MITRE ATT&amp;CK Mappings'!$G269))),ISNUMBER(SEARCH(IF(B$2&lt;&gt;"",B$2,"NA"),'MITRE ATT&amp;CK Mappings'!$H269))),ISNUMBER(SEARCH(IF(B$3&lt;&gt;"",B$3,"NA"),'MITRE ATT&amp;CK Mappings'!$I269))),ISNUMBER(SEARCH(IF(B$3&lt;&gt;"",B$3,"NA"),'MITRE ATT&amp;CK Mappings'!$J269))), 'MITRE ATT&amp;CK Mappings'!$B269,"")</f>
        <v/>
      </c>
      <c r="C273" s="27" t="str">
        <f>IF(OR(OR(OR(OR(OR(ISNUMBER(SEARCH(IF(C$1&lt;&gt;"",C$1,"NA"),'MITRE ATT&amp;CK Mappings'!$E269)),ISNUMBER(SEARCH(IF(C$1&lt;&gt;"",C$1,"NA"),'MITRE ATT&amp;CK Mappings'!$F269))),ISNUMBER(SEARCH(IF(C$2&lt;&gt;"",C$2,"NA"),'MITRE ATT&amp;CK Mappings'!$G269))),ISNUMBER(SEARCH(IF(C$2&lt;&gt;"",C$2,"NA"),'MITRE ATT&amp;CK Mappings'!$H269))),ISNUMBER(SEARCH(IF(C$3&lt;&gt;"",C$3,"NA"),'MITRE ATT&amp;CK Mappings'!$I269))),ISNUMBER(SEARCH(IF(C$3&lt;&gt;"",C$3,"NA"),'MITRE ATT&amp;CK Mappings'!$J269))), 'MITRE ATT&amp;CK Mappings'!$B269,"")</f>
        <v/>
      </c>
      <c r="D273" s="27" t="str">
        <f>IF(OR(OR(OR(OR(OR(ISNUMBER(SEARCH(IF(D$1&lt;&gt;"",D$1,"NA"),'MITRE ATT&amp;CK Mappings'!$E269)),ISNUMBER(SEARCH(IF(D$1&lt;&gt;"",D$1,"NA"),'MITRE ATT&amp;CK Mappings'!$F269))),ISNUMBER(SEARCH(IF(D$2&lt;&gt;"",D$2,"NA"),'MITRE ATT&amp;CK Mappings'!$G269))),ISNUMBER(SEARCH(IF(D$2&lt;&gt;"",D$2,"NA"),'MITRE ATT&amp;CK Mappings'!$H269))),ISNUMBER(SEARCH(IF(D$3&lt;&gt;"",D$3,"NA"),'MITRE ATT&amp;CK Mappings'!$I269))),ISNUMBER(SEARCH(IF(D$3&lt;&gt;"",D$3,"NA"),'MITRE ATT&amp;CK Mappings'!$J269))), 'MITRE ATT&amp;CK Mappings'!$B269,"")</f>
        <v/>
      </c>
      <c r="E273" s="27" t="str">
        <f>IF(OR(OR(OR(OR(OR(ISNUMBER(SEARCH(IF(E$1&lt;&gt;"",E$1,"NA"),'MITRE ATT&amp;CK Mappings'!$E269)),ISNUMBER(SEARCH(IF(E$1&lt;&gt;"",E$1,"NA"),'MITRE ATT&amp;CK Mappings'!$F269))),ISNUMBER(SEARCH(IF(E$2&lt;&gt;"",E$2,"NA"),'MITRE ATT&amp;CK Mappings'!$G269))),ISNUMBER(SEARCH(IF(E$2&lt;&gt;"",E$2,"NA"),'MITRE ATT&amp;CK Mappings'!$H269))),ISNUMBER(SEARCH(IF(E$3&lt;&gt;"",E$3,"NA"),'MITRE ATT&amp;CK Mappings'!$I269))),ISNUMBER(SEARCH(IF(E$3&lt;&gt;"",E$3,"NA"),'MITRE ATT&amp;CK Mappings'!$J269))), 'MITRE ATT&amp;CK Mappings'!$B269,"")</f>
        <v/>
      </c>
      <c r="F273" s="27" t="str">
        <f>IF(OR(OR(OR(OR(OR(ISNUMBER(SEARCH(IF(F$1&lt;&gt;"",F$1,"NA"),'MITRE ATT&amp;CK Mappings'!$E269)),ISNUMBER(SEARCH(IF(F$1&lt;&gt;"",F$1,"NA"),'MITRE ATT&amp;CK Mappings'!$F269))),ISNUMBER(SEARCH(IF(F$2&lt;&gt;"",F$2,"NA"),'MITRE ATT&amp;CK Mappings'!$G269))),ISNUMBER(SEARCH(IF(F$2&lt;&gt;"",F$2,"NA"),'MITRE ATT&amp;CK Mappings'!$H269))),ISNUMBER(SEARCH(IF(F$3&lt;&gt;"",F$3,"NA"),'MITRE ATT&amp;CK Mappings'!$I269))),ISNUMBER(SEARCH(IF(F$3&lt;&gt;"",F$3,"NA"),'MITRE ATT&amp;CK Mappings'!$J269))), 'MITRE ATT&amp;CK Mappings'!$B269,"")</f>
        <v/>
      </c>
      <c r="G273" s="27" t="str">
        <f>IF(OR(OR(OR(OR(OR(ISNUMBER(SEARCH(IF(G$1&lt;&gt;"",G$1,"NA"),'MITRE ATT&amp;CK Mappings'!$E269)),ISNUMBER(SEARCH(IF(G$1&lt;&gt;"",G$1,"NA"),'MITRE ATT&amp;CK Mappings'!$F269))),ISNUMBER(SEARCH(IF(G$2&lt;&gt;"",G$2,"NA"),'MITRE ATT&amp;CK Mappings'!$G269))),ISNUMBER(SEARCH(IF(G$2&lt;&gt;"",G$2,"NA"),'MITRE ATT&amp;CK Mappings'!$H269))),ISNUMBER(SEARCH(IF(G$3&lt;&gt;"",G$3,"NA"),'MITRE ATT&amp;CK Mappings'!$I269))),ISNUMBER(SEARCH(IF(G$3&lt;&gt;"",G$3,"NA"),'MITRE ATT&amp;CK Mappings'!$J269))), 'MITRE ATT&amp;CK Mappings'!$B269,"")</f>
        <v/>
      </c>
      <c r="H273" s="27" t="str">
        <f>IF(OR(OR(OR(OR(OR(ISNUMBER(SEARCH(IF(H$1&lt;&gt;"",H$1,"NA"),'MITRE ATT&amp;CK Mappings'!$E269)),ISNUMBER(SEARCH(IF(H$1&lt;&gt;"",H$1,"NA"),'MITRE ATT&amp;CK Mappings'!$F269))),ISNUMBER(SEARCH(IF(H$2&lt;&gt;"",H$2,"NA"),'MITRE ATT&amp;CK Mappings'!$G269))),ISNUMBER(SEARCH(IF(H$2&lt;&gt;"",H$2,"NA"),'MITRE ATT&amp;CK Mappings'!$H269))),ISNUMBER(SEARCH(IF(H$3&lt;&gt;"",H$3,"NA"),'MITRE ATT&amp;CK Mappings'!$I269))),ISNUMBER(SEARCH(IF(H$3&lt;&gt;"",H$3,"NA"),'MITRE ATT&amp;CK Mappings'!$J269))), 'MITRE ATT&amp;CK Mappings'!$B269,"")</f>
        <v/>
      </c>
      <c r="I273" s="27" t="str">
        <f>IF(OR(OR(OR(OR(OR(ISNUMBER(SEARCH(IF(I$1&lt;&gt;"",I$1,"NA"),'MITRE ATT&amp;CK Mappings'!$E269)),ISNUMBER(SEARCH(IF(I$1&lt;&gt;"",I$1,"NA"),'MITRE ATT&amp;CK Mappings'!$F269))),ISNUMBER(SEARCH(IF(I$2&lt;&gt;"",I$2,"NA"),'MITRE ATT&amp;CK Mappings'!$G269))),ISNUMBER(SEARCH(IF(I$2&lt;&gt;"",I$2,"NA"),'MITRE ATT&amp;CK Mappings'!$H269))),ISNUMBER(SEARCH(IF(I$3&lt;&gt;"",I$3,"NA"),'MITRE ATT&amp;CK Mappings'!$I269))),ISNUMBER(SEARCH(IF(I$3&lt;&gt;"",I$3,"NA"),'MITRE ATT&amp;CK Mappings'!$J269))), 'MITRE ATT&amp;CK Mappings'!$B269,"")</f>
        <v/>
      </c>
      <c r="J273" s="27" t="str">
        <f>IF(OR(OR(OR(OR(OR(ISNUMBER(SEARCH(IF(J$1&lt;&gt;"",J$1,"NA"),'MITRE ATT&amp;CK Mappings'!$E269)),ISNUMBER(SEARCH(IF(J$1&lt;&gt;"",J$1,"NA"),'MITRE ATT&amp;CK Mappings'!$F269))),ISNUMBER(SEARCH(IF(J$2&lt;&gt;"",J$2,"NA"),'MITRE ATT&amp;CK Mappings'!$G269))),ISNUMBER(SEARCH(IF(J$2&lt;&gt;"",J$2,"NA"),'MITRE ATT&amp;CK Mappings'!$H269))),ISNUMBER(SEARCH(IF(J$3&lt;&gt;"",J$3,"NA"),'MITRE ATT&amp;CK Mappings'!$I269))),ISNUMBER(SEARCH(IF(J$3&lt;&gt;"",J$3,"NA"),'MITRE ATT&amp;CK Mappings'!$J269))), 'MITRE ATT&amp;CK Mappings'!$B269,"")</f>
        <v/>
      </c>
      <c r="K273" s="27" t="str">
        <f>IF(OR(OR(OR(OR(OR(ISNUMBER(SEARCH(IF(K$1&lt;&gt;"",K$1,"NA"),'MITRE ATT&amp;CK Mappings'!$E269)),ISNUMBER(SEARCH(IF(K$1&lt;&gt;"",K$1,"NA"),'MITRE ATT&amp;CK Mappings'!$F269))),ISNUMBER(SEARCH(IF(K$2&lt;&gt;"",K$2,"NA"),'MITRE ATT&amp;CK Mappings'!$G269))),ISNUMBER(SEARCH(IF(K$2&lt;&gt;"",K$2,"NA"),'MITRE ATT&amp;CK Mappings'!$H269))),ISNUMBER(SEARCH(IF(K$3&lt;&gt;"",K$3,"NA"),'MITRE ATT&amp;CK Mappings'!$I269))),ISNUMBER(SEARCH(IF(K$3&lt;&gt;"",K$3,"NA"),'MITRE ATT&amp;CK Mappings'!$J269))), 'MITRE ATT&amp;CK Mappings'!$B269,"")</f>
        <v/>
      </c>
      <c r="L273" s="27" t="str">
        <f>IF('MITRE ATT&amp;CK Mappings'!D269 &lt;&gt;"",'MITRE ATT&amp;CK Mappings'!D269,"" )</f>
        <v/>
      </c>
    </row>
    <row r="274" spans="1:12" x14ac:dyDescent="0.25">
      <c r="A274" s="26" t="str">
        <f>IF(COUNTIF(B274:K274,"="&amp;'MITRE ATT&amp;CK Mappings'!B270)&gt;0,'MITRE ATT&amp;CK Mappings'!B270,"")</f>
        <v/>
      </c>
      <c r="B274" s="26" t="str">
        <f>IF(OR(OR(OR(OR(OR(ISNUMBER(SEARCH(IF(B$1&lt;&gt;"",B$1,"NA"),'MITRE ATT&amp;CK Mappings'!$E270)),ISNUMBER(SEARCH(IF(B$1&lt;&gt;"",B$1,"NA"),'MITRE ATT&amp;CK Mappings'!$F270))),ISNUMBER(SEARCH(IF(B$2&lt;&gt;"",B$2,"NA"),'MITRE ATT&amp;CK Mappings'!$G270))),ISNUMBER(SEARCH(IF(B$2&lt;&gt;"",B$2,"NA"),'MITRE ATT&amp;CK Mappings'!$H270))),ISNUMBER(SEARCH(IF(B$3&lt;&gt;"",B$3,"NA"),'MITRE ATT&amp;CK Mappings'!$I270))),ISNUMBER(SEARCH(IF(B$3&lt;&gt;"",B$3,"NA"),'MITRE ATT&amp;CK Mappings'!$J270))), 'MITRE ATT&amp;CK Mappings'!$B270,"")</f>
        <v/>
      </c>
      <c r="C274" s="26" t="str">
        <f>IF(OR(OR(OR(OR(OR(ISNUMBER(SEARCH(IF(C$1&lt;&gt;"",C$1,"NA"),'MITRE ATT&amp;CK Mappings'!$E270)),ISNUMBER(SEARCH(IF(C$1&lt;&gt;"",C$1,"NA"),'MITRE ATT&amp;CK Mappings'!$F270))),ISNUMBER(SEARCH(IF(C$2&lt;&gt;"",C$2,"NA"),'MITRE ATT&amp;CK Mappings'!$G270))),ISNUMBER(SEARCH(IF(C$2&lt;&gt;"",C$2,"NA"),'MITRE ATT&amp;CK Mappings'!$H270))),ISNUMBER(SEARCH(IF(C$3&lt;&gt;"",C$3,"NA"),'MITRE ATT&amp;CK Mappings'!$I270))),ISNUMBER(SEARCH(IF(C$3&lt;&gt;"",C$3,"NA"),'MITRE ATT&amp;CK Mappings'!$J270))), 'MITRE ATT&amp;CK Mappings'!$B270,"")</f>
        <v/>
      </c>
      <c r="D274" s="26" t="str">
        <f>IF(OR(OR(OR(OR(OR(ISNUMBER(SEARCH(IF(D$1&lt;&gt;"",D$1,"NA"),'MITRE ATT&amp;CK Mappings'!$E270)),ISNUMBER(SEARCH(IF(D$1&lt;&gt;"",D$1,"NA"),'MITRE ATT&amp;CK Mappings'!$F270))),ISNUMBER(SEARCH(IF(D$2&lt;&gt;"",D$2,"NA"),'MITRE ATT&amp;CK Mappings'!$G270))),ISNUMBER(SEARCH(IF(D$2&lt;&gt;"",D$2,"NA"),'MITRE ATT&amp;CK Mappings'!$H270))),ISNUMBER(SEARCH(IF(D$3&lt;&gt;"",D$3,"NA"),'MITRE ATT&amp;CK Mappings'!$I270))),ISNUMBER(SEARCH(IF(D$3&lt;&gt;"",D$3,"NA"),'MITRE ATT&amp;CK Mappings'!$J270))), 'MITRE ATT&amp;CK Mappings'!$B270,"")</f>
        <v/>
      </c>
      <c r="E274" s="26" t="str">
        <f>IF(OR(OR(OR(OR(OR(ISNUMBER(SEARCH(IF(E$1&lt;&gt;"",E$1,"NA"),'MITRE ATT&amp;CK Mappings'!$E270)),ISNUMBER(SEARCH(IF(E$1&lt;&gt;"",E$1,"NA"),'MITRE ATT&amp;CK Mappings'!$F270))),ISNUMBER(SEARCH(IF(E$2&lt;&gt;"",E$2,"NA"),'MITRE ATT&amp;CK Mappings'!$G270))),ISNUMBER(SEARCH(IF(E$2&lt;&gt;"",E$2,"NA"),'MITRE ATT&amp;CK Mappings'!$H270))),ISNUMBER(SEARCH(IF(E$3&lt;&gt;"",E$3,"NA"),'MITRE ATT&amp;CK Mappings'!$I270))),ISNUMBER(SEARCH(IF(E$3&lt;&gt;"",E$3,"NA"),'MITRE ATT&amp;CK Mappings'!$J270))), 'MITRE ATT&amp;CK Mappings'!$B270,"")</f>
        <v/>
      </c>
      <c r="F274" s="26" t="str">
        <f>IF(OR(OR(OR(OR(OR(ISNUMBER(SEARCH(IF(F$1&lt;&gt;"",F$1,"NA"),'MITRE ATT&amp;CK Mappings'!$E270)),ISNUMBER(SEARCH(IF(F$1&lt;&gt;"",F$1,"NA"),'MITRE ATT&amp;CK Mappings'!$F270))),ISNUMBER(SEARCH(IF(F$2&lt;&gt;"",F$2,"NA"),'MITRE ATT&amp;CK Mappings'!$G270))),ISNUMBER(SEARCH(IF(F$2&lt;&gt;"",F$2,"NA"),'MITRE ATT&amp;CK Mappings'!$H270))),ISNUMBER(SEARCH(IF(F$3&lt;&gt;"",F$3,"NA"),'MITRE ATT&amp;CK Mappings'!$I270))),ISNUMBER(SEARCH(IF(F$3&lt;&gt;"",F$3,"NA"),'MITRE ATT&amp;CK Mappings'!$J270))), 'MITRE ATT&amp;CK Mappings'!$B270,"")</f>
        <v/>
      </c>
      <c r="G274" s="26" t="str">
        <f>IF(OR(OR(OR(OR(OR(ISNUMBER(SEARCH(IF(G$1&lt;&gt;"",G$1,"NA"),'MITRE ATT&amp;CK Mappings'!$E270)),ISNUMBER(SEARCH(IF(G$1&lt;&gt;"",G$1,"NA"),'MITRE ATT&amp;CK Mappings'!$F270))),ISNUMBER(SEARCH(IF(G$2&lt;&gt;"",G$2,"NA"),'MITRE ATT&amp;CK Mappings'!$G270))),ISNUMBER(SEARCH(IF(G$2&lt;&gt;"",G$2,"NA"),'MITRE ATT&amp;CK Mappings'!$H270))),ISNUMBER(SEARCH(IF(G$3&lt;&gt;"",G$3,"NA"),'MITRE ATT&amp;CK Mappings'!$I270))),ISNUMBER(SEARCH(IF(G$3&lt;&gt;"",G$3,"NA"),'MITRE ATT&amp;CK Mappings'!$J270))), 'MITRE ATT&amp;CK Mappings'!$B270,"")</f>
        <v/>
      </c>
      <c r="H274" s="26" t="str">
        <f>IF(OR(OR(OR(OR(OR(ISNUMBER(SEARCH(IF(H$1&lt;&gt;"",H$1,"NA"),'MITRE ATT&amp;CK Mappings'!$E270)),ISNUMBER(SEARCH(IF(H$1&lt;&gt;"",H$1,"NA"),'MITRE ATT&amp;CK Mappings'!$F270))),ISNUMBER(SEARCH(IF(H$2&lt;&gt;"",H$2,"NA"),'MITRE ATT&amp;CK Mappings'!$G270))),ISNUMBER(SEARCH(IF(H$2&lt;&gt;"",H$2,"NA"),'MITRE ATT&amp;CK Mappings'!$H270))),ISNUMBER(SEARCH(IF(H$3&lt;&gt;"",H$3,"NA"),'MITRE ATT&amp;CK Mappings'!$I270))),ISNUMBER(SEARCH(IF(H$3&lt;&gt;"",H$3,"NA"),'MITRE ATT&amp;CK Mappings'!$J270))), 'MITRE ATT&amp;CK Mappings'!$B270,"")</f>
        <v/>
      </c>
      <c r="I274" s="26" t="str">
        <f>IF(OR(OR(OR(OR(OR(ISNUMBER(SEARCH(IF(I$1&lt;&gt;"",I$1,"NA"),'MITRE ATT&amp;CK Mappings'!$E270)),ISNUMBER(SEARCH(IF(I$1&lt;&gt;"",I$1,"NA"),'MITRE ATT&amp;CK Mappings'!$F270))),ISNUMBER(SEARCH(IF(I$2&lt;&gt;"",I$2,"NA"),'MITRE ATT&amp;CK Mappings'!$G270))),ISNUMBER(SEARCH(IF(I$2&lt;&gt;"",I$2,"NA"),'MITRE ATT&amp;CK Mappings'!$H270))),ISNUMBER(SEARCH(IF(I$3&lt;&gt;"",I$3,"NA"),'MITRE ATT&amp;CK Mappings'!$I270))),ISNUMBER(SEARCH(IF(I$3&lt;&gt;"",I$3,"NA"),'MITRE ATT&amp;CK Mappings'!$J270))), 'MITRE ATT&amp;CK Mappings'!$B270,"")</f>
        <v/>
      </c>
      <c r="J274" s="26" t="str">
        <f>IF(OR(OR(OR(OR(OR(ISNUMBER(SEARCH(IF(J$1&lt;&gt;"",J$1,"NA"),'MITRE ATT&amp;CK Mappings'!$E270)),ISNUMBER(SEARCH(IF(J$1&lt;&gt;"",J$1,"NA"),'MITRE ATT&amp;CK Mappings'!$F270))),ISNUMBER(SEARCH(IF(J$2&lt;&gt;"",J$2,"NA"),'MITRE ATT&amp;CK Mappings'!$G270))),ISNUMBER(SEARCH(IF(J$2&lt;&gt;"",J$2,"NA"),'MITRE ATT&amp;CK Mappings'!$H270))),ISNUMBER(SEARCH(IF(J$3&lt;&gt;"",J$3,"NA"),'MITRE ATT&amp;CK Mappings'!$I270))),ISNUMBER(SEARCH(IF(J$3&lt;&gt;"",J$3,"NA"),'MITRE ATT&amp;CK Mappings'!$J270))), 'MITRE ATT&amp;CK Mappings'!$B270,"")</f>
        <v/>
      </c>
      <c r="K274" s="26" t="str">
        <f>IF(OR(OR(OR(OR(OR(ISNUMBER(SEARCH(IF(K$1&lt;&gt;"",K$1,"NA"),'MITRE ATT&amp;CK Mappings'!$E270)),ISNUMBER(SEARCH(IF(K$1&lt;&gt;"",K$1,"NA"),'MITRE ATT&amp;CK Mappings'!$F270))),ISNUMBER(SEARCH(IF(K$2&lt;&gt;"",K$2,"NA"),'MITRE ATT&amp;CK Mappings'!$G270))),ISNUMBER(SEARCH(IF(K$2&lt;&gt;"",K$2,"NA"),'MITRE ATT&amp;CK Mappings'!$H270))),ISNUMBER(SEARCH(IF(K$3&lt;&gt;"",K$3,"NA"),'MITRE ATT&amp;CK Mappings'!$I270))),ISNUMBER(SEARCH(IF(K$3&lt;&gt;"",K$3,"NA"),'MITRE ATT&amp;CK Mappings'!$J270))), 'MITRE ATT&amp;CK Mappings'!$B270,"")</f>
        <v/>
      </c>
      <c r="L274" s="26" t="str">
        <f>IF('MITRE ATT&amp;CK Mappings'!D270 &lt;&gt;"",'MITRE ATT&amp;CK Mappings'!D270,"" )</f>
        <v/>
      </c>
    </row>
    <row r="275" spans="1:12" x14ac:dyDescent="0.25">
      <c r="A275" s="27" t="str">
        <f>IF(COUNTIF(B275:K275,"="&amp;'MITRE ATT&amp;CK Mappings'!B271)&gt;0,'MITRE ATT&amp;CK Mappings'!B271,"")</f>
        <v/>
      </c>
      <c r="B275" s="27" t="str">
        <f>IF(OR(OR(OR(OR(OR(ISNUMBER(SEARCH(IF(B$1&lt;&gt;"",B$1,"NA"),'MITRE ATT&amp;CK Mappings'!$E271)),ISNUMBER(SEARCH(IF(B$1&lt;&gt;"",B$1,"NA"),'MITRE ATT&amp;CK Mappings'!$F271))),ISNUMBER(SEARCH(IF(B$2&lt;&gt;"",B$2,"NA"),'MITRE ATT&amp;CK Mappings'!$G271))),ISNUMBER(SEARCH(IF(B$2&lt;&gt;"",B$2,"NA"),'MITRE ATT&amp;CK Mappings'!$H271))),ISNUMBER(SEARCH(IF(B$3&lt;&gt;"",B$3,"NA"),'MITRE ATT&amp;CK Mappings'!$I271))),ISNUMBER(SEARCH(IF(B$3&lt;&gt;"",B$3,"NA"),'MITRE ATT&amp;CK Mappings'!$J271))), 'MITRE ATT&amp;CK Mappings'!$B271,"")</f>
        <v/>
      </c>
      <c r="C275" s="27" t="str">
        <f>IF(OR(OR(OR(OR(OR(ISNUMBER(SEARCH(IF(C$1&lt;&gt;"",C$1,"NA"),'MITRE ATT&amp;CK Mappings'!$E271)),ISNUMBER(SEARCH(IF(C$1&lt;&gt;"",C$1,"NA"),'MITRE ATT&amp;CK Mappings'!$F271))),ISNUMBER(SEARCH(IF(C$2&lt;&gt;"",C$2,"NA"),'MITRE ATT&amp;CK Mappings'!$G271))),ISNUMBER(SEARCH(IF(C$2&lt;&gt;"",C$2,"NA"),'MITRE ATT&amp;CK Mappings'!$H271))),ISNUMBER(SEARCH(IF(C$3&lt;&gt;"",C$3,"NA"),'MITRE ATT&amp;CK Mappings'!$I271))),ISNUMBER(SEARCH(IF(C$3&lt;&gt;"",C$3,"NA"),'MITRE ATT&amp;CK Mappings'!$J271))), 'MITRE ATT&amp;CK Mappings'!$B271,"")</f>
        <v/>
      </c>
      <c r="D275" s="27" t="str">
        <f>IF(OR(OR(OR(OR(OR(ISNUMBER(SEARCH(IF(D$1&lt;&gt;"",D$1,"NA"),'MITRE ATT&amp;CK Mappings'!$E271)),ISNUMBER(SEARCH(IF(D$1&lt;&gt;"",D$1,"NA"),'MITRE ATT&amp;CK Mappings'!$F271))),ISNUMBER(SEARCH(IF(D$2&lt;&gt;"",D$2,"NA"),'MITRE ATT&amp;CK Mappings'!$G271))),ISNUMBER(SEARCH(IF(D$2&lt;&gt;"",D$2,"NA"),'MITRE ATT&amp;CK Mappings'!$H271))),ISNUMBER(SEARCH(IF(D$3&lt;&gt;"",D$3,"NA"),'MITRE ATT&amp;CK Mappings'!$I271))),ISNUMBER(SEARCH(IF(D$3&lt;&gt;"",D$3,"NA"),'MITRE ATT&amp;CK Mappings'!$J271))), 'MITRE ATT&amp;CK Mappings'!$B271,"")</f>
        <v/>
      </c>
      <c r="E275" s="27" t="str">
        <f>IF(OR(OR(OR(OR(OR(ISNUMBER(SEARCH(IF(E$1&lt;&gt;"",E$1,"NA"),'MITRE ATT&amp;CK Mappings'!$E271)),ISNUMBER(SEARCH(IF(E$1&lt;&gt;"",E$1,"NA"),'MITRE ATT&amp;CK Mappings'!$F271))),ISNUMBER(SEARCH(IF(E$2&lt;&gt;"",E$2,"NA"),'MITRE ATT&amp;CK Mappings'!$G271))),ISNUMBER(SEARCH(IF(E$2&lt;&gt;"",E$2,"NA"),'MITRE ATT&amp;CK Mappings'!$H271))),ISNUMBER(SEARCH(IF(E$3&lt;&gt;"",E$3,"NA"),'MITRE ATT&amp;CK Mappings'!$I271))),ISNUMBER(SEARCH(IF(E$3&lt;&gt;"",E$3,"NA"),'MITRE ATT&amp;CK Mappings'!$J271))), 'MITRE ATT&amp;CK Mappings'!$B271,"")</f>
        <v/>
      </c>
      <c r="F275" s="27" t="str">
        <f>IF(OR(OR(OR(OR(OR(ISNUMBER(SEARCH(IF(F$1&lt;&gt;"",F$1,"NA"),'MITRE ATT&amp;CK Mappings'!$E271)),ISNUMBER(SEARCH(IF(F$1&lt;&gt;"",F$1,"NA"),'MITRE ATT&amp;CK Mappings'!$F271))),ISNUMBER(SEARCH(IF(F$2&lt;&gt;"",F$2,"NA"),'MITRE ATT&amp;CK Mappings'!$G271))),ISNUMBER(SEARCH(IF(F$2&lt;&gt;"",F$2,"NA"),'MITRE ATT&amp;CK Mappings'!$H271))),ISNUMBER(SEARCH(IF(F$3&lt;&gt;"",F$3,"NA"),'MITRE ATT&amp;CK Mappings'!$I271))),ISNUMBER(SEARCH(IF(F$3&lt;&gt;"",F$3,"NA"),'MITRE ATT&amp;CK Mappings'!$J271))), 'MITRE ATT&amp;CK Mappings'!$B271,"")</f>
        <v/>
      </c>
      <c r="G275" s="27" t="str">
        <f>IF(OR(OR(OR(OR(OR(ISNUMBER(SEARCH(IF(G$1&lt;&gt;"",G$1,"NA"),'MITRE ATT&amp;CK Mappings'!$E271)),ISNUMBER(SEARCH(IF(G$1&lt;&gt;"",G$1,"NA"),'MITRE ATT&amp;CK Mappings'!$F271))),ISNUMBER(SEARCH(IF(G$2&lt;&gt;"",G$2,"NA"),'MITRE ATT&amp;CK Mappings'!$G271))),ISNUMBER(SEARCH(IF(G$2&lt;&gt;"",G$2,"NA"),'MITRE ATT&amp;CK Mappings'!$H271))),ISNUMBER(SEARCH(IF(G$3&lt;&gt;"",G$3,"NA"),'MITRE ATT&amp;CK Mappings'!$I271))),ISNUMBER(SEARCH(IF(G$3&lt;&gt;"",G$3,"NA"),'MITRE ATT&amp;CK Mappings'!$J271))), 'MITRE ATT&amp;CK Mappings'!$B271,"")</f>
        <v/>
      </c>
      <c r="H275" s="27" t="str">
        <f>IF(OR(OR(OR(OR(OR(ISNUMBER(SEARCH(IF(H$1&lt;&gt;"",H$1,"NA"),'MITRE ATT&amp;CK Mappings'!$E271)),ISNUMBER(SEARCH(IF(H$1&lt;&gt;"",H$1,"NA"),'MITRE ATT&amp;CK Mappings'!$F271))),ISNUMBER(SEARCH(IF(H$2&lt;&gt;"",H$2,"NA"),'MITRE ATT&amp;CK Mappings'!$G271))),ISNUMBER(SEARCH(IF(H$2&lt;&gt;"",H$2,"NA"),'MITRE ATT&amp;CK Mappings'!$H271))),ISNUMBER(SEARCH(IF(H$3&lt;&gt;"",H$3,"NA"),'MITRE ATT&amp;CK Mappings'!$I271))),ISNUMBER(SEARCH(IF(H$3&lt;&gt;"",H$3,"NA"),'MITRE ATT&amp;CK Mappings'!$J271))), 'MITRE ATT&amp;CK Mappings'!$B271,"")</f>
        <v/>
      </c>
      <c r="I275" s="27" t="str">
        <f>IF(OR(OR(OR(OR(OR(ISNUMBER(SEARCH(IF(I$1&lt;&gt;"",I$1,"NA"),'MITRE ATT&amp;CK Mappings'!$E271)),ISNUMBER(SEARCH(IF(I$1&lt;&gt;"",I$1,"NA"),'MITRE ATT&amp;CK Mappings'!$F271))),ISNUMBER(SEARCH(IF(I$2&lt;&gt;"",I$2,"NA"),'MITRE ATT&amp;CK Mappings'!$G271))),ISNUMBER(SEARCH(IF(I$2&lt;&gt;"",I$2,"NA"),'MITRE ATT&amp;CK Mappings'!$H271))),ISNUMBER(SEARCH(IF(I$3&lt;&gt;"",I$3,"NA"),'MITRE ATT&amp;CK Mappings'!$I271))),ISNUMBER(SEARCH(IF(I$3&lt;&gt;"",I$3,"NA"),'MITRE ATT&amp;CK Mappings'!$J271))), 'MITRE ATT&amp;CK Mappings'!$B271,"")</f>
        <v/>
      </c>
      <c r="J275" s="27" t="str">
        <f>IF(OR(OR(OR(OR(OR(ISNUMBER(SEARCH(IF(J$1&lt;&gt;"",J$1,"NA"),'MITRE ATT&amp;CK Mappings'!$E271)),ISNUMBER(SEARCH(IF(J$1&lt;&gt;"",J$1,"NA"),'MITRE ATT&amp;CK Mappings'!$F271))),ISNUMBER(SEARCH(IF(J$2&lt;&gt;"",J$2,"NA"),'MITRE ATT&amp;CK Mappings'!$G271))),ISNUMBER(SEARCH(IF(J$2&lt;&gt;"",J$2,"NA"),'MITRE ATT&amp;CK Mappings'!$H271))),ISNUMBER(SEARCH(IF(J$3&lt;&gt;"",J$3,"NA"),'MITRE ATT&amp;CK Mappings'!$I271))),ISNUMBER(SEARCH(IF(J$3&lt;&gt;"",J$3,"NA"),'MITRE ATT&amp;CK Mappings'!$J271))), 'MITRE ATT&amp;CK Mappings'!$B271,"")</f>
        <v/>
      </c>
      <c r="K275" s="27" t="str">
        <f>IF(OR(OR(OR(OR(OR(ISNUMBER(SEARCH(IF(K$1&lt;&gt;"",K$1,"NA"),'MITRE ATT&amp;CK Mappings'!$E271)),ISNUMBER(SEARCH(IF(K$1&lt;&gt;"",K$1,"NA"),'MITRE ATT&amp;CK Mappings'!$F271))),ISNUMBER(SEARCH(IF(K$2&lt;&gt;"",K$2,"NA"),'MITRE ATT&amp;CK Mappings'!$G271))),ISNUMBER(SEARCH(IF(K$2&lt;&gt;"",K$2,"NA"),'MITRE ATT&amp;CK Mappings'!$H271))),ISNUMBER(SEARCH(IF(K$3&lt;&gt;"",K$3,"NA"),'MITRE ATT&amp;CK Mappings'!$I271))),ISNUMBER(SEARCH(IF(K$3&lt;&gt;"",K$3,"NA"),'MITRE ATT&amp;CK Mappings'!$J271))), 'MITRE ATT&amp;CK Mappings'!$B271,"")</f>
        <v/>
      </c>
      <c r="L275" s="27" t="str">
        <f>IF('MITRE ATT&amp;CK Mappings'!D271 &lt;&gt;"",'MITRE ATT&amp;CK Mappings'!D271,"" )</f>
        <v/>
      </c>
    </row>
    <row r="276" spans="1:12" x14ac:dyDescent="0.25">
      <c r="A276" s="26" t="str">
        <f>IF(COUNTIF(B276:K276,"="&amp;'MITRE ATT&amp;CK Mappings'!B272)&gt;0,'MITRE ATT&amp;CK Mappings'!B272,"")</f>
        <v/>
      </c>
      <c r="B276" s="26" t="str">
        <f>IF(OR(OR(OR(OR(OR(ISNUMBER(SEARCH(IF(B$1&lt;&gt;"",B$1,"NA"),'MITRE ATT&amp;CK Mappings'!$E272)),ISNUMBER(SEARCH(IF(B$1&lt;&gt;"",B$1,"NA"),'MITRE ATT&amp;CK Mappings'!$F272))),ISNUMBER(SEARCH(IF(B$2&lt;&gt;"",B$2,"NA"),'MITRE ATT&amp;CK Mappings'!$G272))),ISNUMBER(SEARCH(IF(B$2&lt;&gt;"",B$2,"NA"),'MITRE ATT&amp;CK Mappings'!$H272))),ISNUMBER(SEARCH(IF(B$3&lt;&gt;"",B$3,"NA"),'MITRE ATT&amp;CK Mappings'!$I272))),ISNUMBER(SEARCH(IF(B$3&lt;&gt;"",B$3,"NA"),'MITRE ATT&amp;CK Mappings'!$J272))), 'MITRE ATT&amp;CK Mappings'!$B272,"")</f>
        <v/>
      </c>
      <c r="C276" s="26" t="str">
        <f>IF(OR(OR(OR(OR(OR(ISNUMBER(SEARCH(IF(C$1&lt;&gt;"",C$1,"NA"),'MITRE ATT&amp;CK Mappings'!$E272)),ISNUMBER(SEARCH(IF(C$1&lt;&gt;"",C$1,"NA"),'MITRE ATT&amp;CK Mappings'!$F272))),ISNUMBER(SEARCH(IF(C$2&lt;&gt;"",C$2,"NA"),'MITRE ATT&amp;CK Mappings'!$G272))),ISNUMBER(SEARCH(IF(C$2&lt;&gt;"",C$2,"NA"),'MITRE ATT&amp;CK Mappings'!$H272))),ISNUMBER(SEARCH(IF(C$3&lt;&gt;"",C$3,"NA"),'MITRE ATT&amp;CK Mappings'!$I272))),ISNUMBER(SEARCH(IF(C$3&lt;&gt;"",C$3,"NA"),'MITRE ATT&amp;CK Mappings'!$J272))), 'MITRE ATT&amp;CK Mappings'!$B272,"")</f>
        <v/>
      </c>
      <c r="D276" s="26" t="str">
        <f>IF(OR(OR(OR(OR(OR(ISNUMBER(SEARCH(IF(D$1&lt;&gt;"",D$1,"NA"),'MITRE ATT&amp;CK Mappings'!$E272)),ISNUMBER(SEARCH(IF(D$1&lt;&gt;"",D$1,"NA"),'MITRE ATT&amp;CK Mappings'!$F272))),ISNUMBER(SEARCH(IF(D$2&lt;&gt;"",D$2,"NA"),'MITRE ATT&amp;CK Mappings'!$G272))),ISNUMBER(SEARCH(IF(D$2&lt;&gt;"",D$2,"NA"),'MITRE ATT&amp;CK Mappings'!$H272))),ISNUMBER(SEARCH(IF(D$3&lt;&gt;"",D$3,"NA"),'MITRE ATT&amp;CK Mappings'!$I272))),ISNUMBER(SEARCH(IF(D$3&lt;&gt;"",D$3,"NA"),'MITRE ATT&amp;CK Mappings'!$J272))), 'MITRE ATT&amp;CK Mappings'!$B272,"")</f>
        <v/>
      </c>
      <c r="E276" s="26" t="str">
        <f>IF(OR(OR(OR(OR(OR(ISNUMBER(SEARCH(IF(E$1&lt;&gt;"",E$1,"NA"),'MITRE ATT&amp;CK Mappings'!$E272)),ISNUMBER(SEARCH(IF(E$1&lt;&gt;"",E$1,"NA"),'MITRE ATT&amp;CK Mappings'!$F272))),ISNUMBER(SEARCH(IF(E$2&lt;&gt;"",E$2,"NA"),'MITRE ATT&amp;CK Mappings'!$G272))),ISNUMBER(SEARCH(IF(E$2&lt;&gt;"",E$2,"NA"),'MITRE ATT&amp;CK Mappings'!$H272))),ISNUMBER(SEARCH(IF(E$3&lt;&gt;"",E$3,"NA"),'MITRE ATT&amp;CK Mappings'!$I272))),ISNUMBER(SEARCH(IF(E$3&lt;&gt;"",E$3,"NA"),'MITRE ATT&amp;CK Mappings'!$J272))), 'MITRE ATT&amp;CK Mappings'!$B272,"")</f>
        <v/>
      </c>
      <c r="F276" s="26" t="str">
        <f>IF(OR(OR(OR(OR(OR(ISNUMBER(SEARCH(IF(F$1&lt;&gt;"",F$1,"NA"),'MITRE ATT&amp;CK Mappings'!$E272)),ISNUMBER(SEARCH(IF(F$1&lt;&gt;"",F$1,"NA"),'MITRE ATT&amp;CK Mappings'!$F272))),ISNUMBER(SEARCH(IF(F$2&lt;&gt;"",F$2,"NA"),'MITRE ATT&amp;CK Mappings'!$G272))),ISNUMBER(SEARCH(IF(F$2&lt;&gt;"",F$2,"NA"),'MITRE ATT&amp;CK Mappings'!$H272))),ISNUMBER(SEARCH(IF(F$3&lt;&gt;"",F$3,"NA"),'MITRE ATT&amp;CK Mappings'!$I272))),ISNUMBER(SEARCH(IF(F$3&lt;&gt;"",F$3,"NA"),'MITRE ATT&amp;CK Mappings'!$J272))), 'MITRE ATT&amp;CK Mappings'!$B272,"")</f>
        <v/>
      </c>
      <c r="G276" s="26" t="str">
        <f>IF(OR(OR(OR(OR(OR(ISNUMBER(SEARCH(IF(G$1&lt;&gt;"",G$1,"NA"),'MITRE ATT&amp;CK Mappings'!$E272)),ISNUMBER(SEARCH(IF(G$1&lt;&gt;"",G$1,"NA"),'MITRE ATT&amp;CK Mappings'!$F272))),ISNUMBER(SEARCH(IF(G$2&lt;&gt;"",G$2,"NA"),'MITRE ATT&amp;CK Mappings'!$G272))),ISNUMBER(SEARCH(IF(G$2&lt;&gt;"",G$2,"NA"),'MITRE ATT&amp;CK Mappings'!$H272))),ISNUMBER(SEARCH(IF(G$3&lt;&gt;"",G$3,"NA"),'MITRE ATT&amp;CK Mappings'!$I272))),ISNUMBER(SEARCH(IF(G$3&lt;&gt;"",G$3,"NA"),'MITRE ATT&amp;CK Mappings'!$J272))), 'MITRE ATT&amp;CK Mappings'!$B272,"")</f>
        <v/>
      </c>
      <c r="H276" s="26" t="str">
        <f>IF(OR(OR(OR(OR(OR(ISNUMBER(SEARCH(IF(H$1&lt;&gt;"",H$1,"NA"),'MITRE ATT&amp;CK Mappings'!$E272)),ISNUMBER(SEARCH(IF(H$1&lt;&gt;"",H$1,"NA"),'MITRE ATT&amp;CK Mappings'!$F272))),ISNUMBER(SEARCH(IF(H$2&lt;&gt;"",H$2,"NA"),'MITRE ATT&amp;CK Mappings'!$G272))),ISNUMBER(SEARCH(IF(H$2&lt;&gt;"",H$2,"NA"),'MITRE ATT&amp;CK Mappings'!$H272))),ISNUMBER(SEARCH(IF(H$3&lt;&gt;"",H$3,"NA"),'MITRE ATT&amp;CK Mappings'!$I272))),ISNUMBER(SEARCH(IF(H$3&lt;&gt;"",H$3,"NA"),'MITRE ATT&amp;CK Mappings'!$J272))), 'MITRE ATT&amp;CK Mappings'!$B272,"")</f>
        <v/>
      </c>
      <c r="I276" s="26" t="str">
        <f>IF(OR(OR(OR(OR(OR(ISNUMBER(SEARCH(IF(I$1&lt;&gt;"",I$1,"NA"),'MITRE ATT&amp;CK Mappings'!$E272)),ISNUMBER(SEARCH(IF(I$1&lt;&gt;"",I$1,"NA"),'MITRE ATT&amp;CK Mappings'!$F272))),ISNUMBER(SEARCH(IF(I$2&lt;&gt;"",I$2,"NA"),'MITRE ATT&amp;CK Mappings'!$G272))),ISNUMBER(SEARCH(IF(I$2&lt;&gt;"",I$2,"NA"),'MITRE ATT&amp;CK Mappings'!$H272))),ISNUMBER(SEARCH(IF(I$3&lt;&gt;"",I$3,"NA"),'MITRE ATT&amp;CK Mappings'!$I272))),ISNUMBER(SEARCH(IF(I$3&lt;&gt;"",I$3,"NA"),'MITRE ATT&amp;CK Mappings'!$J272))), 'MITRE ATT&amp;CK Mappings'!$B272,"")</f>
        <v/>
      </c>
      <c r="J276" s="26" t="str">
        <f>IF(OR(OR(OR(OR(OR(ISNUMBER(SEARCH(IF(J$1&lt;&gt;"",J$1,"NA"),'MITRE ATT&amp;CK Mappings'!$E272)),ISNUMBER(SEARCH(IF(J$1&lt;&gt;"",J$1,"NA"),'MITRE ATT&amp;CK Mappings'!$F272))),ISNUMBER(SEARCH(IF(J$2&lt;&gt;"",J$2,"NA"),'MITRE ATT&amp;CK Mappings'!$G272))),ISNUMBER(SEARCH(IF(J$2&lt;&gt;"",J$2,"NA"),'MITRE ATT&amp;CK Mappings'!$H272))),ISNUMBER(SEARCH(IF(J$3&lt;&gt;"",J$3,"NA"),'MITRE ATT&amp;CK Mappings'!$I272))),ISNUMBER(SEARCH(IF(J$3&lt;&gt;"",J$3,"NA"),'MITRE ATT&amp;CK Mappings'!$J272))), 'MITRE ATT&amp;CK Mappings'!$B272,"")</f>
        <v/>
      </c>
      <c r="K276" s="26" t="str">
        <f>IF(OR(OR(OR(OR(OR(ISNUMBER(SEARCH(IF(K$1&lt;&gt;"",K$1,"NA"),'MITRE ATT&amp;CK Mappings'!$E272)),ISNUMBER(SEARCH(IF(K$1&lt;&gt;"",K$1,"NA"),'MITRE ATT&amp;CK Mappings'!$F272))),ISNUMBER(SEARCH(IF(K$2&lt;&gt;"",K$2,"NA"),'MITRE ATT&amp;CK Mappings'!$G272))),ISNUMBER(SEARCH(IF(K$2&lt;&gt;"",K$2,"NA"),'MITRE ATT&amp;CK Mappings'!$H272))),ISNUMBER(SEARCH(IF(K$3&lt;&gt;"",K$3,"NA"),'MITRE ATT&amp;CK Mappings'!$I272))),ISNUMBER(SEARCH(IF(K$3&lt;&gt;"",K$3,"NA"),'MITRE ATT&amp;CK Mappings'!$J272))), 'MITRE ATT&amp;CK Mappings'!$B272,"")</f>
        <v/>
      </c>
      <c r="L276" s="26" t="str">
        <f>IF('MITRE ATT&amp;CK Mappings'!D272 &lt;&gt;"",'MITRE ATT&amp;CK Mappings'!D272,"" )</f>
        <v/>
      </c>
    </row>
    <row r="277" spans="1:12" x14ac:dyDescent="0.25">
      <c r="A277" s="27" t="str">
        <f>IF(COUNTIF(B277:K277,"="&amp;'MITRE ATT&amp;CK Mappings'!B273)&gt;0,'MITRE ATT&amp;CK Mappings'!B273,"")</f>
        <v/>
      </c>
      <c r="B277" s="27" t="str">
        <f>IF(OR(OR(OR(OR(OR(ISNUMBER(SEARCH(IF(B$1&lt;&gt;"",B$1,"NA"),'MITRE ATT&amp;CK Mappings'!$E273)),ISNUMBER(SEARCH(IF(B$1&lt;&gt;"",B$1,"NA"),'MITRE ATT&amp;CK Mappings'!$F273))),ISNUMBER(SEARCH(IF(B$2&lt;&gt;"",B$2,"NA"),'MITRE ATT&amp;CK Mappings'!$G273))),ISNUMBER(SEARCH(IF(B$2&lt;&gt;"",B$2,"NA"),'MITRE ATT&amp;CK Mappings'!$H273))),ISNUMBER(SEARCH(IF(B$3&lt;&gt;"",B$3,"NA"),'MITRE ATT&amp;CK Mappings'!$I273))),ISNUMBER(SEARCH(IF(B$3&lt;&gt;"",B$3,"NA"),'MITRE ATT&amp;CK Mappings'!$J273))), 'MITRE ATT&amp;CK Mappings'!$B273,"")</f>
        <v/>
      </c>
      <c r="C277" s="27" t="str">
        <f>IF(OR(OR(OR(OR(OR(ISNUMBER(SEARCH(IF(C$1&lt;&gt;"",C$1,"NA"),'MITRE ATT&amp;CK Mappings'!$E273)),ISNUMBER(SEARCH(IF(C$1&lt;&gt;"",C$1,"NA"),'MITRE ATT&amp;CK Mappings'!$F273))),ISNUMBER(SEARCH(IF(C$2&lt;&gt;"",C$2,"NA"),'MITRE ATT&amp;CK Mappings'!$G273))),ISNUMBER(SEARCH(IF(C$2&lt;&gt;"",C$2,"NA"),'MITRE ATT&amp;CK Mappings'!$H273))),ISNUMBER(SEARCH(IF(C$3&lt;&gt;"",C$3,"NA"),'MITRE ATT&amp;CK Mappings'!$I273))),ISNUMBER(SEARCH(IF(C$3&lt;&gt;"",C$3,"NA"),'MITRE ATT&amp;CK Mappings'!$J273))), 'MITRE ATT&amp;CK Mappings'!$B273,"")</f>
        <v/>
      </c>
      <c r="D277" s="27" t="str">
        <f>IF(OR(OR(OR(OR(OR(ISNUMBER(SEARCH(IF(D$1&lt;&gt;"",D$1,"NA"),'MITRE ATT&amp;CK Mappings'!$E273)),ISNUMBER(SEARCH(IF(D$1&lt;&gt;"",D$1,"NA"),'MITRE ATT&amp;CK Mappings'!$F273))),ISNUMBER(SEARCH(IF(D$2&lt;&gt;"",D$2,"NA"),'MITRE ATT&amp;CK Mappings'!$G273))),ISNUMBER(SEARCH(IF(D$2&lt;&gt;"",D$2,"NA"),'MITRE ATT&amp;CK Mappings'!$H273))),ISNUMBER(SEARCH(IF(D$3&lt;&gt;"",D$3,"NA"),'MITRE ATT&amp;CK Mappings'!$I273))),ISNUMBER(SEARCH(IF(D$3&lt;&gt;"",D$3,"NA"),'MITRE ATT&amp;CK Mappings'!$J273))), 'MITRE ATT&amp;CK Mappings'!$B273,"")</f>
        <v/>
      </c>
      <c r="E277" s="27" t="str">
        <f>IF(OR(OR(OR(OR(OR(ISNUMBER(SEARCH(IF(E$1&lt;&gt;"",E$1,"NA"),'MITRE ATT&amp;CK Mappings'!$E273)),ISNUMBER(SEARCH(IF(E$1&lt;&gt;"",E$1,"NA"),'MITRE ATT&amp;CK Mappings'!$F273))),ISNUMBER(SEARCH(IF(E$2&lt;&gt;"",E$2,"NA"),'MITRE ATT&amp;CK Mappings'!$G273))),ISNUMBER(SEARCH(IF(E$2&lt;&gt;"",E$2,"NA"),'MITRE ATT&amp;CK Mappings'!$H273))),ISNUMBER(SEARCH(IF(E$3&lt;&gt;"",E$3,"NA"),'MITRE ATT&amp;CK Mappings'!$I273))),ISNUMBER(SEARCH(IF(E$3&lt;&gt;"",E$3,"NA"),'MITRE ATT&amp;CK Mappings'!$J273))), 'MITRE ATT&amp;CK Mappings'!$B273,"")</f>
        <v/>
      </c>
      <c r="F277" s="27" t="str">
        <f>IF(OR(OR(OR(OR(OR(ISNUMBER(SEARCH(IF(F$1&lt;&gt;"",F$1,"NA"),'MITRE ATT&amp;CK Mappings'!$E273)),ISNUMBER(SEARCH(IF(F$1&lt;&gt;"",F$1,"NA"),'MITRE ATT&amp;CK Mappings'!$F273))),ISNUMBER(SEARCH(IF(F$2&lt;&gt;"",F$2,"NA"),'MITRE ATT&amp;CK Mappings'!$G273))),ISNUMBER(SEARCH(IF(F$2&lt;&gt;"",F$2,"NA"),'MITRE ATT&amp;CK Mappings'!$H273))),ISNUMBER(SEARCH(IF(F$3&lt;&gt;"",F$3,"NA"),'MITRE ATT&amp;CK Mappings'!$I273))),ISNUMBER(SEARCH(IF(F$3&lt;&gt;"",F$3,"NA"),'MITRE ATT&amp;CK Mappings'!$J273))), 'MITRE ATT&amp;CK Mappings'!$B273,"")</f>
        <v/>
      </c>
      <c r="G277" s="27" t="str">
        <f>IF(OR(OR(OR(OR(OR(ISNUMBER(SEARCH(IF(G$1&lt;&gt;"",G$1,"NA"),'MITRE ATT&amp;CK Mappings'!$E273)),ISNUMBER(SEARCH(IF(G$1&lt;&gt;"",G$1,"NA"),'MITRE ATT&amp;CK Mappings'!$F273))),ISNUMBER(SEARCH(IF(G$2&lt;&gt;"",G$2,"NA"),'MITRE ATT&amp;CK Mappings'!$G273))),ISNUMBER(SEARCH(IF(G$2&lt;&gt;"",G$2,"NA"),'MITRE ATT&amp;CK Mappings'!$H273))),ISNUMBER(SEARCH(IF(G$3&lt;&gt;"",G$3,"NA"),'MITRE ATT&amp;CK Mappings'!$I273))),ISNUMBER(SEARCH(IF(G$3&lt;&gt;"",G$3,"NA"),'MITRE ATT&amp;CK Mappings'!$J273))), 'MITRE ATT&amp;CK Mappings'!$B273,"")</f>
        <v/>
      </c>
      <c r="H277" s="27" t="str">
        <f>IF(OR(OR(OR(OR(OR(ISNUMBER(SEARCH(IF(H$1&lt;&gt;"",H$1,"NA"),'MITRE ATT&amp;CK Mappings'!$E273)),ISNUMBER(SEARCH(IF(H$1&lt;&gt;"",H$1,"NA"),'MITRE ATT&amp;CK Mappings'!$F273))),ISNUMBER(SEARCH(IF(H$2&lt;&gt;"",H$2,"NA"),'MITRE ATT&amp;CK Mappings'!$G273))),ISNUMBER(SEARCH(IF(H$2&lt;&gt;"",H$2,"NA"),'MITRE ATT&amp;CK Mappings'!$H273))),ISNUMBER(SEARCH(IF(H$3&lt;&gt;"",H$3,"NA"),'MITRE ATT&amp;CK Mappings'!$I273))),ISNUMBER(SEARCH(IF(H$3&lt;&gt;"",H$3,"NA"),'MITRE ATT&amp;CK Mappings'!$J273))), 'MITRE ATT&amp;CK Mappings'!$B273,"")</f>
        <v/>
      </c>
      <c r="I277" s="27" t="str">
        <f>IF(OR(OR(OR(OR(OR(ISNUMBER(SEARCH(IF(I$1&lt;&gt;"",I$1,"NA"),'MITRE ATT&amp;CK Mappings'!$E273)),ISNUMBER(SEARCH(IF(I$1&lt;&gt;"",I$1,"NA"),'MITRE ATT&amp;CK Mappings'!$F273))),ISNUMBER(SEARCH(IF(I$2&lt;&gt;"",I$2,"NA"),'MITRE ATT&amp;CK Mappings'!$G273))),ISNUMBER(SEARCH(IF(I$2&lt;&gt;"",I$2,"NA"),'MITRE ATT&amp;CK Mappings'!$H273))),ISNUMBER(SEARCH(IF(I$3&lt;&gt;"",I$3,"NA"),'MITRE ATT&amp;CK Mappings'!$I273))),ISNUMBER(SEARCH(IF(I$3&lt;&gt;"",I$3,"NA"),'MITRE ATT&amp;CK Mappings'!$J273))), 'MITRE ATT&amp;CK Mappings'!$B273,"")</f>
        <v/>
      </c>
      <c r="J277" s="27" t="str">
        <f>IF(OR(OR(OR(OR(OR(ISNUMBER(SEARCH(IF(J$1&lt;&gt;"",J$1,"NA"),'MITRE ATT&amp;CK Mappings'!$E273)),ISNUMBER(SEARCH(IF(J$1&lt;&gt;"",J$1,"NA"),'MITRE ATT&amp;CK Mappings'!$F273))),ISNUMBER(SEARCH(IF(J$2&lt;&gt;"",J$2,"NA"),'MITRE ATT&amp;CK Mappings'!$G273))),ISNUMBER(SEARCH(IF(J$2&lt;&gt;"",J$2,"NA"),'MITRE ATT&amp;CK Mappings'!$H273))),ISNUMBER(SEARCH(IF(J$3&lt;&gt;"",J$3,"NA"),'MITRE ATT&amp;CK Mappings'!$I273))),ISNUMBER(SEARCH(IF(J$3&lt;&gt;"",J$3,"NA"),'MITRE ATT&amp;CK Mappings'!$J273))), 'MITRE ATT&amp;CK Mappings'!$B273,"")</f>
        <v/>
      </c>
      <c r="K277" s="27" t="str">
        <f>IF(OR(OR(OR(OR(OR(ISNUMBER(SEARCH(IF(K$1&lt;&gt;"",K$1,"NA"),'MITRE ATT&amp;CK Mappings'!$E273)),ISNUMBER(SEARCH(IF(K$1&lt;&gt;"",K$1,"NA"),'MITRE ATT&amp;CK Mappings'!$F273))),ISNUMBER(SEARCH(IF(K$2&lt;&gt;"",K$2,"NA"),'MITRE ATT&amp;CK Mappings'!$G273))),ISNUMBER(SEARCH(IF(K$2&lt;&gt;"",K$2,"NA"),'MITRE ATT&amp;CK Mappings'!$H273))),ISNUMBER(SEARCH(IF(K$3&lt;&gt;"",K$3,"NA"),'MITRE ATT&amp;CK Mappings'!$I273))),ISNUMBER(SEARCH(IF(K$3&lt;&gt;"",K$3,"NA"),'MITRE ATT&amp;CK Mappings'!$J273))), 'MITRE ATT&amp;CK Mappings'!$B273,"")</f>
        <v/>
      </c>
      <c r="L277" s="27" t="str">
        <f>IF('MITRE ATT&amp;CK Mappings'!D273 &lt;&gt;"",'MITRE ATT&amp;CK Mappings'!D273,"" )</f>
        <v/>
      </c>
    </row>
    <row r="278" spans="1:12" x14ac:dyDescent="0.25">
      <c r="A278" s="26" t="str">
        <f>IF(COUNTIF(B278:K278,"="&amp;'MITRE ATT&amp;CK Mappings'!B274)&gt;0,'MITRE ATT&amp;CK Mappings'!B274,"")</f>
        <v/>
      </c>
      <c r="B278" s="26" t="str">
        <f>IF(OR(OR(OR(OR(OR(ISNUMBER(SEARCH(IF(B$1&lt;&gt;"",B$1,"NA"),'MITRE ATT&amp;CK Mappings'!$E274)),ISNUMBER(SEARCH(IF(B$1&lt;&gt;"",B$1,"NA"),'MITRE ATT&amp;CK Mappings'!$F274))),ISNUMBER(SEARCH(IF(B$2&lt;&gt;"",B$2,"NA"),'MITRE ATT&amp;CK Mappings'!$G274))),ISNUMBER(SEARCH(IF(B$2&lt;&gt;"",B$2,"NA"),'MITRE ATT&amp;CK Mappings'!$H274))),ISNUMBER(SEARCH(IF(B$3&lt;&gt;"",B$3,"NA"),'MITRE ATT&amp;CK Mappings'!$I274))),ISNUMBER(SEARCH(IF(B$3&lt;&gt;"",B$3,"NA"),'MITRE ATT&amp;CK Mappings'!$J274))), 'MITRE ATT&amp;CK Mappings'!$B274,"")</f>
        <v/>
      </c>
      <c r="C278" s="26" t="str">
        <f>IF(OR(OR(OR(OR(OR(ISNUMBER(SEARCH(IF(C$1&lt;&gt;"",C$1,"NA"),'MITRE ATT&amp;CK Mappings'!$E274)),ISNUMBER(SEARCH(IF(C$1&lt;&gt;"",C$1,"NA"),'MITRE ATT&amp;CK Mappings'!$F274))),ISNUMBER(SEARCH(IF(C$2&lt;&gt;"",C$2,"NA"),'MITRE ATT&amp;CK Mappings'!$G274))),ISNUMBER(SEARCH(IF(C$2&lt;&gt;"",C$2,"NA"),'MITRE ATT&amp;CK Mappings'!$H274))),ISNUMBER(SEARCH(IF(C$3&lt;&gt;"",C$3,"NA"),'MITRE ATT&amp;CK Mappings'!$I274))),ISNUMBER(SEARCH(IF(C$3&lt;&gt;"",C$3,"NA"),'MITRE ATT&amp;CK Mappings'!$J274))), 'MITRE ATT&amp;CK Mappings'!$B274,"")</f>
        <v/>
      </c>
      <c r="D278" s="26" t="str">
        <f>IF(OR(OR(OR(OR(OR(ISNUMBER(SEARCH(IF(D$1&lt;&gt;"",D$1,"NA"),'MITRE ATT&amp;CK Mappings'!$E274)),ISNUMBER(SEARCH(IF(D$1&lt;&gt;"",D$1,"NA"),'MITRE ATT&amp;CK Mappings'!$F274))),ISNUMBER(SEARCH(IF(D$2&lt;&gt;"",D$2,"NA"),'MITRE ATT&amp;CK Mappings'!$G274))),ISNUMBER(SEARCH(IF(D$2&lt;&gt;"",D$2,"NA"),'MITRE ATT&amp;CK Mappings'!$H274))),ISNUMBER(SEARCH(IF(D$3&lt;&gt;"",D$3,"NA"),'MITRE ATT&amp;CK Mappings'!$I274))),ISNUMBER(SEARCH(IF(D$3&lt;&gt;"",D$3,"NA"),'MITRE ATT&amp;CK Mappings'!$J274))), 'MITRE ATT&amp;CK Mappings'!$B274,"")</f>
        <v/>
      </c>
      <c r="E278" s="26" t="str">
        <f>IF(OR(OR(OR(OR(OR(ISNUMBER(SEARCH(IF(E$1&lt;&gt;"",E$1,"NA"),'MITRE ATT&amp;CK Mappings'!$E274)),ISNUMBER(SEARCH(IF(E$1&lt;&gt;"",E$1,"NA"),'MITRE ATT&amp;CK Mappings'!$F274))),ISNUMBER(SEARCH(IF(E$2&lt;&gt;"",E$2,"NA"),'MITRE ATT&amp;CK Mappings'!$G274))),ISNUMBER(SEARCH(IF(E$2&lt;&gt;"",E$2,"NA"),'MITRE ATT&amp;CK Mappings'!$H274))),ISNUMBER(SEARCH(IF(E$3&lt;&gt;"",E$3,"NA"),'MITRE ATT&amp;CK Mappings'!$I274))),ISNUMBER(SEARCH(IF(E$3&lt;&gt;"",E$3,"NA"),'MITRE ATT&amp;CK Mappings'!$J274))), 'MITRE ATT&amp;CK Mappings'!$B274,"")</f>
        <v/>
      </c>
      <c r="F278" s="26" t="str">
        <f>IF(OR(OR(OR(OR(OR(ISNUMBER(SEARCH(IF(F$1&lt;&gt;"",F$1,"NA"),'MITRE ATT&amp;CK Mappings'!$E274)),ISNUMBER(SEARCH(IF(F$1&lt;&gt;"",F$1,"NA"),'MITRE ATT&amp;CK Mappings'!$F274))),ISNUMBER(SEARCH(IF(F$2&lt;&gt;"",F$2,"NA"),'MITRE ATT&amp;CK Mappings'!$G274))),ISNUMBER(SEARCH(IF(F$2&lt;&gt;"",F$2,"NA"),'MITRE ATT&amp;CK Mappings'!$H274))),ISNUMBER(SEARCH(IF(F$3&lt;&gt;"",F$3,"NA"),'MITRE ATT&amp;CK Mappings'!$I274))),ISNUMBER(SEARCH(IF(F$3&lt;&gt;"",F$3,"NA"),'MITRE ATT&amp;CK Mappings'!$J274))), 'MITRE ATT&amp;CK Mappings'!$B274,"")</f>
        <v/>
      </c>
      <c r="G278" s="26" t="str">
        <f>IF(OR(OR(OR(OR(OR(ISNUMBER(SEARCH(IF(G$1&lt;&gt;"",G$1,"NA"),'MITRE ATT&amp;CK Mappings'!$E274)),ISNUMBER(SEARCH(IF(G$1&lt;&gt;"",G$1,"NA"),'MITRE ATT&amp;CK Mappings'!$F274))),ISNUMBER(SEARCH(IF(G$2&lt;&gt;"",G$2,"NA"),'MITRE ATT&amp;CK Mappings'!$G274))),ISNUMBER(SEARCH(IF(G$2&lt;&gt;"",G$2,"NA"),'MITRE ATT&amp;CK Mappings'!$H274))),ISNUMBER(SEARCH(IF(G$3&lt;&gt;"",G$3,"NA"),'MITRE ATT&amp;CK Mappings'!$I274))),ISNUMBER(SEARCH(IF(G$3&lt;&gt;"",G$3,"NA"),'MITRE ATT&amp;CK Mappings'!$J274))), 'MITRE ATT&amp;CK Mappings'!$B274,"")</f>
        <v/>
      </c>
      <c r="H278" s="26" t="str">
        <f>IF(OR(OR(OR(OR(OR(ISNUMBER(SEARCH(IF(H$1&lt;&gt;"",H$1,"NA"),'MITRE ATT&amp;CK Mappings'!$E274)),ISNUMBER(SEARCH(IF(H$1&lt;&gt;"",H$1,"NA"),'MITRE ATT&amp;CK Mappings'!$F274))),ISNUMBER(SEARCH(IF(H$2&lt;&gt;"",H$2,"NA"),'MITRE ATT&amp;CK Mappings'!$G274))),ISNUMBER(SEARCH(IF(H$2&lt;&gt;"",H$2,"NA"),'MITRE ATT&amp;CK Mappings'!$H274))),ISNUMBER(SEARCH(IF(H$3&lt;&gt;"",H$3,"NA"),'MITRE ATT&amp;CK Mappings'!$I274))),ISNUMBER(SEARCH(IF(H$3&lt;&gt;"",H$3,"NA"),'MITRE ATT&amp;CK Mappings'!$J274))), 'MITRE ATT&amp;CK Mappings'!$B274,"")</f>
        <v/>
      </c>
      <c r="I278" s="26" t="str">
        <f>IF(OR(OR(OR(OR(OR(ISNUMBER(SEARCH(IF(I$1&lt;&gt;"",I$1,"NA"),'MITRE ATT&amp;CK Mappings'!$E274)),ISNUMBER(SEARCH(IF(I$1&lt;&gt;"",I$1,"NA"),'MITRE ATT&amp;CK Mappings'!$F274))),ISNUMBER(SEARCH(IF(I$2&lt;&gt;"",I$2,"NA"),'MITRE ATT&amp;CK Mappings'!$G274))),ISNUMBER(SEARCH(IF(I$2&lt;&gt;"",I$2,"NA"),'MITRE ATT&amp;CK Mappings'!$H274))),ISNUMBER(SEARCH(IF(I$3&lt;&gt;"",I$3,"NA"),'MITRE ATT&amp;CK Mappings'!$I274))),ISNUMBER(SEARCH(IF(I$3&lt;&gt;"",I$3,"NA"),'MITRE ATT&amp;CK Mappings'!$J274))), 'MITRE ATT&amp;CK Mappings'!$B274,"")</f>
        <v/>
      </c>
      <c r="J278" s="26" t="str">
        <f>IF(OR(OR(OR(OR(OR(ISNUMBER(SEARCH(IF(J$1&lt;&gt;"",J$1,"NA"),'MITRE ATT&amp;CK Mappings'!$E274)),ISNUMBER(SEARCH(IF(J$1&lt;&gt;"",J$1,"NA"),'MITRE ATT&amp;CK Mappings'!$F274))),ISNUMBER(SEARCH(IF(J$2&lt;&gt;"",J$2,"NA"),'MITRE ATT&amp;CK Mappings'!$G274))),ISNUMBER(SEARCH(IF(J$2&lt;&gt;"",J$2,"NA"),'MITRE ATT&amp;CK Mappings'!$H274))),ISNUMBER(SEARCH(IF(J$3&lt;&gt;"",J$3,"NA"),'MITRE ATT&amp;CK Mappings'!$I274))),ISNUMBER(SEARCH(IF(J$3&lt;&gt;"",J$3,"NA"),'MITRE ATT&amp;CK Mappings'!$J274))), 'MITRE ATT&amp;CK Mappings'!$B274,"")</f>
        <v/>
      </c>
      <c r="K278" s="26" t="str">
        <f>IF(OR(OR(OR(OR(OR(ISNUMBER(SEARCH(IF(K$1&lt;&gt;"",K$1,"NA"),'MITRE ATT&amp;CK Mappings'!$E274)),ISNUMBER(SEARCH(IF(K$1&lt;&gt;"",K$1,"NA"),'MITRE ATT&amp;CK Mappings'!$F274))),ISNUMBER(SEARCH(IF(K$2&lt;&gt;"",K$2,"NA"),'MITRE ATT&amp;CK Mappings'!$G274))),ISNUMBER(SEARCH(IF(K$2&lt;&gt;"",K$2,"NA"),'MITRE ATT&amp;CK Mappings'!$H274))),ISNUMBER(SEARCH(IF(K$3&lt;&gt;"",K$3,"NA"),'MITRE ATT&amp;CK Mappings'!$I274))),ISNUMBER(SEARCH(IF(K$3&lt;&gt;"",K$3,"NA"),'MITRE ATT&amp;CK Mappings'!$J274))), 'MITRE ATT&amp;CK Mappings'!$B274,"")</f>
        <v/>
      </c>
      <c r="L278" s="26" t="str">
        <f>IF('MITRE ATT&amp;CK Mappings'!D274 &lt;&gt;"",'MITRE ATT&amp;CK Mappings'!D274,"" )</f>
        <v/>
      </c>
    </row>
    <row r="279" spans="1:12" x14ac:dyDescent="0.25">
      <c r="A279" s="27" t="str">
        <f>IF(COUNTIF(B279:K279,"="&amp;'MITRE ATT&amp;CK Mappings'!B275)&gt;0,'MITRE ATT&amp;CK Mappings'!B275,"")</f>
        <v/>
      </c>
      <c r="B279" s="27" t="str">
        <f>IF(OR(OR(OR(OR(OR(ISNUMBER(SEARCH(IF(B$1&lt;&gt;"",B$1,"NA"),'MITRE ATT&amp;CK Mappings'!$E275)),ISNUMBER(SEARCH(IF(B$1&lt;&gt;"",B$1,"NA"),'MITRE ATT&amp;CK Mappings'!$F275))),ISNUMBER(SEARCH(IF(B$2&lt;&gt;"",B$2,"NA"),'MITRE ATT&amp;CK Mappings'!$G275))),ISNUMBER(SEARCH(IF(B$2&lt;&gt;"",B$2,"NA"),'MITRE ATT&amp;CK Mappings'!$H275))),ISNUMBER(SEARCH(IF(B$3&lt;&gt;"",B$3,"NA"),'MITRE ATT&amp;CK Mappings'!$I275))),ISNUMBER(SEARCH(IF(B$3&lt;&gt;"",B$3,"NA"),'MITRE ATT&amp;CK Mappings'!$J275))), 'MITRE ATT&amp;CK Mappings'!$B275,"")</f>
        <v/>
      </c>
      <c r="C279" s="27" t="str">
        <f>IF(OR(OR(OR(OR(OR(ISNUMBER(SEARCH(IF(C$1&lt;&gt;"",C$1,"NA"),'MITRE ATT&amp;CK Mappings'!$E275)),ISNUMBER(SEARCH(IF(C$1&lt;&gt;"",C$1,"NA"),'MITRE ATT&amp;CK Mappings'!$F275))),ISNUMBER(SEARCH(IF(C$2&lt;&gt;"",C$2,"NA"),'MITRE ATT&amp;CK Mappings'!$G275))),ISNUMBER(SEARCH(IF(C$2&lt;&gt;"",C$2,"NA"),'MITRE ATT&amp;CK Mappings'!$H275))),ISNUMBER(SEARCH(IF(C$3&lt;&gt;"",C$3,"NA"),'MITRE ATT&amp;CK Mappings'!$I275))),ISNUMBER(SEARCH(IF(C$3&lt;&gt;"",C$3,"NA"),'MITRE ATT&amp;CK Mappings'!$J275))), 'MITRE ATT&amp;CK Mappings'!$B275,"")</f>
        <v/>
      </c>
      <c r="D279" s="27" t="str">
        <f>IF(OR(OR(OR(OR(OR(ISNUMBER(SEARCH(IF(D$1&lt;&gt;"",D$1,"NA"),'MITRE ATT&amp;CK Mappings'!$E275)),ISNUMBER(SEARCH(IF(D$1&lt;&gt;"",D$1,"NA"),'MITRE ATT&amp;CK Mappings'!$F275))),ISNUMBER(SEARCH(IF(D$2&lt;&gt;"",D$2,"NA"),'MITRE ATT&amp;CK Mappings'!$G275))),ISNUMBER(SEARCH(IF(D$2&lt;&gt;"",D$2,"NA"),'MITRE ATT&amp;CK Mappings'!$H275))),ISNUMBER(SEARCH(IF(D$3&lt;&gt;"",D$3,"NA"),'MITRE ATT&amp;CK Mappings'!$I275))),ISNUMBER(SEARCH(IF(D$3&lt;&gt;"",D$3,"NA"),'MITRE ATT&amp;CK Mappings'!$J275))), 'MITRE ATT&amp;CK Mappings'!$B275,"")</f>
        <v/>
      </c>
      <c r="E279" s="27" t="str">
        <f>IF(OR(OR(OR(OR(OR(ISNUMBER(SEARCH(IF(E$1&lt;&gt;"",E$1,"NA"),'MITRE ATT&amp;CK Mappings'!$E275)),ISNUMBER(SEARCH(IF(E$1&lt;&gt;"",E$1,"NA"),'MITRE ATT&amp;CK Mappings'!$F275))),ISNUMBER(SEARCH(IF(E$2&lt;&gt;"",E$2,"NA"),'MITRE ATT&amp;CK Mappings'!$G275))),ISNUMBER(SEARCH(IF(E$2&lt;&gt;"",E$2,"NA"),'MITRE ATT&amp;CK Mappings'!$H275))),ISNUMBER(SEARCH(IF(E$3&lt;&gt;"",E$3,"NA"),'MITRE ATT&amp;CK Mappings'!$I275))),ISNUMBER(SEARCH(IF(E$3&lt;&gt;"",E$3,"NA"),'MITRE ATT&amp;CK Mappings'!$J275))), 'MITRE ATT&amp;CK Mappings'!$B275,"")</f>
        <v/>
      </c>
      <c r="F279" s="27" t="str">
        <f>IF(OR(OR(OR(OR(OR(ISNUMBER(SEARCH(IF(F$1&lt;&gt;"",F$1,"NA"),'MITRE ATT&amp;CK Mappings'!$E275)),ISNUMBER(SEARCH(IF(F$1&lt;&gt;"",F$1,"NA"),'MITRE ATT&amp;CK Mappings'!$F275))),ISNUMBER(SEARCH(IF(F$2&lt;&gt;"",F$2,"NA"),'MITRE ATT&amp;CK Mappings'!$G275))),ISNUMBER(SEARCH(IF(F$2&lt;&gt;"",F$2,"NA"),'MITRE ATT&amp;CK Mappings'!$H275))),ISNUMBER(SEARCH(IF(F$3&lt;&gt;"",F$3,"NA"),'MITRE ATT&amp;CK Mappings'!$I275))),ISNUMBER(SEARCH(IF(F$3&lt;&gt;"",F$3,"NA"),'MITRE ATT&amp;CK Mappings'!$J275))), 'MITRE ATT&amp;CK Mappings'!$B275,"")</f>
        <v/>
      </c>
      <c r="G279" s="27" t="str">
        <f>IF(OR(OR(OR(OR(OR(ISNUMBER(SEARCH(IF(G$1&lt;&gt;"",G$1,"NA"),'MITRE ATT&amp;CK Mappings'!$E275)),ISNUMBER(SEARCH(IF(G$1&lt;&gt;"",G$1,"NA"),'MITRE ATT&amp;CK Mappings'!$F275))),ISNUMBER(SEARCH(IF(G$2&lt;&gt;"",G$2,"NA"),'MITRE ATT&amp;CK Mappings'!$G275))),ISNUMBER(SEARCH(IF(G$2&lt;&gt;"",G$2,"NA"),'MITRE ATT&amp;CK Mappings'!$H275))),ISNUMBER(SEARCH(IF(G$3&lt;&gt;"",G$3,"NA"),'MITRE ATT&amp;CK Mappings'!$I275))),ISNUMBER(SEARCH(IF(G$3&lt;&gt;"",G$3,"NA"),'MITRE ATT&amp;CK Mappings'!$J275))), 'MITRE ATT&amp;CK Mappings'!$B275,"")</f>
        <v/>
      </c>
      <c r="H279" s="27" t="str">
        <f>IF(OR(OR(OR(OR(OR(ISNUMBER(SEARCH(IF(H$1&lt;&gt;"",H$1,"NA"),'MITRE ATT&amp;CK Mappings'!$E275)),ISNUMBER(SEARCH(IF(H$1&lt;&gt;"",H$1,"NA"),'MITRE ATT&amp;CK Mappings'!$F275))),ISNUMBER(SEARCH(IF(H$2&lt;&gt;"",H$2,"NA"),'MITRE ATT&amp;CK Mappings'!$G275))),ISNUMBER(SEARCH(IF(H$2&lt;&gt;"",H$2,"NA"),'MITRE ATT&amp;CK Mappings'!$H275))),ISNUMBER(SEARCH(IF(H$3&lt;&gt;"",H$3,"NA"),'MITRE ATT&amp;CK Mappings'!$I275))),ISNUMBER(SEARCH(IF(H$3&lt;&gt;"",H$3,"NA"),'MITRE ATT&amp;CK Mappings'!$J275))), 'MITRE ATT&amp;CK Mappings'!$B275,"")</f>
        <v/>
      </c>
      <c r="I279" s="27" t="str">
        <f>IF(OR(OR(OR(OR(OR(ISNUMBER(SEARCH(IF(I$1&lt;&gt;"",I$1,"NA"),'MITRE ATT&amp;CK Mappings'!$E275)),ISNUMBER(SEARCH(IF(I$1&lt;&gt;"",I$1,"NA"),'MITRE ATT&amp;CK Mappings'!$F275))),ISNUMBER(SEARCH(IF(I$2&lt;&gt;"",I$2,"NA"),'MITRE ATT&amp;CK Mappings'!$G275))),ISNUMBER(SEARCH(IF(I$2&lt;&gt;"",I$2,"NA"),'MITRE ATT&amp;CK Mappings'!$H275))),ISNUMBER(SEARCH(IF(I$3&lt;&gt;"",I$3,"NA"),'MITRE ATT&amp;CK Mappings'!$I275))),ISNUMBER(SEARCH(IF(I$3&lt;&gt;"",I$3,"NA"),'MITRE ATT&amp;CK Mappings'!$J275))), 'MITRE ATT&amp;CK Mappings'!$B275,"")</f>
        <v/>
      </c>
      <c r="J279" s="27" t="str">
        <f>IF(OR(OR(OR(OR(OR(ISNUMBER(SEARCH(IF(J$1&lt;&gt;"",J$1,"NA"),'MITRE ATT&amp;CK Mappings'!$E275)),ISNUMBER(SEARCH(IF(J$1&lt;&gt;"",J$1,"NA"),'MITRE ATT&amp;CK Mappings'!$F275))),ISNUMBER(SEARCH(IF(J$2&lt;&gt;"",J$2,"NA"),'MITRE ATT&amp;CK Mappings'!$G275))),ISNUMBER(SEARCH(IF(J$2&lt;&gt;"",J$2,"NA"),'MITRE ATT&amp;CK Mappings'!$H275))),ISNUMBER(SEARCH(IF(J$3&lt;&gt;"",J$3,"NA"),'MITRE ATT&amp;CK Mappings'!$I275))),ISNUMBER(SEARCH(IF(J$3&lt;&gt;"",J$3,"NA"),'MITRE ATT&amp;CK Mappings'!$J275))), 'MITRE ATT&amp;CK Mappings'!$B275,"")</f>
        <v/>
      </c>
      <c r="K279" s="27" t="str">
        <f>IF(OR(OR(OR(OR(OR(ISNUMBER(SEARCH(IF(K$1&lt;&gt;"",K$1,"NA"),'MITRE ATT&amp;CK Mappings'!$E275)),ISNUMBER(SEARCH(IF(K$1&lt;&gt;"",K$1,"NA"),'MITRE ATT&amp;CK Mappings'!$F275))),ISNUMBER(SEARCH(IF(K$2&lt;&gt;"",K$2,"NA"),'MITRE ATT&amp;CK Mappings'!$G275))),ISNUMBER(SEARCH(IF(K$2&lt;&gt;"",K$2,"NA"),'MITRE ATT&amp;CK Mappings'!$H275))),ISNUMBER(SEARCH(IF(K$3&lt;&gt;"",K$3,"NA"),'MITRE ATT&amp;CK Mappings'!$I275))),ISNUMBER(SEARCH(IF(K$3&lt;&gt;"",K$3,"NA"),'MITRE ATT&amp;CK Mappings'!$J275))), 'MITRE ATT&amp;CK Mappings'!$B275,"")</f>
        <v/>
      </c>
      <c r="L279" s="27" t="str">
        <f>IF('MITRE ATT&amp;CK Mappings'!D275 &lt;&gt;"",'MITRE ATT&amp;CK Mappings'!D275,"" )</f>
        <v/>
      </c>
    </row>
    <row r="280" spans="1:12" x14ac:dyDescent="0.25">
      <c r="A280" s="26" t="str">
        <f>IF(COUNTIF(B280:K280,"="&amp;'MITRE ATT&amp;CK Mappings'!B276)&gt;0,'MITRE ATT&amp;CK Mappings'!B276,"")</f>
        <v/>
      </c>
      <c r="B280" s="26" t="str">
        <f>IF(OR(OR(OR(OR(OR(ISNUMBER(SEARCH(IF(B$1&lt;&gt;"",B$1,"NA"),'MITRE ATT&amp;CK Mappings'!$E276)),ISNUMBER(SEARCH(IF(B$1&lt;&gt;"",B$1,"NA"),'MITRE ATT&amp;CK Mappings'!$F276))),ISNUMBER(SEARCH(IF(B$2&lt;&gt;"",B$2,"NA"),'MITRE ATT&amp;CK Mappings'!$G276))),ISNUMBER(SEARCH(IF(B$2&lt;&gt;"",B$2,"NA"),'MITRE ATT&amp;CK Mappings'!$H276))),ISNUMBER(SEARCH(IF(B$3&lt;&gt;"",B$3,"NA"),'MITRE ATT&amp;CK Mappings'!$I276))),ISNUMBER(SEARCH(IF(B$3&lt;&gt;"",B$3,"NA"),'MITRE ATT&amp;CK Mappings'!$J276))), 'MITRE ATT&amp;CK Mappings'!$B276,"")</f>
        <v/>
      </c>
      <c r="C280" s="26" t="str">
        <f>IF(OR(OR(OR(OR(OR(ISNUMBER(SEARCH(IF(C$1&lt;&gt;"",C$1,"NA"),'MITRE ATT&amp;CK Mappings'!$E276)),ISNUMBER(SEARCH(IF(C$1&lt;&gt;"",C$1,"NA"),'MITRE ATT&amp;CK Mappings'!$F276))),ISNUMBER(SEARCH(IF(C$2&lt;&gt;"",C$2,"NA"),'MITRE ATT&amp;CK Mappings'!$G276))),ISNUMBER(SEARCH(IF(C$2&lt;&gt;"",C$2,"NA"),'MITRE ATT&amp;CK Mappings'!$H276))),ISNUMBER(SEARCH(IF(C$3&lt;&gt;"",C$3,"NA"),'MITRE ATT&amp;CK Mappings'!$I276))),ISNUMBER(SEARCH(IF(C$3&lt;&gt;"",C$3,"NA"),'MITRE ATT&amp;CK Mappings'!$J276))), 'MITRE ATT&amp;CK Mappings'!$B276,"")</f>
        <v/>
      </c>
      <c r="D280" s="26" t="str">
        <f>IF(OR(OR(OR(OR(OR(ISNUMBER(SEARCH(IF(D$1&lt;&gt;"",D$1,"NA"),'MITRE ATT&amp;CK Mappings'!$E276)),ISNUMBER(SEARCH(IF(D$1&lt;&gt;"",D$1,"NA"),'MITRE ATT&amp;CK Mappings'!$F276))),ISNUMBER(SEARCH(IF(D$2&lt;&gt;"",D$2,"NA"),'MITRE ATT&amp;CK Mappings'!$G276))),ISNUMBER(SEARCH(IF(D$2&lt;&gt;"",D$2,"NA"),'MITRE ATT&amp;CK Mappings'!$H276))),ISNUMBER(SEARCH(IF(D$3&lt;&gt;"",D$3,"NA"),'MITRE ATT&amp;CK Mappings'!$I276))),ISNUMBER(SEARCH(IF(D$3&lt;&gt;"",D$3,"NA"),'MITRE ATT&amp;CK Mappings'!$J276))), 'MITRE ATT&amp;CK Mappings'!$B276,"")</f>
        <v/>
      </c>
      <c r="E280" s="26" t="str">
        <f>IF(OR(OR(OR(OR(OR(ISNUMBER(SEARCH(IF(E$1&lt;&gt;"",E$1,"NA"),'MITRE ATT&amp;CK Mappings'!$E276)),ISNUMBER(SEARCH(IF(E$1&lt;&gt;"",E$1,"NA"),'MITRE ATT&amp;CK Mappings'!$F276))),ISNUMBER(SEARCH(IF(E$2&lt;&gt;"",E$2,"NA"),'MITRE ATT&amp;CK Mappings'!$G276))),ISNUMBER(SEARCH(IF(E$2&lt;&gt;"",E$2,"NA"),'MITRE ATT&amp;CK Mappings'!$H276))),ISNUMBER(SEARCH(IF(E$3&lt;&gt;"",E$3,"NA"),'MITRE ATT&amp;CK Mappings'!$I276))),ISNUMBER(SEARCH(IF(E$3&lt;&gt;"",E$3,"NA"),'MITRE ATT&amp;CK Mappings'!$J276))), 'MITRE ATT&amp;CK Mappings'!$B276,"")</f>
        <v/>
      </c>
      <c r="F280" s="26" t="str">
        <f>IF(OR(OR(OR(OR(OR(ISNUMBER(SEARCH(IF(F$1&lt;&gt;"",F$1,"NA"),'MITRE ATT&amp;CK Mappings'!$E276)),ISNUMBER(SEARCH(IF(F$1&lt;&gt;"",F$1,"NA"),'MITRE ATT&amp;CK Mappings'!$F276))),ISNUMBER(SEARCH(IF(F$2&lt;&gt;"",F$2,"NA"),'MITRE ATT&amp;CK Mappings'!$G276))),ISNUMBER(SEARCH(IF(F$2&lt;&gt;"",F$2,"NA"),'MITRE ATT&amp;CK Mappings'!$H276))),ISNUMBER(SEARCH(IF(F$3&lt;&gt;"",F$3,"NA"),'MITRE ATT&amp;CK Mappings'!$I276))),ISNUMBER(SEARCH(IF(F$3&lt;&gt;"",F$3,"NA"),'MITRE ATT&amp;CK Mappings'!$J276))), 'MITRE ATT&amp;CK Mappings'!$B276,"")</f>
        <v/>
      </c>
      <c r="G280" s="26" t="str">
        <f>IF(OR(OR(OR(OR(OR(ISNUMBER(SEARCH(IF(G$1&lt;&gt;"",G$1,"NA"),'MITRE ATT&amp;CK Mappings'!$E276)),ISNUMBER(SEARCH(IF(G$1&lt;&gt;"",G$1,"NA"),'MITRE ATT&amp;CK Mappings'!$F276))),ISNUMBER(SEARCH(IF(G$2&lt;&gt;"",G$2,"NA"),'MITRE ATT&amp;CK Mappings'!$G276))),ISNUMBER(SEARCH(IF(G$2&lt;&gt;"",G$2,"NA"),'MITRE ATT&amp;CK Mappings'!$H276))),ISNUMBER(SEARCH(IF(G$3&lt;&gt;"",G$3,"NA"),'MITRE ATT&amp;CK Mappings'!$I276))),ISNUMBER(SEARCH(IF(G$3&lt;&gt;"",G$3,"NA"),'MITRE ATT&amp;CK Mappings'!$J276))), 'MITRE ATT&amp;CK Mappings'!$B276,"")</f>
        <v/>
      </c>
      <c r="H280" s="26" t="str">
        <f>IF(OR(OR(OR(OR(OR(ISNUMBER(SEARCH(IF(H$1&lt;&gt;"",H$1,"NA"),'MITRE ATT&amp;CK Mappings'!$E276)),ISNUMBER(SEARCH(IF(H$1&lt;&gt;"",H$1,"NA"),'MITRE ATT&amp;CK Mappings'!$F276))),ISNUMBER(SEARCH(IF(H$2&lt;&gt;"",H$2,"NA"),'MITRE ATT&amp;CK Mappings'!$G276))),ISNUMBER(SEARCH(IF(H$2&lt;&gt;"",H$2,"NA"),'MITRE ATT&amp;CK Mappings'!$H276))),ISNUMBER(SEARCH(IF(H$3&lt;&gt;"",H$3,"NA"),'MITRE ATT&amp;CK Mappings'!$I276))),ISNUMBER(SEARCH(IF(H$3&lt;&gt;"",H$3,"NA"),'MITRE ATT&amp;CK Mappings'!$J276))), 'MITRE ATT&amp;CK Mappings'!$B276,"")</f>
        <v/>
      </c>
      <c r="I280" s="26" t="str">
        <f>IF(OR(OR(OR(OR(OR(ISNUMBER(SEARCH(IF(I$1&lt;&gt;"",I$1,"NA"),'MITRE ATT&amp;CK Mappings'!$E276)),ISNUMBER(SEARCH(IF(I$1&lt;&gt;"",I$1,"NA"),'MITRE ATT&amp;CK Mappings'!$F276))),ISNUMBER(SEARCH(IF(I$2&lt;&gt;"",I$2,"NA"),'MITRE ATT&amp;CK Mappings'!$G276))),ISNUMBER(SEARCH(IF(I$2&lt;&gt;"",I$2,"NA"),'MITRE ATT&amp;CK Mappings'!$H276))),ISNUMBER(SEARCH(IF(I$3&lt;&gt;"",I$3,"NA"),'MITRE ATT&amp;CK Mappings'!$I276))),ISNUMBER(SEARCH(IF(I$3&lt;&gt;"",I$3,"NA"),'MITRE ATT&amp;CK Mappings'!$J276))), 'MITRE ATT&amp;CK Mappings'!$B276,"")</f>
        <v/>
      </c>
      <c r="J280" s="26" t="str">
        <f>IF(OR(OR(OR(OR(OR(ISNUMBER(SEARCH(IF(J$1&lt;&gt;"",J$1,"NA"),'MITRE ATT&amp;CK Mappings'!$E276)),ISNUMBER(SEARCH(IF(J$1&lt;&gt;"",J$1,"NA"),'MITRE ATT&amp;CK Mappings'!$F276))),ISNUMBER(SEARCH(IF(J$2&lt;&gt;"",J$2,"NA"),'MITRE ATT&amp;CK Mappings'!$G276))),ISNUMBER(SEARCH(IF(J$2&lt;&gt;"",J$2,"NA"),'MITRE ATT&amp;CK Mappings'!$H276))),ISNUMBER(SEARCH(IF(J$3&lt;&gt;"",J$3,"NA"),'MITRE ATT&amp;CK Mappings'!$I276))),ISNUMBER(SEARCH(IF(J$3&lt;&gt;"",J$3,"NA"),'MITRE ATT&amp;CK Mappings'!$J276))), 'MITRE ATT&amp;CK Mappings'!$B276,"")</f>
        <v/>
      </c>
      <c r="K280" s="26" t="str">
        <f>IF(OR(OR(OR(OR(OR(ISNUMBER(SEARCH(IF(K$1&lt;&gt;"",K$1,"NA"),'MITRE ATT&amp;CK Mappings'!$E276)),ISNUMBER(SEARCH(IF(K$1&lt;&gt;"",K$1,"NA"),'MITRE ATT&amp;CK Mappings'!$F276))),ISNUMBER(SEARCH(IF(K$2&lt;&gt;"",K$2,"NA"),'MITRE ATT&amp;CK Mappings'!$G276))),ISNUMBER(SEARCH(IF(K$2&lt;&gt;"",K$2,"NA"),'MITRE ATT&amp;CK Mappings'!$H276))),ISNUMBER(SEARCH(IF(K$3&lt;&gt;"",K$3,"NA"),'MITRE ATT&amp;CK Mappings'!$I276))),ISNUMBER(SEARCH(IF(K$3&lt;&gt;"",K$3,"NA"),'MITRE ATT&amp;CK Mappings'!$J276))), 'MITRE ATT&amp;CK Mappings'!$B276,"")</f>
        <v/>
      </c>
      <c r="L280" s="26" t="str">
        <f>IF('MITRE ATT&amp;CK Mappings'!D276 &lt;&gt;"",'MITRE ATT&amp;CK Mappings'!D276,"" )</f>
        <v/>
      </c>
    </row>
    <row r="281" spans="1:12" x14ac:dyDescent="0.25">
      <c r="A281" s="27" t="str">
        <f>IF(COUNTIF(B281:K281,"="&amp;'MITRE ATT&amp;CK Mappings'!B277)&gt;0,'MITRE ATT&amp;CK Mappings'!B277,"")</f>
        <v/>
      </c>
      <c r="B281" s="27" t="str">
        <f>IF(OR(OR(OR(OR(OR(ISNUMBER(SEARCH(IF(B$1&lt;&gt;"",B$1,"NA"),'MITRE ATT&amp;CK Mappings'!$E277)),ISNUMBER(SEARCH(IF(B$1&lt;&gt;"",B$1,"NA"),'MITRE ATT&amp;CK Mappings'!$F277))),ISNUMBER(SEARCH(IF(B$2&lt;&gt;"",B$2,"NA"),'MITRE ATT&amp;CK Mappings'!$G277))),ISNUMBER(SEARCH(IF(B$2&lt;&gt;"",B$2,"NA"),'MITRE ATT&amp;CK Mappings'!$H277))),ISNUMBER(SEARCH(IF(B$3&lt;&gt;"",B$3,"NA"),'MITRE ATT&amp;CK Mappings'!$I277))),ISNUMBER(SEARCH(IF(B$3&lt;&gt;"",B$3,"NA"),'MITRE ATT&amp;CK Mappings'!$J277))), 'MITRE ATT&amp;CK Mappings'!$B277,"")</f>
        <v/>
      </c>
      <c r="C281" s="27" t="str">
        <f>IF(OR(OR(OR(OR(OR(ISNUMBER(SEARCH(IF(C$1&lt;&gt;"",C$1,"NA"),'MITRE ATT&amp;CK Mappings'!$E277)),ISNUMBER(SEARCH(IF(C$1&lt;&gt;"",C$1,"NA"),'MITRE ATT&amp;CK Mappings'!$F277))),ISNUMBER(SEARCH(IF(C$2&lt;&gt;"",C$2,"NA"),'MITRE ATT&amp;CK Mappings'!$G277))),ISNUMBER(SEARCH(IF(C$2&lt;&gt;"",C$2,"NA"),'MITRE ATT&amp;CK Mappings'!$H277))),ISNUMBER(SEARCH(IF(C$3&lt;&gt;"",C$3,"NA"),'MITRE ATT&amp;CK Mappings'!$I277))),ISNUMBER(SEARCH(IF(C$3&lt;&gt;"",C$3,"NA"),'MITRE ATT&amp;CK Mappings'!$J277))), 'MITRE ATT&amp;CK Mappings'!$B277,"")</f>
        <v/>
      </c>
      <c r="D281" s="27" t="str">
        <f>IF(OR(OR(OR(OR(OR(ISNUMBER(SEARCH(IF(D$1&lt;&gt;"",D$1,"NA"),'MITRE ATT&amp;CK Mappings'!$E277)),ISNUMBER(SEARCH(IF(D$1&lt;&gt;"",D$1,"NA"),'MITRE ATT&amp;CK Mappings'!$F277))),ISNUMBER(SEARCH(IF(D$2&lt;&gt;"",D$2,"NA"),'MITRE ATT&amp;CK Mappings'!$G277))),ISNUMBER(SEARCH(IF(D$2&lt;&gt;"",D$2,"NA"),'MITRE ATT&amp;CK Mappings'!$H277))),ISNUMBER(SEARCH(IF(D$3&lt;&gt;"",D$3,"NA"),'MITRE ATT&amp;CK Mappings'!$I277))),ISNUMBER(SEARCH(IF(D$3&lt;&gt;"",D$3,"NA"),'MITRE ATT&amp;CK Mappings'!$J277))), 'MITRE ATT&amp;CK Mappings'!$B277,"")</f>
        <v/>
      </c>
      <c r="E281" s="27" t="str">
        <f>IF(OR(OR(OR(OR(OR(ISNUMBER(SEARCH(IF(E$1&lt;&gt;"",E$1,"NA"),'MITRE ATT&amp;CK Mappings'!$E277)),ISNUMBER(SEARCH(IF(E$1&lt;&gt;"",E$1,"NA"),'MITRE ATT&amp;CK Mappings'!$F277))),ISNUMBER(SEARCH(IF(E$2&lt;&gt;"",E$2,"NA"),'MITRE ATT&amp;CK Mappings'!$G277))),ISNUMBER(SEARCH(IF(E$2&lt;&gt;"",E$2,"NA"),'MITRE ATT&amp;CK Mappings'!$H277))),ISNUMBER(SEARCH(IF(E$3&lt;&gt;"",E$3,"NA"),'MITRE ATT&amp;CK Mappings'!$I277))),ISNUMBER(SEARCH(IF(E$3&lt;&gt;"",E$3,"NA"),'MITRE ATT&amp;CK Mappings'!$J277))), 'MITRE ATT&amp;CK Mappings'!$B277,"")</f>
        <v/>
      </c>
      <c r="F281" s="27" t="str">
        <f>IF(OR(OR(OR(OR(OR(ISNUMBER(SEARCH(IF(F$1&lt;&gt;"",F$1,"NA"),'MITRE ATT&amp;CK Mappings'!$E277)),ISNUMBER(SEARCH(IF(F$1&lt;&gt;"",F$1,"NA"),'MITRE ATT&amp;CK Mappings'!$F277))),ISNUMBER(SEARCH(IF(F$2&lt;&gt;"",F$2,"NA"),'MITRE ATT&amp;CK Mappings'!$G277))),ISNUMBER(SEARCH(IF(F$2&lt;&gt;"",F$2,"NA"),'MITRE ATT&amp;CK Mappings'!$H277))),ISNUMBER(SEARCH(IF(F$3&lt;&gt;"",F$3,"NA"),'MITRE ATT&amp;CK Mappings'!$I277))),ISNUMBER(SEARCH(IF(F$3&lt;&gt;"",F$3,"NA"),'MITRE ATT&amp;CK Mappings'!$J277))), 'MITRE ATT&amp;CK Mappings'!$B277,"")</f>
        <v/>
      </c>
      <c r="G281" s="27" t="str">
        <f>IF(OR(OR(OR(OR(OR(ISNUMBER(SEARCH(IF(G$1&lt;&gt;"",G$1,"NA"),'MITRE ATT&amp;CK Mappings'!$E277)),ISNUMBER(SEARCH(IF(G$1&lt;&gt;"",G$1,"NA"),'MITRE ATT&amp;CK Mappings'!$F277))),ISNUMBER(SEARCH(IF(G$2&lt;&gt;"",G$2,"NA"),'MITRE ATT&amp;CK Mappings'!$G277))),ISNUMBER(SEARCH(IF(G$2&lt;&gt;"",G$2,"NA"),'MITRE ATT&amp;CK Mappings'!$H277))),ISNUMBER(SEARCH(IF(G$3&lt;&gt;"",G$3,"NA"),'MITRE ATT&amp;CK Mappings'!$I277))),ISNUMBER(SEARCH(IF(G$3&lt;&gt;"",G$3,"NA"),'MITRE ATT&amp;CK Mappings'!$J277))), 'MITRE ATT&amp;CK Mappings'!$B277,"")</f>
        <v/>
      </c>
      <c r="H281" s="27" t="str">
        <f>IF(OR(OR(OR(OR(OR(ISNUMBER(SEARCH(IF(H$1&lt;&gt;"",H$1,"NA"),'MITRE ATT&amp;CK Mappings'!$E277)),ISNUMBER(SEARCH(IF(H$1&lt;&gt;"",H$1,"NA"),'MITRE ATT&amp;CK Mappings'!$F277))),ISNUMBER(SEARCH(IF(H$2&lt;&gt;"",H$2,"NA"),'MITRE ATT&amp;CK Mappings'!$G277))),ISNUMBER(SEARCH(IF(H$2&lt;&gt;"",H$2,"NA"),'MITRE ATT&amp;CK Mappings'!$H277))),ISNUMBER(SEARCH(IF(H$3&lt;&gt;"",H$3,"NA"),'MITRE ATT&amp;CK Mappings'!$I277))),ISNUMBER(SEARCH(IF(H$3&lt;&gt;"",H$3,"NA"),'MITRE ATT&amp;CK Mappings'!$J277))), 'MITRE ATT&amp;CK Mappings'!$B277,"")</f>
        <v/>
      </c>
      <c r="I281" s="27" t="str">
        <f>IF(OR(OR(OR(OR(OR(ISNUMBER(SEARCH(IF(I$1&lt;&gt;"",I$1,"NA"),'MITRE ATT&amp;CK Mappings'!$E277)),ISNUMBER(SEARCH(IF(I$1&lt;&gt;"",I$1,"NA"),'MITRE ATT&amp;CK Mappings'!$F277))),ISNUMBER(SEARCH(IF(I$2&lt;&gt;"",I$2,"NA"),'MITRE ATT&amp;CK Mappings'!$G277))),ISNUMBER(SEARCH(IF(I$2&lt;&gt;"",I$2,"NA"),'MITRE ATT&amp;CK Mappings'!$H277))),ISNUMBER(SEARCH(IF(I$3&lt;&gt;"",I$3,"NA"),'MITRE ATT&amp;CK Mappings'!$I277))),ISNUMBER(SEARCH(IF(I$3&lt;&gt;"",I$3,"NA"),'MITRE ATT&amp;CK Mappings'!$J277))), 'MITRE ATT&amp;CK Mappings'!$B277,"")</f>
        <v/>
      </c>
      <c r="J281" s="27" t="str">
        <f>IF(OR(OR(OR(OR(OR(ISNUMBER(SEARCH(IF(J$1&lt;&gt;"",J$1,"NA"),'MITRE ATT&amp;CK Mappings'!$E277)),ISNUMBER(SEARCH(IF(J$1&lt;&gt;"",J$1,"NA"),'MITRE ATT&amp;CK Mappings'!$F277))),ISNUMBER(SEARCH(IF(J$2&lt;&gt;"",J$2,"NA"),'MITRE ATT&amp;CK Mappings'!$G277))),ISNUMBER(SEARCH(IF(J$2&lt;&gt;"",J$2,"NA"),'MITRE ATT&amp;CK Mappings'!$H277))),ISNUMBER(SEARCH(IF(J$3&lt;&gt;"",J$3,"NA"),'MITRE ATT&amp;CK Mappings'!$I277))),ISNUMBER(SEARCH(IF(J$3&lt;&gt;"",J$3,"NA"),'MITRE ATT&amp;CK Mappings'!$J277))), 'MITRE ATT&amp;CK Mappings'!$B277,"")</f>
        <v/>
      </c>
      <c r="K281" s="27" t="str">
        <f>IF(OR(OR(OR(OR(OR(ISNUMBER(SEARCH(IF(K$1&lt;&gt;"",K$1,"NA"),'MITRE ATT&amp;CK Mappings'!$E277)),ISNUMBER(SEARCH(IF(K$1&lt;&gt;"",K$1,"NA"),'MITRE ATT&amp;CK Mappings'!$F277))),ISNUMBER(SEARCH(IF(K$2&lt;&gt;"",K$2,"NA"),'MITRE ATT&amp;CK Mappings'!$G277))),ISNUMBER(SEARCH(IF(K$2&lt;&gt;"",K$2,"NA"),'MITRE ATT&amp;CK Mappings'!$H277))),ISNUMBER(SEARCH(IF(K$3&lt;&gt;"",K$3,"NA"),'MITRE ATT&amp;CK Mappings'!$I277))),ISNUMBER(SEARCH(IF(K$3&lt;&gt;"",K$3,"NA"),'MITRE ATT&amp;CK Mappings'!$J277))), 'MITRE ATT&amp;CK Mappings'!$B277,"")</f>
        <v/>
      </c>
      <c r="L281" s="27" t="str">
        <f>IF('MITRE ATT&amp;CK Mappings'!D277 &lt;&gt;"",'MITRE ATT&amp;CK Mappings'!D277,"" )</f>
        <v/>
      </c>
    </row>
    <row r="282" spans="1:12" x14ac:dyDescent="0.25">
      <c r="A282" s="26" t="str">
        <f>IF(COUNTIF(B282:K282,"="&amp;'MITRE ATT&amp;CK Mappings'!B278)&gt;0,'MITRE ATT&amp;CK Mappings'!B278,"")</f>
        <v/>
      </c>
      <c r="B282" s="26" t="str">
        <f>IF(OR(OR(OR(OR(OR(ISNUMBER(SEARCH(IF(B$1&lt;&gt;"",B$1,"NA"),'MITRE ATT&amp;CK Mappings'!$E278)),ISNUMBER(SEARCH(IF(B$1&lt;&gt;"",B$1,"NA"),'MITRE ATT&amp;CK Mappings'!$F278))),ISNUMBER(SEARCH(IF(B$2&lt;&gt;"",B$2,"NA"),'MITRE ATT&amp;CK Mappings'!$G278))),ISNUMBER(SEARCH(IF(B$2&lt;&gt;"",B$2,"NA"),'MITRE ATT&amp;CK Mappings'!$H278))),ISNUMBER(SEARCH(IF(B$3&lt;&gt;"",B$3,"NA"),'MITRE ATT&amp;CK Mappings'!$I278))),ISNUMBER(SEARCH(IF(B$3&lt;&gt;"",B$3,"NA"),'MITRE ATT&amp;CK Mappings'!$J278))), 'MITRE ATT&amp;CK Mappings'!$B278,"")</f>
        <v/>
      </c>
      <c r="C282" s="26" t="str">
        <f>IF(OR(OR(OR(OR(OR(ISNUMBER(SEARCH(IF(C$1&lt;&gt;"",C$1,"NA"),'MITRE ATT&amp;CK Mappings'!$E278)),ISNUMBER(SEARCH(IF(C$1&lt;&gt;"",C$1,"NA"),'MITRE ATT&amp;CK Mappings'!$F278))),ISNUMBER(SEARCH(IF(C$2&lt;&gt;"",C$2,"NA"),'MITRE ATT&amp;CK Mappings'!$G278))),ISNUMBER(SEARCH(IF(C$2&lt;&gt;"",C$2,"NA"),'MITRE ATT&amp;CK Mappings'!$H278))),ISNUMBER(SEARCH(IF(C$3&lt;&gt;"",C$3,"NA"),'MITRE ATT&amp;CK Mappings'!$I278))),ISNUMBER(SEARCH(IF(C$3&lt;&gt;"",C$3,"NA"),'MITRE ATT&amp;CK Mappings'!$J278))), 'MITRE ATT&amp;CK Mappings'!$B278,"")</f>
        <v/>
      </c>
      <c r="D282" s="26" t="str">
        <f>IF(OR(OR(OR(OR(OR(ISNUMBER(SEARCH(IF(D$1&lt;&gt;"",D$1,"NA"),'MITRE ATT&amp;CK Mappings'!$E278)),ISNUMBER(SEARCH(IF(D$1&lt;&gt;"",D$1,"NA"),'MITRE ATT&amp;CK Mappings'!$F278))),ISNUMBER(SEARCH(IF(D$2&lt;&gt;"",D$2,"NA"),'MITRE ATT&amp;CK Mappings'!$G278))),ISNUMBER(SEARCH(IF(D$2&lt;&gt;"",D$2,"NA"),'MITRE ATT&amp;CK Mappings'!$H278))),ISNUMBER(SEARCH(IF(D$3&lt;&gt;"",D$3,"NA"),'MITRE ATT&amp;CK Mappings'!$I278))),ISNUMBER(SEARCH(IF(D$3&lt;&gt;"",D$3,"NA"),'MITRE ATT&amp;CK Mappings'!$J278))), 'MITRE ATT&amp;CK Mappings'!$B278,"")</f>
        <v/>
      </c>
      <c r="E282" s="26" t="str">
        <f>IF(OR(OR(OR(OR(OR(ISNUMBER(SEARCH(IF(E$1&lt;&gt;"",E$1,"NA"),'MITRE ATT&amp;CK Mappings'!$E278)),ISNUMBER(SEARCH(IF(E$1&lt;&gt;"",E$1,"NA"),'MITRE ATT&amp;CK Mappings'!$F278))),ISNUMBER(SEARCH(IF(E$2&lt;&gt;"",E$2,"NA"),'MITRE ATT&amp;CK Mappings'!$G278))),ISNUMBER(SEARCH(IF(E$2&lt;&gt;"",E$2,"NA"),'MITRE ATT&amp;CK Mappings'!$H278))),ISNUMBER(SEARCH(IF(E$3&lt;&gt;"",E$3,"NA"),'MITRE ATT&amp;CK Mappings'!$I278))),ISNUMBER(SEARCH(IF(E$3&lt;&gt;"",E$3,"NA"),'MITRE ATT&amp;CK Mappings'!$J278))), 'MITRE ATT&amp;CK Mappings'!$B278,"")</f>
        <v/>
      </c>
      <c r="F282" s="26" t="str">
        <f>IF(OR(OR(OR(OR(OR(ISNUMBER(SEARCH(IF(F$1&lt;&gt;"",F$1,"NA"),'MITRE ATT&amp;CK Mappings'!$E278)),ISNUMBER(SEARCH(IF(F$1&lt;&gt;"",F$1,"NA"),'MITRE ATT&amp;CK Mappings'!$F278))),ISNUMBER(SEARCH(IF(F$2&lt;&gt;"",F$2,"NA"),'MITRE ATT&amp;CK Mappings'!$G278))),ISNUMBER(SEARCH(IF(F$2&lt;&gt;"",F$2,"NA"),'MITRE ATT&amp;CK Mappings'!$H278))),ISNUMBER(SEARCH(IF(F$3&lt;&gt;"",F$3,"NA"),'MITRE ATT&amp;CK Mappings'!$I278))),ISNUMBER(SEARCH(IF(F$3&lt;&gt;"",F$3,"NA"),'MITRE ATT&amp;CK Mappings'!$J278))), 'MITRE ATT&amp;CK Mappings'!$B278,"")</f>
        <v/>
      </c>
      <c r="G282" s="26" t="str">
        <f>IF(OR(OR(OR(OR(OR(ISNUMBER(SEARCH(IF(G$1&lt;&gt;"",G$1,"NA"),'MITRE ATT&amp;CK Mappings'!$E278)),ISNUMBER(SEARCH(IF(G$1&lt;&gt;"",G$1,"NA"),'MITRE ATT&amp;CK Mappings'!$F278))),ISNUMBER(SEARCH(IF(G$2&lt;&gt;"",G$2,"NA"),'MITRE ATT&amp;CK Mappings'!$G278))),ISNUMBER(SEARCH(IF(G$2&lt;&gt;"",G$2,"NA"),'MITRE ATT&amp;CK Mappings'!$H278))),ISNUMBER(SEARCH(IF(G$3&lt;&gt;"",G$3,"NA"),'MITRE ATT&amp;CK Mappings'!$I278))),ISNUMBER(SEARCH(IF(G$3&lt;&gt;"",G$3,"NA"),'MITRE ATT&amp;CK Mappings'!$J278))), 'MITRE ATT&amp;CK Mappings'!$B278,"")</f>
        <v/>
      </c>
      <c r="H282" s="26" t="str">
        <f>IF(OR(OR(OR(OR(OR(ISNUMBER(SEARCH(IF(H$1&lt;&gt;"",H$1,"NA"),'MITRE ATT&amp;CK Mappings'!$E278)),ISNUMBER(SEARCH(IF(H$1&lt;&gt;"",H$1,"NA"),'MITRE ATT&amp;CK Mappings'!$F278))),ISNUMBER(SEARCH(IF(H$2&lt;&gt;"",H$2,"NA"),'MITRE ATT&amp;CK Mappings'!$G278))),ISNUMBER(SEARCH(IF(H$2&lt;&gt;"",H$2,"NA"),'MITRE ATT&amp;CK Mappings'!$H278))),ISNUMBER(SEARCH(IF(H$3&lt;&gt;"",H$3,"NA"),'MITRE ATT&amp;CK Mappings'!$I278))),ISNUMBER(SEARCH(IF(H$3&lt;&gt;"",H$3,"NA"),'MITRE ATT&amp;CK Mappings'!$J278))), 'MITRE ATT&amp;CK Mappings'!$B278,"")</f>
        <v/>
      </c>
      <c r="I282" s="26" t="str">
        <f>IF(OR(OR(OR(OR(OR(ISNUMBER(SEARCH(IF(I$1&lt;&gt;"",I$1,"NA"),'MITRE ATT&amp;CK Mappings'!$E278)),ISNUMBER(SEARCH(IF(I$1&lt;&gt;"",I$1,"NA"),'MITRE ATT&amp;CK Mappings'!$F278))),ISNUMBER(SEARCH(IF(I$2&lt;&gt;"",I$2,"NA"),'MITRE ATT&amp;CK Mappings'!$G278))),ISNUMBER(SEARCH(IF(I$2&lt;&gt;"",I$2,"NA"),'MITRE ATT&amp;CK Mappings'!$H278))),ISNUMBER(SEARCH(IF(I$3&lt;&gt;"",I$3,"NA"),'MITRE ATT&amp;CK Mappings'!$I278))),ISNUMBER(SEARCH(IF(I$3&lt;&gt;"",I$3,"NA"),'MITRE ATT&amp;CK Mappings'!$J278))), 'MITRE ATT&amp;CK Mappings'!$B278,"")</f>
        <v/>
      </c>
      <c r="J282" s="26" t="str">
        <f>IF(OR(OR(OR(OR(OR(ISNUMBER(SEARCH(IF(J$1&lt;&gt;"",J$1,"NA"),'MITRE ATT&amp;CK Mappings'!$E278)),ISNUMBER(SEARCH(IF(J$1&lt;&gt;"",J$1,"NA"),'MITRE ATT&amp;CK Mappings'!$F278))),ISNUMBER(SEARCH(IF(J$2&lt;&gt;"",J$2,"NA"),'MITRE ATT&amp;CK Mappings'!$G278))),ISNUMBER(SEARCH(IF(J$2&lt;&gt;"",J$2,"NA"),'MITRE ATT&amp;CK Mappings'!$H278))),ISNUMBER(SEARCH(IF(J$3&lt;&gt;"",J$3,"NA"),'MITRE ATT&amp;CK Mappings'!$I278))),ISNUMBER(SEARCH(IF(J$3&lt;&gt;"",J$3,"NA"),'MITRE ATT&amp;CK Mappings'!$J278))), 'MITRE ATT&amp;CK Mappings'!$B278,"")</f>
        <v/>
      </c>
      <c r="K282" s="26" t="str">
        <f>IF(OR(OR(OR(OR(OR(ISNUMBER(SEARCH(IF(K$1&lt;&gt;"",K$1,"NA"),'MITRE ATT&amp;CK Mappings'!$E278)),ISNUMBER(SEARCH(IF(K$1&lt;&gt;"",K$1,"NA"),'MITRE ATT&amp;CK Mappings'!$F278))),ISNUMBER(SEARCH(IF(K$2&lt;&gt;"",K$2,"NA"),'MITRE ATT&amp;CK Mappings'!$G278))),ISNUMBER(SEARCH(IF(K$2&lt;&gt;"",K$2,"NA"),'MITRE ATT&amp;CK Mappings'!$H278))),ISNUMBER(SEARCH(IF(K$3&lt;&gt;"",K$3,"NA"),'MITRE ATT&amp;CK Mappings'!$I278))),ISNUMBER(SEARCH(IF(K$3&lt;&gt;"",K$3,"NA"),'MITRE ATT&amp;CK Mappings'!$J278))), 'MITRE ATT&amp;CK Mappings'!$B278,"")</f>
        <v/>
      </c>
      <c r="L282" s="26" t="str">
        <f>IF('MITRE ATT&amp;CK Mappings'!D278 &lt;&gt;"",'MITRE ATT&amp;CK Mappings'!D278,"" )</f>
        <v/>
      </c>
    </row>
    <row r="283" spans="1:12" x14ac:dyDescent="0.25">
      <c r="A283" s="27" t="str">
        <f>IF(COUNTIF(B283:K283,"="&amp;'MITRE ATT&amp;CK Mappings'!B279)&gt;0,'MITRE ATT&amp;CK Mappings'!B279,"")</f>
        <v/>
      </c>
      <c r="B283" s="27" t="str">
        <f>IF(OR(OR(OR(OR(OR(ISNUMBER(SEARCH(IF(B$1&lt;&gt;"",B$1,"NA"),'MITRE ATT&amp;CK Mappings'!$E279)),ISNUMBER(SEARCH(IF(B$1&lt;&gt;"",B$1,"NA"),'MITRE ATT&amp;CK Mappings'!$F279))),ISNUMBER(SEARCH(IF(B$2&lt;&gt;"",B$2,"NA"),'MITRE ATT&amp;CK Mappings'!$G279))),ISNUMBER(SEARCH(IF(B$2&lt;&gt;"",B$2,"NA"),'MITRE ATT&amp;CK Mappings'!$H279))),ISNUMBER(SEARCH(IF(B$3&lt;&gt;"",B$3,"NA"),'MITRE ATT&amp;CK Mappings'!$I279))),ISNUMBER(SEARCH(IF(B$3&lt;&gt;"",B$3,"NA"),'MITRE ATT&amp;CK Mappings'!$J279))), 'MITRE ATT&amp;CK Mappings'!$B279,"")</f>
        <v/>
      </c>
      <c r="C283" s="27" t="str">
        <f>IF(OR(OR(OR(OR(OR(ISNUMBER(SEARCH(IF(C$1&lt;&gt;"",C$1,"NA"),'MITRE ATT&amp;CK Mappings'!$E279)),ISNUMBER(SEARCH(IF(C$1&lt;&gt;"",C$1,"NA"),'MITRE ATT&amp;CK Mappings'!$F279))),ISNUMBER(SEARCH(IF(C$2&lt;&gt;"",C$2,"NA"),'MITRE ATT&amp;CK Mappings'!$G279))),ISNUMBER(SEARCH(IF(C$2&lt;&gt;"",C$2,"NA"),'MITRE ATT&amp;CK Mappings'!$H279))),ISNUMBER(SEARCH(IF(C$3&lt;&gt;"",C$3,"NA"),'MITRE ATT&amp;CK Mappings'!$I279))),ISNUMBER(SEARCH(IF(C$3&lt;&gt;"",C$3,"NA"),'MITRE ATT&amp;CK Mappings'!$J279))), 'MITRE ATT&amp;CK Mappings'!$B279,"")</f>
        <v/>
      </c>
      <c r="D283" s="27" t="str">
        <f>IF(OR(OR(OR(OR(OR(ISNUMBER(SEARCH(IF(D$1&lt;&gt;"",D$1,"NA"),'MITRE ATT&amp;CK Mappings'!$E279)),ISNUMBER(SEARCH(IF(D$1&lt;&gt;"",D$1,"NA"),'MITRE ATT&amp;CK Mappings'!$F279))),ISNUMBER(SEARCH(IF(D$2&lt;&gt;"",D$2,"NA"),'MITRE ATT&amp;CK Mappings'!$G279))),ISNUMBER(SEARCH(IF(D$2&lt;&gt;"",D$2,"NA"),'MITRE ATT&amp;CK Mappings'!$H279))),ISNUMBER(SEARCH(IF(D$3&lt;&gt;"",D$3,"NA"),'MITRE ATT&amp;CK Mappings'!$I279))),ISNUMBER(SEARCH(IF(D$3&lt;&gt;"",D$3,"NA"),'MITRE ATT&amp;CK Mappings'!$J279))), 'MITRE ATT&amp;CK Mappings'!$B279,"")</f>
        <v/>
      </c>
      <c r="E283" s="27" t="str">
        <f>IF(OR(OR(OR(OR(OR(ISNUMBER(SEARCH(IF(E$1&lt;&gt;"",E$1,"NA"),'MITRE ATT&amp;CK Mappings'!$E279)),ISNUMBER(SEARCH(IF(E$1&lt;&gt;"",E$1,"NA"),'MITRE ATT&amp;CK Mappings'!$F279))),ISNUMBER(SEARCH(IF(E$2&lt;&gt;"",E$2,"NA"),'MITRE ATT&amp;CK Mappings'!$G279))),ISNUMBER(SEARCH(IF(E$2&lt;&gt;"",E$2,"NA"),'MITRE ATT&amp;CK Mappings'!$H279))),ISNUMBER(SEARCH(IF(E$3&lt;&gt;"",E$3,"NA"),'MITRE ATT&amp;CK Mappings'!$I279))),ISNUMBER(SEARCH(IF(E$3&lt;&gt;"",E$3,"NA"),'MITRE ATT&amp;CK Mappings'!$J279))), 'MITRE ATT&amp;CK Mappings'!$B279,"")</f>
        <v/>
      </c>
      <c r="F283" s="27" t="str">
        <f>IF(OR(OR(OR(OR(OR(ISNUMBER(SEARCH(IF(F$1&lt;&gt;"",F$1,"NA"),'MITRE ATT&amp;CK Mappings'!$E279)),ISNUMBER(SEARCH(IF(F$1&lt;&gt;"",F$1,"NA"),'MITRE ATT&amp;CK Mappings'!$F279))),ISNUMBER(SEARCH(IF(F$2&lt;&gt;"",F$2,"NA"),'MITRE ATT&amp;CK Mappings'!$G279))),ISNUMBER(SEARCH(IF(F$2&lt;&gt;"",F$2,"NA"),'MITRE ATT&amp;CK Mappings'!$H279))),ISNUMBER(SEARCH(IF(F$3&lt;&gt;"",F$3,"NA"),'MITRE ATT&amp;CK Mappings'!$I279))),ISNUMBER(SEARCH(IF(F$3&lt;&gt;"",F$3,"NA"),'MITRE ATT&amp;CK Mappings'!$J279))), 'MITRE ATT&amp;CK Mappings'!$B279,"")</f>
        <v/>
      </c>
      <c r="G283" s="27" t="str">
        <f>IF(OR(OR(OR(OR(OR(ISNUMBER(SEARCH(IF(G$1&lt;&gt;"",G$1,"NA"),'MITRE ATT&amp;CK Mappings'!$E279)),ISNUMBER(SEARCH(IF(G$1&lt;&gt;"",G$1,"NA"),'MITRE ATT&amp;CK Mappings'!$F279))),ISNUMBER(SEARCH(IF(G$2&lt;&gt;"",G$2,"NA"),'MITRE ATT&amp;CK Mappings'!$G279))),ISNUMBER(SEARCH(IF(G$2&lt;&gt;"",G$2,"NA"),'MITRE ATT&amp;CK Mappings'!$H279))),ISNUMBER(SEARCH(IF(G$3&lt;&gt;"",G$3,"NA"),'MITRE ATT&amp;CK Mappings'!$I279))),ISNUMBER(SEARCH(IF(G$3&lt;&gt;"",G$3,"NA"),'MITRE ATT&amp;CK Mappings'!$J279))), 'MITRE ATT&amp;CK Mappings'!$B279,"")</f>
        <v/>
      </c>
      <c r="H283" s="27" t="str">
        <f>IF(OR(OR(OR(OR(OR(ISNUMBER(SEARCH(IF(H$1&lt;&gt;"",H$1,"NA"),'MITRE ATT&amp;CK Mappings'!$E279)),ISNUMBER(SEARCH(IF(H$1&lt;&gt;"",H$1,"NA"),'MITRE ATT&amp;CK Mappings'!$F279))),ISNUMBER(SEARCH(IF(H$2&lt;&gt;"",H$2,"NA"),'MITRE ATT&amp;CK Mappings'!$G279))),ISNUMBER(SEARCH(IF(H$2&lt;&gt;"",H$2,"NA"),'MITRE ATT&amp;CK Mappings'!$H279))),ISNUMBER(SEARCH(IF(H$3&lt;&gt;"",H$3,"NA"),'MITRE ATT&amp;CK Mappings'!$I279))),ISNUMBER(SEARCH(IF(H$3&lt;&gt;"",H$3,"NA"),'MITRE ATT&amp;CK Mappings'!$J279))), 'MITRE ATT&amp;CK Mappings'!$B279,"")</f>
        <v/>
      </c>
      <c r="I283" s="27" t="str">
        <f>IF(OR(OR(OR(OR(OR(ISNUMBER(SEARCH(IF(I$1&lt;&gt;"",I$1,"NA"),'MITRE ATT&amp;CK Mappings'!$E279)),ISNUMBER(SEARCH(IF(I$1&lt;&gt;"",I$1,"NA"),'MITRE ATT&amp;CK Mappings'!$F279))),ISNUMBER(SEARCH(IF(I$2&lt;&gt;"",I$2,"NA"),'MITRE ATT&amp;CK Mappings'!$G279))),ISNUMBER(SEARCH(IF(I$2&lt;&gt;"",I$2,"NA"),'MITRE ATT&amp;CK Mappings'!$H279))),ISNUMBER(SEARCH(IF(I$3&lt;&gt;"",I$3,"NA"),'MITRE ATT&amp;CK Mappings'!$I279))),ISNUMBER(SEARCH(IF(I$3&lt;&gt;"",I$3,"NA"),'MITRE ATT&amp;CK Mappings'!$J279))), 'MITRE ATT&amp;CK Mappings'!$B279,"")</f>
        <v/>
      </c>
      <c r="J283" s="27" t="str">
        <f>IF(OR(OR(OR(OR(OR(ISNUMBER(SEARCH(IF(J$1&lt;&gt;"",J$1,"NA"),'MITRE ATT&amp;CK Mappings'!$E279)),ISNUMBER(SEARCH(IF(J$1&lt;&gt;"",J$1,"NA"),'MITRE ATT&amp;CK Mappings'!$F279))),ISNUMBER(SEARCH(IF(J$2&lt;&gt;"",J$2,"NA"),'MITRE ATT&amp;CK Mappings'!$G279))),ISNUMBER(SEARCH(IF(J$2&lt;&gt;"",J$2,"NA"),'MITRE ATT&amp;CK Mappings'!$H279))),ISNUMBER(SEARCH(IF(J$3&lt;&gt;"",J$3,"NA"),'MITRE ATT&amp;CK Mappings'!$I279))),ISNUMBER(SEARCH(IF(J$3&lt;&gt;"",J$3,"NA"),'MITRE ATT&amp;CK Mappings'!$J279))), 'MITRE ATT&amp;CK Mappings'!$B279,"")</f>
        <v/>
      </c>
      <c r="K283" s="27" t="str">
        <f>IF(OR(OR(OR(OR(OR(ISNUMBER(SEARCH(IF(K$1&lt;&gt;"",K$1,"NA"),'MITRE ATT&amp;CK Mappings'!$E279)),ISNUMBER(SEARCH(IF(K$1&lt;&gt;"",K$1,"NA"),'MITRE ATT&amp;CK Mappings'!$F279))),ISNUMBER(SEARCH(IF(K$2&lt;&gt;"",K$2,"NA"),'MITRE ATT&amp;CK Mappings'!$G279))),ISNUMBER(SEARCH(IF(K$2&lt;&gt;"",K$2,"NA"),'MITRE ATT&amp;CK Mappings'!$H279))),ISNUMBER(SEARCH(IF(K$3&lt;&gt;"",K$3,"NA"),'MITRE ATT&amp;CK Mappings'!$I279))),ISNUMBER(SEARCH(IF(K$3&lt;&gt;"",K$3,"NA"),'MITRE ATT&amp;CK Mappings'!$J279))), 'MITRE ATT&amp;CK Mappings'!$B279,"")</f>
        <v/>
      </c>
      <c r="L283" s="27" t="str">
        <f>IF('MITRE ATT&amp;CK Mappings'!D279 &lt;&gt;"",'MITRE ATT&amp;CK Mappings'!D279,"" )</f>
        <v/>
      </c>
    </row>
    <row r="284" spans="1:12" x14ac:dyDescent="0.25">
      <c r="A284" s="26" t="str">
        <f>IF(COUNTIF(B284:K284,"="&amp;'MITRE ATT&amp;CK Mappings'!B280)&gt;0,'MITRE ATT&amp;CK Mappings'!B280,"")</f>
        <v/>
      </c>
      <c r="B284" s="26" t="str">
        <f>IF(OR(OR(OR(OR(OR(ISNUMBER(SEARCH(IF(B$1&lt;&gt;"",B$1,"NA"),'MITRE ATT&amp;CK Mappings'!$E280)),ISNUMBER(SEARCH(IF(B$1&lt;&gt;"",B$1,"NA"),'MITRE ATT&amp;CK Mappings'!$F280))),ISNUMBER(SEARCH(IF(B$2&lt;&gt;"",B$2,"NA"),'MITRE ATT&amp;CK Mappings'!$G280))),ISNUMBER(SEARCH(IF(B$2&lt;&gt;"",B$2,"NA"),'MITRE ATT&amp;CK Mappings'!$H280))),ISNUMBER(SEARCH(IF(B$3&lt;&gt;"",B$3,"NA"),'MITRE ATT&amp;CK Mappings'!$I280))),ISNUMBER(SEARCH(IF(B$3&lt;&gt;"",B$3,"NA"),'MITRE ATT&amp;CK Mappings'!$J280))), 'MITRE ATT&amp;CK Mappings'!$B280,"")</f>
        <v/>
      </c>
      <c r="C284" s="26" t="str">
        <f>IF(OR(OR(OR(OR(OR(ISNUMBER(SEARCH(IF(C$1&lt;&gt;"",C$1,"NA"),'MITRE ATT&amp;CK Mappings'!$E280)),ISNUMBER(SEARCH(IF(C$1&lt;&gt;"",C$1,"NA"),'MITRE ATT&amp;CK Mappings'!$F280))),ISNUMBER(SEARCH(IF(C$2&lt;&gt;"",C$2,"NA"),'MITRE ATT&amp;CK Mappings'!$G280))),ISNUMBER(SEARCH(IF(C$2&lt;&gt;"",C$2,"NA"),'MITRE ATT&amp;CK Mappings'!$H280))),ISNUMBER(SEARCH(IF(C$3&lt;&gt;"",C$3,"NA"),'MITRE ATT&amp;CK Mappings'!$I280))),ISNUMBER(SEARCH(IF(C$3&lt;&gt;"",C$3,"NA"),'MITRE ATT&amp;CK Mappings'!$J280))), 'MITRE ATT&amp;CK Mappings'!$B280,"")</f>
        <v/>
      </c>
      <c r="D284" s="26" t="str">
        <f>IF(OR(OR(OR(OR(OR(ISNUMBER(SEARCH(IF(D$1&lt;&gt;"",D$1,"NA"),'MITRE ATT&amp;CK Mappings'!$E280)),ISNUMBER(SEARCH(IF(D$1&lt;&gt;"",D$1,"NA"),'MITRE ATT&amp;CK Mappings'!$F280))),ISNUMBER(SEARCH(IF(D$2&lt;&gt;"",D$2,"NA"),'MITRE ATT&amp;CK Mappings'!$G280))),ISNUMBER(SEARCH(IF(D$2&lt;&gt;"",D$2,"NA"),'MITRE ATT&amp;CK Mappings'!$H280))),ISNUMBER(SEARCH(IF(D$3&lt;&gt;"",D$3,"NA"),'MITRE ATT&amp;CK Mappings'!$I280))),ISNUMBER(SEARCH(IF(D$3&lt;&gt;"",D$3,"NA"),'MITRE ATT&amp;CK Mappings'!$J280))), 'MITRE ATT&amp;CK Mappings'!$B280,"")</f>
        <v/>
      </c>
      <c r="E284" s="26" t="str">
        <f>IF(OR(OR(OR(OR(OR(ISNUMBER(SEARCH(IF(E$1&lt;&gt;"",E$1,"NA"),'MITRE ATT&amp;CK Mappings'!$E280)),ISNUMBER(SEARCH(IF(E$1&lt;&gt;"",E$1,"NA"),'MITRE ATT&amp;CK Mappings'!$F280))),ISNUMBER(SEARCH(IF(E$2&lt;&gt;"",E$2,"NA"),'MITRE ATT&amp;CK Mappings'!$G280))),ISNUMBER(SEARCH(IF(E$2&lt;&gt;"",E$2,"NA"),'MITRE ATT&amp;CK Mappings'!$H280))),ISNUMBER(SEARCH(IF(E$3&lt;&gt;"",E$3,"NA"),'MITRE ATT&amp;CK Mappings'!$I280))),ISNUMBER(SEARCH(IF(E$3&lt;&gt;"",E$3,"NA"),'MITRE ATT&amp;CK Mappings'!$J280))), 'MITRE ATT&amp;CK Mappings'!$B280,"")</f>
        <v/>
      </c>
      <c r="F284" s="26" t="str">
        <f>IF(OR(OR(OR(OR(OR(ISNUMBER(SEARCH(IF(F$1&lt;&gt;"",F$1,"NA"),'MITRE ATT&amp;CK Mappings'!$E280)),ISNUMBER(SEARCH(IF(F$1&lt;&gt;"",F$1,"NA"),'MITRE ATT&amp;CK Mappings'!$F280))),ISNUMBER(SEARCH(IF(F$2&lt;&gt;"",F$2,"NA"),'MITRE ATT&amp;CK Mappings'!$G280))),ISNUMBER(SEARCH(IF(F$2&lt;&gt;"",F$2,"NA"),'MITRE ATT&amp;CK Mappings'!$H280))),ISNUMBER(SEARCH(IF(F$3&lt;&gt;"",F$3,"NA"),'MITRE ATT&amp;CK Mappings'!$I280))),ISNUMBER(SEARCH(IF(F$3&lt;&gt;"",F$3,"NA"),'MITRE ATT&amp;CK Mappings'!$J280))), 'MITRE ATT&amp;CK Mappings'!$B280,"")</f>
        <v/>
      </c>
      <c r="G284" s="26" t="str">
        <f>IF(OR(OR(OR(OR(OR(ISNUMBER(SEARCH(IF(G$1&lt;&gt;"",G$1,"NA"),'MITRE ATT&amp;CK Mappings'!$E280)),ISNUMBER(SEARCH(IF(G$1&lt;&gt;"",G$1,"NA"),'MITRE ATT&amp;CK Mappings'!$F280))),ISNUMBER(SEARCH(IF(G$2&lt;&gt;"",G$2,"NA"),'MITRE ATT&amp;CK Mappings'!$G280))),ISNUMBER(SEARCH(IF(G$2&lt;&gt;"",G$2,"NA"),'MITRE ATT&amp;CK Mappings'!$H280))),ISNUMBER(SEARCH(IF(G$3&lt;&gt;"",G$3,"NA"),'MITRE ATT&amp;CK Mappings'!$I280))),ISNUMBER(SEARCH(IF(G$3&lt;&gt;"",G$3,"NA"),'MITRE ATT&amp;CK Mappings'!$J280))), 'MITRE ATT&amp;CK Mappings'!$B280,"")</f>
        <v/>
      </c>
      <c r="H284" s="26" t="str">
        <f>IF(OR(OR(OR(OR(OR(ISNUMBER(SEARCH(IF(H$1&lt;&gt;"",H$1,"NA"),'MITRE ATT&amp;CK Mappings'!$E280)),ISNUMBER(SEARCH(IF(H$1&lt;&gt;"",H$1,"NA"),'MITRE ATT&amp;CK Mappings'!$F280))),ISNUMBER(SEARCH(IF(H$2&lt;&gt;"",H$2,"NA"),'MITRE ATT&amp;CK Mappings'!$G280))),ISNUMBER(SEARCH(IF(H$2&lt;&gt;"",H$2,"NA"),'MITRE ATT&amp;CK Mappings'!$H280))),ISNUMBER(SEARCH(IF(H$3&lt;&gt;"",H$3,"NA"),'MITRE ATT&amp;CK Mappings'!$I280))),ISNUMBER(SEARCH(IF(H$3&lt;&gt;"",H$3,"NA"),'MITRE ATT&amp;CK Mappings'!$J280))), 'MITRE ATT&amp;CK Mappings'!$B280,"")</f>
        <v/>
      </c>
      <c r="I284" s="26" t="str">
        <f>IF(OR(OR(OR(OR(OR(ISNUMBER(SEARCH(IF(I$1&lt;&gt;"",I$1,"NA"),'MITRE ATT&amp;CK Mappings'!$E280)),ISNUMBER(SEARCH(IF(I$1&lt;&gt;"",I$1,"NA"),'MITRE ATT&amp;CK Mappings'!$F280))),ISNUMBER(SEARCH(IF(I$2&lt;&gt;"",I$2,"NA"),'MITRE ATT&amp;CK Mappings'!$G280))),ISNUMBER(SEARCH(IF(I$2&lt;&gt;"",I$2,"NA"),'MITRE ATT&amp;CK Mappings'!$H280))),ISNUMBER(SEARCH(IF(I$3&lt;&gt;"",I$3,"NA"),'MITRE ATT&amp;CK Mappings'!$I280))),ISNUMBER(SEARCH(IF(I$3&lt;&gt;"",I$3,"NA"),'MITRE ATT&amp;CK Mappings'!$J280))), 'MITRE ATT&amp;CK Mappings'!$B280,"")</f>
        <v/>
      </c>
      <c r="J284" s="26" t="str">
        <f>IF(OR(OR(OR(OR(OR(ISNUMBER(SEARCH(IF(J$1&lt;&gt;"",J$1,"NA"),'MITRE ATT&amp;CK Mappings'!$E280)),ISNUMBER(SEARCH(IF(J$1&lt;&gt;"",J$1,"NA"),'MITRE ATT&amp;CK Mappings'!$F280))),ISNUMBER(SEARCH(IF(J$2&lt;&gt;"",J$2,"NA"),'MITRE ATT&amp;CK Mappings'!$G280))),ISNUMBER(SEARCH(IF(J$2&lt;&gt;"",J$2,"NA"),'MITRE ATT&amp;CK Mappings'!$H280))),ISNUMBER(SEARCH(IF(J$3&lt;&gt;"",J$3,"NA"),'MITRE ATT&amp;CK Mappings'!$I280))),ISNUMBER(SEARCH(IF(J$3&lt;&gt;"",J$3,"NA"),'MITRE ATT&amp;CK Mappings'!$J280))), 'MITRE ATT&amp;CK Mappings'!$B280,"")</f>
        <v/>
      </c>
      <c r="K284" s="26" t="str">
        <f>IF(OR(OR(OR(OR(OR(ISNUMBER(SEARCH(IF(K$1&lt;&gt;"",K$1,"NA"),'MITRE ATT&amp;CK Mappings'!$E280)),ISNUMBER(SEARCH(IF(K$1&lt;&gt;"",K$1,"NA"),'MITRE ATT&amp;CK Mappings'!$F280))),ISNUMBER(SEARCH(IF(K$2&lt;&gt;"",K$2,"NA"),'MITRE ATT&amp;CK Mappings'!$G280))),ISNUMBER(SEARCH(IF(K$2&lt;&gt;"",K$2,"NA"),'MITRE ATT&amp;CK Mappings'!$H280))),ISNUMBER(SEARCH(IF(K$3&lt;&gt;"",K$3,"NA"),'MITRE ATT&amp;CK Mappings'!$I280))),ISNUMBER(SEARCH(IF(K$3&lt;&gt;"",K$3,"NA"),'MITRE ATT&amp;CK Mappings'!$J280))), 'MITRE ATT&amp;CK Mappings'!$B280,"")</f>
        <v/>
      </c>
      <c r="L284" s="26" t="str">
        <f>IF('MITRE ATT&amp;CK Mappings'!D280 &lt;&gt;"",'MITRE ATT&amp;CK Mappings'!D280,"" )</f>
        <v/>
      </c>
    </row>
    <row r="285" spans="1:12" x14ac:dyDescent="0.25">
      <c r="A285" s="27" t="str">
        <f>IF(COUNTIF(B285:K285,"="&amp;'MITRE ATT&amp;CK Mappings'!B281)&gt;0,'MITRE ATT&amp;CK Mappings'!B281,"")</f>
        <v/>
      </c>
      <c r="B285" s="27" t="str">
        <f>IF(OR(OR(OR(OR(OR(ISNUMBER(SEARCH(IF(B$1&lt;&gt;"",B$1,"NA"),'MITRE ATT&amp;CK Mappings'!$E281)),ISNUMBER(SEARCH(IF(B$1&lt;&gt;"",B$1,"NA"),'MITRE ATT&amp;CK Mappings'!$F281))),ISNUMBER(SEARCH(IF(B$2&lt;&gt;"",B$2,"NA"),'MITRE ATT&amp;CK Mappings'!$G281))),ISNUMBER(SEARCH(IF(B$2&lt;&gt;"",B$2,"NA"),'MITRE ATT&amp;CK Mappings'!$H281))),ISNUMBER(SEARCH(IF(B$3&lt;&gt;"",B$3,"NA"),'MITRE ATT&amp;CK Mappings'!$I281))),ISNUMBER(SEARCH(IF(B$3&lt;&gt;"",B$3,"NA"),'MITRE ATT&amp;CK Mappings'!$J281))), 'MITRE ATT&amp;CK Mappings'!$B281,"")</f>
        <v/>
      </c>
      <c r="C285" s="27" t="str">
        <f>IF(OR(OR(OR(OR(OR(ISNUMBER(SEARCH(IF(C$1&lt;&gt;"",C$1,"NA"),'MITRE ATT&amp;CK Mappings'!$E281)),ISNUMBER(SEARCH(IF(C$1&lt;&gt;"",C$1,"NA"),'MITRE ATT&amp;CK Mappings'!$F281))),ISNUMBER(SEARCH(IF(C$2&lt;&gt;"",C$2,"NA"),'MITRE ATT&amp;CK Mappings'!$G281))),ISNUMBER(SEARCH(IF(C$2&lt;&gt;"",C$2,"NA"),'MITRE ATT&amp;CK Mappings'!$H281))),ISNUMBER(SEARCH(IF(C$3&lt;&gt;"",C$3,"NA"),'MITRE ATT&amp;CK Mappings'!$I281))),ISNUMBER(SEARCH(IF(C$3&lt;&gt;"",C$3,"NA"),'MITRE ATT&amp;CK Mappings'!$J281))), 'MITRE ATT&amp;CK Mappings'!$B281,"")</f>
        <v/>
      </c>
      <c r="D285" s="27" t="str">
        <f>IF(OR(OR(OR(OR(OR(ISNUMBER(SEARCH(IF(D$1&lt;&gt;"",D$1,"NA"),'MITRE ATT&amp;CK Mappings'!$E281)),ISNUMBER(SEARCH(IF(D$1&lt;&gt;"",D$1,"NA"),'MITRE ATT&amp;CK Mappings'!$F281))),ISNUMBER(SEARCH(IF(D$2&lt;&gt;"",D$2,"NA"),'MITRE ATT&amp;CK Mappings'!$G281))),ISNUMBER(SEARCH(IF(D$2&lt;&gt;"",D$2,"NA"),'MITRE ATT&amp;CK Mappings'!$H281))),ISNUMBER(SEARCH(IF(D$3&lt;&gt;"",D$3,"NA"),'MITRE ATT&amp;CK Mappings'!$I281))),ISNUMBER(SEARCH(IF(D$3&lt;&gt;"",D$3,"NA"),'MITRE ATT&amp;CK Mappings'!$J281))), 'MITRE ATT&amp;CK Mappings'!$B281,"")</f>
        <v/>
      </c>
      <c r="E285" s="27" t="str">
        <f>IF(OR(OR(OR(OR(OR(ISNUMBER(SEARCH(IF(E$1&lt;&gt;"",E$1,"NA"),'MITRE ATT&amp;CK Mappings'!$E281)),ISNUMBER(SEARCH(IF(E$1&lt;&gt;"",E$1,"NA"),'MITRE ATT&amp;CK Mappings'!$F281))),ISNUMBER(SEARCH(IF(E$2&lt;&gt;"",E$2,"NA"),'MITRE ATT&amp;CK Mappings'!$G281))),ISNUMBER(SEARCH(IF(E$2&lt;&gt;"",E$2,"NA"),'MITRE ATT&amp;CK Mappings'!$H281))),ISNUMBER(SEARCH(IF(E$3&lt;&gt;"",E$3,"NA"),'MITRE ATT&amp;CK Mappings'!$I281))),ISNUMBER(SEARCH(IF(E$3&lt;&gt;"",E$3,"NA"),'MITRE ATT&amp;CK Mappings'!$J281))), 'MITRE ATT&amp;CK Mappings'!$B281,"")</f>
        <v/>
      </c>
      <c r="F285" s="27" t="str">
        <f>IF(OR(OR(OR(OR(OR(ISNUMBER(SEARCH(IF(F$1&lt;&gt;"",F$1,"NA"),'MITRE ATT&amp;CK Mappings'!$E281)),ISNUMBER(SEARCH(IF(F$1&lt;&gt;"",F$1,"NA"),'MITRE ATT&amp;CK Mappings'!$F281))),ISNUMBER(SEARCH(IF(F$2&lt;&gt;"",F$2,"NA"),'MITRE ATT&amp;CK Mappings'!$G281))),ISNUMBER(SEARCH(IF(F$2&lt;&gt;"",F$2,"NA"),'MITRE ATT&amp;CK Mappings'!$H281))),ISNUMBER(SEARCH(IF(F$3&lt;&gt;"",F$3,"NA"),'MITRE ATT&amp;CK Mappings'!$I281))),ISNUMBER(SEARCH(IF(F$3&lt;&gt;"",F$3,"NA"),'MITRE ATT&amp;CK Mappings'!$J281))), 'MITRE ATT&amp;CK Mappings'!$B281,"")</f>
        <v/>
      </c>
      <c r="G285" s="27" t="str">
        <f>IF(OR(OR(OR(OR(OR(ISNUMBER(SEARCH(IF(G$1&lt;&gt;"",G$1,"NA"),'MITRE ATT&amp;CK Mappings'!$E281)),ISNUMBER(SEARCH(IF(G$1&lt;&gt;"",G$1,"NA"),'MITRE ATT&amp;CK Mappings'!$F281))),ISNUMBER(SEARCH(IF(G$2&lt;&gt;"",G$2,"NA"),'MITRE ATT&amp;CK Mappings'!$G281))),ISNUMBER(SEARCH(IF(G$2&lt;&gt;"",G$2,"NA"),'MITRE ATT&amp;CK Mappings'!$H281))),ISNUMBER(SEARCH(IF(G$3&lt;&gt;"",G$3,"NA"),'MITRE ATT&amp;CK Mappings'!$I281))),ISNUMBER(SEARCH(IF(G$3&lt;&gt;"",G$3,"NA"),'MITRE ATT&amp;CK Mappings'!$J281))), 'MITRE ATT&amp;CK Mappings'!$B281,"")</f>
        <v/>
      </c>
      <c r="H285" s="27" t="str">
        <f>IF(OR(OR(OR(OR(OR(ISNUMBER(SEARCH(IF(H$1&lt;&gt;"",H$1,"NA"),'MITRE ATT&amp;CK Mappings'!$E281)),ISNUMBER(SEARCH(IF(H$1&lt;&gt;"",H$1,"NA"),'MITRE ATT&amp;CK Mappings'!$F281))),ISNUMBER(SEARCH(IF(H$2&lt;&gt;"",H$2,"NA"),'MITRE ATT&amp;CK Mappings'!$G281))),ISNUMBER(SEARCH(IF(H$2&lt;&gt;"",H$2,"NA"),'MITRE ATT&amp;CK Mappings'!$H281))),ISNUMBER(SEARCH(IF(H$3&lt;&gt;"",H$3,"NA"),'MITRE ATT&amp;CK Mappings'!$I281))),ISNUMBER(SEARCH(IF(H$3&lt;&gt;"",H$3,"NA"),'MITRE ATT&amp;CK Mappings'!$J281))), 'MITRE ATT&amp;CK Mappings'!$B281,"")</f>
        <v/>
      </c>
      <c r="I285" s="27" t="str">
        <f>IF(OR(OR(OR(OR(OR(ISNUMBER(SEARCH(IF(I$1&lt;&gt;"",I$1,"NA"),'MITRE ATT&amp;CK Mappings'!$E281)),ISNUMBER(SEARCH(IF(I$1&lt;&gt;"",I$1,"NA"),'MITRE ATT&amp;CK Mappings'!$F281))),ISNUMBER(SEARCH(IF(I$2&lt;&gt;"",I$2,"NA"),'MITRE ATT&amp;CK Mappings'!$G281))),ISNUMBER(SEARCH(IF(I$2&lt;&gt;"",I$2,"NA"),'MITRE ATT&amp;CK Mappings'!$H281))),ISNUMBER(SEARCH(IF(I$3&lt;&gt;"",I$3,"NA"),'MITRE ATT&amp;CK Mappings'!$I281))),ISNUMBER(SEARCH(IF(I$3&lt;&gt;"",I$3,"NA"),'MITRE ATT&amp;CK Mappings'!$J281))), 'MITRE ATT&amp;CK Mappings'!$B281,"")</f>
        <v/>
      </c>
      <c r="J285" s="27" t="str">
        <f>IF(OR(OR(OR(OR(OR(ISNUMBER(SEARCH(IF(J$1&lt;&gt;"",J$1,"NA"),'MITRE ATT&amp;CK Mappings'!$E281)),ISNUMBER(SEARCH(IF(J$1&lt;&gt;"",J$1,"NA"),'MITRE ATT&amp;CK Mappings'!$F281))),ISNUMBER(SEARCH(IF(J$2&lt;&gt;"",J$2,"NA"),'MITRE ATT&amp;CK Mappings'!$G281))),ISNUMBER(SEARCH(IF(J$2&lt;&gt;"",J$2,"NA"),'MITRE ATT&amp;CK Mappings'!$H281))),ISNUMBER(SEARCH(IF(J$3&lt;&gt;"",J$3,"NA"),'MITRE ATT&amp;CK Mappings'!$I281))),ISNUMBER(SEARCH(IF(J$3&lt;&gt;"",J$3,"NA"),'MITRE ATT&amp;CK Mappings'!$J281))), 'MITRE ATT&amp;CK Mappings'!$B281,"")</f>
        <v/>
      </c>
      <c r="K285" s="27" t="str">
        <f>IF(OR(OR(OR(OR(OR(ISNUMBER(SEARCH(IF(K$1&lt;&gt;"",K$1,"NA"),'MITRE ATT&amp;CK Mappings'!$E281)),ISNUMBER(SEARCH(IF(K$1&lt;&gt;"",K$1,"NA"),'MITRE ATT&amp;CK Mappings'!$F281))),ISNUMBER(SEARCH(IF(K$2&lt;&gt;"",K$2,"NA"),'MITRE ATT&amp;CK Mappings'!$G281))),ISNUMBER(SEARCH(IF(K$2&lt;&gt;"",K$2,"NA"),'MITRE ATT&amp;CK Mappings'!$H281))),ISNUMBER(SEARCH(IF(K$3&lt;&gt;"",K$3,"NA"),'MITRE ATT&amp;CK Mappings'!$I281))),ISNUMBER(SEARCH(IF(K$3&lt;&gt;"",K$3,"NA"),'MITRE ATT&amp;CK Mappings'!$J281))), 'MITRE ATT&amp;CK Mappings'!$B281,"")</f>
        <v/>
      </c>
      <c r="L285" s="27" t="str">
        <f>IF('MITRE ATT&amp;CK Mappings'!D281 &lt;&gt;"",'MITRE ATT&amp;CK Mappings'!D281,"" )</f>
        <v/>
      </c>
    </row>
    <row r="286" spans="1:12" x14ac:dyDescent="0.25">
      <c r="A286" s="26" t="str">
        <f>IF(COUNTIF(B286:K286,"="&amp;'MITRE ATT&amp;CK Mappings'!B282)&gt;0,'MITRE ATT&amp;CK Mappings'!B282,"")</f>
        <v/>
      </c>
      <c r="B286" s="26" t="str">
        <f>IF(OR(OR(OR(OR(OR(ISNUMBER(SEARCH(IF(B$1&lt;&gt;"",B$1,"NA"),'MITRE ATT&amp;CK Mappings'!$E282)),ISNUMBER(SEARCH(IF(B$1&lt;&gt;"",B$1,"NA"),'MITRE ATT&amp;CK Mappings'!$F282))),ISNUMBER(SEARCH(IF(B$2&lt;&gt;"",B$2,"NA"),'MITRE ATT&amp;CK Mappings'!$G282))),ISNUMBER(SEARCH(IF(B$2&lt;&gt;"",B$2,"NA"),'MITRE ATT&amp;CK Mappings'!$H282))),ISNUMBER(SEARCH(IF(B$3&lt;&gt;"",B$3,"NA"),'MITRE ATT&amp;CK Mappings'!$I282))),ISNUMBER(SEARCH(IF(B$3&lt;&gt;"",B$3,"NA"),'MITRE ATT&amp;CK Mappings'!$J282))), 'MITRE ATT&amp;CK Mappings'!$B282,"")</f>
        <v/>
      </c>
      <c r="C286" s="26" t="str">
        <f>IF(OR(OR(OR(OR(OR(ISNUMBER(SEARCH(IF(C$1&lt;&gt;"",C$1,"NA"),'MITRE ATT&amp;CK Mappings'!$E282)),ISNUMBER(SEARCH(IF(C$1&lt;&gt;"",C$1,"NA"),'MITRE ATT&amp;CK Mappings'!$F282))),ISNUMBER(SEARCH(IF(C$2&lt;&gt;"",C$2,"NA"),'MITRE ATT&amp;CK Mappings'!$G282))),ISNUMBER(SEARCH(IF(C$2&lt;&gt;"",C$2,"NA"),'MITRE ATT&amp;CK Mappings'!$H282))),ISNUMBER(SEARCH(IF(C$3&lt;&gt;"",C$3,"NA"),'MITRE ATT&amp;CK Mappings'!$I282))),ISNUMBER(SEARCH(IF(C$3&lt;&gt;"",C$3,"NA"),'MITRE ATT&amp;CK Mappings'!$J282))), 'MITRE ATT&amp;CK Mappings'!$B282,"")</f>
        <v/>
      </c>
      <c r="D286" s="26" t="str">
        <f>IF(OR(OR(OR(OR(OR(ISNUMBER(SEARCH(IF(D$1&lt;&gt;"",D$1,"NA"),'MITRE ATT&amp;CK Mappings'!$E282)),ISNUMBER(SEARCH(IF(D$1&lt;&gt;"",D$1,"NA"),'MITRE ATT&amp;CK Mappings'!$F282))),ISNUMBER(SEARCH(IF(D$2&lt;&gt;"",D$2,"NA"),'MITRE ATT&amp;CK Mappings'!$G282))),ISNUMBER(SEARCH(IF(D$2&lt;&gt;"",D$2,"NA"),'MITRE ATT&amp;CK Mappings'!$H282))),ISNUMBER(SEARCH(IF(D$3&lt;&gt;"",D$3,"NA"),'MITRE ATT&amp;CK Mappings'!$I282))),ISNUMBER(SEARCH(IF(D$3&lt;&gt;"",D$3,"NA"),'MITRE ATT&amp;CK Mappings'!$J282))), 'MITRE ATT&amp;CK Mappings'!$B282,"")</f>
        <v/>
      </c>
      <c r="E286" s="26" t="str">
        <f>IF(OR(OR(OR(OR(OR(ISNUMBER(SEARCH(IF(E$1&lt;&gt;"",E$1,"NA"),'MITRE ATT&amp;CK Mappings'!$E282)),ISNUMBER(SEARCH(IF(E$1&lt;&gt;"",E$1,"NA"),'MITRE ATT&amp;CK Mappings'!$F282))),ISNUMBER(SEARCH(IF(E$2&lt;&gt;"",E$2,"NA"),'MITRE ATT&amp;CK Mappings'!$G282))),ISNUMBER(SEARCH(IF(E$2&lt;&gt;"",E$2,"NA"),'MITRE ATT&amp;CK Mappings'!$H282))),ISNUMBER(SEARCH(IF(E$3&lt;&gt;"",E$3,"NA"),'MITRE ATT&amp;CK Mappings'!$I282))),ISNUMBER(SEARCH(IF(E$3&lt;&gt;"",E$3,"NA"),'MITRE ATT&amp;CK Mappings'!$J282))), 'MITRE ATT&amp;CK Mappings'!$B282,"")</f>
        <v/>
      </c>
      <c r="F286" s="26" t="str">
        <f>IF(OR(OR(OR(OR(OR(ISNUMBER(SEARCH(IF(F$1&lt;&gt;"",F$1,"NA"),'MITRE ATT&amp;CK Mappings'!$E282)),ISNUMBER(SEARCH(IF(F$1&lt;&gt;"",F$1,"NA"),'MITRE ATT&amp;CK Mappings'!$F282))),ISNUMBER(SEARCH(IF(F$2&lt;&gt;"",F$2,"NA"),'MITRE ATT&amp;CK Mappings'!$G282))),ISNUMBER(SEARCH(IF(F$2&lt;&gt;"",F$2,"NA"),'MITRE ATT&amp;CK Mappings'!$H282))),ISNUMBER(SEARCH(IF(F$3&lt;&gt;"",F$3,"NA"),'MITRE ATT&amp;CK Mappings'!$I282))),ISNUMBER(SEARCH(IF(F$3&lt;&gt;"",F$3,"NA"),'MITRE ATT&amp;CK Mappings'!$J282))), 'MITRE ATT&amp;CK Mappings'!$B282,"")</f>
        <v/>
      </c>
      <c r="G286" s="26" t="str">
        <f>IF(OR(OR(OR(OR(OR(ISNUMBER(SEARCH(IF(G$1&lt;&gt;"",G$1,"NA"),'MITRE ATT&amp;CK Mappings'!$E282)),ISNUMBER(SEARCH(IF(G$1&lt;&gt;"",G$1,"NA"),'MITRE ATT&amp;CK Mappings'!$F282))),ISNUMBER(SEARCH(IF(G$2&lt;&gt;"",G$2,"NA"),'MITRE ATT&amp;CK Mappings'!$G282))),ISNUMBER(SEARCH(IF(G$2&lt;&gt;"",G$2,"NA"),'MITRE ATT&amp;CK Mappings'!$H282))),ISNUMBER(SEARCH(IF(G$3&lt;&gt;"",G$3,"NA"),'MITRE ATT&amp;CK Mappings'!$I282))),ISNUMBER(SEARCH(IF(G$3&lt;&gt;"",G$3,"NA"),'MITRE ATT&amp;CK Mappings'!$J282))), 'MITRE ATT&amp;CK Mappings'!$B282,"")</f>
        <v/>
      </c>
      <c r="H286" s="26" t="str">
        <f>IF(OR(OR(OR(OR(OR(ISNUMBER(SEARCH(IF(H$1&lt;&gt;"",H$1,"NA"),'MITRE ATT&amp;CK Mappings'!$E282)),ISNUMBER(SEARCH(IF(H$1&lt;&gt;"",H$1,"NA"),'MITRE ATT&amp;CK Mappings'!$F282))),ISNUMBER(SEARCH(IF(H$2&lt;&gt;"",H$2,"NA"),'MITRE ATT&amp;CK Mappings'!$G282))),ISNUMBER(SEARCH(IF(H$2&lt;&gt;"",H$2,"NA"),'MITRE ATT&amp;CK Mappings'!$H282))),ISNUMBER(SEARCH(IF(H$3&lt;&gt;"",H$3,"NA"),'MITRE ATT&amp;CK Mappings'!$I282))),ISNUMBER(SEARCH(IF(H$3&lt;&gt;"",H$3,"NA"),'MITRE ATT&amp;CK Mappings'!$J282))), 'MITRE ATT&amp;CK Mappings'!$B282,"")</f>
        <v/>
      </c>
      <c r="I286" s="26" t="str">
        <f>IF(OR(OR(OR(OR(OR(ISNUMBER(SEARCH(IF(I$1&lt;&gt;"",I$1,"NA"),'MITRE ATT&amp;CK Mappings'!$E282)),ISNUMBER(SEARCH(IF(I$1&lt;&gt;"",I$1,"NA"),'MITRE ATT&amp;CK Mappings'!$F282))),ISNUMBER(SEARCH(IF(I$2&lt;&gt;"",I$2,"NA"),'MITRE ATT&amp;CK Mappings'!$G282))),ISNUMBER(SEARCH(IF(I$2&lt;&gt;"",I$2,"NA"),'MITRE ATT&amp;CK Mappings'!$H282))),ISNUMBER(SEARCH(IF(I$3&lt;&gt;"",I$3,"NA"),'MITRE ATT&amp;CK Mappings'!$I282))),ISNUMBER(SEARCH(IF(I$3&lt;&gt;"",I$3,"NA"),'MITRE ATT&amp;CK Mappings'!$J282))), 'MITRE ATT&amp;CK Mappings'!$B282,"")</f>
        <v/>
      </c>
      <c r="J286" s="26" t="str">
        <f>IF(OR(OR(OR(OR(OR(ISNUMBER(SEARCH(IF(J$1&lt;&gt;"",J$1,"NA"),'MITRE ATT&amp;CK Mappings'!$E282)),ISNUMBER(SEARCH(IF(J$1&lt;&gt;"",J$1,"NA"),'MITRE ATT&amp;CK Mappings'!$F282))),ISNUMBER(SEARCH(IF(J$2&lt;&gt;"",J$2,"NA"),'MITRE ATT&amp;CK Mappings'!$G282))),ISNUMBER(SEARCH(IF(J$2&lt;&gt;"",J$2,"NA"),'MITRE ATT&amp;CK Mappings'!$H282))),ISNUMBER(SEARCH(IF(J$3&lt;&gt;"",J$3,"NA"),'MITRE ATT&amp;CK Mappings'!$I282))),ISNUMBER(SEARCH(IF(J$3&lt;&gt;"",J$3,"NA"),'MITRE ATT&amp;CK Mappings'!$J282))), 'MITRE ATT&amp;CK Mappings'!$B282,"")</f>
        <v/>
      </c>
      <c r="K286" s="26" t="str">
        <f>IF(OR(OR(OR(OR(OR(ISNUMBER(SEARCH(IF(K$1&lt;&gt;"",K$1,"NA"),'MITRE ATT&amp;CK Mappings'!$E282)),ISNUMBER(SEARCH(IF(K$1&lt;&gt;"",K$1,"NA"),'MITRE ATT&amp;CK Mappings'!$F282))),ISNUMBER(SEARCH(IF(K$2&lt;&gt;"",K$2,"NA"),'MITRE ATT&amp;CK Mappings'!$G282))),ISNUMBER(SEARCH(IF(K$2&lt;&gt;"",K$2,"NA"),'MITRE ATT&amp;CK Mappings'!$H282))),ISNUMBER(SEARCH(IF(K$3&lt;&gt;"",K$3,"NA"),'MITRE ATT&amp;CK Mappings'!$I282))),ISNUMBER(SEARCH(IF(K$3&lt;&gt;"",K$3,"NA"),'MITRE ATT&amp;CK Mappings'!$J282))), 'MITRE ATT&amp;CK Mappings'!$B282,"")</f>
        <v/>
      </c>
      <c r="L286" s="26" t="str">
        <f>IF('MITRE ATT&amp;CK Mappings'!D282 &lt;&gt;"",'MITRE ATT&amp;CK Mappings'!D282,"" )</f>
        <v/>
      </c>
    </row>
    <row r="287" spans="1:12" x14ac:dyDescent="0.25">
      <c r="A287" s="27" t="str">
        <f>IF(COUNTIF(B287:K287,"="&amp;'MITRE ATT&amp;CK Mappings'!B283)&gt;0,'MITRE ATT&amp;CK Mappings'!B283,"")</f>
        <v/>
      </c>
      <c r="B287" s="27" t="str">
        <f>IF(OR(OR(OR(OR(OR(ISNUMBER(SEARCH(IF(B$1&lt;&gt;"",B$1,"NA"),'MITRE ATT&amp;CK Mappings'!$E283)),ISNUMBER(SEARCH(IF(B$1&lt;&gt;"",B$1,"NA"),'MITRE ATT&amp;CK Mappings'!$F283))),ISNUMBER(SEARCH(IF(B$2&lt;&gt;"",B$2,"NA"),'MITRE ATT&amp;CK Mappings'!$G283))),ISNUMBER(SEARCH(IF(B$2&lt;&gt;"",B$2,"NA"),'MITRE ATT&amp;CK Mappings'!$H283))),ISNUMBER(SEARCH(IF(B$3&lt;&gt;"",B$3,"NA"),'MITRE ATT&amp;CK Mappings'!$I283))),ISNUMBER(SEARCH(IF(B$3&lt;&gt;"",B$3,"NA"),'MITRE ATT&amp;CK Mappings'!$J283))), 'MITRE ATT&amp;CK Mappings'!$B283,"")</f>
        <v/>
      </c>
      <c r="C287" s="27" t="str">
        <f>IF(OR(OR(OR(OR(OR(ISNUMBER(SEARCH(IF(C$1&lt;&gt;"",C$1,"NA"),'MITRE ATT&amp;CK Mappings'!$E283)),ISNUMBER(SEARCH(IF(C$1&lt;&gt;"",C$1,"NA"),'MITRE ATT&amp;CK Mappings'!$F283))),ISNUMBER(SEARCH(IF(C$2&lt;&gt;"",C$2,"NA"),'MITRE ATT&amp;CK Mappings'!$G283))),ISNUMBER(SEARCH(IF(C$2&lt;&gt;"",C$2,"NA"),'MITRE ATT&amp;CK Mappings'!$H283))),ISNUMBER(SEARCH(IF(C$3&lt;&gt;"",C$3,"NA"),'MITRE ATT&amp;CK Mappings'!$I283))),ISNUMBER(SEARCH(IF(C$3&lt;&gt;"",C$3,"NA"),'MITRE ATT&amp;CK Mappings'!$J283))), 'MITRE ATT&amp;CK Mappings'!$B283,"")</f>
        <v/>
      </c>
      <c r="D287" s="27" t="str">
        <f>IF(OR(OR(OR(OR(OR(ISNUMBER(SEARCH(IF(D$1&lt;&gt;"",D$1,"NA"),'MITRE ATT&amp;CK Mappings'!$E283)),ISNUMBER(SEARCH(IF(D$1&lt;&gt;"",D$1,"NA"),'MITRE ATT&amp;CK Mappings'!$F283))),ISNUMBER(SEARCH(IF(D$2&lt;&gt;"",D$2,"NA"),'MITRE ATT&amp;CK Mappings'!$G283))),ISNUMBER(SEARCH(IF(D$2&lt;&gt;"",D$2,"NA"),'MITRE ATT&amp;CK Mappings'!$H283))),ISNUMBER(SEARCH(IF(D$3&lt;&gt;"",D$3,"NA"),'MITRE ATT&amp;CK Mappings'!$I283))),ISNUMBER(SEARCH(IF(D$3&lt;&gt;"",D$3,"NA"),'MITRE ATT&amp;CK Mappings'!$J283))), 'MITRE ATT&amp;CK Mappings'!$B283,"")</f>
        <v/>
      </c>
      <c r="E287" s="27" t="str">
        <f>IF(OR(OR(OR(OR(OR(ISNUMBER(SEARCH(IF(E$1&lt;&gt;"",E$1,"NA"),'MITRE ATT&amp;CK Mappings'!$E283)),ISNUMBER(SEARCH(IF(E$1&lt;&gt;"",E$1,"NA"),'MITRE ATT&amp;CK Mappings'!$F283))),ISNUMBER(SEARCH(IF(E$2&lt;&gt;"",E$2,"NA"),'MITRE ATT&amp;CK Mappings'!$G283))),ISNUMBER(SEARCH(IF(E$2&lt;&gt;"",E$2,"NA"),'MITRE ATT&amp;CK Mappings'!$H283))),ISNUMBER(SEARCH(IF(E$3&lt;&gt;"",E$3,"NA"),'MITRE ATT&amp;CK Mappings'!$I283))),ISNUMBER(SEARCH(IF(E$3&lt;&gt;"",E$3,"NA"),'MITRE ATT&amp;CK Mappings'!$J283))), 'MITRE ATT&amp;CK Mappings'!$B283,"")</f>
        <v/>
      </c>
      <c r="F287" s="27" t="str">
        <f>IF(OR(OR(OR(OR(OR(ISNUMBER(SEARCH(IF(F$1&lt;&gt;"",F$1,"NA"),'MITRE ATT&amp;CK Mappings'!$E283)),ISNUMBER(SEARCH(IF(F$1&lt;&gt;"",F$1,"NA"),'MITRE ATT&amp;CK Mappings'!$F283))),ISNUMBER(SEARCH(IF(F$2&lt;&gt;"",F$2,"NA"),'MITRE ATT&amp;CK Mappings'!$G283))),ISNUMBER(SEARCH(IF(F$2&lt;&gt;"",F$2,"NA"),'MITRE ATT&amp;CK Mappings'!$H283))),ISNUMBER(SEARCH(IF(F$3&lt;&gt;"",F$3,"NA"),'MITRE ATT&amp;CK Mappings'!$I283))),ISNUMBER(SEARCH(IF(F$3&lt;&gt;"",F$3,"NA"),'MITRE ATT&amp;CK Mappings'!$J283))), 'MITRE ATT&amp;CK Mappings'!$B283,"")</f>
        <v/>
      </c>
      <c r="G287" s="27" t="str">
        <f>IF(OR(OR(OR(OR(OR(ISNUMBER(SEARCH(IF(G$1&lt;&gt;"",G$1,"NA"),'MITRE ATT&amp;CK Mappings'!$E283)),ISNUMBER(SEARCH(IF(G$1&lt;&gt;"",G$1,"NA"),'MITRE ATT&amp;CK Mappings'!$F283))),ISNUMBER(SEARCH(IF(G$2&lt;&gt;"",G$2,"NA"),'MITRE ATT&amp;CK Mappings'!$G283))),ISNUMBER(SEARCH(IF(G$2&lt;&gt;"",G$2,"NA"),'MITRE ATT&amp;CK Mappings'!$H283))),ISNUMBER(SEARCH(IF(G$3&lt;&gt;"",G$3,"NA"),'MITRE ATT&amp;CK Mappings'!$I283))),ISNUMBER(SEARCH(IF(G$3&lt;&gt;"",G$3,"NA"),'MITRE ATT&amp;CK Mappings'!$J283))), 'MITRE ATT&amp;CK Mappings'!$B283,"")</f>
        <v/>
      </c>
      <c r="H287" s="27" t="str">
        <f>IF(OR(OR(OR(OR(OR(ISNUMBER(SEARCH(IF(H$1&lt;&gt;"",H$1,"NA"),'MITRE ATT&amp;CK Mappings'!$E283)),ISNUMBER(SEARCH(IF(H$1&lt;&gt;"",H$1,"NA"),'MITRE ATT&amp;CK Mappings'!$F283))),ISNUMBER(SEARCH(IF(H$2&lt;&gt;"",H$2,"NA"),'MITRE ATT&amp;CK Mappings'!$G283))),ISNUMBER(SEARCH(IF(H$2&lt;&gt;"",H$2,"NA"),'MITRE ATT&amp;CK Mappings'!$H283))),ISNUMBER(SEARCH(IF(H$3&lt;&gt;"",H$3,"NA"),'MITRE ATT&amp;CK Mappings'!$I283))),ISNUMBER(SEARCH(IF(H$3&lt;&gt;"",H$3,"NA"),'MITRE ATT&amp;CK Mappings'!$J283))), 'MITRE ATT&amp;CK Mappings'!$B283,"")</f>
        <v/>
      </c>
      <c r="I287" s="27" t="str">
        <f>IF(OR(OR(OR(OR(OR(ISNUMBER(SEARCH(IF(I$1&lt;&gt;"",I$1,"NA"),'MITRE ATT&amp;CK Mappings'!$E283)),ISNUMBER(SEARCH(IF(I$1&lt;&gt;"",I$1,"NA"),'MITRE ATT&amp;CK Mappings'!$F283))),ISNUMBER(SEARCH(IF(I$2&lt;&gt;"",I$2,"NA"),'MITRE ATT&amp;CK Mappings'!$G283))),ISNUMBER(SEARCH(IF(I$2&lt;&gt;"",I$2,"NA"),'MITRE ATT&amp;CK Mappings'!$H283))),ISNUMBER(SEARCH(IF(I$3&lt;&gt;"",I$3,"NA"),'MITRE ATT&amp;CK Mappings'!$I283))),ISNUMBER(SEARCH(IF(I$3&lt;&gt;"",I$3,"NA"),'MITRE ATT&amp;CK Mappings'!$J283))), 'MITRE ATT&amp;CK Mappings'!$B283,"")</f>
        <v/>
      </c>
      <c r="J287" s="27" t="str">
        <f>IF(OR(OR(OR(OR(OR(ISNUMBER(SEARCH(IF(J$1&lt;&gt;"",J$1,"NA"),'MITRE ATT&amp;CK Mappings'!$E283)),ISNUMBER(SEARCH(IF(J$1&lt;&gt;"",J$1,"NA"),'MITRE ATT&amp;CK Mappings'!$F283))),ISNUMBER(SEARCH(IF(J$2&lt;&gt;"",J$2,"NA"),'MITRE ATT&amp;CK Mappings'!$G283))),ISNUMBER(SEARCH(IF(J$2&lt;&gt;"",J$2,"NA"),'MITRE ATT&amp;CK Mappings'!$H283))),ISNUMBER(SEARCH(IF(J$3&lt;&gt;"",J$3,"NA"),'MITRE ATT&amp;CK Mappings'!$I283))),ISNUMBER(SEARCH(IF(J$3&lt;&gt;"",J$3,"NA"),'MITRE ATT&amp;CK Mappings'!$J283))), 'MITRE ATT&amp;CK Mappings'!$B283,"")</f>
        <v/>
      </c>
      <c r="K287" s="27" t="str">
        <f>IF(OR(OR(OR(OR(OR(ISNUMBER(SEARCH(IF(K$1&lt;&gt;"",K$1,"NA"),'MITRE ATT&amp;CK Mappings'!$E283)),ISNUMBER(SEARCH(IF(K$1&lt;&gt;"",K$1,"NA"),'MITRE ATT&amp;CK Mappings'!$F283))),ISNUMBER(SEARCH(IF(K$2&lt;&gt;"",K$2,"NA"),'MITRE ATT&amp;CK Mappings'!$G283))),ISNUMBER(SEARCH(IF(K$2&lt;&gt;"",K$2,"NA"),'MITRE ATT&amp;CK Mappings'!$H283))),ISNUMBER(SEARCH(IF(K$3&lt;&gt;"",K$3,"NA"),'MITRE ATT&amp;CK Mappings'!$I283))),ISNUMBER(SEARCH(IF(K$3&lt;&gt;"",K$3,"NA"),'MITRE ATT&amp;CK Mappings'!$J283))), 'MITRE ATT&amp;CK Mappings'!$B283,"")</f>
        <v/>
      </c>
      <c r="L287" s="27" t="str">
        <f>IF('MITRE ATT&amp;CK Mappings'!D283 &lt;&gt;"",'MITRE ATT&amp;CK Mappings'!D283,"" )</f>
        <v/>
      </c>
    </row>
    <row r="288" spans="1:12" x14ac:dyDescent="0.25">
      <c r="A288" s="26" t="str">
        <f>IF(COUNTIF(B288:K288,"="&amp;'MITRE ATT&amp;CK Mappings'!B284)&gt;0,'MITRE ATT&amp;CK Mappings'!B284,"")</f>
        <v/>
      </c>
      <c r="B288" s="26" t="str">
        <f>IF(OR(OR(OR(OR(OR(ISNUMBER(SEARCH(IF(B$1&lt;&gt;"",B$1,"NA"),'MITRE ATT&amp;CK Mappings'!$E284)),ISNUMBER(SEARCH(IF(B$1&lt;&gt;"",B$1,"NA"),'MITRE ATT&amp;CK Mappings'!$F284))),ISNUMBER(SEARCH(IF(B$2&lt;&gt;"",B$2,"NA"),'MITRE ATT&amp;CK Mappings'!$G284))),ISNUMBER(SEARCH(IF(B$2&lt;&gt;"",B$2,"NA"),'MITRE ATT&amp;CK Mappings'!$H284))),ISNUMBER(SEARCH(IF(B$3&lt;&gt;"",B$3,"NA"),'MITRE ATT&amp;CK Mappings'!$I284))),ISNUMBER(SEARCH(IF(B$3&lt;&gt;"",B$3,"NA"),'MITRE ATT&amp;CK Mappings'!$J284))), 'MITRE ATT&amp;CK Mappings'!$B284,"")</f>
        <v/>
      </c>
      <c r="C288" s="26" t="str">
        <f>IF(OR(OR(OR(OR(OR(ISNUMBER(SEARCH(IF(C$1&lt;&gt;"",C$1,"NA"),'MITRE ATT&amp;CK Mappings'!$E284)),ISNUMBER(SEARCH(IF(C$1&lt;&gt;"",C$1,"NA"),'MITRE ATT&amp;CK Mappings'!$F284))),ISNUMBER(SEARCH(IF(C$2&lt;&gt;"",C$2,"NA"),'MITRE ATT&amp;CK Mappings'!$G284))),ISNUMBER(SEARCH(IF(C$2&lt;&gt;"",C$2,"NA"),'MITRE ATT&amp;CK Mappings'!$H284))),ISNUMBER(SEARCH(IF(C$3&lt;&gt;"",C$3,"NA"),'MITRE ATT&amp;CK Mappings'!$I284))),ISNUMBER(SEARCH(IF(C$3&lt;&gt;"",C$3,"NA"),'MITRE ATT&amp;CK Mappings'!$J284))), 'MITRE ATT&amp;CK Mappings'!$B284,"")</f>
        <v/>
      </c>
      <c r="D288" s="26" t="str">
        <f>IF(OR(OR(OR(OR(OR(ISNUMBER(SEARCH(IF(D$1&lt;&gt;"",D$1,"NA"),'MITRE ATT&amp;CK Mappings'!$E284)),ISNUMBER(SEARCH(IF(D$1&lt;&gt;"",D$1,"NA"),'MITRE ATT&amp;CK Mappings'!$F284))),ISNUMBER(SEARCH(IF(D$2&lt;&gt;"",D$2,"NA"),'MITRE ATT&amp;CK Mappings'!$G284))),ISNUMBER(SEARCH(IF(D$2&lt;&gt;"",D$2,"NA"),'MITRE ATT&amp;CK Mappings'!$H284))),ISNUMBER(SEARCH(IF(D$3&lt;&gt;"",D$3,"NA"),'MITRE ATT&amp;CK Mappings'!$I284))),ISNUMBER(SEARCH(IF(D$3&lt;&gt;"",D$3,"NA"),'MITRE ATT&amp;CK Mappings'!$J284))), 'MITRE ATT&amp;CK Mappings'!$B284,"")</f>
        <v/>
      </c>
      <c r="E288" s="26" t="str">
        <f>IF(OR(OR(OR(OR(OR(ISNUMBER(SEARCH(IF(E$1&lt;&gt;"",E$1,"NA"),'MITRE ATT&amp;CK Mappings'!$E284)),ISNUMBER(SEARCH(IF(E$1&lt;&gt;"",E$1,"NA"),'MITRE ATT&amp;CK Mappings'!$F284))),ISNUMBER(SEARCH(IF(E$2&lt;&gt;"",E$2,"NA"),'MITRE ATT&amp;CK Mappings'!$G284))),ISNUMBER(SEARCH(IF(E$2&lt;&gt;"",E$2,"NA"),'MITRE ATT&amp;CK Mappings'!$H284))),ISNUMBER(SEARCH(IF(E$3&lt;&gt;"",E$3,"NA"),'MITRE ATT&amp;CK Mappings'!$I284))),ISNUMBER(SEARCH(IF(E$3&lt;&gt;"",E$3,"NA"),'MITRE ATT&amp;CK Mappings'!$J284))), 'MITRE ATT&amp;CK Mappings'!$B284,"")</f>
        <v/>
      </c>
      <c r="F288" s="26" t="str">
        <f>IF(OR(OR(OR(OR(OR(ISNUMBER(SEARCH(IF(F$1&lt;&gt;"",F$1,"NA"),'MITRE ATT&amp;CK Mappings'!$E284)),ISNUMBER(SEARCH(IF(F$1&lt;&gt;"",F$1,"NA"),'MITRE ATT&amp;CK Mappings'!$F284))),ISNUMBER(SEARCH(IF(F$2&lt;&gt;"",F$2,"NA"),'MITRE ATT&amp;CK Mappings'!$G284))),ISNUMBER(SEARCH(IF(F$2&lt;&gt;"",F$2,"NA"),'MITRE ATT&amp;CK Mappings'!$H284))),ISNUMBER(SEARCH(IF(F$3&lt;&gt;"",F$3,"NA"),'MITRE ATT&amp;CK Mappings'!$I284))),ISNUMBER(SEARCH(IF(F$3&lt;&gt;"",F$3,"NA"),'MITRE ATT&amp;CK Mappings'!$J284))), 'MITRE ATT&amp;CK Mappings'!$B284,"")</f>
        <v/>
      </c>
      <c r="G288" s="26" t="str">
        <f>IF(OR(OR(OR(OR(OR(ISNUMBER(SEARCH(IF(G$1&lt;&gt;"",G$1,"NA"),'MITRE ATT&amp;CK Mappings'!$E284)),ISNUMBER(SEARCH(IF(G$1&lt;&gt;"",G$1,"NA"),'MITRE ATT&amp;CK Mappings'!$F284))),ISNUMBER(SEARCH(IF(G$2&lt;&gt;"",G$2,"NA"),'MITRE ATT&amp;CK Mappings'!$G284))),ISNUMBER(SEARCH(IF(G$2&lt;&gt;"",G$2,"NA"),'MITRE ATT&amp;CK Mappings'!$H284))),ISNUMBER(SEARCH(IF(G$3&lt;&gt;"",G$3,"NA"),'MITRE ATT&amp;CK Mappings'!$I284))),ISNUMBER(SEARCH(IF(G$3&lt;&gt;"",G$3,"NA"),'MITRE ATT&amp;CK Mappings'!$J284))), 'MITRE ATT&amp;CK Mappings'!$B284,"")</f>
        <v/>
      </c>
      <c r="H288" s="26" t="str">
        <f>IF(OR(OR(OR(OR(OR(ISNUMBER(SEARCH(IF(H$1&lt;&gt;"",H$1,"NA"),'MITRE ATT&amp;CK Mappings'!$E284)),ISNUMBER(SEARCH(IF(H$1&lt;&gt;"",H$1,"NA"),'MITRE ATT&amp;CK Mappings'!$F284))),ISNUMBER(SEARCH(IF(H$2&lt;&gt;"",H$2,"NA"),'MITRE ATT&amp;CK Mappings'!$G284))),ISNUMBER(SEARCH(IF(H$2&lt;&gt;"",H$2,"NA"),'MITRE ATT&amp;CK Mappings'!$H284))),ISNUMBER(SEARCH(IF(H$3&lt;&gt;"",H$3,"NA"),'MITRE ATT&amp;CK Mappings'!$I284))),ISNUMBER(SEARCH(IF(H$3&lt;&gt;"",H$3,"NA"),'MITRE ATT&amp;CK Mappings'!$J284))), 'MITRE ATT&amp;CK Mappings'!$B284,"")</f>
        <v/>
      </c>
      <c r="I288" s="26" t="str">
        <f>IF(OR(OR(OR(OR(OR(ISNUMBER(SEARCH(IF(I$1&lt;&gt;"",I$1,"NA"),'MITRE ATT&amp;CK Mappings'!$E284)),ISNUMBER(SEARCH(IF(I$1&lt;&gt;"",I$1,"NA"),'MITRE ATT&amp;CK Mappings'!$F284))),ISNUMBER(SEARCH(IF(I$2&lt;&gt;"",I$2,"NA"),'MITRE ATT&amp;CK Mappings'!$G284))),ISNUMBER(SEARCH(IF(I$2&lt;&gt;"",I$2,"NA"),'MITRE ATT&amp;CK Mappings'!$H284))),ISNUMBER(SEARCH(IF(I$3&lt;&gt;"",I$3,"NA"),'MITRE ATT&amp;CK Mappings'!$I284))),ISNUMBER(SEARCH(IF(I$3&lt;&gt;"",I$3,"NA"),'MITRE ATT&amp;CK Mappings'!$J284))), 'MITRE ATT&amp;CK Mappings'!$B284,"")</f>
        <v/>
      </c>
      <c r="J288" s="26" t="str">
        <f>IF(OR(OR(OR(OR(OR(ISNUMBER(SEARCH(IF(J$1&lt;&gt;"",J$1,"NA"),'MITRE ATT&amp;CK Mappings'!$E284)),ISNUMBER(SEARCH(IF(J$1&lt;&gt;"",J$1,"NA"),'MITRE ATT&amp;CK Mappings'!$F284))),ISNUMBER(SEARCH(IF(J$2&lt;&gt;"",J$2,"NA"),'MITRE ATT&amp;CK Mappings'!$G284))),ISNUMBER(SEARCH(IF(J$2&lt;&gt;"",J$2,"NA"),'MITRE ATT&amp;CK Mappings'!$H284))),ISNUMBER(SEARCH(IF(J$3&lt;&gt;"",J$3,"NA"),'MITRE ATT&amp;CK Mappings'!$I284))),ISNUMBER(SEARCH(IF(J$3&lt;&gt;"",J$3,"NA"),'MITRE ATT&amp;CK Mappings'!$J284))), 'MITRE ATT&amp;CK Mappings'!$B284,"")</f>
        <v/>
      </c>
      <c r="K288" s="26" t="str">
        <f>IF(OR(OR(OR(OR(OR(ISNUMBER(SEARCH(IF(K$1&lt;&gt;"",K$1,"NA"),'MITRE ATT&amp;CK Mappings'!$E284)),ISNUMBER(SEARCH(IF(K$1&lt;&gt;"",K$1,"NA"),'MITRE ATT&amp;CK Mappings'!$F284))),ISNUMBER(SEARCH(IF(K$2&lt;&gt;"",K$2,"NA"),'MITRE ATT&amp;CK Mappings'!$G284))),ISNUMBER(SEARCH(IF(K$2&lt;&gt;"",K$2,"NA"),'MITRE ATT&amp;CK Mappings'!$H284))),ISNUMBER(SEARCH(IF(K$3&lt;&gt;"",K$3,"NA"),'MITRE ATT&amp;CK Mappings'!$I284))),ISNUMBER(SEARCH(IF(K$3&lt;&gt;"",K$3,"NA"),'MITRE ATT&amp;CK Mappings'!$J284))), 'MITRE ATT&amp;CK Mappings'!$B284,"")</f>
        <v/>
      </c>
      <c r="L288" s="26" t="str">
        <f>IF('MITRE ATT&amp;CK Mappings'!D284 &lt;&gt;"",'MITRE ATT&amp;CK Mappings'!D284,"" )</f>
        <v/>
      </c>
    </row>
    <row r="289" spans="1:12" x14ac:dyDescent="0.25">
      <c r="A289" s="27" t="str">
        <f>IF(COUNTIF(B289:K289,"="&amp;'MITRE ATT&amp;CK Mappings'!B285)&gt;0,'MITRE ATT&amp;CK Mappings'!B285,"")</f>
        <v/>
      </c>
      <c r="B289" s="27" t="str">
        <f>IF(OR(OR(OR(OR(OR(ISNUMBER(SEARCH(IF(B$1&lt;&gt;"",B$1,"NA"),'MITRE ATT&amp;CK Mappings'!$E285)),ISNUMBER(SEARCH(IF(B$1&lt;&gt;"",B$1,"NA"),'MITRE ATT&amp;CK Mappings'!$F285))),ISNUMBER(SEARCH(IF(B$2&lt;&gt;"",B$2,"NA"),'MITRE ATT&amp;CK Mappings'!$G285))),ISNUMBER(SEARCH(IF(B$2&lt;&gt;"",B$2,"NA"),'MITRE ATT&amp;CK Mappings'!$H285))),ISNUMBER(SEARCH(IF(B$3&lt;&gt;"",B$3,"NA"),'MITRE ATT&amp;CK Mappings'!$I285))),ISNUMBER(SEARCH(IF(B$3&lt;&gt;"",B$3,"NA"),'MITRE ATT&amp;CK Mappings'!$J285))), 'MITRE ATT&amp;CK Mappings'!$B285,"")</f>
        <v/>
      </c>
      <c r="C289" s="27" t="str">
        <f>IF(OR(OR(OR(OR(OR(ISNUMBER(SEARCH(IF(C$1&lt;&gt;"",C$1,"NA"),'MITRE ATT&amp;CK Mappings'!$E285)),ISNUMBER(SEARCH(IF(C$1&lt;&gt;"",C$1,"NA"),'MITRE ATT&amp;CK Mappings'!$F285))),ISNUMBER(SEARCH(IF(C$2&lt;&gt;"",C$2,"NA"),'MITRE ATT&amp;CK Mappings'!$G285))),ISNUMBER(SEARCH(IF(C$2&lt;&gt;"",C$2,"NA"),'MITRE ATT&amp;CK Mappings'!$H285))),ISNUMBER(SEARCH(IF(C$3&lt;&gt;"",C$3,"NA"),'MITRE ATT&amp;CK Mappings'!$I285))),ISNUMBER(SEARCH(IF(C$3&lt;&gt;"",C$3,"NA"),'MITRE ATT&amp;CK Mappings'!$J285))), 'MITRE ATT&amp;CK Mappings'!$B285,"")</f>
        <v/>
      </c>
      <c r="D289" s="27" t="str">
        <f>IF(OR(OR(OR(OR(OR(ISNUMBER(SEARCH(IF(D$1&lt;&gt;"",D$1,"NA"),'MITRE ATT&amp;CK Mappings'!$E285)),ISNUMBER(SEARCH(IF(D$1&lt;&gt;"",D$1,"NA"),'MITRE ATT&amp;CK Mappings'!$F285))),ISNUMBER(SEARCH(IF(D$2&lt;&gt;"",D$2,"NA"),'MITRE ATT&amp;CK Mappings'!$G285))),ISNUMBER(SEARCH(IF(D$2&lt;&gt;"",D$2,"NA"),'MITRE ATT&amp;CK Mappings'!$H285))),ISNUMBER(SEARCH(IF(D$3&lt;&gt;"",D$3,"NA"),'MITRE ATT&amp;CK Mappings'!$I285))),ISNUMBER(SEARCH(IF(D$3&lt;&gt;"",D$3,"NA"),'MITRE ATT&amp;CK Mappings'!$J285))), 'MITRE ATT&amp;CK Mappings'!$B285,"")</f>
        <v/>
      </c>
      <c r="E289" s="27" t="str">
        <f>IF(OR(OR(OR(OR(OR(ISNUMBER(SEARCH(IF(E$1&lt;&gt;"",E$1,"NA"),'MITRE ATT&amp;CK Mappings'!$E285)),ISNUMBER(SEARCH(IF(E$1&lt;&gt;"",E$1,"NA"),'MITRE ATT&amp;CK Mappings'!$F285))),ISNUMBER(SEARCH(IF(E$2&lt;&gt;"",E$2,"NA"),'MITRE ATT&amp;CK Mappings'!$G285))),ISNUMBER(SEARCH(IF(E$2&lt;&gt;"",E$2,"NA"),'MITRE ATT&amp;CK Mappings'!$H285))),ISNUMBER(SEARCH(IF(E$3&lt;&gt;"",E$3,"NA"),'MITRE ATT&amp;CK Mappings'!$I285))),ISNUMBER(SEARCH(IF(E$3&lt;&gt;"",E$3,"NA"),'MITRE ATT&amp;CK Mappings'!$J285))), 'MITRE ATT&amp;CK Mappings'!$B285,"")</f>
        <v/>
      </c>
      <c r="F289" s="27" t="str">
        <f>IF(OR(OR(OR(OR(OR(ISNUMBER(SEARCH(IF(F$1&lt;&gt;"",F$1,"NA"),'MITRE ATT&amp;CK Mappings'!$E285)),ISNUMBER(SEARCH(IF(F$1&lt;&gt;"",F$1,"NA"),'MITRE ATT&amp;CK Mappings'!$F285))),ISNUMBER(SEARCH(IF(F$2&lt;&gt;"",F$2,"NA"),'MITRE ATT&amp;CK Mappings'!$G285))),ISNUMBER(SEARCH(IF(F$2&lt;&gt;"",F$2,"NA"),'MITRE ATT&amp;CK Mappings'!$H285))),ISNUMBER(SEARCH(IF(F$3&lt;&gt;"",F$3,"NA"),'MITRE ATT&amp;CK Mappings'!$I285))),ISNUMBER(SEARCH(IF(F$3&lt;&gt;"",F$3,"NA"),'MITRE ATT&amp;CK Mappings'!$J285))), 'MITRE ATT&amp;CK Mappings'!$B285,"")</f>
        <v/>
      </c>
      <c r="G289" s="27" t="str">
        <f>IF(OR(OR(OR(OR(OR(ISNUMBER(SEARCH(IF(G$1&lt;&gt;"",G$1,"NA"),'MITRE ATT&amp;CK Mappings'!$E285)),ISNUMBER(SEARCH(IF(G$1&lt;&gt;"",G$1,"NA"),'MITRE ATT&amp;CK Mappings'!$F285))),ISNUMBER(SEARCH(IF(G$2&lt;&gt;"",G$2,"NA"),'MITRE ATT&amp;CK Mappings'!$G285))),ISNUMBER(SEARCH(IF(G$2&lt;&gt;"",G$2,"NA"),'MITRE ATT&amp;CK Mappings'!$H285))),ISNUMBER(SEARCH(IF(G$3&lt;&gt;"",G$3,"NA"),'MITRE ATT&amp;CK Mappings'!$I285))),ISNUMBER(SEARCH(IF(G$3&lt;&gt;"",G$3,"NA"),'MITRE ATT&amp;CK Mappings'!$J285))), 'MITRE ATT&amp;CK Mappings'!$B285,"")</f>
        <v/>
      </c>
      <c r="H289" s="27" t="str">
        <f>IF(OR(OR(OR(OR(OR(ISNUMBER(SEARCH(IF(H$1&lt;&gt;"",H$1,"NA"),'MITRE ATT&amp;CK Mappings'!$E285)),ISNUMBER(SEARCH(IF(H$1&lt;&gt;"",H$1,"NA"),'MITRE ATT&amp;CK Mappings'!$F285))),ISNUMBER(SEARCH(IF(H$2&lt;&gt;"",H$2,"NA"),'MITRE ATT&amp;CK Mappings'!$G285))),ISNUMBER(SEARCH(IF(H$2&lt;&gt;"",H$2,"NA"),'MITRE ATT&amp;CK Mappings'!$H285))),ISNUMBER(SEARCH(IF(H$3&lt;&gt;"",H$3,"NA"),'MITRE ATT&amp;CK Mappings'!$I285))),ISNUMBER(SEARCH(IF(H$3&lt;&gt;"",H$3,"NA"),'MITRE ATT&amp;CK Mappings'!$J285))), 'MITRE ATT&amp;CK Mappings'!$B285,"")</f>
        <v/>
      </c>
      <c r="I289" s="27" t="str">
        <f>IF(OR(OR(OR(OR(OR(ISNUMBER(SEARCH(IF(I$1&lt;&gt;"",I$1,"NA"),'MITRE ATT&amp;CK Mappings'!$E285)),ISNUMBER(SEARCH(IF(I$1&lt;&gt;"",I$1,"NA"),'MITRE ATT&amp;CK Mappings'!$F285))),ISNUMBER(SEARCH(IF(I$2&lt;&gt;"",I$2,"NA"),'MITRE ATT&amp;CK Mappings'!$G285))),ISNUMBER(SEARCH(IF(I$2&lt;&gt;"",I$2,"NA"),'MITRE ATT&amp;CK Mappings'!$H285))),ISNUMBER(SEARCH(IF(I$3&lt;&gt;"",I$3,"NA"),'MITRE ATT&amp;CK Mappings'!$I285))),ISNUMBER(SEARCH(IF(I$3&lt;&gt;"",I$3,"NA"),'MITRE ATT&amp;CK Mappings'!$J285))), 'MITRE ATT&amp;CK Mappings'!$B285,"")</f>
        <v/>
      </c>
      <c r="J289" s="27" t="str">
        <f>IF(OR(OR(OR(OR(OR(ISNUMBER(SEARCH(IF(J$1&lt;&gt;"",J$1,"NA"),'MITRE ATT&amp;CK Mappings'!$E285)),ISNUMBER(SEARCH(IF(J$1&lt;&gt;"",J$1,"NA"),'MITRE ATT&amp;CK Mappings'!$F285))),ISNUMBER(SEARCH(IF(J$2&lt;&gt;"",J$2,"NA"),'MITRE ATT&amp;CK Mappings'!$G285))),ISNUMBER(SEARCH(IF(J$2&lt;&gt;"",J$2,"NA"),'MITRE ATT&amp;CK Mappings'!$H285))),ISNUMBER(SEARCH(IF(J$3&lt;&gt;"",J$3,"NA"),'MITRE ATT&amp;CK Mappings'!$I285))),ISNUMBER(SEARCH(IF(J$3&lt;&gt;"",J$3,"NA"),'MITRE ATT&amp;CK Mappings'!$J285))), 'MITRE ATT&amp;CK Mappings'!$B285,"")</f>
        <v/>
      </c>
      <c r="K289" s="27" t="str">
        <f>IF(OR(OR(OR(OR(OR(ISNUMBER(SEARCH(IF(K$1&lt;&gt;"",K$1,"NA"),'MITRE ATT&amp;CK Mappings'!$E285)),ISNUMBER(SEARCH(IF(K$1&lt;&gt;"",K$1,"NA"),'MITRE ATT&amp;CK Mappings'!$F285))),ISNUMBER(SEARCH(IF(K$2&lt;&gt;"",K$2,"NA"),'MITRE ATT&amp;CK Mappings'!$G285))),ISNUMBER(SEARCH(IF(K$2&lt;&gt;"",K$2,"NA"),'MITRE ATT&amp;CK Mappings'!$H285))),ISNUMBER(SEARCH(IF(K$3&lt;&gt;"",K$3,"NA"),'MITRE ATT&amp;CK Mappings'!$I285))),ISNUMBER(SEARCH(IF(K$3&lt;&gt;"",K$3,"NA"),'MITRE ATT&amp;CK Mappings'!$J285))), 'MITRE ATT&amp;CK Mappings'!$B285,"")</f>
        <v/>
      </c>
      <c r="L289" s="27" t="str">
        <f>IF('MITRE ATT&amp;CK Mappings'!D285 &lt;&gt;"",'MITRE ATT&amp;CK Mappings'!D285,"" )</f>
        <v/>
      </c>
    </row>
    <row r="290" spans="1:12" x14ac:dyDescent="0.25">
      <c r="A290" s="26" t="str">
        <f>IF(COUNTIF(B290:K290,"="&amp;'MITRE ATT&amp;CK Mappings'!B286)&gt;0,'MITRE ATT&amp;CK Mappings'!B286,"")</f>
        <v/>
      </c>
      <c r="B290" s="26" t="str">
        <f>IF(OR(OR(OR(OR(OR(ISNUMBER(SEARCH(IF(B$1&lt;&gt;"",B$1,"NA"),'MITRE ATT&amp;CK Mappings'!$E286)),ISNUMBER(SEARCH(IF(B$1&lt;&gt;"",B$1,"NA"),'MITRE ATT&amp;CK Mappings'!$F286))),ISNUMBER(SEARCH(IF(B$2&lt;&gt;"",B$2,"NA"),'MITRE ATT&amp;CK Mappings'!$G286))),ISNUMBER(SEARCH(IF(B$2&lt;&gt;"",B$2,"NA"),'MITRE ATT&amp;CK Mappings'!$H286))),ISNUMBER(SEARCH(IF(B$3&lt;&gt;"",B$3,"NA"),'MITRE ATT&amp;CK Mappings'!$I286))),ISNUMBER(SEARCH(IF(B$3&lt;&gt;"",B$3,"NA"),'MITRE ATT&amp;CK Mappings'!$J286))), 'MITRE ATT&amp;CK Mappings'!$B286,"")</f>
        <v/>
      </c>
      <c r="C290" s="26" t="str">
        <f>IF(OR(OR(OR(OR(OR(ISNUMBER(SEARCH(IF(C$1&lt;&gt;"",C$1,"NA"),'MITRE ATT&amp;CK Mappings'!$E286)),ISNUMBER(SEARCH(IF(C$1&lt;&gt;"",C$1,"NA"),'MITRE ATT&amp;CK Mappings'!$F286))),ISNUMBER(SEARCH(IF(C$2&lt;&gt;"",C$2,"NA"),'MITRE ATT&amp;CK Mappings'!$G286))),ISNUMBER(SEARCH(IF(C$2&lt;&gt;"",C$2,"NA"),'MITRE ATT&amp;CK Mappings'!$H286))),ISNUMBER(SEARCH(IF(C$3&lt;&gt;"",C$3,"NA"),'MITRE ATT&amp;CK Mappings'!$I286))),ISNUMBER(SEARCH(IF(C$3&lt;&gt;"",C$3,"NA"),'MITRE ATT&amp;CK Mappings'!$J286))), 'MITRE ATT&amp;CK Mappings'!$B286,"")</f>
        <v/>
      </c>
      <c r="D290" s="26" t="str">
        <f>IF(OR(OR(OR(OR(OR(ISNUMBER(SEARCH(IF(D$1&lt;&gt;"",D$1,"NA"),'MITRE ATT&amp;CK Mappings'!$E286)),ISNUMBER(SEARCH(IF(D$1&lt;&gt;"",D$1,"NA"),'MITRE ATT&amp;CK Mappings'!$F286))),ISNUMBER(SEARCH(IF(D$2&lt;&gt;"",D$2,"NA"),'MITRE ATT&amp;CK Mappings'!$G286))),ISNUMBER(SEARCH(IF(D$2&lt;&gt;"",D$2,"NA"),'MITRE ATT&amp;CK Mappings'!$H286))),ISNUMBER(SEARCH(IF(D$3&lt;&gt;"",D$3,"NA"),'MITRE ATT&amp;CK Mappings'!$I286))),ISNUMBER(SEARCH(IF(D$3&lt;&gt;"",D$3,"NA"),'MITRE ATT&amp;CK Mappings'!$J286))), 'MITRE ATT&amp;CK Mappings'!$B286,"")</f>
        <v/>
      </c>
      <c r="E290" s="26" t="str">
        <f>IF(OR(OR(OR(OR(OR(ISNUMBER(SEARCH(IF(E$1&lt;&gt;"",E$1,"NA"),'MITRE ATT&amp;CK Mappings'!$E286)),ISNUMBER(SEARCH(IF(E$1&lt;&gt;"",E$1,"NA"),'MITRE ATT&amp;CK Mappings'!$F286))),ISNUMBER(SEARCH(IF(E$2&lt;&gt;"",E$2,"NA"),'MITRE ATT&amp;CK Mappings'!$G286))),ISNUMBER(SEARCH(IF(E$2&lt;&gt;"",E$2,"NA"),'MITRE ATT&amp;CK Mappings'!$H286))),ISNUMBER(SEARCH(IF(E$3&lt;&gt;"",E$3,"NA"),'MITRE ATT&amp;CK Mappings'!$I286))),ISNUMBER(SEARCH(IF(E$3&lt;&gt;"",E$3,"NA"),'MITRE ATT&amp;CK Mappings'!$J286))), 'MITRE ATT&amp;CK Mappings'!$B286,"")</f>
        <v/>
      </c>
      <c r="F290" s="26" t="str">
        <f>IF(OR(OR(OR(OR(OR(ISNUMBER(SEARCH(IF(F$1&lt;&gt;"",F$1,"NA"),'MITRE ATT&amp;CK Mappings'!$E286)),ISNUMBER(SEARCH(IF(F$1&lt;&gt;"",F$1,"NA"),'MITRE ATT&amp;CK Mappings'!$F286))),ISNUMBER(SEARCH(IF(F$2&lt;&gt;"",F$2,"NA"),'MITRE ATT&amp;CK Mappings'!$G286))),ISNUMBER(SEARCH(IF(F$2&lt;&gt;"",F$2,"NA"),'MITRE ATT&amp;CK Mappings'!$H286))),ISNUMBER(SEARCH(IF(F$3&lt;&gt;"",F$3,"NA"),'MITRE ATT&amp;CK Mappings'!$I286))),ISNUMBER(SEARCH(IF(F$3&lt;&gt;"",F$3,"NA"),'MITRE ATT&amp;CK Mappings'!$J286))), 'MITRE ATT&amp;CK Mappings'!$B286,"")</f>
        <v/>
      </c>
      <c r="G290" s="26" t="str">
        <f>IF(OR(OR(OR(OR(OR(ISNUMBER(SEARCH(IF(G$1&lt;&gt;"",G$1,"NA"),'MITRE ATT&amp;CK Mappings'!$E286)),ISNUMBER(SEARCH(IF(G$1&lt;&gt;"",G$1,"NA"),'MITRE ATT&amp;CK Mappings'!$F286))),ISNUMBER(SEARCH(IF(G$2&lt;&gt;"",G$2,"NA"),'MITRE ATT&amp;CK Mappings'!$G286))),ISNUMBER(SEARCH(IF(G$2&lt;&gt;"",G$2,"NA"),'MITRE ATT&amp;CK Mappings'!$H286))),ISNUMBER(SEARCH(IF(G$3&lt;&gt;"",G$3,"NA"),'MITRE ATT&amp;CK Mappings'!$I286))),ISNUMBER(SEARCH(IF(G$3&lt;&gt;"",G$3,"NA"),'MITRE ATT&amp;CK Mappings'!$J286))), 'MITRE ATT&amp;CK Mappings'!$B286,"")</f>
        <v/>
      </c>
      <c r="H290" s="26" t="str">
        <f>IF(OR(OR(OR(OR(OR(ISNUMBER(SEARCH(IF(H$1&lt;&gt;"",H$1,"NA"),'MITRE ATT&amp;CK Mappings'!$E286)),ISNUMBER(SEARCH(IF(H$1&lt;&gt;"",H$1,"NA"),'MITRE ATT&amp;CK Mappings'!$F286))),ISNUMBER(SEARCH(IF(H$2&lt;&gt;"",H$2,"NA"),'MITRE ATT&amp;CK Mappings'!$G286))),ISNUMBER(SEARCH(IF(H$2&lt;&gt;"",H$2,"NA"),'MITRE ATT&amp;CK Mappings'!$H286))),ISNUMBER(SEARCH(IF(H$3&lt;&gt;"",H$3,"NA"),'MITRE ATT&amp;CK Mappings'!$I286))),ISNUMBER(SEARCH(IF(H$3&lt;&gt;"",H$3,"NA"),'MITRE ATT&amp;CK Mappings'!$J286))), 'MITRE ATT&amp;CK Mappings'!$B286,"")</f>
        <v/>
      </c>
      <c r="I290" s="26" t="str">
        <f>IF(OR(OR(OR(OR(OR(ISNUMBER(SEARCH(IF(I$1&lt;&gt;"",I$1,"NA"),'MITRE ATT&amp;CK Mappings'!$E286)),ISNUMBER(SEARCH(IF(I$1&lt;&gt;"",I$1,"NA"),'MITRE ATT&amp;CK Mappings'!$F286))),ISNUMBER(SEARCH(IF(I$2&lt;&gt;"",I$2,"NA"),'MITRE ATT&amp;CK Mappings'!$G286))),ISNUMBER(SEARCH(IF(I$2&lt;&gt;"",I$2,"NA"),'MITRE ATT&amp;CK Mappings'!$H286))),ISNUMBER(SEARCH(IF(I$3&lt;&gt;"",I$3,"NA"),'MITRE ATT&amp;CK Mappings'!$I286))),ISNUMBER(SEARCH(IF(I$3&lt;&gt;"",I$3,"NA"),'MITRE ATT&amp;CK Mappings'!$J286))), 'MITRE ATT&amp;CK Mappings'!$B286,"")</f>
        <v/>
      </c>
      <c r="J290" s="26" t="str">
        <f>IF(OR(OR(OR(OR(OR(ISNUMBER(SEARCH(IF(J$1&lt;&gt;"",J$1,"NA"),'MITRE ATT&amp;CK Mappings'!$E286)),ISNUMBER(SEARCH(IF(J$1&lt;&gt;"",J$1,"NA"),'MITRE ATT&amp;CK Mappings'!$F286))),ISNUMBER(SEARCH(IF(J$2&lt;&gt;"",J$2,"NA"),'MITRE ATT&amp;CK Mappings'!$G286))),ISNUMBER(SEARCH(IF(J$2&lt;&gt;"",J$2,"NA"),'MITRE ATT&amp;CK Mappings'!$H286))),ISNUMBER(SEARCH(IF(J$3&lt;&gt;"",J$3,"NA"),'MITRE ATT&amp;CK Mappings'!$I286))),ISNUMBER(SEARCH(IF(J$3&lt;&gt;"",J$3,"NA"),'MITRE ATT&amp;CK Mappings'!$J286))), 'MITRE ATT&amp;CK Mappings'!$B286,"")</f>
        <v/>
      </c>
      <c r="K290" s="26" t="str">
        <f>IF(OR(OR(OR(OR(OR(ISNUMBER(SEARCH(IF(K$1&lt;&gt;"",K$1,"NA"),'MITRE ATT&amp;CK Mappings'!$E286)),ISNUMBER(SEARCH(IF(K$1&lt;&gt;"",K$1,"NA"),'MITRE ATT&amp;CK Mappings'!$F286))),ISNUMBER(SEARCH(IF(K$2&lt;&gt;"",K$2,"NA"),'MITRE ATT&amp;CK Mappings'!$G286))),ISNUMBER(SEARCH(IF(K$2&lt;&gt;"",K$2,"NA"),'MITRE ATT&amp;CK Mappings'!$H286))),ISNUMBER(SEARCH(IF(K$3&lt;&gt;"",K$3,"NA"),'MITRE ATT&amp;CK Mappings'!$I286))),ISNUMBER(SEARCH(IF(K$3&lt;&gt;"",K$3,"NA"),'MITRE ATT&amp;CK Mappings'!$J286))), 'MITRE ATT&amp;CK Mappings'!$B286,"")</f>
        <v/>
      </c>
      <c r="L290" s="26" t="str">
        <f>IF('MITRE ATT&amp;CK Mappings'!D286 &lt;&gt;"",'MITRE ATT&amp;CK Mappings'!D286,"" )</f>
        <v/>
      </c>
    </row>
    <row r="291" spans="1:12" x14ac:dyDescent="0.25">
      <c r="A291" s="27" t="str">
        <f>IF(COUNTIF(B291:K291,"="&amp;'MITRE ATT&amp;CK Mappings'!B287)&gt;0,'MITRE ATT&amp;CK Mappings'!B287,"")</f>
        <v/>
      </c>
      <c r="B291" s="27" t="str">
        <f>IF(OR(OR(OR(OR(OR(ISNUMBER(SEARCH(IF(B$1&lt;&gt;"",B$1,"NA"),'MITRE ATT&amp;CK Mappings'!$E287)),ISNUMBER(SEARCH(IF(B$1&lt;&gt;"",B$1,"NA"),'MITRE ATT&amp;CK Mappings'!$F287))),ISNUMBER(SEARCH(IF(B$2&lt;&gt;"",B$2,"NA"),'MITRE ATT&amp;CK Mappings'!$G287))),ISNUMBER(SEARCH(IF(B$2&lt;&gt;"",B$2,"NA"),'MITRE ATT&amp;CK Mappings'!$H287))),ISNUMBER(SEARCH(IF(B$3&lt;&gt;"",B$3,"NA"),'MITRE ATT&amp;CK Mappings'!$I287))),ISNUMBER(SEARCH(IF(B$3&lt;&gt;"",B$3,"NA"),'MITRE ATT&amp;CK Mappings'!$J287))), 'MITRE ATT&amp;CK Mappings'!$B287,"")</f>
        <v/>
      </c>
      <c r="C291" s="27" t="str">
        <f>IF(OR(OR(OR(OR(OR(ISNUMBER(SEARCH(IF(C$1&lt;&gt;"",C$1,"NA"),'MITRE ATT&amp;CK Mappings'!$E287)),ISNUMBER(SEARCH(IF(C$1&lt;&gt;"",C$1,"NA"),'MITRE ATT&amp;CK Mappings'!$F287))),ISNUMBER(SEARCH(IF(C$2&lt;&gt;"",C$2,"NA"),'MITRE ATT&amp;CK Mappings'!$G287))),ISNUMBER(SEARCH(IF(C$2&lt;&gt;"",C$2,"NA"),'MITRE ATT&amp;CK Mappings'!$H287))),ISNUMBER(SEARCH(IF(C$3&lt;&gt;"",C$3,"NA"),'MITRE ATT&amp;CK Mappings'!$I287))),ISNUMBER(SEARCH(IF(C$3&lt;&gt;"",C$3,"NA"),'MITRE ATT&amp;CK Mappings'!$J287))), 'MITRE ATT&amp;CK Mappings'!$B287,"")</f>
        <v/>
      </c>
      <c r="D291" s="27" t="str">
        <f>IF(OR(OR(OR(OR(OR(ISNUMBER(SEARCH(IF(D$1&lt;&gt;"",D$1,"NA"),'MITRE ATT&amp;CK Mappings'!$E287)),ISNUMBER(SEARCH(IF(D$1&lt;&gt;"",D$1,"NA"),'MITRE ATT&amp;CK Mappings'!$F287))),ISNUMBER(SEARCH(IF(D$2&lt;&gt;"",D$2,"NA"),'MITRE ATT&amp;CK Mappings'!$G287))),ISNUMBER(SEARCH(IF(D$2&lt;&gt;"",D$2,"NA"),'MITRE ATT&amp;CK Mappings'!$H287))),ISNUMBER(SEARCH(IF(D$3&lt;&gt;"",D$3,"NA"),'MITRE ATT&amp;CK Mappings'!$I287))),ISNUMBER(SEARCH(IF(D$3&lt;&gt;"",D$3,"NA"),'MITRE ATT&amp;CK Mappings'!$J287))), 'MITRE ATT&amp;CK Mappings'!$B287,"")</f>
        <v/>
      </c>
      <c r="E291" s="27" t="str">
        <f>IF(OR(OR(OR(OR(OR(ISNUMBER(SEARCH(IF(E$1&lt;&gt;"",E$1,"NA"),'MITRE ATT&amp;CK Mappings'!$E287)),ISNUMBER(SEARCH(IF(E$1&lt;&gt;"",E$1,"NA"),'MITRE ATT&amp;CK Mappings'!$F287))),ISNUMBER(SEARCH(IF(E$2&lt;&gt;"",E$2,"NA"),'MITRE ATT&amp;CK Mappings'!$G287))),ISNUMBER(SEARCH(IF(E$2&lt;&gt;"",E$2,"NA"),'MITRE ATT&amp;CK Mappings'!$H287))),ISNUMBER(SEARCH(IF(E$3&lt;&gt;"",E$3,"NA"),'MITRE ATT&amp;CK Mappings'!$I287))),ISNUMBER(SEARCH(IF(E$3&lt;&gt;"",E$3,"NA"),'MITRE ATT&amp;CK Mappings'!$J287))), 'MITRE ATT&amp;CK Mappings'!$B287,"")</f>
        <v/>
      </c>
      <c r="F291" s="27" t="str">
        <f>IF(OR(OR(OR(OR(OR(ISNUMBER(SEARCH(IF(F$1&lt;&gt;"",F$1,"NA"),'MITRE ATT&amp;CK Mappings'!$E287)),ISNUMBER(SEARCH(IF(F$1&lt;&gt;"",F$1,"NA"),'MITRE ATT&amp;CK Mappings'!$F287))),ISNUMBER(SEARCH(IF(F$2&lt;&gt;"",F$2,"NA"),'MITRE ATT&amp;CK Mappings'!$G287))),ISNUMBER(SEARCH(IF(F$2&lt;&gt;"",F$2,"NA"),'MITRE ATT&amp;CK Mappings'!$H287))),ISNUMBER(SEARCH(IF(F$3&lt;&gt;"",F$3,"NA"),'MITRE ATT&amp;CK Mappings'!$I287))),ISNUMBER(SEARCH(IF(F$3&lt;&gt;"",F$3,"NA"),'MITRE ATT&amp;CK Mappings'!$J287))), 'MITRE ATT&amp;CK Mappings'!$B287,"")</f>
        <v/>
      </c>
      <c r="G291" s="27" t="str">
        <f>IF(OR(OR(OR(OR(OR(ISNUMBER(SEARCH(IF(G$1&lt;&gt;"",G$1,"NA"),'MITRE ATT&amp;CK Mappings'!$E287)),ISNUMBER(SEARCH(IF(G$1&lt;&gt;"",G$1,"NA"),'MITRE ATT&amp;CK Mappings'!$F287))),ISNUMBER(SEARCH(IF(G$2&lt;&gt;"",G$2,"NA"),'MITRE ATT&amp;CK Mappings'!$G287))),ISNUMBER(SEARCH(IF(G$2&lt;&gt;"",G$2,"NA"),'MITRE ATT&amp;CK Mappings'!$H287))),ISNUMBER(SEARCH(IF(G$3&lt;&gt;"",G$3,"NA"),'MITRE ATT&amp;CK Mappings'!$I287))),ISNUMBER(SEARCH(IF(G$3&lt;&gt;"",G$3,"NA"),'MITRE ATT&amp;CK Mappings'!$J287))), 'MITRE ATT&amp;CK Mappings'!$B287,"")</f>
        <v/>
      </c>
      <c r="H291" s="27" t="str">
        <f>IF(OR(OR(OR(OR(OR(ISNUMBER(SEARCH(IF(H$1&lt;&gt;"",H$1,"NA"),'MITRE ATT&amp;CK Mappings'!$E287)),ISNUMBER(SEARCH(IF(H$1&lt;&gt;"",H$1,"NA"),'MITRE ATT&amp;CK Mappings'!$F287))),ISNUMBER(SEARCH(IF(H$2&lt;&gt;"",H$2,"NA"),'MITRE ATT&amp;CK Mappings'!$G287))),ISNUMBER(SEARCH(IF(H$2&lt;&gt;"",H$2,"NA"),'MITRE ATT&amp;CK Mappings'!$H287))),ISNUMBER(SEARCH(IF(H$3&lt;&gt;"",H$3,"NA"),'MITRE ATT&amp;CK Mappings'!$I287))),ISNUMBER(SEARCH(IF(H$3&lt;&gt;"",H$3,"NA"),'MITRE ATT&amp;CK Mappings'!$J287))), 'MITRE ATT&amp;CK Mappings'!$B287,"")</f>
        <v/>
      </c>
      <c r="I291" s="27" t="str">
        <f>IF(OR(OR(OR(OR(OR(ISNUMBER(SEARCH(IF(I$1&lt;&gt;"",I$1,"NA"),'MITRE ATT&amp;CK Mappings'!$E287)),ISNUMBER(SEARCH(IF(I$1&lt;&gt;"",I$1,"NA"),'MITRE ATT&amp;CK Mappings'!$F287))),ISNUMBER(SEARCH(IF(I$2&lt;&gt;"",I$2,"NA"),'MITRE ATT&amp;CK Mappings'!$G287))),ISNUMBER(SEARCH(IF(I$2&lt;&gt;"",I$2,"NA"),'MITRE ATT&amp;CK Mappings'!$H287))),ISNUMBER(SEARCH(IF(I$3&lt;&gt;"",I$3,"NA"),'MITRE ATT&amp;CK Mappings'!$I287))),ISNUMBER(SEARCH(IF(I$3&lt;&gt;"",I$3,"NA"),'MITRE ATT&amp;CK Mappings'!$J287))), 'MITRE ATT&amp;CK Mappings'!$B287,"")</f>
        <v/>
      </c>
      <c r="J291" s="27" t="str">
        <f>IF(OR(OR(OR(OR(OR(ISNUMBER(SEARCH(IF(J$1&lt;&gt;"",J$1,"NA"),'MITRE ATT&amp;CK Mappings'!$E287)),ISNUMBER(SEARCH(IF(J$1&lt;&gt;"",J$1,"NA"),'MITRE ATT&amp;CK Mappings'!$F287))),ISNUMBER(SEARCH(IF(J$2&lt;&gt;"",J$2,"NA"),'MITRE ATT&amp;CK Mappings'!$G287))),ISNUMBER(SEARCH(IF(J$2&lt;&gt;"",J$2,"NA"),'MITRE ATT&amp;CK Mappings'!$H287))),ISNUMBER(SEARCH(IF(J$3&lt;&gt;"",J$3,"NA"),'MITRE ATT&amp;CK Mappings'!$I287))),ISNUMBER(SEARCH(IF(J$3&lt;&gt;"",J$3,"NA"),'MITRE ATT&amp;CK Mappings'!$J287))), 'MITRE ATT&amp;CK Mappings'!$B287,"")</f>
        <v/>
      </c>
      <c r="K291" s="27" t="str">
        <f>IF(OR(OR(OR(OR(OR(ISNUMBER(SEARCH(IF(K$1&lt;&gt;"",K$1,"NA"),'MITRE ATT&amp;CK Mappings'!$E287)),ISNUMBER(SEARCH(IF(K$1&lt;&gt;"",K$1,"NA"),'MITRE ATT&amp;CK Mappings'!$F287))),ISNUMBER(SEARCH(IF(K$2&lt;&gt;"",K$2,"NA"),'MITRE ATT&amp;CK Mappings'!$G287))),ISNUMBER(SEARCH(IF(K$2&lt;&gt;"",K$2,"NA"),'MITRE ATT&amp;CK Mappings'!$H287))),ISNUMBER(SEARCH(IF(K$3&lt;&gt;"",K$3,"NA"),'MITRE ATT&amp;CK Mappings'!$I287))),ISNUMBER(SEARCH(IF(K$3&lt;&gt;"",K$3,"NA"),'MITRE ATT&amp;CK Mappings'!$J287))), 'MITRE ATT&amp;CK Mappings'!$B287,"")</f>
        <v/>
      </c>
      <c r="L291" s="27" t="str">
        <f>IF('MITRE ATT&amp;CK Mappings'!D287 &lt;&gt;"",'MITRE ATT&amp;CK Mappings'!D287,"" )</f>
        <v/>
      </c>
    </row>
    <row r="292" spans="1:12" x14ac:dyDescent="0.25">
      <c r="A292" s="26" t="str">
        <f>IF(COUNTIF(B292:K292,"="&amp;'MITRE ATT&amp;CK Mappings'!B288)&gt;0,'MITRE ATT&amp;CK Mappings'!B288,"")</f>
        <v/>
      </c>
      <c r="B292" s="26" t="str">
        <f>IF(OR(OR(OR(OR(OR(ISNUMBER(SEARCH(IF(B$1&lt;&gt;"",B$1,"NA"),'MITRE ATT&amp;CK Mappings'!$E288)),ISNUMBER(SEARCH(IF(B$1&lt;&gt;"",B$1,"NA"),'MITRE ATT&amp;CK Mappings'!$F288))),ISNUMBER(SEARCH(IF(B$2&lt;&gt;"",B$2,"NA"),'MITRE ATT&amp;CK Mappings'!$G288))),ISNUMBER(SEARCH(IF(B$2&lt;&gt;"",B$2,"NA"),'MITRE ATT&amp;CK Mappings'!$H288))),ISNUMBER(SEARCH(IF(B$3&lt;&gt;"",B$3,"NA"),'MITRE ATT&amp;CK Mappings'!$I288))),ISNUMBER(SEARCH(IF(B$3&lt;&gt;"",B$3,"NA"),'MITRE ATT&amp;CK Mappings'!$J288))), 'MITRE ATT&amp;CK Mappings'!$B288,"")</f>
        <v/>
      </c>
      <c r="C292" s="26" t="str">
        <f>IF(OR(OR(OR(OR(OR(ISNUMBER(SEARCH(IF(C$1&lt;&gt;"",C$1,"NA"),'MITRE ATT&amp;CK Mappings'!$E288)),ISNUMBER(SEARCH(IF(C$1&lt;&gt;"",C$1,"NA"),'MITRE ATT&amp;CK Mappings'!$F288))),ISNUMBER(SEARCH(IF(C$2&lt;&gt;"",C$2,"NA"),'MITRE ATT&amp;CK Mappings'!$G288))),ISNUMBER(SEARCH(IF(C$2&lt;&gt;"",C$2,"NA"),'MITRE ATT&amp;CK Mappings'!$H288))),ISNUMBER(SEARCH(IF(C$3&lt;&gt;"",C$3,"NA"),'MITRE ATT&amp;CK Mappings'!$I288))),ISNUMBER(SEARCH(IF(C$3&lt;&gt;"",C$3,"NA"),'MITRE ATT&amp;CK Mappings'!$J288))), 'MITRE ATT&amp;CK Mappings'!$B288,"")</f>
        <v/>
      </c>
      <c r="D292" s="26" t="str">
        <f>IF(OR(OR(OR(OR(OR(ISNUMBER(SEARCH(IF(D$1&lt;&gt;"",D$1,"NA"),'MITRE ATT&amp;CK Mappings'!$E288)),ISNUMBER(SEARCH(IF(D$1&lt;&gt;"",D$1,"NA"),'MITRE ATT&amp;CK Mappings'!$F288))),ISNUMBER(SEARCH(IF(D$2&lt;&gt;"",D$2,"NA"),'MITRE ATT&amp;CK Mappings'!$G288))),ISNUMBER(SEARCH(IF(D$2&lt;&gt;"",D$2,"NA"),'MITRE ATT&amp;CK Mappings'!$H288))),ISNUMBER(SEARCH(IF(D$3&lt;&gt;"",D$3,"NA"),'MITRE ATT&amp;CK Mappings'!$I288))),ISNUMBER(SEARCH(IF(D$3&lt;&gt;"",D$3,"NA"),'MITRE ATT&amp;CK Mappings'!$J288))), 'MITRE ATT&amp;CK Mappings'!$B288,"")</f>
        <v/>
      </c>
      <c r="E292" s="26" t="str">
        <f>IF(OR(OR(OR(OR(OR(ISNUMBER(SEARCH(IF(E$1&lt;&gt;"",E$1,"NA"),'MITRE ATT&amp;CK Mappings'!$E288)),ISNUMBER(SEARCH(IF(E$1&lt;&gt;"",E$1,"NA"),'MITRE ATT&amp;CK Mappings'!$F288))),ISNUMBER(SEARCH(IF(E$2&lt;&gt;"",E$2,"NA"),'MITRE ATT&amp;CK Mappings'!$G288))),ISNUMBER(SEARCH(IF(E$2&lt;&gt;"",E$2,"NA"),'MITRE ATT&amp;CK Mappings'!$H288))),ISNUMBER(SEARCH(IF(E$3&lt;&gt;"",E$3,"NA"),'MITRE ATT&amp;CK Mappings'!$I288))),ISNUMBER(SEARCH(IF(E$3&lt;&gt;"",E$3,"NA"),'MITRE ATT&amp;CK Mappings'!$J288))), 'MITRE ATT&amp;CK Mappings'!$B288,"")</f>
        <v/>
      </c>
      <c r="F292" s="26" t="str">
        <f>IF(OR(OR(OR(OR(OR(ISNUMBER(SEARCH(IF(F$1&lt;&gt;"",F$1,"NA"),'MITRE ATT&amp;CK Mappings'!$E288)),ISNUMBER(SEARCH(IF(F$1&lt;&gt;"",F$1,"NA"),'MITRE ATT&amp;CK Mappings'!$F288))),ISNUMBER(SEARCH(IF(F$2&lt;&gt;"",F$2,"NA"),'MITRE ATT&amp;CK Mappings'!$G288))),ISNUMBER(SEARCH(IF(F$2&lt;&gt;"",F$2,"NA"),'MITRE ATT&amp;CK Mappings'!$H288))),ISNUMBER(SEARCH(IF(F$3&lt;&gt;"",F$3,"NA"),'MITRE ATT&amp;CK Mappings'!$I288))),ISNUMBER(SEARCH(IF(F$3&lt;&gt;"",F$3,"NA"),'MITRE ATT&amp;CK Mappings'!$J288))), 'MITRE ATT&amp;CK Mappings'!$B288,"")</f>
        <v/>
      </c>
      <c r="G292" s="26" t="str">
        <f>IF(OR(OR(OR(OR(OR(ISNUMBER(SEARCH(IF(G$1&lt;&gt;"",G$1,"NA"),'MITRE ATT&amp;CK Mappings'!$E288)),ISNUMBER(SEARCH(IF(G$1&lt;&gt;"",G$1,"NA"),'MITRE ATT&amp;CK Mappings'!$F288))),ISNUMBER(SEARCH(IF(G$2&lt;&gt;"",G$2,"NA"),'MITRE ATT&amp;CK Mappings'!$G288))),ISNUMBER(SEARCH(IF(G$2&lt;&gt;"",G$2,"NA"),'MITRE ATT&amp;CK Mappings'!$H288))),ISNUMBER(SEARCH(IF(G$3&lt;&gt;"",G$3,"NA"),'MITRE ATT&amp;CK Mappings'!$I288))),ISNUMBER(SEARCH(IF(G$3&lt;&gt;"",G$3,"NA"),'MITRE ATT&amp;CK Mappings'!$J288))), 'MITRE ATT&amp;CK Mappings'!$B288,"")</f>
        <v/>
      </c>
      <c r="H292" s="26" t="str">
        <f>IF(OR(OR(OR(OR(OR(ISNUMBER(SEARCH(IF(H$1&lt;&gt;"",H$1,"NA"),'MITRE ATT&amp;CK Mappings'!$E288)),ISNUMBER(SEARCH(IF(H$1&lt;&gt;"",H$1,"NA"),'MITRE ATT&amp;CK Mappings'!$F288))),ISNUMBER(SEARCH(IF(H$2&lt;&gt;"",H$2,"NA"),'MITRE ATT&amp;CK Mappings'!$G288))),ISNUMBER(SEARCH(IF(H$2&lt;&gt;"",H$2,"NA"),'MITRE ATT&amp;CK Mappings'!$H288))),ISNUMBER(SEARCH(IF(H$3&lt;&gt;"",H$3,"NA"),'MITRE ATT&amp;CK Mappings'!$I288))),ISNUMBER(SEARCH(IF(H$3&lt;&gt;"",H$3,"NA"),'MITRE ATT&amp;CK Mappings'!$J288))), 'MITRE ATT&amp;CK Mappings'!$B288,"")</f>
        <v/>
      </c>
      <c r="I292" s="26" t="str">
        <f>IF(OR(OR(OR(OR(OR(ISNUMBER(SEARCH(IF(I$1&lt;&gt;"",I$1,"NA"),'MITRE ATT&amp;CK Mappings'!$E288)),ISNUMBER(SEARCH(IF(I$1&lt;&gt;"",I$1,"NA"),'MITRE ATT&amp;CK Mappings'!$F288))),ISNUMBER(SEARCH(IF(I$2&lt;&gt;"",I$2,"NA"),'MITRE ATT&amp;CK Mappings'!$G288))),ISNUMBER(SEARCH(IF(I$2&lt;&gt;"",I$2,"NA"),'MITRE ATT&amp;CK Mappings'!$H288))),ISNUMBER(SEARCH(IF(I$3&lt;&gt;"",I$3,"NA"),'MITRE ATT&amp;CK Mappings'!$I288))),ISNUMBER(SEARCH(IF(I$3&lt;&gt;"",I$3,"NA"),'MITRE ATT&amp;CK Mappings'!$J288))), 'MITRE ATT&amp;CK Mappings'!$B288,"")</f>
        <v/>
      </c>
      <c r="J292" s="26" t="str">
        <f>IF(OR(OR(OR(OR(OR(ISNUMBER(SEARCH(IF(J$1&lt;&gt;"",J$1,"NA"),'MITRE ATT&amp;CK Mappings'!$E288)),ISNUMBER(SEARCH(IF(J$1&lt;&gt;"",J$1,"NA"),'MITRE ATT&amp;CK Mappings'!$F288))),ISNUMBER(SEARCH(IF(J$2&lt;&gt;"",J$2,"NA"),'MITRE ATT&amp;CK Mappings'!$G288))),ISNUMBER(SEARCH(IF(J$2&lt;&gt;"",J$2,"NA"),'MITRE ATT&amp;CK Mappings'!$H288))),ISNUMBER(SEARCH(IF(J$3&lt;&gt;"",J$3,"NA"),'MITRE ATT&amp;CK Mappings'!$I288))),ISNUMBER(SEARCH(IF(J$3&lt;&gt;"",J$3,"NA"),'MITRE ATT&amp;CK Mappings'!$J288))), 'MITRE ATT&amp;CK Mappings'!$B288,"")</f>
        <v/>
      </c>
      <c r="K292" s="26" t="str">
        <f>IF(OR(OR(OR(OR(OR(ISNUMBER(SEARCH(IF(K$1&lt;&gt;"",K$1,"NA"),'MITRE ATT&amp;CK Mappings'!$E288)),ISNUMBER(SEARCH(IF(K$1&lt;&gt;"",K$1,"NA"),'MITRE ATT&amp;CK Mappings'!$F288))),ISNUMBER(SEARCH(IF(K$2&lt;&gt;"",K$2,"NA"),'MITRE ATT&amp;CK Mappings'!$G288))),ISNUMBER(SEARCH(IF(K$2&lt;&gt;"",K$2,"NA"),'MITRE ATT&amp;CK Mappings'!$H288))),ISNUMBER(SEARCH(IF(K$3&lt;&gt;"",K$3,"NA"),'MITRE ATT&amp;CK Mappings'!$I288))),ISNUMBER(SEARCH(IF(K$3&lt;&gt;"",K$3,"NA"),'MITRE ATT&amp;CK Mappings'!$J288))), 'MITRE ATT&amp;CK Mappings'!$B288,"")</f>
        <v/>
      </c>
      <c r="L292" s="26" t="str">
        <f>IF('MITRE ATT&amp;CK Mappings'!D288 &lt;&gt;"",'MITRE ATT&amp;CK Mappings'!D288,"" )</f>
        <v/>
      </c>
    </row>
    <row r="293" spans="1:12" x14ac:dyDescent="0.25">
      <c r="A293" s="27" t="str">
        <f>IF(COUNTIF(B293:K293,"="&amp;'MITRE ATT&amp;CK Mappings'!B289)&gt;0,'MITRE ATT&amp;CK Mappings'!B289,"")</f>
        <v/>
      </c>
      <c r="B293" s="27" t="str">
        <f>IF(OR(OR(OR(OR(OR(ISNUMBER(SEARCH(IF(B$1&lt;&gt;"",B$1,"NA"),'MITRE ATT&amp;CK Mappings'!$E289)),ISNUMBER(SEARCH(IF(B$1&lt;&gt;"",B$1,"NA"),'MITRE ATT&amp;CK Mappings'!$F289))),ISNUMBER(SEARCH(IF(B$2&lt;&gt;"",B$2,"NA"),'MITRE ATT&amp;CK Mappings'!$G289))),ISNUMBER(SEARCH(IF(B$2&lt;&gt;"",B$2,"NA"),'MITRE ATT&amp;CK Mappings'!$H289))),ISNUMBER(SEARCH(IF(B$3&lt;&gt;"",B$3,"NA"),'MITRE ATT&amp;CK Mappings'!$I289))),ISNUMBER(SEARCH(IF(B$3&lt;&gt;"",B$3,"NA"),'MITRE ATT&amp;CK Mappings'!$J289))), 'MITRE ATT&amp;CK Mappings'!$B289,"")</f>
        <v/>
      </c>
      <c r="C293" s="27" t="str">
        <f>IF(OR(OR(OR(OR(OR(ISNUMBER(SEARCH(IF(C$1&lt;&gt;"",C$1,"NA"),'MITRE ATT&amp;CK Mappings'!$E289)),ISNUMBER(SEARCH(IF(C$1&lt;&gt;"",C$1,"NA"),'MITRE ATT&amp;CK Mappings'!$F289))),ISNUMBER(SEARCH(IF(C$2&lt;&gt;"",C$2,"NA"),'MITRE ATT&amp;CK Mappings'!$G289))),ISNUMBER(SEARCH(IF(C$2&lt;&gt;"",C$2,"NA"),'MITRE ATT&amp;CK Mappings'!$H289))),ISNUMBER(SEARCH(IF(C$3&lt;&gt;"",C$3,"NA"),'MITRE ATT&amp;CK Mappings'!$I289))),ISNUMBER(SEARCH(IF(C$3&lt;&gt;"",C$3,"NA"),'MITRE ATT&amp;CK Mappings'!$J289))), 'MITRE ATT&amp;CK Mappings'!$B289,"")</f>
        <v/>
      </c>
      <c r="D293" s="27" t="str">
        <f>IF(OR(OR(OR(OR(OR(ISNUMBER(SEARCH(IF(D$1&lt;&gt;"",D$1,"NA"),'MITRE ATT&amp;CK Mappings'!$E289)),ISNUMBER(SEARCH(IF(D$1&lt;&gt;"",D$1,"NA"),'MITRE ATT&amp;CK Mappings'!$F289))),ISNUMBER(SEARCH(IF(D$2&lt;&gt;"",D$2,"NA"),'MITRE ATT&amp;CK Mappings'!$G289))),ISNUMBER(SEARCH(IF(D$2&lt;&gt;"",D$2,"NA"),'MITRE ATT&amp;CK Mappings'!$H289))),ISNUMBER(SEARCH(IF(D$3&lt;&gt;"",D$3,"NA"),'MITRE ATT&amp;CK Mappings'!$I289))),ISNUMBER(SEARCH(IF(D$3&lt;&gt;"",D$3,"NA"),'MITRE ATT&amp;CK Mappings'!$J289))), 'MITRE ATT&amp;CK Mappings'!$B289,"")</f>
        <v/>
      </c>
      <c r="E293" s="27" t="str">
        <f>IF(OR(OR(OR(OR(OR(ISNUMBER(SEARCH(IF(E$1&lt;&gt;"",E$1,"NA"),'MITRE ATT&amp;CK Mappings'!$E289)),ISNUMBER(SEARCH(IF(E$1&lt;&gt;"",E$1,"NA"),'MITRE ATT&amp;CK Mappings'!$F289))),ISNUMBER(SEARCH(IF(E$2&lt;&gt;"",E$2,"NA"),'MITRE ATT&amp;CK Mappings'!$G289))),ISNUMBER(SEARCH(IF(E$2&lt;&gt;"",E$2,"NA"),'MITRE ATT&amp;CK Mappings'!$H289))),ISNUMBER(SEARCH(IF(E$3&lt;&gt;"",E$3,"NA"),'MITRE ATT&amp;CK Mappings'!$I289))),ISNUMBER(SEARCH(IF(E$3&lt;&gt;"",E$3,"NA"),'MITRE ATT&amp;CK Mappings'!$J289))), 'MITRE ATT&amp;CK Mappings'!$B289,"")</f>
        <v/>
      </c>
      <c r="F293" s="27" t="str">
        <f>IF(OR(OR(OR(OR(OR(ISNUMBER(SEARCH(IF(F$1&lt;&gt;"",F$1,"NA"),'MITRE ATT&amp;CK Mappings'!$E289)),ISNUMBER(SEARCH(IF(F$1&lt;&gt;"",F$1,"NA"),'MITRE ATT&amp;CK Mappings'!$F289))),ISNUMBER(SEARCH(IF(F$2&lt;&gt;"",F$2,"NA"),'MITRE ATT&amp;CK Mappings'!$G289))),ISNUMBER(SEARCH(IF(F$2&lt;&gt;"",F$2,"NA"),'MITRE ATT&amp;CK Mappings'!$H289))),ISNUMBER(SEARCH(IF(F$3&lt;&gt;"",F$3,"NA"),'MITRE ATT&amp;CK Mappings'!$I289))),ISNUMBER(SEARCH(IF(F$3&lt;&gt;"",F$3,"NA"),'MITRE ATT&amp;CK Mappings'!$J289))), 'MITRE ATT&amp;CK Mappings'!$B289,"")</f>
        <v/>
      </c>
      <c r="G293" s="27" t="str">
        <f>IF(OR(OR(OR(OR(OR(ISNUMBER(SEARCH(IF(G$1&lt;&gt;"",G$1,"NA"),'MITRE ATT&amp;CK Mappings'!$E289)),ISNUMBER(SEARCH(IF(G$1&lt;&gt;"",G$1,"NA"),'MITRE ATT&amp;CK Mappings'!$F289))),ISNUMBER(SEARCH(IF(G$2&lt;&gt;"",G$2,"NA"),'MITRE ATT&amp;CK Mappings'!$G289))),ISNUMBER(SEARCH(IF(G$2&lt;&gt;"",G$2,"NA"),'MITRE ATT&amp;CK Mappings'!$H289))),ISNUMBER(SEARCH(IF(G$3&lt;&gt;"",G$3,"NA"),'MITRE ATT&amp;CK Mappings'!$I289))),ISNUMBER(SEARCH(IF(G$3&lt;&gt;"",G$3,"NA"),'MITRE ATT&amp;CK Mappings'!$J289))), 'MITRE ATT&amp;CK Mappings'!$B289,"")</f>
        <v/>
      </c>
      <c r="H293" s="27" t="str">
        <f>IF(OR(OR(OR(OR(OR(ISNUMBER(SEARCH(IF(H$1&lt;&gt;"",H$1,"NA"),'MITRE ATT&amp;CK Mappings'!$E289)),ISNUMBER(SEARCH(IF(H$1&lt;&gt;"",H$1,"NA"),'MITRE ATT&amp;CK Mappings'!$F289))),ISNUMBER(SEARCH(IF(H$2&lt;&gt;"",H$2,"NA"),'MITRE ATT&amp;CK Mappings'!$G289))),ISNUMBER(SEARCH(IF(H$2&lt;&gt;"",H$2,"NA"),'MITRE ATT&amp;CK Mappings'!$H289))),ISNUMBER(SEARCH(IF(H$3&lt;&gt;"",H$3,"NA"),'MITRE ATT&amp;CK Mappings'!$I289))),ISNUMBER(SEARCH(IF(H$3&lt;&gt;"",H$3,"NA"),'MITRE ATT&amp;CK Mappings'!$J289))), 'MITRE ATT&amp;CK Mappings'!$B289,"")</f>
        <v/>
      </c>
      <c r="I293" s="27" t="str">
        <f>IF(OR(OR(OR(OR(OR(ISNUMBER(SEARCH(IF(I$1&lt;&gt;"",I$1,"NA"),'MITRE ATT&amp;CK Mappings'!$E289)),ISNUMBER(SEARCH(IF(I$1&lt;&gt;"",I$1,"NA"),'MITRE ATT&amp;CK Mappings'!$F289))),ISNUMBER(SEARCH(IF(I$2&lt;&gt;"",I$2,"NA"),'MITRE ATT&amp;CK Mappings'!$G289))),ISNUMBER(SEARCH(IF(I$2&lt;&gt;"",I$2,"NA"),'MITRE ATT&amp;CK Mappings'!$H289))),ISNUMBER(SEARCH(IF(I$3&lt;&gt;"",I$3,"NA"),'MITRE ATT&amp;CK Mappings'!$I289))),ISNUMBER(SEARCH(IF(I$3&lt;&gt;"",I$3,"NA"),'MITRE ATT&amp;CK Mappings'!$J289))), 'MITRE ATT&amp;CK Mappings'!$B289,"")</f>
        <v/>
      </c>
      <c r="J293" s="27" t="str">
        <f>IF(OR(OR(OR(OR(OR(ISNUMBER(SEARCH(IF(J$1&lt;&gt;"",J$1,"NA"),'MITRE ATT&amp;CK Mappings'!$E289)),ISNUMBER(SEARCH(IF(J$1&lt;&gt;"",J$1,"NA"),'MITRE ATT&amp;CK Mappings'!$F289))),ISNUMBER(SEARCH(IF(J$2&lt;&gt;"",J$2,"NA"),'MITRE ATT&amp;CK Mappings'!$G289))),ISNUMBER(SEARCH(IF(J$2&lt;&gt;"",J$2,"NA"),'MITRE ATT&amp;CK Mappings'!$H289))),ISNUMBER(SEARCH(IF(J$3&lt;&gt;"",J$3,"NA"),'MITRE ATT&amp;CK Mappings'!$I289))),ISNUMBER(SEARCH(IF(J$3&lt;&gt;"",J$3,"NA"),'MITRE ATT&amp;CK Mappings'!$J289))), 'MITRE ATT&amp;CK Mappings'!$B289,"")</f>
        <v/>
      </c>
      <c r="K293" s="27" t="str">
        <f>IF(OR(OR(OR(OR(OR(ISNUMBER(SEARCH(IF(K$1&lt;&gt;"",K$1,"NA"),'MITRE ATT&amp;CK Mappings'!$E289)),ISNUMBER(SEARCH(IF(K$1&lt;&gt;"",K$1,"NA"),'MITRE ATT&amp;CK Mappings'!$F289))),ISNUMBER(SEARCH(IF(K$2&lt;&gt;"",K$2,"NA"),'MITRE ATT&amp;CK Mappings'!$G289))),ISNUMBER(SEARCH(IF(K$2&lt;&gt;"",K$2,"NA"),'MITRE ATT&amp;CK Mappings'!$H289))),ISNUMBER(SEARCH(IF(K$3&lt;&gt;"",K$3,"NA"),'MITRE ATT&amp;CK Mappings'!$I289))),ISNUMBER(SEARCH(IF(K$3&lt;&gt;"",K$3,"NA"),'MITRE ATT&amp;CK Mappings'!$J289))), 'MITRE ATT&amp;CK Mappings'!$B289,"")</f>
        <v/>
      </c>
      <c r="L293" s="27" t="str">
        <f>IF('MITRE ATT&amp;CK Mappings'!D289 &lt;&gt;"",'MITRE ATT&amp;CK Mappings'!D289,"" )</f>
        <v/>
      </c>
    </row>
    <row r="294" spans="1:12" x14ac:dyDescent="0.25">
      <c r="A294" s="26" t="str">
        <f>IF(COUNTIF(B294:K294,"="&amp;'MITRE ATT&amp;CK Mappings'!B290)&gt;0,'MITRE ATT&amp;CK Mappings'!B290,"")</f>
        <v/>
      </c>
      <c r="B294" s="26" t="str">
        <f>IF(OR(OR(OR(OR(OR(ISNUMBER(SEARCH(IF(B$1&lt;&gt;"",B$1,"NA"),'MITRE ATT&amp;CK Mappings'!$E290)),ISNUMBER(SEARCH(IF(B$1&lt;&gt;"",B$1,"NA"),'MITRE ATT&amp;CK Mappings'!$F290))),ISNUMBER(SEARCH(IF(B$2&lt;&gt;"",B$2,"NA"),'MITRE ATT&amp;CK Mappings'!$G290))),ISNUMBER(SEARCH(IF(B$2&lt;&gt;"",B$2,"NA"),'MITRE ATT&amp;CK Mappings'!$H290))),ISNUMBER(SEARCH(IF(B$3&lt;&gt;"",B$3,"NA"),'MITRE ATT&amp;CK Mappings'!$I290))),ISNUMBER(SEARCH(IF(B$3&lt;&gt;"",B$3,"NA"),'MITRE ATT&amp;CK Mappings'!$J290))), 'MITRE ATT&amp;CK Mappings'!$B290,"")</f>
        <v/>
      </c>
      <c r="C294" s="26" t="str">
        <f>IF(OR(OR(OR(OR(OR(ISNUMBER(SEARCH(IF(C$1&lt;&gt;"",C$1,"NA"),'MITRE ATT&amp;CK Mappings'!$E290)),ISNUMBER(SEARCH(IF(C$1&lt;&gt;"",C$1,"NA"),'MITRE ATT&amp;CK Mappings'!$F290))),ISNUMBER(SEARCH(IF(C$2&lt;&gt;"",C$2,"NA"),'MITRE ATT&amp;CK Mappings'!$G290))),ISNUMBER(SEARCH(IF(C$2&lt;&gt;"",C$2,"NA"),'MITRE ATT&amp;CK Mappings'!$H290))),ISNUMBER(SEARCH(IF(C$3&lt;&gt;"",C$3,"NA"),'MITRE ATT&amp;CK Mappings'!$I290))),ISNUMBER(SEARCH(IF(C$3&lt;&gt;"",C$3,"NA"),'MITRE ATT&amp;CK Mappings'!$J290))), 'MITRE ATT&amp;CK Mappings'!$B290,"")</f>
        <v/>
      </c>
      <c r="D294" s="26" t="str">
        <f>IF(OR(OR(OR(OR(OR(ISNUMBER(SEARCH(IF(D$1&lt;&gt;"",D$1,"NA"),'MITRE ATT&amp;CK Mappings'!$E290)),ISNUMBER(SEARCH(IF(D$1&lt;&gt;"",D$1,"NA"),'MITRE ATT&amp;CK Mappings'!$F290))),ISNUMBER(SEARCH(IF(D$2&lt;&gt;"",D$2,"NA"),'MITRE ATT&amp;CK Mappings'!$G290))),ISNUMBER(SEARCH(IF(D$2&lt;&gt;"",D$2,"NA"),'MITRE ATT&amp;CK Mappings'!$H290))),ISNUMBER(SEARCH(IF(D$3&lt;&gt;"",D$3,"NA"),'MITRE ATT&amp;CK Mappings'!$I290))),ISNUMBER(SEARCH(IF(D$3&lt;&gt;"",D$3,"NA"),'MITRE ATT&amp;CK Mappings'!$J290))), 'MITRE ATT&amp;CK Mappings'!$B290,"")</f>
        <v/>
      </c>
      <c r="E294" s="26" t="str">
        <f>IF(OR(OR(OR(OR(OR(ISNUMBER(SEARCH(IF(E$1&lt;&gt;"",E$1,"NA"),'MITRE ATT&amp;CK Mappings'!$E290)),ISNUMBER(SEARCH(IF(E$1&lt;&gt;"",E$1,"NA"),'MITRE ATT&amp;CK Mappings'!$F290))),ISNUMBER(SEARCH(IF(E$2&lt;&gt;"",E$2,"NA"),'MITRE ATT&amp;CK Mappings'!$G290))),ISNUMBER(SEARCH(IF(E$2&lt;&gt;"",E$2,"NA"),'MITRE ATT&amp;CK Mappings'!$H290))),ISNUMBER(SEARCH(IF(E$3&lt;&gt;"",E$3,"NA"),'MITRE ATT&amp;CK Mappings'!$I290))),ISNUMBER(SEARCH(IF(E$3&lt;&gt;"",E$3,"NA"),'MITRE ATT&amp;CK Mappings'!$J290))), 'MITRE ATT&amp;CK Mappings'!$B290,"")</f>
        <v/>
      </c>
      <c r="F294" s="26" t="str">
        <f>IF(OR(OR(OR(OR(OR(ISNUMBER(SEARCH(IF(F$1&lt;&gt;"",F$1,"NA"),'MITRE ATT&amp;CK Mappings'!$E290)),ISNUMBER(SEARCH(IF(F$1&lt;&gt;"",F$1,"NA"),'MITRE ATT&amp;CK Mappings'!$F290))),ISNUMBER(SEARCH(IF(F$2&lt;&gt;"",F$2,"NA"),'MITRE ATT&amp;CK Mappings'!$G290))),ISNUMBER(SEARCH(IF(F$2&lt;&gt;"",F$2,"NA"),'MITRE ATT&amp;CK Mappings'!$H290))),ISNUMBER(SEARCH(IF(F$3&lt;&gt;"",F$3,"NA"),'MITRE ATT&amp;CK Mappings'!$I290))),ISNUMBER(SEARCH(IF(F$3&lt;&gt;"",F$3,"NA"),'MITRE ATT&amp;CK Mappings'!$J290))), 'MITRE ATT&amp;CK Mappings'!$B290,"")</f>
        <v/>
      </c>
      <c r="G294" s="26" t="str">
        <f>IF(OR(OR(OR(OR(OR(ISNUMBER(SEARCH(IF(G$1&lt;&gt;"",G$1,"NA"),'MITRE ATT&amp;CK Mappings'!$E290)),ISNUMBER(SEARCH(IF(G$1&lt;&gt;"",G$1,"NA"),'MITRE ATT&amp;CK Mappings'!$F290))),ISNUMBER(SEARCH(IF(G$2&lt;&gt;"",G$2,"NA"),'MITRE ATT&amp;CK Mappings'!$G290))),ISNUMBER(SEARCH(IF(G$2&lt;&gt;"",G$2,"NA"),'MITRE ATT&amp;CK Mappings'!$H290))),ISNUMBER(SEARCH(IF(G$3&lt;&gt;"",G$3,"NA"),'MITRE ATT&amp;CK Mappings'!$I290))),ISNUMBER(SEARCH(IF(G$3&lt;&gt;"",G$3,"NA"),'MITRE ATT&amp;CK Mappings'!$J290))), 'MITRE ATT&amp;CK Mappings'!$B290,"")</f>
        <v/>
      </c>
      <c r="H294" s="26" t="str">
        <f>IF(OR(OR(OR(OR(OR(ISNUMBER(SEARCH(IF(H$1&lt;&gt;"",H$1,"NA"),'MITRE ATT&amp;CK Mappings'!$E290)),ISNUMBER(SEARCH(IF(H$1&lt;&gt;"",H$1,"NA"),'MITRE ATT&amp;CK Mappings'!$F290))),ISNUMBER(SEARCH(IF(H$2&lt;&gt;"",H$2,"NA"),'MITRE ATT&amp;CK Mappings'!$G290))),ISNUMBER(SEARCH(IF(H$2&lt;&gt;"",H$2,"NA"),'MITRE ATT&amp;CK Mappings'!$H290))),ISNUMBER(SEARCH(IF(H$3&lt;&gt;"",H$3,"NA"),'MITRE ATT&amp;CK Mappings'!$I290))),ISNUMBER(SEARCH(IF(H$3&lt;&gt;"",H$3,"NA"),'MITRE ATT&amp;CK Mappings'!$J290))), 'MITRE ATT&amp;CK Mappings'!$B290,"")</f>
        <v/>
      </c>
      <c r="I294" s="26" t="str">
        <f>IF(OR(OR(OR(OR(OR(ISNUMBER(SEARCH(IF(I$1&lt;&gt;"",I$1,"NA"),'MITRE ATT&amp;CK Mappings'!$E290)),ISNUMBER(SEARCH(IF(I$1&lt;&gt;"",I$1,"NA"),'MITRE ATT&amp;CK Mappings'!$F290))),ISNUMBER(SEARCH(IF(I$2&lt;&gt;"",I$2,"NA"),'MITRE ATT&amp;CK Mappings'!$G290))),ISNUMBER(SEARCH(IF(I$2&lt;&gt;"",I$2,"NA"),'MITRE ATT&amp;CK Mappings'!$H290))),ISNUMBER(SEARCH(IF(I$3&lt;&gt;"",I$3,"NA"),'MITRE ATT&amp;CK Mappings'!$I290))),ISNUMBER(SEARCH(IF(I$3&lt;&gt;"",I$3,"NA"),'MITRE ATT&amp;CK Mappings'!$J290))), 'MITRE ATT&amp;CK Mappings'!$B290,"")</f>
        <v/>
      </c>
      <c r="J294" s="26" t="str">
        <f>IF(OR(OR(OR(OR(OR(ISNUMBER(SEARCH(IF(J$1&lt;&gt;"",J$1,"NA"),'MITRE ATT&amp;CK Mappings'!$E290)),ISNUMBER(SEARCH(IF(J$1&lt;&gt;"",J$1,"NA"),'MITRE ATT&amp;CK Mappings'!$F290))),ISNUMBER(SEARCH(IF(J$2&lt;&gt;"",J$2,"NA"),'MITRE ATT&amp;CK Mappings'!$G290))),ISNUMBER(SEARCH(IF(J$2&lt;&gt;"",J$2,"NA"),'MITRE ATT&amp;CK Mappings'!$H290))),ISNUMBER(SEARCH(IF(J$3&lt;&gt;"",J$3,"NA"),'MITRE ATT&amp;CK Mappings'!$I290))),ISNUMBER(SEARCH(IF(J$3&lt;&gt;"",J$3,"NA"),'MITRE ATT&amp;CK Mappings'!$J290))), 'MITRE ATT&amp;CK Mappings'!$B290,"")</f>
        <v/>
      </c>
      <c r="K294" s="26" t="str">
        <f>IF(OR(OR(OR(OR(OR(ISNUMBER(SEARCH(IF(K$1&lt;&gt;"",K$1,"NA"),'MITRE ATT&amp;CK Mappings'!$E290)),ISNUMBER(SEARCH(IF(K$1&lt;&gt;"",K$1,"NA"),'MITRE ATT&amp;CK Mappings'!$F290))),ISNUMBER(SEARCH(IF(K$2&lt;&gt;"",K$2,"NA"),'MITRE ATT&amp;CK Mappings'!$G290))),ISNUMBER(SEARCH(IF(K$2&lt;&gt;"",K$2,"NA"),'MITRE ATT&amp;CK Mappings'!$H290))),ISNUMBER(SEARCH(IF(K$3&lt;&gt;"",K$3,"NA"),'MITRE ATT&amp;CK Mappings'!$I290))),ISNUMBER(SEARCH(IF(K$3&lt;&gt;"",K$3,"NA"),'MITRE ATT&amp;CK Mappings'!$J290))), 'MITRE ATT&amp;CK Mappings'!$B290,"")</f>
        <v/>
      </c>
      <c r="L294" s="26" t="str">
        <f>IF('MITRE ATT&amp;CK Mappings'!D290 &lt;&gt;"",'MITRE ATT&amp;CK Mappings'!D290,"" )</f>
        <v/>
      </c>
    </row>
    <row r="295" spans="1:12" x14ac:dyDescent="0.25">
      <c r="A295" s="27" t="str">
        <f>IF(COUNTIF(B295:K295,"="&amp;'MITRE ATT&amp;CK Mappings'!B291)&gt;0,'MITRE ATT&amp;CK Mappings'!B291,"")</f>
        <v/>
      </c>
      <c r="B295" s="27" t="str">
        <f>IF(OR(OR(OR(OR(OR(ISNUMBER(SEARCH(IF(B$1&lt;&gt;"",B$1,"NA"),'MITRE ATT&amp;CK Mappings'!$E291)),ISNUMBER(SEARCH(IF(B$1&lt;&gt;"",B$1,"NA"),'MITRE ATT&amp;CK Mappings'!$F291))),ISNUMBER(SEARCH(IF(B$2&lt;&gt;"",B$2,"NA"),'MITRE ATT&amp;CK Mappings'!$G291))),ISNUMBER(SEARCH(IF(B$2&lt;&gt;"",B$2,"NA"),'MITRE ATT&amp;CK Mappings'!$H291))),ISNUMBER(SEARCH(IF(B$3&lt;&gt;"",B$3,"NA"),'MITRE ATT&amp;CK Mappings'!$I291))),ISNUMBER(SEARCH(IF(B$3&lt;&gt;"",B$3,"NA"),'MITRE ATT&amp;CK Mappings'!$J291))), 'MITRE ATT&amp;CK Mappings'!$B291,"")</f>
        <v/>
      </c>
      <c r="C295" s="27" t="str">
        <f>IF(OR(OR(OR(OR(OR(ISNUMBER(SEARCH(IF(C$1&lt;&gt;"",C$1,"NA"),'MITRE ATT&amp;CK Mappings'!$E291)),ISNUMBER(SEARCH(IF(C$1&lt;&gt;"",C$1,"NA"),'MITRE ATT&amp;CK Mappings'!$F291))),ISNUMBER(SEARCH(IF(C$2&lt;&gt;"",C$2,"NA"),'MITRE ATT&amp;CK Mappings'!$G291))),ISNUMBER(SEARCH(IF(C$2&lt;&gt;"",C$2,"NA"),'MITRE ATT&amp;CK Mappings'!$H291))),ISNUMBER(SEARCH(IF(C$3&lt;&gt;"",C$3,"NA"),'MITRE ATT&amp;CK Mappings'!$I291))),ISNUMBER(SEARCH(IF(C$3&lt;&gt;"",C$3,"NA"),'MITRE ATT&amp;CK Mappings'!$J291))), 'MITRE ATT&amp;CK Mappings'!$B291,"")</f>
        <v/>
      </c>
      <c r="D295" s="27" t="str">
        <f>IF(OR(OR(OR(OR(OR(ISNUMBER(SEARCH(IF(D$1&lt;&gt;"",D$1,"NA"),'MITRE ATT&amp;CK Mappings'!$E291)),ISNUMBER(SEARCH(IF(D$1&lt;&gt;"",D$1,"NA"),'MITRE ATT&amp;CK Mappings'!$F291))),ISNUMBER(SEARCH(IF(D$2&lt;&gt;"",D$2,"NA"),'MITRE ATT&amp;CK Mappings'!$G291))),ISNUMBER(SEARCH(IF(D$2&lt;&gt;"",D$2,"NA"),'MITRE ATT&amp;CK Mappings'!$H291))),ISNUMBER(SEARCH(IF(D$3&lt;&gt;"",D$3,"NA"),'MITRE ATT&amp;CK Mappings'!$I291))),ISNUMBER(SEARCH(IF(D$3&lt;&gt;"",D$3,"NA"),'MITRE ATT&amp;CK Mappings'!$J291))), 'MITRE ATT&amp;CK Mappings'!$B291,"")</f>
        <v/>
      </c>
      <c r="E295" s="27" t="str">
        <f>IF(OR(OR(OR(OR(OR(ISNUMBER(SEARCH(IF(E$1&lt;&gt;"",E$1,"NA"),'MITRE ATT&amp;CK Mappings'!$E291)),ISNUMBER(SEARCH(IF(E$1&lt;&gt;"",E$1,"NA"),'MITRE ATT&amp;CK Mappings'!$F291))),ISNUMBER(SEARCH(IF(E$2&lt;&gt;"",E$2,"NA"),'MITRE ATT&amp;CK Mappings'!$G291))),ISNUMBER(SEARCH(IF(E$2&lt;&gt;"",E$2,"NA"),'MITRE ATT&amp;CK Mappings'!$H291))),ISNUMBER(SEARCH(IF(E$3&lt;&gt;"",E$3,"NA"),'MITRE ATT&amp;CK Mappings'!$I291))),ISNUMBER(SEARCH(IF(E$3&lt;&gt;"",E$3,"NA"),'MITRE ATT&amp;CK Mappings'!$J291))), 'MITRE ATT&amp;CK Mappings'!$B291,"")</f>
        <v/>
      </c>
      <c r="F295" s="27" t="str">
        <f>IF(OR(OR(OR(OR(OR(ISNUMBER(SEARCH(IF(F$1&lt;&gt;"",F$1,"NA"),'MITRE ATT&amp;CK Mappings'!$E291)),ISNUMBER(SEARCH(IF(F$1&lt;&gt;"",F$1,"NA"),'MITRE ATT&amp;CK Mappings'!$F291))),ISNUMBER(SEARCH(IF(F$2&lt;&gt;"",F$2,"NA"),'MITRE ATT&amp;CK Mappings'!$G291))),ISNUMBER(SEARCH(IF(F$2&lt;&gt;"",F$2,"NA"),'MITRE ATT&amp;CK Mappings'!$H291))),ISNUMBER(SEARCH(IF(F$3&lt;&gt;"",F$3,"NA"),'MITRE ATT&amp;CK Mappings'!$I291))),ISNUMBER(SEARCH(IF(F$3&lt;&gt;"",F$3,"NA"),'MITRE ATT&amp;CK Mappings'!$J291))), 'MITRE ATT&amp;CK Mappings'!$B291,"")</f>
        <v/>
      </c>
      <c r="G295" s="27" t="str">
        <f>IF(OR(OR(OR(OR(OR(ISNUMBER(SEARCH(IF(G$1&lt;&gt;"",G$1,"NA"),'MITRE ATT&amp;CK Mappings'!$E291)),ISNUMBER(SEARCH(IF(G$1&lt;&gt;"",G$1,"NA"),'MITRE ATT&amp;CK Mappings'!$F291))),ISNUMBER(SEARCH(IF(G$2&lt;&gt;"",G$2,"NA"),'MITRE ATT&amp;CK Mappings'!$G291))),ISNUMBER(SEARCH(IF(G$2&lt;&gt;"",G$2,"NA"),'MITRE ATT&amp;CK Mappings'!$H291))),ISNUMBER(SEARCH(IF(G$3&lt;&gt;"",G$3,"NA"),'MITRE ATT&amp;CK Mappings'!$I291))),ISNUMBER(SEARCH(IF(G$3&lt;&gt;"",G$3,"NA"),'MITRE ATT&amp;CK Mappings'!$J291))), 'MITRE ATT&amp;CK Mappings'!$B291,"")</f>
        <v/>
      </c>
      <c r="H295" s="27" t="str">
        <f>IF(OR(OR(OR(OR(OR(ISNUMBER(SEARCH(IF(H$1&lt;&gt;"",H$1,"NA"),'MITRE ATT&amp;CK Mappings'!$E291)),ISNUMBER(SEARCH(IF(H$1&lt;&gt;"",H$1,"NA"),'MITRE ATT&amp;CK Mappings'!$F291))),ISNUMBER(SEARCH(IF(H$2&lt;&gt;"",H$2,"NA"),'MITRE ATT&amp;CK Mappings'!$G291))),ISNUMBER(SEARCH(IF(H$2&lt;&gt;"",H$2,"NA"),'MITRE ATT&amp;CK Mappings'!$H291))),ISNUMBER(SEARCH(IF(H$3&lt;&gt;"",H$3,"NA"),'MITRE ATT&amp;CK Mappings'!$I291))),ISNUMBER(SEARCH(IF(H$3&lt;&gt;"",H$3,"NA"),'MITRE ATT&amp;CK Mappings'!$J291))), 'MITRE ATT&amp;CK Mappings'!$B291,"")</f>
        <v/>
      </c>
      <c r="I295" s="27" t="str">
        <f>IF(OR(OR(OR(OR(OR(ISNUMBER(SEARCH(IF(I$1&lt;&gt;"",I$1,"NA"),'MITRE ATT&amp;CK Mappings'!$E291)),ISNUMBER(SEARCH(IF(I$1&lt;&gt;"",I$1,"NA"),'MITRE ATT&amp;CK Mappings'!$F291))),ISNUMBER(SEARCH(IF(I$2&lt;&gt;"",I$2,"NA"),'MITRE ATT&amp;CK Mappings'!$G291))),ISNUMBER(SEARCH(IF(I$2&lt;&gt;"",I$2,"NA"),'MITRE ATT&amp;CK Mappings'!$H291))),ISNUMBER(SEARCH(IF(I$3&lt;&gt;"",I$3,"NA"),'MITRE ATT&amp;CK Mappings'!$I291))),ISNUMBER(SEARCH(IF(I$3&lt;&gt;"",I$3,"NA"),'MITRE ATT&amp;CK Mappings'!$J291))), 'MITRE ATT&amp;CK Mappings'!$B291,"")</f>
        <v/>
      </c>
      <c r="J295" s="27" t="str">
        <f>IF(OR(OR(OR(OR(OR(ISNUMBER(SEARCH(IF(J$1&lt;&gt;"",J$1,"NA"),'MITRE ATT&amp;CK Mappings'!$E291)),ISNUMBER(SEARCH(IF(J$1&lt;&gt;"",J$1,"NA"),'MITRE ATT&amp;CK Mappings'!$F291))),ISNUMBER(SEARCH(IF(J$2&lt;&gt;"",J$2,"NA"),'MITRE ATT&amp;CK Mappings'!$G291))),ISNUMBER(SEARCH(IF(J$2&lt;&gt;"",J$2,"NA"),'MITRE ATT&amp;CK Mappings'!$H291))),ISNUMBER(SEARCH(IF(J$3&lt;&gt;"",J$3,"NA"),'MITRE ATT&amp;CK Mappings'!$I291))),ISNUMBER(SEARCH(IF(J$3&lt;&gt;"",J$3,"NA"),'MITRE ATT&amp;CK Mappings'!$J291))), 'MITRE ATT&amp;CK Mappings'!$B291,"")</f>
        <v/>
      </c>
      <c r="K295" s="27" t="str">
        <f>IF(OR(OR(OR(OR(OR(ISNUMBER(SEARCH(IF(K$1&lt;&gt;"",K$1,"NA"),'MITRE ATT&amp;CK Mappings'!$E291)),ISNUMBER(SEARCH(IF(K$1&lt;&gt;"",K$1,"NA"),'MITRE ATT&amp;CK Mappings'!$F291))),ISNUMBER(SEARCH(IF(K$2&lt;&gt;"",K$2,"NA"),'MITRE ATT&amp;CK Mappings'!$G291))),ISNUMBER(SEARCH(IF(K$2&lt;&gt;"",K$2,"NA"),'MITRE ATT&amp;CK Mappings'!$H291))),ISNUMBER(SEARCH(IF(K$3&lt;&gt;"",K$3,"NA"),'MITRE ATT&amp;CK Mappings'!$I291))),ISNUMBER(SEARCH(IF(K$3&lt;&gt;"",K$3,"NA"),'MITRE ATT&amp;CK Mappings'!$J291))), 'MITRE ATT&amp;CK Mappings'!$B291,"")</f>
        <v/>
      </c>
      <c r="L295" s="27" t="str">
        <f>IF('MITRE ATT&amp;CK Mappings'!D291 &lt;&gt;"",'MITRE ATT&amp;CK Mappings'!D291,"" )</f>
        <v/>
      </c>
    </row>
    <row r="296" spans="1:12" x14ac:dyDescent="0.25">
      <c r="A296" s="26" t="str">
        <f>IF(COUNTIF(B296:K296,"="&amp;'MITRE ATT&amp;CK Mappings'!B292)&gt;0,'MITRE ATT&amp;CK Mappings'!B292,"")</f>
        <v/>
      </c>
      <c r="B296" s="26" t="str">
        <f>IF(OR(OR(OR(OR(OR(ISNUMBER(SEARCH(IF(B$1&lt;&gt;"",B$1,"NA"),'MITRE ATT&amp;CK Mappings'!$E292)),ISNUMBER(SEARCH(IF(B$1&lt;&gt;"",B$1,"NA"),'MITRE ATT&amp;CK Mappings'!$F292))),ISNUMBER(SEARCH(IF(B$2&lt;&gt;"",B$2,"NA"),'MITRE ATT&amp;CK Mappings'!$G292))),ISNUMBER(SEARCH(IF(B$2&lt;&gt;"",B$2,"NA"),'MITRE ATT&amp;CK Mappings'!$H292))),ISNUMBER(SEARCH(IF(B$3&lt;&gt;"",B$3,"NA"),'MITRE ATT&amp;CK Mappings'!$I292))),ISNUMBER(SEARCH(IF(B$3&lt;&gt;"",B$3,"NA"),'MITRE ATT&amp;CK Mappings'!$J292))), 'MITRE ATT&amp;CK Mappings'!$B292,"")</f>
        <v/>
      </c>
      <c r="C296" s="26" t="str">
        <f>IF(OR(OR(OR(OR(OR(ISNUMBER(SEARCH(IF(C$1&lt;&gt;"",C$1,"NA"),'MITRE ATT&amp;CK Mappings'!$E292)),ISNUMBER(SEARCH(IF(C$1&lt;&gt;"",C$1,"NA"),'MITRE ATT&amp;CK Mappings'!$F292))),ISNUMBER(SEARCH(IF(C$2&lt;&gt;"",C$2,"NA"),'MITRE ATT&amp;CK Mappings'!$G292))),ISNUMBER(SEARCH(IF(C$2&lt;&gt;"",C$2,"NA"),'MITRE ATT&amp;CK Mappings'!$H292))),ISNUMBER(SEARCH(IF(C$3&lt;&gt;"",C$3,"NA"),'MITRE ATT&amp;CK Mappings'!$I292))),ISNUMBER(SEARCH(IF(C$3&lt;&gt;"",C$3,"NA"),'MITRE ATT&amp;CK Mappings'!$J292))), 'MITRE ATT&amp;CK Mappings'!$B292,"")</f>
        <v/>
      </c>
      <c r="D296" s="26" t="str">
        <f>IF(OR(OR(OR(OR(OR(ISNUMBER(SEARCH(IF(D$1&lt;&gt;"",D$1,"NA"),'MITRE ATT&amp;CK Mappings'!$E292)),ISNUMBER(SEARCH(IF(D$1&lt;&gt;"",D$1,"NA"),'MITRE ATT&amp;CK Mappings'!$F292))),ISNUMBER(SEARCH(IF(D$2&lt;&gt;"",D$2,"NA"),'MITRE ATT&amp;CK Mappings'!$G292))),ISNUMBER(SEARCH(IF(D$2&lt;&gt;"",D$2,"NA"),'MITRE ATT&amp;CK Mappings'!$H292))),ISNUMBER(SEARCH(IF(D$3&lt;&gt;"",D$3,"NA"),'MITRE ATT&amp;CK Mappings'!$I292))),ISNUMBER(SEARCH(IF(D$3&lt;&gt;"",D$3,"NA"),'MITRE ATT&amp;CK Mappings'!$J292))), 'MITRE ATT&amp;CK Mappings'!$B292,"")</f>
        <v/>
      </c>
      <c r="E296" s="26" t="str">
        <f>IF(OR(OR(OR(OR(OR(ISNUMBER(SEARCH(IF(E$1&lt;&gt;"",E$1,"NA"),'MITRE ATT&amp;CK Mappings'!$E292)),ISNUMBER(SEARCH(IF(E$1&lt;&gt;"",E$1,"NA"),'MITRE ATT&amp;CK Mappings'!$F292))),ISNUMBER(SEARCH(IF(E$2&lt;&gt;"",E$2,"NA"),'MITRE ATT&amp;CK Mappings'!$G292))),ISNUMBER(SEARCH(IF(E$2&lt;&gt;"",E$2,"NA"),'MITRE ATT&amp;CK Mappings'!$H292))),ISNUMBER(SEARCH(IF(E$3&lt;&gt;"",E$3,"NA"),'MITRE ATT&amp;CK Mappings'!$I292))),ISNUMBER(SEARCH(IF(E$3&lt;&gt;"",E$3,"NA"),'MITRE ATT&amp;CK Mappings'!$J292))), 'MITRE ATT&amp;CK Mappings'!$B292,"")</f>
        <v/>
      </c>
      <c r="F296" s="26" t="str">
        <f>IF(OR(OR(OR(OR(OR(ISNUMBER(SEARCH(IF(F$1&lt;&gt;"",F$1,"NA"),'MITRE ATT&amp;CK Mappings'!$E292)),ISNUMBER(SEARCH(IF(F$1&lt;&gt;"",F$1,"NA"),'MITRE ATT&amp;CK Mappings'!$F292))),ISNUMBER(SEARCH(IF(F$2&lt;&gt;"",F$2,"NA"),'MITRE ATT&amp;CK Mappings'!$G292))),ISNUMBER(SEARCH(IF(F$2&lt;&gt;"",F$2,"NA"),'MITRE ATT&amp;CK Mappings'!$H292))),ISNUMBER(SEARCH(IF(F$3&lt;&gt;"",F$3,"NA"),'MITRE ATT&amp;CK Mappings'!$I292))),ISNUMBER(SEARCH(IF(F$3&lt;&gt;"",F$3,"NA"),'MITRE ATT&amp;CK Mappings'!$J292))), 'MITRE ATT&amp;CK Mappings'!$B292,"")</f>
        <v/>
      </c>
      <c r="G296" s="26" t="str">
        <f>IF(OR(OR(OR(OR(OR(ISNUMBER(SEARCH(IF(G$1&lt;&gt;"",G$1,"NA"),'MITRE ATT&amp;CK Mappings'!$E292)),ISNUMBER(SEARCH(IF(G$1&lt;&gt;"",G$1,"NA"),'MITRE ATT&amp;CK Mappings'!$F292))),ISNUMBER(SEARCH(IF(G$2&lt;&gt;"",G$2,"NA"),'MITRE ATT&amp;CK Mappings'!$G292))),ISNUMBER(SEARCH(IF(G$2&lt;&gt;"",G$2,"NA"),'MITRE ATT&amp;CK Mappings'!$H292))),ISNUMBER(SEARCH(IF(G$3&lt;&gt;"",G$3,"NA"),'MITRE ATT&amp;CK Mappings'!$I292))),ISNUMBER(SEARCH(IF(G$3&lt;&gt;"",G$3,"NA"),'MITRE ATT&amp;CK Mappings'!$J292))), 'MITRE ATT&amp;CK Mappings'!$B292,"")</f>
        <v/>
      </c>
      <c r="H296" s="26" t="str">
        <f>IF(OR(OR(OR(OR(OR(ISNUMBER(SEARCH(IF(H$1&lt;&gt;"",H$1,"NA"),'MITRE ATT&amp;CK Mappings'!$E292)),ISNUMBER(SEARCH(IF(H$1&lt;&gt;"",H$1,"NA"),'MITRE ATT&amp;CK Mappings'!$F292))),ISNUMBER(SEARCH(IF(H$2&lt;&gt;"",H$2,"NA"),'MITRE ATT&amp;CK Mappings'!$G292))),ISNUMBER(SEARCH(IF(H$2&lt;&gt;"",H$2,"NA"),'MITRE ATT&amp;CK Mappings'!$H292))),ISNUMBER(SEARCH(IF(H$3&lt;&gt;"",H$3,"NA"),'MITRE ATT&amp;CK Mappings'!$I292))),ISNUMBER(SEARCH(IF(H$3&lt;&gt;"",H$3,"NA"),'MITRE ATT&amp;CK Mappings'!$J292))), 'MITRE ATT&amp;CK Mappings'!$B292,"")</f>
        <v/>
      </c>
      <c r="I296" s="26" t="str">
        <f>IF(OR(OR(OR(OR(OR(ISNUMBER(SEARCH(IF(I$1&lt;&gt;"",I$1,"NA"),'MITRE ATT&amp;CK Mappings'!$E292)),ISNUMBER(SEARCH(IF(I$1&lt;&gt;"",I$1,"NA"),'MITRE ATT&amp;CK Mappings'!$F292))),ISNUMBER(SEARCH(IF(I$2&lt;&gt;"",I$2,"NA"),'MITRE ATT&amp;CK Mappings'!$G292))),ISNUMBER(SEARCH(IF(I$2&lt;&gt;"",I$2,"NA"),'MITRE ATT&amp;CK Mappings'!$H292))),ISNUMBER(SEARCH(IF(I$3&lt;&gt;"",I$3,"NA"),'MITRE ATT&amp;CK Mappings'!$I292))),ISNUMBER(SEARCH(IF(I$3&lt;&gt;"",I$3,"NA"),'MITRE ATT&amp;CK Mappings'!$J292))), 'MITRE ATT&amp;CK Mappings'!$B292,"")</f>
        <v/>
      </c>
      <c r="J296" s="26" t="str">
        <f>IF(OR(OR(OR(OR(OR(ISNUMBER(SEARCH(IF(J$1&lt;&gt;"",J$1,"NA"),'MITRE ATT&amp;CK Mappings'!$E292)),ISNUMBER(SEARCH(IF(J$1&lt;&gt;"",J$1,"NA"),'MITRE ATT&amp;CK Mappings'!$F292))),ISNUMBER(SEARCH(IF(J$2&lt;&gt;"",J$2,"NA"),'MITRE ATT&amp;CK Mappings'!$G292))),ISNUMBER(SEARCH(IF(J$2&lt;&gt;"",J$2,"NA"),'MITRE ATT&amp;CK Mappings'!$H292))),ISNUMBER(SEARCH(IF(J$3&lt;&gt;"",J$3,"NA"),'MITRE ATT&amp;CK Mappings'!$I292))),ISNUMBER(SEARCH(IF(J$3&lt;&gt;"",J$3,"NA"),'MITRE ATT&amp;CK Mappings'!$J292))), 'MITRE ATT&amp;CK Mappings'!$B292,"")</f>
        <v/>
      </c>
      <c r="K296" s="26" t="str">
        <f>IF(OR(OR(OR(OR(OR(ISNUMBER(SEARCH(IF(K$1&lt;&gt;"",K$1,"NA"),'MITRE ATT&amp;CK Mappings'!$E292)),ISNUMBER(SEARCH(IF(K$1&lt;&gt;"",K$1,"NA"),'MITRE ATT&amp;CK Mappings'!$F292))),ISNUMBER(SEARCH(IF(K$2&lt;&gt;"",K$2,"NA"),'MITRE ATT&amp;CK Mappings'!$G292))),ISNUMBER(SEARCH(IF(K$2&lt;&gt;"",K$2,"NA"),'MITRE ATT&amp;CK Mappings'!$H292))),ISNUMBER(SEARCH(IF(K$3&lt;&gt;"",K$3,"NA"),'MITRE ATT&amp;CK Mappings'!$I292))),ISNUMBER(SEARCH(IF(K$3&lt;&gt;"",K$3,"NA"),'MITRE ATT&amp;CK Mappings'!$J292))), 'MITRE ATT&amp;CK Mappings'!$B292,"")</f>
        <v/>
      </c>
      <c r="L296" s="26" t="str">
        <f>IF('MITRE ATT&amp;CK Mappings'!D292 &lt;&gt;"",'MITRE ATT&amp;CK Mappings'!D292,"" )</f>
        <v/>
      </c>
    </row>
    <row r="297" spans="1:12" x14ac:dyDescent="0.25">
      <c r="A297" s="27" t="str">
        <f>IF(COUNTIF(B297:K297,"="&amp;'MITRE ATT&amp;CK Mappings'!B293)&gt;0,'MITRE ATT&amp;CK Mappings'!B293,"")</f>
        <v/>
      </c>
      <c r="B297" s="27" t="str">
        <f>IF(OR(OR(OR(OR(OR(ISNUMBER(SEARCH(IF(B$1&lt;&gt;"",B$1,"NA"),'MITRE ATT&amp;CK Mappings'!$E293)),ISNUMBER(SEARCH(IF(B$1&lt;&gt;"",B$1,"NA"),'MITRE ATT&amp;CK Mappings'!$F293))),ISNUMBER(SEARCH(IF(B$2&lt;&gt;"",B$2,"NA"),'MITRE ATT&amp;CK Mappings'!$G293))),ISNUMBER(SEARCH(IF(B$2&lt;&gt;"",B$2,"NA"),'MITRE ATT&amp;CK Mappings'!$H293))),ISNUMBER(SEARCH(IF(B$3&lt;&gt;"",B$3,"NA"),'MITRE ATT&amp;CK Mappings'!$I293))),ISNUMBER(SEARCH(IF(B$3&lt;&gt;"",B$3,"NA"),'MITRE ATT&amp;CK Mappings'!$J293))), 'MITRE ATT&amp;CK Mappings'!$B293,"")</f>
        <v/>
      </c>
      <c r="C297" s="27" t="str">
        <f>IF(OR(OR(OR(OR(OR(ISNUMBER(SEARCH(IF(C$1&lt;&gt;"",C$1,"NA"),'MITRE ATT&amp;CK Mappings'!$E293)),ISNUMBER(SEARCH(IF(C$1&lt;&gt;"",C$1,"NA"),'MITRE ATT&amp;CK Mappings'!$F293))),ISNUMBER(SEARCH(IF(C$2&lt;&gt;"",C$2,"NA"),'MITRE ATT&amp;CK Mappings'!$G293))),ISNUMBER(SEARCH(IF(C$2&lt;&gt;"",C$2,"NA"),'MITRE ATT&amp;CK Mappings'!$H293))),ISNUMBER(SEARCH(IF(C$3&lt;&gt;"",C$3,"NA"),'MITRE ATT&amp;CK Mappings'!$I293))),ISNUMBER(SEARCH(IF(C$3&lt;&gt;"",C$3,"NA"),'MITRE ATT&amp;CK Mappings'!$J293))), 'MITRE ATT&amp;CK Mappings'!$B293,"")</f>
        <v/>
      </c>
      <c r="D297" s="27" t="str">
        <f>IF(OR(OR(OR(OR(OR(ISNUMBER(SEARCH(IF(D$1&lt;&gt;"",D$1,"NA"),'MITRE ATT&amp;CK Mappings'!$E293)),ISNUMBER(SEARCH(IF(D$1&lt;&gt;"",D$1,"NA"),'MITRE ATT&amp;CK Mappings'!$F293))),ISNUMBER(SEARCH(IF(D$2&lt;&gt;"",D$2,"NA"),'MITRE ATT&amp;CK Mappings'!$G293))),ISNUMBER(SEARCH(IF(D$2&lt;&gt;"",D$2,"NA"),'MITRE ATT&amp;CK Mappings'!$H293))),ISNUMBER(SEARCH(IF(D$3&lt;&gt;"",D$3,"NA"),'MITRE ATT&amp;CK Mappings'!$I293))),ISNUMBER(SEARCH(IF(D$3&lt;&gt;"",D$3,"NA"),'MITRE ATT&amp;CK Mappings'!$J293))), 'MITRE ATT&amp;CK Mappings'!$B293,"")</f>
        <v/>
      </c>
      <c r="E297" s="27" t="str">
        <f>IF(OR(OR(OR(OR(OR(ISNUMBER(SEARCH(IF(E$1&lt;&gt;"",E$1,"NA"),'MITRE ATT&amp;CK Mappings'!$E293)),ISNUMBER(SEARCH(IF(E$1&lt;&gt;"",E$1,"NA"),'MITRE ATT&amp;CK Mappings'!$F293))),ISNUMBER(SEARCH(IF(E$2&lt;&gt;"",E$2,"NA"),'MITRE ATT&amp;CK Mappings'!$G293))),ISNUMBER(SEARCH(IF(E$2&lt;&gt;"",E$2,"NA"),'MITRE ATT&amp;CK Mappings'!$H293))),ISNUMBER(SEARCH(IF(E$3&lt;&gt;"",E$3,"NA"),'MITRE ATT&amp;CK Mappings'!$I293))),ISNUMBER(SEARCH(IF(E$3&lt;&gt;"",E$3,"NA"),'MITRE ATT&amp;CK Mappings'!$J293))), 'MITRE ATT&amp;CK Mappings'!$B293,"")</f>
        <v/>
      </c>
      <c r="F297" s="27" t="str">
        <f>IF(OR(OR(OR(OR(OR(ISNUMBER(SEARCH(IF(F$1&lt;&gt;"",F$1,"NA"),'MITRE ATT&amp;CK Mappings'!$E293)),ISNUMBER(SEARCH(IF(F$1&lt;&gt;"",F$1,"NA"),'MITRE ATT&amp;CK Mappings'!$F293))),ISNUMBER(SEARCH(IF(F$2&lt;&gt;"",F$2,"NA"),'MITRE ATT&amp;CK Mappings'!$G293))),ISNUMBER(SEARCH(IF(F$2&lt;&gt;"",F$2,"NA"),'MITRE ATT&amp;CK Mappings'!$H293))),ISNUMBER(SEARCH(IF(F$3&lt;&gt;"",F$3,"NA"),'MITRE ATT&amp;CK Mappings'!$I293))),ISNUMBER(SEARCH(IF(F$3&lt;&gt;"",F$3,"NA"),'MITRE ATT&amp;CK Mappings'!$J293))), 'MITRE ATT&amp;CK Mappings'!$B293,"")</f>
        <v/>
      </c>
      <c r="G297" s="27" t="str">
        <f>IF(OR(OR(OR(OR(OR(ISNUMBER(SEARCH(IF(G$1&lt;&gt;"",G$1,"NA"),'MITRE ATT&amp;CK Mappings'!$E293)),ISNUMBER(SEARCH(IF(G$1&lt;&gt;"",G$1,"NA"),'MITRE ATT&amp;CK Mappings'!$F293))),ISNUMBER(SEARCH(IF(G$2&lt;&gt;"",G$2,"NA"),'MITRE ATT&amp;CK Mappings'!$G293))),ISNUMBER(SEARCH(IF(G$2&lt;&gt;"",G$2,"NA"),'MITRE ATT&amp;CK Mappings'!$H293))),ISNUMBER(SEARCH(IF(G$3&lt;&gt;"",G$3,"NA"),'MITRE ATT&amp;CK Mappings'!$I293))),ISNUMBER(SEARCH(IF(G$3&lt;&gt;"",G$3,"NA"),'MITRE ATT&amp;CK Mappings'!$J293))), 'MITRE ATT&amp;CK Mappings'!$B293,"")</f>
        <v/>
      </c>
      <c r="H297" s="27" t="str">
        <f>IF(OR(OR(OR(OR(OR(ISNUMBER(SEARCH(IF(H$1&lt;&gt;"",H$1,"NA"),'MITRE ATT&amp;CK Mappings'!$E293)),ISNUMBER(SEARCH(IF(H$1&lt;&gt;"",H$1,"NA"),'MITRE ATT&amp;CK Mappings'!$F293))),ISNUMBER(SEARCH(IF(H$2&lt;&gt;"",H$2,"NA"),'MITRE ATT&amp;CK Mappings'!$G293))),ISNUMBER(SEARCH(IF(H$2&lt;&gt;"",H$2,"NA"),'MITRE ATT&amp;CK Mappings'!$H293))),ISNUMBER(SEARCH(IF(H$3&lt;&gt;"",H$3,"NA"),'MITRE ATT&amp;CK Mappings'!$I293))),ISNUMBER(SEARCH(IF(H$3&lt;&gt;"",H$3,"NA"),'MITRE ATT&amp;CK Mappings'!$J293))), 'MITRE ATT&amp;CK Mappings'!$B293,"")</f>
        <v/>
      </c>
      <c r="I297" s="27" t="str">
        <f>IF(OR(OR(OR(OR(OR(ISNUMBER(SEARCH(IF(I$1&lt;&gt;"",I$1,"NA"),'MITRE ATT&amp;CK Mappings'!$E293)),ISNUMBER(SEARCH(IF(I$1&lt;&gt;"",I$1,"NA"),'MITRE ATT&amp;CK Mappings'!$F293))),ISNUMBER(SEARCH(IF(I$2&lt;&gt;"",I$2,"NA"),'MITRE ATT&amp;CK Mappings'!$G293))),ISNUMBER(SEARCH(IF(I$2&lt;&gt;"",I$2,"NA"),'MITRE ATT&amp;CK Mappings'!$H293))),ISNUMBER(SEARCH(IF(I$3&lt;&gt;"",I$3,"NA"),'MITRE ATT&amp;CK Mappings'!$I293))),ISNUMBER(SEARCH(IF(I$3&lt;&gt;"",I$3,"NA"),'MITRE ATT&amp;CK Mappings'!$J293))), 'MITRE ATT&amp;CK Mappings'!$B293,"")</f>
        <v/>
      </c>
      <c r="J297" s="27" t="str">
        <f>IF(OR(OR(OR(OR(OR(ISNUMBER(SEARCH(IF(J$1&lt;&gt;"",J$1,"NA"),'MITRE ATT&amp;CK Mappings'!$E293)),ISNUMBER(SEARCH(IF(J$1&lt;&gt;"",J$1,"NA"),'MITRE ATT&amp;CK Mappings'!$F293))),ISNUMBER(SEARCH(IF(J$2&lt;&gt;"",J$2,"NA"),'MITRE ATT&amp;CK Mappings'!$G293))),ISNUMBER(SEARCH(IF(J$2&lt;&gt;"",J$2,"NA"),'MITRE ATT&amp;CK Mappings'!$H293))),ISNUMBER(SEARCH(IF(J$3&lt;&gt;"",J$3,"NA"),'MITRE ATT&amp;CK Mappings'!$I293))),ISNUMBER(SEARCH(IF(J$3&lt;&gt;"",J$3,"NA"),'MITRE ATT&amp;CK Mappings'!$J293))), 'MITRE ATT&amp;CK Mappings'!$B293,"")</f>
        <v/>
      </c>
      <c r="K297" s="27" t="str">
        <f>IF(OR(OR(OR(OR(OR(ISNUMBER(SEARCH(IF(K$1&lt;&gt;"",K$1,"NA"),'MITRE ATT&amp;CK Mappings'!$E293)),ISNUMBER(SEARCH(IF(K$1&lt;&gt;"",K$1,"NA"),'MITRE ATT&amp;CK Mappings'!$F293))),ISNUMBER(SEARCH(IF(K$2&lt;&gt;"",K$2,"NA"),'MITRE ATT&amp;CK Mappings'!$G293))),ISNUMBER(SEARCH(IF(K$2&lt;&gt;"",K$2,"NA"),'MITRE ATT&amp;CK Mappings'!$H293))),ISNUMBER(SEARCH(IF(K$3&lt;&gt;"",K$3,"NA"),'MITRE ATT&amp;CK Mappings'!$I293))),ISNUMBER(SEARCH(IF(K$3&lt;&gt;"",K$3,"NA"),'MITRE ATT&amp;CK Mappings'!$J293))), 'MITRE ATT&amp;CK Mappings'!$B293,"")</f>
        <v/>
      </c>
      <c r="L297" s="27" t="str">
        <f>IF('MITRE ATT&amp;CK Mappings'!D293 &lt;&gt;"",'MITRE ATT&amp;CK Mappings'!D293,"" )</f>
        <v/>
      </c>
    </row>
    <row r="298" spans="1:12" x14ac:dyDescent="0.25">
      <c r="A298" s="26" t="str">
        <f>IF(COUNTIF(B298:K298,"="&amp;'MITRE ATT&amp;CK Mappings'!B294)&gt;0,'MITRE ATT&amp;CK Mappings'!B294,"")</f>
        <v/>
      </c>
      <c r="B298" s="26" t="str">
        <f>IF(OR(OR(OR(OR(OR(ISNUMBER(SEARCH(IF(B$1&lt;&gt;"",B$1,"NA"),'MITRE ATT&amp;CK Mappings'!$E294)),ISNUMBER(SEARCH(IF(B$1&lt;&gt;"",B$1,"NA"),'MITRE ATT&amp;CK Mappings'!$F294))),ISNUMBER(SEARCH(IF(B$2&lt;&gt;"",B$2,"NA"),'MITRE ATT&amp;CK Mappings'!$G294))),ISNUMBER(SEARCH(IF(B$2&lt;&gt;"",B$2,"NA"),'MITRE ATT&amp;CK Mappings'!$H294))),ISNUMBER(SEARCH(IF(B$3&lt;&gt;"",B$3,"NA"),'MITRE ATT&amp;CK Mappings'!$I294))),ISNUMBER(SEARCH(IF(B$3&lt;&gt;"",B$3,"NA"),'MITRE ATT&amp;CK Mappings'!$J294))), 'MITRE ATT&amp;CK Mappings'!$B294,"")</f>
        <v/>
      </c>
      <c r="C298" s="26" t="str">
        <f>IF(OR(OR(OR(OR(OR(ISNUMBER(SEARCH(IF(C$1&lt;&gt;"",C$1,"NA"),'MITRE ATT&amp;CK Mappings'!$E294)),ISNUMBER(SEARCH(IF(C$1&lt;&gt;"",C$1,"NA"),'MITRE ATT&amp;CK Mappings'!$F294))),ISNUMBER(SEARCH(IF(C$2&lt;&gt;"",C$2,"NA"),'MITRE ATT&amp;CK Mappings'!$G294))),ISNUMBER(SEARCH(IF(C$2&lt;&gt;"",C$2,"NA"),'MITRE ATT&amp;CK Mappings'!$H294))),ISNUMBER(SEARCH(IF(C$3&lt;&gt;"",C$3,"NA"),'MITRE ATT&amp;CK Mappings'!$I294))),ISNUMBER(SEARCH(IF(C$3&lt;&gt;"",C$3,"NA"),'MITRE ATT&amp;CK Mappings'!$J294))), 'MITRE ATT&amp;CK Mappings'!$B294,"")</f>
        <v/>
      </c>
      <c r="D298" s="26" t="str">
        <f>IF(OR(OR(OR(OR(OR(ISNUMBER(SEARCH(IF(D$1&lt;&gt;"",D$1,"NA"),'MITRE ATT&amp;CK Mappings'!$E294)),ISNUMBER(SEARCH(IF(D$1&lt;&gt;"",D$1,"NA"),'MITRE ATT&amp;CK Mappings'!$F294))),ISNUMBER(SEARCH(IF(D$2&lt;&gt;"",D$2,"NA"),'MITRE ATT&amp;CK Mappings'!$G294))),ISNUMBER(SEARCH(IF(D$2&lt;&gt;"",D$2,"NA"),'MITRE ATT&amp;CK Mappings'!$H294))),ISNUMBER(SEARCH(IF(D$3&lt;&gt;"",D$3,"NA"),'MITRE ATT&amp;CK Mappings'!$I294))),ISNUMBER(SEARCH(IF(D$3&lt;&gt;"",D$3,"NA"),'MITRE ATT&amp;CK Mappings'!$J294))), 'MITRE ATT&amp;CK Mappings'!$B294,"")</f>
        <v/>
      </c>
      <c r="E298" s="26" t="str">
        <f>IF(OR(OR(OR(OR(OR(ISNUMBER(SEARCH(IF(E$1&lt;&gt;"",E$1,"NA"),'MITRE ATT&amp;CK Mappings'!$E294)),ISNUMBER(SEARCH(IF(E$1&lt;&gt;"",E$1,"NA"),'MITRE ATT&amp;CK Mappings'!$F294))),ISNUMBER(SEARCH(IF(E$2&lt;&gt;"",E$2,"NA"),'MITRE ATT&amp;CK Mappings'!$G294))),ISNUMBER(SEARCH(IF(E$2&lt;&gt;"",E$2,"NA"),'MITRE ATT&amp;CK Mappings'!$H294))),ISNUMBER(SEARCH(IF(E$3&lt;&gt;"",E$3,"NA"),'MITRE ATT&amp;CK Mappings'!$I294))),ISNUMBER(SEARCH(IF(E$3&lt;&gt;"",E$3,"NA"),'MITRE ATT&amp;CK Mappings'!$J294))), 'MITRE ATT&amp;CK Mappings'!$B294,"")</f>
        <v/>
      </c>
      <c r="F298" s="26" t="str">
        <f>IF(OR(OR(OR(OR(OR(ISNUMBER(SEARCH(IF(F$1&lt;&gt;"",F$1,"NA"),'MITRE ATT&amp;CK Mappings'!$E294)),ISNUMBER(SEARCH(IF(F$1&lt;&gt;"",F$1,"NA"),'MITRE ATT&amp;CK Mappings'!$F294))),ISNUMBER(SEARCH(IF(F$2&lt;&gt;"",F$2,"NA"),'MITRE ATT&amp;CK Mappings'!$G294))),ISNUMBER(SEARCH(IF(F$2&lt;&gt;"",F$2,"NA"),'MITRE ATT&amp;CK Mappings'!$H294))),ISNUMBER(SEARCH(IF(F$3&lt;&gt;"",F$3,"NA"),'MITRE ATT&amp;CK Mappings'!$I294))),ISNUMBER(SEARCH(IF(F$3&lt;&gt;"",F$3,"NA"),'MITRE ATT&amp;CK Mappings'!$J294))), 'MITRE ATT&amp;CK Mappings'!$B294,"")</f>
        <v/>
      </c>
      <c r="G298" s="26" t="str">
        <f>IF(OR(OR(OR(OR(OR(ISNUMBER(SEARCH(IF(G$1&lt;&gt;"",G$1,"NA"),'MITRE ATT&amp;CK Mappings'!$E294)),ISNUMBER(SEARCH(IF(G$1&lt;&gt;"",G$1,"NA"),'MITRE ATT&amp;CK Mappings'!$F294))),ISNUMBER(SEARCH(IF(G$2&lt;&gt;"",G$2,"NA"),'MITRE ATT&amp;CK Mappings'!$G294))),ISNUMBER(SEARCH(IF(G$2&lt;&gt;"",G$2,"NA"),'MITRE ATT&amp;CK Mappings'!$H294))),ISNUMBER(SEARCH(IF(G$3&lt;&gt;"",G$3,"NA"),'MITRE ATT&amp;CK Mappings'!$I294))),ISNUMBER(SEARCH(IF(G$3&lt;&gt;"",G$3,"NA"),'MITRE ATT&amp;CK Mappings'!$J294))), 'MITRE ATT&amp;CK Mappings'!$B294,"")</f>
        <v/>
      </c>
      <c r="H298" s="26" t="str">
        <f>IF(OR(OR(OR(OR(OR(ISNUMBER(SEARCH(IF(H$1&lt;&gt;"",H$1,"NA"),'MITRE ATT&amp;CK Mappings'!$E294)),ISNUMBER(SEARCH(IF(H$1&lt;&gt;"",H$1,"NA"),'MITRE ATT&amp;CK Mappings'!$F294))),ISNUMBER(SEARCH(IF(H$2&lt;&gt;"",H$2,"NA"),'MITRE ATT&amp;CK Mappings'!$G294))),ISNUMBER(SEARCH(IF(H$2&lt;&gt;"",H$2,"NA"),'MITRE ATT&amp;CK Mappings'!$H294))),ISNUMBER(SEARCH(IF(H$3&lt;&gt;"",H$3,"NA"),'MITRE ATT&amp;CK Mappings'!$I294))),ISNUMBER(SEARCH(IF(H$3&lt;&gt;"",H$3,"NA"),'MITRE ATT&amp;CK Mappings'!$J294))), 'MITRE ATT&amp;CK Mappings'!$B294,"")</f>
        <v/>
      </c>
      <c r="I298" s="26" t="str">
        <f>IF(OR(OR(OR(OR(OR(ISNUMBER(SEARCH(IF(I$1&lt;&gt;"",I$1,"NA"),'MITRE ATT&amp;CK Mappings'!$E294)),ISNUMBER(SEARCH(IF(I$1&lt;&gt;"",I$1,"NA"),'MITRE ATT&amp;CK Mappings'!$F294))),ISNUMBER(SEARCH(IF(I$2&lt;&gt;"",I$2,"NA"),'MITRE ATT&amp;CK Mappings'!$G294))),ISNUMBER(SEARCH(IF(I$2&lt;&gt;"",I$2,"NA"),'MITRE ATT&amp;CK Mappings'!$H294))),ISNUMBER(SEARCH(IF(I$3&lt;&gt;"",I$3,"NA"),'MITRE ATT&amp;CK Mappings'!$I294))),ISNUMBER(SEARCH(IF(I$3&lt;&gt;"",I$3,"NA"),'MITRE ATT&amp;CK Mappings'!$J294))), 'MITRE ATT&amp;CK Mappings'!$B294,"")</f>
        <v/>
      </c>
      <c r="J298" s="26" t="str">
        <f>IF(OR(OR(OR(OR(OR(ISNUMBER(SEARCH(IF(J$1&lt;&gt;"",J$1,"NA"),'MITRE ATT&amp;CK Mappings'!$E294)),ISNUMBER(SEARCH(IF(J$1&lt;&gt;"",J$1,"NA"),'MITRE ATT&amp;CK Mappings'!$F294))),ISNUMBER(SEARCH(IF(J$2&lt;&gt;"",J$2,"NA"),'MITRE ATT&amp;CK Mappings'!$G294))),ISNUMBER(SEARCH(IF(J$2&lt;&gt;"",J$2,"NA"),'MITRE ATT&amp;CK Mappings'!$H294))),ISNUMBER(SEARCH(IF(J$3&lt;&gt;"",J$3,"NA"),'MITRE ATT&amp;CK Mappings'!$I294))),ISNUMBER(SEARCH(IF(J$3&lt;&gt;"",J$3,"NA"),'MITRE ATT&amp;CK Mappings'!$J294))), 'MITRE ATT&amp;CK Mappings'!$B294,"")</f>
        <v/>
      </c>
      <c r="K298" s="26" t="str">
        <f>IF(OR(OR(OR(OR(OR(ISNUMBER(SEARCH(IF(K$1&lt;&gt;"",K$1,"NA"),'MITRE ATT&amp;CK Mappings'!$E294)),ISNUMBER(SEARCH(IF(K$1&lt;&gt;"",K$1,"NA"),'MITRE ATT&amp;CK Mappings'!$F294))),ISNUMBER(SEARCH(IF(K$2&lt;&gt;"",K$2,"NA"),'MITRE ATT&amp;CK Mappings'!$G294))),ISNUMBER(SEARCH(IF(K$2&lt;&gt;"",K$2,"NA"),'MITRE ATT&amp;CK Mappings'!$H294))),ISNUMBER(SEARCH(IF(K$3&lt;&gt;"",K$3,"NA"),'MITRE ATT&amp;CK Mappings'!$I294))),ISNUMBER(SEARCH(IF(K$3&lt;&gt;"",K$3,"NA"),'MITRE ATT&amp;CK Mappings'!$J294))), 'MITRE ATT&amp;CK Mappings'!$B294,"")</f>
        <v/>
      </c>
      <c r="L298" s="26" t="str">
        <f>IF('MITRE ATT&amp;CK Mappings'!D294 &lt;&gt;"",'MITRE ATT&amp;CK Mappings'!D294,"" )</f>
        <v/>
      </c>
    </row>
    <row r="299" spans="1:12" x14ac:dyDescent="0.25">
      <c r="A299" s="27" t="str">
        <f>IF(COUNTIF(B299:K299,"="&amp;'MITRE ATT&amp;CK Mappings'!B295)&gt;0,'MITRE ATT&amp;CK Mappings'!B295,"")</f>
        <v/>
      </c>
      <c r="B299" s="27" t="str">
        <f>IF(OR(OR(OR(OR(OR(ISNUMBER(SEARCH(IF(B$1&lt;&gt;"",B$1,"NA"),'MITRE ATT&amp;CK Mappings'!$E295)),ISNUMBER(SEARCH(IF(B$1&lt;&gt;"",B$1,"NA"),'MITRE ATT&amp;CK Mappings'!$F295))),ISNUMBER(SEARCH(IF(B$2&lt;&gt;"",B$2,"NA"),'MITRE ATT&amp;CK Mappings'!$G295))),ISNUMBER(SEARCH(IF(B$2&lt;&gt;"",B$2,"NA"),'MITRE ATT&amp;CK Mappings'!$H295))),ISNUMBER(SEARCH(IF(B$3&lt;&gt;"",B$3,"NA"),'MITRE ATT&amp;CK Mappings'!$I295))),ISNUMBER(SEARCH(IF(B$3&lt;&gt;"",B$3,"NA"),'MITRE ATT&amp;CK Mappings'!$J295))), 'MITRE ATT&amp;CK Mappings'!$B295,"")</f>
        <v/>
      </c>
      <c r="C299" s="27" t="str">
        <f>IF(OR(OR(OR(OR(OR(ISNUMBER(SEARCH(IF(C$1&lt;&gt;"",C$1,"NA"),'MITRE ATT&amp;CK Mappings'!$E295)),ISNUMBER(SEARCH(IF(C$1&lt;&gt;"",C$1,"NA"),'MITRE ATT&amp;CK Mappings'!$F295))),ISNUMBER(SEARCH(IF(C$2&lt;&gt;"",C$2,"NA"),'MITRE ATT&amp;CK Mappings'!$G295))),ISNUMBER(SEARCH(IF(C$2&lt;&gt;"",C$2,"NA"),'MITRE ATT&amp;CK Mappings'!$H295))),ISNUMBER(SEARCH(IF(C$3&lt;&gt;"",C$3,"NA"),'MITRE ATT&amp;CK Mappings'!$I295))),ISNUMBER(SEARCH(IF(C$3&lt;&gt;"",C$3,"NA"),'MITRE ATT&amp;CK Mappings'!$J295))), 'MITRE ATT&amp;CK Mappings'!$B295,"")</f>
        <v/>
      </c>
      <c r="D299" s="27" t="str">
        <f>IF(OR(OR(OR(OR(OR(ISNUMBER(SEARCH(IF(D$1&lt;&gt;"",D$1,"NA"),'MITRE ATT&amp;CK Mappings'!$E295)),ISNUMBER(SEARCH(IF(D$1&lt;&gt;"",D$1,"NA"),'MITRE ATT&amp;CK Mappings'!$F295))),ISNUMBER(SEARCH(IF(D$2&lt;&gt;"",D$2,"NA"),'MITRE ATT&amp;CK Mappings'!$G295))),ISNUMBER(SEARCH(IF(D$2&lt;&gt;"",D$2,"NA"),'MITRE ATT&amp;CK Mappings'!$H295))),ISNUMBER(SEARCH(IF(D$3&lt;&gt;"",D$3,"NA"),'MITRE ATT&amp;CK Mappings'!$I295))),ISNUMBER(SEARCH(IF(D$3&lt;&gt;"",D$3,"NA"),'MITRE ATT&amp;CK Mappings'!$J295))), 'MITRE ATT&amp;CK Mappings'!$B295,"")</f>
        <v/>
      </c>
      <c r="E299" s="27" t="str">
        <f>IF(OR(OR(OR(OR(OR(ISNUMBER(SEARCH(IF(E$1&lt;&gt;"",E$1,"NA"),'MITRE ATT&amp;CK Mappings'!$E295)),ISNUMBER(SEARCH(IF(E$1&lt;&gt;"",E$1,"NA"),'MITRE ATT&amp;CK Mappings'!$F295))),ISNUMBER(SEARCH(IF(E$2&lt;&gt;"",E$2,"NA"),'MITRE ATT&amp;CK Mappings'!$G295))),ISNUMBER(SEARCH(IF(E$2&lt;&gt;"",E$2,"NA"),'MITRE ATT&amp;CK Mappings'!$H295))),ISNUMBER(SEARCH(IF(E$3&lt;&gt;"",E$3,"NA"),'MITRE ATT&amp;CK Mappings'!$I295))),ISNUMBER(SEARCH(IF(E$3&lt;&gt;"",E$3,"NA"),'MITRE ATT&amp;CK Mappings'!$J295))), 'MITRE ATT&amp;CK Mappings'!$B295,"")</f>
        <v/>
      </c>
      <c r="F299" s="27" t="str">
        <f>IF(OR(OR(OR(OR(OR(ISNUMBER(SEARCH(IF(F$1&lt;&gt;"",F$1,"NA"),'MITRE ATT&amp;CK Mappings'!$E295)),ISNUMBER(SEARCH(IF(F$1&lt;&gt;"",F$1,"NA"),'MITRE ATT&amp;CK Mappings'!$F295))),ISNUMBER(SEARCH(IF(F$2&lt;&gt;"",F$2,"NA"),'MITRE ATT&amp;CK Mappings'!$G295))),ISNUMBER(SEARCH(IF(F$2&lt;&gt;"",F$2,"NA"),'MITRE ATT&amp;CK Mappings'!$H295))),ISNUMBER(SEARCH(IF(F$3&lt;&gt;"",F$3,"NA"),'MITRE ATT&amp;CK Mappings'!$I295))),ISNUMBER(SEARCH(IF(F$3&lt;&gt;"",F$3,"NA"),'MITRE ATT&amp;CK Mappings'!$J295))), 'MITRE ATT&amp;CK Mappings'!$B295,"")</f>
        <v/>
      </c>
      <c r="G299" s="27" t="str">
        <f>IF(OR(OR(OR(OR(OR(ISNUMBER(SEARCH(IF(G$1&lt;&gt;"",G$1,"NA"),'MITRE ATT&amp;CK Mappings'!$E295)),ISNUMBER(SEARCH(IF(G$1&lt;&gt;"",G$1,"NA"),'MITRE ATT&amp;CK Mappings'!$F295))),ISNUMBER(SEARCH(IF(G$2&lt;&gt;"",G$2,"NA"),'MITRE ATT&amp;CK Mappings'!$G295))),ISNUMBER(SEARCH(IF(G$2&lt;&gt;"",G$2,"NA"),'MITRE ATT&amp;CK Mappings'!$H295))),ISNUMBER(SEARCH(IF(G$3&lt;&gt;"",G$3,"NA"),'MITRE ATT&amp;CK Mappings'!$I295))),ISNUMBER(SEARCH(IF(G$3&lt;&gt;"",G$3,"NA"),'MITRE ATT&amp;CK Mappings'!$J295))), 'MITRE ATT&amp;CK Mappings'!$B295,"")</f>
        <v/>
      </c>
      <c r="H299" s="27" t="str">
        <f>IF(OR(OR(OR(OR(OR(ISNUMBER(SEARCH(IF(H$1&lt;&gt;"",H$1,"NA"),'MITRE ATT&amp;CK Mappings'!$E295)),ISNUMBER(SEARCH(IF(H$1&lt;&gt;"",H$1,"NA"),'MITRE ATT&amp;CK Mappings'!$F295))),ISNUMBER(SEARCH(IF(H$2&lt;&gt;"",H$2,"NA"),'MITRE ATT&amp;CK Mappings'!$G295))),ISNUMBER(SEARCH(IF(H$2&lt;&gt;"",H$2,"NA"),'MITRE ATT&amp;CK Mappings'!$H295))),ISNUMBER(SEARCH(IF(H$3&lt;&gt;"",H$3,"NA"),'MITRE ATT&amp;CK Mappings'!$I295))),ISNUMBER(SEARCH(IF(H$3&lt;&gt;"",H$3,"NA"),'MITRE ATT&amp;CK Mappings'!$J295))), 'MITRE ATT&amp;CK Mappings'!$B295,"")</f>
        <v/>
      </c>
      <c r="I299" s="27" t="str">
        <f>IF(OR(OR(OR(OR(OR(ISNUMBER(SEARCH(IF(I$1&lt;&gt;"",I$1,"NA"),'MITRE ATT&amp;CK Mappings'!$E295)),ISNUMBER(SEARCH(IF(I$1&lt;&gt;"",I$1,"NA"),'MITRE ATT&amp;CK Mappings'!$F295))),ISNUMBER(SEARCH(IF(I$2&lt;&gt;"",I$2,"NA"),'MITRE ATT&amp;CK Mappings'!$G295))),ISNUMBER(SEARCH(IF(I$2&lt;&gt;"",I$2,"NA"),'MITRE ATT&amp;CK Mappings'!$H295))),ISNUMBER(SEARCH(IF(I$3&lt;&gt;"",I$3,"NA"),'MITRE ATT&amp;CK Mappings'!$I295))),ISNUMBER(SEARCH(IF(I$3&lt;&gt;"",I$3,"NA"),'MITRE ATT&amp;CK Mappings'!$J295))), 'MITRE ATT&amp;CK Mappings'!$B295,"")</f>
        <v/>
      </c>
      <c r="J299" s="27" t="str">
        <f>IF(OR(OR(OR(OR(OR(ISNUMBER(SEARCH(IF(J$1&lt;&gt;"",J$1,"NA"),'MITRE ATT&amp;CK Mappings'!$E295)),ISNUMBER(SEARCH(IF(J$1&lt;&gt;"",J$1,"NA"),'MITRE ATT&amp;CK Mappings'!$F295))),ISNUMBER(SEARCH(IF(J$2&lt;&gt;"",J$2,"NA"),'MITRE ATT&amp;CK Mappings'!$G295))),ISNUMBER(SEARCH(IF(J$2&lt;&gt;"",J$2,"NA"),'MITRE ATT&amp;CK Mappings'!$H295))),ISNUMBER(SEARCH(IF(J$3&lt;&gt;"",J$3,"NA"),'MITRE ATT&amp;CK Mappings'!$I295))),ISNUMBER(SEARCH(IF(J$3&lt;&gt;"",J$3,"NA"),'MITRE ATT&amp;CK Mappings'!$J295))), 'MITRE ATT&amp;CK Mappings'!$B295,"")</f>
        <v/>
      </c>
      <c r="K299" s="27" t="str">
        <f>IF(OR(OR(OR(OR(OR(ISNUMBER(SEARCH(IF(K$1&lt;&gt;"",K$1,"NA"),'MITRE ATT&amp;CK Mappings'!$E295)),ISNUMBER(SEARCH(IF(K$1&lt;&gt;"",K$1,"NA"),'MITRE ATT&amp;CK Mappings'!$F295))),ISNUMBER(SEARCH(IF(K$2&lt;&gt;"",K$2,"NA"),'MITRE ATT&amp;CK Mappings'!$G295))),ISNUMBER(SEARCH(IF(K$2&lt;&gt;"",K$2,"NA"),'MITRE ATT&amp;CK Mappings'!$H295))),ISNUMBER(SEARCH(IF(K$3&lt;&gt;"",K$3,"NA"),'MITRE ATT&amp;CK Mappings'!$I295))),ISNUMBER(SEARCH(IF(K$3&lt;&gt;"",K$3,"NA"),'MITRE ATT&amp;CK Mappings'!$J295))), 'MITRE ATT&amp;CK Mappings'!$B295,"")</f>
        <v/>
      </c>
      <c r="L299" s="27" t="str">
        <f>IF('MITRE ATT&amp;CK Mappings'!D295 &lt;&gt;"",'MITRE ATT&amp;CK Mappings'!D295,"" )</f>
        <v/>
      </c>
    </row>
    <row r="300" spans="1:12" x14ac:dyDescent="0.25">
      <c r="A300" s="26" t="str">
        <f>IF(COUNTIF(B300:K300,"="&amp;'MITRE ATT&amp;CK Mappings'!B296)&gt;0,'MITRE ATT&amp;CK Mappings'!B296,"")</f>
        <v/>
      </c>
      <c r="B300" s="26" t="str">
        <f>IF(OR(OR(OR(OR(OR(ISNUMBER(SEARCH(IF(B$1&lt;&gt;"",B$1,"NA"),'MITRE ATT&amp;CK Mappings'!$E296)),ISNUMBER(SEARCH(IF(B$1&lt;&gt;"",B$1,"NA"),'MITRE ATT&amp;CK Mappings'!$F296))),ISNUMBER(SEARCH(IF(B$2&lt;&gt;"",B$2,"NA"),'MITRE ATT&amp;CK Mappings'!$G296))),ISNUMBER(SEARCH(IF(B$2&lt;&gt;"",B$2,"NA"),'MITRE ATT&amp;CK Mappings'!$H296))),ISNUMBER(SEARCH(IF(B$3&lt;&gt;"",B$3,"NA"),'MITRE ATT&amp;CK Mappings'!$I296))),ISNUMBER(SEARCH(IF(B$3&lt;&gt;"",B$3,"NA"),'MITRE ATT&amp;CK Mappings'!$J296))), 'MITRE ATT&amp;CK Mappings'!$B296,"")</f>
        <v/>
      </c>
      <c r="C300" s="26" t="str">
        <f>IF(OR(OR(OR(OR(OR(ISNUMBER(SEARCH(IF(C$1&lt;&gt;"",C$1,"NA"),'MITRE ATT&amp;CK Mappings'!$E296)),ISNUMBER(SEARCH(IF(C$1&lt;&gt;"",C$1,"NA"),'MITRE ATT&amp;CK Mappings'!$F296))),ISNUMBER(SEARCH(IF(C$2&lt;&gt;"",C$2,"NA"),'MITRE ATT&amp;CK Mappings'!$G296))),ISNUMBER(SEARCH(IF(C$2&lt;&gt;"",C$2,"NA"),'MITRE ATT&amp;CK Mappings'!$H296))),ISNUMBER(SEARCH(IF(C$3&lt;&gt;"",C$3,"NA"),'MITRE ATT&amp;CK Mappings'!$I296))),ISNUMBER(SEARCH(IF(C$3&lt;&gt;"",C$3,"NA"),'MITRE ATT&amp;CK Mappings'!$J296))), 'MITRE ATT&amp;CK Mappings'!$B296,"")</f>
        <v/>
      </c>
      <c r="D300" s="26" t="str">
        <f>IF(OR(OR(OR(OR(OR(ISNUMBER(SEARCH(IF(D$1&lt;&gt;"",D$1,"NA"),'MITRE ATT&amp;CK Mappings'!$E296)),ISNUMBER(SEARCH(IF(D$1&lt;&gt;"",D$1,"NA"),'MITRE ATT&amp;CK Mappings'!$F296))),ISNUMBER(SEARCH(IF(D$2&lt;&gt;"",D$2,"NA"),'MITRE ATT&amp;CK Mappings'!$G296))),ISNUMBER(SEARCH(IF(D$2&lt;&gt;"",D$2,"NA"),'MITRE ATT&amp;CK Mappings'!$H296))),ISNUMBER(SEARCH(IF(D$3&lt;&gt;"",D$3,"NA"),'MITRE ATT&amp;CK Mappings'!$I296))),ISNUMBER(SEARCH(IF(D$3&lt;&gt;"",D$3,"NA"),'MITRE ATT&amp;CK Mappings'!$J296))), 'MITRE ATT&amp;CK Mappings'!$B296,"")</f>
        <v/>
      </c>
      <c r="E300" s="26" t="str">
        <f>IF(OR(OR(OR(OR(OR(ISNUMBER(SEARCH(IF(E$1&lt;&gt;"",E$1,"NA"),'MITRE ATT&amp;CK Mappings'!$E296)),ISNUMBER(SEARCH(IF(E$1&lt;&gt;"",E$1,"NA"),'MITRE ATT&amp;CK Mappings'!$F296))),ISNUMBER(SEARCH(IF(E$2&lt;&gt;"",E$2,"NA"),'MITRE ATT&amp;CK Mappings'!$G296))),ISNUMBER(SEARCH(IF(E$2&lt;&gt;"",E$2,"NA"),'MITRE ATT&amp;CK Mappings'!$H296))),ISNUMBER(SEARCH(IF(E$3&lt;&gt;"",E$3,"NA"),'MITRE ATT&amp;CK Mappings'!$I296))),ISNUMBER(SEARCH(IF(E$3&lt;&gt;"",E$3,"NA"),'MITRE ATT&amp;CK Mappings'!$J296))), 'MITRE ATT&amp;CK Mappings'!$B296,"")</f>
        <v/>
      </c>
      <c r="F300" s="26" t="str">
        <f>IF(OR(OR(OR(OR(OR(ISNUMBER(SEARCH(IF(F$1&lt;&gt;"",F$1,"NA"),'MITRE ATT&amp;CK Mappings'!$E296)),ISNUMBER(SEARCH(IF(F$1&lt;&gt;"",F$1,"NA"),'MITRE ATT&amp;CK Mappings'!$F296))),ISNUMBER(SEARCH(IF(F$2&lt;&gt;"",F$2,"NA"),'MITRE ATT&amp;CK Mappings'!$G296))),ISNUMBER(SEARCH(IF(F$2&lt;&gt;"",F$2,"NA"),'MITRE ATT&amp;CK Mappings'!$H296))),ISNUMBER(SEARCH(IF(F$3&lt;&gt;"",F$3,"NA"),'MITRE ATT&amp;CK Mappings'!$I296))),ISNUMBER(SEARCH(IF(F$3&lt;&gt;"",F$3,"NA"),'MITRE ATT&amp;CK Mappings'!$J296))), 'MITRE ATT&amp;CK Mappings'!$B296,"")</f>
        <v/>
      </c>
      <c r="G300" s="26" t="str">
        <f>IF(OR(OR(OR(OR(OR(ISNUMBER(SEARCH(IF(G$1&lt;&gt;"",G$1,"NA"),'MITRE ATT&amp;CK Mappings'!$E296)),ISNUMBER(SEARCH(IF(G$1&lt;&gt;"",G$1,"NA"),'MITRE ATT&amp;CK Mappings'!$F296))),ISNUMBER(SEARCH(IF(G$2&lt;&gt;"",G$2,"NA"),'MITRE ATT&amp;CK Mappings'!$G296))),ISNUMBER(SEARCH(IF(G$2&lt;&gt;"",G$2,"NA"),'MITRE ATT&amp;CK Mappings'!$H296))),ISNUMBER(SEARCH(IF(G$3&lt;&gt;"",G$3,"NA"),'MITRE ATT&amp;CK Mappings'!$I296))),ISNUMBER(SEARCH(IF(G$3&lt;&gt;"",G$3,"NA"),'MITRE ATT&amp;CK Mappings'!$J296))), 'MITRE ATT&amp;CK Mappings'!$B296,"")</f>
        <v/>
      </c>
      <c r="H300" s="26" t="str">
        <f>IF(OR(OR(OR(OR(OR(ISNUMBER(SEARCH(IF(H$1&lt;&gt;"",H$1,"NA"),'MITRE ATT&amp;CK Mappings'!$E296)),ISNUMBER(SEARCH(IF(H$1&lt;&gt;"",H$1,"NA"),'MITRE ATT&amp;CK Mappings'!$F296))),ISNUMBER(SEARCH(IF(H$2&lt;&gt;"",H$2,"NA"),'MITRE ATT&amp;CK Mappings'!$G296))),ISNUMBER(SEARCH(IF(H$2&lt;&gt;"",H$2,"NA"),'MITRE ATT&amp;CK Mappings'!$H296))),ISNUMBER(SEARCH(IF(H$3&lt;&gt;"",H$3,"NA"),'MITRE ATT&amp;CK Mappings'!$I296))),ISNUMBER(SEARCH(IF(H$3&lt;&gt;"",H$3,"NA"),'MITRE ATT&amp;CK Mappings'!$J296))), 'MITRE ATT&amp;CK Mappings'!$B296,"")</f>
        <v/>
      </c>
      <c r="I300" s="26" t="str">
        <f>IF(OR(OR(OR(OR(OR(ISNUMBER(SEARCH(IF(I$1&lt;&gt;"",I$1,"NA"),'MITRE ATT&amp;CK Mappings'!$E296)),ISNUMBER(SEARCH(IF(I$1&lt;&gt;"",I$1,"NA"),'MITRE ATT&amp;CK Mappings'!$F296))),ISNUMBER(SEARCH(IF(I$2&lt;&gt;"",I$2,"NA"),'MITRE ATT&amp;CK Mappings'!$G296))),ISNUMBER(SEARCH(IF(I$2&lt;&gt;"",I$2,"NA"),'MITRE ATT&amp;CK Mappings'!$H296))),ISNUMBER(SEARCH(IF(I$3&lt;&gt;"",I$3,"NA"),'MITRE ATT&amp;CK Mappings'!$I296))),ISNUMBER(SEARCH(IF(I$3&lt;&gt;"",I$3,"NA"),'MITRE ATT&amp;CK Mappings'!$J296))), 'MITRE ATT&amp;CK Mappings'!$B296,"")</f>
        <v/>
      </c>
      <c r="J300" s="26" t="str">
        <f>IF(OR(OR(OR(OR(OR(ISNUMBER(SEARCH(IF(J$1&lt;&gt;"",J$1,"NA"),'MITRE ATT&amp;CK Mappings'!$E296)),ISNUMBER(SEARCH(IF(J$1&lt;&gt;"",J$1,"NA"),'MITRE ATT&amp;CK Mappings'!$F296))),ISNUMBER(SEARCH(IF(J$2&lt;&gt;"",J$2,"NA"),'MITRE ATT&amp;CK Mappings'!$G296))),ISNUMBER(SEARCH(IF(J$2&lt;&gt;"",J$2,"NA"),'MITRE ATT&amp;CK Mappings'!$H296))),ISNUMBER(SEARCH(IF(J$3&lt;&gt;"",J$3,"NA"),'MITRE ATT&amp;CK Mappings'!$I296))),ISNUMBER(SEARCH(IF(J$3&lt;&gt;"",J$3,"NA"),'MITRE ATT&amp;CK Mappings'!$J296))), 'MITRE ATT&amp;CK Mappings'!$B296,"")</f>
        <v/>
      </c>
      <c r="K300" s="26" t="str">
        <f>IF(OR(OR(OR(OR(OR(ISNUMBER(SEARCH(IF(K$1&lt;&gt;"",K$1,"NA"),'MITRE ATT&amp;CK Mappings'!$E296)),ISNUMBER(SEARCH(IF(K$1&lt;&gt;"",K$1,"NA"),'MITRE ATT&amp;CK Mappings'!$F296))),ISNUMBER(SEARCH(IF(K$2&lt;&gt;"",K$2,"NA"),'MITRE ATT&amp;CK Mappings'!$G296))),ISNUMBER(SEARCH(IF(K$2&lt;&gt;"",K$2,"NA"),'MITRE ATT&amp;CK Mappings'!$H296))),ISNUMBER(SEARCH(IF(K$3&lt;&gt;"",K$3,"NA"),'MITRE ATT&amp;CK Mappings'!$I296))),ISNUMBER(SEARCH(IF(K$3&lt;&gt;"",K$3,"NA"),'MITRE ATT&amp;CK Mappings'!$J296))), 'MITRE ATT&amp;CK Mappings'!$B296,"")</f>
        <v/>
      </c>
      <c r="L300" s="26" t="str">
        <f>IF('MITRE ATT&amp;CK Mappings'!D296 &lt;&gt;"",'MITRE ATT&amp;CK Mappings'!D296,"" )</f>
        <v/>
      </c>
    </row>
    <row r="301" spans="1:12" x14ac:dyDescent="0.25">
      <c r="A301" s="27" t="str">
        <f>IF(COUNTIF(B301:K301,"="&amp;'MITRE ATT&amp;CK Mappings'!B297)&gt;0,'MITRE ATT&amp;CK Mappings'!B297,"")</f>
        <v/>
      </c>
      <c r="B301" s="27" t="str">
        <f>IF(OR(OR(OR(OR(OR(ISNUMBER(SEARCH(IF(B$1&lt;&gt;"",B$1,"NA"),'MITRE ATT&amp;CK Mappings'!$E297)),ISNUMBER(SEARCH(IF(B$1&lt;&gt;"",B$1,"NA"),'MITRE ATT&amp;CK Mappings'!$F297))),ISNUMBER(SEARCH(IF(B$2&lt;&gt;"",B$2,"NA"),'MITRE ATT&amp;CK Mappings'!$G297))),ISNUMBER(SEARCH(IF(B$2&lt;&gt;"",B$2,"NA"),'MITRE ATT&amp;CK Mappings'!$H297))),ISNUMBER(SEARCH(IF(B$3&lt;&gt;"",B$3,"NA"),'MITRE ATT&amp;CK Mappings'!$I297))),ISNUMBER(SEARCH(IF(B$3&lt;&gt;"",B$3,"NA"),'MITRE ATT&amp;CK Mappings'!$J297))), 'MITRE ATT&amp;CK Mappings'!$B297,"")</f>
        <v/>
      </c>
      <c r="C301" s="27" t="str">
        <f>IF(OR(OR(OR(OR(OR(ISNUMBER(SEARCH(IF(C$1&lt;&gt;"",C$1,"NA"),'MITRE ATT&amp;CK Mappings'!$E297)),ISNUMBER(SEARCH(IF(C$1&lt;&gt;"",C$1,"NA"),'MITRE ATT&amp;CK Mappings'!$F297))),ISNUMBER(SEARCH(IF(C$2&lt;&gt;"",C$2,"NA"),'MITRE ATT&amp;CK Mappings'!$G297))),ISNUMBER(SEARCH(IF(C$2&lt;&gt;"",C$2,"NA"),'MITRE ATT&amp;CK Mappings'!$H297))),ISNUMBER(SEARCH(IF(C$3&lt;&gt;"",C$3,"NA"),'MITRE ATT&amp;CK Mappings'!$I297))),ISNUMBER(SEARCH(IF(C$3&lt;&gt;"",C$3,"NA"),'MITRE ATT&amp;CK Mappings'!$J297))), 'MITRE ATT&amp;CK Mappings'!$B297,"")</f>
        <v/>
      </c>
      <c r="D301" s="27" t="str">
        <f>IF(OR(OR(OR(OR(OR(ISNUMBER(SEARCH(IF(D$1&lt;&gt;"",D$1,"NA"),'MITRE ATT&amp;CK Mappings'!$E297)),ISNUMBER(SEARCH(IF(D$1&lt;&gt;"",D$1,"NA"),'MITRE ATT&amp;CK Mappings'!$F297))),ISNUMBER(SEARCH(IF(D$2&lt;&gt;"",D$2,"NA"),'MITRE ATT&amp;CK Mappings'!$G297))),ISNUMBER(SEARCH(IF(D$2&lt;&gt;"",D$2,"NA"),'MITRE ATT&amp;CK Mappings'!$H297))),ISNUMBER(SEARCH(IF(D$3&lt;&gt;"",D$3,"NA"),'MITRE ATT&amp;CK Mappings'!$I297))),ISNUMBER(SEARCH(IF(D$3&lt;&gt;"",D$3,"NA"),'MITRE ATT&amp;CK Mappings'!$J297))), 'MITRE ATT&amp;CK Mappings'!$B297,"")</f>
        <v/>
      </c>
      <c r="E301" s="27" t="str">
        <f>IF(OR(OR(OR(OR(OR(ISNUMBER(SEARCH(IF(E$1&lt;&gt;"",E$1,"NA"),'MITRE ATT&amp;CK Mappings'!$E297)),ISNUMBER(SEARCH(IF(E$1&lt;&gt;"",E$1,"NA"),'MITRE ATT&amp;CK Mappings'!$F297))),ISNUMBER(SEARCH(IF(E$2&lt;&gt;"",E$2,"NA"),'MITRE ATT&amp;CK Mappings'!$G297))),ISNUMBER(SEARCH(IF(E$2&lt;&gt;"",E$2,"NA"),'MITRE ATT&amp;CK Mappings'!$H297))),ISNUMBER(SEARCH(IF(E$3&lt;&gt;"",E$3,"NA"),'MITRE ATT&amp;CK Mappings'!$I297))),ISNUMBER(SEARCH(IF(E$3&lt;&gt;"",E$3,"NA"),'MITRE ATT&amp;CK Mappings'!$J297))), 'MITRE ATT&amp;CK Mappings'!$B297,"")</f>
        <v/>
      </c>
      <c r="F301" s="27" t="str">
        <f>IF(OR(OR(OR(OR(OR(ISNUMBER(SEARCH(IF(F$1&lt;&gt;"",F$1,"NA"),'MITRE ATT&amp;CK Mappings'!$E297)),ISNUMBER(SEARCH(IF(F$1&lt;&gt;"",F$1,"NA"),'MITRE ATT&amp;CK Mappings'!$F297))),ISNUMBER(SEARCH(IF(F$2&lt;&gt;"",F$2,"NA"),'MITRE ATT&amp;CK Mappings'!$G297))),ISNUMBER(SEARCH(IF(F$2&lt;&gt;"",F$2,"NA"),'MITRE ATT&amp;CK Mappings'!$H297))),ISNUMBER(SEARCH(IF(F$3&lt;&gt;"",F$3,"NA"),'MITRE ATT&amp;CK Mappings'!$I297))),ISNUMBER(SEARCH(IF(F$3&lt;&gt;"",F$3,"NA"),'MITRE ATT&amp;CK Mappings'!$J297))), 'MITRE ATT&amp;CK Mappings'!$B297,"")</f>
        <v/>
      </c>
      <c r="G301" s="27" t="str">
        <f>IF(OR(OR(OR(OR(OR(ISNUMBER(SEARCH(IF(G$1&lt;&gt;"",G$1,"NA"),'MITRE ATT&amp;CK Mappings'!$E297)),ISNUMBER(SEARCH(IF(G$1&lt;&gt;"",G$1,"NA"),'MITRE ATT&amp;CK Mappings'!$F297))),ISNUMBER(SEARCH(IF(G$2&lt;&gt;"",G$2,"NA"),'MITRE ATT&amp;CK Mappings'!$G297))),ISNUMBER(SEARCH(IF(G$2&lt;&gt;"",G$2,"NA"),'MITRE ATT&amp;CK Mappings'!$H297))),ISNUMBER(SEARCH(IF(G$3&lt;&gt;"",G$3,"NA"),'MITRE ATT&amp;CK Mappings'!$I297))),ISNUMBER(SEARCH(IF(G$3&lt;&gt;"",G$3,"NA"),'MITRE ATT&amp;CK Mappings'!$J297))), 'MITRE ATT&amp;CK Mappings'!$B297,"")</f>
        <v/>
      </c>
      <c r="H301" s="27" t="str">
        <f>IF(OR(OR(OR(OR(OR(ISNUMBER(SEARCH(IF(H$1&lt;&gt;"",H$1,"NA"),'MITRE ATT&amp;CK Mappings'!$E297)),ISNUMBER(SEARCH(IF(H$1&lt;&gt;"",H$1,"NA"),'MITRE ATT&amp;CK Mappings'!$F297))),ISNUMBER(SEARCH(IF(H$2&lt;&gt;"",H$2,"NA"),'MITRE ATT&amp;CK Mappings'!$G297))),ISNUMBER(SEARCH(IF(H$2&lt;&gt;"",H$2,"NA"),'MITRE ATT&amp;CK Mappings'!$H297))),ISNUMBER(SEARCH(IF(H$3&lt;&gt;"",H$3,"NA"),'MITRE ATT&amp;CK Mappings'!$I297))),ISNUMBER(SEARCH(IF(H$3&lt;&gt;"",H$3,"NA"),'MITRE ATT&amp;CK Mappings'!$J297))), 'MITRE ATT&amp;CK Mappings'!$B297,"")</f>
        <v/>
      </c>
      <c r="I301" s="27" t="str">
        <f>IF(OR(OR(OR(OR(OR(ISNUMBER(SEARCH(IF(I$1&lt;&gt;"",I$1,"NA"),'MITRE ATT&amp;CK Mappings'!$E297)),ISNUMBER(SEARCH(IF(I$1&lt;&gt;"",I$1,"NA"),'MITRE ATT&amp;CK Mappings'!$F297))),ISNUMBER(SEARCH(IF(I$2&lt;&gt;"",I$2,"NA"),'MITRE ATT&amp;CK Mappings'!$G297))),ISNUMBER(SEARCH(IF(I$2&lt;&gt;"",I$2,"NA"),'MITRE ATT&amp;CK Mappings'!$H297))),ISNUMBER(SEARCH(IF(I$3&lt;&gt;"",I$3,"NA"),'MITRE ATT&amp;CK Mappings'!$I297))),ISNUMBER(SEARCH(IF(I$3&lt;&gt;"",I$3,"NA"),'MITRE ATT&amp;CK Mappings'!$J297))), 'MITRE ATT&amp;CK Mappings'!$B297,"")</f>
        <v/>
      </c>
      <c r="J301" s="27" t="str">
        <f>IF(OR(OR(OR(OR(OR(ISNUMBER(SEARCH(IF(J$1&lt;&gt;"",J$1,"NA"),'MITRE ATT&amp;CK Mappings'!$E297)),ISNUMBER(SEARCH(IF(J$1&lt;&gt;"",J$1,"NA"),'MITRE ATT&amp;CK Mappings'!$F297))),ISNUMBER(SEARCH(IF(J$2&lt;&gt;"",J$2,"NA"),'MITRE ATT&amp;CK Mappings'!$G297))),ISNUMBER(SEARCH(IF(J$2&lt;&gt;"",J$2,"NA"),'MITRE ATT&amp;CK Mappings'!$H297))),ISNUMBER(SEARCH(IF(J$3&lt;&gt;"",J$3,"NA"),'MITRE ATT&amp;CK Mappings'!$I297))),ISNUMBER(SEARCH(IF(J$3&lt;&gt;"",J$3,"NA"),'MITRE ATT&amp;CK Mappings'!$J297))), 'MITRE ATT&amp;CK Mappings'!$B297,"")</f>
        <v/>
      </c>
      <c r="K301" s="27" t="str">
        <f>IF(OR(OR(OR(OR(OR(ISNUMBER(SEARCH(IF(K$1&lt;&gt;"",K$1,"NA"),'MITRE ATT&amp;CK Mappings'!$E297)),ISNUMBER(SEARCH(IF(K$1&lt;&gt;"",K$1,"NA"),'MITRE ATT&amp;CK Mappings'!$F297))),ISNUMBER(SEARCH(IF(K$2&lt;&gt;"",K$2,"NA"),'MITRE ATT&amp;CK Mappings'!$G297))),ISNUMBER(SEARCH(IF(K$2&lt;&gt;"",K$2,"NA"),'MITRE ATT&amp;CK Mappings'!$H297))),ISNUMBER(SEARCH(IF(K$3&lt;&gt;"",K$3,"NA"),'MITRE ATT&amp;CK Mappings'!$I297))),ISNUMBER(SEARCH(IF(K$3&lt;&gt;"",K$3,"NA"),'MITRE ATT&amp;CK Mappings'!$J297))), 'MITRE ATT&amp;CK Mappings'!$B297,"")</f>
        <v/>
      </c>
      <c r="L301" s="27" t="str">
        <f>IF('MITRE ATT&amp;CK Mappings'!D297 &lt;&gt;"",'MITRE ATT&amp;CK Mappings'!D297,"" )</f>
        <v/>
      </c>
    </row>
    <row r="302" spans="1:12" x14ac:dyDescent="0.25">
      <c r="A302" s="26" t="str">
        <f>IF(COUNTIF(B302:K302,"="&amp;'MITRE ATT&amp;CK Mappings'!B298)&gt;0,'MITRE ATT&amp;CK Mappings'!B298,"")</f>
        <v/>
      </c>
      <c r="B302" s="26" t="str">
        <f>IF(OR(OR(OR(OR(OR(ISNUMBER(SEARCH(IF(B$1&lt;&gt;"",B$1,"NA"),'MITRE ATT&amp;CK Mappings'!$E298)),ISNUMBER(SEARCH(IF(B$1&lt;&gt;"",B$1,"NA"),'MITRE ATT&amp;CK Mappings'!$F298))),ISNUMBER(SEARCH(IF(B$2&lt;&gt;"",B$2,"NA"),'MITRE ATT&amp;CK Mappings'!$G298))),ISNUMBER(SEARCH(IF(B$2&lt;&gt;"",B$2,"NA"),'MITRE ATT&amp;CK Mappings'!$H298))),ISNUMBER(SEARCH(IF(B$3&lt;&gt;"",B$3,"NA"),'MITRE ATT&amp;CK Mappings'!$I298))),ISNUMBER(SEARCH(IF(B$3&lt;&gt;"",B$3,"NA"),'MITRE ATT&amp;CK Mappings'!$J298))), 'MITRE ATT&amp;CK Mappings'!$B298,"")</f>
        <v/>
      </c>
      <c r="C302" s="26" t="str">
        <f>IF(OR(OR(OR(OR(OR(ISNUMBER(SEARCH(IF(C$1&lt;&gt;"",C$1,"NA"),'MITRE ATT&amp;CK Mappings'!$E298)),ISNUMBER(SEARCH(IF(C$1&lt;&gt;"",C$1,"NA"),'MITRE ATT&amp;CK Mappings'!$F298))),ISNUMBER(SEARCH(IF(C$2&lt;&gt;"",C$2,"NA"),'MITRE ATT&amp;CK Mappings'!$G298))),ISNUMBER(SEARCH(IF(C$2&lt;&gt;"",C$2,"NA"),'MITRE ATT&amp;CK Mappings'!$H298))),ISNUMBER(SEARCH(IF(C$3&lt;&gt;"",C$3,"NA"),'MITRE ATT&amp;CK Mappings'!$I298))),ISNUMBER(SEARCH(IF(C$3&lt;&gt;"",C$3,"NA"),'MITRE ATT&amp;CK Mappings'!$J298))), 'MITRE ATT&amp;CK Mappings'!$B298,"")</f>
        <v/>
      </c>
      <c r="D302" s="26" t="str">
        <f>IF(OR(OR(OR(OR(OR(ISNUMBER(SEARCH(IF(D$1&lt;&gt;"",D$1,"NA"),'MITRE ATT&amp;CK Mappings'!$E298)),ISNUMBER(SEARCH(IF(D$1&lt;&gt;"",D$1,"NA"),'MITRE ATT&amp;CK Mappings'!$F298))),ISNUMBER(SEARCH(IF(D$2&lt;&gt;"",D$2,"NA"),'MITRE ATT&amp;CK Mappings'!$G298))),ISNUMBER(SEARCH(IF(D$2&lt;&gt;"",D$2,"NA"),'MITRE ATT&amp;CK Mappings'!$H298))),ISNUMBER(SEARCH(IF(D$3&lt;&gt;"",D$3,"NA"),'MITRE ATT&amp;CK Mappings'!$I298))),ISNUMBER(SEARCH(IF(D$3&lt;&gt;"",D$3,"NA"),'MITRE ATT&amp;CK Mappings'!$J298))), 'MITRE ATT&amp;CK Mappings'!$B298,"")</f>
        <v/>
      </c>
      <c r="E302" s="26" t="str">
        <f>IF(OR(OR(OR(OR(OR(ISNUMBER(SEARCH(IF(E$1&lt;&gt;"",E$1,"NA"),'MITRE ATT&amp;CK Mappings'!$E298)),ISNUMBER(SEARCH(IF(E$1&lt;&gt;"",E$1,"NA"),'MITRE ATT&amp;CK Mappings'!$F298))),ISNUMBER(SEARCH(IF(E$2&lt;&gt;"",E$2,"NA"),'MITRE ATT&amp;CK Mappings'!$G298))),ISNUMBER(SEARCH(IF(E$2&lt;&gt;"",E$2,"NA"),'MITRE ATT&amp;CK Mappings'!$H298))),ISNUMBER(SEARCH(IF(E$3&lt;&gt;"",E$3,"NA"),'MITRE ATT&amp;CK Mappings'!$I298))),ISNUMBER(SEARCH(IF(E$3&lt;&gt;"",E$3,"NA"),'MITRE ATT&amp;CK Mappings'!$J298))), 'MITRE ATT&amp;CK Mappings'!$B298,"")</f>
        <v/>
      </c>
      <c r="F302" s="26" t="str">
        <f>IF(OR(OR(OR(OR(OR(ISNUMBER(SEARCH(IF(F$1&lt;&gt;"",F$1,"NA"),'MITRE ATT&amp;CK Mappings'!$E298)),ISNUMBER(SEARCH(IF(F$1&lt;&gt;"",F$1,"NA"),'MITRE ATT&amp;CK Mappings'!$F298))),ISNUMBER(SEARCH(IF(F$2&lt;&gt;"",F$2,"NA"),'MITRE ATT&amp;CK Mappings'!$G298))),ISNUMBER(SEARCH(IF(F$2&lt;&gt;"",F$2,"NA"),'MITRE ATT&amp;CK Mappings'!$H298))),ISNUMBER(SEARCH(IF(F$3&lt;&gt;"",F$3,"NA"),'MITRE ATT&amp;CK Mappings'!$I298))),ISNUMBER(SEARCH(IF(F$3&lt;&gt;"",F$3,"NA"),'MITRE ATT&amp;CK Mappings'!$J298))), 'MITRE ATT&amp;CK Mappings'!$B298,"")</f>
        <v/>
      </c>
      <c r="G302" s="26" t="str">
        <f>IF(OR(OR(OR(OR(OR(ISNUMBER(SEARCH(IF(G$1&lt;&gt;"",G$1,"NA"),'MITRE ATT&amp;CK Mappings'!$E298)),ISNUMBER(SEARCH(IF(G$1&lt;&gt;"",G$1,"NA"),'MITRE ATT&amp;CK Mappings'!$F298))),ISNUMBER(SEARCH(IF(G$2&lt;&gt;"",G$2,"NA"),'MITRE ATT&amp;CK Mappings'!$G298))),ISNUMBER(SEARCH(IF(G$2&lt;&gt;"",G$2,"NA"),'MITRE ATT&amp;CK Mappings'!$H298))),ISNUMBER(SEARCH(IF(G$3&lt;&gt;"",G$3,"NA"),'MITRE ATT&amp;CK Mappings'!$I298))),ISNUMBER(SEARCH(IF(G$3&lt;&gt;"",G$3,"NA"),'MITRE ATT&amp;CK Mappings'!$J298))), 'MITRE ATT&amp;CK Mappings'!$B298,"")</f>
        <v/>
      </c>
      <c r="H302" s="26" t="str">
        <f>IF(OR(OR(OR(OR(OR(ISNUMBER(SEARCH(IF(H$1&lt;&gt;"",H$1,"NA"),'MITRE ATT&amp;CK Mappings'!$E298)),ISNUMBER(SEARCH(IF(H$1&lt;&gt;"",H$1,"NA"),'MITRE ATT&amp;CK Mappings'!$F298))),ISNUMBER(SEARCH(IF(H$2&lt;&gt;"",H$2,"NA"),'MITRE ATT&amp;CK Mappings'!$G298))),ISNUMBER(SEARCH(IF(H$2&lt;&gt;"",H$2,"NA"),'MITRE ATT&amp;CK Mappings'!$H298))),ISNUMBER(SEARCH(IF(H$3&lt;&gt;"",H$3,"NA"),'MITRE ATT&amp;CK Mappings'!$I298))),ISNUMBER(SEARCH(IF(H$3&lt;&gt;"",H$3,"NA"),'MITRE ATT&amp;CK Mappings'!$J298))), 'MITRE ATT&amp;CK Mappings'!$B298,"")</f>
        <v/>
      </c>
      <c r="I302" s="26" t="str">
        <f>IF(OR(OR(OR(OR(OR(ISNUMBER(SEARCH(IF(I$1&lt;&gt;"",I$1,"NA"),'MITRE ATT&amp;CK Mappings'!$E298)),ISNUMBER(SEARCH(IF(I$1&lt;&gt;"",I$1,"NA"),'MITRE ATT&amp;CK Mappings'!$F298))),ISNUMBER(SEARCH(IF(I$2&lt;&gt;"",I$2,"NA"),'MITRE ATT&amp;CK Mappings'!$G298))),ISNUMBER(SEARCH(IF(I$2&lt;&gt;"",I$2,"NA"),'MITRE ATT&amp;CK Mappings'!$H298))),ISNUMBER(SEARCH(IF(I$3&lt;&gt;"",I$3,"NA"),'MITRE ATT&amp;CK Mappings'!$I298))),ISNUMBER(SEARCH(IF(I$3&lt;&gt;"",I$3,"NA"),'MITRE ATT&amp;CK Mappings'!$J298))), 'MITRE ATT&amp;CK Mappings'!$B298,"")</f>
        <v/>
      </c>
      <c r="J302" s="26" t="str">
        <f>IF(OR(OR(OR(OR(OR(ISNUMBER(SEARCH(IF(J$1&lt;&gt;"",J$1,"NA"),'MITRE ATT&amp;CK Mappings'!$E298)),ISNUMBER(SEARCH(IF(J$1&lt;&gt;"",J$1,"NA"),'MITRE ATT&amp;CK Mappings'!$F298))),ISNUMBER(SEARCH(IF(J$2&lt;&gt;"",J$2,"NA"),'MITRE ATT&amp;CK Mappings'!$G298))),ISNUMBER(SEARCH(IF(J$2&lt;&gt;"",J$2,"NA"),'MITRE ATT&amp;CK Mappings'!$H298))),ISNUMBER(SEARCH(IF(J$3&lt;&gt;"",J$3,"NA"),'MITRE ATT&amp;CK Mappings'!$I298))),ISNUMBER(SEARCH(IF(J$3&lt;&gt;"",J$3,"NA"),'MITRE ATT&amp;CK Mappings'!$J298))), 'MITRE ATT&amp;CK Mappings'!$B298,"")</f>
        <v/>
      </c>
      <c r="K302" s="26" t="str">
        <f>IF(OR(OR(OR(OR(OR(ISNUMBER(SEARCH(IF(K$1&lt;&gt;"",K$1,"NA"),'MITRE ATT&amp;CK Mappings'!$E298)),ISNUMBER(SEARCH(IF(K$1&lt;&gt;"",K$1,"NA"),'MITRE ATT&amp;CK Mappings'!$F298))),ISNUMBER(SEARCH(IF(K$2&lt;&gt;"",K$2,"NA"),'MITRE ATT&amp;CK Mappings'!$G298))),ISNUMBER(SEARCH(IF(K$2&lt;&gt;"",K$2,"NA"),'MITRE ATT&amp;CK Mappings'!$H298))),ISNUMBER(SEARCH(IF(K$3&lt;&gt;"",K$3,"NA"),'MITRE ATT&amp;CK Mappings'!$I298))),ISNUMBER(SEARCH(IF(K$3&lt;&gt;"",K$3,"NA"),'MITRE ATT&amp;CK Mappings'!$J298))), 'MITRE ATT&amp;CK Mappings'!$B298,"")</f>
        <v/>
      </c>
      <c r="L302" s="26" t="str">
        <f>IF('MITRE ATT&amp;CK Mappings'!D298 &lt;&gt;"",'MITRE ATT&amp;CK Mappings'!D298,"" )</f>
        <v/>
      </c>
    </row>
    <row r="303" spans="1:12" x14ac:dyDescent="0.25">
      <c r="A303" s="27" t="str">
        <f>IF(COUNTIF(B303:K303,"="&amp;'MITRE ATT&amp;CK Mappings'!B299)&gt;0,'MITRE ATT&amp;CK Mappings'!B299,"")</f>
        <v/>
      </c>
      <c r="B303" s="27" t="str">
        <f>IF(OR(OR(OR(OR(OR(ISNUMBER(SEARCH(IF(B$1&lt;&gt;"",B$1,"NA"),'MITRE ATT&amp;CK Mappings'!$E299)),ISNUMBER(SEARCH(IF(B$1&lt;&gt;"",B$1,"NA"),'MITRE ATT&amp;CK Mappings'!$F299))),ISNUMBER(SEARCH(IF(B$2&lt;&gt;"",B$2,"NA"),'MITRE ATT&amp;CK Mappings'!$G299))),ISNUMBER(SEARCH(IF(B$2&lt;&gt;"",B$2,"NA"),'MITRE ATT&amp;CK Mappings'!$H299))),ISNUMBER(SEARCH(IF(B$3&lt;&gt;"",B$3,"NA"),'MITRE ATT&amp;CK Mappings'!$I299))),ISNUMBER(SEARCH(IF(B$3&lt;&gt;"",B$3,"NA"),'MITRE ATT&amp;CK Mappings'!$J299))), 'MITRE ATT&amp;CK Mappings'!$B299,"")</f>
        <v/>
      </c>
      <c r="C303" s="27" t="str">
        <f>IF(OR(OR(OR(OR(OR(ISNUMBER(SEARCH(IF(C$1&lt;&gt;"",C$1,"NA"),'MITRE ATT&amp;CK Mappings'!$E299)),ISNUMBER(SEARCH(IF(C$1&lt;&gt;"",C$1,"NA"),'MITRE ATT&amp;CK Mappings'!$F299))),ISNUMBER(SEARCH(IF(C$2&lt;&gt;"",C$2,"NA"),'MITRE ATT&amp;CK Mappings'!$G299))),ISNUMBER(SEARCH(IF(C$2&lt;&gt;"",C$2,"NA"),'MITRE ATT&amp;CK Mappings'!$H299))),ISNUMBER(SEARCH(IF(C$3&lt;&gt;"",C$3,"NA"),'MITRE ATT&amp;CK Mappings'!$I299))),ISNUMBER(SEARCH(IF(C$3&lt;&gt;"",C$3,"NA"),'MITRE ATT&amp;CK Mappings'!$J299))), 'MITRE ATT&amp;CK Mappings'!$B299,"")</f>
        <v/>
      </c>
      <c r="D303" s="27" t="str">
        <f>IF(OR(OR(OR(OR(OR(ISNUMBER(SEARCH(IF(D$1&lt;&gt;"",D$1,"NA"),'MITRE ATT&amp;CK Mappings'!$E299)),ISNUMBER(SEARCH(IF(D$1&lt;&gt;"",D$1,"NA"),'MITRE ATT&amp;CK Mappings'!$F299))),ISNUMBER(SEARCH(IF(D$2&lt;&gt;"",D$2,"NA"),'MITRE ATT&amp;CK Mappings'!$G299))),ISNUMBER(SEARCH(IF(D$2&lt;&gt;"",D$2,"NA"),'MITRE ATT&amp;CK Mappings'!$H299))),ISNUMBER(SEARCH(IF(D$3&lt;&gt;"",D$3,"NA"),'MITRE ATT&amp;CK Mappings'!$I299))),ISNUMBER(SEARCH(IF(D$3&lt;&gt;"",D$3,"NA"),'MITRE ATT&amp;CK Mappings'!$J299))), 'MITRE ATT&amp;CK Mappings'!$B299,"")</f>
        <v/>
      </c>
      <c r="E303" s="27" t="str">
        <f>IF(OR(OR(OR(OR(OR(ISNUMBER(SEARCH(IF(E$1&lt;&gt;"",E$1,"NA"),'MITRE ATT&amp;CK Mappings'!$E299)),ISNUMBER(SEARCH(IF(E$1&lt;&gt;"",E$1,"NA"),'MITRE ATT&amp;CK Mappings'!$F299))),ISNUMBER(SEARCH(IF(E$2&lt;&gt;"",E$2,"NA"),'MITRE ATT&amp;CK Mappings'!$G299))),ISNUMBER(SEARCH(IF(E$2&lt;&gt;"",E$2,"NA"),'MITRE ATT&amp;CK Mappings'!$H299))),ISNUMBER(SEARCH(IF(E$3&lt;&gt;"",E$3,"NA"),'MITRE ATT&amp;CK Mappings'!$I299))),ISNUMBER(SEARCH(IF(E$3&lt;&gt;"",E$3,"NA"),'MITRE ATT&amp;CK Mappings'!$J299))), 'MITRE ATT&amp;CK Mappings'!$B299,"")</f>
        <v/>
      </c>
      <c r="F303" s="27" t="str">
        <f>IF(OR(OR(OR(OR(OR(ISNUMBER(SEARCH(IF(F$1&lt;&gt;"",F$1,"NA"),'MITRE ATT&amp;CK Mappings'!$E299)),ISNUMBER(SEARCH(IF(F$1&lt;&gt;"",F$1,"NA"),'MITRE ATT&amp;CK Mappings'!$F299))),ISNUMBER(SEARCH(IF(F$2&lt;&gt;"",F$2,"NA"),'MITRE ATT&amp;CK Mappings'!$G299))),ISNUMBER(SEARCH(IF(F$2&lt;&gt;"",F$2,"NA"),'MITRE ATT&amp;CK Mappings'!$H299))),ISNUMBER(SEARCH(IF(F$3&lt;&gt;"",F$3,"NA"),'MITRE ATT&amp;CK Mappings'!$I299))),ISNUMBER(SEARCH(IF(F$3&lt;&gt;"",F$3,"NA"),'MITRE ATT&amp;CK Mappings'!$J299))), 'MITRE ATT&amp;CK Mappings'!$B299,"")</f>
        <v/>
      </c>
      <c r="G303" s="27" t="str">
        <f>IF(OR(OR(OR(OR(OR(ISNUMBER(SEARCH(IF(G$1&lt;&gt;"",G$1,"NA"),'MITRE ATT&amp;CK Mappings'!$E299)),ISNUMBER(SEARCH(IF(G$1&lt;&gt;"",G$1,"NA"),'MITRE ATT&amp;CK Mappings'!$F299))),ISNUMBER(SEARCH(IF(G$2&lt;&gt;"",G$2,"NA"),'MITRE ATT&amp;CK Mappings'!$G299))),ISNUMBER(SEARCH(IF(G$2&lt;&gt;"",G$2,"NA"),'MITRE ATT&amp;CK Mappings'!$H299))),ISNUMBER(SEARCH(IF(G$3&lt;&gt;"",G$3,"NA"),'MITRE ATT&amp;CK Mappings'!$I299))),ISNUMBER(SEARCH(IF(G$3&lt;&gt;"",G$3,"NA"),'MITRE ATT&amp;CK Mappings'!$J299))), 'MITRE ATT&amp;CK Mappings'!$B299,"")</f>
        <v/>
      </c>
      <c r="H303" s="27" t="str">
        <f>IF(OR(OR(OR(OR(OR(ISNUMBER(SEARCH(IF(H$1&lt;&gt;"",H$1,"NA"),'MITRE ATT&amp;CK Mappings'!$E299)),ISNUMBER(SEARCH(IF(H$1&lt;&gt;"",H$1,"NA"),'MITRE ATT&amp;CK Mappings'!$F299))),ISNUMBER(SEARCH(IF(H$2&lt;&gt;"",H$2,"NA"),'MITRE ATT&amp;CK Mappings'!$G299))),ISNUMBER(SEARCH(IF(H$2&lt;&gt;"",H$2,"NA"),'MITRE ATT&amp;CK Mappings'!$H299))),ISNUMBER(SEARCH(IF(H$3&lt;&gt;"",H$3,"NA"),'MITRE ATT&amp;CK Mappings'!$I299))),ISNUMBER(SEARCH(IF(H$3&lt;&gt;"",H$3,"NA"),'MITRE ATT&amp;CK Mappings'!$J299))), 'MITRE ATT&amp;CK Mappings'!$B299,"")</f>
        <v/>
      </c>
      <c r="I303" s="27" t="str">
        <f>IF(OR(OR(OR(OR(OR(ISNUMBER(SEARCH(IF(I$1&lt;&gt;"",I$1,"NA"),'MITRE ATT&amp;CK Mappings'!$E299)),ISNUMBER(SEARCH(IF(I$1&lt;&gt;"",I$1,"NA"),'MITRE ATT&amp;CK Mappings'!$F299))),ISNUMBER(SEARCH(IF(I$2&lt;&gt;"",I$2,"NA"),'MITRE ATT&amp;CK Mappings'!$G299))),ISNUMBER(SEARCH(IF(I$2&lt;&gt;"",I$2,"NA"),'MITRE ATT&amp;CK Mappings'!$H299))),ISNUMBER(SEARCH(IF(I$3&lt;&gt;"",I$3,"NA"),'MITRE ATT&amp;CK Mappings'!$I299))),ISNUMBER(SEARCH(IF(I$3&lt;&gt;"",I$3,"NA"),'MITRE ATT&amp;CK Mappings'!$J299))), 'MITRE ATT&amp;CK Mappings'!$B299,"")</f>
        <v/>
      </c>
      <c r="J303" s="27" t="str">
        <f>IF(OR(OR(OR(OR(OR(ISNUMBER(SEARCH(IF(J$1&lt;&gt;"",J$1,"NA"),'MITRE ATT&amp;CK Mappings'!$E299)),ISNUMBER(SEARCH(IF(J$1&lt;&gt;"",J$1,"NA"),'MITRE ATT&amp;CK Mappings'!$F299))),ISNUMBER(SEARCH(IF(J$2&lt;&gt;"",J$2,"NA"),'MITRE ATT&amp;CK Mappings'!$G299))),ISNUMBER(SEARCH(IF(J$2&lt;&gt;"",J$2,"NA"),'MITRE ATT&amp;CK Mappings'!$H299))),ISNUMBER(SEARCH(IF(J$3&lt;&gt;"",J$3,"NA"),'MITRE ATT&amp;CK Mappings'!$I299))),ISNUMBER(SEARCH(IF(J$3&lt;&gt;"",J$3,"NA"),'MITRE ATT&amp;CK Mappings'!$J299))), 'MITRE ATT&amp;CK Mappings'!$B299,"")</f>
        <v/>
      </c>
      <c r="K303" s="27" t="str">
        <f>IF(OR(OR(OR(OR(OR(ISNUMBER(SEARCH(IF(K$1&lt;&gt;"",K$1,"NA"),'MITRE ATT&amp;CK Mappings'!$E299)),ISNUMBER(SEARCH(IF(K$1&lt;&gt;"",K$1,"NA"),'MITRE ATT&amp;CK Mappings'!$F299))),ISNUMBER(SEARCH(IF(K$2&lt;&gt;"",K$2,"NA"),'MITRE ATT&amp;CK Mappings'!$G299))),ISNUMBER(SEARCH(IF(K$2&lt;&gt;"",K$2,"NA"),'MITRE ATT&amp;CK Mappings'!$H299))),ISNUMBER(SEARCH(IF(K$3&lt;&gt;"",K$3,"NA"),'MITRE ATT&amp;CK Mappings'!$I299))),ISNUMBER(SEARCH(IF(K$3&lt;&gt;"",K$3,"NA"),'MITRE ATT&amp;CK Mappings'!$J299))), 'MITRE ATT&amp;CK Mappings'!$B299,"")</f>
        <v/>
      </c>
      <c r="L303" s="27" t="str">
        <f>IF('MITRE ATT&amp;CK Mappings'!D299 &lt;&gt;"",'MITRE ATT&amp;CK Mappings'!D299,"" )</f>
        <v/>
      </c>
    </row>
    <row r="304" spans="1:12" x14ac:dyDescent="0.25">
      <c r="A304" s="26" t="str">
        <f>IF(COUNTIF(B304:K304,"="&amp;'MITRE ATT&amp;CK Mappings'!B300)&gt;0,'MITRE ATT&amp;CK Mappings'!B300,"")</f>
        <v/>
      </c>
      <c r="B304" s="26" t="str">
        <f>IF(OR(OR(OR(OR(OR(ISNUMBER(SEARCH(IF(B$1&lt;&gt;"",B$1,"NA"),'MITRE ATT&amp;CK Mappings'!$E300)),ISNUMBER(SEARCH(IF(B$1&lt;&gt;"",B$1,"NA"),'MITRE ATT&amp;CK Mappings'!$F300))),ISNUMBER(SEARCH(IF(B$2&lt;&gt;"",B$2,"NA"),'MITRE ATT&amp;CK Mappings'!$G300))),ISNUMBER(SEARCH(IF(B$2&lt;&gt;"",B$2,"NA"),'MITRE ATT&amp;CK Mappings'!$H300))),ISNUMBER(SEARCH(IF(B$3&lt;&gt;"",B$3,"NA"),'MITRE ATT&amp;CK Mappings'!$I300))),ISNUMBER(SEARCH(IF(B$3&lt;&gt;"",B$3,"NA"),'MITRE ATT&amp;CK Mappings'!$J300))), 'MITRE ATT&amp;CK Mappings'!$B300,"")</f>
        <v/>
      </c>
      <c r="C304" s="26" t="str">
        <f>IF(OR(OR(OR(OR(OR(ISNUMBER(SEARCH(IF(C$1&lt;&gt;"",C$1,"NA"),'MITRE ATT&amp;CK Mappings'!$E300)),ISNUMBER(SEARCH(IF(C$1&lt;&gt;"",C$1,"NA"),'MITRE ATT&amp;CK Mappings'!$F300))),ISNUMBER(SEARCH(IF(C$2&lt;&gt;"",C$2,"NA"),'MITRE ATT&amp;CK Mappings'!$G300))),ISNUMBER(SEARCH(IF(C$2&lt;&gt;"",C$2,"NA"),'MITRE ATT&amp;CK Mappings'!$H300))),ISNUMBER(SEARCH(IF(C$3&lt;&gt;"",C$3,"NA"),'MITRE ATT&amp;CK Mappings'!$I300))),ISNUMBER(SEARCH(IF(C$3&lt;&gt;"",C$3,"NA"),'MITRE ATT&amp;CK Mappings'!$J300))), 'MITRE ATT&amp;CK Mappings'!$B300,"")</f>
        <v/>
      </c>
      <c r="D304" s="26" t="str">
        <f>IF(OR(OR(OR(OR(OR(ISNUMBER(SEARCH(IF(D$1&lt;&gt;"",D$1,"NA"),'MITRE ATT&amp;CK Mappings'!$E300)),ISNUMBER(SEARCH(IF(D$1&lt;&gt;"",D$1,"NA"),'MITRE ATT&amp;CK Mappings'!$F300))),ISNUMBER(SEARCH(IF(D$2&lt;&gt;"",D$2,"NA"),'MITRE ATT&amp;CK Mappings'!$G300))),ISNUMBER(SEARCH(IF(D$2&lt;&gt;"",D$2,"NA"),'MITRE ATT&amp;CK Mappings'!$H300))),ISNUMBER(SEARCH(IF(D$3&lt;&gt;"",D$3,"NA"),'MITRE ATT&amp;CK Mappings'!$I300))),ISNUMBER(SEARCH(IF(D$3&lt;&gt;"",D$3,"NA"),'MITRE ATT&amp;CK Mappings'!$J300))), 'MITRE ATT&amp;CK Mappings'!$B300,"")</f>
        <v/>
      </c>
      <c r="E304" s="26" t="str">
        <f>IF(OR(OR(OR(OR(OR(ISNUMBER(SEARCH(IF(E$1&lt;&gt;"",E$1,"NA"),'MITRE ATT&amp;CK Mappings'!$E300)),ISNUMBER(SEARCH(IF(E$1&lt;&gt;"",E$1,"NA"),'MITRE ATT&amp;CK Mappings'!$F300))),ISNUMBER(SEARCH(IF(E$2&lt;&gt;"",E$2,"NA"),'MITRE ATT&amp;CK Mappings'!$G300))),ISNUMBER(SEARCH(IF(E$2&lt;&gt;"",E$2,"NA"),'MITRE ATT&amp;CK Mappings'!$H300))),ISNUMBER(SEARCH(IF(E$3&lt;&gt;"",E$3,"NA"),'MITRE ATT&amp;CK Mappings'!$I300))),ISNUMBER(SEARCH(IF(E$3&lt;&gt;"",E$3,"NA"),'MITRE ATT&amp;CK Mappings'!$J300))), 'MITRE ATT&amp;CK Mappings'!$B300,"")</f>
        <v/>
      </c>
      <c r="F304" s="26" t="str">
        <f>IF(OR(OR(OR(OR(OR(ISNUMBER(SEARCH(IF(F$1&lt;&gt;"",F$1,"NA"),'MITRE ATT&amp;CK Mappings'!$E300)),ISNUMBER(SEARCH(IF(F$1&lt;&gt;"",F$1,"NA"),'MITRE ATT&amp;CK Mappings'!$F300))),ISNUMBER(SEARCH(IF(F$2&lt;&gt;"",F$2,"NA"),'MITRE ATT&amp;CK Mappings'!$G300))),ISNUMBER(SEARCH(IF(F$2&lt;&gt;"",F$2,"NA"),'MITRE ATT&amp;CK Mappings'!$H300))),ISNUMBER(SEARCH(IF(F$3&lt;&gt;"",F$3,"NA"),'MITRE ATT&amp;CK Mappings'!$I300))),ISNUMBER(SEARCH(IF(F$3&lt;&gt;"",F$3,"NA"),'MITRE ATT&amp;CK Mappings'!$J300))), 'MITRE ATT&amp;CK Mappings'!$B300,"")</f>
        <v/>
      </c>
      <c r="G304" s="26" t="str">
        <f>IF(OR(OR(OR(OR(OR(ISNUMBER(SEARCH(IF(G$1&lt;&gt;"",G$1,"NA"),'MITRE ATT&amp;CK Mappings'!$E300)),ISNUMBER(SEARCH(IF(G$1&lt;&gt;"",G$1,"NA"),'MITRE ATT&amp;CK Mappings'!$F300))),ISNUMBER(SEARCH(IF(G$2&lt;&gt;"",G$2,"NA"),'MITRE ATT&amp;CK Mappings'!$G300))),ISNUMBER(SEARCH(IF(G$2&lt;&gt;"",G$2,"NA"),'MITRE ATT&amp;CK Mappings'!$H300))),ISNUMBER(SEARCH(IF(G$3&lt;&gt;"",G$3,"NA"),'MITRE ATT&amp;CK Mappings'!$I300))),ISNUMBER(SEARCH(IF(G$3&lt;&gt;"",G$3,"NA"),'MITRE ATT&amp;CK Mappings'!$J300))), 'MITRE ATT&amp;CK Mappings'!$B300,"")</f>
        <v/>
      </c>
      <c r="H304" s="26" t="str">
        <f>IF(OR(OR(OR(OR(OR(ISNUMBER(SEARCH(IF(H$1&lt;&gt;"",H$1,"NA"),'MITRE ATT&amp;CK Mappings'!$E300)),ISNUMBER(SEARCH(IF(H$1&lt;&gt;"",H$1,"NA"),'MITRE ATT&amp;CK Mappings'!$F300))),ISNUMBER(SEARCH(IF(H$2&lt;&gt;"",H$2,"NA"),'MITRE ATT&amp;CK Mappings'!$G300))),ISNUMBER(SEARCH(IF(H$2&lt;&gt;"",H$2,"NA"),'MITRE ATT&amp;CK Mappings'!$H300))),ISNUMBER(SEARCH(IF(H$3&lt;&gt;"",H$3,"NA"),'MITRE ATT&amp;CK Mappings'!$I300))),ISNUMBER(SEARCH(IF(H$3&lt;&gt;"",H$3,"NA"),'MITRE ATT&amp;CK Mappings'!$J300))), 'MITRE ATT&amp;CK Mappings'!$B300,"")</f>
        <v/>
      </c>
      <c r="I304" s="26" t="str">
        <f>IF(OR(OR(OR(OR(OR(ISNUMBER(SEARCH(IF(I$1&lt;&gt;"",I$1,"NA"),'MITRE ATT&amp;CK Mappings'!$E300)),ISNUMBER(SEARCH(IF(I$1&lt;&gt;"",I$1,"NA"),'MITRE ATT&amp;CK Mappings'!$F300))),ISNUMBER(SEARCH(IF(I$2&lt;&gt;"",I$2,"NA"),'MITRE ATT&amp;CK Mappings'!$G300))),ISNUMBER(SEARCH(IF(I$2&lt;&gt;"",I$2,"NA"),'MITRE ATT&amp;CK Mappings'!$H300))),ISNUMBER(SEARCH(IF(I$3&lt;&gt;"",I$3,"NA"),'MITRE ATT&amp;CK Mappings'!$I300))),ISNUMBER(SEARCH(IF(I$3&lt;&gt;"",I$3,"NA"),'MITRE ATT&amp;CK Mappings'!$J300))), 'MITRE ATT&amp;CK Mappings'!$B300,"")</f>
        <v/>
      </c>
      <c r="J304" s="26" t="str">
        <f>IF(OR(OR(OR(OR(OR(ISNUMBER(SEARCH(IF(J$1&lt;&gt;"",J$1,"NA"),'MITRE ATT&amp;CK Mappings'!$E300)),ISNUMBER(SEARCH(IF(J$1&lt;&gt;"",J$1,"NA"),'MITRE ATT&amp;CK Mappings'!$F300))),ISNUMBER(SEARCH(IF(J$2&lt;&gt;"",J$2,"NA"),'MITRE ATT&amp;CK Mappings'!$G300))),ISNUMBER(SEARCH(IF(J$2&lt;&gt;"",J$2,"NA"),'MITRE ATT&amp;CK Mappings'!$H300))),ISNUMBER(SEARCH(IF(J$3&lt;&gt;"",J$3,"NA"),'MITRE ATT&amp;CK Mappings'!$I300))),ISNUMBER(SEARCH(IF(J$3&lt;&gt;"",J$3,"NA"),'MITRE ATT&amp;CK Mappings'!$J300))), 'MITRE ATT&amp;CK Mappings'!$B300,"")</f>
        <v/>
      </c>
      <c r="K304" s="26" t="str">
        <f>IF(OR(OR(OR(OR(OR(ISNUMBER(SEARCH(IF(K$1&lt;&gt;"",K$1,"NA"),'MITRE ATT&amp;CK Mappings'!$E300)),ISNUMBER(SEARCH(IF(K$1&lt;&gt;"",K$1,"NA"),'MITRE ATT&amp;CK Mappings'!$F300))),ISNUMBER(SEARCH(IF(K$2&lt;&gt;"",K$2,"NA"),'MITRE ATT&amp;CK Mappings'!$G300))),ISNUMBER(SEARCH(IF(K$2&lt;&gt;"",K$2,"NA"),'MITRE ATT&amp;CK Mappings'!$H300))),ISNUMBER(SEARCH(IF(K$3&lt;&gt;"",K$3,"NA"),'MITRE ATT&amp;CK Mappings'!$I300))),ISNUMBER(SEARCH(IF(K$3&lt;&gt;"",K$3,"NA"),'MITRE ATT&amp;CK Mappings'!$J300))), 'MITRE ATT&amp;CK Mappings'!$B300,"")</f>
        <v/>
      </c>
      <c r="L304" s="26" t="str">
        <f>IF('MITRE ATT&amp;CK Mappings'!D300 &lt;&gt;"",'MITRE ATT&amp;CK Mappings'!D300,"" )</f>
        <v/>
      </c>
    </row>
    <row r="305" spans="1:12" x14ac:dyDescent="0.25">
      <c r="A305" s="27" t="str">
        <f>IF(COUNTIF(B305:K305,"="&amp;'MITRE ATT&amp;CK Mappings'!B301)&gt;0,'MITRE ATT&amp;CK Mappings'!B301,"")</f>
        <v/>
      </c>
      <c r="B305" s="27" t="str">
        <f>IF(OR(OR(OR(OR(OR(ISNUMBER(SEARCH(IF(B$1&lt;&gt;"",B$1,"NA"),'MITRE ATT&amp;CK Mappings'!$E301)),ISNUMBER(SEARCH(IF(B$1&lt;&gt;"",B$1,"NA"),'MITRE ATT&amp;CK Mappings'!$F301))),ISNUMBER(SEARCH(IF(B$2&lt;&gt;"",B$2,"NA"),'MITRE ATT&amp;CK Mappings'!$G301))),ISNUMBER(SEARCH(IF(B$2&lt;&gt;"",B$2,"NA"),'MITRE ATT&amp;CK Mappings'!$H301))),ISNUMBER(SEARCH(IF(B$3&lt;&gt;"",B$3,"NA"),'MITRE ATT&amp;CK Mappings'!$I301))),ISNUMBER(SEARCH(IF(B$3&lt;&gt;"",B$3,"NA"),'MITRE ATT&amp;CK Mappings'!$J301))), 'MITRE ATT&amp;CK Mappings'!$B301,"")</f>
        <v/>
      </c>
      <c r="C305" s="27" t="str">
        <f>IF(OR(OR(OR(OR(OR(ISNUMBER(SEARCH(IF(C$1&lt;&gt;"",C$1,"NA"),'MITRE ATT&amp;CK Mappings'!$E301)),ISNUMBER(SEARCH(IF(C$1&lt;&gt;"",C$1,"NA"),'MITRE ATT&amp;CK Mappings'!$F301))),ISNUMBER(SEARCH(IF(C$2&lt;&gt;"",C$2,"NA"),'MITRE ATT&amp;CK Mappings'!$G301))),ISNUMBER(SEARCH(IF(C$2&lt;&gt;"",C$2,"NA"),'MITRE ATT&amp;CK Mappings'!$H301))),ISNUMBER(SEARCH(IF(C$3&lt;&gt;"",C$3,"NA"),'MITRE ATT&amp;CK Mappings'!$I301))),ISNUMBER(SEARCH(IF(C$3&lt;&gt;"",C$3,"NA"),'MITRE ATT&amp;CK Mappings'!$J301))), 'MITRE ATT&amp;CK Mappings'!$B301,"")</f>
        <v/>
      </c>
      <c r="D305" s="27" t="str">
        <f>IF(OR(OR(OR(OR(OR(ISNUMBER(SEARCH(IF(D$1&lt;&gt;"",D$1,"NA"),'MITRE ATT&amp;CK Mappings'!$E301)),ISNUMBER(SEARCH(IF(D$1&lt;&gt;"",D$1,"NA"),'MITRE ATT&amp;CK Mappings'!$F301))),ISNUMBER(SEARCH(IF(D$2&lt;&gt;"",D$2,"NA"),'MITRE ATT&amp;CK Mappings'!$G301))),ISNUMBER(SEARCH(IF(D$2&lt;&gt;"",D$2,"NA"),'MITRE ATT&amp;CK Mappings'!$H301))),ISNUMBER(SEARCH(IF(D$3&lt;&gt;"",D$3,"NA"),'MITRE ATT&amp;CK Mappings'!$I301))),ISNUMBER(SEARCH(IF(D$3&lt;&gt;"",D$3,"NA"),'MITRE ATT&amp;CK Mappings'!$J301))), 'MITRE ATT&amp;CK Mappings'!$B301,"")</f>
        <v/>
      </c>
      <c r="E305" s="27" t="str">
        <f>IF(OR(OR(OR(OR(OR(ISNUMBER(SEARCH(IF(E$1&lt;&gt;"",E$1,"NA"),'MITRE ATT&amp;CK Mappings'!$E301)),ISNUMBER(SEARCH(IF(E$1&lt;&gt;"",E$1,"NA"),'MITRE ATT&amp;CK Mappings'!$F301))),ISNUMBER(SEARCH(IF(E$2&lt;&gt;"",E$2,"NA"),'MITRE ATT&amp;CK Mappings'!$G301))),ISNUMBER(SEARCH(IF(E$2&lt;&gt;"",E$2,"NA"),'MITRE ATT&amp;CK Mappings'!$H301))),ISNUMBER(SEARCH(IF(E$3&lt;&gt;"",E$3,"NA"),'MITRE ATT&amp;CK Mappings'!$I301))),ISNUMBER(SEARCH(IF(E$3&lt;&gt;"",E$3,"NA"),'MITRE ATT&amp;CK Mappings'!$J301))), 'MITRE ATT&amp;CK Mappings'!$B301,"")</f>
        <v/>
      </c>
      <c r="F305" s="27" t="str">
        <f>IF(OR(OR(OR(OR(OR(ISNUMBER(SEARCH(IF(F$1&lt;&gt;"",F$1,"NA"),'MITRE ATT&amp;CK Mappings'!$E301)),ISNUMBER(SEARCH(IF(F$1&lt;&gt;"",F$1,"NA"),'MITRE ATT&amp;CK Mappings'!$F301))),ISNUMBER(SEARCH(IF(F$2&lt;&gt;"",F$2,"NA"),'MITRE ATT&amp;CK Mappings'!$G301))),ISNUMBER(SEARCH(IF(F$2&lt;&gt;"",F$2,"NA"),'MITRE ATT&amp;CK Mappings'!$H301))),ISNUMBER(SEARCH(IF(F$3&lt;&gt;"",F$3,"NA"),'MITRE ATT&amp;CK Mappings'!$I301))),ISNUMBER(SEARCH(IF(F$3&lt;&gt;"",F$3,"NA"),'MITRE ATT&amp;CK Mappings'!$J301))), 'MITRE ATT&amp;CK Mappings'!$B301,"")</f>
        <v/>
      </c>
      <c r="G305" s="27" t="str">
        <f>IF(OR(OR(OR(OR(OR(ISNUMBER(SEARCH(IF(G$1&lt;&gt;"",G$1,"NA"),'MITRE ATT&amp;CK Mappings'!$E301)),ISNUMBER(SEARCH(IF(G$1&lt;&gt;"",G$1,"NA"),'MITRE ATT&amp;CK Mappings'!$F301))),ISNUMBER(SEARCH(IF(G$2&lt;&gt;"",G$2,"NA"),'MITRE ATT&amp;CK Mappings'!$G301))),ISNUMBER(SEARCH(IF(G$2&lt;&gt;"",G$2,"NA"),'MITRE ATT&amp;CK Mappings'!$H301))),ISNUMBER(SEARCH(IF(G$3&lt;&gt;"",G$3,"NA"),'MITRE ATT&amp;CK Mappings'!$I301))),ISNUMBER(SEARCH(IF(G$3&lt;&gt;"",G$3,"NA"),'MITRE ATT&amp;CK Mappings'!$J301))), 'MITRE ATT&amp;CK Mappings'!$B301,"")</f>
        <v/>
      </c>
      <c r="H305" s="27" t="str">
        <f>IF(OR(OR(OR(OR(OR(ISNUMBER(SEARCH(IF(H$1&lt;&gt;"",H$1,"NA"),'MITRE ATT&amp;CK Mappings'!$E301)),ISNUMBER(SEARCH(IF(H$1&lt;&gt;"",H$1,"NA"),'MITRE ATT&amp;CK Mappings'!$F301))),ISNUMBER(SEARCH(IF(H$2&lt;&gt;"",H$2,"NA"),'MITRE ATT&amp;CK Mappings'!$G301))),ISNUMBER(SEARCH(IF(H$2&lt;&gt;"",H$2,"NA"),'MITRE ATT&amp;CK Mappings'!$H301))),ISNUMBER(SEARCH(IF(H$3&lt;&gt;"",H$3,"NA"),'MITRE ATT&amp;CK Mappings'!$I301))),ISNUMBER(SEARCH(IF(H$3&lt;&gt;"",H$3,"NA"),'MITRE ATT&amp;CK Mappings'!$J301))), 'MITRE ATT&amp;CK Mappings'!$B301,"")</f>
        <v/>
      </c>
      <c r="I305" s="27" t="str">
        <f>IF(OR(OR(OR(OR(OR(ISNUMBER(SEARCH(IF(I$1&lt;&gt;"",I$1,"NA"),'MITRE ATT&amp;CK Mappings'!$E301)),ISNUMBER(SEARCH(IF(I$1&lt;&gt;"",I$1,"NA"),'MITRE ATT&amp;CK Mappings'!$F301))),ISNUMBER(SEARCH(IF(I$2&lt;&gt;"",I$2,"NA"),'MITRE ATT&amp;CK Mappings'!$G301))),ISNUMBER(SEARCH(IF(I$2&lt;&gt;"",I$2,"NA"),'MITRE ATT&amp;CK Mappings'!$H301))),ISNUMBER(SEARCH(IF(I$3&lt;&gt;"",I$3,"NA"),'MITRE ATT&amp;CK Mappings'!$I301))),ISNUMBER(SEARCH(IF(I$3&lt;&gt;"",I$3,"NA"),'MITRE ATT&amp;CK Mappings'!$J301))), 'MITRE ATT&amp;CK Mappings'!$B301,"")</f>
        <v/>
      </c>
      <c r="J305" s="27" t="str">
        <f>IF(OR(OR(OR(OR(OR(ISNUMBER(SEARCH(IF(J$1&lt;&gt;"",J$1,"NA"),'MITRE ATT&amp;CK Mappings'!$E301)),ISNUMBER(SEARCH(IF(J$1&lt;&gt;"",J$1,"NA"),'MITRE ATT&amp;CK Mappings'!$F301))),ISNUMBER(SEARCH(IF(J$2&lt;&gt;"",J$2,"NA"),'MITRE ATT&amp;CK Mappings'!$G301))),ISNUMBER(SEARCH(IF(J$2&lt;&gt;"",J$2,"NA"),'MITRE ATT&amp;CK Mappings'!$H301))),ISNUMBER(SEARCH(IF(J$3&lt;&gt;"",J$3,"NA"),'MITRE ATT&amp;CK Mappings'!$I301))),ISNUMBER(SEARCH(IF(J$3&lt;&gt;"",J$3,"NA"),'MITRE ATT&amp;CK Mappings'!$J301))), 'MITRE ATT&amp;CK Mappings'!$B301,"")</f>
        <v/>
      </c>
      <c r="K305" s="27" t="str">
        <f>IF(OR(OR(OR(OR(OR(ISNUMBER(SEARCH(IF(K$1&lt;&gt;"",K$1,"NA"),'MITRE ATT&amp;CK Mappings'!$E301)),ISNUMBER(SEARCH(IF(K$1&lt;&gt;"",K$1,"NA"),'MITRE ATT&amp;CK Mappings'!$F301))),ISNUMBER(SEARCH(IF(K$2&lt;&gt;"",K$2,"NA"),'MITRE ATT&amp;CK Mappings'!$G301))),ISNUMBER(SEARCH(IF(K$2&lt;&gt;"",K$2,"NA"),'MITRE ATT&amp;CK Mappings'!$H301))),ISNUMBER(SEARCH(IF(K$3&lt;&gt;"",K$3,"NA"),'MITRE ATT&amp;CK Mappings'!$I301))),ISNUMBER(SEARCH(IF(K$3&lt;&gt;"",K$3,"NA"),'MITRE ATT&amp;CK Mappings'!$J301))), 'MITRE ATT&amp;CK Mappings'!$B301,"")</f>
        <v/>
      </c>
      <c r="L305" s="27" t="str">
        <f>IF('MITRE ATT&amp;CK Mappings'!D301 &lt;&gt;"",'MITRE ATT&amp;CK Mappings'!D301,"" )</f>
        <v/>
      </c>
    </row>
    <row r="306" spans="1:12" x14ac:dyDescent="0.25">
      <c r="A306" s="26" t="str">
        <f>IF(COUNTIF(B306:K306,"="&amp;'MITRE ATT&amp;CK Mappings'!B302)&gt;0,'MITRE ATT&amp;CK Mappings'!B302,"")</f>
        <v/>
      </c>
      <c r="B306" s="26" t="str">
        <f>IF(OR(OR(OR(OR(OR(ISNUMBER(SEARCH(IF(B$1&lt;&gt;"",B$1,"NA"),'MITRE ATT&amp;CK Mappings'!$E302)),ISNUMBER(SEARCH(IF(B$1&lt;&gt;"",B$1,"NA"),'MITRE ATT&amp;CK Mappings'!$F302))),ISNUMBER(SEARCH(IF(B$2&lt;&gt;"",B$2,"NA"),'MITRE ATT&amp;CK Mappings'!$G302))),ISNUMBER(SEARCH(IF(B$2&lt;&gt;"",B$2,"NA"),'MITRE ATT&amp;CK Mappings'!$H302))),ISNUMBER(SEARCH(IF(B$3&lt;&gt;"",B$3,"NA"),'MITRE ATT&amp;CK Mappings'!$I302))),ISNUMBER(SEARCH(IF(B$3&lt;&gt;"",B$3,"NA"),'MITRE ATT&amp;CK Mappings'!$J302))), 'MITRE ATT&amp;CK Mappings'!$B302,"")</f>
        <v/>
      </c>
      <c r="C306" s="26" t="str">
        <f>IF(OR(OR(OR(OR(OR(ISNUMBER(SEARCH(IF(C$1&lt;&gt;"",C$1,"NA"),'MITRE ATT&amp;CK Mappings'!$E302)),ISNUMBER(SEARCH(IF(C$1&lt;&gt;"",C$1,"NA"),'MITRE ATT&amp;CK Mappings'!$F302))),ISNUMBER(SEARCH(IF(C$2&lt;&gt;"",C$2,"NA"),'MITRE ATT&amp;CK Mappings'!$G302))),ISNUMBER(SEARCH(IF(C$2&lt;&gt;"",C$2,"NA"),'MITRE ATT&amp;CK Mappings'!$H302))),ISNUMBER(SEARCH(IF(C$3&lt;&gt;"",C$3,"NA"),'MITRE ATT&amp;CK Mappings'!$I302))),ISNUMBER(SEARCH(IF(C$3&lt;&gt;"",C$3,"NA"),'MITRE ATT&amp;CK Mappings'!$J302))), 'MITRE ATT&amp;CK Mappings'!$B302,"")</f>
        <v/>
      </c>
      <c r="D306" s="26" t="str">
        <f>IF(OR(OR(OR(OR(OR(ISNUMBER(SEARCH(IF(D$1&lt;&gt;"",D$1,"NA"),'MITRE ATT&amp;CK Mappings'!$E302)),ISNUMBER(SEARCH(IF(D$1&lt;&gt;"",D$1,"NA"),'MITRE ATT&amp;CK Mappings'!$F302))),ISNUMBER(SEARCH(IF(D$2&lt;&gt;"",D$2,"NA"),'MITRE ATT&amp;CK Mappings'!$G302))),ISNUMBER(SEARCH(IF(D$2&lt;&gt;"",D$2,"NA"),'MITRE ATT&amp;CK Mappings'!$H302))),ISNUMBER(SEARCH(IF(D$3&lt;&gt;"",D$3,"NA"),'MITRE ATT&amp;CK Mappings'!$I302))),ISNUMBER(SEARCH(IF(D$3&lt;&gt;"",D$3,"NA"),'MITRE ATT&amp;CK Mappings'!$J302))), 'MITRE ATT&amp;CK Mappings'!$B302,"")</f>
        <v/>
      </c>
      <c r="E306" s="26" t="str">
        <f>IF(OR(OR(OR(OR(OR(ISNUMBER(SEARCH(IF(E$1&lt;&gt;"",E$1,"NA"),'MITRE ATT&amp;CK Mappings'!$E302)),ISNUMBER(SEARCH(IF(E$1&lt;&gt;"",E$1,"NA"),'MITRE ATT&amp;CK Mappings'!$F302))),ISNUMBER(SEARCH(IF(E$2&lt;&gt;"",E$2,"NA"),'MITRE ATT&amp;CK Mappings'!$G302))),ISNUMBER(SEARCH(IF(E$2&lt;&gt;"",E$2,"NA"),'MITRE ATT&amp;CK Mappings'!$H302))),ISNUMBER(SEARCH(IF(E$3&lt;&gt;"",E$3,"NA"),'MITRE ATT&amp;CK Mappings'!$I302))),ISNUMBER(SEARCH(IF(E$3&lt;&gt;"",E$3,"NA"),'MITRE ATT&amp;CK Mappings'!$J302))), 'MITRE ATT&amp;CK Mappings'!$B302,"")</f>
        <v/>
      </c>
      <c r="F306" s="26" t="str">
        <f>IF(OR(OR(OR(OR(OR(ISNUMBER(SEARCH(IF(F$1&lt;&gt;"",F$1,"NA"),'MITRE ATT&amp;CK Mappings'!$E302)),ISNUMBER(SEARCH(IF(F$1&lt;&gt;"",F$1,"NA"),'MITRE ATT&amp;CK Mappings'!$F302))),ISNUMBER(SEARCH(IF(F$2&lt;&gt;"",F$2,"NA"),'MITRE ATT&amp;CK Mappings'!$G302))),ISNUMBER(SEARCH(IF(F$2&lt;&gt;"",F$2,"NA"),'MITRE ATT&amp;CK Mappings'!$H302))),ISNUMBER(SEARCH(IF(F$3&lt;&gt;"",F$3,"NA"),'MITRE ATT&amp;CK Mappings'!$I302))),ISNUMBER(SEARCH(IF(F$3&lt;&gt;"",F$3,"NA"),'MITRE ATT&amp;CK Mappings'!$J302))), 'MITRE ATT&amp;CK Mappings'!$B302,"")</f>
        <v/>
      </c>
      <c r="G306" s="26" t="str">
        <f>IF(OR(OR(OR(OR(OR(ISNUMBER(SEARCH(IF(G$1&lt;&gt;"",G$1,"NA"),'MITRE ATT&amp;CK Mappings'!$E302)),ISNUMBER(SEARCH(IF(G$1&lt;&gt;"",G$1,"NA"),'MITRE ATT&amp;CK Mappings'!$F302))),ISNUMBER(SEARCH(IF(G$2&lt;&gt;"",G$2,"NA"),'MITRE ATT&amp;CK Mappings'!$G302))),ISNUMBER(SEARCH(IF(G$2&lt;&gt;"",G$2,"NA"),'MITRE ATT&amp;CK Mappings'!$H302))),ISNUMBER(SEARCH(IF(G$3&lt;&gt;"",G$3,"NA"),'MITRE ATT&amp;CK Mappings'!$I302))),ISNUMBER(SEARCH(IF(G$3&lt;&gt;"",G$3,"NA"),'MITRE ATT&amp;CK Mappings'!$J302))), 'MITRE ATT&amp;CK Mappings'!$B302,"")</f>
        <v/>
      </c>
      <c r="H306" s="26" t="str">
        <f>IF(OR(OR(OR(OR(OR(ISNUMBER(SEARCH(IF(H$1&lt;&gt;"",H$1,"NA"),'MITRE ATT&amp;CK Mappings'!$E302)),ISNUMBER(SEARCH(IF(H$1&lt;&gt;"",H$1,"NA"),'MITRE ATT&amp;CK Mappings'!$F302))),ISNUMBER(SEARCH(IF(H$2&lt;&gt;"",H$2,"NA"),'MITRE ATT&amp;CK Mappings'!$G302))),ISNUMBER(SEARCH(IF(H$2&lt;&gt;"",H$2,"NA"),'MITRE ATT&amp;CK Mappings'!$H302))),ISNUMBER(SEARCH(IF(H$3&lt;&gt;"",H$3,"NA"),'MITRE ATT&amp;CK Mappings'!$I302))),ISNUMBER(SEARCH(IF(H$3&lt;&gt;"",H$3,"NA"),'MITRE ATT&amp;CK Mappings'!$J302))), 'MITRE ATT&amp;CK Mappings'!$B302,"")</f>
        <v/>
      </c>
      <c r="I306" s="26" t="str">
        <f>IF(OR(OR(OR(OR(OR(ISNUMBER(SEARCH(IF(I$1&lt;&gt;"",I$1,"NA"),'MITRE ATT&amp;CK Mappings'!$E302)),ISNUMBER(SEARCH(IF(I$1&lt;&gt;"",I$1,"NA"),'MITRE ATT&amp;CK Mappings'!$F302))),ISNUMBER(SEARCH(IF(I$2&lt;&gt;"",I$2,"NA"),'MITRE ATT&amp;CK Mappings'!$G302))),ISNUMBER(SEARCH(IF(I$2&lt;&gt;"",I$2,"NA"),'MITRE ATT&amp;CK Mappings'!$H302))),ISNUMBER(SEARCH(IF(I$3&lt;&gt;"",I$3,"NA"),'MITRE ATT&amp;CK Mappings'!$I302))),ISNUMBER(SEARCH(IF(I$3&lt;&gt;"",I$3,"NA"),'MITRE ATT&amp;CK Mappings'!$J302))), 'MITRE ATT&amp;CK Mappings'!$B302,"")</f>
        <v/>
      </c>
      <c r="J306" s="26" t="str">
        <f>IF(OR(OR(OR(OR(OR(ISNUMBER(SEARCH(IF(J$1&lt;&gt;"",J$1,"NA"),'MITRE ATT&amp;CK Mappings'!$E302)),ISNUMBER(SEARCH(IF(J$1&lt;&gt;"",J$1,"NA"),'MITRE ATT&amp;CK Mappings'!$F302))),ISNUMBER(SEARCH(IF(J$2&lt;&gt;"",J$2,"NA"),'MITRE ATT&amp;CK Mappings'!$G302))),ISNUMBER(SEARCH(IF(J$2&lt;&gt;"",J$2,"NA"),'MITRE ATT&amp;CK Mappings'!$H302))),ISNUMBER(SEARCH(IF(J$3&lt;&gt;"",J$3,"NA"),'MITRE ATT&amp;CK Mappings'!$I302))),ISNUMBER(SEARCH(IF(J$3&lt;&gt;"",J$3,"NA"),'MITRE ATT&amp;CK Mappings'!$J302))), 'MITRE ATT&amp;CK Mappings'!$B302,"")</f>
        <v/>
      </c>
      <c r="K306" s="26" t="str">
        <f>IF(OR(OR(OR(OR(OR(ISNUMBER(SEARCH(IF(K$1&lt;&gt;"",K$1,"NA"),'MITRE ATT&amp;CK Mappings'!$E302)),ISNUMBER(SEARCH(IF(K$1&lt;&gt;"",K$1,"NA"),'MITRE ATT&amp;CK Mappings'!$F302))),ISNUMBER(SEARCH(IF(K$2&lt;&gt;"",K$2,"NA"),'MITRE ATT&amp;CK Mappings'!$G302))),ISNUMBER(SEARCH(IF(K$2&lt;&gt;"",K$2,"NA"),'MITRE ATT&amp;CK Mappings'!$H302))),ISNUMBER(SEARCH(IF(K$3&lt;&gt;"",K$3,"NA"),'MITRE ATT&amp;CK Mappings'!$I302))),ISNUMBER(SEARCH(IF(K$3&lt;&gt;"",K$3,"NA"),'MITRE ATT&amp;CK Mappings'!$J302))), 'MITRE ATT&amp;CK Mappings'!$B302,"")</f>
        <v/>
      </c>
      <c r="L306" s="26" t="str">
        <f>IF('MITRE ATT&amp;CK Mappings'!D302 &lt;&gt;"",'MITRE ATT&amp;CK Mappings'!D302,"" )</f>
        <v/>
      </c>
    </row>
    <row r="307" spans="1:12" x14ac:dyDescent="0.25">
      <c r="A307" s="27" t="str">
        <f>IF(COUNTIF(B307:K307,"="&amp;'MITRE ATT&amp;CK Mappings'!B303)&gt;0,'MITRE ATT&amp;CK Mappings'!B303,"")</f>
        <v/>
      </c>
      <c r="B307" s="27" t="str">
        <f>IF(OR(OR(OR(OR(OR(ISNUMBER(SEARCH(IF(B$1&lt;&gt;"",B$1,"NA"),'MITRE ATT&amp;CK Mappings'!$E303)),ISNUMBER(SEARCH(IF(B$1&lt;&gt;"",B$1,"NA"),'MITRE ATT&amp;CK Mappings'!$F303))),ISNUMBER(SEARCH(IF(B$2&lt;&gt;"",B$2,"NA"),'MITRE ATT&amp;CK Mappings'!$G303))),ISNUMBER(SEARCH(IF(B$2&lt;&gt;"",B$2,"NA"),'MITRE ATT&amp;CK Mappings'!$H303))),ISNUMBER(SEARCH(IF(B$3&lt;&gt;"",B$3,"NA"),'MITRE ATT&amp;CK Mappings'!$I303))),ISNUMBER(SEARCH(IF(B$3&lt;&gt;"",B$3,"NA"),'MITRE ATT&amp;CK Mappings'!$J303))), 'MITRE ATT&amp;CK Mappings'!$B303,"")</f>
        <v/>
      </c>
      <c r="C307" s="27" t="str">
        <f>IF(OR(OR(OR(OR(OR(ISNUMBER(SEARCH(IF(C$1&lt;&gt;"",C$1,"NA"),'MITRE ATT&amp;CK Mappings'!$E303)),ISNUMBER(SEARCH(IF(C$1&lt;&gt;"",C$1,"NA"),'MITRE ATT&amp;CK Mappings'!$F303))),ISNUMBER(SEARCH(IF(C$2&lt;&gt;"",C$2,"NA"),'MITRE ATT&amp;CK Mappings'!$G303))),ISNUMBER(SEARCH(IF(C$2&lt;&gt;"",C$2,"NA"),'MITRE ATT&amp;CK Mappings'!$H303))),ISNUMBER(SEARCH(IF(C$3&lt;&gt;"",C$3,"NA"),'MITRE ATT&amp;CK Mappings'!$I303))),ISNUMBER(SEARCH(IF(C$3&lt;&gt;"",C$3,"NA"),'MITRE ATT&amp;CK Mappings'!$J303))), 'MITRE ATT&amp;CK Mappings'!$B303,"")</f>
        <v/>
      </c>
      <c r="D307" s="27" t="str">
        <f>IF(OR(OR(OR(OR(OR(ISNUMBER(SEARCH(IF(D$1&lt;&gt;"",D$1,"NA"),'MITRE ATT&amp;CK Mappings'!$E303)),ISNUMBER(SEARCH(IF(D$1&lt;&gt;"",D$1,"NA"),'MITRE ATT&amp;CK Mappings'!$F303))),ISNUMBER(SEARCH(IF(D$2&lt;&gt;"",D$2,"NA"),'MITRE ATT&amp;CK Mappings'!$G303))),ISNUMBER(SEARCH(IF(D$2&lt;&gt;"",D$2,"NA"),'MITRE ATT&amp;CK Mappings'!$H303))),ISNUMBER(SEARCH(IF(D$3&lt;&gt;"",D$3,"NA"),'MITRE ATT&amp;CK Mappings'!$I303))),ISNUMBER(SEARCH(IF(D$3&lt;&gt;"",D$3,"NA"),'MITRE ATT&amp;CK Mappings'!$J303))), 'MITRE ATT&amp;CK Mappings'!$B303,"")</f>
        <v/>
      </c>
      <c r="E307" s="27" t="str">
        <f>IF(OR(OR(OR(OR(OR(ISNUMBER(SEARCH(IF(E$1&lt;&gt;"",E$1,"NA"),'MITRE ATT&amp;CK Mappings'!$E303)),ISNUMBER(SEARCH(IF(E$1&lt;&gt;"",E$1,"NA"),'MITRE ATT&amp;CK Mappings'!$F303))),ISNUMBER(SEARCH(IF(E$2&lt;&gt;"",E$2,"NA"),'MITRE ATT&amp;CK Mappings'!$G303))),ISNUMBER(SEARCH(IF(E$2&lt;&gt;"",E$2,"NA"),'MITRE ATT&amp;CK Mappings'!$H303))),ISNUMBER(SEARCH(IF(E$3&lt;&gt;"",E$3,"NA"),'MITRE ATT&amp;CK Mappings'!$I303))),ISNUMBER(SEARCH(IF(E$3&lt;&gt;"",E$3,"NA"),'MITRE ATT&amp;CK Mappings'!$J303))), 'MITRE ATT&amp;CK Mappings'!$B303,"")</f>
        <v/>
      </c>
      <c r="F307" s="27" t="str">
        <f>IF(OR(OR(OR(OR(OR(ISNUMBER(SEARCH(IF(F$1&lt;&gt;"",F$1,"NA"),'MITRE ATT&amp;CK Mappings'!$E303)),ISNUMBER(SEARCH(IF(F$1&lt;&gt;"",F$1,"NA"),'MITRE ATT&amp;CK Mappings'!$F303))),ISNUMBER(SEARCH(IF(F$2&lt;&gt;"",F$2,"NA"),'MITRE ATT&amp;CK Mappings'!$G303))),ISNUMBER(SEARCH(IF(F$2&lt;&gt;"",F$2,"NA"),'MITRE ATT&amp;CK Mappings'!$H303))),ISNUMBER(SEARCH(IF(F$3&lt;&gt;"",F$3,"NA"),'MITRE ATT&amp;CK Mappings'!$I303))),ISNUMBER(SEARCH(IF(F$3&lt;&gt;"",F$3,"NA"),'MITRE ATT&amp;CK Mappings'!$J303))), 'MITRE ATT&amp;CK Mappings'!$B303,"")</f>
        <v/>
      </c>
      <c r="G307" s="27" t="str">
        <f>IF(OR(OR(OR(OR(OR(ISNUMBER(SEARCH(IF(G$1&lt;&gt;"",G$1,"NA"),'MITRE ATT&amp;CK Mappings'!$E303)),ISNUMBER(SEARCH(IF(G$1&lt;&gt;"",G$1,"NA"),'MITRE ATT&amp;CK Mappings'!$F303))),ISNUMBER(SEARCH(IF(G$2&lt;&gt;"",G$2,"NA"),'MITRE ATT&amp;CK Mappings'!$G303))),ISNUMBER(SEARCH(IF(G$2&lt;&gt;"",G$2,"NA"),'MITRE ATT&amp;CK Mappings'!$H303))),ISNUMBER(SEARCH(IF(G$3&lt;&gt;"",G$3,"NA"),'MITRE ATT&amp;CK Mappings'!$I303))),ISNUMBER(SEARCH(IF(G$3&lt;&gt;"",G$3,"NA"),'MITRE ATT&amp;CK Mappings'!$J303))), 'MITRE ATT&amp;CK Mappings'!$B303,"")</f>
        <v/>
      </c>
      <c r="H307" s="27" t="str">
        <f>IF(OR(OR(OR(OR(OR(ISNUMBER(SEARCH(IF(H$1&lt;&gt;"",H$1,"NA"),'MITRE ATT&amp;CK Mappings'!$E303)),ISNUMBER(SEARCH(IF(H$1&lt;&gt;"",H$1,"NA"),'MITRE ATT&amp;CK Mappings'!$F303))),ISNUMBER(SEARCH(IF(H$2&lt;&gt;"",H$2,"NA"),'MITRE ATT&amp;CK Mappings'!$G303))),ISNUMBER(SEARCH(IF(H$2&lt;&gt;"",H$2,"NA"),'MITRE ATT&amp;CK Mappings'!$H303))),ISNUMBER(SEARCH(IF(H$3&lt;&gt;"",H$3,"NA"),'MITRE ATT&amp;CK Mappings'!$I303))),ISNUMBER(SEARCH(IF(H$3&lt;&gt;"",H$3,"NA"),'MITRE ATT&amp;CK Mappings'!$J303))), 'MITRE ATT&amp;CK Mappings'!$B303,"")</f>
        <v/>
      </c>
      <c r="I307" s="27" t="str">
        <f>IF(OR(OR(OR(OR(OR(ISNUMBER(SEARCH(IF(I$1&lt;&gt;"",I$1,"NA"),'MITRE ATT&amp;CK Mappings'!$E303)),ISNUMBER(SEARCH(IF(I$1&lt;&gt;"",I$1,"NA"),'MITRE ATT&amp;CK Mappings'!$F303))),ISNUMBER(SEARCH(IF(I$2&lt;&gt;"",I$2,"NA"),'MITRE ATT&amp;CK Mappings'!$G303))),ISNUMBER(SEARCH(IF(I$2&lt;&gt;"",I$2,"NA"),'MITRE ATT&amp;CK Mappings'!$H303))),ISNUMBER(SEARCH(IF(I$3&lt;&gt;"",I$3,"NA"),'MITRE ATT&amp;CK Mappings'!$I303))),ISNUMBER(SEARCH(IF(I$3&lt;&gt;"",I$3,"NA"),'MITRE ATT&amp;CK Mappings'!$J303))), 'MITRE ATT&amp;CK Mappings'!$B303,"")</f>
        <v/>
      </c>
      <c r="J307" s="27" t="str">
        <f>IF(OR(OR(OR(OR(OR(ISNUMBER(SEARCH(IF(J$1&lt;&gt;"",J$1,"NA"),'MITRE ATT&amp;CK Mappings'!$E303)),ISNUMBER(SEARCH(IF(J$1&lt;&gt;"",J$1,"NA"),'MITRE ATT&amp;CK Mappings'!$F303))),ISNUMBER(SEARCH(IF(J$2&lt;&gt;"",J$2,"NA"),'MITRE ATT&amp;CK Mappings'!$G303))),ISNUMBER(SEARCH(IF(J$2&lt;&gt;"",J$2,"NA"),'MITRE ATT&amp;CK Mappings'!$H303))),ISNUMBER(SEARCH(IF(J$3&lt;&gt;"",J$3,"NA"),'MITRE ATT&amp;CK Mappings'!$I303))),ISNUMBER(SEARCH(IF(J$3&lt;&gt;"",J$3,"NA"),'MITRE ATT&amp;CK Mappings'!$J303))), 'MITRE ATT&amp;CK Mappings'!$B303,"")</f>
        <v/>
      </c>
      <c r="K307" s="27" t="str">
        <f>IF(OR(OR(OR(OR(OR(ISNUMBER(SEARCH(IF(K$1&lt;&gt;"",K$1,"NA"),'MITRE ATT&amp;CK Mappings'!$E303)),ISNUMBER(SEARCH(IF(K$1&lt;&gt;"",K$1,"NA"),'MITRE ATT&amp;CK Mappings'!$F303))),ISNUMBER(SEARCH(IF(K$2&lt;&gt;"",K$2,"NA"),'MITRE ATT&amp;CK Mappings'!$G303))),ISNUMBER(SEARCH(IF(K$2&lt;&gt;"",K$2,"NA"),'MITRE ATT&amp;CK Mappings'!$H303))),ISNUMBER(SEARCH(IF(K$3&lt;&gt;"",K$3,"NA"),'MITRE ATT&amp;CK Mappings'!$I303))),ISNUMBER(SEARCH(IF(K$3&lt;&gt;"",K$3,"NA"),'MITRE ATT&amp;CK Mappings'!$J303))), 'MITRE ATT&amp;CK Mappings'!$B303,"")</f>
        <v/>
      </c>
      <c r="L307" s="27" t="str">
        <f>IF('MITRE ATT&amp;CK Mappings'!D303 &lt;&gt;"",'MITRE ATT&amp;CK Mappings'!D303,"" )</f>
        <v/>
      </c>
    </row>
    <row r="308" spans="1:12" x14ac:dyDescent="0.25">
      <c r="A308" s="26" t="str">
        <f>IF(COUNTIF(B308:K308,"="&amp;'MITRE ATT&amp;CK Mappings'!B304)&gt;0,'MITRE ATT&amp;CK Mappings'!B304,"")</f>
        <v/>
      </c>
      <c r="B308" s="26" t="str">
        <f>IF(OR(OR(OR(OR(OR(ISNUMBER(SEARCH(IF(B$1&lt;&gt;"",B$1,"NA"),'MITRE ATT&amp;CK Mappings'!$E304)),ISNUMBER(SEARCH(IF(B$1&lt;&gt;"",B$1,"NA"),'MITRE ATT&amp;CK Mappings'!$F304))),ISNUMBER(SEARCH(IF(B$2&lt;&gt;"",B$2,"NA"),'MITRE ATT&amp;CK Mappings'!$G304))),ISNUMBER(SEARCH(IF(B$2&lt;&gt;"",B$2,"NA"),'MITRE ATT&amp;CK Mappings'!$H304))),ISNUMBER(SEARCH(IF(B$3&lt;&gt;"",B$3,"NA"),'MITRE ATT&amp;CK Mappings'!$I304))),ISNUMBER(SEARCH(IF(B$3&lt;&gt;"",B$3,"NA"),'MITRE ATT&amp;CK Mappings'!$J304))), 'MITRE ATT&amp;CK Mappings'!$B304,"")</f>
        <v/>
      </c>
      <c r="C308" s="26" t="str">
        <f>IF(OR(OR(OR(OR(OR(ISNUMBER(SEARCH(IF(C$1&lt;&gt;"",C$1,"NA"),'MITRE ATT&amp;CK Mappings'!$E304)),ISNUMBER(SEARCH(IF(C$1&lt;&gt;"",C$1,"NA"),'MITRE ATT&amp;CK Mappings'!$F304))),ISNUMBER(SEARCH(IF(C$2&lt;&gt;"",C$2,"NA"),'MITRE ATT&amp;CK Mappings'!$G304))),ISNUMBER(SEARCH(IF(C$2&lt;&gt;"",C$2,"NA"),'MITRE ATT&amp;CK Mappings'!$H304))),ISNUMBER(SEARCH(IF(C$3&lt;&gt;"",C$3,"NA"),'MITRE ATT&amp;CK Mappings'!$I304))),ISNUMBER(SEARCH(IF(C$3&lt;&gt;"",C$3,"NA"),'MITRE ATT&amp;CK Mappings'!$J304))), 'MITRE ATT&amp;CK Mappings'!$B304,"")</f>
        <v/>
      </c>
      <c r="D308" s="26" t="str">
        <f>IF(OR(OR(OR(OR(OR(ISNUMBER(SEARCH(IF(D$1&lt;&gt;"",D$1,"NA"),'MITRE ATT&amp;CK Mappings'!$E304)),ISNUMBER(SEARCH(IF(D$1&lt;&gt;"",D$1,"NA"),'MITRE ATT&amp;CK Mappings'!$F304))),ISNUMBER(SEARCH(IF(D$2&lt;&gt;"",D$2,"NA"),'MITRE ATT&amp;CK Mappings'!$G304))),ISNUMBER(SEARCH(IF(D$2&lt;&gt;"",D$2,"NA"),'MITRE ATT&amp;CK Mappings'!$H304))),ISNUMBER(SEARCH(IF(D$3&lt;&gt;"",D$3,"NA"),'MITRE ATT&amp;CK Mappings'!$I304))),ISNUMBER(SEARCH(IF(D$3&lt;&gt;"",D$3,"NA"),'MITRE ATT&amp;CK Mappings'!$J304))), 'MITRE ATT&amp;CK Mappings'!$B304,"")</f>
        <v/>
      </c>
      <c r="E308" s="26" t="str">
        <f>IF(OR(OR(OR(OR(OR(ISNUMBER(SEARCH(IF(E$1&lt;&gt;"",E$1,"NA"),'MITRE ATT&amp;CK Mappings'!$E304)),ISNUMBER(SEARCH(IF(E$1&lt;&gt;"",E$1,"NA"),'MITRE ATT&amp;CK Mappings'!$F304))),ISNUMBER(SEARCH(IF(E$2&lt;&gt;"",E$2,"NA"),'MITRE ATT&amp;CK Mappings'!$G304))),ISNUMBER(SEARCH(IF(E$2&lt;&gt;"",E$2,"NA"),'MITRE ATT&amp;CK Mappings'!$H304))),ISNUMBER(SEARCH(IF(E$3&lt;&gt;"",E$3,"NA"),'MITRE ATT&amp;CK Mappings'!$I304))),ISNUMBER(SEARCH(IF(E$3&lt;&gt;"",E$3,"NA"),'MITRE ATT&amp;CK Mappings'!$J304))), 'MITRE ATT&amp;CK Mappings'!$B304,"")</f>
        <v/>
      </c>
      <c r="F308" s="26" t="str">
        <f>IF(OR(OR(OR(OR(OR(ISNUMBER(SEARCH(IF(F$1&lt;&gt;"",F$1,"NA"),'MITRE ATT&amp;CK Mappings'!$E304)),ISNUMBER(SEARCH(IF(F$1&lt;&gt;"",F$1,"NA"),'MITRE ATT&amp;CK Mappings'!$F304))),ISNUMBER(SEARCH(IF(F$2&lt;&gt;"",F$2,"NA"),'MITRE ATT&amp;CK Mappings'!$G304))),ISNUMBER(SEARCH(IF(F$2&lt;&gt;"",F$2,"NA"),'MITRE ATT&amp;CK Mappings'!$H304))),ISNUMBER(SEARCH(IF(F$3&lt;&gt;"",F$3,"NA"),'MITRE ATT&amp;CK Mappings'!$I304))),ISNUMBER(SEARCH(IF(F$3&lt;&gt;"",F$3,"NA"),'MITRE ATT&amp;CK Mappings'!$J304))), 'MITRE ATT&amp;CK Mappings'!$B304,"")</f>
        <v/>
      </c>
      <c r="G308" s="26" t="str">
        <f>IF(OR(OR(OR(OR(OR(ISNUMBER(SEARCH(IF(G$1&lt;&gt;"",G$1,"NA"),'MITRE ATT&amp;CK Mappings'!$E304)),ISNUMBER(SEARCH(IF(G$1&lt;&gt;"",G$1,"NA"),'MITRE ATT&amp;CK Mappings'!$F304))),ISNUMBER(SEARCH(IF(G$2&lt;&gt;"",G$2,"NA"),'MITRE ATT&amp;CK Mappings'!$G304))),ISNUMBER(SEARCH(IF(G$2&lt;&gt;"",G$2,"NA"),'MITRE ATT&amp;CK Mappings'!$H304))),ISNUMBER(SEARCH(IF(G$3&lt;&gt;"",G$3,"NA"),'MITRE ATT&amp;CK Mappings'!$I304))),ISNUMBER(SEARCH(IF(G$3&lt;&gt;"",G$3,"NA"),'MITRE ATT&amp;CK Mappings'!$J304))), 'MITRE ATT&amp;CK Mappings'!$B304,"")</f>
        <v/>
      </c>
      <c r="H308" s="26" t="str">
        <f>IF(OR(OR(OR(OR(OR(ISNUMBER(SEARCH(IF(H$1&lt;&gt;"",H$1,"NA"),'MITRE ATT&amp;CK Mappings'!$E304)),ISNUMBER(SEARCH(IF(H$1&lt;&gt;"",H$1,"NA"),'MITRE ATT&amp;CK Mappings'!$F304))),ISNUMBER(SEARCH(IF(H$2&lt;&gt;"",H$2,"NA"),'MITRE ATT&amp;CK Mappings'!$G304))),ISNUMBER(SEARCH(IF(H$2&lt;&gt;"",H$2,"NA"),'MITRE ATT&amp;CK Mappings'!$H304))),ISNUMBER(SEARCH(IF(H$3&lt;&gt;"",H$3,"NA"),'MITRE ATT&amp;CK Mappings'!$I304))),ISNUMBER(SEARCH(IF(H$3&lt;&gt;"",H$3,"NA"),'MITRE ATT&amp;CK Mappings'!$J304))), 'MITRE ATT&amp;CK Mappings'!$B304,"")</f>
        <v/>
      </c>
      <c r="I308" s="26" t="str">
        <f>IF(OR(OR(OR(OR(OR(ISNUMBER(SEARCH(IF(I$1&lt;&gt;"",I$1,"NA"),'MITRE ATT&amp;CK Mappings'!$E304)),ISNUMBER(SEARCH(IF(I$1&lt;&gt;"",I$1,"NA"),'MITRE ATT&amp;CK Mappings'!$F304))),ISNUMBER(SEARCH(IF(I$2&lt;&gt;"",I$2,"NA"),'MITRE ATT&amp;CK Mappings'!$G304))),ISNUMBER(SEARCH(IF(I$2&lt;&gt;"",I$2,"NA"),'MITRE ATT&amp;CK Mappings'!$H304))),ISNUMBER(SEARCH(IF(I$3&lt;&gt;"",I$3,"NA"),'MITRE ATT&amp;CK Mappings'!$I304))),ISNUMBER(SEARCH(IF(I$3&lt;&gt;"",I$3,"NA"),'MITRE ATT&amp;CK Mappings'!$J304))), 'MITRE ATT&amp;CK Mappings'!$B304,"")</f>
        <v/>
      </c>
      <c r="J308" s="26" t="str">
        <f>IF(OR(OR(OR(OR(OR(ISNUMBER(SEARCH(IF(J$1&lt;&gt;"",J$1,"NA"),'MITRE ATT&amp;CK Mappings'!$E304)),ISNUMBER(SEARCH(IF(J$1&lt;&gt;"",J$1,"NA"),'MITRE ATT&amp;CK Mappings'!$F304))),ISNUMBER(SEARCH(IF(J$2&lt;&gt;"",J$2,"NA"),'MITRE ATT&amp;CK Mappings'!$G304))),ISNUMBER(SEARCH(IF(J$2&lt;&gt;"",J$2,"NA"),'MITRE ATT&amp;CK Mappings'!$H304))),ISNUMBER(SEARCH(IF(J$3&lt;&gt;"",J$3,"NA"),'MITRE ATT&amp;CK Mappings'!$I304))),ISNUMBER(SEARCH(IF(J$3&lt;&gt;"",J$3,"NA"),'MITRE ATT&amp;CK Mappings'!$J304))), 'MITRE ATT&amp;CK Mappings'!$B304,"")</f>
        <v/>
      </c>
      <c r="K308" s="26" t="str">
        <f>IF(OR(OR(OR(OR(OR(ISNUMBER(SEARCH(IF(K$1&lt;&gt;"",K$1,"NA"),'MITRE ATT&amp;CK Mappings'!$E304)),ISNUMBER(SEARCH(IF(K$1&lt;&gt;"",K$1,"NA"),'MITRE ATT&amp;CK Mappings'!$F304))),ISNUMBER(SEARCH(IF(K$2&lt;&gt;"",K$2,"NA"),'MITRE ATT&amp;CK Mappings'!$G304))),ISNUMBER(SEARCH(IF(K$2&lt;&gt;"",K$2,"NA"),'MITRE ATT&amp;CK Mappings'!$H304))),ISNUMBER(SEARCH(IF(K$3&lt;&gt;"",K$3,"NA"),'MITRE ATT&amp;CK Mappings'!$I304))),ISNUMBER(SEARCH(IF(K$3&lt;&gt;"",K$3,"NA"),'MITRE ATT&amp;CK Mappings'!$J304))), 'MITRE ATT&amp;CK Mappings'!$B304,"")</f>
        <v/>
      </c>
      <c r="L308" s="26" t="str">
        <f>IF('MITRE ATT&amp;CK Mappings'!D304 &lt;&gt;"",'MITRE ATT&amp;CK Mappings'!D304,"" )</f>
        <v/>
      </c>
    </row>
    <row r="309" spans="1:12" x14ac:dyDescent="0.25">
      <c r="A309" s="27" t="str">
        <f>IF(COUNTIF(B309:K309,"="&amp;'MITRE ATT&amp;CK Mappings'!B305)&gt;0,'MITRE ATT&amp;CK Mappings'!B305,"")</f>
        <v/>
      </c>
      <c r="B309" s="27" t="str">
        <f>IF(OR(OR(OR(OR(OR(ISNUMBER(SEARCH(IF(B$1&lt;&gt;"",B$1,"NA"),'MITRE ATT&amp;CK Mappings'!$E305)),ISNUMBER(SEARCH(IF(B$1&lt;&gt;"",B$1,"NA"),'MITRE ATT&amp;CK Mappings'!$F305))),ISNUMBER(SEARCH(IF(B$2&lt;&gt;"",B$2,"NA"),'MITRE ATT&amp;CK Mappings'!$G305))),ISNUMBER(SEARCH(IF(B$2&lt;&gt;"",B$2,"NA"),'MITRE ATT&amp;CK Mappings'!$H305))),ISNUMBER(SEARCH(IF(B$3&lt;&gt;"",B$3,"NA"),'MITRE ATT&amp;CK Mappings'!$I305))),ISNUMBER(SEARCH(IF(B$3&lt;&gt;"",B$3,"NA"),'MITRE ATT&amp;CK Mappings'!$J305))), 'MITRE ATT&amp;CK Mappings'!$B305,"")</f>
        <v/>
      </c>
      <c r="C309" s="27" t="str">
        <f>IF(OR(OR(OR(OR(OR(ISNUMBER(SEARCH(IF(C$1&lt;&gt;"",C$1,"NA"),'MITRE ATT&amp;CK Mappings'!$E305)),ISNUMBER(SEARCH(IF(C$1&lt;&gt;"",C$1,"NA"),'MITRE ATT&amp;CK Mappings'!$F305))),ISNUMBER(SEARCH(IF(C$2&lt;&gt;"",C$2,"NA"),'MITRE ATT&amp;CK Mappings'!$G305))),ISNUMBER(SEARCH(IF(C$2&lt;&gt;"",C$2,"NA"),'MITRE ATT&amp;CK Mappings'!$H305))),ISNUMBER(SEARCH(IF(C$3&lt;&gt;"",C$3,"NA"),'MITRE ATT&amp;CK Mappings'!$I305))),ISNUMBER(SEARCH(IF(C$3&lt;&gt;"",C$3,"NA"),'MITRE ATT&amp;CK Mappings'!$J305))), 'MITRE ATT&amp;CK Mappings'!$B305,"")</f>
        <v/>
      </c>
      <c r="D309" s="27" t="str">
        <f>IF(OR(OR(OR(OR(OR(ISNUMBER(SEARCH(IF(D$1&lt;&gt;"",D$1,"NA"),'MITRE ATT&amp;CK Mappings'!$E305)),ISNUMBER(SEARCH(IF(D$1&lt;&gt;"",D$1,"NA"),'MITRE ATT&amp;CK Mappings'!$F305))),ISNUMBER(SEARCH(IF(D$2&lt;&gt;"",D$2,"NA"),'MITRE ATT&amp;CK Mappings'!$G305))),ISNUMBER(SEARCH(IF(D$2&lt;&gt;"",D$2,"NA"),'MITRE ATT&amp;CK Mappings'!$H305))),ISNUMBER(SEARCH(IF(D$3&lt;&gt;"",D$3,"NA"),'MITRE ATT&amp;CK Mappings'!$I305))),ISNUMBER(SEARCH(IF(D$3&lt;&gt;"",D$3,"NA"),'MITRE ATT&amp;CK Mappings'!$J305))), 'MITRE ATT&amp;CK Mappings'!$B305,"")</f>
        <v/>
      </c>
      <c r="E309" s="27" t="str">
        <f>IF(OR(OR(OR(OR(OR(ISNUMBER(SEARCH(IF(E$1&lt;&gt;"",E$1,"NA"),'MITRE ATT&amp;CK Mappings'!$E305)),ISNUMBER(SEARCH(IF(E$1&lt;&gt;"",E$1,"NA"),'MITRE ATT&amp;CK Mappings'!$F305))),ISNUMBER(SEARCH(IF(E$2&lt;&gt;"",E$2,"NA"),'MITRE ATT&amp;CK Mappings'!$G305))),ISNUMBER(SEARCH(IF(E$2&lt;&gt;"",E$2,"NA"),'MITRE ATT&amp;CK Mappings'!$H305))),ISNUMBER(SEARCH(IF(E$3&lt;&gt;"",E$3,"NA"),'MITRE ATT&amp;CK Mappings'!$I305))),ISNUMBER(SEARCH(IF(E$3&lt;&gt;"",E$3,"NA"),'MITRE ATT&amp;CK Mappings'!$J305))), 'MITRE ATT&amp;CK Mappings'!$B305,"")</f>
        <v/>
      </c>
      <c r="F309" s="27" t="str">
        <f>IF(OR(OR(OR(OR(OR(ISNUMBER(SEARCH(IF(F$1&lt;&gt;"",F$1,"NA"),'MITRE ATT&amp;CK Mappings'!$E305)),ISNUMBER(SEARCH(IF(F$1&lt;&gt;"",F$1,"NA"),'MITRE ATT&amp;CK Mappings'!$F305))),ISNUMBER(SEARCH(IF(F$2&lt;&gt;"",F$2,"NA"),'MITRE ATT&amp;CK Mappings'!$G305))),ISNUMBER(SEARCH(IF(F$2&lt;&gt;"",F$2,"NA"),'MITRE ATT&amp;CK Mappings'!$H305))),ISNUMBER(SEARCH(IF(F$3&lt;&gt;"",F$3,"NA"),'MITRE ATT&amp;CK Mappings'!$I305))),ISNUMBER(SEARCH(IF(F$3&lt;&gt;"",F$3,"NA"),'MITRE ATT&amp;CK Mappings'!$J305))), 'MITRE ATT&amp;CK Mappings'!$B305,"")</f>
        <v/>
      </c>
      <c r="G309" s="27" t="str">
        <f>IF(OR(OR(OR(OR(OR(ISNUMBER(SEARCH(IF(G$1&lt;&gt;"",G$1,"NA"),'MITRE ATT&amp;CK Mappings'!$E305)),ISNUMBER(SEARCH(IF(G$1&lt;&gt;"",G$1,"NA"),'MITRE ATT&amp;CK Mappings'!$F305))),ISNUMBER(SEARCH(IF(G$2&lt;&gt;"",G$2,"NA"),'MITRE ATT&amp;CK Mappings'!$G305))),ISNUMBER(SEARCH(IF(G$2&lt;&gt;"",G$2,"NA"),'MITRE ATT&amp;CK Mappings'!$H305))),ISNUMBER(SEARCH(IF(G$3&lt;&gt;"",G$3,"NA"),'MITRE ATT&amp;CK Mappings'!$I305))),ISNUMBER(SEARCH(IF(G$3&lt;&gt;"",G$3,"NA"),'MITRE ATT&amp;CK Mappings'!$J305))), 'MITRE ATT&amp;CK Mappings'!$B305,"")</f>
        <v/>
      </c>
      <c r="H309" s="27" t="str">
        <f>IF(OR(OR(OR(OR(OR(ISNUMBER(SEARCH(IF(H$1&lt;&gt;"",H$1,"NA"),'MITRE ATT&amp;CK Mappings'!$E305)),ISNUMBER(SEARCH(IF(H$1&lt;&gt;"",H$1,"NA"),'MITRE ATT&amp;CK Mappings'!$F305))),ISNUMBER(SEARCH(IF(H$2&lt;&gt;"",H$2,"NA"),'MITRE ATT&amp;CK Mappings'!$G305))),ISNUMBER(SEARCH(IF(H$2&lt;&gt;"",H$2,"NA"),'MITRE ATT&amp;CK Mappings'!$H305))),ISNUMBER(SEARCH(IF(H$3&lt;&gt;"",H$3,"NA"),'MITRE ATT&amp;CK Mappings'!$I305))),ISNUMBER(SEARCH(IF(H$3&lt;&gt;"",H$3,"NA"),'MITRE ATT&amp;CK Mappings'!$J305))), 'MITRE ATT&amp;CK Mappings'!$B305,"")</f>
        <v/>
      </c>
      <c r="I309" s="27" t="str">
        <f>IF(OR(OR(OR(OR(OR(ISNUMBER(SEARCH(IF(I$1&lt;&gt;"",I$1,"NA"),'MITRE ATT&amp;CK Mappings'!$E305)),ISNUMBER(SEARCH(IF(I$1&lt;&gt;"",I$1,"NA"),'MITRE ATT&amp;CK Mappings'!$F305))),ISNUMBER(SEARCH(IF(I$2&lt;&gt;"",I$2,"NA"),'MITRE ATT&amp;CK Mappings'!$G305))),ISNUMBER(SEARCH(IF(I$2&lt;&gt;"",I$2,"NA"),'MITRE ATT&amp;CK Mappings'!$H305))),ISNUMBER(SEARCH(IF(I$3&lt;&gt;"",I$3,"NA"),'MITRE ATT&amp;CK Mappings'!$I305))),ISNUMBER(SEARCH(IF(I$3&lt;&gt;"",I$3,"NA"),'MITRE ATT&amp;CK Mappings'!$J305))), 'MITRE ATT&amp;CK Mappings'!$B305,"")</f>
        <v/>
      </c>
      <c r="J309" s="27" t="str">
        <f>IF(OR(OR(OR(OR(OR(ISNUMBER(SEARCH(IF(J$1&lt;&gt;"",J$1,"NA"),'MITRE ATT&amp;CK Mappings'!$E305)),ISNUMBER(SEARCH(IF(J$1&lt;&gt;"",J$1,"NA"),'MITRE ATT&amp;CK Mappings'!$F305))),ISNUMBER(SEARCH(IF(J$2&lt;&gt;"",J$2,"NA"),'MITRE ATT&amp;CK Mappings'!$G305))),ISNUMBER(SEARCH(IF(J$2&lt;&gt;"",J$2,"NA"),'MITRE ATT&amp;CK Mappings'!$H305))),ISNUMBER(SEARCH(IF(J$3&lt;&gt;"",J$3,"NA"),'MITRE ATT&amp;CK Mappings'!$I305))),ISNUMBER(SEARCH(IF(J$3&lt;&gt;"",J$3,"NA"),'MITRE ATT&amp;CK Mappings'!$J305))), 'MITRE ATT&amp;CK Mappings'!$B305,"")</f>
        <v/>
      </c>
      <c r="K309" s="27" t="str">
        <f>IF(OR(OR(OR(OR(OR(ISNUMBER(SEARCH(IF(K$1&lt;&gt;"",K$1,"NA"),'MITRE ATT&amp;CK Mappings'!$E305)),ISNUMBER(SEARCH(IF(K$1&lt;&gt;"",K$1,"NA"),'MITRE ATT&amp;CK Mappings'!$F305))),ISNUMBER(SEARCH(IF(K$2&lt;&gt;"",K$2,"NA"),'MITRE ATT&amp;CK Mappings'!$G305))),ISNUMBER(SEARCH(IF(K$2&lt;&gt;"",K$2,"NA"),'MITRE ATT&amp;CK Mappings'!$H305))),ISNUMBER(SEARCH(IF(K$3&lt;&gt;"",K$3,"NA"),'MITRE ATT&amp;CK Mappings'!$I305))),ISNUMBER(SEARCH(IF(K$3&lt;&gt;"",K$3,"NA"),'MITRE ATT&amp;CK Mappings'!$J305))), 'MITRE ATT&amp;CK Mappings'!$B305,"")</f>
        <v/>
      </c>
      <c r="L309" s="27" t="str">
        <f>IF('MITRE ATT&amp;CK Mappings'!D305 &lt;&gt;"",'MITRE ATT&amp;CK Mappings'!D305,"" )</f>
        <v/>
      </c>
    </row>
    <row r="310" spans="1:12" x14ac:dyDescent="0.25">
      <c r="A310" s="26" t="str">
        <f>IF(COUNTIF(B310:K310,"="&amp;'MITRE ATT&amp;CK Mappings'!B306)&gt;0,'MITRE ATT&amp;CK Mappings'!B306,"")</f>
        <v/>
      </c>
      <c r="B310" s="26" t="str">
        <f>IF(OR(OR(OR(OR(OR(ISNUMBER(SEARCH(IF(B$1&lt;&gt;"",B$1,"NA"),'MITRE ATT&amp;CK Mappings'!$E306)),ISNUMBER(SEARCH(IF(B$1&lt;&gt;"",B$1,"NA"),'MITRE ATT&amp;CK Mappings'!$F306))),ISNUMBER(SEARCH(IF(B$2&lt;&gt;"",B$2,"NA"),'MITRE ATT&amp;CK Mappings'!$G306))),ISNUMBER(SEARCH(IF(B$2&lt;&gt;"",B$2,"NA"),'MITRE ATT&amp;CK Mappings'!$H306))),ISNUMBER(SEARCH(IF(B$3&lt;&gt;"",B$3,"NA"),'MITRE ATT&amp;CK Mappings'!$I306))),ISNUMBER(SEARCH(IF(B$3&lt;&gt;"",B$3,"NA"),'MITRE ATT&amp;CK Mappings'!$J306))), 'MITRE ATT&amp;CK Mappings'!$B306,"")</f>
        <v/>
      </c>
      <c r="C310" s="26" t="str">
        <f>IF(OR(OR(OR(OR(OR(ISNUMBER(SEARCH(IF(C$1&lt;&gt;"",C$1,"NA"),'MITRE ATT&amp;CK Mappings'!$E306)),ISNUMBER(SEARCH(IF(C$1&lt;&gt;"",C$1,"NA"),'MITRE ATT&amp;CK Mappings'!$F306))),ISNUMBER(SEARCH(IF(C$2&lt;&gt;"",C$2,"NA"),'MITRE ATT&amp;CK Mappings'!$G306))),ISNUMBER(SEARCH(IF(C$2&lt;&gt;"",C$2,"NA"),'MITRE ATT&amp;CK Mappings'!$H306))),ISNUMBER(SEARCH(IF(C$3&lt;&gt;"",C$3,"NA"),'MITRE ATT&amp;CK Mappings'!$I306))),ISNUMBER(SEARCH(IF(C$3&lt;&gt;"",C$3,"NA"),'MITRE ATT&amp;CK Mappings'!$J306))), 'MITRE ATT&amp;CK Mappings'!$B306,"")</f>
        <v/>
      </c>
      <c r="D310" s="26" t="str">
        <f>IF(OR(OR(OR(OR(OR(ISNUMBER(SEARCH(IF(D$1&lt;&gt;"",D$1,"NA"),'MITRE ATT&amp;CK Mappings'!$E306)),ISNUMBER(SEARCH(IF(D$1&lt;&gt;"",D$1,"NA"),'MITRE ATT&amp;CK Mappings'!$F306))),ISNUMBER(SEARCH(IF(D$2&lt;&gt;"",D$2,"NA"),'MITRE ATT&amp;CK Mappings'!$G306))),ISNUMBER(SEARCH(IF(D$2&lt;&gt;"",D$2,"NA"),'MITRE ATT&amp;CK Mappings'!$H306))),ISNUMBER(SEARCH(IF(D$3&lt;&gt;"",D$3,"NA"),'MITRE ATT&amp;CK Mappings'!$I306))),ISNUMBER(SEARCH(IF(D$3&lt;&gt;"",D$3,"NA"),'MITRE ATT&amp;CK Mappings'!$J306))), 'MITRE ATT&amp;CK Mappings'!$B306,"")</f>
        <v/>
      </c>
      <c r="E310" s="26" t="str">
        <f>IF(OR(OR(OR(OR(OR(ISNUMBER(SEARCH(IF(E$1&lt;&gt;"",E$1,"NA"),'MITRE ATT&amp;CK Mappings'!$E306)),ISNUMBER(SEARCH(IF(E$1&lt;&gt;"",E$1,"NA"),'MITRE ATT&amp;CK Mappings'!$F306))),ISNUMBER(SEARCH(IF(E$2&lt;&gt;"",E$2,"NA"),'MITRE ATT&amp;CK Mappings'!$G306))),ISNUMBER(SEARCH(IF(E$2&lt;&gt;"",E$2,"NA"),'MITRE ATT&amp;CK Mappings'!$H306))),ISNUMBER(SEARCH(IF(E$3&lt;&gt;"",E$3,"NA"),'MITRE ATT&amp;CK Mappings'!$I306))),ISNUMBER(SEARCH(IF(E$3&lt;&gt;"",E$3,"NA"),'MITRE ATT&amp;CK Mappings'!$J306))), 'MITRE ATT&amp;CK Mappings'!$B306,"")</f>
        <v/>
      </c>
      <c r="F310" s="26" t="str">
        <f>IF(OR(OR(OR(OR(OR(ISNUMBER(SEARCH(IF(F$1&lt;&gt;"",F$1,"NA"),'MITRE ATT&amp;CK Mappings'!$E306)),ISNUMBER(SEARCH(IF(F$1&lt;&gt;"",F$1,"NA"),'MITRE ATT&amp;CK Mappings'!$F306))),ISNUMBER(SEARCH(IF(F$2&lt;&gt;"",F$2,"NA"),'MITRE ATT&amp;CK Mappings'!$G306))),ISNUMBER(SEARCH(IF(F$2&lt;&gt;"",F$2,"NA"),'MITRE ATT&amp;CK Mappings'!$H306))),ISNUMBER(SEARCH(IF(F$3&lt;&gt;"",F$3,"NA"),'MITRE ATT&amp;CK Mappings'!$I306))),ISNUMBER(SEARCH(IF(F$3&lt;&gt;"",F$3,"NA"),'MITRE ATT&amp;CK Mappings'!$J306))), 'MITRE ATT&amp;CK Mappings'!$B306,"")</f>
        <v/>
      </c>
      <c r="G310" s="26" t="str">
        <f>IF(OR(OR(OR(OR(OR(ISNUMBER(SEARCH(IF(G$1&lt;&gt;"",G$1,"NA"),'MITRE ATT&amp;CK Mappings'!$E306)),ISNUMBER(SEARCH(IF(G$1&lt;&gt;"",G$1,"NA"),'MITRE ATT&amp;CK Mappings'!$F306))),ISNUMBER(SEARCH(IF(G$2&lt;&gt;"",G$2,"NA"),'MITRE ATT&amp;CK Mappings'!$G306))),ISNUMBER(SEARCH(IF(G$2&lt;&gt;"",G$2,"NA"),'MITRE ATT&amp;CK Mappings'!$H306))),ISNUMBER(SEARCH(IF(G$3&lt;&gt;"",G$3,"NA"),'MITRE ATT&amp;CK Mappings'!$I306))),ISNUMBER(SEARCH(IF(G$3&lt;&gt;"",G$3,"NA"),'MITRE ATT&amp;CK Mappings'!$J306))), 'MITRE ATT&amp;CK Mappings'!$B306,"")</f>
        <v/>
      </c>
      <c r="H310" s="26" t="str">
        <f>IF(OR(OR(OR(OR(OR(ISNUMBER(SEARCH(IF(H$1&lt;&gt;"",H$1,"NA"),'MITRE ATT&amp;CK Mappings'!$E306)),ISNUMBER(SEARCH(IF(H$1&lt;&gt;"",H$1,"NA"),'MITRE ATT&amp;CK Mappings'!$F306))),ISNUMBER(SEARCH(IF(H$2&lt;&gt;"",H$2,"NA"),'MITRE ATT&amp;CK Mappings'!$G306))),ISNUMBER(SEARCH(IF(H$2&lt;&gt;"",H$2,"NA"),'MITRE ATT&amp;CK Mappings'!$H306))),ISNUMBER(SEARCH(IF(H$3&lt;&gt;"",H$3,"NA"),'MITRE ATT&amp;CK Mappings'!$I306))),ISNUMBER(SEARCH(IF(H$3&lt;&gt;"",H$3,"NA"),'MITRE ATT&amp;CK Mappings'!$J306))), 'MITRE ATT&amp;CK Mappings'!$B306,"")</f>
        <v/>
      </c>
      <c r="I310" s="26" t="str">
        <f>IF(OR(OR(OR(OR(OR(ISNUMBER(SEARCH(IF(I$1&lt;&gt;"",I$1,"NA"),'MITRE ATT&amp;CK Mappings'!$E306)),ISNUMBER(SEARCH(IF(I$1&lt;&gt;"",I$1,"NA"),'MITRE ATT&amp;CK Mappings'!$F306))),ISNUMBER(SEARCH(IF(I$2&lt;&gt;"",I$2,"NA"),'MITRE ATT&amp;CK Mappings'!$G306))),ISNUMBER(SEARCH(IF(I$2&lt;&gt;"",I$2,"NA"),'MITRE ATT&amp;CK Mappings'!$H306))),ISNUMBER(SEARCH(IF(I$3&lt;&gt;"",I$3,"NA"),'MITRE ATT&amp;CK Mappings'!$I306))),ISNUMBER(SEARCH(IF(I$3&lt;&gt;"",I$3,"NA"),'MITRE ATT&amp;CK Mappings'!$J306))), 'MITRE ATT&amp;CK Mappings'!$B306,"")</f>
        <v/>
      </c>
      <c r="J310" s="26" t="str">
        <f>IF(OR(OR(OR(OR(OR(ISNUMBER(SEARCH(IF(J$1&lt;&gt;"",J$1,"NA"),'MITRE ATT&amp;CK Mappings'!$E306)),ISNUMBER(SEARCH(IF(J$1&lt;&gt;"",J$1,"NA"),'MITRE ATT&amp;CK Mappings'!$F306))),ISNUMBER(SEARCH(IF(J$2&lt;&gt;"",J$2,"NA"),'MITRE ATT&amp;CK Mappings'!$G306))),ISNUMBER(SEARCH(IF(J$2&lt;&gt;"",J$2,"NA"),'MITRE ATT&amp;CK Mappings'!$H306))),ISNUMBER(SEARCH(IF(J$3&lt;&gt;"",J$3,"NA"),'MITRE ATT&amp;CK Mappings'!$I306))),ISNUMBER(SEARCH(IF(J$3&lt;&gt;"",J$3,"NA"),'MITRE ATT&amp;CK Mappings'!$J306))), 'MITRE ATT&amp;CK Mappings'!$B306,"")</f>
        <v/>
      </c>
      <c r="K310" s="26" t="str">
        <f>IF(OR(OR(OR(OR(OR(ISNUMBER(SEARCH(IF(K$1&lt;&gt;"",K$1,"NA"),'MITRE ATT&amp;CK Mappings'!$E306)),ISNUMBER(SEARCH(IF(K$1&lt;&gt;"",K$1,"NA"),'MITRE ATT&amp;CK Mappings'!$F306))),ISNUMBER(SEARCH(IF(K$2&lt;&gt;"",K$2,"NA"),'MITRE ATT&amp;CK Mappings'!$G306))),ISNUMBER(SEARCH(IF(K$2&lt;&gt;"",K$2,"NA"),'MITRE ATT&amp;CK Mappings'!$H306))),ISNUMBER(SEARCH(IF(K$3&lt;&gt;"",K$3,"NA"),'MITRE ATT&amp;CK Mappings'!$I306))),ISNUMBER(SEARCH(IF(K$3&lt;&gt;"",K$3,"NA"),'MITRE ATT&amp;CK Mappings'!$J306))), 'MITRE ATT&amp;CK Mappings'!$B306,"")</f>
        <v/>
      </c>
      <c r="L310" s="26" t="str">
        <f>IF('MITRE ATT&amp;CK Mappings'!D306 &lt;&gt;"",'MITRE ATT&amp;CK Mappings'!D306,"" )</f>
        <v/>
      </c>
    </row>
    <row r="311" spans="1:12" x14ac:dyDescent="0.25">
      <c r="A311" s="27" t="str">
        <f>IF(COUNTIF(B311:K311,"="&amp;'MITRE ATT&amp;CK Mappings'!B307)&gt;0,'MITRE ATT&amp;CK Mappings'!B307,"")</f>
        <v/>
      </c>
      <c r="B311" s="27" t="str">
        <f>IF(OR(OR(OR(OR(OR(ISNUMBER(SEARCH(IF(B$1&lt;&gt;"",B$1,"NA"),'MITRE ATT&amp;CK Mappings'!$E307)),ISNUMBER(SEARCH(IF(B$1&lt;&gt;"",B$1,"NA"),'MITRE ATT&amp;CK Mappings'!$F307))),ISNUMBER(SEARCH(IF(B$2&lt;&gt;"",B$2,"NA"),'MITRE ATT&amp;CK Mappings'!$G307))),ISNUMBER(SEARCH(IF(B$2&lt;&gt;"",B$2,"NA"),'MITRE ATT&amp;CK Mappings'!$H307))),ISNUMBER(SEARCH(IF(B$3&lt;&gt;"",B$3,"NA"),'MITRE ATT&amp;CK Mappings'!$I307))),ISNUMBER(SEARCH(IF(B$3&lt;&gt;"",B$3,"NA"),'MITRE ATT&amp;CK Mappings'!$J307))), 'MITRE ATT&amp;CK Mappings'!$B307,"")</f>
        <v/>
      </c>
      <c r="C311" s="27" t="str">
        <f>IF(OR(OR(OR(OR(OR(ISNUMBER(SEARCH(IF(C$1&lt;&gt;"",C$1,"NA"),'MITRE ATT&amp;CK Mappings'!$E307)),ISNUMBER(SEARCH(IF(C$1&lt;&gt;"",C$1,"NA"),'MITRE ATT&amp;CK Mappings'!$F307))),ISNUMBER(SEARCH(IF(C$2&lt;&gt;"",C$2,"NA"),'MITRE ATT&amp;CK Mappings'!$G307))),ISNUMBER(SEARCH(IF(C$2&lt;&gt;"",C$2,"NA"),'MITRE ATT&amp;CK Mappings'!$H307))),ISNUMBER(SEARCH(IF(C$3&lt;&gt;"",C$3,"NA"),'MITRE ATT&amp;CK Mappings'!$I307))),ISNUMBER(SEARCH(IF(C$3&lt;&gt;"",C$3,"NA"),'MITRE ATT&amp;CK Mappings'!$J307))), 'MITRE ATT&amp;CK Mappings'!$B307,"")</f>
        <v/>
      </c>
      <c r="D311" s="27" t="str">
        <f>IF(OR(OR(OR(OR(OR(ISNUMBER(SEARCH(IF(D$1&lt;&gt;"",D$1,"NA"),'MITRE ATT&amp;CK Mappings'!$E307)),ISNUMBER(SEARCH(IF(D$1&lt;&gt;"",D$1,"NA"),'MITRE ATT&amp;CK Mappings'!$F307))),ISNUMBER(SEARCH(IF(D$2&lt;&gt;"",D$2,"NA"),'MITRE ATT&amp;CK Mappings'!$G307))),ISNUMBER(SEARCH(IF(D$2&lt;&gt;"",D$2,"NA"),'MITRE ATT&amp;CK Mappings'!$H307))),ISNUMBER(SEARCH(IF(D$3&lt;&gt;"",D$3,"NA"),'MITRE ATT&amp;CK Mappings'!$I307))),ISNUMBER(SEARCH(IF(D$3&lt;&gt;"",D$3,"NA"),'MITRE ATT&amp;CK Mappings'!$J307))), 'MITRE ATT&amp;CK Mappings'!$B307,"")</f>
        <v/>
      </c>
      <c r="E311" s="27" t="str">
        <f>IF(OR(OR(OR(OR(OR(ISNUMBER(SEARCH(IF(E$1&lt;&gt;"",E$1,"NA"),'MITRE ATT&amp;CK Mappings'!$E307)),ISNUMBER(SEARCH(IF(E$1&lt;&gt;"",E$1,"NA"),'MITRE ATT&amp;CK Mappings'!$F307))),ISNUMBER(SEARCH(IF(E$2&lt;&gt;"",E$2,"NA"),'MITRE ATT&amp;CK Mappings'!$G307))),ISNUMBER(SEARCH(IF(E$2&lt;&gt;"",E$2,"NA"),'MITRE ATT&amp;CK Mappings'!$H307))),ISNUMBER(SEARCH(IF(E$3&lt;&gt;"",E$3,"NA"),'MITRE ATT&amp;CK Mappings'!$I307))),ISNUMBER(SEARCH(IF(E$3&lt;&gt;"",E$3,"NA"),'MITRE ATT&amp;CK Mappings'!$J307))), 'MITRE ATT&amp;CK Mappings'!$B307,"")</f>
        <v/>
      </c>
      <c r="F311" s="27" t="str">
        <f>IF(OR(OR(OR(OR(OR(ISNUMBER(SEARCH(IF(F$1&lt;&gt;"",F$1,"NA"),'MITRE ATT&amp;CK Mappings'!$E307)),ISNUMBER(SEARCH(IF(F$1&lt;&gt;"",F$1,"NA"),'MITRE ATT&amp;CK Mappings'!$F307))),ISNUMBER(SEARCH(IF(F$2&lt;&gt;"",F$2,"NA"),'MITRE ATT&amp;CK Mappings'!$G307))),ISNUMBER(SEARCH(IF(F$2&lt;&gt;"",F$2,"NA"),'MITRE ATT&amp;CK Mappings'!$H307))),ISNUMBER(SEARCH(IF(F$3&lt;&gt;"",F$3,"NA"),'MITRE ATT&amp;CK Mappings'!$I307))),ISNUMBER(SEARCH(IF(F$3&lt;&gt;"",F$3,"NA"),'MITRE ATT&amp;CK Mappings'!$J307))), 'MITRE ATT&amp;CK Mappings'!$B307,"")</f>
        <v/>
      </c>
      <c r="G311" s="27" t="str">
        <f>IF(OR(OR(OR(OR(OR(ISNUMBER(SEARCH(IF(G$1&lt;&gt;"",G$1,"NA"),'MITRE ATT&amp;CK Mappings'!$E307)),ISNUMBER(SEARCH(IF(G$1&lt;&gt;"",G$1,"NA"),'MITRE ATT&amp;CK Mappings'!$F307))),ISNUMBER(SEARCH(IF(G$2&lt;&gt;"",G$2,"NA"),'MITRE ATT&amp;CK Mappings'!$G307))),ISNUMBER(SEARCH(IF(G$2&lt;&gt;"",G$2,"NA"),'MITRE ATT&amp;CK Mappings'!$H307))),ISNUMBER(SEARCH(IF(G$3&lt;&gt;"",G$3,"NA"),'MITRE ATT&amp;CK Mappings'!$I307))),ISNUMBER(SEARCH(IF(G$3&lt;&gt;"",G$3,"NA"),'MITRE ATT&amp;CK Mappings'!$J307))), 'MITRE ATT&amp;CK Mappings'!$B307,"")</f>
        <v/>
      </c>
      <c r="H311" s="27" t="str">
        <f>IF(OR(OR(OR(OR(OR(ISNUMBER(SEARCH(IF(H$1&lt;&gt;"",H$1,"NA"),'MITRE ATT&amp;CK Mappings'!$E307)),ISNUMBER(SEARCH(IF(H$1&lt;&gt;"",H$1,"NA"),'MITRE ATT&amp;CK Mappings'!$F307))),ISNUMBER(SEARCH(IF(H$2&lt;&gt;"",H$2,"NA"),'MITRE ATT&amp;CK Mappings'!$G307))),ISNUMBER(SEARCH(IF(H$2&lt;&gt;"",H$2,"NA"),'MITRE ATT&amp;CK Mappings'!$H307))),ISNUMBER(SEARCH(IF(H$3&lt;&gt;"",H$3,"NA"),'MITRE ATT&amp;CK Mappings'!$I307))),ISNUMBER(SEARCH(IF(H$3&lt;&gt;"",H$3,"NA"),'MITRE ATT&amp;CK Mappings'!$J307))), 'MITRE ATT&amp;CK Mappings'!$B307,"")</f>
        <v/>
      </c>
      <c r="I311" s="27" t="str">
        <f>IF(OR(OR(OR(OR(OR(ISNUMBER(SEARCH(IF(I$1&lt;&gt;"",I$1,"NA"),'MITRE ATT&amp;CK Mappings'!$E307)),ISNUMBER(SEARCH(IF(I$1&lt;&gt;"",I$1,"NA"),'MITRE ATT&amp;CK Mappings'!$F307))),ISNUMBER(SEARCH(IF(I$2&lt;&gt;"",I$2,"NA"),'MITRE ATT&amp;CK Mappings'!$G307))),ISNUMBER(SEARCH(IF(I$2&lt;&gt;"",I$2,"NA"),'MITRE ATT&amp;CK Mappings'!$H307))),ISNUMBER(SEARCH(IF(I$3&lt;&gt;"",I$3,"NA"),'MITRE ATT&amp;CK Mappings'!$I307))),ISNUMBER(SEARCH(IF(I$3&lt;&gt;"",I$3,"NA"),'MITRE ATT&amp;CK Mappings'!$J307))), 'MITRE ATT&amp;CK Mappings'!$B307,"")</f>
        <v/>
      </c>
      <c r="J311" s="27" t="str">
        <f>IF(OR(OR(OR(OR(OR(ISNUMBER(SEARCH(IF(J$1&lt;&gt;"",J$1,"NA"),'MITRE ATT&amp;CK Mappings'!$E307)),ISNUMBER(SEARCH(IF(J$1&lt;&gt;"",J$1,"NA"),'MITRE ATT&amp;CK Mappings'!$F307))),ISNUMBER(SEARCH(IF(J$2&lt;&gt;"",J$2,"NA"),'MITRE ATT&amp;CK Mappings'!$G307))),ISNUMBER(SEARCH(IF(J$2&lt;&gt;"",J$2,"NA"),'MITRE ATT&amp;CK Mappings'!$H307))),ISNUMBER(SEARCH(IF(J$3&lt;&gt;"",J$3,"NA"),'MITRE ATT&amp;CK Mappings'!$I307))),ISNUMBER(SEARCH(IF(J$3&lt;&gt;"",J$3,"NA"),'MITRE ATT&amp;CK Mappings'!$J307))), 'MITRE ATT&amp;CK Mappings'!$B307,"")</f>
        <v/>
      </c>
      <c r="K311" s="27" t="str">
        <f>IF(OR(OR(OR(OR(OR(ISNUMBER(SEARCH(IF(K$1&lt;&gt;"",K$1,"NA"),'MITRE ATT&amp;CK Mappings'!$E307)),ISNUMBER(SEARCH(IF(K$1&lt;&gt;"",K$1,"NA"),'MITRE ATT&amp;CK Mappings'!$F307))),ISNUMBER(SEARCH(IF(K$2&lt;&gt;"",K$2,"NA"),'MITRE ATT&amp;CK Mappings'!$G307))),ISNUMBER(SEARCH(IF(K$2&lt;&gt;"",K$2,"NA"),'MITRE ATT&amp;CK Mappings'!$H307))),ISNUMBER(SEARCH(IF(K$3&lt;&gt;"",K$3,"NA"),'MITRE ATT&amp;CK Mappings'!$I307))),ISNUMBER(SEARCH(IF(K$3&lt;&gt;"",K$3,"NA"),'MITRE ATT&amp;CK Mappings'!$J307))), 'MITRE ATT&amp;CK Mappings'!$B307,"")</f>
        <v/>
      </c>
      <c r="L311" s="27" t="str">
        <f>IF('MITRE ATT&amp;CK Mappings'!D307 &lt;&gt;"",'MITRE ATT&amp;CK Mappings'!D307,"" )</f>
        <v/>
      </c>
    </row>
    <row r="312" spans="1:12" x14ac:dyDescent="0.25">
      <c r="A312" s="26" t="str">
        <f>IF(COUNTIF(B312:K312,"="&amp;'MITRE ATT&amp;CK Mappings'!B308)&gt;0,'MITRE ATT&amp;CK Mappings'!B308,"")</f>
        <v/>
      </c>
      <c r="B312" s="26" t="str">
        <f>IF(OR(OR(OR(OR(OR(ISNUMBER(SEARCH(IF(B$1&lt;&gt;"",B$1,"NA"),'MITRE ATT&amp;CK Mappings'!$E308)),ISNUMBER(SEARCH(IF(B$1&lt;&gt;"",B$1,"NA"),'MITRE ATT&amp;CK Mappings'!$F308))),ISNUMBER(SEARCH(IF(B$2&lt;&gt;"",B$2,"NA"),'MITRE ATT&amp;CK Mappings'!$G308))),ISNUMBER(SEARCH(IF(B$2&lt;&gt;"",B$2,"NA"),'MITRE ATT&amp;CK Mappings'!$H308))),ISNUMBER(SEARCH(IF(B$3&lt;&gt;"",B$3,"NA"),'MITRE ATT&amp;CK Mappings'!$I308))),ISNUMBER(SEARCH(IF(B$3&lt;&gt;"",B$3,"NA"),'MITRE ATT&amp;CK Mappings'!$J308))), 'MITRE ATT&amp;CK Mappings'!$B308,"")</f>
        <v/>
      </c>
      <c r="C312" s="26" t="str">
        <f>IF(OR(OR(OR(OR(OR(ISNUMBER(SEARCH(IF(C$1&lt;&gt;"",C$1,"NA"),'MITRE ATT&amp;CK Mappings'!$E308)),ISNUMBER(SEARCH(IF(C$1&lt;&gt;"",C$1,"NA"),'MITRE ATT&amp;CK Mappings'!$F308))),ISNUMBER(SEARCH(IF(C$2&lt;&gt;"",C$2,"NA"),'MITRE ATT&amp;CK Mappings'!$G308))),ISNUMBER(SEARCH(IF(C$2&lt;&gt;"",C$2,"NA"),'MITRE ATT&amp;CK Mappings'!$H308))),ISNUMBER(SEARCH(IF(C$3&lt;&gt;"",C$3,"NA"),'MITRE ATT&amp;CK Mappings'!$I308))),ISNUMBER(SEARCH(IF(C$3&lt;&gt;"",C$3,"NA"),'MITRE ATT&amp;CK Mappings'!$J308))), 'MITRE ATT&amp;CK Mappings'!$B308,"")</f>
        <v/>
      </c>
      <c r="D312" s="26" t="str">
        <f>IF(OR(OR(OR(OR(OR(ISNUMBER(SEARCH(IF(D$1&lt;&gt;"",D$1,"NA"),'MITRE ATT&amp;CK Mappings'!$E308)),ISNUMBER(SEARCH(IF(D$1&lt;&gt;"",D$1,"NA"),'MITRE ATT&amp;CK Mappings'!$F308))),ISNUMBER(SEARCH(IF(D$2&lt;&gt;"",D$2,"NA"),'MITRE ATT&amp;CK Mappings'!$G308))),ISNUMBER(SEARCH(IF(D$2&lt;&gt;"",D$2,"NA"),'MITRE ATT&amp;CK Mappings'!$H308))),ISNUMBER(SEARCH(IF(D$3&lt;&gt;"",D$3,"NA"),'MITRE ATT&amp;CK Mappings'!$I308))),ISNUMBER(SEARCH(IF(D$3&lt;&gt;"",D$3,"NA"),'MITRE ATT&amp;CK Mappings'!$J308))), 'MITRE ATT&amp;CK Mappings'!$B308,"")</f>
        <v/>
      </c>
      <c r="E312" s="26" t="str">
        <f>IF(OR(OR(OR(OR(OR(ISNUMBER(SEARCH(IF(E$1&lt;&gt;"",E$1,"NA"),'MITRE ATT&amp;CK Mappings'!$E308)),ISNUMBER(SEARCH(IF(E$1&lt;&gt;"",E$1,"NA"),'MITRE ATT&amp;CK Mappings'!$F308))),ISNUMBER(SEARCH(IF(E$2&lt;&gt;"",E$2,"NA"),'MITRE ATT&amp;CK Mappings'!$G308))),ISNUMBER(SEARCH(IF(E$2&lt;&gt;"",E$2,"NA"),'MITRE ATT&amp;CK Mappings'!$H308))),ISNUMBER(SEARCH(IF(E$3&lt;&gt;"",E$3,"NA"),'MITRE ATT&amp;CK Mappings'!$I308))),ISNUMBER(SEARCH(IF(E$3&lt;&gt;"",E$3,"NA"),'MITRE ATT&amp;CK Mappings'!$J308))), 'MITRE ATT&amp;CK Mappings'!$B308,"")</f>
        <v/>
      </c>
      <c r="F312" s="26" t="str">
        <f>IF(OR(OR(OR(OR(OR(ISNUMBER(SEARCH(IF(F$1&lt;&gt;"",F$1,"NA"),'MITRE ATT&amp;CK Mappings'!$E308)),ISNUMBER(SEARCH(IF(F$1&lt;&gt;"",F$1,"NA"),'MITRE ATT&amp;CK Mappings'!$F308))),ISNUMBER(SEARCH(IF(F$2&lt;&gt;"",F$2,"NA"),'MITRE ATT&amp;CK Mappings'!$G308))),ISNUMBER(SEARCH(IF(F$2&lt;&gt;"",F$2,"NA"),'MITRE ATT&amp;CK Mappings'!$H308))),ISNUMBER(SEARCH(IF(F$3&lt;&gt;"",F$3,"NA"),'MITRE ATT&amp;CK Mappings'!$I308))),ISNUMBER(SEARCH(IF(F$3&lt;&gt;"",F$3,"NA"),'MITRE ATT&amp;CK Mappings'!$J308))), 'MITRE ATT&amp;CK Mappings'!$B308,"")</f>
        <v/>
      </c>
      <c r="G312" s="26" t="str">
        <f>IF(OR(OR(OR(OR(OR(ISNUMBER(SEARCH(IF(G$1&lt;&gt;"",G$1,"NA"),'MITRE ATT&amp;CK Mappings'!$E308)),ISNUMBER(SEARCH(IF(G$1&lt;&gt;"",G$1,"NA"),'MITRE ATT&amp;CK Mappings'!$F308))),ISNUMBER(SEARCH(IF(G$2&lt;&gt;"",G$2,"NA"),'MITRE ATT&amp;CK Mappings'!$G308))),ISNUMBER(SEARCH(IF(G$2&lt;&gt;"",G$2,"NA"),'MITRE ATT&amp;CK Mappings'!$H308))),ISNUMBER(SEARCH(IF(G$3&lt;&gt;"",G$3,"NA"),'MITRE ATT&amp;CK Mappings'!$I308))),ISNUMBER(SEARCH(IF(G$3&lt;&gt;"",G$3,"NA"),'MITRE ATT&amp;CK Mappings'!$J308))), 'MITRE ATT&amp;CK Mappings'!$B308,"")</f>
        <v/>
      </c>
      <c r="H312" s="26" t="str">
        <f>IF(OR(OR(OR(OR(OR(ISNUMBER(SEARCH(IF(H$1&lt;&gt;"",H$1,"NA"),'MITRE ATT&amp;CK Mappings'!$E308)),ISNUMBER(SEARCH(IF(H$1&lt;&gt;"",H$1,"NA"),'MITRE ATT&amp;CK Mappings'!$F308))),ISNUMBER(SEARCH(IF(H$2&lt;&gt;"",H$2,"NA"),'MITRE ATT&amp;CK Mappings'!$G308))),ISNUMBER(SEARCH(IF(H$2&lt;&gt;"",H$2,"NA"),'MITRE ATT&amp;CK Mappings'!$H308))),ISNUMBER(SEARCH(IF(H$3&lt;&gt;"",H$3,"NA"),'MITRE ATT&amp;CK Mappings'!$I308))),ISNUMBER(SEARCH(IF(H$3&lt;&gt;"",H$3,"NA"),'MITRE ATT&amp;CK Mappings'!$J308))), 'MITRE ATT&amp;CK Mappings'!$B308,"")</f>
        <v/>
      </c>
      <c r="I312" s="26" t="str">
        <f>IF(OR(OR(OR(OR(OR(ISNUMBER(SEARCH(IF(I$1&lt;&gt;"",I$1,"NA"),'MITRE ATT&amp;CK Mappings'!$E308)),ISNUMBER(SEARCH(IF(I$1&lt;&gt;"",I$1,"NA"),'MITRE ATT&amp;CK Mappings'!$F308))),ISNUMBER(SEARCH(IF(I$2&lt;&gt;"",I$2,"NA"),'MITRE ATT&amp;CK Mappings'!$G308))),ISNUMBER(SEARCH(IF(I$2&lt;&gt;"",I$2,"NA"),'MITRE ATT&amp;CK Mappings'!$H308))),ISNUMBER(SEARCH(IF(I$3&lt;&gt;"",I$3,"NA"),'MITRE ATT&amp;CK Mappings'!$I308))),ISNUMBER(SEARCH(IF(I$3&lt;&gt;"",I$3,"NA"),'MITRE ATT&amp;CK Mappings'!$J308))), 'MITRE ATT&amp;CK Mappings'!$B308,"")</f>
        <v/>
      </c>
      <c r="J312" s="26" t="str">
        <f>IF(OR(OR(OR(OR(OR(ISNUMBER(SEARCH(IF(J$1&lt;&gt;"",J$1,"NA"),'MITRE ATT&amp;CK Mappings'!$E308)),ISNUMBER(SEARCH(IF(J$1&lt;&gt;"",J$1,"NA"),'MITRE ATT&amp;CK Mappings'!$F308))),ISNUMBER(SEARCH(IF(J$2&lt;&gt;"",J$2,"NA"),'MITRE ATT&amp;CK Mappings'!$G308))),ISNUMBER(SEARCH(IF(J$2&lt;&gt;"",J$2,"NA"),'MITRE ATT&amp;CK Mappings'!$H308))),ISNUMBER(SEARCH(IF(J$3&lt;&gt;"",J$3,"NA"),'MITRE ATT&amp;CK Mappings'!$I308))),ISNUMBER(SEARCH(IF(J$3&lt;&gt;"",J$3,"NA"),'MITRE ATT&amp;CK Mappings'!$J308))), 'MITRE ATT&amp;CK Mappings'!$B308,"")</f>
        <v/>
      </c>
      <c r="K312" s="26" t="str">
        <f>IF(OR(OR(OR(OR(OR(ISNUMBER(SEARCH(IF(K$1&lt;&gt;"",K$1,"NA"),'MITRE ATT&amp;CK Mappings'!$E308)),ISNUMBER(SEARCH(IF(K$1&lt;&gt;"",K$1,"NA"),'MITRE ATT&amp;CK Mappings'!$F308))),ISNUMBER(SEARCH(IF(K$2&lt;&gt;"",K$2,"NA"),'MITRE ATT&amp;CK Mappings'!$G308))),ISNUMBER(SEARCH(IF(K$2&lt;&gt;"",K$2,"NA"),'MITRE ATT&amp;CK Mappings'!$H308))),ISNUMBER(SEARCH(IF(K$3&lt;&gt;"",K$3,"NA"),'MITRE ATT&amp;CK Mappings'!$I308))),ISNUMBER(SEARCH(IF(K$3&lt;&gt;"",K$3,"NA"),'MITRE ATT&amp;CK Mappings'!$J308))), 'MITRE ATT&amp;CK Mappings'!$B308,"")</f>
        <v/>
      </c>
      <c r="L312" s="26" t="str">
        <f>IF('MITRE ATT&amp;CK Mappings'!D308 &lt;&gt;"",'MITRE ATT&amp;CK Mappings'!D308,"" )</f>
        <v/>
      </c>
    </row>
    <row r="313" spans="1:12" x14ac:dyDescent="0.25">
      <c r="A313" s="27" t="str">
        <f>IF(COUNTIF(B313:K313,"="&amp;'MITRE ATT&amp;CK Mappings'!B309)&gt;0,'MITRE ATT&amp;CK Mappings'!B309,"")</f>
        <v/>
      </c>
      <c r="B313" s="27" t="str">
        <f>IF(OR(OR(OR(OR(OR(ISNUMBER(SEARCH(IF(B$1&lt;&gt;"",B$1,"NA"),'MITRE ATT&amp;CK Mappings'!$E309)),ISNUMBER(SEARCH(IF(B$1&lt;&gt;"",B$1,"NA"),'MITRE ATT&amp;CK Mappings'!$F309))),ISNUMBER(SEARCH(IF(B$2&lt;&gt;"",B$2,"NA"),'MITRE ATT&amp;CK Mappings'!$G309))),ISNUMBER(SEARCH(IF(B$2&lt;&gt;"",B$2,"NA"),'MITRE ATT&amp;CK Mappings'!$H309))),ISNUMBER(SEARCH(IF(B$3&lt;&gt;"",B$3,"NA"),'MITRE ATT&amp;CK Mappings'!$I309))),ISNUMBER(SEARCH(IF(B$3&lt;&gt;"",B$3,"NA"),'MITRE ATT&amp;CK Mappings'!$J309))), 'MITRE ATT&amp;CK Mappings'!$B309,"")</f>
        <v/>
      </c>
      <c r="C313" s="27" t="str">
        <f>IF(OR(OR(OR(OR(OR(ISNUMBER(SEARCH(IF(C$1&lt;&gt;"",C$1,"NA"),'MITRE ATT&amp;CK Mappings'!$E309)),ISNUMBER(SEARCH(IF(C$1&lt;&gt;"",C$1,"NA"),'MITRE ATT&amp;CK Mappings'!$F309))),ISNUMBER(SEARCH(IF(C$2&lt;&gt;"",C$2,"NA"),'MITRE ATT&amp;CK Mappings'!$G309))),ISNUMBER(SEARCH(IF(C$2&lt;&gt;"",C$2,"NA"),'MITRE ATT&amp;CK Mappings'!$H309))),ISNUMBER(SEARCH(IF(C$3&lt;&gt;"",C$3,"NA"),'MITRE ATT&amp;CK Mappings'!$I309))),ISNUMBER(SEARCH(IF(C$3&lt;&gt;"",C$3,"NA"),'MITRE ATT&amp;CK Mappings'!$J309))), 'MITRE ATT&amp;CK Mappings'!$B309,"")</f>
        <v/>
      </c>
      <c r="D313" s="27" t="str">
        <f>IF(OR(OR(OR(OR(OR(ISNUMBER(SEARCH(IF(D$1&lt;&gt;"",D$1,"NA"),'MITRE ATT&amp;CK Mappings'!$E309)),ISNUMBER(SEARCH(IF(D$1&lt;&gt;"",D$1,"NA"),'MITRE ATT&amp;CK Mappings'!$F309))),ISNUMBER(SEARCH(IF(D$2&lt;&gt;"",D$2,"NA"),'MITRE ATT&amp;CK Mappings'!$G309))),ISNUMBER(SEARCH(IF(D$2&lt;&gt;"",D$2,"NA"),'MITRE ATT&amp;CK Mappings'!$H309))),ISNUMBER(SEARCH(IF(D$3&lt;&gt;"",D$3,"NA"),'MITRE ATT&amp;CK Mappings'!$I309))),ISNUMBER(SEARCH(IF(D$3&lt;&gt;"",D$3,"NA"),'MITRE ATT&amp;CK Mappings'!$J309))), 'MITRE ATT&amp;CK Mappings'!$B309,"")</f>
        <v/>
      </c>
      <c r="E313" s="27" t="str">
        <f>IF(OR(OR(OR(OR(OR(ISNUMBER(SEARCH(IF(E$1&lt;&gt;"",E$1,"NA"),'MITRE ATT&amp;CK Mappings'!$E309)),ISNUMBER(SEARCH(IF(E$1&lt;&gt;"",E$1,"NA"),'MITRE ATT&amp;CK Mappings'!$F309))),ISNUMBER(SEARCH(IF(E$2&lt;&gt;"",E$2,"NA"),'MITRE ATT&amp;CK Mappings'!$G309))),ISNUMBER(SEARCH(IF(E$2&lt;&gt;"",E$2,"NA"),'MITRE ATT&amp;CK Mappings'!$H309))),ISNUMBER(SEARCH(IF(E$3&lt;&gt;"",E$3,"NA"),'MITRE ATT&amp;CK Mappings'!$I309))),ISNUMBER(SEARCH(IF(E$3&lt;&gt;"",E$3,"NA"),'MITRE ATT&amp;CK Mappings'!$J309))), 'MITRE ATT&amp;CK Mappings'!$B309,"")</f>
        <v/>
      </c>
      <c r="F313" s="27" t="str">
        <f>IF(OR(OR(OR(OR(OR(ISNUMBER(SEARCH(IF(F$1&lt;&gt;"",F$1,"NA"),'MITRE ATT&amp;CK Mappings'!$E309)),ISNUMBER(SEARCH(IF(F$1&lt;&gt;"",F$1,"NA"),'MITRE ATT&amp;CK Mappings'!$F309))),ISNUMBER(SEARCH(IF(F$2&lt;&gt;"",F$2,"NA"),'MITRE ATT&amp;CK Mappings'!$G309))),ISNUMBER(SEARCH(IF(F$2&lt;&gt;"",F$2,"NA"),'MITRE ATT&amp;CK Mappings'!$H309))),ISNUMBER(SEARCH(IF(F$3&lt;&gt;"",F$3,"NA"),'MITRE ATT&amp;CK Mappings'!$I309))),ISNUMBER(SEARCH(IF(F$3&lt;&gt;"",F$3,"NA"),'MITRE ATT&amp;CK Mappings'!$J309))), 'MITRE ATT&amp;CK Mappings'!$B309,"")</f>
        <v/>
      </c>
      <c r="G313" s="27" t="str">
        <f>IF(OR(OR(OR(OR(OR(ISNUMBER(SEARCH(IF(G$1&lt;&gt;"",G$1,"NA"),'MITRE ATT&amp;CK Mappings'!$E309)),ISNUMBER(SEARCH(IF(G$1&lt;&gt;"",G$1,"NA"),'MITRE ATT&amp;CK Mappings'!$F309))),ISNUMBER(SEARCH(IF(G$2&lt;&gt;"",G$2,"NA"),'MITRE ATT&amp;CK Mappings'!$G309))),ISNUMBER(SEARCH(IF(G$2&lt;&gt;"",G$2,"NA"),'MITRE ATT&amp;CK Mappings'!$H309))),ISNUMBER(SEARCH(IF(G$3&lt;&gt;"",G$3,"NA"),'MITRE ATT&amp;CK Mappings'!$I309))),ISNUMBER(SEARCH(IF(G$3&lt;&gt;"",G$3,"NA"),'MITRE ATT&amp;CK Mappings'!$J309))), 'MITRE ATT&amp;CK Mappings'!$B309,"")</f>
        <v/>
      </c>
      <c r="H313" s="27" t="str">
        <f>IF(OR(OR(OR(OR(OR(ISNUMBER(SEARCH(IF(H$1&lt;&gt;"",H$1,"NA"),'MITRE ATT&amp;CK Mappings'!$E309)),ISNUMBER(SEARCH(IF(H$1&lt;&gt;"",H$1,"NA"),'MITRE ATT&amp;CK Mappings'!$F309))),ISNUMBER(SEARCH(IF(H$2&lt;&gt;"",H$2,"NA"),'MITRE ATT&amp;CK Mappings'!$G309))),ISNUMBER(SEARCH(IF(H$2&lt;&gt;"",H$2,"NA"),'MITRE ATT&amp;CK Mappings'!$H309))),ISNUMBER(SEARCH(IF(H$3&lt;&gt;"",H$3,"NA"),'MITRE ATT&amp;CK Mappings'!$I309))),ISNUMBER(SEARCH(IF(H$3&lt;&gt;"",H$3,"NA"),'MITRE ATT&amp;CK Mappings'!$J309))), 'MITRE ATT&amp;CK Mappings'!$B309,"")</f>
        <v/>
      </c>
      <c r="I313" s="27" t="str">
        <f>IF(OR(OR(OR(OR(OR(ISNUMBER(SEARCH(IF(I$1&lt;&gt;"",I$1,"NA"),'MITRE ATT&amp;CK Mappings'!$E309)),ISNUMBER(SEARCH(IF(I$1&lt;&gt;"",I$1,"NA"),'MITRE ATT&amp;CK Mappings'!$F309))),ISNUMBER(SEARCH(IF(I$2&lt;&gt;"",I$2,"NA"),'MITRE ATT&amp;CK Mappings'!$G309))),ISNUMBER(SEARCH(IF(I$2&lt;&gt;"",I$2,"NA"),'MITRE ATT&amp;CK Mappings'!$H309))),ISNUMBER(SEARCH(IF(I$3&lt;&gt;"",I$3,"NA"),'MITRE ATT&amp;CK Mappings'!$I309))),ISNUMBER(SEARCH(IF(I$3&lt;&gt;"",I$3,"NA"),'MITRE ATT&amp;CK Mappings'!$J309))), 'MITRE ATT&amp;CK Mappings'!$B309,"")</f>
        <v/>
      </c>
      <c r="J313" s="27" t="str">
        <f>IF(OR(OR(OR(OR(OR(ISNUMBER(SEARCH(IF(J$1&lt;&gt;"",J$1,"NA"),'MITRE ATT&amp;CK Mappings'!$E309)),ISNUMBER(SEARCH(IF(J$1&lt;&gt;"",J$1,"NA"),'MITRE ATT&amp;CK Mappings'!$F309))),ISNUMBER(SEARCH(IF(J$2&lt;&gt;"",J$2,"NA"),'MITRE ATT&amp;CK Mappings'!$G309))),ISNUMBER(SEARCH(IF(J$2&lt;&gt;"",J$2,"NA"),'MITRE ATT&amp;CK Mappings'!$H309))),ISNUMBER(SEARCH(IF(J$3&lt;&gt;"",J$3,"NA"),'MITRE ATT&amp;CK Mappings'!$I309))),ISNUMBER(SEARCH(IF(J$3&lt;&gt;"",J$3,"NA"),'MITRE ATT&amp;CK Mappings'!$J309))), 'MITRE ATT&amp;CK Mappings'!$B309,"")</f>
        <v/>
      </c>
      <c r="K313" s="27" t="str">
        <f>IF(OR(OR(OR(OR(OR(ISNUMBER(SEARCH(IF(K$1&lt;&gt;"",K$1,"NA"),'MITRE ATT&amp;CK Mappings'!$E309)),ISNUMBER(SEARCH(IF(K$1&lt;&gt;"",K$1,"NA"),'MITRE ATT&amp;CK Mappings'!$F309))),ISNUMBER(SEARCH(IF(K$2&lt;&gt;"",K$2,"NA"),'MITRE ATT&amp;CK Mappings'!$G309))),ISNUMBER(SEARCH(IF(K$2&lt;&gt;"",K$2,"NA"),'MITRE ATT&amp;CK Mappings'!$H309))),ISNUMBER(SEARCH(IF(K$3&lt;&gt;"",K$3,"NA"),'MITRE ATT&amp;CK Mappings'!$I309))),ISNUMBER(SEARCH(IF(K$3&lt;&gt;"",K$3,"NA"),'MITRE ATT&amp;CK Mappings'!$J309))), 'MITRE ATT&amp;CK Mappings'!$B309,"")</f>
        <v/>
      </c>
      <c r="L313" s="27" t="str">
        <f>IF('MITRE ATT&amp;CK Mappings'!D309 &lt;&gt;"",'MITRE ATT&amp;CK Mappings'!D309,"" )</f>
        <v/>
      </c>
    </row>
    <row r="314" spans="1:12" x14ac:dyDescent="0.25">
      <c r="A314" s="26" t="str">
        <f>IF(COUNTIF(B314:K314,"="&amp;'MITRE ATT&amp;CK Mappings'!B310)&gt;0,'MITRE ATT&amp;CK Mappings'!B310,"")</f>
        <v/>
      </c>
      <c r="B314" s="26" t="str">
        <f>IF(OR(OR(OR(OR(OR(ISNUMBER(SEARCH(IF(B$1&lt;&gt;"",B$1,"NA"),'MITRE ATT&amp;CK Mappings'!$E310)),ISNUMBER(SEARCH(IF(B$1&lt;&gt;"",B$1,"NA"),'MITRE ATT&amp;CK Mappings'!$F310))),ISNUMBER(SEARCH(IF(B$2&lt;&gt;"",B$2,"NA"),'MITRE ATT&amp;CK Mappings'!$G310))),ISNUMBER(SEARCH(IF(B$2&lt;&gt;"",B$2,"NA"),'MITRE ATT&amp;CK Mappings'!$H310))),ISNUMBER(SEARCH(IF(B$3&lt;&gt;"",B$3,"NA"),'MITRE ATT&amp;CK Mappings'!$I310))),ISNUMBER(SEARCH(IF(B$3&lt;&gt;"",B$3,"NA"),'MITRE ATT&amp;CK Mappings'!$J310))), 'MITRE ATT&amp;CK Mappings'!$B310,"")</f>
        <v/>
      </c>
      <c r="C314" s="26" t="str">
        <f>IF(OR(OR(OR(OR(OR(ISNUMBER(SEARCH(IF(C$1&lt;&gt;"",C$1,"NA"),'MITRE ATT&amp;CK Mappings'!$E310)),ISNUMBER(SEARCH(IF(C$1&lt;&gt;"",C$1,"NA"),'MITRE ATT&amp;CK Mappings'!$F310))),ISNUMBER(SEARCH(IF(C$2&lt;&gt;"",C$2,"NA"),'MITRE ATT&amp;CK Mappings'!$G310))),ISNUMBER(SEARCH(IF(C$2&lt;&gt;"",C$2,"NA"),'MITRE ATT&amp;CK Mappings'!$H310))),ISNUMBER(SEARCH(IF(C$3&lt;&gt;"",C$3,"NA"),'MITRE ATT&amp;CK Mappings'!$I310))),ISNUMBER(SEARCH(IF(C$3&lt;&gt;"",C$3,"NA"),'MITRE ATT&amp;CK Mappings'!$J310))), 'MITRE ATT&amp;CK Mappings'!$B310,"")</f>
        <v/>
      </c>
      <c r="D314" s="26" t="str">
        <f>IF(OR(OR(OR(OR(OR(ISNUMBER(SEARCH(IF(D$1&lt;&gt;"",D$1,"NA"),'MITRE ATT&amp;CK Mappings'!$E310)),ISNUMBER(SEARCH(IF(D$1&lt;&gt;"",D$1,"NA"),'MITRE ATT&amp;CK Mappings'!$F310))),ISNUMBER(SEARCH(IF(D$2&lt;&gt;"",D$2,"NA"),'MITRE ATT&amp;CK Mappings'!$G310))),ISNUMBER(SEARCH(IF(D$2&lt;&gt;"",D$2,"NA"),'MITRE ATT&amp;CK Mappings'!$H310))),ISNUMBER(SEARCH(IF(D$3&lt;&gt;"",D$3,"NA"),'MITRE ATT&amp;CK Mappings'!$I310))),ISNUMBER(SEARCH(IF(D$3&lt;&gt;"",D$3,"NA"),'MITRE ATT&amp;CK Mappings'!$J310))), 'MITRE ATT&amp;CK Mappings'!$B310,"")</f>
        <v/>
      </c>
      <c r="E314" s="26" t="str">
        <f>IF(OR(OR(OR(OR(OR(ISNUMBER(SEARCH(IF(E$1&lt;&gt;"",E$1,"NA"),'MITRE ATT&amp;CK Mappings'!$E310)),ISNUMBER(SEARCH(IF(E$1&lt;&gt;"",E$1,"NA"),'MITRE ATT&amp;CK Mappings'!$F310))),ISNUMBER(SEARCH(IF(E$2&lt;&gt;"",E$2,"NA"),'MITRE ATT&amp;CK Mappings'!$G310))),ISNUMBER(SEARCH(IF(E$2&lt;&gt;"",E$2,"NA"),'MITRE ATT&amp;CK Mappings'!$H310))),ISNUMBER(SEARCH(IF(E$3&lt;&gt;"",E$3,"NA"),'MITRE ATT&amp;CK Mappings'!$I310))),ISNUMBER(SEARCH(IF(E$3&lt;&gt;"",E$3,"NA"),'MITRE ATT&amp;CK Mappings'!$J310))), 'MITRE ATT&amp;CK Mappings'!$B310,"")</f>
        <v/>
      </c>
      <c r="F314" s="26" t="str">
        <f>IF(OR(OR(OR(OR(OR(ISNUMBER(SEARCH(IF(F$1&lt;&gt;"",F$1,"NA"),'MITRE ATT&amp;CK Mappings'!$E310)),ISNUMBER(SEARCH(IF(F$1&lt;&gt;"",F$1,"NA"),'MITRE ATT&amp;CK Mappings'!$F310))),ISNUMBER(SEARCH(IF(F$2&lt;&gt;"",F$2,"NA"),'MITRE ATT&amp;CK Mappings'!$G310))),ISNUMBER(SEARCH(IF(F$2&lt;&gt;"",F$2,"NA"),'MITRE ATT&amp;CK Mappings'!$H310))),ISNUMBER(SEARCH(IF(F$3&lt;&gt;"",F$3,"NA"),'MITRE ATT&amp;CK Mappings'!$I310))),ISNUMBER(SEARCH(IF(F$3&lt;&gt;"",F$3,"NA"),'MITRE ATT&amp;CK Mappings'!$J310))), 'MITRE ATT&amp;CK Mappings'!$B310,"")</f>
        <v/>
      </c>
      <c r="G314" s="26" t="str">
        <f>IF(OR(OR(OR(OR(OR(ISNUMBER(SEARCH(IF(G$1&lt;&gt;"",G$1,"NA"),'MITRE ATT&amp;CK Mappings'!$E310)),ISNUMBER(SEARCH(IF(G$1&lt;&gt;"",G$1,"NA"),'MITRE ATT&amp;CK Mappings'!$F310))),ISNUMBER(SEARCH(IF(G$2&lt;&gt;"",G$2,"NA"),'MITRE ATT&amp;CK Mappings'!$G310))),ISNUMBER(SEARCH(IF(G$2&lt;&gt;"",G$2,"NA"),'MITRE ATT&amp;CK Mappings'!$H310))),ISNUMBER(SEARCH(IF(G$3&lt;&gt;"",G$3,"NA"),'MITRE ATT&amp;CK Mappings'!$I310))),ISNUMBER(SEARCH(IF(G$3&lt;&gt;"",G$3,"NA"),'MITRE ATT&amp;CK Mappings'!$J310))), 'MITRE ATT&amp;CK Mappings'!$B310,"")</f>
        <v/>
      </c>
      <c r="H314" s="26" t="str">
        <f>IF(OR(OR(OR(OR(OR(ISNUMBER(SEARCH(IF(H$1&lt;&gt;"",H$1,"NA"),'MITRE ATT&amp;CK Mappings'!$E310)),ISNUMBER(SEARCH(IF(H$1&lt;&gt;"",H$1,"NA"),'MITRE ATT&amp;CK Mappings'!$F310))),ISNUMBER(SEARCH(IF(H$2&lt;&gt;"",H$2,"NA"),'MITRE ATT&amp;CK Mappings'!$G310))),ISNUMBER(SEARCH(IF(H$2&lt;&gt;"",H$2,"NA"),'MITRE ATT&amp;CK Mappings'!$H310))),ISNUMBER(SEARCH(IF(H$3&lt;&gt;"",H$3,"NA"),'MITRE ATT&amp;CK Mappings'!$I310))),ISNUMBER(SEARCH(IF(H$3&lt;&gt;"",H$3,"NA"),'MITRE ATT&amp;CK Mappings'!$J310))), 'MITRE ATT&amp;CK Mappings'!$B310,"")</f>
        <v/>
      </c>
      <c r="I314" s="26" t="str">
        <f>IF(OR(OR(OR(OR(OR(ISNUMBER(SEARCH(IF(I$1&lt;&gt;"",I$1,"NA"),'MITRE ATT&amp;CK Mappings'!$E310)),ISNUMBER(SEARCH(IF(I$1&lt;&gt;"",I$1,"NA"),'MITRE ATT&amp;CK Mappings'!$F310))),ISNUMBER(SEARCH(IF(I$2&lt;&gt;"",I$2,"NA"),'MITRE ATT&amp;CK Mappings'!$G310))),ISNUMBER(SEARCH(IF(I$2&lt;&gt;"",I$2,"NA"),'MITRE ATT&amp;CK Mappings'!$H310))),ISNUMBER(SEARCH(IF(I$3&lt;&gt;"",I$3,"NA"),'MITRE ATT&amp;CK Mappings'!$I310))),ISNUMBER(SEARCH(IF(I$3&lt;&gt;"",I$3,"NA"),'MITRE ATT&amp;CK Mappings'!$J310))), 'MITRE ATT&amp;CK Mappings'!$B310,"")</f>
        <v/>
      </c>
      <c r="J314" s="26" t="str">
        <f>IF(OR(OR(OR(OR(OR(ISNUMBER(SEARCH(IF(J$1&lt;&gt;"",J$1,"NA"),'MITRE ATT&amp;CK Mappings'!$E310)),ISNUMBER(SEARCH(IF(J$1&lt;&gt;"",J$1,"NA"),'MITRE ATT&amp;CK Mappings'!$F310))),ISNUMBER(SEARCH(IF(J$2&lt;&gt;"",J$2,"NA"),'MITRE ATT&amp;CK Mappings'!$G310))),ISNUMBER(SEARCH(IF(J$2&lt;&gt;"",J$2,"NA"),'MITRE ATT&amp;CK Mappings'!$H310))),ISNUMBER(SEARCH(IF(J$3&lt;&gt;"",J$3,"NA"),'MITRE ATT&amp;CK Mappings'!$I310))),ISNUMBER(SEARCH(IF(J$3&lt;&gt;"",J$3,"NA"),'MITRE ATT&amp;CK Mappings'!$J310))), 'MITRE ATT&amp;CK Mappings'!$B310,"")</f>
        <v/>
      </c>
      <c r="K314" s="26" t="str">
        <f>IF(OR(OR(OR(OR(OR(ISNUMBER(SEARCH(IF(K$1&lt;&gt;"",K$1,"NA"),'MITRE ATT&amp;CK Mappings'!$E310)),ISNUMBER(SEARCH(IF(K$1&lt;&gt;"",K$1,"NA"),'MITRE ATT&amp;CK Mappings'!$F310))),ISNUMBER(SEARCH(IF(K$2&lt;&gt;"",K$2,"NA"),'MITRE ATT&amp;CK Mappings'!$G310))),ISNUMBER(SEARCH(IF(K$2&lt;&gt;"",K$2,"NA"),'MITRE ATT&amp;CK Mappings'!$H310))),ISNUMBER(SEARCH(IF(K$3&lt;&gt;"",K$3,"NA"),'MITRE ATT&amp;CK Mappings'!$I310))),ISNUMBER(SEARCH(IF(K$3&lt;&gt;"",K$3,"NA"),'MITRE ATT&amp;CK Mappings'!$J310))), 'MITRE ATT&amp;CK Mappings'!$B310,"")</f>
        <v/>
      </c>
      <c r="L314" s="26" t="str">
        <f>IF('MITRE ATT&amp;CK Mappings'!D310 &lt;&gt;"",'MITRE ATT&amp;CK Mappings'!D310,"" )</f>
        <v/>
      </c>
    </row>
    <row r="315" spans="1:12" x14ac:dyDescent="0.25">
      <c r="A315" s="27" t="str">
        <f>IF(COUNTIF(B315:K315,"="&amp;'MITRE ATT&amp;CK Mappings'!B311)&gt;0,'MITRE ATT&amp;CK Mappings'!B311,"")</f>
        <v/>
      </c>
      <c r="B315" s="27" t="str">
        <f>IF(OR(OR(OR(OR(OR(ISNUMBER(SEARCH(IF(B$1&lt;&gt;"",B$1,"NA"),'MITRE ATT&amp;CK Mappings'!$E311)),ISNUMBER(SEARCH(IF(B$1&lt;&gt;"",B$1,"NA"),'MITRE ATT&amp;CK Mappings'!$F311))),ISNUMBER(SEARCH(IF(B$2&lt;&gt;"",B$2,"NA"),'MITRE ATT&amp;CK Mappings'!$G311))),ISNUMBER(SEARCH(IF(B$2&lt;&gt;"",B$2,"NA"),'MITRE ATT&amp;CK Mappings'!$H311))),ISNUMBER(SEARCH(IF(B$3&lt;&gt;"",B$3,"NA"),'MITRE ATT&amp;CK Mappings'!$I311))),ISNUMBER(SEARCH(IF(B$3&lt;&gt;"",B$3,"NA"),'MITRE ATT&amp;CK Mappings'!$J311))), 'MITRE ATT&amp;CK Mappings'!$B311,"")</f>
        <v/>
      </c>
      <c r="C315" s="27" t="str">
        <f>IF(OR(OR(OR(OR(OR(ISNUMBER(SEARCH(IF(C$1&lt;&gt;"",C$1,"NA"),'MITRE ATT&amp;CK Mappings'!$E311)),ISNUMBER(SEARCH(IF(C$1&lt;&gt;"",C$1,"NA"),'MITRE ATT&amp;CK Mappings'!$F311))),ISNUMBER(SEARCH(IF(C$2&lt;&gt;"",C$2,"NA"),'MITRE ATT&amp;CK Mappings'!$G311))),ISNUMBER(SEARCH(IF(C$2&lt;&gt;"",C$2,"NA"),'MITRE ATT&amp;CK Mappings'!$H311))),ISNUMBER(SEARCH(IF(C$3&lt;&gt;"",C$3,"NA"),'MITRE ATT&amp;CK Mappings'!$I311))),ISNUMBER(SEARCH(IF(C$3&lt;&gt;"",C$3,"NA"),'MITRE ATT&amp;CK Mappings'!$J311))), 'MITRE ATT&amp;CK Mappings'!$B311,"")</f>
        <v/>
      </c>
      <c r="D315" s="27" t="str">
        <f>IF(OR(OR(OR(OR(OR(ISNUMBER(SEARCH(IF(D$1&lt;&gt;"",D$1,"NA"),'MITRE ATT&amp;CK Mappings'!$E311)),ISNUMBER(SEARCH(IF(D$1&lt;&gt;"",D$1,"NA"),'MITRE ATT&amp;CK Mappings'!$F311))),ISNUMBER(SEARCH(IF(D$2&lt;&gt;"",D$2,"NA"),'MITRE ATT&amp;CK Mappings'!$G311))),ISNUMBER(SEARCH(IF(D$2&lt;&gt;"",D$2,"NA"),'MITRE ATT&amp;CK Mappings'!$H311))),ISNUMBER(SEARCH(IF(D$3&lt;&gt;"",D$3,"NA"),'MITRE ATT&amp;CK Mappings'!$I311))),ISNUMBER(SEARCH(IF(D$3&lt;&gt;"",D$3,"NA"),'MITRE ATT&amp;CK Mappings'!$J311))), 'MITRE ATT&amp;CK Mappings'!$B311,"")</f>
        <v/>
      </c>
      <c r="E315" s="27" t="str">
        <f>IF(OR(OR(OR(OR(OR(ISNUMBER(SEARCH(IF(E$1&lt;&gt;"",E$1,"NA"),'MITRE ATT&amp;CK Mappings'!$E311)),ISNUMBER(SEARCH(IF(E$1&lt;&gt;"",E$1,"NA"),'MITRE ATT&amp;CK Mappings'!$F311))),ISNUMBER(SEARCH(IF(E$2&lt;&gt;"",E$2,"NA"),'MITRE ATT&amp;CK Mappings'!$G311))),ISNUMBER(SEARCH(IF(E$2&lt;&gt;"",E$2,"NA"),'MITRE ATT&amp;CK Mappings'!$H311))),ISNUMBER(SEARCH(IF(E$3&lt;&gt;"",E$3,"NA"),'MITRE ATT&amp;CK Mappings'!$I311))),ISNUMBER(SEARCH(IF(E$3&lt;&gt;"",E$3,"NA"),'MITRE ATT&amp;CK Mappings'!$J311))), 'MITRE ATT&amp;CK Mappings'!$B311,"")</f>
        <v/>
      </c>
      <c r="F315" s="27" t="str">
        <f>IF(OR(OR(OR(OR(OR(ISNUMBER(SEARCH(IF(F$1&lt;&gt;"",F$1,"NA"),'MITRE ATT&amp;CK Mappings'!$E311)),ISNUMBER(SEARCH(IF(F$1&lt;&gt;"",F$1,"NA"),'MITRE ATT&amp;CK Mappings'!$F311))),ISNUMBER(SEARCH(IF(F$2&lt;&gt;"",F$2,"NA"),'MITRE ATT&amp;CK Mappings'!$G311))),ISNUMBER(SEARCH(IF(F$2&lt;&gt;"",F$2,"NA"),'MITRE ATT&amp;CK Mappings'!$H311))),ISNUMBER(SEARCH(IF(F$3&lt;&gt;"",F$3,"NA"),'MITRE ATT&amp;CK Mappings'!$I311))),ISNUMBER(SEARCH(IF(F$3&lt;&gt;"",F$3,"NA"),'MITRE ATT&amp;CK Mappings'!$J311))), 'MITRE ATT&amp;CK Mappings'!$B311,"")</f>
        <v/>
      </c>
      <c r="G315" s="27" t="str">
        <f>IF(OR(OR(OR(OR(OR(ISNUMBER(SEARCH(IF(G$1&lt;&gt;"",G$1,"NA"),'MITRE ATT&amp;CK Mappings'!$E311)),ISNUMBER(SEARCH(IF(G$1&lt;&gt;"",G$1,"NA"),'MITRE ATT&amp;CK Mappings'!$F311))),ISNUMBER(SEARCH(IF(G$2&lt;&gt;"",G$2,"NA"),'MITRE ATT&amp;CK Mappings'!$G311))),ISNUMBER(SEARCH(IF(G$2&lt;&gt;"",G$2,"NA"),'MITRE ATT&amp;CK Mappings'!$H311))),ISNUMBER(SEARCH(IF(G$3&lt;&gt;"",G$3,"NA"),'MITRE ATT&amp;CK Mappings'!$I311))),ISNUMBER(SEARCH(IF(G$3&lt;&gt;"",G$3,"NA"),'MITRE ATT&amp;CK Mappings'!$J311))), 'MITRE ATT&amp;CK Mappings'!$B311,"")</f>
        <v/>
      </c>
      <c r="H315" s="27" t="str">
        <f>IF(OR(OR(OR(OR(OR(ISNUMBER(SEARCH(IF(H$1&lt;&gt;"",H$1,"NA"),'MITRE ATT&amp;CK Mappings'!$E311)),ISNUMBER(SEARCH(IF(H$1&lt;&gt;"",H$1,"NA"),'MITRE ATT&amp;CK Mappings'!$F311))),ISNUMBER(SEARCH(IF(H$2&lt;&gt;"",H$2,"NA"),'MITRE ATT&amp;CK Mappings'!$G311))),ISNUMBER(SEARCH(IF(H$2&lt;&gt;"",H$2,"NA"),'MITRE ATT&amp;CK Mappings'!$H311))),ISNUMBER(SEARCH(IF(H$3&lt;&gt;"",H$3,"NA"),'MITRE ATT&amp;CK Mappings'!$I311))),ISNUMBER(SEARCH(IF(H$3&lt;&gt;"",H$3,"NA"),'MITRE ATT&amp;CK Mappings'!$J311))), 'MITRE ATT&amp;CK Mappings'!$B311,"")</f>
        <v/>
      </c>
      <c r="I315" s="27" t="str">
        <f>IF(OR(OR(OR(OR(OR(ISNUMBER(SEARCH(IF(I$1&lt;&gt;"",I$1,"NA"),'MITRE ATT&amp;CK Mappings'!$E311)),ISNUMBER(SEARCH(IF(I$1&lt;&gt;"",I$1,"NA"),'MITRE ATT&amp;CK Mappings'!$F311))),ISNUMBER(SEARCH(IF(I$2&lt;&gt;"",I$2,"NA"),'MITRE ATT&amp;CK Mappings'!$G311))),ISNUMBER(SEARCH(IF(I$2&lt;&gt;"",I$2,"NA"),'MITRE ATT&amp;CK Mappings'!$H311))),ISNUMBER(SEARCH(IF(I$3&lt;&gt;"",I$3,"NA"),'MITRE ATT&amp;CK Mappings'!$I311))),ISNUMBER(SEARCH(IF(I$3&lt;&gt;"",I$3,"NA"),'MITRE ATT&amp;CK Mappings'!$J311))), 'MITRE ATT&amp;CK Mappings'!$B311,"")</f>
        <v/>
      </c>
      <c r="J315" s="27" t="str">
        <f>IF(OR(OR(OR(OR(OR(ISNUMBER(SEARCH(IF(J$1&lt;&gt;"",J$1,"NA"),'MITRE ATT&amp;CK Mappings'!$E311)),ISNUMBER(SEARCH(IF(J$1&lt;&gt;"",J$1,"NA"),'MITRE ATT&amp;CK Mappings'!$F311))),ISNUMBER(SEARCH(IF(J$2&lt;&gt;"",J$2,"NA"),'MITRE ATT&amp;CK Mappings'!$G311))),ISNUMBER(SEARCH(IF(J$2&lt;&gt;"",J$2,"NA"),'MITRE ATT&amp;CK Mappings'!$H311))),ISNUMBER(SEARCH(IF(J$3&lt;&gt;"",J$3,"NA"),'MITRE ATT&amp;CK Mappings'!$I311))),ISNUMBER(SEARCH(IF(J$3&lt;&gt;"",J$3,"NA"),'MITRE ATT&amp;CK Mappings'!$J311))), 'MITRE ATT&amp;CK Mappings'!$B311,"")</f>
        <v/>
      </c>
      <c r="K315" s="27" t="str">
        <f>IF(OR(OR(OR(OR(OR(ISNUMBER(SEARCH(IF(K$1&lt;&gt;"",K$1,"NA"),'MITRE ATT&amp;CK Mappings'!$E311)),ISNUMBER(SEARCH(IF(K$1&lt;&gt;"",K$1,"NA"),'MITRE ATT&amp;CK Mappings'!$F311))),ISNUMBER(SEARCH(IF(K$2&lt;&gt;"",K$2,"NA"),'MITRE ATT&amp;CK Mappings'!$G311))),ISNUMBER(SEARCH(IF(K$2&lt;&gt;"",K$2,"NA"),'MITRE ATT&amp;CK Mappings'!$H311))),ISNUMBER(SEARCH(IF(K$3&lt;&gt;"",K$3,"NA"),'MITRE ATT&amp;CK Mappings'!$I311))),ISNUMBER(SEARCH(IF(K$3&lt;&gt;"",K$3,"NA"),'MITRE ATT&amp;CK Mappings'!$J311))), 'MITRE ATT&amp;CK Mappings'!$B311,"")</f>
        <v/>
      </c>
      <c r="L315" s="27" t="str">
        <f>IF('MITRE ATT&amp;CK Mappings'!D311 &lt;&gt;"",'MITRE ATT&amp;CK Mappings'!D311,"" )</f>
        <v/>
      </c>
    </row>
    <row r="316" spans="1:12" x14ac:dyDescent="0.25">
      <c r="A316" s="26" t="str">
        <f>IF(COUNTIF(B316:K316,"="&amp;'MITRE ATT&amp;CK Mappings'!B312)&gt;0,'MITRE ATT&amp;CK Mappings'!B312,"")</f>
        <v/>
      </c>
      <c r="B316" s="26" t="str">
        <f>IF(OR(OR(OR(OR(OR(ISNUMBER(SEARCH(IF(B$1&lt;&gt;"",B$1,"NA"),'MITRE ATT&amp;CK Mappings'!$E312)),ISNUMBER(SEARCH(IF(B$1&lt;&gt;"",B$1,"NA"),'MITRE ATT&amp;CK Mappings'!$F312))),ISNUMBER(SEARCH(IF(B$2&lt;&gt;"",B$2,"NA"),'MITRE ATT&amp;CK Mappings'!$G312))),ISNUMBER(SEARCH(IF(B$2&lt;&gt;"",B$2,"NA"),'MITRE ATT&amp;CK Mappings'!$H312))),ISNUMBER(SEARCH(IF(B$3&lt;&gt;"",B$3,"NA"),'MITRE ATT&amp;CK Mappings'!$I312))),ISNUMBER(SEARCH(IF(B$3&lt;&gt;"",B$3,"NA"),'MITRE ATT&amp;CK Mappings'!$J312))), 'MITRE ATT&amp;CK Mappings'!$B312,"")</f>
        <v/>
      </c>
      <c r="C316" s="26" t="str">
        <f>IF(OR(OR(OR(OR(OR(ISNUMBER(SEARCH(IF(C$1&lt;&gt;"",C$1,"NA"),'MITRE ATT&amp;CK Mappings'!$E312)),ISNUMBER(SEARCH(IF(C$1&lt;&gt;"",C$1,"NA"),'MITRE ATT&amp;CK Mappings'!$F312))),ISNUMBER(SEARCH(IF(C$2&lt;&gt;"",C$2,"NA"),'MITRE ATT&amp;CK Mappings'!$G312))),ISNUMBER(SEARCH(IF(C$2&lt;&gt;"",C$2,"NA"),'MITRE ATT&amp;CK Mappings'!$H312))),ISNUMBER(SEARCH(IF(C$3&lt;&gt;"",C$3,"NA"),'MITRE ATT&amp;CK Mappings'!$I312))),ISNUMBER(SEARCH(IF(C$3&lt;&gt;"",C$3,"NA"),'MITRE ATT&amp;CK Mappings'!$J312))), 'MITRE ATT&amp;CK Mappings'!$B312,"")</f>
        <v/>
      </c>
      <c r="D316" s="26" t="str">
        <f>IF(OR(OR(OR(OR(OR(ISNUMBER(SEARCH(IF(D$1&lt;&gt;"",D$1,"NA"),'MITRE ATT&amp;CK Mappings'!$E312)),ISNUMBER(SEARCH(IF(D$1&lt;&gt;"",D$1,"NA"),'MITRE ATT&amp;CK Mappings'!$F312))),ISNUMBER(SEARCH(IF(D$2&lt;&gt;"",D$2,"NA"),'MITRE ATT&amp;CK Mappings'!$G312))),ISNUMBER(SEARCH(IF(D$2&lt;&gt;"",D$2,"NA"),'MITRE ATT&amp;CK Mappings'!$H312))),ISNUMBER(SEARCH(IF(D$3&lt;&gt;"",D$3,"NA"),'MITRE ATT&amp;CK Mappings'!$I312))),ISNUMBER(SEARCH(IF(D$3&lt;&gt;"",D$3,"NA"),'MITRE ATT&amp;CK Mappings'!$J312))), 'MITRE ATT&amp;CK Mappings'!$B312,"")</f>
        <v/>
      </c>
      <c r="E316" s="26" t="str">
        <f>IF(OR(OR(OR(OR(OR(ISNUMBER(SEARCH(IF(E$1&lt;&gt;"",E$1,"NA"),'MITRE ATT&amp;CK Mappings'!$E312)),ISNUMBER(SEARCH(IF(E$1&lt;&gt;"",E$1,"NA"),'MITRE ATT&amp;CK Mappings'!$F312))),ISNUMBER(SEARCH(IF(E$2&lt;&gt;"",E$2,"NA"),'MITRE ATT&amp;CK Mappings'!$G312))),ISNUMBER(SEARCH(IF(E$2&lt;&gt;"",E$2,"NA"),'MITRE ATT&amp;CK Mappings'!$H312))),ISNUMBER(SEARCH(IF(E$3&lt;&gt;"",E$3,"NA"),'MITRE ATT&amp;CK Mappings'!$I312))),ISNUMBER(SEARCH(IF(E$3&lt;&gt;"",E$3,"NA"),'MITRE ATT&amp;CK Mappings'!$J312))), 'MITRE ATT&amp;CK Mappings'!$B312,"")</f>
        <v/>
      </c>
      <c r="F316" s="26" t="str">
        <f>IF(OR(OR(OR(OR(OR(ISNUMBER(SEARCH(IF(F$1&lt;&gt;"",F$1,"NA"),'MITRE ATT&amp;CK Mappings'!$E312)),ISNUMBER(SEARCH(IF(F$1&lt;&gt;"",F$1,"NA"),'MITRE ATT&amp;CK Mappings'!$F312))),ISNUMBER(SEARCH(IF(F$2&lt;&gt;"",F$2,"NA"),'MITRE ATT&amp;CK Mappings'!$G312))),ISNUMBER(SEARCH(IF(F$2&lt;&gt;"",F$2,"NA"),'MITRE ATT&amp;CK Mappings'!$H312))),ISNUMBER(SEARCH(IF(F$3&lt;&gt;"",F$3,"NA"),'MITRE ATT&amp;CK Mappings'!$I312))),ISNUMBER(SEARCH(IF(F$3&lt;&gt;"",F$3,"NA"),'MITRE ATT&amp;CK Mappings'!$J312))), 'MITRE ATT&amp;CK Mappings'!$B312,"")</f>
        <v/>
      </c>
      <c r="G316" s="26" t="str">
        <f>IF(OR(OR(OR(OR(OR(ISNUMBER(SEARCH(IF(G$1&lt;&gt;"",G$1,"NA"),'MITRE ATT&amp;CK Mappings'!$E312)),ISNUMBER(SEARCH(IF(G$1&lt;&gt;"",G$1,"NA"),'MITRE ATT&amp;CK Mappings'!$F312))),ISNUMBER(SEARCH(IF(G$2&lt;&gt;"",G$2,"NA"),'MITRE ATT&amp;CK Mappings'!$G312))),ISNUMBER(SEARCH(IF(G$2&lt;&gt;"",G$2,"NA"),'MITRE ATT&amp;CK Mappings'!$H312))),ISNUMBER(SEARCH(IF(G$3&lt;&gt;"",G$3,"NA"),'MITRE ATT&amp;CK Mappings'!$I312))),ISNUMBER(SEARCH(IF(G$3&lt;&gt;"",G$3,"NA"),'MITRE ATT&amp;CK Mappings'!$J312))), 'MITRE ATT&amp;CK Mappings'!$B312,"")</f>
        <v/>
      </c>
      <c r="H316" s="26" t="str">
        <f>IF(OR(OR(OR(OR(OR(ISNUMBER(SEARCH(IF(H$1&lt;&gt;"",H$1,"NA"),'MITRE ATT&amp;CK Mappings'!$E312)),ISNUMBER(SEARCH(IF(H$1&lt;&gt;"",H$1,"NA"),'MITRE ATT&amp;CK Mappings'!$F312))),ISNUMBER(SEARCH(IF(H$2&lt;&gt;"",H$2,"NA"),'MITRE ATT&amp;CK Mappings'!$G312))),ISNUMBER(SEARCH(IF(H$2&lt;&gt;"",H$2,"NA"),'MITRE ATT&amp;CK Mappings'!$H312))),ISNUMBER(SEARCH(IF(H$3&lt;&gt;"",H$3,"NA"),'MITRE ATT&amp;CK Mappings'!$I312))),ISNUMBER(SEARCH(IF(H$3&lt;&gt;"",H$3,"NA"),'MITRE ATT&amp;CK Mappings'!$J312))), 'MITRE ATT&amp;CK Mappings'!$B312,"")</f>
        <v/>
      </c>
      <c r="I316" s="26" t="str">
        <f>IF(OR(OR(OR(OR(OR(ISNUMBER(SEARCH(IF(I$1&lt;&gt;"",I$1,"NA"),'MITRE ATT&amp;CK Mappings'!$E312)),ISNUMBER(SEARCH(IF(I$1&lt;&gt;"",I$1,"NA"),'MITRE ATT&amp;CK Mappings'!$F312))),ISNUMBER(SEARCH(IF(I$2&lt;&gt;"",I$2,"NA"),'MITRE ATT&amp;CK Mappings'!$G312))),ISNUMBER(SEARCH(IF(I$2&lt;&gt;"",I$2,"NA"),'MITRE ATT&amp;CK Mappings'!$H312))),ISNUMBER(SEARCH(IF(I$3&lt;&gt;"",I$3,"NA"),'MITRE ATT&amp;CK Mappings'!$I312))),ISNUMBER(SEARCH(IF(I$3&lt;&gt;"",I$3,"NA"),'MITRE ATT&amp;CK Mappings'!$J312))), 'MITRE ATT&amp;CK Mappings'!$B312,"")</f>
        <v/>
      </c>
      <c r="J316" s="26" t="str">
        <f>IF(OR(OR(OR(OR(OR(ISNUMBER(SEARCH(IF(J$1&lt;&gt;"",J$1,"NA"),'MITRE ATT&amp;CK Mappings'!$E312)),ISNUMBER(SEARCH(IF(J$1&lt;&gt;"",J$1,"NA"),'MITRE ATT&amp;CK Mappings'!$F312))),ISNUMBER(SEARCH(IF(J$2&lt;&gt;"",J$2,"NA"),'MITRE ATT&amp;CK Mappings'!$G312))),ISNUMBER(SEARCH(IF(J$2&lt;&gt;"",J$2,"NA"),'MITRE ATT&amp;CK Mappings'!$H312))),ISNUMBER(SEARCH(IF(J$3&lt;&gt;"",J$3,"NA"),'MITRE ATT&amp;CK Mappings'!$I312))),ISNUMBER(SEARCH(IF(J$3&lt;&gt;"",J$3,"NA"),'MITRE ATT&amp;CK Mappings'!$J312))), 'MITRE ATT&amp;CK Mappings'!$B312,"")</f>
        <v/>
      </c>
      <c r="K316" s="26" t="str">
        <f>IF(OR(OR(OR(OR(OR(ISNUMBER(SEARCH(IF(K$1&lt;&gt;"",K$1,"NA"),'MITRE ATT&amp;CK Mappings'!$E312)),ISNUMBER(SEARCH(IF(K$1&lt;&gt;"",K$1,"NA"),'MITRE ATT&amp;CK Mappings'!$F312))),ISNUMBER(SEARCH(IF(K$2&lt;&gt;"",K$2,"NA"),'MITRE ATT&amp;CK Mappings'!$G312))),ISNUMBER(SEARCH(IF(K$2&lt;&gt;"",K$2,"NA"),'MITRE ATT&amp;CK Mappings'!$H312))),ISNUMBER(SEARCH(IF(K$3&lt;&gt;"",K$3,"NA"),'MITRE ATT&amp;CK Mappings'!$I312))),ISNUMBER(SEARCH(IF(K$3&lt;&gt;"",K$3,"NA"),'MITRE ATT&amp;CK Mappings'!$J312))), 'MITRE ATT&amp;CK Mappings'!$B312,"")</f>
        <v/>
      </c>
      <c r="L316" s="26" t="str">
        <f>IF('MITRE ATT&amp;CK Mappings'!D312 &lt;&gt;"",'MITRE ATT&amp;CK Mappings'!D312,"" )</f>
        <v/>
      </c>
    </row>
    <row r="317" spans="1:12" x14ac:dyDescent="0.25">
      <c r="A317" s="27" t="str">
        <f>IF(COUNTIF(B317:K317,"="&amp;'MITRE ATT&amp;CK Mappings'!B313)&gt;0,'MITRE ATT&amp;CK Mappings'!B313,"")</f>
        <v/>
      </c>
      <c r="B317" s="27" t="str">
        <f>IF(OR(OR(OR(OR(OR(ISNUMBER(SEARCH(IF(B$1&lt;&gt;"",B$1,"NA"),'MITRE ATT&amp;CK Mappings'!$E313)),ISNUMBER(SEARCH(IF(B$1&lt;&gt;"",B$1,"NA"),'MITRE ATT&amp;CK Mappings'!$F313))),ISNUMBER(SEARCH(IF(B$2&lt;&gt;"",B$2,"NA"),'MITRE ATT&amp;CK Mappings'!$G313))),ISNUMBER(SEARCH(IF(B$2&lt;&gt;"",B$2,"NA"),'MITRE ATT&amp;CK Mappings'!$H313))),ISNUMBER(SEARCH(IF(B$3&lt;&gt;"",B$3,"NA"),'MITRE ATT&amp;CK Mappings'!$I313))),ISNUMBER(SEARCH(IF(B$3&lt;&gt;"",B$3,"NA"),'MITRE ATT&amp;CK Mappings'!$J313))), 'MITRE ATT&amp;CK Mappings'!$B313,"")</f>
        <v/>
      </c>
      <c r="C317" s="27" t="str">
        <f>IF(OR(OR(OR(OR(OR(ISNUMBER(SEARCH(IF(C$1&lt;&gt;"",C$1,"NA"),'MITRE ATT&amp;CK Mappings'!$E313)),ISNUMBER(SEARCH(IF(C$1&lt;&gt;"",C$1,"NA"),'MITRE ATT&amp;CK Mappings'!$F313))),ISNUMBER(SEARCH(IF(C$2&lt;&gt;"",C$2,"NA"),'MITRE ATT&amp;CK Mappings'!$G313))),ISNUMBER(SEARCH(IF(C$2&lt;&gt;"",C$2,"NA"),'MITRE ATT&amp;CK Mappings'!$H313))),ISNUMBER(SEARCH(IF(C$3&lt;&gt;"",C$3,"NA"),'MITRE ATT&amp;CK Mappings'!$I313))),ISNUMBER(SEARCH(IF(C$3&lt;&gt;"",C$3,"NA"),'MITRE ATT&amp;CK Mappings'!$J313))), 'MITRE ATT&amp;CK Mappings'!$B313,"")</f>
        <v/>
      </c>
      <c r="D317" s="27" t="str">
        <f>IF(OR(OR(OR(OR(OR(ISNUMBER(SEARCH(IF(D$1&lt;&gt;"",D$1,"NA"),'MITRE ATT&amp;CK Mappings'!$E313)),ISNUMBER(SEARCH(IF(D$1&lt;&gt;"",D$1,"NA"),'MITRE ATT&amp;CK Mappings'!$F313))),ISNUMBER(SEARCH(IF(D$2&lt;&gt;"",D$2,"NA"),'MITRE ATT&amp;CK Mappings'!$G313))),ISNUMBER(SEARCH(IF(D$2&lt;&gt;"",D$2,"NA"),'MITRE ATT&amp;CK Mappings'!$H313))),ISNUMBER(SEARCH(IF(D$3&lt;&gt;"",D$3,"NA"),'MITRE ATT&amp;CK Mappings'!$I313))),ISNUMBER(SEARCH(IF(D$3&lt;&gt;"",D$3,"NA"),'MITRE ATT&amp;CK Mappings'!$J313))), 'MITRE ATT&amp;CK Mappings'!$B313,"")</f>
        <v/>
      </c>
      <c r="E317" s="27" t="str">
        <f>IF(OR(OR(OR(OR(OR(ISNUMBER(SEARCH(IF(E$1&lt;&gt;"",E$1,"NA"),'MITRE ATT&amp;CK Mappings'!$E313)),ISNUMBER(SEARCH(IF(E$1&lt;&gt;"",E$1,"NA"),'MITRE ATT&amp;CK Mappings'!$F313))),ISNUMBER(SEARCH(IF(E$2&lt;&gt;"",E$2,"NA"),'MITRE ATT&amp;CK Mappings'!$G313))),ISNUMBER(SEARCH(IF(E$2&lt;&gt;"",E$2,"NA"),'MITRE ATT&amp;CK Mappings'!$H313))),ISNUMBER(SEARCH(IF(E$3&lt;&gt;"",E$3,"NA"),'MITRE ATT&amp;CK Mappings'!$I313))),ISNUMBER(SEARCH(IF(E$3&lt;&gt;"",E$3,"NA"),'MITRE ATT&amp;CK Mappings'!$J313))), 'MITRE ATT&amp;CK Mappings'!$B313,"")</f>
        <v/>
      </c>
      <c r="F317" s="27" t="str">
        <f>IF(OR(OR(OR(OR(OR(ISNUMBER(SEARCH(IF(F$1&lt;&gt;"",F$1,"NA"),'MITRE ATT&amp;CK Mappings'!$E313)),ISNUMBER(SEARCH(IF(F$1&lt;&gt;"",F$1,"NA"),'MITRE ATT&amp;CK Mappings'!$F313))),ISNUMBER(SEARCH(IF(F$2&lt;&gt;"",F$2,"NA"),'MITRE ATT&amp;CK Mappings'!$G313))),ISNUMBER(SEARCH(IF(F$2&lt;&gt;"",F$2,"NA"),'MITRE ATT&amp;CK Mappings'!$H313))),ISNUMBER(SEARCH(IF(F$3&lt;&gt;"",F$3,"NA"),'MITRE ATT&amp;CK Mappings'!$I313))),ISNUMBER(SEARCH(IF(F$3&lt;&gt;"",F$3,"NA"),'MITRE ATT&amp;CK Mappings'!$J313))), 'MITRE ATT&amp;CK Mappings'!$B313,"")</f>
        <v/>
      </c>
      <c r="G317" s="27" t="str">
        <f>IF(OR(OR(OR(OR(OR(ISNUMBER(SEARCH(IF(G$1&lt;&gt;"",G$1,"NA"),'MITRE ATT&amp;CK Mappings'!$E313)),ISNUMBER(SEARCH(IF(G$1&lt;&gt;"",G$1,"NA"),'MITRE ATT&amp;CK Mappings'!$F313))),ISNUMBER(SEARCH(IF(G$2&lt;&gt;"",G$2,"NA"),'MITRE ATT&amp;CK Mappings'!$G313))),ISNUMBER(SEARCH(IF(G$2&lt;&gt;"",G$2,"NA"),'MITRE ATT&amp;CK Mappings'!$H313))),ISNUMBER(SEARCH(IF(G$3&lt;&gt;"",G$3,"NA"),'MITRE ATT&amp;CK Mappings'!$I313))),ISNUMBER(SEARCH(IF(G$3&lt;&gt;"",G$3,"NA"),'MITRE ATT&amp;CK Mappings'!$J313))), 'MITRE ATT&amp;CK Mappings'!$B313,"")</f>
        <v/>
      </c>
      <c r="H317" s="27" t="str">
        <f>IF(OR(OR(OR(OR(OR(ISNUMBER(SEARCH(IF(H$1&lt;&gt;"",H$1,"NA"),'MITRE ATT&amp;CK Mappings'!$E313)),ISNUMBER(SEARCH(IF(H$1&lt;&gt;"",H$1,"NA"),'MITRE ATT&amp;CK Mappings'!$F313))),ISNUMBER(SEARCH(IF(H$2&lt;&gt;"",H$2,"NA"),'MITRE ATT&amp;CK Mappings'!$G313))),ISNUMBER(SEARCH(IF(H$2&lt;&gt;"",H$2,"NA"),'MITRE ATT&amp;CK Mappings'!$H313))),ISNUMBER(SEARCH(IF(H$3&lt;&gt;"",H$3,"NA"),'MITRE ATT&amp;CK Mappings'!$I313))),ISNUMBER(SEARCH(IF(H$3&lt;&gt;"",H$3,"NA"),'MITRE ATT&amp;CK Mappings'!$J313))), 'MITRE ATT&amp;CK Mappings'!$B313,"")</f>
        <v/>
      </c>
      <c r="I317" s="27" t="str">
        <f>IF(OR(OR(OR(OR(OR(ISNUMBER(SEARCH(IF(I$1&lt;&gt;"",I$1,"NA"),'MITRE ATT&amp;CK Mappings'!$E313)),ISNUMBER(SEARCH(IF(I$1&lt;&gt;"",I$1,"NA"),'MITRE ATT&amp;CK Mappings'!$F313))),ISNUMBER(SEARCH(IF(I$2&lt;&gt;"",I$2,"NA"),'MITRE ATT&amp;CK Mappings'!$G313))),ISNUMBER(SEARCH(IF(I$2&lt;&gt;"",I$2,"NA"),'MITRE ATT&amp;CK Mappings'!$H313))),ISNUMBER(SEARCH(IF(I$3&lt;&gt;"",I$3,"NA"),'MITRE ATT&amp;CK Mappings'!$I313))),ISNUMBER(SEARCH(IF(I$3&lt;&gt;"",I$3,"NA"),'MITRE ATT&amp;CK Mappings'!$J313))), 'MITRE ATT&amp;CK Mappings'!$B313,"")</f>
        <v/>
      </c>
      <c r="J317" s="27" t="str">
        <f>IF(OR(OR(OR(OR(OR(ISNUMBER(SEARCH(IF(J$1&lt;&gt;"",J$1,"NA"),'MITRE ATT&amp;CK Mappings'!$E313)),ISNUMBER(SEARCH(IF(J$1&lt;&gt;"",J$1,"NA"),'MITRE ATT&amp;CK Mappings'!$F313))),ISNUMBER(SEARCH(IF(J$2&lt;&gt;"",J$2,"NA"),'MITRE ATT&amp;CK Mappings'!$G313))),ISNUMBER(SEARCH(IF(J$2&lt;&gt;"",J$2,"NA"),'MITRE ATT&amp;CK Mappings'!$H313))),ISNUMBER(SEARCH(IF(J$3&lt;&gt;"",J$3,"NA"),'MITRE ATT&amp;CK Mappings'!$I313))),ISNUMBER(SEARCH(IF(J$3&lt;&gt;"",J$3,"NA"),'MITRE ATT&amp;CK Mappings'!$J313))), 'MITRE ATT&amp;CK Mappings'!$B313,"")</f>
        <v/>
      </c>
      <c r="K317" s="27" t="str">
        <f>IF(OR(OR(OR(OR(OR(ISNUMBER(SEARCH(IF(K$1&lt;&gt;"",K$1,"NA"),'MITRE ATT&amp;CK Mappings'!$E313)),ISNUMBER(SEARCH(IF(K$1&lt;&gt;"",K$1,"NA"),'MITRE ATT&amp;CK Mappings'!$F313))),ISNUMBER(SEARCH(IF(K$2&lt;&gt;"",K$2,"NA"),'MITRE ATT&amp;CK Mappings'!$G313))),ISNUMBER(SEARCH(IF(K$2&lt;&gt;"",K$2,"NA"),'MITRE ATT&amp;CK Mappings'!$H313))),ISNUMBER(SEARCH(IF(K$3&lt;&gt;"",K$3,"NA"),'MITRE ATT&amp;CK Mappings'!$I313))),ISNUMBER(SEARCH(IF(K$3&lt;&gt;"",K$3,"NA"),'MITRE ATT&amp;CK Mappings'!$J313))), 'MITRE ATT&amp;CK Mappings'!$B313,"")</f>
        <v/>
      </c>
      <c r="L317" s="27" t="str">
        <f>IF('MITRE ATT&amp;CK Mappings'!D313 &lt;&gt;"",'MITRE ATT&amp;CK Mappings'!D313,"" )</f>
        <v/>
      </c>
    </row>
    <row r="318" spans="1:12" x14ac:dyDescent="0.25">
      <c r="A318" s="26" t="str">
        <f>IF(COUNTIF(B318:K318,"="&amp;'MITRE ATT&amp;CK Mappings'!B314)&gt;0,'MITRE ATT&amp;CK Mappings'!B314,"")</f>
        <v/>
      </c>
      <c r="B318" s="26" t="str">
        <f>IF(OR(OR(OR(OR(OR(ISNUMBER(SEARCH(IF(B$1&lt;&gt;"",B$1,"NA"),'MITRE ATT&amp;CK Mappings'!$E314)),ISNUMBER(SEARCH(IF(B$1&lt;&gt;"",B$1,"NA"),'MITRE ATT&amp;CK Mappings'!$F314))),ISNUMBER(SEARCH(IF(B$2&lt;&gt;"",B$2,"NA"),'MITRE ATT&amp;CK Mappings'!$G314))),ISNUMBER(SEARCH(IF(B$2&lt;&gt;"",B$2,"NA"),'MITRE ATT&amp;CK Mappings'!$H314))),ISNUMBER(SEARCH(IF(B$3&lt;&gt;"",B$3,"NA"),'MITRE ATT&amp;CK Mappings'!$I314))),ISNUMBER(SEARCH(IF(B$3&lt;&gt;"",B$3,"NA"),'MITRE ATT&amp;CK Mappings'!$J314))), 'MITRE ATT&amp;CK Mappings'!$B314,"")</f>
        <v/>
      </c>
      <c r="C318" s="26" t="str">
        <f>IF(OR(OR(OR(OR(OR(ISNUMBER(SEARCH(IF(C$1&lt;&gt;"",C$1,"NA"),'MITRE ATT&amp;CK Mappings'!$E314)),ISNUMBER(SEARCH(IF(C$1&lt;&gt;"",C$1,"NA"),'MITRE ATT&amp;CK Mappings'!$F314))),ISNUMBER(SEARCH(IF(C$2&lt;&gt;"",C$2,"NA"),'MITRE ATT&amp;CK Mappings'!$G314))),ISNUMBER(SEARCH(IF(C$2&lt;&gt;"",C$2,"NA"),'MITRE ATT&amp;CK Mappings'!$H314))),ISNUMBER(SEARCH(IF(C$3&lt;&gt;"",C$3,"NA"),'MITRE ATT&amp;CK Mappings'!$I314))),ISNUMBER(SEARCH(IF(C$3&lt;&gt;"",C$3,"NA"),'MITRE ATT&amp;CK Mappings'!$J314))), 'MITRE ATT&amp;CK Mappings'!$B314,"")</f>
        <v/>
      </c>
      <c r="D318" s="26" t="str">
        <f>IF(OR(OR(OR(OR(OR(ISNUMBER(SEARCH(IF(D$1&lt;&gt;"",D$1,"NA"),'MITRE ATT&amp;CK Mappings'!$E314)),ISNUMBER(SEARCH(IF(D$1&lt;&gt;"",D$1,"NA"),'MITRE ATT&amp;CK Mappings'!$F314))),ISNUMBER(SEARCH(IF(D$2&lt;&gt;"",D$2,"NA"),'MITRE ATT&amp;CK Mappings'!$G314))),ISNUMBER(SEARCH(IF(D$2&lt;&gt;"",D$2,"NA"),'MITRE ATT&amp;CK Mappings'!$H314))),ISNUMBER(SEARCH(IF(D$3&lt;&gt;"",D$3,"NA"),'MITRE ATT&amp;CK Mappings'!$I314))),ISNUMBER(SEARCH(IF(D$3&lt;&gt;"",D$3,"NA"),'MITRE ATT&amp;CK Mappings'!$J314))), 'MITRE ATT&amp;CK Mappings'!$B314,"")</f>
        <v/>
      </c>
      <c r="E318" s="26" t="str">
        <f>IF(OR(OR(OR(OR(OR(ISNUMBER(SEARCH(IF(E$1&lt;&gt;"",E$1,"NA"),'MITRE ATT&amp;CK Mappings'!$E314)),ISNUMBER(SEARCH(IF(E$1&lt;&gt;"",E$1,"NA"),'MITRE ATT&amp;CK Mappings'!$F314))),ISNUMBER(SEARCH(IF(E$2&lt;&gt;"",E$2,"NA"),'MITRE ATT&amp;CK Mappings'!$G314))),ISNUMBER(SEARCH(IF(E$2&lt;&gt;"",E$2,"NA"),'MITRE ATT&amp;CK Mappings'!$H314))),ISNUMBER(SEARCH(IF(E$3&lt;&gt;"",E$3,"NA"),'MITRE ATT&amp;CK Mappings'!$I314))),ISNUMBER(SEARCH(IF(E$3&lt;&gt;"",E$3,"NA"),'MITRE ATT&amp;CK Mappings'!$J314))), 'MITRE ATT&amp;CK Mappings'!$B314,"")</f>
        <v/>
      </c>
      <c r="F318" s="26" t="str">
        <f>IF(OR(OR(OR(OR(OR(ISNUMBER(SEARCH(IF(F$1&lt;&gt;"",F$1,"NA"),'MITRE ATT&amp;CK Mappings'!$E314)),ISNUMBER(SEARCH(IF(F$1&lt;&gt;"",F$1,"NA"),'MITRE ATT&amp;CK Mappings'!$F314))),ISNUMBER(SEARCH(IF(F$2&lt;&gt;"",F$2,"NA"),'MITRE ATT&amp;CK Mappings'!$G314))),ISNUMBER(SEARCH(IF(F$2&lt;&gt;"",F$2,"NA"),'MITRE ATT&amp;CK Mappings'!$H314))),ISNUMBER(SEARCH(IF(F$3&lt;&gt;"",F$3,"NA"),'MITRE ATT&amp;CK Mappings'!$I314))),ISNUMBER(SEARCH(IF(F$3&lt;&gt;"",F$3,"NA"),'MITRE ATT&amp;CK Mappings'!$J314))), 'MITRE ATT&amp;CK Mappings'!$B314,"")</f>
        <v/>
      </c>
      <c r="G318" s="26" t="str">
        <f>IF(OR(OR(OR(OR(OR(ISNUMBER(SEARCH(IF(G$1&lt;&gt;"",G$1,"NA"),'MITRE ATT&amp;CK Mappings'!$E314)),ISNUMBER(SEARCH(IF(G$1&lt;&gt;"",G$1,"NA"),'MITRE ATT&amp;CK Mappings'!$F314))),ISNUMBER(SEARCH(IF(G$2&lt;&gt;"",G$2,"NA"),'MITRE ATT&amp;CK Mappings'!$G314))),ISNUMBER(SEARCH(IF(G$2&lt;&gt;"",G$2,"NA"),'MITRE ATT&amp;CK Mappings'!$H314))),ISNUMBER(SEARCH(IF(G$3&lt;&gt;"",G$3,"NA"),'MITRE ATT&amp;CK Mappings'!$I314))),ISNUMBER(SEARCH(IF(G$3&lt;&gt;"",G$3,"NA"),'MITRE ATT&amp;CK Mappings'!$J314))), 'MITRE ATT&amp;CK Mappings'!$B314,"")</f>
        <v/>
      </c>
      <c r="H318" s="26" t="str">
        <f>IF(OR(OR(OR(OR(OR(ISNUMBER(SEARCH(IF(H$1&lt;&gt;"",H$1,"NA"),'MITRE ATT&amp;CK Mappings'!$E314)),ISNUMBER(SEARCH(IF(H$1&lt;&gt;"",H$1,"NA"),'MITRE ATT&amp;CK Mappings'!$F314))),ISNUMBER(SEARCH(IF(H$2&lt;&gt;"",H$2,"NA"),'MITRE ATT&amp;CK Mappings'!$G314))),ISNUMBER(SEARCH(IF(H$2&lt;&gt;"",H$2,"NA"),'MITRE ATT&amp;CK Mappings'!$H314))),ISNUMBER(SEARCH(IF(H$3&lt;&gt;"",H$3,"NA"),'MITRE ATT&amp;CK Mappings'!$I314))),ISNUMBER(SEARCH(IF(H$3&lt;&gt;"",H$3,"NA"),'MITRE ATT&amp;CK Mappings'!$J314))), 'MITRE ATT&amp;CK Mappings'!$B314,"")</f>
        <v/>
      </c>
      <c r="I318" s="26" t="str">
        <f>IF(OR(OR(OR(OR(OR(ISNUMBER(SEARCH(IF(I$1&lt;&gt;"",I$1,"NA"),'MITRE ATT&amp;CK Mappings'!$E314)),ISNUMBER(SEARCH(IF(I$1&lt;&gt;"",I$1,"NA"),'MITRE ATT&amp;CK Mappings'!$F314))),ISNUMBER(SEARCH(IF(I$2&lt;&gt;"",I$2,"NA"),'MITRE ATT&amp;CK Mappings'!$G314))),ISNUMBER(SEARCH(IF(I$2&lt;&gt;"",I$2,"NA"),'MITRE ATT&amp;CK Mappings'!$H314))),ISNUMBER(SEARCH(IF(I$3&lt;&gt;"",I$3,"NA"),'MITRE ATT&amp;CK Mappings'!$I314))),ISNUMBER(SEARCH(IF(I$3&lt;&gt;"",I$3,"NA"),'MITRE ATT&amp;CK Mappings'!$J314))), 'MITRE ATT&amp;CK Mappings'!$B314,"")</f>
        <v/>
      </c>
      <c r="J318" s="26" t="str">
        <f>IF(OR(OR(OR(OR(OR(ISNUMBER(SEARCH(IF(J$1&lt;&gt;"",J$1,"NA"),'MITRE ATT&amp;CK Mappings'!$E314)),ISNUMBER(SEARCH(IF(J$1&lt;&gt;"",J$1,"NA"),'MITRE ATT&amp;CK Mappings'!$F314))),ISNUMBER(SEARCH(IF(J$2&lt;&gt;"",J$2,"NA"),'MITRE ATT&amp;CK Mappings'!$G314))),ISNUMBER(SEARCH(IF(J$2&lt;&gt;"",J$2,"NA"),'MITRE ATT&amp;CK Mappings'!$H314))),ISNUMBER(SEARCH(IF(J$3&lt;&gt;"",J$3,"NA"),'MITRE ATT&amp;CK Mappings'!$I314))),ISNUMBER(SEARCH(IF(J$3&lt;&gt;"",J$3,"NA"),'MITRE ATT&amp;CK Mappings'!$J314))), 'MITRE ATT&amp;CK Mappings'!$B314,"")</f>
        <v/>
      </c>
      <c r="K318" s="26" t="str">
        <f>IF(OR(OR(OR(OR(OR(ISNUMBER(SEARCH(IF(K$1&lt;&gt;"",K$1,"NA"),'MITRE ATT&amp;CK Mappings'!$E314)),ISNUMBER(SEARCH(IF(K$1&lt;&gt;"",K$1,"NA"),'MITRE ATT&amp;CK Mappings'!$F314))),ISNUMBER(SEARCH(IF(K$2&lt;&gt;"",K$2,"NA"),'MITRE ATT&amp;CK Mappings'!$G314))),ISNUMBER(SEARCH(IF(K$2&lt;&gt;"",K$2,"NA"),'MITRE ATT&amp;CK Mappings'!$H314))),ISNUMBER(SEARCH(IF(K$3&lt;&gt;"",K$3,"NA"),'MITRE ATT&amp;CK Mappings'!$I314))),ISNUMBER(SEARCH(IF(K$3&lt;&gt;"",K$3,"NA"),'MITRE ATT&amp;CK Mappings'!$J314))), 'MITRE ATT&amp;CK Mappings'!$B314,"")</f>
        <v/>
      </c>
      <c r="L318" s="26" t="str">
        <f>IF('MITRE ATT&amp;CK Mappings'!D314 &lt;&gt;"",'MITRE ATT&amp;CK Mappings'!D314,"" )</f>
        <v/>
      </c>
    </row>
    <row r="319" spans="1:12" x14ac:dyDescent="0.25">
      <c r="A319" s="27" t="str">
        <f>IF(COUNTIF(B319:K319,"="&amp;'MITRE ATT&amp;CK Mappings'!B315)&gt;0,'MITRE ATT&amp;CK Mappings'!B315,"")</f>
        <v/>
      </c>
      <c r="B319" s="27" t="str">
        <f>IF(OR(OR(OR(OR(OR(ISNUMBER(SEARCH(IF(B$1&lt;&gt;"",B$1,"NA"),'MITRE ATT&amp;CK Mappings'!$E315)),ISNUMBER(SEARCH(IF(B$1&lt;&gt;"",B$1,"NA"),'MITRE ATT&amp;CK Mappings'!$F315))),ISNUMBER(SEARCH(IF(B$2&lt;&gt;"",B$2,"NA"),'MITRE ATT&amp;CK Mappings'!$G315))),ISNUMBER(SEARCH(IF(B$2&lt;&gt;"",B$2,"NA"),'MITRE ATT&amp;CK Mappings'!$H315))),ISNUMBER(SEARCH(IF(B$3&lt;&gt;"",B$3,"NA"),'MITRE ATT&amp;CK Mappings'!$I315))),ISNUMBER(SEARCH(IF(B$3&lt;&gt;"",B$3,"NA"),'MITRE ATT&amp;CK Mappings'!$J315))), 'MITRE ATT&amp;CK Mappings'!$B315,"")</f>
        <v/>
      </c>
      <c r="C319" s="27" t="str">
        <f>IF(OR(OR(OR(OR(OR(ISNUMBER(SEARCH(IF(C$1&lt;&gt;"",C$1,"NA"),'MITRE ATT&amp;CK Mappings'!$E315)),ISNUMBER(SEARCH(IF(C$1&lt;&gt;"",C$1,"NA"),'MITRE ATT&amp;CK Mappings'!$F315))),ISNUMBER(SEARCH(IF(C$2&lt;&gt;"",C$2,"NA"),'MITRE ATT&amp;CK Mappings'!$G315))),ISNUMBER(SEARCH(IF(C$2&lt;&gt;"",C$2,"NA"),'MITRE ATT&amp;CK Mappings'!$H315))),ISNUMBER(SEARCH(IF(C$3&lt;&gt;"",C$3,"NA"),'MITRE ATT&amp;CK Mappings'!$I315))),ISNUMBER(SEARCH(IF(C$3&lt;&gt;"",C$3,"NA"),'MITRE ATT&amp;CK Mappings'!$J315))), 'MITRE ATT&amp;CK Mappings'!$B315,"")</f>
        <v/>
      </c>
      <c r="D319" s="27" t="str">
        <f>IF(OR(OR(OR(OR(OR(ISNUMBER(SEARCH(IF(D$1&lt;&gt;"",D$1,"NA"),'MITRE ATT&amp;CK Mappings'!$E315)),ISNUMBER(SEARCH(IF(D$1&lt;&gt;"",D$1,"NA"),'MITRE ATT&amp;CK Mappings'!$F315))),ISNUMBER(SEARCH(IF(D$2&lt;&gt;"",D$2,"NA"),'MITRE ATT&amp;CK Mappings'!$G315))),ISNUMBER(SEARCH(IF(D$2&lt;&gt;"",D$2,"NA"),'MITRE ATT&amp;CK Mappings'!$H315))),ISNUMBER(SEARCH(IF(D$3&lt;&gt;"",D$3,"NA"),'MITRE ATT&amp;CK Mappings'!$I315))),ISNUMBER(SEARCH(IF(D$3&lt;&gt;"",D$3,"NA"),'MITRE ATT&amp;CK Mappings'!$J315))), 'MITRE ATT&amp;CK Mappings'!$B315,"")</f>
        <v/>
      </c>
      <c r="E319" s="27" t="str">
        <f>IF(OR(OR(OR(OR(OR(ISNUMBER(SEARCH(IF(E$1&lt;&gt;"",E$1,"NA"),'MITRE ATT&amp;CK Mappings'!$E315)),ISNUMBER(SEARCH(IF(E$1&lt;&gt;"",E$1,"NA"),'MITRE ATT&amp;CK Mappings'!$F315))),ISNUMBER(SEARCH(IF(E$2&lt;&gt;"",E$2,"NA"),'MITRE ATT&amp;CK Mappings'!$G315))),ISNUMBER(SEARCH(IF(E$2&lt;&gt;"",E$2,"NA"),'MITRE ATT&amp;CK Mappings'!$H315))),ISNUMBER(SEARCH(IF(E$3&lt;&gt;"",E$3,"NA"),'MITRE ATT&amp;CK Mappings'!$I315))),ISNUMBER(SEARCH(IF(E$3&lt;&gt;"",E$3,"NA"),'MITRE ATT&amp;CK Mappings'!$J315))), 'MITRE ATT&amp;CK Mappings'!$B315,"")</f>
        <v/>
      </c>
      <c r="F319" s="27" t="str">
        <f>IF(OR(OR(OR(OR(OR(ISNUMBER(SEARCH(IF(F$1&lt;&gt;"",F$1,"NA"),'MITRE ATT&amp;CK Mappings'!$E315)),ISNUMBER(SEARCH(IF(F$1&lt;&gt;"",F$1,"NA"),'MITRE ATT&amp;CK Mappings'!$F315))),ISNUMBER(SEARCH(IF(F$2&lt;&gt;"",F$2,"NA"),'MITRE ATT&amp;CK Mappings'!$G315))),ISNUMBER(SEARCH(IF(F$2&lt;&gt;"",F$2,"NA"),'MITRE ATT&amp;CK Mappings'!$H315))),ISNUMBER(SEARCH(IF(F$3&lt;&gt;"",F$3,"NA"),'MITRE ATT&amp;CK Mappings'!$I315))),ISNUMBER(SEARCH(IF(F$3&lt;&gt;"",F$3,"NA"),'MITRE ATT&amp;CK Mappings'!$J315))), 'MITRE ATT&amp;CK Mappings'!$B315,"")</f>
        <v/>
      </c>
      <c r="G319" s="27" t="str">
        <f>IF(OR(OR(OR(OR(OR(ISNUMBER(SEARCH(IF(G$1&lt;&gt;"",G$1,"NA"),'MITRE ATT&amp;CK Mappings'!$E315)),ISNUMBER(SEARCH(IF(G$1&lt;&gt;"",G$1,"NA"),'MITRE ATT&amp;CK Mappings'!$F315))),ISNUMBER(SEARCH(IF(G$2&lt;&gt;"",G$2,"NA"),'MITRE ATT&amp;CK Mappings'!$G315))),ISNUMBER(SEARCH(IF(G$2&lt;&gt;"",G$2,"NA"),'MITRE ATT&amp;CK Mappings'!$H315))),ISNUMBER(SEARCH(IF(G$3&lt;&gt;"",G$3,"NA"),'MITRE ATT&amp;CK Mappings'!$I315))),ISNUMBER(SEARCH(IF(G$3&lt;&gt;"",G$3,"NA"),'MITRE ATT&amp;CK Mappings'!$J315))), 'MITRE ATT&amp;CK Mappings'!$B315,"")</f>
        <v/>
      </c>
      <c r="H319" s="27" t="str">
        <f>IF(OR(OR(OR(OR(OR(ISNUMBER(SEARCH(IF(H$1&lt;&gt;"",H$1,"NA"),'MITRE ATT&amp;CK Mappings'!$E315)),ISNUMBER(SEARCH(IF(H$1&lt;&gt;"",H$1,"NA"),'MITRE ATT&amp;CK Mappings'!$F315))),ISNUMBER(SEARCH(IF(H$2&lt;&gt;"",H$2,"NA"),'MITRE ATT&amp;CK Mappings'!$G315))),ISNUMBER(SEARCH(IF(H$2&lt;&gt;"",H$2,"NA"),'MITRE ATT&amp;CK Mappings'!$H315))),ISNUMBER(SEARCH(IF(H$3&lt;&gt;"",H$3,"NA"),'MITRE ATT&amp;CK Mappings'!$I315))),ISNUMBER(SEARCH(IF(H$3&lt;&gt;"",H$3,"NA"),'MITRE ATT&amp;CK Mappings'!$J315))), 'MITRE ATT&amp;CK Mappings'!$B315,"")</f>
        <v/>
      </c>
      <c r="I319" s="27" t="str">
        <f>IF(OR(OR(OR(OR(OR(ISNUMBER(SEARCH(IF(I$1&lt;&gt;"",I$1,"NA"),'MITRE ATT&amp;CK Mappings'!$E315)),ISNUMBER(SEARCH(IF(I$1&lt;&gt;"",I$1,"NA"),'MITRE ATT&amp;CK Mappings'!$F315))),ISNUMBER(SEARCH(IF(I$2&lt;&gt;"",I$2,"NA"),'MITRE ATT&amp;CK Mappings'!$G315))),ISNUMBER(SEARCH(IF(I$2&lt;&gt;"",I$2,"NA"),'MITRE ATT&amp;CK Mappings'!$H315))),ISNUMBER(SEARCH(IF(I$3&lt;&gt;"",I$3,"NA"),'MITRE ATT&amp;CK Mappings'!$I315))),ISNUMBER(SEARCH(IF(I$3&lt;&gt;"",I$3,"NA"),'MITRE ATT&amp;CK Mappings'!$J315))), 'MITRE ATT&amp;CK Mappings'!$B315,"")</f>
        <v/>
      </c>
      <c r="J319" s="27" t="str">
        <f>IF(OR(OR(OR(OR(OR(ISNUMBER(SEARCH(IF(J$1&lt;&gt;"",J$1,"NA"),'MITRE ATT&amp;CK Mappings'!$E315)),ISNUMBER(SEARCH(IF(J$1&lt;&gt;"",J$1,"NA"),'MITRE ATT&amp;CK Mappings'!$F315))),ISNUMBER(SEARCH(IF(J$2&lt;&gt;"",J$2,"NA"),'MITRE ATT&amp;CK Mappings'!$G315))),ISNUMBER(SEARCH(IF(J$2&lt;&gt;"",J$2,"NA"),'MITRE ATT&amp;CK Mappings'!$H315))),ISNUMBER(SEARCH(IF(J$3&lt;&gt;"",J$3,"NA"),'MITRE ATT&amp;CK Mappings'!$I315))),ISNUMBER(SEARCH(IF(J$3&lt;&gt;"",J$3,"NA"),'MITRE ATT&amp;CK Mappings'!$J315))), 'MITRE ATT&amp;CK Mappings'!$B315,"")</f>
        <v/>
      </c>
      <c r="K319" s="27" t="str">
        <f>IF(OR(OR(OR(OR(OR(ISNUMBER(SEARCH(IF(K$1&lt;&gt;"",K$1,"NA"),'MITRE ATT&amp;CK Mappings'!$E315)),ISNUMBER(SEARCH(IF(K$1&lt;&gt;"",K$1,"NA"),'MITRE ATT&amp;CK Mappings'!$F315))),ISNUMBER(SEARCH(IF(K$2&lt;&gt;"",K$2,"NA"),'MITRE ATT&amp;CK Mappings'!$G315))),ISNUMBER(SEARCH(IF(K$2&lt;&gt;"",K$2,"NA"),'MITRE ATT&amp;CK Mappings'!$H315))),ISNUMBER(SEARCH(IF(K$3&lt;&gt;"",K$3,"NA"),'MITRE ATT&amp;CK Mappings'!$I315))),ISNUMBER(SEARCH(IF(K$3&lt;&gt;"",K$3,"NA"),'MITRE ATT&amp;CK Mappings'!$J315))), 'MITRE ATT&amp;CK Mappings'!$B315,"")</f>
        <v/>
      </c>
      <c r="L319" s="27" t="str">
        <f>IF('MITRE ATT&amp;CK Mappings'!D315 &lt;&gt;"",'MITRE ATT&amp;CK Mappings'!D315,"" )</f>
        <v/>
      </c>
    </row>
    <row r="320" spans="1:12" x14ac:dyDescent="0.25">
      <c r="A320" s="26" t="str">
        <f>IF(COUNTIF(B320:K320,"="&amp;'MITRE ATT&amp;CK Mappings'!B316)&gt;0,'MITRE ATT&amp;CK Mappings'!B316,"")</f>
        <v/>
      </c>
      <c r="B320" s="26" t="str">
        <f>IF(OR(OR(OR(OR(OR(ISNUMBER(SEARCH(IF(B$1&lt;&gt;"",B$1,"NA"),'MITRE ATT&amp;CK Mappings'!$E316)),ISNUMBER(SEARCH(IF(B$1&lt;&gt;"",B$1,"NA"),'MITRE ATT&amp;CK Mappings'!$F316))),ISNUMBER(SEARCH(IF(B$2&lt;&gt;"",B$2,"NA"),'MITRE ATT&amp;CK Mappings'!$G316))),ISNUMBER(SEARCH(IF(B$2&lt;&gt;"",B$2,"NA"),'MITRE ATT&amp;CK Mappings'!$H316))),ISNUMBER(SEARCH(IF(B$3&lt;&gt;"",B$3,"NA"),'MITRE ATT&amp;CK Mappings'!$I316))),ISNUMBER(SEARCH(IF(B$3&lt;&gt;"",B$3,"NA"),'MITRE ATT&amp;CK Mappings'!$J316))), 'MITRE ATT&amp;CK Mappings'!$B316,"")</f>
        <v/>
      </c>
      <c r="C320" s="26" t="str">
        <f>IF(OR(OR(OR(OR(OR(ISNUMBER(SEARCH(IF(C$1&lt;&gt;"",C$1,"NA"),'MITRE ATT&amp;CK Mappings'!$E316)),ISNUMBER(SEARCH(IF(C$1&lt;&gt;"",C$1,"NA"),'MITRE ATT&amp;CK Mappings'!$F316))),ISNUMBER(SEARCH(IF(C$2&lt;&gt;"",C$2,"NA"),'MITRE ATT&amp;CK Mappings'!$G316))),ISNUMBER(SEARCH(IF(C$2&lt;&gt;"",C$2,"NA"),'MITRE ATT&amp;CK Mappings'!$H316))),ISNUMBER(SEARCH(IF(C$3&lt;&gt;"",C$3,"NA"),'MITRE ATT&amp;CK Mappings'!$I316))),ISNUMBER(SEARCH(IF(C$3&lt;&gt;"",C$3,"NA"),'MITRE ATT&amp;CK Mappings'!$J316))), 'MITRE ATT&amp;CK Mappings'!$B316,"")</f>
        <v/>
      </c>
      <c r="D320" s="26" t="str">
        <f>IF(OR(OR(OR(OR(OR(ISNUMBER(SEARCH(IF(D$1&lt;&gt;"",D$1,"NA"),'MITRE ATT&amp;CK Mappings'!$E316)),ISNUMBER(SEARCH(IF(D$1&lt;&gt;"",D$1,"NA"),'MITRE ATT&amp;CK Mappings'!$F316))),ISNUMBER(SEARCH(IF(D$2&lt;&gt;"",D$2,"NA"),'MITRE ATT&amp;CK Mappings'!$G316))),ISNUMBER(SEARCH(IF(D$2&lt;&gt;"",D$2,"NA"),'MITRE ATT&amp;CK Mappings'!$H316))),ISNUMBER(SEARCH(IF(D$3&lt;&gt;"",D$3,"NA"),'MITRE ATT&amp;CK Mappings'!$I316))),ISNUMBER(SEARCH(IF(D$3&lt;&gt;"",D$3,"NA"),'MITRE ATT&amp;CK Mappings'!$J316))), 'MITRE ATT&amp;CK Mappings'!$B316,"")</f>
        <v/>
      </c>
      <c r="E320" s="26" t="str">
        <f>IF(OR(OR(OR(OR(OR(ISNUMBER(SEARCH(IF(E$1&lt;&gt;"",E$1,"NA"),'MITRE ATT&amp;CK Mappings'!$E316)),ISNUMBER(SEARCH(IF(E$1&lt;&gt;"",E$1,"NA"),'MITRE ATT&amp;CK Mappings'!$F316))),ISNUMBER(SEARCH(IF(E$2&lt;&gt;"",E$2,"NA"),'MITRE ATT&amp;CK Mappings'!$G316))),ISNUMBER(SEARCH(IF(E$2&lt;&gt;"",E$2,"NA"),'MITRE ATT&amp;CK Mappings'!$H316))),ISNUMBER(SEARCH(IF(E$3&lt;&gt;"",E$3,"NA"),'MITRE ATT&amp;CK Mappings'!$I316))),ISNUMBER(SEARCH(IF(E$3&lt;&gt;"",E$3,"NA"),'MITRE ATT&amp;CK Mappings'!$J316))), 'MITRE ATT&amp;CK Mappings'!$B316,"")</f>
        <v/>
      </c>
      <c r="F320" s="26" t="str">
        <f>IF(OR(OR(OR(OR(OR(ISNUMBER(SEARCH(IF(F$1&lt;&gt;"",F$1,"NA"),'MITRE ATT&amp;CK Mappings'!$E316)),ISNUMBER(SEARCH(IF(F$1&lt;&gt;"",F$1,"NA"),'MITRE ATT&amp;CK Mappings'!$F316))),ISNUMBER(SEARCH(IF(F$2&lt;&gt;"",F$2,"NA"),'MITRE ATT&amp;CK Mappings'!$G316))),ISNUMBER(SEARCH(IF(F$2&lt;&gt;"",F$2,"NA"),'MITRE ATT&amp;CK Mappings'!$H316))),ISNUMBER(SEARCH(IF(F$3&lt;&gt;"",F$3,"NA"),'MITRE ATT&amp;CK Mappings'!$I316))),ISNUMBER(SEARCH(IF(F$3&lt;&gt;"",F$3,"NA"),'MITRE ATT&amp;CK Mappings'!$J316))), 'MITRE ATT&amp;CK Mappings'!$B316,"")</f>
        <v/>
      </c>
      <c r="G320" s="26" t="str">
        <f>IF(OR(OR(OR(OR(OR(ISNUMBER(SEARCH(IF(G$1&lt;&gt;"",G$1,"NA"),'MITRE ATT&amp;CK Mappings'!$E316)),ISNUMBER(SEARCH(IF(G$1&lt;&gt;"",G$1,"NA"),'MITRE ATT&amp;CK Mappings'!$F316))),ISNUMBER(SEARCH(IF(G$2&lt;&gt;"",G$2,"NA"),'MITRE ATT&amp;CK Mappings'!$G316))),ISNUMBER(SEARCH(IF(G$2&lt;&gt;"",G$2,"NA"),'MITRE ATT&amp;CK Mappings'!$H316))),ISNUMBER(SEARCH(IF(G$3&lt;&gt;"",G$3,"NA"),'MITRE ATT&amp;CK Mappings'!$I316))),ISNUMBER(SEARCH(IF(G$3&lt;&gt;"",G$3,"NA"),'MITRE ATT&amp;CK Mappings'!$J316))), 'MITRE ATT&amp;CK Mappings'!$B316,"")</f>
        <v/>
      </c>
      <c r="H320" s="26" t="str">
        <f>IF(OR(OR(OR(OR(OR(ISNUMBER(SEARCH(IF(H$1&lt;&gt;"",H$1,"NA"),'MITRE ATT&amp;CK Mappings'!$E316)),ISNUMBER(SEARCH(IF(H$1&lt;&gt;"",H$1,"NA"),'MITRE ATT&amp;CK Mappings'!$F316))),ISNUMBER(SEARCH(IF(H$2&lt;&gt;"",H$2,"NA"),'MITRE ATT&amp;CK Mappings'!$G316))),ISNUMBER(SEARCH(IF(H$2&lt;&gt;"",H$2,"NA"),'MITRE ATT&amp;CK Mappings'!$H316))),ISNUMBER(SEARCH(IF(H$3&lt;&gt;"",H$3,"NA"),'MITRE ATT&amp;CK Mappings'!$I316))),ISNUMBER(SEARCH(IF(H$3&lt;&gt;"",H$3,"NA"),'MITRE ATT&amp;CK Mappings'!$J316))), 'MITRE ATT&amp;CK Mappings'!$B316,"")</f>
        <v/>
      </c>
      <c r="I320" s="26" t="str">
        <f>IF(OR(OR(OR(OR(OR(ISNUMBER(SEARCH(IF(I$1&lt;&gt;"",I$1,"NA"),'MITRE ATT&amp;CK Mappings'!$E316)),ISNUMBER(SEARCH(IF(I$1&lt;&gt;"",I$1,"NA"),'MITRE ATT&amp;CK Mappings'!$F316))),ISNUMBER(SEARCH(IF(I$2&lt;&gt;"",I$2,"NA"),'MITRE ATT&amp;CK Mappings'!$G316))),ISNUMBER(SEARCH(IF(I$2&lt;&gt;"",I$2,"NA"),'MITRE ATT&amp;CK Mappings'!$H316))),ISNUMBER(SEARCH(IF(I$3&lt;&gt;"",I$3,"NA"),'MITRE ATT&amp;CK Mappings'!$I316))),ISNUMBER(SEARCH(IF(I$3&lt;&gt;"",I$3,"NA"),'MITRE ATT&amp;CK Mappings'!$J316))), 'MITRE ATT&amp;CK Mappings'!$B316,"")</f>
        <v/>
      </c>
      <c r="J320" s="26" t="str">
        <f>IF(OR(OR(OR(OR(OR(ISNUMBER(SEARCH(IF(J$1&lt;&gt;"",J$1,"NA"),'MITRE ATT&amp;CK Mappings'!$E316)),ISNUMBER(SEARCH(IF(J$1&lt;&gt;"",J$1,"NA"),'MITRE ATT&amp;CK Mappings'!$F316))),ISNUMBER(SEARCH(IF(J$2&lt;&gt;"",J$2,"NA"),'MITRE ATT&amp;CK Mappings'!$G316))),ISNUMBER(SEARCH(IF(J$2&lt;&gt;"",J$2,"NA"),'MITRE ATT&amp;CK Mappings'!$H316))),ISNUMBER(SEARCH(IF(J$3&lt;&gt;"",J$3,"NA"),'MITRE ATT&amp;CK Mappings'!$I316))),ISNUMBER(SEARCH(IF(J$3&lt;&gt;"",J$3,"NA"),'MITRE ATT&amp;CK Mappings'!$J316))), 'MITRE ATT&amp;CK Mappings'!$B316,"")</f>
        <v/>
      </c>
      <c r="K320" s="26" t="str">
        <f>IF(OR(OR(OR(OR(OR(ISNUMBER(SEARCH(IF(K$1&lt;&gt;"",K$1,"NA"),'MITRE ATT&amp;CK Mappings'!$E316)),ISNUMBER(SEARCH(IF(K$1&lt;&gt;"",K$1,"NA"),'MITRE ATT&amp;CK Mappings'!$F316))),ISNUMBER(SEARCH(IF(K$2&lt;&gt;"",K$2,"NA"),'MITRE ATT&amp;CK Mappings'!$G316))),ISNUMBER(SEARCH(IF(K$2&lt;&gt;"",K$2,"NA"),'MITRE ATT&amp;CK Mappings'!$H316))),ISNUMBER(SEARCH(IF(K$3&lt;&gt;"",K$3,"NA"),'MITRE ATT&amp;CK Mappings'!$I316))),ISNUMBER(SEARCH(IF(K$3&lt;&gt;"",K$3,"NA"),'MITRE ATT&amp;CK Mappings'!$J316))), 'MITRE ATT&amp;CK Mappings'!$B316,"")</f>
        <v/>
      </c>
      <c r="L320" s="26" t="str">
        <f>IF('MITRE ATT&amp;CK Mappings'!D316 &lt;&gt;"",'MITRE ATT&amp;CK Mappings'!D316,"" )</f>
        <v/>
      </c>
    </row>
    <row r="321" spans="1:12" x14ac:dyDescent="0.25">
      <c r="A321" s="27" t="str">
        <f>IF(COUNTIF(B321:K321,"="&amp;'MITRE ATT&amp;CK Mappings'!B317)&gt;0,'MITRE ATT&amp;CK Mappings'!B317,"")</f>
        <v/>
      </c>
      <c r="B321" s="27" t="str">
        <f>IF(OR(OR(OR(OR(OR(ISNUMBER(SEARCH(IF(B$1&lt;&gt;"",B$1,"NA"),'MITRE ATT&amp;CK Mappings'!$E317)),ISNUMBER(SEARCH(IF(B$1&lt;&gt;"",B$1,"NA"),'MITRE ATT&amp;CK Mappings'!$F317))),ISNUMBER(SEARCH(IF(B$2&lt;&gt;"",B$2,"NA"),'MITRE ATT&amp;CK Mappings'!$G317))),ISNUMBER(SEARCH(IF(B$2&lt;&gt;"",B$2,"NA"),'MITRE ATT&amp;CK Mappings'!$H317))),ISNUMBER(SEARCH(IF(B$3&lt;&gt;"",B$3,"NA"),'MITRE ATT&amp;CK Mappings'!$I317))),ISNUMBER(SEARCH(IF(B$3&lt;&gt;"",B$3,"NA"),'MITRE ATT&amp;CK Mappings'!$J317))), 'MITRE ATT&amp;CK Mappings'!$B317,"")</f>
        <v/>
      </c>
      <c r="C321" s="27" t="str">
        <f>IF(OR(OR(OR(OR(OR(ISNUMBER(SEARCH(IF(C$1&lt;&gt;"",C$1,"NA"),'MITRE ATT&amp;CK Mappings'!$E317)),ISNUMBER(SEARCH(IF(C$1&lt;&gt;"",C$1,"NA"),'MITRE ATT&amp;CK Mappings'!$F317))),ISNUMBER(SEARCH(IF(C$2&lt;&gt;"",C$2,"NA"),'MITRE ATT&amp;CK Mappings'!$G317))),ISNUMBER(SEARCH(IF(C$2&lt;&gt;"",C$2,"NA"),'MITRE ATT&amp;CK Mappings'!$H317))),ISNUMBER(SEARCH(IF(C$3&lt;&gt;"",C$3,"NA"),'MITRE ATT&amp;CK Mappings'!$I317))),ISNUMBER(SEARCH(IF(C$3&lt;&gt;"",C$3,"NA"),'MITRE ATT&amp;CK Mappings'!$J317))), 'MITRE ATT&amp;CK Mappings'!$B317,"")</f>
        <v/>
      </c>
      <c r="D321" s="27" t="str">
        <f>IF(OR(OR(OR(OR(OR(ISNUMBER(SEARCH(IF(D$1&lt;&gt;"",D$1,"NA"),'MITRE ATT&amp;CK Mappings'!$E317)),ISNUMBER(SEARCH(IF(D$1&lt;&gt;"",D$1,"NA"),'MITRE ATT&amp;CK Mappings'!$F317))),ISNUMBER(SEARCH(IF(D$2&lt;&gt;"",D$2,"NA"),'MITRE ATT&amp;CK Mappings'!$G317))),ISNUMBER(SEARCH(IF(D$2&lt;&gt;"",D$2,"NA"),'MITRE ATT&amp;CK Mappings'!$H317))),ISNUMBER(SEARCH(IF(D$3&lt;&gt;"",D$3,"NA"),'MITRE ATT&amp;CK Mappings'!$I317))),ISNUMBER(SEARCH(IF(D$3&lt;&gt;"",D$3,"NA"),'MITRE ATT&amp;CK Mappings'!$J317))), 'MITRE ATT&amp;CK Mappings'!$B317,"")</f>
        <v/>
      </c>
      <c r="E321" s="27" t="str">
        <f>IF(OR(OR(OR(OR(OR(ISNUMBER(SEARCH(IF(E$1&lt;&gt;"",E$1,"NA"),'MITRE ATT&amp;CK Mappings'!$E317)),ISNUMBER(SEARCH(IF(E$1&lt;&gt;"",E$1,"NA"),'MITRE ATT&amp;CK Mappings'!$F317))),ISNUMBER(SEARCH(IF(E$2&lt;&gt;"",E$2,"NA"),'MITRE ATT&amp;CK Mappings'!$G317))),ISNUMBER(SEARCH(IF(E$2&lt;&gt;"",E$2,"NA"),'MITRE ATT&amp;CK Mappings'!$H317))),ISNUMBER(SEARCH(IF(E$3&lt;&gt;"",E$3,"NA"),'MITRE ATT&amp;CK Mappings'!$I317))),ISNUMBER(SEARCH(IF(E$3&lt;&gt;"",E$3,"NA"),'MITRE ATT&amp;CK Mappings'!$J317))), 'MITRE ATT&amp;CK Mappings'!$B317,"")</f>
        <v/>
      </c>
      <c r="F321" s="27" t="str">
        <f>IF(OR(OR(OR(OR(OR(ISNUMBER(SEARCH(IF(F$1&lt;&gt;"",F$1,"NA"),'MITRE ATT&amp;CK Mappings'!$E317)),ISNUMBER(SEARCH(IF(F$1&lt;&gt;"",F$1,"NA"),'MITRE ATT&amp;CK Mappings'!$F317))),ISNUMBER(SEARCH(IF(F$2&lt;&gt;"",F$2,"NA"),'MITRE ATT&amp;CK Mappings'!$G317))),ISNUMBER(SEARCH(IF(F$2&lt;&gt;"",F$2,"NA"),'MITRE ATT&amp;CK Mappings'!$H317))),ISNUMBER(SEARCH(IF(F$3&lt;&gt;"",F$3,"NA"),'MITRE ATT&amp;CK Mappings'!$I317))),ISNUMBER(SEARCH(IF(F$3&lt;&gt;"",F$3,"NA"),'MITRE ATT&amp;CK Mappings'!$J317))), 'MITRE ATT&amp;CK Mappings'!$B317,"")</f>
        <v/>
      </c>
      <c r="G321" s="27" t="str">
        <f>IF(OR(OR(OR(OR(OR(ISNUMBER(SEARCH(IF(G$1&lt;&gt;"",G$1,"NA"),'MITRE ATT&amp;CK Mappings'!$E317)),ISNUMBER(SEARCH(IF(G$1&lt;&gt;"",G$1,"NA"),'MITRE ATT&amp;CK Mappings'!$F317))),ISNUMBER(SEARCH(IF(G$2&lt;&gt;"",G$2,"NA"),'MITRE ATT&amp;CK Mappings'!$G317))),ISNUMBER(SEARCH(IF(G$2&lt;&gt;"",G$2,"NA"),'MITRE ATT&amp;CK Mappings'!$H317))),ISNUMBER(SEARCH(IF(G$3&lt;&gt;"",G$3,"NA"),'MITRE ATT&amp;CK Mappings'!$I317))),ISNUMBER(SEARCH(IF(G$3&lt;&gt;"",G$3,"NA"),'MITRE ATT&amp;CK Mappings'!$J317))), 'MITRE ATT&amp;CK Mappings'!$B317,"")</f>
        <v/>
      </c>
      <c r="H321" s="27" t="str">
        <f>IF(OR(OR(OR(OR(OR(ISNUMBER(SEARCH(IF(H$1&lt;&gt;"",H$1,"NA"),'MITRE ATT&amp;CK Mappings'!$E317)),ISNUMBER(SEARCH(IF(H$1&lt;&gt;"",H$1,"NA"),'MITRE ATT&amp;CK Mappings'!$F317))),ISNUMBER(SEARCH(IF(H$2&lt;&gt;"",H$2,"NA"),'MITRE ATT&amp;CK Mappings'!$G317))),ISNUMBER(SEARCH(IF(H$2&lt;&gt;"",H$2,"NA"),'MITRE ATT&amp;CK Mappings'!$H317))),ISNUMBER(SEARCH(IF(H$3&lt;&gt;"",H$3,"NA"),'MITRE ATT&amp;CK Mappings'!$I317))),ISNUMBER(SEARCH(IF(H$3&lt;&gt;"",H$3,"NA"),'MITRE ATT&amp;CK Mappings'!$J317))), 'MITRE ATT&amp;CK Mappings'!$B317,"")</f>
        <v/>
      </c>
      <c r="I321" s="27" t="str">
        <f>IF(OR(OR(OR(OR(OR(ISNUMBER(SEARCH(IF(I$1&lt;&gt;"",I$1,"NA"),'MITRE ATT&amp;CK Mappings'!$E317)),ISNUMBER(SEARCH(IF(I$1&lt;&gt;"",I$1,"NA"),'MITRE ATT&amp;CK Mappings'!$F317))),ISNUMBER(SEARCH(IF(I$2&lt;&gt;"",I$2,"NA"),'MITRE ATT&amp;CK Mappings'!$G317))),ISNUMBER(SEARCH(IF(I$2&lt;&gt;"",I$2,"NA"),'MITRE ATT&amp;CK Mappings'!$H317))),ISNUMBER(SEARCH(IF(I$3&lt;&gt;"",I$3,"NA"),'MITRE ATT&amp;CK Mappings'!$I317))),ISNUMBER(SEARCH(IF(I$3&lt;&gt;"",I$3,"NA"),'MITRE ATT&amp;CK Mappings'!$J317))), 'MITRE ATT&amp;CK Mappings'!$B317,"")</f>
        <v/>
      </c>
      <c r="J321" s="27" t="str">
        <f>IF(OR(OR(OR(OR(OR(ISNUMBER(SEARCH(IF(J$1&lt;&gt;"",J$1,"NA"),'MITRE ATT&amp;CK Mappings'!$E317)),ISNUMBER(SEARCH(IF(J$1&lt;&gt;"",J$1,"NA"),'MITRE ATT&amp;CK Mappings'!$F317))),ISNUMBER(SEARCH(IF(J$2&lt;&gt;"",J$2,"NA"),'MITRE ATT&amp;CK Mappings'!$G317))),ISNUMBER(SEARCH(IF(J$2&lt;&gt;"",J$2,"NA"),'MITRE ATT&amp;CK Mappings'!$H317))),ISNUMBER(SEARCH(IF(J$3&lt;&gt;"",J$3,"NA"),'MITRE ATT&amp;CK Mappings'!$I317))),ISNUMBER(SEARCH(IF(J$3&lt;&gt;"",J$3,"NA"),'MITRE ATT&amp;CK Mappings'!$J317))), 'MITRE ATT&amp;CK Mappings'!$B317,"")</f>
        <v/>
      </c>
      <c r="K321" s="27" t="str">
        <f>IF(OR(OR(OR(OR(OR(ISNUMBER(SEARCH(IF(K$1&lt;&gt;"",K$1,"NA"),'MITRE ATT&amp;CK Mappings'!$E317)),ISNUMBER(SEARCH(IF(K$1&lt;&gt;"",K$1,"NA"),'MITRE ATT&amp;CK Mappings'!$F317))),ISNUMBER(SEARCH(IF(K$2&lt;&gt;"",K$2,"NA"),'MITRE ATT&amp;CK Mappings'!$G317))),ISNUMBER(SEARCH(IF(K$2&lt;&gt;"",K$2,"NA"),'MITRE ATT&amp;CK Mappings'!$H317))),ISNUMBER(SEARCH(IF(K$3&lt;&gt;"",K$3,"NA"),'MITRE ATT&amp;CK Mappings'!$I317))),ISNUMBER(SEARCH(IF(K$3&lt;&gt;"",K$3,"NA"),'MITRE ATT&amp;CK Mappings'!$J317))), 'MITRE ATT&amp;CK Mappings'!$B317,"")</f>
        <v/>
      </c>
      <c r="L321" s="27" t="str">
        <f>IF('MITRE ATT&amp;CK Mappings'!D317 &lt;&gt;"",'MITRE ATT&amp;CK Mappings'!D317,"" )</f>
        <v/>
      </c>
    </row>
    <row r="322" spans="1:12" x14ac:dyDescent="0.25">
      <c r="A322" s="26" t="str">
        <f>IF(COUNTIF(B322:K322,"="&amp;'MITRE ATT&amp;CK Mappings'!B318)&gt;0,'MITRE ATT&amp;CK Mappings'!B318,"")</f>
        <v/>
      </c>
      <c r="B322" s="26" t="str">
        <f>IF(OR(OR(OR(OR(OR(ISNUMBER(SEARCH(IF(B$1&lt;&gt;"",B$1,"NA"),'MITRE ATT&amp;CK Mappings'!$E318)),ISNUMBER(SEARCH(IF(B$1&lt;&gt;"",B$1,"NA"),'MITRE ATT&amp;CK Mappings'!$F318))),ISNUMBER(SEARCH(IF(B$2&lt;&gt;"",B$2,"NA"),'MITRE ATT&amp;CK Mappings'!$G318))),ISNUMBER(SEARCH(IF(B$2&lt;&gt;"",B$2,"NA"),'MITRE ATT&amp;CK Mappings'!$H318))),ISNUMBER(SEARCH(IF(B$3&lt;&gt;"",B$3,"NA"),'MITRE ATT&amp;CK Mappings'!$I318))),ISNUMBER(SEARCH(IF(B$3&lt;&gt;"",B$3,"NA"),'MITRE ATT&amp;CK Mappings'!$J318))), 'MITRE ATT&amp;CK Mappings'!$B318,"")</f>
        <v/>
      </c>
      <c r="C322" s="26" t="str">
        <f>IF(OR(OR(OR(OR(OR(ISNUMBER(SEARCH(IF(C$1&lt;&gt;"",C$1,"NA"),'MITRE ATT&amp;CK Mappings'!$E318)),ISNUMBER(SEARCH(IF(C$1&lt;&gt;"",C$1,"NA"),'MITRE ATT&amp;CK Mappings'!$F318))),ISNUMBER(SEARCH(IF(C$2&lt;&gt;"",C$2,"NA"),'MITRE ATT&amp;CK Mappings'!$G318))),ISNUMBER(SEARCH(IF(C$2&lt;&gt;"",C$2,"NA"),'MITRE ATT&amp;CK Mappings'!$H318))),ISNUMBER(SEARCH(IF(C$3&lt;&gt;"",C$3,"NA"),'MITRE ATT&amp;CK Mappings'!$I318))),ISNUMBER(SEARCH(IF(C$3&lt;&gt;"",C$3,"NA"),'MITRE ATT&amp;CK Mappings'!$J318))), 'MITRE ATT&amp;CK Mappings'!$B318,"")</f>
        <v/>
      </c>
      <c r="D322" s="26" t="str">
        <f>IF(OR(OR(OR(OR(OR(ISNUMBER(SEARCH(IF(D$1&lt;&gt;"",D$1,"NA"),'MITRE ATT&amp;CK Mappings'!$E318)),ISNUMBER(SEARCH(IF(D$1&lt;&gt;"",D$1,"NA"),'MITRE ATT&amp;CK Mappings'!$F318))),ISNUMBER(SEARCH(IF(D$2&lt;&gt;"",D$2,"NA"),'MITRE ATT&amp;CK Mappings'!$G318))),ISNUMBER(SEARCH(IF(D$2&lt;&gt;"",D$2,"NA"),'MITRE ATT&amp;CK Mappings'!$H318))),ISNUMBER(SEARCH(IF(D$3&lt;&gt;"",D$3,"NA"),'MITRE ATT&amp;CK Mappings'!$I318))),ISNUMBER(SEARCH(IF(D$3&lt;&gt;"",D$3,"NA"),'MITRE ATT&amp;CK Mappings'!$J318))), 'MITRE ATT&amp;CK Mappings'!$B318,"")</f>
        <v/>
      </c>
      <c r="E322" s="26" t="str">
        <f>IF(OR(OR(OR(OR(OR(ISNUMBER(SEARCH(IF(E$1&lt;&gt;"",E$1,"NA"),'MITRE ATT&amp;CK Mappings'!$E318)),ISNUMBER(SEARCH(IF(E$1&lt;&gt;"",E$1,"NA"),'MITRE ATT&amp;CK Mappings'!$F318))),ISNUMBER(SEARCH(IF(E$2&lt;&gt;"",E$2,"NA"),'MITRE ATT&amp;CK Mappings'!$G318))),ISNUMBER(SEARCH(IF(E$2&lt;&gt;"",E$2,"NA"),'MITRE ATT&amp;CK Mappings'!$H318))),ISNUMBER(SEARCH(IF(E$3&lt;&gt;"",E$3,"NA"),'MITRE ATT&amp;CK Mappings'!$I318))),ISNUMBER(SEARCH(IF(E$3&lt;&gt;"",E$3,"NA"),'MITRE ATT&amp;CK Mappings'!$J318))), 'MITRE ATT&amp;CK Mappings'!$B318,"")</f>
        <v/>
      </c>
      <c r="F322" s="26" t="str">
        <f>IF(OR(OR(OR(OR(OR(ISNUMBER(SEARCH(IF(F$1&lt;&gt;"",F$1,"NA"),'MITRE ATT&amp;CK Mappings'!$E318)),ISNUMBER(SEARCH(IF(F$1&lt;&gt;"",F$1,"NA"),'MITRE ATT&amp;CK Mappings'!$F318))),ISNUMBER(SEARCH(IF(F$2&lt;&gt;"",F$2,"NA"),'MITRE ATT&amp;CK Mappings'!$G318))),ISNUMBER(SEARCH(IF(F$2&lt;&gt;"",F$2,"NA"),'MITRE ATT&amp;CK Mappings'!$H318))),ISNUMBER(SEARCH(IF(F$3&lt;&gt;"",F$3,"NA"),'MITRE ATT&amp;CK Mappings'!$I318))),ISNUMBER(SEARCH(IF(F$3&lt;&gt;"",F$3,"NA"),'MITRE ATT&amp;CK Mappings'!$J318))), 'MITRE ATT&amp;CK Mappings'!$B318,"")</f>
        <v/>
      </c>
      <c r="G322" s="26" t="str">
        <f>IF(OR(OR(OR(OR(OR(ISNUMBER(SEARCH(IF(G$1&lt;&gt;"",G$1,"NA"),'MITRE ATT&amp;CK Mappings'!$E318)),ISNUMBER(SEARCH(IF(G$1&lt;&gt;"",G$1,"NA"),'MITRE ATT&amp;CK Mappings'!$F318))),ISNUMBER(SEARCH(IF(G$2&lt;&gt;"",G$2,"NA"),'MITRE ATT&amp;CK Mappings'!$G318))),ISNUMBER(SEARCH(IF(G$2&lt;&gt;"",G$2,"NA"),'MITRE ATT&amp;CK Mappings'!$H318))),ISNUMBER(SEARCH(IF(G$3&lt;&gt;"",G$3,"NA"),'MITRE ATT&amp;CK Mappings'!$I318))),ISNUMBER(SEARCH(IF(G$3&lt;&gt;"",G$3,"NA"),'MITRE ATT&amp;CK Mappings'!$J318))), 'MITRE ATT&amp;CK Mappings'!$B318,"")</f>
        <v/>
      </c>
      <c r="H322" s="26" t="str">
        <f>IF(OR(OR(OR(OR(OR(ISNUMBER(SEARCH(IF(H$1&lt;&gt;"",H$1,"NA"),'MITRE ATT&amp;CK Mappings'!$E318)),ISNUMBER(SEARCH(IF(H$1&lt;&gt;"",H$1,"NA"),'MITRE ATT&amp;CK Mappings'!$F318))),ISNUMBER(SEARCH(IF(H$2&lt;&gt;"",H$2,"NA"),'MITRE ATT&amp;CK Mappings'!$G318))),ISNUMBER(SEARCH(IF(H$2&lt;&gt;"",H$2,"NA"),'MITRE ATT&amp;CK Mappings'!$H318))),ISNUMBER(SEARCH(IF(H$3&lt;&gt;"",H$3,"NA"),'MITRE ATT&amp;CK Mappings'!$I318))),ISNUMBER(SEARCH(IF(H$3&lt;&gt;"",H$3,"NA"),'MITRE ATT&amp;CK Mappings'!$J318))), 'MITRE ATT&amp;CK Mappings'!$B318,"")</f>
        <v/>
      </c>
      <c r="I322" s="26" t="str">
        <f>IF(OR(OR(OR(OR(OR(ISNUMBER(SEARCH(IF(I$1&lt;&gt;"",I$1,"NA"),'MITRE ATT&amp;CK Mappings'!$E318)),ISNUMBER(SEARCH(IF(I$1&lt;&gt;"",I$1,"NA"),'MITRE ATT&amp;CK Mappings'!$F318))),ISNUMBER(SEARCH(IF(I$2&lt;&gt;"",I$2,"NA"),'MITRE ATT&amp;CK Mappings'!$G318))),ISNUMBER(SEARCH(IF(I$2&lt;&gt;"",I$2,"NA"),'MITRE ATT&amp;CK Mappings'!$H318))),ISNUMBER(SEARCH(IF(I$3&lt;&gt;"",I$3,"NA"),'MITRE ATT&amp;CK Mappings'!$I318))),ISNUMBER(SEARCH(IF(I$3&lt;&gt;"",I$3,"NA"),'MITRE ATT&amp;CK Mappings'!$J318))), 'MITRE ATT&amp;CK Mappings'!$B318,"")</f>
        <v/>
      </c>
      <c r="J322" s="26" t="str">
        <f>IF(OR(OR(OR(OR(OR(ISNUMBER(SEARCH(IF(J$1&lt;&gt;"",J$1,"NA"),'MITRE ATT&amp;CK Mappings'!$E318)),ISNUMBER(SEARCH(IF(J$1&lt;&gt;"",J$1,"NA"),'MITRE ATT&amp;CK Mappings'!$F318))),ISNUMBER(SEARCH(IF(J$2&lt;&gt;"",J$2,"NA"),'MITRE ATT&amp;CK Mappings'!$G318))),ISNUMBER(SEARCH(IF(J$2&lt;&gt;"",J$2,"NA"),'MITRE ATT&amp;CK Mappings'!$H318))),ISNUMBER(SEARCH(IF(J$3&lt;&gt;"",J$3,"NA"),'MITRE ATT&amp;CK Mappings'!$I318))),ISNUMBER(SEARCH(IF(J$3&lt;&gt;"",J$3,"NA"),'MITRE ATT&amp;CK Mappings'!$J318))), 'MITRE ATT&amp;CK Mappings'!$B318,"")</f>
        <v/>
      </c>
      <c r="K322" s="26" t="str">
        <f>IF(OR(OR(OR(OR(OR(ISNUMBER(SEARCH(IF(K$1&lt;&gt;"",K$1,"NA"),'MITRE ATT&amp;CK Mappings'!$E318)),ISNUMBER(SEARCH(IF(K$1&lt;&gt;"",K$1,"NA"),'MITRE ATT&amp;CK Mappings'!$F318))),ISNUMBER(SEARCH(IF(K$2&lt;&gt;"",K$2,"NA"),'MITRE ATT&amp;CK Mappings'!$G318))),ISNUMBER(SEARCH(IF(K$2&lt;&gt;"",K$2,"NA"),'MITRE ATT&amp;CK Mappings'!$H318))),ISNUMBER(SEARCH(IF(K$3&lt;&gt;"",K$3,"NA"),'MITRE ATT&amp;CK Mappings'!$I318))),ISNUMBER(SEARCH(IF(K$3&lt;&gt;"",K$3,"NA"),'MITRE ATT&amp;CK Mappings'!$J318))), 'MITRE ATT&amp;CK Mappings'!$B318,"")</f>
        <v/>
      </c>
      <c r="L322" s="26" t="str">
        <f>IF('MITRE ATT&amp;CK Mappings'!D318 &lt;&gt;"",'MITRE ATT&amp;CK Mappings'!D318,"" )</f>
        <v/>
      </c>
    </row>
    <row r="323" spans="1:12" x14ac:dyDescent="0.25">
      <c r="A323" s="27" t="str">
        <f>IF(COUNTIF(B323:K323,"="&amp;'MITRE ATT&amp;CK Mappings'!B319)&gt;0,'MITRE ATT&amp;CK Mappings'!B319,"")</f>
        <v/>
      </c>
      <c r="B323" s="27" t="str">
        <f>IF(OR(OR(OR(OR(OR(ISNUMBER(SEARCH(IF(B$1&lt;&gt;"",B$1,"NA"),'MITRE ATT&amp;CK Mappings'!$E319)),ISNUMBER(SEARCH(IF(B$1&lt;&gt;"",B$1,"NA"),'MITRE ATT&amp;CK Mappings'!$F319))),ISNUMBER(SEARCH(IF(B$2&lt;&gt;"",B$2,"NA"),'MITRE ATT&amp;CK Mappings'!$G319))),ISNUMBER(SEARCH(IF(B$2&lt;&gt;"",B$2,"NA"),'MITRE ATT&amp;CK Mappings'!$H319))),ISNUMBER(SEARCH(IF(B$3&lt;&gt;"",B$3,"NA"),'MITRE ATT&amp;CK Mappings'!$I319))),ISNUMBER(SEARCH(IF(B$3&lt;&gt;"",B$3,"NA"),'MITRE ATT&amp;CK Mappings'!$J319))), 'MITRE ATT&amp;CK Mappings'!$B319,"")</f>
        <v/>
      </c>
      <c r="C323" s="27" t="str">
        <f>IF(OR(OR(OR(OR(OR(ISNUMBER(SEARCH(IF(C$1&lt;&gt;"",C$1,"NA"),'MITRE ATT&amp;CK Mappings'!$E319)),ISNUMBER(SEARCH(IF(C$1&lt;&gt;"",C$1,"NA"),'MITRE ATT&amp;CK Mappings'!$F319))),ISNUMBER(SEARCH(IF(C$2&lt;&gt;"",C$2,"NA"),'MITRE ATT&amp;CK Mappings'!$G319))),ISNUMBER(SEARCH(IF(C$2&lt;&gt;"",C$2,"NA"),'MITRE ATT&amp;CK Mappings'!$H319))),ISNUMBER(SEARCH(IF(C$3&lt;&gt;"",C$3,"NA"),'MITRE ATT&amp;CK Mappings'!$I319))),ISNUMBER(SEARCH(IF(C$3&lt;&gt;"",C$3,"NA"),'MITRE ATT&amp;CK Mappings'!$J319))), 'MITRE ATT&amp;CK Mappings'!$B319,"")</f>
        <v/>
      </c>
      <c r="D323" s="27" t="str">
        <f>IF(OR(OR(OR(OR(OR(ISNUMBER(SEARCH(IF(D$1&lt;&gt;"",D$1,"NA"),'MITRE ATT&amp;CK Mappings'!$E319)),ISNUMBER(SEARCH(IF(D$1&lt;&gt;"",D$1,"NA"),'MITRE ATT&amp;CK Mappings'!$F319))),ISNUMBER(SEARCH(IF(D$2&lt;&gt;"",D$2,"NA"),'MITRE ATT&amp;CK Mappings'!$G319))),ISNUMBER(SEARCH(IF(D$2&lt;&gt;"",D$2,"NA"),'MITRE ATT&amp;CK Mappings'!$H319))),ISNUMBER(SEARCH(IF(D$3&lt;&gt;"",D$3,"NA"),'MITRE ATT&amp;CK Mappings'!$I319))),ISNUMBER(SEARCH(IF(D$3&lt;&gt;"",D$3,"NA"),'MITRE ATT&amp;CK Mappings'!$J319))), 'MITRE ATT&amp;CK Mappings'!$B319,"")</f>
        <v/>
      </c>
      <c r="E323" s="27" t="str">
        <f>IF(OR(OR(OR(OR(OR(ISNUMBER(SEARCH(IF(E$1&lt;&gt;"",E$1,"NA"),'MITRE ATT&amp;CK Mappings'!$E319)),ISNUMBER(SEARCH(IF(E$1&lt;&gt;"",E$1,"NA"),'MITRE ATT&amp;CK Mappings'!$F319))),ISNUMBER(SEARCH(IF(E$2&lt;&gt;"",E$2,"NA"),'MITRE ATT&amp;CK Mappings'!$G319))),ISNUMBER(SEARCH(IF(E$2&lt;&gt;"",E$2,"NA"),'MITRE ATT&amp;CK Mappings'!$H319))),ISNUMBER(SEARCH(IF(E$3&lt;&gt;"",E$3,"NA"),'MITRE ATT&amp;CK Mappings'!$I319))),ISNUMBER(SEARCH(IF(E$3&lt;&gt;"",E$3,"NA"),'MITRE ATT&amp;CK Mappings'!$J319))), 'MITRE ATT&amp;CK Mappings'!$B319,"")</f>
        <v/>
      </c>
      <c r="F323" s="27" t="str">
        <f>IF(OR(OR(OR(OR(OR(ISNUMBER(SEARCH(IF(F$1&lt;&gt;"",F$1,"NA"),'MITRE ATT&amp;CK Mappings'!$E319)),ISNUMBER(SEARCH(IF(F$1&lt;&gt;"",F$1,"NA"),'MITRE ATT&amp;CK Mappings'!$F319))),ISNUMBER(SEARCH(IF(F$2&lt;&gt;"",F$2,"NA"),'MITRE ATT&amp;CK Mappings'!$G319))),ISNUMBER(SEARCH(IF(F$2&lt;&gt;"",F$2,"NA"),'MITRE ATT&amp;CK Mappings'!$H319))),ISNUMBER(SEARCH(IF(F$3&lt;&gt;"",F$3,"NA"),'MITRE ATT&amp;CK Mappings'!$I319))),ISNUMBER(SEARCH(IF(F$3&lt;&gt;"",F$3,"NA"),'MITRE ATT&amp;CK Mappings'!$J319))), 'MITRE ATT&amp;CK Mappings'!$B319,"")</f>
        <v/>
      </c>
      <c r="G323" s="27" t="str">
        <f>IF(OR(OR(OR(OR(OR(ISNUMBER(SEARCH(IF(G$1&lt;&gt;"",G$1,"NA"),'MITRE ATT&amp;CK Mappings'!$E319)),ISNUMBER(SEARCH(IF(G$1&lt;&gt;"",G$1,"NA"),'MITRE ATT&amp;CK Mappings'!$F319))),ISNUMBER(SEARCH(IF(G$2&lt;&gt;"",G$2,"NA"),'MITRE ATT&amp;CK Mappings'!$G319))),ISNUMBER(SEARCH(IF(G$2&lt;&gt;"",G$2,"NA"),'MITRE ATT&amp;CK Mappings'!$H319))),ISNUMBER(SEARCH(IF(G$3&lt;&gt;"",G$3,"NA"),'MITRE ATT&amp;CK Mappings'!$I319))),ISNUMBER(SEARCH(IF(G$3&lt;&gt;"",G$3,"NA"),'MITRE ATT&amp;CK Mappings'!$J319))), 'MITRE ATT&amp;CK Mappings'!$B319,"")</f>
        <v/>
      </c>
      <c r="H323" s="27" t="str">
        <f>IF(OR(OR(OR(OR(OR(ISNUMBER(SEARCH(IF(H$1&lt;&gt;"",H$1,"NA"),'MITRE ATT&amp;CK Mappings'!$E319)),ISNUMBER(SEARCH(IF(H$1&lt;&gt;"",H$1,"NA"),'MITRE ATT&amp;CK Mappings'!$F319))),ISNUMBER(SEARCH(IF(H$2&lt;&gt;"",H$2,"NA"),'MITRE ATT&amp;CK Mappings'!$G319))),ISNUMBER(SEARCH(IF(H$2&lt;&gt;"",H$2,"NA"),'MITRE ATT&amp;CK Mappings'!$H319))),ISNUMBER(SEARCH(IF(H$3&lt;&gt;"",H$3,"NA"),'MITRE ATT&amp;CK Mappings'!$I319))),ISNUMBER(SEARCH(IF(H$3&lt;&gt;"",H$3,"NA"),'MITRE ATT&amp;CK Mappings'!$J319))), 'MITRE ATT&amp;CK Mappings'!$B319,"")</f>
        <v/>
      </c>
      <c r="I323" s="27" t="str">
        <f>IF(OR(OR(OR(OR(OR(ISNUMBER(SEARCH(IF(I$1&lt;&gt;"",I$1,"NA"),'MITRE ATT&amp;CK Mappings'!$E319)),ISNUMBER(SEARCH(IF(I$1&lt;&gt;"",I$1,"NA"),'MITRE ATT&amp;CK Mappings'!$F319))),ISNUMBER(SEARCH(IF(I$2&lt;&gt;"",I$2,"NA"),'MITRE ATT&amp;CK Mappings'!$G319))),ISNUMBER(SEARCH(IF(I$2&lt;&gt;"",I$2,"NA"),'MITRE ATT&amp;CK Mappings'!$H319))),ISNUMBER(SEARCH(IF(I$3&lt;&gt;"",I$3,"NA"),'MITRE ATT&amp;CK Mappings'!$I319))),ISNUMBER(SEARCH(IF(I$3&lt;&gt;"",I$3,"NA"),'MITRE ATT&amp;CK Mappings'!$J319))), 'MITRE ATT&amp;CK Mappings'!$B319,"")</f>
        <v/>
      </c>
      <c r="J323" s="27" t="str">
        <f>IF(OR(OR(OR(OR(OR(ISNUMBER(SEARCH(IF(J$1&lt;&gt;"",J$1,"NA"),'MITRE ATT&amp;CK Mappings'!$E319)),ISNUMBER(SEARCH(IF(J$1&lt;&gt;"",J$1,"NA"),'MITRE ATT&amp;CK Mappings'!$F319))),ISNUMBER(SEARCH(IF(J$2&lt;&gt;"",J$2,"NA"),'MITRE ATT&amp;CK Mappings'!$G319))),ISNUMBER(SEARCH(IF(J$2&lt;&gt;"",J$2,"NA"),'MITRE ATT&amp;CK Mappings'!$H319))),ISNUMBER(SEARCH(IF(J$3&lt;&gt;"",J$3,"NA"),'MITRE ATT&amp;CK Mappings'!$I319))),ISNUMBER(SEARCH(IF(J$3&lt;&gt;"",J$3,"NA"),'MITRE ATT&amp;CK Mappings'!$J319))), 'MITRE ATT&amp;CK Mappings'!$B319,"")</f>
        <v/>
      </c>
      <c r="K323" s="27" t="str">
        <f>IF(OR(OR(OR(OR(OR(ISNUMBER(SEARCH(IF(K$1&lt;&gt;"",K$1,"NA"),'MITRE ATT&amp;CK Mappings'!$E319)),ISNUMBER(SEARCH(IF(K$1&lt;&gt;"",K$1,"NA"),'MITRE ATT&amp;CK Mappings'!$F319))),ISNUMBER(SEARCH(IF(K$2&lt;&gt;"",K$2,"NA"),'MITRE ATT&amp;CK Mappings'!$G319))),ISNUMBER(SEARCH(IF(K$2&lt;&gt;"",K$2,"NA"),'MITRE ATT&amp;CK Mappings'!$H319))),ISNUMBER(SEARCH(IF(K$3&lt;&gt;"",K$3,"NA"),'MITRE ATT&amp;CK Mappings'!$I319))),ISNUMBER(SEARCH(IF(K$3&lt;&gt;"",K$3,"NA"),'MITRE ATT&amp;CK Mappings'!$J319))), 'MITRE ATT&amp;CK Mappings'!$B319,"")</f>
        <v/>
      </c>
      <c r="L323" s="27" t="str">
        <f>IF('MITRE ATT&amp;CK Mappings'!D319 &lt;&gt;"",'MITRE ATT&amp;CK Mappings'!D319,"" )</f>
        <v/>
      </c>
    </row>
    <row r="324" spans="1:12" x14ac:dyDescent="0.25">
      <c r="A324" s="26" t="str">
        <f>IF(COUNTIF(B324:K324,"="&amp;'MITRE ATT&amp;CK Mappings'!B320)&gt;0,'MITRE ATT&amp;CK Mappings'!B320,"")</f>
        <v/>
      </c>
      <c r="B324" s="26" t="str">
        <f>IF(OR(OR(OR(OR(OR(ISNUMBER(SEARCH(IF(B$1&lt;&gt;"",B$1,"NA"),'MITRE ATT&amp;CK Mappings'!$E320)),ISNUMBER(SEARCH(IF(B$1&lt;&gt;"",B$1,"NA"),'MITRE ATT&amp;CK Mappings'!$F320))),ISNUMBER(SEARCH(IF(B$2&lt;&gt;"",B$2,"NA"),'MITRE ATT&amp;CK Mappings'!$G320))),ISNUMBER(SEARCH(IF(B$2&lt;&gt;"",B$2,"NA"),'MITRE ATT&amp;CK Mappings'!$H320))),ISNUMBER(SEARCH(IF(B$3&lt;&gt;"",B$3,"NA"),'MITRE ATT&amp;CK Mappings'!$I320))),ISNUMBER(SEARCH(IF(B$3&lt;&gt;"",B$3,"NA"),'MITRE ATT&amp;CK Mappings'!$J320))), 'MITRE ATT&amp;CK Mappings'!$B320,"")</f>
        <v/>
      </c>
      <c r="C324" s="26" t="str">
        <f>IF(OR(OR(OR(OR(OR(ISNUMBER(SEARCH(IF(C$1&lt;&gt;"",C$1,"NA"),'MITRE ATT&amp;CK Mappings'!$E320)),ISNUMBER(SEARCH(IF(C$1&lt;&gt;"",C$1,"NA"),'MITRE ATT&amp;CK Mappings'!$F320))),ISNUMBER(SEARCH(IF(C$2&lt;&gt;"",C$2,"NA"),'MITRE ATT&amp;CK Mappings'!$G320))),ISNUMBER(SEARCH(IF(C$2&lt;&gt;"",C$2,"NA"),'MITRE ATT&amp;CK Mappings'!$H320))),ISNUMBER(SEARCH(IF(C$3&lt;&gt;"",C$3,"NA"),'MITRE ATT&amp;CK Mappings'!$I320))),ISNUMBER(SEARCH(IF(C$3&lt;&gt;"",C$3,"NA"),'MITRE ATT&amp;CK Mappings'!$J320))), 'MITRE ATT&amp;CK Mappings'!$B320,"")</f>
        <v/>
      </c>
      <c r="D324" s="26" t="str">
        <f>IF(OR(OR(OR(OR(OR(ISNUMBER(SEARCH(IF(D$1&lt;&gt;"",D$1,"NA"),'MITRE ATT&amp;CK Mappings'!$E320)),ISNUMBER(SEARCH(IF(D$1&lt;&gt;"",D$1,"NA"),'MITRE ATT&amp;CK Mappings'!$F320))),ISNUMBER(SEARCH(IF(D$2&lt;&gt;"",D$2,"NA"),'MITRE ATT&amp;CK Mappings'!$G320))),ISNUMBER(SEARCH(IF(D$2&lt;&gt;"",D$2,"NA"),'MITRE ATT&amp;CK Mappings'!$H320))),ISNUMBER(SEARCH(IF(D$3&lt;&gt;"",D$3,"NA"),'MITRE ATT&amp;CK Mappings'!$I320))),ISNUMBER(SEARCH(IF(D$3&lt;&gt;"",D$3,"NA"),'MITRE ATT&amp;CK Mappings'!$J320))), 'MITRE ATT&amp;CK Mappings'!$B320,"")</f>
        <v/>
      </c>
      <c r="E324" s="26" t="str">
        <f>IF(OR(OR(OR(OR(OR(ISNUMBER(SEARCH(IF(E$1&lt;&gt;"",E$1,"NA"),'MITRE ATT&amp;CK Mappings'!$E320)),ISNUMBER(SEARCH(IF(E$1&lt;&gt;"",E$1,"NA"),'MITRE ATT&amp;CK Mappings'!$F320))),ISNUMBER(SEARCH(IF(E$2&lt;&gt;"",E$2,"NA"),'MITRE ATT&amp;CK Mappings'!$G320))),ISNUMBER(SEARCH(IF(E$2&lt;&gt;"",E$2,"NA"),'MITRE ATT&amp;CK Mappings'!$H320))),ISNUMBER(SEARCH(IF(E$3&lt;&gt;"",E$3,"NA"),'MITRE ATT&amp;CK Mappings'!$I320))),ISNUMBER(SEARCH(IF(E$3&lt;&gt;"",E$3,"NA"),'MITRE ATT&amp;CK Mappings'!$J320))), 'MITRE ATT&amp;CK Mappings'!$B320,"")</f>
        <v/>
      </c>
      <c r="F324" s="26" t="str">
        <f>IF(OR(OR(OR(OR(OR(ISNUMBER(SEARCH(IF(F$1&lt;&gt;"",F$1,"NA"),'MITRE ATT&amp;CK Mappings'!$E320)),ISNUMBER(SEARCH(IF(F$1&lt;&gt;"",F$1,"NA"),'MITRE ATT&amp;CK Mappings'!$F320))),ISNUMBER(SEARCH(IF(F$2&lt;&gt;"",F$2,"NA"),'MITRE ATT&amp;CK Mappings'!$G320))),ISNUMBER(SEARCH(IF(F$2&lt;&gt;"",F$2,"NA"),'MITRE ATT&amp;CK Mappings'!$H320))),ISNUMBER(SEARCH(IF(F$3&lt;&gt;"",F$3,"NA"),'MITRE ATT&amp;CK Mappings'!$I320))),ISNUMBER(SEARCH(IF(F$3&lt;&gt;"",F$3,"NA"),'MITRE ATT&amp;CK Mappings'!$J320))), 'MITRE ATT&amp;CK Mappings'!$B320,"")</f>
        <v/>
      </c>
      <c r="G324" s="26" t="str">
        <f>IF(OR(OR(OR(OR(OR(ISNUMBER(SEARCH(IF(G$1&lt;&gt;"",G$1,"NA"),'MITRE ATT&amp;CK Mappings'!$E320)),ISNUMBER(SEARCH(IF(G$1&lt;&gt;"",G$1,"NA"),'MITRE ATT&amp;CK Mappings'!$F320))),ISNUMBER(SEARCH(IF(G$2&lt;&gt;"",G$2,"NA"),'MITRE ATT&amp;CK Mappings'!$G320))),ISNUMBER(SEARCH(IF(G$2&lt;&gt;"",G$2,"NA"),'MITRE ATT&amp;CK Mappings'!$H320))),ISNUMBER(SEARCH(IF(G$3&lt;&gt;"",G$3,"NA"),'MITRE ATT&amp;CK Mappings'!$I320))),ISNUMBER(SEARCH(IF(G$3&lt;&gt;"",G$3,"NA"),'MITRE ATT&amp;CK Mappings'!$J320))), 'MITRE ATT&amp;CK Mappings'!$B320,"")</f>
        <v/>
      </c>
      <c r="H324" s="26" t="str">
        <f>IF(OR(OR(OR(OR(OR(ISNUMBER(SEARCH(IF(H$1&lt;&gt;"",H$1,"NA"),'MITRE ATT&amp;CK Mappings'!$E320)),ISNUMBER(SEARCH(IF(H$1&lt;&gt;"",H$1,"NA"),'MITRE ATT&amp;CK Mappings'!$F320))),ISNUMBER(SEARCH(IF(H$2&lt;&gt;"",H$2,"NA"),'MITRE ATT&amp;CK Mappings'!$G320))),ISNUMBER(SEARCH(IF(H$2&lt;&gt;"",H$2,"NA"),'MITRE ATT&amp;CK Mappings'!$H320))),ISNUMBER(SEARCH(IF(H$3&lt;&gt;"",H$3,"NA"),'MITRE ATT&amp;CK Mappings'!$I320))),ISNUMBER(SEARCH(IF(H$3&lt;&gt;"",H$3,"NA"),'MITRE ATT&amp;CK Mappings'!$J320))), 'MITRE ATT&amp;CK Mappings'!$B320,"")</f>
        <v/>
      </c>
      <c r="I324" s="26" t="str">
        <f>IF(OR(OR(OR(OR(OR(ISNUMBER(SEARCH(IF(I$1&lt;&gt;"",I$1,"NA"),'MITRE ATT&amp;CK Mappings'!$E320)),ISNUMBER(SEARCH(IF(I$1&lt;&gt;"",I$1,"NA"),'MITRE ATT&amp;CK Mappings'!$F320))),ISNUMBER(SEARCH(IF(I$2&lt;&gt;"",I$2,"NA"),'MITRE ATT&amp;CK Mappings'!$G320))),ISNUMBER(SEARCH(IF(I$2&lt;&gt;"",I$2,"NA"),'MITRE ATT&amp;CK Mappings'!$H320))),ISNUMBER(SEARCH(IF(I$3&lt;&gt;"",I$3,"NA"),'MITRE ATT&amp;CK Mappings'!$I320))),ISNUMBER(SEARCH(IF(I$3&lt;&gt;"",I$3,"NA"),'MITRE ATT&amp;CK Mappings'!$J320))), 'MITRE ATT&amp;CK Mappings'!$B320,"")</f>
        <v/>
      </c>
      <c r="J324" s="26" t="str">
        <f>IF(OR(OR(OR(OR(OR(ISNUMBER(SEARCH(IF(J$1&lt;&gt;"",J$1,"NA"),'MITRE ATT&amp;CK Mappings'!$E320)),ISNUMBER(SEARCH(IF(J$1&lt;&gt;"",J$1,"NA"),'MITRE ATT&amp;CK Mappings'!$F320))),ISNUMBER(SEARCH(IF(J$2&lt;&gt;"",J$2,"NA"),'MITRE ATT&amp;CK Mappings'!$G320))),ISNUMBER(SEARCH(IF(J$2&lt;&gt;"",J$2,"NA"),'MITRE ATT&amp;CK Mappings'!$H320))),ISNUMBER(SEARCH(IF(J$3&lt;&gt;"",J$3,"NA"),'MITRE ATT&amp;CK Mappings'!$I320))),ISNUMBER(SEARCH(IF(J$3&lt;&gt;"",J$3,"NA"),'MITRE ATT&amp;CK Mappings'!$J320))), 'MITRE ATT&amp;CK Mappings'!$B320,"")</f>
        <v/>
      </c>
      <c r="K324" s="26" t="str">
        <f>IF(OR(OR(OR(OR(OR(ISNUMBER(SEARCH(IF(K$1&lt;&gt;"",K$1,"NA"),'MITRE ATT&amp;CK Mappings'!$E320)),ISNUMBER(SEARCH(IF(K$1&lt;&gt;"",K$1,"NA"),'MITRE ATT&amp;CK Mappings'!$F320))),ISNUMBER(SEARCH(IF(K$2&lt;&gt;"",K$2,"NA"),'MITRE ATT&amp;CK Mappings'!$G320))),ISNUMBER(SEARCH(IF(K$2&lt;&gt;"",K$2,"NA"),'MITRE ATT&amp;CK Mappings'!$H320))),ISNUMBER(SEARCH(IF(K$3&lt;&gt;"",K$3,"NA"),'MITRE ATT&amp;CK Mappings'!$I320))),ISNUMBER(SEARCH(IF(K$3&lt;&gt;"",K$3,"NA"),'MITRE ATT&amp;CK Mappings'!$J320))), 'MITRE ATT&amp;CK Mappings'!$B320,"")</f>
        <v/>
      </c>
      <c r="L324" s="26" t="str">
        <f>IF('MITRE ATT&amp;CK Mappings'!D320 &lt;&gt;"",'MITRE ATT&amp;CK Mappings'!D320,"" )</f>
        <v/>
      </c>
    </row>
    <row r="325" spans="1:12" x14ac:dyDescent="0.25">
      <c r="A325" s="27" t="str">
        <f>IF(COUNTIF(B325:K325,"="&amp;'MITRE ATT&amp;CK Mappings'!B321)&gt;0,'MITRE ATT&amp;CK Mappings'!B321,"")</f>
        <v/>
      </c>
      <c r="B325" s="27" t="str">
        <f>IF(OR(OR(OR(OR(OR(ISNUMBER(SEARCH(IF(B$1&lt;&gt;"",B$1,"NA"),'MITRE ATT&amp;CK Mappings'!$E321)),ISNUMBER(SEARCH(IF(B$1&lt;&gt;"",B$1,"NA"),'MITRE ATT&amp;CK Mappings'!$F321))),ISNUMBER(SEARCH(IF(B$2&lt;&gt;"",B$2,"NA"),'MITRE ATT&amp;CK Mappings'!$G321))),ISNUMBER(SEARCH(IF(B$2&lt;&gt;"",B$2,"NA"),'MITRE ATT&amp;CK Mappings'!$H321))),ISNUMBER(SEARCH(IF(B$3&lt;&gt;"",B$3,"NA"),'MITRE ATT&amp;CK Mappings'!$I321))),ISNUMBER(SEARCH(IF(B$3&lt;&gt;"",B$3,"NA"),'MITRE ATT&amp;CK Mappings'!$J321))), 'MITRE ATT&amp;CK Mappings'!$B321,"")</f>
        <v/>
      </c>
      <c r="C325" s="27" t="str">
        <f>IF(OR(OR(OR(OR(OR(ISNUMBER(SEARCH(IF(C$1&lt;&gt;"",C$1,"NA"),'MITRE ATT&amp;CK Mappings'!$E321)),ISNUMBER(SEARCH(IF(C$1&lt;&gt;"",C$1,"NA"),'MITRE ATT&amp;CK Mappings'!$F321))),ISNUMBER(SEARCH(IF(C$2&lt;&gt;"",C$2,"NA"),'MITRE ATT&amp;CK Mappings'!$G321))),ISNUMBER(SEARCH(IF(C$2&lt;&gt;"",C$2,"NA"),'MITRE ATT&amp;CK Mappings'!$H321))),ISNUMBER(SEARCH(IF(C$3&lt;&gt;"",C$3,"NA"),'MITRE ATT&amp;CK Mappings'!$I321))),ISNUMBER(SEARCH(IF(C$3&lt;&gt;"",C$3,"NA"),'MITRE ATT&amp;CK Mappings'!$J321))), 'MITRE ATT&amp;CK Mappings'!$B321,"")</f>
        <v/>
      </c>
      <c r="D325" s="27" t="str">
        <f>IF(OR(OR(OR(OR(OR(ISNUMBER(SEARCH(IF(D$1&lt;&gt;"",D$1,"NA"),'MITRE ATT&amp;CK Mappings'!$E321)),ISNUMBER(SEARCH(IF(D$1&lt;&gt;"",D$1,"NA"),'MITRE ATT&amp;CK Mappings'!$F321))),ISNUMBER(SEARCH(IF(D$2&lt;&gt;"",D$2,"NA"),'MITRE ATT&amp;CK Mappings'!$G321))),ISNUMBER(SEARCH(IF(D$2&lt;&gt;"",D$2,"NA"),'MITRE ATT&amp;CK Mappings'!$H321))),ISNUMBER(SEARCH(IF(D$3&lt;&gt;"",D$3,"NA"),'MITRE ATT&amp;CK Mappings'!$I321))),ISNUMBER(SEARCH(IF(D$3&lt;&gt;"",D$3,"NA"),'MITRE ATT&amp;CK Mappings'!$J321))), 'MITRE ATT&amp;CK Mappings'!$B321,"")</f>
        <v/>
      </c>
      <c r="E325" s="27" t="str">
        <f>IF(OR(OR(OR(OR(OR(ISNUMBER(SEARCH(IF(E$1&lt;&gt;"",E$1,"NA"),'MITRE ATT&amp;CK Mappings'!$E321)),ISNUMBER(SEARCH(IF(E$1&lt;&gt;"",E$1,"NA"),'MITRE ATT&amp;CK Mappings'!$F321))),ISNUMBER(SEARCH(IF(E$2&lt;&gt;"",E$2,"NA"),'MITRE ATT&amp;CK Mappings'!$G321))),ISNUMBER(SEARCH(IF(E$2&lt;&gt;"",E$2,"NA"),'MITRE ATT&amp;CK Mappings'!$H321))),ISNUMBER(SEARCH(IF(E$3&lt;&gt;"",E$3,"NA"),'MITRE ATT&amp;CK Mappings'!$I321))),ISNUMBER(SEARCH(IF(E$3&lt;&gt;"",E$3,"NA"),'MITRE ATT&amp;CK Mappings'!$J321))), 'MITRE ATT&amp;CK Mappings'!$B321,"")</f>
        <v/>
      </c>
      <c r="F325" s="27" t="str">
        <f>IF(OR(OR(OR(OR(OR(ISNUMBER(SEARCH(IF(F$1&lt;&gt;"",F$1,"NA"),'MITRE ATT&amp;CK Mappings'!$E321)),ISNUMBER(SEARCH(IF(F$1&lt;&gt;"",F$1,"NA"),'MITRE ATT&amp;CK Mappings'!$F321))),ISNUMBER(SEARCH(IF(F$2&lt;&gt;"",F$2,"NA"),'MITRE ATT&amp;CK Mappings'!$G321))),ISNUMBER(SEARCH(IF(F$2&lt;&gt;"",F$2,"NA"),'MITRE ATT&amp;CK Mappings'!$H321))),ISNUMBER(SEARCH(IF(F$3&lt;&gt;"",F$3,"NA"),'MITRE ATT&amp;CK Mappings'!$I321))),ISNUMBER(SEARCH(IF(F$3&lt;&gt;"",F$3,"NA"),'MITRE ATT&amp;CK Mappings'!$J321))), 'MITRE ATT&amp;CK Mappings'!$B321,"")</f>
        <v/>
      </c>
      <c r="G325" s="27" t="str">
        <f>IF(OR(OR(OR(OR(OR(ISNUMBER(SEARCH(IF(G$1&lt;&gt;"",G$1,"NA"),'MITRE ATT&amp;CK Mappings'!$E321)),ISNUMBER(SEARCH(IF(G$1&lt;&gt;"",G$1,"NA"),'MITRE ATT&amp;CK Mappings'!$F321))),ISNUMBER(SEARCH(IF(G$2&lt;&gt;"",G$2,"NA"),'MITRE ATT&amp;CK Mappings'!$G321))),ISNUMBER(SEARCH(IF(G$2&lt;&gt;"",G$2,"NA"),'MITRE ATT&amp;CK Mappings'!$H321))),ISNUMBER(SEARCH(IF(G$3&lt;&gt;"",G$3,"NA"),'MITRE ATT&amp;CK Mappings'!$I321))),ISNUMBER(SEARCH(IF(G$3&lt;&gt;"",G$3,"NA"),'MITRE ATT&amp;CK Mappings'!$J321))), 'MITRE ATT&amp;CK Mappings'!$B321,"")</f>
        <v/>
      </c>
      <c r="H325" s="27" t="str">
        <f>IF(OR(OR(OR(OR(OR(ISNUMBER(SEARCH(IF(H$1&lt;&gt;"",H$1,"NA"),'MITRE ATT&amp;CK Mappings'!$E321)),ISNUMBER(SEARCH(IF(H$1&lt;&gt;"",H$1,"NA"),'MITRE ATT&amp;CK Mappings'!$F321))),ISNUMBER(SEARCH(IF(H$2&lt;&gt;"",H$2,"NA"),'MITRE ATT&amp;CK Mappings'!$G321))),ISNUMBER(SEARCH(IF(H$2&lt;&gt;"",H$2,"NA"),'MITRE ATT&amp;CK Mappings'!$H321))),ISNUMBER(SEARCH(IF(H$3&lt;&gt;"",H$3,"NA"),'MITRE ATT&amp;CK Mappings'!$I321))),ISNUMBER(SEARCH(IF(H$3&lt;&gt;"",H$3,"NA"),'MITRE ATT&amp;CK Mappings'!$J321))), 'MITRE ATT&amp;CK Mappings'!$B321,"")</f>
        <v/>
      </c>
      <c r="I325" s="27" t="str">
        <f>IF(OR(OR(OR(OR(OR(ISNUMBER(SEARCH(IF(I$1&lt;&gt;"",I$1,"NA"),'MITRE ATT&amp;CK Mappings'!$E321)),ISNUMBER(SEARCH(IF(I$1&lt;&gt;"",I$1,"NA"),'MITRE ATT&amp;CK Mappings'!$F321))),ISNUMBER(SEARCH(IF(I$2&lt;&gt;"",I$2,"NA"),'MITRE ATT&amp;CK Mappings'!$G321))),ISNUMBER(SEARCH(IF(I$2&lt;&gt;"",I$2,"NA"),'MITRE ATT&amp;CK Mappings'!$H321))),ISNUMBER(SEARCH(IF(I$3&lt;&gt;"",I$3,"NA"),'MITRE ATT&amp;CK Mappings'!$I321))),ISNUMBER(SEARCH(IF(I$3&lt;&gt;"",I$3,"NA"),'MITRE ATT&amp;CK Mappings'!$J321))), 'MITRE ATT&amp;CK Mappings'!$B321,"")</f>
        <v/>
      </c>
      <c r="J325" s="27" t="str">
        <f>IF(OR(OR(OR(OR(OR(ISNUMBER(SEARCH(IF(J$1&lt;&gt;"",J$1,"NA"),'MITRE ATT&amp;CK Mappings'!$E321)),ISNUMBER(SEARCH(IF(J$1&lt;&gt;"",J$1,"NA"),'MITRE ATT&amp;CK Mappings'!$F321))),ISNUMBER(SEARCH(IF(J$2&lt;&gt;"",J$2,"NA"),'MITRE ATT&amp;CK Mappings'!$G321))),ISNUMBER(SEARCH(IF(J$2&lt;&gt;"",J$2,"NA"),'MITRE ATT&amp;CK Mappings'!$H321))),ISNUMBER(SEARCH(IF(J$3&lt;&gt;"",J$3,"NA"),'MITRE ATT&amp;CK Mappings'!$I321))),ISNUMBER(SEARCH(IF(J$3&lt;&gt;"",J$3,"NA"),'MITRE ATT&amp;CK Mappings'!$J321))), 'MITRE ATT&amp;CK Mappings'!$B321,"")</f>
        <v/>
      </c>
      <c r="K325" s="27" t="str">
        <f>IF(OR(OR(OR(OR(OR(ISNUMBER(SEARCH(IF(K$1&lt;&gt;"",K$1,"NA"),'MITRE ATT&amp;CK Mappings'!$E321)),ISNUMBER(SEARCH(IF(K$1&lt;&gt;"",K$1,"NA"),'MITRE ATT&amp;CK Mappings'!$F321))),ISNUMBER(SEARCH(IF(K$2&lt;&gt;"",K$2,"NA"),'MITRE ATT&amp;CK Mappings'!$G321))),ISNUMBER(SEARCH(IF(K$2&lt;&gt;"",K$2,"NA"),'MITRE ATT&amp;CK Mappings'!$H321))),ISNUMBER(SEARCH(IF(K$3&lt;&gt;"",K$3,"NA"),'MITRE ATT&amp;CK Mappings'!$I321))),ISNUMBER(SEARCH(IF(K$3&lt;&gt;"",K$3,"NA"),'MITRE ATT&amp;CK Mappings'!$J321))), 'MITRE ATT&amp;CK Mappings'!$B321,"")</f>
        <v/>
      </c>
      <c r="L325" s="27" t="str">
        <f>IF('MITRE ATT&amp;CK Mappings'!D321 &lt;&gt;"",'MITRE ATT&amp;CK Mappings'!D321,"" )</f>
        <v/>
      </c>
    </row>
    <row r="326" spans="1:12" x14ac:dyDescent="0.25">
      <c r="A326" s="26" t="str">
        <f>IF(COUNTIF(B326:K326,"="&amp;'MITRE ATT&amp;CK Mappings'!B322)&gt;0,'MITRE ATT&amp;CK Mappings'!B322,"")</f>
        <v/>
      </c>
      <c r="B326" s="26" t="str">
        <f>IF(OR(OR(OR(OR(OR(ISNUMBER(SEARCH(IF(B$1&lt;&gt;"",B$1,"NA"),'MITRE ATT&amp;CK Mappings'!$E322)),ISNUMBER(SEARCH(IF(B$1&lt;&gt;"",B$1,"NA"),'MITRE ATT&amp;CK Mappings'!$F322))),ISNUMBER(SEARCH(IF(B$2&lt;&gt;"",B$2,"NA"),'MITRE ATT&amp;CK Mappings'!$G322))),ISNUMBER(SEARCH(IF(B$2&lt;&gt;"",B$2,"NA"),'MITRE ATT&amp;CK Mappings'!$H322))),ISNUMBER(SEARCH(IF(B$3&lt;&gt;"",B$3,"NA"),'MITRE ATT&amp;CK Mappings'!$I322))),ISNUMBER(SEARCH(IF(B$3&lt;&gt;"",B$3,"NA"),'MITRE ATT&amp;CK Mappings'!$J322))), 'MITRE ATT&amp;CK Mappings'!$B322,"")</f>
        <v/>
      </c>
      <c r="C326" s="26" t="str">
        <f>IF(OR(OR(OR(OR(OR(ISNUMBER(SEARCH(IF(C$1&lt;&gt;"",C$1,"NA"),'MITRE ATT&amp;CK Mappings'!$E322)),ISNUMBER(SEARCH(IF(C$1&lt;&gt;"",C$1,"NA"),'MITRE ATT&amp;CK Mappings'!$F322))),ISNUMBER(SEARCH(IF(C$2&lt;&gt;"",C$2,"NA"),'MITRE ATT&amp;CK Mappings'!$G322))),ISNUMBER(SEARCH(IF(C$2&lt;&gt;"",C$2,"NA"),'MITRE ATT&amp;CK Mappings'!$H322))),ISNUMBER(SEARCH(IF(C$3&lt;&gt;"",C$3,"NA"),'MITRE ATT&amp;CK Mappings'!$I322))),ISNUMBER(SEARCH(IF(C$3&lt;&gt;"",C$3,"NA"),'MITRE ATT&amp;CK Mappings'!$J322))), 'MITRE ATT&amp;CK Mappings'!$B322,"")</f>
        <v/>
      </c>
      <c r="D326" s="26" t="str">
        <f>IF(OR(OR(OR(OR(OR(ISNUMBER(SEARCH(IF(D$1&lt;&gt;"",D$1,"NA"),'MITRE ATT&amp;CK Mappings'!$E322)),ISNUMBER(SEARCH(IF(D$1&lt;&gt;"",D$1,"NA"),'MITRE ATT&amp;CK Mappings'!$F322))),ISNUMBER(SEARCH(IF(D$2&lt;&gt;"",D$2,"NA"),'MITRE ATT&amp;CK Mappings'!$G322))),ISNUMBER(SEARCH(IF(D$2&lt;&gt;"",D$2,"NA"),'MITRE ATT&amp;CK Mappings'!$H322))),ISNUMBER(SEARCH(IF(D$3&lt;&gt;"",D$3,"NA"),'MITRE ATT&amp;CK Mappings'!$I322))),ISNUMBER(SEARCH(IF(D$3&lt;&gt;"",D$3,"NA"),'MITRE ATT&amp;CK Mappings'!$J322))), 'MITRE ATT&amp;CK Mappings'!$B322,"")</f>
        <v/>
      </c>
      <c r="E326" s="26" t="str">
        <f>IF(OR(OR(OR(OR(OR(ISNUMBER(SEARCH(IF(E$1&lt;&gt;"",E$1,"NA"),'MITRE ATT&amp;CK Mappings'!$E322)),ISNUMBER(SEARCH(IF(E$1&lt;&gt;"",E$1,"NA"),'MITRE ATT&amp;CK Mappings'!$F322))),ISNUMBER(SEARCH(IF(E$2&lt;&gt;"",E$2,"NA"),'MITRE ATT&amp;CK Mappings'!$G322))),ISNUMBER(SEARCH(IF(E$2&lt;&gt;"",E$2,"NA"),'MITRE ATT&amp;CK Mappings'!$H322))),ISNUMBER(SEARCH(IF(E$3&lt;&gt;"",E$3,"NA"),'MITRE ATT&amp;CK Mappings'!$I322))),ISNUMBER(SEARCH(IF(E$3&lt;&gt;"",E$3,"NA"),'MITRE ATT&amp;CK Mappings'!$J322))), 'MITRE ATT&amp;CK Mappings'!$B322,"")</f>
        <v/>
      </c>
      <c r="F326" s="26" t="str">
        <f>IF(OR(OR(OR(OR(OR(ISNUMBER(SEARCH(IF(F$1&lt;&gt;"",F$1,"NA"),'MITRE ATT&amp;CK Mappings'!$E322)),ISNUMBER(SEARCH(IF(F$1&lt;&gt;"",F$1,"NA"),'MITRE ATT&amp;CK Mappings'!$F322))),ISNUMBER(SEARCH(IF(F$2&lt;&gt;"",F$2,"NA"),'MITRE ATT&amp;CK Mappings'!$G322))),ISNUMBER(SEARCH(IF(F$2&lt;&gt;"",F$2,"NA"),'MITRE ATT&amp;CK Mappings'!$H322))),ISNUMBER(SEARCH(IF(F$3&lt;&gt;"",F$3,"NA"),'MITRE ATT&amp;CK Mappings'!$I322))),ISNUMBER(SEARCH(IF(F$3&lt;&gt;"",F$3,"NA"),'MITRE ATT&amp;CK Mappings'!$J322))), 'MITRE ATT&amp;CK Mappings'!$B322,"")</f>
        <v/>
      </c>
      <c r="G326" s="26" t="str">
        <f>IF(OR(OR(OR(OR(OR(ISNUMBER(SEARCH(IF(G$1&lt;&gt;"",G$1,"NA"),'MITRE ATT&amp;CK Mappings'!$E322)),ISNUMBER(SEARCH(IF(G$1&lt;&gt;"",G$1,"NA"),'MITRE ATT&amp;CK Mappings'!$F322))),ISNUMBER(SEARCH(IF(G$2&lt;&gt;"",G$2,"NA"),'MITRE ATT&amp;CK Mappings'!$G322))),ISNUMBER(SEARCH(IF(G$2&lt;&gt;"",G$2,"NA"),'MITRE ATT&amp;CK Mappings'!$H322))),ISNUMBER(SEARCH(IF(G$3&lt;&gt;"",G$3,"NA"),'MITRE ATT&amp;CK Mappings'!$I322))),ISNUMBER(SEARCH(IF(G$3&lt;&gt;"",G$3,"NA"),'MITRE ATT&amp;CK Mappings'!$J322))), 'MITRE ATT&amp;CK Mappings'!$B322,"")</f>
        <v/>
      </c>
      <c r="H326" s="26" t="str">
        <f>IF(OR(OR(OR(OR(OR(ISNUMBER(SEARCH(IF(H$1&lt;&gt;"",H$1,"NA"),'MITRE ATT&amp;CK Mappings'!$E322)),ISNUMBER(SEARCH(IF(H$1&lt;&gt;"",H$1,"NA"),'MITRE ATT&amp;CK Mappings'!$F322))),ISNUMBER(SEARCH(IF(H$2&lt;&gt;"",H$2,"NA"),'MITRE ATT&amp;CK Mappings'!$G322))),ISNUMBER(SEARCH(IF(H$2&lt;&gt;"",H$2,"NA"),'MITRE ATT&amp;CK Mappings'!$H322))),ISNUMBER(SEARCH(IF(H$3&lt;&gt;"",H$3,"NA"),'MITRE ATT&amp;CK Mappings'!$I322))),ISNUMBER(SEARCH(IF(H$3&lt;&gt;"",H$3,"NA"),'MITRE ATT&amp;CK Mappings'!$J322))), 'MITRE ATT&amp;CK Mappings'!$B322,"")</f>
        <v/>
      </c>
      <c r="I326" s="26" t="str">
        <f>IF(OR(OR(OR(OR(OR(ISNUMBER(SEARCH(IF(I$1&lt;&gt;"",I$1,"NA"),'MITRE ATT&amp;CK Mappings'!$E322)),ISNUMBER(SEARCH(IF(I$1&lt;&gt;"",I$1,"NA"),'MITRE ATT&amp;CK Mappings'!$F322))),ISNUMBER(SEARCH(IF(I$2&lt;&gt;"",I$2,"NA"),'MITRE ATT&amp;CK Mappings'!$G322))),ISNUMBER(SEARCH(IF(I$2&lt;&gt;"",I$2,"NA"),'MITRE ATT&amp;CK Mappings'!$H322))),ISNUMBER(SEARCH(IF(I$3&lt;&gt;"",I$3,"NA"),'MITRE ATT&amp;CK Mappings'!$I322))),ISNUMBER(SEARCH(IF(I$3&lt;&gt;"",I$3,"NA"),'MITRE ATT&amp;CK Mappings'!$J322))), 'MITRE ATT&amp;CK Mappings'!$B322,"")</f>
        <v/>
      </c>
      <c r="J326" s="26" t="str">
        <f>IF(OR(OR(OR(OR(OR(ISNUMBER(SEARCH(IF(J$1&lt;&gt;"",J$1,"NA"),'MITRE ATT&amp;CK Mappings'!$E322)),ISNUMBER(SEARCH(IF(J$1&lt;&gt;"",J$1,"NA"),'MITRE ATT&amp;CK Mappings'!$F322))),ISNUMBER(SEARCH(IF(J$2&lt;&gt;"",J$2,"NA"),'MITRE ATT&amp;CK Mappings'!$G322))),ISNUMBER(SEARCH(IF(J$2&lt;&gt;"",J$2,"NA"),'MITRE ATT&amp;CK Mappings'!$H322))),ISNUMBER(SEARCH(IF(J$3&lt;&gt;"",J$3,"NA"),'MITRE ATT&amp;CK Mappings'!$I322))),ISNUMBER(SEARCH(IF(J$3&lt;&gt;"",J$3,"NA"),'MITRE ATT&amp;CK Mappings'!$J322))), 'MITRE ATT&amp;CK Mappings'!$B322,"")</f>
        <v/>
      </c>
      <c r="K326" s="26" t="str">
        <f>IF(OR(OR(OR(OR(OR(ISNUMBER(SEARCH(IF(K$1&lt;&gt;"",K$1,"NA"),'MITRE ATT&amp;CK Mappings'!$E322)),ISNUMBER(SEARCH(IF(K$1&lt;&gt;"",K$1,"NA"),'MITRE ATT&amp;CK Mappings'!$F322))),ISNUMBER(SEARCH(IF(K$2&lt;&gt;"",K$2,"NA"),'MITRE ATT&amp;CK Mappings'!$G322))),ISNUMBER(SEARCH(IF(K$2&lt;&gt;"",K$2,"NA"),'MITRE ATT&amp;CK Mappings'!$H322))),ISNUMBER(SEARCH(IF(K$3&lt;&gt;"",K$3,"NA"),'MITRE ATT&amp;CK Mappings'!$I322))),ISNUMBER(SEARCH(IF(K$3&lt;&gt;"",K$3,"NA"),'MITRE ATT&amp;CK Mappings'!$J322))), 'MITRE ATT&amp;CK Mappings'!$B322,"")</f>
        <v/>
      </c>
      <c r="L326" s="26" t="str">
        <f>IF('MITRE ATT&amp;CK Mappings'!D322 &lt;&gt;"",'MITRE ATT&amp;CK Mappings'!D322,"" )</f>
        <v/>
      </c>
    </row>
    <row r="327" spans="1:12" x14ac:dyDescent="0.25">
      <c r="A327" s="27" t="str">
        <f>IF(COUNTIF(B327:K327,"="&amp;'MITRE ATT&amp;CK Mappings'!B323)&gt;0,'MITRE ATT&amp;CK Mappings'!B323,"")</f>
        <v/>
      </c>
      <c r="B327" s="27" t="str">
        <f>IF(OR(OR(OR(OR(OR(ISNUMBER(SEARCH(IF(B$1&lt;&gt;"",B$1,"NA"),'MITRE ATT&amp;CK Mappings'!$E323)),ISNUMBER(SEARCH(IF(B$1&lt;&gt;"",B$1,"NA"),'MITRE ATT&amp;CK Mappings'!$F323))),ISNUMBER(SEARCH(IF(B$2&lt;&gt;"",B$2,"NA"),'MITRE ATT&amp;CK Mappings'!$G323))),ISNUMBER(SEARCH(IF(B$2&lt;&gt;"",B$2,"NA"),'MITRE ATT&amp;CK Mappings'!$H323))),ISNUMBER(SEARCH(IF(B$3&lt;&gt;"",B$3,"NA"),'MITRE ATT&amp;CK Mappings'!$I323))),ISNUMBER(SEARCH(IF(B$3&lt;&gt;"",B$3,"NA"),'MITRE ATT&amp;CK Mappings'!$J323))), 'MITRE ATT&amp;CK Mappings'!$B323,"")</f>
        <v/>
      </c>
      <c r="C327" s="27" t="str">
        <f>IF(OR(OR(OR(OR(OR(ISNUMBER(SEARCH(IF(C$1&lt;&gt;"",C$1,"NA"),'MITRE ATT&amp;CK Mappings'!$E323)),ISNUMBER(SEARCH(IF(C$1&lt;&gt;"",C$1,"NA"),'MITRE ATT&amp;CK Mappings'!$F323))),ISNUMBER(SEARCH(IF(C$2&lt;&gt;"",C$2,"NA"),'MITRE ATT&amp;CK Mappings'!$G323))),ISNUMBER(SEARCH(IF(C$2&lt;&gt;"",C$2,"NA"),'MITRE ATT&amp;CK Mappings'!$H323))),ISNUMBER(SEARCH(IF(C$3&lt;&gt;"",C$3,"NA"),'MITRE ATT&amp;CK Mappings'!$I323))),ISNUMBER(SEARCH(IF(C$3&lt;&gt;"",C$3,"NA"),'MITRE ATT&amp;CK Mappings'!$J323))), 'MITRE ATT&amp;CK Mappings'!$B323,"")</f>
        <v/>
      </c>
      <c r="D327" s="27" t="str">
        <f>IF(OR(OR(OR(OR(OR(ISNUMBER(SEARCH(IF(D$1&lt;&gt;"",D$1,"NA"),'MITRE ATT&amp;CK Mappings'!$E323)),ISNUMBER(SEARCH(IF(D$1&lt;&gt;"",D$1,"NA"),'MITRE ATT&amp;CK Mappings'!$F323))),ISNUMBER(SEARCH(IF(D$2&lt;&gt;"",D$2,"NA"),'MITRE ATT&amp;CK Mappings'!$G323))),ISNUMBER(SEARCH(IF(D$2&lt;&gt;"",D$2,"NA"),'MITRE ATT&amp;CK Mappings'!$H323))),ISNUMBER(SEARCH(IF(D$3&lt;&gt;"",D$3,"NA"),'MITRE ATT&amp;CK Mappings'!$I323))),ISNUMBER(SEARCH(IF(D$3&lt;&gt;"",D$3,"NA"),'MITRE ATT&amp;CK Mappings'!$J323))), 'MITRE ATT&amp;CK Mappings'!$B323,"")</f>
        <v/>
      </c>
      <c r="E327" s="27" t="str">
        <f>IF(OR(OR(OR(OR(OR(ISNUMBER(SEARCH(IF(E$1&lt;&gt;"",E$1,"NA"),'MITRE ATT&amp;CK Mappings'!$E323)),ISNUMBER(SEARCH(IF(E$1&lt;&gt;"",E$1,"NA"),'MITRE ATT&amp;CK Mappings'!$F323))),ISNUMBER(SEARCH(IF(E$2&lt;&gt;"",E$2,"NA"),'MITRE ATT&amp;CK Mappings'!$G323))),ISNUMBER(SEARCH(IF(E$2&lt;&gt;"",E$2,"NA"),'MITRE ATT&amp;CK Mappings'!$H323))),ISNUMBER(SEARCH(IF(E$3&lt;&gt;"",E$3,"NA"),'MITRE ATT&amp;CK Mappings'!$I323))),ISNUMBER(SEARCH(IF(E$3&lt;&gt;"",E$3,"NA"),'MITRE ATT&amp;CK Mappings'!$J323))), 'MITRE ATT&amp;CK Mappings'!$B323,"")</f>
        <v/>
      </c>
      <c r="F327" s="27" t="str">
        <f>IF(OR(OR(OR(OR(OR(ISNUMBER(SEARCH(IF(F$1&lt;&gt;"",F$1,"NA"),'MITRE ATT&amp;CK Mappings'!$E323)),ISNUMBER(SEARCH(IF(F$1&lt;&gt;"",F$1,"NA"),'MITRE ATT&amp;CK Mappings'!$F323))),ISNUMBER(SEARCH(IF(F$2&lt;&gt;"",F$2,"NA"),'MITRE ATT&amp;CK Mappings'!$G323))),ISNUMBER(SEARCH(IF(F$2&lt;&gt;"",F$2,"NA"),'MITRE ATT&amp;CK Mappings'!$H323))),ISNUMBER(SEARCH(IF(F$3&lt;&gt;"",F$3,"NA"),'MITRE ATT&amp;CK Mappings'!$I323))),ISNUMBER(SEARCH(IF(F$3&lt;&gt;"",F$3,"NA"),'MITRE ATT&amp;CK Mappings'!$J323))), 'MITRE ATT&amp;CK Mappings'!$B323,"")</f>
        <v/>
      </c>
      <c r="G327" s="27" t="str">
        <f>IF(OR(OR(OR(OR(OR(ISNUMBER(SEARCH(IF(G$1&lt;&gt;"",G$1,"NA"),'MITRE ATT&amp;CK Mappings'!$E323)),ISNUMBER(SEARCH(IF(G$1&lt;&gt;"",G$1,"NA"),'MITRE ATT&amp;CK Mappings'!$F323))),ISNUMBER(SEARCH(IF(G$2&lt;&gt;"",G$2,"NA"),'MITRE ATT&amp;CK Mappings'!$G323))),ISNUMBER(SEARCH(IF(G$2&lt;&gt;"",G$2,"NA"),'MITRE ATT&amp;CK Mappings'!$H323))),ISNUMBER(SEARCH(IF(G$3&lt;&gt;"",G$3,"NA"),'MITRE ATT&amp;CK Mappings'!$I323))),ISNUMBER(SEARCH(IF(G$3&lt;&gt;"",G$3,"NA"),'MITRE ATT&amp;CK Mappings'!$J323))), 'MITRE ATT&amp;CK Mappings'!$B323,"")</f>
        <v/>
      </c>
      <c r="H327" s="27" t="str">
        <f>IF(OR(OR(OR(OR(OR(ISNUMBER(SEARCH(IF(H$1&lt;&gt;"",H$1,"NA"),'MITRE ATT&amp;CK Mappings'!$E323)),ISNUMBER(SEARCH(IF(H$1&lt;&gt;"",H$1,"NA"),'MITRE ATT&amp;CK Mappings'!$F323))),ISNUMBER(SEARCH(IF(H$2&lt;&gt;"",H$2,"NA"),'MITRE ATT&amp;CK Mappings'!$G323))),ISNUMBER(SEARCH(IF(H$2&lt;&gt;"",H$2,"NA"),'MITRE ATT&amp;CK Mappings'!$H323))),ISNUMBER(SEARCH(IF(H$3&lt;&gt;"",H$3,"NA"),'MITRE ATT&amp;CK Mappings'!$I323))),ISNUMBER(SEARCH(IF(H$3&lt;&gt;"",H$3,"NA"),'MITRE ATT&amp;CK Mappings'!$J323))), 'MITRE ATT&amp;CK Mappings'!$B323,"")</f>
        <v/>
      </c>
      <c r="I327" s="27" t="str">
        <f>IF(OR(OR(OR(OR(OR(ISNUMBER(SEARCH(IF(I$1&lt;&gt;"",I$1,"NA"),'MITRE ATT&amp;CK Mappings'!$E323)),ISNUMBER(SEARCH(IF(I$1&lt;&gt;"",I$1,"NA"),'MITRE ATT&amp;CK Mappings'!$F323))),ISNUMBER(SEARCH(IF(I$2&lt;&gt;"",I$2,"NA"),'MITRE ATT&amp;CK Mappings'!$G323))),ISNUMBER(SEARCH(IF(I$2&lt;&gt;"",I$2,"NA"),'MITRE ATT&amp;CK Mappings'!$H323))),ISNUMBER(SEARCH(IF(I$3&lt;&gt;"",I$3,"NA"),'MITRE ATT&amp;CK Mappings'!$I323))),ISNUMBER(SEARCH(IF(I$3&lt;&gt;"",I$3,"NA"),'MITRE ATT&amp;CK Mappings'!$J323))), 'MITRE ATT&amp;CK Mappings'!$B323,"")</f>
        <v/>
      </c>
      <c r="J327" s="27" t="str">
        <f>IF(OR(OR(OR(OR(OR(ISNUMBER(SEARCH(IF(J$1&lt;&gt;"",J$1,"NA"),'MITRE ATT&amp;CK Mappings'!$E323)),ISNUMBER(SEARCH(IF(J$1&lt;&gt;"",J$1,"NA"),'MITRE ATT&amp;CK Mappings'!$F323))),ISNUMBER(SEARCH(IF(J$2&lt;&gt;"",J$2,"NA"),'MITRE ATT&amp;CK Mappings'!$G323))),ISNUMBER(SEARCH(IF(J$2&lt;&gt;"",J$2,"NA"),'MITRE ATT&amp;CK Mappings'!$H323))),ISNUMBER(SEARCH(IF(J$3&lt;&gt;"",J$3,"NA"),'MITRE ATT&amp;CK Mappings'!$I323))),ISNUMBER(SEARCH(IF(J$3&lt;&gt;"",J$3,"NA"),'MITRE ATT&amp;CK Mappings'!$J323))), 'MITRE ATT&amp;CK Mappings'!$B323,"")</f>
        <v/>
      </c>
      <c r="K327" s="27" t="str">
        <f>IF(OR(OR(OR(OR(OR(ISNUMBER(SEARCH(IF(K$1&lt;&gt;"",K$1,"NA"),'MITRE ATT&amp;CK Mappings'!$E323)),ISNUMBER(SEARCH(IF(K$1&lt;&gt;"",K$1,"NA"),'MITRE ATT&amp;CK Mappings'!$F323))),ISNUMBER(SEARCH(IF(K$2&lt;&gt;"",K$2,"NA"),'MITRE ATT&amp;CK Mappings'!$G323))),ISNUMBER(SEARCH(IF(K$2&lt;&gt;"",K$2,"NA"),'MITRE ATT&amp;CK Mappings'!$H323))),ISNUMBER(SEARCH(IF(K$3&lt;&gt;"",K$3,"NA"),'MITRE ATT&amp;CK Mappings'!$I323))),ISNUMBER(SEARCH(IF(K$3&lt;&gt;"",K$3,"NA"),'MITRE ATT&amp;CK Mappings'!$J323))), 'MITRE ATT&amp;CK Mappings'!$B323,"")</f>
        <v/>
      </c>
      <c r="L327" s="27" t="str">
        <f>IF('MITRE ATT&amp;CK Mappings'!D323 &lt;&gt;"",'MITRE ATT&amp;CK Mappings'!D323,"" )</f>
        <v/>
      </c>
    </row>
    <row r="328" spans="1:12" x14ac:dyDescent="0.25">
      <c r="A328" s="26" t="str">
        <f>IF(COUNTIF(B328:K328,"="&amp;'MITRE ATT&amp;CK Mappings'!B324)&gt;0,'MITRE ATT&amp;CK Mappings'!B324,"")</f>
        <v/>
      </c>
      <c r="B328" s="26" t="str">
        <f>IF(OR(OR(OR(OR(OR(ISNUMBER(SEARCH(IF(B$1&lt;&gt;"",B$1,"NA"),'MITRE ATT&amp;CK Mappings'!$E324)),ISNUMBER(SEARCH(IF(B$1&lt;&gt;"",B$1,"NA"),'MITRE ATT&amp;CK Mappings'!$F324))),ISNUMBER(SEARCH(IF(B$2&lt;&gt;"",B$2,"NA"),'MITRE ATT&amp;CK Mappings'!$G324))),ISNUMBER(SEARCH(IF(B$2&lt;&gt;"",B$2,"NA"),'MITRE ATT&amp;CK Mappings'!$H324))),ISNUMBER(SEARCH(IF(B$3&lt;&gt;"",B$3,"NA"),'MITRE ATT&amp;CK Mappings'!$I324))),ISNUMBER(SEARCH(IF(B$3&lt;&gt;"",B$3,"NA"),'MITRE ATT&amp;CK Mappings'!$J324))), 'MITRE ATT&amp;CK Mappings'!$B324,"")</f>
        <v/>
      </c>
      <c r="C328" s="26" t="str">
        <f>IF(OR(OR(OR(OR(OR(ISNUMBER(SEARCH(IF(C$1&lt;&gt;"",C$1,"NA"),'MITRE ATT&amp;CK Mappings'!$E324)),ISNUMBER(SEARCH(IF(C$1&lt;&gt;"",C$1,"NA"),'MITRE ATT&amp;CK Mappings'!$F324))),ISNUMBER(SEARCH(IF(C$2&lt;&gt;"",C$2,"NA"),'MITRE ATT&amp;CK Mappings'!$G324))),ISNUMBER(SEARCH(IF(C$2&lt;&gt;"",C$2,"NA"),'MITRE ATT&amp;CK Mappings'!$H324))),ISNUMBER(SEARCH(IF(C$3&lt;&gt;"",C$3,"NA"),'MITRE ATT&amp;CK Mappings'!$I324))),ISNUMBER(SEARCH(IF(C$3&lt;&gt;"",C$3,"NA"),'MITRE ATT&amp;CK Mappings'!$J324))), 'MITRE ATT&amp;CK Mappings'!$B324,"")</f>
        <v/>
      </c>
      <c r="D328" s="26" t="str">
        <f>IF(OR(OR(OR(OR(OR(ISNUMBER(SEARCH(IF(D$1&lt;&gt;"",D$1,"NA"),'MITRE ATT&amp;CK Mappings'!$E324)),ISNUMBER(SEARCH(IF(D$1&lt;&gt;"",D$1,"NA"),'MITRE ATT&amp;CK Mappings'!$F324))),ISNUMBER(SEARCH(IF(D$2&lt;&gt;"",D$2,"NA"),'MITRE ATT&amp;CK Mappings'!$G324))),ISNUMBER(SEARCH(IF(D$2&lt;&gt;"",D$2,"NA"),'MITRE ATT&amp;CK Mappings'!$H324))),ISNUMBER(SEARCH(IF(D$3&lt;&gt;"",D$3,"NA"),'MITRE ATT&amp;CK Mappings'!$I324))),ISNUMBER(SEARCH(IF(D$3&lt;&gt;"",D$3,"NA"),'MITRE ATT&amp;CK Mappings'!$J324))), 'MITRE ATT&amp;CK Mappings'!$B324,"")</f>
        <v/>
      </c>
      <c r="E328" s="26" t="str">
        <f>IF(OR(OR(OR(OR(OR(ISNUMBER(SEARCH(IF(E$1&lt;&gt;"",E$1,"NA"),'MITRE ATT&amp;CK Mappings'!$E324)),ISNUMBER(SEARCH(IF(E$1&lt;&gt;"",E$1,"NA"),'MITRE ATT&amp;CK Mappings'!$F324))),ISNUMBER(SEARCH(IF(E$2&lt;&gt;"",E$2,"NA"),'MITRE ATT&amp;CK Mappings'!$G324))),ISNUMBER(SEARCH(IF(E$2&lt;&gt;"",E$2,"NA"),'MITRE ATT&amp;CK Mappings'!$H324))),ISNUMBER(SEARCH(IF(E$3&lt;&gt;"",E$3,"NA"),'MITRE ATT&amp;CK Mappings'!$I324))),ISNUMBER(SEARCH(IF(E$3&lt;&gt;"",E$3,"NA"),'MITRE ATT&amp;CK Mappings'!$J324))), 'MITRE ATT&amp;CK Mappings'!$B324,"")</f>
        <v/>
      </c>
      <c r="F328" s="26" t="str">
        <f>IF(OR(OR(OR(OR(OR(ISNUMBER(SEARCH(IF(F$1&lt;&gt;"",F$1,"NA"),'MITRE ATT&amp;CK Mappings'!$E324)),ISNUMBER(SEARCH(IF(F$1&lt;&gt;"",F$1,"NA"),'MITRE ATT&amp;CK Mappings'!$F324))),ISNUMBER(SEARCH(IF(F$2&lt;&gt;"",F$2,"NA"),'MITRE ATT&amp;CK Mappings'!$G324))),ISNUMBER(SEARCH(IF(F$2&lt;&gt;"",F$2,"NA"),'MITRE ATT&amp;CK Mappings'!$H324))),ISNUMBER(SEARCH(IF(F$3&lt;&gt;"",F$3,"NA"),'MITRE ATT&amp;CK Mappings'!$I324))),ISNUMBER(SEARCH(IF(F$3&lt;&gt;"",F$3,"NA"),'MITRE ATT&amp;CK Mappings'!$J324))), 'MITRE ATT&amp;CK Mappings'!$B324,"")</f>
        <v/>
      </c>
      <c r="G328" s="26" t="str">
        <f>IF(OR(OR(OR(OR(OR(ISNUMBER(SEARCH(IF(G$1&lt;&gt;"",G$1,"NA"),'MITRE ATT&amp;CK Mappings'!$E324)),ISNUMBER(SEARCH(IF(G$1&lt;&gt;"",G$1,"NA"),'MITRE ATT&amp;CK Mappings'!$F324))),ISNUMBER(SEARCH(IF(G$2&lt;&gt;"",G$2,"NA"),'MITRE ATT&amp;CK Mappings'!$G324))),ISNUMBER(SEARCH(IF(G$2&lt;&gt;"",G$2,"NA"),'MITRE ATT&amp;CK Mappings'!$H324))),ISNUMBER(SEARCH(IF(G$3&lt;&gt;"",G$3,"NA"),'MITRE ATT&amp;CK Mappings'!$I324))),ISNUMBER(SEARCH(IF(G$3&lt;&gt;"",G$3,"NA"),'MITRE ATT&amp;CK Mappings'!$J324))), 'MITRE ATT&amp;CK Mappings'!$B324,"")</f>
        <v/>
      </c>
      <c r="H328" s="26" t="str">
        <f>IF(OR(OR(OR(OR(OR(ISNUMBER(SEARCH(IF(H$1&lt;&gt;"",H$1,"NA"),'MITRE ATT&amp;CK Mappings'!$E324)),ISNUMBER(SEARCH(IF(H$1&lt;&gt;"",H$1,"NA"),'MITRE ATT&amp;CK Mappings'!$F324))),ISNUMBER(SEARCH(IF(H$2&lt;&gt;"",H$2,"NA"),'MITRE ATT&amp;CK Mappings'!$G324))),ISNUMBER(SEARCH(IF(H$2&lt;&gt;"",H$2,"NA"),'MITRE ATT&amp;CK Mappings'!$H324))),ISNUMBER(SEARCH(IF(H$3&lt;&gt;"",H$3,"NA"),'MITRE ATT&amp;CK Mappings'!$I324))),ISNUMBER(SEARCH(IF(H$3&lt;&gt;"",H$3,"NA"),'MITRE ATT&amp;CK Mappings'!$J324))), 'MITRE ATT&amp;CK Mappings'!$B324,"")</f>
        <v/>
      </c>
      <c r="I328" s="26" t="str">
        <f>IF(OR(OR(OR(OR(OR(ISNUMBER(SEARCH(IF(I$1&lt;&gt;"",I$1,"NA"),'MITRE ATT&amp;CK Mappings'!$E324)),ISNUMBER(SEARCH(IF(I$1&lt;&gt;"",I$1,"NA"),'MITRE ATT&amp;CK Mappings'!$F324))),ISNUMBER(SEARCH(IF(I$2&lt;&gt;"",I$2,"NA"),'MITRE ATT&amp;CK Mappings'!$G324))),ISNUMBER(SEARCH(IF(I$2&lt;&gt;"",I$2,"NA"),'MITRE ATT&amp;CK Mappings'!$H324))),ISNUMBER(SEARCH(IF(I$3&lt;&gt;"",I$3,"NA"),'MITRE ATT&amp;CK Mappings'!$I324))),ISNUMBER(SEARCH(IF(I$3&lt;&gt;"",I$3,"NA"),'MITRE ATT&amp;CK Mappings'!$J324))), 'MITRE ATT&amp;CK Mappings'!$B324,"")</f>
        <v/>
      </c>
      <c r="J328" s="26" t="str">
        <f>IF(OR(OR(OR(OR(OR(ISNUMBER(SEARCH(IF(J$1&lt;&gt;"",J$1,"NA"),'MITRE ATT&amp;CK Mappings'!$E324)),ISNUMBER(SEARCH(IF(J$1&lt;&gt;"",J$1,"NA"),'MITRE ATT&amp;CK Mappings'!$F324))),ISNUMBER(SEARCH(IF(J$2&lt;&gt;"",J$2,"NA"),'MITRE ATT&amp;CK Mappings'!$G324))),ISNUMBER(SEARCH(IF(J$2&lt;&gt;"",J$2,"NA"),'MITRE ATT&amp;CK Mappings'!$H324))),ISNUMBER(SEARCH(IF(J$3&lt;&gt;"",J$3,"NA"),'MITRE ATT&amp;CK Mappings'!$I324))),ISNUMBER(SEARCH(IF(J$3&lt;&gt;"",J$3,"NA"),'MITRE ATT&amp;CK Mappings'!$J324))), 'MITRE ATT&amp;CK Mappings'!$B324,"")</f>
        <v/>
      </c>
      <c r="K328" s="26" t="str">
        <f>IF(OR(OR(OR(OR(OR(ISNUMBER(SEARCH(IF(K$1&lt;&gt;"",K$1,"NA"),'MITRE ATT&amp;CK Mappings'!$E324)),ISNUMBER(SEARCH(IF(K$1&lt;&gt;"",K$1,"NA"),'MITRE ATT&amp;CK Mappings'!$F324))),ISNUMBER(SEARCH(IF(K$2&lt;&gt;"",K$2,"NA"),'MITRE ATT&amp;CK Mappings'!$G324))),ISNUMBER(SEARCH(IF(K$2&lt;&gt;"",K$2,"NA"),'MITRE ATT&amp;CK Mappings'!$H324))),ISNUMBER(SEARCH(IF(K$3&lt;&gt;"",K$3,"NA"),'MITRE ATT&amp;CK Mappings'!$I324))),ISNUMBER(SEARCH(IF(K$3&lt;&gt;"",K$3,"NA"),'MITRE ATT&amp;CK Mappings'!$J324))), 'MITRE ATT&amp;CK Mappings'!$B324,"")</f>
        <v/>
      </c>
      <c r="L328" s="26" t="str">
        <f>IF('MITRE ATT&amp;CK Mappings'!D324 &lt;&gt;"",'MITRE ATT&amp;CK Mappings'!D324,"" )</f>
        <v/>
      </c>
    </row>
    <row r="329" spans="1:12" x14ac:dyDescent="0.25">
      <c r="A329" s="27" t="str">
        <f>IF(COUNTIF(B329:K329,"="&amp;'MITRE ATT&amp;CK Mappings'!B325)&gt;0,'MITRE ATT&amp;CK Mappings'!B325,"")</f>
        <v/>
      </c>
      <c r="B329" s="27" t="str">
        <f>IF(OR(OR(OR(OR(OR(ISNUMBER(SEARCH(IF(B$1&lt;&gt;"",B$1,"NA"),'MITRE ATT&amp;CK Mappings'!$E325)),ISNUMBER(SEARCH(IF(B$1&lt;&gt;"",B$1,"NA"),'MITRE ATT&amp;CK Mappings'!$F325))),ISNUMBER(SEARCH(IF(B$2&lt;&gt;"",B$2,"NA"),'MITRE ATT&amp;CK Mappings'!$G325))),ISNUMBER(SEARCH(IF(B$2&lt;&gt;"",B$2,"NA"),'MITRE ATT&amp;CK Mappings'!$H325))),ISNUMBER(SEARCH(IF(B$3&lt;&gt;"",B$3,"NA"),'MITRE ATT&amp;CK Mappings'!$I325))),ISNUMBER(SEARCH(IF(B$3&lt;&gt;"",B$3,"NA"),'MITRE ATT&amp;CK Mappings'!$J325))), 'MITRE ATT&amp;CK Mappings'!$B325,"")</f>
        <v/>
      </c>
      <c r="C329" s="27" t="str">
        <f>IF(OR(OR(OR(OR(OR(ISNUMBER(SEARCH(IF(C$1&lt;&gt;"",C$1,"NA"),'MITRE ATT&amp;CK Mappings'!$E325)),ISNUMBER(SEARCH(IF(C$1&lt;&gt;"",C$1,"NA"),'MITRE ATT&amp;CK Mappings'!$F325))),ISNUMBER(SEARCH(IF(C$2&lt;&gt;"",C$2,"NA"),'MITRE ATT&amp;CK Mappings'!$G325))),ISNUMBER(SEARCH(IF(C$2&lt;&gt;"",C$2,"NA"),'MITRE ATT&amp;CK Mappings'!$H325))),ISNUMBER(SEARCH(IF(C$3&lt;&gt;"",C$3,"NA"),'MITRE ATT&amp;CK Mappings'!$I325))),ISNUMBER(SEARCH(IF(C$3&lt;&gt;"",C$3,"NA"),'MITRE ATT&amp;CK Mappings'!$J325))), 'MITRE ATT&amp;CK Mappings'!$B325,"")</f>
        <v/>
      </c>
      <c r="D329" s="27" t="str">
        <f>IF(OR(OR(OR(OR(OR(ISNUMBER(SEARCH(IF(D$1&lt;&gt;"",D$1,"NA"),'MITRE ATT&amp;CK Mappings'!$E325)),ISNUMBER(SEARCH(IF(D$1&lt;&gt;"",D$1,"NA"),'MITRE ATT&amp;CK Mappings'!$F325))),ISNUMBER(SEARCH(IF(D$2&lt;&gt;"",D$2,"NA"),'MITRE ATT&amp;CK Mappings'!$G325))),ISNUMBER(SEARCH(IF(D$2&lt;&gt;"",D$2,"NA"),'MITRE ATT&amp;CK Mappings'!$H325))),ISNUMBER(SEARCH(IF(D$3&lt;&gt;"",D$3,"NA"),'MITRE ATT&amp;CK Mappings'!$I325))),ISNUMBER(SEARCH(IF(D$3&lt;&gt;"",D$3,"NA"),'MITRE ATT&amp;CK Mappings'!$J325))), 'MITRE ATT&amp;CK Mappings'!$B325,"")</f>
        <v/>
      </c>
      <c r="E329" s="27" t="str">
        <f>IF(OR(OR(OR(OR(OR(ISNUMBER(SEARCH(IF(E$1&lt;&gt;"",E$1,"NA"),'MITRE ATT&amp;CK Mappings'!$E325)),ISNUMBER(SEARCH(IF(E$1&lt;&gt;"",E$1,"NA"),'MITRE ATT&amp;CK Mappings'!$F325))),ISNUMBER(SEARCH(IF(E$2&lt;&gt;"",E$2,"NA"),'MITRE ATT&amp;CK Mappings'!$G325))),ISNUMBER(SEARCH(IF(E$2&lt;&gt;"",E$2,"NA"),'MITRE ATT&amp;CK Mappings'!$H325))),ISNUMBER(SEARCH(IF(E$3&lt;&gt;"",E$3,"NA"),'MITRE ATT&amp;CK Mappings'!$I325))),ISNUMBER(SEARCH(IF(E$3&lt;&gt;"",E$3,"NA"),'MITRE ATT&amp;CK Mappings'!$J325))), 'MITRE ATT&amp;CK Mappings'!$B325,"")</f>
        <v/>
      </c>
      <c r="F329" s="27" t="str">
        <f>IF(OR(OR(OR(OR(OR(ISNUMBER(SEARCH(IF(F$1&lt;&gt;"",F$1,"NA"),'MITRE ATT&amp;CK Mappings'!$E325)),ISNUMBER(SEARCH(IF(F$1&lt;&gt;"",F$1,"NA"),'MITRE ATT&amp;CK Mappings'!$F325))),ISNUMBER(SEARCH(IF(F$2&lt;&gt;"",F$2,"NA"),'MITRE ATT&amp;CK Mappings'!$G325))),ISNUMBER(SEARCH(IF(F$2&lt;&gt;"",F$2,"NA"),'MITRE ATT&amp;CK Mappings'!$H325))),ISNUMBER(SEARCH(IF(F$3&lt;&gt;"",F$3,"NA"),'MITRE ATT&amp;CK Mappings'!$I325))),ISNUMBER(SEARCH(IF(F$3&lt;&gt;"",F$3,"NA"),'MITRE ATT&amp;CK Mappings'!$J325))), 'MITRE ATT&amp;CK Mappings'!$B325,"")</f>
        <v/>
      </c>
      <c r="G329" s="27" t="str">
        <f>IF(OR(OR(OR(OR(OR(ISNUMBER(SEARCH(IF(G$1&lt;&gt;"",G$1,"NA"),'MITRE ATT&amp;CK Mappings'!$E325)),ISNUMBER(SEARCH(IF(G$1&lt;&gt;"",G$1,"NA"),'MITRE ATT&amp;CK Mappings'!$F325))),ISNUMBER(SEARCH(IF(G$2&lt;&gt;"",G$2,"NA"),'MITRE ATT&amp;CK Mappings'!$G325))),ISNUMBER(SEARCH(IF(G$2&lt;&gt;"",G$2,"NA"),'MITRE ATT&amp;CK Mappings'!$H325))),ISNUMBER(SEARCH(IF(G$3&lt;&gt;"",G$3,"NA"),'MITRE ATT&amp;CK Mappings'!$I325))),ISNUMBER(SEARCH(IF(G$3&lt;&gt;"",G$3,"NA"),'MITRE ATT&amp;CK Mappings'!$J325))), 'MITRE ATT&amp;CK Mappings'!$B325,"")</f>
        <v/>
      </c>
      <c r="H329" s="27" t="str">
        <f>IF(OR(OR(OR(OR(OR(ISNUMBER(SEARCH(IF(H$1&lt;&gt;"",H$1,"NA"),'MITRE ATT&amp;CK Mappings'!$E325)),ISNUMBER(SEARCH(IF(H$1&lt;&gt;"",H$1,"NA"),'MITRE ATT&amp;CK Mappings'!$F325))),ISNUMBER(SEARCH(IF(H$2&lt;&gt;"",H$2,"NA"),'MITRE ATT&amp;CK Mappings'!$G325))),ISNUMBER(SEARCH(IF(H$2&lt;&gt;"",H$2,"NA"),'MITRE ATT&amp;CK Mappings'!$H325))),ISNUMBER(SEARCH(IF(H$3&lt;&gt;"",H$3,"NA"),'MITRE ATT&amp;CK Mappings'!$I325))),ISNUMBER(SEARCH(IF(H$3&lt;&gt;"",H$3,"NA"),'MITRE ATT&amp;CK Mappings'!$J325))), 'MITRE ATT&amp;CK Mappings'!$B325,"")</f>
        <v/>
      </c>
      <c r="I329" s="27" t="str">
        <f>IF(OR(OR(OR(OR(OR(ISNUMBER(SEARCH(IF(I$1&lt;&gt;"",I$1,"NA"),'MITRE ATT&amp;CK Mappings'!$E325)),ISNUMBER(SEARCH(IF(I$1&lt;&gt;"",I$1,"NA"),'MITRE ATT&amp;CK Mappings'!$F325))),ISNUMBER(SEARCH(IF(I$2&lt;&gt;"",I$2,"NA"),'MITRE ATT&amp;CK Mappings'!$G325))),ISNUMBER(SEARCH(IF(I$2&lt;&gt;"",I$2,"NA"),'MITRE ATT&amp;CK Mappings'!$H325))),ISNUMBER(SEARCH(IF(I$3&lt;&gt;"",I$3,"NA"),'MITRE ATT&amp;CK Mappings'!$I325))),ISNUMBER(SEARCH(IF(I$3&lt;&gt;"",I$3,"NA"),'MITRE ATT&amp;CK Mappings'!$J325))), 'MITRE ATT&amp;CK Mappings'!$B325,"")</f>
        <v/>
      </c>
      <c r="J329" s="27" t="str">
        <f>IF(OR(OR(OR(OR(OR(ISNUMBER(SEARCH(IF(J$1&lt;&gt;"",J$1,"NA"),'MITRE ATT&amp;CK Mappings'!$E325)),ISNUMBER(SEARCH(IF(J$1&lt;&gt;"",J$1,"NA"),'MITRE ATT&amp;CK Mappings'!$F325))),ISNUMBER(SEARCH(IF(J$2&lt;&gt;"",J$2,"NA"),'MITRE ATT&amp;CK Mappings'!$G325))),ISNUMBER(SEARCH(IF(J$2&lt;&gt;"",J$2,"NA"),'MITRE ATT&amp;CK Mappings'!$H325))),ISNUMBER(SEARCH(IF(J$3&lt;&gt;"",J$3,"NA"),'MITRE ATT&amp;CK Mappings'!$I325))),ISNUMBER(SEARCH(IF(J$3&lt;&gt;"",J$3,"NA"),'MITRE ATT&amp;CK Mappings'!$J325))), 'MITRE ATT&amp;CK Mappings'!$B325,"")</f>
        <v/>
      </c>
      <c r="K329" s="27" t="str">
        <f>IF(OR(OR(OR(OR(OR(ISNUMBER(SEARCH(IF(K$1&lt;&gt;"",K$1,"NA"),'MITRE ATT&amp;CK Mappings'!$E325)),ISNUMBER(SEARCH(IF(K$1&lt;&gt;"",K$1,"NA"),'MITRE ATT&amp;CK Mappings'!$F325))),ISNUMBER(SEARCH(IF(K$2&lt;&gt;"",K$2,"NA"),'MITRE ATT&amp;CK Mappings'!$G325))),ISNUMBER(SEARCH(IF(K$2&lt;&gt;"",K$2,"NA"),'MITRE ATT&amp;CK Mappings'!$H325))),ISNUMBER(SEARCH(IF(K$3&lt;&gt;"",K$3,"NA"),'MITRE ATT&amp;CK Mappings'!$I325))),ISNUMBER(SEARCH(IF(K$3&lt;&gt;"",K$3,"NA"),'MITRE ATT&amp;CK Mappings'!$J325))), 'MITRE ATT&amp;CK Mappings'!$B325,"")</f>
        <v/>
      </c>
      <c r="L329" s="27" t="str">
        <f>IF('MITRE ATT&amp;CK Mappings'!D325 &lt;&gt;"",'MITRE ATT&amp;CK Mappings'!D325,"" )</f>
        <v/>
      </c>
    </row>
    <row r="330" spans="1:12" x14ac:dyDescent="0.25">
      <c r="A330" s="26" t="str">
        <f>IF(COUNTIF(B330:K330,"="&amp;'MITRE ATT&amp;CK Mappings'!B326)&gt;0,'MITRE ATT&amp;CK Mappings'!B326,"")</f>
        <v/>
      </c>
      <c r="B330" s="26" t="str">
        <f>IF(OR(OR(OR(OR(OR(ISNUMBER(SEARCH(IF(B$1&lt;&gt;"",B$1,"NA"),'MITRE ATT&amp;CK Mappings'!$E326)),ISNUMBER(SEARCH(IF(B$1&lt;&gt;"",B$1,"NA"),'MITRE ATT&amp;CK Mappings'!$F326))),ISNUMBER(SEARCH(IF(B$2&lt;&gt;"",B$2,"NA"),'MITRE ATT&amp;CK Mappings'!$G326))),ISNUMBER(SEARCH(IF(B$2&lt;&gt;"",B$2,"NA"),'MITRE ATT&amp;CK Mappings'!$H326))),ISNUMBER(SEARCH(IF(B$3&lt;&gt;"",B$3,"NA"),'MITRE ATT&amp;CK Mappings'!$I326))),ISNUMBER(SEARCH(IF(B$3&lt;&gt;"",B$3,"NA"),'MITRE ATT&amp;CK Mappings'!$J326))), 'MITRE ATT&amp;CK Mappings'!$B326,"")</f>
        <v/>
      </c>
      <c r="C330" s="26" t="str">
        <f>IF(OR(OR(OR(OR(OR(ISNUMBER(SEARCH(IF(C$1&lt;&gt;"",C$1,"NA"),'MITRE ATT&amp;CK Mappings'!$E326)),ISNUMBER(SEARCH(IF(C$1&lt;&gt;"",C$1,"NA"),'MITRE ATT&amp;CK Mappings'!$F326))),ISNUMBER(SEARCH(IF(C$2&lt;&gt;"",C$2,"NA"),'MITRE ATT&amp;CK Mappings'!$G326))),ISNUMBER(SEARCH(IF(C$2&lt;&gt;"",C$2,"NA"),'MITRE ATT&amp;CK Mappings'!$H326))),ISNUMBER(SEARCH(IF(C$3&lt;&gt;"",C$3,"NA"),'MITRE ATT&amp;CK Mappings'!$I326))),ISNUMBER(SEARCH(IF(C$3&lt;&gt;"",C$3,"NA"),'MITRE ATT&amp;CK Mappings'!$J326))), 'MITRE ATT&amp;CK Mappings'!$B326,"")</f>
        <v/>
      </c>
      <c r="D330" s="26" t="str">
        <f>IF(OR(OR(OR(OR(OR(ISNUMBER(SEARCH(IF(D$1&lt;&gt;"",D$1,"NA"),'MITRE ATT&amp;CK Mappings'!$E326)),ISNUMBER(SEARCH(IF(D$1&lt;&gt;"",D$1,"NA"),'MITRE ATT&amp;CK Mappings'!$F326))),ISNUMBER(SEARCH(IF(D$2&lt;&gt;"",D$2,"NA"),'MITRE ATT&amp;CK Mappings'!$G326))),ISNUMBER(SEARCH(IF(D$2&lt;&gt;"",D$2,"NA"),'MITRE ATT&amp;CK Mappings'!$H326))),ISNUMBER(SEARCH(IF(D$3&lt;&gt;"",D$3,"NA"),'MITRE ATT&amp;CK Mappings'!$I326))),ISNUMBER(SEARCH(IF(D$3&lt;&gt;"",D$3,"NA"),'MITRE ATT&amp;CK Mappings'!$J326))), 'MITRE ATT&amp;CK Mappings'!$B326,"")</f>
        <v/>
      </c>
      <c r="E330" s="26" t="str">
        <f>IF(OR(OR(OR(OR(OR(ISNUMBER(SEARCH(IF(E$1&lt;&gt;"",E$1,"NA"),'MITRE ATT&amp;CK Mappings'!$E326)),ISNUMBER(SEARCH(IF(E$1&lt;&gt;"",E$1,"NA"),'MITRE ATT&amp;CK Mappings'!$F326))),ISNUMBER(SEARCH(IF(E$2&lt;&gt;"",E$2,"NA"),'MITRE ATT&amp;CK Mappings'!$G326))),ISNUMBER(SEARCH(IF(E$2&lt;&gt;"",E$2,"NA"),'MITRE ATT&amp;CK Mappings'!$H326))),ISNUMBER(SEARCH(IF(E$3&lt;&gt;"",E$3,"NA"),'MITRE ATT&amp;CK Mappings'!$I326))),ISNUMBER(SEARCH(IF(E$3&lt;&gt;"",E$3,"NA"),'MITRE ATT&amp;CK Mappings'!$J326))), 'MITRE ATT&amp;CK Mappings'!$B326,"")</f>
        <v/>
      </c>
      <c r="F330" s="26" t="str">
        <f>IF(OR(OR(OR(OR(OR(ISNUMBER(SEARCH(IF(F$1&lt;&gt;"",F$1,"NA"),'MITRE ATT&amp;CK Mappings'!$E326)),ISNUMBER(SEARCH(IF(F$1&lt;&gt;"",F$1,"NA"),'MITRE ATT&amp;CK Mappings'!$F326))),ISNUMBER(SEARCH(IF(F$2&lt;&gt;"",F$2,"NA"),'MITRE ATT&amp;CK Mappings'!$G326))),ISNUMBER(SEARCH(IF(F$2&lt;&gt;"",F$2,"NA"),'MITRE ATT&amp;CK Mappings'!$H326))),ISNUMBER(SEARCH(IF(F$3&lt;&gt;"",F$3,"NA"),'MITRE ATT&amp;CK Mappings'!$I326))),ISNUMBER(SEARCH(IF(F$3&lt;&gt;"",F$3,"NA"),'MITRE ATT&amp;CK Mappings'!$J326))), 'MITRE ATT&amp;CK Mappings'!$B326,"")</f>
        <v/>
      </c>
      <c r="G330" s="26" t="str">
        <f>IF(OR(OR(OR(OR(OR(ISNUMBER(SEARCH(IF(G$1&lt;&gt;"",G$1,"NA"),'MITRE ATT&amp;CK Mappings'!$E326)),ISNUMBER(SEARCH(IF(G$1&lt;&gt;"",G$1,"NA"),'MITRE ATT&amp;CK Mappings'!$F326))),ISNUMBER(SEARCH(IF(G$2&lt;&gt;"",G$2,"NA"),'MITRE ATT&amp;CK Mappings'!$G326))),ISNUMBER(SEARCH(IF(G$2&lt;&gt;"",G$2,"NA"),'MITRE ATT&amp;CK Mappings'!$H326))),ISNUMBER(SEARCH(IF(G$3&lt;&gt;"",G$3,"NA"),'MITRE ATT&amp;CK Mappings'!$I326))),ISNUMBER(SEARCH(IF(G$3&lt;&gt;"",G$3,"NA"),'MITRE ATT&amp;CK Mappings'!$J326))), 'MITRE ATT&amp;CK Mappings'!$B326,"")</f>
        <v/>
      </c>
      <c r="H330" s="26" t="str">
        <f>IF(OR(OR(OR(OR(OR(ISNUMBER(SEARCH(IF(H$1&lt;&gt;"",H$1,"NA"),'MITRE ATT&amp;CK Mappings'!$E326)),ISNUMBER(SEARCH(IF(H$1&lt;&gt;"",H$1,"NA"),'MITRE ATT&amp;CK Mappings'!$F326))),ISNUMBER(SEARCH(IF(H$2&lt;&gt;"",H$2,"NA"),'MITRE ATT&amp;CK Mappings'!$G326))),ISNUMBER(SEARCH(IF(H$2&lt;&gt;"",H$2,"NA"),'MITRE ATT&amp;CK Mappings'!$H326))),ISNUMBER(SEARCH(IF(H$3&lt;&gt;"",H$3,"NA"),'MITRE ATT&amp;CK Mappings'!$I326))),ISNUMBER(SEARCH(IF(H$3&lt;&gt;"",H$3,"NA"),'MITRE ATT&amp;CK Mappings'!$J326))), 'MITRE ATT&amp;CK Mappings'!$B326,"")</f>
        <v/>
      </c>
      <c r="I330" s="26" t="str">
        <f>IF(OR(OR(OR(OR(OR(ISNUMBER(SEARCH(IF(I$1&lt;&gt;"",I$1,"NA"),'MITRE ATT&amp;CK Mappings'!$E326)),ISNUMBER(SEARCH(IF(I$1&lt;&gt;"",I$1,"NA"),'MITRE ATT&amp;CK Mappings'!$F326))),ISNUMBER(SEARCH(IF(I$2&lt;&gt;"",I$2,"NA"),'MITRE ATT&amp;CK Mappings'!$G326))),ISNUMBER(SEARCH(IF(I$2&lt;&gt;"",I$2,"NA"),'MITRE ATT&amp;CK Mappings'!$H326))),ISNUMBER(SEARCH(IF(I$3&lt;&gt;"",I$3,"NA"),'MITRE ATT&amp;CK Mappings'!$I326))),ISNUMBER(SEARCH(IF(I$3&lt;&gt;"",I$3,"NA"),'MITRE ATT&amp;CK Mappings'!$J326))), 'MITRE ATT&amp;CK Mappings'!$B326,"")</f>
        <v/>
      </c>
      <c r="J330" s="26" t="str">
        <f>IF(OR(OR(OR(OR(OR(ISNUMBER(SEARCH(IF(J$1&lt;&gt;"",J$1,"NA"),'MITRE ATT&amp;CK Mappings'!$E326)),ISNUMBER(SEARCH(IF(J$1&lt;&gt;"",J$1,"NA"),'MITRE ATT&amp;CK Mappings'!$F326))),ISNUMBER(SEARCH(IF(J$2&lt;&gt;"",J$2,"NA"),'MITRE ATT&amp;CK Mappings'!$G326))),ISNUMBER(SEARCH(IF(J$2&lt;&gt;"",J$2,"NA"),'MITRE ATT&amp;CK Mappings'!$H326))),ISNUMBER(SEARCH(IF(J$3&lt;&gt;"",J$3,"NA"),'MITRE ATT&amp;CK Mappings'!$I326))),ISNUMBER(SEARCH(IF(J$3&lt;&gt;"",J$3,"NA"),'MITRE ATT&amp;CK Mappings'!$J326))), 'MITRE ATT&amp;CK Mappings'!$B326,"")</f>
        <v/>
      </c>
      <c r="K330" s="26" t="str">
        <f>IF(OR(OR(OR(OR(OR(ISNUMBER(SEARCH(IF(K$1&lt;&gt;"",K$1,"NA"),'MITRE ATT&amp;CK Mappings'!$E326)),ISNUMBER(SEARCH(IF(K$1&lt;&gt;"",K$1,"NA"),'MITRE ATT&amp;CK Mappings'!$F326))),ISNUMBER(SEARCH(IF(K$2&lt;&gt;"",K$2,"NA"),'MITRE ATT&amp;CK Mappings'!$G326))),ISNUMBER(SEARCH(IF(K$2&lt;&gt;"",K$2,"NA"),'MITRE ATT&amp;CK Mappings'!$H326))),ISNUMBER(SEARCH(IF(K$3&lt;&gt;"",K$3,"NA"),'MITRE ATT&amp;CK Mappings'!$I326))),ISNUMBER(SEARCH(IF(K$3&lt;&gt;"",K$3,"NA"),'MITRE ATT&amp;CK Mappings'!$J326))), 'MITRE ATT&amp;CK Mappings'!$B326,"")</f>
        <v/>
      </c>
      <c r="L330" s="26" t="str">
        <f>IF('MITRE ATT&amp;CK Mappings'!D326 &lt;&gt;"",'MITRE ATT&amp;CK Mappings'!D326,"" )</f>
        <v/>
      </c>
    </row>
    <row r="331" spans="1:12" x14ac:dyDescent="0.25">
      <c r="A331" s="27" t="str">
        <f>IF(COUNTIF(B331:K331,"="&amp;'MITRE ATT&amp;CK Mappings'!B327)&gt;0,'MITRE ATT&amp;CK Mappings'!B327,"")</f>
        <v/>
      </c>
      <c r="B331" s="27" t="str">
        <f>IF(OR(OR(OR(OR(OR(ISNUMBER(SEARCH(IF(B$1&lt;&gt;"",B$1,"NA"),'MITRE ATT&amp;CK Mappings'!$E327)),ISNUMBER(SEARCH(IF(B$1&lt;&gt;"",B$1,"NA"),'MITRE ATT&amp;CK Mappings'!$F327))),ISNUMBER(SEARCH(IF(B$2&lt;&gt;"",B$2,"NA"),'MITRE ATT&amp;CK Mappings'!$G327))),ISNUMBER(SEARCH(IF(B$2&lt;&gt;"",B$2,"NA"),'MITRE ATT&amp;CK Mappings'!$H327))),ISNUMBER(SEARCH(IF(B$3&lt;&gt;"",B$3,"NA"),'MITRE ATT&amp;CK Mappings'!$I327))),ISNUMBER(SEARCH(IF(B$3&lt;&gt;"",B$3,"NA"),'MITRE ATT&amp;CK Mappings'!$J327))), 'MITRE ATT&amp;CK Mappings'!$B327,"")</f>
        <v/>
      </c>
      <c r="C331" s="27" t="str">
        <f>IF(OR(OR(OR(OR(OR(ISNUMBER(SEARCH(IF(C$1&lt;&gt;"",C$1,"NA"),'MITRE ATT&amp;CK Mappings'!$E327)),ISNUMBER(SEARCH(IF(C$1&lt;&gt;"",C$1,"NA"),'MITRE ATT&amp;CK Mappings'!$F327))),ISNUMBER(SEARCH(IF(C$2&lt;&gt;"",C$2,"NA"),'MITRE ATT&amp;CK Mappings'!$G327))),ISNUMBER(SEARCH(IF(C$2&lt;&gt;"",C$2,"NA"),'MITRE ATT&amp;CK Mappings'!$H327))),ISNUMBER(SEARCH(IF(C$3&lt;&gt;"",C$3,"NA"),'MITRE ATT&amp;CK Mappings'!$I327))),ISNUMBER(SEARCH(IF(C$3&lt;&gt;"",C$3,"NA"),'MITRE ATT&amp;CK Mappings'!$J327))), 'MITRE ATT&amp;CK Mappings'!$B327,"")</f>
        <v/>
      </c>
      <c r="D331" s="27" t="str">
        <f>IF(OR(OR(OR(OR(OR(ISNUMBER(SEARCH(IF(D$1&lt;&gt;"",D$1,"NA"),'MITRE ATT&amp;CK Mappings'!$E327)),ISNUMBER(SEARCH(IF(D$1&lt;&gt;"",D$1,"NA"),'MITRE ATT&amp;CK Mappings'!$F327))),ISNUMBER(SEARCH(IF(D$2&lt;&gt;"",D$2,"NA"),'MITRE ATT&amp;CK Mappings'!$G327))),ISNUMBER(SEARCH(IF(D$2&lt;&gt;"",D$2,"NA"),'MITRE ATT&amp;CK Mappings'!$H327))),ISNUMBER(SEARCH(IF(D$3&lt;&gt;"",D$3,"NA"),'MITRE ATT&amp;CK Mappings'!$I327))),ISNUMBER(SEARCH(IF(D$3&lt;&gt;"",D$3,"NA"),'MITRE ATT&amp;CK Mappings'!$J327))), 'MITRE ATT&amp;CK Mappings'!$B327,"")</f>
        <v/>
      </c>
      <c r="E331" s="27" t="str">
        <f>IF(OR(OR(OR(OR(OR(ISNUMBER(SEARCH(IF(E$1&lt;&gt;"",E$1,"NA"),'MITRE ATT&amp;CK Mappings'!$E327)),ISNUMBER(SEARCH(IF(E$1&lt;&gt;"",E$1,"NA"),'MITRE ATT&amp;CK Mappings'!$F327))),ISNUMBER(SEARCH(IF(E$2&lt;&gt;"",E$2,"NA"),'MITRE ATT&amp;CK Mappings'!$G327))),ISNUMBER(SEARCH(IF(E$2&lt;&gt;"",E$2,"NA"),'MITRE ATT&amp;CK Mappings'!$H327))),ISNUMBER(SEARCH(IF(E$3&lt;&gt;"",E$3,"NA"),'MITRE ATT&amp;CK Mappings'!$I327))),ISNUMBER(SEARCH(IF(E$3&lt;&gt;"",E$3,"NA"),'MITRE ATT&amp;CK Mappings'!$J327))), 'MITRE ATT&amp;CK Mappings'!$B327,"")</f>
        <v/>
      </c>
      <c r="F331" s="27" t="str">
        <f>IF(OR(OR(OR(OR(OR(ISNUMBER(SEARCH(IF(F$1&lt;&gt;"",F$1,"NA"),'MITRE ATT&amp;CK Mappings'!$E327)),ISNUMBER(SEARCH(IF(F$1&lt;&gt;"",F$1,"NA"),'MITRE ATT&amp;CK Mappings'!$F327))),ISNUMBER(SEARCH(IF(F$2&lt;&gt;"",F$2,"NA"),'MITRE ATT&amp;CK Mappings'!$G327))),ISNUMBER(SEARCH(IF(F$2&lt;&gt;"",F$2,"NA"),'MITRE ATT&amp;CK Mappings'!$H327))),ISNUMBER(SEARCH(IF(F$3&lt;&gt;"",F$3,"NA"),'MITRE ATT&amp;CK Mappings'!$I327))),ISNUMBER(SEARCH(IF(F$3&lt;&gt;"",F$3,"NA"),'MITRE ATT&amp;CK Mappings'!$J327))), 'MITRE ATT&amp;CK Mappings'!$B327,"")</f>
        <v/>
      </c>
      <c r="G331" s="27" t="str">
        <f>IF(OR(OR(OR(OR(OR(ISNUMBER(SEARCH(IF(G$1&lt;&gt;"",G$1,"NA"),'MITRE ATT&amp;CK Mappings'!$E327)),ISNUMBER(SEARCH(IF(G$1&lt;&gt;"",G$1,"NA"),'MITRE ATT&amp;CK Mappings'!$F327))),ISNUMBER(SEARCH(IF(G$2&lt;&gt;"",G$2,"NA"),'MITRE ATT&amp;CK Mappings'!$G327))),ISNUMBER(SEARCH(IF(G$2&lt;&gt;"",G$2,"NA"),'MITRE ATT&amp;CK Mappings'!$H327))),ISNUMBER(SEARCH(IF(G$3&lt;&gt;"",G$3,"NA"),'MITRE ATT&amp;CK Mappings'!$I327))),ISNUMBER(SEARCH(IF(G$3&lt;&gt;"",G$3,"NA"),'MITRE ATT&amp;CK Mappings'!$J327))), 'MITRE ATT&amp;CK Mappings'!$B327,"")</f>
        <v/>
      </c>
      <c r="H331" s="27" t="str">
        <f>IF(OR(OR(OR(OR(OR(ISNUMBER(SEARCH(IF(H$1&lt;&gt;"",H$1,"NA"),'MITRE ATT&amp;CK Mappings'!$E327)),ISNUMBER(SEARCH(IF(H$1&lt;&gt;"",H$1,"NA"),'MITRE ATT&amp;CK Mappings'!$F327))),ISNUMBER(SEARCH(IF(H$2&lt;&gt;"",H$2,"NA"),'MITRE ATT&amp;CK Mappings'!$G327))),ISNUMBER(SEARCH(IF(H$2&lt;&gt;"",H$2,"NA"),'MITRE ATT&amp;CK Mappings'!$H327))),ISNUMBER(SEARCH(IF(H$3&lt;&gt;"",H$3,"NA"),'MITRE ATT&amp;CK Mappings'!$I327))),ISNUMBER(SEARCH(IF(H$3&lt;&gt;"",H$3,"NA"),'MITRE ATT&amp;CK Mappings'!$J327))), 'MITRE ATT&amp;CK Mappings'!$B327,"")</f>
        <v/>
      </c>
      <c r="I331" s="27" t="str">
        <f>IF(OR(OR(OR(OR(OR(ISNUMBER(SEARCH(IF(I$1&lt;&gt;"",I$1,"NA"),'MITRE ATT&amp;CK Mappings'!$E327)),ISNUMBER(SEARCH(IF(I$1&lt;&gt;"",I$1,"NA"),'MITRE ATT&amp;CK Mappings'!$F327))),ISNUMBER(SEARCH(IF(I$2&lt;&gt;"",I$2,"NA"),'MITRE ATT&amp;CK Mappings'!$G327))),ISNUMBER(SEARCH(IF(I$2&lt;&gt;"",I$2,"NA"),'MITRE ATT&amp;CK Mappings'!$H327))),ISNUMBER(SEARCH(IF(I$3&lt;&gt;"",I$3,"NA"),'MITRE ATT&amp;CK Mappings'!$I327))),ISNUMBER(SEARCH(IF(I$3&lt;&gt;"",I$3,"NA"),'MITRE ATT&amp;CK Mappings'!$J327))), 'MITRE ATT&amp;CK Mappings'!$B327,"")</f>
        <v/>
      </c>
      <c r="J331" s="27" t="str">
        <f>IF(OR(OR(OR(OR(OR(ISNUMBER(SEARCH(IF(J$1&lt;&gt;"",J$1,"NA"),'MITRE ATT&amp;CK Mappings'!$E327)),ISNUMBER(SEARCH(IF(J$1&lt;&gt;"",J$1,"NA"),'MITRE ATT&amp;CK Mappings'!$F327))),ISNUMBER(SEARCH(IF(J$2&lt;&gt;"",J$2,"NA"),'MITRE ATT&amp;CK Mappings'!$G327))),ISNUMBER(SEARCH(IF(J$2&lt;&gt;"",J$2,"NA"),'MITRE ATT&amp;CK Mappings'!$H327))),ISNUMBER(SEARCH(IF(J$3&lt;&gt;"",J$3,"NA"),'MITRE ATT&amp;CK Mappings'!$I327))),ISNUMBER(SEARCH(IF(J$3&lt;&gt;"",J$3,"NA"),'MITRE ATT&amp;CK Mappings'!$J327))), 'MITRE ATT&amp;CK Mappings'!$B327,"")</f>
        <v/>
      </c>
      <c r="K331" s="27" t="str">
        <f>IF(OR(OR(OR(OR(OR(ISNUMBER(SEARCH(IF(K$1&lt;&gt;"",K$1,"NA"),'MITRE ATT&amp;CK Mappings'!$E327)),ISNUMBER(SEARCH(IF(K$1&lt;&gt;"",K$1,"NA"),'MITRE ATT&amp;CK Mappings'!$F327))),ISNUMBER(SEARCH(IF(K$2&lt;&gt;"",K$2,"NA"),'MITRE ATT&amp;CK Mappings'!$G327))),ISNUMBER(SEARCH(IF(K$2&lt;&gt;"",K$2,"NA"),'MITRE ATT&amp;CK Mappings'!$H327))),ISNUMBER(SEARCH(IF(K$3&lt;&gt;"",K$3,"NA"),'MITRE ATT&amp;CK Mappings'!$I327))),ISNUMBER(SEARCH(IF(K$3&lt;&gt;"",K$3,"NA"),'MITRE ATT&amp;CK Mappings'!$J327))), 'MITRE ATT&amp;CK Mappings'!$B327,"")</f>
        <v/>
      </c>
      <c r="L331" s="27" t="str">
        <f>IF('MITRE ATT&amp;CK Mappings'!D327 &lt;&gt;"",'MITRE ATT&amp;CK Mappings'!D327,"" )</f>
        <v/>
      </c>
    </row>
    <row r="332" spans="1:12" x14ac:dyDescent="0.25">
      <c r="A332" s="26" t="str">
        <f>IF(COUNTIF(B332:K332,"="&amp;'MITRE ATT&amp;CK Mappings'!B328)&gt;0,'MITRE ATT&amp;CK Mappings'!B328,"")</f>
        <v/>
      </c>
      <c r="B332" s="26" t="str">
        <f>IF(OR(OR(OR(OR(OR(ISNUMBER(SEARCH(IF(B$1&lt;&gt;"",B$1,"NA"),'MITRE ATT&amp;CK Mappings'!$E328)),ISNUMBER(SEARCH(IF(B$1&lt;&gt;"",B$1,"NA"),'MITRE ATT&amp;CK Mappings'!$F328))),ISNUMBER(SEARCH(IF(B$2&lt;&gt;"",B$2,"NA"),'MITRE ATT&amp;CK Mappings'!$G328))),ISNUMBER(SEARCH(IF(B$2&lt;&gt;"",B$2,"NA"),'MITRE ATT&amp;CK Mappings'!$H328))),ISNUMBER(SEARCH(IF(B$3&lt;&gt;"",B$3,"NA"),'MITRE ATT&amp;CK Mappings'!$I328))),ISNUMBER(SEARCH(IF(B$3&lt;&gt;"",B$3,"NA"),'MITRE ATT&amp;CK Mappings'!$J328))), 'MITRE ATT&amp;CK Mappings'!$B328,"")</f>
        <v/>
      </c>
      <c r="C332" s="26" t="str">
        <f>IF(OR(OR(OR(OR(OR(ISNUMBER(SEARCH(IF(C$1&lt;&gt;"",C$1,"NA"),'MITRE ATT&amp;CK Mappings'!$E328)),ISNUMBER(SEARCH(IF(C$1&lt;&gt;"",C$1,"NA"),'MITRE ATT&amp;CK Mappings'!$F328))),ISNUMBER(SEARCH(IF(C$2&lt;&gt;"",C$2,"NA"),'MITRE ATT&amp;CK Mappings'!$G328))),ISNUMBER(SEARCH(IF(C$2&lt;&gt;"",C$2,"NA"),'MITRE ATT&amp;CK Mappings'!$H328))),ISNUMBER(SEARCH(IF(C$3&lt;&gt;"",C$3,"NA"),'MITRE ATT&amp;CK Mappings'!$I328))),ISNUMBER(SEARCH(IF(C$3&lt;&gt;"",C$3,"NA"),'MITRE ATT&amp;CK Mappings'!$J328))), 'MITRE ATT&amp;CK Mappings'!$B328,"")</f>
        <v/>
      </c>
      <c r="D332" s="26" t="str">
        <f>IF(OR(OR(OR(OR(OR(ISNUMBER(SEARCH(IF(D$1&lt;&gt;"",D$1,"NA"),'MITRE ATT&amp;CK Mappings'!$E328)),ISNUMBER(SEARCH(IF(D$1&lt;&gt;"",D$1,"NA"),'MITRE ATT&amp;CK Mappings'!$F328))),ISNUMBER(SEARCH(IF(D$2&lt;&gt;"",D$2,"NA"),'MITRE ATT&amp;CK Mappings'!$G328))),ISNUMBER(SEARCH(IF(D$2&lt;&gt;"",D$2,"NA"),'MITRE ATT&amp;CK Mappings'!$H328))),ISNUMBER(SEARCH(IF(D$3&lt;&gt;"",D$3,"NA"),'MITRE ATT&amp;CK Mappings'!$I328))),ISNUMBER(SEARCH(IF(D$3&lt;&gt;"",D$3,"NA"),'MITRE ATT&amp;CK Mappings'!$J328))), 'MITRE ATT&amp;CK Mappings'!$B328,"")</f>
        <v/>
      </c>
      <c r="E332" s="26" t="str">
        <f>IF(OR(OR(OR(OR(OR(ISNUMBER(SEARCH(IF(E$1&lt;&gt;"",E$1,"NA"),'MITRE ATT&amp;CK Mappings'!$E328)),ISNUMBER(SEARCH(IF(E$1&lt;&gt;"",E$1,"NA"),'MITRE ATT&amp;CK Mappings'!$F328))),ISNUMBER(SEARCH(IF(E$2&lt;&gt;"",E$2,"NA"),'MITRE ATT&amp;CK Mappings'!$G328))),ISNUMBER(SEARCH(IF(E$2&lt;&gt;"",E$2,"NA"),'MITRE ATT&amp;CK Mappings'!$H328))),ISNUMBER(SEARCH(IF(E$3&lt;&gt;"",E$3,"NA"),'MITRE ATT&amp;CK Mappings'!$I328))),ISNUMBER(SEARCH(IF(E$3&lt;&gt;"",E$3,"NA"),'MITRE ATT&amp;CK Mappings'!$J328))), 'MITRE ATT&amp;CK Mappings'!$B328,"")</f>
        <v/>
      </c>
      <c r="F332" s="26" t="str">
        <f>IF(OR(OR(OR(OR(OR(ISNUMBER(SEARCH(IF(F$1&lt;&gt;"",F$1,"NA"),'MITRE ATT&amp;CK Mappings'!$E328)),ISNUMBER(SEARCH(IF(F$1&lt;&gt;"",F$1,"NA"),'MITRE ATT&amp;CK Mappings'!$F328))),ISNUMBER(SEARCH(IF(F$2&lt;&gt;"",F$2,"NA"),'MITRE ATT&amp;CK Mappings'!$G328))),ISNUMBER(SEARCH(IF(F$2&lt;&gt;"",F$2,"NA"),'MITRE ATT&amp;CK Mappings'!$H328))),ISNUMBER(SEARCH(IF(F$3&lt;&gt;"",F$3,"NA"),'MITRE ATT&amp;CK Mappings'!$I328))),ISNUMBER(SEARCH(IF(F$3&lt;&gt;"",F$3,"NA"),'MITRE ATT&amp;CK Mappings'!$J328))), 'MITRE ATT&amp;CK Mappings'!$B328,"")</f>
        <v/>
      </c>
      <c r="G332" s="26" t="str">
        <f>IF(OR(OR(OR(OR(OR(ISNUMBER(SEARCH(IF(G$1&lt;&gt;"",G$1,"NA"),'MITRE ATT&amp;CK Mappings'!$E328)),ISNUMBER(SEARCH(IF(G$1&lt;&gt;"",G$1,"NA"),'MITRE ATT&amp;CK Mappings'!$F328))),ISNUMBER(SEARCH(IF(G$2&lt;&gt;"",G$2,"NA"),'MITRE ATT&amp;CK Mappings'!$G328))),ISNUMBER(SEARCH(IF(G$2&lt;&gt;"",G$2,"NA"),'MITRE ATT&amp;CK Mappings'!$H328))),ISNUMBER(SEARCH(IF(G$3&lt;&gt;"",G$3,"NA"),'MITRE ATT&amp;CK Mappings'!$I328))),ISNUMBER(SEARCH(IF(G$3&lt;&gt;"",G$3,"NA"),'MITRE ATT&amp;CK Mappings'!$J328))), 'MITRE ATT&amp;CK Mappings'!$B328,"")</f>
        <v/>
      </c>
      <c r="H332" s="26" t="str">
        <f>IF(OR(OR(OR(OR(OR(ISNUMBER(SEARCH(IF(H$1&lt;&gt;"",H$1,"NA"),'MITRE ATT&amp;CK Mappings'!$E328)),ISNUMBER(SEARCH(IF(H$1&lt;&gt;"",H$1,"NA"),'MITRE ATT&amp;CK Mappings'!$F328))),ISNUMBER(SEARCH(IF(H$2&lt;&gt;"",H$2,"NA"),'MITRE ATT&amp;CK Mappings'!$G328))),ISNUMBER(SEARCH(IF(H$2&lt;&gt;"",H$2,"NA"),'MITRE ATT&amp;CK Mappings'!$H328))),ISNUMBER(SEARCH(IF(H$3&lt;&gt;"",H$3,"NA"),'MITRE ATT&amp;CK Mappings'!$I328))),ISNUMBER(SEARCH(IF(H$3&lt;&gt;"",H$3,"NA"),'MITRE ATT&amp;CK Mappings'!$J328))), 'MITRE ATT&amp;CK Mappings'!$B328,"")</f>
        <v/>
      </c>
      <c r="I332" s="26" t="str">
        <f>IF(OR(OR(OR(OR(OR(ISNUMBER(SEARCH(IF(I$1&lt;&gt;"",I$1,"NA"),'MITRE ATT&amp;CK Mappings'!$E328)),ISNUMBER(SEARCH(IF(I$1&lt;&gt;"",I$1,"NA"),'MITRE ATT&amp;CK Mappings'!$F328))),ISNUMBER(SEARCH(IF(I$2&lt;&gt;"",I$2,"NA"),'MITRE ATT&amp;CK Mappings'!$G328))),ISNUMBER(SEARCH(IF(I$2&lt;&gt;"",I$2,"NA"),'MITRE ATT&amp;CK Mappings'!$H328))),ISNUMBER(SEARCH(IF(I$3&lt;&gt;"",I$3,"NA"),'MITRE ATT&amp;CK Mappings'!$I328))),ISNUMBER(SEARCH(IF(I$3&lt;&gt;"",I$3,"NA"),'MITRE ATT&amp;CK Mappings'!$J328))), 'MITRE ATT&amp;CK Mappings'!$B328,"")</f>
        <v/>
      </c>
      <c r="J332" s="26" t="str">
        <f>IF(OR(OR(OR(OR(OR(ISNUMBER(SEARCH(IF(J$1&lt;&gt;"",J$1,"NA"),'MITRE ATT&amp;CK Mappings'!$E328)),ISNUMBER(SEARCH(IF(J$1&lt;&gt;"",J$1,"NA"),'MITRE ATT&amp;CK Mappings'!$F328))),ISNUMBER(SEARCH(IF(J$2&lt;&gt;"",J$2,"NA"),'MITRE ATT&amp;CK Mappings'!$G328))),ISNUMBER(SEARCH(IF(J$2&lt;&gt;"",J$2,"NA"),'MITRE ATT&amp;CK Mappings'!$H328))),ISNUMBER(SEARCH(IF(J$3&lt;&gt;"",J$3,"NA"),'MITRE ATT&amp;CK Mappings'!$I328))),ISNUMBER(SEARCH(IF(J$3&lt;&gt;"",J$3,"NA"),'MITRE ATT&amp;CK Mappings'!$J328))), 'MITRE ATT&amp;CK Mappings'!$B328,"")</f>
        <v/>
      </c>
      <c r="K332" s="26" t="str">
        <f>IF(OR(OR(OR(OR(OR(ISNUMBER(SEARCH(IF(K$1&lt;&gt;"",K$1,"NA"),'MITRE ATT&amp;CK Mappings'!$E328)),ISNUMBER(SEARCH(IF(K$1&lt;&gt;"",K$1,"NA"),'MITRE ATT&amp;CK Mappings'!$F328))),ISNUMBER(SEARCH(IF(K$2&lt;&gt;"",K$2,"NA"),'MITRE ATT&amp;CK Mappings'!$G328))),ISNUMBER(SEARCH(IF(K$2&lt;&gt;"",K$2,"NA"),'MITRE ATT&amp;CK Mappings'!$H328))),ISNUMBER(SEARCH(IF(K$3&lt;&gt;"",K$3,"NA"),'MITRE ATT&amp;CK Mappings'!$I328))),ISNUMBER(SEARCH(IF(K$3&lt;&gt;"",K$3,"NA"),'MITRE ATT&amp;CK Mappings'!$J328))), 'MITRE ATT&amp;CK Mappings'!$B328,"")</f>
        <v/>
      </c>
      <c r="L332" s="26" t="str">
        <f>IF('MITRE ATT&amp;CK Mappings'!D328 &lt;&gt;"",'MITRE ATT&amp;CK Mappings'!D328,"" )</f>
        <v/>
      </c>
    </row>
    <row r="333" spans="1:12" x14ac:dyDescent="0.25">
      <c r="A333" s="27" t="str">
        <f>IF(COUNTIF(B333:K333,"="&amp;'MITRE ATT&amp;CK Mappings'!B329)&gt;0,'MITRE ATT&amp;CK Mappings'!B329,"")</f>
        <v/>
      </c>
      <c r="B333" s="27" t="str">
        <f>IF(OR(OR(OR(OR(OR(ISNUMBER(SEARCH(IF(B$1&lt;&gt;"",B$1,"NA"),'MITRE ATT&amp;CK Mappings'!$E329)),ISNUMBER(SEARCH(IF(B$1&lt;&gt;"",B$1,"NA"),'MITRE ATT&amp;CK Mappings'!$F329))),ISNUMBER(SEARCH(IF(B$2&lt;&gt;"",B$2,"NA"),'MITRE ATT&amp;CK Mappings'!$G329))),ISNUMBER(SEARCH(IF(B$2&lt;&gt;"",B$2,"NA"),'MITRE ATT&amp;CK Mappings'!$H329))),ISNUMBER(SEARCH(IF(B$3&lt;&gt;"",B$3,"NA"),'MITRE ATT&amp;CK Mappings'!$I329))),ISNUMBER(SEARCH(IF(B$3&lt;&gt;"",B$3,"NA"),'MITRE ATT&amp;CK Mappings'!$J329))), 'MITRE ATT&amp;CK Mappings'!$B329,"")</f>
        <v/>
      </c>
      <c r="C333" s="27" t="str">
        <f>IF(OR(OR(OR(OR(OR(ISNUMBER(SEARCH(IF(C$1&lt;&gt;"",C$1,"NA"),'MITRE ATT&amp;CK Mappings'!$E329)),ISNUMBER(SEARCH(IF(C$1&lt;&gt;"",C$1,"NA"),'MITRE ATT&amp;CK Mappings'!$F329))),ISNUMBER(SEARCH(IF(C$2&lt;&gt;"",C$2,"NA"),'MITRE ATT&amp;CK Mappings'!$G329))),ISNUMBER(SEARCH(IF(C$2&lt;&gt;"",C$2,"NA"),'MITRE ATT&amp;CK Mappings'!$H329))),ISNUMBER(SEARCH(IF(C$3&lt;&gt;"",C$3,"NA"),'MITRE ATT&amp;CK Mappings'!$I329))),ISNUMBER(SEARCH(IF(C$3&lt;&gt;"",C$3,"NA"),'MITRE ATT&amp;CK Mappings'!$J329))), 'MITRE ATT&amp;CK Mappings'!$B329,"")</f>
        <v/>
      </c>
      <c r="D333" s="27" t="str">
        <f>IF(OR(OR(OR(OR(OR(ISNUMBER(SEARCH(IF(D$1&lt;&gt;"",D$1,"NA"),'MITRE ATT&amp;CK Mappings'!$E329)),ISNUMBER(SEARCH(IF(D$1&lt;&gt;"",D$1,"NA"),'MITRE ATT&amp;CK Mappings'!$F329))),ISNUMBER(SEARCH(IF(D$2&lt;&gt;"",D$2,"NA"),'MITRE ATT&amp;CK Mappings'!$G329))),ISNUMBER(SEARCH(IF(D$2&lt;&gt;"",D$2,"NA"),'MITRE ATT&amp;CK Mappings'!$H329))),ISNUMBER(SEARCH(IF(D$3&lt;&gt;"",D$3,"NA"),'MITRE ATT&amp;CK Mappings'!$I329))),ISNUMBER(SEARCH(IF(D$3&lt;&gt;"",D$3,"NA"),'MITRE ATT&amp;CK Mappings'!$J329))), 'MITRE ATT&amp;CK Mappings'!$B329,"")</f>
        <v/>
      </c>
      <c r="E333" s="27" t="str">
        <f>IF(OR(OR(OR(OR(OR(ISNUMBER(SEARCH(IF(E$1&lt;&gt;"",E$1,"NA"),'MITRE ATT&amp;CK Mappings'!$E329)),ISNUMBER(SEARCH(IF(E$1&lt;&gt;"",E$1,"NA"),'MITRE ATT&amp;CK Mappings'!$F329))),ISNUMBER(SEARCH(IF(E$2&lt;&gt;"",E$2,"NA"),'MITRE ATT&amp;CK Mappings'!$G329))),ISNUMBER(SEARCH(IF(E$2&lt;&gt;"",E$2,"NA"),'MITRE ATT&amp;CK Mappings'!$H329))),ISNUMBER(SEARCH(IF(E$3&lt;&gt;"",E$3,"NA"),'MITRE ATT&amp;CK Mappings'!$I329))),ISNUMBER(SEARCH(IF(E$3&lt;&gt;"",E$3,"NA"),'MITRE ATT&amp;CK Mappings'!$J329))), 'MITRE ATT&amp;CK Mappings'!$B329,"")</f>
        <v/>
      </c>
      <c r="F333" s="27" t="str">
        <f>IF(OR(OR(OR(OR(OR(ISNUMBER(SEARCH(IF(F$1&lt;&gt;"",F$1,"NA"),'MITRE ATT&amp;CK Mappings'!$E329)),ISNUMBER(SEARCH(IF(F$1&lt;&gt;"",F$1,"NA"),'MITRE ATT&amp;CK Mappings'!$F329))),ISNUMBER(SEARCH(IF(F$2&lt;&gt;"",F$2,"NA"),'MITRE ATT&amp;CK Mappings'!$G329))),ISNUMBER(SEARCH(IF(F$2&lt;&gt;"",F$2,"NA"),'MITRE ATT&amp;CK Mappings'!$H329))),ISNUMBER(SEARCH(IF(F$3&lt;&gt;"",F$3,"NA"),'MITRE ATT&amp;CK Mappings'!$I329))),ISNUMBER(SEARCH(IF(F$3&lt;&gt;"",F$3,"NA"),'MITRE ATT&amp;CK Mappings'!$J329))), 'MITRE ATT&amp;CK Mappings'!$B329,"")</f>
        <v/>
      </c>
      <c r="G333" s="27" t="str">
        <f>IF(OR(OR(OR(OR(OR(ISNUMBER(SEARCH(IF(G$1&lt;&gt;"",G$1,"NA"),'MITRE ATT&amp;CK Mappings'!$E329)),ISNUMBER(SEARCH(IF(G$1&lt;&gt;"",G$1,"NA"),'MITRE ATT&amp;CK Mappings'!$F329))),ISNUMBER(SEARCH(IF(G$2&lt;&gt;"",G$2,"NA"),'MITRE ATT&amp;CK Mappings'!$G329))),ISNUMBER(SEARCH(IF(G$2&lt;&gt;"",G$2,"NA"),'MITRE ATT&amp;CK Mappings'!$H329))),ISNUMBER(SEARCH(IF(G$3&lt;&gt;"",G$3,"NA"),'MITRE ATT&amp;CK Mappings'!$I329))),ISNUMBER(SEARCH(IF(G$3&lt;&gt;"",G$3,"NA"),'MITRE ATT&amp;CK Mappings'!$J329))), 'MITRE ATT&amp;CK Mappings'!$B329,"")</f>
        <v/>
      </c>
      <c r="H333" s="27" t="str">
        <f>IF(OR(OR(OR(OR(OR(ISNUMBER(SEARCH(IF(H$1&lt;&gt;"",H$1,"NA"),'MITRE ATT&amp;CK Mappings'!$E329)),ISNUMBER(SEARCH(IF(H$1&lt;&gt;"",H$1,"NA"),'MITRE ATT&amp;CK Mappings'!$F329))),ISNUMBER(SEARCH(IF(H$2&lt;&gt;"",H$2,"NA"),'MITRE ATT&amp;CK Mappings'!$G329))),ISNUMBER(SEARCH(IF(H$2&lt;&gt;"",H$2,"NA"),'MITRE ATT&amp;CK Mappings'!$H329))),ISNUMBER(SEARCH(IF(H$3&lt;&gt;"",H$3,"NA"),'MITRE ATT&amp;CK Mappings'!$I329))),ISNUMBER(SEARCH(IF(H$3&lt;&gt;"",H$3,"NA"),'MITRE ATT&amp;CK Mappings'!$J329))), 'MITRE ATT&amp;CK Mappings'!$B329,"")</f>
        <v/>
      </c>
      <c r="I333" s="27" t="str">
        <f>IF(OR(OR(OR(OR(OR(ISNUMBER(SEARCH(IF(I$1&lt;&gt;"",I$1,"NA"),'MITRE ATT&amp;CK Mappings'!$E329)),ISNUMBER(SEARCH(IF(I$1&lt;&gt;"",I$1,"NA"),'MITRE ATT&amp;CK Mappings'!$F329))),ISNUMBER(SEARCH(IF(I$2&lt;&gt;"",I$2,"NA"),'MITRE ATT&amp;CK Mappings'!$G329))),ISNUMBER(SEARCH(IF(I$2&lt;&gt;"",I$2,"NA"),'MITRE ATT&amp;CK Mappings'!$H329))),ISNUMBER(SEARCH(IF(I$3&lt;&gt;"",I$3,"NA"),'MITRE ATT&amp;CK Mappings'!$I329))),ISNUMBER(SEARCH(IF(I$3&lt;&gt;"",I$3,"NA"),'MITRE ATT&amp;CK Mappings'!$J329))), 'MITRE ATT&amp;CK Mappings'!$B329,"")</f>
        <v/>
      </c>
      <c r="J333" s="27" t="str">
        <f>IF(OR(OR(OR(OR(OR(ISNUMBER(SEARCH(IF(J$1&lt;&gt;"",J$1,"NA"),'MITRE ATT&amp;CK Mappings'!$E329)),ISNUMBER(SEARCH(IF(J$1&lt;&gt;"",J$1,"NA"),'MITRE ATT&amp;CK Mappings'!$F329))),ISNUMBER(SEARCH(IF(J$2&lt;&gt;"",J$2,"NA"),'MITRE ATT&amp;CK Mappings'!$G329))),ISNUMBER(SEARCH(IF(J$2&lt;&gt;"",J$2,"NA"),'MITRE ATT&amp;CK Mappings'!$H329))),ISNUMBER(SEARCH(IF(J$3&lt;&gt;"",J$3,"NA"),'MITRE ATT&amp;CK Mappings'!$I329))),ISNUMBER(SEARCH(IF(J$3&lt;&gt;"",J$3,"NA"),'MITRE ATT&amp;CK Mappings'!$J329))), 'MITRE ATT&amp;CK Mappings'!$B329,"")</f>
        <v/>
      </c>
      <c r="K333" s="27" t="str">
        <f>IF(OR(OR(OR(OR(OR(ISNUMBER(SEARCH(IF(K$1&lt;&gt;"",K$1,"NA"),'MITRE ATT&amp;CK Mappings'!$E329)),ISNUMBER(SEARCH(IF(K$1&lt;&gt;"",K$1,"NA"),'MITRE ATT&amp;CK Mappings'!$F329))),ISNUMBER(SEARCH(IF(K$2&lt;&gt;"",K$2,"NA"),'MITRE ATT&amp;CK Mappings'!$G329))),ISNUMBER(SEARCH(IF(K$2&lt;&gt;"",K$2,"NA"),'MITRE ATT&amp;CK Mappings'!$H329))),ISNUMBER(SEARCH(IF(K$3&lt;&gt;"",K$3,"NA"),'MITRE ATT&amp;CK Mappings'!$I329))),ISNUMBER(SEARCH(IF(K$3&lt;&gt;"",K$3,"NA"),'MITRE ATT&amp;CK Mappings'!$J329))), 'MITRE ATT&amp;CK Mappings'!$B329,"")</f>
        <v/>
      </c>
      <c r="L333" s="27" t="str">
        <f>IF('MITRE ATT&amp;CK Mappings'!D329 &lt;&gt;"",'MITRE ATT&amp;CK Mappings'!D329,"" )</f>
        <v/>
      </c>
    </row>
    <row r="334" spans="1:12" x14ac:dyDescent="0.25">
      <c r="A334" s="26" t="str">
        <f>IF(COUNTIF(B334:K334,"="&amp;'MITRE ATT&amp;CK Mappings'!B330)&gt;0,'MITRE ATT&amp;CK Mappings'!B330,"")</f>
        <v/>
      </c>
      <c r="B334" s="26" t="str">
        <f>IF(OR(OR(OR(OR(OR(ISNUMBER(SEARCH(IF(B$1&lt;&gt;"",B$1,"NA"),'MITRE ATT&amp;CK Mappings'!$E330)),ISNUMBER(SEARCH(IF(B$1&lt;&gt;"",B$1,"NA"),'MITRE ATT&amp;CK Mappings'!$F330))),ISNUMBER(SEARCH(IF(B$2&lt;&gt;"",B$2,"NA"),'MITRE ATT&amp;CK Mappings'!$G330))),ISNUMBER(SEARCH(IF(B$2&lt;&gt;"",B$2,"NA"),'MITRE ATT&amp;CK Mappings'!$H330))),ISNUMBER(SEARCH(IF(B$3&lt;&gt;"",B$3,"NA"),'MITRE ATT&amp;CK Mappings'!$I330))),ISNUMBER(SEARCH(IF(B$3&lt;&gt;"",B$3,"NA"),'MITRE ATT&amp;CK Mappings'!$J330))), 'MITRE ATT&amp;CK Mappings'!$B330,"")</f>
        <v/>
      </c>
      <c r="C334" s="26" t="str">
        <f>IF(OR(OR(OR(OR(OR(ISNUMBER(SEARCH(IF(C$1&lt;&gt;"",C$1,"NA"),'MITRE ATT&amp;CK Mappings'!$E330)),ISNUMBER(SEARCH(IF(C$1&lt;&gt;"",C$1,"NA"),'MITRE ATT&amp;CK Mappings'!$F330))),ISNUMBER(SEARCH(IF(C$2&lt;&gt;"",C$2,"NA"),'MITRE ATT&amp;CK Mappings'!$G330))),ISNUMBER(SEARCH(IF(C$2&lt;&gt;"",C$2,"NA"),'MITRE ATT&amp;CK Mappings'!$H330))),ISNUMBER(SEARCH(IF(C$3&lt;&gt;"",C$3,"NA"),'MITRE ATT&amp;CK Mappings'!$I330))),ISNUMBER(SEARCH(IF(C$3&lt;&gt;"",C$3,"NA"),'MITRE ATT&amp;CK Mappings'!$J330))), 'MITRE ATT&amp;CK Mappings'!$B330,"")</f>
        <v/>
      </c>
      <c r="D334" s="26" t="str">
        <f>IF(OR(OR(OR(OR(OR(ISNUMBER(SEARCH(IF(D$1&lt;&gt;"",D$1,"NA"),'MITRE ATT&amp;CK Mappings'!$E330)),ISNUMBER(SEARCH(IF(D$1&lt;&gt;"",D$1,"NA"),'MITRE ATT&amp;CK Mappings'!$F330))),ISNUMBER(SEARCH(IF(D$2&lt;&gt;"",D$2,"NA"),'MITRE ATT&amp;CK Mappings'!$G330))),ISNUMBER(SEARCH(IF(D$2&lt;&gt;"",D$2,"NA"),'MITRE ATT&amp;CK Mappings'!$H330))),ISNUMBER(SEARCH(IF(D$3&lt;&gt;"",D$3,"NA"),'MITRE ATT&amp;CK Mappings'!$I330))),ISNUMBER(SEARCH(IF(D$3&lt;&gt;"",D$3,"NA"),'MITRE ATT&amp;CK Mappings'!$J330))), 'MITRE ATT&amp;CK Mappings'!$B330,"")</f>
        <v/>
      </c>
      <c r="E334" s="26" t="str">
        <f>IF(OR(OR(OR(OR(OR(ISNUMBER(SEARCH(IF(E$1&lt;&gt;"",E$1,"NA"),'MITRE ATT&amp;CK Mappings'!$E330)),ISNUMBER(SEARCH(IF(E$1&lt;&gt;"",E$1,"NA"),'MITRE ATT&amp;CK Mappings'!$F330))),ISNUMBER(SEARCH(IF(E$2&lt;&gt;"",E$2,"NA"),'MITRE ATT&amp;CK Mappings'!$G330))),ISNUMBER(SEARCH(IF(E$2&lt;&gt;"",E$2,"NA"),'MITRE ATT&amp;CK Mappings'!$H330))),ISNUMBER(SEARCH(IF(E$3&lt;&gt;"",E$3,"NA"),'MITRE ATT&amp;CK Mappings'!$I330))),ISNUMBER(SEARCH(IF(E$3&lt;&gt;"",E$3,"NA"),'MITRE ATT&amp;CK Mappings'!$J330))), 'MITRE ATT&amp;CK Mappings'!$B330,"")</f>
        <v/>
      </c>
      <c r="F334" s="26" t="str">
        <f>IF(OR(OR(OR(OR(OR(ISNUMBER(SEARCH(IF(F$1&lt;&gt;"",F$1,"NA"),'MITRE ATT&amp;CK Mappings'!$E330)),ISNUMBER(SEARCH(IF(F$1&lt;&gt;"",F$1,"NA"),'MITRE ATT&amp;CK Mappings'!$F330))),ISNUMBER(SEARCH(IF(F$2&lt;&gt;"",F$2,"NA"),'MITRE ATT&amp;CK Mappings'!$G330))),ISNUMBER(SEARCH(IF(F$2&lt;&gt;"",F$2,"NA"),'MITRE ATT&amp;CK Mappings'!$H330))),ISNUMBER(SEARCH(IF(F$3&lt;&gt;"",F$3,"NA"),'MITRE ATT&amp;CK Mappings'!$I330))),ISNUMBER(SEARCH(IF(F$3&lt;&gt;"",F$3,"NA"),'MITRE ATT&amp;CK Mappings'!$J330))), 'MITRE ATT&amp;CK Mappings'!$B330,"")</f>
        <v/>
      </c>
      <c r="G334" s="26" t="str">
        <f>IF(OR(OR(OR(OR(OR(ISNUMBER(SEARCH(IF(G$1&lt;&gt;"",G$1,"NA"),'MITRE ATT&amp;CK Mappings'!$E330)),ISNUMBER(SEARCH(IF(G$1&lt;&gt;"",G$1,"NA"),'MITRE ATT&amp;CK Mappings'!$F330))),ISNUMBER(SEARCH(IF(G$2&lt;&gt;"",G$2,"NA"),'MITRE ATT&amp;CK Mappings'!$G330))),ISNUMBER(SEARCH(IF(G$2&lt;&gt;"",G$2,"NA"),'MITRE ATT&amp;CK Mappings'!$H330))),ISNUMBER(SEARCH(IF(G$3&lt;&gt;"",G$3,"NA"),'MITRE ATT&amp;CK Mappings'!$I330))),ISNUMBER(SEARCH(IF(G$3&lt;&gt;"",G$3,"NA"),'MITRE ATT&amp;CK Mappings'!$J330))), 'MITRE ATT&amp;CK Mappings'!$B330,"")</f>
        <v/>
      </c>
      <c r="H334" s="26" t="str">
        <f>IF(OR(OR(OR(OR(OR(ISNUMBER(SEARCH(IF(H$1&lt;&gt;"",H$1,"NA"),'MITRE ATT&amp;CK Mappings'!$E330)),ISNUMBER(SEARCH(IF(H$1&lt;&gt;"",H$1,"NA"),'MITRE ATT&amp;CK Mappings'!$F330))),ISNUMBER(SEARCH(IF(H$2&lt;&gt;"",H$2,"NA"),'MITRE ATT&amp;CK Mappings'!$G330))),ISNUMBER(SEARCH(IF(H$2&lt;&gt;"",H$2,"NA"),'MITRE ATT&amp;CK Mappings'!$H330))),ISNUMBER(SEARCH(IF(H$3&lt;&gt;"",H$3,"NA"),'MITRE ATT&amp;CK Mappings'!$I330))),ISNUMBER(SEARCH(IF(H$3&lt;&gt;"",H$3,"NA"),'MITRE ATT&amp;CK Mappings'!$J330))), 'MITRE ATT&amp;CK Mappings'!$B330,"")</f>
        <v/>
      </c>
      <c r="I334" s="26" t="str">
        <f>IF(OR(OR(OR(OR(OR(ISNUMBER(SEARCH(IF(I$1&lt;&gt;"",I$1,"NA"),'MITRE ATT&amp;CK Mappings'!$E330)),ISNUMBER(SEARCH(IF(I$1&lt;&gt;"",I$1,"NA"),'MITRE ATT&amp;CK Mappings'!$F330))),ISNUMBER(SEARCH(IF(I$2&lt;&gt;"",I$2,"NA"),'MITRE ATT&amp;CK Mappings'!$G330))),ISNUMBER(SEARCH(IF(I$2&lt;&gt;"",I$2,"NA"),'MITRE ATT&amp;CK Mappings'!$H330))),ISNUMBER(SEARCH(IF(I$3&lt;&gt;"",I$3,"NA"),'MITRE ATT&amp;CK Mappings'!$I330))),ISNUMBER(SEARCH(IF(I$3&lt;&gt;"",I$3,"NA"),'MITRE ATT&amp;CK Mappings'!$J330))), 'MITRE ATT&amp;CK Mappings'!$B330,"")</f>
        <v/>
      </c>
      <c r="J334" s="26" t="str">
        <f>IF(OR(OR(OR(OR(OR(ISNUMBER(SEARCH(IF(J$1&lt;&gt;"",J$1,"NA"),'MITRE ATT&amp;CK Mappings'!$E330)),ISNUMBER(SEARCH(IF(J$1&lt;&gt;"",J$1,"NA"),'MITRE ATT&amp;CK Mappings'!$F330))),ISNUMBER(SEARCH(IF(J$2&lt;&gt;"",J$2,"NA"),'MITRE ATT&amp;CK Mappings'!$G330))),ISNUMBER(SEARCH(IF(J$2&lt;&gt;"",J$2,"NA"),'MITRE ATT&amp;CK Mappings'!$H330))),ISNUMBER(SEARCH(IF(J$3&lt;&gt;"",J$3,"NA"),'MITRE ATT&amp;CK Mappings'!$I330))),ISNUMBER(SEARCH(IF(J$3&lt;&gt;"",J$3,"NA"),'MITRE ATT&amp;CK Mappings'!$J330))), 'MITRE ATT&amp;CK Mappings'!$B330,"")</f>
        <v/>
      </c>
      <c r="K334" s="26" t="str">
        <f>IF(OR(OR(OR(OR(OR(ISNUMBER(SEARCH(IF(K$1&lt;&gt;"",K$1,"NA"),'MITRE ATT&amp;CK Mappings'!$E330)),ISNUMBER(SEARCH(IF(K$1&lt;&gt;"",K$1,"NA"),'MITRE ATT&amp;CK Mappings'!$F330))),ISNUMBER(SEARCH(IF(K$2&lt;&gt;"",K$2,"NA"),'MITRE ATT&amp;CK Mappings'!$G330))),ISNUMBER(SEARCH(IF(K$2&lt;&gt;"",K$2,"NA"),'MITRE ATT&amp;CK Mappings'!$H330))),ISNUMBER(SEARCH(IF(K$3&lt;&gt;"",K$3,"NA"),'MITRE ATT&amp;CK Mappings'!$I330))),ISNUMBER(SEARCH(IF(K$3&lt;&gt;"",K$3,"NA"),'MITRE ATT&amp;CK Mappings'!$J330))), 'MITRE ATT&amp;CK Mappings'!$B330,"")</f>
        <v/>
      </c>
      <c r="L334" s="26" t="str">
        <f>IF('MITRE ATT&amp;CK Mappings'!D330 &lt;&gt;"",'MITRE ATT&amp;CK Mappings'!D330,"" )</f>
        <v/>
      </c>
    </row>
    <row r="335" spans="1:12" x14ac:dyDescent="0.25">
      <c r="A335" s="27" t="str">
        <f>IF(COUNTIF(B335:K335,"="&amp;'MITRE ATT&amp;CK Mappings'!B331)&gt;0,'MITRE ATT&amp;CK Mappings'!B331,"")</f>
        <v/>
      </c>
      <c r="B335" s="27" t="str">
        <f>IF(OR(OR(OR(OR(OR(ISNUMBER(SEARCH(IF(B$1&lt;&gt;"",B$1,"NA"),'MITRE ATT&amp;CK Mappings'!$E331)),ISNUMBER(SEARCH(IF(B$1&lt;&gt;"",B$1,"NA"),'MITRE ATT&amp;CK Mappings'!$F331))),ISNUMBER(SEARCH(IF(B$2&lt;&gt;"",B$2,"NA"),'MITRE ATT&amp;CK Mappings'!$G331))),ISNUMBER(SEARCH(IF(B$2&lt;&gt;"",B$2,"NA"),'MITRE ATT&amp;CK Mappings'!$H331))),ISNUMBER(SEARCH(IF(B$3&lt;&gt;"",B$3,"NA"),'MITRE ATT&amp;CK Mappings'!$I331))),ISNUMBER(SEARCH(IF(B$3&lt;&gt;"",B$3,"NA"),'MITRE ATT&amp;CK Mappings'!$J331))), 'MITRE ATT&amp;CK Mappings'!$B331,"")</f>
        <v/>
      </c>
      <c r="C335" s="27" t="str">
        <f>IF(OR(OR(OR(OR(OR(ISNUMBER(SEARCH(IF(C$1&lt;&gt;"",C$1,"NA"),'MITRE ATT&amp;CK Mappings'!$E331)),ISNUMBER(SEARCH(IF(C$1&lt;&gt;"",C$1,"NA"),'MITRE ATT&amp;CK Mappings'!$F331))),ISNUMBER(SEARCH(IF(C$2&lt;&gt;"",C$2,"NA"),'MITRE ATT&amp;CK Mappings'!$G331))),ISNUMBER(SEARCH(IF(C$2&lt;&gt;"",C$2,"NA"),'MITRE ATT&amp;CK Mappings'!$H331))),ISNUMBER(SEARCH(IF(C$3&lt;&gt;"",C$3,"NA"),'MITRE ATT&amp;CK Mappings'!$I331))),ISNUMBER(SEARCH(IF(C$3&lt;&gt;"",C$3,"NA"),'MITRE ATT&amp;CK Mappings'!$J331))), 'MITRE ATT&amp;CK Mappings'!$B331,"")</f>
        <v/>
      </c>
      <c r="D335" s="27" t="str">
        <f>IF(OR(OR(OR(OR(OR(ISNUMBER(SEARCH(IF(D$1&lt;&gt;"",D$1,"NA"),'MITRE ATT&amp;CK Mappings'!$E331)),ISNUMBER(SEARCH(IF(D$1&lt;&gt;"",D$1,"NA"),'MITRE ATT&amp;CK Mappings'!$F331))),ISNUMBER(SEARCH(IF(D$2&lt;&gt;"",D$2,"NA"),'MITRE ATT&amp;CK Mappings'!$G331))),ISNUMBER(SEARCH(IF(D$2&lt;&gt;"",D$2,"NA"),'MITRE ATT&amp;CK Mappings'!$H331))),ISNUMBER(SEARCH(IF(D$3&lt;&gt;"",D$3,"NA"),'MITRE ATT&amp;CK Mappings'!$I331))),ISNUMBER(SEARCH(IF(D$3&lt;&gt;"",D$3,"NA"),'MITRE ATT&amp;CK Mappings'!$J331))), 'MITRE ATT&amp;CK Mappings'!$B331,"")</f>
        <v/>
      </c>
      <c r="E335" s="27" t="str">
        <f>IF(OR(OR(OR(OR(OR(ISNUMBER(SEARCH(IF(E$1&lt;&gt;"",E$1,"NA"),'MITRE ATT&amp;CK Mappings'!$E331)),ISNUMBER(SEARCH(IF(E$1&lt;&gt;"",E$1,"NA"),'MITRE ATT&amp;CK Mappings'!$F331))),ISNUMBER(SEARCH(IF(E$2&lt;&gt;"",E$2,"NA"),'MITRE ATT&amp;CK Mappings'!$G331))),ISNUMBER(SEARCH(IF(E$2&lt;&gt;"",E$2,"NA"),'MITRE ATT&amp;CK Mappings'!$H331))),ISNUMBER(SEARCH(IF(E$3&lt;&gt;"",E$3,"NA"),'MITRE ATT&amp;CK Mappings'!$I331))),ISNUMBER(SEARCH(IF(E$3&lt;&gt;"",E$3,"NA"),'MITRE ATT&amp;CK Mappings'!$J331))), 'MITRE ATT&amp;CK Mappings'!$B331,"")</f>
        <v/>
      </c>
      <c r="F335" s="27" t="str">
        <f>IF(OR(OR(OR(OR(OR(ISNUMBER(SEARCH(IF(F$1&lt;&gt;"",F$1,"NA"),'MITRE ATT&amp;CK Mappings'!$E331)),ISNUMBER(SEARCH(IF(F$1&lt;&gt;"",F$1,"NA"),'MITRE ATT&amp;CK Mappings'!$F331))),ISNUMBER(SEARCH(IF(F$2&lt;&gt;"",F$2,"NA"),'MITRE ATT&amp;CK Mappings'!$G331))),ISNUMBER(SEARCH(IF(F$2&lt;&gt;"",F$2,"NA"),'MITRE ATT&amp;CK Mappings'!$H331))),ISNUMBER(SEARCH(IF(F$3&lt;&gt;"",F$3,"NA"),'MITRE ATT&amp;CK Mappings'!$I331))),ISNUMBER(SEARCH(IF(F$3&lt;&gt;"",F$3,"NA"),'MITRE ATT&amp;CK Mappings'!$J331))), 'MITRE ATT&amp;CK Mappings'!$B331,"")</f>
        <v/>
      </c>
      <c r="G335" s="27" t="str">
        <f>IF(OR(OR(OR(OR(OR(ISNUMBER(SEARCH(IF(G$1&lt;&gt;"",G$1,"NA"),'MITRE ATT&amp;CK Mappings'!$E331)),ISNUMBER(SEARCH(IF(G$1&lt;&gt;"",G$1,"NA"),'MITRE ATT&amp;CK Mappings'!$F331))),ISNUMBER(SEARCH(IF(G$2&lt;&gt;"",G$2,"NA"),'MITRE ATT&amp;CK Mappings'!$G331))),ISNUMBER(SEARCH(IF(G$2&lt;&gt;"",G$2,"NA"),'MITRE ATT&amp;CK Mappings'!$H331))),ISNUMBER(SEARCH(IF(G$3&lt;&gt;"",G$3,"NA"),'MITRE ATT&amp;CK Mappings'!$I331))),ISNUMBER(SEARCH(IF(G$3&lt;&gt;"",G$3,"NA"),'MITRE ATT&amp;CK Mappings'!$J331))), 'MITRE ATT&amp;CK Mappings'!$B331,"")</f>
        <v/>
      </c>
      <c r="H335" s="27" t="str">
        <f>IF(OR(OR(OR(OR(OR(ISNUMBER(SEARCH(IF(H$1&lt;&gt;"",H$1,"NA"),'MITRE ATT&amp;CK Mappings'!$E331)),ISNUMBER(SEARCH(IF(H$1&lt;&gt;"",H$1,"NA"),'MITRE ATT&amp;CK Mappings'!$F331))),ISNUMBER(SEARCH(IF(H$2&lt;&gt;"",H$2,"NA"),'MITRE ATT&amp;CK Mappings'!$G331))),ISNUMBER(SEARCH(IF(H$2&lt;&gt;"",H$2,"NA"),'MITRE ATT&amp;CK Mappings'!$H331))),ISNUMBER(SEARCH(IF(H$3&lt;&gt;"",H$3,"NA"),'MITRE ATT&amp;CK Mappings'!$I331))),ISNUMBER(SEARCH(IF(H$3&lt;&gt;"",H$3,"NA"),'MITRE ATT&amp;CK Mappings'!$J331))), 'MITRE ATT&amp;CK Mappings'!$B331,"")</f>
        <v/>
      </c>
      <c r="I335" s="27" t="str">
        <f>IF(OR(OR(OR(OR(OR(ISNUMBER(SEARCH(IF(I$1&lt;&gt;"",I$1,"NA"),'MITRE ATT&amp;CK Mappings'!$E331)),ISNUMBER(SEARCH(IF(I$1&lt;&gt;"",I$1,"NA"),'MITRE ATT&amp;CK Mappings'!$F331))),ISNUMBER(SEARCH(IF(I$2&lt;&gt;"",I$2,"NA"),'MITRE ATT&amp;CK Mappings'!$G331))),ISNUMBER(SEARCH(IF(I$2&lt;&gt;"",I$2,"NA"),'MITRE ATT&amp;CK Mappings'!$H331))),ISNUMBER(SEARCH(IF(I$3&lt;&gt;"",I$3,"NA"),'MITRE ATT&amp;CK Mappings'!$I331))),ISNUMBER(SEARCH(IF(I$3&lt;&gt;"",I$3,"NA"),'MITRE ATT&amp;CK Mappings'!$J331))), 'MITRE ATT&amp;CK Mappings'!$B331,"")</f>
        <v/>
      </c>
      <c r="J335" s="27" t="str">
        <f>IF(OR(OR(OR(OR(OR(ISNUMBER(SEARCH(IF(J$1&lt;&gt;"",J$1,"NA"),'MITRE ATT&amp;CK Mappings'!$E331)),ISNUMBER(SEARCH(IF(J$1&lt;&gt;"",J$1,"NA"),'MITRE ATT&amp;CK Mappings'!$F331))),ISNUMBER(SEARCH(IF(J$2&lt;&gt;"",J$2,"NA"),'MITRE ATT&amp;CK Mappings'!$G331))),ISNUMBER(SEARCH(IF(J$2&lt;&gt;"",J$2,"NA"),'MITRE ATT&amp;CK Mappings'!$H331))),ISNUMBER(SEARCH(IF(J$3&lt;&gt;"",J$3,"NA"),'MITRE ATT&amp;CK Mappings'!$I331))),ISNUMBER(SEARCH(IF(J$3&lt;&gt;"",J$3,"NA"),'MITRE ATT&amp;CK Mappings'!$J331))), 'MITRE ATT&amp;CK Mappings'!$B331,"")</f>
        <v/>
      </c>
      <c r="K335" s="27" t="str">
        <f>IF(OR(OR(OR(OR(OR(ISNUMBER(SEARCH(IF(K$1&lt;&gt;"",K$1,"NA"),'MITRE ATT&amp;CK Mappings'!$E331)),ISNUMBER(SEARCH(IF(K$1&lt;&gt;"",K$1,"NA"),'MITRE ATT&amp;CK Mappings'!$F331))),ISNUMBER(SEARCH(IF(K$2&lt;&gt;"",K$2,"NA"),'MITRE ATT&amp;CK Mappings'!$G331))),ISNUMBER(SEARCH(IF(K$2&lt;&gt;"",K$2,"NA"),'MITRE ATT&amp;CK Mappings'!$H331))),ISNUMBER(SEARCH(IF(K$3&lt;&gt;"",K$3,"NA"),'MITRE ATT&amp;CK Mappings'!$I331))),ISNUMBER(SEARCH(IF(K$3&lt;&gt;"",K$3,"NA"),'MITRE ATT&amp;CK Mappings'!$J331))), 'MITRE ATT&amp;CK Mappings'!$B331,"")</f>
        <v/>
      </c>
      <c r="L335" s="27" t="str">
        <f>IF('MITRE ATT&amp;CK Mappings'!D331 &lt;&gt;"",'MITRE ATT&amp;CK Mappings'!D331,"" )</f>
        <v/>
      </c>
    </row>
    <row r="336" spans="1:12" x14ac:dyDescent="0.25">
      <c r="A336" s="26" t="str">
        <f>IF(COUNTIF(B336:K336,"="&amp;'MITRE ATT&amp;CK Mappings'!B332)&gt;0,'MITRE ATT&amp;CK Mappings'!B332,"")</f>
        <v/>
      </c>
      <c r="B336" s="26" t="str">
        <f>IF(OR(OR(OR(OR(OR(ISNUMBER(SEARCH(IF(B$1&lt;&gt;"",B$1,"NA"),'MITRE ATT&amp;CK Mappings'!$E332)),ISNUMBER(SEARCH(IF(B$1&lt;&gt;"",B$1,"NA"),'MITRE ATT&amp;CK Mappings'!$F332))),ISNUMBER(SEARCH(IF(B$2&lt;&gt;"",B$2,"NA"),'MITRE ATT&amp;CK Mappings'!$G332))),ISNUMBER(SEARCH(IF(B$2&lt;&gt;"",B$2,"NA"),'MITRE ATT&amp;CK Mappings'!$H332))),ISNUMBER(SEARCH(IF(B$3&lt;&gt;"",B$3,"NA"),'MITRE ATT&amp;CK Mappings'!$I332))),ISNUMBER(SEARCH(IF(B$3&lt;&gt;"",B$3,"NA"),'MITRE ATT&amp;CK Mappings'!$J332))), 'MITRE ATT&amp;CK Mappings'!$B332,"")</f>
        <v/>
      </c>
      <c r="C336" s="26" t="str">
        <f>IF(OR(OR(OR(OR(OR(ISNUMBER(SEARCH(IF(C$1&lt;&gt;"",C$1,"NA"),'MITRE ATT&amp;CK Mappings'!$E332)),ISNUMBER(SEARCH(IF(C$1&lt;&gt;"",C$1,"NA"),'MITRE ATT&amp;CK Mappings'!$F332))),ISNUMBER(SEARCH(IF(C$2&lt;&gt;"",C$2,"NA"),'MITRE ATT&amp;CK Mappings'!$G332))),ISNUMBER(SEARCH(IF(C$2&lt;&gt;"",C$2,"NA"),'MITRE ATT&amp;CK Mappings'!$H332))),ISNUMBER(SEARCH(IF(C$3&lt;&gt;"",C$3,"NA"),'MITRE ATT&amp;CK Mappings'!$I332))),ISNUMBER(SEARCH(IF(C$3&lt;&gt;"",C$3,"NA"),'MITRE ATT&amp;CK Mappings'!$J332))), 'MITRE ATT&amp;CK Mappings'!$B332,"")</f>
        <v/>
      </c>
      <c r="D336" s="26" t="str">
        <f>IF(OR(OR(OR(OR(OR(ISNUMBER(SEARCH(IF(D$1&lt;&gt;"",D$1,"NA"),'MITRE ATT&amp;CK Mappings'!$E332)),ISNUMBER(SEARCH(IF(D$1&lt;&gt;"",D$1,"NA"),'MITRE ATT&amp;CK Mappings'!$F332))),ISNUMBER(SEARCH(IF(D$2&lt;&gt;"",D$2,"NA"),'MITRE ATT&amp;CK Mappings'!$G332))),ISNUMBER(SEARCH(IF(D$2&lt;&gt;"",D$2,"NA"),'MITRE ATT&amp;CK Mappings'!$H332))),ISNUMBER(SEARCH(IF(D$3&lt;&gt;"",D$3,"NA"),'MITRE ATT&amp;CK Mappings'!$I332))),ISNUMBER(SEARCH(IF(D$3&lt;&gt;"",D$3,"NA"),'MITRE ATT&amp;CK Mappings'!$J332))), 'MITRE ATT&amp;CK Mappings'!$B332,"")</f>
        <v/>
      </c>
      <c r="E336" s="26" t="str">
        <f>IF(OR(OR(OR(OR(OR(ISNUMBER(SEARCH(IF(E$1&lt;&gt;"",E$1,"NA"),'MITRE ATT&amp;CK Mappings'!$E332)),ISNUMBER(SEARCH(IF(E$1&lt;&gt;"",E$1,"NA"),'MITRE ATT&amp;CK Mappings'!$F332))),ISNUMBER(SEARCH(IF(E$2&lt;&gt;"",E$2,"NA"),'MITRE ATT&amp;CK Mappings'!$G332))),ISNUMBER(SEARCH(IF(E$2&lt;&gt;"",E$2,"NA"),'MITRE ATT&amp;CK Mappings'!$H332))),ISNUMBER(SEARCH(IF(E$3&lt;&gt;"",E$3,"NA"),'MITRE ATT&amp;CK Mappings'!$I332))),ISNUMBER(SEARCH(IF(E$3&lt;&gt;"",E$3,"NA"),'MITRE ATT&amp;CK Mappings'!$J332))), 'MITRE ATT&amp;CK Mappings'!$B332,"")</f>
        <v/>
      </c>
      <c r="F336" s="26" t="str">
        <f>IF(OR(OR(OR(OR(OR(ISNUMBER(SEARCH(IF(F$1&lt;&gt;"",F$1,"NA"),'MITRE ATT&amp;CK Mappings'!$E332)),ISNUMBER(SEARCH(IF(F$1&lt;&gt;"",F$1,"NA"),'MITRE ATT&amp;CK Mappings'!$F332))),ISNUMBER(SEARCH(IF(F$2&lt;&gt;"",F$2,"NA"),'MITRE ATT&amp;CK Mappings'!$G332))),ISNUMBER(SEARCH(IF(F$2&lt;&gt;"",F$2,"NA"),'MITRE ATT&amp;CK Mappings'!$H332))),ISNUMBER(SEARCH(IF(F$3&lt;&gt;"",F$3,"NA"),'MITRE ATT&amp;CK Mappings'!$I332))),ISNUMBER(SEARCH(IF(F$3&lt;&gt;"",F$3,"NA"),'MITRE ATT&amp;CK Mappings'!$J332))), 'MITRE ATT&amp;CK Mappings'!$B332,"")</f>
        <v/>
      </c>
      <c r="G336" s="26" t="str">
        <f>IF(OR(OR(OR(OR(OR(ISNUMBER(SEARCH(IF(G$1&lt;&gt;"",G$1,"NA"),'MITRE ATT&amp;CK Mappings'!$E332)),ISNUMBER(SEARCH(IF(G$1&lt;&gt;"",G$1,"NA"),'MITRE ATT&amp;CK Mappings'!$F332))),ISNUMBER(SEARCH(IF(G$2&lt;&gt;"",G$2,"NA"),'MITRE ATT&amp;CK Mappings'!$G332))),ISNUMBER(SEARCH(IF(G$2&lt;&gt;"",G$2,"NA"),'MITRE ATT&amp;CK Mappings'!$H332))),ISNUMBER(SEARCH(IF(G$3&lt;&gt;"",G$3,"NA"),'MITRE ATT&amp;CK Mappings'!$I332))),ISNUMBER(SEARCH(IF(G$3&lt;&gt;"",G$3,"NA"),'MITRE ATT&amp;CK Mappings'!$J332))), 'MITRE ATT&amp;CK Mappings'!$B332,"")</f>
        <v/>
      </c>
      <c r="H336" s="26" t="str">
        <f>IF(OR(OR(OR(OR(OR(ISNUMBER(SEARCH(IF(H$1&lt;&gt;"",H$1,"NA"),'MITRE ATT&amp;CK Mappings'!$E332)),ISNUMBER(SEARCH(IF(H$1&lt;&gt;"",H$1,"NA"),'MITRE ATT&amp;CK Mappings'!$F332))),ISNUMBER(SEARCH(IF(H$2&lt;&gt;"",H$2,"NA"),'MITRE ATT&amp;CK Mappings'!$G332))),ISNUMBER(SEARCH(IF(H$2&lt;&gt;"",H$2,"NA"),'MITRE ATT&amp;CK Mappings'!$H332))),ISNUMBER(SEARCH(IF(H$3&lt;&gt;"",H$3,"NA"),'MITRE ATT&amp;CK Mappings'!$I332))),ISNUMBER(SEARCH(IF(H$3&lt;&gt;"",H$3,"NA"),'MITRE ATT&amp;CK Mappings'!$J332))), 'MITRE ATT&amp;CK Mappings'!$B332,"")</f>
        <v/>
      </c>
      <c r="I336" s="26" t="str">
        <f>IF(OR(OR(OR(OR(OR(ISNUMBER(SEARCH(IF(I$1&lt;&gt;"",I$1,"NA"),'MITRE ATT&amp;CK Mappings'!$E332)),ISNUMBER(SEARCH(IF(I$1&lt;&gt;"",I$1,"NA"),'MITRE ATT&amp;CK Mappings'!$F332))),ISNUMBER(SEARCH(IF(I$2&lt;&gt;"",I$2,"NA"),'MITRE ATT&amp;CK Mappings'!$G332))),ISNUMBER(SEARCH(IF(I$2&lt;&gt;"",I$2,"NA"),'MITRE ATT&amp;CK Mappings'!$H332))),ISNUMBER(SEARCH(IF(I$3&lt;&gt;"",I$3,"NA"),'MITRE ATT&amp;CK Mappings'!$I332))),ISNUMBER(SEARCH(IF(I$3&lt;&gt;"",I$3,"NA"),'MITRE ATT&amp;CK Mappings'!$J332))), 'MITRE ATT&amp;CK Mappings'!$B332,"")</f>
        <v/>
      </c>
      <c r="J336" s="26" t="str">
        <f>IF(OR(OR(OR(OR(OR(ISNUMBER(SEARCH(IF(J$1&lt;&gt;"",J$1,"NA"),'MITRE ATT&amp;CK Mappings'!$E332)),ISNUMBER(SEARCH(IF(J$1&lt;&gt;"",J$1,"NA"),'MITRE ATT&amp;CK Mappings'!$F332))),ISNUMBER(SEARCH(IF(J$2&lt;&gt;"",J$2,"NA"),'MITRE ATT&amp;CK Mappings'!$G332))),ISNUMBER(SEARCH(IF(J$2&lt;&gt;"",J$2,"NA"),'MITRE ATT&amp;CK Mappings'!$H332))),ISNUMBER(SEARCH(IF(J$3&lt;&gt;"",J$3,"NA"),'MITRE ATT&amp;CK Mappings'!$I332))),ISNUMBER(SEARCH(IF(J$3&lt;&gt;"",J$3,"NA"),'MITRE ATT&amp;CK Mappings'!$J332))), 'MITRE ATT&amp;CK Mappings'!$B332,"")</f>
        <v/>
      </c>
      <c r="K336" s="26" t="str">
        <f>IF(OR(OR(OR(OR(OR(ISNUMBER(SEARCH(IF(K$1&lt;&gt;"",K$1,"NA"),'MITRE ATT&amp;CK Mappings'!$E332)),ISNUMBER(SEARCH(IF(K$1&lt;&gt;"",K$1,"NA"),'MITRE ATT&amp;CK Mappings'!$F332))),ISNUMBER(SEARCH(IF(K$2&lt;&gt;"",K$2,"NA"),'MITRE ATT&amp;CK Mappings'!$G332))),ISNUMBER(SEARCH(IF(K$2&lt;&gt;"",K$2,"NA"),'MITRE ATT&amp;CK Mappings'!$H332))),ISNUMBER(SEARCH(IF(K$3&lt;&gt;"",K$3,"NA"),'MITRE ATT&amp;CK Mappings'!$I332))),ISNUMBER(SEARCH(IF(K$3&lt;&gt;"",K$3,"NA"),'MITRE ATT&amp;CK Mappings'!$J332))), 'MITRE ATT&amp;CK Mappings'!$B332,"")</f>
        <v/>
      </c>
      <c r="L336" s="26" t="str">
        <f>IF('MITRE ATT&amp;CK Mappings'!D332 &lt;&gt;"",'MITRE ATT&amp;CK Mappings'!D332,"" )</f>
        <v/>
      </c>
    </row>
    <row r="337" spans="1:12" x14ac:dyDescent="0.25">
      <c r="A337" s="27" t="str">
        <f>IF(COUNTIF(B337:K337,"="&amp;'MITRE ATT&amp;CK Mappings'!B333)&gt;0,'MITRE ATT&amp;CK Mappings'!B333,"")</f>
        <v/>
      </c>
      <c r="B337" s="27" t="str">
        <f>IF(OR(OR(OR(OR(OR(ISNUMBER(SEARCH(IF(B$1&lt;&gt;"",B$1,"NA"),'MITRE ATT&amp;CK Mappings'!$E333)),ISNUMBER(SEARCH(IF(B$1&lt;&gt;"",B$1,"NA"),'MITRE ATT&amp;CK Mappings'!$F333))),ISNUMBER(SEARCH(IF(B$2&lt;&gt;"",B$2,"NA"),'MITRE ATT&amp;CK Mappings'!$G333))),ISNUMBER(SEARCH(IF(B$2&lt;&gt;"",B$2,"NA"),'MITRE ATT&amp;CK Mappings'!$H333))),ISNUMBER(SEARCH(IF(B$3&lt;&gt;"",B$3,"NA"),'MITRE ATT&amp;CK Mappings'!$I333))),ISNUMBER(SEARCH(IF(B$3&lt;&gt;"",B$3,"NA"),'MITRE ATT&amp;CK Mappings'!$J333))), 'MITRE ATT&amp;CK Mappings'!$B333,"")</f>
        <v/>
      </c>
      <c r="C337" s="27" t="str">
        <f>IF(OR(OR(OR(OR(OR(ISNUMBER(SEARCH(IF(C$1&lt;&gt;"",C$1,"NA"),'MITRE ATT&amp;CK Mappings'!$E333)),ISNUMBER(SEARCH(IF(C$1&lt;&gt;"",C$1,"NA"),'MITRE ATT&amp;CK Mappings'!$F333))),ISNUMBER(SEARCH(IF(C$2&lt;&gt;"",C$2,"NA"),'MITRE ATT&amp;CK Mappings'!$G333))),ISNUMBER(SEARCH(IF(C$2&lt;&gt;"",C$2,"NA"),'MITRE ATT&amp;CK Mappings'!$H333))),ISNUMBER(SEARCH(IF(C$3&lt;&gt;"",C$3,"NA"),'MITRE ATT&amp;CK Mappings'!$I333))),ISNUMBER(SEARCH(IF(C$3&lt;&gt;"",C$3,"NA"),'MITRE ATT&amp;CK Mappings'!$J333))), 'MITRE ATT&amp;CK Mappings'!$B333,"")</f>
        <v/>
      </c>
      <c r="D337" s="27" t="str">
        <f>IF(OR(OR(OR(OR(OR(ISNUMBER(SEARCH(IF(D$1&lt;&gt;"",D$1,"NA"),'MITRE ATT&amp;CK Mappings'!$E333)),ISNUMBER(SEARCH(IF(D$1&lt;&gt;"",D$1,"NA"),'MITRE ATT&amp;CK Mappings'!$F333))),ISNUMBER(SEARCH(IF(D$2&lt;&gt;"",D$2,"NA"),'MITRE ATT&amp;CK Mappings'!$G333))),ISNUMBER(SEARCH(IF(D$2&lt;&gt;"",D$2,"NA"),'MITRE ATT&amp;CK Mappings'!$H333))),ISNUMBER(SEARCH(IF(D$3&lt;&gt;"",D$3,"NA"),'MITRE ATT&amp;CK Mappings'!$I333))),ISNUMBER(SEARCH(IF(D$3&lt;&gt;"",D$3,"NA"),'MITRE ATT&amp;CK Mappings'!$J333))), 'MITRE ATT&amp;CK Mappings'!$B333,"")</f>
        <v/>
      </c>
      <c r="E337" s="27" t="str">
        <f>IF(OR(OR(OR(OR(OR(ISNUMBER(SEARCH(IF(E$1&lt;&gt;"",E$1,"NA"),'MITRE ATT&amp;CK Mappings'!$E333)),ISNUMBER(SEARCH(IF(E$1&lt;&gt;"",E$1,"NA"),'MITRE ATT&amp;CK Mappings'!$F333))),ISNUMBER(SEARCH(IF(E$2&lt;&gt;"",E$2,"NA"),'MITRE ATT&amp;CK Mappings'!$G333))),ISNUMBER(SEARCH(IF(E$2&lt;&gt;"",E$2,"NA"),'MITRE ATT&amp;CK Mappings'!$H333))),ISNUMBER(SEARCH(IF(E$3&lt;&gt;"",E$3,"NA"),'MITRE ATT&amp;CK Mappings'!$I333))),ISNUMBER(SEARCH(IF(E$3&lt;&gt;"",E$3,"NA"),'MITRE ATT&amp;CK Mappings'!$J333))), 'MITRE ATT&amp;CK Mappings'!$B333,"")</f>
        <v/>
      </c>
      <c r="F337" s="27" t="str">
        <f>IF(OR(OR(OR(OR(OR(ISNUMBER(SEARCH(IF(F$1&lt;&gt;"",F$1,"NA"),'MITRE ATT&amp;CK Mappings'!$E333)),ISNUMBER(SEARCH(IF(F$1&lt;&gt;"",F$1,"NA"),'MITRE ATT&amp;CK Mappings'!$F333))),ISNUMBER(SEARCH(IF(F$2&lt;&gt;"",F$2,"NA"),'MITRE ATT&amp;CK Mappings'!$G333))),ISNUMBER(SEARCH(IF(F$2&lt;&gt;"",F$2,"NA"),'MITRE ATT&amp;CK Mappings'!$H333))),ISNUMBER(SEARCH(IF(F$3&lt;&gt;"",F$3,"NA"),'MITRE ATT&amp;CK Mappings'!$I333))),ISNUMBER(SEARCH(IF(F$3&lt;&gt;"",F$3,"NA"),'MITRE ATT&amp;CK Mappings'!$J333))), 'MITRE ATT&amp;CK Mappings'!$B333,"")</f>
        <v/>
      </c>
      <c r="G337" s="27" t="str">
        <f>IF(OR(OR(OR(OR(OR(ISNUMBER(SEARCH(IF(G$1&lt;&gt;"",G$1,"NA"),'MITRE ATT&amp;CK Mappings'!$E333)),ISNUMBER(SEARCH(IF(G$1&lt;&gt;"",G$1,"NA"),'MITRE ATT&amp;CK Mappings'!$F333))),ISNUMBER(SEARCH(IF(G$2&lt;&gt;"",G$2,"NA"),'MITRE ATT&amp;CK Mappings'!$G333))),ISNUMBER(SEARCH(IF(G$2&lt;&gt;"",G$2,"NA"),'MITRE ATT&amp;CK Mappings'!$H333))),ISNUMBER(SEARCH(IF(G$3&lt;&gt;"",G$3,"NA"),'MITRE ATT&amp;CK Mappings'!$I333))),ISNUMBER(SEARCH(IF(G$3&lt;&gt;"",G$3,"NA"),'MITRE ATT&amp;CK Mappings'!$J333))), 'MITRE ATT&amp;CK Mappings'!$B333,"")</f>
        <v/>
      </c>
      <c r="H337" s="27" t="str">
        <f>IF(OR(OR(OR(OR(OR(ISNUMBER(SEARCH(IF(H$1&lt;&gt;"",H$1,"NA"),'MITRE ATT&amp;CK Mappings'!$E333)),ISNUMBER(SEARCH(IF(H$1&lt;&gt;"",H$1,"NA"),'MITRE ATT&amp;CK Mappings'!$F333))),ISNUMBER(SEARCH(IF(H$2&lt;&gt;"",H$2,"NA"),'MITRE ATT&amp;CK Mappings'!$G333))),ISNUMBER(SEARCH(IF(H$2&lt;&gt;"",H$2,"NA"),'MITRE ATT&amp;CK Mappings'!$H333))),ISNUMBER(SEARCH(IF(H$3&lt;&gt;"",H$3,"NA"),'MITRE ATT&amp;CK Mappings'!$I333))),ISNUMBER(SEARCH(IF(H$3&lt;&gt;"",H$3,"NA"),'MITRE ATT&amp;CK Mappings'!$J333))), 'MITRE ATT&amp;CK Mappings'!$B333,"")</f>
        <v/>
      </c>
      <c r="I337" s="27" t="str">
        <f>IF(OR(OR(OR(OR(OR(ISNUMBER(SEARCH(IF(I$1&lt;&gt;"",I$1,"NA"),'MITRE ATT&amp;CK Mappings'!$E333)),ISNUMBER(SEARCH(IF(I$1&lt;&gt;"",I$1,"NA"),'MITRE ATT&amp;CK Mappings'!$F333))),ISNUMBER(SEARCH(IF(I$2&lt;&gt;"",I$2,"NA"),'MITRE ATT&amp;CK Mappings'!$G333))),ISNUMBER(SEARCH(IF(I$2&lt;&gt;"",I$2,"NA"),'MITRE ATT&amp;CK Mappings'!$H333))),ISNUMBER(SEARCH(IF(I$3&lt;&gt;"",I$3,"NA"),'MITRE ATT&amp;CK Mappings'!$I333))),ISNUMBER(SEARCH(IF(I$3&lt;&gt;"",I$3,"NA"),'MITRE ATT&amp;CK Mappings'!$J333))), 'MITRE ATT&amp;CK Mappings'!$B333,"")</f>
        <v/>
      </c>
      <c r="J337" s="27" t="str">
        <f>IF(OR(OR(OR(OR(OR(ISNUMBER(SEARCH(IF(J$1&lt;&gt;"",J$1,"NA"),'MITRE ATT&amp;CK Mappings'!$E333)),ISNUMBER(SEARCH(IF(J$1&lt;&gt;"",J$1,"NA"),'MITRE ATT&amp;CK Mappings'!$F333))),ISNUMBER(SEARCH(IF(J$2&lt;&gt;"",J$2,"NA"),'MITRE ATT&amp;CK Mappings'!$G333))),ISNUMBER(SEARCH(IF(J$2&lt;&gt;"",J$2,"NA"),'MITRE ATT&amp;CK Mappings'!$H333))),ISNUMBER(SEARCH(IF(J$3&lt;&gt;"",J$3,"NA"),'MITRE ATT&amp;CK Mappings'!$I333))),ISNUMBER(SEARCH(IF(J$3&lt;&gt;"",J$3,"NA"),'MITRE ATT&amp;CK Mappings'!$J333))), 'MITRE ATT&amp;CK Mappings'!$B333,"")</f>
        <v/>
      </c>
      <c r="K337" s="27" t="str">
        <f>IF(OR(OR(OR(OR(OR(ISNUMBER(SEARCH(IF(K$1&lt;&gt;"",K$1,"NA"),'MITRE ATT&amp;CK Mappings'!$E333)),ISNUMBER(SEARCH(IF(K$1&lt;&gt;"",K$1,"NA"),'MITRE ATT&amp;CK Mappings'!$F333))),ISNUMBER(SEARCH(IF(K$2&lt;&gt;"",K$2,"NA"),'MITRE ATT&amp;CK Mappings'!$G333))),ISNUMBER(SEARCH(IF(K$2&lt;&gt;"",K$2,"NA"),'MITRE ATT&amp;CK Mappings'!$H333))),ISNUMBER(SEARCH(IF(K$3&lt;&gt;"",K$3,"NA"),'MITRE ATT&amp;CK Mappings'!$I333))),ISNUMBER(SEARCH(IF(K$3&lt;&gt;"",K$3,"NA"),'MITRE ATT&amp;CK Mappings'!$J333))), 'MITRE ATT&amp;CK Mappings'!$B333,"")</f>
        <v/>
      </c>
      <c r="L337" s="27" t="str">
        <f>IF('MITRE ATT&amp;CK Mappings'!D333 &lt;&gt;"",'MITRE ATT&amp;CK Mappings'!D333,"" )</f>
        <v/>
      </c>
    </row>
    <row r="338" spans="1:12" x14ac:dyDescent="0.25">
      <c r="A338" s="26" t="str">
        <f>IF(COUNTIF(B338:K338,"="&amp;'MITRE ATT&amp;CK Mappings'!B334)&gt;0,'MITRE ATT&amp;CK Mappings'!B334,"")</f>
        <v/>
      </c>
      <c r="B338" s="26" t="str">
        <f>IF(OR(OR(OR(OR(OR(ISNUMBER(SEARCH(IF(B$1&lt;&gt;"",B$1,"NA"),'MITRE ATT&amp;CK Mappings'!$E334)),ISNUMBER(SEARCH(IF(B$1&lt;&gt;"",B$1,"NA"),'MITRE ATT&amp;CK Mappings'!$F334))),ISNUMBER(SEARCH(IF(B$2&lt;&gt;"",B$2,"NA"),'MITRE ATT&amp;CK Mappings'!$G334))),ISNUMBER(SEARCH(IF(B$2&lt;&gt;"",B$2,"NA"),'MITRE ATT&amp;CK Mappings'!$H334))),ISNUMBER(SEARCH(IF(B$3&lt;&gt;"",B$3,"NA"),'MITRE ATT&amp;CK Mappings'!$I334))),ISNUMBER(SEARCH(IF(B$3&lt;&gt;"",B$3,"NA"),'MITRE ATT&amp;CK Mappings'!$J334))), 'MITRE ATT&amp;CK Mappings'!$B334,"")</f>
        <v/>
      </c>
      <c r="C338" s="26" t="str">
        <f>IF(OR(OR(OR(OR(OR(ISNUMBER(SEARCH(IF(C$1&lt;&gt;"",C$1,"NA"),'MITRE ATT&amp;CK Mappings'!$E334)),ISNUMBER(SEARCH(IF(C$1&lt;&gt;"",C$1,"NA"),'MITRE ATT&amp;CK Mappings'!$F334))),ISNUMBER(SEARCH(IF(C$2&lt;&gt;"",C$2,"NA"),'MITRE ATT&amp;CK Mappings'!$G334))),ISNUMBER(SEARCH(IF(C$2&lt;&gt;"",C$2,"NA"),'MITRE ATT&amp;CK Mappings'!$H334))),ISNUMBER(SEARCH(IF(C$3&lt;&gt;"",C$3,"NA"),'MITRE ATT&amp;CK Mappings'!$I334))),ISNUMBER(SEARCH(IF(C$3&lt;&gt;"",C$3,"NA"),'MITRE ATT&amp;CK Mappings'!$J334))), 'MITRE ATT&amp;CK Mappings'!$B334,"")</f>
        <v/>
      </c>
      <c r="D338" s="26" t="str">
        <f>IF(OR(OR(OR(OR(OR(ISNUMBER(SEARCH(IF(D$1&lt;&gt;"",D$1,"NA"),'MITRE ATT&amp;CK Mappings'!$E334)),ISNUMBER(SEARCH(IF(D$1&lt;&gt;"",D$1,"NA"),'MITRE ATT&amp;CK Mappings'!$F334))),ISNUMBER(SEARCH(IF(D$2&lt;&gt;"",D$2,"NA"),'MITRE ATT&amp;CK Mappings'!$G334))),ISNUMBER(SEARCH(IF(D$2&lt;&gt;"",D$2,"NA"),'MITRE ATT&amp;CK Mappings'!$H334))),ISNUMBER(SEARCH(IF(D$3&lt;&gt;"",D$3,"NA"),'MITRE ATT&amp;CK Mappings'!$I334))),ISNUMBER(SEARCH(IF(D$3&lt;&gt;"",D$3,"NA"),'MITRE ATT&amp;CK Mappings'!$J334))), 'MITRE ATT&amp;CK Mappings'!$B334,"")</f>
        <v/>
      </c>
      <c r="E338" s="26" t="str">
        <f>IF(OR(OR(OR(OR(OR(ISNUMBER(SEARCH(IF(E$1&lt;&gt;"",E$1,"NA"),'MITRE ATT&amp;CK Mappings'!$E334)),ISNUMBER(SEARCH(IF(E$1&lt;&gt;"",E$1,"NA"),'MITRE ATT&amp;CK Mappings'!$F334))),ISNUMBER(SEARCH(IF(E$2&lt;&gt;"",E$2,"NA"),'MITRE ATT&amp;CK Mappings'!$G334))),ISNUMBER(SEARCH(IF(E$2&lt;&gt;"",E$2,"NA"),'MITRE ATT&amp;CK Mappings'!$H334))),ISNUMBER(SEARCH(IF(E$3&lt;&gt;"",E$3,"NA"),'MITRE ATT&amp;CK Mappings'!$I334))),ISNUMBER(SEARCH(IF(E$3&lt;&gt;"",E$3,"NA"),'MITRE ATT&amp;CK Mappings'!$J334))), 'MITRE ATT&amp;CK Mappings'!$B334,"")</f>
        <v/>
      </c>
      <c r="F338" s="26" t="str">
        <f>IF(OR(OR(OR(OR(OR(ISNUMBER(SEARCH(IF(F$1&lt;&gt;"",F$1,"NA"),'MITRE ATT&amp;CK Mappings'!$E334)),ISNUMBER(SEARCH(IF(F$1&lt;&gt;"",F$1,"NA"),'MITRE ATT&amp;CK Mappings'!$F334))),ISNUMBER(SEARCH(IF(F$2&lt;&gt;"",F$2,"NA"),'MITRE ATT&amp;CK Mappings'!$G334))),ISNUMBER(SEARCH(IF(F$2&lt;&gt;"",F$2,"NA"),'MITRE ATT&amp;CK Mappings'!$H334))),ISNUMBER(SEARCH(IF(F$3&lt;&gt;"",F$3,"NA"),'MITRE ATT&amp;CK Mappings'!$I334))),ISNUMBER(SEARCH(IF(F$3&lt;&gt;"",F$3,"NA"),'MITRE ATT&amp;CK Mappings'!$J334))), 'MITRE ATT&amp;CK Mappings'!$B334,"")</f>
        <v/>
      </c>
      <c r="G338" s="26" t="str">
        <f>IF(OR(OR(OR(OR(OR(ISNUMBER(SEARCH(IF(G$1&lt;&gt;"",G$1,"NA"),'MITRE ATT&amp;CK Mappings'!$E334)),ISNUMBER(SEARCH(IF(G$1&lt;&gt;"",G$1,"NA"),'MITRE ATT&amp;CK Mappings'!$F334))),ISNUMBER(SEARCH(IF(G$2&lt;&gt;"",G$2,"NA"),'MITRE ATT&amp;CK Mappings'!$G334))),ISNUMBER(SEARCH(IF(G$2&lt;&gt;"",G$2,"NA"),'MITRE ATT&amp;CK Mappings'!$H334))),ISNUMBER(SEARCH(IF(G$3&lt;&gt;"",G$3,"NA"),'MITRE ATT&amp;CK Mappings'!$I334))),ISNUMBER(SEARCH(IF(G$3&lt;&gt;"",G$3,"NA"),'MITRE ATT&amp;CK Mappings'!$J334))), 'MITRE ATT&amp;CK Mappings'!$B334,"")</f>
        <v/>
      </c>
      <c r="H338" s="26" t="str">
        <f>IF(OR(OR(OR(OR(OR(ISNUMBER(SEARCH(IF(H$1&lt;&gt;"",H$1,"NA"),'MITRE ATT&amp;CK Mappings'!$E334)),ISNUMBER(SEARCH(IF(H$1&lt;&gt;"",H$1,"NA"),'MITRE ATT&amp;CK Mappings'!$F334))),ISNUMBER(SEARCH(IF(H$2&lt;&gt;"",H$2,"NA"),'MITRE ATT&amp;CK Mappings'!$G334))),ISNUMBER(SEARCH(IF(H$2&lt;&gt;"",H$2,"NA"),'MITRE ATT&amp;CK Mappings'!$H334))),ISNUMBER(SEARCH(IF(H$3&lt;&gt;"",H$3,"NA"),'MITRE ATT&amp;CK Mappings'!$I334))),ISNUMBER(SEARCH(IF(H$3&lt;&gt;"",H$3,"NA"),'MITRE ATT&amp;CK Mappings'!$J334))), 'MITRE ATT&amp;CK Mappings'!$B334,"")</f>
        <v/>
      </c>
      <c r="I338" s="26" t="str">
        <f>IF(OR(OR(OR(OR(OR(ISNUMBER(SEARCH(IF(I$1&lt;&gt;"",I$1,"NA"),'MITRE ATT&amp;CK Mappings'!$E334)),ISNUMBER(SEARCH(IF(I$1&lt;&gt;"",I$1,"NA"),'MITRE ATT&amp;CK Mappings'!$F334))),ISNUMBER(SEARCH(IF(I$2&lt;&gt;"",I$2,"NA"),'MITRE ATT&amp;CK Mappings'!$G334))),ISNUMBER(SEARCH(IF(I$2&lt;&gt;"",I$2,"NA"),'MITRE ATT&amp;CK Mappings'!$H334))),ISNUMBER(SEARCH(IF(I$3&lt;&gt;"",I$3,"NA"),'MITRE ATT&amp;CK Mappings'!$I334))),ISNUMBER(SEARCH(IF(I$3&lt;&gt;"",I$3,"NA"),'MITRE ATT&amp;CK Mappings'!$J334))), 'MITRE ATT&amp;CK Mappings'!$B334,"")</f>
        <v/>
      </c>
      <c r="J338" s="26" t="str">
        <f>IF(OR(OR(OR(OR(OR(ISNUMBER(SEARCH(IF(J$1&lt;&gt;"",J$1,"NA"),'MITRE ATT&amp;CK Mappings'!$E334)),ISNUMBER(SEARCH(IF(J$1&lt;&gt;"",J$1,"NA"),'MITRE ATT&amp;CK Mappings'!$F334))),ISNUMBER(SEARCH(IF(J$2&lt;&gt;"",J$2,"NA"),'MITRE ATT&amp;CK Mappings'!$G334))),ISNUMBER(SEARCH(IF(J$2&lt;&gt;"",J$2,"NA"),'MITRE ATT&amp;CK Mappings'!$H334))),ISNUMBER(SEARCH(IF(J$3&lt;&gt;"",J$3,"NA"),'MITRE ATT&amp;CK Mappings'!$I334))),ISNUMBER(SEARCH(IF(J$3&lt;&gt;"",J$3,"NA"),'MITRE ATT&amp;CK Mappings'!$J334))), 'MITRE ATT&amp;CK Mappings'!$B334,"")</f>
        <v/>
      </c>
      <c r="K338" s="26" t="str">
        <f>IF(OR(OR(OR(OR(OR(ISNUMBER(SEARCH(IF(K$1&lt;&gt;"",K$1,"NA"),'MITRE ATT&amp;CK Mappings'!$E334)),ISNUMBER(SEARCH(IF(K$1&lt;&gt;"",K$1,"NA"),'MITRE ATT&amp;CK Mappings'!$F334))),ISNUMBER(SEARCH(IF(K$2&lt;&gt;"",K$2,"NA"),'MITRE ATT&amp;CK Mappings'!$G334))),ISNUMBER(SEARCH(IF(K$2&lt;&gt;"",K$2,"NA"),'MITRE ATT&amp;CK Mappings'!$H334))),ISNUMBER(SEARCH(IF(K$3&lt;&gt;"",K$3,"NA"),'MITRE ATT&amp;CK Mappings'!$I334))),ISNUMBER(SEARCH(IF(K$3&lt;&gt;"",K$3,"NA"),'MITRE ATT&amp;CK Mappings'!$J334))), 'MITRE ATT&amp;CK Mappings'!$B334,"")</f>
        <v/>
      </c>
      <c r="L338" s="26" t="str">
        <f>IF('MITRE ATT&amp;CK Mappings'!D334 &lt;&gt;"",'MITRE ATT&amp;CK Mappings'!D334,"" )</f>
        <v/>
      </c>
    </row>
    <row r="339" spans="1:12" x14ac:dyDescent="0.25">
      <c r="A339" s="27" t="str">
        <f>IF(COUNTIF(B339:K339,"="&amp;'MITRE ATT&amp;CK Mappings'!B335)&gt;0,'MITRE ATT&amp;CK Mappings'!B335,"")</f>
        <v/>
      </c>
      <c r="B339" s="27" t="str">
        <f>IF(OR(OR(OR(OR(OR(ISNUMBER(SEARCH(IF(B$1&lt;&gt;"",B$1,"NA"),'MITRE ATT&amp;CK Mappings'!$E335)),ISNUMBER(SEARCH(IF(B$1&lt;&gt;"",B$1,"NA"),'MITRE ATT&amp;CK Mappings'!$F335))),ISNUMBER(SEARCH(IF(B$2&lt;&gt;"",B$2,"NA"),'MITRE ATT&amp;CK Mappings'!$G335))),ISNUMBER(SEARCH(IF(B$2&lt;&gt;"",B$2,"NA"),'MITRE ATT&amp;CK Mappings'!$H335))),ISNUMBER(SEARCH(IF(B$3&lt;&gt;"",B$3,"NA"),'MITRE ATT&amp;CK Mappings'!$I335))),ISNUMBER(SEARCH(IF(B$3&lt;&gt;"",B$3,"NA"),'MITRE ATT&amp;CK Mappings'!$J335))), 'MITRE ATT&amp;CK Mappings'!$B335,"")</f>
        <v/>
      </c>
      <c r="C339" s="27" t="str">
        <f>IF(OR(OR(OR(OR(OR(ISNUMBER(SEARCH(IF(C$1&lt;&gt;"",C$1,"NA"),'MITRE ATT&amp;CK Mappings'!$E335)),ISNUMBER(SEARCH(IF(C$1&lt;&gt;"",C$1,"NA"),'MITRE ATT&amp;CK Mappings'!$F335))),ISNUMBER(SEARCH(IF(C$2&lt;&gt;"",C$2,"NA"),'MITRE ATT&amp;CK Mappings'!$G335))),ISNUMBER(SEARCH(IF(C$2&lt;&gt;"",C$2,"NA"),'MITRE ATT&amp;CK Mappings'!$H335))),ISNUMBER(SEARCH(IF(C$3&lt;&gt;"",C$3,"NA"),'MITRE ATT&amp;CK Mappings'!$I335))),ISNUMBER(SEARCH(IF(C$3&lt;&gt;"",C$3,"NA"),'MITRE ATT&amp;CK Mappings'!$J335))), 'MITRE ATT&amp;CK Mappings'!$B335,"")</f>
        <v/>
      </c>
      <c r="D339" s="27" t="str">
        <f>IF(OR(OR(OR(OR(OR(ISNUMBER(SEARCH(IF(D$1&lt;&gt;"",D$1,"NA"),'MITRE ATT&amp;CK Mappings'!$E335)),ISNUMBER(SEARCH(IF(D$1&lt;&gt;"",D$1,"NA"),'MITRE ATT&amp;CK Mappings'!$F335))),ISNUMBER(SEARCH(IF(D$2&lt;&gt;"",D$2,"NA"),'MITRE ATT&amp;CK Mappings'!$G335))),ISNUMBER(SEARCH(IF(D$2&lt;&gt;"",D$2,"NA"),'MITRE ATT&amp;CK Mappings'!$H335))),ISNUMBER(SEARCH(IF(D$3&lt;&gt;"",D$3,"NA"),'MITRE ATT&amp;CK Mappings'!$I335))),ISNUMBER(SEARCH(IF(D$3&lt;&gt;"",D$3,"NA"),'MITRE ATT&amp;CK Mappings'!$J335))), 'MITRE ATT&amp;CK Mappings'!$B335,"")</f>
        <v/>
      </c>
      <c r="E339" s="27" t="str">
        <f>IF(OR(OR(OR(OR(OR(ISNUMBER(SEARCH(IF(E$1&lt;&gt;"",E$1,"NA"),'MITRE ATT&amp;CK Mappings'!$E335)),ISNUMBER(SEARCH(IF(E$1&lt;&gt;"",E$1,"NA"),'MITRE ATT&amp;CK Mappings'!$F335))),ISNUMBER(SEARCH(IF(E$2&lt;&gt;"",E$2,"NA"),'MITRE ATT&amp;CK Mappings'!$G335))),ISNUMBER(SEARCH(IF(E$2&lt;&gt;"",E$2,"NA"),'MITRE ATT&amp;CK Mappings'!$H335))),ISNUMBER(SEARCH(IF(E$3&lt;&gt;"",E$3,"NA"),'MITRE ATT&amp;CK Mappings'!$I335))),ISNUMBER(SEARCH(IF(E$3&lt;&gt;"",E$3,"NA"),'MITRE ATT&amp;CK Mappings'!$J335))), 'MITRE ATT&amp;CK Mappings'!$B335,"")</f>
        <v/>
      </c>
      <c r="F339" s="27" t="str">
        <f>IF(OR(OR(OR(OR(OR(ISNUMBER(SEARCH(IF(F$1&lt;&gt;"",F$1,"NA"),'MITRE ATT&amp;CK Mappings'!$E335)),ISNUMBER(SEARCH(IF(F$1&lt;&gt;"",F$1,"NA"),'MITRE ATT&amp;CK Mappings'!$F335))),ISNUMBER(SEARCH(IF(F$2&lt;&gt;"",F$2,"NA"),'MITRE ATT&amp;CK Mappings'!$G335))),ISNUMBER(SEARCH(IF(F$2&lt;&gt;"",F$2,"NA"),'MITRE ATT&amp;CK Mappings'!$H335))),ISNUMBER(SEARCH(IF(F$3&lt;&gt;"",F$3,"NA"),'MITRE ATT&amp;CK Mappings'!$I335))),ISNUMBER(SEARCH(IF(F$3&lt;&gt;"",F$3,"NA"),'MITRE ATT&amp;CK Mappings'!$J335))), 'MITRE ATT&amp;CK Mappings'!$B335,"")</f>
        <v/>
      </c>
      <c r="G339" s="27" t="str">
        <f>IF(OR(OR(OR(OR(OR(ISNUMBER(SEARCH(IF(G$1&lt;&gt;"",G$1,"NA"),'MITRE ATT&amp;CK Mappings'!$E335)),ISNUMBER(SEARCH(IF(G$1&lt;&gt;"",G$1,"NA"),'MITRE ATT&amp;CK Mappings'!$F335))),ISNUMBER(SEARCH(IF(G$2&lt;&gt;"",G$2,"NA"),'MITRE ATT&amp;CK Mappings'!$G335))),ISNUMBER(SEARCH(IF(G$2&lt;&gt;"",G$2,"NA"),'MITRE ATT&amp;CK Mappings'!$H335))),ISNUMBER(SEARCH(IF(G$3&lt;&gt;"",G$3,"NA"),'MITRE ATT&amp;CK Mappings'!$I335))),ISNUMBER(SEARCH(IF(G$3&lt;&gt;"",G$3,"NA"),'MITRE ATT&amp;CK Mappings'!$J335))), 'MITRE ATT&amp;CK Mappings'!$B335,"")</f>
        <v/>
      </c>
      <c r="H339" s="27" t="str">
        <f>IF(OR(OR(OR(OR(OR(ISNUMBER(SEARCH(IF(H$1&lt;&gt;"",H$1,"NA"),'MITRE ATT&amp;CK Mappings'!$E335)),ISNUMBER(SEARCH(IF(H$1&lt;&gt;"",H$1,"NA"),'MITRE ATT&amp;CK Mappings'!$F335))),ISNUMBER(SEARCH(IF(H$2&lt;&gt;"",H$2,"NA"),'MITRE ATT&amp;CK Mappings'!$G335))),ISNUMBER(SEARCH(IF(H$2&lt;&gt;"",H$2,"NA"),'MITRE ATT&amp;CK Mappings'!$H335))),ISNUMBER(SEARCH(IF(H$3&lt;&gt;"",H$3,"NA"),'MITRE ATT&amp;CK Mappings'!$I335))),ISNUMBER(SEARCH(IF(H$3&lt;&gt;"",H$3,"NA"),'MITRE ATT&amp;CK Mappings'!$J335))), 'MITRE ATT&amp;CK Mappings'!$B335,"")</f>
        <v/>
      </c>
      <c r="I339" s="27" t="str">
        <f>IF(OR(OR(OR(OR(OR(ISNUMBER(SEARCH(IF(I$1&lt;&gt;"",I$1,"NA"),'MITRE ATT&amp;CK Mappings'!$E335)),ISNUMBER(SEARCH(IF(I$1&lt;&gt;"",I$1,"NA"),'MITRE ATT&amp;CK Mappings'!$F335))),ISNUMBER(SEARCH(IF(I$2&lt;&gt;"",I$2,"NA"),'MITRE ATT&amp;CK Mappings'!$G335))),ISNUMBER(SEARCH(IF(I$2&lt;&gt;"",I$2,"NA"),'MITRE ATT&amp;CK Mappings'!$H335))),ISNUMBER(SEARCH(IF(I$3&lt;&gt;"",I$3,"NA"),'MITRE ATT&amp;CK Mappings'!$I335))),ISNUMBER(SEARCH(IF(I$3&lt;&gt;"",I$3,"NA"),'MITRE ATT&amp;CK Mappings'!$J335))), 'MITRE ATT&amp;CK Mappings'!$B335,"")</f>
        <v/>
      </c>
      <c r="J339" s="27" t="str">
        <f>IF(OR(OR(OR(OR(OR(ISNUMBER(SEARCH(IF(J$1&lt;&gt;"",J$1,"NA"),'MITRE ATT&amp;CK Mappings'!$E335)),ISNUMBER(SEARCH(IF(J$1&lt;&gt;"",J$1,"NA"),'MITRE ATT&amp;CK Mappings'!$F335))),ISNUMBER(SEARCH(IF(J$2&lt;&gt;"",J$2,"NA"),'MITRE ATT&amp;CK Mappings'!$G335))),ISNUMBER(SEARCH(IF(J$2&lt;&gt;"",J$2,"NA"),'MITRE ATT&amp;CK Mappings'!$H335))),ISNUMBER(SEARCH(IF(J$3&lt;&gt;"",J$3,"NA"),'MITRE ATT&amp;CK Mappings'!$I335))),ISNUMBER(SEARCH(IF(J$3&lt;&gt;"",J$3,"NA"),'MITRE ATT&amp;CK Mappings'!$J335))), 'MITRE ATT&amp;CK Mappings'!$B335,"")</f>
        <v/>
      </c>
      <c r="K339" s="27" t="str">
        <f>IF(OR(OR(OR(OR(OR(ISNUMBER(SEARCH(IF(K$1&lt;&gt;"",K$1,"NA"),'MITRE ATT&amp;CK Mappings'!$E335)),ISNUMBER(SEARCH(IF(K$1&lt;&gt;"",K$1,"NA"),'MITRE ATT&amp;CK Mappings'!$F335))),ISNUMBER(SEARCH(IF(K$2&lt;&gt;"",K$2,"NA"),'MITRE ATT&amp;CK Mappings'!$G335))),ISNUMBER(SEARCH(IF(K$2&lt;&gt;"",K$2,"NA"),'MITRE ATT&amp;CK Mappings'!$H335))),ISNUMBER(SEARCH(IF(K$3&lt;&gt;"",K$3,"NA"),'MITRE ATT&amp;CK Mappings'!$I335))),ISNUMBER(SEARCH(IF(K$3&lt;&gt;"",K$3,"NA"),'MITRE ATT&amp;CK Mappings'!$J335))), 'MITRE ATT&amp;CK Mappings'!$B335,"")</f>
        <v/>
      </c>
      <c r="L339" s="27" t="str">
        <f>IF('MITRE ATT&amp;CK Mappings'!D335 &lt;&gt;"",'MITRE ATT&amp;CK Mappings'!D335,"" )</f>
        <v/>
      </c>
    </row>
    <row r="340" spans="1:12" x14ac:dyDescent="0.25">
      <c r="A340" s="26" t="str">
        <f>IF(COUNTIF(B340:K340,"="&amp;'MITRE ATT&amp;CK Mappings'!B336)&gt;0,'MITRE ATT&amp;CK Mappings'!B336,"")</f>
        <v/>
      </c>
      <c r="B340" s="26" t="str">
        <f>IF(OR(OR(OR(OR(OR(ISNUMBER(SEARCH(IF(B$1&lt;&gt;"",B$1,"NA"),'MITRE ATT&amp;CK Mappings'!$E336)),ISNUMBER(SEARCH(IF(B$1&lt;&gt;"",B$1,"NA"),'MITRE ATT&amp;CK Mappings'!$F336))),ISNUMBER(SEARCH(IF(B$2&lt;&gt;"",B$2,"NA"),'MITRE ATT&amp;CK Mappings'!$G336))),ISNUMBER(SEARCH(IF(B$2&lt;&gt;"",B$2,"NA"),'MITRE ATT&amp;CK Mappings'!$H336))),ISNUMBER(SEARCH(IF(B$3&lt;&gt;"",B$3,"NA"),'MITRE ATT&amp;CK Mappings'!$I336))),ISNUMBER(SEARCH(IF(B$3&lt;&gt;"",B$3,"NA"),'MITRE ATT&amp;CK Mappings'!$J336))), 'MITRE ATT&amp;CK Mappings'!$B336,"")</f>
        <v/>
      </c>
      <c r="C340" s="26" t="str">
        <f>IF(OR(OR(OR(OR(OR(ISNUMBER(SEARCH(IF(C$1&lt;&gt;"",C$1,"NA"),'MITRE ATT&amp;CK Mappings'!$E336)),ISNUMBER(SEARCH(IF(C$1&lt;&gt;"",C$1,"NA"),'MITRE ATT&amp;CK Mappings'!$F336))),ISNUMBER(SEARCH(IF(C$2&lt;&gt;"",C$2,"NA"),'MITRE ATT&amp;CK Mappings'!$G336))),ISNUMBER(SEARCH(IF(C$2&lt;&gt;"",C$2,"NA"),'MITRE ATT&amp;CK Mappings'!$H336))),ISNUMBER(SEARCH(IF(C$3&lt;&gt;"",C$3,"NA"),'MITRE ATT&amp;CK Mappings'!$I336))),ISNUMBER(SEARCH(IF(C$3&lt;&gt;"",C$3,"NA"),'MITRE ATT&amp;CK Mappings'!$J336))), 'MITRE ATT&amp;CK Mappings'!$B336,"")</f>
        <v/>
      </c>
      <c r="D340" s="26" t="str">
        <f>IF(OR(OR(OR(OR(OR(ISNUMBER(SEARCH(IF(D$1&lt;&gt;"",D$1,"NA"),'MITRE ATT&amp;CK Mappings'!$E336)),ISNUMBER(SEARCH(IF(D$1&lt;&gt;"",D$1,"NA"),'MITRE ATT&amp;CK Mappings'!$F336))),ISNUMBER(SEARCH(IF(D$2&lt;&gt;"",D$2,"NA"),'MITRE ATT&amp;CK Mappings'!$G336))),ISNUMBER(SEARCH(IF(D$2&lt;&gt;"",D$2,"NA"),'MITRE ATT&amp;CK Mappings'!$H336))),ISNUMBER(SEARCH(IF(D$3&lt;&gt;"",D$3,"NA"),'MITRE ATT&amp;CK Mappings'!$I336))),ISNUMBER(SEARCH(IF(D$3&lt;&gt;"",D$3,"NA"),'MITRE ATT&amp;CK Mappings'!$J336))), 'MITRE ATT&amp;CK Mappings'!$B336,"")</f>
        <v/>
      </c>
      <c r="E340" s="26" t="str">
        <f>IF(OR(OR(OR(OR(OR(ISNUMBER(SEARCH(IF(E$1&lt;&gt;"",E$1,"NA"),'MITRE ATT&amp;CK Mappings'!$E336)),ISNUMBER(SEARCH(IF(E$1&lt;&gt;"",E$1,"NA"),'MITRE ATT&amp;CK Mappings'!$F336))),ISNUMBER(SEARCH(IF(E$2&lt;&gt;"",E$2,"NA"),'MITRE ATT&amp;CK Mappings'!$G336))),ISNUMBER(SEARCH(IF(E$2&lt;&gt;"",E$2,"NA"),'MITRE ATT&amp;CK Mappings'!$H336))),ISNUMBER(SEARCH(IF(E$3&lt;&gt;"",E$3,"NA"),'MITRE ATT&amp;CK Mappings'!$I336))),ISNUMBER(SEARCH(IF(E$3&lt;&gt;"",E$3,"NA"),'MITRE ATT&amp;CK Mappings'!$J336))), 'MITRE ATT&amp;CK Mappings'!$B336,"")</f>
        <v/>
      </c>
      <c r="F340" s="26" t="str">
        <f>IF(OR(OR(OR(OR(OR(ISNUMBER(SEARCH(IF(F$1&lt;&gt;"",F$1,"NA"),'MITRE ATT&amp;CK Mappings'!$E336)),ISNUMBER(SEARCH(IF(F$1&lt;&gt;"",F$1,"NA"),'MITRE ATT&amp;CK Mappings'!$F336))),ISNUMBER(SEARCH(IF(F$2&lt;&gt;"",F$2,"NA"),'MITRE ATT&amp;CK Mappings'!$G336))),ISNUMBER(SEARCH(IF(F$2&lt;&gt;"",F$2,"NA"),'MITRE ATT&amp;CK Mappings'!$H336))),ISNUMBER(SEARCH(IF(F$3&lt;&gt;"",F$3,"NA"),'MITRE ATT&amp;CK Mappings'!$I336))),ISNUMBER(SEARCH(IF(F$3&lt;&gt;"",F$3,"NA"),'MITRE ATT&amp;CK Mappings'!$J336))), 'MITRE ATT&amp;CK Mappings'!$B336,"")</f>
        <v/>
      </c>
      <c r="G340" s="26" t="str">
        <f>IF(OR(OR(OR(OR(OR(ISNUMBER(SEARCH(IF(G$1&lt;&gt;"",G$1,"NA"),'MITRE ATT&amp;CK Mappings'!$E336)),ISNUMBER(SEARCH(IF(G$1&lt;&gt;"",G$1,"NA"),'MITRE ATT&amp;CK Mappings'!$F336))),ISNUMBER(SEARCH(IF(G$2&lt;&gt;"",G$2,"NA"),'MITRE ATT&amp;CK Mappings'!$G336))),ISNUMBER(SEARCH(IF(G$2&lt;&gt;"",G$2,"NA"),'MITRE ATT&amp;CK Mappings'!$H336))),ISNUMBER(SEARCH(IF(G$3&lt;&gt;"",G$3,"NA"),'MITRE ATT&amp;CK Mappings'!$I336))),ISNUMBER(SEARCH(IF(G$3&lt;&gt;"",G$3,"NA"),'MITRE ATT&amp;CK Mappings'!$J336))), 'MITRE ATT&amp;CK Mappings'!$B336,"")</f>
        <v/>
      </c>
      <c r="H340" s="26" t="str">
        <f>IF(OR(OR(OR(OR(OR(ISNUMBER(SEARCH(IF(H$1&lt;&gt;"",H$1,"NA"),'MITRE ATT&amp;CK Mappings'!$E336)),ISNUMBER(SEARCH(IF(H$1&lt;&gt;"",H$1,"NA"),'MITRE ATT&amp;CK Mappings'!$F336))),ISNUMBER(SEARCH(IF(H$2&lt;&gt;"",H$2,"NA"),'MITRE ATT&amp;CK Mappings'!$G336))),ISNUMBER(SEARCH(IF(H$2&lt;&gt;"",H$2,"NA"),'MITRE ATT&amp;CK Mappings'!$H336))),ISNUMBER(SEARCH(IF(H$3&lt;&gt;"",H$3,"NA"),'MITRE ATT&amp;CK Mappings'!$I336))),ISNUMBER(SEARCH(IF(H$3&lt;&gt;"",H$3,"NA"),'MITRE ATT&amp;CK Mappings'!$J336))), 'MITRE ATT&amp;CK Mappings'!$B336,"")</f>
        <v/>
      </c>
      <c r="I340" s="26" t="str">
        <f>IF(OR(OR(OR(OR(OR(ISNUMBER(SEARCH(IF(I$1&lt;&gt;"",I$1,"NA"),'MITRE ATT&amp;CK Mappings'!$E336)),ISNUMBER(SEARCH(IF(I$1&lt;&gt;"",I$1,"NA"),'MITRE ATT&amp;CK Mappings'!$F336))),ISNUMBER(SEARCH(IF(I$2&lt;&gt;"",I$2,"NA"),'MITRE ATT&amp;CK Mappings'!$G336))),ISNUMBER(SEARCH(IF(I$2&lt;&gt;"",I$2,"NA"),'MITRE ATT&amp;CK Mappings'!$H336))),ISNUMBER(SEARCH(IF(I$3&lt;&gt;"",I$3,"NA"),'MITRE ATT&amp;CK Mappings'!$I336))),ISNUMBER(SEARCH(IF(I$3&lt;&gt;"",I$3,"NA"),'MITRE ATT&amp;CK Mappings'!$J336))), 'MITRE ATT&amp;CK Mappings'!$B336,"")</f>
        <v/>
      </c>
      <c r="J340" s="26" t="str">
        <f>IF(OR(OR(OR(OR(OR(ISNUMBER(SEARCH(IF(J$1&lt;&gt;"",J$1,"NA"),'MITRE ATT&amp;CK Mappings'!$E336)),ISNUMBER(SEARCH(IF(J$1&lt;&gt;"",J$1,"NA"),'MITRE ATT&amp;CK Mappings'!$F336))),ISNUMBER(SEARCH(IF(J$2&lt;&gt;"",J$2,"NA"),'MITRE ATT&amp;CK Mappings'!$G336))),ISNUMBER(SEARCH(IF(J$2&lt;&gt;"",J$2,"NA"),'MITRE ATT&amp;CK Mappings'!$H336))),ISNUMBER(SEARCH(IF(J$3&lt;&gt;"",J$3,"NA"),'MITRE ATT&amp;CK Mappings'!$I336))),ISNUMBER(SEARCH(IF(J$3&lt;&gt;"",J$3,"NA"),'MITRE ATT&amp;CK Mappings'!$J336))), 'MITRE ATT&amp;CK Mappings'!$B336,"")</f>
        <v/>
      </c>
      <c r="K340" s="26" t="str">
        <f>IF(OR(OR(OR(OR(OR(ISNUMBER(SEARCH(IF(K$1&lt;&gt;"",K$1,"NA"),'MITRE ATT&amp;CK Mappings'!$E336)),ISNUMBER(SEARCH(IF(K$1&lt;&gt;"",K$1,"NA"),'MITRE ATT&amp;CK Mappings'!$F336))),ISNUMBER(SEARCH(IF(K$2&lt;&gt;"",K$2,"NA"),'MITRE ATT&amp;CK Mappings'!$G336))),ISNUMBER(SEARCH(IF(K$2&lt;&gt;"",K$2,"NA"),'MITRE ATT&amp;CK Mappings'!$H336))),ISNUMBER(SEARCH(IF(K$3&lt;&gt;"",K$3,"NA"),'MITRE ATT&amp;CK Mappings'!$I336))),ISNUMBER(SEARCH(IF(K$3&lt;&gt;"",K$3,"NA"),'MITRE ATT&amp;CK Mappings'!$J336))), 'MITRE ATT&amp;CK Mappings'!$B336,"")</f>
        <v/>
      </c>
      <c r="L340" s="26" t="str">
        <f>IF('MITRE ATT&amp;CK Mappings'!D336 &lt;&gt;"",'MITRE ATT&amp;CK Mappings'!D336,"" )</f>
        <v/>
      </c>
    </row>
    <row r="341" spans="1:12" x14ac:dyDescent="0.25">
      <c r="A341" s="27" t="str">
        <f>IF(COUNTIF(B341:K341,"="&amp;'MITRE ATT&amp;CK Mappings'!B337)&gt;0,'MITRE ATT&amp;CK Mappings'!B337,"")</f>
        <v/>
      </c>
      <c r="B341" s="27" t="str">
        <f>IF(OR(OR(OR(OR(OR(ISNUMBER(SEARCH(IF(B$1&lt;&gt;"",B$1,"NA"),'MITRE ATT&amp;CK Mappings'!$E337)),ISNUMBER(SEARCH(IF(B$1&lt;&gt;"",B$1,"NA"),'MITRE ATT&amp;CK Mappings'!$F337))),ISNUMBER(SEARCH(IF(B$2&lt;&gt;"",B$2,"NA"),'MITRE ATT&amp;CK Mappings'!$G337))),ISNUMBER(SEARCH(IF(B$2&lt;&gt;"",B$2,"NA"),'MITRE ATT&amp;CK Mappings'!$H337))),ISNUMBER(SEARCH(IF(B$3&lt;&gt;"",B$3,"NA"),'MITRE ATT&amp;CK Mappings'!$I337))),ISNUMBER(SEARCH(IF(B$3&lt;&gt;"",B$3,"NA"),'MITRE ATT&amp;CK Mappings'!$J337))), 'MITRE ATT&amp;CK Mappings'!$B337,"")</f>
        <v/>
      </c>
      <c r="C341" s="27" t="str">
        <f>IF(OR(OR(OR(OR(OR(ISNUMBER(SEARCH(IF(C$1&lt;&gt;"",C$1,"NA"),'MITRE ATT&amp;CK Mappings'!$E337)),ISNUMBER(SEARCH(IF(C$1&lt;&gt;"",C$1,"NA"),'MITRE ATT&amp;CK Mappings'!$F337))),ISNUMBER(SEARCH(IF(C$2&lt;&gt;"",C$2,"NA"),'MITRE ATT&amp;CK Mappings'!$G337))),ISNUMBER(SEARCH(IF(C$2&lt;&gt;"",C$2,"NA"),'MITRE ATT&amp;CK Mappings'!$H337))),ISNUMBER(SEARCH(IF(C$3&lt;&gt;"",C$3,"NA"),'MITRE ATT&amp;CK Mappings'!$I337))),ISNUMBER(SEARCH(IF(C$3&lt;&gt;"",C$3,"NA"),'MITRE ATT&amp;CK Mappings'!$J337))), 'MITRE ATT&amp;CK Mappings'!$B337,"")</f>
        <v/>
      </c>
      <c r="D341" s="27" t="str">
        <f>IF(OR(OR(OR(OR(OR(ISNUMBER(SEARCH(IF(D$1&lt;&gt;"",D$1,"NA"),'MITRE ATT&amp;CK Mappings'!$E337)),ISNUMBER(SEARCH(IF(D$1&lt;&gt;"",D$1,"NA"),'MITRE ATT&amp;CK Mappings'!$F337))),ISNUMBER(SEARCH(IF(D$2&lt;&gt;"",D$2,"NA"),'MITRE ATT&amp;CK Mappings'!$G337))),ISNUMBER(SEARCH(IF(D$2&lt;&gt;"",D$2,"NA"),'MITRE ATT&amp;CK Mappings'!$H337))),ISNUMBER(SEARCH(IF(D$3&lt;&gt;"",D$3,"NA"),'MITRE ATT&amp;CK Mappings'!$I337))),ISNUMBER(SEARCH(IF(D$3&lt;&gt;"",D$3,"NA"),'MITRE ATT&amp;CK Mappings'!$J337))), 'MITRE ATT&amp;CK Mappings'!$B337,"")</f>
        <v/>
      </c>
      <c r="E341" s="27" t="str">
        <f>IF(OR(OR(OR(OR(OR(ISNUMBER(SEARCH(IF(E$1&lt;&gt;"",E$1,"NA"),'MITRE ATT&amp;CK Mappings'!$E337)),ISNUMBER(SEARCH(IF(E$1&lt;&gt;"",E$1,"NA"),'MITRE ATT&amp;CK Mappings'!$F337))),ISNUMBER(SEARCH(IF(E$2&lt;&gt;"",E$2,"NA"),'MITRE ATT&amp;CK Mappings'!$G337))),ISNUMBER(SEARCH(IF(E$2&lt;&gt;"",E$2,"NA"),'MITRE ATT&amp;CK Mappings'!$H337))),ISNUMBER(SEARCH(IF(E$3&lt;&gt;"",E$3,"NA"),'MITRE ATT&amp;CK Mappings'!$I337))),ISNUMBER(SEARCH(IF(E$3&lt;&gt;"",E$3,"NA"),'MITRE ATT&amp;CK Mappings'!$J337))), 'MITRE ATT&amp;CK Mappings'!$B337,"")</f>
        <v/>
      </c>
      <c r="F341" s="27" t="str">
        <f>IF(OR(OR(OR(OR(OR(ISNUMBER(SEARCH(IF(F$1&lt;&gt;"",F$1,"NA"),'MITRE ATT&amp;CK Mappings'!$E337)),ISNUMBER(SEARCH(IF(F$1&lt;&gt;"",F$1,"NA"),'MITRE ATT&amp;CK Mappings'!$F337))),ISNUMBER(SEARCH(IF(F$2&lt;&gt;"",F$2,"NA"),'MITRE ATT&amp;CK Mappings'!$G337))),ISNUMBER(SEARCH(IF(F$2&lt;&gt;"",F$2,"NA"),'MITRE ATT&amp;CK Mappings'!$H337))),ISNUMBER(SEARCH(IF(F$3&lt;&gt;"",F$3,"NA"),'MITRE ATT&amp;CK Mappings'!$I337))),ISNUMBER(SEARCH(IF(F$3&lt;&gt;"",F$3,"NA"),'MITRE ATT&amp;CK Mappings'!$J337))), 'MITRE ATT&amp;CK Mappings'!$B337,"")</f>
        <v/>
      </c>
      <c r="G341" s="27" t="str">
        <f>IF(OR(OR(OR(OR(OR(ISNUMBER(SEARCH(IF(G$1&lt;&gt;"",G$1,"NA"),'MITRE ATT&amp;CK Mappings'!$E337)),ISNUMBER(SEARCH(IF(G$1&lt;&gt;"",G$1,"NA"),'MITRE ATT&amp;CK Mappings'!$F337))),ISNUMBER(SEARCH(IF(G$2&lt;&gt;"",G$2,"NA"),'MITRE ATT&amp;CK Mappings'!$G337))),ISNUMBER(SEARCH(IF(G$2&lt;&gt;"",G$2,"NA"),'MITRE ATT&amp;CK Mappings'!$H337))),ISNUMBER(SEARCH(IF(G$3&lt;&gt;"",G$3,"NA"),'MITRE ATT&amp;CK Mappings'!$I337))),ISNUMBER(SEARCH(IF(G$3&lt;&gt;"",G$3,"NA"),'MITRE ATT&amp;CK Mappings'!$J337))), 'MITRE ATT&amp;CK Mappings'!$B337,"")</f>
        <v/>
      </c>
      <c r="H341" s="27" t="str">
        <f>IF(OR(OR(OR(OR(OR(ISNUMBER(SEARCH(IF(H$1&lt;&gt;"",H$1,"NA"),'MITRE ATT&amp;CK Mappings'!$E337)),ISNUMBER(SEARCH(IF(H$1&lt;&gt;"",H$1,"NA"),'MITRE ATT&amp;CK Mappings'!$F337))),ISNUMBER(SEARCH(IF(H$2&lt;&gt;"",H$2,"NA"),'MITRE ATT&amp;CK Mappings'!$G337))),ISNUMBER(SEARCH(IF(H$2&lt;&gt;"",H$2,"NA"),'MITRE ATT&amp;CK Mappings'!$H337))),ISNUMBER(SEARCH(IF(H$3&lt;&gt;"",H$3,"NA"),'MITRE ATT&amp;CK Mappings'!$I337))),ISNUMBER(SEARCH(IF(H$3&lt;&gt;"",H$3,"NA"),'MITRE ATT&amp;CK Mappings'!$J337))), 'MITRE ATT&amp;CK Mappings'!$B337,"")</f>
        <v/>
      </c>
      <c r="I341" s="27" t="str">
        <f>IF(OR(OR(OR(OR(OR(ISNUMBER(SEARCH(IF(I$1&lt;&gt;"",I$1,"NA"),'MITRE ATT&amp;CK Mappings'!$E337)),ISNUMBER(SEARCH(IF(I$1&lt;&gt;"",I$1,"NA"),'MITRE ATT&amp;CK Mappings'!$F337))),ISNUMBER(SEARCH(IF(I$2&lt;&gt;"",I$2,"NA"),'MITRE ATT&amp;CK Mappings'!$G337))),ISNUMBER(SEARCH(IF(I$2&lt;&gt;"",I$2,"NA"),'MITRE ATT&amp;CK Mappings'!$H337))),ISNUMBER(SEARCH(IF(I$3&lt;&gt;"",I$3,"NA"),'MITRE ATT&amp;CK Mappings'!$I337))),ISNUMBER(SEARCH(IF(I$3&lt;&gt;"",I$3,"NA"),'MITRE ATT&amp;CK Mappings'!$J337))), 'MITRE ATT&amp;CK Mappings'!$B337,"")</f>
        <v/>
      </c>
      <c r="J341" s="27" t="str">
        <f>IF(OR(OR(OR(OR(OR(ISNUMBER(SEARCH(IF(J$1&lt;&gt;"",J$1,"NA"),'MITRE ATT&amp;CK Mappings'!$E337)),ISNUMBER(SEARCH(IF(J$1&lt;&gt;"",J$1,"NA"),'MITRE ATT&amp;CK Mappings'!$F337))),ISNUMBER(SEARCH(IF(J$2&lt;&gt;"",J$2,"NA"),'MITRE ATT&amp;CK Mappings'!$G337))),ISNUMBER(SEARCH(IF(J$2&lt;&gt;"",J$2,"NA"),'MITRE ATT&amp;CK Mappings'!$H337))),ISNUMBER(SEARCH(IF(J$3&lt;&gt;"",J$3,"NA"),'MITRE ATT&amp;CK Mappings'!$I337))),ISNUMBER(SEARCH(IF(J$3&lt;&gt;"",J$3,"NA"),'MITRE ATT&amp;CK Mappings'!$J337))), 'MITRE ATT&amp;CK Mappings'!$B337,"")</f>
        <v/>
      </c>
      <c r="K341" s="27" t="str">
        <f>IF(OR(OR(OR(OR(OR(ISNUMBER(SEARCH(IF(K$1&lt;&gt;"",K$1,"NA"),'MITRE ATT&amp;CK Mappings'!$E337)),ISNUMBER(SEARCH(IF(K$1&lt;&gt;"",K$1,"NA"),'MITRE ATT&amp;CK Mappings'!$F337))),ISNUMBER(SEARCH(IF(K$2&lt;&gt;"",K$2,"NA"),'MITRE ATT&amp;CK Mappings'!$G337))),ISNUMBER(SEARCH(IF(K$2&lt;&gt;"",K$2,"NA"),'MITRE ATT&amp;CK Mappings'!$H337))),ISNUMBER(SEARCH(IF(K$3&lt;&gt;"",K$3,"NA"),'MITRE ATT&amp;CK Mappings'!$I337))),ISNUMBER(SEARCH(IF(K$3&lt;&gt;"",K$3,"NA"),'MITRE ATT&amp;CK Mappings'!$J337))), 'MITRE ATT&amp;CK Mappings'!$B337,"")</f>
        <v/>
      </c>
      <c r="L341" s="27" t="str">
        <f>IF('MITRE ATT&amp;CK Mappings'!D337 &lt;&gt;"",'MITRE ATT&amp;CK Mappings'!D337,"" )</f>
        <v/>
      </c>
    </row>
    <row r="342" spans="1:12" x14ac:dyDescent="0.25">
      <c r="A342" s="26" t="str">
        <f>IF(COUNTIF(B342:K342,"="&amp;'MITRE ATT&amp;CK Mappings'!B338)&gt;0,'MITRE ATT&amp;CK Mappings'!B338,"")</f>
        <v/>
      </c>
      <c r="B342" s="26" t="str">
        <f>IF(OR(OR(OR(OR(OR(ISNUMBER(SEARCH(IF(B$1&lt;&gt;"",B$1,"NA"),'MITRE ATT&amp;CK Mappings'!$E338)),ISNUMBER(SEARCH(IF(B$1&lt;&gt;"",B$1,"NA"),'MITRE ATT&amp;CK Mappings'!$F338))),ISNUMBER(SEARCH(IF(B$2&lt;&gt;"",B$2,"NA"),'MITRE ATT&amp;CK Mappings'!$G338))),ISNUMBER(SEARCH(IF(B$2&lt;&gt;"",B$2,"NA"),'MITRE ATT&amp;CK Mappings'!$H338))),ISNUMBER(SEARCH(IF(B$3&lt;&gt;"",B$3,"NA"),'MITRE ATT&amp;CK Mappings'!$I338))),ISNUMBER(SEARCH(IF(B$3&lt;&gt;"",B$3,"NA"),'MITRE ATT&amp;CK Mappings'!$J338))), 'MITRE ATT&amp;CK Mappings'!$B338,"")</f>
        <v/>
      </c>
      <c r="C342" s="26" t="str">
        <f>IF(OR(OR(OR(OR(OR(ISNUMBER(SEARCH(IF(C$1&lt;&gt;"",C$1,"NA"),'MITRE ATT&amp;CK Mappings'!$E338)),ISNUMBER(SEARCH(IF(C$1&lt;&gt;"",C$1,"NA"),'MITRE ATT&amp;CK Mappings'!$F338))),ISNUMBER(SEARCH(IF(C$2&lt;&gt;"",C$2,"NA"),'MITRE ATT&amp;CK Mappings'!$G338))),ISNUMBER(SEARCH(IF(C$2&lt;&gt;"",C$2,"NA"),'MITRE ATT&amp;CK Mappings'!$H338))),ISNUMBER(SEARCH(IF(C$3&lt;&gt;"",C$3,"NA"),'MITRE ATT&amp;CK Mappings'!$I338))),ISNUMBER(SEARCH(IF(C$3&lt;&gt;"",C$3,"NA"),'MITRE ATT&amp;CK Mappings'!$J338))), 'MITRE ATT&amp;CK Mappings'!$B338,"")</f>
        <v/>
      </c>
      <c r="D342" s="26" t="str">
        <f>IF(OR(OR(OR(OR(OR(ISNUMBER(SEARCH(IF(D$1&lt;&gt;"",D$1,"NA"),'MITRE ATT&amp;CK Mappings'!$E338)),ISNUMBER(SEARCH(IF(D$1&lt;&gt;"",D$1,"NA"),'MITRE ATT&amp;CK Mappings'!$F338))),ISNUMBER(SEARCH(IF(D$2&lt;&gt;"",D$2,"NA"),'MITRE ATT&amp;CK Mappings'!$G338))),ISNUMBER(SEARCH(IF(D$2&lt;&gt;"",D$2,"NA"),'MITRE ATT&amp;CK Mappings'!$H338))),ISNUMBER(SEARCH(IF(D$3&lt;&gt;"",D$3,"NA"),'MITRE ATT&amp;CK Mappings'!$I338))),ISNUMBER(SEARCH(IF(D$3&lt;&gt;"",D$3,"NA"),'MITRE ATT&amp;CK Mappings'!$J338))), 'MITRE ATT&amp;CK Mappings'!$B338,"")</f>
        <v/>
      </c>
      <c r="E342" s="26" t="str">
        <f>IF(OR(OR(OR(OR(OR(ISNUMBER(SEARCH(IF(E$1&lt;&gt;"",E$1,"NA"),'MITRE ATT&amp;CK Mappings'!$E338)),ISNUMBER(SEARCH(IF(E$1&lt;&gt;"",E$1,"NA"),'MITRE ATT&amp;CK Mappings'!$F338))),ISNUMBER(SEARCH(IF(E$2&lt;&gt;"",E$2,"NA"),'MITRE ATT&amp;CK Mappings'!$G338))),ISNUMBER(SEARCH(IF(E$2&lt;&gt;"",E$2,"NA"),'MITRE ATT&amp;CK Mappings'!$H338))),ISNUMBER(SEARCH(IF(E$3&lt;&gt;"",E$3,"NA"),'MITRE ATT&amp;CK Mappings'!$I338))),ISNUMBER(SEARCH(IF(E$3&lt;&gt;"",E$3,"NA"),'MITRE ATT&amp;CK Mappings'!$J338))), 'MITRE ATT&amp;CK Mappings'!$B338,"")</f>
        <v/>
      </c>
      <c r="F342" s="26" t="str">
        <f>IF(OR(OR(OR(OR(OR(ISNUMBER(SEARCH(IF(F$1&lt;&gt;"",F$1,"NA"),'MITRE ATT&amp;CK Mappings'!$E338)),ISNUMBER(SEARCH(IF(F$1&lt;&gt;"",F$1,"NA"),'MITRE ATT&amp;CK Mappings'!$F338))),ISNUMBER(SEARCH(IF(F$2&lt;&gt;"",F$2,"NA"),'MITRE ATT&amp;CK Mappings'!$G338))),ISNUMBER(SEARCH(IF(F$2&lt;&gt;"",F$2,"NA"),'MITRE ATT&amp;CK Mappings'!$H338))),ISNUMBER(SEARCH(IF(F$3&lt;&gt;"",F$3,"NA"),'MITRE ATT&amp;CK Mappings'!$I338))),ISNUMBER(SEARCH(IF(F$3&lt;&gt;"",F$3,"NA"),'MITRE ATT&amp;CK Mappings'!$J338))), 'MITRE ATT&amp;CK Mappings'!$B338,"")</f>
        <v/>
      </c>
      <c r="G342" s="26" t="str">
        <f>IF(OR(OR(OR(OR(OR(ISNUMBER(SEARCH(IF(G$1&lt;&gt;"",G$1,"NA"),'MITRE ATT&amp;CK Mappings'!$E338)),ISNUMBER(SEARCH(IF(G$1&lt;&gt;"",G$1,"NA"),'MITRE ATT&amp;CK Mappings'!$F338))),ISNUMBER(SEARCH(IF(G$2&lt;&gt;"",G$2,"NA"),'MITRE ATT&amp;CK Mappings'!$G338))),ISNUMBER(SEARCH(IF(G$2&lt;&gt;"",G$2,"NA"),'MITRE ATT&amp;CK Mappings'!$H338))),ISNUMBER(SEARCH(IF(G$3&lt;&gt;"",G$3,"NA"),'MITRE ATT&amp;CK Mappings'!$I338))),ISNUMBER(SEARCH(IF(G$3&lt;&gt;"",G$3,"NA"),'MITRE ATT&amp;CK Mappings'!$J338))), 'MITRE ATT&amp;CK Mappings'!$B338,"")</f>
        <v/>
      </c>
      <c r="H342" s="26" t="str">
        <f>IF(OR(OR(OR(OR(OR(ISNUMBER(SEARCH(IF(H$1&lt;&gt;"",H$1,"NA"),'MITRE ATT&amp;CK Mappings'!$E338)),ISNUMBER(SEARCH(IF(H$1&lt;&gt;"",H$1,"NA"),'MITRE ATT&amp;CK Mappings'!$F338))),ISNUMBER(SEARCH(IF(H$2&lt;&gt;"",H$2,"NA"),'MITRE ATT&amp;CK Mappings'!$G338))),ISNUMBER(SEARCH(IF(H$2&lt;&gt;"",H$2,"NA"),'MITRE ATT&amp;CK Mappings'!$H338))),ISNUMBER(SEARCH(IF(H$3&lt;&gt;"",H$3,"NA"),'MITRE ATT&amp;CK Mappings'!$I338))),ISNUMBER(SEARCH(IF(H$3&lt;&gt;"",H$3,"NA"),'MITRE ATT&amp;CK Mappings'!$J338))), 'MITRE ATT&amp;CK Mappings'!$B338,"")</f>
        <v/>
      </c>
      <c r="I342" s="26" t="str">
        <f>IF(OR(OR(OR(OR(OR(ISNUMBER(SEARCH(IF(I$1&lt;&gt;"",I$1,"NA"),'MITRE ATT&amp;CK Mappings'!$E338)),ISNUMBER(SEARCH(IF(I$1&lt;&gt;"",I$1,"NA"),'MITRE ATT&amp;CK Mappings'!$F338))),ISNUMBER(SEARCH(IF(I$2&lt;&gt;"",I$2,"NA"),'MITRE ATT&amp;CK Mappings'!$G338))),ISNUMBER(SEARCH(IF(I$2&lt;&gt;"",I$2,"NA"),'MITRE ATT&amp;CK Mappings'!$H338))),ISNUMBER(SEARCH(IF(I$3&lt;&gt;"",I$3,"NA"),'MITRE ATT&amp;CK Mappings'!$I338))),ISNUMBER(SEARCH(IF(I$3&lt;&gt;"",I$3,"NA"),'MITRE ATT&amp;CK Mappings'!$J338))), 'MITRE ATT&amp;CK Mappings'!$B338,"")</f>
        <v/>
      </c>
      <c r="J342" s="26" t="str">
        <f>IF(OR(OR(OR(OR(OR(ISNUMBER(SEARCH(IF(J$1&lt;&gt;"",J$1,"NA"),'MITRE ATT&amp;CK Mappings'!$E338)),ISNUMBER(SEARCH(IF(J$1&lt;&gt;"",J$1,"NA"),'MITRE ATT&amp;CK Mappings'!$F338))),ISNUMBER(SEARCH(IF(J$2&lt;&gt;"",J$2,"NA"),'MITRE ATT&amp;CK Mappings'!$G338))),ISNUMBER(SEARCH(IF(J$2&lt;&gt;"",J$2,"NA"),'MITRE ATT&amp;CK Mappings'!$H338))),ISNUMBER(SEARCH(IF(J$3&lt;&gt;"",J$3,"NA"),'MITRE ATT&amp;CK Mappings'!$I338))),ISNUMBER(SEARCH(IF(J$3&lt;&gt;"",J$3,"NA"),'MITRE ATT&amp;CK Mappings'!$J338))), 'MITRE ATT&amp;CK Mappings'!$B338,"")</f>
        <v/>
      </c>
      <c r="K342" s="26" t="str">
        <f>IF(OR(OR(OR(OR(OR(ISNUMBER(SEARCH(IF(K$1&lt;&gt;"",K$1,"NA"),'MITRE ATT&amp;CK Mappings'!$E338)),ISNUMBER(SEARCH(IF(K$1&lt;&gt;"",K$1,"NA"),'MITRE ATT&amp;CK Mappings'!$F338))),ISNUMBER(SEARCH(IF(K$2&lt;&gt;"",K$2,"NA"),'MITRE ATT&amp;CK Mappings'!$G338))),ISNUMBER(SEARCH(IF(K$2&lt;&gt;"",K$2,"NA"),'MITRE ATT&amp;CK Mappings'!$H338))),ISNUMBER(SEARCH(IF(K$3&lt;&gt;"",K$3,"NA"),'MITRE ATT&amp;CK Mappings'!$I338))),ISNUMBER(SEARCH(IF(K$3&lt;&gt;"",K$3,"NA"),'MITRE ATT&amp;CK Mappings'!$J338))), 'MITRE ATT&amp;CK Mappings'!$B338,"")</f>
        <v/>
      </c>
      <c r="L342" s="26" t="str">
        <f>IF('MITRE ATT&amp;CK Mappings'!D338 &lt;&gt;"",'MITRE ATT&amp;CK Mappings'!D338,"" )</f>
        <v/>
      </c>
    </row>
    <row r="343" spans="1:12" x14ac:dyDescent="0.25">
      <c r="A343" s="27" t="str">
        <f>IF(COUNTIF(B343:K343,"="&amp;'MITRE ATT&amp;CK Mappings'!B339)&gt;0,'MITRE ATT&amp;CK Mappings'!B339,"")</f>
        <v/>
      </c>
      <c r="B343" s="27" t="str">
        <f>IF(OR(OR(OR(OR(OR(ISNUMBER(SEARCH(IF(B$1&lt;&gt;"",B$1,"NA"),'MITRE ATT&amp;CK Mappings'!$E339)),ISNUMBER(SEARCH(IF(B$1&lt;&gt;"",B$1,"NA"),'MITRE ATT&amp;CK Mappings'!$F339))),ISNUMBER(SEARCH(IF(B$2&lt;&gt;"",B$2,"NA"),'MITRE ATT&amp;CK Mappings'!$G339))),ISNUMBER(SEARCH(IF(B$2&lt;&gt;"",B$2,"NA"),'MITRE ATT&amp;CK Mappings'!$H339))),ISNUMBER(SEARCH(IF(B$3&lt;&gt;"",B$3,"NA"),'MITRE ATT&amp;CK Mappings'!$I339))),ISNUMBER(SEARCH(IF(B$3&lt;&gt;"",B$3,"NA"),'MITRE ATT&amp;CK Mappings'!$J339))), 'MITRE ATT&amp;CK Mappings'!$B339,"")</f>
        <v/>
      </c>
      <c r="C343" s="27" t="str">
        <f>IF(OR(OR(OR(OR(OR(ISNUMBER(SEARCH(IF(C$1&lt;&gt;"",C$1,"NA"),'MITRE ATT&amp;CK Mappings'!$E339)),ISNUMBER(SEARCH(IF(C$1&lt;&gt;"",C$1,"NA"),'MITRE ATT&amp;CK Mappings'!$F339))),ISNUMBER(SEARCH(IF(C$2&lt;&gt;"",C$2,"NA"),'MITRE ATT&amp;CK Mappings'!$G339))),ISNUMBER(SEARCH(IF(C$2&lt;&gt;"",C$2,"NA"),'MITRE ATT&amp;CK Mappings'!$H339))),ISNUMBER(SEARCH(IF(C$3&lt;&gt;"",C$3,"NA"),'MITRE ATT&amp;CK Mappings'!$I339))),ISNUMBER(SEARCH(IF(C$3&lt;&gt;"",C$3,"NA"),'MITRE ATT&amp;CK Mappings'!$J339))), 'MITRE ATT&amp;CK Mappings'!$B339,"")</f>
        <v/>
      </c>
      <c r="D343" s="27" t="str">
        <f>IF(OR(OR(OR(OR(OR(ISNUMBER(SEARCH(IF(D$1&lt;&gt;"",D$1,"NA"),'MITRE ATT&amp;CK Mappings'!$E339)),ISNUMBER(SEARCH(IF(D$1&lt;&gt;"",D$1,"NA"),'MITRE ATT&amp;CK Mappings'!$F339))),ISNUMBER(SEARCH(IF(D$2&lt;&gt;"",D$2,"NA"),'MITRE ATT&amp;CK Mappings'!$G339))),ISNUMBER(SEARCH(IF(D$2&lt;&gt;"",D$2,"NA"),'MITRE ATT&amp;CK Mappings'!$H339))),ISNUMBER(SEARCH(IF(D$3&lt;&gt;"",D$3,"NA"),'MITRE ATT&amp;CK Mappings'!$I339))),ISNUMBER(SEARCH(IF(D$3&lt;&gt;"",D$3,"NA"),'MITRE ATT&amp;CK Mappings'!$J339))), 'MITRE ATT&amp;CK Mappings'!$B339,"")</f>
        <v/>
      </c>
      <c r="E343" s="27" t="str">
        <f>IF(OR(OR(OR(OR(OR(ISNUMBER(SEARCH(IF(E$1&lt;&gt;"",E$1,"NA"),'MITRE ATT&amp;CK Mappings'!$E339)),ISNUMBER(SEARCH(IF(E$1&lt;&gt;"",E$1,"NA"),'MITRE ATT&amp;CK Mappings'!$F339))),ISNUMBER(SEARCH(IF(E$2&lt;&gt;"",E$2,"NA"),'MITRE ATT&amp;CK Mappings'!$G339))),ISNUMBER(SEARCH(IF(E$2&lt;&gt;"",E$2,"NA"),'MITRE ATT&amp;CK Mappings'!$H339))),ISNUMBER(SEARCH(IF(E$3&lt;&gt;"",E$3,"NA"),'MITRE ATT&amp;CK Mappings'!$I339))),ISNUMBER(SEARCH(IF(E$3&lt;&gt;"",E$3,"NA"),'MITRE ATT&amp;CK Mappings'!$J339))), 'MITRE ATT&amp;CK Mappings'!$B339,"")</f>
        <v/>
      </c>
      <c r="F343" s="27" t="str">
        <f>IF(OR(OR(OR(OR(OR(ISNUMBER(SEARCH(IF(F$1&lt;&gt;"",F$1,"NA"),'MITRE ATT&amp;CK Mappings'!$E339)),ISNUMBER(SEARCH(IF(F$1&lt;&gt;"",F$1,"NA"),'MITRE ATT&amp;CK Mappings'!$F339))),ISNUMBER(SEARCH(IF(F$2&lt;&gt;"",F$2,"NA"),'MITRE ATT&amp;CK Mappings'!$G339))),ISNUMBER(SEARCH(IF(F$2&lt;&gt;"",F$2,"NA"),'MITRE ATT&amp;CK Mappings'!$H339))),ISNUMBER(SEARCH(IF(F$3&lt;&gt;"",F$3,"NA"),'MITRE ATT&amp;CK Mappings'!$I339))),ISNUMBER(SEARCH(IF(F$3&lt;&gt;"",F$3,"NA"),'MITRE ATT&amp;CK Mappings'!$J339))), 'MITRE ATT&amp;CK Mappings'!$B339,"")</f>
        <v/>
      </c>
      <c r="G343" s="27" t="str">
        <f>IF(OR(OR(OR(OR(OR(ISNUMBER(SEARCH(IF(G$1&lt;&gt;"",G$1,"NA"),'MITRE ATT&amp;CK Mappings'!$E339)),ISNUMBER(SEARCH(IF(G$1&lt;&gt;"",G$1,"NA"),'MITRE ATT&amp;CK Mappings'!$F339))),ISNUMBER(SEARCH(IF(G$2&lt;&gt;"",G$2,"NA"),'MITRE ATT&amp;CK Mappings'!$G339))),ISNUMBER(SEARCH(IF(G$2&lt;&gt;"",G$2,"NA"),'MITRE ATT&amp;CK Mappings'!$H339))),ISNUMBER(SEARCH(IF(G$3&lt;&gt;"",G$3,"NA"),'MITRE ATT&amp;CK Mappings'!$I339))),ISNUMBER(SEARCH(IF(G$3&lt;&gt;"",G$3,"NA"),'MITRE ATT&amp;CK Mappings'!$J339))), 'MITRE ATT&amp;CK Mappings'!$B339,"")</f>
        <v/>
      </c>
      <c r="H343" s="27" t="str">
        <f>IF(OR(OR(OR(OR(OR(ISNUMBER(SEARCH(IF(H$1&lt;&gt;"",H$1,"NA"),'MITRE ATT&amp;CK Mappings'!$E339)),ISNUMBER(SEARCH(IF(H$1&lt;&gt;"",H$1,"NA"),'MITRE ATT&amp;CK Mappings'!$F339))),ISNUMBER(SEARCH(IF(H$2&lt;&gt;"",H$2,"NA"),'MITRE ATT&amp;CK Mappings'!$G339))),ISNUMBER(SEARCH(IF(H$2&lt;&gt;"",H$2,"NA"),'MITRE ATT&amp;CK Mappings'!$H339))),ISNUMBER(SEARCH(IF(H$3&lt;&gt;"",H$3,"NA"),'MITRE ATT&amp;CK Mappings'!$I339))),ISNUMBER(SEARCH(IF(H$3&lt;&gt;"",H$3,"NA"),'MITRE ATT&amp;CK Mappings'!$J339))), 'MITRE ATT&amp;CK Mappings'!$B339,"")</f>
        <v/>
      </c>
      <c r="I343" s="27" t="str">
        <f>IF(OR(OR(OR(OR(OR(ISNUMBER(SEARCH(IF(I$1&lt;&gt;"",I$1,"NA"),'MITRE ATT&amp;CK Mappings'!$E339)),ISNUMBER(SEARCH(IF(I$1&lt;&gt;"",I$1,"NA"),'MITRE ATT&amp;CK Mappings'!$F339))),ISNUMBER(SEARCH(IF(I$2&lt;&gt;"",I$2,"NA"),'MITRE ATT&amp;CK Mappings'!$G339))),ISNUMBER(SEARCH(IF(I$2&lt;&gt;"",I$2,"NA"),'MITRE ATT&amp;CK Mappings'!$H339))),ISNUMBER(SEARCH(IF(I$3&lt;&gt;"",I$3,"NA"),'MITRE ATT&amp;CK Mappings'!$I339))),ISNUMBER(SEARCH(IF(I$3&lt;&gt;"",I$3,"NA"),'MITRE ATT&amp;CK Mappings'!$J339))), 'MITRE ATT&amp;CK Mappings'!$B339,"")</f>
        <v/>
      </c>
      <c r="J343" s="27" t="str">
        <f>IF(OR(OR(OR(OR(OR(ISNUMBER(SEARCH(IF(J$1&lt;&gt;"",J$1,"NA"),'MITRE ATT&amp;CK Mappings'!$E339)),ISNUMBER(SEARCH(IF(J$1&lt;&gt;"",J$1,"NA"),'MITRE ATT&amp;CK Mappings'!$F339))),ISNUMBER(SEARCH(IF(J$2&lt;&gt;"",J$2,"NA"),'MITRE ATT&amp;CK Mappings'!$G339))),ISNUMBER(SEARCH(IF(J$2&lt;&gt;"",J$2,"NA"),'MITRE ATT&amp;CK Mappings'!$H339))),ISNUMBER(SEARCH(IF(J$3&lt;&gt;"",J$3,"NA"),'MITRE ATT&amp;CK Mappings'!$I339))),ISNUMBER(SEARCH(IF(J$3&lt;&gt;"",J$3,"NA"),'MITRE ATT&amp;CK Mappings'!$J339))), 'MITRE ATT&amp;CK Mappings'!$B339,"")</f>
        <v/>
      </c>
      <c r="K343" s="27" t="str">
        <f>IF(OR(OR(OR(OR(OR(ISNUMBER(SEARCH(IF(K$1&lt;&gt;"",K$1,"NA"),'MITRE ATT&amp;CK Mappings'!$E339)),ISNUMBER(SEARCH(IF(K$1&lt;&gt;"",K$1,"NA"),'MITRE ATT&amp;CK Mappings'!$F339))),ISNUMBER(SEARCH(IF(K$2&lt;&gt;"",K$2,"NA"),'MITRE ATT&amp;CK Mappings'!$G339))),ISNUMBER(SEARCH(IF(K$2&lt;&gt;"",K$2,"NA"),'MITRE ATT&amp;CK Mappings'!$H339))),ISNUMBER(SEARCH(IF(K$3&lt;&gt;"",K$3,"NA"),'MITRE ATT&amp;CK Mappings'!$I339))),ISNUMBER(SEARCH(IF(K$3&lt;&gt;"",K$3,"NA"),'MITRE ATT&amp;CK Mappings'!$J339))), 'MITRE ATT&amp;CK Mappings'!$B339,"")</f>
        <v/>
      </c>
      <c r="L343" s="27" t="str">
        <f>IF('MITRE ATT&amp;CK Mappings'!D339 &lt;&gt;"",'MITRE ATT&amp;CK Mappings'!D339,"" )</f>
        <v/>
      </c>
    </row>
    <row r="344" spans="1:12" x14ac:dyDescent="0.25">
      <c r="A344" s="26" t="str">
        <f>IF(COUNTIF(B344:K344,"="&amp;'MITRE ATT&amp;CK Mappings'!B340)&gt;0,'MITRE ATT&amp;CK Mappings'!B340,"")</f>
        <v/>
      </c>
      <c r="B344" s="26" t="str">
        <f>IF(OR(OR(OR(OR(OR(ISNUMBER(SEARCH(IF(B$1&lt;&gt;"",B$1,"NA"),'MITRE ATT&amp;CK Mappings'!$E340)),ISNUMBER(SEARCH(IF(B$1&lt;&gt;"",B$1,"NA"),'MITRE ATT&amp;CK Mappings'!$F340))),ISNUMBER(SEARCH(IF(B$2&lt;&gt;"",B$2,"NA"),'MITRE ATT&amp;CK Mappings'!$G340))),ISNUMBER(SEARCH(IF(B$2&lt;&gt;"",B$2,"NA"),'MITRE ATT&amp;CK Mappings'!$H340))),ISNUMBER(SEARCH(IF(B$3&lt;&gt;"",B$3,"NA"),'MITRE ATT&amp;CK Mappings'!$I340))),ISNUMBER(SEARCH(IF(B$3&lt;&gt;"",B$3,"NA"),'MITRE ATT&amp;CK Mappings'!$J340))), 'MITRE ATT&amp;CK Mappings'!$B340,"")</f>
        <v/>
      </c>
      <c r="C344" s="26" t="str">
        <f>IF(OR(OR(OR(OR(OR(ISNUMBER(SEARCH(IF(C$1&lt;&gt;"",C$1,"NA"),'MITRE ATT&amp;CK Mappings'!$E340)),ISNUMBER(SEARCH(IF(C$1&lt;&gt;"",C$1,"NA"),'MITRE ATT&amp;CK Mappings'!$F340))),ISNUMBER(SEARCH(IF(C$2&lt;&gt;"",C$2,"NA"),'MITRE ATT&amp;CK Mappings'!$G340))),ISNUMBER(SEARCH(IF(C$2&lt;&gt;"",C$2,"NA"),'MITRE ATT&amp;CK Mappings'!$H340))),ISNUMBER(SEARCH(IF(C$3&lt;&gt;"",C$3,"NA"),'MITRE ATT&amp;CK Mappings'!$I340))),ISNUMBER(SEARCH(IF(C$3&lt;&gt;"",C$3,"NA"),'MITRE ATT&amp;CK Mappings'!$J340))), 'MITRE ATT&amp;CK Mappings'!$B340,"")</f>
        <v/>
      </c>
      <c r="D344" s="26" t="str">
        <f>IF(OR(OR(OR(OR(OR(ISNUMBER(SEARCH(IF(D$1&lt;&gt;"",D$1,"NA"),'MITRE ATT&amp;CK Mappings'!$E340)),ISNUMBER(SEARCH(IF(D$1&lt;&gt;"",D$1,"NA"),'MITRE ATT&amp;CK Mappings'!$F340))),ISNUMBER(SEARCH(IF(D$2&lt;&gt;"",D$2,"NA"),'MITRE ATT&amp;CK Mappings'!$G340))),ISNUMBER(SEARCH(IF(D$2&lt;&gt;"",D$2,"NA"),'MITRE ATT&amp;CK Mappings'!$H340))),ISNUMBER(SEARCH(IF(D$3&lt;&gt;"",D$3,"NA"),'MITRE ATT&amp;CK Mappings'!$I340))),ISNUMBER(SEARCH(IF(D$3&lt;&gt;"",D$3,"NA"),'MITRE ATT&amp;CK Mappings'!$J340))), 'MITRE ATT&amp;CK Mappings'!$B340,"")</f>
        <v/>
      </c>
      <c r="E344" s="26" t="str">
        <f>IF(OR(OR(OR(OR(OR(ISNUMBER(SEARCH(IF(E$1&lt;&gt;"",E$1,"NA"),'MITRE ATT&amp;CK Mappings'!$E340)),ISNUMBER(SEARCH(IF(E$1&lt;&gt;"",E$1,"NA"),'MITRE ATT&amp;CK Mappings'!$F340))),ISNUMBER(SEARCH(IF(E$2&lt;&gt;"",E$2,"NA"),'MITRE ATT&amp;CK Mappings'!$G340))),ISNUMBER(SEARCH(IF(E$2&lt;&gt;"",E$2,"NA"),'MITRE ATT&amp;CK Mappings'!$H340))),ISNUMBER(SEARCH(IF(E$3&lt;&gt;"",E$3,"NA"),'MITRE ATT&amp;CK Mappings'!$I340))),ISNUMBER(SEARCH(IF(E$3&lt;&gt;"",E$3,"NA"),'MITRE ATT&amp;CK Mappings'!$J340))), 'MITRE ATT&amp;CK Mappings'!$B340,"")</f>
        <v/>
      </c>
      <c r="F344" s="26" t="str">
        <f>IF(OR(OR(OR(OR(OR(ISNUMBER(SEARCH(IF(F$1&lt;&gt;"",F$1,"NA"),'MITRE ATT&amp;CK Mappings'!$E340)),ISNUMBER(SEARCH(IF(F$1&lt;&gt;"",F$1,"NA"),'MITRE ATT&amp;CK Mappings'!$F340))),ISNUMBER(SEARCH(IF(F$2&lt;&gt;"",F$2,"NA"),'MITRE ATT&amp;CK Mappings'!$G340))),ISNUMBER(SEARCH(IF(F$2&lt;&gt;"",F$2,"NA"),'MITRE ATT&amp;CK Mappings'!$H340))),ISNUMBER(SEARCH(IF(F$3&lt;&gt;"",F$3,"NA"),'MITRE ATT&amp;CK Mappings'!$I340))),ISNUMBER(SEARCH(IF(F$3&lt;&gt;"",F$3,"NA"),'MITRE ATT&amp;CK Mappings'!$J340))), 'MITRE ATT&amp;CK Mappings'!$B340,"")</f>
        <v/>
      </c>
      <c r="G344" s="26" t="str">
        <f>IF(OR(OR(OR(OR(OR(ISNUMBER(SEARCH(IF(G$1&lt;&gt;"",G$1,"NA"),'MITRE ATT&amp;CK Mappings'!$E340)),ISNUMBER(SEARCH(IF(G$1&lt;&gt;"",G$1,"NA"),'MITRE ATT&amp;CK Mappings'!$F340))),ISNUMBER(SEARCH(IF(G$2&lt;&gt;"",G$2,"NA"),'MITRE ATT&amp;CK Mappings'!$G340))),ISNUMBER(SEARCH(IF(G$2&lt;&gt;"",G$2,"NA"),'MITRE ATT&amp;CK Mappings'!$H340))),ISNUMBER(SEARCH(IF(G$3&lt;&gt;"",G$3,"NA"),'MITRE ATT&amp;CK Mappings'!$I340))),ISNUMBER(SEARCH(IF(G$3&lt;&gt;"",G$3,"NA"),'MITRE ATT&amp;CK Mappings'!$J340))), 'MITRE ATT&amp;CK Mappings'!$B340,"")</f>
        <v/>
      </c>
      <c r="H344" s="26" t="str">
        <f>IF(OR(OR(OR(OR(OR(ISNUMBER(SEARCH(IF(H$1&lt;&gt;"",H$1,"NA"),'MITRE ATT&amp;CK Mappings'!$E340)),ISNUMBER(SEARCH(IF(H$1&lt;&gt;"",H$1,"NA"),'MITRE ATT&amp;CK Mappings'!$F340))),ISNUMBER(SEARCH(IF(H$2&lt;&gt;"",H$2,"NA"),'MITRE ATT&amp;CK Mappings'!$G340))),ISNUMBER(SEARCH(IF(H$2&lt;&gt;"",H$2,"NA"),'MITRE ATT&amp;CK Mappings'!$H340))),ISNUMBER(SEARCH(IF(H$3&lt;&gt;"",H$3,"NA"),'MITRE ATT&amp;CK Mappings'!$I340))),ISNUMBER(SEARCH(IF(H$3&lt;&gt;"",H$3,"NA"),'MITRE ATT&amp;CK Mappings'!$J340))), 'MITRE ATT&amp;CK Mappings'!$B340,"")</f>
        <v/>
      </c>
      <c r="I344" s="26" t="str">
        <f>IF(OR(OR(OR(OR(OR(ISNUMBER(SEARCH(IF(I$1&lt;&gt;"",I$1,"NA"),'MITRE ATT&amp;CK Mappings'!$E340)),ISNUMBER(SEARCH(IF(I$1&lt;&gt;"",I$1,"NA"),'MITRE ATT&amp;CK Mappings'!$F340))),ISNUMBER(SEARCH(IF(I$2&lt;&gt;"",I$2,"NA"),'MITRE ATT&amp;CK Mappings'!$G340))),ISNUMBER(SEARCH(IF(I$2&lt;&gt;"",I$2,"NA"),'MITRE ATT&amp;CK Mappings'!$H340))),ISNUMBER(SEARCH(IF(I$3&lt;&gt;"",I$3,"NA"),'MITRE ATT&amp;CK Mappings'!$I340))),ISNUMBER(SEARCH(IF(I$3&lt;&gt;"",I$3,"NA"),'MITRE ATT&amp;CK Mappings'!$J340))), 'MITRE ATT&amp;CK Mappings'!$B340,"")</f>
        <v/>
      </c>
      <c r="J344" s="26" t="str">
        <f>IF(OR(OR(OR(OR(OR(ISNUMBER(SEARCH(IF(J$1&lt;&gt;"",J$1,"NA"),'MITRE ATT&amp;CK Mappings'!$E340)),ISNUMBER(SEARCH(IF(J$1&lt;&gt;"",J$1,"NA"),'MITRE ATT&amp;CK Mappings'!$F340))),ISNUMBER(SEARCH(IF(J$2&lt;&gt;"",J$2,"NA"),'MITRE ATT&amp;CK Mappings'!$G340))),ISNUMBER(SEARCH(IF(J$2&lt;&gt;"",J$2,"NA"),'MITRE ATT&amp;CK Mappings'!$H340))),ISNUMBER(SEARCH(IF(J$3&lt;&gt;"",J$3,"NA"),'MITRE ATT&amp;CK Mappings'!$I340))),ISNUMBER(SEARCH(IF(J$3&lt;&gt;"",J$3,"NA"),'MITRE ATT&amp;CK Mappings'!$J340))), 'MITRE ATT&amp;CK Mappings'!$B340,"")</f>
        <v/>
      </c>
      <c r="K344" s="26" t="str">
        <f>IF(OR(OR(OR(OR(OR(ISNUMBER(SEARCH(IF(K$1&lt;&gt;"",K$1,"NA"),'MITRE ATT&amp;CK Mappings'!$E340)),ISNUMBER(SEARCH(IF(K$1&lt;&gt;"",K$1,"NA"),'MITRE ATT&amp;CK Mappings'!$F340))),ISNUMBER(SEARCH(IF(K$2&lt;&gt;"",K$2,"NA"),'MITRE ATT&amp;CK Mappings'!$G340))),ISNUMBER(SEARCH(IF(K$2&lt;&gt;"",K$2,"NA"),'MITRE ATT&amp;CK Mappings'!$H340))),ISNUMBER(SEARCH(IF(K$3&lt;&gt;"",K$3,"NA"),'MITRE ATT&amp;CK Mappings'!$I340))),ISNUMBER(SEARCH(IF(K$3&lt;&gt;"",K$3,"NA"),'MITRE ATT&amp;CK Mappings'!$J340))), 'MITRE ATT&amp;CK Mappings'!$B340,"")</f>
        <v/>
      </c>
      <c r="L344" s="26" t="str">
        <f>IF('MITRE ATT&amp;CK Mappings'!D340 &lt;&gt;"",'MITRE ATT&amp;CK Mappings'!D340,"" )</f>
        <v/>
      </c>
    </row>
    <row r="345" spans="1:12" x14ac:dyDescent="0.25">
      <c r="A345" s="27" t="str">
        <f>IF(COUNTIF(B345:K345,"="&amp;'MITRE ATT&amp;CK Mappings'!B341)&gt;0,'MITRE ATT&amp;CK Mappings'!B341,"")</f>
        <v/>
      </c>
      <c r="B345" s="27" t="str">
        <f>IF(OR(OR(OR(OR(OR(ISNUMBER(SEARCH(IF(B$1&lt;&gt;"",B$1,"NA"),'MITRE ATT&amp;CK Mappings'!$E341)),ISNUMBER(SEARCH(IF(B$1&lt;&gt;"",B$1,"NA"),'MITRE ATT&amp;CK Mappings'!$F341))),ISNUMBER(SEARCH(IF(B$2&lt;&gt;"",B$2,"NA"),'MITRE ATT&amp;CK Mappings'!$G341))),ISNUMBER(SEARCH(IF(B$2&lt;&gt;"",B$2,"NA"),'MITRE ATT&amp;CK Mappings'!$H341))),ISNUMBER(SEARCH(IF(B$3&lt;&gt;"",B$3,"NA"),'MITRE ATT&amp;CK Mappings'!$I341))),ISNUMBER(SEARCH(IF(B$3&lt;&gt;"",B$3,"NA"),'MITRE ATT&amp;CK Mappings'!$J341))), 'MITRE ATT&amp;CK Mappings'!$B341,"")</f>
        <v/>
      </c>
      <c r="C345" s="27" t="str">
        <f>IF(OR(OR(OR(OR(OR(ISNUMBER(SEARCH(IF(C$1&lt;&gt;"",C$1,"NA"),'MITRE ATT&amp;CK Mappings'!$E341)),ISNUMBER(SEARCH(IF(C$1&lt;&gt;"",C$1,"NA"),'MITRE ATT&amp;CK Mappings'!$F341))),ISNUMBER(SEARCH(IF(C$2&lt;&gt;"",C$2,"NA"),'MITRE ATT&amp;CK Mappings'!$G341))),ISNUMBER(SEARCH(IF(C$2&lt;&gt;"",C$2,"NA"),'MITRE ATT&amp;CK Mappings'!$H341))),ISNUMBER(SEARCH(IF(C$3&lt;&gt;"",C$3,"NA"),'MITRE ATT&amp;CK Mappings'!$I341))),ISNUMBER(SEARCH(IF(C$3&lt;&gt;"",C$3,"NA"),'MITRE ATT&amp;CK Mappings'!$J341))), 'MITRE ATT&amp;CK Mappings'!$B341,"")</f>
        <v/>
      </c>
      <c r="D345" s="27" t="str">
        <f>IF(OR(OR(OR(OR(OR(ISNUMBER(SEARCH(IF(D$1&lt;&gt;"",D$1,"NA"),'MITRE ATT&amp;CK Mappings'!$E341)),ISNUMBER(SEARCH(IF(D$1&lt;&gt;"",D$1,"NA"),'MITRE ATT&amp;CK Mappings'!$F341))),ISNUMBER(SEARCH(IF(D$2&lt;&gt;"",D$2,"NA"),'MITRE ATT&amp;CK Mappings'!$G341))),ISNUMBER(SEARCH(IF(D$2&lt;&gt;"",D$2,"NA"),'MITRE ATT&amp;CK Mappings'!$H341))),ISNUMBER(SEARCH(IF(D$3&lt;&gt;"",D$3,"NA"),'MITRE ATT&amp;CK Mappings'!$I341))),ISNUMBER(SEARCH(IF(D$3&lt;&gt;"",D$3,"NA"),'MITRE ATT&amp;CK Mappings'!$J341))), 'MITRE ATT&amp;CK Mappings'!$B341,"")</f>
        <v/>
      </c>
      <c r="E345" s="27" t="str">
        <f>IF(OR(OR(OR(OR(OR(ISNUMBER(SEARCH(IF(E$1&lt;&gt;"",E$1,"NA"),'MITRE ATT&amp;CK Mappings'!$E341)),ISNUMBER(SEARCH(IF(E$1&lt;&gt;"",E$1,"NA"),'MITRE ATT&amp;CK Mappings'!$F341))),ISNUMBER(SEARCH(IF(E$2&lt;&gt;"",E$2,"NA"),'MITRE ATT&amp;CK Mappings'!$G341))),ISNUMBER(SEARCH(IF(E$2&lt;&gt;"",E$2,"NA"),'MITRE ATT&amp;CK Mappings'!$H341))),ISNUMBER(SEARCH(IF(E$3&lt;&gt;"",E$3,"NA"),'MITRE ATT&amp;CK Mappings'!$I341))),ISNUMBER(SEARCH(IF(E$3&lt;&gt;"",E$3,"NA"),'MITRE ATT&amp;CK Mappings'!$J341))), 'MITRE ATT&amp;CK Mappings'!$B341,"")</f>
        <v/>
      </c>
      <c r="F345" s="27" t="str">
        <f>IF(OR(OR(OR(OR(OR(ISNUMBER(SEARCH(IF(F$1&lt;&gt;"",F$1,"NA"),'MITRE ATT&amp;CK Mappings'!$E341)),ISNUMBER(SEARCH(IF(F$1&lt;&gt;"",F$1,"NA"),'MITRE ATT&amp;CK Mappings'!$F341))),ISNUMBER(SEARCH(IF(F$2&lt;&gt;"",F$2,"NA"),'MITRE ATT&amp;CK Mappings'!$G341))),ISNUMBER(SEARCH(IF(F$2&lt;&gt;"",F$2,"NA"),'MITRE ATT&amp;CK Mappings'!$H341))),ISNUMBER(SEARCH(IF(F$3&lt;&gt;"",F$3,"NA"),'MITRE ATT&amp;CK Mappings'!$I341))),ISNUMBER(SEARCH(IF(F$3&lt;&gt;"",F$3,"NA"),'MITRE ATT&amp;CK Mappings'!$J341))), 'MITRE ATT&amp;CK Mappings'!$B341,"")</f>
        <v/>
      </c>
      <c r="G345" s="27" t="str">
        <f>IF(OR(OR(OR(OR(OR(ISNUMBER(SEARCH(IF(G$1&lt;&gt;"",G$1,"NA"),'MITRE ATT&amp;CK Mappings'!$E341)),ISNUMBER(SEARCH(IF(G$1&lt;&gt;"",G$1,"NA"),'MITRE ATT&amp;CK Mappings'!$F341))),ISNUMBER(SEARCH(IF(G$2&lt;&gt;"",G$2,"NA"),'MITRE ATT&amp;CK Mappings'!$G341))),ISNUMBER(SEARCH(IF(G$2&lt;&gt;"",G$2,"NA"),'MITRE ATT&amp;CK Mappings'!$H341))),ISNUMBER(SEARCH(IF(G$3&lt;&gt;"",G$3,"NA"),'MITRE ATT&amp;CK Mappings'!$I341))),ISNUMBER(SEARCH(IF(G$3&lt;&gt;"",G$3,"NA"),'MITRE ATT&amp;CK Mappings'!$J341))), 'MITRE ATT&amp;CK Mappings'!$B341,"")</f>
        <v/>
      </c>
      <c r="H345" s="27" t="str">
        <f>IF(OR(OR(OR(OR(OR(ISNUMBER(SEARCH(IF(H$1&lt;&gt;"",H$1,"NA"),'MITRE ATT&amp;CK Mappings'!$E341)),ISNUMBER(SEARCH(IF(H$1&lt;&gt;"",H$1,"NA"),'MITRE ATT&amp;CK Mappings'!$F341))),ISNUMBER(SEARCH(IF(H$2&lt;&gt;"",H$2,"NA"),'MITRE ATT&amp;CK Mappings'!$G341))),ISNUMBER(SEARCH(IF(H$2&lt;&gt;"",H$2,"NA"),'MITRE ATT&amp;CK Mappings'!$H341))),ISNUMBER(SEARCH(IF(H$3&lt;&gt;"",H$3,"NA"),'MITRE ATT&amp;CK Mappings'!$I341))),ISNUMBER(SEARCH(IF(H$3&lt;&gt;"",H$3,"NA"),'MITRE ATT&amp;CK Mappings'!$J341))), 'MITRE ATT&amp;CK Mappings'!$B341,"")</f>
        <v/>
      </c>
      <c r="I345" s="27" t="str">
        <f>IF(OR(OR(OR(OR(OR(ISNUMBER(SEARCH(IF(I$1&lt;&gt;"",I$1,"NA"),'MITRE ATT&amp;CK Mappings'!$E341)),ISNUMBER(SEARCH(IF(I$1&lt;&gt;"",I$1,"NA"),'MITRE ATT&amp;CK Mappings'!$F341))),ISNUMBER(SEARCH(IF(I$2&lt;&gt;"",I$2,"NA"),'MITRE ATT&amp;CK Mappings'!$G341))),ISNUMBER(SEARCH(IF(I$2&lt;&gt;"",I$2,"NA"),'MITRE ATT&amp;CK Mappings'!$H341))),ISNUMBER(SEARCH(IF(I$3&lt;&gt;"",I$3,"NA"),'MITRE ATT&amp;CK Mappings'!$I341))),ISNUMBER(SEARCH(IF(I$3&lt;&gt;"",I$3,"NA"),'MITRE ATT&amp;CK Mappings'!$J341))), 'MITRE ATT&amp;CK Mappings'!$B341,"")</f>
        <v/>
      </c>
      <c r="J345" s="27" t="str">
        <f>IF(OR(OR(OR(OR(OR(ISNUMBER(SEARCH(IF(J$1&lt;&gt;"",J$1,"NA"),'MITRE ATT&amp;CK Mappings'!$E341)),ISNUMBER(SEARCH(IF(J$1&lt;&gt;"",J$1,"NA"),'MITRE ATT&amp;CK Mappings'!$F341))),ISNUMBER(SEARCH(IF(J$2&lt;&gt;"",J$2,"NA"),'MITRE ATT&amp;CK Mappings'!$G341))),ISNUMBER(SEARCH(IF(J$2&lt;&gt;"",J$2,"NA"),'MITRE ATT&amp;CK Mappings'!$H341))),ISNUMBER(SEARCH(IF(J$3&lt;&gt;"",J$3,"NA"),'MITRE ATT&amp;CK Mappings'!$I341))),ISNUMBER(SEARCH(IF(J$3&lt;&gt;"",J$3,"NA"),'MITRE ATT&amp;CK Mappings'!$J341))), 'MITRE ATT&amp;CK Mappings'!$B341,"")</f>
        <v/>
      </c>
      <c r="K345" s="27" t="str">
        <f>IF(OR(OR(OR(OR(OR(ISNUMBER(SEARCH(IF(K$1&lt;&gt;"",K$1,"NA"),'MITRE ATT&amp;CK Mappings'!$E341)),ISNUMBER(SEARCH(IF(K$1&lt;&gt;"",K$1,"NA"),'MITRE ATT&amp;CK Mappings'!$F341))),ISNUMBER(SEARCH(IF(K$2&lt;&gt;"",K$2,"NA"),'MITRE ATT&amp;CK Mappings'!$G341))),ISNUMBER(SEARCH(IF(K$2&lt;&gt;"",K$2,"NA"),'MITRE ATT&amp;CK Mappings'!$H341))),ISNUMBER(SEARCH(IF(K$3&lt;&gt;"",K$3,"NA"),'MITRE ATT&amp;CK Mappings'!$I341))),ISNUMBER(SEARCH(IF(K$3&lt;&gt;"",K$3,"NA"),'MITRE ATT&amp;CK Mappings'!$J341))), 'MITRE ATT&amp;CK Mappings'!$B341,"")</f>
        <v/>
      </c>
      <c r="L345" s="27" t="str">
        <f>IF('MITRE ATT&amp;CK Mappings'!D341 &lt;&gt;"",'MITRE ATT&amp;CK Mappings'!D341,"" )</f>
        <v/>
      </c>
    </row>
    <row r="346" spans="1:12" x14ac:dyDescent="0.25">
      <c r="A346" s="26" t="str">
        <f>IF(COUNTIF(B346:K346,"="&amp;'MITRE ATT&amp;CK Mappings'!B342)&gt;0,'MITRE ATT&amp;CK Mappings'!B342,"")</f>
        <v/>
      </c>
      <c r="B346" s="26" t="str">
        <f>IF(OR(OR(OR(OR(OR(ISNUMBER(SEARCH(IF(B$1&lt;&gt;"",B$1,"NA"),'MITRE ATT&amp;CK Mappings'!$E342)),ISNUMBER(SEARCH(IF(B$1&lt;&gt;"",B$1,"NA"),'MITRE ATT&amp;CK Mappings'!$F342))),ISNUMBER(SEARCH(IF(B$2&lt;&gt;"",B$2,"NA"),'MITRE ATT&amp;CK Mappings'!$G342))),ISNUMBER(SEARCH(IF(B$2&lt;&gt;"",B$2,"NA"),'MITRE ATT&amp;CK Mappings'!$H342))),ISNUMBER(SEARCH(IF(B$3&lt;&gt;"",B$3,"NA"),'MITRE ATT&amp;CK Mappings'!$I342))),ISNUMBER(SEARCH(IF(B$3&lt;&gt;"",B$3,"NA"),'MITRE ATT&amp;CK Mappings'!$J342))), 'MITRE ATT&amp;CK Mappings'!$B342,"")</f>
        <v/>
      </c>
      <c r="C346" s="26" t="str">
        <f>IF(OR(OR(OR(OR(OR(ISNUMBER(SEARCH(IF(C$1&lt;&gt;"",C$1,"NA"),'MITRE ATT&amp;CK Mappings'!$E342)),ISNUMBER(SEARCH(IF(C$1&lt;&gt;"",C$1,"NA"),'MITRE ATT&amp;CK Mappings'!$F342))),ISNUMBER(SEARCH(IF(C$2&lt;&gt;"",C$2,"NA"),'MITRE ATT&amp;CK Mappings'!$G342))),ISNUMBER(SEARCH(IF(C$2&lt;&gt;"",C$2,"NA"),'MITRE ATT&amp;CK Mappings'!$H342))),ISNUMBER(SEARCH(IF(C$3&lt;&gt;"",C$3,"NA"),'MITRE ATT&amp;CK Mappings'!$I342))),ISNUMBER(SEARCH(IF(C$3&lt;&gt;"",C$3,"NA"),'MITRE ATT&amp;CK Mappings'!$J342))), 'MITRE ATT&amp;CK Mappings'!$B342,"")</f>
        <v/>
      </c>
      <c r="D346" s="26" t="str">
        <f>IF(OR(OR(OR(OR(OR(ISNUMBER(SEARCH(IF(D$1&lt;&gt;"",D$1,"NA"),'MITRE ATT&amp;CK Mappings'!$E342)),ISNUMBER(SEARCH(IF(D$1&lt;&gt;"",D$1,"NA"),'MITRE ATT&amp;CK Mappings'!$F342))),ISNUMBER(SEARCH(IF(D$2&lt;&gt;"",D$2,"NA"),'MITRE ATT&amp;CK Mappings'!$G342))),ISNUMBER(SEARCH(IF(D$2&lt;&gt;"",D$2,"NA"),'MITRE ATT&amp;CK Mappings'!$H342))),ISNUMBER(SEARCH(IF(D$3&lt;&gt;"",D$3,"NA"),'MITRE ATT&amp;CK Mappings'!$I342))),ISNUMBER(SEARCH(IF(D$3&lt;&gt;"",D$3,"NA"),'MITRE ATT&amp;CK Mappings'!$J342))), 'MITRE ATT&amp;CK Mappings'!$B342,"")</f>
        <v/>
      </c>
      <c r="E346" s="26" t="str">
        <f>IF(OR(OR(OR(OR(OR(ISNUMBER(SEARCH(IF(E$1&lt;&gt;"",E$1,"NA"),'MITRE ATT&amp;CK Mappings'!$E342)),ISNUMBER(SEARCH(IF(E$1&lt;&gt;"",E$1,"NA"),'MITRE ATT&amp;CK Mappings'!$F342))),ISNUMBER(SEARCH(IF(E$2&lt;&gt;"",E$2,"NA"),'MITRE ATT&amp;CK Mappings'!$G342))),ISNUMBER(SEARCH(IF(E$2&lt;&gt;"",E$2,"NA"),'MITRE ATT&amp;CK Mappings'!$H342))),ISNUMBER(SEARCH(IF(E$3&lt;&gt;"",E$3,"NA"),'MITRE ATT&amp;CK Mappings'!$I342))),ISNUMBER(SEARCH(IF(E$3&lt;&gt;"",E$3,"NA"),'MITRE ATT&amp;CK Mappings'!$J342))), 'MITRE ATT&amp;CK Mappings'!$B342,"")</f>
        <v/>
      </c>
      <c r="F346" s="26" t="str">
        <f>IF(OR(OR(OR(OR(OR(ISNUMBER(SEARCH(IF(F$1&lt;&gt;"",F$1,"NA"),'MITRE ATT&amp;CK Mappings'!$E342)),ISNUMBER(SEARCH(IF(F$1&lt;&gt;"",F$1,"NA"),'MITRE ATT&amp;CK Mappings'!$F342))),ISNUMBER(SEARCH(IF(F$2&lt;&gt;"",F$2,"NA"),'MITRE ATT&amp;CK Mappings'!$G342))),ISNUMBER(SEARCH(IF(F$2&lt;&gt;"",F$2,"NA"),'MITRE ATT&amp;CK Mappings'!$H342))),ISNUMBER(SEARCH(IF(F$3&lt;&gt;"",F$3,"NA"),'MITRE ATT&amp;CK Mappings'!$I342))),ISNUMBER(SEARCH(IF(F$3&lt;&gt;"",F$3,"NA"),'MITRE ATT&amp;CK Mappings'!$J342))), 'MITRE ATT&amp;CK Mappings'!$B342,"")</f>
        <v/>
      </c>
      <c r="G346" s="26" t="str">
        <f>IF(OR(OR(OR(OR(OR(ISNUMBER(SEARCH(IF(G$1&lt;&gt;"",G$1,"NA"),'MITRE ATT&amp;CK Mappings'!$E342)),ISNUMBER(SEARCH(IF(G$1&lt;&gt;"",G$1,"NA"),'MITRE ATT&amp;CK Mappings'!$F342))),ISNUMBER(SEARCH(IF(G$2&lt;&gt;"",G$2,"NA"),'MITRE ATT&amp;CK Mappings'!$G342))),ISNUMBER(SEARCH(IF(G$2&lt;&gt;"",G$2,"NA"),'MITRE ATT&amp;CK Mappings'!$H342))),ISNUMBER(SEARCH(IF(G$3&lt;&gt;"",G$3,"NA"),'MITRE ATT&amp;CK Mappings'!$I342))),ISNUMBER(SEARCH(IF(G$3&lt;&gt;"",G$3,"NA"),'MITRE ATT&amp;CK Mappings'!$J342))), 'MITRE ATT&amp;CK Mappings'!$B342,"")</f>
        <v/>
      </c>
      <c r="H346" s="26" t="str">
        <f>IF(OR(OR(OR(OR(OR(ISNUMBER(SEARCH(IF(H$1&lt;&gt;"",H$1,"NA"),'MITRE ATT&amp;CK Mappings'!$E342)),ISNUMBER(SEARCH(IF(H$1&lt;&gt;"",H$1,"NA"),'MITRE ATT&amp;CK Mappings'!$F342))),ISNUMBER(SEARCH(IF(H$2&lt;&gt;"",H$2,"NA"),'MITRE ATT&amp;CK Mappings'!$G342))),ISNUMBER(SEARCH(IF(H$2&lt;&gt;"",H$2,"NA"),'MITRE ATT&amp;CK Mappings'!$H342))),ISNUMBER(SEARCH(IF(H$3&lt;&gt;"",H$3,"NA"),'MITRE ATT&amp;CK Mappings'!$I342))),ISNUMBER(SEARCH(IF(H$3&lt;&gt;"",H$3,"NA"),'MITRE ATT&amp;CK Mappings'!$J342))), 'MITRE ATT&amp;CK Mappings'!$B342,"")</f>
        <v/>
      </c>
      <c r="I346" s="26" t="str">
        <f>IF(OR(OR(OR(OR(OR(ISNUMBER(SEARCH(IF(I$1&lt;&gt;"",I$1,"NA"),'MITRE ATT&amp;CK Mappings'!$E342)),ISNUMBER(SEARCH(IF(I$1&lt;&gt;"",I$1,"NA"),'MITRE ATT&amp;CK Mappings'!$F342))),ISNUMBER(SEARCH(IF(I$2&lt;&gt;"",I$2,"NA"),'MITRE ATT&amp;CK Mappings'!$G342))),ISNUMBER(SEARCH(IF(I$2&lt;&gt;"",I$2,"NA"),'MITRE ATT&amp;CK Mappings'!$H342))),ISNUMBER(SEARCH(IF(I$3&lt;&gt;"",I$3,"NA"),'MITRE ATT&amp;CK Mappings'!$I342))),ISNUMBER(SEARCH(IF(I$3&lt;&gt;"",I$3,"NA"),'MITRE ATT&amp;CK Mappings'!$J342))), 'MITRE ATT&amp;CK Mappings'!$B342,"")</f>
        <v/>
      </c>
      <c r="J346" s="26" t="str">
        <f>IF(OR(OR(OR(OR(OR(ISNUMBER(SEARCH(IF(J$1&lt;&gt;"",J$1,"NA"),'MITRE ATT&amp;CK Mappings'!$E342)),ISNUMBER(SEARCH(IF(J$1&lt;&gt;"",J$1,"NA"),'MITRE ATT&amp;CK Mappings'!$F342))),ISNUMBER(SEARCH(IF(J$2&lt;&gt;"",J$2,"NA"),'MITRE ATT&amp;CK Mappings'!$G342))),ISNUMBER(SEARCH(IF(J$2&lt;&gt;"",J$2,"NA"),'MITRE ATT&amp;CK Mappings'!$H342))),ISNUMBER(SEARCH(IF(J$3&lt;&gt;"",J$3,"NA"),'MITRE ATT&amp;CK Mappings'!$I342))),ISNUMBER(SEARCH(IF(J$3&lt;&gt;"",J$3,"NA"),'MITRE ATT&amp;CK Mappings'!$J342))), 'MITRE ATT&amp;CK Mappings'!$B342,"")</f>
        <v/>
      </c>
      <c r="K346" s="26" t="str">
        <f>IF(OR(OR(OR(OR(OR(ISNUMBER(SEARCH(IF(K$1&lt;&gt;"",K$1,"NA"),'MITRE ATT&amp;CK Mappings'!$E342)),ISNUMBER(SEARCH(IF(K$1&lt;&gt;"",K$1,"NA"),'MITRE ATT&amp;CK Mappings'!$F342))),ISNUMBER(SEARCH(IF(K$2&lt;&gt;"",K$2,"NA"),'MITRE ATT&amp;CK Mappings'!$G342))),ISNUMBER(SEARCH(IF(K$2&lt;&gt;"",K$2,"NA"),'MITRE ATT&amp;CK Mappings'!$H342))),ISNUMBER(SEARCH(IF(K$3&lt;&gt;"",K$3,"NA"),'MITRE ATT&amp;CK Mappings'!$I342))),ISNUMBER(SEARCH(IF(K$3&lt;&gt;"",K$3,"NA"),'MITRE ATT&amp;CK Mappings'!$J342))), 'MITRE ATT&amp;CK Mappings'!$B342,"")</f>
        <v/>
      </c>
      <c r="L346" s="26" t="str">
        <f>IF('MITRE ATT&amp;CK Mappings'!D342 &lt;&gt;"",'MITRE ATT&amp;CK Mappings'!D342,"" )</f>
        <v/>
      </c>
    </row>
    <row r="347" spans="1:12" x14ac:dyDescent="0.25">
      <c r="A347" s="27" t="str">
        <f>IF(COUNTIF(B347:K347,"="&amp;'MITRE ATT&amp;CK Mappings'!B343)&gt;0,'MITRE ATT&amp;CK Mappings'!B343,"")</f>
        <v/>
      </c>
      <c r="B347" s="27" t="str">
        <f>IF(OR(OR(OR(OR(OR(ISNUMBER(SEARCH(IF(B$1&lt;&gt;"",B$1,"NA"),'MITRE ATT&amp;CK Mappings'!$E343)),ISNUMBER(SEARCH(IF(B$1&lt;&gt;"",B$1,"NA"),'MITRE ATT&amp;CK Mappings'!$F343))),ISNUMBER(SEARCH(IF(B$2&lt;&gt;"",B$2,"NA"),'MITRE ATT&amp;CK Mappings'!$G343))),ISNUMBER(SEARCH(IF(B$2&lt;&gt;"",B$2,"NA"),'MITRE ATT&amp;CK Mappings'!$H343))),ISNUMBER(SEARCH(IF(B$3&lt;&gt;"",B$3,"NA"),'MITRE ATT&amp;CK Mappings'!$I343))),ISNUMBER(SEARCH(IF(B$3&lt;&gt;"",B$3,"NA"),'MITRE ATT&amp;CK Mappings'!$J343))), 'MITRE ATT&amp;CK Mappings'!$B343,"")</f>
        <v/>
      </c>
      <c r="C347" s="27" t="str">
        <f>IF(OR(OR(OR(OR(OR(ISNUMBER(SEARCH(IF(C$1&lt;&gt;"",C$1,"NA"),'MITRE ATT&amp;CK Mappings'!$E343)),ISNUMBER(SEARCH(IF(C$1&lt;&gt;"",C$1,"NA"),'MITRE ATT&amp;CK Mappings'!$F343))),ISNUMBER(SEARCH(IF(C$2&lt;&gt;"",C$2,"NA"),'MITRE ATT&amp;CK Mappings'!$G343))),ISNUMBER(SEARCH(IF(C$2&lt;&gt;"",C$2,"NA"),'MITRE ATT&amp;CK Mappings'!$H343))),ISNUMBER(SEARCH(IF(C$3&lt;&gt;"",C$3,"NA"),'MITRE ATT&amp;CK Mappings'!$I343))),ISNUMBER(SEARCH(IF(C$3&lt;&gt;"",C$3,"NA"),'MITRE ATT&amp;CK Mappings'!$J343))), 'MITRE ATT&amp;CK Mappings'!$B343,"")</f>
        <v/>
      </c>
      <c r="D347" s="27" t="str">
        <f>IF(OR(OR(OR(OR(OR(ISNUMBER(SEARCH(IF(D$1&lt;&gt;"",D$1,"NA"),'MITRE ATT&amp;CK Mappings'!$E343)),ISNUMBER(SEARCH(IF(D$1&lt;&gt;"",D$1,"NA"),'MITRE ATT&amp;CK Mappings'!$F343))),ISNUMBER(SEARCH(IF(D$2&lt;&gt;"",D$2,"NA"),'MITRE ATT&amp;CK Mappings'!$G343))),ISNUMBER(SEARCH(IF(D$2&lt;&gt;"",D$2,"NA"),'MITRE ATT&amp;CK Mappings'!$H343))),ISNUMBER(SEARCH(IF(D$3&lt;&gt;"",D$3,"NA"),'MITRE ATT&amp;CK Mappings'!$I343))),ISNUMBER(SEARCH(IF(D$3&lt;&gt;"",D$3,"NA"),'MITRE ATT&amp;CK Mappings'!$J343))), 'MITRE ATT&amp;CK Mappings'!$B343,"")</f>
        <v/>
      </c>
      <c r="E347" s="27" t="str">
        <f>IF(OR(OR(OR(OR(OR(ISNUMBER(SEARCH(IF(E$1&lt;&gt;"",E$1,"NA"),'MITRE ATT&amp;CK Mappings'!$E343)),ISNUMBER(SEARCH(IF(E$1&lt;&gt;"",E$1,"NA"),'MITRE ATT&amp;CK Mappings'!$F343))),ISNUMBER(SEARCH(IF(E$2&lt;&gt;"",E$2,"NA"),'MITRE ATT&amp;CK Mappings'!$G343))),ISNUMBER(SEARCH(IF(E$2&lt;&gt;"",E$2,"NA"),'MITRE ATT&amp;CK Mappings'!$H343))),ISNUMBER(SEARCH(IF(E$3&lt;&gt;"",E$3,"NA"),'MITRE ATT&amp;CK Mappings'!$I343))),ISNUMBER(SEARCH(IF(E$3&lt;&gt;"",E$3,"NA"),'MITRE ATT&amp;CK Mappings'!$J343))), 'MITRE ATT&amp;CK Mappings'!$B343,"")</f>
        <v/>
      </c>
      <c r="F347" s="27" t="str">
        <f>IF(OR(OR(OR(OR(OR(ISNUMBER(SEARCH(IF(F$1&lt;&gt;"",F$1,"NA"),'MITRE ATT&amp;CK Mappings'!$E343)),ISNUMBER(SEARCH(IF(F$1&lt;&gt;"",F$1,"NA"),'MITRE ATT&amp;CK Mappings'!$F343))),ISNUMBER(SEARCH(IF(F$2&lt;&gt;"",F$2,"NA"),'MITRE ATT&amp;CK Mappings'!$G343))),ISNUMBER(SEARCH(IF(F$2&lt;&gt;"",F$2,"NA"),'MITRE ATT&amp;CK Mappings'!$H343))),ISNUMBER(SEARCH(IF(F$3&lt;&gt;"",F$3,"NA"),'MITRE ATT&amp;CK Mappings'!$I343))),ISNUMBER(SEARCH(IF(F$3&lt;&gt;"",F$3,"NA"),'MITRE ATT&amp;CK Mappings'!$J343))), 'MITRE ATT&amp;CK Mappings'!$B343,"")</f>
        <v/>
      </c>
      <c r="G347" s="27" t="str">
        <f>IF(OR(OR(OR(OR(OR(ISNUMBER(SEARCH(IF(G$1&lt;&gt;"",G$1,"NA"),'MITRE ATT&amp;CK Mappings'!$E343)),ISNUMBER(SEARCH(IF(G$1&lt;&gt;"",G$1,"NA"),'MITRE ATT&amp;CK Mappings'!$F343))),ISNUMBER(SEARCH(IF(G$2&lt;&gt;"",G$2,"NA"),'MITRE ATT&amp;CK Mappings'!$G343))),ISNUMBER(SEARCH(IF(G$2&lt;&gt;"",G$2,"NA"),'MITRE ATT&amp;CK Mappings'!$H343))),ISNUMBER(SEARCH(IF(G$3&lt;&gt;"",G$3,"NA"),'MITRE ATT&amp;CK Mappings'!$I343))),ISNUMBER(SEARCH(IF(G$3&lt;&gt;"",G$3,"NA"),'MITRE ATT&amp;CK Mappings'!$J343))), 'MITRE ATT&amp;CK Mappings'!$B343,"")</f>
        <v/>
      </c>
      <c r="H347" s="27" t="str">
        <f>IF(OR(OR(OR(OR(OR(ISNUMBER(SEARCH(IF(H$1&lt;&gt;"",H$1,"NA"),'MITRE ATT&amp;CK Mappings'!$E343)),ISNUMBER(SEARCH(IF(H$1&lt;&gt;"",H$1,"NA"),'MITRE ATT&amp;CK Mappings'!$F343))),ISNUMBER(SEARCH(IF(H$2&lt;&gt;"",H$2,"NA"),'MITRE ATT&amp;CK Mappings'!$G343))),ISNUMBER(SEARCH(IF(H$2&lt;&gt;"",H$2,"NA"),'MITRE ATT&amp;CK Mappings'!$H343))),ISNUMBER(SEARCH(IF(H$3&lt;&gt;"",H$3,"NA"),'MITRE ATT&amp;CK Mappings'!$I343))),ISNUMBER(SEARCH(IF(H$3&lt;&gt;"",H$3,"NA"),'MITRE ATT&amp;CK Mappings'!$J343))), 'MITRE ATT&amp;CK Mappings'!$B343,"")</f>
        <v/>
      </c>
      <c r="I347" s="27" t="str">
        <f>IF(OR(OR(OR(OR(OR(ISNUMBER(SEARCH(IF(I$1&lt;&gt;"",I$1,"NA"),'MITRE ATT&amp;CK Mappings'!$E343)),ISNUMBER(SEARCH(IF(I$1&lt;&gt;"",I$1,"NA"),'MITRE ATT&amp;CK Mappings'!$F343))),ISNUMBER(SEARCH(IF(I$2&lt;&gt;"",I$2,"NA"),'MITRE ATT&amp;CK Mappings'!$G343))),ISNUMBER(SEARCH(IF(I$2&lt;&gt;"",I$2,"NA"),'MITRE ATT&amp;CK Mappings'!$H343))),ISNUMBER(SEARCH(IF(I$3&lt;&gt;"",I$3,"NA"),'MITRE ATT&amp;CK Mappings'!$I343))),ISNUMBER(SEARCH(IF(I$3&lt;&gt;"",I$3,"NA"),'MITRE ATT&amp;CK Mappings'!$J343))), 'MITRE ATT&amp;CK Mappings'!$B343,"")</f>
        <v/>
      </c>
      <c r="J347" s="27" t="str">
        <f>IF(OR(OR(OR(OR(OR(ISNUMBER(SEARCH(IF(J$1&lt;&gt;"",J$1,"NA"),'MITRE ATT&amp;CK Mappings'!$E343)),ISNUMBER(SEARCH(IF(J$1&lt;&gt;"",J$1,"NA"),'MITRE ATT&amp;CK Mappings'!$F343))),ISNUMBER(SEARCH(IF(J$2&lt;&gt;"",J$2,"NA"),'MITRE ATT&amp;CK Mappings'!$G343))),ISNUMBER(SEARCH(IF(J$2&lt;&gt;"",J$2,"NA"),'MITRE ATT&amp;CK Mappings'!$H343))),ISNUMBER(SEARCH(IF(J$3&lt;&gt;"",J$3,"NA"),'MITRE ATT&amp;CK Mappings'!$I343))),ISNUMBER(SEARCH(IF(J$3&lt;&gt;"",J$3,"NA"),'MITRE ATT&amp;CK Mappings'!$J343))), 'MITRE ATT&amp;CK Mappings'!$B343,"")</f>
        <v/>
      </c>
      <c r="K347" s="27" t="str">
        <f>IF(OR(OR(OR(OR(OR(ISNUMBER(SEARCH(IF(K$1&lt;&gt;"",K$1,"NA"),'MITRE ATT&amp;CK Mappings'!$E343)),ISNUMBER(SEARCH(IF(K$1&lt;&gt;"",K$1,"NA"),'MITRE ATT&amp;CK Mappings'!$F343))),ISNUMBER(SEARCH(IF(K$2&lt;&gt;"",K$2,"NA"),'MITRE ATT&amp;CK Mappings'!$G343))),ISNUMBER(SEARCH(IF(K$2&lt;&gt;"",K$2,"NA"),'MITRE ATT&amp;CK Mappings'!$H343))),ISNUMBER(SEARCH(IF(K$3&lt;&gt;"",K$3,"NA"),'MITRE ATT&amp;CK Mappings'!$I343))),ISNUMBER(SEARCH(IF(K$3&lt;&gt;"",K$3,"NA"),'MITRE ATT&amp;CK Mappings'!$J343))), 'MITRE ATT&amp;CK Mappings'!$B343,"")</f>
        <v/>
      </c>
      <c r="L347" s="27" t="str">
        <f>IF('MITRE ATT&amp;CK Mappings'!D343 &lt;&gt;"",'MITRE ATT&amp;CK Mappings'!D343,"" )</f>
        <v/>
      </c>
    </row>
    <row r="348" spans="1:12" x14ac:dyDescent="0.25">
      <c r="A348" s="26" t="str">
        <f>IF(COUNTIF(B348:K348,"="&amp;'MITRE ATT&amp;CK Mappings'!B344)&gt;0,'MITRE ATT&amp;CK Mappings'!B344,"")</f>
        <v/>
      </c>
      <c r="B348" s="26" t="str">
        <f>IF(OR(OR(OR(OR(OR(ISNUMBER(SEARCH(IF(B$1&lt;&gt;"",B$1,"NA"),'MITRE ATT&amp;CK Mappings'!$E344)),ISNUMBER(SEARCH(IF(B$1&lt;&gt;"",B$1,"NA"),'MITRE ATT&amp;CK Mappings'!$F344))),ISNUMBER(SEARCH(IF(B$2&lt;&gt;"",B$2,"NA"),'MITRE ATT&amp;CK Mappings'!$G344))),ISNUMBER(SEARCH(IF(B$2&lt;&gt;"",B$2,"NA"),'MITRE ATT&amp;CK Mappings'!$H344))),ISNUMBER(SEARCH(IF(B$3&lt;&gt;"",B$3,"NA"),'MITRE ATT&amp;CK Mappings'!$I344))),ISNUMBER(SEARCH(IF(B$3&lt;&gt;"",B$3,"NA"),'MITRE ATT&amp;CK Mappings'!$J344))), 'MITRE ATT&amp;CK Mappings'!$B344,"")</f>
        <v/>
      </c>
      <c r="C348" s="26" t="str">
        <f>IF(OR(OR(OR(OR(OR(ISNUMBER(SEARCH(IF(C$1&lt;&gt;"",C$1,"NA"),'MITRE ATT&amp;CK Mappings'!$E344)),ISNUMBER(SEARCH(IF(C$1&lt;&gt;"",C$1,"NA"),'MITRE ATT&amp;CK Mappings'!$F344))),ISNUMBER(SEARCH(IF(C$2&lt;&gt;"",C$2,"NA"),'MITRE ATT&amp;CK Mappings'!$G344))),ISNUMBER(SEARCH(IF(C$2&lt;&gt;"",C$2,"NA"),'MITRE ATT&amp;CK Mappings'!$H344))),ISNUMBER(SEARCH(IF(C$3&lt;&gt;"",C$3,"NA"),'MITRE ATT&amp;CK Mappings'!$I344))),ISNUMBER(SEARCH(IF(C$3&lt;&gt;"",C$3,"NA"),'MITRE ATT&amp;CK Mappings'!$J344))), 'MITRE ATT&amp;CK Mappings'!$B344,"")</f>
        <v/>
      </c>
      <c r="D348" s="26" t="str">
        <f>IF(OR(OR(OR(OR(OR(ISNUMBER(SEARCH(IF(D$1&lt;&gt;"",D$1,"NA"),'MITRE ATT&amp;CK Mappings'!$E344)),ISNUMBER(SEARCH(IF(D$1&lt;&gt;"",D$1,"NA"),'MITRE ATT&amp;CK Mappings'!$F344))),ISNUMBER(SEARCH(IF(D$2&lt;&gt;"",D$2,"NA"),'MITRE ATT&amp;CK Mappings'!$G344))),ISNUMBER(SEARCH(IF(D$2&lt;&gt;"",D$2,"NA"),'MITRE ATT&amp;CK Mappings'!$H344))),ISNUMBER(SEARCH(IF(D$3&lt;&gt;"",D$3,"NA"),'MITRE ATT&amp;CK Mappings'!$I344))),ISNUMBER(SEARCH(IF(D$3&lt;&gt;"",D$3,"NA"),'MITRE ATT&amp;CK Mappings'!$J344))), 'MITRE ATT&amp;CK Mappings'!$B344,"")</f>
        <v/>
      </c>
      <c r="E348" s="26" t="str">
        <f>IF(OR(OR(OR(OR(OR(ISNUMBER(SEARCH(IF(E$1&lt;&gt;"",E$1,"NA"),'MITRE ATT&amp;CK Mappings'!$E344)),ISNUMBER(SEARCH(IF(E$1&lt;&gt;"",E$1,"NA"),'MITRE ATT&amp;CK Mappings'!$F344))),ISNUMBER(SEARCH(IF(E$2&lt;&gt;"",E$2,"NA"),'MITRE ATT&amp;CK Mappings'!$G344))),ISNUMBER(SEARCH(IF(E$2&lt;&gt;"",E$2,"NA"),'MITRE ATT&amp;CK Mappings'!$H344))),ISNUMBER(SEARCH(IF(E$3&lt;&gt;"",E$3,"NA"),'MITRE ATT&amp;CK Mappings'!$I344))),ISNUMBER(SEARCH(IF(E$3&lt;&gt;"",E$3,"NA"),'MITRE ATT&amp;CK Mappings'!$J344))), 'MITRE ATT&amp;CK Mappings'!$B344,"")</f>
        <v/>
      </c>
      <c r="F348" s="26" t="str">
        <f>IF(OR(OR(OR(OR(OR(ISNUMBER(SEARCH(IF(F$1&lt;&gt;"",F$1,"NA"),'MITRE ATT&amp;CK Mappings'!$E344)),ISNUMBER(SEARCH(IF(F$1&lt;&gt;"",F$1,"NA"),'MITRE ATT&amp;CK Mappings'!$F344))),ISNUMBER(SEARCH(IF(F$2&lt;&gt;"",F$2,"NA"),'MITRE ATT&amp;CK Mappings'!$G344))),ISNUMBER(SEARCH(IF(F$2&lt;&gt;"",F$2,"NA"),'MITRE ATT&amp;CK Mappings'!$H344))),ISNUMBER(SEARCH(IF(F$3&lt;&gt;"",F$3,"NA"),'MITRE ATT&amp;CK Mappings'!$I344))),ISNUMBER(SEARCH(IF(F$3&lt;&gt;"",F$3,"NA"),'MITRE ATT&amp;CK Mappings'!$J344))), 'MITRE ATT&amp;CK Mappings'!$B344,"")</f>
        <v/>
      </c>
      <c r="G348" s="26" t="str">
        <f>IF(OR(OR(OR(OR(OR(ISNUMBER(SEARCH(IF(G$1&lt;&gt;"",G$1,"NA"),'MITRE ATT&amp;CK Mappings'!$E344)),ISNUMBER(SEARCH(IF(G$1&lt;&gt;"",G$1,"NA"),'MITRE ATT&amp;CK Mappings'!$F344))),ISNUMBER(SEARCH(IF(G$2&lt;&gt;"",G$2,"NA"),'MITRE ATT&amp;CK Mappings'!$G344))),ISNUMBER(SEARCH(IF(G$2&lt;&gt;"",G$2,"NA"),'MITRE ATT&amp;CK Mappings'!$H344))),ISNUMBER(SEARCH(IF(G$3&lt;&gt;"",G$3,"NA"),'MITRE ATT&amp;CK Mappings'!$I344))),ISNUMBER(SEARCH(IF(G$3&lt;&gt;"",G$3,"NA"),'MITRE ATT&amp;CK Mappings'!$J344))), 'MITRE ATT&amp;CK Mappings'!$B344,"")</f>
        <v/>
      </c>
      <c r="H348" s="26" t="str">
        <f>IF(OR(OR(OR(OR(OR(ISNUMBER(SEARCH(IF(H$1&lt;&gt;"",H$1,"NA"),'MITRE ATT&amp;CK Mappings'!$E344)),ISNUMBER(SEARCH(IF(H$1&lt;&gt;"",H$1,"NA"),'MITRE ATT&amp;CK Mappings'!$F344))),ISNUMBER(SEARCH(IF(H$2&lt;&gt;"",H$2,"NA"),'MITRE ATT&amp;CK Mappings'!$G344))),ISNUMBER(SEARCH(IF(H$2&lt;&gt;"",H$2,"NA"),'MITRE ATT&amp;CK Mappings'!$H344))),ISNUMBER(SEARCH(IF(H$3&lt;&gt;"",H$3,"NA"),'MITRE ATT&amp;CK Mappings'!$I344))),ISNUMBER(SEARCH(IF(H$3&lt;&gt;"",H$3,"NA"),'MITRE ATT&amp;CK Mappings'!$J344))), 'MITRE ATT&amp;CK Mappings'!$B344,"")</f>
        <v/>
      </c>
      <c r="I348" s="26" t="str">
        <f>IF(OR(OR(OR(OR(OR(ISNUMBER(SEARCH(IF(I$1&lt;&gt;"",I$1,"NA"),'MITRE ATT&amp;CK Mappings'!$E344)),ISNUMBER(SEARCH(IF(I$1&lt;&gt;"",I$1,"NA"),'MITRE ATT&amp;CK Mappings'!$F344))),ISNUMBER(SEARCH(IF(I$2&lt;&gt;"",I$2,"NA"),'MITRE ATT&amp;CK Mappings'!$G344))),ISNUMBER(SEARCH(IF(I$2&lt;&gt;"",I$2,"NA"),'MITRE ATT&amp;CK Mappings'!$H344))),ISNUMBER(SEARCH(IF(I$3&lt;&gt;"",I$3,"NA"),'MITRE ATT&amp;CK Mappings'!$I344))),ISNUMBER(SEARCH(IF(I$3&lt;&gt;"",I$3,"NA"),'MITRE ATT&amp;CK Mappings'!$J344))), 'MITRE ATT&amp;CK Mappings'!$B344,"")</f>
        <v/>
      </c>
      <c r="J348" s="26" t="str">
        <f>IF(OR(OR(OR(OR(OR(ISNUMBER(SEARCH(IF(J$1&lt;&gt;"",J$1,"NA"),'MITRE ATT&amp;CK Mappings'!$E344)),ISNUMBER(SEARCH(IF(J$1&lt;&gt;"",J$1,"NA"),'MITRE ATT&amp;CK Mappings'!$F344))),ISNUMBER(SEARCH(IF(J$2&lt;&gt;"",J$2,"NA"),'MITRE ATT&amp;CK Mappings'!$G344))),ISNUMBER(SEARCH(IF(J$2&lt;&gt;"",J$2,"NA"),'MITRE ATT&amp;CK Mappings'!$H344))),ISNUMBER(SEARCH(IF(J$3&lt;&gt;"",J$3,"NA"),'MITRE ATT&amp;CK Mappings'!$I344))),ISNUMBER(SEARCH(IF(J$3&lt;&gt;"",J$3,"NA"),'MITRE ATT&amp;CK Mappings'!$J344))), 'MITRE ATT&amp;CK Mappings'!$B344,"")</f>
        <v/>
      </c>
      <c r="K348" s="26" t="str">
        <f>IF(OR(OR(OR(OR(OR(ISNUMBER(SEARCH(IF(K$1&lt;&gt;"",K$1,"NA"),'MITRE ATT&amp;CK Mappings'!$E344)),ISNUMBER(SEARCH(IF(K$1&lt;&gt;"",K$1,"NA"),'MITRE ATT&amp;CK Mappings'!$F344))),ISNUMBER(SEARCH(IF(K$2&lt;&gt;"",K$2,"NA"),'MITRE ATT&amp;CK Mappings'!$G344))),ISNUMBER(SEARCH(IF(K$2&lt;&gt;"",K$2,"NA"),'MITRE ATT&amp;CK Mappings'!$H344))),ISNUMBER(SEARCH(IF(K$3&lt;&gt;"",K$3,"NA"),'MITRE ATT&amp;CK Mappings'!$I344))),ISNUMBER(SEARCH(IF(K$3&lt;&gt;"",K$3,"NA"),'MITRE ATT&amp;CK Mappings'!$J344))), 'MITRE ATT&amp;CK Mappings'!$B344,"")</f>
        <v/>
      </c>
      <c r="L348" s="26" t="str">
        <f>IF('MITRE ATT&amp;CK Mappings'!D344 &lt;&gt;"",'MITRE ATT&amp;CK Mappings'!D344,"" )</f>
        <v/>
      </c>
    </row>
    <row r="349" spans="1:12" x14ac:dyDescent="0.25">
      <c r="A349" s="27" t="str">
        <f>IF(COUNTIF(B349:K349,"="&amp;'MITRE ATT&amp;CK Mappings'!B345)&gt;0,'MITRE ATT&amp;CK Mappings'!B345,"")</f>
        <v/>
      </c>
      <c r="B349" s="27" t="str">
        <f>IF(OR(OR(OR(OR(OR(ISNUMBER(SEARCH(IF(B$1&lt;&gt;"",B$1,"NA"),'MITRE ATT&amp;CK Mappings'!$E345)),ISNUMBER(SEARCH(IF(B$1&lt;&gt;"",B$1,"NA"),'MITRE ATT&amp;CK Mappings'!$F345))),ISNUMBER(SEARCH(IF(B$2&lt;&gt;"",B$2,"NA"),'MITRE ATT&amp;CK Mappings'!$G345))),ISNUMBER(SEARCH(IF(B$2&lt;&gt;"",B$2,"NA"),'MITRE ATT&amp;CK Mappings'!$H345))),ISNUMBER(SEARCH(IF(B$3&lt;&gt;"",B$3,"NA"),'MITRE ATT&amp;CK Mappings'!$I345))),ISNUMBER(SEARCH(IF(B$3&lt;&gt;"",B$3,"NA"),'MITRE ATT&amp;CK Mappings'!$J345))), 'MITRE ATT&amp;CK Mappings'!$B345,"")</f>
        <v/>
      </c>
      <c r="C349" s="27" t="str">
        <f>IF(OR(OR(OR(OR(OR(ISNUMBER(SEARCH(IF(C$1&lt;&gt;"",C$1,"NA"),'MITRE ATT&amp;CK Mappings'!$E345)),ISNUMBER(SEARCH(IF(C$1&lt;&gt;"",C$1,"NA"),'MITRE ATT&amp;CK Mappings'!$F345))),ISNUMBER(SEARCH(IF(C$2&lt;&gt;"",C$2,"NA"),'MITRE ATT&amp;CK Mappings'!$G345))),ISNUMBER(SEARCH(IF(C$2&lt;&gt;"",C$2,"NA"),'MITRE ATT&amp;CK Mappings'!$H345))),ISNUMBER(SEARCH(IF(C$3&lt;&gt;"",C$3,"NA"),'MITRE ATT&amp;CK Mappings'!$I345))),ISNUMBER(SEARCH(IF(C$3&lt;&gt;"",C$3,"NA"),'MITRE ATT&amp;CK Mappings'!$J345))), 'MITRE ATT&amp;CK Mappings'!$B345,"")</f>
        <v/>
      </c>
      <c r="D349" s="27" t="str">
        <f>IF(OR(OR(OR(OR(OR(ISNUMBER(SEARCH(IF(D$1&lt;&gt;"",D$1,"NA"),'MITRE ATT&amp;CK Mappings'!$E345)),ISNUMBER(SEARCH(IF(D$1&lt;&gt;"",D$1,"NA"),'MITRE ATT&amp;CK Mappings'!$F345))),ISNUMBER(SEARCH(IF(D$2&lt;&gt;"",D$2,"NA"),'MITRE ATT&amp;CK Mappings'!$G345))),ISNUMBER(SEARCH(IF(D$2&lt;&gt;"",D$2,"NA"),'MITRE ATT&amp;CK Mappings'!$H345))),ISNUMBER(SEARCH(IF(D$3&lt;&gt;"",D$3,"NA"),'MITRE ATT&amp;CK Mappings'!$I345))),ISNUMBER(SEARCH(IF(D$3&lt;&gt;"",D$3,"NA"),'MITRE ATT&amp;CK Mappings'!$J345))), 'MITRE ATT&amp;CK Mappings'!$B345,"")</f>
        <v/>
      </c>
      <c r="E349" s="27" t="str">
        <f>IF(OR(OR(OR(OR(OR(ISNUMBER(SEARCH(IF(E$1&lt;&gt;"",E$1,"NA"),'MITRE ATT&amp;CK Mappings'!$E345)),ISNUMBER(SEARCH(IF(E$1&lt;&gt;"",E$1,"NA"),'MITRE ATT&amp;CK Mappings'!$F345))),ISNUMBER(SEARCH(IF(E$2&lt;&gt;"",E$2,"NA"),'MITRE ATT&amp;CK Mappings'!$G345))),ISNUMBER(SEARCH(IF(E$2&lt;&gt;"",E$2,"NA"),'MITRE ATT&amp;CK Mappings'!$H345))),ISNUMBER(SEARCH(IF(E$3&lt;&gt;"",E$3,"NA"),'MITRE ATT&amp;CK Mappings'!$I345))),ISNUMBER(SEARCH(IF(E$3&lt;&gt;"",E$3,"NA"),'MITRE ATT&amp;CK Mappings'!$J345))), 'MITRE ATT&amp;CK Mappings'!$B345,"")</f>
        <v/>
      </c>
      <c r="F349" s="27" t="str">
        <f>IF(OR(OR(OR(OR(OR(ISNUMBER(SEARCH(IF(F$1&lt;&gt;"",F$1,"NA"),'MITRE ATT&amp;CK Mappings'!$E345)),ISNUMBER(SEARCH(IF(F$1&lt;&gt;"",F$1,"NA"),'MITRE ATT&amp;CK Mappings'!$F345))),ISNUMBER(SEARCH(IF(F$2&lt;&gt;"",F$2,"NA"),'MITRE ATT&amp;CK Mappings'!$G345))),ISNUMBER(SEARCH(IF(F$2&lt;&gt;"",F$2,"NA"),'MITRE ATT&amp;CK Mappings'!$H345))),ISNUMBER(SEARCH(IF(F$3&lt;&gt;"",F$3,"NA"),'MITRE ATT&amp;CK Mappings'!$I345))),ISNUMBER(SEARCH(IF(F$3&lt;&gt;"",F$3,"NA"),'MITRE ATT&amp;CK Mappings'!$J345))), 'MITRE ATT&amp;CK Mappings'!$B345,"")</f>
        <v/>
      </c>
      <c r="G349" s="27" t="str">
        <f>IF(OR(OR(OR(OR(OR(ISNUMBER(SEARCH(IF(G$1&lt;&gt;"",G$1,"NA"),'MITRE ATT&amp;CK Mappings'!$E345)),ISNUMBER(SEARCH(IF(G$1&lt;&gt;"",G$1,"NA"),'MITRE ATT&amp;CK Mappings'!$F345))),ISNUMBER(SEARCH(IF(G$2&lt;&gt;"",G$2,"NA"),'MITRE ATT&amp;CK Mappings'!$G345))),ISNUMBER(SEARCH(IF(G$2&lt;&gt;"",G$2,"NA"),'MITRE ATT&amp;CK Mappings'!$H345))),ISNUMBER(SEARCH(IF(G$3&lt;&gt;"",G$3,"NA"),'MITRE ATT&amp;CK Mappings'!$I345))),ISNUMBER(SEARCH(IF(G$3&lt;&gt;"",G$3,"NA"),'MITRE ATT&amp;CK Mappings'!$J345))), 'MITRE ATT&amp;CK Mappings'!$B345,"")</f>
        <v/>
      </c>
      <c r="H349" s="27" t="str">
        <f>IF(OR(OR(OR(OR(OR(ISNUMBER(SEARCH(IF(H$1&lt;&gt;"",H$1,"NA"),'MITRE ATT&amp;CK Mappings'!$E345)),ISNUMBER(SEARCH(IF(H$1&lt;&gt;"",H$1,"NA"),'MITRE ATT&amp;CK Mappings'!$F345))),ISNUMBER(SEARCH(IF(H$2&lt;&gt;"",H$2,"NA"),'MITRE ATT&amp;CK Mappings'!$G345))),ISNUMBER(SEARCH(IF(H$2&lt;&gt;"",H$2,"NA"),'MITRE ATT&amp;CK Mappings'!$H345))),ISNUMBER(SEARCH(IF(H$3&lt;&gt;"",H$3,"NA"),'MITRE ATT&amp;CK Mappings'!$I345))),ISNUMBER(SEARCH(IF(H$3&lt;&gt;"",H$3,"NA"),'MITRE ATT&amp;CK Mappings'!$J345))), 'MITRE ATT&amp;CK Mappings'!$B345,"")</f>
        <v/>
      </c>
      <c r="I349" s="27" t="str">
        <f>IF(OR(OR(OR(OR(OR(ISNUMBER(SEARCH(IF(I$1&lt;&gt;"",I$1,"NA"),'MITRE ATT&amp;CK Mappings'!$E345)),ISNUMBER(SEARCH(IF(I$1&lt;&gt;"",I$1,"NA"),'MITRE ATT&amp;CK Mappings'!$F345))),ISNUMBER(SEARCH(IF(I$2&lt;&gt;"",I$2,"NA"),'MITRE ATT&amp;CK Mappings'!$G345))),ISNUMBER(SEARCH(IF(I$2&lt;&gt;"",I$2,"NA"),'MITRE ATT&amp;CK Mappings'!$H345))),ISNUMBER(SEARCH(IF(I$3&lt;&gt;"",I$3,"NA"),'MITRE ATT&amp;CK Mappings'!$I345))),ISNUMBER(SEARCH(IF(I$3&lt;&gt;"",I$3,"NA"),'MITRE ATT&amp;CK Mappings'!$J345))), 'MITRE ATT&amp;CK Mappings'!$B345,"")</f>
        <v/>
      </c>
      <c r="J349" s="27" t="str">
        <f>IF(OR(OR(OR(OR(OR(ISNUMBER(SEARCH(IF(J$1&lt;&gt;"",J$1,"NA"),'MITRE ATT&amp;CK Mappings'!$E345)),ISNUMBER(SEARCH(IF(J$1&lt;&gt;"",J$1,"NA"),'MITRE ATT&amp;CK Mappings'!$F345))),ISNUMBER(SEARCH(IF(J$2&lt;&gt;"",J$2,"NA"),'MITRE ATT&amp;CK Mappings'!$G345))),ISNUMBER(SEARCH(IF(J$2&lt;&gt;"",J$2,"NA"),'MITRE ATT&amp;CK Mappings'!$H345))),ISNUMBER(SEARCH(IF(J$3&lt;&gt;"",J$3,"NA"),'MITRE ATT&amp;CK Mappings'!$I345))),ISNUMBER(SEARCH(IF(J$3&lt;&gt;"",J$3,"NA"),'MITRE ATT&amp;CK Mappings'!$J345))), 'MITRE ATT&amp;CK Mappings'!$B345,"")</f>
        <v/>
      </c>
      <c r="K349" s="27" t="str">
        <f>IF(OR(OR(OR(OR(OR(ISNUMBER(SEARCH(IF(K$1&lt;&gt;"",K$1,"NA"),'MITRE ATT&amp;CK Mappings'!$E345)),ISNUMBER(SEARCH(IF(K$1&lt;&gt;"",K$1,"NA"),'MITRE ATT&amp;CK Mappings'!$F345))),ISNUMBER(SEARCH(IF(K$2&lt;&gt;"",K$2,"NA"),'MITRE ATT&amp;CK Mappings'!$G345))),ISNUMBER(SEARCH(IF(K$2&lt;&gt;"",K$2,"NA"),'MITRE ATT&amp;CK Mappings'!$H345))),ISNUMBER(SEARCH(IF(K$3&lt;&gt;"",K$3,"NA"),'MITRE ATT&amp;CK Mappings'!$I345))),ISNUMBER(SEARCH(IF(K$3&lt;&gt;"",K$3,"NA"),'MITRE ATT&amp;CK Mappings'!$J345))), 'MITRE ATT&amp;CK Mappings'!$B345,"")</f>
        <v/>
      </c>
      <c r="L349" s="27" t="str">
        <f>IF('MITRE ATT&amp;CK Mappings'!D345 &lt;&gt;"",'MITRE ATT&amp;CK Mappings'!D345,"" )</f>
        <v/>
      </c>
    </row>
    <row r="350" spans="1:12" x14ac:dyDescent="0.25">
      <c r="A350" s="26" t="str">
        <f>IF(COUNTIF(B350:K350,"="&amp;'MITRE ATT&amp;CK Mappings'!B346)&gt;0,'MITRE ATT&amp;CK Mappings'!B346,"")</f>
        <v/>
      </c>
      <c r="B350" s="26" t="str">
        <f>IF(OR(OR(OR(OR(OR(ISNUMBER(SEARCH(IF(B$1&lt;&gt;"",B$1,"NA"),'MITRE ATT&amp;CK Mappings'!$E346)),ISNUMBER(SEARCH(IF(B$1&lt;&gt;"",B$1,"NA"),'MITRE ATT&amp;CK Mappings'!$F346))),ISNUMBER(SEARCH(IF(B$2&lt;&gt;"",B$2,"NA"),'MITRE ATT&amp;CK Mappings'!$G346))),ISNUMBER(SEARCH(IF(B$2&lt;&gt;"",B$2,"NA"),'MITRE ATT&amp;CK Mappings'!$H346))),ISNUMBER(SEARCH(IF(B$3&lt;&gt;"",B$3,"NA"),'MITRE ATT&amp;CK Mappings'!$I346))),ISNUMBER(SEARCH(IF(B$3&lt;&gt;"",B$3,"NA"),'MITRE ATT&amp;CK Mappings'!$J346))), 'MITRE ATT&amp;CK Mappings'!$B346,"")</f>
        <v/>
      </c>
      <c r="C350" s="26" t="str">
        <f>IF(OR(OR(OR(OR(OR(ISNUMBER(SEARCH(IF(C$1&lt;&gt;"",C$1,"NA"),'MITRE ATT&amp;CK Mappings'!$E346)),ISNUMBER(SEARCH(IF(C$1&lt;&gt;"",C$1,"NA"),'MITRE ATT&amp;CK Mappings'!$F346))),ISNUMBER(SEARCH(IF(C$2&lt;&gt;"",C$2,"NA"),'MITRE ATT&amp;CK Mappings'!$G346))),ISNUMBER(SEARCH(IF(C$2&lt;&gt;"",C$2,"NA"),'MITRE ATT&amp;CK Mappings'!$H346))),ISNUMBER(SEARCH(IF(C$3&lt;&gt;"",C$3,"NA"),'MITRE ATT&amp;CK Mappings'!$I346))),ISNUMBER(SEARCH(IF(C$3&lt;&gt;"",C$3,"NA"),'MITRE ATT&amp;CK Mappings'!$J346))), 'MITRE ATT&amp;CK Mappings'!$B346,"")</f>
        <v/>
      </c>
      <c r="D350" s="26" t="str">
        <f>IF(OR(OR(OR(OR(OR(ISNUMBER(SEARCH(IF(D$1&lt;&gt;"",D$1,"NA"),'MITRE ATT&amp;CK Mappings'!$E346)),ISNUMBER(SEARCH(IF(D$1&lt;&gt;"",D$1,"NA"),'MITRE ATT&amp;CK Mappings'!$F346))),ISNUMBER(SEARCH(IF(D$2&lt;&gt;"",D$2,"NA"),'MITRE ATT&amp;CK Mappings'!$G346))),ISNUMBER(SEARCH(IF(D$2&lt;&gt;"",D$2,"NA"),'MITRE ATT&amp;CK Mappings'!$H346))),ISNUMBER(SEARCH(IF(D$3&lt;&gt;"",D$3,"NA"),'MITRE ATT&amp;CK Mappings'!$I346))),ISNUMBER(SEARCH(IF(D$3&lt;&gt;"",D$3,"NA"),'MITRE ATT&amp;CK Mappings'!$J346))), 'MITRE ATT&amp;CK Mappings'!$B346,"")</f>
        <v/>
      </c>
      <c r="E350" s="26" t="str">
        <f>IF(OR(OR(OR(OR(OR(ISNUMBER(SEARCH(IF(E$1&lt;&gt;"",E$1,"NA"),'MITRE ATT&amp;CK Mappings'!$E346)),ISNUMBER(SEARCH(IF(E$1&lt;&gt;"",E$1,"NA"),'MITRE ATT&amp;CK Mappings'!$F346))),ISNUMBER(SEARCH(IF(E$2&lt;&gt;"",E$2,"NA"),'MITRE ATT&amp;CK Mappings'!$G346))),ISNUMBER(SEARCH(IF(E$2&lt;&gt;"",E$2,"NA"),'MITRE ATT&amp;CK Mappings'!$H346))),ISNUMBER(SEARCH(IF(E$3&lt;&gt;"",E$3,"NA"),'MITRE ATT&amp;CK Mappings'!$I346))),ISNUMBER(SEARCH(IF(E$3&lt;&gt;"",E$3,"NA"),'MITRE ATT&amp;CK Mappings'!$J346))), 'MITRE ATT&amp;CK Mappings'!$B346,"")</f>
        <v/>
      </c>
      <c r="F350" s="26" t="str">
        <f>IF(OR(OR(OR(OR(OR(ISNUMBER(SEARCH(IF(F$1&lt;&gt;"",F$1,"NA"),'MITRE ATT&amp;CK Mappings'!$E346)),ISNUMBER(SEARCH(IF(F$1&lt;&gt;"",F$1,"NA"),'MITRE ATT&amp;CK Mappings'!$F346))),ISNUMBER(SEARCH(IF(F$2&lt;&gt;"",F$2,"NA"),'MITRE ATT&amp;CK Mappings'!$G346))),ISNUMBER(SEARCH(IF(F$2&lt;&gt;"",F$2,"NA"),'MITRE ATT&amp;CK Mappings'!$H346))),ISNUMBER(SEARCH(IF(F$3&lt;&gt;"",F$3,"NA"),'MITRE ATT&amp;CK Mappings'!$I346))),ISNUMBER(SEARCH(IF(F$3&lt;&gt;"",F$3,"NA"),'MITRE ATT&amp;CK Mappings'!$J346))), 'MITRE ATT&amp;CK Mappings'!$B346,"")</f>
        <v/>
      </c>
      <c r="G350" s="26" t="str">
        <f>IF(OR(OR(OR(OR(OR(ISNUMBER(SEARCH(IF(G$1&lt;&gt;"",G$1,"NA"),'MITRE ATT&amp;CK Mappings'!$E346)),ISNUMBER(SEARCH(IF(G$1&lt;&gt;"",G$1,"NA"),'MITRE ATT&amp;CK Mappings'!$F346))),ISNUMBER(SEARCH(IF(G$2&lt;&gt;"",G$2,"NA"),'MITRE ATT&amp;CK Mappings'!$G346))),ISNUMBER(SEARCH(IF(G$2&lt;&gt;"",G$2,"NA"),'MITRE ATT&amp;CK Mappings'!$H346))),ISNUMBER(SEARCH(IF(G$3&lt;&gt;"",G$3,"NA"),'MITRE ATT&amp;CK Mappings'!$I346))),ISNUMBER(SEARCH(IF(G$3&lt;&gt;"",G$3,"NA"),'MITRE ATT&amp;CK Mappings'!$J346))), 'MITRE ATT&amp;CK Mappings'!$B346,"")</f>
        <v/>
      </c>
      <c r="H350" s="26" t="str">
        <f>IF(OR(OR(OR(OR(OR(ISNUMBER(SEARCH(IF(H$1&lt;&gt;"",H$1,"NA"),'MITRE ATT&amp;CK Mappings'!$E346)),ISNUMBER(SEARCH(IF(H$1&lt;&gt;"",H$1,"NA"),'MITRE ATT&amp;CK Mappings'!$F346))),ISNUMBER(SEARCH(IF(H$2&lt;&gt;"",H$2,"NA"),'MITRE ATT&amp;CK Mappings'!$G346))),ISNUMBER(SEARCH(IF(H$2&lt;&gt;"",H$2,"NA"),'MITRE ATT&amp;CK Mappings'!$H346))),ISNUMBER(SEARCH(IF(H$3&lt;&gt;"",H$3,"NA"),'MITRE ATT&amp;CK Mappings'!$I346))),ISNUMBER(SEARCH(IF(H$3&lt;&gt;"",H$3,"NA"),'MITRE ATT&amp;CK Mappings'!$J346))), 'MITRE ATT&amp;CK Mappings'!$B346,"")</f>
        <v/>
      </c>
      <c r="I350" s="26" t="str">
        <f>IF(OR(OR(OR(OR(OR(ISNUMBER(SEARCH(IF(I$1&lt;&gt;"",I$1,"NA"),'MITRE ATT&amp;CK Mappings'!$E346)),ISNUMBER(SEARCH(IF(I$1&lt;&gt;"",I$1,"NA"),'MITRE ATT&amp;CK Mappings'!$F346))),ISNUMBER(SEARCH(IF(I$2&lt;&gt;"",I$2,"NA"),'MITRE ATT&amp;CK Mappings'!$G346))),ISNUMBER(SEARCH(IF(I$2&lt;&gt;"",I$2,"NA"),'MITRE ATT&amp;CK Mappings'!$H346))),ISNUMBER(SEARCH(IF(I$3&lt;&gt;"",I$3,"NA"),'MITRE ATT&amp;CK Mappings'!$I346))),ISNUMBER(SEARCH(IF(I$3&lt;&gt;"",I$3,"NA"),'MITRE ATT&amp;CK Mappings'!$J346))), 'MITRE ATT&amp;CK Mappings'!$B346,"")</f>
        <v/>
      </c>
      <c r="J350" s="26" t="str">
        <f>IF(OR(OR(OR(OR(OR(ISNUMBER(SEARCH(IF(J$1&lt;&gt;"",J$1,"NA"),'MITRE ATT&amp;CK Mappings'!$E346)),ISNUMBER(SEARCH(IF(J$1&lt;&gt;"",J$1,"NA"),'MITRE ATT&amp;CK Mappings'!$F346))),ISNUMBER(SEARCH(IF(J$2&lt;&gt;"",J$2,"NA"),'MITRE ATT&amp;CK Mappings'!$G346))),ISNUMBER(SEARCH(IF(J$2&lt;&gt;"",J$2,"NA"),'MITRE ATT&amp;CK Mappings'!$H346))),ISNUMBER(SEARCH(IF(J$3&lt;&gt;"",J$3,"NA"),'MITRE ATT&amp;CK Mappings'!$I346))),ISNUMBER(SEARCH(IF(J$3&lt;&gt;"",J$3,"NA"),'MITRE ATT&amp;CK Mappings'!$J346))), 'MITRE ATT&amp;CK Mappings'!$B346,"")</f>
        <v/>
      </c>
      <c r="K350" s="26" t="str">
        <f>IF(OR(OR(OR(OR(OR(ISNUMBER(SEARCH(IF(K$1&lt;&gt;"",K$1,"NA"),'MITRE ATT&amp;CK Mappings'!$E346)),ISNUMBER(SEARCH(IF(K$1&lt;&gt;"",K$1,"NA"),'MITRE ATT&amp;CK Mappings'!$F346))),ISNUMBER(SEARCH(IF(K$2&lt;&gt;"",K$2,"NA"),'MITRE ATT&amp;CK Mappings'!$G346))),ISNUMBER(SEARCH(IF(K$2&lt;&gt;"",K$2,"NA"),'MITRE ATT&amp;CK Mappings'!$H346))),ISNUMBER(SEARCH(IF(K$3&lt;&gt;"",K$3,"NA"),'MITRE ATT&amp;CK Mappings'!$I346))),ISNUMBER(SEARCH(IF(K$3&lt;&gt;"",K$3,"NA"),'MITRE ATT&amp;CK Mappings'!$J346))), 'MITRE ATT&amp;CK Mappings'!$B346,"")</f>
        <v/>
      </c>
      <c r="L350" s="26" t="str">
        <f>IF('MITRE ATT&amp;CK Mappings'!D346 &lt;&gt;"",'MITRE ATT&amp;CK Mappings'!D346,"" )</f>
        <v/>
      </c>
    </row>
    <row r="351" spans="1:12" x14ac:dyDescent="0.25">
      <c r="A351" s="27" t="str">
        <f>IF(COUNTIF(B351:K351,"="&amp;'MITRE ATT&amp;CK Mappings'!B347)&gt;0,'MITRE ATT&amp;CK Mappings'!B347,"")</f>
        <v/>
      </c>
      <c r="B351" s="27" t="str">
        <f>IF(OR(OR(OR(OR(OR(ISNUMBER(SEARCH(IF(B$1&lt;&gt;"",B$1,"NA"),'MITRE ATT&amp;CK Mappings'!$E347)),ISNUMBER(SEARCH(IF(B$1&lt;&gt;"",B$1,"NA"),'MITRE ATT&amp;CK Mappings'!$F347))),ISNUMBER(SEARCH(IF(B$2&lt;&gt;"",B$2,"NA"),'MITRE ATT&amp;CK Mappings'!$G347))),ISNUMBER(SEARCH(IF(B$2&lt;&gt;"",B$2,"NA"),'MITRE ATT&amp;CK Mappings'!$H347))),ISNUMBER(SEARCH(IF(B$3&lt;&gt;"",B$3,"NA"),'MITRE ATT&amp;CK Mappings'!$I347))),ISNUMBER(SEARCH(IF(B$3&lt;&gt;"",B$3,"NA"),'MITRE ATT&amp;CK Mappings'!$J347))), 'MITRE ATT&amp;CK Mappings'!$B347,"")</f>
        <v/>
      </c>
      <c r="C351" s="27" t="str">
        <f>IF(OR(OR(OR(OR(OR(ISNUMBER(SEARCH(IF(C$1&lt;&gt;"",C$1,"NA"),'MITRE ATT&amp;CK Mappings'!$E347)),ISNUMBER(SEARCH(IF(C$1&lt;&gt;"",C$1,"NA"),'MITRE ATT&amp;CK Mappings'!$F347))),ISNUMBER(SEARCH(IF(C$2&lt;&gt;"",C$2,"NA"),'MITRE ATT&amp;CK Mappings'!$G347))),ISNUMBER(SEARCH(IF(C$2&lt;&gt;"",C$2,"NA"),'MITRE ATT&amp;CK Mappings'!$H347))),ISNUMBER(SEARCH(IF(C$3&lt;&gt;"",C$3,"NA"),'MITRE ATT&amp;CK Mappings'!$I347))),ISNUMBER(SEARCH(IF(C$3&lt;&gt;"",C$3,"NA"),'MITRE ATT&amp;CK Mappings'!$J347))), 'MITRE ATT&amp;CK Mappings'!$B347,"")</f>
        <v/>
      </c>
      <c r="D351" s="27" t="str">
        <f>IF(OR(OR(OR(OR(OR(ISNUMBER(SEARCH(IF(D$1&lt;&gt;"",D$1,"NA"),'MITRE ATT&amp;CK Mappings'!$E347)),ISNUMBER(SEARCH(IF(D$1&lt;&gt;"",D$1,"NA"),'MITRE ATT&amp;CK Mappings'!$F347))),ISNUMBER(SEARCH(IF(D$2&lt;&gt;"",D$2,"NA"),'MITRE ATT&amp;CK Mappings'!$G347))),ISNUMBER(SEARCH(IF(D$2&lt;&gt;"",D$2,"NA"),'MITRE ATT&amp;CK Mappings'!$H347))),ISNUMBER(SEARCH(IF(D$3&lt;&gt;"",D$3,"NA"),'MITRE ATT&amp;CK Mappings'!$I347))),ISNUMBER(SEARCH(IF(D$3&lt;&gt;"",D$3,"NA"),'MITRE ATT&amp;CK Mappings'!$J347))), 'MITRE ATT&amp;CK Mappings'!$B347,"")</f>
        <v/>
      </c>
      <c r="E351" s="27" t="str">
        <f>IF(OR(OR(OR(OR(OR(ISNUMBER(SEARCH(IF(E$1&lt;&gt;"",E$1,"NA"),'MITRE ATT&amp;CK Mappings'!$E347)),ISNUMBER(SEARCH(IF(E$1&lt;&gt;"",E$1,"NA"),'MITRE ATT&amp;CK Mappings'!$F347))),ISNUMBER(SEARCH(IF(E$2&lt;&gt;"",E$2,"NA"),'MITRE ATT&amp;CK Mappings'!$G347))),ISNUMBER(SEARCH(IF(E$2&lt;&gt;"",E$2,"NA"),'MITRE ATT&amp;CK Mappings'!$H347))),ISNUMBER(SEARCH(IF(E$3&lt;&gt;"",E$3,"NA"),'MITRE ATT&amp;CK Mappings'!$I347))),ISNUMBER(SEARCH(IF(E$3&lt;&gt;"",E$3,"NA"),'MITRE ATT&amp;CK Mappings'!$J347))), 'MITRE ATT&amp;CK Mappings'!$B347,"")</f>
        <v/>
      </c>
      <c r="F351" s="27" t="str">
        <f>IF(OR(OR(OR(OR(OR(ISNUMBER(SEARCH(IF(F$1&lt;&gt;"",F$1,"NA"),'MITRE ATT&amp;CK Mappings'!$E347)),ISNUMBER(SEARCH(IF(F$1&lt;&gt;"",F$1,"NA"),'MITRE ATT&amp;CK Mappings'!$F347))),ISNUMBER(SEARCH(IF(F$2&lt;&gt;"",F$2,"NA"),'MITRE ATT&amp;CK Mappings'!$G347))),ISNUMBER(SEARCH(IF(F$2&lt;&gt;"",F$2,"NA"),'MITRE ATT&amp;CK Mappings'!$H347))),ISNUMBER(SEARCH(IF(F$3&lt;&gt;"",F$3,"NA"),'MITRE ATT&amp;CK Mappings'!$I347))),ISNUMBER(SEARCH(IF(F$3&lt;&gt;"",F$3,"NA"),'MITRE ATT&amp;CK Mappings'!$J347))), 'MITRE ATT&amp;CK Mappings'!$B347,"")</f>
        <v/>
      </c>
      <c r="G351" s="27" t="str">
        <f>IF(OR(OR(OR(OR(OR(ISNUMBER(SEARCH(IF(G$1&lt;&gt;"",G$1,"NA"),'MITRE ATT&amp;CK Mappings'!$E347)),ISNUMBER(SEARCH(IF(G$1&lt;&gt;"",G$1,"NA"),'MITRE ATT&amp;CK Mappings'!$F347))),ISNUMBER(SEARCH(IF(G$2&lt;&gt;"",G$2,"NA"),'MITRE ATT&amp;CK Mappings'!$G347))),ISNUMBER(SEARCH(IF(G$2&lt;&gt;"",G$2,"NA"),'MITRE ATT&amp;CK Mappings'!$H347))),ISNUMBER(SEARCH(IF(G$3&lt;&gt;"",G$3,"NA"),'MITRE ATT&amp;CK Mappings'!$I347))),ISNUMBER(SEARCH(IF(G$3&lt;&gt;"",G$3,"NA"),'MITRE ATT&amp;CK Mappings'!$J347))), 'MITRE ATT&amp;CK Mappings'!$B347,"")</f>
        <v/>
      </c>
      <c r="H351" s="27" t="str">
        <f>IF(OR(OR(OR(OR(OR(ISNUMBER(SEARCH(IF(H$1&lt;&gt;"",H$1,"NA"),'MITRE ATT&amp;CK Mappings'!$E347)),ISNUMBER(SEARCH(IF(H$1&lt;&gt;"",H$1,"NA"),'MITRE ATT&amp;CK Mappings'!$F347))),ISNUMBER(SEARCH(IF(H$2&lt;&gt;"",H$2,"NA"),'MITRE ATT&amp;CK Mappings'!$G347))),ISNUMBER(SEARCH(IF(H$2&lt;&gt;"",H$2,"NA"),'MITRE ATT&amp;CK Mappings'!$H347))),ISNUMBER(SEARCH(IF(H$3&lt;&gt;"",H$3,"NA"),'MITRE ATT&amp;CK Mappings'!$I347))),ISNUMBER(SEARCH(IF(H$3&lt;&gt;"",H$3,"NA"),'MITRE ATT&amp;CK Mappings'!$J347))), 'MITRE ATT&amp;CK Mappings'!$B347,"")</f>
        <v/>
      </c>
      <c r="I351" s="27" t="str">
        <f>IF(OR(OR(OR(OR(OR(ISNUMBER(SEARCH(IF(I$1&lt;&gt;"",I$1,"NA"),'MITRE ATT&amp;CK Mappings'!$E347)),ISNUMBER(SEARCH(IF(I$1&lt;&gt;"",I$1,"NA"),'MITRE ATT&amp;CK Mappings'!$F347))),ISNUMBER(SEARCH(IF(I$2&lt;&gt;"",I$2,"NA"),'MITRE ATT&amp;CK Mappings'!$G347))),ISNUMBER(SEARCH(IF(I$2&lt;&gt;"",I$2,"NA"),'MITRE ATT&amp;CK Mappings'!$H347))),ISNUMBER(SEARCH(IF(I$3&lt;&gt;"",I$3,"NA"),'MITRE ATT&amp;CK Mappings'!$I347))),ISNUMBER(SEARCH(IF(I$3&lt;&gt;"",I$3,"NA"),'MITRE ATT&amp;CK Mappings'!$J347))), 'MITRE ATT&amp;CK Mappings'!$B347,"")</f>
        <v/>
      </c>
      <c r="J351" s="27" t="str">
        <f>IF(OR(OR(OR(OR(OR(ISNUMBER(SEARCH(IF(J$1&lt;&gt;"",J$1,"NA"),'MITRE ATT&amp;CK Mappings'!$E347)),ISNUMBER(SEARCH(IF(J$1&lt;&gt;"",J$1,"NA"),'MITRE ATT&amp;CK Mappings'!$F347))),ISNUMBER(SEARCH(IF(J$2&lt;&gt;"",J$2,"NA"),'MITRE ATT&amp;CK Mappings'!$G347))),ISNUMBER(SEARCH(IF(J$2&lt;&gt;"",J$2,"NA"),'MITRE ATT&amp;CK Mappings'!$H347))),ISNUMBER(SEARCH(IF(J$3&lt;&gt;"",J$3,"NA"),'MITRE ATT&amp;CK Mappings'!$I347))),ISNUMBER(SEARCH(IF(J$3&lt;&gt;"",J$3,"NA"),'MITRE ATT&amp;CK Mappings'!$J347))), 'MITRE ATT&amp;CK Mappings'!$B347,"")</f>
        <v/>
      </c>
      <c r="K351" s="27" t="str">
        <f>IF(OR(OR(OR(OR(OR(ISNUMBER(SEARCH(IF(K$1&lt;&gt;"",K$1,"NA"),'MITRE ATT&amp;CK Mappings'!$E347)),ISNUMBER(SEARCH(IF(K$1&lt;&gt;"",K$1,"NA"),'MITRE ATT&amp;CK Mappings'!$F347))),ISNUMBER(SEARCH(IF(K$2&lt;&gt;"",K$2,"NA"),'MITRE ATT&amp;CK Mappings'!$G347))),ISNUMBER(SEARCH(IF(K$2&lt;&gt;"",K$2,"NA"),'MITRE ATT&amp;CK Mappings'!$H347))),ISNUMBER(SEARCH(IF(K$3&lt;&gt;"",K$3,"NA"),'MITRE ATT&amp;CK Mappings'!$I347))),ISNUMBER(SEARCH(IF(K$3&lt;&gt;"",K$3,"NA"),'MITRE ATT&amp;CK Mappings'!$J347))), 'MITRE ATT&amp;CK Mappings'!$B347,"")</f>
        <v/>
      </c>
      <c r="L351" s="27" t="str">
        <f>IF('MITRE ATT&amp;CK Mappings'!D347 &lt;&gt;"",'MITRE ATT&amp;CK Mappings'!D347,"" )</f>
        <v/>
      </c>
    </row>
    <row r="352" spans="1:12" x14ac:dyDescent="0.25">
      <c r="A352" s="26" t="str">
        <f>IF(COUNTIF(B352:K352,"="&amp;'MITRE ATT&amp;CK Mappings'!B348)&gt;0,'MITRE ATT&amp;CK Mappings'!B348,"")</f>
        <v/>
      </c>
      <c r="B352" s="26" t="str">
        <f>IF(OR(OR(OR(OR(OR(ISNUMBER(SEARCH(IF(B$1&lt;&gt;"",B$1,"NA"),'MITRE ATT&amp;CK Mappings'!$E348)),ISNUMBER(SEARCH(IF(B$1&lt;&gt;"",B$1,"NA"),'MITRE ATT&amp;CK Mappings'!$F348))),ISNUMBER(SEARCH(IF(B$2&lt;&gt;"",B$2,"NA"),'MITRE ATT&amp;CK Mappings'!$G348))),ISNUMBER(SEARCH(IF(B$2&lt;&gt;"",B$2,"NA"),'MITRE ATT&amp;CK Mappings'!$H348))),ISNUMBER(SEARCH(IF(B$3&lt;&gt;"",B$3,"NA"),'MITRE ATT&amp;CK Mappings'!$I348))),ISNUMBER(SEARCH(IF(B$3&lt;&gt;"",B$3,"NA"),'MITRE ATT&amp;CK Mappings'!$J348))), 'MITRE ATT&amp;CK Mappings'!$B348,"")</f>
        <v/>
      </c>
      <c r="C352" s="26" t="str">
        <f>IF(OR(OR(OR(OR(OR(ISNUMBER(SEARCH(IF(C$1&lt;&gt;"",C$1,"NA"),'MITRE ATT&amp;CK Mappings'!$E348)),ISNUMBER(SEARCH(IF(C$1&lt;&gt;"",C$1,"NA"),'MITRE ATT&amp;CK Mappings'!$F348))),ISNUMBER(SEARCH(IF(C$2&lt;&gt;"",C$2,"NA"),'MITRE ATT&amp;CK Mappings'!$G348))),ISNUMBER(SEARCH(IF(C$2&lt;&gt;"",C$2,"NA"),'MITRE ATT&amp;CK Mappings'!$H348))),ISNUMBER(SEARCH(IF(C$3&lt;&gt;"",C$3,"NA"),'MITRE ATT&amp;CK Mappings'!$I348))),ISNUMBER(SEARCH(IF(C$3&lt;&gt;"",C$3,"NA"),'MITRE ATT&amp;CK Mappings'!$J348))), 'MITRE ATT&amp;CK Mappings'!$B348,"")</f>
        <v/>
      </c>
      <c r="D352" s="26" t="str">
        <f>IF(OR(OR(OR(OR(OR(ISNUMBER(SEARCH(IF(D$1&lt;&gt;"",D$1,"NA"),'MITRE ATT&amp;CK Mappings'!$E348)),ISNUMBER(SEARCH(IF(D$1&lt;&gt;"",D$1,"NA"),'MITRE ATT&amp;CK Mappings'!$F348))),ISNUMBER(SEARCH(IF(D$2&lt;&gt;"",D$2,"NA"),'MITRE ATT&amp;CK Mappings'!$G348))),ISNUMBER(SEARCH(IF(D$2&lt;&gt;"",D$2,"NA"),'MITRE ATT&amp;CK Mappings'!$H348))),ISNUMBER(SEARCH(IF(D$3&lt;&gt;"",D$3,"NA"),'MITRE ATT&amp;CK Mappings'!$I348))),ISNUMBER(SEARCH(IF(D$3&lt;&gt;"",D$3,"NA"),'MITRE ATT&amp;CK Mappings'!$J348))), 'MITRE ATT&amp;CK Mappings'!$B348,"")</f>
        <v/>
      </c>
      <c r="E352" s="26" t="str">
        <f>IF(OR(OR(OR(OR(OR(ISNUMBER(SEARCH(IF(E$1&lt;&gt;"",E$1,"NA"),'MITRE ATT&amp;CK Mappings'!$E348)),ISNUMBER(SEARCH(IF(E$1&lt;&gt;"",E$1,"NA"),'MITRE ATT&amp;CK Mappings'!$F348))),ISNUMBER(SEARCH(IF(E$2&lt;&gt;"",E$2,"NA"),'MITRE ATT&amp;CK Mappings'!$G348))),ISNUMBER(SEARCH(IF(E$2&lt;&gt;"",E$2,"NA"),'MITRE ATT&amp;CK Mappings'!$H348))),ISNUMBER(SEARCH(IF(E$3&lt;&gt;"",E$3,"NA"),'MITRE ATT&amp;CK Mappings'!$I348))),ISNUMBER(SEARCH(IF(E$3&lt;&gt;"",E$3,"NA"),'MITRE ATT&amp;CK Mappings'!$J348))), 'MITRE ATT&amp;CK Mappings'!$B348,"")</f>
        <v/>
      </c>
      <c r="F352" s="26" t="str">
        <f>IF(OR(OR(OR(OR(OR(ISNUMBER(SEARCH(IF(F$1&lt;&gt;"",F$1,"NA"),'MITRE ATT&amp;CK Mappings'!$E348)),ISNUMBER(SEARCH(IF(F$1&lt;&gt;"",F$1,"NA"),'MITRE ATT&amp;CK Mappings'!$F348))),ISNUMBER(SEARCH(IF(F$2&lt;&gt;"",F$2,"NA"),'MITRE ATT&amp;CK Mappings'!$G348))),ISNUMBER(SEARCH(IF(F$2&lt;&gt;"",F$2,"NA"),'MITRE ATT&amp;CK Mappings'!$H348))),ISNUMBER(SEARCH(IF(F$3&lt;&gt;"",F$3,"NA"),'MITRE ATT&amp;CK Mappings'!$I348))),ISNUMBER(SEARCH(IF(F$3&lt;&gt;"",F$3,"NA"),'MITRE ATT&amp;CK Mappings'!$J348))), 'MITRE ATT&amp;CK Mappings'!$B348,"")</f>
        <v/>
      </c>
      <c r="G352" s="26" t="str">
        <f>IF(OR(OR(OR(OR(OR(ISNUMBER(SEARCH(IF(G$1&lt;&gt;"",G$1,"NA"),'MITRE ATT&amp;CK Mappings'!$E348)),ISNUMBER(SEARCH(IF(G$1&lt;&gt;"",G$1,"NA"),'MITRE ATT&amp;CK Mappings'!$F348))),ISNUMBER(SEARCH(IF(G$2&lt;&gt;"",G$2,"NA"),'MITRE ATT&amp;CK Mappings'!$G348))),ISNUMBER(SEARCH(IF(G$2&lt;&gt;"",G$2,"NA"),'MITRE ATT&amp;CK Mappings'!$H348))),ISNUMBER(SEARCH(IF(G$3&lt;&gt;"",G$3,"NA"),'MITRE ATT&amp;CK Mappings'!$I348))),ISNUMBER(SEARCH(IF(G$3&lt;&gt;"",G$3,"NA"),'MITRE ATT&amp;CK Mappings'!$J348))), 'MITRE ATT&amp;CK Mappings'!$B348,"")</f>
        <v/>
      </c>
      <c r="H352" s="26" t="str">
        <f>IF(OR(OR(OR(OR(OR(ISNUMBER(SEARCH(IF(H$1&lt;&gt;"",H$1,"NA"),'MITRE ATT&amp;CK Mappings'!$E348)),ISNUMBER(SEARCH(IF(H$1&lt;&gt;"",H$1,"NA"),'MITRE ATT&amp;CK Mappings'!$F348))),ISNUMBER(SEARCH(IF(H$2&lt;&gt;"",H$2,"NA"),'MITRE ATT&amp;CK Mappings'!$G348))),ISNUMBER(SEARCH(IF(H$2&lt;&gt;"",H$2,"NA"),'MITRE ATT&amp;CK Mappings'!$H348))),ISNUMBER(SEARCH(IF(H$3&lt;&gt;"",H$3,"NA"),'MITRE ATT&amp;CK Mappings'!$I348))),ISNUMBER(SEARCH(IF(H$3&lt;&gt;"",H$3,"NA"),'MITRE ATT&amp;CK Mappings'!$J348))), 'MITRE ATT&amp;CK Mappings'!$B348,"")</f>
        <v/>
      </c>
      <c r="I352" s="26" t="str">
        <f>IF(OR(OR(OR(OR(OR(ISNUMBER(SEARCH(IF(I$1&lt;&gt;"",I$1,"NA"),'MITRE ATT&amp;CK Mappings'!$E348)),ISNUMBER(SEARCH(IF(I$1&lt;&gt;"",I$1,"NA"),'MITRE ATT&amp;CK Mappings'!$F348))),ISNUMBER(SEARCH(IF(I$2&lt;&gt;"",I$2,"NA"),'MITRE ATT&amp;CK Mappings'!$G348))),ISNUMBER(SEARCH(IF(I$2&lt;&gt;"",I$2,"NA"),'MITRE ATT&amp;CK Mappings'!$H348))),ISNUMBER(SEARCH(IF(I$3&lt;&gt;"",I$3,"NA"),'MITRE ATT&amp;CK Mappings'!$I348))),ISNUMBER(SEARCH(IF(I$3&lt;&gt;"",I$3,"NA"),'MITRE ATT&amp;CK Mappings'!$J348))), 'MITRE ATT&amp;CK Mappings'!$B348,"")</f>
        <v/>
      </c>
      <c r="J352" s="26" t="str">
        <f>IF(OR(OR(OR(OR(OR(ISNUMBER(SEARCH(IF(J$1&lt;&gt;"",J$1,"NA"),'MITRE ATT&amp;CK Mappings'!$E348)),ISNUMBER(SEARCH(IF(J$1&lt;&gt;"",J$1,"NA"),'MITRE ATT&amp;CK Mappings'!$F348))),ISNUMBER(SEARCH(IF(J$2&lt;&gt;"",J$2,"NA"),'MITRE ATT&amp;CK Mappings'!$G348))),ISNUMBER(SEARCH(IF(J$2&lt;&gt;"",J$2,"NA"),'MITRE ATT&amp;CK Mappings'!$H348))),ISNUMBER(SEARCH(IF(J$3&lt;&gt;"",J$3,"NA"),'MITRE ATT&amp;CK Mappings'!$I348))),ISNUMBER(SEARCH(IF(J$3&lt;&gt;"",J$3,"NA"),'MITRE ATT&amp;CK Mappings'!$J348))), 'MITRE ATT&amp;CK Mappings'!$B348,"")</f>
        <v/>
      </c>
      <c r="K352" s="26" t="str">
        <f>IF(OR(OR(OR(OR(OR(ISNUMBER(SEARCH(IF(K$1&lt;&gt;"",K$1,"NA"),'MITRE ATT&amp;CK Mappings'!$E348)),ISNUMBER(SEARCH(IF(K$1&lt;&gt;"",K$1,"NA"),'MITRE ATT&amp;CK Mappings'!$F348))),ISNUMBER(SEARCH(IF(K$2&lt;&gt;"",K$2,"NA"),'MITRE ATT&amp;CK Mappings'!$G348))),ISNUMBER(SEARCH(IF(K$2&lt;&gt;"",K$2,"NA"),'MITRE ATT&amp;CK Mappings'!$H348))),ISNUMBER(SEARCH(IF(K$3&lt;&gt;"",K$3,"NA"),'MITRE ATT&amp;CK Mappings'!$I348))),ISNUMBER(SEARCH(IF(K$3&lt;&gt;"",K$3,"NA"),'MITRE ATT&amp;CK Mappings'!$J348))), 'MITRE ATT&amp;CK Mappings'!$B348,"")</f>
        <v/>
      </c>
      <c r="L352" s="26" t="str">
        <f>IF('MITRE ATT&amp;CK Mappings'!D348 &lt;&gt;"",'MITRE ATT&amp;CK Mappings'!D348,"" )</f>
        <v/>
      </c>
    </row>
    <row r="353" spans="1:12" x14ac:dyDescent="0.25">
      <c r="A353" s="27" t="str">
        <f>IF(COUNTIF(B353:K353,"="&amp;'MITRE ATT&amp;CK Mappings'!B349)&gt;0,'MITRE ATT&amp;CK Mappings'!B349,"")</f>
        <v/>
      </c>
      <c r="B353" s="27" t="str">
        <f>IF(OR(OR(OR(OR(OR(ISNUMBER(SEARCH(IF(B$1&lt;&gt;"",B$1,"NA"),'MITRE ATT&amp;CK Mappings'!$E349)),ISNUMBER(SEARCH(IF(B$1&lt;&gt;"",B$1,"NA"),'MITRE ATT&amp;CK Mappings'!$F349))),ISNUMBER(SEARCH(IF(B$2&lt;&gt;"",B$2,"NA"),'MITRE ATT&amp;CK Mappings'!$G349))),ISNUMBER(SEARCH(IF(B$2&lt;&gt;"",B$2,"NA"),'MITRE ATT&amp;CK Mappings'!$H349))),ISNUMBER(SEARCH(IF(B$3&lt;&gt;"",B$3,"NA"),'MITRE ATT&amp;CK Mappings'!$I349))),ISNUMBER(SEARCH(IF(B$3&lt;&gt;"",B$3,"NA"),'MITRE ATT&amp;CK Mappings'!$J349))), 'MITRE ATT&amp;CK Mappings'!$B349,"")</f>
        <v/>
      </c>
      <c r="C353" s="27" t="str">
        <f>IF(OR(OR(OR(OR(OR(ISNUMBER(SEARCH(IF(C$1&lt;&gt;"",C$1,"NA"),'MITRE ATT&amp;CK Mappings'!$E349)),ISNUMBER(SEARCH(IF(C$1&lt;&gt;"",C$1,"NA"),'MITRE ATT&amp;CK Mappings'!$F349))),ISNUMBER(SEARCH(IF(C$2&lt;&gt;"",C$2,"NA"),'MITRE ATT&amp;CK Mappings'!$G349))),ISNUMBER(SEARCH(IF(C$2&lt;&gt;"",C$2,"NA"),'MITRE ATT&amp;CK Mappings'!$H349))),ISNUMBER(SEARCH(IF(C$3&lt;&gt;"",C$3,"NA"),'MITRE ATT&amp;CK Mappings'!$I349))),ISNUMBER(SEARCH(IF(C$3&lt;&gt;"",C$3,"NA"),'MITRE ATT&amp;CK Mappings'!$J349))), 'MITRE ATT&amp;CK Mappings'!$B349,"")</f>
        <v/>
      </c>
      <c r="D353" s="27" t="str">
        <f>IF(OR(OR(OR(OR(OR(ISNUMBER(SEARCH(IF(D$1&lt;&gt;"",D$1,"NA"),'MITRE ATT&amp;CK Mappings'!$E349)),ISNUMBER(SEARCH(IF(D$1&lt;&gt;"",D$1,"NA"),'MITRE ATT&amp;CK Mappings'!$F349))),ISNUMBER(SEARCH(IF(D$2&lt;&gt;"",D$2,"NA"),'MITRE ATT&amp;CK Mappings'!$G349))),ISNUMBER(SEARCH(IF(D$2&lt;&gt;"",D$2,"NA"),'MITRE ATT&amp;CK Mappings'!$H349))),ISNUMBER(SEARCH(IF(D$3&lt;&gt;"",D$3,"NA"),'MITRE ATT&amp;CK Mappings'!$I349))),ISNUMBER(SEARCH(IF(D$3&lt;&gt;"",D$3,"NA"),'MITRE ATT&amp;CK Mappings'!$J349))), 'MITRE ATT&amp;CK Mappings'!$B349,"")</f>
        <v/>
      </c>
      <c r="E353" s="27" t="str">
        <f>IF(OR(OR(OR(OR(OR(ISNUMBER(SEARCH(IF(E$1&lt;&gt;"",E$1,"NA"),'MITRE ATT&amp;CK Mappings'!$E349)),ISNUMBER(SEARCH(IF(E$1&lt;&gt;"",E$1,"NA"),'MITRE ATT&amp;CK Mappings'!$F349))),ISNUMBER(SEARCH(IF(E$2&lt;&gt;"",E$2,"NA"),'MITRE ATT&amp;CK Mappings'!$G349))),ISNUMBER(SEARCH(IF(E$2&lt;&gt;"",E$2,"NA"),'MITRE ATT&amp;CK Mappings'!$H349))),ISNUMBER(SEARCH(IF(E$3&lt;&gt;"",E$3,"NA"),'MITRE ATT&amp;CK Mappings'!$I349))),ISNUMBER(SEARCH(IF(E$3&lt;&gt;"",E$3,"NA"),'MITRE ATT&amp;CK Mappings'!$J349))), 'MITRE ATT&amp;CK Mappings'!$B349,"")</f>
        <v/>
      </c>
      <c r="F353" s="27" t="str">
        <f>IF(OR(OR(OR(OR(OR(ISNUMBER(SEARCH(IF(F$1&lt;&gt;"",F$1,"NA"),'MITRE ATT&amp;CK Mappings'!$E349)),ISNUMBER(SEARCH(IF(F$1&lt;&gt;"",F$1,"NA"),'MITRE ATT&amp;CK Mappings'!$F349))),ISNUMBER(SEARCH(IF(F$2&lt;&gt;"",F$2,"NA"),'MITRE ATT&amp;CK Mappings'!$G349))),ISNUMBER(SEARCH(IF(F$2&lt;&gt;"",F$2,"NA"),'MITRE ATT&amp;CK Mappings'!$H349))),ISNUMBER(SEARCH(IF(F$3&lt;&gt;"",F$3,"NA"),'MITRE ATT&amp;CK Mappings'!$I349))),ISNUMBER(SEARCH(IF(F$3&lt;&gt;"",F$3,"NA"),'MITRE ATT&amp;CK Mappings'!$J349))), 'MITRE ATT&amp;CK Mappings'!$B349,"")</f>
        <v/>
      </c>
      <c r="G353" s="27" t="str">
        <f>IF(OR(OR(OR(OR(OR(ISNUMBER(SEARCH(IF(G$1&lt;&gt;"",G$1,"NA"),'MITRE ATT&amp;CK Mappings'!$E349)),ISNUMBER(SEARCH(IF(G$1&lt;&gt;"",G$1,"NA"),'MITRE ATT&amp;CK Mappings'!$F349))),ISNUMBER(SEARCH(IF(G$2&lt;&gt;"",G$2,"NA"),'MITRE ATT&amp;CK Mappings'!$G349))),ISNUMBER(SEARCH(IF(G$2&lt;&gt;"",G$2,"NA"),'MITRE ATT&amp;CK Mappings'!$H349))),ISNUMBER(SEARCH(IF(G$3&lt;&gt;"",G$3,"NA"),'MITRE ATT&amp;CK Mappings'!$I349))),ISNUMBER(SEARCH(IF(G$3&lt;&gt;"",G$3,"NA"),'MITRE ATT&amp;CK Mappings'!$J349))), 'MITRE ATT&amp;CK Mappings'!$B349,"")</f>
        <v/>
      </c>
      <c r="H353" s="27" t="str">
        <f>IF(OR(OR(OR(OR(OR(ISNUMBER(SEARCH(IF(H$1&lt;&gt;"",H$1,"NA"),'MITRE ATT&amp;CK Mappings'!$E349)),ISNUMBER(SEARCH(IF(H$1&lt;&gt;"",H$1,"NA"),'MITRE ATT&amp;CK Mappings'!$F349))),ISNUMBER(SEARCH(IF(H$2&lt;&gt;"",H$2,"NA"),'MITRE ATT&amp;CK Mappings'!$G349))),ISNUMBER(SEARCH(IF(H$2&lt;&gt;"",H$2,"NA"),'MITRE ATT&amp;CK Mappings'!$H349))),ISNUMBER(SEARCH(IF(H$3&lt;&gt;"",H$3,"NA"),'MITRE ATT&amp;CK Mappings'!$I349))),ISNUMBER(SEARCH(IF(H$3&lt;&gt;"",H$3,"NA"),'MITRE ATT&amp;CK Mappings'!$J349))), 'MITRE ATT&amp;CK Mappings'!$B349,"")</f>
        <v/>
      </c>
      <c r="I353" s="27" t="str">
        <f>IF(OR(OR(OR(OR(OR(ISNUMBER(SEARCH(IF(I$1&lt;&gt;"",I$1,"NA"),'MITRE ATT&amp;CK Mappings'!$E349)),ISNUMBER(SEARCH(IF(I$1&lt;&gt;"",I$1,"NA"),'MITRE ATT&amp;CK Mappings'!$F349))),ISNUMBER(SEARCH(IF(I$2&lt;&gt;"",I$2,"NA"),'MITRE ATT&amp;CK Mappings'!$G349))),ISNUMBER(SEARCH(IF(I$2&lt;&gt;"",I$2,"NA"),'MITRE ATT&amp;CK Mappings'!$H349))),ISNUMBER(SEARCH(IF(I$3&lt;&gt;"",I$3,"NA"),'MITRE ATT&amp;CK Mappings'!$I349))),ISNUMBER(SEARCH(IF(I$3&lt;&gt;"",I$3,"NA"),'MITRE ATT&amp;CK Mappings'!$J349))), 'MITRE ATT&amp;CK Mappings'!$B349,"")</f>
        <v/>
      </c>
      <c r="J353" s="27" t="str">
        <f>IF(OR(OR(OR(OR(OR(ISNUMBER(SEARCH(IF(J$1&lt;&gt;"",J$1,"NA"),'MITRE ATT&amp;CK Mappings'!$E349)),ISNUMBER(SEARCH(IF(J$1&lt;&gt;"",J$1,"NA"),'MITRE ATT&amp;CK Mappings'!$F349))),ISNUMBER(SEARCH(IF(J$2&lt;&gt;"",J$2,"NA"),'MITRE ATT&amp;CK Mappings'!$G349))),ISNUMBER(SEARCH(IF(J$2&lt;&gt;"",J$2,"NA"),'MITRE ATT&amp;CK Mappings'!$H349))),ISNUMBER(SEARCH(IF(J$3&lt;&gt;"",J$3,"NA"),'MITRE ATT&amp;CK Mappings'!$I349))),ISNUMBER(SEARCH(IF(J$3&lt;&gt;"",J$3,"NA"),'MITRE ATT&amp;CK Mappings'!$J349))), 'MITRE ATT&amp;CK Mappings'!$B349,"")</f>
        <v/>
      </c>
      <c r="K353" s="27" t="str">
        <f>IF(OR(OR(OR(OR(OR(ISNUMBER(SEARCH(IF(K$1&lt;&gt;"",K$1,"NA"),'MITRE ATT&amp;CK Mappings'!$E349)),ISNUMBER(SEARCH(IF(K$1&lt;&gt;"",K$1,"NA"),'MITRE ATT&amp;CK Mappings'!$F349))),ISNUMBER(SEARCH(IF(K$2&lt;&gt;"",K$2,"NA"),'MITRE ATT&amp;CK Mappings'!$G349))),ISNUMBER(SEARCH(IF(K$2&lt;&gt;"",K$2,"NA"),'MITRE ATT&amp;CK Mappings'!$H349))),ISNUMBER(SEARCH(IF(K$3&lt;&gt;"",K$3,"NA"),'MITRE ATT&amp;CK Mappings'!$I349))),ISNUMBER(SEARCH(IF(K$3&lt;&gt;"",K$3,"NA"),'MITRE ATT&amp;CK Mappings'!$J349))), 'MITRE ATT&amp;CK Mappings'!$B349,"")</f>
        <v/>
      </c>
      <c r="L353" s="27" t="str">
        <f>IF('MITRE ATT&amp;CK Mappings'!D349 &lt;&gt;"",'MITRE ATT&amp;CK Mappings'!D349,"" )</f>
        <v/>
      </c>
    </row>
    <row r="354" spans="1:12" x14ac:dyDescent="0.25">
      <c r="A354" s="26" t="str">
        <f>IF(COUNTIF(B354:K354,"="&amp;'MITRE ATT&amp;CK Mappings'!B350)&gt;0,'MITRE ATT&amp;CK Mappings'!B350,"")</f>
        <v/>
      </c>
      <c r="B354" s="26" t="str">
        <f>IF(OR(OR(OR(OR(OR(ISNUMBER(SEARCH(IF(B$1&lt;&gt;"",B$1,"NA"),'MITRE ATT&amp;CK Mappings'!$E350)),ISNUMBER(SEARCH(IF(B$1&lt;&gt;"",B$1,"NA"),'MITRE ATT&amp;CK Mappings'!$F350))),ISNUMBER(SEARCH(IF(B$2&lt;&gt;"",B$2,"NA"),'MITRE ATT&amp;CK Mappings'!$G350))),ISNUMBER(SEARCH(IF(B$2&lt;&gt;"",B$2,"NA"),'MITRE ATT&amp;CK Mappings'!$H350))),ISNUMBER(SEARCH(IF(B$3&lt;&gt;"",B$3,"NA"),'MITRE ATT&amp;CK Mappings'!$I350))),ISNUMBER(SEARCH(IF(B$3&lt;&gt;"",B$3,"NA"),'MITRE ATT&amp;CK Mappings'!$J350))), 'MITRE ATT&amp;CK Mappings'!$B350,"")</f>
        <v/>
      </c>
      <c r="C354" s="26" t="str">
        <f>IF(OR(OR(OR(OR(OR(ISNUMBER(SEARCH(IF(C$1&lt;&gt;"",C$1,"NA"),'MITRE ATT&amp;CK Mappings'!$E350)),ISNUMBER(SEARCH(IF(C$1&lt;&gt;"",C$1,"NA"),'MITRE ATT&amp;CK Mappings'!$F350))),ISNUMBER(SEARCH(IF(C$2&lt;&gt;"",C$2,"NA"),'MITRE ATT&amp;CK Mappings'!$G350))),ISNUMBER(SEARCH(IF(C$2&lt;&gt;"",C$2,"NA"),'MITRE ATT&amp;CK Mappings'!$H350))),ISNUMBER(SEARCH(IF(C$3&lt;&gt;"",C$3,"NA"),'MITRE ATT&amp;CK Mappings'!$I350))),ISNUMBER(SEARCH(IF(C$3&lt;&gt;"",C$3,"NA"),'MITRE ATT&amp;CK Mappings'!$J350))), 'MITRE ATT&amp;CK Mappings'!$B350,"")</f>
        <v/>
      </c>
      <c r="D354" s="26" t="str">
        <f>IF(OR(OR(OR(OR(OR(ISNUMBER(SEARCH(IF(D$1&lt;&gt;"",D$1,"NA"),'MITRE ATT&amp;CK Mappings'!$E350)),ISNUMBER(SEARCH(IF(D$1&lt;&gt;"",D$1,"NA"),'MITRE ATT&amp;CK Mappings'!$F350))),ISNUMBER(SEARCH(IF(D$2&lt;&gt;"",D$2,"NA"),'MITRE ATT&amp;CK Mappings'!$G350))),ISNUMBER(SEARCH(IF(D$2&lt;&gt;"",D$2,"NA"),'MITRE ATT&amp;CK Mappings'!$H350))),ISNUMBER(SEARCH(IF(D$3&lt;&gt;"",D$3,"NA"),'MITRE ATT&amp;CK Mappings'!$I350))),ISNUMBER(SEARCH(IF(D$3&lt;&gt;"",D$3,"NA"),'MITRE ATT&amp;CK Mappings'!$J350))), 'MITRE ATT&amp;CK Mappings'!$B350,"")</f>
        <v/>
      </c>
      <c r="E354" s="26" t="str">
        <f>IF(OR(OR(OR(OR(OR(ISNUMBER(SEARCH(IF(E$1&lt;&gt;"",E$1,"NA"),'MITRE ATT&amp;CK Mappings'!$E350)),ISNUMBER(SEARCH(IF(E$1&lt;&gt;"",E$1,"NA"),'MITRE ATT&amp;CK Mappings'!$F350))),ISNUMBER(SEARCH(IF(E$2&lt;&gt;"",E$2,"NA"),'MITRE ATT&amp;CK Mappings'!$G350))),ISNUMBER(SEARCH(IF(E$2&lt;&gt;"",E$2,"NA"),'MITRE ATT&amp;CK Mappings'!$H350))),ISNUMBER(SEARCH(IF(E$3&lt;&gt;"",E$3,"NA"),'MITRE ATT&amp;CK Mappings'!$I350))),ISNUMBER(SEARCH(IF(E$3&lt;&gt;"",E$3,"NA"),'MITRE ATT&amp;CK Mappings'!$J350))), 'MITRE ATT&amp;CK Mappings'!$B350,"")</f>
        <v/>
      </c>
      <c r="F354" s="26" t="str">
        <f>IF(OR(OR(OR(OR(OR(ISNUMBER(SEARCH(IF(F$1&lt;&gt;"",F$1,"NA"),'MITRE ATT&amp;CK Mappings'!$E350)),ISNUMBER(SEARCH(IF(F$1&lt;&gt;"",F$1,"NA"),'MITRE ATT&amp;CK Mappings'!$F350))),ISNUMBER(SEARCH(IF(F$2&lt;&gt;"",F$2,"NA"),'MITRE ATT&amp;CK Mappings'!$G350))),ISNUMBER(SEARCH(IF(F$2&lt;&gt;"",F$2,"NA"),'MITRE ATT&amp;CK Mappings'!$H350))),ISNUMBER(SEARCH(IF(F$3&lt;&gt;"",F$3,"NA"),'MITRE ATT&amp;CK Mappings'!$I350))),ISNUMBER(SEARCH(IF(F$3&lt;&gt;"",F$3,"NA"),'MITRE ATT&amp;CK Mappings'!$J350))), 'MITRE ATT&amp;CK Mappings'!$B350,"")</f>
        <v/>
      </c>
      <c r="G354" s="26" t="str">
        <f>IF(OR(OR(OR(OR(OR(ISNUMBER(SEARCH(IF(G$1&lt;&gt;"",G$1,"NA"),'MITRE ATT&amp;CK Mappings'!$E350)),ISNUMBER(SEARCH(IF(G$1&lt;&gt;"",G$1,"NA"),'MITRE ATT&amp;CK Mappings'!$F350))),ISNUMBER(SEARCH(IF(G$2&lt;&gt;"",G$2,"NA"),'MITRE ATT&amp;CK Mappings'!$G350))),ISNUMBER(SEARCH(IF(G$2&lt;&gt;"",G$2,"NA"),'MITRE ATT&amp;CK Mappings'!$H350))),ISNUMBER(SEARCH(IF(G$3&lt;&gt;"",G$3,"NA"),'MITRE ATT&amp;CK Mappings'!$I350))),ISNUMBER(SEARCH(IF(G$3&lt;&gt;"",G$3,"NA"),'MITRE ATT&amp;CK Mappings'!$J350))), 'MITRE ATT&amp;CK Mappings'!$B350,"")</f>
        <v/>
      </c>
      <c r="H354" s="26" t="str">
        <f>IF(OR(OR(OR(OR(OR(ISNUMBER(SEARCH(IF(H$1&lt;&gt;"",H$1,"NA"),'MITRE ATT&amp;CK Mappings'!$E350)),ISNUMBER(SEARCH(IF(H$1&lt;&gt;"",H$1,"NA"),'MITRE ATT&amp;CK Mappings'!$F350))),ISNUMBER(SEARCH(IF(H$2&lt;&gt;"",H$2,"NA"),'MITRE ATT&amp;CK Mappings'!$G350))),ISNUMBER(SEARCH(IF(H$2&lt;&gt;"",H$2,"NA"),'MITRE ATT&amp;CK Mappings'!$H350))),ISNUMBER(SEARCH(IF(H$3&lt;&gt;"",H$3,"NA"),'MITRE ATT&amp;CK Mappings'!$I350))),ISNUMBER(SEARCH(IF(H$3&lt;&gt;"",H$3,"NA"),'MITRE ATT&amp;CK Mappings'!$J350))), 'MITRE ATT&amp;CK Mappings'!$B350,"")</f>
        <v/>
      </c>
      <c r="I354" s="26" t="str">
        <f>IF(OR(OR(OR(OR(OR(ISNUMBER(SEARCH(IF(I$1&lt;&gt;"",I$1,"NA"),'MITRE ATT&amp;CK Mappings'!$E350)),ISNUMBER(SEARCH(IF(I$1&lt;&gt;"",I$1,"NA"),'MITRE ATT&amp;CK Mappings'!$F350))),ISNUMBER(SEARCH(IF(I$2&lt;&gt;"",I$2,"NA"),'MITRE ATT&amp;CK Mappings'!$G350))),ISNUMBER(SEARCH(IF(I$2&lt;&gt;"",I$2,"NA"),'MITRE ATT&amp;CK Mappings'!$H350))),ISNUMBER(SEARCH(IF(I$3&lt;&gt;"",I$3,"NA"),'MITRE ATT&amp;CK Mappings'!$I350))),ISNUMBER(SEARCH(IF(I$3&lt;&gt;"",I$3,"NA"),'MITRE ATT&amp;CK Mappings'!$J350))), 'MITRE ATT&amp;CK Mappings'!$B350,"")</f>
        <v/>
      </c>
      <c r="J354" s="26" t="str">
        <f>IF(OR(OR(OR(OR(OR(ISNUMBER(SEARCH(IF(J$1&lt;&gt;"",J$1,"NA"),'MITRE ATT&amp;CK Mappings'!$E350)),ISNUMBER(SEARCH(IF(J$1&lt;&gt;"",J$1,"NA"),'MITRE ATT&amp;CK Mappings'!$F350))),ISNUMBER(SEARCH(IF(J$2&lt;&gt;"",J$2,"NA"),'MITRE ATT&amp;CK Mappings'!$G350))),ISNUMBER(SEARCH(IF(J$2&lt;&gt;"",J$2,"NA"),'MITRE ATT&amp;CK Mappings'!$H350))),ISNUMBER(SEARCH(IF(J$3&lt;&gt;"",J$3,"NA"),'MITRE ATT&amp;CK Mappings'!$I350))),ISNUMBER(SEARCH(IF(J$3&lt;&gt;"",J$3,"NA"),'MITRE ATT&amp;CK Mappings'!$J350))), 'MITRE ATT&amp;CK Mappings'!$B350,"")</f>
        <v/>
      </c>
      <c r="K354" s="26" t="str">
        <f>IF(OR(OR(OR(OR(OR(ISNUMBER(SEARCH(IF(K$1&lt;&gt;"",K$1,"NA"),'MITRE ATT&amp;CK Mappings'!$E350)),ISNUMBER(SEARCH(IF(K$1&lt;&gt;"",K$1,"NA"),'MITRE ATT&amp;CK Mappings'!$F350))),ISNUMBER(SEARCH(IF(K$2&lt;&gt;"",K$2,"NA"),'MITRE ATT&amp;CK Mappings'!$G350))),ISNUMBER(SEARCH(IF(K$2&lt;&gt;"",K$2,"NA"),'MITRE ATT&amp;CK Mappings'!$H350))),ISNUMBER(SEARCH(IF(K$3&lt;&gt;"",K$3,"NA"),'MITRE ATT&amp;CK Mappings'!$I350))),ISNUMBER(SEARCH(IF(K$3&lt;&gt;"",K$3,"NA"),'MITRE ATT&amp;CK Mappings'!$J350))), 'MITRE ATT&amp;CK Mappings'!$B350,"")</f>
        <v/>
      </c>
      <c r="L354" s="26" t="str">
        <f>IF('MITRE ATT&amp;CK Mappings'!D350 &lt;&gt;"",'MITRE ATT&amp;CK Mappings'!D350,"" )</f>
        <v/>
      </c>
    </row>
    <row r="355" spans="1:12" x14ac:dyDescent="0.25">
      <c r="A355" s="27" t="str">
        <f>IF(COUNTIF(B355:K355,"="&amp;'MITRE ATT&amp;CK Mappings'!B351)&gt;0,'MITRE ATT&amp;CK Mappings'!B351,"")</f>
        <v/>
      </c>
      <c r="B355" s="27" t="str">
        <f>IF(OR(OR(OR(OR(OR(ISNUMBER(SEARCH(IF(B$1&lt;&gt;"",B$1,"NA"),'MITRE ATT&amp;CK Mappings'!$E351)),ISNUMBER(SEARCH(IF(B$1&lt;&gt;"",B$1,"NA"),'MITRE ATT&amp;CK Mappings'!$F351))),ISNUMBER(SEARCH(IF(B$2&lt;&gt;"",B$2,"NA"),'MITRE ATT&amp;CK Mappings'!$G351))),ISNUMBER(SEARCH(IF(B$2&lt;&gt;"",B$2,"NA"),'MITRE ATT&amp;CK Mappings'!$H351))),ISNUMBER(SEARCH(IF(B$3&lt;&gt;"",B$3,"NA"),'MITRE ATT&amp;CK Mappings'!$I351))),ISNUMBER(SEARCH(IF(B$3&lt;&gt;"",B$3,"NA"),'MITRE ATT&amp;CK Mappings'!$J351))), 'MITRE ATT&amp;CK Mappings'!$B351,"")</f>
        <v/>
      </c>
      <c r="C355" s="27" t="str">
        <f>IF(OR(OR(OR(OR(OR(ISNUMBER(SEARCH(IF(C$1&lt;&gt;"",C$1,"NA"),'MITRE ATT&amp;CK Mappings'!$E351)),ISNUMBER(SEARCH(IF(C$1&lt;&gt;"",C$1,"NA"),'MITRE ATT&amp;CK Mappings'!$F351))),ISNUMBER(SEARCH(IF(C$2&lt;&gt;"",C$2,"NA"),'MITRE ATT&amp;CK Mappings'!$G351))),ISNUMBER(SEARCH(IF(C$2&lt;&gt;"",C$2,"NA"),'MITRE ATT&amp;CK Mappings'!$H351))),ISNUMBER(SEARCH(IF(C$3&lt;&gt;"",C$3,"NA"),'MITRE ATT&amp;CK Mappings'!$I351))),ISNUMBER(SEARCH(IF(C$3&lt;&gt;"",C$3,"NA"),'MITRE ATT&amp;CK Mappings'!$J351))), 'MITRE ATT&amp;CK Mappings'!$B351,"")</f>
        <v/>
      </c>
      <c r="D355" s="27" t="str">
        <f>IF(OR(OR(OR(OR(OR(ISNUMBER(SEARCH(IF(D$1&lt;&gt;"",D$1,"NA"),'MITRE ATT&amp;CK Mappings'!$E351)),ISNUMBER(SEARCH(IF(D$1&lt;&gt;"",D$1,"NA"),'MITRE ATT&amp;CK Mappings'!$F351))),ISNUMBER(SEARCH(IF(D$2&lt;&gt;"",D$2,"NA"),'MITRE ATT&amp;CK Mappings'!$G351))),ISNUMBER(SEARCH(IF(D$2&lt;&gt;"",D$2,"NA"),'MITRE ATT&amp;CK Mappings'!$H351))),ISNUMBER(SEARCH(IF(D$3&lt;&gt;"",D$3,"NA"),'MITRE ATT&amp;CK Mappings'!$I351))),ISNUMBER(SEARCH(IF(D$3&lt;&gt;"",D$3,"NA"),'MITRE ATT&amp;CK Mappings'!$J351))), 'MITRE ATT&amp;CK Mappings'!$B351,"")</f>
        <v/>
      </c>
      <c r="E355" s="27" t="str">
        <f>IF(OR(OR(OR(OR(OR(ISNUMBER(SEARCH(IF(E$1&lt;&gt;"",E$1,"NA"),'MITRE ATT&amp;CK Mappings'!$E351)),ISNUMBER(SEARCH(IF(E$1&lt;&gt;"",E$1,"NA"),'MITRE ATT&amp;CK Mappings'!$F351))),ISNUMBER(SEARCH(IF(E$2&lt;&gt;"",E$2,"NA"),'MITRE ATT&amp;CK Mappings'!$G351))),ISNUMBER(SEARCH(IF(E$2&lt;&gt;"",E$2,"NA"),'MITRE ATT&amp;CK Mappings'!$H351))),ISNUMBER(SEARCH(IF(E$3&lt;&gt;"",E$3,"NA"),'MITRE ATT&amp;CK Mappings'!$I351))),ISNUMBER(SEARCH(IF(E$3&lt;&gt;"",E$3,"NA"),'MITRE ATT&amp;CK Mappings'!$J351))), 'MITRE ATT&amp;CK Mappings'!$B351,"")</f>
        <v/>
      </c>
      <c r="F355" s="27" t="str">
        <f>IF(OR(OR(OR(OR(OR(ISNUMBER(SEARCH(IF(F$1&lt;&gt;"",F$1,"NA"),'MITRE ATT&amp;CK Mappings'!$E351)),ISNUMBER(SEARCH(IF(F$1&lt;&gt;"",F$1,"NA"),'MITRE ATT&amp;CK Mappings'!$F351))),ISNUMBER(SEARCH(IF(F$2&lt;&gt;"",F$2,"NA"),'MITRE ATT&amp;CK Mappings'!$G351))),ISNUMBER(SEARCH(IF(F$2&lt;&gt;"",F$2,"NA"),'MITRE ATT&amp;CK Mappings'!$H351))),ISNUMBER(SEARCH(IF(F$3&lt;&gt;"",F$3,"NA"),'MITRE ATT&amp;CK Mappings'!$I351))),ISNUMBER(SEARCH(IF(F$3&lt;&gt;"",F$3,"NA"),'MITRE ATT&amp;CK Mappings'!$J351))), 'MITRE ATT&amp;CK Mappings'!$B351,"")</f>
        <v/>
      </c>
      <c r="G355" s="27" t="str">
        <f>IF(OR(OR(OR(OR(OR(ISNUMBER(SEARCH(IF(G$1&lt;&gt;"",G$1,"NA"),'MITRE ATT&amp;CK Mappings'!$E351)),ISNUMBER(SEARCH(IF(G$1&lt;&gt;"",G$1,"NA"),'MITRE ATT&amp;CK Mappings'!$F351))),ISNUMBER(SEARCH(IF(G$2&lt;&gt;"",G$2,"NA"),'MITRE ATT&amp;CK Mappings'!$G351))),ISNUMBER(SEARCH(IF(G$2&lt;&gt;"",G$2,"NA"),'MITRE ATT&amp;CK Mappings'!$H351))),ISNUMBER(SEARCH(IF(G$3&lt;&gt;"",G$3,"NA"),'MITRE ATT&amp;CK Mappings'!$I351))),ISNUMBER(SEARCH(IF(G$3&lt;&gt;"",G$3,"NA"),'MITRE ATT&amp;CK Mappings'!$J351))), 'MITRE ATT&amp;CK Mappings'!$B351,"")</f>
        <v/>
      </c>
      <c r="H355" s="27" t="str">
        <f>IF(OR(OR(OR(OR(OR(ISNUMBER(SEARCH(IF(H$1&lt;&gt;"",H$1,"NA"),'MITRE ATT&amp;CK Mappings'!$E351)),ISNUMBER(SEARCH(IF(H$1&lt;&gt;"",H$1,"NA"),'MITRE ATT&amp;CK Mappings'!$F351))),ISNUMBER(SEARCH(IF(H$2&lt;&gt;"",H$2,"NA"),'MITRE ATT&amp;CK Mappings'!$G351))),ISNUMBER(SEARCH(IF(H$2&lt;&gt;"",H$2,"NA"),'MITRE ATT&amp;CK Mappings'!$H351))),ISNUMBER(SEARCH(IF(H$3&lt;&gt;"",H$3,"NA"),'MITRE ATT&amp;CK Mappings'!$I351))),ISNUMBER(SEARCH(IF(H$3&lt;&gt;"",H$3,"NA"),'MITRE ATT&amp;CK Mappings'!$J351))), 'MITRE ATT&amp;CK Mappings'!$B351,"")</f>
        <v/>
      </c>
      <c r="I355" s="27" t="str">
        <f>IF(OR(OR(OR(OR(OR(ISNUMBER(SEARCH(IF(I$1&lt;&gt;"",I$1,"NA"),'MITRE ATT&amp;CK Mappings'!$E351)),ISNUMBER(SEARCH(IF(I$1&lt;&gt;"",I$1,"NA"),'MITRE ATT&amp;CK Mappings'!$F351))),ISNUMBER(SEARCH(IF(I$2&lt;&gt;"",I$2,"NA"),'MITRE ATT&amp;CK Mappings'!$G351))),ISNUMBER(SEARCH(IF(I$2&lt;&gt;"",I$2,"NA"),'MITRE ATT&amp;CK Mappings'!$H351))),ISNUMBER(SEARCH(IF(I$3&lt;&gt;"",I$3,"NA"),'MITRE ATT&amp;CK Mappings'!$I351))),ISNUMBER(SEARCH(IF(I$3&lt;&gt;"",I$3,"NA"),'MITRE ATT&amp;CK Mappings'!$J351))), 'MITRE ATT&amp;CK Mappings'!$B351,"")</f>
        <v/>
      </c>
      <c r="J355" s="27" t="str">
        <f>IF(OR(OR(OR(OR(OR(ISNUMBER(SEARCH(IF(J$1&lt;&gt;"",J$1,"NA"),'MITRE ATT&amp;CK Mappings'!$E351)),ISNUMBER(SEARCH(IF(J$1&lt;&gt;"",J$1,"NA"),'MITRE ATT&amp;CK Mappings'!$F351))),ISNUMBER(SEARCH(IF(J$2&lt;&gt;"",J$2,"NA"),'MITRE ATT&amp;CK Mappings'!$G351))),ISNUMBER(SEARCH(IF(J$2&lt;&gt;"",J$2,"NA"),'MITRE ATT&amp;CK Mappings'!$H351))),ISNUMBER(SEARCH(IF(J$3&lt;&gt;"",J$3,"NA"),'MITRE ATT&amp;CK Mappings'!$I351))),ISNUMBER(SEARCH(IF(J$3&lt;&gt;"",J$3,"NA"),'MITRE ATT&amp;CK Mappings'!$J351))), 'MITRE ATT&amp;CK Mappings'!$B351,"")</f>
        <v/>
      </c>
      <c r="K355" s="27" t="str">
        <f>IF(OR(OR(OR(OR(OR(ISNUMBER(SEARCH(IF(K$1&lt;&gt;"",K$1,"NA"),'MITRE ATT&amp;CK Mappings'!$E351)),ISNUMBER(SEARCH(IF(K$1&lt;&gt;"",K$1,"NA"),'MITRE ATT&amp;CK Mappings'!$F351))),ISNUMBER(SEARCH(IF(K$2&lt;&gt;"",K$2,"NA"),'MITRE ATT&amp;CK Mappings'!$G351))),ISNUMBER(SEARCH(IF(K$2&lt;&gt;"",K$2,"NA"),'MITRE ATT&amp;CK Mappings'!$H351))),ISNUMBER(SEARCH(IF(K$3&lt;&gt;"",K$3,"NA"),'MITRE ATT&amp;CK Mappings'!$I351))),ISNUMBER(SEARCH(IF(K$3&lt;&gt;"",K$3,"NA"),'MITRE ATT&amp;CK Mappings'!$J351))), 'MITRE ATT&amp;CK Mappings'!$B351,"")</f>
        <v/>
      </c>
      <c r="L355" s="27" t="str">
        <f>IF('MITRE ATT&amp;CK Mappings'!D351 &lt;&gt;"",'MITRE ATT&amp;CK Mappings'!D351,"" )</f>
        <v/>
      </c>
    </row>
    <row r="356" spans="1:12" x14ac:dyDescent="0.25">
      <c r="A356" s="26" t="str">
        <f>IF(COUNTIF(B356:K356,"="&amp;'MITRE ATT&amp;CK Mappings'!B352)&gt;0,'MITRE ATT&amp;CK Mappings'!B352,"")</f>
        <v/>
      </c>
      <c r="B356" s="26" t="str">
        <f>IF(OR(OR(OR(OR(OR(ISNUMBER(SEARCH(IF(B$1&lt;&gt;"",B$1,"NA"),'MITRE ATT&amp;CK Mappings'!$E352)),ISNUMBER(SEARCH(IF(B$1&lt;&gt;"",B$1,"NA"),'MITRE ATT&amp;CK Mappings'!$F352))),ISNUMBER(SEARCH(IF(B$2&lt;&gt;"",B$2,"NA"),'MITRE ATT&amp;CK Mappings'!$G352))),ISNUMBER(SEARCH(IF(B$2&lt;&gt;"",B$2,"NA"),'MITRE ATT&amp;CK Mappings'!$H352))),ISNUMBER(SEARCH(IF(B$3&lt;&gt;"",B$3,"NA"),'MITRE ATT&amp;CK Mappings'!$I352))),ISNUMBER(SEARCH(IF(B$3&lt;&gt;"",B$3,"NA"),'MITRE ATT&amp;CK Mappings'!$J352))), 'MITRE ATT&amp;CK Mappings'!$B352,"")</f>
        <v/>
      </c>
      <c r="C356" s="26" t="str">
        <f>IF(OR(OR(OR(OR(OR(ISNUMBER(SEARCH(IF(C$1&lt;&gt;"",C$1,"NA"),'MITRE ATT&amp;CK Mappings'!$E352)),ISNUMBER(SEARCH(IF(C$1&lt;&gt;"",C$1,"NA"),'MITRE ATT&amp;CK Mappings'!$F352))),ISNUMBER(SEARCH(IF(C$2&lt;&gt;"",C$2,"NA"),'MITRE ATT&amp;CK Mappings'!$G352))),ISNUMBER(SEARCH(IF(C$2&lt;&gt;"",C$2,"NA"),'MITRE ATT&amp;CK Mappings'!$H352))),ISNUMBER(SEARCH(IF(C$3&lt;&gt;"",C$3,"NA"),'MITRE ATT&amp;CK Mappings'!$I352))),ISNUMBER(SEARCH(IF(C$3&lt;&gt;"",C$3,"NA"),'MITRE ATT&amp;CK Mappings'!$J352))), 'MITRE ATT&amp;CK Mappings'!$B352,"")</f>
        <v/>
      </c>
      <c r="D356" s="26" t="str">
        <f>IF(OR(OR(OR(OR(OR(ISNUMBER(SEARCH(IF(D$1&lt;&gt;"",D$1,"NA"),'MITRE ATT&amp;CK Mappings'!$E352)),ISNUMBER(SEARCH(IF(D$1&lt;&gt;"",D$1,"NA"),'MITRE ATT&amp;CK Mappings'!$F352))),ISNUMBER(SEARCH(IF(D$2&lt;&gt;"",D$2,"NA"),'MITRE ATT&amp;CK Mappings'!$G352))),ISNUMBER(SEARCH(IF(D$2&lt;&gt;"",D$2,"NA"),'MITRE ATT&amp;CK Mappings'!$H352))),ISNUMBER(SEARCH(IF(D$3&lt;&gt;"",D$3,"NA"),'MITRE ATT&amp;CK Mappings'!$I352))),ISNUMBER(SEARCH(IF(D$3&lt;&gt;"",D$3,"NA"),'MITRE ATT&amp;CK Mappings'!$J352))), 'MITRE ATT&amp;CK Mappings'!$B352,"")</f>
        <v/>
      </c>
      <c r="E356" s="26" t="str">
        <f>IF(OR(OR(OR(OR(OR(ISNUMBER(SEARCH(IF(E$1&lt;&gt;"",E$1,"NA"),'MITRE ATT&amp;CK Mappings'!$E352)),ISNUMBER(SEARCH(IF(E$1&lt;&gt;"",E$1,"NA"),'MITRE ATT&amp;CK Mappings'!$F352))),ISNUMBER(SEARCH(IF(E$2&lt;&gt;"",E$2,"NA"),'MITRE ATT&amp;CK Mappings'!$G352))),ISNUMBER(SEARCH(IF(E$2&lt;&gt;"",E$2,"NA"),'MITRE ATT&amp;CK Mappings'!$H352))),ISNUMBER(SEARCH(IF(E$3&lt;&gt;"",E$3,"NA"),'MITRE ATT&amp;CK Mappings'!$I352))),ISNUMBER(SEARCH(IF(E$3&lt;&gt;"",E$3,"NA"),'MITRE ATT&amp;CK Mappings'!$J352))), 'MITRE ATT&amp;CK Mappings'!$B352,"")</f>
        <v/>
      </c>
      <c r="F356" s="26" t="str">
        <f>IF(OR(OR(OR(OR(OR(ISNUMBER(SEARCH(IF(F$1&lt;&gt;"",F$1,"NA"),'MITRE ATT&amp;CK Mappings'!$E352)),ISNUMBER(SEARCH(IF(F$1&lt;&gt;"",F$1,"NA"),'MITRE ATT&amp;CK Mappings'!$F352))),ISNUMBER(SEARCH(IF(F$2&lt;&gt;"",F$2,"NA"),'MITRE ATT&amp;CK Mappings'!$G352))),ISNUMBER(SEARCH(IF(F$2&lt;&gt;"",F$2,"NA"),'MITRE ATT&amp;CK Mappings'!$H352))),ISNUMBER(SEARCH(IF(F$3&lt;&gt;"",F$3,"NA"),'MITRE ATT&amp;CK Mappings'!$I352))),ISNUMBER(SEARCH(IF(F$3&lt;&gt;"",F$3,"NA"),'MITRE ATT&amp;CK Mappings'!$J352))), 'MITRE ATT&amp;CK Mappings'!$B352,"")</f>
        <v/>
      </c>
      <c r="G356" s="26" t="str">
        <f>IF(OR(OR(OR(OR(OR(ISNUMBER(SEARCH(IF(G$1&lt;&gt;"",G$1,"NA"),'MITRE ATT&amp;CK Mappings'!$E352)),ISNUMBER(SEARCH(IF(G$1&lt;&gt;"",G$1,"NA"),'MITRE ATT&amp;CK Mappings'!$F352))),ISNUMBER(SEARCH(IF(G$2&lt;&gt;"",G$2,"NA"),'MITRE ATT&amp;CK Mappings'!$G352))),ISNUMBER(SEARCH(IF(G$2&lt;&gt;"",G$2,"NA"),'MITRE ATT&amp;CK Mappings'!$H352))),ISNUMBER(SEARCH(IF(G$3&lt;&gt;"",G$3,"NA"),'MITRE ATT&amp;CK Mappings'!$I352))),ISNUMBER(SEARCH(IF(G$3&lt;&gt;"",G$3,"NA"),'MITRE ATT&amp;CK Mappings'!$J352))), 'MITRE ATT&amp;CK Mappings'!$B352,"")</f>
        <v/>
      </c>
      <c r="H356" s="26" t="str">
        <f>IF(OR(OR(OR(OR(OR(ISNUMBER(SEARCH(IF(H$1&lt;&gt;"",H$1,"NA"),'MITRE ATT&amp;CK Mappings'!$E352)),ISNUMBER(SEARCH(IF(H$1&lt;&gt;"",H$1,"NA"),'MITRE ATT&amp;CK Mappings'!$F352))),ISNUMBER(SEARCH(IF(H$2&lt;&gt;"",H$2,"NA"),'MITRE ATT&amp;CK Mappings'!$G352))),ISNUMBER(SEARCH(IF(H$2&lt;&gt;"",H$2,"NA"),'MITRE ATT&amp;CK Mappings'!$H352))),ISNUMBER(SEARCH(IF(H$3&lt;&gt;"",H$3,"NA"),'MITRE ATT&amp;CK Mappings'!$I352))),ISNUMBER(SEARCH(IF(H$3&lt;&gt;"",H$3,"NA"),'MITRE ATT&amp;CK Mappings'!$J352))), 'MITRE ATT&amp;CK Mappings'!$B352,"")</f>
        <v/>
      </c>
      <c r="I356" s="26" t="str">
        <f>IF(OR(OR(OR(OR(OR(ISNUMBER(SEARCH(IF(I$1&lt;&gt;"",I$1,"NA"),'MITRE ATT&amp;CK Mappings'!$E352)),ISNUMBER(SEARCH(IF(I$1&lt;&gt;"",I$1,"NA"),'MITRE ATT&amp;CK Mappings'!$F352))),ISNUMBER(SEARCH(IF(I$2&lt;&gt;"",I$2,"NA"),'MITRE ATT&amp;CK Mappings'!$G352))),ISNUMBER(SEARCH(IF(I$2&lt;&gt;"",I$2,"NA"),'MITRE ATT&amp;CK Mappings'!$H352))),ISNUMBER(SEARCH(IF(I$3&lt;&gt;"",I$3,"NA"),'MITRE ATT&amp;CK Mappings'!$I352))),ISNUMBER(SEARCH(IF(I$3&lt;&gt;"",I$3,"NA"),'MITRE ATT&amp;CK Mappings'!$J352))), 'MITRE ATT&amp;CK Mappings'!$B352,"")</f>
        <v/>
      </c>
      <c r="J356" s="26" t="str">
        <f>IF(OR(OR(OR(OR(OR(ISNUMBER(SEARCH(IF(J$1&lt;&gt;"",J$1,"NA"),'MITRE ATT&amp;CK Mappings'!$E352)),ISNUMBER(SEARCH(IF(J$1&lt;&gt;"",J$1,"NA"),'MITRE ATT&amp;CK Mappings'!$F352))),ISNUMBER(SEARCH(IF(J$2&lt;&gt;"",J$2,"NA"),'MITRE ATT&amp;CK Mappings'!$G352))),ISNUMBER(SEARCH(IF(J$2&lt;&gt;"",J$2,"NA"),'MITRE ATT&amp;CK Mappings'!$H352))),ISNUMBER(SEARCH(IF(J$3&lt;&gt;"",J$3,"NA"),'MITRE ATT&amp;CK Mappings'!$I352))),ISNUMBER(SEARCH(IF(J$3&lt;&gt;"",J$3,"NA"),'MITRE ATT&amp;CK Mappings'!$J352))), 'MITRE ATT&amp;CK Mappings'!$B352,"")</f>
        <v/>
      </c>
      <c r="K356" s="26" t="str">
        <f>IF(OR(OR(OR(OR(OR(ISNUMBER(SEARCH(IF(K$1&lt;&gt;"",K$1,"NA"),'MITRE ATT&amp;CK Mappings'!$E352)),ISNUMBER(SEARCH(IF(K$1&lt;&gt;"",K$1,"NA"),'MITRE ATT&amp;CK Mappings'!$F352))),ISNUMBER(SEARCH(IF(K$2&lt;&gt;"",K$2,"NA"),'MITRE ATT&amp;CK Mappings'!$G352))),ISNUMBER(SEARCH(IF(K$2&lt;&gt;"",K$2,"NA"),'MITRE ATT&amp;CK Mappings'!$H352))),ISNUMBER(SEARCH(IF(K$3&lt;&gt;"",K$3,"NA"),'MITRE ATT&amp;CK Mappings'!$I352))),ISNUMBER(SEARCH(IF(K$3&lt;&gt;"",K$3,"NA"),'MITRE ATT&amp;CK Mappings'!$J352))), 'MITRE ATT&amp;CK Mappings'!$B352,"")</f>
        <v/>
      </c>
      <c r="L356" s="26" t="str">
        <f>IF('MITRE ATT&amp;CK Mappings'!D352 &lt;&gt;"",'MITRE ATT&amp;CK Mappings'!D352,"" )</f>
        <v/>
      </c>
    </row>
    <row r="357" spans="1:12" x14ac:dyDescent="0.25">
      <c r="A357" s="27" t="str">
        <f>IF(COUNTIF(B357:K357,"="&amp;'MITRE ATT&amp;CK Mappings'!B353)&gt;0,'MITRE ATT&amp;CK Mappings'!B353,"")</f>
        <v/>
      </c>
      <c r="B357" s="27" t="str">
        <f>IF(OR(OR(OR(OR(OR(ISNUMBER(SEARCH(IF(B$1&lt;&gt;"",B$1,"NA"),'MITRE ATT&amp;CK Mappings'!$E353)),ISNUMBER(SEARCH(IF(B$1&lt;&gt;"",B$1,"NA"),'MITRE ATT&amp;CK Mappings'!$F353))),ISNUMBER(SEARCH(IF(B$2&lt;&gt;"",B$2,"NA"),'MITRE ATT&amp;CK Mappings'!$G353))),ISNUMBER(SEARCH(IF(B$2&lt;&gt;"",B$2,"NA"),'MITRE ATT&amp;CK Mappings'!$H353))),ISNUMBER(SEARCH(IF(B$3&lt;&gt;"",B$3,"NA"),'MITRE ATT&amp;CK Mappings'!$I353))),ISNUMBER(SEARCH(IF(B$3&lt;&gt;"",B$3,"NA"),'MITRE ATT&amp;CK Mappings'!$J353))), 'MITRE ATT&amp;CK Mappings'!$B353,"")</f>
        <v/>
      </c>
      <c r="C357" s="27" t="str">
        <f>IF(OR(OR(OR(OR(OR(ISNUMBER(SEARCH(IF(C$1&lt;&gt;"",C$1,"NA"),'MITRE ATT&amp;CK Mappings'!$E353)),ISNUMBER(SEARCH(IF(C$1&lt;&gt;"",C$1,"NA"),'MITRE ATT&amp;CK Mappings'!$F353))),ISNUMBER(SEARCH(IF(C$2&lt;&gt;"",C$2,"NA"),'MITRE ATT&amp;CK Mappings'!$G353))),ISNUMBER(SEARCH(IF(C$2&lt;&gt;"",C$2,"NA"),'MITRE ATT&amp;CK Mappings'!$H353))),ISNUMBER(SEARCH(IF(C$3&lt;&gt;"",C$3,"NA"),'MITRE ATT&amp;CK Mappings'!$I353))),ISNUMBER(SEARCH(IF(C$3&lt;&gt;"",C$3,"NA"),'MITRE ATT&amp;CK Mappings'!$J353))), 'MITRE ATT&amp;CK Mappings'!$B353,"")</f>
        <v/>
      </c>
      <c r="D357" s="27" t="str">
        <f>IF(OR(OR(OR(OR(OR(ISNUMBER(SEARCH(IF(D$1&lt;&gt;"",D$1,"NA"),'MITRE ATT&amp;CK Mappings'!$E353)),ISNUMBER(SEARCH(IF(D$1&lt;&gt;"",D$1,"NA"),'MITRE ATT&amp;CK Mappings'!$F353))),ISNUMBER(SEARCH(IF(D$2&lt;&gt;"",D$2,"NA"),'MITRE ATT&amp;CK Mappings'!$G353))),ISNUMBER(SEARCH(IF(D$2&lt;&gt;"",D$2,"NA"),'MITRE ATT&amp;CK Mappings'!$H353))),ISNUMBER(SEARCH(IF(D$3&lt;&gt;"",D$3,"NA"),'MITRE ATT&amp;CK Mappings'!$I353))),ISNUMBER(SEARCH(IF(D$3&lt;&gt;"",D$3,"NA"),'MITRE ATT&amp;CK Mappings'!$J353))), 'MITRE ATT&amp;CK Mappings'!$B353,"")</f>
        <v/>
      </c>
      <c r="E357" s="27" t="str">
        <f>IF(OR(OR(OR(OR(OR(ISNUMBER(SEARCH(IF(E$1&lt;&gt;"",E$1,"NA"),'MITRE ATT&amp;CK Mappings'!$E353)),ISNUMBER(SEARCH(IF(E$1&lt;&gt;"",E$1,"NA"),'MITRE ATT&amp;CK Mappings'!$F353))),ISNUMBER(SEARCH(IF(E$2&lt;&gt;"",E$2,"NA"),'MITRE ATT&amp;CK Mappings'!$G353))),ISNUMBER(SEARCH(IF(E$2&lt;&gt;"",E$2,"NA"),'MITRE ATT&amp;CK Mappings'!$H353))),ISNUMBER(SEARCH(IF(E$3&lt;&gt;"",E$3,"NA"),'MITRE ATT&amp;CK Mappings'!$I353))),ISNUMBER(SEARCH(IF(E$3&lt;&gt;"",E$3,"NA"),'MITRE ATT&amp;CK Mappings'!$J353))), 'MITRE ATT&amp;CK Mappings'!$B353,"")</f>
        <v/>
      </c>
      <c r="F357" s="27" t="str">
        <f>IF(OR(OR(OR(OR(OR(ISNUMBER(SEARCH(IF(F$1&lt;&gt;"",F$1,"NA"),'MITRE ATT&amp;CK Mappings'!$E353)),ISNUMBER(SEARCH(IF(F$1&lt;&gt;"",F$1,"NA"),'MITRE ATT&amp;CK Mappings'!$F353))),ISNUMBER(SEARCH(IF(F$2&lt;&gt;"",F$2,"NA"),'MITRE ATT&amp;CK Mappings'!$G353))),ISNUMBER(SEARCH(IF(F$2&lt;&gt;"",F$2,"NA"),'MITRE ATT&amp;CK Mappings'!$H353))),ISNUMBER(SEARCH(IF(F$3&lt;&gt;"",F$3,"NA"),'MITRE ATT&amp;CK Mappings'!$I353))),ISNUMBER(SEARCH(IF(F$3&lt;&gt;"",F$3,"NA"),'MITRE ATT&amp;CK Mappings'!$J353))), 'MITRE ATT&amp;CK Mappings'!$B353,"")</f>
        <v/>
      </c>
      <c r="G357" s="27" t="str">
        <f>IF(OR(OR(OR(OR(OR(ISNUMBER(SEARCH(IF(G$1&lt;&gt;"",G$1,"NA"),'MITRE ATT&amp;CK Mappings'!$E353)),ISNUMBER(SEARCH(IF(G$1&lt;&gt;"",G$1,"NA"),'MITRE ATT&amp;CK Mappings'!$F353))),ISNUMBER(SEARCH(IF(G$2&lt;&gt;"",G$2,"NA"),'MITRE ATT&amp;CK Mappings'!$G353))),ISNUMBER(SEARCH(IF(G$2&lt;&gt;"",G$2,"NA"),'MITRE ATT&amp;CK Mappings'!$H353))),ISNUMBER(SEARCH(IF(G$3&lt;&gt;"",G$3,"NA"),'MITRE ATT&amp;CK Mappings'!$I353))),ISNUMBER(SEARCH(IF(G$3&lt;&gt;"",G$3,"NA"),'MITRE ATT&amp;CK Mappings'!$J353))), 'MITRE ATT&amp;CK Mappings'!$B353,"")</f>
        <v/>
      </c>
      <c r="H357" s="27" t="str">
        <f>IF(OR(OR(OR(OR(OR(ISNUMBER(SEARCH(IF(H$1&lt;&gt;"",H$1,"NA"),'MITRE ATT&amp;CK Mappings'!$E353)),ISNUMBER(SEARCH(IF(H$1&lt;&gt;"",H$1,"NA"),'MITRE ATT&amp;CK Mappings'!$F353))),ISNUMBER(SEARCH(IF(H$2&lt;&gt;"",H$2,"NA"),'MITRE ATT&amp;CK Mappings'!$G353))),ISNUMBER(SEARCH(IF(H$2&lt;&gt;"",H$2,"NA"),'MITRE ATT&amp;CK Mappings'!$H353))),ISNUMBER(SEARCH(IF(H$3&lt;&gt;"",H$3,"NA"),'MITRE ATT&amp;CK Mappings'!$I353))),ISNUMBER(SEARCH(IF(H$3&lt;&gt;"",H$3,"NA"),'MITRE ATT&amp;CK Mappings'!$J353))), 'MITRE ATT&amp;CK Mappings'!$B353,"")</f>
        <v/>
      </c>
      <c r="I357" s="27" t="str">
        <f>IF(OR(OR(OR(OR(OR(ISNUMBER(SEARCH(IF(I$1&lt;&gt;"",I$1,"NA"),'MITRE ATT&amp;CK Mappings'!$E353)),ISNUMBER(SEARCH(IF(I$1&lt;&gt;"",I$1,"NA"),'MITRE ATT&amp;CK Mappings'!$F353))),ISNUMBER(SEARCH(IF(I$2&lt;&gt;"",I$2,"NA"),'MITRE ATT&amp;CK Mappings'!$G353))),ISNUMBER(SEARCH(IF(I$2&lt;&gt;"",I$2,"NA"),'MITRE ATT&amp;CK Mappings'!$H353))),ISNUMBER(SEARCH(IF(I$3&lt;&gt;"",I$3,"NA"),'MITRE ATT&amp;CK Mappings'!$I353))),ISNUMBER(SEARCH(IF(I$3&lt;&gt;"",I$3,"NA"),'MITRE ATT&amp;CK Mappings'!$J353))), 'MITRE ATT&amp;CK Mappings'!$B353,"")</f>
        <v/>
      </c>
      <c r="J357" s="27" t="str">
        <f>IF(OR(OR(OR(OR(OR(ISNUMBER(SEARCH(IF(J$1&lt;&gt;"",J$1,"NA"),'MITRE ATT&amp;CK Mappings'!$E353)),ISNUMBER(SEARCH(IF(J$1&lt;&gt;"",J$1,"NA"),'MITRE ATT&amp;CK Mappings'!$F353))),ISNUMBER(SEARCH(IF(J$2&lt;&gt;"",J$2,"NA"),'MITRE ATT&amp;CK Mappings'!$G353))),ISNUMBER(SEARCH(IF(J$2&lt;&gt;"",J$2,"NA"),'MITRE ATT&amp;CK Mappings'!$H353))),ISNUMBER(SEARCH(IF(J$3&lt;&gt;"",J$3,"NA"),'MITRE ATT&amp;CK Mappings'!$I353))),ISNUMBER(SEARCH(IF(J$3&lt;&gt;"",J$3,"NA"),'MITRE ATT&amp;CK Mappings'!$J353))), 'MITRE ATT&amp;CK Mappings'!$B353,"")</f>
        <v/>
      </c>
      <c r="K357" s="27" t="str">
        <f>IF(OR(OR(OR(OR(OR(ISNUMBER(SEARCH(IF(K$1&lt;&gt;"",K$1,"NA"),'MITRE ATT&amp;CK Mappings'!$E353)),ISNUMBER(SEARCH(IF(K$1&lt;&gt;"",K$1,"NA"),'MITRE ATT&amp;CK Mappings'!$F353))),ISNUMBER(SEARCH(IF(K$2&lt;&gt;"",K$2,"NA"),'MITRE ATT&amp;CK Mappings'!$G353))),ISNUMBER(SEARCH(IF(K$2&lt;&gt;"",K$2,"NA"),'MITRE ATT&amp;CK Mappings'!$H353))),ISNUMBER(SEARCH(IF(K$3&lt;&gt;"",K$3,"NA"),'MITRE ATT&amp;CK Mappings'!$I353))),ISNUMBER(SEARCH(IF(K$3&lt;&gt;"",K$3,"NA"),'MITRE ATT&amp;CK Mappings'!$J353))), 'MITRE ATT&amp;CK Mappings'!$B353,"")</f>
        <v/>
      </c>
      <c r="L357" s="27" t="str">
        <f>IF('MITRE ATT&amp;CK Mappings'!D353 &lt;&gt;"",'MITRE ATT&amp;CK Mappings'!D353,"" )</f>
        <v/>
      </c>
    </row>
    <row r="358" spans="1:12" x14ac:dyDescent="0.25">
      <c r="A358" s="26" t="str">
        <f>IF(COUNTIF(B358:K358,"="&amp;'MITRE ATT&amp;CK Mappings'!B354)&gt;0,'MITRE ATT&amp;CK Mappings'!B354,"")</f>
        <v/>
      </c>
      <c r="B358" s="26" t="str">
        <f>IF(OR(OR(OR(OR(OR(ISNUMBER(SEARCH(IF(B$1&lt;&gt;"",B$1,"NA"),'MITRE ATT&amp;CK Mappings'!$E354)),ISNUMBER(SEARCH(IF(B$1&lt;&gt;"",B$1,"NA"),'MITRE ATT&amp;CK Mappings'!$F354))),ISNUMBER(SEARCH(IF(B$2&lt;&gt;"",B$2,"NA"),'MITRE ATT&amp;CK Mappings'!$G354))),ISNUMBER(SEARCH(IF(B$2&lt;&gt;"",B$2,"NA"),'MITRE ATT&amp;CK Mappings'!$H354))),ISNUMBER(SEARCH(IF(B$3&lt;&gt;"",B$3,"NA"),'MITRE ATT&amp;CK Mappings'!$I354))),ISNUMBER(SEARCH(IF(B$3&lt;&gt;"",B$3,"NA"),'MITRE ATT&amp;CK Mappings'!$J354))), 'MITRE ATT&amp;CK Mappings'!$B354,"")</f>
        <v/>
      </c>
      <c r="C358" s="26" t="str">
        <f>IF(OR(OR(OR(OR(OR(ISNUMBER(SEARCH(IF(C$1&lt;&gt;"",C$1,"NA"),'MITRE ATT&amp;CK Mappings'!$E354)),ISNUMBER(SEARCH(IF(C$1&lt;&gt;"",C$1,"NA"),'MITRE ATT&amp;CK Mappings'!$F354))),ISNUMBER(SEARCH(IF(C$2&lt;&gt;"",C$2,"NA"),'MITRE ATT&amp;CK Mappings'!$G354))),ISNUMBER(SEARCH(IF(C$2&lt;&gt;"",C$2,"NA"),'MITRE ATT&amp;CK Mappings'!$H354))),ISNUMBER(SEARCH(IF(C$3&lt;&gt;"",C$3,"NA"),'MITRE ATT&amp;CK Mappings'!$I354))),ISNUMBER(SEARCH(IF(C$3&lt;&gt;"",C$3,"NA"),'MITRE ATT&amp;CK Mappings'!$J354))), 'MITRE ATT&amp;CK Mappings'!$B354,"")</f>
        <v/>
      </c>
      <c r="D358" s="26" t="str">
        <f>IF(OR(OR(OR(OR(OR(ISNUMBER(SEARCH(IF(D$1&lt;&gt;"",D$1,"NA"),'MITRE ATT&amp;CK Mappings'!$E354)),ISNUMBER(SEARCH(IF(D$1&lt;&gt;"",D$1,"NA"),'MITRE ATT&amp;CK Mappings'!$F354))),ISNUMBER(SEARCH(IF(D$2&lt;&gt;"",D$2,"NA"),'MITRE ATT&amp;CK Mappings'!$G354))),ISNUMBER(SEARCH(IF(D$2&lt;&gt;"",D$2,"NA"),'MITRE ATT&amp;CK Mappings'!$H354))),ISNUMBER(SEARCH(IF(D$3&lt;&gt;"",D$3,"NA"),'MITRE ATT&amp;CK Mappings'!$I354))),ISNUMBER(SEARCH(IF(D$3&lt;&gt;"",D$3,"NA"),'MITRE ATT&amp;CK Mappings'!$J354))), 'MITRE ATT&amp;CK Mappings'!$B354,"")</f>
        <v/>
      </c>
      <c r="E358" s="26" t="str">
        <f>IF(OR(OR(OR(OR(OR(ISNUMBER(SEARCH(IF(E$1&lt;&gt;"",E$1,"NA"),'MITRE ATT&amp;CK Mappings'!$E354)),ISNUMBER(SEARCH(IF(E$1&lt;&gt;"",E$1,"NA"),'MITRE ATT&amp;CK Mappings'!$F354))),ISNUMBER(SEARCH(IF(E$2&lt;&gt;"",E$2,"NA"),'MITRE ATT&amp;CK Mappings'!$G354))),ISNUMBER(SEARCH(IF(E$2&lt;&gt;"",E$2,"NA"),'MITRE ATT&amp;CK Mappings'!$H354))),ISNUMBER(SEARCH(IF(E$3&lt;&gt;"",E$3,"NA"),'MITRE ATT&amp;CK Mappings'!$I354))),ISNUMBER(SEARCH(IF(E$3&lt;&gt;"",E$3,"NA"),'MITRE ATT&amp;CK Mappings'!$J354))), 'MITRE ATT&amp;CK Mappings'!$B354,"")</f>
        <v/>
      </c>
      <c r="F358" s="26" t="str">
        <f>IF(OR(OR(OR(OR(OR(ISNUMBER(SEARCH(IF(F$1&lt;&gt;"",F$1,"NA"),'MITRE ATT&amp;CK Mappings'!$E354)),ISNUMBER(SEARCH(IF(F$1&lt;&gt;"",F$1,"NA"),'MITRE ATT&amp;CK Mappings'!$F354))),ISNUMBER(SEARCH(IF(F$2&lt;&gt;"",F$2,"NA"),'MITRE ATT&amp;CK Mappings'!$G354))),ISNUMBER(SEARCH(IF(F$2&lt;&gt;"",F$2,"NA"),'MITRE ATT&amp;CK Mappings'!$H354))),ISNUMBER(SEARCH(IF(F$3&lt;&gt;"",F$3,"NA"),'MITRE ATT&amp;CK Mappings'!$I354))),ISNUMBER(SEARCH(IF(F$3&lt;&gt;"",F$3,"NA"),'MITRE ATT&amp;CK Mappings'!$J354))), 'MITRE ATT&amp;CK Mappings'!$B354,"")</f>
        <v/>
      </c>
      <c r="G358" s="26" t="str">
        <f>IF(OR(OR(OR(OR(OR(ISNUMBER(SEARCH(IF(G$1&lt;&gt;"",G$1,"NA"),'MITRE ATT&amp;CK Mappings'!$E354)),ISNUMBER(SEARCH(IF(G$1&lt;&gt;"",G$1,"NA"),'MITRE ATT&amp;CK Mappings'!$F354))),ISNUMBER(SEARCH(IF(G$2&lt;&gt;"",G$2,"NA"),'MITRE ATT&amp;CK Mappings'!$G354))),ISNUMBER(SEARCH(IF(G$2&lt;&gt;"",G$2,"NA"),'MITRE ATT&amp;CK Mappings'!$H354))),ISNUMBER(SEARCH(IF(G$3&lt;&gt;"",G$3,"NA"),'MITRE ATT&amp;CK Mappings'!$I354))),ISNUMBER(SEARCH(IF(G$3&lt;&gt;"",G$3,"NA"),'MITRE ATT&amp;CK Mappings'!$J354))), 'MITRE ATT&amp;CK Mappings'!$B354,"")</f>
        <v/>
      </c>
      <c r="H358" s="26" t="str">
        <f>IF(OR(OR(OR(OR(OR(ISNUMBER(SEARCH(IF(H$1&lt;&gt;"",H$1,"NA"),'MITRE ATT&amp;CK Mappings'!$E354)),ISNUMBER(SEARCH(IF(H$1&lt;&gt;"",H$1,"NA"),'MITRE ATT&amp;CK Mappings'!$F354))),ISNUMBER(SEARCH(IF(H$2&lt;&gt;"",H$2,"NA"),'MITRE ATT&amp;CK Mappings'!$G354))),ISNUMBER(SEARCH(IF(H$2&lt;&gt;"",H$2,"NA"),'MITRE ATT&amp;CK Mappings'!$H354))),ISNUMBER(SEARCH(IF(H$3&lt;&gt;"",H$3,"NA"),'MITRE ATT&amp;CK Mappings'!$I354))),ISNUMBER(SEARCH(IF(H$3&lt;&gt;"",H$3,"NA"),'MITRE ATT&amp;CK Mappings'!$J354))), 'MITRE ATT&amp;CK Mappings'!$B354,"")</f>
        <v/>
      </c>
      <c r="I358" s="26" t="str">
        <f>IF(OR(OR(OR(OR(OR(ISNUMBER(SEARCH(IF(I$1&lt;&gt;"",I$1,"NA"),'MITRE ATT&amp;CK Mappings'!$E354)),ISNUMBER(SEARCH(IF(I$1&lt;&gt;"",I$1,"NA"),'MITRE ATT&amp;CK Mappings'!$F354))),ISNUMBER(SEARCH(IF(I$2&lt;&gt;"",I$2,"NA"),'MITRE ATT&amp;CK Mappings'!$G354))),ISNUMBER(SEARCH(IF(I$2&lt;&gt;"",I$2,"NA"),'MITRE ATT&amp;CK Mappings'!$H354))),ISNUMBER(SEARCH(IF(I$3&lt;&gt;"",I$3,"NA"),'MITRE ATT&amp;CK Mappings'!$I354))),ISNUMBER(SEARCH(IF(I$3&lt;&gt;"",I$3,"NA"),'MITRE ATT&amp;CK Mappings'!$J354))), 'MITRE ATT&amp;CK Mappings'!$B354,"")</f>
        <v/>
      </c>
      <c r="J358" s="26" t="str">
        <f>IF(OR(OR(OR(OR(OR(ISNUMBER(SEARCH(IF(J$1&lt;&gt;"",J$1,"NA"),'MITRE ATT&amp;CK Mappings'!$E354)),ISNUMBER(SEARCH(IF(J$1&lt;&gt;"",J$1,"NA"),'MITRE ATT&amp;CK Mappings'!$F354))),ISNUMBER(SEARCH(IF(J$2&lt;&gt;"",J$2,"NA"),'MITRE ATT&amp;CK Mappings'!$G354))),ISNUMBER(SEARCH(IF(J$2&lt;&gt;"",J$2,"NA"),'MITRE ATT&amp;CK Mappings'!$H354))),ISNUMBER(SEARCH(IF(J$3&lt;&gt;"",J$3,"NA"),'MITRE ATT&amp;CK Mappings'!$I354))),ISNUMBER(SEARCH(IF(J$3&lt;&gt;"",J$3,"NA"),'MITRE ATT&amp;CK Mappings'!$J354))), 'MITRE ATT&amp;CK Mappings'!$B354,"")</f>
        <v/>
      </c>
      <c r="K358" s="26" t="str">
        <f>IF(OR(OR(OR(OR(OR(ISNUMBER(SEARCH(IF(K$1&lt;&gt;"",K$1,"NA"),'MITRE ATT&amp;CK Mappings'!$E354)),ISNUMBER(SEARCH(IF(K$1&lt;&gt;"",K$1,"NA"),'MITRE ATT&amp;CK Mappings'!$F354))),ISNUMBER(SEARCH(IF(K$2&lt;&gt;"",K$2,"NA"),'MITRE ATT&amp;CK Mappings'!$G354))),ISNUMBER(SEARCH(IF(K$2&lt;&gt;"",K$2,"NA"),'MITRE ATT&amp;CK Mappings'!$H354))),ISNUMBER(SEARCH(IF(K$3&lt;&gt;"",K$3,"NA"),'MITRE ATT&amp;CK Mappings'!$I354))),ISNUMBER(SEARCH(IF(K$3&lt;&gt;"",K$3,"NA"),'MITRE ATT&amp;CK Mappings'!$J354))), 'MITRE ATT&amp;CK Mappings'!$B354,"")</f>
        <v/>
      </c>
      <c r="L358" s="26" t="str">
        <f>IF('MITRE ATT&amp;CK Mappings'!D354 &lt;&gt;"",'MITRE ATT&amp;CK Mappings'!D354,"" )</f>
        <v/>
      </c>
    </row>
    <row r="359" spans="1:12" x14ac:dyDescent="0.25">
      <c r="A359" s="27" t="str">
        <f>IF(COUNTIF(B359:K359,"="&amp;'MITRE ATT&amp;CK Mappings'!B355)&gt;0,'MITRE ATT&amp;CK Mappings'!B355,"")</f>
        <v/>
      </c>
      <c r="B359" s="27" t="str">
        <f>IF(OR(OR(OR(OR(OR(ISNUMBER(SEARCH(IF(B$1&lt;&gt;"",B$1,"NA"),'MITRE ATT&amp;CK Mappings'!$E355)),ISNUMBER(SEARCH(IF(B$1&lt;&gt;"",B$1,"NA"),'MITRE ATT&amp;CK Mappings'!$F355))),ISNUMBER(SEARCH(IF(B$2&lt;&gt;"",B$2,"NA"),'MITRE ATT&amp;CK Mappings'!$G355))),ISNUMBER(SEARCH(IF(B$2&lt;&gt;"",B$2,"NA"),'MITRE ATT&amp;CK Mappings'!$H355))),ISNUMBER(SEARCH(IF(B$3&lt;&gt;"",B$3,"NA"),'MITRE ATT&amp;CK Mappings'!$I355))),ISNUMBER(SEARCH(IF(B$3&lt;&gt;"",B$3,"NA"),'MITRE ATT&amp;CK Mappings'!$J355))), 'MITRE ATT&amp;CK Mappings'!$B355,"")</f>
        <v/>
      </c>
      <c r="C359" s="27" t="str">
        <f>IF(OR(OR(OR(OR(OR(ISNUMBER(SEARCH(IF(C$1&lt;&gt;"",C$1,"NA"),'MITRE ATT&amp;CK Mappings'!$E355)),ISNUMBER(SEARCH(IF(C$1&lt;&gt;"",C$1,"NA"),'MITRE ATT&amp;CK Mappings'!$F355))),ISNUMBER(SEARCH(IF(C$2&lt;&gt;"",C$2,"NA"),'MITRE ATT&amp;CK Mappings'!$G355))),ISNUMBER(SEARCH(IF(C$2&lt;&gt;"",C$2,"NA"),'MITRE ATT&amp;CK Mappings'!$H355))),ISNUMBER(SEARCH(IF(C$3&lt;&gt;"",C$3,"NA"),'MITRE ATT&amp;CK Mappings'!$I355))),ISNUMBER(SEARCH(IF(C$3&lt;&gt;"",C$3,"NA"),'MITRE ATT&amp;CK Mappings'!$J355))), 'MITRE ATT&amp;CK Mappings'!$B355,"")</f>
        <v/>
      </c>
      <c r="D359" s="27" t="str">
        <f>IF(OR(OR(OR(OR(OR(ISNUMBER(SEARCH(IF(D$1&lt;&gt;"",D$1,"NA"),'MITRE ATT&amp;CK Mappings'!$E355)),ISNUMBER(SEARCH(IF(D$1&lt;&gt;"",D$1,"NA"),'MITRE ATT&amp;CK Mappings'!$F355))),ISNUMBER(SEARCH(IF(D$2&lt;&gt;"",D$2,"NA"),'MITRE ATT&amp;CK Mappings'!$G355))),ISNUMBER(SEARCH(IF(D$2&lt;&gt;"",D$2,"NA"),'MITRE ATT&amp;CK Mappings'!$H355))),ISNUMBER(SEARCH(IF(D$3&lt;&gt;"",D$3,"NA"),'MITRE ATT&amp;CK Mappings'!$I355))),ISNUMBER(SEARCH(IF(D$3&lt;&gt;"",D$3,"NA"),'MITRE ATT&amp;CK Mappings'!$J355))), 'MITRE ATT&amp;CK Mappings'!$B355,"")</f>
        <v/>
      </c>
      <c r="E359" s="27" t="str">
        <f>IF(OR(OR(OR(OR(OR(ISNUMBER(SEARCH(IF(E$1&lt;&gt;"",E$1,"NA"),'MITRE ATT&amp;CK Mappings'!$E355)),ISNUMBER(SEARCH(IF(E$1&lt;&gt;"",E$1,"NA"),'MITRE ATT&amp;CK Mappings'!$F355))),ISNUMBER(SEARCH(IF(E$2&lt;&gt;"",E$2,"NA"),'MITRE ATT&amp;CK Mappings'!$G355))),ISNUMBER(SEARCH(IF(E$2&lt;&gt;"",E$2,"NA"),'MITRE ATT&amp;CK Mappings'!$H355))),ISNUMBER(SEARCH(IF(E$3&lt;&gt;"",E$3,"NA"),'MITRE ATT&amp;CK Mappings'!$I355))),ISNUMBER(SEARCH(IF(E$3&lt;&gt;"",E$3,"NA"),'MITRE ATT&amp;CK Mappings'!$J355))), 'MITRE ATT&amp;CK Mappings'!$B355,"")</f>
        <v/>
      </c>
      <c r="F359" s="27" t="str">
        <f>IF(OR(OR(OR(OR(OR(ISNUMBER(SEARCH(IF(F$1&lt;&gt;"",F$1,"NA"),'MITRE ATT&amp;CK Mappings'!$E355)),ISNUMBER(SEARCH(IF(F$1&lt;&gt;"",F$1,"NA"),'MITRE ATT&amp;CK Mappings'!$F355))),ISNUMBER(SEARCH(IF(F$2&lt;&gt;"",F$2,"NA"),'MITRE ATT&amp;CK Mappings'!$G355))),ISNUMBER(SEARCH(IF(F$2&lt;&gt;"",F$2,"NA"),'MITRE ATT&amp;CK Mappings'!$H355))),ISNUMBER(SEARCH(IF(F$3&lt;&gt;"",F$3,"NA"),'MITRE ATT&amp;CK Mappings'!$I355))),ISNUMBER(SEARCH(IF(F$3&lt;&gt;"",F$3,"NA"),'MITRE ATT&amp;CK Mappings'!$J355))), 'MITRE ATT&amp;CK Mappings'!$B355,"")</f>
        <v/>
      </c>
      <c r="G359" s="27" t="str">
        <f>IF(OR(OR(OR(OR(OR(ISNUMBER(SEARCH(IF(G$1&lt;&gt;"",G$1,"NA"),'MITRE ATT&amp;CK Mappings'!$E355)),ISNUMBER(SEARCH(IF(G$1&lt;&gt;"",G$1,"NA"),'MITRE ATT&amp;CK Mappings'!$F355))),ISNUMBER(SEARCH(IF(G$2&lt;&gt;"",G$2,"NA"),'MITRE ATT&amp;CK Mappings'!$G355))),ISNUMBER(SEARCH(IF(G$2&lt;&gt;"",G$2,"NA"),'MITRE ATT&amp;CK Mappings'!$H355))),ISNUMBER(SEARCH(IF(G$3&lt;&gt;"",G$3,"NA"),'MITRE ATT&amp;CK Mappings'!$I355))),ISNUMBER(SEARCH(IF(G$3&lt;&gt;"",G$3,"NA"),'MITRE ATT&amp;CK Mappings'!$J355))), 'MITRE ATT&amp;CK Mappings'!$B355,"")</f>
        <v/>
      </c>
      <c r="H359" s="27" t="str">
        <f>IF(OR(OR(OR(OR(OR(ISNUMBER(SEARCH(IF(H$1&lt;&gt;"",H$1,"NA"),'MITRE ATT&amp;CK Mappings'!$E355)),ISNUMBER(SEARCH(IF(H$1&lt;&gt;"",H$1,"NA"),'MITRE ATT&amp;CK Mappings'!$F355))),ISNUMBER(SEARCH(IF(H$2&lt;&gt;"",H$2,"NA"),'MITRE ATT&amp;CK Mappings'!$G355))),ISNUMBER(SEARCH(IF(H$2&lt;&gt;"",H$2,"NA"),'MITRE ATT&amp;CK Mappings'!$H355))),ISNUMBER(SEARCH(IF(H$3&lt;&gt;"",H$3,"NA"),'MITRE ATT&amp;CK Mappings'!$I355))),ISNUMBER(SEARCH(IF(H$3&lt;&gt;"",H$3,"NA"),'MITRE ATT&amp;CK Mappings'!$J355))), 'MITRE ATT&amp;CK Mappings'!$B355,"")</f>
        <v/>
      </c>
      <c r="I359" s="27" t="str">
        <f>IF(OR(OR(OR(OR(OR(ISNUMBER(SEARCH(IF(I$1&lt;&gt;"",I$1,"NA"),'MITRE ATT&amp;CK Mappings'!$E355)),ISNUMBER(SEARCH(IF(I$1&lt;&gt;"",I$1,"NA"),'MITRE ATT&amp;CK Mappings'!$F355))),ISNUMBER(SEARCH(IF(I$2&lt;&gt;"",I$2,"NA"),'MITRE ATT&amp;CK Mappings'!$G355))),ISNUMBER(SEARCH(IF(I$2&lt;&gt;"",I$2,"NA"),'MITRE ATT&amp;CK Mappings'!$H355))),ISNUMBER(SEARCH(IF(I$3&lt;&gt;"",I$3,"NA"),'MITRE ATT&amp;CK Mappings'!$I355))),ISNUMBER(SEARCH(IF(I$3&lt;&gt;"",I$3,"NA"),'MITRE ATT&amp;CK Mappings'!$J355))), 'MITRE ATT&amp;CK Mappings'!$B355,"")</f>
        <v/>
      </c>
      <c r="J359" s="27" t="str">
        <f>IF(OR(OR(OR(OR(OR(ISNUMBER(SEARCH(IF(J$1&lt;&gt;"",J$1,"NA"),'MITRE ATT&amp;CK Mappings'!$E355)),ISNUMBER(SEARCH(IF(J$1&lt;&gt;"",J$1,"NA"),'MITRE ATT&amp;CK Mappings'!$F355))),ISNUMBER(SEARCH(IF(J$2&lt;&gt;"",J$2,"NA"),'MITRE ATT&amp;CK Mappings'!$G355))),ISNUMBER(SEARCH(IF(J$2&lt;&gt;"",J$2,"NA"),'MITRE ATT&amp;CK Mappings'!$H355))),ISNUMBER(SEARCH(IF(J$3&lt;&gt;"",J$3,"NA"),'MITRE ATT&amp;CK Mappings'!$I355))),ISNUMBER(SEARCH(IF(J$3&lt;&gt;"",J$3,"NA"),'MITRE ATT&amp;CK Mappings'!$J355))), 'MITRE ATT&amp;CK Mappings'!$B355,"")</f>
        <v/>
      </c>
      <c r="K359" s="27" t="str">
        <f>IF(OR(OR(OR(OR(OR(ISNUMBER(SEARCH(IF(K$1&lt;&gt;"",K$1,"NA"),'MITRE ATT&amp;CK Mappings'!$E355)),ISNUMBER(SEARCH(IF(K$1&lt;&gt;"",K$1,"NA"),'MITRE ATT&amp;CK Mappings'!$F355))),ISNUMBER(SEARCH(IF(K$2&lt;&gt;"",K$2,"NA"),'MITRE ATT&amp;CK Mappings'!$G355))),ISNUMBER(SEARCH(IF(K$2&lt;&gt;"",K$2,"NA"),'MITRE ATT&amp;CK Mappings'!$H355))),ISNUMBER(SEARCH(IF(K$3&lt;&gt;"",K$3,"NA"),'MITRE ATT&amp;CK Mappings'!$I355))),ISNUMBER(SEARCH(IF(K$3&lt;&gt;"",K$3,"NA"),'MITRE ATT&amp;CK Mappings'!$J355))), 'MITRE ATT&amp;CK Mappings'!$B355,"")</f>
        <v/>
      </c>
      <c r="L359" s="27" t="str">
        <f>IF('MITRE ATT&amp;CK Mappings'!D355 &lt;&gt;"",'MITRE ATT&amp;CK Mappings'!D355,"" )</f>
        <v/>
      </c>
    </row>
    <row r="360" spans="1:12" x14ac:dyDescent="0.25">
      <c r="A360" s="26" t="str">
        <f>IF(COUNTIF(B360:K360,"="&amp;'MITRE ATT&amp;CK Mappings'!B356)&gt;0,'MITRE ATT&amp;CK Mappings'!B356,"")</f>
        <v/>
      </c>
      <c r="B360" s="26" t="str">
        <f>IF(OR(OR(OR(OR(OR(ISNUMBER(SEARCH(IF(B$1&lt;&gt;"",B$1,"NA"),'MITRE ATT&amp;CK Mappings'!$E356)),ISNUMBER(SEARCH(IF(B$1&lt;&gt;"",B$1,"NA"),'MITRE ATT&amp;CK Mappings'!$F356))),ISNUMBER(SEARCH(IF(B$2&lt;&gt;"",B$2,"NA"),'MITRE ATT&amp;CK Mappings'!$G356))),ISNUMBER(SEARCH(IF(B$2&lt;&gt;"",B$2,"NA"),'MITRE ATT&amp;CK Mappings'!$H356))),ISNUMBER(SEARCH(IF(B$3&lt;&gt;"",B$3,"NA"),'MITRE ATT&amp;CK Mappings'!$I356))),ISNUMBER(SEARCH(IF(B$3&lt;&gt;"",B$3,"NA"),'MITRE ATT&amp;CK Mappings'!$J356))), 'MITRE ATT&amp;CK Mappings'!$B356,"")</f>
        <v/>
      </c>
      <c r="C360" s="26" t="str">
        <f>IF(OR(OR(OR(OR(OR(ISNUMBER(SEARCH(IF(C$1&lt;&gt;"",C$1,"NA"),'MITRE ATT&amp;CK Mappings'!$E356)),ISNUMBER(SEARCH(IF(C$1&lt;&gt;"",C$1,"NA"),'MITRE ATT&amp;CK Mappings'!$F356))),ISNUMBER(SEARCH(IF(C$2&lt;&gt;"",C$2,"NA"),'MITRE ATT&amp;CK Mappings'!$G356))),ISNUMBER(SEARCH(IF(C$2&lt;&gt;"",C$2,"NA"),'MITRE ATT&amp;CK Mappings'!$H356))),ISNUMBER(SEARCH(IF(C$3&lt;&gt;"",C$3,"NA"),'MITRE ATT&amp;CK Mappings'!$I356))),ISNUMBER(SEARCH(IF(C$3&lt;&gt;"",C$3,"NA"),'MITRE ATT&amp;CK Mappings'!$J356))), 'MITRE ATT&amp;CK Mappings'!$B356,"")</f>
        <v/>
      </c>
      <c r="D360" s="26" t="str">
        <f>IF(OR(OR(OR(OR(OR(ISNUMBER(SEARCH(IF(D$1&lt;&gt;"",D$1,"NA"),'MITRE ATT&amp;CK Mappings'!$E356)),ISNUMBER(SEARCH(IF(D$1&lt;&gt;"",D$1,"NA"),'MITRE ATT&amp;CK Mappings'!$F356))),ISNUMBER(SEARCH(IF(D$2&lt;&gt;"",D$2,"NA"),'MITRE ATT&amp;CK Mappings'!$G356))),ISNUMBER(SEARCH(IF(D$2&lt;&gt;"",D$2,"NA"),'MITRE ATT&amp;CK Mappings'!$H356))),ISNUMBER(SEARCH(IF(D$3&lt;&gt;"",D$3,"NA"),'MITRE ATT&amp;CK Mappings'!$I356))),ISNUMBER(SEARCH(IF(D$3&lt;&gt;"",D$3,"NA"),'MITRE ATT&amp;CK Mappings'!$J356))), 'MITRE ATT&amp;CK Mappings'!$B356,"")</f>
        <v/>
      </c>
      <c r="E360" s="26" t="str">
        <f>IF(OR(OR(OR(OR(OR(ISNUMBER(SEARCH(IF(E$1&lt;&gt;"",E$1,"NA"),'MITRE ATT&amp;CK Mappings'!$E356)),ISNUMBER(SEARCH(IF(E$1&lt;&gt;"",E$1,"NA"),'MITRE ATT&amp;CK Mappings'!$F356))),ISNUMBER(SEARCH(IF(E$2&lt;&gt;"",E$2,"NA"),'MITRE ATT&amp;CK Mappings'!$G356))),ISNUMBER(SEARCH(IF(E$2&lt;&gt;"",E$2,"NA"),'MITRE ATT&amp;CK Mappings'!$H356))),ISNUMBER(SEARCH(IF(E$3&lt;&gt;"",E$3,"NA"),'MITRE ATT&amp;CK Mappings'!$I356))),ISNUMBER(SEARCH(IF(E$3&lt;&gt;"",E$3,"NA"),'MITRE ATT&amp;CK Mappings'!$J356))), 'MITRE ATT&amp;CK Mappings'!$B356,"")</f>
        <v/>
      </c>
      <c r="F360" s="26" t="str">
        <f>IF(OR(OR(OR(OR(OR(ISNUMBER(SEARCH(IF(F$1&lt;&gt;"",F$1,"NA"),'MITRE ATT&amp;CK Mappings'!$E356)),ISNUMBER(SEARCH(IF(F$1&lt;&gt;"",F$1,"NA"),'MITRE ATT&amp;CK Mappings'!$F356))),ISNUMBER(SEARCH(IF(F$2&lt;&gt;"",F$2,"NA"),'MITRE ATT&amp;CK Mappings'!$G356))),ISNUMBER(SEARCH(IF(F$2&lt;&gt;"",F$2,"NA"),'MITRE ATT&amp;CK Mappings'!$H356))),ISNUMBER(SEARCH(IF(F$3&lt;&gt;"",F$3,"NA"),'MITRE ATT&amp;CK Mappings'!$I356))),ISNUMBER(SEARCH(IF(F$3&lt;&gt;"",F$3,"NA"),'MITRE ATT&amp;CK Mappings'!$J356))), 'MITRE ATT&amp;CK Mappings'!$B356,"")</f>
        <v/>
      </c>
      <c r="G360" s="26" t="str">
        <f>IF(OR(OR(OR(OR(OR(ISNUMBER(SEARCH(IF(G$1&lt;&gt;"",G$1,"NA"),'MITRE ATT&amp;CK Mappings'!$E356)),ISNUMBER(SEARCH(IF(G$1&lt;&gt;"",G$1,"NA"),'MITRE ATT&amp;CK Mappings'!$F356))),ISNUMBER(SEARCH(IF(G$2&lt;&gt;"",G$2,"NA"),'MITRE ATT&amp;CK Mappings'!$G356))),ISNUMBER(SEARCH(IF(G$2&lt;&gt;"",G$2,"NA"),'MITRE ATT&amp;CK Mappings'!$H356))),ISNUMBER(SEARCH(IF(G$3&lt;&gt;"",G$3,"NA"),'MITRE ATT&amp;CK Mappings'!$I356))),ISNUMBER(SEARCH(IF(G$3&lt;&gt;"",G$3,"NA"),'MITRE ATT&amp;CK Mappings'!$J356))), 'MITRE ATT&amp;CK Mappings'!$B356,"")</f>
        <v/>
      </c>
      <c r="H360" s="26" t="str">
        <f>IF(OR(OR(OR(OR(OR(ISNUMBER(SEARCH(IF(H$1&lt;&gt;"",H$1,"NA"),'MITRE ATT&amp;CK Mappings'!$E356)),ISNUMBER(SEARCH(IF(H$1&lt;&gt;"",H$1,"NA"),'MITRE ATT&amp;CK Mappings'!$F356))),ISNUMBER(SEARCH(IF(H$2&lt;&gt;"",H$2,"NA"),'MITRE ATT&amp;CK Mappings'!$G356))),ISNUMBER(SEARCH(IF(H$2&lt;&gt;"",H$2,"NA"),'MITRE ATT&amp;CK Mappings'!$H356))),ISNUMBER(SEARCH(IF(H$3&lt;&gt;"",H$3,"NA"),'MITRE ATT&amp;CK Mappings'!$I356))),ISNUMBER(SEARCH(IF(H$3&lt;&gt;"",H$3,"NA"),'MITRE ATT&amp;CK Mappings'!$J356))), 'MITRE ATT&amp;CK Mappings'!$B356,"")</f>
        <v/>
      </c>
      <c r="I360" s="26" t="str">
        <f>IF(OR(OR(OR(OR(OR(ISNUMBER(SEARCH(IF(I$1&lt;&gt;"",I$1,"NA"),'MITRE ATT&amp;CK Mappings'!$E356)),ISNUMBER(SEARCH(IF(I$1&lt;&gt;"",I$1,"NA"),'MITRE ATT&amp;CK Mappings'!$F356))),ISNUMBER(SEARCH(IF(I$2&lt;&gt;"",I$2,"NA"),'MITRE ATT&amp;CK Mappings'!$G356))),ISNUMBER(SEARCH(IF(I$2&lt;&gt;"",I$2,"NA"),'MITRE ATT&amp;CK Mappings'!$H356))),ISNUMBER(SEARCH(IF(I$3&lt;&gt;"",I$3,"NA"),'MITRE ATT&amp;CK Mappings'!$I356))),ISNUMBER(SEARCH(IF(I$3&lt;&gt;"",I$3,"NA"),'MITRE ATT&amp;CK Mappings'!$J356))), 'MITRE ATT&amp;CK Mappings'!$B356,"")</f>
        <v/>
      </c>
      <c r="J360" s="26" t="str">
        <f>IF(OR(OR(OR(OR(OR(ISNUMBER(SEARCH(IF(J$1&lt;&gt;"",J$1,"NA"),'MITRE ATT&amp;CK Mappings'!$E356)),ISNUMBER(SEARCH(IF(J$1&lt;&gt;"",J$1,"NA"),'MITRE ATT&amp;CK Mappings'!$F356))),ISNUMBER(SEARCH(IF(J$2&lt;&gt;"",J$2,"NA"),'MITRE ATT&amp;CK Mappings'!$G356))),ISNUMBER(SEARCH(IF(J$2&lt;&gt;"",J$2,"NA"),'MITRE ATT&amp;CK Mappings'!$H356))),ISNUMBER(SEARCH(IF(J$3&lt;&gt;"",J$3,"NA"),'MITRE ATT&amp;CK Mappings'!$I356))),ISNUMBER(SEARCH(IF(J$3&lt;&gt;"",J$3,"NA"),'MITRE ATT&amp;CK Mappings'!$J356))), 'MITRE ATT&amp;CK Mappings'!$B356,"")</f>
        <v/>
      </c>
      <c r="K360" s="26" t="str">
        <f>IF(OR(OR(OR(OR(OR(ISNUMBER(SEARCH(IF(K$1&lt;&gt;"",K$1,"NA"),'MITRE ATT&amp;CK Mappings'!$E356)),ISNUMBER(SEARCH(IF(K$1&lt;&gt;"",K$1,"NA"),'MITRE ATT&amp;CK Mappings'!$F356))),ISNUMBER(SEARCH(IF(K$2&lt;&gt;"",K$2,"NA"),'MITRE ATT&amp;CK Mappings'!$G356))),ISNUMBER(SEARCH(IF(K$2&lt;&gt;"",K$2,"NA"),'MITRE ATT&amp;CK Mappings'!$H356))),ISNUMBER(SEARCH(IF(K$3&lt;&gt;"",K$3,"NA"),'MITRE ATT&amp;CK Mappings'!$I356))),ISNUMBER(SEARCH(IF(K$3&lt;&gt;"",K$3,"NA"),'MITRE ATT&amp;CK Mappings'!$J356))), 'MITRE ATT&amp;CK Mappings'!$B356,"")</f>
        <v/>
      </c>
      <c r="L360" s="26" t="str">
        <f>IF('MITRE ATT&amp;CK Mappings'!D356 &lt;&gt;"",'MITRE ATT&amp;CK Mappings'!D356,"" )</f>
        <v/>
      </c>
    </row>
    <row r="361" spans="1:12" x14ac:dyDescent="0.25">
      <c r="A361" s="27" t="str">
        <f>IF(COUNTIF(B361:K361,"="&amp;'MITRE ATT&amp;CK Mappings'!B357)&gt;0,'MITRE ATT&amp;CK Mappings'!B357,"")</f>
        <v/>
      </c>
      <c r="B361" s="27" t="str">
        <f>IF(OR(OR(OR(OR(OR(ISNUMBER(SEARCH(IF(B$1&lt;&gt;"",B$1,"NA"),'MITRE ATT&amp;CK Mappings'!$E357)),ISNUMBER(SEARCH(IF(B$1&lt;&gt;"",B$1,"NA"),'MITRE ATT&amp;CK Mappings'!$F357))),ISNUMBER(SEARCH(IF(B$2&lt;&gt;"",B$2,"NA"),'MITRE ATT&amp;CK Mappings'!$G357))),ISNUMBER(SEARCH(IF(B$2&lt;&gt;"",B$2,"NA"),'MITRE ATT&amp;CK Mappings'!$H357))),ISNUMBER(SEARCH(IF(B$3&lt;&gt;"",B$3,"NA"),'MITRE ATT&amp;CK Mappings'!$I357))),ISNUMBER(SEARCH(IF(B$3&lt;&gt;"",B$3,"NA"),'MITRE ATT&amp;CK Mappings'!$J357))), 'MITRE ATT&amp;CK Mappings'!$B357,"")</f>
        <v/>
      </c>
      <c r="C361" s="27" t="str">
        <f>IF(OR(OR(OR(OR(OR(ISNUMBER(SEARCH(IF(C$1&lt;&gt;"",C$1,"NA"),'MITRE ATT&amp;CK Mappings'!$E357)),ISNUMBER(SEARCH(IF(C$1&lt;&gt;"",C$1,"NA"),'MITRE ATT&amp;CK Mappings'!$F357))),ISNUMBER(SEARCH(IF(C$2&lt;&gt;"",C$2,"NA"),'MITRE ATT&amp;CK Mappings'!$G357))),ISNUMBER(SEARCH(IF(C$2&lt;&gt;"",C$2,"NA"),'MITRE ATT&amp;CK Mappings'!$H357))),ISNUMBER(SEARCH(IF(C$3&lt;&gt;"",C$3,"NA"),'MITRE ATT&amp;CK Mappings'!$I357))),ISNUMBER(SEARCH(IF(C$3&lt;&gt;"",C$3,"NA"),'MITRE ATT&amp;CK Mappings'!$J357))), 'MITRE ATT&amp;CK Mappings'!$B357,"")</f>
        <v/>
      </c>
      <c r="D361" s="27" t="str">
        <f>IF(OR(OR(OR(OR(OR(ISNUMBER(SEARCH(IF(D$1&lt;&gt;"",D$1,"NA"),'MITRE ATT&amp;CK Mappings'!$E357)),ISNUMBER(SEARCH(IF(D$1&lt;&gt;"",D$1,"NA"),'MITRE ATT&amp;CK Mappings'!$F357))),ISNUMBER(SEARCH(IF(D$2&lt;&gt;"",D$2,"NA"),'MITRE ATT&amp;CK Mappings'!$G357))),ISNUMBER(SEARCH(IF(D$2&lt;&gt;"",D$2,"NA"),'MITRE ATT&amp;CK Mappings'!$H357))),ISNUMBER(SEARCH(IF(D$3&lt;&gt;"",D$3,"NA"),'MITRE ATT&amp;CK Mappings'!$I357))),ISNUMBER(SEARCH(IF(D$3&lt;&gt;"",D$3,"NA"),'MITRE ATT&amp;CK Mappings'!$J357))), 'MITRE ATT&amp;CK Mappings'!$B357,"")</f>
        <v/>
      </c>
      <c r="E361" s="27" t="str">
        <f>IF(OR(OR(OR(OR(OR(ISNUMBER(SEARCH(IF(E$1&lt;&gt;"",E$1,"NA"),'MITRE ATT&amp;CK Mappings'!$E357)),ISNUMBER(SEARCH(IF(E$1&lt;&gt;"",E$1,"NA"),'MITRE ATT&amp;CK Mappings'!$F357))),ISNUMBER(SEARCH(IF(E$2&lt;&gt;"",E$2,"NA"),'MITRE ATT&amp;CK Mappings'!$G357))),ISNUMBER(SEARCH(IF(E$2&lt;&gt;"",E$2,"NA"),'MITRE ATT&amp;CK Mappings'!$H357))),ISNUMBER(SEARCH(IF(E$3&lt;&gt;"",E$3,"NA"),'MITRE ATT&amp;CK Mappings'!$I357))),ISNUMBER(SEARCH(IF(E$3&lt;&gt;"",E$3,"NA"),'MITRE ATT&amp;CK Mappings'!$J357))), 'MITRE ATT&amp;CK Mappings'!$B357,"")</f>
        <v/>
      </c>
      <c r="F361" s="27" t="str">
        <f>IF(OR(OR(OR(OR(OR(ISNUMBER(SEARCH(IF(F$1&lt;&gt;"",F$1,"NA"),'MITRE ATT&amp;CK Mappings'!$E357)),ISNUMBER(SEARCH(IF(F$1&lt;&gt;"",F$1,"NA"),'MITRE ATT&amp;CK Mappings'!$F357))),ISNUMBER(SEARCH(IF(F$2&lt;&gt;"",F$2,"NA"),'MITRE ATT&amp;CK Mappings'!$G357))),ISNUMBER(SEARCH(IF(F$2&lt;&gt;"",F$2,"NA"),'MITRE ATT&amp;CK Mappings'!$H357))),ISNUMBER(SEARCH(IF(F$3&lt;&gt;"",F$3,"NA"),'MITRE ATT&amp;CK Mappings'!$I357))),ISNUMBER(SEARCH(IF(F$3&lt;&gt;"",F$3,"NA"),'MITRE ATT&amp;CK Mappings'!$J357))), 'MITRE ATT&amp;CK Mappings'!$B357,"")</f>
        <v/>
      </c>
      <c r="G361" s="27" t="str">
        <f>IF(OR(OR(OR(OR(OR(ISNUMBER(SEARCH(IF(G$1&lt;&gt;"",G$1,"NA"),'MITRE ATT&amp;CK Mappings'!$E357)),ISNUMBER(SEARCH(IF(G$1&lt;&gt;"",G$1,"NA"),'MITRE ATT&amp;CK Mappings'!$F357))),ISNUMBER(SEARCH(IF(G$2&lt;&gt;"",G$2,"NA"),'MITRE ATT&amp;CK Mappings'!$G357))),ISNUMBER(SEARCH(IF(G$2&lt;&gt;"",G$2,"NA"),'MITRE ATT&amp;CK Mappings'!$H357))),ISNUMBER(SEARCH(IF(G$3&lt;&gt;"",G$3,"NA"),'MITRE ATT&amp;CK Mappings'!$I357))),ISNUMBER(SEARCH(IF(G$3&lt;&gt;"",G$3,"NA"),'MITRE ATT&amp;CK Mappings'!$J357))), 'MITRE ATT&amp;CK Mappings'!$B357,"")</f>
        <v/>
      </c>
      <c r="H361" s="27" t="str">
        <f>IF(OR(OR(OR(OR(OR(ISNUMBER(SEARCH(IF(H$1&lt;&gt;"",H$1,"NA"),'MITRE ATT&amp;CK Mappings'!$E357)),ISNUMBER(SEARCH(IF(H$1&lt;&gt;"",H$1,"NA"),'MITRE ATT&amp;CK Mappings'!$F357))),ISNUMBER(SEARCH(IF(H$2&lt;&gt;"",H$2,"NA"),'MITRE ATT&amp;CK Mappings'!$G357))),ISNUMBER(SEARCH(IF(H$2&lt;&gt;"",H$2,"NA"),'MITRE ATT&amp;CK Mappings'!$H357))),ISNUMBER(SEARCH(IF(H$3&lt;&gt;"",H$3,"NA"),'MITRE ATT&amp;CK Mappings'!$I357))),ISNUMBER(SEARCH(IF(H$3&lt;&gt;"",H$3,"NA"),'MITRE ATT&amp;CK Mappings'!$J357))), 'MITRE ATT&amp;CK Mappings'!$B357,"")</f>
        <v/>
      </c>
      <c r="I361" s="27" t="str">
        <f>IF(OR(OR(OR(OR(OR(ISNUMBER(SEARCH(IF(I$1&lt;&gt;"",I$1,"NA"),'MITRE ATT&amp;CK Mappings'!$E357)),ISNUMBER(SEARCH(IF(I$1&lt;&gt;"",I$1,"NA"),'MITRE ATT&amp;CK Mappings'!$F357))),ISNUMBER(SEARCH(IF(I$2&lt;&gt;"",I$2,"NA"),'MITRE ATT&amp;CK Mappings'!$G357))),ISNUMBER(SEARCH(IF(I$2&lt;&gt;"",I$2,"NA"),'MITRE ATT&amp;CK Mappings'!$H357))),ISNUMBER(SEARCH(IF(I$3&lt;&gt;"",I$3,"NA"),'MITRE ATT&amp;CK Mappings'!$I357))),ISNUMBER(SEARCH(IF(I$3&lt;&gt;"",I$3,"NA"),'MITRE ATT&amp;CK Mappings'!$J357))), 'MITRE ATT&amp;CK Mappings'!$B357,"")</f>
        <v/>
      </c>
      <c r="J361" s="27" t="str">
        <f>IF(OR(OR(OR(OR(OR(ISNUMBER(SEARCH(IF(J$1&lt;&gt;"",J$1,"NA"),'MITRE ATT&amp;CK Mappings'!$E357)),ISNUMBER(SEARCH(IF(J$1&lt;&gt;"",J$1,"NA"),'MITRE ATT&amp;CK Mappings'!$F357))),ISNUMBER(SEARCH(IF(J$2&lt;&gt;"",J$2,"NA"),'MITRE ATT&amp;CK Mappings'!$G357))),ISNUMBER(SEARCH(IF(J$2&lt;&gt;"",J$2,"NA"),'MITRE ATT&amp;CK Mappings'!$H357))),ISNUMBER(SEARCH(IF(J$3&lt;&gt;"",J$3,"NA"),'MITRE ATT&amp;CK Mappings'!$I357))),ISNUMBER(SEARCH(IF(J$3&lt;&gt;"",J$3,"NA"),'MITRE ATT&amp;CK Mappings'!$J357))), 'MITRE ATT&amp;CK Mappings'!$B357,"")</f>
        <v/>
      </c>
      <c r="K361" s="27" t="str">
        <f>IF(OR(OR(OR(OR(OR(ISNUMBER(SEARCH(IF(K$1&lt;&gt;"",K$1,"NA"),'MITRE ATT&amp;CK Mappings'!$E357)),ISNUMBER(SEARCH(IF(K$1&lt;&gt;"",K$1,"NA"),'MITRE ATT&amp;CK Mappings'!$F357))),ISNUMBER(SEARCH(IF(K$2&lt;&gt;"",K$2,"NA"),'MITRE ATT&amp;CK Mappings'!$G357))),ISNUMBER(SEARCH(IF(K$2&lt;&gt;"",K$2,"NA"),'MITRE ATT&amp;CK Mappings'!$H357))),ISNUMBER(SEARCH(IF(K$3&lt;&gt;"",K$3,"NA"),'MITRE ATT&amp;CK Mappings'!$I357))),ISNUMBER(SEARCH(IF(K$3&lt;&gt;"",K$3,"NA"),'MITRE ATT&amp;CK Mappings'!$J357))), 'MITRE ATT&amp;CK Mappings'!$B357,"")</f>
        <v/>
      </c>
      <c r="L361" s="27" t="str">
        <f>IF('MITRE ATT&amp;CK Mappings'!D357 &lt;&gt;"",'MITRE ATT&amp;CK Mappings'!D357,"" )</f>
        <v/>
      </c>
    </row>
    <row r="362" spans="1:12" x14ac:dyDescent="0.25">
      <c r="A362" s="26" t="str">
        <f>IF(COUNTIF(B362:K362,"="&amp;'MITRE ATT&amp;CK Mappings'!B358)&gt;0,'MITRE ATT&amp;CK Mappings'!B358,"")</f>
        <v/>
      </c>
      <c r="B362" s="26" t="str">
        <f>IF(OR(OR(OR(OR(OR(ISNUMBER(SEARCH(IF(B$1&lt;&gt;"",B$1,"NA"),'MITRE ATT&amp;CK Mappings'!$E358)),ISNUMBER(SEARCH(IF(B$1&lt;&gt;"",B$1,"NA"),'MITRE ATT&amp;CK Mappings'!$F358))),ISNUMBER(SEARCH(IF(B$2&lt;&gt;"",B$2,"NA"),'MITRE ATT&amp;CK Mappings'!$G358))),ISNUMBER(SEARCH(IF(B$2&lt;&gt;"",B$2,"NA"),'MITRE ATT&amp;CK Mappings'!$H358))),ISNUMBER(SEARCH(IF(B$3&lt;&gt;"",B$3,"NA"),'MITRE ATT&amp;CK Mappings'!$I358))),ISNUMBER(SEARCH(IF(B$3&lt;&gt;"",B$3,"NA"),'MITRE ATT&amp;CK Mappings'!$J358))), 'MITRE ATT&amp;CK Mappings'!$B358,"")</f>
        <v/>
      </c>
      <c r="C362" s="26" t="str">
        <f>IF(OR(OR(OR(OR(OR(ISNUMBER(SEARCH(IF(C$1&lt;&gt;"",C$1,"NA"),'MITRE ATT&amp;CK Mappings'!$E358)),ISNUMBER(SEARCH(IF(C$1&lt;&gt;"",C$1,"NA"),'MITRE ATT&amp;CK Mappings'!$F358))),ISNUMBER(SEARCH(IF(C$2&lt;&gt;"",C$2,"NA"),'MITRE ATT&amp;CK Mappings'!$G358))),ISNUMBER(SEARCH(IF(C$2&lt;&gt;"",C$2,"NA"),'MITRE ATT&amp;CK Mappings'!$H358))),ISNUMBER(SEARCH(IF(C$3&lt;&gt;"",C$3,"NA"),'MITRE ATT&amp;CK Mappings'!$I358))),ISNUMBER(SEARCH(IF(C$3&lt;&gt;"",C$3,"NA"),'MITRE ATT&amp;CK Mappings'!$J358))), 'MITRE ATT&amp;CK Mappings'!$B358,"")</f>
        <v/>
      </c>
      <c r="D362" s="26" t="str">
        <f>IF(OR(OR(OR(OR(OR(ISNUMBER(SEARCH(IF(D$1&lt;&gt;"",D$1,"NA"),'MITRE ATT&amp;CK Mappings'!$E358)),ISNUMBER(SEARCH(IF(D$1&lt;&gt;"",D$1,"NA"),'MITRE ATT&amp;CK Mappings'!$F358))),ISNUMBER(SEARCH(IF(D$2&lt;&gt;"",D$2,"NA"),'MITRE ATT&amp;CK Mappings'!$G358))),ISNUMBER(SEARCH(IF(D$2&lt;&gt;"",D$2,"NA"),'MITRE ATT&amp;CK Mappings'!$H358))),ISNUMBER(SEARCH(IF(D$3&lt;&gt;"",D$3,"NA"),'MITRE ATT&amp;CK Mappings'!$I358))),ISNUMBER(SEARCH(IF(D$3&lt;&gt;"",D$3,"NA"),'MITRE ATT&amp;CK Mappings'!$J358))), 'MITRE ATT&amp;CK Mappings'!$B358,"")</f>
        <v/>
      </c>
      <c r="E362" s="26" t="str">
        <f>IF(OR(OR(OR(OR(OR(ISNUMBER(SEARCH(IF(E$1&lt;&gt;"",E$1,"NA"),'MITRE ATT&amp;CK Mappings'!$E358)),ISNUMBER(SEARCH(IF(E$1&lt;&gt;"",E$1,"NA"),'MITRE ATT&amp;CK Mappings'!$F358))),ISNUMBER(SEARCH(IF(E$2&lt;&gt;"",E$2,"NA"),'MITRE ATT&amp;CK Mappings'!$G358))),ISNUMBER(SEARCH(IF(E$2&lt;&gt;"",E$2,"NA"),'MITRE ATT&amp;CK Mappings'!$H358))),ISNUMBER(SEARCH(IF(E$3&lt;&gt;"",E$3,"NA"),'MITRE ATT&amp;CK Mappings'!$I358))),ISNUMBER(SEARCH(IF(E$3&lt;&gt;"",E$3,"NA"),'MITRE ATT&amp;CK Mappings'!$J358))), 'MITRE ATT&amp;CK Mappings'!$B358,"")</f>
        <v/>
      </c>
      <c r="F362" s="26" t="str">
        <f>IF(OR(OR(OR(OR(OR(ISNUMBER(SEARCH(IF(F$1&lt;&gt;"",F$1,"NA"),'MITRE ATT&amp;CK Mappings'!$E358)),ISNUMBER(SEARCH(IF(F$1&lt;&gt;"",F$1,"NA"),'MITRE ATT&amp;CK Mappings'!$F358))),ISNUMBER(SEARCH(IF(F$2&lt;&gt;"",F$2,"NA"),'MITRE ATT&amp;CK Mappings'!$G358))),ISNUMBER(SEARCH(IF(F$2&lt;&gt;"",F$2,"NA"),'MITRE ATT&amp;CK Mappings'!$H358))),ISNUMBER(SEARCH(IF(F$3&lt;&gt;"",F$3,"NA"),'MITRE ATT&amp;CK Mappings'!$I358))),ISNUMBER(SEARCH(IF(F$3&lt;&gt;"",F$3,"NA"),'MITRE ATT&amp;CK Mappings'!$J358))), 'MITRE ATT&amp;CK Mappings'!$B358,"")</f>
        <v/>
      </c>
      <c r="G362" s="26" t="str">
        <f>IF(OR(OR(OR(OR(OR(ISNUMBER(SEARCH(IF(G$1&lt;&gt;"",G$1,"NA"),'MITRE ATT&amp;CK Mappings'!$E358)),ISNUMBER(SEARCH(IF(G$1&lt;&gt;"",G$1,"NA"),'MITRE ATT&amp;CK Mappings'!$F358))),ISNUMBER(SEARCH(IF(G$2&lt;&gt;"",G$2,"NA"),'MITRE ATT&amp;CK Mappings'!$G358))),ISNUMBER(SEARCH(IF(G$2&lt;&gt;"",G$2,"NA"),'MITRE ATT&amp;CK Mappings'!$H358))),ISNUMBER(SEARCH(IF(G$3&lt;&gt;"",G$3,"NA"),'MITRE ATT&amp;CK Mappings'!$I358))),ISNUMBER(SEARCH(IF(G$3&lt;&gt;"",G$3,"NA"),'MITRE ATT&amp;CK Mappings'!$J358))), 'MITRE ATT&amp;CK Mappings'!$B358,"")</f>
        <v/>
      </c>
      <c r="H362" s="26" t="str">
        <f>IF(OR(OR(OR(OR(OR(ISNUMBER(SEARCH(IF(H$1&lt;&gt;"",H$1,"NA"),'MITRE ATT&amp;CK Mappings'!$E358)),ISNUMBER(SEARCH(IF(H$1&lt;&gt;"",H$1,"NA"),'MITRE ATT&amp;CK Mappings'!$F358))),ISNUMBER(SEARCH(IF(H$2&lt;&gt;"",H$2,"NA"),'MITRE ATT&amp;CK Mappings'!$G358))),ISNUMBER(SEARCH(IF(H$2&lt;&gt;"",H$2,"NA"),'MITRE ATT&amp;CK Mappings'!$H358))),ISNUMBER(SEARCH(IF(H$3&lt;&gt;"",H$3,"NA"),'MITRE ATT&amp;CK Mappings'!$I358))),ISNUMBER(SEARCH(IF(H$3&lt;&gt;"",H$3,"NA"),'MITRE ATT&amp;CK Mappings'!$J358))), 'MITRE ATT&amp;CK Mappings'!$B358,"")</f>
        <v/>
      </c>
      <c r="I362" s="26" t="str">
        <f>IF(OR(OR(OR(OR(OR(ISNUMBER(SEARCH(IF(I$1&lt;&gt;"",I$1,"NA"),'MITRE ATT&amp;CK Mappings'!$E358)),ISNUMBER(SEARCH(IF(I$1&lt;&gt;"",I$1,"NA"),'MITRE ATT&amp;CK Mappings'!$F358))),ISNUMBER(SEARCH(IF(I$2&lt;&gt;"",I$2,"NA"),'MITRE ATT&amp;CK Mappings'!$G358))),ISNUMBER(SEARCH(IF(I$2&lt;&gt;"",I$2,"NA"),'MITRE ATT&amp;CK Mappings'!$H358))),ISNUMBER(SEARCH(IF(I$3&lt;&gt;"",I$3,"NA"),'MITRE ATT&amp;CK Mappings'!$I358))),ISNUMBER(SEARCH(IF(I$3&lt;&gt;"",I$3,"NA"),'MITRE ATT&amp;CK Mappings'!$J358))), 'MITRE ATT&amp;CK Mappings'!$B358,"")</f>
        <v/>
      </c>
      <c r="J362" s="26" t="str">
        <f>IF(OR(OR(OR(OR(OR(ISNUMBER(SEARCH(IF(J$1&lt;&gt;"",J$1,"NA"),'MITRE ATT&amp;CK Mappings'!$E358)),ISNUMBER(SEARCH(IF(J$1&lt;&gt;"",J$1,"NA"),'MITRE ATT&amp;CK Mappings'!$F358))),ISNUMBER(SEARCH(IF(J$2&lt;&gt;"",J$2,"NA"),'MITRE ATT&amp;CK Mappings'!$G358))),ISNUMBER(SEARCH(IF(J$2&lt;&gt;"",J$2,"NA"),'MITRE ATT&amp;CK Mappings'!$H358))),ISNUMBER(SEARCH(IF(J$3&lt;&gt;"",J$3,"NA"),'MITRE ATT&amp;CK Mappings'!$I358))),ISNUMBER(SEARCH(IF(J$3&lt;&gt;"",J$3,"NA"),'MITRE ATT&amp;CK Mappings'!$J358))), 'MITRE ATT&amp;CK Mappings'!$B358,"")</f>
        <v/>
      </c>
      <c r="K362" s="26" t="str">
        <f>IF(OR(OR(OR(OR(OR(ISNUMBER(SEARCH(IF(K$1&lt;&gt;"",K$1,"NA"),'MITRE ATT&amp;CK Mappings'!$E358)),ISNUMBER(SEARCH(IF(K$1&lt;&gt;"",K$1,"NA"),'MITRE ATT&amp;CK Mappings'!$F358))),ISNUMBER(SEARCH(IF(K$2&lt;&gt;"",K$2,"NA"),'MITRE ATT&amp;CK Mappings'!$G358))),ISNUMBER(SEARCH(IF(K$2&lt;&gt;"",K$2,"NA"),'MITRE ATT&amp;CK Mappings'!$H358))),ISNUMBER(SEARCH(IF(K$3&lt;&gt;"",K$3,"NA"),'MITRE ATT&amp;CK Mappings'!$I358))),ISNUMBER(SEARCH(IF(K$3&lt;&gt;"",K$3,"NA"),'MITRE ATT&amp;CK Mappings'!$J358))), 'MITRE ATT&amp;CK Mappings'!$B358,"")</f>
        <v/>
      </c>
      <c r="L362" s="26" t="str">
        <f>IF('MITRE ATT&amp;CK Mappings'!D358 &lt;&gt;"",'MITRE ATT&amp;CK Mappings'!D358,"" )</f>
        <v/>
      </c>
    </row>
    <row r="363" spans="1:12" x14ac:dyDescent="0.25">
      <c r="A363" s="27" t="str">
        <f>IF(COUNTIF(B363:K363,"="&amp;'MITRE ATT&amp;CK Mappings'!B359)&gt;0,'MITRE ATT&amp;CK Mappings'!B359,"")</f>
        <v/>
      </c>
      <c r="B363" s="27" t="str">
        <f>IF(OR(OR(OR(OR(OR(ISNUMBER(SEARCH(IF(B$1&lt;&gt;"",B$1,"NA"),'MITRE ATT&amp;CK Mappings'!$E359)),ISNUMBER(SEARCH(IF(B$1&lt;&gt;"",B$1,"NA"),'MITRE ATT&amp;CK Mappings'!$F359))),ISNUMBER(SEARCH(IF(B$2&lt;&gt;"",B$2,"NA"),'MITRE ATT&amp;CK Mappings'!$G359))),ISNUMBER(SEARCH(IF(B$2&lt;&gt;"",B$2,"NA"),'MITRE ATT&amp;CK Mappings'!$H359))),ISNUMBER(SEARCH(IF(B$3&lt;&gt;"",B$3,"NA"),'MITRE ATT&amp;CK Mappings'!$I359))),ISNUMBER(SEARCH(IF(B$3&lt;&gt;"",B$3,"NA"),'MITRE ATT&amp;CK Mappings'!$J359))), 'MITRE ATT&amp;CK Mappings'!$B359,"")</f>
        <v/>
      </c>
      <c r="C363" s="27" t="str">
        <f>IF(OR(OR(OR(OR(OR(ISNUMBER(SEARCH(IF(C$1&lt;&gt;"",C$1,"NA"),'MITRE ATT&amp;CK Mappings'!$E359)),ISNUMBER(SEARCH(IF(C$1&lt;&gt;"",C$1,"NA"),'MITRE ATT&amp;CK Mappings'!$F359))),ISNUMBER(SEARCH(IF(C$2&lt;&gt;"",C$2,"NA"),'MITRE ATT&amp;CK Mappings'!$G359))),ISNUMBER(SEARCH(IF(C$2&lt;&gt;"",C$2,"NA"),'MITRE ATT&amp;CK Mappings'!$H359))),ISNUMBER(SEARCH(IF(C$3&lt;&gt;"",C$3,"NA"),'MITRE ATT&amp;CK Mappings'!$I359))),ISNUMBER(SEARCH(IF(C$3&lt;&gt;"",C$3,"NA"),'MITRE ATT&amp;CK Mappings'!$J359))), 'MITRE ATT&amp;CK Mappings'!$B359,"")</f>
        <v/>
      </c>
      <c r="D363" s="27" t="str">
        <f>IF(OR(OR(OR(OR(OR(ISNUMBER(SEARCH(IF(D$1&lt;&gt;"",D$1,"NA"),'MITRE ATT&amp;CK Mappings'!$E359)),ISNUMBER(SEARCH(IF(D$1&lt;&gt;"",D$1,"NA"),'MITRE ATT&amp;CK Mappings'!$F359))),ISNUMBER(SEARCH(IF(D$2&lt;&gt;"",D$2,"NA"),'MITRE ATT&amp;CK Mappings'!$G359))),ISNUMBER(SEARCH(IF(D$2&lt;&gt;"",D$2,"NA"),'MITRE ATT&amp;CK Mappings'!$H359))),ISNUMBER(SEARCH(IF(D$3&lt;&gt;"",D$3,"NA"),'MITRE ATT&amp;CK Mappings'!$I359))),ISNUMBER(SEARCH(IF(D$3&lt;&gt;"",D$3,"NA"),'MITRE ATT&amp;CK Mappings'!$J359))), 'MITRE ATT&amp;CK Mappings'!$B359,"")</f>
        <v/>
      </c>
      <c r="E363" s="27" t="str">
        <f>IF(OR(OR(OR(OR(OR(ISNUMBER(SEARCH(IF(E$1&lt;&gt;"",E$1,"NA"),'MITRE ATT&amp;CK Mappings'!$E359)),ISNUMBER(SEARCH(IF(E$1&lt;&gt;"",E$1,"NA"),'MITRE ATT&amp;CK Mappings'!$F359))),ISNUMBER(SEARCH(IF(E$2&lt;&gt;"",E$2,"NA"),'MITRE ATT&amp;CK Mappings'!$G359))),ISNUMBER(SEARCH(IF(E$2&lt;&gt;"",E$2,"NA"),'MITRE ATT&amp;CK Mappings'!$H359))),ISNUMBER(SEARCH(IF(E$3&lt;&gt;"",E$3,"NA"),'MITRE ATT&amp;CK Mappings'!$I359))),ISNUMBER(SEARCH(IF(E$3&lt;&gt;"",E$3,"NA"),'MITRE ATT&amp;CK Mappings'!$J359))), 'MITRE ATT&amp;CK Mappings'!$B359,"")</f>
        <v/>
      </c>
      <c r="F363" s="27" t="str">
        <f>IF(OR(OR(OR(OR(OR(ISNUMBER(SEARCH(IF(F$1&lt;&gt;"",F$1,"NA"),'MITRE ATT&amp;CK Mappings'!$E359)),ISNUMBER(SEARCH(IF(F$1&lt;&gt;"",F$1,"NA"),'MITRE ATT&amp;CK Mappings'!$F359))),ISNUMBER(SEARCH(IF(F$2&lt;&gt;"",F$2,"NA"),'MITRE ATT&amp;CK Mappings'!$G359))),ISNUMBER(SEARCH(IF(F$2&lt;&gt;"",F$2,"NA"),'MITRE ATT&amp;CK Mappings'!$H359))),ISNUMBER(SEARCH(IF(F$3&lt;&gt;"",F$3,"NA"),'MITRE ATT&amp;CK Mappings'!$I359))),ISNUMBER(SEARCH(IF(F$3&lt;&gt;"",F$3,"NA"),'MITRE ATT&amp;CK Mappings'!$J359))), 'MITRE ATT&amp;CK Mappings'!$B359,"")</f>
        <v/>
      </c>
      <c r="G363" s="27" t="str">
        <f>IF(OR(OR(OR(OR(OR(ISNUMBER(SEARCH(IF(G$1&lt;&gt;"",G$1,"NA"),'MITRE ATT&amp;CK Mappings'!$E359)),ISNUMBER(SEARCH(IF(G$1&lt;&gt;"",G$1,"NA"),'MITRE ATT&amp;CK Mappings'!$F359))),ISNUMBER(SEARCH(IF(G$2&lt;&gt;"",G$2,"NA"),'MITRE ATT&amp;CK Mappings'!$G359))),ISNUMBER(SEARCH(IF(G$2&lt;&gt;"",G$2,"NA"),'MITRE ATT&amp;CK Mappings'!$H359))),ISNUMBER(SEARCH(IF(G$3&lt;&gt;"",G$3,"NA"),'MITRE ATT&amp;CK Mappings'!$I359))),ISNUMBER(SEARCH(IF(G$3&lt;&gt;"",G$3,"NA"),'MITRE ATT&amp;CK Mappings'!$J359))), 'MITRE ATT&amp;CK Mappings'!$B359,"")</f>
        <v/>
      </c>
      <c r="H363" s="27" t="str">
        <f>IF(OR(OR(OR(OR(OR(ISNUMBER(SEARCH(IF(H$1&lt;&gt;"",H$1,"NA"),'MITRE ATT&amp;CK Mappings'!$E359)),ISNUMBER(SEARCH(IF(H$1&lt;&gt;"",H$1,"NA"),'MITRE ATT&amp;CK Mappings'!$F359))),ISNUMBER(SEARCH(IF(H$2&lt;&gt;"",H$2,"NA"),'MITRE ATT&amp;CK Mappings'!$G359))),ISNUMBER(SEARCH(IF(H$2&lt;&gt;"",H$2,"NA"),'MITRE ATT&amp;CK Mappings'!$H359))),ISNUMBER(SEARCH(IF(H$3&lt;&gt;"",H$3,"NA"),'MITRE ATT&amp;CK Mappings'!$I359))),ISNUMBER(SEARCH(IF(H$3&lt;&gt;"",H$3,"NA"),'MITRE ATT&amp;CK Mappings'!$J359))), 'MITRE ATT&amp;CK Mappings'!$B359,"")</f>
        <v/>
      </c>
      <c r="I363" s="27" t="str">
        <f>IF(OR(OR(OR(OR(OR(ISNUMBER(SEARCH(IF(I$1&lt;&gt;"",I$1,"NA"),'MITRE ATT&amp;CK Mappings'!$E359)),ISNUMBER(SEARCH(IF(I$1&lt;&gt;"",I$1,"NA"),'MITRE ATT&amp;CK Mappings'!$F359))),ISNUMBER(SEARCH(IF(I$2&lt;&gt;"",I$2,"NA"),'MITRE ATT&amp;CK Mappings'!$G359))),ISNUMBER(SEARCH(IF(I$2&lt;&gt;"",I$2,"NA"),'MITRE ATT&amp;CK Mappings'!$H359))),ISNUMBER(SEARCH(IF(I$3&lt;&gt;"",I$3,"NA"),'MITRE ATT&amp;CK Mappings'!$I359))),ISNUMBER(SEARCH(IF(I$3&lt;&gt;"",I$3,"NA"),'MITRE ATT&amp;CK Mappings'!$J359))), 'MITRE ATT&amp;CK Mappings'!$B359,"")</f>
        <v/>
      </c>
      <c r="J363" s="27" t="str">
        <f>IF(OR(OR(OR(OR(OR(ISNUMBER(SEARCH(IF(J$1&lt;&gt;"",J$1,"NA"),'MITRE ATT&amp;CK Mappings'!$E359)),ISNUMBER(SEARCH(IF(J$1&lt;&gt;"",J$1,"NA"),'MITRE ATT&amp;CK Mappings'!$F359))),ISNUMBER(SEARCH(IF(J$2&lt;&gt;"",J$2,"NA"),'MITRE ATT&amp;CK Mappings'!$G359))),ISNUMBER(SEARCH(IF(J$2&lt;&gt;"",J$2,"NA"),'MITRE ATT&amp;CK Mappings'!$H359))),ISNUMBER(SEARCH(IF(J$3&lt;&gt;"",J$3,"NA"),'MITRE ATT&amp;CK Mappings'!$I359))),ISNUMBER(SEARCH(IF(J$3&lt;&gt;"",J$3,"NA"),'MITRE ATT&amp;CK Mappings'!$J359))), 'MITRE ATT&amp;CK Mappings'!$B359,"")</f>
        <v/>
      </c>
      <c r="K363" s="27" t="str">
        <f>IF(OR(OR(OR(OR(OR(ISNUMBER(SEARCH(IF(K$1&lt;&gt;"",K$1,"NA"),'MITRE ATT&amp;CK Mappings'!$E359)),ISNUMBER(SEARCH(IF(K$1&lt;&gt;"",K$1,"NA"),'MITRE ATT&amp;CK Mappings'!$F359))),ISNUMBER(SEARCH(IF(K$2&lt;&gt;"",K$2,"NA"),'MITRE ATT&amp;CK Mappings'!$G359))),ISNUMBER(SEARCH(IF(K$2&lt;&gt;"",K$2,"NA"),'MITRE ATT&amp;CK Mappings'!$H359))),ISNUMBER(SEARCH(IF(K$3&lt;&gt;"",K$3,"NA"),'MITRE ATT&amp;CK Mappings'!$I359))),ISNUMBER(SEARCH(IF(K$3&lt;&gt;"",K$3,"NA"),'MITRE ATT&amp;CK Mappings'!$J359))), 'MITRE ATT&amp;CK Mappings'!$B359,"")</f>
        <v/>
      </c>
      <c r="L363" s="27" t="str">
        <f>IF('MITRE ATT&amp;CK Mappings'!D359 &lt;&gt;"",'MITRE ATT&amp;CK Mappings'!D359,"" )</f>
        <v/>
      </c>
    </row>
    <row r="364" spans="1:12" x14ac:dyDescent="0.25">
      <c r="A364" s="26" t="str">
        <f>IF(COUNTIF(B364:K364,"="&amp;'MITRE ATT&amp;CK Mappings'!B360)&gt;0,'MITRE ATT&amp;CK Mappings'!B360,"")</f>
        <v/>
      </c>
      <c r="B364" s="26" t="str">
        <f>IF(OR(OR(OR(OR(OR(ISNUMBER(SEARCH(IF(B$1&lt;&gt;"",B$1,"NA"),'MITRE ATT&amp;CK Mappings'!$E360)),ISNUMBER(SEARCH(IF(B$1&lt;&gt;"",B$1,"NA"),'MITRE ATT&amp;CK Mappings'!$F360))),ISNUMBER(SEARCH(IF(B$2&lt;&gt;"",B$2,"NA"),'MITRE ATT&amp;CK Mappings'!$G360))),ISNUMBER(SEARCH(IF(B$2&lt;&gt;"",B$2,"NA"),'MITRE ATT&amp;CK Mappings'!$H360))),ISNUMBER(SEARCH(IF(B$3&lt;&gt;"",B$3,"NA"),'MITRE ATT&amp;CK Mappings'!$I360))),ISNUMBER(SEARCH(IF(B$3&lt;&gt;"",B$3,"NA"),'MITRE ATT&amp;CK Mappings'!$J360))), 'MITRE ATT&amp;CK Mappings'!$B360,"")</f>
        <v/>
      </c>
      <c r="C364" s="26" t="str">
        <f>IF(OR(OR(OR(OR(OR(ISNUMBER(SEARCH(IF(C$1&lt;&gt;"",C$1,"NA"),'MITRE ATT&amp;CK Mappings'!$E360)),ISNUMBER(SEARCH(IF(C$1&lt;&gt;"",C$1,"NA"),'MITRE ATT&amp;CK Mappings'!$F360))),ISNUMBER(SEARCH(IF(C$2&lt;&gt;"",C$2,"NA"),'MITRE ATT&amp;CK Mappings'!$G360))),ISNUMBER(SEARCH(IF(C$2&lt;&gt;"",C$2,"NA"),'MITRE ATT&amp;CK Mappings'!$H360))),ISNUMBER(SEARCH(IF(C$3&lt;&gt;"",C$3,"NA"),'MITRE ATT&amp;CK Mappings'!$I360))),ISNUMBER(SEARCH(IF(C$3&lt;&gt;"",C$3,"NA"),'MITRE ATT&amp;CK Mappings'!$J360))), 'MITRE ATT&amp;CK Mappings'!$B360,"")</f>
        <v/>
      </c>
      <c r="D364" s="26" t="str">
        <f>IF(OR(OR(OR(OR(OR(ISNUMBER(SEARCH(IF(D$1&lt;&gt;"",D$1,"NA"),'MITRE ATT&amp;CK Mappings'!$E360)),ISNUMBER(SEARCH(IF(D$1&lt;&gt;"",D$1,"NA"),'MITRE ATT&amp;CK Mappings'!$F360))),ISNUMBER(SEARCH(IF(D$2&lt;&gt;"",D$2,"NA"),'MITRE ATT&amp;CK Mappings'!$G360))),ISNUMBER(SEARCH(IF(D$2&lt;&gt;"",D$2,"NA"),'MITRE ATT&amp;CK Mappings'!$H360))),ISNUMBER(SEARCH(IF(D$3&lt;&gt;"",D$3,"NA"),'MITRE ATT&amp;CK Mappings'!$I360))),ISNUMBER(SEARCH(IF(D$3&lt;&gt;"",D$3,"NA"),'MITRE ATT&amp;CK Mappings'!$J360))), 'MITRE ATT&amp;CK Mappings'!$B360,"")</f>
        <v/>
      </c>
      <c r="E364" s="26" t="str">
        <f>IF(OR(OR(OR(OR(OR(ISNUMBER(SEARCH(IF(E$1&lt;&gt;"",E$1,"NA"),'MITRE ATT&amp;CK Mappings'!$E360)),ISNUMBER(SEARCH(IF(E$1&lt;&gt;"",E$1,"NA"),'MITRE ATT&amp;CK Mappings'!$F360))),ISNUMBER(SEARCH(IF(E$2&lt;&gt;"",E$2,"NA"),'MITRE ATT&amp;CK Mappings'!$G360))),ISNUMBER(SEARCH(IF(E$2&lt;&gt;"",E$2,"NA"),'MITRE ATT&amp;CK Mappings'!$H360))),ISNUMBER(SEARCH(IF(E$3&lt;&gt;"",E$3,"NA"),'MITRE ATT&amp;CK Mappings'!$I360))),ISNUMBER(SEARCH(IF(E$3&lt;&gt;"",E$3,"NA"),'MITRE ATT&amp;CK Mappings'!$J360))), 'MITRE ATT&amp;CK Mappings'!$B360,"")</f>
        <v/>
      </c>
      <c r="F364" s="26" t="str">
        <f>IF(OR(OR(OR(OR(OR(ISNUMBER(SEARCH(IF(F$1&lt;&gt;"",F$1,"NA"),'MITRE ATT&amp;CK Mappings'!$E360)),ISNUMBER(SEARCH(IF(F$1&lt;&gt;"",F$1,"NA"),'MITRE ATT&amp;CK Mappings'!$F360))),ISNUMBER(SEARCH(IF(F$2&lt;&gt;"",F$2,"NA"),'MITRE ATT&amp;CK Mappings'!$G360))),ISNUMBER(SEARCH(IF(F$2&lt;&gt;"",F$2,"NA"),'MITRE ATT&amp;CK Mappings'!$H360))),ISNUMBER(SEARCH(IF(F$3&lt;&gt;"",F$3,"NA"),'MITRE ATT&amp;CK Mappings'!$I360))),ISNUMBER(SEARCH(IF(F$3&lt;&gt;"",F$3,"NA"),'MITRE ATT&amp;CK Mappings'!$J360))), 'MITRE ATT&amp;CK Mappings'!$B360,"")</f>
        <v/>
      </c>
      <c r="G364" s="26" t="str">
        <f>IF(OR(OR(OR(OR(OR(ISNUMBER(SEARCH(IF(G$1&lt;&gt;"",G$1,"NA"),'MITRE ATT&amp;CK Mappings'!$E360)),ISNUMBER(SEARCH(IF(G$1&lt;&gt;"",G$1,"NA"),'MITRE ATT&amp;CK Mappings'!$F360))),ISNUMBER(SEARCH(IF(G$2&lt;&gt;"",G$2,"NA"),'MITRE ATT&amp;CK Mappings'!$G360))),ISNUMBER(SEARCH(IF(G$2&lt;&gt;"",G$2,"NA"),'MITRE ATT&amp;CK Mappings'!$H360))),ISNUMBER(SEARCH(IF(G$3&lt;&gt;"",G$3,"NA"),'MITRE ATT&amp;CK Mappings'!$I360))),ISNUMBER(SEARCH(IF(G$3&lt;&gt;"",G$3,"NA"),'MITRE ATT&amp;CK Mappings'!$J360))), 'MITRE ATT&amp;CK Mappings'!$B360,"")</f>
        <v/>
      </c>
      <c r="H364" s="26" t="str">
        <f>IF(OR(OR(OR(OR(OR(ISNUMBER(SEARCH(IF(H$1&lt;&gt;"",H$1,"NA"),'MITRE ATT&amp;CK Mappings'!$E360)),ISNUMBER(SEARCH(IF(H$1&lt;&gt;"",H$1,"NA"),'MITRE ATT&amp;CK Mappings'!$F360))),ISNUMBER(SEARCH(IF(H$2&lt;&gt;"",H$2,"NA"),'MITRE ATT&amp;CK Mappings'!$G360))),ISNUMBER(SEARCH(IF(H$2&lt;&gt;"",H$2,"NA"),'MITRE ATT&amp;CK Mappings'!$H360))),ISNUMBER(SEARCH(IF(H$3&lt;&gt;"",H$3,"NA"),'MITRE ATT&amp;CK Mappings'!$I360))),ISNUMBER(SEARCH(IF(H$3&lt;&gt;"",H$3,"NA"),'MITRE ATT&amp;CK Mappings'!$J360))), 'MITRE ATT&amp;CK Mappings'!$B360,"")</f>
        <v/>
      </c>
      <c r="I364" s="26" t="str">
        <f>IF(OR(OR(OR(OR(OR(ISNUMBER(SEARCH(IF(I$1&lt;&gt;"",I$1,"NA"),'MITRE ATT&amp;CK Mappings'!$E360)),ISNUMBER(SEARCH(IF(I$1&lt;&gt;"",I$1,"NA"),'MITRE ATT&amp;CK Mappings'!$F360))),ISNUMBER(SEARCH(IF(I$2&lt;&gt;"",I$2,"NA"),'MITRE ATT&amp;CK Mappings'!$G360))),ISNUMBER(SEARCH(IF(I$2&lt;&gt;"",I$2,"NA"),'MITRE ATT&amp;CK Mappings'!$H360))),ISNUMBER(SEARCH(IF(I$3&lt;&gt;"",I$3,"NA"),'MITRE ATT&amp;CK Mappings'!$I360))),ISNUMBER(SEARCH(IF(I$3&lt;&gt;"",I$3,"NA"),'MITRE ATT&amp;CK Mappings'!$J360))), 'MITRE ATT&amp;CK Mappings'!$B360,"")</f>
        <v/>
      </c>
      <c r="J364" s="26" t="str">
        <f>IF(OR(OR(OR(OR(OR(ISNUMBER(SEARCH(IF(J$1&lt;&gt;"",J$1,"NA"),'MITRE ATT&amp;CK Mappings'!$E360)),ISNUMBER(SEARCH(IF(J$1&lt;&gt;"",J$1,"NA"),'MITRE ATT&amp;CK Mappings'!$F360))),ISNUMBER(SEARCH(IF(J$2&lt;&gt;"",J$2,"NA"),'MITRE ATT&amp;CK Mappings'!$G360))),ISNUMBER(SEARCH(IF(J$2&lt;&gt;"",J$2,"NA"),'MITRE ATT&amp;CK Mappings'!$H360))),ISNUMBER(SEARCH(IF(J$3&lt;&gt;"",J$3,"NA"),'MITRE ATT&amp;CK Mappings'!$I360))),ISNUMBER(SEARCH(IF(J$3&lt;&gt;"",J$3,"NA"),'MITRE ATT&amp;CK Mappings'!$J360))), 'MITRE ATT&amp;CK Mappings'!$B360,"")</f>
        <v/>
      </c>
      <c r="K364" s="26" t="str">
        <f>IF(OR(OR(OR(OR(OR(ISNUMBER(SEARCH(IF(K$1&lt;&gt;"",K$1,"NA"),'MITRE ATT&amp;CK Mappings'!$E360)),ISNUMBER(SEARCH(IF(K$1&lt;&gt;"",K$1,"NA"),'MITRE ATT&amp;CK Mappings'!$F360))),ISNUMBER(SEARCH(IF(K$2&lt;&gt;"",K$2,"NA"),'MITRE ATT&amp;CK Mappings'!$G360))),ISNUMBER(SEARCH(IF(K$2&lt;&gt;"",K$2,"NA"),'MITRE ATT&amp;CK Mappings'!$H360))),ISNUMBER(SEARCH(IF(K$3&lt;&gt;"",K$3,"NA"),'MITRE ATT&amp;CK Mappings'!$I360))),ISNUMBER(SEARCH(IF(K$3&lt;&gt;"",K$3,"NA"),'MITRE ATT&amp;CK Mappings'!$J360))), 'MITRE ATT&amp;CK Mappings'!$B360,"")</f>
        <v/>
      </c>
      <c r="L364" s="26" t="str">
        <f>IF('MITRE ATT&amp;CK Mappings'!D360 &lt;&gt;"",'MITRE ATT&amp;CK Mappings'!D360,"" )</f>
        <v/>
      </c>
    </row>
    <row r="365" spans="1:12" x14ac:dyDescent="0.25">
      <c r="A365" s="27" t="str">
        <f>IF(COUNTIF(B365:K365,"="&amp;'MITRE ATT&amp;CK Mappings'!B361)&gt;0,'MITRE ATT&amp;CK Mappings'!B361,"")</f>
        <v/>
      </c>
      <c r="B365" s="27" t="str">
        <f>IF(OR(OR(OR(OR(OR(ISNUMBER(SEARCH(IF(B$1&lt;&gt;"",B$1,"NA"),'MITRE ATT&amp;CK Mappings'!$E361)),ISNUMBER(SEARCH(IF(B$1&lt;&gt;"",B$1,"NA"),'MITRE ATT&amp;CK Mappings'!$F361))),ISNUMBER(SEARCH(IF(B$2&lt;&gt;"",B$2,"NA"),'MITRE ATT&amp;CK Mappings'!$G361))),ISNUMBER(SEARCH(IF(B$2&lt;&gt;"",B$2,"NA"),'MITRE ATT&amp;CK Mappings'!$H361))),ISNUMBER(SEARCH(IF(B$3&lt;&gt;"",B$3,"NA"),'MITRE ATT&amp;CK Mappings'!$I361))),ISNUMBER(SEARCH(IF(B$3&lt;&gt;"",B$3,"NA"),'MITRE ATT&amp;CK Mappings'!$J361))), 'MITRE ATT&amp;CK Mappings'!$B361,"")</f>
        <v/>
      </c>
      <c r="C365" s="27" t="str">
        <f>IF(OR(OR(OR(OR(OR(ISNUMBER(SEARCH(IF(C$1&lt;&gt;"",C$1,"NA"),'MITRE ATT&amp;CK Mappings'!$E361)),ISNUMBER(SEARCH(IF(C$1&lt;&gt;"",C$1,"NA"),'MITRE ATT&amp;CK Mappings'!$F361))),ISNUMBER(SEARCH(IF(C$2&lt;&gt;"",C$2,"NA"),'MITRE ATT&amp;CK Mappings'!$G361))),ISNUMBER(SEARCH(IF(C$2&lt;&gt;"",C$2,"NA"),'MITRE ATT&amp;CK Mappings'!$H361))),ISNUMBER(SEARCH(IF(C$3&lt;&gt;"",C$3,"NA"),'MITRE ATT&amp;CK Mappings'!$I361))),ISNUMBER(SEARCH(IF(C$3&lt;&gt;"",C$3,"NA"),'MITRE ATT&amp;CK Mappings'!$J361))), 'MITRE ATT&amp;CK Mappings'!$B361,"")</f>
        <v/>
      </c>
      <c r="D365" s="27" t="str">
        <f>IF(OR(OR(OR(OR(OR(ISNUMBER(SEARCH(IF(D$1&lt;&gt;"",D$1,"NA"),'MITRE ATT&amp;CK Mappings'!$E361)),ISNUMBER(SEARCH(IF(D$1&lt;&gt;"",D$1,"NA"),'MITRE ATT&amp;CK Mappings'!$F361))),ISNUMBER(SEARCH(IF(D$2&lt;&gt;"",D$2,"NA"),'MITRE ATT&amp;CK Mappings'!$G361))),ISNUMBER(SEARCH(IF(D$2&lt;&gt;"",D$2,"NA"),'MITRE ATT&amp;CK Mappings'!$H361))),ISNUMBER(SEARCH(IF(D$3&lt;&gt;"",D$3,"NA"),'MITRE ATT&amp;CK Mappings'!$I361))),ISNUMBER(SEARCH(IF(D$3&lt;&gt;"",D$3,"NA"),'MITRE ATT&amp;CK Mappings'!$J361))), 'MITRE ATT&amp;CK Mappings'!$B361,"")</f>
        <v/>
      </c>
      <c r="E365" s="27" t="str">
        <f>IF(OR(OR(OR(OR(OR(ISNUMBER(SEARCH(IF(E$1&lt;&gt;"",E$1,"NA"),'MITRE ATT&amp;CK Mappings'!$E361)),ISNUMBER(SEARCH(IF(E$1&lt;&gt;"",E$1,"NA"),'MITRE ATT&amp;CK Mappings'!$F361))),ISNUMBER(SEARCH(IF(E$2&lt;&gt;"",E$2,"NA"),'MITRE ATT&amp;CK Mappings'!$G361))),ISNUMBER(SEARCH(IF(E$2&lt;&gt;"",E$2,"NA"),'MITRE ATT&amp;CK Mappings'!$H361))),ISNUMBER(SEARCH(IF(E$3&lt;&gt;"",E$3,"NA"),'MITRE ATT&amp;CK Mappings'!$I361))),ISNUMBER(SEARCH(IF(E$3&lt;&gt;"",E$3,"NA"),'MITRE ATT&amp;CK Mappings'!$J361))), 'MITRE ATT&amp;CK Mappings'!$B361,"")</f>
        <v/>
      </c>
      <c r="F365" s="27" t="str">
        <f>IF(OR(OR(OR(OR(OR(ISNUMBER(SEARCH(IF(F$1&lt;&gt;"",F$1,"NA"),'MITRE ATT&amp;CK Mappings'!$E361)),ISNUMBER(SEARCH(IF(F$1&lt;&gt;"",F$1,"NA"),'MITRE ATT&amp;CK Mappings'!$F361))),ISNUMBER(SEARCH(IF(F$2&lt;&gt;"",F$2,"NA"),'MITRE ATT&amp;CK Mappings'!$G361))),ISNUMBER(SEARCH(IF(F$2&lt;&gt;"",F$2,"NA"),'MITRE ATT&amp;CK Mappings'!$H361))),ISNUMBER(SEARCH(IF(F$3&lt;&gt;"",F$3,"NA"),'MITRE ATT&amp;CK Mappings'!$I361))),ISNUMBER(SEARCH(IF(F$3&lt;&gt;"",F$3,"NA"),'MITRE ATT&amp;CK Mappings'!$J361))), 'MITRE ATT&amp;CK Mappings'!$B361,"")</f>
        <v/>
      </c>
      <c r="G365" s="27" t="str">
        <f>IF(OR(OR(OR(OR(OR(ISNUMBER(SEARCH(IF(G$1&lt;&gt;"",G$1,"NA"),'MITRE ATT&amp;CK Mappings'!$E361)),ISNUMBER(SEARCH(IF(G$1&lt;&gt;"",G$1,"NA"),'MITRE ATT&amp;CK Mappings'!$F361))),ISNUMBER(SEARCH(IF(G$2&lt;&gt;"",G$2,"NA"),'MITRE ATT&amp;CK Mappings'!$G361))),ISNUMBER(SEARCH(IF(G$2&lt;&gt;"",G$2,"NA"),'MITRE ATT&amp;CK Mappings'!$H361))),ISNUMBER(SEARCH(IF(G$3&lt;&gt;"",G$3,"NA"),'MITRE ATT&amp;CK Mappings'!$I361))),ISNUMBER(SEARCH(IF(G$3&lt;&gt;"",G$3,"NA"),'MITRE ATT&amp;CK Mappings'!$J361))), 'MITRE ATT&amp;CK Mappings'!$B361,"")</f>
        <v/>
      </c>
      <c r="H365" s="27" t="str">
        <f>IF(OR(OR(OR(OR(OR(ISNUMBER(SEARCH(IF(H$1&lt;&gt;"",H$1,"NA"),'MITRE ATT&amp;CK Mappings'!$E361)),ISNUMBER(SEARCH(IF(H$1&lt;&gt;"",H$1,"NA"),'MITRE ATT&amp;CK Mappings'!$F361))),ISNUMBER(SEARCH(IF(H$2&lt;&gt;"",H$2,"NA"),'MITRE ATT&amp;CK Mappings'!$G361))),ISNUMBER(SEARCH(IF(H$2&lt;&gt;"",H$2,"NA"),'MITRE ATT&amp;CK Mappings'!$H361))),ISNUMBER(SEARCH(IF(H$3&lt;&gt;"",H$3,"NA"),'MITRE ATT&amp;CK Mappings'!$I361))),ISNUMBER(SEARCH(IF(H$3&lt;&gt;"",H$3,"NA"),'MITRE ATT&amp;CK Mappings'!$J361))), 'MITRE ATT&amp;CK Mappings'!$B361,"")</f>
        <v/>
      </c>
      <c r="I365" s="27" t="str">
        <f>IF(OR(OR(OR(OR(OR(ISNUMBER(SEARCH(IF(I$1&lt;&gt;"",I$1,"NA"),'MITRE ATT&amp;CK Mappings'!$E361)),ISNUMBER(SEARCH(IF(I$1&lt;&gt;"",I$1,"NA"),'MITRE ATT&amp;CK Mappings'!$F361))),ISNUMBER(SEARCH(IF(I$2&lt;&gt;"",I$2,"NA"),'MITRE ATT&amp;CK Mappings'!$G361))),ISNUMBER(SEARCH(IF(I$2&lt;&gt;"",I$2,"NA"),'MITRE ATT&amp;CK Mappings'!$H361))),ISNUMBER(SEARCH(IF(I$3&lt;&gt;"",I$3,"NA"),'MITRE ATT&amp;CK Mappings'!$I361))),ISNUMBER(SEARCH(IF(I$3&lt;&gt;"",I$3,"NA"),'MITRE ATT&amp;CK Mappings'!$J361))), 'MITRE ATT&amp;CK Mappings'!$B361,"")</f>
        <v/>
      </c>
      <c r="J365" s="27" t="str">
        <f>IF(OR(OR(OR(OR(OR(ISNUMBER(SEARCH(IF(J$1&lt;&gt;"",J$1,"NA"),'MITRE ATT&amp;CK Mappings'!$E361)),ISNUMBER(SEARCH(IF(J$1&lt;&gt;"",J$1,"NA"),'MITRE ATT&amp;CK Mappings'!$F361))),ISNUMBER(SEARCH(IF(J$2&lt;&gt;"",J$2,"NA"),'MITRE ATT&amp;CK Mappings'!$G361))),ISNUMBER(SEARCH(IF(J$2&lt;&gt;"",J$2,"NA"),'MITRE ATT&amp;CK Mappings'!$H361))),ISNUMBER(SEARCH(IF(J$3&lt;&gt;"",J$3,"NA"),'MITRE ATT&amp;CK Mappings'!$I361))),ISNUMBER(SEARCH(IF(J$3&lt;&gt;"",J$3,"NA"),'MITRE ATT&amp;CK Mappings'!$J361))), 'MITRE ATT&amp;CK Mappings'!$B361,"")</f>
        <v/>
      </c>
      <c r="K365" s="27" t="str">
        <f>IF(OR(OR(OR(OR(OR(ISNUMBER(SEARCH(IF(K$1&lt;&gt;"",K$1,"NA"),'MITRE ATT&amp;CK Mappings'!$E361)),ISNUMBER(SEARCH(IF(K$1&lt;&gt;"",K$1,"NA"),'MITRE ATT&amp;CK Mappings'!$F361))),ISNUMBER(SEARCH(IF(K$2&lt;&gt;"",K$2,"NA"),'MITRE ATT&amp;CK Mappings'!$G361))),ISNUMBER(SEARCH(IF(K$2&lt;&gt;"",K$2,"NA"),'MITRE ATT&amp;CK Mappings'!$H361))),ISNUMBER(SEARCH(IF(K$3&lt;&gt;"",K$3,"NA"),'MITRE ATT&amp;CK Mappings'!$I361))),ISNUMBER(SEARCH(IF(K$3&lt;&gt;"",K$3,"NA"),'MITRE ATT&amp;CK Mappings'!$J361))), 'MITRE ATT&amp;CK Mappings'!$B361,"")</f>
        <v/>
      </c>
      <c r="L365" s="27" t="str">
        <f>IF('MITRE ATT&amp;CK Mappings'!D361 &lt;&gt;"",'MITRE ATT&amp;CK Mappings'!D361,"" )</f>
        <v/>
      </c>
    </row>
    <row r="366" spans="1:12" x14ac:dyDescent="0.25">
      <c r="A366" s="26" t="str">
        <f>IF(COUNTIF(B366:K366,"="&amp;'MITRE ATT&amp;CK Mappings'!B362)&gt;0,'MITRE ATT&amp;CK Mappings'!B362,"")</f>
        <v/>
      </c>
      <c r="B366" s="26" t="str">
        <f>IF(OR(OR(OR(OR(OR(ISNUMBER(SEARCH(IF(B$1&lt;&gt;"",B$1,"NA"),'MITRE ATT&amp;CK Mappings'!$E362)),ISNUMBER(SEARCH(IF(B$1&lt;&gt;"",B$1,"NA"),'MITRE ATT&amp;CK Mappings'!$F362))),ISNUMBER(SEARCH(IF(B$2&lt;&gt;"",B$2,"NA"),'MITRE ATT&amp;CK Mappings'!$G362))),ISNUMBER(SEARCH(IF(B$2&lt;&gt;"",B$2,"NA"),'MITRE ATT&amp;CK Mappings'!$H362))),ISNUMBER(SEARCH(IF(B$3&lt;&gt;"",B$3,"NA"),'MITRE ATT&amp;CK Mappings'!$I362))),ISNUMBER(SEARCH(IF(B$3&lt;&gt;"",B$3,"NA"),'MITRE ATT&amp;CK Mappings'!$J362))), 'MITRE ATT&amp;CK Mappings'!$B362,"")</f>
        <v/>
      </c>
      <c r="C366" s="26" t="str">
        <f>IF(OR(OR(OR(OR(OR(ISNUMBER(SEARCH(IF(C$1&lt;&gt;"",C$1,"NA"),'MITRE ATT&amp;CK Mappings'!$E362)),ISNUMBER(SEARCH(IF(C$1&lt;&gt;"",C$1,"NA"),'MITRE ATT&amp;CK Mappings'!$F362))),ISNUMBER(SEARCH(IF(C$2&lt;&gt;"",C$2,"NA"),'MITRE ATT&amp;CK Mappings'!$G362))),ISNUMBER(SEARCH(IF(C$2&lt;&gt;"",C$2,"NA"),'MITRE ATT&amp;CK Mappings'!$H362))),ISNUMBER(SEARCH(IF(C$3&lt;&gt;"",C$3,"NA"),'MITRE ATT&amp;CK Mappings'!$I362))),ISNUMBER(SEARCH(IF(C$3&lt;&gt;"",C$3,"NA"),'MITRE ATT&amp;CK Mappings'!$J362))), 'MITRE ATT&amp;CK Mappings'!$B362,"")</f>
        <v/>
      </c>
      <c r="D366" s="26" t="str">
        <f>IF(OR(OR(OR(OR(OR(ISNUMBER(SEARCH(IF(D$1&lt;&gt;"",D$1,"NA"),'MITRE ATT&amp;CK Mappings'!$E362)),ISNUMBER(SEARCH(IF(D$1&lt;&gt;"",D$1,"NA"),'MITRE ATT&amp;CK Mappings'!$F362))),ISNUMBER(SEARCH(IF(D$2&lt;&gt;"",D$2,"NA"),'MITRE ATT&amp;CK Mappings'!$G362))),ISNUMBER(SEARCH(IF(D$2&lt;&gt;"",D$2,"NA"),'MITRE ATT&amp;CK Mappings'!$H362))),ISNUMBER(SEARCH(IF(D$3&lt;&gt;"",D$3,"NA"),'MITRE ATT&amp;CK Mappings'!$I362))),ISNUMBER(SEARCH(IF(D$3&lt;&gt;"",D$3,"NA"),'MITRE ATT&amp;CK Mappings'!$J362))), 'MITRE ATT&amp;CK Mappings'!$B362,"")</f>
        <v/>
      </c>
      <c r="E366" s="26" t="str">
        <f>IF(OR(OR(OR(OR(OR(ISNUMBER(SEARCH(IF(E$1&lt;&gt;"",E$1,"NA"),'MITRE ATT&amp;CK Mappings'!$E362)),ISNUMBER(SEARCH(IF(E$1&lt;&gt;"",E$1,"NA"),'MITRE ATT&amp;CK Mappings'!$F362))),ISNUMBER(SEARCH(IF(E$2&lt;&gt;"",E$2,"NA"),'MITRE ATT&amp;CK Mappings'!$G362))),ISNUMBER(SEARCH(IF(E$2&lt;&gt;"",E$2,"NA"),'MITRE ATT&amp;CK Mappings'!$H362))),ISNUMBER(SEARCH(IF(E$3&lt;&gt;"",E$3,"NA"),'MITRE ATT&amp;CK Mappings'!$I362))),ISNUMBER(SEARCH(IF(E$3&lt;&gt;"",E$3,"NA"),'MITRE ATT&amp;CK Mappings'!$J362))), 'MITRE ATT&amp;CK Mappings'!$B362,"")</f>
        <v/>
      </c>
      <c r="F366" s="26" t="str">
        <f>IF(OR(OR(OR(OR(OR(ISNUMBER(SEARCH(IF(F$1&lt;&gt;"",F$1,"NA"),'MITRE ATT&amp;CK Mappings'!$E362)),ISNUMBER(SEARCH(IF(F$1&lt;&gt;"",F$1,"NA"),'MITRE ATT&amp;CK Mappings'!$F362))),ISNUMBER(SEARCH(IF(F$2&lt;&gt;"",F$2,"NA"),'MITRE ATT&amp;CK Mappings'!$G362))),ISNUMBER(SEARCH(IF(F$2&lt;&gt;"",F$2,"NA"),'MITRE ATT&amp;CK Mappings'!$H362))),ISNUMBER(SEARCH(IF(F$3&lt;&gt;"",F$3,"NA"),'MITRE ATT&amp;CK Mappings'!$I362))),ISNUMBER(SEARCH(IF(F$3&lt;&gt;"",F$3,"NA"),'MITRE ATT&amp;CK Mappings'!$J362))), 'MITRE ATT&amp;CK Mappings'!$B362,"")</f>
        <v/>
      </c>
      <c r="G366" s="26" t="str">
        <f>IF(OR(OR(OR(OR(OR(ISNUMBER(SEARCH(IF(G$1&lt;&gt;"",G$1,"NA"),'MITRE ATT&amp;CK Mappings'!$E362)),ISNUMBER(SEARCH(IF(G$1&lt;&gt;"",G$1,"NA"),'MITRE ATT&amp;CK Mappings'!$F362))),ISNUMBER(SEARCH(IF(G$2&lt;&gt;"",G$2,"NA"),'MITRE ATT&amp;CK Mappings'!$G362))),ISNUMBER(SEARCH(IF(G$2&lt;&gt;"",G$2,"NA"),'MITRE ATT&amp;CK Mappings'!$H362))),ISNUMBER(SEARCH(IF(G$3&lt;&gt;"",G$3,"NA"),'MITRE ATT&amp;CK Mappings'!$I362))),ISNUMBER(SEARCH(IF(G$3&lt;&gt;"",G$3,"NA"),'MITRE ATT&amp;CK Mappings'!$J362))), 'MITRE ATT&amp;CK Mappings'!$B362,"")</f>
        <v/>
      </c>
      <c r="H366" s="26" t="str">
        <f>IF(OR(OR(OR(OR(OR(ISNUMBER(SEARCH(IF(H$1&lt;&gt;"",H$1,"NA"),'MITRE ATT&amp;CK Mappings'!$E362)),ISNUMBER(SEARCH(IF(H$1&lt;&gt;"",H$1,"NA"),'MITRE ATT&amp;CK Mappings'!$F362))),ISNUMBER(SEARCH(IF(H$2&lt;&gt;"",H$2,"NA"),'MITRE ATT&amp;CK Mappings'!$G362))),ISNUMBER(SEARCH(IF(H$2&lt;&gt;"",H$2,"NA"),'MITRE ATT&amp;CK Mappings'!$H362))),ISNUMBER(SEARCH(IF(H$3&lt;&gt;"",H$3,"NA"),'MITRE ATT&amp;CK Mappings'!$I362))),ISNUMBER(SEARCH(IF(H$3&lt;&gt;"",H$3,"NA"),'MITRE ATT&amp;CK Mappings'!$J362))), 'MITRE ATT&amp;CK Mappings'!$B362,"")</f>
        <v/>
      </c>
      <c r="I366" s="26" t="str">
        <f>IF(OR(OR(OR(OR(OR(ISNUMBER(SEARCH(IF(I$1&lt;&gt;"",I$1,"NA"),'MITRE ATT&amp;CK Mappings'!$E362)),ISNUMBER(SEARCH(IF(I$1&lt;&gt;"",I$1,"NA"),'MITRE ATT&amp;CK Mappings'!$F362))),ISNUMBER(SEARCH(IF(I$2&lt;&gt;"",I$2,"NA"),'MITRE ATT&amp;CK Mappings'!$G362))),ISNUMBER(SEARCH(IF(I$2&lt;&gt;"",I$2,"NA"),'MITRE ATT&amp;CK Mappings'!$H362))),ISNUMBER(SEARCH(IF(I$3&lt;&gt;"",I$3,"NA"),'MITRE ATT&amp;CK Mappings'!$I362))),ISNUMBER(SEARCH(IF(I$3&lt;&gt;"",I$3,"NA"),'MITRE ATT&amp;CK Mappings'!$J362))), 'MITRE ATT&amp;CK Mappings'!$B362,"")</f>
        <v/>
      </c>
      <c r="J366" s="26" t="str">
        <f>IF(OR(OR(OR(OR(OR(ISNUMBER(SEARCH(IF(J$1&lt;&gt;"",J$1,"NA"),'MITRE ATT&amp;CK Mappings'!$E362)),ISNUMBER(SEARCH(IF(J$1&lt;&gt;"",J$1,"NA"),'MITRE ATT&amp;CK Mappings'!$F362))),ISNUMBER(SEARCH(IF(J$2&lt;&gt;"",J$2,"NA"),'MITRE ATT&amp;CK Mappings'!$G362))),ISNUMBER(SEARCH(IF(J$2&lt;&gt;"",J$2,"NA"),'MITRE ATT&amp;CK Mappings'!$H362))),ISNUMBER(SEARCH(IF(J$3&lt;&gt;"",J$3,"NA"),'MITRE ATT&amp;CK Mappings'!$I362))),ISNUMBER(SEARCH(IF(J$3&lt;&gt;"",J$3,"NA"),'MITRE ATT&amp;CK Mappings'!$J362))), 'MITRE ATT&amp;CK Mappings'!$B362,"")</f>
        <v/>
      </c>
      <c r="K366" s="26" t="str">
        <f>IF(OR(OR(OR(OR(OR(ISNUMBER(SEARCH(IF(K$1&lt;&gt;"",K$1,"NA"),'MITRE ATT&amp;CK Mappings'!$E362)),ISNUMBER(SEARCH(IF(K$1&lt;&gt;"",K$1,"NA"),'MITRE ATT&amp;CK Mappings'!$F362))),ISNUMBER(SEARCH(IF(K$2&lt;&gt;"",K$2,"NA"),'MITRE ATT&amp;CK Mappings'!$G362))),ISNUMBER(SEARCH(IF(K$2&lt;&gt;"",K$2,"NA"),'MITRE ATT&amp;CK Mappings'!$H362))),ISNUMBER(SEARCH(IF(K$3&lt;&gt;"",K$3,"NA"),'MITRE ATT&amp;CK Mappings'!$I362))),ISNUMBER(SEARCH(IF(K$3&lt;&gt;"",K$3,"NA"),'MITRE ATT&amp;CK Mappings'!$J362))), 'MITRE ATT&amp;CK Mappings'!$B362,"")</f>
        <v/>
      </c>
      <c r="L366" s="26" t="str">
        <f>IF('MITRE ATT&amp;CK Mappings'!D362 &lt;&gt;"",'MITRE ATT&amp;CK Mappings'!D362,"" )</f>
        <v/>
      </c>
    </row>
    <row r="367" spans="1:12" x14ac:dyDescent="0.25">
      <c r="A367" s="27" t="str">
        <f>IF(COUNTIF(B367:K367,"="&amp;'MITRE ATT&amp;CK Mappings'!B363)&gt;0,'MITRE ATT&amp;CK Mappings'!B363,"")</f>
        <v/>
      </c>
      <c r="B367" s="27" t="str">
        <f>IF(OR(OR(OR(OR(OR(ISNUMBER(SEARCH(IF(B$1&lt;&gt;"",B$1,"NA"),'MITRE ATT&amp;CK Mappings'!$E363)),ISNUMBER(SEARCH(IF(B$1&lt;&gt;"",B$1,"NA"),'MITRE ATT&amp;CK Mappings'!$F363))),ISNUMBER(SEARCH(IF(B$2&lt;&gt;"",B$2,"NA"),'MITRE ATT&amp;CK Mappings'!$G363))),ISNUMBER(SEARCH(IF(B$2&lt;&gt;"",B$2,"NA"),'MITRE ATT&amp;CK Mappings'!$H363))),ISNUMBER(SEARCH(IF(B$3&lt;&gt;"",B$3,"NA"),'MITRE ATT&amp;CK Mappings'!$I363))),ISNUMBER(SEARCH(IF(B$3&lt;&gt;"",B$3,"NA"),'MITRE ATT&amp;CK Mappings'!$J363))), 'MITRE ATT&amp;CK Mappings'!$B363,"")</f>
        <v/>
      </c>
      <c r="C367" s="27" t="str">
        <f>IF(OR(OR(OR(OR(OR(ISNUMBER(SEARCH(IF(C$1&lt;&gt;"",C$1,"NA"),'MITRE ATT&amp;CK Mappings'!$E363)),ISNUMBER(SEARCH(IF(C$1&lt;&gt;"",C$1,"NA"),'MITRE ATT&amp;CK Mappings'!$F363))),ISNUMBER(SEARCH(IF(C$2&lt;&gt;"",C$2,"NA"),'MITRE ATT&amp;CK Mappings'!$G363))),ISNUMBER(SEARCH(IF(C$2&lt;&gt;"",C$2,"NA"),'MITRE ATT&amp;CK Mappings'!$H363))),ISNUMBER(SEARCH(IF(C$3&lt;&gt;"",C$3,"NA"),'MITRE ATT&amp;CK Mappings'!$I363))),ISNUMBER(SEARCH(IF(C$3&lt;&gt;"",C$3,"NA"),'MITRE ATT&amp;CK Mappings'!$J363))), 'MITRE ATT&amp;CK Mappings'!$B363,"")</f>
        <v/>
      </c>
      <c r="D367" s="27" t="str">
        <f>IF(OR(OR(OR(OR(OR(ISNUMBER(SEARCH(IF(D$1&lt;&gt;"",D$1,"NA"),'MITRE ATT&amp;CK Mappings'!$E363)),ISNUMBER(SEARCH(IF(D$1&lt;&gt;"",D$1,"NA"),'MITRE ATT&amp;CK Mappings'!$F363))),ISNUMBER(SEARCH(IF(D$2&lt;&gt;"",D$2,"NA"),'MITRE ATT&amp;CK Mappings'!$G363))),ISNUMBER(SEARCH(IF(D$2&lt;&gt;"",D$2,"NA"),'MITRE ATT&amp;CK Mappings'!$H363))),ISNUMBER(SEARCH(IF(D$3&lt;&gt;"",D$3,"NA"),'MITRE ATT&amp;CK Mappings'!$I363))),ISNUMBER(SEARCH(IF(D$3&lt;&gt;"",D$3,"NA"),'MITRE ATT&amp;CK Mappings'!$J363))), 'MITRE ATT&amp;CK Mappings'!$B363,"")</f>
        <v/>
      </c>
      <c r="E367" s="27" t="str">
        <f>IF(OR(OR(OR(OR(OR(ISNUMBER(SEARCH(IF(E$1&lt;&gt;"",E$1,"NA"),'MITRE ATT&amp;CK Mappings'!$E363)),ISNUMBER(SEARCH(IF(E$1&lt;&gt;"",E$1,"NA"),'MITRE ATT&amp;CK Mappings'!$F363))),ISNUMBER(SEARCH(IF(E$2&lt;&gt;"",E$2,"NA"),'MITRE ATT&amp;CK Mappings'!$G363))),ISNUMBER(SEARCH(IF(E$2&lt;&gt;"",E$2,"NA"),'MITRE ATT&amp;CK Mappings'!$H363))),ISNUMBER(SEARCH(IF(E$3&lt;&gt;"",E$3,"NA"),'MITRE ATT&amp;CK Mappings'!$I363))),ISNUMBER(SEARCH(IF(E$3&lt;&gt;"",E$3,"NA"),'MITRE ATT&amp;CK Mappings'!$J363))), 'MITRE ATT&amp;CK Mappings'!$B363,"")</f>
        <v/>
      </c>
      <c r="F367" s="27" t="str">
        <f>IF(OR(OR(OR(OR(OR(ISNUMBER(SEARCH(IF(F$1&lt;&gt;"",F$1,"NA"),'MITRE ATT&amp;CK Mappings'!$E363)),ISNUMBER(SEARCH(IF(F$1&lt;&gt;"",F$1,"NA"),'MITRE ATT&amp;CK Mappings'!$F363))),ISNUMBER(SEARCH(IF(F$2&lt;&gt;"",F$2,"NA"),'MITRE ATT&amp;CK Mappings'!$G363))),ISNUMBER(SEARCH(IF(F$2&lt;&gt;"",F$2,"NA"),'MITRE ATT&amp;CK Mappings'!$H363))),ISNUMBER(SEARCH(IF(F$3&lt;&gt;"",F$3,"NA"),'MITRE ATT&amp;CK Mappings'!$I363))),ISNUMBER(SEARCH(IF(F$3&lt;&gt;"",F$3,"NA"),'MITRE ATT&amp;CK Mappings'!$J363))), 'MITRE ATT&amp;CK Mappings'!$B363,"")</f>
        <v/>
      </c>
      <c r="G367" s="27" t="str">
        <f>IF(OR(OR(OR(OR(OR(ISNUMBER(SEARCH(IF(G$1&lt;&gt;"",G$1,"NA"),'MITRE ATT&amp;CK Mappings'!$E363)),ISNUMBER(SEARCH(IF(G$1&lt;&gt;"",G$1,"NA"),'MITRE ATT&amp;CK Mappings'!$F363))),ISNUMBER(SEARCH(IF(G$2&lt;&gt;"",G$2,"NA"),'MITRE ATT&amp;CK Mappings'!$G363))),ISNUMBER(SEARCH(IF(G$2&lt;&gt;"",G$2,"NA"),'MITRE ATT&amp;CK Mappings'!$H363))),ISNUMBER(SEARCH(IF(G$3&lt;&gt;"",G$3,"NA"),'MITRE ATT&amp;CK Mappings'!$I363))),ISNUMBER(SEARCH(IF(G$3&lt;&gt;"",G$3,"NA"),'MITRE ATT&amp;CK Mappings'!$J363))), 'MITRE ATT&amp;CK Mappings'!$B363,"")</f>
        <v/>
      </c>
      <c r="H367" s="27" t="str">
        <f>IF(OR(OR(OR(OR(OR(ISNUMBER(SEARCH(IF(H$1&lt;&gt;"",H$1,"NA"),'MITRE ATT&amp;CK Mappings'!$E363)),ISNUMBER(SEARCH(IF(H$1&lt;&gt;"",H$1,"NA"),'MITRE ATT&amp;CK Mappings'!$F363))),ISNUMBER(SEARCH(IF(H$2&lt;&gt;"",H$2,"NA"),'MITRE ATT&amp;CK Mappings'!$G363))),ISNUMBER(SEARCH(IF(H$2&lt;&gt;"",H$2,"NA"),'MITRE ATT&amp;CK Mappings'!$H363))),ISNUMBER(SEARCH(IF(H$3&lt;&gt;"",H$3,"NA"),'MITRE ATT&amp;CK Mappings'!$I363))),ISNUMBER(SEARCH(IF(H$3&lt;&gt;"",H$3,"NA"),'MITRE ATT&amp;CK Mappings'!$J363))), 'MITRE ATT&amp;CK Mappings'!$B363,"")</f>
        <v/>
      </c>
      <c r="I367" s="27" t="str">
        <f>IF(OR(OR(OR(OR(OR(ISNUMBER(SEARCH(IF(I$1&lt;&gt;"",I$1,"NA"),'MITRE ATT&amp;CK Mappings'!$E363)),ISNUMBER(SEARCH(IF(I$1&lt;&gt;"",I$1,"NA"),'MITRE ATT&amp;CK Mappings'!$F363))),ISNUMBER(SEARCH(IF(I$2&lt;&gt;"",I$2,"NA"),'MITRE ATT&amp;CK Mappings'!$G363))),ISNUMBER(SEARCH(IF(I$2&lt;&gt;"",I$2,"NA"),'MITRE ATT&amp;CK Mappings'!$H363))),ISNUMBER(SEARCH(IF(I$3&lt;&gt;"",I$3,"NA"),'MITRE ATT&amp;CK Mappings'!$I363))),ISNUMBER(SEARCH(IF(I$3&lt;&gt;"",I$3,"NA"),'MITRE ATT&amp;CK Mappings'!$J363))), 'MITRE ATT&amp;CK Mappings'!$B363,"")</f>
        <v/>
      </c>
      <c r="J367" s="27" t="str">
        <f>IF(OR(OR(OR(OR(OR(ISNUMBER(SEARCH(IF(J$1&lt;&gt;"",J$1,"NA"),'MITRE ATT&amp;CK Mappings'!$E363)),ISNUMBER(SEARCH(IF(J$1&lt;&gt;"",J$1,"NA"),'MITRE ATT&amp;CK Mappings'!$F363))),ISNUMBER(SEARCH(IF(J$2&lt;&gt;"",J$2,"NA"),'MITRE ATT&amp;CK Mappings'!$G363))),ISNUMBER(SEARCH(IF(J$2&lt;&gt;"",J$2,"NA"),'MITRE ATT&amp;CK Mappings'!$H363))),ISNUMBER(SEARCH(IF(J$3&lt;&gt;"",J$3,"NA"),'MITRE ATT&amp;CK Mappings'!$I363))),ISNUMBER(SEARCH(IF(J$3&lt;&gt;"",J$3,"NA"),'MITRE ATT&amp;CK Mappings'!$J363))), 'MITRE ATT&amp;CK Mappings'!$B363,"")</f>
        <v/>
      </c>
      <c r="K367" s="27" t="str">
        <f>IF(OR(OR(OR(OR(OR(ISNUMBER(SEARCH(IF(K$1&lt;&gt;"",K$1,"NA"),'MITRE ATT&amp;CK Mappings'!$E363)),ISNUMBER(SEARCH(IF(K$1&lt;&gt;"",K$1,"NA"),'MITRE ATT&amp;CK Mappings'!$F363))),ISNUMBER(SEARCH(IF(K$2&lt;&gt;"",K$2,"NA"),'MITRE ATT&amp;CK Mappings'!$G363))),ISNUMBER(SEARCH(IF(K$2&lt;&gt;"",K$2,"NA"),'MITRE ATT&amp;CK Mappings'!$H363))),ISNUMBER(SEARCH(IF(K$3&lt;&gt;"",K$3,"NA"),'MITRE ATT&amp;CK Mappings'!$I363))),ISNUMBER(SEARCH(IF(K$3&lt;&gt;"",K$3,"NA"),'MITRE ATT&amp;CK Mappings'!$J363))), 'MITRE ATT&amp;CK Mappings'!$B363,"")</f>
        <v/>
      </c>
      <c r="L367" s="27" t="str">
        <f>IF('MITRE ATT&amp;CK Mappings'!D363 &lt;&gt;"",'MITRE ATT&amp;CK Mappings'!D363,"" )</f>
        <v/>
      </c>
    </row>
    <row r="368" spans="1:12" x14ac:dyDescent="0.25">
      <c r="A368" s="26" t="str">
        <f>IF(COUNTIF(B368:K368,"="&amp;'MITRE ATT&amp;CK Mappings'!B364)&gt;0,'MITRE ATT&amp;CK Mappings'!B364,"")</f>
        <v/>
      </c>
      <c r="B368" s="26" t="str">
        <f>IF(OR(OR(OR(OR(OR(ISNUMBER(SEARCH(IF(B$1&lt;&gt;"",B$1,"NA"),'MITRE ATT&amp;CK Mappings'!$E364)),ISNUMBER(SEARCH(IF(B$1&lt;&gt;"",B$1,"NA"),'MITRE ATT&amp;CK Mappings'!$F364))),ISNUMBER(SEARCH(IF(B$2&lt;&gt;"",B$2,"NA"),'MITRE ATT&amp;CK Mappings'!$G364))),ISNUMBER(SEARCH(IF(B$2&lt;&gt;"",B$2,"NA"),'MITRE ATT&amp;CK Mappings'!$H364))),ISNUMBER(SEARCH(IF(B$3&lt;&gt;"",B$3,"NA"),'MITRE ATT&amp;CK Mappings'!$I364))),ISNUMBER(SEARCH(IF(B$3&lt;&gt;"",B$3,"NA"),'MITRE ATT&amp;CK Mappings'!$J364))), 'MITRE ATT&amp;CK Mappings'!$B364,"")</f>
        <v/>
      </c>
      <c r="C368" s="26" t="str">
        <f>IF(OR(OR(OR(OR(OR(ISNUMBER(SEARCH(IF(C$1&lt;&gt;"",C$1,"NA"),'MITRE ATT&amp;CK Mappings'!$E364)),ISNUMBER(SEARCH(IF(C$1&lt;&gt;"",C$1,"NA"),'MITRE ATT&amp;CK Mappings'!$F364))),ISNUMBER(SEARCH(IF(C$2&lt;&gt;"",C$2,"NA"),'MITRE ATT&amp;CK Mappings'!$G364))),ISNUMBER(SEARCH(IF(C$2&lt;&gt;"",C$2,"NA"),'MITRE ATT&amp;CK Mappings'!$H364))),ISNUMBER(SEARCH(IF(C$3&lt;&gt;"",C$3,"NA"),'MITRE ATT&amp;CK Mappings'!$I364))),ISNUMBER(SEARCH(IF(C$3&lt;&gt;"",C$3,"NA"),'MITRE ATT&amp;CK Mappings'!$J364))), 'MITRE ATT&amp;CK Mappings'!$B364,"")</f>
        <v/>
      </c>
      <c r="D368" s="26" t="str">
        <f>IF(OR(OR(OR(OR(OR(ISNUMBER(SEARCH(IF(D$1&lt;&gt;"",D$1,"NA"),'MITRE ATT&amp;CK Mappings'!$E364)),ISNUMBER(SEARCH(IF(D$1&lt;&gt;"",D$1,"NA"),'MITRE ATT&amp;CK Mappings'!$F364))),ISNUMBER(SEARCH(IF(D$2&lt;&gt;"",D$2,"NA"),'MITRE ATT&amp;CK Mappings'!$G364))),ISNUMBER(SEARCH(IF(D$2&lt;&gt;"",D$2,"NA"),'MITRE ATT&amp;CK Mappings'!$H364))),ISNUMBER(SEARCH(IF(D$3&lt;&gt;"",D$3,"NA"),'MITRE ATT&amp;CK Mappings'!$I364))),ISNUMBER(SEARCH(IF(D$3&lt;&gt;"",D$3,"NA"),'MITRE ATT&amp;CK Mappings'!$J364))), 'MITRE ATT&amp;CK Mappings'!$B364,"")</f>
        <v/>
      </c>
      <c r="E368" s="26" t="str">
        <f>IF(OR(OR(OR(OR(OR(ISNUMBER(SEARCH(IF(E$1&lt;&gt;"",E$1,"NA"),'MITRE ATT&amp;CK Mappings'!$E364)),ISNUMBER(SEARCH(IF(E$1&lt;&gt;"",E$1,"NA"),'MITRE ATT&amp;CK Mappings'!$F364))),ISNUMBER(SEARCH(IF(E$2&lt;&gt;"",E$2,"NA"),'MITRE ATT&amp;CK Mappings'!$G364))),ISNUMBER(SEARCH(IF(E$2&lt;&gt;"",E$2,"NA"),'MITRE ATT&amp;CK Mappings'!$H364))),ISNUMBER(SEARCH(IF(E$3&lt;&gt;"",E$3,"NA"),'MITRE ATT&amp;CK Mappings'!$I364))),ISNUMBER(SEARCH(IF(E$3&lt;&gt;"",E$3,"NA"),'MITRE ATT&amp;CK Mappings'!$J364))), 'MITRE ATT&amp;CK Mappings'!$B364,"")</f>
        <v/>
      </c>
      <c r="F368" s="26" t="str">
        <f>IF(OR(OR(OR(OR(OR(ISNUMBER(SEARCH(IF(F$1&lt;&gt;"",F$1,"NA"),'MITRE ATT&amp;CK Mappings'!$E364)),ISNUMBER(SEARCH(IF(F$1&lt;&gt;"",F$1,"NA"),'MITRE ATT&amp;CK Mappings'!$F364))),ISNUMBER(SEARCH(IF(F$2&lt;&gt;"",F$2,"NA"),'MITRE ATT&amp;CK Mappings'!$G364))),ISNUMBER(SEARCH(IF(F$2&lt;&gt;"",F$2,"NA"),'MITRE ATT&amp;CK Mappings'!$H364))),ISNUMBER(SEARCH(IF(F$3&lt;&gt;"",F$3,"NA"),'MITRE ATT&amp;CK Mappings'!$I364))),ISNUMBER(SEARCH(IF(F$3&lt;&gt;"",F$3,"NA"),'MITRE ATT&amp;CK Mappings'!$J364))), 'MITRE ATT&amp;CK Mappings'!$B364,"")</f>
        <v/>
      </c>
      <c r="G368" s="26" t="str">
        <f>IF(OR(OR(OR(OR(OR(ISNUMBER(SEARCH(IF(G$1&lt;&gt;"",G$1,"NA"),'MITRE ATT&amp;CK Mappings'!$E364)),ISNUMBER(SEARCH(IF(G$1&lt;&gt;"",G$1,"NA"),'MITRE ATT&amp;CK Mappings'!$F364))),ISNUMBER(SEARCH(IF(G$2&lt;&gt;"",G$2,"NA"),'MITRE ATT&amp;CK Mappings'!$G364))),ISNUMBER(SEARCH(IF(G$2&lt;&gt;"",G$2,"NA"),'MITRE ATT&amp;CK Mappings'!$H364))),ISNUMBER(SEARCH(IF(G$3&lt;&gt;"",G$3,"NA"),'MITRE ATT&amp;CK Mappings'!$I364))),ISNUMBER(SEARCH(IF(G$3&lt;&gt;"",G$3,"NA"),'MITRE ATT&amp;CK Mappings'!$J364))), 'MITRE ATT&amp;CK Mappings'!$B364,"")</f>
        <v/>
      </c>
      <c r="H368" s="26" t="str">
        <f>IF(OR(OR(OR(OR(OR(ISNUMBER(SEARCH(IF(H$1&lt;&gt;"",H$1,"NA"),'MITRE ATT&amp;CK Mappings'!$E364)),ISNUMBER(SEARCH(IF(H$1&lt;&gt;"",H$1,"NA"),'MITRE ATT&amp;CK Mappings'!$F364))),ISNUMBER(SEARCH(IF(H$2&lt;&gt;"",H$2,"NA"),'MITRE ATT&amp;CK Mappings'!$G364))),ISNUMBER(SEARCH(IF(H$2&lt;&gt;"",H$2,"NA"),'MITRE ATT&amp;CK Mappings'!$H364))),ISNUMBER(SEARCH(IF(H$3&lt;&gt;"",H$3,"NA"),'MITRE ATT&amp;CK Mappings'!$I364))),ISNUMBER(SEARCH(IF(H$3&lt;&gt;"",H$3,"NA"),'MITRE ATT&amp;CK Mappings'!$J364))), 'MITRE ATT&amp;CK Mappings'!$B364,"")</f>
        <v/>
      </c>
      <c r="I368" s="26" t="str">
        <f>IF(OR(OR(OR(OR(OR(ISNUMBER(SEARCH(IF(I$1&lt;&gt;"",I$1,"NA"),'MITRE ATT&amp;CK Mappings'!$E364)),ISNUMBER(SEARCH(IF(I$1&lt;&gt;"",I$1,"NA"),'MITRE ATT&amp;CK Mappings'!$F364))),ISNUMBER(SEARCH(IF(I$2&lt;&gt;"",I$2,"NA"),'MITRE ATT&amp;CK Mappings'!$G364))),ISNUMBER(SEARCH(IF(I$2&lt;&gt;"",I$2,"NA"),'MITRE ATT&amp;CK Mappings'!$H364))),ISNUMBER(SEARCH(IF(I$3&lt;&gt;"",I$3,"NA"),'MITRE ATT&amp;CK Mappings'!$I364))),ISNUMBER(SEARCH(IF(I$3&lt;&gt;"",I$3,"NA"),'MITRE ATT&amp;CK Mappings'!$J364))), 'MITRE ATT&amp;CK Mappings'!$B364,"")</f>
        <v/>
      </c>
      <c r="J368" s="26" t="str">
        <f>IF(OR(OR(OR(OR(OR(ISNUMBER(SEARCH(IF(J$1&lt;&gt;"",J$1,"NA"),'MITRE ATT&amp;CK Mappings'!$E364)),ISNUMBER(SEARCH(IF(J$1&lt;&gt;"",J$1,"NA"),'MITRE ATT&amp;CK Mappings'!$F364))),ISNUMBER(SEARCH(IF(J$2&lt;&gt;"",J$2,"NA"),'MITRE ATT&amp;CK Mappings'!$G364))),ISNUMBER(SEARCH(IF(J$2&lt;&gt;"",J$2,"NA"),'MITRE ATT&amp;CK Mappings'!$H364))),ISNUMBER(SEARCH(IF(J$3&lt;&gt;"",J$3,"NA"),'MITRE ATT&amp;CK Mappings'!$I364))),ISNUMBER(SEARCH(IF(J$3&lt;&gt;"",J$3,"NA"),'MITRE ATT&amp;CK Mappings'!$J364))), 'MITRE ATT&amp;CK Mappings'!$B364,"")</f>
        <v/>
      </c>
      <c r="K368" s="26" t="str">
        <f>IF(OR(OR(OR(OR(OR(ISNUMBER(SEARCH(IF(K$1&lt;&gt;"",K$1,"NA"),'MITRE ATT&amp;CK Mappings'!$E364)),ISNUMBER(SEARCH(IF(K$1&lt;&gt;"",K$1,"NA"),'MITRE ATT&amp;CK Mappings'!$F364))),ISNUMBER(SEARCH(IF(K$2&lt;&gt;"",K$2,"NA"),'MITRE ATT&amp;CK Mappings'!$G364))),ISNUMBER(SEARCH(IF(K$2&lt;&gt;"",K$2,"NA"),'MITRE ATT&amp;CK Mappings'!$H364))),ISNUMBER(SEARCH(IF(K$3&lt;&gt;"",K$3,"NA"),'MITRE ATT&amp;CK Mappings'!$I364))),ISNUMBER(SEARCH(IF(K$3&lt;&gt;"",K$3,"NA"),'MITRE ATT&amp;CK Mappings'!$J364))), 'MITRE ATT&amp;CK Mappings'!$B364,"")</f>
        <v/>
      </c>
      <c r="L368" s="26" t="str">
        <f>IF('MITRE ATT&amp;CK Mappings'!D364 &lt;&gt;"",'MITRE ATT&amp;CK Mappings'!D364,"" )</f>
        <v/>
      </c>
    </row>
    <row r="369" spans="1:12" x14ac:dyDescent="0.25">
      <c r="A369" s="27" t="str">
        <f>IF(COUNTIF(B369:K369,"="&amp;'MITRE ATT&amp;CK Mappings'!B365)&gt;0,'MITRE ATT&amp;CK Mappings'!B365,"")</f>
        <v/>
      </c>
      <c r="B369" s="27" t="str">
        <f>IF(OR(OR(OR(OR(OR(ISNUMBER(SEARCH(IF(B$1&lt;&gt;"",B$1,"NA"),'MITRE ATT&amp;CK Mappings'!$E365)),ISNUMBER(SEARCH(IF(B$1&lt;&gt;"",B$1,"NA"),'MITRE ATT&amp;CK Mappings'!$F365))),ISNUMBER(SEARCH(IF(B$2&lt;&gt;"",B$2,"NA"),'MITRE ATT&amp;CK Mappings'!$G365))),ISNUMBER(SEARCH(IF(B$2&lt;&gt;"",B$2,"NA"),'MITRE ATT&amp;CK Mappings'!$H365))),ISNUMBER(SEARCH(IF(B$3&lt;&gt;"",B$3,"NA"),'MITRE ATT&amp;CK Mappings'!$I365))),ISNUMBER(SEARCH(IF(B$3&lt;&gt;"",B$3,"NA"),'MITRE ATT&amp;CK Mappings'!$J365))), 'MITRE ATT&amp;CK Mappings'!$B365,"")</f>
        <v/>
      </c>
      <c r="C369" s="27" t="str">
        <f>IF(OR(OR(OR(OR(OR(ISNUMBER(SEARCH(IF(C$1&lt;&gt;"",C$1,"NA"),'MITRE ATT&amp;CK Mappings'!$E365)),ISNUMBER(SEARCH(IF(C$1&lt;&gt;"",C$1,"NA"),'MITRE ATT&amp;CK Mappings'!$F365))),ISNUMBER(SEARCH(IF(C$2&lt;&gt;"",C$2,"NA"),'MITRE ATT&amp;CK Mappings'!$G365))),ISNUMBER(SEARCH(IF(C$2&lt;&gt;"",C$2,"NA"),'MITRE ATT&amp;CK Mappings'!$H365))),ISNUMBER(SEARCH(IF(C$3&lt;&gt;"",C$3,"NA"),'MITRE ATT&amp;CK Mappings'!$I365))),ISNUMBER(SEARCH(IF(C$3&lt;&gt;"",C$3,"NA"),'MITRE ATT&amp;CK Mappings'!$J365))), 'MITRE ATT&amp;CK Mappings'!$B365,"")</f>
        <v/>
      </c>
      <c r="D369" s="27" t="str">
        <f>IF(OR(OR(OR(OR(OR(ISNUMBER(SEARCH(IF(D$1&lt;&gt;"",D$1,"NA"),'MITRE ATT&amp;CK Mappings'!$E365)),ISNUMBER(SEARCH(IF(D$1&lt;&gt;"",D$1,"NA"),'MITRE ATT&amp;CK Mappings'!$F365))),ISNUMBER(SEARCH(IF(D$2&lt;&gt;"",D$2,"NA"),'MITRE ATT&amp;CK Mappings'!$G365))),ISNUMBER(SEARCH(IF(D$2&lt;&gt;"",D$2,"NA"),'MITRE ATT&amp;CK Mappings'!$H365))),ISNUMBER(SEARCH(IF(D$3&lt;&gt;"",D$3,"NA"),'MITRE ATT&amp;CK Mappings'!$I365))),ISNUMBER(SEARCH(IF(D$3&lt;&gt;"",D$3,"NA"),'MITRE ATT&amp;CK Mappings'!$J365))), 'MITRE ATT&amp;CK Mappings'!$B365,"")</f>
        <v/>
      </c>
      <c r="E369" s="27" t="str">
        <f>IF(OR(OR(OR(OR(OR(ISNUMBER(SEARCH(IF(E$1&lt;&gt;"",E$1,"NA"),'MITRE ATT&amp;CK Mappings'!$E365)),ISNUMBER(SEARCH(IF(E$1&lt;&gt;"",E$1,"NA"),'MITRE ATT&amp;CK Mappings'!$F365))),ISNUMBER(SEARCH(IF(E$2&lt;&gt;"",E$2,"NA"),'MITRE ATT&amp;CK Mappings'!$G365))),ISNUMBER(SEARCH(IF(E$2&lt;&gt;"",E$2,"NA"),'MITRE ATT&amp;CK Mappings'!$H365))),ISNUMBER(SEARCH(IF(E$3&lt;&gt;"",E$3,"NA"),'MITRE ATT&amp;CK Mappings'!$I365))),ISNUMBER(SEARCH(IF(E$3&lt;&gt;"",E$3,"NA"),'MITRE ATT&amp;CK Mappings'!$J365))), 'MITRE ATT&amp;CK Mappings'!$B365,"")</f>
        <v/>
      </c>
      <c r="F369" s="27" t="str">
        <f>IF(OR(OR(OR(OR(OR(ISNUMBER(SEARCH(IF(F$1&lt;&gt;"",F$1,"NA"),'MITRE ATT&amp;CK Mappings'!$E365)),ISNUMBER(SEARCH(IF(F$1&lt;&gt;"",F$1,"NA"),'MITRE ATT&amp;CK Mappings'!$F365))),ISNUMBER(SEARCH(IF(F$2&lt;&gt;"",F$2,"NA"),'MITRE ATT&amp;CK Mappings'!$G365))),ISNUMBER(SEARCH(IF(F$2&lt;&gt;"",F$2,"NA"),'MITRE ATT&amp;CK Mappings'!$H365))),ISNUMBER(SEARCH(IF(F$3&lt;&gt;"",F$3,"NA"),'MITRE ATT&amp;CK Mappings'!$I365))),ISNUMBER(SEARCH(IF(F$3&lt;&gt;"",F$3,"NA"),'MITRE ATT&amp;CK Mappings'!$J365))), 'MITRE ATT&amp;CK Mappings'!$B365,"")</f>
        <v/>
      </c>
      <c r="G369" s="27" t="str">
        <f>IF(OR(OR(OR(OR(OR(ISNUMBER(SEARCH(IF(G$1&lt;&gt;"",G$1,"NA"),'MITRE ATT&amp;CK Mappings'!$E365)),ISNUMBER(SEARCH(IF(G$1&lt;&gt;"",G$1,"NA"),'MITRE ATT&amp;CK Mappings'!$F365))),ISNUMBER(SEARCH(IF(G$2&lt;&gt;"",G$2,"NA"),'MITRE ATT&amp;CK Mappings'!$G365))),ISNUMBER(SEARCH(IF(G$2&lt;&gt;"",G$2,"NA"),'MITRE ATT&amp;CK Mappings'!$H365))),ISNUMBER(SEARCH(IF(G$3&lt;&gt;"",G$3,"NA"),'MITRE ATT&amp;CK Mappings'!$I365))),ISNUMBER(SEARCH(IF(G$3&lt;&gt;"",G$3,"NA"),'MITRE ATT&amp;CK Mappings'!$J365))), 'MITRE ATT&amp;CK Mappings'!$B365,"")</f>
        <v/>
      </c>
      <c r="H369" s="27" t="str">
        <f>IF(OR(OR(OR(OR(OR(ISNUMBER(SEARCH(IF(H$1&lt;&gt;"",H$1,"NA"),'MITRE ATT&amp;CK Mappings'!$E365)),ISNUMBER(SEARCH(IF(H$1&lt;&gt;"",H$1,"NA"),'MITRE ATT&amp;CK Mappings'!$F365))),ISNUMBER(SEARCH(IF(H$2&lt;&gt;"",H$2,"NA"),'MITRE ATT&amp;CK Mappings'!$G365))),ISNUMBER(SEARCH(IF(H$2&lt;&gt;"",H$2,"NA"),'MITRE ATT&amp;CK Mappings'!$H365))),ISNUMBER(SEARCH(IF(H$3&lt;&gt;"",H$3,"NA"),'MITRE ATT&amp;CK Mappings'!$I365))),ISNUMBER(SEARCH(IF(H$3&lt;&gt;"",H$3,"NA"),'MITRE ATT&amp;CK Mappings'!$J365))), 'MITRE ATT&amp;CK Mappings'!$B365,"")</f>
        <v/>
      </c>
      <c r="I369" s="27" t="str">
        <f>IF(OR(OR(OR(OR(OR(ISNUMBER(SEARCH(IF(I$1&lt;&gt;"",I$1,"NA"),'MITRE ATT&amp;CK Mappings'!$E365)),ISNUMBER(SEARCH(IF(I$1&lt;&gt;"",I$1,"NA"),'MITRE ATT&amp;CK Mappings'!$F365))),ISNUMBER(SEARCH(IF(I$2&lt;&gt;"",I$2,"NA"),'MITRE ATT&amp;CK Mappings'!$G365))),ISNUMBER(SEARCH(IF(I$2&lt;&gt;"",I$2,"NA"),'MITRE ATT&amp;CK Mappings'!$H365))),ISNUMBER(SEARCH(IF(I$3&lt;&gt;"",I$3,"NA"),'MITRE ATT&amp;CK Mappings'!$I365))),ISNUMBER(SEARCH(IF(I$3&lt;&gt;"",I$3,"NA"),'MITRE ATT&amp;CK Mappings'!$J365))), 'MITRE ATT&amp;CK Mappings'!$B365,"")</f>
        <v/>
      </c>
      <c r="J369" s="27" t="str">
        <f>IF(OR(OR(OR(OR(OR(ISNUMBER(SEARCH(IF(J$1&lt;&gt;"",J$1,"NA"),'MITRE ATT&amp;CK Mappings'!$E365)),ISNUMBER(SEARCH(IF(J$1&lt;&gt;"",J$1,"NA"),'MITRE ATT&amp;CK Mappings'!$F365))),ISNUMBER(SEARCH(IF(J$2&lt;&gt;"",J$2,"NA"),'MITRE ATT&amp;CK Mappings'!$G365))),ISNUMBER(SEARCH(IF(J$2&lt;&gt;"",J$2,"NA"),'MITRE ATT&amp;CK Mappings'!$H365))),ISNUMBER(SEARCH(IF(J$3&lt;&gt;"",J$3,"NA"),'MITRE ATT&amp;CK Mappings'!$I365))),ISNUMBER(SEARCH(IF(J$3&lt;&gt;"",J$3,"NA"),'MITRE ATT&amp;CK Mappings'!$J365))), 'MITRE ATT&amp;CK Mappings'!$B365,"")</f>
        <v/>
      </c>
      <c r="K369" s="27" t="str">
        <f>IF(OR(OR(OR(OR(OR(ISNUMBER(SEARCH(IF(K$1&lt;&gt;"",K$1,"NA"),'MITRE ATT&amp;CK Mappings'!$E365)),ISNUMBER(SEARCH(IF(K$1&lt;&gt;"",K$1,"NA"),'MITRE ATT&amp;CK Mappings'!$F365))),ISNUMBER(SEARCH(IF(K$2&lt;&gt;"",K$2,"NA"),'MITRE ATT&amp;CK Mappings'!$G365))),ISNUMBER(SEARCH(IF(K$2&lt;&gt;"",K$2,"NA"),'MITRE ATT&amp;CK Mappings'!$H365))),ISNUMBER(SEARCH(IF(K$3&lt;&gt;"",K$3,"NA"),'MITRE ATT&amp;CK Mappings'!$I365))),ISNUMBER(SEARCH(IF(K$3&lt;&gt;"",K$3,"NA"),'MITRE ATT&amp;CK Mappings'!$J365))), 'MITRE ATT&amp;CK Mappings'!$B365,"")</f>
        <v/>
      </c>
      <c r="L369" s="27" t="str">
        <f>IF('MITRE ATT&amp;CK Mappings'!D365 &lt;&gt;"",'MITRE ATT&amp;CK Mappings'!D365,"" )</f>
        <v/>
      </c>
    </row>
    <row r="370" spans="1:12" x14ac:dyDescent="0.25">
      <c r="A370" s="26" t="str">
        <f>IF(COUNTIF(B370:K370,"="&amp;'MITRE ATT&amp;CK Mappings'!B366)&gt;0,'MITRE ATT&amp;CK Mappings'!B366,"")</f>
        <v/>
      </c>
      <c r="B370" s="26" t="str">
        <f>IF(OR(OR(OR(OR(OR(ISNUMBER(SEARCH(IF(B$1&lt;&gt;"",B$1,"NA"),'MITRE ATT&amp;CK Mappings'!$E366)),ISNUMBER(SEARCH(IF(B$1&lt;&gt;"",B$1,"NA"),'MITRE ATT&amp;CK Mappings'!$F366))),ISNUMBER(SEARCH(IF(B$2&lt;&gt;"",B$2,"NA"),'MITRE ATT&amp;CK Mappings'!$G366))),ISNUMBER(SEARCH(IF(B$2&lt;&gt;"",B$2,"NA"),'MITRE ATT&amp;CK Mappings'!$H366))),ISNUMBER(SEARCH(IF(B$3&lt;&gt;"",B$3,"NA"),'MITRE ATT&amp;CK Mappings'!$I366))),ISNUMBER(SEARCH(IF(B$3&lt;&gt;"",B$3,"NA"),'MITRE ATT&amp;CK Mappings'!$J366))), 'MITRE ATT&amp;CK Mappings'!$B366,"")</f>
        <v/>
      </c>
      <c r="C370" s="26" t="str">
        <f>IF(OR(OR(OR(OR(OR(ISNUMBER(SEARCH(IF(C$1&lt;&gt;"",C$1,"NA"),'MITRE ATT&amp;CK Mappings'!$E366)),ISNUMBER(SEARCH(IF(C$1&lt;&gt;"",C$1,"NA"),'MITRE ATT&amp;CK Mappings'!$F366))),ISNUMBER(SEARCH(IF(C$2&lt;&gt;"",C$2,"NA"),'MITRE ATT&amp;CK Mappings'!$G366))),ISNUMBER(SEARCH(IF(C$2&lt;&gt;"",C$2,"NA"),'MITRE ATT&amp;CK Mappings'!$H366))),ISNUMBER(SEARCH(IF(C$3&lt;&gt;"",C$3,"NA"),'MITRE ATT&amp;CK Mappings'!$I366))),ISNUMBER(SEARCH(IF(C$3&lt;&gt;"",C$3,"NA"),'MITRE ATT&amp;CK Mappings'!$J366))), 'MITRE ATT&amp;CK Mappings'!$B366,"")</f>
        <v/>
      </c>
      <c r="D370" s="26" t="str">
        <f>IF(OR(OR(OR(OR(OR(ISNUMBER(SEARCH(IF(D$1&lt;&gt;"",D$1,"NA"),'MITRE ATT&amp;CK Mappings'!$E366)),ISNUMBER(SEARCH(IF(D$1&lt;&gt;"",D$1,"NA"),'MITRE ATT&amp;CK Mappings'!$F366))),ISNUMBER(SEARCH(IF(D$2&lt;&gt;"",D$2,"NA"),'MITRE ATT&amp;CK Mappings'!$G366))),ISNUMBER(SEARCH(IF(D$2&lt;&gt;"",D$2,"NA"),'MITRE ATT&amp;CK Mappings'!$H366))),ISNUMBER(SEARCH(IF(D$3&lt;&gt;"",D$3,"NA"),'MITRE ATT&amp;CK Mappings'!$I366))),ISNUMBER(SEARCH(IF(D$3&lt;&gt;"",D$3,"NA"),'MITRE ATT&amp;CK Mappings'!$J366))), 'MITRE ATT&amp;CK Mappings'!$B366,"")</f>
        <v/>
      </c>
      <c r="E370" s="26" t="str">
        <f>IF(OR(OR(OR(OR(OR(ISNUMBER(SEARCH(IF(E$1&lt;&gt;"",E$1,"NA"),'MITRE ATT&amp;CK Mappings'!$E366)),ISNUMBER(SEARCH(IF(E$1&lt;&gt;"",E$1,"NA"),'MITRE ATT&amp;CK Mappings'!$F366))),ISNUMBER(SEARCH(IF(E$2&lt;&gt;"",E$2,"NA"),'MITRE ATT&amp;CK Mappings'!$G366))),ISNUMBER(SEARCH(IF(E$2&lt;&gt;"",E$2,"NA"),'MITRE ATT&amp;CK Mappings'!$H366))),ISNUMBER(SEARCH(IF(E$3&lt;&gt;"",E$3,"NA"),'MITRE ATT&amp;CK Mappings'!$I366))),ISNUMBER(SEARCH(IF(E$3&lt;&gt;"",E$3,"NA"),'MITRE ATT&amp;CK Mappings'!$J366))), 'MITRE ATT&amp;CK Mappings'!$B366,"")</f>
        <v/>
      </c>
      <c r="F370" s="26" t="str">
        <f>IF(OR(OR(OR(OR(OR(ISNUMBER(SEARCH(IF(F$1&lt;&gt;"",F$1,"NA"),'MITRE ATT&amp;CK Mappings'!$E366)),ISNUMBER(SEARCH(IF(F$1&lt;&gt;"",F$1,"NA"),'MITRE ATT&amp;CK Mappings'!$F366))),ISNUMBER(SEARCH(IF(F$2&lt;&gt;"",F$2,"NA"),'MITRE ATT&amp;CK Mappings'!$G366))),ISNUMBER(SEARCH(IF(F$2&lt;&gt;"",F$2,"NA"),'MITRE ATT&amp;CK Mappings'!$H366))),ISNUMBER(SEARCH(IF(F$3&lt;&gt;"",F$3,"NA"),'MITRE ATT&amp;CK Mappings'!$I366))),ISNUMBER(SEARCH(IF(F$3&lt;&gt;"",F$3,"NA"),'MITRE ATT&amp;CK Mappings'!$J366))), 'MITRE ATT&amp;CK Mappings'!$B366,"")</f>
        <v/>
      </c>
      <c r="G370" s="26" t="str">
        <f>IF(OR(OR(OR(OR(OR(ISNUMBER(SEARCH(IF(G$1&lt;&gt;"",G$1,"NA"),'MITRE ATT&amp;CK Mappings'!$E366)),ISNUMBER(SEARCH(IF(G$1&lt;&gt;"",G$1,"NA"),'MITRE ATT&amp;CK Mappings'!$F366))),ISNUMBER(SEARCH(IF(G$2&lt;&gt;"",G$2,"NA"),'MITRE ATT&amp;CK Mappings'!$G366))),ISNUMBER(SEARCH(IF(G$2&lt;&gt;"",G$2,"NA"),'MITRE ATT&amp;CK Mappings'!$H366))),ISNUMBER(SEARCH(IF(G$3&lt;&gt;"",G$3,"NA"),'MITRE ATT&amp;CK Mappings'!$I366))),ISNUMBER(SEARCH(IF(G$3&lt;&gt;"",G$3,"NA"),'MITRE ATT&amp;CK Mappings'!$J366))), 'MITRE ATT&amp;CK Mappings'!$B366,"")</f>
        <v/>
      </c>
      <c r="H370" s="26" t="str">
        <f>IF(OR(OR(OR(OR(OR(ISNUMBER(SEARCH(IF(H$1&lt;&gt;"",H$1,"NA"),'MITRE ATT&amp;CK Mappings'!$E366)),ISNUMBER(SEARCH(IF(H$1&lt;&gt;"",H$1,"NA"),'MITRE ATT&amp;CK Mappings'!$F366))),ISNUMBER(SEARCH(IF(H$2&lt;&gt;"",H$2,"NA"),'MITRE ATT&amp;CK Mappings'!$G366))),ISNUMBER(SEARCH(IF(H$2&lt;&gt;"",H$2,"NA"),'MITRE ATT&amp;CK Mappings'!$H366))),ISNUMBER(SEARCH(IF(H$3&lt;&gt;"",H$3,"NA"),'MITRE ATT&amp;CK Mappings'!$I366))),ISNUMBER(SEARCH(IF(H$3&lt;&gt;"",H$3,"NA"),'MITRE ATT&amp;CK Mappings'!$J366))), 'MITRE ATT&amp;CK Mappings'!$B366,"")</f>
        <v/>
      </c>
      <c r="I370" s="26" t="str">
        <f>IF(OR(OR(OR(OR(OR(ISNUMBER(SEARCH(IF(I$1&lt;&gt;"",I$1,"NA"),'MITRE ATT&amp;CK Mappings'!$E366)),ISNUMBER(SEARCH(IF(I$1&lt;&gt;"",I$1,"NA"),'MITRE ATT&amp;CK Mappings'!$F366))),ISNUMBER(SEARCH(IF(I$2&lt;&gt;"",I$2,"NA"),'MITRE ATT&amp;CK Mappings'!$G366))),ISNUMBER(SEARCH(IF(I$2&lt;&gt;"",I$2,"NA"),'MITRE ATT&amp;CK Mappings'!$H366))),ISNUMBER(SEARCH(IF(I$3&lt;&gt;"",I$3,"NA"),'MITRE ATT&amp;CK Mappings'!$I366))),ISNUMBER(SEARCH(IF(I$3&lt;&gt;"",I$3,"NA"),'MITRE ATT&amp;CK Mappings'!$J366))), 'MITRE ATT&amp;CK Mappings'!$B366,"")</f>
        <v/>
      </c>
      <c r="J370" s="26" t="str">
        <f>IF(OR(OR(OR(OR(OR(ISNUMBER(SEARCH(IF(J$1&lt;&gt;"",J$1,"NA"),'MITRE ATT&amp;CK Mappings'!$E366)),ISNUMBER(SEARCH(IF(J$1&lt;&gt;"",J$1,"NA"),'MITRE ATT&amp;CK Mappings'!$F366))),ISNUMBER(SEARCH(IF(J$2&lt;&gt;"",J$2,"NA"),'MITRE ATT&amp;CK Mappings'!$G366))),ISNUMBER(SEARCH(IF(J$2&lt;&gt;"",J$2,"NA"),'MITRE ATT&amp;CK Mappings'!$H366))),ISNUMBER(SEARCH(IF(J$3&lt;&gt;"",J$3,"NA"),'MITRE ATT&amp;CK Mappings'!$I366))),ISNUMBER(SEARCH(IF(J$3&lt;&gt;"",J$3,"NA"),'MITRE ATT&amp;CK Mappings'!$J366))), 'MITRE ATT&amp;CK Mappings'!$B366,"")</f>
        <v/>
      </c>
      <c r="K370" s="26" t="str">
        <f>IF(OR(OR(OR(OR(OR(ISNUMBER(SEARCH(IF(K$1&lt;&gt;"",K$1,"NA"),'MITRE ATT&amp;CK Mappings'!$E366)),ISNUMBER(SEARCH(IF(K$1&lt;&gt;"",K$1,"NA"),'MITRE ATT&amp;CK Mappings'!$F366))),ISNUMBER(SEARCH(IF(K$2&lt;&gt;"",K$2,"NA"),'MITRE ATT&amp;CK Mappings'!$G366))),ISNUMBER(SEARCH(IF(K$2&lt;&gt;"",K$2,"NA"),'MITRE ATT&amp;CK Mappings'!$H366))),ISNUMBER(SEARCH(IF(K$3&lt;&gt;"",K$3,"NA"),'MITRE ATT&amp;CK Mappings'!$I366))),ISNUMBER(SEARCH(IF(K$3&lt;&gt;"",K$3,"NA"),'MITRE ATT&amp;CK Mappings'!$J366))), 'MITRE ATT&amp;CK Mappings'!$B366,"")</f>
        <v/>
      </c>
      <c r="L370" s="26" t="str">
        <f>IF('MITRE ATT&amp;CK Mappings'!D366 &lt;&gt;"",'MITRE ATT&amp;CK Mappings'!D366,"" )</f>
        <v/>
      </c>
    </row>
    <row r="371" spans="1:12" x14ac:dyDescent="0.25">
      <c r="A371" s="27" t="str">
        <f>IF(COUNTIF(B371:K371,"="&amp;'MITRE ATT&amp;CK Mappings'!B367)&gt;0,'MITRE ATT&amp;CK Mappings'!B367,"")</f>
        <v/>
      </c>
      <c r="B371" s="27" t="str">
        <f>IF(OR(OR(OR(OR(OR(ISNUMBER(SEARCH(IF(B$1&lt;&gt;"",B$1,"NA"),'MITRE ATT&amp;CK Mappings'!$E367)),ISNUMBER(SEARCH(IF(B$1&lt;&gt;"",B$1,"NA"),'MITRE ATT&amp;CK Mappings'!$F367))),ISNUMBER(SEARCH(IF(B$2&lt;&gt;"",B$2,"NA"),'MITRE ATT&amp;CK Mappings'!$G367))),ISNUMBER(SEARCH(IF(B$2&lt;&gt;"",B$2,"NA"),'MITRE ATT&amp;CK Mappings'!$H367))),ISNUMBER(SEARCH(IF(B$3&lt;&gt;"",B$3,"NA"),'MITRE ATT&amp;CK Mappings'!$I367))),ISNUMBER(SEARCH(IF(B$3&lt;&gt;"",B$3,"NA"),'MITRE ATT&amp;CK Mappings'!$J367))), 'MITRE ATT&amp;CK Mappings'!$B367,"")</f>
        <v/>
      </c>
      <c r="C371" s="27" t="str">
        <f>IF(OR(OR(OR(OR(OR(ISNUMBER(SEARCH(IF(C$1&lt;&gt;"",C$1,"NA"),'MITRE ATT&amp;CK Mappings'!$E367)),ISNUMBER(SEARCH(IF(C$1&lt;&gt;"",C$1,"NA"),'MITRE ATT&amp;CK Mappings'!$F367))),ISNUMBER(SEARCH(IF(C$2&lt;&gt;"",C$2,"NA"),'MITRE ATT&amp;CK Mappings'!$G367))),ISNUMBER(SEARCH(IF(C$2&lt;&gt;"",C$2,"NA"),'MITRE ATT&amp;CK Mappings'!$H367))),ISNUMBER(SEARCH(IF(C$3&lt;&gt;"",C$3,"NA"),'MITRE ATT&amp;CK Mappings'!$I367))),ISNUMBER(SEARCH(IF(C$3&lt;&gt;"",C$3,"NA"),'MITRE ATT&amp;CK Mappings'!$J367))), 'MITRE ATT&amp;CK Mappings'!$B367,"")</f>
        <v/>
      </c>
      <c r="D371" s="27" t="str">
        <f>IF(OR(OR(OR(OR(OR(ISNUMBER(SEARCH(IF(D$1&lt;&gt;"",D$1,"NA"),'MITRE ATT&amp;CK Mappings'!$E367)),ISNUMBER(SEARCH(IF(D$1&lt;&gt;"",D$1,"NA"),'MITRE ATT&amp;CK Mappings'!$F367))),ISNUMBER(SEARCH(IF(D$2&lt;&gt;"",D$2,"NA"),'MITRE ATT&amp;CK Mappings'!$G367))),ISNUMBER(SEARCH(IF(D$2&lt;&gt;"",D$2,"NA"),'MITRE ATT&amp;CK Mappings'!$H367))),ISNUMBER(SEARCH(IF(D$3&lt;&gt;"",D$3,"NA"),'MITRE ATT&amp;CK Mappings'!$I367))),ISNUMBER(SEARCH(IF(D$3&lt;&gt;"",D$3,"NA"),'MITRE ATT&amp;CK Mappings'!$J367))), 'MITRE ATT&amp;CK Mappings'!$B367,"")</f>
        <v/>
      </c>
      <c r="E371" s="27" t="str">
        <f>IF(OR(OR(OR(OR(OR(ISNUMBER(SEARCH(IF(E$1&lt;&gt;"",E$1,"NA"),'MITRE ATT&amp;CK Mappings'!$E367)),ISNUMBER(SEARCH(IF(E$1&lt;&gt;"",E$1,"NA"),'MITRE ATT&amp;CK Mappings'!$F367))),ISNUMBER(SEARCH(IF(E$2&lt;&gt;"",E$2,"NA"),'MITRE ATT&amp;CK Mappings'!$G367))),ISNUMBER(SEARCH(IF(E$2&lt;&gt;"",E$2,"NA"),'MITRE ATT&amp;CK Mappings'!$H367))),ISNUMBER(SEARCH(IF(E$3&lt;&gt;"",E$3,"NA"),'MITRE ATT&amp;CK Mappings'!$I367))),ISNUMBER(SEARCH(IF(E$3&lt;&gt;"",E$3,"NA"),'MITRE ATT&amp;CK Mappings'!$J367))), 'MITRE ATT&amp;CK Mappings'!$B367,"")</f>
        <v/>
      </c>
      <c r="F371" s="27" t="str">
        <f>IF(OR(OR(OR(OR(OR(ISNUMBER(SEARCH(IF(F$1&lt;&gt;"",F$1,"NA"),'MITRE ATT&amp;CK Mappings'!$E367)),ISNUMBER(SEARCH(IF(F$1&lt;&gt;"",F$1,"NA"),'MITRE ATT&amp;CK Mappings'!$F367))),ISNUMBER(SEARCH(IF(F$2&lt;&gt;"",F$2,"NA"),'MITRE ATT&amp;CK Mappings'!$G367))),ISNUMBER(SEARCH(IF(F$2&lt;&gt;"",F$2,"NA"),'MITRE ATT&amp;CK Mappings'!$H367))),ISNUMBER(SEARCH(IF(F$3&lt;&gt;"",F$3,"NA"),'MITRE ATT&amp;CK Mappings'!$I367))),ISNUMBER(SEARCH(IF(F$3&lt;&gt;"",F$3,"NA"),'MITRE ATT&amp;CK Mappings'!$J367))), 'MITRE ATT&amp;CK Mappings'!$B367,"")</f>
        <v/>
      </c>
      <c r="G371" s="27" t="str">
        <f>IF(OR(OR(OR(OR(OR(ISNUMBER(SEARCH(IF(G$1&lt;&gt;"",G$1,"NA"),'MITRE ATT&amp;CK Mappings'!$E367)),ISNUMBER(SEARCH(IF(G$1&lt;&gt;"",G$1,"NA"),'MITRE ATT&amp;CK Mappings'!$F367))),ISNUMBER(SEARCH(IF(G$2&lt;&gt;"",G$2,"NA"),'MITRE ATT&amp;CK Mappings'!$G367))),ISNUMBER(SEARCH(IF(G$2&lt;&gt;"",G$2,"NA"),'MITRE ATT&amp;CK Mappings'!$H367))),ISNUMBER(SEARCH(IF(G$3&lt;&gt;"",G$3,"NA"),'MITRE ATT&amp;CK Mappings'!$I367))),ISNUMBER(SEARCH(IF(G$3&lt;&gt;"",G$3,"NA"),'MITRE ATT&amp;CK Mappings'!$J367))), 'MITRE ATT&amp;CK Mappings'!$B367,"")</f>
        <v/>
      </c>
      <c r="H371" s="27" t="str">
        <f>IF(OR(OR(OR(OR(OR(ISNUMBER(SEARCH(IF(H$1&lt;&gt;"",H$1,"NA"),'MITRE ATT&amp;CK Mappings'!$E367)),ISNUMBER(SEARCH(IF(H$1&lt;&gt;"",H$1,"NA"),'MITRE ATT&amp;CK Mappings'!$F367))),ISNUMBER(SEARCH(IF(H$2&lt;&gt;"",H$2,"NA"),'MITRE ATT&amp;CK Mappings'!$G367))),ISNUMBER(SEARCH(IF(H$2&lt;&gt;"",H$2,"NA"),'MITRE ATT&amp;CK Mappings'!$H367))),ISNUMBER(SEARCH(IF(H$3&lt;&gt;"",H$3,"NA"),'MITRE ATT&amp;CK Mappings'!$I367))),ISNUMBER(SEARCH(IF(H$3&lt;&gt;"",H$3,"NA"),'MITRE ATT&amp;CK Mappings'!$J367))), 'MITRE ATT&amp;CK Mappings'!$B367,"")</f>
        <v/>
      </c>
      <c r="I371" s="27" t="str">
        <f>IF(OR(OR(OR(OR(OR(ISNUMBER(SEARCH(IF(I$1&lt;&gt;"",I$1,"NA"),'MITRE ATT&amp;CK Mappings'!$E367)),ISNUMBER(SEARCH(IF(I$1&lt;&gt;"",I$1,"NA"),'MITRE ATT&amp;CK Mappings'!$F367))),ISNUMBER(SEARCH(IF(I$2&lt;&gt;"",I$2,"NA"),'MITRE ATT&amp;CK Mappings'!$G367))),ISNUMBER(SEARCH(IF(I$2&lt;&gt;"",I$2,"NA"),'MITRE ATT&amp;CK Mappings'!$H367))),ISNUMBER(SEARCH(IF(I$3&lt;&gt;"",I$3,"NA"),'MITRE ATT&amp;CK Mappings'!$I367))),ISNUMBER(SEARCH(IF(I$3&lt;&gt;"",I$3,"NA"),'MITRE ATT&amp;CK Mappings'!$J367))), 'MITRE ATT&amp;CK Mappings'!$B367,"")</f>
        <v/>
      </c>
      <c r="J371" s="27" t="str">
        <f>IF(OR(OR(OR(OR(OR(ISNUMBER(SEARCH(IF(J$1&lt;&gt;"",J$1,"NA"),'MITRE ATT&amp;CK Mappings'!$E367)),ISNUMBER(SEARCH(IF(J$1&lt;&gt;"",J$1,"NA"),'MITRE ATT&amp;CK Mappings'!$F367))),ISNUMBER(SEARCH(IF(J$2&lt;&gt;"",J$2,"NA"),'MITRE ATT&amp;CK Mappings'!$G367))),ISNUMBER(SEARCH(IF(J$2&lt;&gt;"",J$2,"NA"),'MITRE ATT&amp;CK Mappings'!$H367))),ISNUMBER(SEARCH(IF(J$3&lt;&gt;"",J$3,"NA"),'MITRE ATT&amp;CK Mappings'!$I367))),ISNUMBER(SEARCH(IF(J$3&lt;&gt;"",J$3,"NA"),'MITRE ATT&amp;CK Mappings'!$J367))), 'MITRE ATT&amp;CK Mappings'!$B367,"")</f>
        <v/>
      </c>
      <c r="K371" s="27" t="str">
        <f>IF(OR(OR(OR(OR(OR(ISNUMBER(SEARCH(IF(K$1&lt;&gt;"",K$1,"NA"),'MITRE ATT&amp;CK Mappings'!$E367)),ISNUMBER(SEARCH(IF(K$1&lt;&gt;"",K$1,"NA"),'MITRE ATT&amp;CK Mappings'!$F367))),ISNUMBER(SEARCH(IF(K$2&lt;&gt;"",K$2,"NA"),'MITRE ATT&amp;CK Mappings'!$G367))),ISNUMBER(SEARCH(IF(K$2&lt;&gt;"",K$2,"NA"),'MITRE ATT&amp;CK Mappings'!$H367))),ISNUMBER(SEARCH(IF(K$3&lt;&gt;"",K$3,"NA"),'MITRE ATT&amp;CK Mappings'!$I367))),ISNUMBER(SEARCH(IF(K$3&lt;&gt;"",K$3,"NA"),'MITRE ATT&amp;CK Mappings'!$J367))), 'MITRE ATT&amp;CK Mappings'!$B367,"")</f>
        <v/>
      </c>
      <c r="L371" s="27" t="str">
        <f>IF('MITRE ATT&amp;CK Mappings'!D367 &lt;&gt;"",'MITRE ATT&amp;CK Mappings'!D367,"" )</f>
        <v/>
      </c>
    </row>
    <row r="372" spans="1:12" x14ac:dyDescent="0.25">
      <c r="A372" s="26" t="str">
        <f>IF(COUNTIF(B372:K372,"="&amp;'MITRE ATT&amp;CK Mappings'!B368)&gt;0,'MITRE ATT&amp;CK Mappings'!B368,"")</f>
        <v/>
      </c>
      <c r="B372" s="26" t="str">
        <f>IF(OR(OR(OR(OR(OR(ISNUMBER(SEARCH(IF(B$1&lt;&gt;"",B$1,"NA"),'MITRE ATT&amp;CK Mappings'!$E368)),ISNUMBER(SEARCH(IF(B$1&lt;&gt;"",B$1,"NA"),'MITRE ATT&amp;CK Mappings'!$F368))),ISNUMBER(SEARCH(IF(B$2&lt;&gt;"",B$2,"NA"),'MITRE ATT&amp;CK Mappings'!$G368))),ISNUMBER(SEARCH(IF(B$2&lt;&gt;"",B$2,"NA"),'MITRE ATT&amp;CK Mappings'!$H368))),ISNUMBER(SEARCH(IF(B$3&lt;&gt;"",B$3,"NA"),'MITRE ATT&amp;CK Mappings'!$I368))),ISNUMBER(SEARCH(IF(B$3&lt;&gt;"",B$3,"NA"),'MITRE ATT&amp;CK Mappings'!$J368))), 'MITRE ATT&amp;CK Mappings'!$B368,"")</f>
        <v/>
      </c>
      <c r="C372" s="26" t="str">
        <f>IF(OR(OR(OR(OR(OR(ISNUMBER(SEARCH(IF(C$1&lt;&gt;"",C$1,"NA"),'MITRE ATT&amp;CK Mappings'!$E368)),ISNUMBER(SEARCH(IF(C$1&lt;&gt;"",C$1,"NA"),'MITRE ATT&amp;CK Mappings'!$F368))),ISNUMBER(SEARCH(IF(C$2&lt;&gt;"",C$2,"NA"),'MITRE ATT&amp;CK Mappings'!$G368))),ISNUMBER(SEARCH(IF(C$2&lt;&gt;"",C$2,"NA"),'MITRE ATT&amp;CK Mappings'!$H368))),ISNUMBER(SEARCH(IF(C$3&lt;&gt;"",C$3,"NA"),'MITRE ATT&amp;CK Mappings'!$I368))),ISNUMBER(SEARCH(IF(C$3&lt;&gt;"",C$3,"NA"),'MITRE ATT&amp;CK Mappings'!$J368))), 'MITRE ATT&amp;CK Mappings'!$B368,"")</f>
        <v/>
      </c>
      <c r="D372" s="26" t="str">
        <f>IF(OR(OR(OR(OR(OR(ISNUMBER(SEARCH(IF(D$1&lt;&gt;"",D$1,"NA"),'MITRE ATT&amp;CK Mappings'!$E368)),ISNUMBER(SEARCH(IF(D$1&lt;&gt;"",D$1,"NA"),'MITRE ATT&amp;CK Mappings'!$F368))),ISNUMBER(SEARCH(IF(D$2&lt;&gt;"",D$2,"NA"),'MITRE ATT&amp;CK Mappings'!$G368))),ISNUMBER(SEARCH(IF(D$2&lt;&gt;"",D$2,"NA"),'MITRE ATT&amp;CK Mappings'!$H368))),ISNUMBER(SEARCH(IF(D$3&lt;&gt;"",D$3,"NA"),'MITRE ATT&amp;CK Mappings'!$I368))),ISNUMBER(SEARCH(IF(D$3&lt;&gt;"",D$3,"NA"),'MITRE ATT&amp;CK Mappings'!$J368))), 'MITRE ATT&amp;CK Mappings'!$B368,"")</f>
        <v/>
      </c>
      <c r="E372" s="26" t="str">
        <f>IF(OR(OR(OR(OR(OR(ISNUMBER(SEARCH(IF(E$1&lt;&gt;"",E$1,"NA"),'MITRE ATT&amp;CK Mappings'!$E368)),ISNUMBER(SEARCH(IF(E$1&lt;&gt;"",E$1,"NA"),'MITRE ATT&amp;CK Mappings'!$F368))),ISNUMBER(SEARCH(IF(E$2&lt;&gt;"",E$2,"NA"),'MITRE ATT&amp;CK Mappings'!$G368))),ISNUMBER(SEARCH(IF(E$2&lt;&gt;"",E$2,"NA"),'MITRE ATT&amp;CK Mappings'!$H368))),ISNUMBER(SEARCH(IF(E$3&lt;&gt;"",E$3,"NA"),'MITRE ATT&amp;CK Mappings'!$I368))),ISNUMBER(SEARCH(IF(E$3&lt;&gt;"",E$3,"NA"),'MITRE ATT&amp;CK Mappings'!$J368))), 'MITRE ATT&amp;CK Mappings'!$B368,"")</f>
        <v/>
      </c>
      <c r="F372" s="26" t="str">
        <f>IF(OR(OR(OR(OR(OR(ISNUMBER(SEARCH(IF(F$1&lt;&gt;"",F$1,"NA"),'MITRE ATT&amp;CK Mappings'!$E368)),ISNUMBER(SEARCH(IF(F$1&lt;&gt;"",F$1,"NA"),'MITRE ATT&amp;CK Mappings'!$F368))),ISNUMBER(SEARCH(IF(F$2&lt;&gt;"",F$2,"NA"),'MITRE ATT&amp;CK Mappings'!$G368))),ISNUMBER(SEARCH(IF(F$2&lt;&gt;"",F$2,"NA"),'MITRE ATT&amp;CK Mappings'!$H368))),ISNUMBER(SEARCH(IF(F$3&lt;&gt;"",F$3,"NA"),'MITRE ATT&amp;CK Mappings'!$I368))),ISNUMBER(SEARCH(IF(F$3&lt;&gt;"",F$3,"NA"),'MITRE ATT&amp;CK Mappings'!$J368))), 'MITRE ATT&amp;CK Mappings'!$B368,"")</f>
        <v/>
      </c>
      <c r="G372" s="26" t="str">
        <f>IF(OR(OR(OR(OR(OR(ISNUMBER(SEARCH(IF(G$1&lt;&gt;"",G$1,"NA"),'MITRE ATT&amp;CK Mappings'!$E368)),ISNUMBER(SEARCH(IF(G$1&lt;&gt;"",G$1,"NA"),'MITRE ATT&amp;CK Mappings'!$F368))),ISNUMBER(SEARCH(IF(G$2&lt;&gt;"",G$2,"NA"),'MITRE ATT&amp;CK Mappings'!$G368))),ISNUMBER(SEARCH(IF(G$2&lt;&gt;"",G$2,"NA"),'MITRE ATT&amp;CK Mappings'!$H368))),ISNUMBER(SEARCH(IF(G$3&lt;&gt;"",G$3,"NA"),'MITRE ATT&amp;CK Mappings'!$I368))),ISNUMBER(SEARCH(IF(G$3&lt;&gt;"",G$3,"NA"),'MITRE ATT&amp;CK Mappings'!$J368))), 'MITRE ATT&amp;CK Mappings'!$B368,"")</f>
        <v/>
      </c>
      <c r="H372" s="26" t="str">
        <f>IF(OR(OR(OR(OR(OR(ISNUMBER(SEARCH(IF(H$1&lt;&gt;"",H$1,"NA"),'MITRE ATT&amp;CK Mappings'!$E368)),ISNUMBER(SEARCH(IF(H$1&lt;&gt;"",H$1,"NA"),'MITRE ATT&amp;CK Mappings'!$F368))),ISNUMBER(SEARCH(IF(H$2&lt;&gt;"",H$2,"NA"),'MITRE ATT&amp;CK Mappings'!$G368))),ISNUMBER(SEARCH(IF(H$2&lt;&gt;"",H$2,"NA"),'MITRE ATT&amp;CK Mappings'!$H368))),ISNUMBER(SEARCH(IF(H$3&lt;&gt;"",H$3,"NA"),'MITRE ATT&amp;CK Mappings'!$I368))),ISNUMBER(SEARCH(IF(H$3&lt;&gt;"",H$3,"NA"),'MITRE ATT&amp;CK Mappings'!$J368))), 'MITRE ATT&amp;CK Mappings'!$B368,"")</f>
        <v/>
      </c>
      <c r="I372" s="26" t="str">
        <f>IF(OR(OR(OR(OR(OR(ISNUMBER(SEARCH(IF(I$1&lt;&gt;"",I$1,"NA"),'MITRE ATT&amp;CK Mappings'!$E368)),ISNUMBER(SEARCH(IF(I$1&lt;&gt;"",I$1,"NA"),'MITRE ATT&amp;CK Mappings'!$F368))),ISNUMBER(SEARCH(IF(I$2&lt;&gt;"",I$2,"NA"),'MITRE ATT&amp;CK Mappings'!$G368))),ISNUMBER(SEARCH(IF(I$2&lt;&gt;"",I$2,"NA"),'MITRE ATT&amp;CK Mappings'!$H368))),ISNUMBER(SEARCH(IF(I$3&lt;&gt;"",I$3,"NA"),'MITRE ATT&amp;CK Mappings'!$I368))),ISNUMBER(SEARCH(IF(I$3&lt;&gt;"",I$3,"NA"),'MITRE ATT&amp;CK Mappings'!$J368))), 'MITRE ATT&amp;CK Mappings'!$B368,"")</f>
        <v/>
      </c>
      <c r="J372" s="26" t="str">
        <f>IF(OR(OR(OR(OR(OR(ISNUMBER(SEARCH(IF(J$1&lt;&gt;"",J$1,"NA"),'MITRE ATT&amp;CK Mappings'!$E368)),ISNUMBER(SEARCH(IF(J$1&lt;&gt;"",J$1,"NA"),'MITRE ATT&amp;CK Mappings'!$F368))),ISNUMBER(SEARCH(IF(J$2&lt;&gt;"",J$2,"NA"),'MITRE ATT&amp;CK Mappings'!$G368))),ISNUMBER(SEARCH(IF(J$2&lt;&gt;"",J$2,"NA"),'MITRE ATT&amp;CK Mappings'!$H368))),ISNUMBER(SEARCH(IF(J$3&lt;&gt;"",J$3,"NA"),'MITRE ATT&amp;CK Mappings'!$I368))),ISNUMBER(SEARCH(IF(J$3&lt;&gt;"",J$3,"NA"),'MITRE ATT&amp;CK Mappings'!$J368))), 'MITRE ATT&amp;CK Mappings'!$B368,"")</f>
        <v/>
      </c>
      <c r="K372" s="26" t="str">
        <f>IF(OR(OR(OR(OR(OR(ISNUMBER(SEARCH(IF(K$1&lt;&gt;"",K$1,"NA"),'MITRE ATT&amp;CK Mappings'!$E368)),ISNUMBER(SEARCH(IF(K$1&lt;&gt;"",K$1,"NA"),'MITRE ATT&amp;CK Mappings'!$F368))),ISNUMBER(SEARCH(IF(K$2&lt;&gt;"",K$2,"NA"),'MITRE ATT&amp;CK Mappings'!$G368))),ISNUMBER(SEARCH(IF(K$2&lt;&gt;"",K$2,"NA"),'MITRE ATT&amp;CK Mappings'!$H368))),ISNUMBER(SEARCH(IF(K$3&lt;&gt;"",K$3,"NA"),'MITRE ATT&amp;CK Mappings'!$I368))),ISNUMBER(SEARCH(IF(K$3&lt;&gt;"",K$3,"NA"),'MITRE ATT&amp;CK Mappings'!$J368))), 'MITRE ATT&amp;CK Mappings'!$B368,"")</f>
        <v/>
      </c>
      <c r="L372" s="26" t="str">
        <f>IF('MITRE ATT&amp;CK Mappings'!D368 &lt;&gt;"",'MITRE ATT&amp;CK Mappings'!D368,"" )</f>
        <v/>
      </c>
    </row>
    <row r="373" spans="1:12" x14ac:dyDescent="0.25">
      <c r="A373" s="27" t="str">
        <f>IF(COUNTIF(B373:K373,"="&amp;'MITRE ATT&amp;CK Mappings'!B369)&gt;0,'MITRE ATT&amp;CK Mappings'!B369,"")</f>
        <v/>
      </c>
      <c r="B373" s="27" t="str">
        <f>IF(OR(OR(OR(OR(OR(ISNUMBER(SEARCH(IF(B$1&lt;&gt;"",B$1,"NA"),'MITRE ATT&amp;CK Mappings'!$E369)),ISNUMBER(SEARCH(IF(B$1&lt;&gt;"",B$1,"NA"),'MITRE ATT&amp;CK Mappings'!$F369))),ISNUMBER(SEARCH(IF(B$2&lt;&gt;"",B$2,"NA"),'MITRE ATT&amp;CK Mappings'!$G369))),ISNUMBER(SEARCH(IF(B$2&lt;&gt;"",B$2,"NA"),'MITRE ATT&amp;CK Mappings'!$H369))),ISNUMBER(SEARCH(IF(B$3&lt;&gt;"",B$3,"NA"),'MITRE ATT&amp;CK Mappings'!$I369))),ISNUMBER(SEARCH(IF(B$3&lt;&gt;"",B$3,"NA"),'MITRE ATT&amp;CK Mappings'!$J369))), 'MITRE ATT&amp;CK Mappings'!$B369,"")</f>
        <v/>
      </c>
      <c r="C373" s="27" t="str">
        <f>IF(OR(OR(OR(OR(OR(ISNUMBER(SEARCH(IF(C$1&lt;&gt;"",C$1,"NA"),'MITRE ATT&amp;CK Mappings'!$E369)),ISNUMBER(SEARCH(IF(C$1&lt;&gt;"",C$1,"NA"),'MITRE ATT&amp;CK Mappings'!$F369))),ISNUMBER(SEARCH(IF(C$2&lt;&gt;"",C$2,"NA"),'MITRE ATT&amp;CK Mappings'!$G369))),ISNUMBER(SEARCH(IF(C$2&lt;&gt;"",C$2,"NA"),'MITRE ATT&amp;CK Mappings'!$H369))),ISNUMBER(SEARCH(IF(C$3&lt;&gt;"",C$3,"NA"),'MITRE ATT&amp;CK Mappings'!$I369))),ISNUMBER(SEARCH(IF(C$3&lt;&gt;"",C$3,"NA"),'MITRE ATT&amp;CK Mappings'!$J369))), 'MITRE ATT&amp;CK Mappings'!$B369,"")</f>
        <v/>
      </c>
      <c r="D373" s="27" t="str">
        <f>IF(OR(OR(OR(OR(OR(ISNUMBER(SEARCH(IF(D$1&lt;&gt;"",D$1,"NA"),'MITRE ATT&amp;CK Mappings'!$E369)),ISNUMBER(SEARCH(IF(D$1&lt;&gt;"",D$1,"NA"),'MITRE ATT&amp;CK Mappings'!$F369))),ISNUMBER(SEARCH(IF(D$2&lt;&gt;"",D$2,"NA"),'MITRE ATT&amp;CK Mappings'!$G369))),ISNUMBER(SEARCH(IF(D$2&lt;&gt;"",D$2,"NA"),'MITRE ATT&amp;CK Mappings'!$H369))),ISNUMBER(SEARCH(IF(D$3&lt;&gt;"",D$3,"NA"),'MITRE ATT&amp;CK Mappings'!$I369))),ISNUMBER(SEARCH(IF(D$3&lt;&gt;"",D$3,"NA"),'MITRE ATT&amp;CK Mappings'!$J369))), 'MITRE ATT&amp;CK Mappings'!$B369,"")</f>
        <v/>
      </c>
      <c r="E373" s="27" t="str">
        <f>IF(OR(OR(OR(OR(OR(ISNUMBER(SEARCH(IF(E$1&lt;&gt;"",E$1,"NA"),'MITRE ATT&amp;CK Mappings'!$E369)),ISNUMBER(SEARCH(IF(E$1&lt;&gt;"",E$1,"NA"),'MITRE ATT&amp;CK Mappings'!$F369))),ISNUMBER(SEARCH(IF(E$2&lt;&gt;"",E$2,"NA"),'MITRE ATT&amp;CK Mappings'!$G369))),ISNUMBER(SEARCH(IF(E$2&lt;&gt;"",E$2,"NA"),'MITRE ATT&amp;CK Mappings'!$H369))),ISNUMBER(SEARCH(IF(E$3&lt;&gt;"",E$3,"NA"),'MITRE ATT&amp;CK Mappings'!$I369))),ISNUMBER(SEARCH(IF(E$3&lt;&gt;"",E$3,"NA"),'MITRE ATT&amp;CK Mappings'!$J369))), 'MITRE ATT&amp;CK Mappings'!$B369,"")</f>
        <v/>
      </c>
      <c r="F373" s="27" t="str">
        <f>IF(OR(OR(OR(OR(OR(ISNUMBER(SEARCH(IF(F$1&lt;&gt;"",F$1,"NA"),'MITRE ATT&amp;CK Mappings'!$E369)),ISNUMBER(SEARCH(IF(F$1&lt;&gt;"",F$1,"NA"),'MITRE ATT&amp;CK Mappings'!$F369))),ISNUMBER(SEARCH(IF(F$2&lt;&gt;"",F$2,"NA"),'MITRE ATT&amp;CK Mappings'!$G369))),ISNUMBER(SEARCH(IF(F$2&lt;&gt;"",F$2,"NA"),'MITRE ATT&amp;CK Mappings'!$H369))),ISNUMBER(SEARCH(IF(F$3&lt;&gt;"",F$3,"NA"),'MITRE ATT&amp;CK Mappings'!$I369))),ISNUMBER(SEARCH(IF(F$3&lt;&gt;"",F$3,"NA"),'MITRE ATT&amp;CK Mappings'!$J369))), 'MITRE ATT&amp;CK Mappings'!$B369,"")</f>
        <v/>
      </c>
      <c r="G373" s="27" t="str">
        <f>IF(OR(OR(OR(OR(OR(ISNUMBER(SEARCH(IF(G$1&lt;&gt;"",G$1,"NA"),'MITRE ATT&amp;CK Mappings'!$E369)),ISNUMBER(SEARCH(IF(G$1&lt;&gt;"",G$1,"NA"),'MITRE ATT&amp;CK Mappings'!$F369))),ISNUMBER(SEARCH(IF(G$2&lt;&gt;"",G$2,"NA"),'MITRE ATT&amp;CK Mappings'!$G369))),ISNUMBER(SEARCH(IF(G$2&lt;&gt;"",G$2,"NA"),'MITRE ATT&amp;CK Mappings'!$H369))),ISNUMBER(SEARCH(IF(G$3&lt;&gt;"",G$3,"NA"),'MITRE ATT&amp;CK Mappings'!$I369))),ISNUMBER(SEARCH(IF(G$3&lt;&gt;"",G$3,"NA"),'MITRE ATT&amp;CK Mappings'!$J369))), 'MITRE ATT&amp;CK Mappings'!$B369,"")</f>
        <v/>
      </c>
      <c r="H373" s="27" t="str">
        <f>IF(OR(OR(OR(OR(OR(ISNUMBER(SEARCH(IF(H$1&lt;&gt;"",H$1,"NA"),'MITRE ATT&amp;CK Mappings'!$E369)),ISNUMBER(SEARCH(IF(H$1&lt;&gt;"",H$1,"NA"),'MITRE ATT&amp;CK Mappings'!$F369))),ISNUMBER(SEARCH(IF(H$2&lt;&gt;"",H$2,"NA"),'MITRE ATT&amp;CK Mappings'!$G369))),ISNUMBER(SEARCH(IF(H$2&lt;&gt;"",H$2,"NA"),'MITRE ATT&amp;CK Mappings'!$H369))),ISNUMBER(SEARCH(IF(H$3&lt;&gt;"",H$3,"NA"),'MITRE ATT&amp;CK Mappings'!$I369))),ISNUMBER(SEARCH(IF(H$3&lt;&gt;"",H$3,"NA"),'MITRE ATT&amp;CK Mappings'!$J369))), 'MITRE ATT&amp;CK Mappings'!$B369,"")</f>
        <v/>
      </c>
      <c r="I373" s="27" t="str">
        <f>IF(OR(OR(OR(OR(OR(ISNUMBER(SEARCH(IF(I$1&lt;&gt;"",I$1,"NA"),'MITRE ATT&amp;CK Mappings'!$E369)),ISNUMBER(SEARCH(IF(I$1&lt;&gt;"",I$1,"NA"),'MITRE ATT&amp;CK Mappings'!$F369))),ISNUMBER(SEARCH(IF(I$2&lt;&gt;"",I$2,"NA"),'MITRE ATT&amp;CK Mappings'!$G369))),ISNUMBER(SEARCH(IF(I$2&lt;&gt;"",I$2,"NA"),'MITRE ATT&amp;CK Mappings'!$H369))),ISNUMBER(SEARCH(IF(I$3&lt;&gt;"",I$3,"NA"),'MITRE ATT&amp;CK Mappings'!$I369))),ISNUMBER(SEARCH(IF(I$3&lt;&gt;"",I$3,"NA"),'MITRE ATT&amp;CK Mappings'!$J369))), 'MITRE ATT&amp;CK Mappings'!$B369,"")</f>
        <v/>
      </c>
      <c r="J373" s="27" t="str">
        <f>IF(OR(OR(OR(OR(OR(ISNUMBER(SEARCH(IF(J$1&lt;&gt;"",J$1,"NA"),'MITRE ATT&amp;CK Mappings'!$E369)),ISNUMBER(SEARCH(IF(J$1&lt;&gt;"",J$1,"NA"),'MITRE ATT&amp;CK Mappings'!$F369))),ISNUMBER(SEARCH(IF(J$2&lt;&gt;"",J$2,"NA"),'MITRE ATT&amp;CK Mappings'!$G369))),ISNUMBER(SEARCH(IF(J$2&lt;&gt;"",J$2,"NA"),'MITRE ATT&amp;CK Mappings'!$H369))),ISNUMBER(SEARCH(IF(J$3&lt;&gt;"",J$3,"NA"),'MITRE ATT&amp;CK Mappings'!$I369))),ISNUMBER(SEARCH(IF(J$3&lt;&gt;"",J$3,"NA"),'MITRE ATT&amp;CK Mappings'!$J369))), 'MITRE ATT&amp;CK Mappings'!$B369,"")</f>
        <v/>
      </c>
      <c r="K373" s="27" t="str">
        <f>IF(OR(OR(OR(OR(OR(ISNUMBER(SEARCH(IF(K$1&lt;&gt;"",K$1,"NA"),'MITRE ATT&amp;CK Mappings'!$E369)),ISNUMBER(SEARCH(IF(K$1&lt;&gt;"",K$1,"NA"),'MITRE ATT&amp;CK Mappings'!$F369))),ISNUMBER(SEARCH(IF(K$2&lt;&gt;"",K$2,"NA"),'MITRE ATT&amp;CK Mappings'!$G369))),ISNUMBER(SEARCH(IF(K$2&lt;&gt;"",K$2,"NA"),'MITRE ATT&amp;CK Mappings'!$H369))),ISNUMBER(SEARCH(IF(K$3&lt;&gt;"",K$3,"NA"),'MITRE ATT&amp;CK Mappings'!$I369))),ISNUMBER(SEARCH(IF(K$3&lt;&gt;"",K$3,"NA"),'MITRE ATT&amp;CK Mappings'!$J369))), 'MITRE ATT&amp;CK Mappings'!$B369,"")</f>
        <v/>
      </c>
      <c r="L373" s="27" t="str">
        <f>IF('MITRE ATT&amp;CK Mappings'!D369 &lt;&gt;"",'MITRE ATT&amp;CK Mappings'!D369,"" )</f>
        <v/>
      </c>
    </row>
    <row r="374" spans="1:12" x14ac:dyDescent="0.25">
      <c r="A374" s="26" t="str">
        <f>IF(COUNTIF(B374:K374,"="&amp;'MITRE ATT&amp;CK Mappings'!B370)&gt;0,'MITRE ATT&amp;CK Mappings'!B370,"")</f>
        <v/>
      </c>
      <c r="B374" s="26" t="str">
        <f>IF(OR(OR(OR(OR(OR(ISNUMBER(SEARCH(IF(B$1&lt;&gt;"",B$1,"NA"),'MITRE ATT&amp;CK Mappings'!$E370)),ISNUMBER(SEARCH(IF(B$1&lt;&gt;"",B$1,"NA"),'MITRE ATT&amp;CK Mappings'!$F370))),ISNUMBER(SEARCH(IF(B$2&lt;&gt;"",B$2,"NA"),'MITRE ATT&amp;CK Mappings'!$G370))),ISNUMBER(SEARCH(IF(B$2&lt;&gt;"",B$2,"NA"),'MITRE ATT&amp;CK Mappings'!$H370))),ISNUMBER(SEARCH(IF(B$3&lt;&gt;"",B$3,"NA"),'MITRE ATT&amp;CK Mappings'!$I370))),ISNUMBER(SEARCH(IF(B$3&lt;&gt;"",B$3,"NA"),'MITRE ATT&amp;CK Mappings'!$J370))), 'MITRE ATT&amp;CK Mappings'!$B370,"")</f>
        <v/>
      </c>
      <c r="C374" s="26" t="str">
        <f>IF(OR(OR(OR(OR(OR(ISNUMBER(SEARCH(IF(C$1&lt;&gt;"",C$1,"NA"),'MITRE ATT&amp;CK Mappings'!$E370)),ISNUMBER(SEARCH(IF(C$1&lt;&gt;"",C$1,"NA"),'MITRE ATT&amp;CK Mappings'!$F370))),ISNUMBER(SEARCH(IF(C$2&lt;&gt;"",C$2,"NA"),'MITRE ATT&amp;CK Mappings'!$G370))),ISNUMBER(SEARCH(IF(C$2&lt;&gt;"",C$2,"NA"),'MITRE ATT&amp;CK Mappings'!$H370))),ISNUMBER(SEARCH(IF(C$3&lt;&gt;"",C$3,"NA"),'MITRE ATT&amp;CK Mappings'!$I370))),ISNUMBER(SEARCH(IF(C$3&lt;&gt;"",C$3,"NA"),'MITRE ATT&amp;CK Mappings'!$J370))), 'MITRE ATT&amp;CK Mappings'!$B370,"")</f>
        <v/>
      </c>
      <c r="D374" s="26" t="str">
        <f>IF(OR(OR(OR(OR(OR(ISNUMBER(SEARCH(IF(D$1&lt;&gt;"",D$1,"NA"),'MITRE ATT&amp;CK Mappings'!$E370)),ISNUMBER(SEARCH(IF(D$1&lt;&gt;"",D$1,"NA"),'MITRE ATT&amp;CK Mappings'!$F370))),ISNUMBER(SEARCH(IF(D$2&lt;&gt;"",D$2,"NA"),'MITRE ATT&amp;CK Mappings'!$G370))),ISNUMBER(SEARCH(IF(D$2&lt;&gt;"",D$2,"NA"),'MITRE ATT&amp;CK Mappings'!$H370))),ISNUMBER(SEARCH(IF(D$3&lt;&gt;"",D$3,"NA"),'MITRE ATT&amp;CK Mappings'!$I370))),ISNUMBER(SEARCH(IF(D$3&lt;&gt;"",D$3,"NA"),'MITRE ATT&amp;CK Mappings'!$J370))), 'MITRE ATT&amp;CK Mappings'!$B370,"")</f>
        <v/>
      </c>
      <c r="E374" s="26" t="str">
        <f>IF(OR(OR(OR(OR(OR(ISNUMBER(SEARCH(IF(E$1&lt;&gt;"",E$1,"NA"),'MITRE ATT&amp;CK Mappings'!$E370)),ISNUMBER(SEARCH(IF(E$1&lt;&gt;"",E$1,"NA"),'MITRE ATT&amp;CK Mappings'!$F370))),ISNUMBER(SEARCH(IF(E$2&lt;&gt;"",E$2,"NA"),'MITRE ATT&amp;CK Mappings'!$G370))),ISNUMBER(SEARCH(IF(E$2&lt;&gt;"",E$2,"NA"),'MITRE ATT&amp;CK Mappings'!$H370))),ISNUMBER(SEARCH(IF(E$3&lt;&gt;"",E$3,"NA"),'MITRE ATT&amp;CK Mappings'!$I370))),ISNUMBER(SEARCH(IF(E$3&lt;&gt;"",E$3,"NA"),'MITRE ATT&amp;CK Mappings'!$J370))), 'MITRE ATT&amp;CK Mappings'!$B370,"")</f>
        <v/>
      </c>
      <c r="F374" s="26" t="str">
        <f>IF(OR(OR(OR(OR(OR(ISNUMBER(SEARCH(IF(F$1&lt;&gt;"",F$1,"NA"),'MITRE ATT&amp;CK Mappings'!$E370)),ISNUMBER(SEARCH(IF(F$1&lt;&gt;"",F$1,"NA"),'MITRE ATT&amp;CK Mappings'!$F370))),ISNUMBER(SEARCH(IF(F$2&lt;&gt;"",F$2,"NA"),'MITRE ATT&amp;CK Mappings'!$G370))),ISNUMBER(SEARCH(IF(F$2&lt;&gt;"",F$2,"NA"),'MITRE ATT&amp;CK Mappings'!$H370))),ISNUMBER(SEARCH(IF(F$3&lt;&gt;"",F$3,"NA"),'MITRE ATT&amp;CK Mappings'!$I370))),ISNUMBER(SEARCH(IF(F$3&lt;&gt;"",F$3,"NA"),'MITRE ATT&amp;CK Mappings'!$J370))), 'MITRE ATT&amp;CK Mappings'!$B370,"")</f>
        <v/>
      </c>
      <c r="G374" s="26" t="str">
        <f>IF(OR(OR(OR(OR(OR(ISNUMBER(SEARCH(IF(G$1&lt;&gt;"",G$1,"NA"),'MITRE ATT&amp;CK Mappings'!$E370)),ISNUMBER(SEARCH(IF(G$1&lt;&gt;"",G$1,"NA"),'MITRE ATT&amp;CK Mappings'!$F370))),ISNUMBER(SEARCH(IF(G$2&lt;&gt;"",G$2,"NA"),'MITRE ATT&amp;CK Mappings'!$G370))),ISNUMBER(SEARCH(IF(G$2&lt;&gt;"",G$2,"NA"),'MITRE ATT&amp;CK Mappings'!$H370))),ISNUMBER(SEARCH(IF(G$3&lt;&gt;"",G$3,"NA"),'MITRE ATT&amp;CK Mappings'!$I370))),ISNUMBER(SEARCH(IF(G$3&lt;&gt;"",G$3,"NA"),'MITRE ATT&amp;CK Mappings'!$J370))), 'MITRE ATT&amp;CK Mappings'!$B370,"")</f>
        <v/>
      </c>
      <c r="H374" s="26" t="str">
        <f>IF(OR(OR(OR(OR(OR(ISNUMBER(SEARCH(IF(H$1&lt;&gt;"",H$1,"NA"),'MITRE ATT&amp;CK Mappings'!$E370)),ISNUMBER(SEARCH(IF(H$1&lt;&gt;"",H$1,"NA"),'MITRE ATT&amp;CK Mappings'!$F370))),ISNUMBER(SEARCH(IF(H$2&lt;&gt;"",H$2,"NA"),'MITRE ATT&amp;CK Mappings'!$G370))),ISNUMBER(SEARCH(IF(H$2&lt;&gt;"",H$2,"NA"),'MITRE ATT&amp;CK Mappings'!$H370))),ISNUMBER(SEARCH(IF(H$3&lt;&gt;"",H$3,"NA"),'MITRE ATT&amp;CK Mappings'!$I370))),ISNUMBER(SEARCH(IF(H$3&lt;&gt;"",H$3,"NA"),'MITRE ATT&amp;CK Mappings'!$J370))), 'MITRE ATT&amp;CK Mappings'!$B370,"")</f>
        <v/>
      </c>
      <c r="I374" s="26" t="str">
        <f>IF(OR(OR(OR(OR(OR(ISNUMBER(SEARCH(IF(I$1&lt;&gt;"",I$1,"NA"),'MITRE ATT&amp;CK Mappings'!$E370)),ISNUMBER(SEARCH(IF(I$1&lt;&gt;"",I$1,"NA"),'MITRE ATT&amp;CK Mappings'!$F370))),ISNUMBER(SEARCH(IF(I$2&lt;&gt;"",I$2,"NA"),'MITRE ATT&amp;CK Mappings'!$G370))),ISNUMBER(SEARCH(IF(I$2&lt;&gt;"",I$2,"NA"),'MITRE ATT&amp;CK Mappings'!$H370))),ISNUMBER(SEARCH(IF(I$3&lt;&gt;"",I$3,"NA"),'MITRE ATT&amp;CK Mappings'!$I370))),ISNUMBER(SEARCH(IF(I$3&lt;&gt;"",I$3,"NA"),'MITRE ATT&amp;CK Mappings'!$J370))), 'MITRE ATT&amp;CK Mappings'!$B370,"")</f>
        <v/>
      </c>
      <c r="J374" s="26" t="str">
        <f>IF(OR(OR(OR(OR(OR(ISNUMBER(SEARCH(IF(J$1&lt;&gt;"",J$1,"NA"),'MITRE ATT&amp;CK Mappings'!$E370)),ISNUMBER(SEARCH(IF(J$1&lt;&gt;"",J$1,"NA"),'MITRE ATT&amp;CK Mappings'!$F370))),ISNUMBER(SEARCH(IF(J$2&lt;&gt;"",J$2,"NA"),'MITRE ATT&amp;CK Mappings'!$G370))),ISNUMBER(SEARCH(IF(J$2&lt;&gt;"",J$2,"NA"),'MITRE ATT&amp;CK Mappings'!$H370))),ISNUMBER(SEARCH(IF(J$3&lt;&gt;"",J$3,"NA"),'MITRE ATT&amp;CK Mappings'!$I370))),ISNUMBER(SEARCH(IF(J$3&lt;&gt;"",J$3,"NA"),'MITRE ATT&amp;CK Mappings'!$J370))), 'MITRE ATT&amp;CK Mappings'!$B370,"")</f>
        <v/>
      </c>
      <c r="K374" s="26" t="str">
        <f>IF(OR(OR(OR(OR(OR(ISNUMBER(SEARCH(IF(K$1&lt;&gt;"",K$1,"NA"),'MITRE ATT&amp;CK Mappings'!$E370)),ISNUMBER(SEARCH(IF(K$1&lt;&gt;"",K$1,"NA"),'MITRE ATT&amp;CK Mappings'!$F370))),ISNUMBER(SEARCH(IF(K$2&lt;&gt;"",K$2,"NA"),'MITRE ATT&amp;CK Mappings'!$G370))),ISNUMBER(SEARCH(IF(K$2&lt;&gt;"",K$2,"NA"),'MITRE ATT&amp;CK Mappings'!$H370))),ISNUMBER(SEARCH(IF(K$3&lt;&gt;"",K$3,"NA"),'MITRE ATT&amp;CK Mappings'!$I370))),ISNUMBER(SEARCH(IF(K$3&lt;&gt;"",K$3,"NA"),'MITRE ATT&amp;CK Mappings'!$J370))), 'MITRE ATT&amp;CK Mappings'!$B370,"")</f>
        <v/>
      </c>
      <c r="L374" s="26" t="str">
        <f>IF('MITRE ATT&amp;CK Mappings'!D370 &lt;&gt;"",'MITRE ATT&amp;CK Mappings'!D370,"" )</f>
        <v/>
      </c>
    </row>
    <row r="375" spans="1:12" x14ac:dyDescent="0.25">
      <c r="A375" s="27" t="str">
        <f>IF(COUNTIF(B375:K375,"="&amp;'MITRE ATT&amp;CK Mappings'!B371)&gt;0,'MITRE ATT&amp;CK Mappings'!B371,"")</f>
        <v/>
      </c>
      <c r="B375" s="27" t="str">
        <f>IF(OR(OR(OR(OR(OR(ISNUMBER(SEARCH(IF(B$1&lt;&gt;"",B$1,"NA"),'MITRE ATT&amp;CK Mappings'!$E371)),ISNUMBER(SEARCH(IF(B$1&lt;&gt;"",B$1,"NA"),'MITRE ATT&amp;CK Mappings'!$F371))),ISNUMBER(SEARCH(IF(B$2&lt;&gt;"",B$2,"NA"),'MITRE ATT&amp;CK Mappings'!$G371))),ISNUMBER(SEARCH(IF(B$2&lt;&gt;"",B$2,"NA"),'MITRE ATT&amp;CK Mappings'!$H371))),ISNUMBER(SEARCH(IF(B$3&lt;&gt;"",B$3,"NA"),'MITRE ATT&amp;CK Mappings'!$I371))),ISNUMBER(SEARCH(IF(B$3&lt;&gt;"",B$3,"NA"),'MITRE ATT&amp;CK Mappings'!$J371))), 'MITRE ATT&amp;CK Mappings'!$B371,"")</f>
        <v/>
      </c>
      <c r="C375" s="27" t="str">
        <f>IF(OR(OR(OR(OR(OR(ISNUMBER(SEARCH(IF(C$1&lt;&gt;"",C$1,"NA"),'MITRE ATT&amp;CK Mappings'!$E371)),ISNUMBER(SEARCH(IF(C$1&lt;&gt;"",C$1,"NA"),'MITRE ATT&amp;CK Mappings'!$F371))),ISNUMBER(SEARCH(IF(C$2&lt;&gt;"",C$2,"NA"),'MITRE ATT&amp;CK Mappings'!$G371))),ISNUMBER(SEARCH(IF(C$2&lt;&gt;"",C$2,"NA"),'MITRE ATT&amp;CK Mappings'!$H371))),ISNUMBER(SEARCH(IF(C$3&lt;&gt;"",C$3,"NA"),'MITRE ATT&amp;CK Mappings'!$I371))),ISNUMBER(SEARCH(IF(C$3&lt;&gt;"",C$3,"NA"),'MITRE ATT&amp;CK Mappings'!$J371))), 'MITRE ATT&amp;CK Mappings'!$B371,"")</f>
        <v/>
      </c>
      <c r="D375" s="27" t="str">
        <f>IF(OR(OR(OR(OR(OR(ISNUMBER(SEARCH(IF(D$1&lt;&gt;"",D$1,"NA"),'MITRE ATT&amp;CK Mappings'!$E371)),ISNUMBER(SEARCH(IF(D$1&lt;&gt;"",D$1,"NA"),'MITRE ATT&amp;CK Mappings'!$F371))),ISNUMBER(SEARCH(IF(D$2&lt;&gt;"",D$2,"NA"),'MITRE ATT&amp;CK Mappings'!$G371))),ISNUMBER(SEARCH(IF(D$2&lt;&gt;"",D$2,"NA"),'MITRE ATT&amp;CK Mappings'!$H371))),ISNUMBER(SEARCH(IF(D$3&lt;&gt;"",D$3,"NA"),'MITRE ATT&amp;CK Mappings'!$I371))),ISNUMBER(SEARCH(IF(D$3&lt;&gt;"",D$3,"NA"),'MITRE ATT&amp;CK Mappings'!$J371))), 'MITRE ATT&amp;CK Mappings'!$B371,"")</f>
        <v/>
      </c>
      <c r="E375" s="27" t="str">
        <f>IF(OR(OR(OR(OR(OR(ISNUMBER(SEARCH(IF(E$1&lt;&gt;"",E$1,"NA"),'MITRE ATT&amp;CK Mappings'!$E371)),ISNUMBER(SEARCH(IF(E$1&lt;&gt;"",E$1,"NA"),'MITRE ATT&amp;CK Mappings'!$F371))),ISNUMBER(SEARCH(IF(E$2&lt;&gt;"",E$2,"NA"),'MITRE ATT&amp;CK Mappings'!$G371))),ISNUMBER(SEARCH(IF(E$2&lt;&gt;"",E$2,"NA"),'MITRE ATT&amp;CK Mappings'!$H371))),ISNUMBER(SEARCH(IF(E$3&lt;&gt;"",E$3,"NA"),'MITRE ATT&amp;CK Mappings'!$I371))),ISNUMBER(SEARCH(IF(E$3&lt;&gt;"",E$3,"NA"),'MITRE ATT&amp;CK Mappings'!$J371))), 'MITRE ATT&amp;CK Mappings'!$B371,"")</f>
        <v/>
      </c>
      <c r="F375" s="27" t="str">
        <f>IF(OR(OR(OR(OR(OR(ISNUMBER(SEARCH(IF(F$1&lt;&gt;"",F$1,"NA"),'MITRE ATT&amp;CK Mappings'!$E371)),ISNUMBER(SEARCH(IF(F$1&lt;&gt;"",F$1,"NA"),'MITRE ATT&amp;CK Mappings'!$F371))),ISNUMBER(SEARCH(IF(F$2&lt;&gt;"",F$2,"NA"),'MITRE ATT&amp;CK Mappings'!$G371))),ISNUMBER(SEARCH(IF(F$2&lt;&gt;"",F$2,"NA"),'MITRE ATT&amp;CK Mappings'!$H371))),ISNUMBER(SEARCH(IF(F$3&lt;&gt;"",F$3,"NA"),'MITRE ATT&amp;CK Mappings'!$I371))),ISNUMBER(SEARCH(IF(F$3&lt;&gt;"",F$3,"NA"),'MITRE ATT&amp;CK Mappings'!$J371))), 'MITRE ATT&amp;CK Mappings'!$B371,"")</f>
        <v/>
      </c>
      <c r="G375" s="27" t="str">
        <f>IF(OR(OR(OR(OR(OR(ISNUMBER(SEARCH(IF(G$1&lt;&gt;"",G$1,"NA"),'MITRE ATT&amp;CK Mappings'!$E371)),ISNUMBER(SEARCH(IF(G$1&lt;&gt;"",G$1,"NA"),'MITRE ATT&amp;CK Mappings'!$F371))),ISNUMBER(SEARCH(IF(G$2&lt;&gt;"",G$2,"NA"),'MITRE ATT&amp;CK Mappings'!$G371))),ISNUMBER(SEARCH(IF(G$2&lt;&gt;"",G$2,"NA"),'MITRE ATT&amp;CK Mappings'!$H371))),ISNUMBER(SEARCH(IF(G$3&lt;&gt;"",G$3,"NA"),'MITRE ATT&amp;CK Mappings'!$I371))),ISNUMBER(SEARCH(IF(G$3&lt;&gt;"",G$3,"NA"),'MITRE ATT&amp;CK Mappings'!$J371))), 'MITRE ATT&amp;CK Mappings'!$B371,"")</f>
        <v/>
      </c>
      <c r="H375" s="27" t="str">
        <f>IF(OR(OR(OR(OR(OR(ISNUMBER(SEARCH(IF(H$1&lt;&gt;"",H$1,"NA"),'MITRE ATT&amp;CK Mappings'!$E371)),ISNUMBER(SEARCH(IF(H$1&lt;&gt;"",H$1,"NA"),'MITRE ATT&amp;CK Mappings'!$F371))),ISNUMBER(SEARCH(IF(H$2&lt;&gt;"",H$2,"NA"),'MITRE ATT&amp;CK Mappings'!$G371))),ISNUMBER(SEARCH(IF(H$2&lt;&gt;"",H$2,"NA"),'MITRE ATT&amp;CK Mappings'!$H371))),ISNUMBER(SEARCH(IF(H$3&lt;&gt;"",H$3,"NA"),'MITRE ATT&amp;CK Mappings'!$I371))),ISNUMBER(SEARCH(IF(H$3&lt;&gt;"",H$3,"NA"),'MITRE ATT&amp;CK Mappings'!$J371))), 'MITRE ATT&amp;CK Mappings'!$B371,"")</f>
        <v/>
      </c>
      <c r="I375" s="27" t="str">
        <f>IF(OR(OR(OR(OR(OR(ISNUMBER(SEARCH(IF(I$1&lt;&gt;"",I$1,"NA"),'MITRE ATT&amp;CK Mappings'!$E371)),ISNUMBER(SEARCH(IF(I$1&lt;&gt;"",I$1,"NA"),'MITRE ATT&amp;CK Mappings'!$F371))),ISNUMBER(SEARCH(IF(I$2&lt;&gt;"",I$2,"NA"),'MITRE ATT&amp;CK Mappings'!$G371))),ISNUMBER(SEARCH(IF(I$2&lt;&gt;"",I$2,"NA"),'MITRE ATT&amp;CK Mappings'!$H371))),ISNUMBER(SEARCH(IF(I$3&lt;&gt;"",I$3,"NA"),'MITRE ATT&amp;CK Mappings'!$I371))),ISNUMBER(SEARCH(IF(I$3&lt;&gt;"",I$3,"NA"),'MITRE ATT&amp;CK Mappings'!$J371))), 'MITRE ATT&amp;CK Mappings'!$B371,"")</f>
        <v/>
      </c>
      <c r="J375" s="27" t="str">
        <f>IF(OR(OR(OR(OR(OR(ISNUMBER(SEARCH(IF(J$1&lt;&gt;"",J$1,"NA"),'MITRE ATT&amp;CK Mappings'!$E371)),ISNUMBER(SEARCH(IF(J$1&lt;&gt;"",J$1,"NA"),'MITRE ATT&amp;CK Mappings'!$F371))),ISNUMBER(SEARCH(IF(J$2&lt;&gt;"",J$2,"NA"),'MITRE ATT&amp;CK Mappings'!$G371))),ISNUMBER(SEARCH(IF(J$2&lt;&gt;"",J$2,"NA"),'MITRE ATT&amp;CK Mappings'!$H371))),ISNUMBER(SEARCH(IF(J$3&lt;&gt;"",J$3,"NA"),'MITRE ATT&amp;CK Mappings'!$I371))),ISNUMBER(SEARCH(IF(J$3&lt;&gt;"",J$3,"NA"),'MITRE ATT&amp;CK Mappings'!$J371))), 'MITRE ATT&amp;CK Mappings'!$B371,"")</f>
        <v/>
      </c>
      <c r="K375" s="27" t="str">
        <f>IF(OR(OR(OR(OR(OR(ISNUMBER(SEARCH(IF(K$1&lt;&gt;"",K$1,"NA"),'MITRE ATT&amp;CK Mappings'!$E371)),ISNUMBER(SEARCH(IF(K$1&lt;&gt;"",K$1,"NA"),'MITRE ATT&amp;CK Mappings'!$F371))),ISNUMBER(SEARCH(IF(K$2&lt;&gt;"",K$2,"NA"),'MITRE ATT&amp;CK Mappings'!$G371))),ISNUMBER(SEARCH(IF(K$2&lt;&gt;"",K$2,"NA"),'MITRE ATT&amp;CK Mappings'!$H371))),ISNUMBER(SEARCH(IF(K$3&lt;&gt;"",K$3,"NA"),'MITRE ATT&amp;CK Mappings'!$I371))),ISNUMBER(SEARCH(IF(K$3&lt;&gt;"",K$3,"NA"),'MITRE ATT&amp;CK Mappings'!$J371))), 'MITRE ATT&amp;CK Mappings'!$B371,"")</f>
        <v/>
      </c>
      <c r="L375" s="27" t="str">
        <f>IF('MITRE ATT&amp;CK Mappings'!D371 &lt;&gt;"",'MITRE ATT&amp;CK Mappings'!D371,"" )</f>
        <v/>
      </c>
    </row>
    <row r="376" spans="1:12" x14ac:dyDescent="0.25">
      <c r="A376" s="26" t="str">
        <f>IF(COUNTIF(B376:K376,"="&amp;'MITRE ATT&amp;CK Mappings'!B372)&gt;0,'MITRE ATT&amp;CK Mappings'!B372,"")</f>
        <v/>
      </c>
      <c r="B376" s="26" t="str">
        <f>IF(OR(OR(OR(OR(OR(ISNUMBER(SEARCH(IF(B$1&lt;&gt;"",B$1,"NA"),'MITRE ATT&amp;CK Mappings'!$E372)),ISNUMBER(SEARCH(IF(B$1&lt;&gt;"",B$1,"NA"),'MITRE ATT&amp;CK Mappings'!$F372))),ISNUMBER(SEARCH(IF(B$2&lt;&gt;"",B$2,"NA"),'MITRE ATT&amp;CK Mappings'!$G372))),ISNUMBER(SEARCH(IF(B$2&lt;&gt;"",B$2,"NA"),'MITRE ATT&amp;CK Mappings'!$H372))),ISNUMBER(SEARCH(IF(B$3&lt;&gt;"",B$3,"NA"),'MITRE ATT&amp;CK Mappings'!$I372))),ISNUMBER(SEARCH(IF(B$3&lt;&gt;"",B$3,"NA"),'MITRE ATT&amp;CK Mappings'!$J372))), 'MITRE ATT&amp;CK Mappings'!$B372,"")</f>
        <v/>
      </c>
      <c r="C376" s="26" t="str">
        <f>IF(OR(OR(OR(OR(OR(ISNUMBER(SEARCH(IF(C$1&lt;&gt;"",C$1,"NA"),'MITRE ATT&amp;CK Mappings'!$E372)),ISNUMBER(SEARCH(IF(C$1&lt;&gt;"",C$1,"NA"),'MITRE ATT&amp;CK Mappings'!$F372))),ISNUMBER(SEARCH(IF(C$2&lt;&gt;"",C$2,"NA"),'MITRE ATT&amp;CK Mappings'!$G372))),ISNUMBER(SEARCH(IF(C$2&lt;&gt;"",C$2,"NA"),'MITRE ATT&amp;CK Mappings'!$H372))),ISNUMBER(SEARCH(IF(C$3&lt;&gt;"",C$3,"NA"),'MITRE ATT&amp;CK Mappings'!$I372))),ISNUMBER(SEARCH(IF(C$3&lt;&gt;"",C$3,"NA"),'MITRE ATT&amp;CK Mappings'!$J372))), 'MITRE ATT&amp;CK Mappings'!$B372,"")</f>
        <v/>
      </c>
      <c r="D376" s="26" t="str">
        <f>IF(OR(OR(OR(OR(OR(ISNUMBER(SEARCH(IF(D$1&lt;&gt;"",D$1,"NA"),'MITRE ATT&amp;CK Mappings'!$E372)),ISNUMBER(SEARCH(IF(D$1&lt;&gt;"",D$1,"NA"),'MITRE ATT&amp;CK Mappings'!$F372))),ISNUMBER(SEARCH(IF(D$2&lt;&gt;"",D$2,"NA"),'MITRE ATT&amp;CK Mappings'!$G372))),ISNUMBER(SEARCH(IF(D$2&lt;&gt;"",D$2,"NA"),'MITRE ATT&amp;CK Mappings'!$H372))),ISNUMBER(SEARCH(IF(D$3&lt;&gt;"",D$3,"NA"),'MITRE ATT&amp;CK Mappings'!$I372))),ISNUMBER(SEARCH(IF(D$3&lt;&gt;"",D$3,"NA"),'MITRE ATT&amp;CK Mappings'!$J372))), 'MITRE ATT&amp;CK Mappings'!$B372,"")</f>
        <v/>
      </c>
      <c r="E376" s="26" t="str">
        <f>IF(OR(OR(OR(OR(OR(ISNUMBER(SEARCH(IF(E$1&lt;&gt;"",E$1,"NA"),'MITRE ATT&amp;CK Mappings'!$E372)),ISNUMBER(SEARCH(IF(E$1&lt;&gt;"",E$1,"NA"),'MITRE ATT&amp;CK Mappings'!$F372))),ISNUMBER(SEARCH(IF(E$2&lt;&gt;"",E$2,"NA"),'MITRE ATT&amp;CK Mappings'!$G372))),ISNUMBER(SEARCH(IF(E$2&lt;&gt;"",E$2,"NA"),'MITRE ATT&amp;CK Mappings'!$H372))),ISNUMBER(SEARCH(IF(E$3&lt;&gt;"",E$3,"NA"),'MITRE ATT&amp;CK Mappings'!$I372))),ISNUMBER(SEARCH(IF(E$3&lt;&gt;"",E$3,"NA"),'MITRE ATT&amp;CK Mappings'!$J372))), 'MITRE ATT&amp;CK Mappings'!$B372,"")</f>
        <v/>
      </c>
      <c r="F376" s="26" t="str">
        <f>IF(OR(OR(OR(OR(OR(ISNUMBER(SEARCH(IF(F$1&lt;&gt;"",F$1,"NA"),'MITRE ATT&amp;CK Mappings'!$E372)),ISNUMBER(SEARCH(IF(F$1&lt;&gt;"",F$1,"NA"),'MITRE ATT&amp;CK Mappings'!$F372))),ISNUMBER(SEARCH(IF(F$2&lt;&gt;"",F$2,"NA"),'MITRE ATT&amp;CK Mappings'!$G372))),ISNUMBER(SEARCH(IF(F$2&lt;&gt;"",F$2,"NA"),'MITRE ATT&amp;CK Mappings'!$H372))),ISNUMBER(SEARCH(IF(F$3&lt;&gt;"",F$3,"NA"),'MITRE ATT&amp;CK Mappings'!$I372))),ISNUMBER(SEARCH(IF(F$3&lt;&gt;"",F$3,"NA"),'MITRE ATT&amp;CK Mappings'!$J372))), 'MITRE ATT&amp;CK Mappings'!$B372,"")</f>
        <v/>
      </c>
      <c r="G376" s="26" t="str">
        <f>IF(OR(OR(OR(OR(OR(ISNUMBER(SEARCH(IF(G$1&lt;&gt;"",G$1,"NA"),'MITRE ATT&amp;CK Mappings'!$E372)),ISNUMBER(SEARCH(IF(G$1&lt;&gt;"",G$1,"NA"),'MITRE ATT&amp;CK Mappings'!$F372))),ISNUMBER(SEARCH(IF(G$2&lt;&gt;"",G$2,"NA"),'MITRE ATT&amp;CK Mappings'!$G372))),ISNUMBER(SEARCH(IF(G$2&lt;&gt;"",G$2,"NA"),'MITRE ATT&amp;CK Mappings'!$H372))),ISNUMBER(SEARCH(IF(G$3&lt;&gt;"",G$3,"NA"),'MITRE ATT&amp;CK Mappings'!$I372))),ISNUMBER(SEARCH(IF(G$3&lt;&gt;"",G$3,"NA"),'MITRE ATT&amp;CK Mappings'!$J372))), 'MITRE ATT&amp;CK Mappings'!$B372,"")</f>
        <v/>
      </c>
      <c r="H376" s="26" t="str">
        <f>IF(OR(OR(OR(OR(OR(ISNUMBER(SEARCH(IF(H$1&lt;&gt;"",H$1,"NA"),'MITRE ATT&amp;CK Mappings'!$E372)),ISNUMBER(SEARCH(IF(H$1&lt;&gt;"",H$1,"NA"),'MITRE ATT&amp;CK Mappings'!$F372))),ISNUMBER(SEARCH(IF(H$2&lt;&gt;"",H$2,"NA"),'MITRE ATT&amp;CK Mappings'!$G372))),ISNUMBER(SEARCH(IF(H$2&lt;&gt;"",H$2,"NA"),'MITRE ATT&amp;CK Mappings'!$H372))),ISNUMBER(SEARCH(IF(H$3&lt;&gt;"",H$3,"NA"),'MITRE ATT&amp;CK Mappings'!$I372))),ISNUMBER(SEARCH(IF(H$3&lt;&gt;"",H$3,"NA"),'MITRE ATT&amp;CK Mappings'!$J372))), 'MITRE ATT&amp;CK Mappings'!$B372,"")</f>
        <v/>
      </c>
      <c r="I376" s="26" t="str">
        <f>IF(OR(OR(OR(OR(OR(ISNUMBER(SEARCH(IF(I$1&lt;&gt;"",I$1,"NA"),'MITRE ATT&amp;CK Mappings'!$E372)),ISNUMBER(SEARCH(IF(I$1&lt;&gt;"",I$1,"NA"),'MITRE ATT&amp;CK Mappings'!$F372))),ISNUMBER(SEARCH(IF(I$2&lt;&gt;"",I$2,"NA"),'MITRE ATT&amp;CK Mappings'!$G372))),ISNUMBER(SEARCH(IF(I$2&lt;&gt;"",I$2,"NA"),'MITRE ATT&amp;CK Mappings'!$H372))),ISNUMBER(SEARCH(IF(I$3&lt;&gt;"",I$3,"NA"),'MITRE ATT&amp;CK Mappings'!$I372))),ISNUMBER(SEARCH(IF(I$3&lt;&gt;"",I$3,"NA"),'MITRE ATT&amp;CK Mappings'!$J372))), 'MITRE ATT&amp;CK Mappings'!$B372,"")</f>
        <v/>
      </c>
      <c r="J376" s="26" t="str">
        <f>IF(OR(OR(OR(OR(OR(ISNUMBER(SEARCH(IF(J$1&lt;&gt;"",J$1,"NA"),'MITRE ATT&amp;CK Mappings'!$E372)),ISNUMBER(SEARCH(IF(J$1&lt;&gt;"",J$1,"NA"),'MITRE ATT&amp;CK Mappings'!$F372))),ISNUMBER(SEARCH(IF(J$2&lt;&gt;"",J$2,"NA"),'MITRE ATT&amp;CK Mappings'!$G372))),ISNUMBER(SEARCH(IF(J$2&lt;&gt;"",J$2,"NA"),'MITRE ATT&amp;CK Mappings'!$H372))),ISNUMBER(SEARCH(IF(J$3&lt;&gt;"",J$3,"NA"),'MITRE ATT&amp;CK Mappings'!$I372))),ISNUMBER(SEARCH(IF(J$3&lt;&gt;"",J$3,"NA"),'MITRE ATT&amp;CK Mappings'!$J372))), 'MITRE ATT&amp;CK Mappings'!$B372,"")</f>
        <v/>
      </c>
      <c r="K376" s="26" t="str">
        <f>IF(OR(OR(OR(OR(OR(ISNUMBER(SEARCH(IF(K$1&lt;&gt;"",K$1,"NA"),'MITRE ATT&amp;CK Mappings'!$E372)),ISNUMBER(SEARCH(IF(K$1&lt;&gt;"",K$1,"NA"),'MITRE ATT&amp;CK Mappings'!$F372))),ISNUMBER(SEARCH(IF(K$2&lt;&gt;"",K$2,"NA"),'MITRE ATT&amp;CK Mappings'!$G372))),ISNUMBER(SEARCH(IF(K$2&lt;&gt;"",K$2,"NA"),'MITRE ATT&amp;CK Mappings'!$H372))),ISNUMBER(SEARCH(IF(K$3&lt;&gt;"",K$3,"NA"),'MITRE ATT&amp;CK Mappings'!$I372))),ISNUMBER(SEARCH(IF(K$3&lt;&gt;"",K$3,"NA"),'MITRE ATT&amp;CK Mappings'!$J372))), 'MITRE ATT&amp;CK Mappings'!$B372,"")</f>
        <v/>
      </c>
      <c r="L376" s="26" t="str">
        <f>IF('MITRE ATT&amp;CK Mappings'!D372 &lt;&gt;"",'MITRE ATT&amp;CK Mappings'!D372,"" )</f>
        <v/>
      </c>
    </row>
    <row r="377" spans="1:12" x14ac:dyDescent="0.25">
      <c r="A377" s="27" t="str">
        <f>IF(COUNTIF(B377:K377,"="&amp;'MITRE ATT&amp;CK Mappings'!B373)&gt;0,'MITRE ATT&amp;CK Mappings'!B373,"")</f>
        <v/>
      </c>
      <c r="B377" s="27" t="str">
        <f>IF(OR(OR(OR(OR(OR(ISNUMBER(SEARCH(IF(B$1&lt;&gt;"",B$1,"NA"),'MITRE ATT&amp;CK Mappings'!$E373)),ISNUMBER(SEARCH(IF(B$1&lt;&gt;"",B$1,"NA"),'MITRE ATT&amp;CK Mappings'!$F373))),ISNUMBER(SEARCH(IF(B$2&lt;&gt;"",B$2,"NA"),'MITRE ATT&amp;CK Mappings'!$G373))),ISNUMBER(SEARCH(IF(B$2&lt;&gt;"",B$2,"NA"),'MITRE ATT&amp;CK Mappings'!$H373))),ISNUMBER(SEARCH(IF(B$3&lt;&gt;"",B$3,"NA"),'MITRE ATT&amp;CK Mappings'!$I373))),ISNUMBER(SEARCH(IF(B$3&lt;&gt;"",B$3,"NA"),'MITRE ATT&amp;CK Mappings'!$J373))), 'MITRE ATT&amp;CK Mappings'!$B373,"")</f>
        <v/>
      </c>
      <c r="C377" s="27" t="str">
        <f>IF(OR(OR(OR(OR(OR(ISNUMBER(SEARCH(IF(C$1&lt;&gt;"",C$1,"NA"),'MITRE ATT&amp;CK Mappings'!$E373)),ISNUMBER(SEARCH(IF(C$1&lt;&gt;"",C$1,"NA"),'MITRE ATT&amp;CK Mappings'!$F373))),ISNUMBER(SEARCH(IF(C$2&lt;&gt;"",C$2,"NA"),'MITRE ATT&amp;CK Mappings'!$G373))),ISNUMBER(SEARCH(IF(C$2&lt;&gt;"",C$2,"NA"),'MITRE ATT&amp;CK Mappings'!$H373))),ISNUMBER(SEARCH(IF(C$3&lt;&gt;"",C$3,"NA"),'MITRE ATT&amp;CK Mappings'!$I373))),ISNUMBER(SEARCH(IF(C$3&lt;&gt;"",C$3,"NA"),'MITRE ATT&amp;CK Mappings'!$J373))), 'MITRE ATT&amp;CK Mappings'!$B373,"")</f>
        <v/>
      </c>
      <c r="D377" s="27" t="str">
        <f>IF(OR(OR(OR(OR(OR(ISNUMBER(SEARCH(IF(D$1&lt;&gt;"",D$1,"NA"),'MITRE ATT&amp;CK Mappings'!$E373)),ISNUMBER(SEARCH(IF(D$1&lt;&gt;"",D$1,"NA"),'MITRE ATT&amp;CK Mappings'!$F373))),ISNUMBER(SEARCH(IF(D$2&lt;&gt;"",D$2,"NA"),'MITRE ATT&amp;CK Mappings'!$G373))),ISNUMBER(SEARCH(IF(D$2&lt;&gt;"",D$2,"NA"),'MITRE ATT&amp;CK Mappings'!$H373))),ISNUMBER(SEARCH(IF(D$3&lt;&gt;"",D$3,"NA"),'MITRE ATT&amp;CK Mappings'!$I373))),ISNUMBER(SEARCH(IF(D$3&lt;&gt;"",D$3,"NA"),'MITRE ATT&amp;CK Mappings'!$J373))), 'MITRE ATT&amp;CK Mappings'!$B373,"")</f>
        <v/>
      </c>
      <c r="E377" s="27" t="str">
        <f>IF(OR(OR(OR(OR(OR(ISNUMBER(SEARCH(IF(E$1&lt;&gt;"",E$1,"NA"),'MITRE ATT&amp;CK Mappings'!$E373)),ISNUMBER(SEARCH(IF(E$1&lt;&gt;"",E$1,"NA"),'MITRE ATT&amp;CK Mappings'!$F373))),ISNUMBER(SEARCH(IF(E$2&lt;&gt;"",E$2,"NA"),'MITRE ATT&amp;CK Mappings'!$G373))),ISNUMBER(SEARCH(IF(E$2&lt;&gt;"",E$2,"NA"),'MITRE ATT&amp;CK Mappings'!$H373))),ISNUMBER(SEARCH(IF(E$3&lt;&gt;"",E$3,"NA"),'MITRE ATT&amp;CK Mappings'!$I373))),ISNUMBER(SEARCH(IF(E$3&lt;&gt;"",E$3,"NA"),'MITRE ATT&amp;CK Mappings'!$J373))), 'MITRE ATT&amp;CK Mappings'!$B373,"")</f>
        <v/>
      </c>
      <c r="F377" s="27" t="str">
        <f>IF(OR(OR(OR(OR(OR(ISNUMBER(SEARCH(IF(F$1&lt;&gt;"",F$1,"NA"),'MITRE ATT&amp;CK Mappings'!$E373)),ISNUMBER(SEARCH(IF(F$1&lt;&gt;"",F$1,"NA"),'MITRE ATT&amp;CK Mappings'!$F373))),ISNUMBER(SEARCH(IF(F$2&lt;&gt;"",F$2,"NA"),'MITRE ATT&amp;CK Mappings'!$G373))),ISNUMBER(SEARCH(IF(F$2&lt;&gt;"",F$2,"NA"),'MITRE ATT&amp;CK Mappings'!$H373))),ISNUMBER(SEARCH(IF(F$3&lt;&gt;"",F$3,"NA"),'MITRE ATT&amp;CK Mappings'!$I373))),ISNUMBER(SEARCH(IF(F$3&lt;&gt;"",F$3,"NA"),'MITRE ATT&amp;CK Mappings'!$J373))), 'MITRE ATT&amp;CK Mappings'!$B373,"")</f>
        <v/>
      </c>
      <c r="G377" s="27" t="str">
        <f>IF(OR(OR(OR(OR(OR(ISNUMBER(SEARCH(IF(G$1&lt;&gt;"",G$1,"NA"),'MITRE ATT&amp;CK Mappings'!$E373)),ISNUMBER(SEARCH(IF(G$1&lt;&gt;"",G$1,"NA"),'MITRE ATT&amp;CK Mappings'!$F373))),ISNUMBER(SEARCH(IF(G$2&lt;&gt;"",G$2,"NA"),'MITRE ATT&amp;CK Mappings'!$G373))),ISNUMBER(SEARCH(IF(G$2&lt;&gt;"",G$2,"NA"),'MITRE ATT&amp;CK Mappings'!$H373))),ISNUMBER(SEARCH(IF(G$3&lt;&gt;"",G$3,"NA"),'MITRE ATT&amp;CK Mappings'!$I373))),ISNUMBER(SEARCH(IF(G$3&lt;&gt;"",G$3,"NA"),'MITRE ATT&amp;CK Mappings'!$J373))), 'MITRE ATT&amp;CK Mappings'!$B373,"")</f>
        <v/>
      </c>
      <c r="H377" s="27" t="str">
        <f>IF(OR(OR(OR(OR(OR(ISNUMBER(SEARCH(IF(H$1&lt;&gt;"",H$1,"NA"),'MITRE ATT&amp;CK Mappings'!$E373)),ISNUMBER(SEARCH(IF(H$1&lt;&gt;"",H$1,"NA"),'MITRE ATT&amp;CK Mappings'!$F373))),ISNUMBER(SEARCH(IF(H$2&lt;&gt;"",H$2,"NA"),'MITRE ATT&amp;CK Mappings'!$G373))),ISNUMBER(SEARCH(IF(H$2&lt;&gt;"",H$2,"NA"),'MITRE ATT&amp;CK Mappings'!$H373))),ISNUMBER(SEARCH(IF(H$3&lt;&gt;"",H$3,"NA"),'MITRE ATT&amp;CK Mappings'!$I373))),ISNUMBER(SEARCH(IF(H$3&lt;&gt;"",H$3,"NA"),'MITRE ATT&amp;CK Mappings'!$J373))), 'MITRE ATT&amp;CK Mappings'!$B373,"")</f>
        <v/>
      </c>
      <c r="I377" s="27" t="str">
        <f>IF(OR(OR(OR(OR(OR(ISNUMBER(SEARCH(IF(I$1&lt;&gt;"",I$1,"NA"),'MITRE ATT&amp;CK Mappings'!$E373)),ISNUMBER(SEARCH(IF(I$1&lt;&gt;"",I$1,"NA"),'MITRE ATT&amp;CK Mappings'!$F373))),ISNUMBER(SEARCH(IF(I$2&lt;&gt;"",I$2,"NA"),'MITRE ATT&amp;CK Mappings'!$G373))),ISNUMBER(SEARCH(IF(I$2&lt;&gt;"",I$2,"NA"),'MITRE ATT&amp;CK Mappings'!$H373))),ISNUMBER(SEARCH(IF(I$3&lt;&gt;"",I$3,"NA"),'MITRE ATT&amp;CK Mappings'!$I373))),ISNUMBER(SEARCH(IF(I$3&lt;&gt;"",I$3,"NA"),'MITRE ATT&amp;CK Mappings'!$J373))), 'MITRE ATT&amp;CK Mappings'!$B373,"")</f>
        <v/>
      </c>
      <c r="J377" s="27" t="str">
        <f>IF(OR(OR(OR(OR(OR(ISNUMBER(SEARCH(IF(J$1&lt;&gt;"",J$1,"NA"),'MITRE ATT&amp;CK Mappings'!$E373)),ISNUMBER(SEARCH(IF(J$1&lt;&gt;"",J$1,"NA"),'MITRE ATT&amp;CK Mappings'!$F373))),ISNUMBER(SEARCH(IF(J$2&lt;&gt;"",J$2,"NA"),'MITRE ATT&amp;CK Mappings'!$G373))),ISNUMBER(SEARCH(IF(J$2&lt;&gt;"",J$2,"NA"),'MITRE ATT&amp;CK Mappings'!$H373))),ISNUMBER(SEARCH(IF(J$3&lt;&gt;"",J$3,"NA"),'MITRE ATT&amp;CK Mappings'!$I373))),ISNUMBER(SEARCH(IF(J$3&lt;&gt;"",J$3,"NA"),'MITRE ATT&amp;CK Mappings'!$J373))), 'MITRE ATT&amp;CK Mappings'!$B373,"")</f>
        <v/>
      </c>
      <c r="K377" s="27" t="str">
        <f>IF(OR(OR(OR(OR(OR(ISNUMBER(SEARCH(IF(K$1&lt;&gt;"",K$1,"NA"),'MITRE ATT&amp;CK Mappings'!$E373)),ISNUMBER(SEARCH(IF(K$1&lt;&gt;"",K$1,"NA"),'MITRE ATT&amp;CK Mappings'!$F373))),ISNUMBER(SEARCH(IF(K$2&lt;&gt;"",K$2,"NA"),'MITRE ATT&amp;CK Mappings'!$G373))),ISNUMBER(SEARCH(IF(K$2&lt;&gt;"",K$2,"NA"),'MITRE ATT&amp;CK Mappings'!$H373))),ISNUMBER(SEARCH(IF(K$3&lt;&gt;"",K$3,"NA"),'MITRE ATT&amp;CK Mappings'!$I373))),ISNUMBER(SEARCH(IF(K$3&lt;&gt;"",K$3,"NA"),'MITRE ATT&amp;CK Mappings'!$J373))), 'MITRE ATT&amp;CK Mappings'!$B373,"")</f>
        <v/>
      </c>
      <c r="L377" s="27" t="str">
        <f>IF('MITRE ATT&amp;CK Mappings'!D373 &lt;&gt;"",'MITRE ATT&amp;CK Mappings'!D373,"" )</f>
        <v/>
      </c>
    </row>
    <row r="378" spans="1:12" x14ac:dyDescent="0.25">
      <c r="A378" s="26" t="str">
        <f>IF(COUNTIF(B378:K378,"="&amp;'MITRE ATT&amp;CK Mappings'!B374)&gt;0,'MITRE ATT&amp;CK Mappings'!B374,"")</f>
        <v/>
      </c>
      <c r="B378" s="26" t="str">
        <f>IF(OR(OR(OR(OR(OR(ISNUMBER(SEARCH(IF(B$1&lt;&gt;"",B$1,"NA"),'MITRE ATT&amp;CK Mappings'!$E374)),ISNUMBER(SEARCH(IF(B$1&lt;&gt;"",B$1,"NA"),'MITRE ATT&amp;CK Mappings'!$F374))),ISNUMBER(SEARCH(IF(B$2&lt;&gt;"",B$2,"NA"),'MITRE ATT&amp;CK Mappings'!$G374))),ISNUMBER(SEARCH(IF(B$2&lt;&gt;"",B$2,"NA"),'MITRE ATT&amp;CK Mappings'!$H374))),ISNUMBER(SEARCH(IF(B$3&lt;&gt;"",B$3,"NA"),'MITRE ATT&amp;CK Mappings'!$I374))),ISNUMBER(SEARCH(IF(B$3&lt;&gt;"",B$3,"NA"),'MITRE ATT&amp;CK Mappings'!$J374))), 'MITRE ATT&amp;CK Mappings'!$B374,"")</f>
        <v/>
      </c>
      <c r="C378" s="26" t="str">
        <f>IF(OR(OR(OR(OR(OR(ISNUMBER(SEARCH(IF(C$1&lt;&gt;"",C$1,"NA"),'MITRE ATT&amp;CK Mappings'!$E374)),ISNUMBER(SEARCH(IF(C$1&lt;&gt;"",C$1,"NA"),'MITRE ATT&amp;CK Mappings'!$F374))),ISNUMBER(SEARCH(IF(C$2&lt;&gt;"",C$2,"NA"),'MITRE ATT&amp;CK Mappings'!$G374))),ISNUMBER(SEARCH(IF(C$2&lt;&gt;"",C$2,"NA"),'MITRE ATT&amp;CK Mappings'!$H374))),ISNUMBER(SEARCH(IF(C$3&lt;&gt;"",C$3,"NA"),'MITRE ATT&amp;CK Mappings'!$I374))),ISNUMBER(SEARCH(IF(C$3&lt;&gt;"",C$3,"NA"),'MITRE ATT&amp;CK Mappings'!$J374))), 'MITRE ATT&amp;CK Mappings'!$B374,"")</f>
        <v/>
      </c>
      <c r="D378" s="26" t="str">
        <f>IF(OR(OR(OR(OR(OR(ISNUMBER(SEARCH(IF(D$1&lt;&gt;"",D$1,"NA"),'MITRE ATT&amp;CK Mappings'!$E374)),ISNUMBER(SEARCH(IF(D$1&lt;&gt;"",D$1,"NA"),'MITRE ATT&amp;CK Mappings'!$F374))),ISNUMBER(SEARCH(IF(D$2&lt;&gt;"",D$2,"NA"),'MITRE ATT&amp;CK Mappings'!$G374))),ISNUMBER(SEARCH(IF(D$2&lt;&gt;"",D$2,"NA"),'MITRE ATT&amp;CK Mappings'!$H374))),ISNUMBER(SEARCH(IF(D$3&lt;&gt;"",D$3,"NA"),'MITRE ATT&amp;CK Mappings'!$I374))),ISNUMBER(SEARCH(IF(D$3&lt;&gt;"",D$3,"NA"),'MITRE ATT&amp;CK Mappings'!$J374))), 'MITRE ATT&amp;CK Mappings'!$B374,"")</f>
        <v/>
      </c>
      <c r="E378" s="26" t="str">
        <f>IF(OR(OR(OR(OR(OR(ISNUMBER(SEARCH(IF(E$1&lt;&gt;"",E$1,"NA"),'MITRE ATT&amp;CK Mappings'!$E374)),ISNUMBER(SEARCH(IF(E$1&lt;&gt;"",E$1,"NA"),'MITRE ATT&amp;CK Mappings'!$F374))),ISNUMBER(SEARCH(IF(E$2&lt;&gt;"",E$2,"NA"),'MITRE ATT&amp;CK Mappings'!$G374))),ISNUMBER(SEARCH(IF(E$2&lt;&gt;"",E$2,"NA"),'MITRE ATT&amp;CK Mappings'!$H374))),ISNUMBER(SEARCH(IF(E$3&lt;&gt;"",E$3,"NA"),'MITRE ATT&amp;CK Mappings'!$I374))),ISNUMBER(SEARCH(IF(E$3&lt;&gt;"",E$3,"NA"),'MITRE ATT&amp;CK Mappings'!$J374))), 'MITRE ATT&amp;CK Mappings'!$B374,"")</f>
        <v/>
      </c>
      <c r="F378" s="26" t="str">
        <f>IF(OR(OR(OR(OR(OR(ISNUMBER(SEARCH(IF(F$1&lt;&gt;"",F$1,"NA"),'MITRE ATT&amp;CK Mappings'!$E374)),ISNUMBER(SEARCH(IF(F$1&lt;&gt;"",F$1,"NA"),'MITRE ATT&amp;CK Mappings'!$F374))),ISNUMBER(SEARCH(IF(F$2&lt;&gt;"",F$2,"NA"),'MITRE ATT&amp;CK Mappings'!$G374))),ISNUMBER(SEARCH(IF(F$2&lt;&gt;"",F$2,"NA"),'MITRE ATT&amp;CK Mappings'!$H374))),ISNUMBER(SEARCH(IF(F$3&lt;&gt;"",F$3,"NA"),'MITRE ATT&amp;CK Mappings'!$I374))),ISNUMBER(SEARCH(IF(F$3&lt;&gt;"",F$3,"NA"),'MITRE ATT&amp;CK Mappings'!$J374))), 'MITRE ATT&amp;CK Mappings'!$B374,"")</f>
        <v/>
      </c>
      <c r="G378" s="26" t="str">
        <f>IF(OR(OR(OR(OR(OR(ISNUMBER(SEARCH(IF(G$1&lt;&gt;"",G$1,"NA"),'MITRE ATT&amp;CK Mappings'!$E374)),ISNUMBER(SEARCH(IF(G$1&lt;&gt;"",G$1,"NA"),'MITRE ATT&amp;CK Mappings'!$F374))),ISNUMBER(SEARCH(IF(G$2&lt;&gt;"",G$2,"NA"),'MITRE ATT&amp;CK Mappings'!$G374))),ISNUMBER(SEARCH(IF(G$2&lt;&gt;"",G$2,"NA"),'MITRE ATT&amp;CK Mappings'!$H374))),ISNUMBER(SEARCH(IF(G$3&lt;&gt;"",G$3,"NA"),'MITRE ATT&amp;CK Mappings'!$I374))),ISNUMBER(SEARCH(IF(G$3&lt;&gt;"",G$3,"NA"),'MITRE ATT&amp;CK Mappings'!$J374))), 'MITRE ATT&amp;CK Mappings'!$B374,"")</f>
        <v/>
      </c>
      <c r="H378" s="26" t="str">
        <f>IF(OR(OR(OR(OR(OR(ISNUMBER(SEARCH(IF(H$1&lt;&gt;"",H$1,"NA"),'MITRE ATT&amp;CK Mappings'!$E374)),ISNUMBER(SEARCH(IF(H$1&lt;&gt;"",H$1,"NA"),'MITRE ATT&amp;CK Mappings'!$F374))),ISNUMBER(SEARCH(IF(H$2&lt;&gt;"",H$2,"NA"),'MITRE ATT&amp;CK Mappings'!$G374))),ISNUMBER(SEARCH(IF(H$2&lt;&gt;"",H$2,"NA"),'MITRE ATT&amp;CK Mappings'!$H374))),ISNUMBER(SEARCH(IF(H$3&lt;&gt;"",H$3,"NA"),'MITRE ATT&amp;CK Mappings'!$I374))),ISNUMBER(SEARCH(IF(H$3&lt;&gt;"",H$3,"NA"),'MITRE ATT&amp;CK Mappings'!$J374))), 'MITRE ATT&amp;CK Mappings'!$B374,"")</f>
        <v/>
      </c>
      <c r="I378" s="26" t="str">
        <f>IF(OR(OR(OR(OR(OR(ISNUMBER(SEARCH(IF(I$1&lt;&gt;"",I$1,"NA"),'MITRE ATT&amp;CK Mappings'!$E374)),ISNUMBER(SEARCH(IF(I$1&lt;&gt;"",I$1,"NA"),'MITRE ATT&amp;CK Mappings'!$F374))),ISNUMBER(SEARCH(IF(I$2&lt;&gt;"",I$2,"NA"),'MITRE ATT&amp;CK Mappings'!$G374))),ISNUMBER(SEARCH(IF(I$2&lt;&gt;"",I$2,"NA"),'MITRE ATT&amp;CK Mappings'!$H374))),ISNUMBER(SEARCH(IF(I$3&lt;&gt;"",I$3,"NA"),'MITRE ATT&amp;CK Mappings'!$I374))),ISNUMBER(SEARCH(IF(I$3&lt;&gt;"",I$3,"NA"),'MITRE ATT&amp;CK Mappings'!$J374))), 'MITRE ATT&amp;CK Mappings'!$B374,"")</f>
        <v/>
      </c>
      <c r="J378" s="26" t="str">
        <f>IF(OR(OR(OR(OR(OR(ISNUMBER(SEARCH(IF(J$1&lt;&gt;"",J$1,"NA"),'MITRE ATT&amp;CK Mappings'!$E374)),ISNUMBER(SEARCH(IF(J$1&lt;&gt;"",J$1,"NA"),'MITRE ATT&amp;CK Mappings'!$F374))),ISNUMBER(SEARCH(IF(J$2&lt;&gt;"",J$2,"NA"),'MITRE ATT&amp;CK Mappings'!$G374))),ISNUMBER(SEARCH(IF(J$2&lt;&gt;"",J$2,"NA"),'MITRE ATT&amp;CK Mappings'!$H374))),ISNUMBER(SEARCH(IF(J$3&lt;&gt;"",J$3,"NA"),'MITRE ATT&amp;CK Mappings'!$I374))),ISNUMBER(SEARCH(IF(J$3&lt;&gt;"",J$3,"NA"),'MITRE ATT&amp;CK Mappings'!$J374))), 'MITRE ATT&amp;CK Mappings'!$B374,"")</f>
        <v/>
      </c>
      <c r="K378" s="26" t="str">
        <f>IF(OR(OR(OR(OR(OR(ISNUMBER(SEARCH(IF(K$1&lt;&gt;"",K$1,"NA"),'MITRE ATT&amp;CK Mappings'!$E374)),ISNUMBER(SEARCH(IF(K$1&lt;&gt;"",K$1,"NA"),'MITRE ATT&amp;CK Mappings'!$F374))),ISNUMBER(SEARCH(IF(K$2&lt;&gt;"",K$2,"NA"),'MITRE ATT&amp;CK Mappings'!$G374))),ISNUMBER(SEARCH(IF(K$2&lt;&gt;"",K$2,"NA"),'MITRE ATT&amp;CK Mappings'!$H374))),ISNUMBER(SEARCH(IF(K$3&lt;&gt;"",K$3,"NA"),'MITRE ATT&amp;CK Mappings'!$I374))),ISNUMBER(SEARCH(IF(K$3&lt;&gt;"",K$3,"NA"),'MITRE ATT&amp;CK Mappings'!$J374))), 'MITRE ATT&amp;CK Mappings'!$B374,"")</f>
        <v/>
      </c>
      <c r="L378" s="26" t="str">
        <f>IF('MITRE ATT&amp;CK Mappings'!D374 &lt;&gt;"",'MITRE ATT&amp;CK Mappings'!D374,"" )</f>
        <v/>
      </c>
    </row>
    <row r="379" spans="1:12" x14ac:dyDescent="0.25">
      <c r="A379" s="27" t="str">
        <f>IF(COUNTIF(B379:K379,"="&amp;'MITRE ATT&amp;CK Mappings'!B375)&gt;0,'MITRE ATT&amp;CK Mappings'!B375,"")</f>
        <v/>
      </c>
      <c r="B379" s="27" t="str">
        <f>IF(OR(OR(OR(OR(OR(ISNUMBER(SEARCH(IF(B$1&lt;&gt;"",B$1,"NA"),'MITRE ATT&amp;CK Mappings'!$E375)),ISNUMBER(SEARCH(IF(B$1&lt;&gt;"",B$1,"NA"),'MITRE ATT&amp;CK Mappings'!$F375))),ISNUMBER(SEARCH(IF(B$2&lt;&gt;"",B$2,"NA"),'MITRE ATT&amp;CK Mappings'!$G375))),ISNUMBER(SEARCH(IF(B$2&lt;&gt;"",B$2,"NA"),'MITRE ATT&amp;CK Mappings'!$H375))),ISNUMBER(SEARCH(IF(B$3&lt;&gt;"",B$3,"NA"),'MITRE ATT&amp;CK Mappings'!$I375))),ISNUMBER(SEARCH(IF(B$3&lt;&gt;"",B$3,"NA"),'MITRE ATT&amp;CK Mappings'!$J375))), 'MITRE ATT&amp;CK Mappings'!$B375,"")</f>
        <v/>
      </c>
      <c r="C379" s="27" t="str">
        <f>IF(OR(OR(OR(OR(OR(ISNUMBER(SEARCH(IF(C$1&lt;&gt;"",C$1,"NA"),'MITRE ATT&amp;CK Mappings'!$E375)),ISNUMBER(SEARCH(IF(C$1&lt;&gt;"",C$1,"NA"),'MITRE ATT&amp;CK Mappings'!$F375))),ISNUMBER(SEARCH(IF(C$2&lt;&gt;"",C$2,"NA"),'MITRE ATT&amp;CK Mappings'!$G375))),ISNUMBER(SEARCH(IF(C$2&lt;&gt;"",C$2,"NA"),'MITRE ATT&amp;CK Mappings'!$H375))),ISNUMBER(SEARCH(IF(C$3&lt;&gt;"",C$3,"NA"),'MITRE ATT&amp;CK Mappings'!$I375))),ISNUMBER(SEARCH(IF(C$3&lt;&gt;"",C$3,"NA"),'MITRE ATT&amp;CK Mappings'!$J375))), 'MITRE ATT&amp;CK Mappings'!$B375,"")</f>
        <v/>
      </c>
      <c r="D379" s="27" t="str">
        <f>IF(OR(OR(OR(OR(OR(ISNUMBER(SEARCH(IF(D$1&lt;&gt;"",D$1,"NA"),'MITRE ATT&amp;CK Mappings'!$E375)),ISNUMBER(SEARCH(IF(D$1&lt;&gt;"",D$1,"NA"),'MITRE ATT&amp;CK Mappings'!$F375))),ISNUMBER(SEARCH(IF(D$2&lt;&gt;"",D$2,"NA"),'MITRE ATT&amp;CK Mappings'!$G375))),ISNUMBER(SEARCH(IF(D$2&lt;&gt;"",D$2,"NA"),'MITRE ATT&amp;CK Mappings'!$H375))),ISNUMBER(SEARCH(IF(D$3&lt;&gt;"",D$3,"NA"),'MITRE ATT&amp;CK Mappings'!$I375))),ISNUMBER(SEARCH(IF(D$3&lt;&gt;"",D$3,"NA"),'MITRE ATT&amp;CK Mappings'!$J375))), 'MITRE ATT&amp;CK Mappings'!$B375,"")</f>
        <v/>
      </c>
      <c r="E379" s="27" t="str">
        <f>IF(OR(OR(OR(OR(OR(ISNUMBER(SEARCH(IF(E$1&lt;&gt;"",E$1,"NA"),'MITRE ATT&amp;CK Mappings'!$E375)),ISNUMBER(SEARCH(IF(E$1&lt;&gt;"",E$1,"NA"),'MITRE ATT&amp;CK Mappings'!$F375))),ISNUMBER(SEARCH(IF(E$2&lt;&gt;"",E$2,"NA"),'MITRE ATT&amp;CK Mappings'!$G375))),ISNUMBER(SEARCH(IF(E$2&lt;&gt;"",E$2,"NA"),'MITRE ATT&amp;CK Mappings'!$H375))),ISNUMBER(SEARCH(IF(E$3&lt;&gt;"",E$3,"NA"),'MITRE ATT&amp;CK Mappings'!$I375))),ISNUMBER(SEARCH(IF(E$3&lt;&gt;"",E$3,"NA"),'MITRE ATT&amp;CK Mappings'!$J375))), 'MITRE ATT&amp;CK Mappings'!$B375,"")</f>
        <v/>
      </c>
      <c r="F379" s="27" t="str">
        <f>IF(OR(OR(OR(OR(OR(ISNUMBER(SEARCH(IF(F$1&lt;&gt;"",F$1,"NA"),'MITRE ATT&amp;CK Mappings'!$E375)),ISNUMBER(SEARCH(IF(F$1&lt;&gt;"",F$1,"NA"),'MITRE ATT&amp;CK Mappings'!$F375))),ISNUMBER(SEARCH(IF(F$2&lt;&gt;"",F$2,"NA"),'MITRE ATT&amp;CK Mappings'!$G375))),ISNUMBER(SEARCH(IF(F$2&lt;&gt;"",F$2,"NA"),'MITRE ATT&amp;CK Mappings'!$H375))),ISNUMBER(SEARCH(IF(F$3&lt;&gt;"",F$3,"NA"),'MITRE ATT&amp;CK Mappings'!$I375))),ISNUMBER(SEARCH(IF(F$3&lt;&gt;"",F$3,"NA"),'MITRE ATT&amp;CK Mappings'!$J375))), 'MITRE ATT&amp;CK Mappings'!$B375,"")</f>
        <v/>
      </c>
      <c r="G379" s="27" t="str">
        <f>IF(OR(OR(OR(OR(OR(ISNUMBER(SEARCH(IF(G$1&lt;&gt;"",G$1,"NA"),'MITRE ATT&amp;CK Mappings'!$E375)),ISNUMBER(SEARCH(IF(G$1&lt;&gt;"",G$1,"NA"),'MITRE ATT&amp;CK Mappings'!$F375))),ISNUMBER(SEARCH(IF(G$2&lt;&gt;"",G$2,"NA"),'MITRE ATT&amp;CK Mappings'!$G375))),ISNUMBER(SEARCH(IF(G$2&lt;&gt;"",G$2,"NA"),'MITRE ATT&amp;CK Mappings'!$H375))),ISNUMBER(SEARCH(IF(G$3&lt;&gt;"",G$3,"NA"),'MITRE ATT&amp;CK Mappings'!$I375))),ISNUMBER(SEARCH(IF(G$3&lt;&gt;"",G$3,"NA"),'MITRE ATT&amp;CK Mappings'!$J375))), 'MITRE ATT&amp;CK Mappings'!$B375,"")</f>
        <v/>
      </c>
      <c r="H379" s="27" t="str">
        <f>IF(OR(OR(OR(OR(OR(ISNUMBER(SEARCH(IF(H$1&lt;&gt;"",H$1,"NA"),'MITRE ATT&amp;CK Mappings'!$E375)),ISNUMBER(SEARCH(IF(H$1&lt;&gt;"",H$1,"NA"),'MITRE ATT&amp;CK Mappings'!$F375))),ISNUMBER(SEARCH(IF(H$2&lt;&gt;"",H$2,"NA"),'MITRE ATT&amp;CK Mappings'!$G375))),ISNUMBER(SEARCH(IF(H$2&lt;&gt;"",H$2,"NA"),'MITRE ATT&amp;CK Mappings'!$H375))),ISNUMBER(SEARCH(IF(H$3&lt;&gt;"",H$3,"NA"),'MITRE ATT&amp;CK Mappings'!$I375))),ISNUMBER(SEARCH(IF(H$3&lt;&gt;"",H$3,"NA"),'MITRE ATT&amp;CK Mappings'!$J375))), 'MITRE ATT&amp;CK Mappings'!$B375,"")</f>
        <v/>
      </c>
      <c r="I379" s="27" t="str">
        <f>IF(OR(OR(OR(OR(OR(ISNUMBER(SEARCH(IF(I$1&lt;&gt;"",I$1,"NA"),'MITRE ATT&amp;CK Mappings'!$E375)),ISNUMBER(SEARCH(IF(I$1&lt;&gt;"",I$1,"NA"),'MITRE ATT&amp;CK Mappings'!$F375))),ISNUMBER(SEARCH(IF(I$2&lt;&gt;"",I$2,"NA"),'MITRE ATT&amp;CK Mappings'!$G375))),ISNUMBER(SEARCH(IF(I$2&lt;&gt;"",I$2,"NA"),'MITRE ATT&amp;CK Mappings'!$H375))),ISNUMBER(SEARCH(IF(I$3&lt;&gt;"",I$3,"NA"),'MITRE ATT&amp;CK Mappings'!$I375))),ISNUMBER(SEARCH(IF(I$3&lt;&gt;"",I$3,"NA"),'MITRE ATT&amp;CK Mappings'!$J375))), 'MITRE ATT&amp;CK Mappings'!$B375,"")</f>
        <v/>
      </c>
      <c r="J379" s="27" t="str">
        <f>IF(OR(OR(OR(OR(OR(ISNUMBER(SEARCH(IF(J$1&lt;&gt;"",J$1,"NA"),'MITRE ATT&amp;CK Mappings'!$E375)),ISNUMBER(SEARCH(IF(J$1&lt;&gt;"",J$1,"NA"),'MITRE ATT&amp;CK Mappings'!$F375))),ISNUMBER(SEARCH(IF(J$2&lt;&gt;"",J$2,"NA"),'MITRE ATT&amp;CK Mappings'!$G375))),ISNUMBER(SEARCH(IF(J$2&lt;&gt;"",J$2,"NA"),'MITRE ATT&amp;CK Mappings'!$H375))),ISNUMBER(SEARCH(IF(J$3&lt;&gt;"",J$3,"NA"),'MITRE ATT&amp;CK Mappings'!$I375))),ISNUMBER(SEARCH(IF(J$3&lt;&gt;"",J$3,"NA"),'MITRE ATT&amp;CK Mappings'!$J375))), 'MITRE ATT&amp;CK Mappings'!$B375,"")</f>
        <v/>
      </c>
      <c r="K379" s="27" t="str">
        <f>IF(OR(OR(OR(OR(OR(ISNUMBER(SEARCH(IF(K$1&lt;&gt;"",K$1,"NA"),'MITRE ATT&amp;CK Mappings'!$E375)),ISNUMBER(SEARCH(IF(K$1&lt;&gt;"",K$1,"NA"),'MITRE ATT&amp;CK Mappings'!$F375))),ISNUMBER(SEARCH(IF(K$2&lt;&gt;"",K$2,"NA"),'MITRE ATT&amp;CK Mappings'!$G375))),ISNUMBER(SEARCH(IF(K$2&lt;&gt;"",K$2,"NA"),'MITRE ATT&amp;CK Mappings'!$H375))),ISNUMBER(SEARCH(IF(K$3&lt;&gt;"",K$3,"NA"),'MITRE ATT&amp;CK Mappings'!$I375))),ISNUMBER(SEARCH(IF(K$3&lt;&gt;"",K$3,"NA"),'MITRE ATT&amp;CK Mappings'!$J375))), 'MITRE ATT&amp;CK Mappings'!$B375,"")</f>
        <v/>
      </c>
      <c r="L379" s="27" t="str">
        <f>IF('MITRE ATT&amp;CK Mappings'!D375 &lt;&gt;"",'MITRE ATT&amp;CK Mappings'!D375,"" )</f>
        <v/>
      </c>
    </row>
    <row r="380" spans="1:12" x14ac:dyDescent="0.25">
      <c r="A380" s="26" t="str">
        <f>IF(COUNTIF(B380:K380,"="&amp;'MITRE ATT&amp;CK Mappings'!B376)&gt;0,'MITRE ATT&amp;CK Mappings'!B376,"")</f>
        <v/>
      </c>
      <c r="B380" s="26" t="str">
        <f>IF(OR(OR(OR(OR(OR(ISNUMBER(SEARCH(IF(B$1&lt;&gt;"",B$1,"NA"),'MITRE ATT&amp;CK Mappings'!$E376)),ISNUMBER(SEARCH(IF(B$1&lt;&gt;"",B$1,"NA"),'MITRE ATT&amp;CK Mappings'!$F376))),ISNUMBER(SEARCH(IF(B$2&lt;&gt;"",B$2,"NA"),'MITRE ATT&amp;CK Mappings'!$G376))),ISNUMBER(SEARCH(IF(B$2&lt;&gt;"",B$2,"NA"),'MITRE ATT&amp;CK Mappings'!$H376))),ISNUMBER(SEARCH(IF(B$3&lt;&gt;"",B$3,"NA"),'MITRE ATT&amp;CK Mappings'!$I376))),ISNUMBER(SEARCH(IF(B$3&lt;&gt;"",B$3,"NA"),'MITRE ATT&amp;CK Mappings'!$J376))), 'MITRE ATT&amp;CK Mappings'!$B376,"")</f>
        <v/>
      </c>
      <c r="C380" s="26" t="str">
        <f>IF(OR(OR(OR(OR(OR(ISNUMBER(SEARCH(IF(C$1&lt;&gt;"",C$1,"NA"),'MITRE ATT&amp;CK Mappings'!$E376)),ISNUMBER(SEARCH(IF(C$1&lt;&gt;"",C$1,"NA"),'MITRE ATT&amp;CK Mappings'!$F376))),ISNUMBER(SEARCH(IF(C$2&lt;&gt;"",C$2,"NA"),'MITRE ATT&amp;CK Mappings'!$G376))),ISNUMBER(SEARCH(IF(C$2&lt;&gt;"",C$2,"NA"),'MITRE ATT&amp;CK Mappings'!$H376))),ISNUMBER(SEARCH(IF(C$3&lt;&gt;"",C$3,"NA"),'MITRE ATT&amp;CK Mappings'!$I376))),ISNUMBER(SEARCH(IF(C$3&lt;&gt;"",C$3,"NA"),'MITRE ATT&amp;CK Mappings'!$J376))), 'MITRE ATT&amp;CK Mappings'!$B376,"")</f>
        <v/>
      </c>
      <c r="D380" s="26" t="str">
        <f>IF(OR(OR(OR(OR(OR(ISNUMBER(SEARCH(IF(D$1&lt;&gt;"",D$1,"NA"),'MITRE ATT&amp;CK Mappings'!$E376)),ISNUMBER(SEARCH(IF(D$1&lt;&gt;"",D$1,"NA"),'MITRE ATT&amp;CK Mappings'!$F376))),ISNUMBER(SEARCH(IF(D$2&lt;&gt;"",D$2,"NA"),'MITRE ATT&amp;CK Mappings'!$G376))),ISNUMBER(SEARCH(IF(D$2&lt;&gt;"",D$2,"NA"),'MITRE ATT&amp;CK Mappings'!$H376))),ISNUMBER(SEARCH(IF(D$3&lt;&gt;"",D$3,"NA"),'MITRE ATT&amp;CK Mappings'!$I376))),ISNUMBER(SEARCH(IF(D$3&lt;&gt;"",D$3,"NA"),'MITRE ATT&amp;CK Mappings'!$J376))), 'MITRE ATT&amp;CK Mappings'!$B376,"")</f>
        <v/>
      </c>
      <c r="E380" s="26" t="str">
        <f>IF(OR(OR(OR(OR(OR(ISNUMBER(SEARCH(IF(E$1&lt;&gt;"",E$1,"NA"),'MITRE ATT&amp;CK Mappings'!$E376)),ISNUMBER(SEARCH(IF(E$1&lt;&gt;"",E$1,"NA"),'MITRE ATT&amp;CK Mappings'!$F376))),ISNUMBER(SEARCH(IF(E$2&lt;&gt;"",E$2,"NA"),'MITRE ATT&amp;CK Mappings'!$G376))),ISNUMBER(SEARCH(IF(E$2&lt;&gt;"",E$2,"NA"),'MITRE ATT&amp;CK Mappings'!$H376))),ISNUMBER(SEARCH(IF(E$3&lt;&gt;"",E$3,"NA"),'MITRE ATT&amp;CK Mappings'!$I376))),ISNUMBER(SEARCH(IF(E$3&lt;&gt;"",E$3,"NA"),'MITRE ATT&amp;CK Mappings'!$J376))), 'MITRE ATT&amp;CK Mappings'!$B376,"")</f>
        <v/>
      </c>
      <c r="F380" s="26" t="str">
        <f>IF(OR(OR(OR(OR(OR(ISNUMBER(SEARCH(IF(F$1&lt;&gt;"",F$1,"NA"),'MITRE ATT&amp;CK Mappings'!$E376)),ISNUMBER(SEARCH(IF(F$1&lt;&gt;"",F$1,"NA"),'MITRE ATT&amp;CK Mappings'!$F376))),ISNUMBER(SEARCH(IF(F$2&lt;&gt;"",F$2,"NA"),'MITRE ATT&amp;CK Mappings'!$G376))),ISNUMBER(SEARCH(IF(F$2&lt;&gt;"",F$2,"NA"),'MITRE ATT&amp;CK Mappings'!$H376))),ISNUMBER(SEARCH(IF(F$3&lt;&gt;"",F$3,"NA"),'MITRE ATT&amp;CK Mappings'!$I376))),ISNUMBER(SEARCH(IF(F$3&lt;&gt;"",F$3,"NA"),'MITRE ATT&amp;CK Mappings'!$J376))), 'MITRE ATT&amp;CK Mappings'!$B376,"")</f>
        <v/>
      </c>
      <c r="G380" s="26" t="str">
        <f>IF(OR(OR(OR(OR(OR(ISNUMBER(SEARCH(IF(G$1&lt;&gt;"",G$1,"NA"),'MITRE ATT&amp;CK Mappings'!$E376)),ISNUMBER(SEARCH(IF(G$1&lt;&gt;"",G$1,"NA"),'MITRE ATT&amp;CK Mappings'!$F376))),ISNUMBER(SEARCH(IF(G$2&lt;&gt;"",G$2,"NA"),'MITRE ATT&amp;CK Mappings'!$G376))),ISNUMBER(SEARCH(IF(G$2&lt;&gt;"",G$2,"NA"),'MITRE ATT&amp;CK Mappings'!$H376))),ISNUMBER(SEARCH(IF(G$3&lt;&gt;"",G$3,"NA"),'MITRE ATT&amp;CK Mappings'!$I376))),ISNUMBER(SEARCH(IF(G$3&lt;&gt;"",G$3,"NA"),'MITRE ATT&amp;CK Mappings'!$J376))), 'MITRE ATT&amp;CK Mappings'!$B376,"")</f>
        <v/>
      </c>
      <c r="H380" s="26" t="str">
        <f>IF(OR(OR(OR(OR(OR(ISNUMBER(SEARCH(IF(H$1&lt;&gt;"",H$1,"NA"),'MITRE ATT&amp;CK Mappings'!$E376)),ISNUMBER(SEARCH(IF(H$1&lt;&gt;"",H$1,"NA"),'MITRE ATT&amp;CK Mappings'!$F376))),ISNUMBER(SEARCH(IF(H$2&lt;&gt;"",H$2,"NA"),'MITRE ATT&amp;CK Mappings'!$G376))),ISNUMBER(SEARCH(IF(H$2&lt;&gt;"",H$2,"NA"),'MITRE ATT&amp;CK Mappings'!$H376))),ISNUMBER(SEARCH(IF(H$3&lt;&gt;"",H$3,"NA"),'MITRE ATT&amp;CK Mappings'!$I376))),ISNUMBER(SEARCH(IF(H$3&lt;&gt;"",H$3,"NA"),'MITRE ATT&amp;CK Mappings'!$J376))), 'MITRE ATT&amp;CK Mappings'!$B376,"")</f>
        <v/>
      </c>
      <c r="I380" s="26" t="str">
        <f>IF(OR(OR(OR(OR(OR(ISNUMBER(SEARCH(IF(I$1&lt;&gt;"",I$1,"NA"),'MITRE ATT&amp;CK Mappings'!$E376)),ISNUMBER(SEARCH(IF(I$1&lt;&gt;"",I$1,"NA"),'MITRE ATT&amp;CK Mappings'!$F376))),ISNUMBER(SEARCH(IF(I$2&lt;&gt;"",I$2,"NA"),'MITRE ATT&amp;CK Mappings'!$G376))),ISNUMBER(SEARCH(IF(I$2&lt;&gt;"",I$2,"NA"),'MITRE ATT&amp;CK Mappings'!$H376))),ISNUMBER(SEARCH(IF(I$3&lt;&gt;"",I$3,"NA"),'MITRE ATT&amp;CK Mappings'!$I376))),ISNUMBER(SEARCH(IF(I$3&lt;&gt;"",I$3,"NA"),'MITRE ATT&amp;CK Mappings'!$J376))), 'MITRE ATT&amp;CK Mappings'!$B376,"")</f>
        <v/>
      </c>
      <c r="J380" s="26" t="str">
        <f>IF(OR(OR(OR(OR(OR(ISNUMBER(SEARCH(IF(J$1&lt;&gt;"",J$1,"NA"),'MITRE ATT&amp;CK Mappings'!$E376)),ISNUMBER(SEARCH(IF(J$1&lt;&gt;"",J$1,"NA"),'MITRE ATT&amp;CK Mappings'!$F376))),ISNUMBER(SEARCH(IF(J$2&lt;&gt;"",J$2,"NA"),'MITRE ATT&amp;CK Mappings'!$G376))),ISNUMBER(SEARCH(IF(J$2&lt;&gt;"",J$2,"NA"),'MITRE ATT&amp;CK Mappings'!$H376))),ISNUMBER(SEARCH(IF(J$3&lt;&gt;"",J$3,"NA"),'MITRE ATT&amp;CK Mappings'!$I376))),ISNUMBER(SEARCH(IF(J$3&lt;&gt;"",J$3,"NA"),'MITRE ATT&amp;CK Mappings'!$J376))), 'MITRE ATT&amp;CK Mappings'!$B376,"")</f>
        <v/>
      </c>
      <c r="K380" s="26" t="str">
        <f>IF(OR(OR(OR(OR(OR(ISNUMBER(SEARCH(IF(K$1&lt;&gt;"",K$1,"NA"),'MITRE ATT&amp;CK Mappings'!$E376)),ISNUMBER(SEARCH(IF(K$1&lt;&gt;"",K$1,"NA"),'MITRE ATT&amp;CK Mappings'!$F376))),ISNUMBER(SEARCH(IF(K$2&lt;&gt;"",K$2,"NA"),'MITRE ATT&amp;CK Mappings'!$G376))),ISNUMBER(SEARCH(IF(K$2&lt;&gt;"",K$2,"NA"),'MITRE ATT&amp;CK Mappings'!$H376))),ISNUMBER(SEARCH(IF(K$3&lt;&gt;"",K$3,"NA"),'MITRE ATT&amp;CK Mappings'!$I376))),ISNUMBER(SEARCH(IF(K$3&lt;&gt;"",K$3,"NA"),'MITRE ATT&amp;CK Mappings'!$J376))), 'MITRE ATT&amp;CK Mappings'!$B376,"")</f>
        <v/>
      </c>
      <c r="L380" s="26" t="str">
        <f>IF('MITRE ATT&amp;CK Mappings'!D376 &lt;&gt;"",'MITRE ATT&amp;CK Mappings'!D376,"" )</f>
        <v/>
      </c>
    </row>
    <row r="381" spans="1:12" x14ac:dyDescent="0.25">
      <c r="A381" s="27" t="str">
        <f>IF(COUNTIF(B381:K381,"="&amp;'MITRE ATT&amp;CK Mappings'!B377)&gt;0,'MITRE ATT&amp;CK Mappings'!B377,"")</f>
        <v/>
      </c>
      <c r="B381" s="27" t="str">
        <f>IF(OR(OR(OR(OR(OR(ISNUMBER(SEARCH(IF(B$1&lt;&gt;"",B$1,"NA"),'MITRE ATT&amp;CK Mappings'!$E377)),ISNUMBER(SEARCH(IF(B$1&lt;&gt;"",B$1,"NA"),'MITRE ATT&amp;CK Mappings'!$F377))),ISNUMBER(SEARCH(IF(B$2&lt;&gt;"",B$2,"NA"),'MITRE ATT&amp;CK Mappings'!$G377))),ISNUMBER(SEARCH(IF(B$2&lt;&gt;"",B$2,"NA"),'MITRE ATT&amp;CK Mappings'!$H377))),ISNUMBER(SEARCH(IF(B$3&lt;&gt;"",B$3,"NA"),'MITRE ATT&amp;CK Mappings'!$I377))),ISNUMBER(SEARCH(IF(B$3&lt;&gt;"",B$3,"NA"),'MITRE ATT&amp;CK Mappings'!$J377))), 'MITRE ATT&amp;CK Mappings'!$B377,"")</f>
        <v/>
      </c>
      <c r="C381" s="27" t="str">
        <f>IF(OR(OR(OR(OR(OR(ISNUMBER(SEARCH(IF(C$1&lt;&gt;"",C$1,"NA"),'MITRE ATT&amp;CK Mappings'!$E377)),ISNUMBER(SEARCH(IF(C$1&lt;&gt;"",C$1,"NA"),'MITRE ATT&amp;CK Mappings'!$F377))),ISNUMBER(SEARCH(IF(C$2&lt;&gt;"",C$2,"NA"),'MITRE ATT&amp;CK Mappings'!$G377))),ISNUMBER(SEARCH(IF(C$2&lt;&gt;"",C$2,"NA"),'MITRE ATT&amp;CK Mappings'!$H377))),ISNUMBER(SEARCH(IF(C$3&lt;&gt;"",C$3,"NA"),'MITRE ATT&amp;CK Mappings'!$I377))),ISNUMBER(SEARCH(IF(C$3&lt;&gt;"",C$3,"NA"),'MITRE ATT&amp;CK Mappings'!$J377))), 'MITRE ATT&amp;CK Mappings'!$B377,"")</f>
        <v/>
      </c>
      <c r="D381" s="27" t="str">
        <f>IF(OR(OR(OR(OR(OR(ISNUMBER(SEARCH(IF(D$1&lt;&gt;"",D$1,"NA"),'MITRE ATT&amp;CK Mappings'!$E377)),ISNUMBER(SEARCH(IF(D$1&lt;&gt;"",D$1,"NA"),'MITRE ATT&amp;CK Mappings'!$F377))),ISNUMBER(SEARCH(IF(D$2&lt;&gt;"",D$2,"NA"),'MITRE ATT&amp;CK Mappings'!$G377))),ISNUMBER(SEARCH(IF(D$2&lt;&gt;"",D$2,"NA"),'MITRE ATT&amp;CK Mappings'!$H377))),ISNUMBER(SEARCH(IF(D$3&lt;&gt;"",D$3,"NA"),'MITRE ATT&amp;CK Mappings'!$I377))),ISNUMBER(SEARCH(IF(D$3&lt;&gt;"",D$3,"NA"),'MITRE ATT&amp;CK Mappings'!$J377))), 'MITRE ATT&amp;CK Mappings'!$B377,"")</f>
        <v/>
      </c>
      <c r="E381" s="27" t="str">
        <f>IF(OR(OR(OR(OR(OR(ISNUMBER(SEARCH(IF(E$1&lt;&gt;"",E$1,"NA"),'MITRE ATT&amp;CK Mappings'!$E377)),ISNUMBER(SEARCH(IF(E$1&lt;&gt;"",E$1,"NA"),'MITRE ATT&amp;CK Mappings'!$F377))),ISNUMBER(SEARCH(IF(E$2&lt;&gt;"",E$2,"NA"),'MITRE ATT&amp;CK Mappings'!$G377))),ISNUMBER(SEARCH(IF(E$2&lt;&gt;"",E$2,"NA"),'MITRE ATT&amp;CK Mappings'!$H377))),ISNUMBER(SEARCH(IF(E$3&lt;&gt;"",E$3,"NA"),'MITRE ATT&amp;CK Mappings'!$I377))),ISNUMBER(SEARCH(IF(E$3&lt;&gt;"",E$3,"NA"),'MITRE ATT&amp;CK Mappings'!$J377))), 'MITRE ATT&amp;CK Mappings'!$B377,"")</f>
        <v/>
      </c>
      <c r="F381" s="27" t="str">
        <f>IF(OR(OR(OR(OR(OR(ISNUMBER(SEARCH(IF(F$1&lt;&gt;"",F$1,"NA"),'MITRE ATT&amp;CK Mappings'!$E377)),ISNUMBER(SEARCH(IF(F$1&lt;&gt;"",F$1,"NA"),'MITRE ATT&amp;CK Mappings'!$F377))),ISNUMBER(SEARCH(IF(F$2&lt;&gt;"",F$2,"NA"),'MITRE ATT&amp;CK Mappings'!$G377))),ISNUMBER(SEARCH(IF(F$2&lt;&gt;"",F$2,"NA"),'MITRE ATT&amp;CK Mappings'!$H377))),ISNUMBER(SEARCH(IF(F$3&lt;&gt;"",F$3,"NA"),'MITRE ATT&amp;CK Mappings'!$I377))),ISNUMBER(SEARCH(IF(F$3&lt;&gt;"",F$3,"NA"),'MITRE ATT&amp;CK Mappings'!$J377))), 'MITRE ATT&amp;CK Mappings'!$B377,"")</f>
        <v/>
      </c>
      <c r="G381" s="27" t="str">
        <f>IF(OR(OR(OR(OR(OR(ISNUMBER(SEARCH(IF(G$1&lt;&gt;"",G$1,"NA"),'MITRE ATT&amp;CK Mappings'!$E377)),ISNUMBER(SEARCH(IF(G$1&lt;&gt;"",G$1,"NA"),'MITRE ATT&amp;CK Mappings'!$F377))),ISNUMBER(SEARCH(IF(G$2&lt;&gt;"",G$2,"NA"),'MITRE ATT&amp;CK Mappings'!$G377))),ISNUMBER(SEARCH(IF(G$2&lt;&gt;"",G$2,"NA"),'MITRE ATT&amp;CK Mappings'!$H377))),ISNUMBER(SEARCH(IF(G$3&lt;&gt;"",G$3,"NA"),'MITRE ATT&amp;CK Mappings'!$I377))),ISNUMBER(SEARCH(IF(G$3&lt;&gt;"",G$3,"NA"),'MITRE ATT&amp;CK Mappings'!$J377))), 'MITRE ATT&amp;CK Mappings'!$B377,"")</f>
        <v/>
      </c>
      <c r="H381" s="27" t="str">
        <f>IF(OR(OR(OR(OR(OR(ISNUMBER(SEARCH(IF(H$1&lt;&gt;"",H$1,"NA"),'MITRE ATT&amp;CK Mappings'!$E377)),ISNUMBER(SEARCH(IF(H$1&lt;&gt;"",H$1,"NA"),'MITRE ATT&amp;CK Mappings'!$F377))),ISNUMBER(SEARCH(IF(H$2&lt;&gt;"",H$2,"NA"),'MITRE ATT&amp;CK Mappings'!$G377))),ISNUMBER(SEARCH(IF(H$2&lt;&gt;"",H$2,"NA"),'MITRE ATT&amp;CK Mappings'!$H377))),ISNUMBER(SEARCH(IF(H$3&lt;&gt;"",H$3,"NA"),'MITRE ATT&amp;CK Mappings'!$I377))),ISNUMBER(SEARCH(IF(H$3&lt;&gt;"",H$3,"NA"),'MITRE ATT&amp;CK Mappings'!$J377))), 'MITRE ATT&amp;CK Mappings'!$B377,"")</f>
        <v/>
      </c>
      <c r="I381" s="27" t="str">
        <f>IF(OR(OR(OR(OR(OR(ISNUMBER(SEARCH(IF(I$1&lt;&gt;"",I$1,"NA"),'MITRE ATT&amp;CK Mappings'!$E377)),ISNUMBER(SEARCH(IF(I$1&lt;&gt;"",I$1,"NA"),'MITRE ATT&amp;CK Mappings'!$F377))),ISNUMBER(SEARCH(IF(I$2&lt;&gt;"",I$2,"NA"),'MITRE ATT&amp;CK Mappings'!$G377))),ISNUMBER(SEARCH(IF(I$2&lt;&gt;"",I$2,"NA"),'MITRE ATT&amp;CK Mappings'!$H377))),ISNUMBER(SEARCH(IF(I$3&lt;&gt;"",I$3,"NA"),'MITRE ATT&amp;CK Mappings'!$I377))),ISNUMBER(SEARCH(IF(I$3&lt;&gt;"",I$3,"NA"),'MITRE ATT&amp;CK Mappings'!$J377))), 'MITRE ATT&amp;CK Mappings'!$B377,"")</f>
        <v/>
      </c>
      <c r="J381" s="27" t="str">
        <f>IF(OR(OR(OR(OR(OR(ISNUMBER(SEARCH(IF(J$1&lt;&gt;"",J$1,"NA"),'MITRE ATT&amp;CK Mappings'!$E377)),ISNUMBER(SEARCH(IF(J$1&lt;&gt;"",J$1,"NA"),'MITRE ATT&amp;CK Mappings'!$F377))),ISNUMBER(SEARCH(IF(J$2&lt;&gt;"",J$2,"NA"),'MITRE ATT&amp;CK Mappings'!$G377))),ISNUMBER(SEARCH(IF(J$2&lt;&gt;"",J$2,"NA"),'MITRE ATT&amp;CK Mappings'!$H377))),ISNUMBER(SEARCH(IF(J$3&lt;&gt;"",J$3,"NA"),'MITRE ATT&amp;CK Mappings'!$I377))),ISNUMBER(SEARCH(IF(J$3&lt;&gt;"",J$3,"NA"),'MITRE ATT&amp;CK Mappings'!$J377))), 'MITRE ATT&amp;CK Mappings'!$B377,"")</f>
        <v/>
      </c>
      <c r="K381" s="27" t="str">
        <f>IF(OR(OR(OR(OR(OR(ISNUMBER(SEARCH(IF(K$1&lt;&gt;"",K$1,"NA"),'MITRE ATT&amp;CK Mappings'!$E377)),ISNUMBER(SEARCH(IF(K$1&lt;&gt;"",K$1,"NA"),'MITRE ATT&amp;CK Mappings'!$F377))),ISNUMBER(SEARCH(IF(K$2&lt;&gt;"",K$2,"NA"),'MITRE ATT&amp;CK Mappings'!$G377))),ISNUMBER(SEARCH(IF(K$2&lt;&gt;"",K$2,"NA"),'MITRE ATT&amp;CK Mappings'!$H377))),ISNUMBER(SEARCH(IF(K$3&lt;&gt;"",K$3,"NA"),'MITRE ATT&amp;CK Mappings'!$I377))),ISNUMBER(SEARCH(IF(K$3&lt;&gt;"",K$3,"NA"),'MITRE ATT&amp;CK Mappings'!$J377))), 'MITRE ATT&amp;CK Mappings'!$B377,"")</f>
        <v/>
      </c>
      <c r="L381" s="27" t="str">
        <f>IF('MITRE ATT&amp;CK Mappings'!D377 &lt;&gt;"",'MITRE ATT&amp;CK Mappings'!D377,"" )</f>
        <v/>
      </c>
    </row>
    <row r="382" spans="1:12" x14ac:dyDescent="0.25">
      <c r="A382" s="26" t="str">
        <f>IF(COUNTIF(B382:K382,"="&amp;'MITRE ATT&amp;CK Mappings'!B378)&gt;0,'MITRE ATT&amp;CK Mappings'!B378,"")</f>
        <v/>
      </c>
      <c r="B382" s="26" t="str">
        <f>IF(OR(OR(OR(OR(OR(ISNUMBER(SEARCH(IF(B$1&lt;&gt;"",B$1,"NA"),'MITRE ATT&amp;CK Mappings'!$E378)),ISNUMBER(SEARCH(IF(B$1&lt;&gt;"",B$1,"NA"),'MITRE ATT&amp;CK Mappings'!$F378))),ISNUMBER(SEARCH(IF(B$2&lt;&gt;"",B$2,"NA"),'MITRE ATT&amp;CK Mappings'!$G378))),ISNUMBER(SEARCH(IF(B$2&lt;&gt;"",B$2,"NA"),'MITRE ATT&amp;CK Mappings'!$H378))),ISNUMBER(SEARCH(IF(B$3&lt;&gt;"",B$3,"NA"),'MITRE ATT&amp;CK Mappings'!$I378))),ISNUMBER(SEARCH(IF(B$3&lt;&gt;"",B$3,"NA"),'MITRE ATT&amp;CK Mappings'!$J378))), 'MITRE ATT&amp;CK Mappings'!$B378,"")</f>
        <v/>
      </c>
      <c r="C382" s="26" t="str">
        <f>IF(OR(OR(OR(OR(OR(ISNUMBER(SEARCH(IF(C$1&lt;&gt;"",C$1,"NA"),'MITRE ATT&amp;CK Mappings'!$E378)),ISNUMBER(SEARCH(IF(C$1&lt;&gt;"",C$1,"NA"),'MITRE ATT&amp;CK Mappings'!$F378))),ISNUMBER(SEARCH(IF(C$2&lt;&gt;"",C$2,"NA"),'MITRE ATT&amp;CK Mappings'!$G378))),ISNUMBER(SEARCH(IF(C$2&lt;&gt;"",C$2,"NA"),'MITRE ATT&amp;CK Mappings'!$H378))),ISNUMBER(SEARCH(IF(C$3&lt;&gt;"",C$3,"NA"),'MITRE ATT&amp;CK Mappings'!$I378))),ISNUMBER(SEARCH(IF(C$3&lt;&gt;"",C$3,"NA"),'MITRE ATT&amp;CK Mappings'!$J378))), 'MITRE ATT&amp;CK Mappings'!$B378,"")</f>
        <v/>
      </c>
      <c r="D382" s="26" t="str">
        <f>IF(OR(OR(OR(OR(OR(ISNUMBER(SEARCH(IF(D$1&lt;&gt;"",D$1,"NA"),'MITRE ATT&amp;CK Mappings'!$E378)),ISNUMBER(SEARCH(IF(D$1&lt;&gt;"",D$1,"NA"),'MITRE ATT&amp;CK Mappings'!$F378))),ISNUMBER(SEARCH(IF(D$2&lt;&gt;"",D$2,"NA"),'MITRE ATT&amp;CK Mappings'!$G378))),ISNUMBER(SEARCH(IF(D$2&lt;&gt;"",D$2,"NA"),'MITRE ATT&amp;CK Mappings'!$H378))),ISNUMBER(SEARCH(IF(D$3&lt;&gt;"",D$3,"NA"),'MITRE ATT&amp;CK Mappings'!$I378))),ISNUMBER(SEARCH(IF(D$3&lt;&gt;"",D$3,"NA"),'MITRE ATT&amp;CK Mappings'!$J378))), 'MITRE ATT&amp;CK Mappings'!$B378,"")</f>
        <v/>
      </c>
      <c r="E382" s="26" t="str">
        <f>IF(OR(OR(OR(OR(OR(ISNUMBER(SEARCH(IF(E$1&lt;&gt;"",E$1,"NA"),'MITRE ATT&amp;CK Mappings'!$E378)),ISNUMBER(SEARCH(IF(E$1&lt;&gt;"",E$1,"NA"),'MITRE ATT&amp;CK Mappings'!$F378))),ISNUMBER(SEARCH(IF(E$2&lt;&gt;"",E$2,"NA"),'MITRE ATT&amp;CK Mappings'!$G378))),ISNUMBER(SEARCH(IF(E$2&lt;&gt;"",E$2,"NA"),'MITRE ATT&amp;CK Mappings'!$H378))),ISNUMBER(SEARCH(IF(E$3&lt;&gt;"",E$3,"NA"),'MITRE ATT&amp;CK Mappings'!$I378))),ISNUMBER(SEARCH(IF(E$3&lt;&gt;"",E$3,"NA"),'MITRE ATT&amp;CK Mappings'!$J378))), 'MITRE ATT&amp;CK Mappings'!$B378,"")</f>
        <v/>
      </c>
      <c r="F382" s="26" t="str">
        <f>IF(OR(OR(OR(OR(OR(ISNUMBER(SEARCH(IF(F$1&lt;&gt;"",F$1,"NA"),'MITRE ATT&amp;CK Mappings'!$E378)),ISNUMBER(SEARCH(IF(F$1&lt;&gt;"",F$1,"NA"),'MITRE ATT&amp;CK Mappings'!$F378))),ISNUMBER(SEARCH(IF(F$2&lt;&gt;"",F$2,"NA"),'MITRE ATT&amp;CK Mappings'!$G378))),ISNUMBER(SEARCH(IF(F$2&lt;&gt;"",F$2,"NA"),'MITRE ATT&amp;CK Mappings'!$H378))),ISNUMBER(SEARCH(IF(F$3&lt;&gt;"",F$3,"NA"),'MITRE ATT&amp;CK Mappings'!$I378))),ISNUMBER(SEARCH(IF(F$3&lt;&gt;"",F$3,"NA"),'MITRE ATT&amp;CK Mappings'!$J378))), 'MITRE ATT&amp;CK Mappings'!$B378,"")</f>
        <v/>
      </c>
      <c r="G382" s="26" t="str">
        <f>IF(OR(OR(OR(OR(OR(ISNUMBER(SEARCH(IF(G$1&lt;&gt;"",G$1,"NA"),'MITRE ATT&amp;CK Mappings'!$E378)),ISNUMBER(SEARCH(IF(G$1&lt;&gt;"",G$1,"NA"),'MITRE ATT&amp;CK Mappings'!$F378))),ISNUMBER(SEARCH(IF(G$2&lt;&gt;"",G$2,"NA"),'MITRE ATT&amp;CK Mappings'!$G378))),ISNUMBER(SEARCH(IF(G$2&lt;&gt;"",G$2,"NA"),'MITRE ATT&amp;CK Mappings'!$H378))),ISNUMBER(SEARCH(IF(G$3&lt;&gt;"",G$3,"NA"),'MITRE ATT&amp;CK Mappings'!$I378))),ISNUMBER(SEARCH(IF(G$3&lt;&gt;"",G$3,"NA"),'MITRE ATT&amp;CK Mappings'!$J378))), 'MITRE ATT&amp;CK Mappings'!$B378,"")</f>
        <v/>
      </c>
      <c r="H382" s="26" t="str">
        <f>IF(OR(OR(OR(OR(OR(ISNUMBER(SEARCH(IF(H$1&lt;&gt;"",H$1,"NA"),'MITRE ATT&amp;CK Mappings'!$E378)),ISNUMBER(SEARCH(IF(H$1&lt;&gt;"",H$1,"NA"),'MITRE ATT&amp;CK Mappings'!$F378))),ISNUMBER(SEARCH(IF(H$2&lt;&gt;"",H$2,"NA"),'MITRE ATT&amp;CK Mappings'!$G378))),ISNUMBER(SEARCH(IF(H$2&lt;&gt;"",H$2,"NA"),'MITRE ATT&amp;CK Mappings'!$H378))),ISNUMBER(SEARCH(IF(H$3&lt;&gt;"",H$3,"NA"),'MITRE ATT&amp;CK Mappings'!$I378))),ISNUMBER(SEARCH(IF(H$3&lt;&gt;"",H$3,"NA"),'MITRE ATT&amp;CK Mappings'!$J378))), 'MITRE ATT&amp;CK Mappings'!$B378,"")</f>
        <v/>
      </c>
      <c r="I382" s="26" t="str">
        <f>IF(OR(OR(OR(OR(OR(ISNUMBER(SEARCH(IF(I$1&lt;&gt;"",I$1,"NA"),'MITRE ATT&amp;CK Mappings'!$E378)),ISNUMBER(SEARCH(IF(I$1&lt;&gt;"",I$1,"NA"),'MITRE ATT&amp;CK Mappings'!$F378))),ISNUMBER(SEARCH(IF(I$2&lt;&gt;"",I$2,"NA"),'MITRE ATT&amp;CK Mappings'!$G378))),ISNUMBER(SEARCH(IF(I$2&lt;&gt;"",I$2,"NA"),'MITRE ATT&amp;CK Mappings'!$H378))),ISNUMBER(SEARCH(IF(I$3&lt;&gt;"",I$3,"NA"),'MITRE ATT&amp;CK Mappings'!$I378))),ISNUMBER(SEARCH(IF(I$3&lt;&gt;"",I$3,"NA"),'MITRE ATT&amp;CK Mappings'!$J378))), 'MITRE ATT&amp;CK Mappings'!$B378,"")</f>
        <v/>
      </c>
      <c r="J382" s="26" t="str">
        <f>IF(OR(OR(OR(OR(OR(ISNUMBER(SEARCH(IF(J$1&lt;&gt;"",J$1,"NA"),'MITRE ATT&amp;CK Mappings'!$E378)),ISNUMBER(SEARCH(IF(J$1&lt;&gt;"",J$1,"NA"),'MITRE ATT&amp;CK Mappings'!$F378))),ISNUMBER(SEARCH(IF(J$2&lt;&gt;"",J$2,"NA"),'MITRE ATT&amp;CK Mappings'!$G378))),ISNUMBER(SEARCH(IF(J$2&lt;&gt;"",J$2,"NA"),'MITRE ATT&amp;CK Mappings'!$H378))),ISNUMBER(SEARCH(IF(J$3&lt;&gt;"",J$3,"NA"),'MITRE ATT&amp;CK Mappings'!$I378))),ISNUMBER(SEARCH(IF(J$3&lt;&gt;"",J$3,"NA"),'MITRE ATT&amp;CK Mappings'!$J378))), 'MITRE ATT&amp;CK Mappings'!$B378,"")</f>
        <v/>
      </c>
      <c r="K382" s="26" t="str">
        <f>IF(OR(OR(OR(OR(OR(ISNUMBER(SEARCH(IF(K$1&lt;&gt;"",K$1,"NA"),'MITRE ATT&amp;CK Mappings'!$E378)),ISNUMBER(SEARCH(IF(K$1&lt;&gt;"",K$1,"NA"),'MITRE ATT&amp;CK Mappings'!$F378))),ISNUMBER(SEARCH(IF(K$2&lt;&gt;"",K$2,"NA"),'MITRE ATT&amp;CK Mappings'!$G378))),ISNUMBER(SEARCH(IF(K$2&lt;&gt;"",K$2,"NA"),'MITRE ATT&amp;CK Mappings'!$H378))),ISNUMBER(SEARCH(IF(K$3&lt;&gt;"",K$3,"NA"),'MITRE ATT&amp;CK Mappings'!$I378))),ISNUMBER(SEARCH(IF(K$3&lt;&gt;"",K$3,"NA"),'MITRE ATT&amp;CK Mappings'!$J378))), 'MITRE ATT&amp;CK Mappings'!$B378,"")</f>
        <v/>
      </c>
      <c r="L382" s="26" t="str">
        <f>IF('MITRE ATT&amp;CK Mappings'!D378 &lt;&gt;"",'MITRE ATT&amp;CK Mappings'!D378,"" )</f>
        <v/>
      </c>
    </row>
    <row r="383" spans="1:12" x14ac:dyDescent="0.25">
      <c r="A383" s="27" t="str">
        <f>IF(COUNTIF(B383:K383,"="&amp;'MITRE ATT&amp;CK Mappings'!B379)&gt;0,'MITRE ATT&amp;CK Mappings'!B379,"")</f>
        <v/>
      </c>
      <c r="B383" s="27" t="str">
        <f>IF(OR(OR(OR(OR(OR(ISNUMBER(SEARCH(IF(B$1&lt;&gt;"",B$1,"NA"),'MITRE ATT&amp;CK Mappings'!$E379)),ISNUMBER(SEARCH(IF(B$1&lt;&gt;"",B$1,"NA"),'MITRE ATT&amp;CK Mappings'!$F379))),ISNUMBER(SEARCH(IF(B$2&lt;&gt;"",B$2,"NA"),'MITRE ATT&amp;CK Mappings'!$G379))),ISNUMBER(SEARCH(IF(B$2&lt;&gt;"",B$2,"NA"),'MITRE ATT&amp;CK Mappings'!$H379))),ISNUMBER(SEARCH(IF(B$3&lt;&gt;"",B$3,"NA"),'MITRE ATT&amp;CK Mappings'!$I379))),ISNUMBER(SEARCH(IF(B$3&lt;&gt;"",B$3,"NA"),'MITRE ATT&amp;CK Mappings'!$J379))), 'MITRE ATT&amp;CK Mappings'!$B379,"")</f>
        <v/>
      </c>
      <c r="C383" s="27" t="str">
        <f>IF(OR(OR(OR(OR(OR(ISNUMBER(SEARCH(IF(C$1&lt;&gt;"",C$1,"NA"),'MITRE ATT&amp;CK Mappings'!$E379)),ISNUMBER(SEARCH(IF(C$1&lt;&gt;"",C$1,"NA"),'MITRE ATT&amp;CK Mappings'!$F379))),ISNUMBER(SEARCH(IF(C$2&lt;&gt;"",C$2,"NA"),'MITRE ATT&amp;CK Mappings'!$G379))),ISNUMBER(SEARCH(IF(C$2&lt;&gt;"",C$2,"NA"),'MITRE ATT&amp;CK Mappings'!$H379))),ISNUMBER(SEARCH(IF(C$3&lt;&gt;"",C$3,"NA"),'MITRE ATT&amp;CK Mappings'!$I379))),ISNUMBER(SEARCH(IF(C$3&lt;&gt;"",C$3,"NA"),'MITRE ATT&amp;CK Mappings'!$J379))), 'MITRE ATT&amp;CK Mappings'!$B379,"")</f>
        <v/>
      </c>
      <c r="D383" s="27" t="str">
        <f>IF(OR(OR(OR(OR(OR(ISNUMBER(SEARCH(IF(D$1&lt;&gt;"",D$1,"NA"),'MITRE ATT&amp;CK Mappings'!$E379)),ISNUMBER(SEARCH(IF(D$1&lt;&gt;"",D$1,"NA"),'MITRE ATT&amp;CK Mappings'!$F379))),ISNUMBER(SEARCH(IF(D$2&lt;&gt;"",D$2,"NA"),'MITRE ATT&amp;CK Mappings'!$G379))),ISNUMBER(SEARCH(IF(D$2&lt;&gt;"",D$2,"NA"),'MITRE ATT&amp;CK Mappings'!$H379))),ISNUMBER(SEARCH(IF(D$3&lt;&gt;"",D$3,"NA"),'MITRE ATT&amp;CK Mappings'!$I379))),ISNUMBER(SEARCH(IF(D$3&lt;&gt;"",D$3,"NA"),'MITRE ATT&amp;CK Mappings'!$J379))), 'MITRE ATT&amp;CK Mappings'!$B379,"")</f>
        <v/>
      </c>
      <c r="E383" s="27" t="str">
        <f>IF(OR(OR(OR(OR(OR(ISNUMBER(SEARCH(IF(E$1&lt;&gt;"",E$1,"NA"),'MITRE ATT&amp;CK Mappings'!$E379)),ISNUMBER(SEARCH(IF(E$1&lt;&gt;"",E$1,"NA"),'MITRE ATT&amp;CK Mappings'!$F379))),ISNUMBER(SEARCH(IF(E$2&lt;&gt;"",E$2,"NA"),'MITRE ATT&amp;CK Mappings'!$G379))),ISNUMBER(SEARCH(IF(E$2&lt;&gt;"",E$2,"NA"),'MITRE ATT&amp;CK Mappings'!$H379))),ISNUMBER(SEARCH(IF(E$3&lt;&gt;"",E$3,"NA"),'MITRE ATT&amp;CK Mappings'!$I379))),ISNUMBER(SEARCH(IF(E$3&lt;&gt;"",E$3,"NA"),'MITRE ATT&amp;CK Mappings'!$J379))), 'MITRE ATT&amp;CK Mappings'!$B379,"")</f>
        <v/>
      </c>
      <c r="F383" s="27" t="str">
        <f>IF(OR(OR(OR(OR(OR(ISNUMBER(SEARCH(IF(F$1&lt;&gt;"",F$1,"NA"),'MITRE ATT&amp;CK Mappings'!$E379)),ISNUMBER(SEARCH(IF(F$1&lt;&gt;"",F$1,"NA"),'MITRE ATT&amp;CK Mappings'!$F379))),ISNUMBER(SEARCH(IF(F$2&lt;&gt;"",F$2,"NA"),'MITRE ATT&amp;CK Mappings'!$G379))),ISNUMBER(SEARCH(IF(F$2&lt;&gt;"",F$2,"NA"),'MITRE ATT&amp;CK Mappings'!$H379))),ISNUMBER(SEARCH(IF(F$3&lt;&gt;"",F$3,"NA"),'MITRE ATT&amp;CK Mappings'!$I379))),ISNUMBER(SEARCH(IF(F$3&lt;&gt;"",F$3,"NA"),'MITRE ATT&amp;CK Mappings'!$J379))), 'MITRE ATT&amp;CK Mappings'!$B379,"")</f>
        <v/>
      </c>
      <c r="G383" s="27" t="str">
        <f>IF(OR(OR(OR(OR(OR(ISNUMBER(SEARCH(IF(G$1&lt;&gt;"",G$1,"NA"),'MITRE ATT&amp;CK Mappings'!$E379)),ISNUMBER(SEARCH(IF(G$1&lt;&gt;"",G$1,"NA"),'MITRE ATT&amp;CK Mappings'!$F379))),ISNUMBER(SEARCH(IF(G$2&lt;&gt;"",G$2,"NA"),'MITRE ATT&amp;CK Mappings'!$G379))),ISNUMBER(SEARCH(IF(G$2&lt;&gt;"",G$2,"NA"),'MITRE ATT&amp;CK Mappings'!$H379))),ISNUMBER(SEARCH(IF(G$3&lt;&gt;"",G$3,"NA"),'MITRE ATT&amp;CK Mappings'!$I379))),ISNUMBER(SEARCH(IF(G$3&lt;&gt;"",G$3,"NA"),'MITRE ATT&amp;CK Mappings'!$J379))), 'MITRE ATT&amp;CK Mappings'!$B379,"")</f>
        <v/>
      </c>
      <c r="H383" s="27" t="str">
        <f>IF(OR(OR(OR(OR(OR(ISNUMBER(SEARCH(IF(H$1&lt;&gt;"",H$1,"NA"),'MITRE ATT&amp;CK Mappings'!$E379)),ISNUMBER(SEARCH(IF(H$1&lt;&gt;"",H$1,"NA"),'MITRE ATT&amp;CK Mappings'!$F379))),ISNUMBER(SEARCH(IF(H$2&lt;&gt;"",H$2,"NA"),'MITRE ATT&amp;CK Mappings'!$G379))),ISNUMBER(SEARCH(IF(H$2&lt;&gt;"",H$2,"NA"),'MITRE ATT&amp;CK Mappings'!$H379))),ISNUMBER(SEARCH(IF(H$3&lt;&gt;"",H$3,"NA"),'MITRE ATT&amp;CK Mappings'!$I379))),ISNUMBER(SEARCH(IF(H$3&lt;&gt;"",H$3,"NA"),'MITRE ATT&amp;CK Mappings'!$J379))), 'MITRE ATT&amp;CK Mappings'!$B379,"")</f>
        <v/>
      </c>
      <c r="I383" s="27" t="str">
        <f>IF(OR(OR(OR(OR(OR(ISNUMBER(SEARCH(IF(I$1&lt;&gt;"",I$1,"NA"),'MITRE ATT&amp;CK Mappings'!$E379)),ISNUMBER(SEARCH(IF(I$1&lt;&gt;"",I$1,"NA"),'MITRE ATT&amp;CK Mappings'!$F379))),ISNUMBER(SEARCH(IF(I$2&lt;&gt;"",I$2,"NA"),'MITRE ATT&amp;CK Mappings'!$G379))),ISNUMBER(SEARCH(IF(I$2&lt;&gt;"",I$2,"NA"),'MITRE ATT&amp;CK Mappings'!$H379))),ISNUMBER(SEARCH(IF(I$3&lt;&gt;"",I$3,"NA"),'MITRE ATT&amp;CK Mappings'!$I379))),ISNUMBER(SEARCH(IF(I$3&lt;&gt;"",I$3,"NA"),'MITRE ATT&amp;CK Mappings'!$J379))), 'MITRE ATT&amp;CK Mappings'!$B379,"")</f>
        <v/>
      </c>
      <c r="J383" s="27" t="str">
        <f>IF(OR(OR(OR(OR(OR(ISNUMBER(SEARCH(IF(J$1&lt;&gt;"",J$1,"NA"),'MITRE ATT&amp;CK Mappings'!$E379)),ISNUMBER(SEARCH(IF(J$1&lt;&gt;"",J$1,"NA"),'MITRE ATT&amp;CK Mappings'!$F379))),ISNUMBER(SEARCH(IF(J$2&lt;&gt;"",J$2,"NA"),'MITRE ATT&amp;CK Mappings'!$G379))),ISNUMBER(SEARCH(IF(J$2&lt;&gt;"",J$2,"NA"),'MITRE ATT&amp;CK Mappings'!$H379))),ISNUMBER(SEARCH(IF(J$3&lt;&gt;"",J$3,"NA"),'MITRE ATT&amp;CK Mappings'!$I379))),ISNUMBER(SEARCH(IF(J$3&lt;&gt;"",J$3,"NA"),'MITRE ATT&amp;CK Mappings'!$J379))), 'MITRE ATT&amp;CK Mappings'!$B379,"")</f>
        <v/>
      </c>
      <c r="K383" s="27" t="str">
        <f>IF(OR(OR(OR(OR(OR(ISNUMBER(SEARCH(IF(K$1&lt;&gt;"",K$1,"NA"),'MITRE ATT&amp;CK Mappings'!$E379)),ISNUMBER(SEARCH(IF(K$1&lt;&gt;"",K$1,"NA"),'MITRE ATT&amp;CK Mappings'!$F379))),ISNUMBER(SEARCH(IF(K$2&lt;&gt;"",K$2,"NA"),'MITRE ATT&amp;CK Mappings'!$G379))),ISNUMBER(SEARCH(IF(K$2&lt;&gt;"",K$2,"NA"),'MITRE ATT&amp;CK Mappings'!$H379))),ISNUMBER(SEARCH(IF(K$3&lt;&gt;"",K$3,"NA"),'MITRE ATT&amp;CK Mappings'!$I379))),ISNUMBER(SEARCH(IF(K$3&lt;&gt;"",K$3,"NA"),'MITRE ATT&amp;CK Mappings'!$J379))), 'MITRE ATT&amp;CK Mappings'!$B379,"")</f>
        <v/>
      </c>
      <c r="L383" s="27" t="str">
        <f>IF('MITRE ATT&amp;CK Mappings'!D379 &lt;&gt;"",'MITRE ATT&amp;CK Mappings'!D379,"" )</f>
        <v/>
      </c>
    </row>
    <row r="384" spans="1:12" x14ac:dyDescent="0.25">
      <c r="A384" s="26" t="str">
        <f>IF(COUNTIF(B384:K384,"="&amp;'MITRE ATT&amp;CK Mappings'!B380)&gt;0,'MITRE ATT&amp;CK Mappings'!B380,"")</f>
        <v/>
      </c>
      <c r="B384" s="26" t="str">
        <f>IF(OR(OR(OR(OR(OR(ISNUMBER(SEARCH(IF(B$1&lt;&gt;"",B$1,"NA"),'MITRE ATT&amp;CK Mappings'!$E380)),ISNUMBER(SEARCH(IF(B$1&lt;&gt;"",B$1,"NA"),'MITRE ATT&amp;CK Mappings'!$F380))),ISNUMBER(SEARCH(IF(B$2&lt;&gt;"",B$2,"NA"),'MITRE ATT&amp;CK Mappings'!$G380))),ISNUMBER(SEARCH(IF(B$2&lt;&gt;"",B$2,"NA"),'MITRE ATT&amp;CK Mappings'!$H380))),ISNUMBER(SEARCH(IF(B$3&lt;&gt;"",B$3,"NA"),'MITRE ATT&amp;CK Mappings'!$I380))),ISNUMBER(SEARCH(IF(B$3&lt;&gt;"",B$3,"NA"),'MITRE ATT&amp;CK Mappings'!$J380))), 'MITRE ATT&amp;CK Mappings'!$B380,"")</f>
        <v/>
      </c>
      <c r="C384" s="26" t="str">
        <f>IF(OR(OR(OR(OR(OR(ISNUMBER(SEARCH(IF(C$1&lt;&gt;"",C$1,"NA"),'MITRE ATT&amp;CK Mappings'!$E380)),ISNUMBER(SEARCH(IF(C$1&lt;&gt;"",C$1,"NA"),'MITRE ATT&amp;CK Mappings'!$F380))),ISNUMBER(SEARCH(IF(C$2&lt;&gt;"",C$2,"NA"),'MITRE ATT&amp;CK Mappings'!$G380))),ISNUMBER(SEARCH(IF(C$2&lt;&gt;"",C$2,"NA"),'MITRE ATT&amp;CK Mappings'!$H380))),ISNUMBER(SEARCH(IF(C$3&lt;&gt;"",C$3,"NA"),'MITRE ATT&amp;CK Mappings'!$I380))),ISNUMBER(SEARCH(IF(C$3&lt;&gt;"",C$3,"NA"),'MITRE ATT&amp;CK Mappings'!$J380))), 'MITRE ATT&amp;CK Mappings'!$B380,"")</f>
        <v/>
      </c>
      <c r="D384" s="26" t="str">
        <f>IF(OR(OR(OR(OR(OR(ISNUMBER(SEARCH(IF(D$1&lt;&gt;"",D$1,"NA"),'MITRE ATT&amp;CK Mappings'!$E380)),ISNUMBER(SEARCH(IF(D$1&lt;&gt;"",D$1,"NA"),'MITRE ATT&amp;CK Mappings'!$F380))),ISNUMBER(SEARCH(IF(D$2&lt;&gt;"",D$2,"NA"),'MITRE ATT&amp;CK Mappings'!$G380))),ISNUMBER(SEARCH(IF(D$2&lt;&gt;"",D$2,"NA"),'MITRE ATT&amp;CK Mappings'!$H380))),ISNUMBER(SEARCH(IF(D$3&lt;&gt;"",D$3,"NA"),'MITRE ATT&amp;CK Mappings'!$I380))),ISNUMBER(SEARCH(IF(D$3&lt;&gt;"",D$3,"NA"),'MITRE ATT&amp;CK Mappings'!$J380))), 'MITRE ATT&amp;CK Mappings'!$B380,"")</f>
        <v/>
      </c>
      <c r="E384" s="26" t="str">
        <f>IF(OR(OR(OR(OR(OR(ISNUMBER(SEARCH(IF(E$1&lt;&gt;"",E$1,"NA"),'MITRE ATT&amp;CK Mappings'!$E380)),ISNUMBER(SEARCH(IF(E$1&lt;&gt;"",E$1,"NA"),'MITRE ATT&amp;CK Mappings'!$F380))),ISNUMBER(SEARCH(IF(E$2&lt;&gt;"",E$2,"NA"),'MITRE ATT&amp;CK Mappings'!$G380))),ISNUMBER(SEARCH(IF(E$2&lt;&gt;"",E$2,"NA"),'MITRE ATT&amp;CK Mappings'!$H380))),ISNUMBER(SEARCH(IF(E$3&lt;&gt;"",E$3,"NA"),'MITRE ATT&amp;CK Mappings'!$I380))),ISNUMBER(SEARCH(IF(E$3&lt;&gt;"",E$3,"NA"),'MITRE ATT&amp;CK Mappings'!$J380))), 'MITRE ATT&amp;CK Mappings'!$B380,"")</f>
        <v/>
      </c>
      <c r="F384" s="26" t="str">
        <f>IF(OR(OR(OR(OR(OR(ISNUMBER(SEARCH(IF(F$1&lt;&gt;"",F$1,"NA"),'MITRE ATT&amp;CK Mappings'!$E380)),ISNUMBER(SEARCH(IF(F$1&lt;&gt;"",F$1,"NA"),'MITRE ATT&amp;CK Mappings'!$F380))),ISNUMBER(SEARCH(IF(F$2&lt;&gt;"",F$2,"NA"),'MITRE ATT&amp;CK Mappings'!$G380))),ISNUMBER(SEARCH(IF(F$2&lt;&gt;"",F$2,"NA"),'MITRE ATT&amp;CK Mappings'!$H380))),ISNUMBER(SEARCH(IF(F$3&lt;&gt;"",F$3,"NA"),'MITRE ATT&amp;CK Mappings'!$I380))),ISNUMBER(SEARCH(IF(F$3&lt;&gt;"",F$3,"NA"),'MITRE ATT&amp;CK Mappings'!$J380))), 'MITRE ATT&amp;CK Mappings'!$B380,"")</f>
        <v/>
      </c>
      <c r="G384" s="26" t="str">
        <f>IF(OR(OR(OR(OR(OR(ISNUMBER(SEARCH(IF(G$1&lt;&gt;"",G$1,"NA"),'MITRE ATT&amp;CK Mappings'!$E380)),ISNUMBER(SEARCH(IF(G$1&lt;&gt;"",G$1,"NA"),'MITRE ATT&amp;CK Mappings'!$F380))),ISNUMBER(SEARCH(IF(G$2&lt;&gt;"",G$2,"NA"),'MITRE ATT&amp;CK Mappings'!$G380))),ISNUMBER(SEARCH(IF(G$2&lt;&gt;"",G$2,"NA"),'MITRE ATT&amp;CK Mappings'!$H380))),ISNUMBER(SEARCH(IF(G$3&lt;&gt;"",G$3,"NA"),'MITRE ATT&amp;CK Mappings'!$I380))),ISNUMBER(SEARCH(IF(G$3&lt;&gt;"",G$3,"NA"),'MITRE ATT&amp;CK Mappings'!$J380))), 'MITRE ATT&amp;CK Mappings'!$B380,"")</f>
        <v/>
      </c>
      <c r="H384" s="26" t="str">
        <f>IF(OR(OR(OR(OR(OR(ISNUMBER(SEARCH(IF(H$1&lt;&gt;"",H$1,"NA"),'MITRE ATT&amp;CK Mappings'!$E380)),ISNUMBER(SEARCH(IF(H$1&lt;&gt;"",H$1,"NA"),'MITRE ATT&amp;CK Mappings'!$F380))),ISNUMBER(SEARCH(IF(H$2&lt;&gt;"",H$2,"NA"),'MITRE ATT&amp;CK Mappings'!$G380))),ISNUMBER(SEARCH(IF(H$2&lt;&gt;"",H$2,"NA"),'MITRE ATT&amp;CK Mappings'!$H380))),ISNUMBER(SEARCH(IF(H$3&lt;&gt;"",H$3,"NA"),'MITRE ATT&amp;CK Mappings'!$I380))),ISNUMBER(SEARCH(IF(H$3&lt;&gt;"",H$3,"NA"),'MITRE ATT&amp;CK Mappings'!$J380))), 'MITRE ATT&amp;CK Mappings'!$B380,"")</f>
        <v/>
      </c>
      <c r="I384" s="26" t="str">
        <f>IF(OR(OR(OR(OR(OR(ISNUMBER(SEARCH(IF(I$1&lt;&gt;"",I$1,"NA"),'MITRE ATT&amp;CK Mappings'!$E380)),ISNUMBER(SEARCH(IF(I$1&lt;&gt;"",I$1,"NA"),'MITRE ATT&amp;CK Mappings'!$F380))),ISNUMBER(SEARCH(IF(I$2&lt;&gt;"",I$2,"NA"),'MITRE ATT&amp;CK Mappings'!$G380))),ISNUMBER(SEARCH(IF(I$2&lt;&gt;"",I$2,"NA"),'MITRE ATT&amp;CK Mappings'!$H380))),ISNUMBER(SEARCH(IF(I$3&lt;&gt;"",I$3,"NA"),'MITRE ATT&amp;CK Mappings'!$I380))),ISNUMBER(SEARCH(IF(I$3&lt;&gt;"",I$3,"NA"),'MITRE ATT&amp;CK Mappings'!$J380))), 'MITRE ATT&amp;CK Mappings'!$B380,"")</f>
        <v/>
      </c>
      <c r="J384" s="26" t="str">
        <f>IF(OR(OR(OR(OR(OR(ISNUMBER(SEARCH(IF(J$1&lt;&gt;"",J$1,"NA"),'MITRE ATT&amp;CK Mappings'!$E380)),ISNUMBER(SEARCH(IF(J$1&lt;&gt;"",J$1,"NA"),'MITRE ATT&amp;CK Mappings'!$F380))),ISNUMBER(SEARCH(IF(J$2&lt;&gt;"",J$2,"NA"),'MITRE ATT&amp;CK Mappings'!$G380))),ISNUMBER(SEARCH(IF(J$2&lt;&gt;"",J$2,"NA"),'MITRE ATT&amp;CK Mappings'!$H380))),ISNUMBER(SEARCH(IF(J$3&lt;&gt;"",J$3,"NA"),'MITRE ATT&amp;CK Mappings'!$I380))),ISNUMBER(SEARCH(IF(J$3&lt;&gt;"",J$3,"NA"),'MITRE ATT&amp;CK Mappings'!$J380))), 'MITRE ATT&amp;CK Mappings'!$B380,"")</f>
        <v/>
      </c>
      <c r="K384" s="26" t="str">
        <f>IF(OR(OR(OR(OR(OR(ISNUMBER(SEARCH(IF(K$1&lt;&gt;"",K$1,"NA"),'MITRE ATT&amp;CK Mappings'!$E380)),ISNUMBER(SEARCH(IF(K$1&lt;&gt;"",K$1,"NA"),'MITRE ATT&amp;CK Mappings'!$F380))),ISNUMBER(SEARCH(IF(K$2&lt;&gt;"",K$2,"NA"),'MITRE ATT&amp;CK Mappings'!$G380))),ISNUMBER(SEARCH(IF(K$2&lt;&gt;"",K$2,"NA"),'MITRE ATT&amp;CK Mappings'!$H380))),ISNUMBER(SEARCH(IF(K$3&lt;&gt;"",K$3,"NA"),'MITRE ATT&amp;CK Mappings'!$I380))),ISNUMBER(SEARCH(IF(K$3&lt;&gt;"",K$3,"NA"),'MITRE ATT&amp;CK Mappings'!$J380))), 'MITRE ATT&amp;CK Mappings'!$B380,"")</f>
        <v/>
      </c>
      <c r="L384" s="26" t="str">
        <f>IF('MITRE ATT&amp;CK Mappings'!D380 &lt;&gt;"",'MITRE ATT&amp;CK Mappings'!D380,"" )</f>
        <v/>
      </c>
    </row>
    <row r="385" spans="1:12" x14ac:dyDescent="0.25">
      <c r="A385" s="27" t="str">
        <f>IF(COUNTIF(B385:K385,"="&amp;'MITRE ATT&amp;CK Mappings'!B381)&gt;0,'MITRE ATT&amp;CK Mappings'!B381,"")</f>
        <v/>
      </c>
      <c r="B385" s="27" t="str">
        <f>IF(OR(OR(OR(OR(OR(ISNUMBER(SEARCH(IF(B$1&lt;&gt;"",B$1,"NA"),'MITRE ATT&amp;CK Mappings'!$E381)),ISNUMBER(SEARCH(IF(B$1&lt;&gt;"",B$1,"NA"),'MITRE ATT&amp;CK Mappings'!$F381))),ISNUMBER(SEARCH(IF(B$2&lt;&gt;"",B$2,"NA"),'MITRE ATT&amp;CK Mappings'!$G381))),ISNUMBER(SEARCH(IF(B$2&lt;&gt;"",B$2,"NA"),'MITRE ATT&amp;CK Mappings'!$H381))),ISNUMBER(SEARCH(IF(B$3&lt;&gt;"",B$3,"NA"),'MITRE ATT&amp;CK Mappings'!$I381))),ISNUMBER(SEARCH(IF(B$3&lt;&gt;"",B$3,"NA"),'MITRE ATT&amp;CK Mappings'!$J381))), 'MITRE ATT&amp;CK Mappings'!$B381,"")</f>
        <v/>
      </c>
      <c r="C385" s="27" t="str">
        <f>IF(OR(OR(OR(OR(OR(ISNUMBER(SEARCH(IF(C$1&lt;&gt;"",C$1,"NA"),'MITRE ATT&amp;CK Mappings'!$E381)),ISNUMBER(SEARCH(IF(C$1&lt;&gt;"",C$1,"NA"),'MITRE ATT&amp;CK Mappings'!$F381))),ISNUMBER(SEARCH(IF(C$2&lt;&gt;"",C$2,"NA"),'MITRE ATT&amp;CK Mappings'!$G381))),ISNUMBER(SEARCH(IF(C$2&lt;&gt;"",C$2,"NA"),'MITRE ATT&amp;CK Mappings'!$H381))),ISNUMBER(SEARCH(IF(C$3&lt;&gt;"",C$3,"NA"),'MITRE ATT&amp;CK Mappings'!$I381))),ISNUMBER(SEARCH(IF(C$3&lt;&gt;"",C$3,"NA"),'MITRE ATT&amp;CK Mappings'!$J381))), 'MITRE ATT&amp;CK Mappings'!$B381,"")</f>
        <v/>
      </c>
      <c r="D385" s="27" t="str">
        <f>IF(OR(OR(OR(OR(OR(ISNUMBER(SEARCH(IF(D$1&lt;&gt;"",D$1,"NA"),'MITRE ATT&amp;CK Mappings'!$E381)),ISNUMBER(SEARCH(IF(D$1&lt;&gt;"",D$1,"NA"),'MITRE ATT&amp;CK Mappings'!$F381))),ISNUMBER(SEARCH(IF(D$2&lt;&gt;"",D$2,"NA"),'MITRE ATT&amp;CK Mappings'!$G381))),ISNUMBER(SEARCH(IF(D$2&lt;&gt;"",D$2,"NA"),'MITRE ATT&amp;CK Mappings'!$H381))),ISNUMBER(SEARCH(IF(D$3&lt;&gt;"",D$3,"NA"),'MITRE ATT&amp;CK Mappings'!$I381))),ISNUMBER(SEARCH(IF(D$3&lt;&gt;"",D$3,"NA"),'MITRE ATT&amp;CK Mappings'!$J381))), 'MITRE ATT&amp;CK Mappings'!$B381,"")</f>
        <v/>
      </c>
      <c r="E385" s="27" t="str">
        <f>IF(OR(OR(OR(OR(OR(ISNUMBER(SEARCH(IF(E$1&lt;&gt;"",E$1,"NA"),'MITRE ATT&amp;CK Mappings'!$E381)),ISNUMBER(SEARCH(IF(E$1&lt;&gt;"",E$1,"NA"),'MITRE ATT&amp;CK Mappings'!$F381))),ISNUMBER(SEARCH(IF(E$2&lt;&gt;"",E$2,"NA"),'MITRE ATT&amp;CK Mappings'!$G381))),ISNUMBER(SEARCH(IF(E$2&lt;&gt;"",E$2,"NA"),'MITRE ATT&amp;CK Mappings'!$H381))),ISNUMBER(SEARCH(IF(E$3&lt;&gt;"",E$3,"NA"),'MITRE ATT&amp;CK Mappings'!$I381))),ISNUMBER(SEARCH(IF(E$3&lt;&gt;"",E$3,"NA"),'MITRE ATT&amp;CK Mappings'!$J381))), 'MITRE ATT&amp;CK Mappings'!$B381,"")</f>
        <v/>
      </c>
      <c r="F385" s="27" t="str">
        <f>IF(OR(OR(OR(OR(OR(ISNUMBER(SEARCH(IF(F$1&lt;&gt;"",F$1,"NA"),'MITRE ATT&amp;CK Mappings'!$E381)),ISNUMBER(SEARCH(IF(F$1&lt;&gt;"",F$1,"NA"),'MITRE ATT&amp;CK Mappings'!$F381))),ISNUMBER(SEARCH(IF(F$2&lt;&gt;"",F$2,"NA"),'MITRE ATT&amp;CK Mappings'!$G381))),ISNUMBER(SEARCH(IF(F$2&lt;&gt;"",F$2,"NA"),'MITRE ATT&amp;CK Mappings'!$H381))),ISNUMBER(SEARCH(IF(F$3&lt;&gt;"",F$3,"NA"),'MITRE ATT&amp;CK Mappings'!$I381))),ISNUMBER(SEARCH(IF(F$3&lt;&gt;"",F$3,"NA"),'MITRE ATT&amp;CK Mappings'!$J381))), 'MITRE ATT&amp;CK Mappings'!$B381,"")</f>
        <v/>
      </c>
      <c r="G385" s="27" t="str">
        <f>IF(OR(OR(OR(OR(OR(ISNUMBER(SEARCH(IF(G$1&lt;&gt;"",G$1,"NA"),'MITRE ATT&amp;CK Mappings'!$E381)),ISNUMBER(SEARCH(IF(G$1&lt;&gt;"",G$1,"NA"),'MITRE ATT&amp;CK Mappings'!$F381))),ISNUMBER(SEARCH(IF(G$2&lt;&gt;"",G$2,"NA"),'MITRE ATT&amp;CK Mappings'!$G381))),ISNUMBER(SEARCH(IF(G$2&lt;&gt;"",G$2,"NA"),'MITRE ATT&amp;CK Mappings'!$H381))),ISNUMBER(SEARCH(IF(G$3&lt;&gt;"",G$3,"NA"),'MITRE ATT&amp;CK Mappings'!$I381))),ISNUMBER(SEARCH(IF(G$3&lt;&gt;"",G$3,"NA"),'MITRE ATT&amp;CK Mappings'!$J381))), 'MITRE ATT&amp;CK Mappings'!$B381,"")</f>
        <v/>
      </c>
      <c r="H385" s="27" t="str">
        <f>IF(OR(OR(OR(OR(OR(ISNUMBER(SEARCH(IF(H$1&lt;&gt;"",H$1,"NA"),'MITRE ATT&amp;CK Mappings'!$E381)),ISNUMBER(SEARCH(IF(H$1&lt;&gt;"",H$1,"NA"),'MITRE ATT&amp;CK Mappings'!$F381))),ISNUMBER(SEARCH(IF(H$2&lt;&gt;"",H$2,"NA"),'MITRE ATT&amp;CK Mappings'!$G381))),ISNUMBER(SEARCH(IF(H$2&lt;&gt;"",H$2,"NA"),'MITRE ATT&amp;CK Mappings'!$H381))),ISNUMBER(SEARCH(IF(H$3&lt;&gt;"",H$3,"NA"),'MITRE ATT&amp;CK Mappings'!$I381))),ISNUMBER(SEARCH(IF(H$3&lt;&gt;"",H$3,"NA"),'MITRE ATT&amp;CK Mappings'!$J381))), 'MITRE ATT&amp;CK Mappings'!$B381,"")</f>
        <v/>
      </c>
      <c r="I385" s="27" t="str">
        <f>IF(OR(OR(OR(OR(OR(ISNUMBER(SEARCH(IF(I$1&lt;&gt;"",I$1,"NA"),'MITRE ATT&amp;CK Mappings'!$E381)),ISNUMBER(SEARCH(IF(I$1&lt;&gt;"",I$1,"NA"),'MITRE ATT&amp;CK Mappings'!$F381))),ISNUMBER(SEARCH(IF(I$2&lt;&gt;"",I$2,"NA"),'MITRE ATT&amp;CK Mappings'!$G381))),ISNUMBER(SEARCH(IF(I$2&lt;&gt;"",I$2,"NA"),'MITRE ATT&amp;CK Mappings'!$H381))),ISNUMBER(SEARCH(IF(I$3&lt;&gt;"",I$3,"NA"),'MITRE ATT&amp;CK Mappings'!$I381))),ISNUMBER(SEARCH(IF(I$3&lt;&gt;"",I$3,"NA"),'MITRE ATT&amp;CK Mappings'!$J381))), 'MITRE ATT&amp;CK Mappings'!$B381,"")</f>
        <v/>
      </c>
      <c r="J385" s="27" t="str">
        <f>IF(OR(OR(OR(OR(OR(ISNUMBER(SEARCH(IF(J$1&lt;&gt;"",J$1,"NA"),'MITRE ATT&amp;CK Mappings'!$E381)),ISNUMBER(SEARCH(IF(J$1&lt;&gt;"",J$1,"NA"),'MITRE ATT&amp;CK Mappings'!$F381))),ISNUMBER(SEARCH(IF(J$2&lt;&gt;"",J$2,"NA"),'MITRE ATT&amp;CK Mappings'!$G381))),ISNUMBER(SEARCH(IF(J$2&lt;&gt;"",J$2,"NA"),'MITRE ATT&amp;CK Mappings'!$H381))),ISNUMBER(SEARCH(IF(J$3&lt;&gt;"",J$3,"NA"),'MITRE ATT&amp;CK Mappings'!$I381))),ISNUMBER(SEARCH(IF(J$3&lt;&gt;"",J$3,"NA"),'MITRE ATT&amp;CK Mappings'!$J381))), 'MITRE ATT&amp;CK Mappings'!$B381,"")</f>
        <v/>
      </c>
      <c r="K385" s="27" t="str">
        <f>IF(OR(OR(OR(OR(OR(ISNUMBER(SEARCH(IF(K$1&lt;&gt;"",K$1,"NA"),'MITRE ATT&amp;CK Mappings'!$E381)),ISNUMBER(SEARCH(IF(K$1&lt;&gt;"",K$1,"NA"),'MITRE ATT&amp;CK Mappings'!$F381))),ISNUMBER(SEARCH(IF(K$2&lt;&gt;"",K$2,"NA"),'MITRE ATT&amp;CK Mappings'!$G381))),ISNUMBER(SEARCH(IF(K$2&lt;&gt;"",K$2,"NA"),'MITRE ATT&amp;CK Mappings'!$H381))),ISNUMBER(SEARCH(IF(K$3&lt;&gt;"",K$3,"NA"),'MITRE ATT&amp;CK Mappings'!$I381))),ISNUMBER(SEARCH(IF(K$3&lt;&gt;"",K$3,"NA"),'MITRE ATT&amp;CK Mappings'!$J381))), 'MITRE ATT&amp;CK Mappings'!$B381,"")</f>
        <v/>
      </c>
      <c r="L385" s="27" t="str">
        <f>IF('MITRE ATT&amp;CK Mappings'!D381 &lt;&gt;"",'MITRE ATT&amp;CK Mappings'!D381,"" )</f>
        <v/>
      </c>
    </row>
    <row r="386" spans="1:12" x14ac:dyDescent="0.25">
      <c r="A386" s="26" t="str">
        <f>IF(COUNTIF(B386:K386,"="&amp;'MITRE ATT&amp;CK Mappings'!B382)&gt;0,'MITRE ATT&amp;CK Mappings'!B382,"")</f>
        <v/>
      </c>
      <c r="B386" s="26" t="str">
        <f>IF(OR(OR(OR(OR(OR(ISNUMBER(SEARCH(IF(B$1&lt;&gt;"",B$1,"NA"),'MITRE ATT&amp;CK Mappings'!$E382)),ISNUMBER(SEARCH(IF(B$1&lt;&gt;"",B$1,"NA"),'MITRE ATT&amp;CK Mappings'!$F382))),ISNUMBER(SEARCH(IF(B$2&lt;&gt;"",B$2,"NA"),'MITRE ATT&amp;CK Mappings'!$G382))),ISNUMBER(SEARCH(IF(B$2&lt;&gt;"",B$2,"NA"),'MITRE ATT&amp;CK Mappings'!$H382))),ISNUMBER(SEARCH(IF(B$3&lt;&gt;"",B$3,"NA"),'MITRE ATT&amp;CK Mappings'!$I382))),ISNUMBER(SEARCH(IF(B$3&lt;&gt;"",B$3,"NA"),'MITRE ATT&amp;CK Mappings'!$J382))), 'MITRE ATT&amp;CK Mappings'!$B382,"")</f>
        <v/>
      </c>
      <c r="C386" s="26" t="str">
        <f>IF(OR(OR(OR(OR(OR(ISNUMBER(SEARCH(IF(C$1&lt;&gt;"",C$1,"NA"),'MITRE ATT&amp;CK Mappings'!$E382)),ISNUMBER(SEARCH(IF(C$1&lt;&gt;"",C$1,"NA"),'MITRE ATT&amp;CK Mappings'!$F382))),ISNUMBER(SEARCH(IF(C$2&lt;&gt;"",C$2,"NA"),'MITRE ATT&amp;CK Mappings'!$G382))),ISNUMBER(SEARCH(IF(C$2&lt;&gt;"",C$2,"NA"),'MITRE ATT&amp;CK Mappings'!$H382))),ISNUMBER(SEARCH(IF(C$3&lt;&gt;"",C$3,"NA"),'MITRE ATT&amp;CK Mappings'!$I382))),ISNUMBER(SEARCH(IF(C$3&lt;&gt;"",C$3,"NA"),'MITRE ATT&amp;CK Mappings'!$J382))), 'MITRE ATT&amp;CK Mappings'!$B382,"")</f>
        <v/>
      </c>
      <c r="D386" s="26" t="str">
        <f>IF(OR(OR(OR(OR(OR(ISNUMBER(SEARCH(IF(D$1&lt;&gt;"",D$1,"NA"),'MITRE ATT&amp;CK Mappings'!$E382)),ISNUMBER(SEARCH(IF(D$1&lt;&gt;"",D$1,"NA"),'MITRE ATT&amp;CK Mappings'!$F382))),ISNUMBER(SEARCH(IF(D$2&lt;&gt;"",D$2,"NA"),'MITRE ATT&amp;CK Mappings'!$G382))),ISNUMBER(SEARCH(IF(D$2&lt;&gt;"",D$2,"NA"),'MITRE ATT&amp;CK Mappings'!$H382))),ISNUMBER(SEARCH(IF(D$3&lt;&gt;"",D$3,"NA"),'MITRE ATT&amp;CK Mappings'!$I382))),ISNUMBER(SEARCH(IF(D$3&lt;&gt;"",D$3,"NA"),'MITRE ATT&amp;CK Mappings'!$J382))), 'MITRE ATT&amp;CK Mappings'!$B382,"")</f>
        <v/>
      </c>
      <c r="E386" s="26" t="str">
        <f>IF(OR(OR(OR(OR(OR(ISNUMBER(SEARCH(IF(E$1&lt;&gt;"",E$1,"NA"),'MITRE ATT&amp;CK Mappings'!$E382)),ISNUMBER(SEARCH(IF(E$1&lt;&gt;"",E$1,"NA"),'MITRE ATT&amp;CK Mappings'!$F382))),ISNUMBER(SEARCH(IF(E$2&lt;&gt;"",E$2,"NA"),'MITRE ATT&amp;CK Mappings'!$G382))),ISNUMBER(SEARCH(IF(E$2&lt;&gt;"",E$2,"NA"),'MITRE ATT&amp;CK Mappings'!$H382))),ISNUMBER(SEARCH(IF(E$3&lt;&gt;"",E$3,"NA"),'MITRE ATT&amp;CK Mappings'!$I382))),ISNUMBER(SEARCH(IF(E$3&lt;&gt;"",E$3,"NA"),'MITRE ATT&amp;CK Mappings'!$J382))), 'MITRE ATT&amp;CK Mappings'!$B382,"")</f>
        <v/>
      </c>
      <c r="F386" s="26" t="str">
        <f>IF(OR(OR(OR(OR(OR(ISNUMBER(SEARCH(IF(F$1&lt;&gt;"",F$1,"NA"),'MITRE ATT&amp;CK Mappings'!$E382)),ISNUMBER(SEARCH(IF(F$1&lt;&gt;"",F$1,"NA"),'MITRE ATT&amp;CK Mappings'!$F382))),ISNUMBER(SEARCH(IF(F$2&lt;&gt;"",F$2,"NA"),'MITRE ATT&amp;CK Mappings'!$G382))),ISNUMBER(SEARCH(IF(F$2&lt;&gt;"",F$2,"NA"),'MITRE ATT&amp;CK Mappings'!$H382))),ISNUMBER(SEARCH(IF(F$3&lt;&gt;"",F$3,"NA"),'MITRE ATT&amp;CK Mappings'!$I382))),ISNUMBER(SEARCH(IF(F$3&lt;&gt;"",F$3,"NA"),'MITRE ATT&amp;CK Mappings'!$J382))), 'MITRE ATT&amp;CK Mappings'!$B382,"")</f>
        <v/>
      </c>
      <c r="G386" s="26" t="str">
        <f>IF(OR(OR(OR(OR(OR(ISNUMBER(SEARCH(IF(G$1&lt;&gt;"",G$1,"NA"),'MITRE ATT&amp;CK Mappings'!$E382)),ISNUMBER(SEARCH(IF(G$1&lt;&gt;"",G$1,"NA"),'MITRE ATT&amp;CK Mappings'!$F382))),ISNUMBER(SEARCH(IF(G$2&lt;&gt;"",G$2,"NA"),'MITRE ATT&amp;CK Mappings'!$G382))),ISNUMBER(SEARCH(IF(G$2&lt;&gt;"",G$2,"NA"),'MITRE ATT&amp;CK Mappings'!$H382))),ISNUMBER(SEARCH(IF(G$3&lt;&gt;"",G$3,"NA"),'MITRE ATT&amp;CK Mappings'!$I382))),ISNUMBER(SEARCH(IF(G$3&lt;&gt;"",G$3,"NA"),'MITRE ATT&amp;CK Mappings'!$J382))), 'MITRE ATT&amp;CK Mappings'!$B382,"")</f>
        <v/>
      </c>
      <c r="H386" s="26" t="str">
        <f>IF(OR(OR(OR(OR(OR(ISNUMBER(SEARCH(IF(H$1&lt;&gt;"",H$1,"NA"),'MITRE ATT&amp;CK Mappings'!$E382)),ISNUMBER(SEARCH(IF(H$1&lt;&gt;"",H$1,"NA"),'MITRE ATT&amp;CK Mappings'!$F382))),ISNUMBER(SEARCH(IF(H$2&lt;&gt;"",H$2,"NA"),'MITRE ATT&amp;CK Mappings'!$G382))),ISNUMBER(SEARCH(IF(H$2&lt;&gt;"",H$2,"NA"),'MITRE ATT&amp;CK Mappings'!$H382))),ISNUMBER(SEARCH(IF(H$3&lt;&gt;"",H$3,"NA"),'MITRE ATT&amp;CK Mappings'!$I382))),ISNUMBER(SEARCH(IF(H$3&lt;&gt;"",H$3,"NA"),'MITRE ATT&amp;CK Mappings'!$J382))), 'MITRE ATT&amp;CK Mappings'!$B382,"")</f>
        <v/>
      </c>
      <c r="I386" s="26" t="str">
        <f>IF(OR(OR(OR(OR(OR(ISNUMBER(SEARCH(IF(I$1&lt;&gt;"",I$1,"NA"),'MITRE ATT&amp;CK Mappings'!$E382)),ISNUMBER(SEARCH(IF(I$1&lt;&gt;"",I$1,"NA"),'MITRE ATT&amp;CK Mappings'!$F382))),ISNUMBER(SEARCH(IF(I$2&lt;&gt;"",I$2,"NA"),'MITRE ATT&amp;CK Mappings'!$G382))),ISNUMBER(SEARCH(IF(I$2&lt;&gt;"",I$2,"NA"),'MITRE ATT&amp;CK Mappings'!$H382))),ISNUMBER(SEARCH(IF(I$3&lt;&gt;"",I$3,"NA"),'MITRE ATT&amp;CK Mappings'!$I382))),ISNUMBER(SEARCH(IF(I$3&lt;&gt;"",I$3,"NA"),'MITRE ATT&amp;CK Mappings'!$J382))), 'MITRE ATT&amp;CK Mappings'!$B382,"")</f>
        <v/>
      </c>
      <c r="J386" s="26" t="str">
        <f>IF(OR(OR(OR(OR(OR(ISNUMBER(SEARCH(IF(J$1&lt;&gt;"",J$1,"NA"),'MITRE ATT&amp;CK Mappings'!$E382)),ISNUMBER(SEARCH(IF(J$1&lt;&gt;"",J$1,"NA"),'MITRE ATT&amp;CK Mappings'!$F382))),ISNUMBER(SEARCH(IF(J$2&lt;&gt;"",J$2,"NA"),'MITRE ATT&amp;CK Mappings'!$G382))),ISNUMBER(SEARCH(IF(J$2&lt;&gt;"",J$2,"NA"),'MITRE ATT&amp;CK Mappings'!$H382))),ISNUMBER(SEARCH(IF(J$3&lt;&gt;"",J$3,"NA"),'MITRE ATT&amp;CK Mappings'!$I382))),ISNUMBER(SEARCH(IF(J$3&lt;&gt;"",J$3,"NA"),'MITRE ATT&amp;CK Mappings'!$J382))), 'MITRE ATT&amp;CK Mappings'!$B382,"")</f>
        <v/>
      </c>
      <c r="K386" s="26" t="str">
        <f>IF(OR(OR(OR(OR(OR(ISNUMBER(SEARCH(IF(K$1&lt;&gt;"",K$1,"NA"),'MITRE ATT&amp;CK Mappings'!$E382)),ISNUMBER(SEARCH(IF(K$1&lt;&gt;"",K$1,"NA"),'MITRE ATT&amp;CK Mappings'!$F382))),ISNUMBER(SEARCH(IF(K$2&lt;&gt;"",K$2,"NA"),'MITRE ATT&amp;CK Mappings'!$G382))),ISNUMBER(SEARCH(IF(K$2&lt;&gt;"",K$2,"NA"),'MITRE ATT&amp;CK Mappings'!$H382))),ISNUMBER(SEARCH(IF(K$3&lt;&gt;"",K$3,"NA"),'MITRE ATT&amp;CK Mappings'!$I382))),ISNUMBER(SEARCH(IF(K$3&lt;&gt;"",K$3,"NA"),'MITRE ATT&amp;CK Mappings'!$J382))), 'MITRE ATT&amp;CK Mappings'!$B382,"")</f>
        <v/>
      </c>
      <c r="L386" s="26" t="str">
        <f>IF('MITRE ATT&amp;CK Mappings'!D382 &lt;&gt;"",'MITRE ATT&amp;CK Mappings'!D382,"" )</f>
        <v/>
      </c>
    </row>
    <row r="387" spans="1:12" x14ac:dyDescent="0.25">
      <c r="A387" s="27" t="str">
        <f>IF(COUNTIF(B387:K387,"="&amp;'MITRE ATT&amp;CK Mappings'!B383)&gt;0,'MITRE ATT&amp;CK Mappings'!B383,"")</f>
        <v/>
      </c>
      <c r="B387" s="27" t="str">
        <f>IF(OR(OR(OR(OR(OR(ISNUMBER(SEARCH(IF(B$1&lt;&gt;"",B$1,"NA"),'MITRE ATT&amp;CK Mappings'!$E383)),ISNUMBER(SEARCH(IF(B$1&lt;&gt;"",B$1,"NA"),'MITRE ATT&amp;CK Mappings'!$F383))),ISNUMBER(SEARCH(IF(B$2&lt;&gt;"",B$2,"NA"),'MITRE ATT&amp;CK Mappings'!$G383))),ISNUMBER(SEARCH(IF(B$2&lt;&gt;"",B$2,"NA"),'MITRE ATT&amp;CK Mappings'!$H383))),ISNUMBER(SEARCH(IF(B$3&lt;&gt;"",B$3,"NA"),'MITRE ATT&amp;CK Mappings'!$I383))),ISNUMBER(SEARCH(IF(B$3&lt;&gt;"",B$3,"NA"),'MITRE ATT&amp;CK Mappings'!$J383))), 'MITRE ATT&amp;CK Mappings'!$B383,"")</f>
        <v/>
      </c>
      <c r="C387" s="27" t="str">
        <f>IF(OR(OR(OR(OR(OR(ISNUMBER(SEARCH(IF(C$1&lt;&gt;"",C$1,"NA"),'MITRE ATT&amp;CK Mappings'!$E383)),ISNUMBER(SEARCH(IF(C$1&lt;&gt;"",C$1,"NA"),'MITRE ATT&amp;CK Mappings'!$F383))),ISNUMBER(SEARCH(IF(C$2&lt;&gt;"",C$2,"NA"),'MITRE ATT&amp;CK Mappings'!$G383))),ISNUMBER(SEARCH(IF(C$2&lt;&gt;"",C$2,"NA"),'MITRE ATT&amp;CK Mappings'!$H383))),ISNUMBER(SEARCH(IF(C$3&lt;&gt;"",C$3,"NA"),'MITRE ATT&amp;CK Mappings'!$I383))),ISNUMBER(SEARCH(IF(C$3&lt;&gt;"",C$3,"NA"),'MITRE ATT&amp;CK Mappings'!$J383))), 'MITRE ATT&amp;CK Mappings'!$B383,"")</f>
        <v/>
      </c>
      <c r="D387" s="27" t="str">
        <f>IF(OR(OR(OR(OR(OR(ISNUMBER(SEARCH(IF(D$1&lt;&gt;"",D$1,"NA"),'MITRE ATT&amp;CK Mappings'!$E383)),ISNUMBER(SEARCH(IF(D$1&lt;&gt;"",D$1,"NA"),'MITRE ATT&amp;CK Mappings'!$F383))),ISNUMBER(SEARCH(IF(D$2&lt;&gt;"",D$2,"NA"),'MITRE ATT&amp;CK Mappings'!$G383))),ISNUMBER(SEARCH(IF(D$2&lt;&gt;"",D$2,"NA"),'MITRE ATT&amp;CK Mappings'!$H383))),ISNUMBER(SEARCH(IF(D$3&lt;&gt;"",D$3,"NA"),'MITRE ATT&amp;CK Mappings'!$I383))),ISNUMBER(SEARCH(IF(D$3&lt;&gt;"",D$3,"NA"),'MITRE ATT&amp;CK Mappings'!$J383))), 'MITRE ATT&amp;CK Mappings'!$B383,"")</f>
        <v/>
      </c>
      <c r="E387" s="27" t="str">
        <f>IF(OR(OR(OR(OR(OR(ISNUMBER(SEARCH(IF(E$1&lt;&gt;"",E$1,"NA"),'MITRE ATT&amp;CK Mappings'!$E383)),ISNUMBER(SEARCH(IF(E$1&lt;&gt;"",E$1,"NA"),'MITRE ATT&amp;CK Mappings'!$F383))),ISNUMBER(SEARCH(IF(E$2&lt;&gt;"",E$2,"NA"),'MITRE ATT&amp;CK Mappings'!$G383))),ISNUMBER(SEARCH(IF(E$2&lt;&gt;"",E$2,"NA"),'MITRE ATT&amp;CK Mappings'!$H383))),ISNUMBER(SEARCH(IF(E$3&lt;&gt;"",E$3,"NA"),'MITRE ATT&amp;CK Mappings'!$I383))),ISNUMBER(SEARCH(IF(E$3&lt;&gt;"",E$3,"NA"),'MITRE ATT&amp;CK Mappings'!$J383))), 'MITRE ATT&amp;CK Mappings'!$B383,"")</f>
        <v/>
      </c>
      <c r="F387" s="27" t="str">
        <f>IF(OR(OR(OR(OR(OR(ISNUMBER(SEARCH(IF(F$1&lt;&gt;"",F$1,"NA"),'MITRE ATT&amp;CK Mappings'!$E383)),ISNUMBER(SEARCH(IF(F$1&lt;&gt;"",F$1,"NA"),'MITRE ATT&amp;CK Mappings'!$F383))),ISNUMBER(SEARCH(IF(F$2&lt;&gt;"",F$2,"NA"),'MITRE ATT&amp;CK Mappings'!$G383))),ISNUMBER(SEARCH(IF(F$2&lt;&gt;"",F$2,"NA"),'MITRE ATT&amp;CK Mappings'!$H383))),ISNUMBER(SEARCH(IF(F$3&lt;&gt;"",F$3,"NA"),'MITRE ATT&amp;CK Mappings'!$I383))),ISNUMBER(SEARCH(IF(F$3&lt;&gt;"",F$3,"NA"),'MITRE ATT&amp;CK Mappings'!$J383))), 'MITRE ATT&amp;CK Mappings'!$B383,"")</f>
        <v/>
      </c>
      <c r="G387" s="27" t="str">
        <f>IF(OR(OR(OR(OR(OR(ISNUMBER(SEARCH(IF(G$1&lt;&gt;"",G$1,"NA"),'MITRE ATT&amp;CK Mappings'!$E383)),ISNUMBER(SEARCH(IF(G$1&lt;&gt;"",G$1,"NA"),'MITRE ATT&amp;CK Mappings'!$F383))),ISNUMBER(SEARCH(IF(G$2&lt;&gt;"",G$2,"NA"),'MITRE ATT&amp;CK Mappings'!$G383))),ISNUMBER(SEARCH(IF(G$2&lt;&gt;"",G$2,"NA"),'MITRE ATT&amp;CK Mappings'!$H383))),ISNUMBER(SEARCH(IF(G$3&lt;&gt;"",G$3,"NA"),'MITRE ATT&amp;CK Mappings'!$I383))),ISNUMBER(SEARCH(IF(G$3&lt;&gt;"",G$3,"NA"),'MITRE ATT&amp;CK Mappings'!$J383))), 'MITRE ATT&amp;CK Mappings'!$B383,"")</f>
        <v/>
      </c>
      <c r="H387" s="27" t="str">
        <f>IF(OR(OR(OR(OR(OR(ISNUMBER(SEARCH(IF(H$1&lt;&gt;"",H$1,"NA"),'MITRE ATT&amp;CK Mappings'!$E383)),ISNUMBER(SEARCH(IF(H$1&lt;&gt;"",H$1,"NA"),'MITRE ATT&amp;CK Mappings'!$F383))),ISNUMBER(SEARCH(IF(H$2&lt;&gt;"",H$2,"NA"),'MITRE ATT&amp;CK Mappings'!$G383))),ISNUMBER(SEARCH(IF(H$2&lt;&gt;"",H$2,"NA"),'MITRE ATT&amp;CK Mappings'!$H383))),ISNUMBER(SEARCH(IF(H$3&lt;&gt;"",H$3,"NA"),'MITRE ATT&amp;CK Mappings'!$I383))),ISNUMBER(SEARCH(IF(H$3&lt;&gt;"",H$3,"NA"),'MITRE ATT&amp;CK Mappings'!$J383))), 'MITRE ATT&amp;CK Mappings'!$B383,"")</f>
        <v/>
      </c>
      <c r="I387" s="27" t="str">
        <f>IF(OR(OR(OR(OR(OR(ISNUMBER(SEARCH(IF(I$1&lt;&gt;"",I$1,"NA"),'MITRE ATT&amp;CK Mappings'!$E383)),ISNUMBER(SEARCH(IF(I$1&lt;&gt;"",I$1,"NA"),'MITRE ATT&amp;CK Mappings'!$F383))),ISNUMBER(SEARCH(IF(I$2&lt;&gt;"",I$2,"NA"),'MITRE ATT&amp;CK Mappings'!$G383))),ISNUMBER(SEARCH(IF(I$2&lt;&gt;"",I$2,"NA"),'MITRE ATT&amp;CK Mappings'!$H383))),ISNUMBER(SEARCH(IF(I$3&lt;&gt;"",I$3,"NA"),'MITRE ATT&amp;CK Mappings'!$I383))),ISNUMBER(SEARCH(IF(I$3&lt;&gt;"",I$3,"NA"),'MITRE ATT&amp;CK Mappings'!$J383))), 'MITRE ATT&amp;CK Mappings'!$B383,"")</f>
        <v/>
      </c>
      <c r="J387" s="27" t="str">
        <f>IF(OR(OR(OR(OR(OR(ISNUMBER(SEARCH(IF(J$1&lt;&gt;"",J$1,"NA"),'MITRE ATT&amp;CK Mappings'!$E383)),ISNUMBER(SEARCH(IF(J$1&lt;&gt;"",J$1,"NA"),'MITRE ATT&amp;CK Mappings'!$F383))),ISNUMBER(SEARCH(IF(J$2&lt;&gt;"",J$2,"NA"),'MITRE ATT&amp;CK Mappings'!$G383))),ISNUMBER(SEARCH(IF(J$2&lt;&gt;"",J$2,"NA"),'MITRE ATT&amp;CK Mappings'!$H383))),ISNUMBER(SEARCH(IF(J$3&lt;&gt;"",J$3,"NA"),'MITRE ATT&amp;CK Mappings'!$I383))),ISNUMBER(SEARCH(IF(J$3&lt;&gt;"",J$3,"NA"),'MITRE ATT&amp;CK Mappings'!$J383))), 'MITRE ATT&amp;CK Mappings'!$B383,"")</f>
        <v/>
      </c>
      <c r="K387" s="27" t="str">
        <f>IF(OR(OR(OR(OR(OR(ISNUMBER(SEARCH(IF(K$1&lt;&gt;"",K$1,"NA"),'MITRE ATT&amp;CK Mappings'!$E383)),ISNUMBER(SEARCH(IF(K$1&lt;&gt;"",K$1,"NA"),'MITRE ATT&amp;CK Mappings'!$F383))),ISNUMBER(SEARCH(IF(K$2&lt;&gt;"",K$2,"NA"),'MITRE ATT&amp;CK Mappings'!$G383))),ISNUMBER(SEARCH(IF(K$2&lt;&gt;"",K$2,"NA"),'MITRE ATT&amp;CK Mappings'!$H383))),ISNUMBER(SEARCH(IF(K$3&lt;&gt;"",K$3,"NA"),'MITRE ATT&amp;CK Mappings'!$I383))),ISNUMBER(SEARCH(IF(K$3&lt;&gt;"",K$3,"NA"),'MITRE ATT&amp;CK Mappings'!$J383))), 'MITRE ATT&amp;CK Mappings'!$B383,"")</f>
        <v/>
      </c>
      <c r="L387" s="27" t="str">
        <f>IF('MITRE ATT&amp;CK Mappings'!D383 &lt;&gt;"",'MITRE ATT&amp;CK Mappings'!D383,"" )</f>
        <v/>
      </c>
    </row>
    <row r="388" spans="1:12" x14ac:dyDescent="0.25">
      <c r="A388" s="26" t="str">
        <f>IF(COUNTIF(B388:K388,"="&amp;'MITRE ATT&amp;CK Mappings'!B384)&gt;0,'MITRE ATT&amp;CK Mappings'!B384,"")</f>
        <v/>
      </c>
      <c r="B388" s="26" t="str">
        <f>IF(OR(OR(OR(OR(OR(ISNUMBER(SEARCH(IF(B$1&lt;&gt;"",B$1,"NA"),'MITRE ATT&amp;CK Mappings'!$E384)),ISNUMBER(SEARCH(IF(B$1&lt;&gt;"",B$1,"NA"),'MITRE ATT&amp;CK Mappings'!$F384))),ISNUMBER(SEARCH(IF(B$2&lt;&gt;"",B$2,"NA"),'MITRE ATT&amp;CK Mappings'!$G384))),ISNUMBER(SEARCH(IF(B$2&lt;&gt;"",B$2,"NA"),'MITRE ATT&amp;CK Mappings'!$H384))),ISNUMBER(SEARCH(IF(B$3&lt;&gt;"",B$3,"NA"),'MITRE ATT&amp;CK Mappings'!$I384))),ISNUMBER(SEARCH(IF(B$3&lt;&gt;"",B$3,"NA"),'MITRE ATT&amp;CK Mappings'!$J384))), 'MITRE ATT&amp;CK Mappings'!$B384,"")</f>
        <v/>
      </c>
      <c r="C388" s="26" t="str">
        <f>IF(OR(OR(OR(OR(OR(ISNUMBER(SEARCH(IF(C$1&lt;&gt;"",C$1,"NA"),'MITRE ATT&amp;CK Mappings'!$E384)),ISNUMBER(SEARCH(IF(C$1&lt;&gt;"",C$1,"NA"),'MITRE ATT&amp;CK Mappings'!$F384))),ISNUMBER(SEARCH(IF(C$2&lt;&gt;"",C$2,"NA"),'MITRE ATT&amp;CK Mappings'!$G384))),ISNUMBER(SEARCH(IF(C$2&lt;&gt;"",C$2,"NA"),'MITRE ATT&amp;CK Mappings'!$H384))),ISNUMBER(SEARCH(IF(C$3&lt;&gt;"",C$3,"NA"),'MITRE ATT&amp;CK Mappings'!$I384))),ISNUMBER(SEARCH(IF(C$3&lt;&gt;"",C$3,"NA"),'MITRE ATT&amp;CK Mappings'!$J384))), 'MITRE ATT&amp;CK Mappings'!$B384,"")</f>
        <v/>
      </c>
      <c r="D388" s="26" t="str">
        <f>IF(OR(OR(OR(OR(OR(ISNUMBER(SEARCH(IF(D$1&lt;&gt;"",D$1,"NA"),'MITRE ATT&amp;CK Mappings'!$E384)),ISNUMBER(SEARCH(IF(D$1&lt;&gt;"",D$1,"NA"),'MITRE ATT&amp;CK Mappings'!$F384))),ISNUMBER(SEARCH(IF(D$2&lt;&gt;"",D$2,"NA"),'MITRE ATT&amp;CK Mappings'!$G384))),ISNUMBER(SEARCH(IF(D$2&lt;&gt;"",D$2,"NA"),'MITRE ATT&amp;CK Mappings'!$H384))),ISNUMBER(SEARCH(IF(D$3&lt;&gt;"",D$3,"NA"),'MITRE ATT&amp;CK Mappings'!$I384))),ISNUMBER(SEARCH(IF(D$3&lt;&gt;"",D$3,"NA"),'MITRE ATT&amp;CK Mappings'!$J384))), 'MITRE ATT&amp;CK Mappings'!$B384,"")</f>
        <v/>
      </c>
      <c r="E388" s="26" t="str">
        <f>IF(OR(OR(OR(OR(OR(ISNUMBER(SEARCH(IF(E$1&lt;&gt;"",E$1,"NA"),'MITRE ATT&amp;CK Mappings'!$E384)),ISNUMBER(SEARCH(IF(E$1&lt;&gt;"",E$1,"NA"),'MITRE ATT&amp;CK Mappings'!$F384))),ISNUMBER(SEARCH(IF(E$2&lt;&gt;"",E$2,"NA"),'MITRE ATT&amp;CK Mappings'!$G384))),ISNUMBER(SEARCH(IF(E$2&lt;&gt;"",E$2,"NA"),'MITRE ATT&amp;CK Mappings'!$H384))),ISNUMBER(SEARCH(IF(E$3&lt;&gt;"",E$3,"NA"),'MITRE ATT&amp;CK Mappings'!$I384))),ISNUMBER(SEARCH(IF(E$3&lt;&gt;"",E$3,"NA"),'MITRE ATT&amp;CK Mappings'!$J384))), 'MITRE ATT&amp;CK Mappings'!$B384,"")</f>
        <v/>
      </c>
      <c r="F388" s="26" t="str">
        <f>IF(OR(OR(OR(OR(OR(ISNUMBER(SEARCH(IF(F$1&lt;&gt;"",F$1,"NA"),'MITRE ATT&amp;CK Mappings'!$E384)),ISNUMBER(SEARCH(IF(F$1&lt;&gt;"",F$1,"NA"),'MITRE ATT&amp;CK Mappings'!$F384))),ISNUMBER(SEARCH(IF(F$2&lt;&gt;"",F$2,"NA"),'MITRE ATT&amp;CK Mappings'!$G384))),ISNUMBER(SEARCH(IF(F$2&lt;&gt;"",F$2,"NA"),'MITRE ATT&amp;CK Mappings'!$H384))),ISNUMBER(SEARCH(IF(F$3&lt;&gt;"",F$3,"NA"),'MITRE ATT&amp;CK Mappings'!$I384))),ISNUMBER(SEARCH(IF(F$3&lt;&gt;"",F$3,"NA"),'MITRE ATT&amp;CK Mappings'!$J384))), 'MITRE ATT&amp;CK Mappings'!$B384,"")</f>
        <v/>
      </c>
      <c r="G388" s="26" t="str">
        <f>IF(OR(OR(OR(OR(OR(ISNUMBER(SEARCH(IF(G$1&lt;&gt;"",G$1,"NA"),'MITRE ATT&amp;CK Mappings'!$E384)),ISNUMBER(SEARCH(IF(G$1&lt;&gt;"",G$1,"NA"),'MITRE ATT&amp;CK Mappings'!$F384))),ISNUMBER(SEARCH(IF(G$2&lt;&gt;"",G$2,"NA"),'MITRE ATT&amp;CK Mappings'!$G384))),ISNUMBER(SEARCH(IF(G$2&lt;&gt;"",G$2,"NA"),'MITRE ATT&amp;CK Mappings'!$H384))),ISNUMBER(SEARCH(IF(G$3&lt;&gt;"",G$3,"NA"),'MITRE ATT&amp;CK Mappings'!$I384))),ISNUMBER(SEARCH(IF(G$3&lt;&gt;"",G$3,"NA"),'MITRE ATT&amp;CK Mappings'!$J384))), 'MITRE ATT&amp;CK Mappings'!$B384,"")</f>
        <v/>
      </c>
      <c r="H388" s="26" t="str">
        <f>IF(OR(OR(OR(OR(OR(ISNUMBER(SEARCH(IF(H$1&lt;&gt;"",H$1,"NA"),'MITRE ATT&amp;CK Mappings'!$E384)),ISNUMBER(SEARCH(IF(H$1&lt;&gt;"",H$1,"NA"),'MITRE ATT&amp;CK Mappings'!$F384))),ISNUMBER(SEARCH(IF(H$2&lt;&gt;"",H$2,"NA"),'MITRE ATT&amp;CK Mappings'!$G384))),ISNUMBER(SEARCH(IF(H$2&lt;&gt;"",H$2,"NA"),'MITRE ATT&amp;CK Mappings'!$H384))),ISNUMBER(SEARCH(IF(H$3&lt;&gt;"",H$3,"NA"),'MITRE ATT&amp;CK Mappings'!$I384))),ISNUMBER(SEARCH(IF(H$3&lt;&gt;"",H$3,"NA"),'MITRE ATT&amp;CK Mappings'!$J384))), 'MITRE ATT&amp;CK Mappings'!$B384,"")</f>
        <v/>
      </c>
      <c r="I388" s="26" t="str">
        <f>IF(OR(OR(OR(OR(OR(ISNUMBER(SEARCH(IF(I$1&lt;&gt;"",I$1,"NA"),'MITRE ATT&amp;CK Mappings'!$E384)),ISNUMBER(SEARCH(IF(I$1&lt;&gt;"",I$1,"NA"),'MITRE ATT&amp;CK Mappings'!$F384))),ISNUMBER(SEARCH(IF(I$2&lt;&gt;"",I$2,"NA"),'MITRE ATT&amp;CK Mappings'!$G384))),ISNUMBER(SEARCH(IF(I$2&lt;&gt;"",I$2,"NA"),'MITRE ATT&amp;CK Mappings'!$H384))),ISNUMBER(SEARCH(IF(I$3&lt;&gt;"",I$3,"NA"),'MITRE ATT&amp;CK Mappings'!$I384))),ISNUMBER(SEARCH(IF(I$3&lt;&gt;"",I$3,"NA"),'MITRE ATT&amp;CK Mappings'!$J384))), 'MITRE ATT&amp;CK Mappings'!$B384,"")</f>
        <v/>
      </c>
      <c r="J388" s="26" t="str">
        <f>IF(OR(OR(OR(OR(OR(ISNUMBER(SEARCH(IF(J$1&lt;&gt;"",J$1,"NA"),'MITRE ATT&amp;CK Mappings'!$E384)),ISNUMBER(SEARCH(IF(J$1&lt;&gt;"",J$1,"NA"),'MITRE ATT&amp;CK Mappings'!$F384))),ISNUMBER(SEARCH(IF(J$2&lt;&gt;"",J$2,"NA"),'MITRE ATT&amp;CK Mappings'!$G384))),ISNUMBER(SEARCH(IF(J$2&lt;&gt;"",J$2,"NA"),'MITRE ATT&amp;CK Mappings'!$H384))),ISNUMBER(SEARCH(IF(J$3&lt;&gt;"",J$3,"NA"),'MITRE ATT&amp;CK Mappings'!$I384))),ISNUMBER(SEARCH(IF(J$3&lt;&gt;"",J$3,"NA"),'MITRE ATT&amp;CK Mappings'!$J384))), 'MITRE ATT&amp;CK Mappings'!$B384,"")</f>
        <v/>
      </c>
      <c r="K388" s="26" t="str">
        <f>IF(OR(OR(OR(OR(OR(ISNUMBER(SEARCH(IF(K$1&lt;&gt;"",K$1,"NA"),'MITRE ATT&amp;CK Mappings'!$E384)),ISNUMBER(SEARCH(IF(K$1&lt;&gt;"",K$1,"NA"),'MITRE ATT&amp;CK Mappings'!$F384))),ISNUMBER(SEARCH(IF(K$2&lt;&gt;"",K$2,"NA"),'MITRE ATT&amp;CK Mappings'!$G384))),ISNUMBER(SEARCH(IF(K$2&lt;&gt;"",K$2,"NA"),'MITRE ATT&amp;CK Mappings'!$H384))),ISNUMBER(SEARCH(IF(K$3&lt;&gt;"",K$3,"NA"),'MITRE ATT&amp;CK Mappings'!$I384))),ISNUMBER(SEARCH(IF(K$3&lt;&gt;"",K$3,"NA"),'MITRE ATT&amp;CK Mappings'!$J384))), 'MITRE ATT&amp;CK Mappings'!$B384,"")</f>
        <v/>
      </c>
      <c r="L388" s="26" t="str">
        <f>IF('MITRE ATT&amp;CK Mappings'!D384 &lt;&gt;"",'MITRE ATT&amp;CK Mappings'!D384,"" )</f>
        <v/>
      </c>
    </row>
    <row r="389" spans="1:12" x14ac:dyDescent="0.25">
      <c r="A389" s="27" t="str">
        <f>IF(COUNTIF(B389:K389,"="&amp;'MITRE ATT&amp;CK Mappings'!B385)&gt;0,'MITRE ATT&amp;CK Mappings'!B385,"")</f>
        <v/>
      </c>
      <c r="B389" s="27" t="str">
        <f>IF(OR(OR(OR(OR(OR(ISNUMBER(SEARCH(IF(B$1&lt;&gt;"",B$1,"NA"),'MITRE ATT&amp;CK Mappings'!$E385)),ISNUMBER(SEARCH(IF(B$1&lt;&gt;"",B$1,"NA"),'MITRE ATT&amp;CK Mappings'!$F385))),ISNUMBER(SEARCH(IF(B$2&lt;&gt;"",B$2,"NA"),'MITRE ATT&amp;CK Mappings'!$G385))),ISNUMBER(SEARCH(IF(B$2&lt;&gt;"",B$2,"NA"),'MITRE ATT&amp;CK Mappings'!$H385))),ISNUMBER(SEARCH(IF(B$3&lt;&gt;"",B$3,"NA"),'MITRE ATT&amp;CK Mappings'!$I385))),ISNUMBER(SEARCH(IF(B$3&lt;&gt;"",B$3,"NA"),'MITRE ATT&amp;CK Mappings'!$J385))), 'MITRE ATT&amp;CK Mappings'!$B385,"")</f>
        <v/>
      </c>
      <c r="C389" s="27" t="str">
        <f>IF(OR(OR(OR(OR(OR(ISNUMBER(SEARCH(IF(C$1&lt;&gt;"",C$1,"NA"),'MITRE ATT&amp;CK Mappings'!$E385)),ISNUMBER(SEARCH(IF(C$1&lt;&gt;"",C$1,"NA"),'MITRE ATT&amp;CK Mappings'!$F385))),ISNUMBER(SEARCH(IF(C$2&lt;&gt;"",C$2,"NA"),'MITRE ATT&amp;CK Mappings'!$G385))),ISNUMBER(SEARCH(IF(C$2&lt;&gt;"",C$2,"NA"),'MITRE ATT&amp;CK Mappings'!$H385))),ISNUMBER(SEARCH(IF(C$3&lt;&gt;"",C$3,"NA"),'MITRE ATT&amp;CK Mappings'!$I385))),ISNUMBER(SEARCH(IF(C$3&lt;&gt;"",C$3,"NA"),'MITRE ATT&amp;CK Mappings'!$J385))), 'MITRE ATT&amp;CK Mappings'!$B385,"")</f>
        <v/>
      </c>
      <c r="D389" s="27" t="str">
        <f>IF(OR(OR(OR(OR(OR(ISNUMBER(SEARCH(IF(D$1&lt;&gt;"",D$1,"NA"),'MITRE ATT&amp;CK Mappings'!$E385)),ISNUMBER(SEARCH(IF(D$1&lt;&gt;"",D$1,"NA"),'MITRE ATT&amp;CK Mappings'!$F385))),ISNUMBER(SEARCH(IF(D$2&lt;&gt;"",D$2,"NA"),'MITRE ATT&amp;CK Mappings'!$G385))),ISNUMBER(SEARCH(IF(D$2&lt;&gt;"",D$2,"NA"),'MITRE ATT&amp;CK Mappings'!$H385))),ISNUMBER(SEARCH(IF(D$3&lt;&gt;"",D$3,"NA"),'MITRE ATT&amp;CK Mappings'!$I385))),ISNUMBER(SEARCH(IF(D$3&lt;&gt;"",D$3,"NA"),'MITRE ATT&amp;CK Mappings'!$J385))), 'MITRE ATT&amp;CK Mappings'!$B385,"")</f>
        <v/>
      </c>
      <c r="E389" s="27" t="str">
        <f>IF(OR(OR(OR(OR(OR(ISNUMBER(SEARCH(IF(E$1&lt;&gt;"",E$1,"NA"),'MITRE ATT&amp;CK Mappings'!$E385)),ISNUMBER(SEARCH(IF(E$1&lt;&gt;"",E$1,"NA"),'MITRE ATT&amp;CK Mappings'!$F385))),ISNUMBER(SEARCH(IF(E$2&lt;&gt;"",E$2,"NA"),'MITRE ATT&amp;CK Mappings'!$G385))),ISNUMBER(SEARCH(IF(E$2&lt;&gt;"",E$2,"NA"),'MITRE ATT&amp;CK Mappings'!$H385))),ISNUMBER(SEARCH(IF(E$3&lt;&gt;"",E$3,"NA"),'MITRE ATT&amp;CK Mappings'!$I385))),ISNUMBER(SEARCH(IF(E$3&lt;&gt;"",E$3,"NA"),'MITRE ATT&amp;CK Mappings'!$J385))), 'MITRE ATT&amp;CK Mappings'!$B385,"")</f>
        <v/>
      </c>
      <c r="F389" s="27" t="str">
        <f>IF(OR(OR(OR(OR(OR(ISNUMBER(SEARCH(IF(F$1&lt;&gt;"",F$1,"NA"),'MITRE ATT&amp;CK Mappings'!$E385)),ISNUMBER(SEARCH(IF(F$1&lt;&gt;"",F$1,"NA"),'MITRE ATT&amp;CK Mappings'!$F385))),ISNUMBER(SEARCH(IF(F$2&lt;&gt;"",F$2,"NA"),'MITRE ATT&amp;CK Mappings'!$G385))),ISNUMBER(SEARCH(IF(F$2&lt;&gt;"",F$2,"NA"),'MITRE ATT&amp;CK Mappings'!$H385))),ISNUMBER(SEARCH(IF(F$3&lt;&gt;"",F$3,"NA"),'MITRE ATT&amp;CK Mappings'!$I385))),ISNUMBER(SEARCH(IF(F$3&lt;&gt;"",F$3,"NA"),'MITRE ATT&amp;CK Mappings'!$J385))), 'MITRE ATT&amp;CK Mappings'!$B385,"")</f>
        <v/>
      </c>
      <c r="G389" s="27" t="str">
        <f>IF(OR(OR(OR(OR(OR(ISNUMBER(SEARCH(IF(G$1&lt;&gt;"",G$1,"NA"),'MITRE ATT&amp;CK Mappings'!$E385)),ISNUMBER(SEARCH(IF(G$1&lt;&gt;"",G$1,"NA"),'MITRE ATT&amp;CK Mappings'!$F385))),ISNUMBER(SEARCH(IF(G$2&lt;&gt;"",G$2,"NA"),'MITRE ATT&amp;CK Mappings'!$G385))),ISNUMBER(SEARCH(IF(G$2&lt;&gt;"",G$2,"NA"),'MITRE ATT&amp;CK Mappings'!$H385))),ISNUMBER(SEARCH(IF(G$3&lt;&gt;"",G$3,"NA"),'MITRE ATT&amp;CK Mappings'!$I385))),ISNUMBER(SEARCH(IF(G$3&lt;&gt;"",G$3,"NA"),'MITRE ATT&amp;CK Mappings'!$J385))), 'MITRE ATT&amp;CK Mappings'!$B385,"")</f>
        <v/>
      </c>
      <c r="H389" s="27" t="str">
        <f>IF(OR(OR(OR(OR(OR(ISNUMBER(SEARCH(IF(H$1&lt;&gt;"",H$1,"NA"),'MITRE ATT&amp;CK Mappings'!$E385)),ISNUMBER(SEARCH(IF(H$1&lt;&gt;"",H$1,"NA"),'MITRE ATT&amp;CK Mappings'!$F385))),ISNUMBER(SEARCH(IF(H$2&lt;&gt;"",H$2,"NA"),'MITRE ATT&amp;CK Mappings'!$G385))),ISNUMBER(SEARCH(IF(H$2&lt;&gt;"",H$2,"NA"),'MITRE ATT&amp;CK Mappings'!$H385))),ISNUMBER(SEARCH(IF(H$3&lt;&gt;"",H$3,"NA"),'MITRE ATT&amp;CK Mappings'!$I385))),ISNUMBER(SEARCH(IF(H$3&lt;&gt;"",H$3,"NA"),'MITRE ATT&amp;CK Mappings'!$J385))), 'MITRE ATT&amp;CK Mappings'!$B385,"")</f>
        <v/>
      </c>
      <c r="I389" s="27" t="str">
        <f>IF(OR(OR(OR(OR(OR(ISNUMBER(SEARCH(IF(I$1&lt;&gt;"",I$1,"NA"),'MITRE ATT&amp;CK Mappings'!$E385)),ISNUMBER(SEARCH(IF(I$1&lt;&gt;"",I$1,"NA"),'MITRE ATT&amp;CK Mappings'!$F385))),ISNUMBER(SEARCH(IF(I$2&lt;&gt;"",I$2,"NA"),'MITRE ATT&amp;CK Mappings'!$G385))),ISNUMBER(SEARCH(IF(I$2&lt;&gt;"",I$2,"NA"),'MITRE ATT&amp;CK Mappings'!$H385))),ISNUMBER(SEARCH(IF(I$3&lt;&gt;"",I$3,"NA"),'MITRE ATT&amp;CK Mappings'!$I385))),ISNUMBER(SEARCH(IF(I$3&lt;&gt;"",I$3,"NA"),'MITRE ATT&amp;CK Mappings'!$J385))), 'MITRE ATT&amp;CK Mappings'!$B385,"")</f>
        <v/>
      </c>
      <c r="J389" s="27" t="str">
        <f>IF(OR(OR(OR(OR(OR(ISNUMBER(SEARCH(IF(J$1&lt;&gt;"",J$1,"NA"),'MITRE ATT&amp;CK Mappings'!$E385)),ISNUMBER(SEARCH(IF(J$1&lt;&gt;"",J$1,"NA"),'MITRE ATT&amp;CK Mappings'!$F385))),ISNUMBER(SEARCH(IF(J$2&lt;&gt;"",J$2,"NA"),'MITRE ATT&amp;CK Mappings'!$G385))),ISNUMBER(SEARCH(IF(J$2&lt;&gt;"",J$2,"NA"),'MITRE ATT&amp;CK Mappings'!$H385))),ISNUMBER(SEARCH(IF(J$3&lt;&gt;"",J$3,"NA"),'MITRE ATT&amp;CK Mappings'!$I385))),ISNUMBER(SEARCH(IF(J$3&lt;&gt;"",J$3,"NA"),'MITRE ATT&amp;CK Mappings'!$J385))), 'MITRE ATT&amp;CK Mappings'!$B385,"")</f>
        <v/>
      </c>
      <c r="K389" s="27" t="str">
        <f>IF(OR(OR(OR(OR(OR(ISNUMBER(SEARCH(IF(K$1&lt;&gt;"",K$1,"NA"),'MITRE ATT&amp;CK Mappings'!$E385)),ISNUMBER(SEARCH(IF(K$1&lt;&gt;"",K$1,"NA"),'MITRE ATT&amp;CK Mappings'!$F385))),ISNUMBER(SEARCH(IF(K$2&lt;&gt;"",K$2,"NA"),'MITRE ATT&amp;CK Mappings'!$G385))),ISNUMBER(SEARCH(IF(K$2&lt;&gt;"",K$2,"NA"),'MITRE ATT&amp;CK Mappings'!$H385))),ISNUMBER(SEARCH(IF(K$3&lt;&gt;"",K$3,"NA"),'MITRE ATT&amp;CK Mappings'!$I385))),ISNUMBER(SEARCH(IF(K$3&lt;&gt;"",K$3,"NA"),'MITRE ATT&amp;CK Mappings'!$J385))), 'MITRE ATT&amp;CK Mappings'!$B385,"")</f>
        <v/>
      </c>
      <c r="L389" s="27" t="str">
        <f>IF('MITRE ATT&amp;CK Mappings'!D385 &lt;&gt;"",'MITRE ATT&amp;CK Mappings'!D385,"" )</f>
        <v/>
      </c>
    </row>
    <row r="390" spans="1:12" x14ac:dyDescent="0.25">
      <c r="A390" s="26" t="str">
        <f>IF(COUNTIF(B390:K390,"="&amp;'MITRE ATT&amp;CK Mappings'!B386)&gt;0,'MITRE ATT&amp;CK Mappings'!B386,"")</f>
        <v/>
      </c>
      <c r="B390" s="26" t="str">
        <f>IF(OR(OR(OR(OR(OR(ISNUMBER(SEARCH(IF(B$1&lt;&gt;"",B$1,"NA"),'MITRE ATT&amp;CK Mappings'!$E386)),ISNUMBER(SEARCH(IF(B$1&lt;&gt;"",B$1,"NA"),'MITRE ATT&amp;CK Mappings'!$F386))),ISNUMBER(SEARCH(IF(B$2&lt;&gt;"",B$2,"NA"),'MITRE ATT&amp;CK Mappings'!$G386))),ISNUMBER(SEARCH(IF(B$2&lt;&gt;"",B$2,"NA"),'MITRE ATT&amp;CK Mappings'!$H386))),ISNUMBER(SEARCH(IF(B$3&lt;&gt;"",B$3,"NA"),'MITRE ATT&amp;CK Mappings'!$I386))),ISNUMBER(SEARCH(IF(B$3&lt;&gt;"",B$3,"NA"),'MITRE ATT&amp;CK Mappings'!$J386))), 'MITRE ATT&amp;CK Mappings'!$B386,"")</f>
        <v/>
      </c>
      <c r="C390" s="26" t="str">
        <f>IF(OR(OR(OR(OR(OR(ISNUMBER(SEARCH(IF(C$1&lt;&gt;"",C$1,"NA"),'MITRE ATT&amp;CK Mappings'!$E386)),ISNUMBER(SEARCH(IF(C$1&lt;&gt;"",C$1,"NA"),'MITRE ATT&amp;CK Mappings'!$F386))),ISNUMBER(SEARCH(IF(C$2&lt;&gt;"",C$2,"NA"),'MITRE ATT&amp;CK Mappings'!$G386))),ISNUMBER(SEARCH(IF(C$2&lt;&gt;"",C$2,"NA"),'MITRE ATT&amp;CK Mappings'!$H386))),ISNUMBER(SEARCH(IF(C$3&lt;&gt;"",C$3,"NA"),'MITRE ATT&amp;CK Mappings'!$I386))),ISNUMBER(SEARCH(IF(C$3&lt;&gt;"",C$3,"NA"),'MITRE ATT&amp;CK Mappings'!$J386))), 'MITRE ATT&amp;CK Mappings'!$B386,"")</f>
        <v/>
      </c>
      <c r="D390" s="26" t="str">
        <f>IF(OR(OR(OR(OR(OR(ISNUMBER(SEARCH(IF(D$1&lt;&gt;"",D$1,"NA"),'MITRE ATT&amp;CK Mappings'!$E386)),ISNUMBER(SEARCH(IF(D$1&lt;&gt;"",D$1,"NA"),'MITRE ATT&amp;CK Mappings'!$F386))),ISNUMBER(SEARCH(IF(D$2&lt;&gt;"",D$2,"NA"),'MITRE ATT&amp;CK Mappings'!$G386))),ISNUMBER(SEARCH(IF(D$2&lt;&gt;"",D$2,"NA"),'MITRE ATT&amp;CK Mappings'!$H386))),ISNUMBER(SEARCH(IF(D$3&lt;&gt;"",D$3,"NA"),'MITRE ATT&amp;CK Mappings'!$I386))),ISNUMBER(SEARCH(IF(D$3&lt;&gt;"",D$3,"NA"),'MITRE ATT&amp;CK Mappings'!$J386))), 'MITRE ATT&amp;CK Mappings'!$B386,"")</f>
        <v/>
      </c>
      <c r="E390" s="26" t="str">
        <f>IF(OR(OR(OR(OR(OR(ISNUMBER(SEARCH(IF(E$1&lt;&gt;"",E$1,"NA"),'MITRE ATT&amp;CK Mappings'!$E386)),ISNUMBER(SEARCH(IF(E$1&lt;&gt;"",E$1,"NA"),'MITRE ATT&amp;CK Mappings'!$F386))),ISNUMBER(SEARCH(IF(E$2&lt;&gt;"",E$2,"NA"),'MITRE ATT&amp;CK Mappings'!$G386))),ISNUMBER(SEARCH(IF(E$2&lt;&gt;"",E$2,"NA"),'MITRE ATT&amp;CK Mappings'!$H386))),ISNUMBER(SEARCH(IF(E$3&lt;&gt;"",E$3,"NA"),'MITRE ATT&amp;CK Mappings'!$I386))),ISNUMBER(SEARCH(IF(E$3&lt;&gt;"",E$3,"NA"),'MITRE ATT&amp;CK Mappings'!$J386))), 'MITRE ATT&amp;CK Mappings'!$B386,"")</f>
        <v/>
      </c>
      <c r="F390" s="26" t="str">
        <f>IF(OR(OR(OR(OR(OR(ISNUMBER(SEARCH(IF(F$1&lt;&gt;"",F$1,"NA"),'MITRE ATT&amp;CK Mappings'!$E386)),ISNUMBER(SEARCH(IF(F$1&lt;&gt;"",F$1,"NA"),'MITRE ATT&amp;CK Mappings'!$F386))),ISNUMBER(SEARCH(IF(F$2&lt;&gt;"",F$2,"NA"),'MITRE ATT&amp;CK Mappings'!$G386))),ISNUMBER(SEARCH(IF(F$2&lt;&gt;"",F$2,"NA"),'MITRE ATT&amp;CK Mappings'!$H386))),ISNUMBER(SEARCH(IF(F$3&lt;&gt;"",F$3,"NA"),'MITRE ATT&amp;CK Mappings'!$I386))),ISNUMBER(SEARCH(IF(F$3&lt;&gt;"",F$3,"NA"),'MITRE ATT&amp;CK Mappings'!$J386))), 'MITRE ATT&amp;CK Mappings'!$B386,"")</f>
        <v/>
      </c>
      <c r="G390" s="26" t="str">
        <f>IF(OR(OR(OR(OR(OR(ISNUMBER(SEARCH(IF(G$1&lt;&gt;"",G$1,"NA"),'MITRE ATT&amp;CK Mappings'!$E386)),ISNUMBER(SEARCH(IF(G$1&lt;&gt;"",G$1,"NA"),'MITRE ATT&amp;CK Mappings'!$F386))),ISNUMBER(SEARCH(IF(G$2&lt;&gt;"",G$2,"NA"),'MITRE ATT&amp;CK Mappings'!$G386))),ISNUMBER(SEARCH(IF(G$2&lt;&gt;"",G$2,"NA"),'MITRE ATT&amp;CK Mappings'!$H386))),ISNUMBER(SEARCH(IF(G$3&lt;&gt;"",G$3,"NA"),'MITRE ATT&amp;CK Mappings'!$I386))),ISNUMBER(SEARCH(IF(G$3&lt;&gt;"",G$3,"NA"),'MITRE ATT&amp;CK Mappings'!$J386))), 'MITRE ATT&amp;CK Mappings'!$B386,"")</f>
        <v/>
      </c>
      <c r="H390" s="26" t="str">
        <f>IF(OR(OR(OR(OR(OR(ISNUMBER(SEARCH(IF(H$1&lt;&gt;"",H$1,"NA"),'MITRE ATT&amp;CK Mappings'!$E386)),ISNUMBER(SEARCH(IF(H$1&lt;&gt;"",H$1,"NA"),'MITRE ATT&amp;CK Mappings'!$F386))),ISNUMBER(SEARCH(IF(H$2&lt;&gt;"",H$2,"NA"),'MITRE ATT&amp;CK Mappings'!$G386))),ISNUMBER(SEARCH(IF(H$2&lt;&gt;"",H$2,"NA"),'MITRE ATT&amp;CK Mappings'!$H386))),ISNUMBER(SEARCH(IF(H$3&lt;&gt;"",H$3,"NA"),'MITRE ATT&amp;CK Mappings'!$I386))),ISNUMBER(SEARCH(IF(H$3&lt;&gt;"",H$3,"NA"),'MITRE ATT&amp;CK Mappings'!$J386))), 'MITRE ATT&amp;CK Mappings'!$B386,"")</f>
        <v/>
      </c>
      <c r="I390" s="26" t="str">
        <f>IF(OR(OR(OR(OR(OR(ISNUMBER(SEARCH(IF(I$1&lt;&gt;"",I$1,"NA"),'MITRE ATT&amp;CK Mappings'!$E386)),ISNUMBER(SEARCH(IF(I$1&lt;&gt;"",I$1,"NA"),'MITRE ATT&amp;CK Mappings'!$F386))),ISNUMBER(SEARCH(IF(I$2&lt;&gt;"",I$2,"NA"),'MITRE ATT&amp;CK Mappings'!$G386))),ISNUMBER(SEARCH(IF(I$2&lt;&gt;"",I$2,"NA"),'MITRE ATT&amp;CK Mappings'!$H386))),ISNUMBER(SEARCH(IF(I$3&lt;&gt;"",I$3,"NA"),'MITRE ATT&amp;CK Mappings'!$I386))),ISNUMBER(SEARCH(IF(I$3&lt;&gt;"",I$3,"NA"),'MITRE ATT&amp;CK Mappings'!$J386))), 'MITRE ATT&amp;CK Mappings'!$B386,"")</f>
        <v/>
      </c>
      <c r="J390" s="26" t="str">
        <f>IF(OR(OR(OR(OR(OR(ISNUMBER(SEARCH(IF(J$1&lt;&gt;"",J$1,"NA"),'MITRE ATT&amp;CK Mappings'!$E386)),ISNUMBER(SEARCH(IF(J$1&lt;&gt;"",J$1,"NA"),'MITRE ATT&amp;CK Mappings'!$F386))),ISNUMBER(SEARCH(IF(J$2&lt;&gt;"",J$2,"NA"),'MITRE ATT&amp;CK Mappings'!$G386))),ISNUMBER(SEARCH(IF(J$2&lt;&gt;"",J$2,"NA"),'MITRE ATT&amp;CK Mappings'!$H386))),ISNUMBER(SEARCH(IF(J$3&lt;&gt;"",J$3,"NA"),'MITRE ATT&amp;CK Mappings'!$I386))),ISNUMBER(SEARCH(IF(J$3&lt;&gt;"",J$3,"NA"),'MITRE ATT&amp;CK Mappings'!$J386))), 'MITRE ATT&amp;CK Mappings'!$B386,"")</f>
        <v/>
      </c>
      <c r="K390" s="26" t="str">
        <f>IF(OR(OR(OR(OR(OR(ISNUMBER(SEARCH(IF(K$1&lt;&gt;"",K$1,"NA"),'MITRE ATT&amp;CK Mappings'!$E386)),ISNUMBER(SEARCH(IF(K$1&lt;&gt;"",K$1,"NA"),'MITRE ATT&amp;CK Mappings'!$F386))),ISNUMBER(SEARCH(IF(K$2&lt;&gt;"",K$2,"NA"),'MITRE ATT&amp;CK Mappings'!$G386))),ISNUMBER(SEARCH(IF(K$2&lt;&gt;"",K$2,"NA"),'MITRE ATT&amp;CK Mappings'!$H386))),ISNUMBER(SEARCH(IF(K$3&lt;&gt;"",K$3,"NA"),'MITRE ATT&amp;CK Mappings'!$I386))),ISNUMBER(SEARCH(IF(K$3&lt;&gt;"",K$3,"NA"),'MITRE ATT&amp;CK Mappings'!$J386))), 'MITRE ATT&amp;CK Mappings'!$B386,"")</f>
        <v/>
      </c>
      <c r="L390" s="26" t="str">
        <f>IF('MITRE ATT&amp;CK Mappings'!D386 &lt;&gt;"",'MITRE ATT&amp;CK Mappings'!D386,"" )</f>
        <v/>
      </c>
    </row>
    <row r="391" spans="1:12" x14ac:dyDescent="0.25">
      <c r="A391" s="27" t="str">
        <f>IF(COUNTIF(B391:K391,"="&amp;'MITRE ATT&amp;CK Mappings'!B387)&gt;0,'MITRE ATT&amp;CK Mappings'!B387,"")</f>
        <v/>
      </c>
      <c r="B391" s="27" t="str">
        <f>IF(OR(OR(OR(OR(OR(ISNUMBER(SEARCH(IF(B$1&lt;&gt;"",B$1,"NA"),'MITRE ATT&amp;CK Mappings'!$E387)),ISNUMBER(SEARCH(IF(B$1&lt;&gt;"",B$1,"NA"),'MITRE ATT&amp;CK Mappings'!$F387))),ISNUMBER(SEARCH(IF(B$2&lt;&gt;"",B$2,"NA"),'MITRE ATT&amp;CK Mappings'!$G387))),ISNUMBER(SEARCH(IF(B$2&lt;&gt;"",B$2,"NA"),'MITRE ATT&amp;CK Mappings'!$H387))),ISNUMBER(SEARCH(IF(B$3&lt;&gt;"",B$3,"NA"),'MITRE ATT&amp;CK Mappings'!$I387))),ISNUMBER(SEARCH(IF(B$3&lt;&gt;"",B$3,"NA"),'MITRE ATT&amp;CK Mappings'!$J387))), 'MITRE ATT&amp;CK Mappings'!$B387,"")</f>
        <v/>
      </c>
      <c r="C391" s="27" t="str">
        <f>IF(OR(OR(OR(OR(OR(ISNUMBER(SEARCH(IF(C$1&lt;&gt;"",C$1,"NA"),'MITRE ATT&amp;CK Mappings'!$E387)),ISNUMBER(SEARCH(IF(C$1&lt;&gt;"",C$1,"NA"),'MITRE ATT&amp;CK Mappings'!$F387))),ISNUMBER(SEARCH(IF(C$2&lt;&gt;"",C$2,"NA"),'MITRE ATT&amp;CK Mappings'!$G387))),ISNUMBER(SEARCH(IF(C$2&lt;&gt;"",C$2,"NA"),'MITRE ATT&amp;CK Mappings'!$H387))),ISNUMBER(SEARCH(IF(C$3&lt;&gt;"",C$3,"NA"),'MITRE ATT&amp;CK Mappings'!$I387))),ISNUMBER(SEARCH(IF(C$3&lt;&gt;"",C$3,"NA"),'MITRE ATT&amp;CK Mappings'!$J387))), 'MITRE ATT&amp;CK Mappings'!$B387,"")</f>
        <v/>
      </c>
      <c r="D391" s="27" t="str">
        <f>IF(OR(OR(OR(OR(OR(ISNUMBER(SEARCH(IF(D$1&lt;&gt;"",D$1,"NA"),'MITRE ATT&amp;CK Mappings'!$E387)),ISNUMBER(SEARCH(IF(D$1&lt;&gt;"",D$1,"NA"),'MITRE ATT&amp;CK Mappings'!$F387))),ISNUMBER(SEARCH(IF(D$2&lt;&gt;"",D$2,"NA"),'MITRE ATT&amp;CK Mappings'!$G387))),ISNUMBER(SEARCH(IF(D$2&lt;&gt;"",D$2,"NA"),'MITRE ATT&amp;CK Mappings'!$H387))),ISNUMBER(SEARCH(IF(D$3&lt;&gt;"",D$3,"NA"),'MITRE ATT&amp;CK Mappings'!$I387))),ISNUMBER(SEARCH(IF(D$3&lt;&gt;"",D$3,"NA"),'MITRE ATT&amp;CK Mappings'!$J387))), 'MITRE ATT&amp;CK Mappings'!$B387,"")</f>
        <v/>
      </c>
      <c r="E391" s="27" t="str">
        <f>IF(OR(OR(OR(OR(OR(ISNUMBER(SEARCH(IF(E$1&lt;&gt;"",E$1,"NA"),'MITRE ATT&amp;CK Mappings'!$E387)),ISNUMBER(SEARCH(IF(E$1&lt;&gt;"",E$1,"NA"),'MITRE ATT&amp;CK Mappings'!$F387))),ISNUMBER(SEARCH(IF(E$2&lt;&gt;"",E$2,"NA"),'MITRE ATT&amp;CK Mappings'!$G387))),ISNUMBER(SEARCH(IF(E$2&lt;&gt;"",E$2,"NA"),'MITRE ATT&amp;CK Mappings'!$H387))),ISNUMBER(SEARCH(IF(E$3&lt;&gt;"",E$3,"NA"),'MITRE ATT&amp;CK Mappings'!$I387))),ISNUMBER(SEARCH(IF(E$3&lt;&gt;"",E$3,"NA"),'MITRE ATT&amp;CK Mappings'!$J387))), 'MITRE ATT&amp;CK Mappings'!$B387,"")</f>
        <v/>
      </c>
      <c r="F391" s="27" t="str">
        <f>IF(OR(OR(OR(OR(OR(ISNUMBER(SEARCH(IF(F$1&lt;&gt;"",F$1,"NA"),'MITRE ATT&amp;CK Mappings'!$E387)),ISNUMBER(SEARCH(IF(F$1&lt;&gt;"",F$1,"NA"),'MITRE ATT&amp;CK Mappings'!$F387))),ISNUMBER(SEARCH(IF(F$2&lt;&gt;"",F$2,"NA"),'MITRE ATT&amp;CK Mappings'!$G387))),ISNUMBER(SEARCH(IF(F$2&lt;&gt;"",F$2,"NA"),'MITRE ATT&amp;CK Mappings'!$H387))),ISNUMBER(SEARCH(IF(F$3&lt;&gt;"",F$3,"NA"),'MITRE ATT&amp;CK Mappings'!$I387))),ISNUMBER(SEARCH(IF(F$3&lt;&gt;"",F$3,"NA"),'MITRE ATT&amp;CK Mappings'!$J387))), 'MITRE ATT&amp;CK Mappings'!$B387,"")</f>
        <v/>
      </c>
      <c r="G391" s="27" t="str">
        <f>IF(OR(OR(OR(OR(OR(ISNUMBER(SEARCH(IF(G$1&lt;&gt;"",G$1,"NA"),'MITRE ATT&amp;CK Mappings'!$E387)),ISNUMBER(SEARCH(IF(G$1&lt;&gt;"",G$1,"NA"),'MITRE ATT&amp;CK Mappings'!$F387))),ISNUMBER(SEARCH(IF(G$2&lt;&gt;"",G$2,"NA"),'MITRE ATT&amp;CK Mappings'!$G387))),ISNUMBER(SEARCH(IF(G$2&lt;&gt;"",G$2,"NA"),'MITRE ATT&amp;CK Mappings'!$H387))),ISNUMBER(SEARCH(IF(G$3&lt;&gt;"",G$3,"NA"),'MITRE ATT&amp;CK Mappings'!$I387))),ISNUMBER(SEARCH(IF(G$3&lt;&gt;"",G$3,"NA"),'MITRE ATT&amp;CK Mappings'!$J387))), 'MITRE ATT&amp;CK Mappings'!$B387,"")</f>
        <v/>
      </c>
      <c r="H391" s="27" t="str">
        <f>IF(OR(OR(OR(OR(OR(ISNUMBER(SEARCH(IF(H$1&lt;&gt;"",H$1,"NA"),'MITRE ATT&amp;CK Mappings'!$E387)),ISNUMBER(SEARCH(IF(H$1&lt;&gt;"",H$1,"NA"),'MITRE ATT&amp;CK Mappings'!$F387))),ISNUMBER(SEARCH(IF(H$2&lt;&gt;"",H$2,"NA"),'MITRE ATT&amp;CK Mappings'!$G387))),ISNUMBER(SEARCH(IF(H$2&lt;&gt;"",H$2,"NA"),'MITRE ATT&amp;CK Mappings'!$H387))),ISNUMBER(SEARCH(IF(H$3&lt;&gt;"",H$3,"NA"),'MITRE ATT&amp;CK Mappings'!$I387))),ISNUMBER(SEARCH(IF(H$3&lt;&gt;"",H$3,"NA"),'MITRE ATT&amp;CK Mappings'!$J387))), 'MITRE ATT&amp;CK Mappings'!$B387,"")</f>
        <v/>
      </c>
      <c r="I391" s="27" t="str">
        <f>IF(OR(OR(OR(OR(OR(ISNUMBER(SEARCH(IF(I$1&lt;&gt;"",I$1,"NA"),'MITRE ATT&amp;CK Mappings'!$E387)),ISNUMBER(SEARCH(IF(I$1&lt;&gt;"",I$1,"NA"),'MITRE ATT&amp;CK Mappings'!$F387))),ISNUMBER(SEARCH(IF(I$2&lt;&gt;"",I$2,"NA"),'MITRE ATT&amp;CK Mappings'!$G387))),ISNUMBER(SEARCH(IF(I$2&lt;&gt;"",I$2,"NA"),'MITRE ATT&amp;CK Mappings'!$H387))),ISNUMBER(SEARCH(IF(I$3&lt;&gt;"",I$3,"NA"),'MITRE ATT&amp;CK Mappings'!$I387))),ISNUMBER(SEARCH(IF(I$3&lt;&gt;"",I$3,"NA"),'MITRE ATT&amp;CK Mappings'!$J387))), 'MITRE ATT&amp;CK Mappings'!$B387,"")</f>
        <v/>
      </c>
      <c r="J391" s="27" t="str">
        <f>IF(OR(OR(OR(OR(OR(ISNUMBER(SEARCH(IF(J$1&lt;&gt;"",J$1,"NA"),'MITRE ATT&amp;CK Mappings'!$E387)),ISNUMBER(SEARCH(IF(J$1&lt;&gt;"",J$1,"NA"),'MITRE ATT&amp;CK Mappings'!$F387))),ISNUMBER(SEARCH(IF(J$2&lt;&gt;"",J$2,"NA"),'MITRE ATT&amp;CK Mappings'!$G387))),ISNUMBER(SEARCH(IF(J$2&lt;&gt;"",J$2,"NA"),'MITRE ATT&amp;CK Mappings'!$H387))),ISNUMBER(SEARCH(IF(J$3&lt;&gt;"",J$3,"NA"),'MITRE ATT&amp;CK Mappings'!$I387))),ISNUMBER(SEARCH(IF(J$3&lt;&gt;"",J$3,"NA"),'MITRE ATT&amp;CK Mappings'!$J387))), 'MITRE ATT&amp;CK Mappings'!$B387,"")</f>
        <v/>
      </c>
      <c r="K391" s="27" t="str">
        <f>IF(OR(OR(OR(OR(OR(ISNUMBER(SEARCH(IF(K$1&lt;&gt;"",K$1,"NA"),'MITRE ATT&amp;CK Mappings'!$E387)),ISNUMBER(SEARCH(IF(K$1&lt;&gt;"",K$1,"NA"),'MITRE ATT&amp;CK Mappings'!$F387))),ISNUMBER(SEARCH(IF(K$2&lt;&gt;"",K$2,"NA"),'MITRE ATT&amp;CK Mappings'!$G387))),ISNUMBER(SEARCH(IF(K$2&lt;&gt;"",K$2,"NA"),'MITRE ATT&amp;CK Mappings'!$H387))),ISNUMBER(SEARCH(IF(K$3&lt;&gt;"",K$3,"NA"),'MITRE ATT&amp;CK Mappings'!$I387))),ISNUMBER(SEARCH(IF(K$3&lt;&gt;"",K$3,"NA"),'MITRE ATT&amp;CK Mappings'!$J387))), 'MITRE ATT&amp;CK Mappings'!$B387,"")</f>
        <v/>
      </c>
      <c r="L391" s="27" t="str">
        <f>IF('MITRE ATT&amp;CK Mappings'!D387 &lt;&gt;"",'MITRE ATT&amp;CK Mappings'!D387,"" )</f>
        <v/>
      </c>
    </row>
    <row r="392" spans="1:12" x14ac:dyDescent="0.25">
      <c r="A392" s="26" t="str">
        <f>IF(COUNTIF(B392:K392,"="&amp;'MITRE ATT&amp;CK Mappings'!B388)&gt;0,'MITRE ATT&amp;CK Mappings'!B388,"")</f>
        <v/>
      </c>
      <c r="B392" s="26" t="str">
        <f>IF(OR(OR(OR(OR(OR(ISNUMBER(SEARCH(IF(B$1&lt;&gt;"",B$1,"NA"),'MITRE ATT&amp;CK Mappings'!$E388)),ISNUMBER(SEARCH(IF(B$1&lt;&gt;"",B$1,"NA"),'MITRE ATT&amp;CK Mappings'!$F388))),ISNUMBER(SEARCH(IF(B$2&lt;&gt;"",B$2,"NA"),'MITRE ATT&amp;CK Mappings'!$G388))),ISNUMBER(SEARCH(IF(B$2&lt;&gt;"",B$2,"NA"),'MITRE ATT&amp;CK Mappings'!$H388))),ISNUMBER(SEARCH(IF(B$3&lt;&gt;"",B$3,"NA"),'MITRE ATT&amp;CK Mappings'!$I388))),ISNUMBER(SEARCH(IF(B$3&lt;&gt;"",B$3,"NA"),'MITRE ATT&amp;CK Mappings'!$J388))), 'MITRE ATT&amp;CK Mappings'!$B388,"")</f>
        <v/>
      </c>
      <c r="C392" s="26" t="str">
        <f>IF(OR(OR(OR(OR(OR(ISNUMBER(SEARCH(IF(C$1&lt;&gt;"",C$1,"NA"),'MITRE ATT&amp;CK Mappings'!$E388)),ISNUMBER(SEARCH(IF(C$1&lt;&gt;"",C$1,"NA"),'MITRE ATT&amp;CK Mappings'!$F388))),ISNUMBER(SEARCH(IF(C$2&lt;&gt;"",C$2,"NA"),'MITRE ATT&amp;CK Mappings'!$G388))),ISNUMBER(SEARCH(IF(C$2&lt;&gt;"",C$2,"NA"),'MITRE ATT&amp;CK Mappings'!$H388))),ISNUMBER(SEARCH(IF(C$3&lt;&gt;"",C$3,"NA"),'MITRE ATT&amp;CK Mappings'!$I388))),ISNUMBER(SEARCH(IF(C$3&lt;&gt;"",C$3,"NA"),'MITRE ATT&amp;CK Mappings'!$J388))), 'MITRE ATT&amp;CK Mappings'!$B388,"")</f>
        <v/>
      </c>
      <c r="D392" s="26" t="str">
        <f>IF(OR(OR(OR(OR(OR(ISNUMBER(SEARCH(IF(D$1&lt;&gt;"",D$1,"NA"),'MITRE ATT&amp;CK Mappings'!$E388)),ISNUMBER(SEARCH(IF(D$1&lt;&gt;"",D$1,"NA"),'MITRE ATT&amp;CK Mappings'!$F388))),ISNUMBER(SEARCH(IF(D$2&lt;&gt;"",D$2,"NA"),'MITRE ATT&amp;CK Mappings'!$G388))),ISNUMBER(SEARCH(IF(D$2&lt;&gt;"",D$2,"NA"),'MITRE ATT&amp;CK Mappings'!$H388))),ISNUMBER(SEARCH(IF(D$3&lt;&gt;"",D$3,"NA"),'MITRE ATT&amp;CK Mappings'!$I388))),ISNUMBER(SEARCH(IF(D$3&lt;&gt;"",D$3,"NA"),'MITRE ATT&amp;CK Mappings'!$J388))), 'MITRE ATT&amp;CK Mappings'!$B388,"")</f>
        <v/>
      </c>
      <c r="E392" s="26" t="str">
        <f>IF(OR(OR(OR(OR(OR(ISNUMBER(SEARCH(IF(E$1&lt;&gt;"",E$1,"NA"),'MITRE ATT&amp;CK Mappings'!$E388)),ISNUMBER(SEARCH(IF(E$1&lt;&gt;"",E$1,"NA"),'MITRE ATT&amp;CK Mappings'!$F388))),ISNUMBER(SEARCH(IF(E$2&lt;&gt;"",E$2,"NA"),'MITRE ATT&amp;CK Mappings'!$G388))),ISNUMBER(SEARCH(IF(E$2&lt;&gt;"",E$2,"NA"),'MITRE ATT&amp;CK Mappings'!$H388))),ISNUMBER(SEARCH(IF(E$3&lt;&gt;"",E$3,"NA"),'MITRE ATT&amp;CK Mappings'!$I388))),ISNUMBER(SEARCH(IF(E$3&lt;&gt;"",E$3,"NA"),'MITRE ATT&amp;CK Mappings'!$J388))), 'MITRE ATT&amp;CK Mappings'!$B388,"")</f>
        <v/>
      </c>
      <c r="F392" s="26" t="str">
        <f>IF(OR(OR(OR(OR(OR(ISNUMBER(SEARCH(IF(F$1&lt;&gt;"",F$1,"NA"),'MITRE ATT&amp;CK Mappings'!$E388)),ISNUMBER(SEARCH(IF(F$1&lt;&gt;"",F$1,"NA"),'MITRE ATT&amp;CK Mappings'!$F388))),ISNUMBER(SEARCH(IF(F$2&lt;&gt;"",F$2,"NA"),'MITRE ATT&amp;CK Mappings'!$G388))),ISNUMBER(SEARCH(IF(F$2&lt;&gt;"",F$2,"NA"),'MITRE ATT&amp;CK Mappings'!$H388))),ISNUMBER(SEARCH(IF(F$3&lt;&gt;"",F$3,"NA"),'MITRE ATT&amp;CK Mappings'!$I388))),ISNUMBER(SEARCH(IF(F$3&lt;&gt;"",F$3,"NA"),'MITRE ATT&amp;CK Mappings'!$J388))), 'MITRE ATT&amp;CK Mappings'!$B388,"")</f>
        <v/>
      </c>
      <c r="G392" s="26" t="str">
        <f>IF(OR(OR(OR(OR(OR(ISNUMBER(SEARCH(IF(G$1&lt;&gt;"",G$1,"NA"),'MITRE ATT&amp;CK Mappings'!$E388)),ISNUMBER(SEARCH(IF(G$1&lt;&gt;"",G$1,"NA"),'MITRE ATT&amp;CK Mappings'!$F388))),ISNUMBER(SEARCH(IF(G$2&lt;&gt;"",G$2,"NA"),'MITRE ATT&amp;CK Mappings'!$G388))),ISNUMBER(SEARCH(IF(G$2&lt;&gt;"",G$2,"NA"),'MITRE ATT&amp;CK Mappings'!$H388))),ISNUMBER(SEARCH(IF(G$3&lt;&gt;"",G$3,"NA"),'MITRE ATT&amp;CK Mappings'!$I388))),ISNUMBER(SEARCH(IF(G$3&lt;&gt;"",G$3,"NA"),'MITRE ATT&amp;CK Mappings'!$J388))), 'MITRE ATT&amp;CK Mappings'!$B388,"")</f>
        <v/>
      </c>
      <c r="H392" s="26" t="str">
        <f>IF(OR(OR(OR(OR(OR(ISNUMBER(SEARCH(IF(H$1&lt;&gt;"",H$1,"NA"),'MITRE ATT&amp;CK Mappings'!$E388)),ISNUMBER(SEARCH(IF(H$1&lt;&gt;"",H$1,"NA"),'MITRE ATT&amp;CK Mappings'!$F388))),ISNUMBER(SEARCH(IF(H$2&lt;&gt;"",H$2,"NA"),'MITRE ATT&amp;CK Mappings'!$G388))),ISNUMBER(SEARCH(IF(H$2&lt;&gt;"",H$2,"NA"),'MITRE ATT&amp;CK Mappings'!$H388))),ISNUMBER(SEARCH(IF(H$3&lt;&gt;"",H$3,"NA"),'MITRE ATT&amp;CK Mappings'!$I388))),ISNUMBER(SEARCH(IF(H$3&lt;&gt;"",H$3,"NA"),'MITRE ATT&amp;CK Mappings'!$J388))), 'MITRE ATT&amp;CK Mappings'!$B388,"")</f>
        <v/>
      </c>
      <c r="I392" s="26" t="str">
        <f>IF(OR(OR(OR(OR(OR(ISNUMBER(SEARCH(IF(I$1&lt;&gt;"",I$1,"NA"),'MITRE ATT&amp;CK Mappings'!$E388)),ISNUMBER(SEARCH(IF(I$1&lt;&gt;"",I$1,"NA"),'MITRE ATT&amp;CK Mappings'!$F388))),ISNUMBER(SEARCH(IF(I$2&lt;&gt;"",I$2,"NA"),'MITRE ATT&amp;CK Mappings'!$G388))),ISNUMBER(SEARCH(IF(I$2&lt;&gt;"",I$2,"NA"),'MITRE ATT&amp;CK Mappings'!$H388))),ISNUMBER(SEARCH(IF(I$3&lt;&gt;"",I$3,"NA"),'MITRE ATT&amp;CK Mappings'!$I388))),ISNUMBER(SEARCH(IF(I$3&lt;&gt;"",I$3,"NA"),'MITRE ATT&amp;CK Mappings'!$J388))), 'MITRE ATT&amp;CK Mappings'!$B388,"")</f>
        <v/>
      </c>
      <c r="J392" s="26" t="str">
        <f>IF(OR(OR(OR(OR(OR(ISNUMBER(SEARCH(IF(J$1&lt;&gt;"",J$1,"NA"),'MITRE ATT&amp;CK Mappings'!$E388)),ISNUMBER(SEARCH(IF(J$1&lt;&gt;"",J$1,"NA"),'MITRE ATT&amp;CK Mappings'!$F388))),ISNUMBER(SEARCH(IF(J$2&lt;&gt;"",J$2,"NA"),'MITRE ATT&amp;CK Mappings'!$G388))),ISNUMBER(SEARCH(IF(J$2&lt;&gt;"",J$2,"NA"),'MITRE ATT&amp;CK Mappings'!$H388))),ISNUMBER(SEARCH(IF(J$3&lt;&gt;"",J$3,"NA"),'MITRE ATT&amp;CK Mappings'!$I388))),ISNUMBER(SEARCH(IF(J$3&lt;&gt;"",J$3,"NA"),'MITRE ATT&amp;CK Mappings'!$J388))), 'MITRE ATT&amp;CK Mappings'!$B388,"")</f>
        <v/>
      </c>
      <c r="K392" s="26" t="str">
        <f>IF(OR(OR(OR(OR(OR(ISNUMBER(SEARCH(IF(K$1&lt;&gt;"",K$1,"NA"),'MITRE ATT&amp;CK Mappings'!$E388)),ISNUMBER(SEARCH(IF(K$1&lt;&gt;"",K$1,"NA"),'MITRE ATT&amp;CK Mappings'!$F388))),ISNUMBER(SEARCH(IF(K$2&lt;&gt;"",K$2,"NA"),'MITRE ATT&amp;CK Mappings'!$G388))),ISNUMBER(SEARCH(IF(K$2&lt;&gt;"",K$2,"NA"),'MITRE ATT&amp;CK Mappings'!$H388))),ISNUMBER(SEARCH(IF(K$3&lt;&gt;"",K$3,"NA"),'MITRE ATT&amp;CK Mappings'!$I388))),ISNUMBER(SEARCH(IF(K$3&lt;&gt;"",K$3,"NA"),'MITRE ATT&amp;CK Mappings'!$J388))), 'MITRE ATT&amp;CK Mappings'!$B388,"")</f>
        <v/>
      </c>
      <c r="L392" s="26" t="str">
        <f>IF('MITRE ATT&amp;CK Mappings'!D388 &lt;&gt;"",'MITRE ATT&amp;CK Mappings'!D388,"" )</f>
        <v/>
      </c>
    </row>
    <row r="393" spans="1:12" x14ac:dyDescent="0.25">
      <c r="A393" s="27" t="str">
        <f>IF(COUNTIF(B393:K393,"="&amp;'MITRE ATT&amp;CK Mappings'!B389)&gt;0,'MITRE ATT&amp;CK Mappings'!B389,"")</f>
        <v/>
      </c>
      <c r="B393" s="27" t="str">
        <f>IF(OR(OR(OR(OR(OR(ISNUMBER(SEARCH(IF(B$1&lt;&gt;"",B$1,"NA"),'MITRE ATT&amp;CK Mappings'!$E389)),ISNUMBER(SEARCH(IF(B$1&lt;&gt;"",B$1,"NA"),'MITRE ATT&amp;CK Mappings'!$F389))),ISNUMBER(SEARCH(IF(B$2&lt;&gt;"",B$2,"NA"),'MITRE ATT&amp;CK Mappings'!$G389))),ISNUMBER(SEARCH(IF(B$2&lt;&gt;"",B$2,"NA"),'MITRE ATT&amp;CK Mappings'!$H389))),ISNUMBER(SEARCH(IF(B$3&lt;&gt;"",B$3,"NA"),'MITRE ATT&amp;CK Mappings'!$I389))),ISNUMBER(SEARCH(IF(B$3&lt;&gt;"",B$3,"NA"),'MITRE ATT&amp;CK Mappings'!$J389))), 'MITRE ATT&amp;CK Mappings'!$B389,"")</f>
        <v/>
      </c>
      <c r="C393" s="27" t="str">
        <f>IF(OR(OR(OR(OR(OR(ISNUMBER(SEARCH(IF(C$1&lt;&gt;"",C$1,"NA"),'MITRE ATT&amp;CK Mappings'!$E389)),ISNUMBER(SEARCH(IF(C$1&lt;&gt;"",C$1,"NA"),'MITRE ATT&amp;CK Mappings'!$F389))),ISNUMBER(SEARCH(IF(C$2&lt;&gt;"",C$2,"NA"),'MITRE ATT&amp;CK Mappings'!$G389))),ISNUMBER(SEARCH(IF(C$2&lt;&gt;"",C$2,"NA"),'MITRE ATT&amp;CK Mappings'!$H389))),ISNUMBER(SEARCH(IF(C$3&lt;&gt;"",C$3,"NA"),'MITRE ATT&amp;CK Mappings'!$I389))),ISNUMBER(SEARCH(IF(C$3&lt;&gt;"",C$3,"NA"),'MITRE ATT&amp;CK Mappings'!$J389))), 'MITRE ATT&amp;CK Mappings'!$B389,"")</f>
        <v/>
      </c>
      <c r="D393" s="27" t="str">
        <f>IF(OR(OR(OR(OR(OR(ISNUMBER(SEARCH(IF(D$1&lt;&gt;"",D$1,"NA"),'MITRE ATT&amp;CK Mappings'!$E389)),ISNUMBER(SEARCH(IF(D$1&lt;&gt;"",D$1,"NA"),'MITRE ATT&amp;CK Mappings'!$F389))),ISNUMBER(SEARCH(IF(D$2&lt;&gt;"",D$2,"NA"),'MITRE ATT&amp;CK Mappings'!$G389))),ISNUMBER(SEARCH(IF(D$2&lt;&gt;"",D$2,"NA"),'MITRE ATT&amp;CK Mappings'!$H389))),ISNUMBER(SEARCH(IF(D$3&lt;&gt;"",D$3,"NA"),'MITRE ATT&amp;CK Mappings'!$I389))),ISNUMBER(SEARCH(IF(D$3&lt;&gt;"",D$3,"NA"),'MITRE ATT&amp;CK Mappings'!$J389))), 'MITRE ATT&amp;CK Mappings'!$B389,"")</f>
        <v/>
      </c>
      <c r="E393" s="27" t="str">
        <f>IF(OR(OR(OR(OR(OR(ISNUMBER(SEARCH(IF(E$1&lt;&gt;"",E$1,"NA"),'MITRE ATT&amp;CK Mappings'!$E389)),ISNUMBER(SEARCH(IF(E$1&lt;&gt;"",E$1,"NA"),'MITRE ATT&amp;CK Mappings'!$F389))),ISNUMBER(SEARCH(IF(E$2&lt;&gt;"",E$2,"NA"),'MITRE ATT&amp;CK Mappings'!$G389))),ISNUMBER(SEARCH(IF(E$2&lt;&gt;"",E$2,"NA"),'MITRE ATT&amp;CK Mappings'!$H389))),ISNUMBER(SEARCH(IF(E$3&lt;&gt;"",E$3,"NA"),'MITRE ATT&amp;CK Mappings'!$I389))),ISNUMBER(SEARCH(IF(E$3&lt;&gt;"",E$3,"NA"),'MITRE ATT&amp;CK Mappings'!$J389))), 'MITRE ATT&amp;CK Mappings'!$B389,"")</f>
        <v/>
      </c>
      <c r="F393" s="27" t="str">
        <f>IF(OR(OR(OR(OR(OR(ISNUMBER(SEARCH(IF(F$1&lt;&gt;"",F$1,"NA"),'MITRE ATT&amp;CK Mappings'!$E389)),ISNUMBER(SEARCH(IF(F$1&lt;&gt;"",F$1,"NA"),'MITRE ATT&amp;CK Mappings'!$F389))),ISNUMBER(SEARCH(IF(F$2&lt;&gt;"",F$2,"NA"),'MITRE ATT&amp;CK Mappings'!$G389))),ISNUMBER(SEARCH(IF(F$2&lt;&gt;"",F$2,"NA"),'MITRE ATT&amp;CK Mappings'!$H389))),ISNUMBER(SEARCH(IF(F$3&lt;&gt;"",F$3,"NA"),'MITRE ATT&amp;CK Mappings'!$I389))),ISNUMBER(SEARCH(IF(F$3&lt;&gt;"",F$3,"NA"),'MITRE ATT&amp;CK Mappings'!$J389))), 'MITRE ATT&amp;CK Mappings'!$B389,"")</f>
        <v/>
      </c>
      <c r="G393" s="27" t="str">
        <f>IF(OR(OR(OR(OR(OR(ISNUMBER(SEARCH(IF(G$1&lt;&gt;"",G$1,"NA"),'MITRE ATT&amp;CK Mappings'!$E389)),ISNUMBER(SEARCH(IF(G$1&lt;&gt;"",G$1,"NA"),'MITRE ATT&amp;CK Mappings'!$F389))),ISNUMBER(SEARCH(IF(G$2&lt;&gt;"",G$2,"NA"),'MITRE ATT&amp;CK Mappings'!$G389))),ISNUMBER(SEARCH(IF(G$2&lt;&gt;"",G$2,"NA"),'MITRE ATT&amp;CK Mappings'!$H389))),ISNUMBER(SEARCH(IF(G$3&lt;&gt;"",G$3,"NA"),'MITRE ATT&amp;CK Mappings'!$I389))),ISNUMBER(SEARCH(IF(G$3&lt;&gt;"",G$3,"NA"),'MITRE ATT&amp;CK Mappings'!$J389))), 'MITRE ATT&amp;CK Mappings'!$B389,"")</f>
        <v/>
      </c>
      <c r="H393" s="27" t="str">
        <f>IF(OR(OR(OR(OR(OR(ISNUMBER(SEARCH(IF(H$1&lt;&gt;"",H$1,"NA"),'MITRE ATT&amp;CK Mappings'!$E389)),ISNUMBER(SEARCH(IF(H$1&lt;&gt;"",H$1,"NA"),'MITRE ATT&amp;CK Mappings'!$F389))),ISNUMBER(SEARCH(IF(H$2&lt;&gt;"",H$2,"NA"),'MITRE ATT&amp;CK Mappings'!$G389))),ISNUMBER(SEARCH(IF(H$2&lt;&gt;"",H$2,"NA"),'MITRE ATT&amp;CK Mappings'!$H389))),ISNUMBER(SEARCH(IF(H$3&lt;&gt;"",H$3,"NA"),'MITRE ATT&amp;CK Mappings'!$I389))),ISNUMBER(SEARCH(IF(H$3&lt;&gt;"",H$3,"NA"),'MITRE ATT&amp;CK Mappings'!$J389))), 'MITRE ATT&amp;CK Mappings'!$B389,"")</f>
        <v/>
      </c>
      <c r="I393" s="27" t="str">
        <f>IF(OR(OR(OR(OR(OR(ISNUMBER(SEARCH(IF(I$1&lt;&gt;"",I$1,"NA"),'MITRE ATT&amp;CK Mappings'!$E389)),ISNUMBER(SEARCH(IF(I$1&lt;&gt;"",I$1,"NA"),'MITRE ATT&amp;CK Mappings'!$F389))),ISNUMBER(SEARCH(IF(I$2&lt;&gt;"",I$2,"NA"),'MITRE ATT&amp;CK Mappings'!$G389))),ISNUMBER(SEARCH(IF(I$2&lt;&gt;"",I$2,"NA"),'MITRE ATT&amp;CK Mappings'!$H389))),ISNUMBER(SEARCH(IF(I$3&lt;&gt;"",I$3,"NA"),'MITRE ATT&amp;CK Mappings'!$I389))),ISNUMBER(SEARCH(IF(I$3&lt;&gt;"",I$3,"NA"),'MITRE ATT&amp;CK Mappings'!$J389))), 'MITRE ATT&amp;CK Mappings'!$B389,"")</f>
        <v/>
      </c>
      <c r="J393" s="27" t="str">
        <f>IF(OR(OR(OR(OR(OR(ISNUMBER(SEARCH(IF(J$1&lt;&gt;"",J$1,"NA"),'MITRE ATT&amp;CK Mappings'!$E389)),ISNUMBER(SEARCH(IF(J$1&lt;&gt;"",J$1,"NA"),'MITRE ATT&amp;CK Mappings'!$F389))),ISNUMBER(SEARCH(IF(J$2&lt;&gt;"",J$2,"NA"),'MITRE ATT&amp;CK Mappings'!$G389))),ISNUMBER(SEARCH(IF(J$2&lt;&gt;"",J$2,"NA"),'MITRE ATT&amp;CK Mappings'!$H389))),ISNUMBER(SEARCH(IF(J$3&lt;&gt;"",J$3,"NA"),'MITRE ATT&amp;CK Mappings'!$I389))),ISNUMBER(SEARCH(IF(J$3&lt;&gt;"",J$3,"NA"),'MITRE ATT&amp;CK Mappings'!$J389))), 'MITRE ATT&amp;CK Mappings'!$B389,"")</f>
        <v/>
      </c>
      <c r="K393" s="27" t="str">
        <f>IF(OR(OR(OR(OR(OR(ISNUMBER(SEARCH(IF(K$1&lt;&gt;"",K$1,"NA"),'MITRE ATT&amp;CK Mappings'!$E389)),ISNUMBER(SEARCH(IF(K$1&lt;&gt;"",K$1,"NA"),'MITRE ATT&amp;CK Mappings'!$F389))),ISNUMBER(SEARCH(IF(K$2&lt;&gt;"",K$2,"NA"),'MITRE ATT&amp;CK Mappings'!$G389))),ISNUMBER(SEARCH(IF(K$2&lt;&gt;"",K$2,"NA"),'MITRE ATT&amp;CK Mappings'!$H389))),ISNUMBER(SEARCH(IF(K$3&lt;&gt;"",K$3,"NA"),'MITRE ATT&amp;CK Mappings'!$I389))),ISNUMBER(SEARCH(IF(K$3&lt;&gt;"",K$3,"NA"),'MITRE ATT&amp;CK Mappings'!$J389))), 'MITRE ATT&amp;CK Mappings'!$B389,"")</f>
        <v/>
      </c>
      <c r="L393" s="27" t="str">
        <f>IF('MITRE ATT&amp;CK Mappings'!D389 &lt;&gt;"",'MITRE ATT&amp;CK Mappings'!D389,"" )</f>
        <v/>
      </c>
    </row>
    <row r="394" spans="1:12" x14ac:dyDescent="0.25">
      <c r="A394" s="26" t="str">
        <f>IF(COUNTIF(B394:K394,"="&amp;'MITRE ATT&amp;CK Mappings'!B390)&gt;0,'MITRE ATT&amp;CK Mappings'!B390,"")</f>
        <v/>
      </c>
      <c r="B394" s="26" t="str">
        <f>IF(OR(OR(OR(OR(OR(ISNUMBER(SEARCH(IF(B$1&lt;&gt;"",B$1,"NA"),'MITRE ATT&amp;CK Mappings'!$E390)),ISNUMBER(SEARCH(IF(B$1&lt;&gt;"",B$1,"NA"),'MITRE ATT&amp;CK Mappings'!$F390))),ISNUMBER(SEARCH(IF(B$2&lt;&gt;"",B$2,"NA"),'MITRE ATT&amp;CK Mappings'!$G390))),ISNUMBER(SEARCH(IF(B$2&lt;&gt;"",B$2,"NA"),'MITRE ATT&amp;CK Mappings'!$H390))),ISNUMBER(SEARCH(IF(B$3&lt;&gt;"",B$3,"NA"),'MITRE ATT&amp;CK Mappings'!$I390))),ISNUMBER(SEARCH(IF(B$3&lt;&gt;"",B$3,"NA"),'MITRE ATT&amp;CK Mappings'!$J390))), 'MITRE ATT&amp;CK Mappings'!$B390,"")</f>
        <v/>
      </c>
      <c r="C394" s="26" t="str">
        <f>IF(OR(OR(OR(OR(OR(ISNUMBER(SEARCH(IF(C$1&lt;&gt;"",C$1,"NA"),'MITRE ATT&amp;CK Mappings'!$E390)),ISNUMBER(SEARCH(IF(C$1&lt;&gt;"",C$1,"NA"),'MITRE ATT&amp;CK Mappings'!$F390))),ISNUMBER(SEARCH(IF(C$2&lt;&gt;"",C$2,"NA"),'MITRE ATT&amp;CK Mappings'!$G390))),ISNUMBER(SEARCH(IF(C$2&lt;&gt;"",C$2,"NA"),'MITRE ATT&amp;CK Mappings'!$H390))),ISNUMBER(SEARCH(IF(C$3&lt;&gt;"",C$3,"NA"),'MITRE ATT&amp;CK Mappings'!$I390))),ISNUMBER(SEARCH(IF(C$3&lt;&gt;"",C$3,"NA"),'MITRE ATT&amp;CK Mappings'!$J390))), 'MITRE ATT&amp;CK Mappings'!$B390,"")</f>
        <v/>
      </c>
      <c r="D394" s="26" t="str">
        <f>IF(OR(OR(OR(OR(OR(ISNUMBER(SEARCH(IF(D$1&lt;&gt;"",D$1,"NA"),'MITRE ATT&amp;CK Mappings'!$E390)),ISNUMBER(SEARCH(IF(D$1&lt;&gt;"",D$1,"NA"),'MITRE ATT&amp;CK Mappings'!$F390))),ISNUMBER(SEARCH(IF(D$2&lt;&gt;"",D$2,"NA"),'MITRE ATT&amp;CK Mappings'!$G390))),ISNUMBER(SEARCH(IF(D$2&lt;&gt;"",D$2,"NA"),'MITRE ATT&amp;CK Mappings'!$H390))),ISNUMBER(SEARCH(IF(D$3&lt;&gt;"",D$3,"NA"),'MITRE ATT&amp;CK Mappings'!$I390))),ISNUMBER(SEARCH(IF(D$3&lt;&gt;"",D$3,"NA"),'MITRE ATT&amp;CK Mappings'!$J390))), 'MITRE ATT&amp;CK Mappings'!$B390,"")</f>
        <v/>
      </c>
      <c r="E394" s="26" t="str">
        <f>IF(OR(OR(OR(OR(OR(ISNUMBER(SEARCH(IF(E$1&lt;&gt;"",E$1,"NA"),'MITRE ATT&amp;CK Mappings'!$E390)),ISNUMBER(SEARCH(IF(E$1&lt;&gt;"",E$1,"NA"),'MITRE ATT&amp;CK Mappings'!$F390))),ISNUMBER(SEARCH(IF(E$2&lt;&gt;"",E$2,"NA"),'MITRE ATT&amp;CK Mappings'!$G390))),ISNUMBER(SEARCH(IF(E$2&lt;&gt;"",E$2,"NA"),'MITRE ATT&amp;CK Mappings'!$H390))),ISNUMBER(SEARCH(IF(E$3&lt;&gt;"",E$3,"NA"),'MITRE ATT&amp;CK Mappings'!$I390))),ISNUMBER(SEARCH(IF(E$3&lt;&gt;"",E$3,"NA"),'MITRE ATT&amp;CK Mappings'!$J390))), 'MITRE ATT&amp;CK Mappings'!$B390,"")</f>
        <v/>
      </c>
      <c r="F394" s="26" t="str">
        <f>IF(OR(OR(OR(OR(OR(ISNUMBER(SEARCH(IF(F$1&lt;&gt;"",F$1,"NA"),'MITRE ATT&amp;CK Mappings'!$E390)),ISNUMBER(SEARCH(IF(F$1&lt;&gt;"",F$1,"NA"),'MITRE ATT&amp;CK Mappings'!$F390))),ISNUMBER(SEARCH(IF(F$2&lt;&gt;"",F$2,"NA"),'MITRE ATT&amp;CK Mappings'!$G390))),ISNUMBER(SEARCH(IF(F$2&lt;&gt;"",F$2,"NA"),'MITRE ATT&amp;CK Mappings'!$H390))),ISNUMBER(SEARCH(IF(F$3&lt;&gt;"",F$3,"NA"),'MITRE ATT&amp;CK Mappings'!$I390))),ISNUMBER(SEARCH(IF(F$3&lt;&gt;"",F$3,"NA"),'MITRE ATT&amp;CK Mappings'!$J390))), 'MITRE ATT&amp;CK Mappings'!$B390,"")</f>
        <v/>
      </c>
      <c r="G394" s="26" t="str">
        <f>IF(OR(OR(OR(OR(OR(ISNUMBER(SEARCH(IF(G$1&lt;&gt;"",G$1,"NA"),'MITRE ATT&amp;CK Mappings'!$E390)),ISNUMBER(SEARCH(IF(G$1&lt;&gt;"",G$1,"NA"),'MITRE ATT&amp;CK Mappings'!$F390))),ISNUMBER(SEARCH(IF(G$2&lt;&gt;"",G$2,"NA"),'MITRE ATT&amp;CK Mappings'!$G390))),ISNUMBER(SEARCH(IF(G$2&lt;&gt;"",G$2,"NA"),'MITRE ATT&amp;CK Mappings'!$H390))),ISNUMBER(SEARCH(IF(G$3&lt;&gt;"",G$3,"NA"),'MITRE ATT&amp;CK Mappings'!$I390))),ISNUMBER(SEARCH(IF(G$3&lt;&gt;"",G$3,"NA"),'MITRE ATT&amp;CK Mappings'!$J390))), 'MITRE ATT&amp;CK Mappings'!$B390,"")</f>
        <v/>
      </c>
      <c r="H394" s="26" t="str">
        <f>IF(OR(OR(OR(OR(OR(ISNUMBER(SEARCH(IF(H$1&lt;&gt;"",H$1,"NA"),'MITRE ATT&amp;CK Mappings'!$E390)),ISNUMBER(SEARCH(IF(H$1&lt;&gt;"",H$1,"NA"),'MITRE ATT&amp;CK Mappings'!$F390))),ISNUMBER(SEARCH(IF(H$2&lt;&gt;"",H$2,"NA"),'MITRE ATT&amp;CK Mappings'!$G390))),ISNUMBER(SEARCH(IF(H$2&lt;&gt;"",H$2,"NA"),'MITRE ATT&amp;CK Mappings'!$H390))),ISNUMBER(SEARCH(IF(H$3&lt;&gt;"",H$3,"NA"),'MITRE ATT&amp;CK Mappings'!$I390))),ISNUMBER(SEARCH(IF(H$3&lt;&gt;"",H$3,"NA"),'MITRE ATT&amp;CK Mappings'!$J390))), 'MITRE ATT&amp;CK Mappings'!$B390,"")</f>
        <v/>
      </c>
      <c r="I394" s="26" t="str">
        <f>IF(OR(OR(OR(OR(OR(ISNUMBER(SEARCH(IF(I$1&lt;&gt;"",I$1,"NA"),'MITRE ATT&amp;CK Mappings'!$E390)),ISNUMBER(SEARCH(IF(I$1&lt;&gt;"",I$1,"NA"),'MITRE ATT&amp;CK Mappings'!$F390))),ISNUMBER(SEARCH(IF(I$2&lt;&gt;"",I$2,"NA"),'MITRE ATT&amp;CK Mappings'!$G390))),ISNUMBER(SEARCH(IF(I$2&lt;&gt;"",I$2,"NA"),'MITRE ATT&amp;CK Mappings'!$H390))),ISNUMBER(SEARCH(IF(I$3&lt;&gt;"",I$3,"NA"),'MITRE ATT&amp;CK Mappings'!$I390))),ISNUMBER(SEARCH(IF(I$3&lt;&gt;"",I$3,"NA"),'MITRE ATT&amp;CK Mappings'!$J390))), 'MITRE ATT&amp;CK Mappings'!$B390,"")</f>
        <v/>
      </c>
      <c r="J394" s="26" t="str">
        <f>IF(OR(OR(OR(OR(OR(ISNUMBER(SEARCH(IF(J$1&lt;&gt;"",J$1,"NA"),'MITRE ATT&amp;CK Mappings'!$E390)),ISNUMBER(SEARCH(IF(J$1&lt;&gt;"",J$1,"NA"),'MITRE ATT&amp;CK Mappings'!$F390))),ISNUMBER(SEARCH(IF(J$2&lt;&gt;"",J$2,"NA"),'MITRE ATT&amp;CK Mappings'!$G390))),ISNUMBER(SEARCH(IF(J$2&lt;&gt;"",J$2,"NA"),'MITRE ATT&amp;CK Mappings'!$H390))),ISNUMBER(SEARCH(IF(J$3&lt;&gt;"",J$3,"NA"),'MITRE ATT&amp;CK Mappings'!$I390))),ISNUMBER(SEARCH(IF(J$3&lt;&gt;"",J$3,"NA"),'MITRE ATT&amp;CK Mappings'!$J390))), 'MITRE ATT&amp;CK Mappings'!$B390,"")</f>
        <v/>
      </c>
      <c r="K394" s="26" t="str">
        <f>IF(OR(OR(OR(OR(OR(ISNUMBER(SEARCH(IF(K$1&lt;&gt;"",K$1,"NA"),'MITRE ATT&amp;CK Mappings'!$E390)),ISNUMBER(SEARCH(IF(K$1&lt;&gt;"",K$1,"NA"),'MITRE ATT&amp;CK Mappings'!$F390))),ISNUMBER(SEARCH(IF(K$2&lt;&gt;"",K$2,"NA"),'MITRE ATT&amp;CK Mappings'!$G390))),ISNUMBER(SEARCH(IF(K$2&lt;&gt;"",K$2,"NA"),'MITRE ATT&amp;CK Mappings'!$H390))),ISNUMBER(SEARCH(IF(K$3&lt;&gt;"",K$3,"NA"),'MITRE ATT&amp;CK Mappings'!$I390))),ISNUMBER(SEARCH(IF(K$3&lt;&gt;"",K$3,"NA"),'MITRE ATT&amp;CK Mappings'!$J390))), 'MITRE ATT&amp;CK Mappings'!$B390,"")</f>
        <v/>
      </c>
      <c r="L394" s="26" t="str">
        <f>IF('MITRE ATT&amp;CK Mappings'!D390 &lt;&gt;"",'MITRE ATT&amp;CK Mappings'!D390,"" )</f>
        <v/>
      </c>
    </row>
    <row r="395" spans="1:12" x14ac:dyDescent="0.25">
      <c r="A395" s="27" t="str">
        <f>IF(COUNTIF(B395:K395,"="&amp;'MITRE ATT&amp;CK Mappings'!B391)&gt;0,'MITRE ATT&amp;CK Mappings'!B391,"")</f>
        <v/>
      </c>
      <c r="B395" s="27" t="str">
        <f>IF(OR(OR(OR(OR(OR(ISNUMBER(SEARCH(IF(B$1&lt;&gt;"",B$1,"NA"),'MITRE ATT&amp;CK Mappings'!$E391)),ISNUMBER(SEARCH(IF(B$1&lt;&gt;"",B$1,"NA"),'MITRE ATT&amp;CK Mappings'!$F391))),ISNUMBER(SEARCH(IF(B$2&lt;&gt;"",B$2,"NA"),'MITRE ATT&amp;CK Mappings'!$G391))),ISNUMBER(SEARCH(IF(B$2&lt;&gt;"",B$2,"NA"),'MITRE ATT&amp;CK Mappings'!$H391))),ISNUMBER(SEARCH(IF(B$3&lt;&gt;"",B$3,"NA"),'MITRE ATT&amp;CK Mappings'!$I391))),ISNUMBER(SEARCH(IF(B$3&lt;&gt;"",B$3,"NA"),'MITRE ATT&amp;CK Mappings'!$J391))), 'MITRE ATT&amp;CK Mappings'!$B391,"")</f>
        <v/>
      </c>
      <c r="C395" s="27" t="str">
        <f>IF(OR(OR(OR(OR(OR(ISNUMBER(SEARCH(IF(C$1&lt;&gt;"",C$1,"NA"),'MITRE ATT&amp;CK Mappings'!$E391)),ISNUMBER(SEARCH(IF(C$1&lt;&gt;"",C$1,"NA"),'MITRE ATT&amp;CK Mappings'!$F391))),ISNUMBER(SEARCH(IF(C$2&lt;&gt;"",C$2,"NA"),'MITRE ATT&amp;CK Mappings'!$G391))),ISNUMBER(SEARCH(IF(C$2&lt;&gt;"",C$2,"NA"),'MITRE ATT&amp;CK Mappings'!$H391))),ISNUMBER(SEARCH(IF(C$3&lt;&gt;"",C$3,"NA"),'MITRE ATT&amp;CK Mappings'!$I391))),ISNUMBER(SEARCH(IF(C$3&lt;&gt;"",C$3,"NA"),'MITRE ATT&amp;CK Mappings'!$J391))), 'MITRE ATT&amp;CK Mappings'!$B391,"")</f>
        <v/>
      </c>
      <c r="D395" s="27" t="str">
        <f>IF(OR(OR(OR(OR(OR(ISNUMBER(SEARCH(IF(D$1&lt;&gt;"",D$1,"NA"),'MITRE ATT&amp;CK Mappings'!$E391)),ISNUMBER(SEARCH(IF(D$1&lt;&gt;"",D$1,"NA"),'MITRE ATT&amp;CK Mappings'!$F391))),ISNUMBER(SEARCH(IF(D$2&lt;&gt;"",D$2,"NA"),'MITRE ATT&amp;CK Mappings'!$G391))),ISNUMBER(SEARCH(IF(D$2&lt;&gt;"",D$2,"NA"),'MITRE ATT&amp;CK Mappings'!$H391))),ISNUMBER(SEARCH(IF(D$3&lt;&gt;"",D$3,"NA"),'MITRE ATT&amp;CK Mappings'!$I391))),ISNUMBER(SEARCH(IF(D$3&lt;&gt;"",D$3,"NA"),'MITRE ATT&amp;CK Mappings'!$J391))), 'MITRE ATT&amp;CK Mappings'!$B391,"")</f>
        <v/>
      </c>
      <c r="E395" s="27" t="str">
        <f>IF(OR(OR(OR(OR(OR(ISNUMBER(SEARCH(IF(E$1&lt;&gt;"",E$1,"NA"),'MITRE ATT&amp;CK Mappings'!$E391)),ISNUMBER(SEARCH(IF(E$1&lt;&gt;"",E$1,"NA"),'MITRE ATT&amp;CK Mappings'!$F391))),ISNUMBER(SEARCH(IF(E$2&lt;&gt;"",E$2,"NA"),'MITRE ATT&amp;CK Mappings'!$G391))),ISNUMBER(SEARCH(IF(E$2&lt;&gt;"",E$2,"NA"),'MITRE ATT&amp;CK Mappings'!$H391))),ISNUMBER(SEARCH(IF(E$3&lt;&gt;"",E$3,"NA"),'MITRE ATT&amp;CK Mappings'!$I391))),ISNUMBER(SEARCH(IF(E$3&lt;&gt;"",E$3,"NA"),'MITRE ATT&amp;CK Mappings'!$J391))), 'MITRE ATT&amp;CK Mappings'!$B391,"")</f>
        <v/>
      </c>
      <c r="F395" s="27" t="str">
        <f>IF(OR(OR(OR(OR(OR(ISNUMBER(SEARCH(IF(F$1&lt;&gt;"",F$1,"NA"),'MITRE ATT&amp;CK Mappings'!$E391)),ISNUMBER(SEARCH(IF(F$1&lt;&gt;"",F$1,"NA"),'MITRE ATT&amp;CK Mappings'!$F391))),ISNUMBER(SEARCH(IF(F$2&lt;&gt;"",F$2,"NA"),'MITRE ATT&amp;CK Mappings'!$G391))),ISNUMBER(SEARCH(IF(F$2&lt;&gt;"",F$2,"NA"),'MITRE ATT&amp;CK Mappings'!$H391))),ISNUMBER(SEARCH(IF(F$3&lt;&gt;"",F$3,"NA"),'MITRE ATT&amp;CK Mappings'!$I391))),ISNUMBER(SEARCH(IF(F$3&lt;&gt;"",F$3,"NA"),'MITRE ATT&amp;CK Mappings'!$J391))), 'MITRE ATT&amp;CK Mappings'!$B391,"")</f>
        <v/>
      </c>
      <c r="G395" s="27" t="str">
        <f>IF(OR(OR(OR(OR(OR(ISNUMBER(SEARCH(IF(G$1&lt;&gt;"",G$1,"NA"),'MITRE ATT&amp;CK Mappings'!$E391)),ISNUMBER(SEARCH(IF(G$1&lt;&gt;"",G$1,"NA"),'MITRE ATT&amp;CK Mappings'!$F391))),ISNUMBER(SEARCH(IF(G$2&lt;&gt;"",G$2,"NA"),'MITRE ATT&amp;CK Mappings'!$G391))),ISNUMBER(SEARCH(IF(G$2&lt;&gt;"",G$2,"NA"),'MITRE ATT&amp;CK Mappings'!$H391))),ISNUMBER(SEARCH(IF(G$3&lt;&gt;"",G$3,"NA"),'MITRE ATT&amp;CK Mappings'!$I391))),ISNUMBER(SEARCH(IF(G$3&lt;&gt;"",G$3,"NA"),'MITRE ATT&amp;CK Mappings'!$J391))), 'MITRE ATT&amp;CK Mappings'!$B391,"")</f>
        <v/>
      </c>
      <c r="H395" s="27" t="str">
        <f>IF(OR(OR(OR(OR(OR(ISNUMBER(SEARCH(IF(H$1&lt;&gt;"",H$1,"NA"),'MITRE ATT&amp;CK Mappings'!$E391)),ISNUMBER(SEARCH(IF(H$1&lt;&gt;"",H$1,"NA"),'MITRE ATT&amp;CK Mappings'!$F391))),ISNUMBER(SEARCH(IF(H$2&lt;&gt;"",H$2,"NA"),'MITRE ATT&amp;CK Mappings'!$G391))),ISNUMBER(SEARCH(IF(H$2&lt;&gt;"",H$2,"NA"),'MITRE ATT&amp;CK Mappings'!$H391))),ISNUMBER(SEARCH(IF(H$3&lt;&gt;"",H$3,"NA"),'MITRE ATT&amp;CK Mappings'!$I391))),ISNUMBER(SEARCH(IF(H$3&lt;&gt;"",H$3,"NA"),'MITRE ATT&amp;CK Mappings'!$J391))), 'MITRE ATT&amp;CK Mappings'!$B391,"")</f>
        <v/>
      </c>
      <c r="I395" s="27" t="str">
        <f>IF(OR(OR(OR(OR(OR(ISNUMBER(SEARCH(IF(I$1&lt;&gt;"",I$1,"NA"),'MITRE ATT&amp;CK Mappings'!$E391)),ISNUMBER(SEARCH(IF(I$1&lt;&gt;"",I$1,"NA"),'MITRE ATT&amp;CK Mappings'!$F391))),ISNUMBER(SEARCH(IF(I$2&lt;&gt;"",I$2,"NA"),'MITRE ATT&amp;CK Mappings'!$G391))),ISNUMBER(SEARCH(IF(I$2&lt;&gt;"",I$2,"NA"),'MITRE ATT&amp;CK Mappings'!$H391))),ISNUMBER(SEARCH(IF(I$3&lt;&gt;"",I$3,"NA"),'MITRE ATT&amp;CK Mappings'!$I391))),ISNUMBER(SEARCH(IF(I$3&lt;&gt;"",I$3,"NA"),'MITRE ATT&amp;CK Mappings'!$J391))), 'MITRE ATT&amp;CK Mappings'!$B391,"")</f>
        <v/>
      </c>
      <c r="J395" s="27" t="str">
        <f>IF(OR(OR(OR(OR(OR(ISNUMBER(SEARCH(IF(J$1&lt;&gt;"",J$1,"NA"),'MITRE ATT&amp;CK Mappings'!$E391)),ISNUMBER(SEARCH(IF(J$1&lt;&gt;"",J$1,"NA"),'MITRE ATT&amp;CK Mappings'!$F391))),ISNUMBER(SEARCH(IF(J$2&lt;&gt;"",J$2,"NA"),'MITRE ATT&amp;CK Mappings'!$G391))),ISNUMBER(SEARCH(IF(J$2&lt;&gt;"",J$2,"NA"),'MITRE ATT&amp;CK Mappings'!$H391))),ISNUMBER(SEARCH(IF(J$3&lt;&gt;"",J$3,"NA"),'MITRE ATT&amp;CK Mappings'!$I391))),ISNUMBER(SEARCH(IF(J$3&lt;&gt;"",J$3,"NA"),'MITRE ATT&amp;CK Mappings'!$J391))), 'MITRE ATT&amp;CK Mappings'!$B391,"")</f>
        <v/>
      </c>
      <c r="K395" s="27" t="str">
        <f>IF(OR(OR(OR(OR(OR(ISNUMBER(SEARCH(IF(K$1&lt;&gt;"",K$1,"NA"),'MITRE ATT&amp;CK Mappings'!$E391)),ISNUMBER(SEARCH(IF(K$1&lt;&gt;"",K$1,"NA"),'MITRE ATT&amp;CK Mappings'!$F391))),ISNUMBER(SEARCH(IF(K$2&lt;&gt;"",K$2,"NA"),'MITRE ATT&amp;CK Mappings'!$G391))),ISNUMBER(SEARCH(IF(K$2&lt;&gt;"",K$2,"NA"),'MITRE ATT&amp;CK Mappings'!$H391))),ISNUMBER(SEARCH(IF(K$3&lt;&gt;"",K$3,"NA"),'MITRE ATT&amp;CK Mappings'!$I391))),ISNUMBER(SEARCH(IF(K$3&lt;&gt;"",K$3,"NA"),'MITRE ATT&amp;CK Mappings'!$J391))), 'MITRE ATT&amp;CK Mappings'!$B391,"")</f>
        <v/>
      </c>
      <c r="L395" s="27" t="str">
        <f>IF('MITRE ATT&amp;CK Mappings'!D391 &lt;&gt;"",'MITRE ATT&amp;CK Mappings'!D391,"" )</f>
        <v/>
      </c>
    </row>
    <row r="396" spans="1:12" x14ac:dyDescent="0.25">
      <c r="A396" s="26" t="str">
        <f>IF(COUNTIF(B396:K396,"="&amp;'MITRE ATT&amp;CK Mappings'!B392)&gt;0,'MITRE ATT&amp;CK Mappings'!B392,"")</f>
        <v/>
      </c>
      <c r="B396" s="26" t="str">
        <f>IF(OR(OR(OR(OR(OR(ISNUMBER(SEARCH(IF(B$1&lt;&gt;"",B$1,"NA"),'MITRE ATT&amp;CK Mappings'!$E392)),ISNUMBER(SEARCH(IF(B$1&lt;&gt;"",B$1,"NA"),'MITRE ATT&amp;CK Mappings'!$F392))),ISNUMBER(SEARCH(IF(B$2&lt;&gt;"",B$2,"NA"),'MITRE ATT&amp;CK Mappings'!$G392))),ISNUMBER(SEARCH(IF(B$2&lt;&gt;"",B$2,"NA"),'MITRE ATT&amp;CK Mappings'!$H392))),ISNUMBER(SEARCH(IF(B$3&lt;&gt;"",B$3,"NA"),'MITRE ATT&amp;CK Mappings'!$I392))),ISNUMBER(SEARCH(IF(B$3&lt;&gt;"",B$3,"NA"),'MITRE ATT&amp;CK Mappings'!$J392))), 'MITRE ATT&amp;CK Mappings'!$B392,"")</f>
        <v/>
      </c>
      <c r="C396" s="26" t="str">
        <f>IF(OR(OR(OR(OR(OR(ISNUMBER(SEARCH(IF(C$1&lt;&gt;"",C$1,"NA"),'MITRE ATT&amp;CK Mappings'!$E392)),ISNUMBER(SEARCH(IF(C$1&lt;&gt;"",C$1,"NA"),'MITRE ATT&amp;CK Mappings'!$F392))),ISNUMBER(SEARCH(IF(C$2&lt;&gt;"",C$2,"NA"),'MITRE ATT&amp;CK Mappings'!$G392))),ISNUMBER(SEARCH(IF(C$2&lt;&gt;"",C$2,"NA"),'MITRE ATT&amp;CK Mappings'!$H392))),ISNUMBER(SEARCH(IF(C$3&lt;&gt;"",C$3,"NA"),'MITRE ATT&amp;CK Mappings'!$I392))),ISNUMBER(SEARCH(IF(C$3&lt;&gt;"",C$3,"NA"),'MITRE ATT&amp;CK Mappings'!$J392))), 'MITRE ATT&amp;CK Mappings'!$B392,"")</f>
        <v/>
      </c>
      <c r="D396" s="26" t="str">
        <f>IF(OR(OR(OR(OR(OR(ISNUMBER(SEARCH(IF(D$1&lt;&gt;"",D$1,"NA"),'MITRE ATT&amp;CK Mappings'!$E392)),ISNUMBER(SEARCH(IF(D$1&lt;&gt;"",D$1,"NA"),'MITRE ATT&amp;CK Mappings'!$F392))),ISNUMBER(SEARCH(IF(D$2&lt;&gt;"",D$2,"NA"),'MITRE ATT&amp;CK Mappings'!$G392))),ISNUMBER(SEARCH(IF(D$2&lt;&gt;"",D$2,"NA"),'MITRE ATT&amp;CK Mappings'!$H392))),ISNUMBER(SEARCH(IF(D$3&lt;&gt;"",D$3,"NA"),'MITRE ATT&amp;CK Mappings'!$I392))),ISNUMBER(SEARCH(IF(D$3&lt;&gt;"",D$3,"NA"),'MITRE ATT&amp;CK Mappings'!$J392))), 'MITRE ATT&amp;CK Mappings'!$B392,"")</f>
        <v/>
      </c>
      <c r="E396" s="26" t="str">
        <f>IF(OR(OR(OR(OR(OR(ISNUMBER(SEARCH(IF(E$1&lt;&gt;"",E$1,"NA"),'MITRE ATT&amp;CK Mappings'!$E392)),ISNUMBER(SEARCH(IF(E$1&lt;&gt;"",E$1,"NA"),'MITRE ATT&amp;CK Mappings'!$F392))),ISNUMBER(SEARCH(IF(E$2&lt;&gt;"",E$2,"NA"),'MITRE ATT&amp;CK Mappings'!$G392))),ISNUMBER(SEARCH(IF(E$2&lt;&gt;"",E$2,"NA"),'MITRE ATT&amp;CK Mappings'!$H392))),ISNUMBER(SEARCH(IF(E$3&lt;&gt;"",E$3,"NA"),'MITRE ATT&amp;CK Mappings'!$I392))),ISNUMBER(SEARCH(IF(E$3&lt;&gt;"",E$3,"NA"),'MITRE ATT&amp;CK Mappings'!$J392))), 'MITRE ATT&amp;CK Mappings'!$B392,"")</f>
        <v/>
      </c>
      <c r="F396" s="26" t="str">
        <f>IF(OR(OR(OR(OR(OR(ISNUMBER(SEARCH(IF(F$1&lt;&gt;"",F$1,"NA"),'MITRE ATT&amp;CK Mappings'!$E392)),ISNUMBER(SEARCH(IF(F$1&lt;&gt;"",F$1,"NA"),'MITRE ATT&amp;CK Mappings'!$F392))),ISNUMBER(SEARCH(IF(F$2&lt;&gt;"",F$2,"NA"),'MITRE ATT&amp;CK Mappings'!$G392))),ISNUMBER(SEARCH(IF(F$2&lt;&gt;"",F$2,"NA"),'MITRE ATT&amp;CK Mappings'!$H392))),ISNUMBER(SEARCH(IF(F$3&lt;&gt;"",F$3,"NA"),'MITRE ATT&amp;CK Mappings'!$I392))),ISNUMBER(SEARCH(IF(F$3&lt;&gt;"",F$3,"NA"),'MITRE ATT&amp;CK Mappings'!$J392))), 'MITRE ATT&amp;CK Mappings'!$B392,"")</f>
        <v/>
      </c>
      <c r="G396" s="26" t="str">
        <f>IF(OR(OR(OR(OR(OR(ISNUMBER(SEARCH(IF(G$1&lt;&gt;"",G$1,"NA"),'MITRE ATT&amp;CK Mappings'!$E392)),ISNUMBER(SEARCH(IF(G$1&lt;&gt;"",G$1,"NA"),'MITRE ATT&amp;CK Mappings'!$F392))),ISNUMBER(SEARCH(IF(G$2&lt;&gt;"",G$2,"NA"),'MITRE ATT&amp;CK Mappings'!$G392))),ISNUMBER(SEARCH(IF(G$2&lt;&gt;"",G$2,"NA"),'MITRE ATT&amp;CK Mappings'!$H392))),ISNUMBER(SEARCH(IF(G$3&lt;&gt;"",G$3,"NA"),'MITRE ATT&amp;CK Mappings'!$I392))),ISNUMBER(SEARCH(IF(G$3&lt;&gt;"",G$3,"NA"),'MITRE ATT&amp;CK Mappings'!$J392))), 'MITRE ATT&amp;CK Mappings'!$B392,"")</f>
        <v/>
      </c>
      <c r="H396" s="26" t="str">
        <f>IF(OR(OR(OR(OR(OR(ISNUMBER(SEARCH(IF(H$1&lt;&gt;"",H$1,"NA"),'MITRE ATT&amp;CK Mappings'!$E392)),ISNUMBER(SEARCH(IF(H$1&lt;&gt;"",H$1,"NA"),'MITRE ATT&amp;CK Mappings'!$F392))),ISNUMBER(SEARCH(IF(H$2&lt;&gt;"",H$2,"NA"),'MITRE ATT&amp;CK Mappings'!$G392))),ISNUMBER(SEARCH(IF(H$2&lt;&gt;"",H$2,"NA"),'MITRE ATT&amp;CK Mappings'!$H392))),ISNUMBER(SEARCH(IF(H$3&lt;&gt;"",H$3,"NA"),'MITRE ATT&amp;CK Mappings'!$I392))),ISNUMBER(SEARCH(IF(H$3&lt;&gt;"",H$3,"NA"),'MITRE ATT&amp;CK Mappings'!$J392))), 'MITRE ATT&amp;CK Mappings'!$B392,"")</f>
        <v/>
      </c>
      <c r="I396" s="26" t="str">
        <f>IF(OR(OR(OR(OR(OR(ISNUMBER(SEARCH(IF(I$1&lt;&gt;"",I$1,"NA"),'MITRE ATT&amp;CK Mappings'!$E392)),ISNUMBER(SEARCH(IF(I$1&lt;&gt;"",I$1,"NA"),'MITRE ATT&amp;CK Mappings'!$F392))),ISNUMBER(SEARCH(IF(I$2&lt;&gt;"",I$2,"NA"),'MITRE ATT&amp;CK Mappings'!$G392))),ISNUMBER(SEARCH(IF(I$2&lt;&gt;"",I$2,"NA"),'MITRE ATT&amp;CK Mappings'!$H392))),ISNUMBER(SEARCH(IF(I$3&lt;&gt;"",I$3,"NA"),'MITRE ATT&amp;CK Mappings'!$I392))),ISNUMBER(SEARCH(IF(I$3&lt;&gt;"",I$3,"NA"),'MITRE ATT&amp;CK Mappings'!$J392))), 'MITRE ATT&amp;CK Mappings'!$B392,"")</f>
        <v/>
      </c>
      <c r="J396" s="26" t="str">
        <f>IF(OR(OR(OR(OR(OR(ISNUMBER(SEARCH(IF(J$1&lt;&gt;"",J$1,"NA"),'MITRE ATT&amp;CK Mappings'!$E392)),ISNUMBER(SEARCH(IF(J$1&lt;&gt;"",J$1,"NA"),'MITRE ATT&amp;CK Mappings'!$F392))),ISNUMBER(SEARCH(IF(J$2&lt;&gt;"",J$2,"NA"),'MITRE ATT&amp;CK Mappings'!$G392))),ISNUMBER(SEARCH(IF(J$2&lt;&gt;"",J$2,"NA"),'MITRE ATT&amp;CK Mappings'!$H392))),ISNUMBER(SEARCH(IF(J$3&lt;&gt;"",J$3,"NA"),'MITRE ATT&amp;CK Mappings'!$I392))),ISNUMBER(SEARCH(IF(J$3&lt;&gt;"",J$3,"NA"),'MITRE ATT&amp;CK Mappings'!$J392))), 'MITRE ATT&amp;CK Mappings'!$B392,"")</f>
        <v/>
      </c>
      <c r="K396" s="26" t="str">
        <f>IF(OR(OR(OR(OR(OR(ISNUMBER(SEARCH(IF(K$1&lt;&gt;"",K$1,"NA"),'MITRE ATT&amp;CK Mappings'!$E392)),ISNUMBER(SEARCH(IF(K$1&lt;&gt;"",K$1,"NA"),'MITRE ATT&amp;CK Mappings'!$F392))),ISNUMBER(SEARCH(IF(K$2&lt;&gt;"",K$2,"NA"),'MITRE ATT&amp;CK Mappings'!$G392))),ISNUMBER(SEARCH(IF(K$2&lt;&gt;"",K$2,"NA"),'MITRE ATT&amp;CK Mappings'!$H392))),ISNUMBER(SEARCH(IF(K$3&lt;&gt;"",K$3,"NA"),'MITRE ATT&amp;CK Mappings'!$I392))),ISNUMBER(SEARCH(IF(K$3&lt;&gt;"",K$3,"NA"),'MITRE ATT&amp;CK Mappings'!$J392))), 'MITRE ATT&amp;CK Mappings'!$B392,"")</f>
        <v/>
      </c>
      <c r="L396" s="26" t="str">
        <f>IF('MITRE ATT&amp;CK Mappings'!D392 &lt;&gt;"",'MITRE ATT&amp;CK Mappings'!D392,"" )</f>
        <v/>
      </c>
    </row>
    <row r="397" spans="1:12" x14ac:dyDescent="0.25">
      <c r="A397" s="27" t="str">
        <f>IF(COUNTIF(B397:K397,"="&amp;'MITRE ATT&amp;CK Mappings'!B393)&gt;0,'MITRE ATT&amp;CK Mappings'!B393,"")</f>
        <v/>
      </c>
      <c r="B397" s="27" t="str">
        <f>IF(OR(OR(OR(OR(OR(ISNUMBER(SEARCH(IF(B$1&lt;&gt;"",B$1,"NA"),'MITRE ATT&amp;CK Mappings'!$E393)),ISNUMBER(SEARCH(IF(B$1&lt;&gt;"",B$1,"NA"),'MITRE ATT&amp;CK Mappings'!$F393))),ISNUMBER(SEARCH(IF(B$2&lt;&gt;"",B$2,"NA"),'MITRE ATT&amp;CK Mappings'!$G393))),ISNUMBER(SEARCH(IF(B$2&lt;&gt;"",B$2,"NA"),'MITRE ATT&amp;CK Mappings'!$H393))),ISNUMBER(SEARCH(IF(B$3&lt;&gt;"",B$3,"NA"),'MITRE ATT&amp;CK Mappings'!$I393))),ISNUMBER(SEARCH(IF(B$3&lt;&gt;"",B$3,"NA"),'MITRE ATT&amp;CK Mappings'!$J393))), 'MITRE ATT&amp;CK Mappings'!$B393,"")</f>
        <v/>
      </c>
      <c r="C397" s="27" t="str">
        <f>IF(OR(OR(OR(OR(OR(ISNUMBER(SEARCH(IF(C$1&lt;&gt;"",C$1,"NA"),'MITRE ATT&amp;CK Mappings'!$E393)),ISNUMBER(SEARCH(IF(C$1&lt;&gt;"",C$1,"NA"),'MITRE ATT&amp;CK Mappings'!$F393))),ISNUMBER(SEARCH(IF(C$2&lt;&gt;"",C$2,"NA"),'MITRE ATT&amp;CK Mappings'!$G393))),ISNUMBER(SEARCH(IF(C$2&lt;&gt;"",C$2,"NA"),'MITRE ATT&amp;CK Mappings'!$H393))),ISNUMBER(SEARCH(IF(C$3&lt;&gt;"",C$3,"NA"),'MITRE ATT&amp;CK Mappings'!$I393))),ISNUMBER(SEARCH(IF(C$3&lt;&gt;"",C$3,"NA"),'MITRE ATT&amp;CK Mappings'!$J393))), 'MITRE ATT&amp;CK Mappings'!$B393,"")</f>
        <v/>
      </c>
      <c r="D397" s="27" t="str">
        <f>IF(OR(OR(OR(OR(OR(ISNUMBER(SEARCH(IF(D$1&lt;&gt;"",D$1,"NA"),'MITRE ATT&amp;CK Mappings'!$E393)),ISNUMBER(SEARCH(IF(D$1&lt;&gt;"",D$1,"NA"),'MITRE ATT&amp;CK Mappings'!$F393))),ISNUMBER(SEARCH(IF(D$2&lt;&gt;"",D$2,"NA"),'MITRE ATT&amp;CK Mappings'!$G393))),ISNUMBER(SEARCH(IF(D$2&lt;&gt;"",D$2,"NA"),'MITRE ATT&amp;CK Mappings'!$H393))),ISNUMBER(SEARCH(IF(D$3&lt;&gt;"",D$3,"NA"),'MITRE ATT&amp;CK Mappings'!$I393))),ISNUMBER(SEARCH(IF(D$3&lt;&gt;"",D$3,"NA"),'MITRE ATT&amp;CK Mappings'!$J393))), 'MITRE ATT&amp;CK Mappings'!$B393,"")</f>
        <v/>
      </c>
      <c r="E397" s="27" t="str">
        <f>IF(OR(OR(OR(OR(OR(ISNUMBER(SEARCH(IF(E$1&lt;&gt;"",E$1,"NA"),'MITRE ATT&amp;CK Mappings'!$E393)),ISNUMBER(SEARCH(IF(E$1&lt;&gt;"",E$1,"NA"),'MITRE ATT&amp;CK Mappings'!$F393))),ISNUMBER(SEARCH(IF(E$2&lt;&gt;"",E$2,"NA"),'MITRE ATT&amp;CK Mappings'!$G393))),ISNUMBER(SEARCH(IF(E$2&lt;&gt;"",E$2,"NA"),'MITRE ATT&amp;CK Mappings'!$H393))),ISNUMBER(SEARCH(IF(E$3&lt;&gt;"",E$3,"NA"),'MITRE ATT&amp;CK Mappings'!$I393))),ISNUMBER(SEARCH(IF(E$3&lt;&gt;"",E$3,"NA"),'MITRE ATT&amp;CK Mappings'!$J393))), 'MITRE ATT&amp;CK Mappings'!$B393,"")</f>
        <v/>
      </c>
      <c r="F397" s="27" t="str">
        <f>IF(OR(OR(OR(OR(OR(ISNUMBER(SEARCH(IF(F$1&lt;&gt;"",F$1,"NA"),'MITRE ATT&amp;CK Mappings'!$E393)),ISNUMBER(SEARCH(IF(F$1&lt;&gt;"",F$1,"NA"),'MITRE ATT&amp;CK Mappings'!$F393))),ISNUMBER(SEARCH(IF(F$2&lt;&gt;"",F$2,"NA"),'MITRE ATT&amp;CK Mappings'!$G393))),ISNUMBER(SEARCH(IF(F$2&lt;&gt;"",F$2,"NA"),'MITRE ATT&amp;CK Mappings'!$H393))),ISNUMBER(SEARCH(IF(F$3&lt;&gt;"",F$3,"NA"),'MITRE ATT&amp;CK Mappings'!$I393))),ISNUMBER(SEARCH(IF(F$3&lt;&gt;"",F$3,"NA"),'MITRE ATT&amp;CK Mappings'!$J393))), 'MITRE ATT&amp;CK Mappings'!$B393,"")</f>
        <v/>
      </c>
      <c r="G397" s="27" t="str">
        <f>IF(OR(OR(OR(OR(OR(ISNUMBER(SEARCH(IF(G$1&lt;&gt;"",G$1,"NA"),'MITRE ATT&amp;CK Mappings'!$E393)),ISNUMBER(SEARCH(IF(G$1&lt;&gt;"",G$1,"NA"),'MITRE ATT&amp;CK Mappings'!$F393))),ISNUMBER(SEARCH(IF(G$2&lt;&gt;"",G$2,"NA"),'MITRE ATT&amp;CK Mappings'!$G393))),ISNUMBER(SEARCH(IF(G$2&lt;&gt;"",G$2,"NA"),'MITRE ATT&amp;CK Mappings'!$H393))),ISNUMBER(SEARCH(IF(G$3&lt;&gt;"",G$3,"NA"),'MITRE ATT&amp;CK Mappings'!$I393))),ISNUMBER(SEARCH(IF(G$3&lt;&gt;"",G$3,"NA"),'MITRE ATT&amp;CK Mappings'!$J393))), 'MITRE ATT&amp;CK Mappings'!$B393,"")</f>
        <v/>
      </c>
      <c r="H397" s="27" t="str">
        <f>IF(OR(OR(OR(OR(OR(ISNUMBER(SEARCH(IF(H$1&lt;&gt;"",H$1,"NA"),'MITRE ATT&amp;CK Mappings'!$E393)),ISNUMBER(SEARCH(IF(H$1&lt;&gt;"",H$1,"NA"),'MITRE ATT&amp;CK Mappings'!$F393))),ISNUMBER(SEARCH(IF(H$2&lt;&gt;"",H$2,"NA"),'MITRE ATT&amp;CK Mappings'!$G393))),ISNUMBER(SEARCH(IF(H$2&lt;&gt;"",H$2,"NA"),'MITRE ATT&amp;CK Mappings'!$H393))),ISNUMBER(SEARCH(IF(H$3&lt;&gt;"",H$3,"NA"),'MITRE ATT&amp;CK Mappings'!$I393))),ISNUMBER(SEARCH(IF(H$3&lt;&gt;"",H$3,"NA"),'MITRE ATT&amp;CK Mappings'!$J393))), 'MITRE ATT&amp;CK Mappings'!$B393,"")</f>
        <v/>
      </c>
      <c r="I397" s="27" t="str">
        <f>IF(OR(OR(OR(OR(OR(ISNUMBER(SEARCH(IF(I$1&lt;&gt;"",I$1,"NA"),'MITRE ATT&amp;CK Mappings'!$E393)),ISNUMBER(SEARCH(IF(I$1&lt;&gt;"",I$1,"NA"),'MITRE ATT&amp;CK Mappings'!$F393))),ISNUMBER(SEARCH(IF(I$2&lt;&gt;"",I$2,"NA"),'MITRE ATT&amp;CK Mappings'!$G393))),ISNUMBER(SEARCH(IF(I$2&lt;&gt;"",I$2,"NA"),'MITRE ATT&amp;CK Mappings'!$H393))),ISNUMBER(SEARCH(IF(I$3&lt;&gt;"",I$3,"NA"),'MITRE ATT&amp;CK Mappings'!$I393))),ISNUMBER(SEARCH(IF(I$3&lt;&gt;"",I$3,"NA"),'MITRE ATT&amp;CK Mappings'!$J393))), 'MITRE ATT&amp;CK Mappings'!$B393,"")</f>
        <v/>
      </c>
      <c r="J397" s="27" t="str">
        <f>IF(OR(OR(OR(OR(OR(ISNUMBER(SEARCH(IF(J$1&lt;&gt;"",J$1,"NA"),'MITRE ATT&amp;CK Mappings'!$E393)),ISNUMBER(SEARCH(IF(J$1&lt;&gt;"",J$1,"NA"),'MITRE ATT&amp;CK Mappings'!$F393))),ISNUMBER(SEARCH(IF(J$2&lt;&gt;"",J$2,"NA"),'MITRE ATT&amp;CK Mappings'!$G393))),ISNUMBER(SEARCH(IF(J$2&lt;&gt;"",J$2,"NA"),'MITRE ATT&amp;CK Mappings'!$H393))),ISNUMBER(SEARCH(IF(J$3&lt;&gt;"",J$3,"NA"),'MITRE ATT&amp;CK Mappings'!$I393))),ISNUMBER(SEARCH(IF(J$3&lt;&gt;"",J$3,"NA"),'MITRE ATT&amp;CK Mappings'!$J393))), 'MITRE ATT&amp;CK Mappings'!$B393,"")</f>
        <v/>
      </c>
      <c r="K397" s="27" t="str">
        <f>IF(OR(OR(OR(OR(OR(ISNUMBER(SEARCH(IF(K$1&lt;&gt;"",K$1,"NA"),'MITRE ATT&amp;CK Mappings'!$E393)),ISNUMBER(SEARCH(IF(K$1&lt;&gt;"",K$1,"NA"),'MITRE ATT&amp;CK Mappings'!$F393))),ISNUMBER(SEARCH(IF(K$2&lt;&gt;"",K$2,"NA"),'MITRE ATT&amp;CK Mappings'!$G393))),ISNUMBER(SEARCH(IF(K$2&lt;&gt;"",K$2,"NA"),'MITRE ATT&amp;CK Mappings'!$H393))),ISNUMBER(SEARCH(IF(K$3&lt;&gt;"",K$3,"NA"),'MITRE ATT&amp;CK Mappings'!$I393))),ISNUMBER(SEARCH(IF(K$3&lt;&gt;"",K$3,"NA"),'MITRE ATT&amp;CK Mappings'!$J393))), 'MITRE ATT&amp;CK Mappings'!$B393,"")</f>
        <v/>
      </c>
      <c r="L397" s="27" t="str">
        <f>IF('MITRE ATT&amp;CK Mappings'!D393 &lt;&gt;"",'MITRE ATT&amp;CK Mappings'!D393,"" )</f>
        <v/>
      </c>
    </row>
    <row r="398" spans="1:12" x14ac:dyDescent="0.25">
      <c r="A398" s="26" t="str">
        <f>IF(COUNTIF(B398:K398,"="&amp;'MITRE ATT&amp;CK Mappings'!B394)&gt;0,'MITRE ATT&amp;CK Mappings'!B394,"")</f>
        <v/>
      </c>
      <c r="B398" s="26" t="str">
        <f>IF(OR(OR(OR(OR(OR(ISNUMBER(SEARCH(IF(B$1&lt;&gt;"",B$1,"NA"),'MITRE ATT&amp;CK Mappings'!$E394)),ISNUMBER(SEARCH(IF(B$1&lt;&gt;"",B$1,"NA"),'MITRE ATT&amp;CK Mappings'!$F394))),ISNUMBER(SEARCH(IF(B$2&lt;&gt;"",B$2,"NA"),'MITRE ATT&amp;CK Mappings'!$G394))),ISNUMBER(SEARCH(IF(B$2&lt;&gt;"",B$2,"NA"),'MITRE ATT&amp;CK Mappings'!$H394))),ISNUMBER(SEARCH(IF(B$3&lt;&gt;"",B$3,"NA"),'MITRE ATT&amp;CK Mappings'!$I394))),ISNUMBER(SEARCH(IF(B$3&lt;&gt;"",B$3,"NA"),'MITRE ATT&amp;CK Mappings'!$J394))), 'MITRE ATT&amp;CK Mappings'!$B394,"")</f>
        <v/>
      </c>
      <c r="C398" s="26" t="str">
        <f>IF(OR(OR(OR(OR(OR(ISNUMBER(SEARCH(IF(C$1&lt;&gt;"",C$1,"NA"),'MITRE ATT&amp;CK Mappings'!$E394)),ISNUMBER(SEARCH(IF(C$1&lt;&gt;"",C$1,"NA"),'MITRE ATT&amp;CK Mappings'!$F394))),ISNUMBER(SEARCH(IF(C$2&lt;&gt;"",C$2,"NA"),'MITRE ATT&amp;CK Mappings'!$G394))),ISNUMBER(SEARCH(IF(C$2&lt;&gt;"",C$2,"NA"),'MITRE ATT&amp;CK Mappings'!$H394))),ISNUMBER(SEARCH(IF(C$3&lt;&gt;"",C$3,"NA"),'MITRE ATT&amp;CK Mappings'!$I394))),ISNUMBER(SEARCH(IF(C$3&lt;&gt;"",C$3,"NA"),'MITRE ATT&amp;CK Mappings'!$J394))), 'MITRE ATT&amp;CK Mappings'!$B394,"")</f>
        <v/>
      </c>
      <c r="D398" s="26" t="str">
        <f>IF(OR(OR(OR(OR(OR(ISNUMBER(SEARCH(IF(D$1&lt;&gt;"",D$1,"NA"),'MITRE ATT&amp;CK Mappings'!$E394)),ISNUMBER(SEARCH(IF(D$1&lt;&gt;"",D$1,"NA"),'MITRE ATT&amp;CK Mappings'!$F394))),ISNUMBER(SEARCH(IF(D$2&lt;&gt;"",D$2,"NA"),'MITRE ATT&amp;CK Mappings'!$G394))),ISNUMBER(SEARCH(IF(D$2&lt;&gt;"",D$2,"NA"),'MITRE ATT&amp;CK Mappings'!$H394))),ISNUMBER(SEARCH(IF(D$3&lt;&gt;"",D$3,"NA"),'MITRE ATT&amp;CK Mappings'!$I394))),ISNUMBER(SEARCH(IF(D$3&lt;&gt;"",D$3,"NA"),'MITRE ATT&amp;CK Mappings'!$J394))), 'MITRE ATT&amp;CK Mappings'!$B394,"")</f>
        <v/>
      </c>
      <c r="E398" s="26" t="str">
        <f>IF(OR(OR(OR(OR(OR(ISNUMBER(SEARCH(IF(E$1&lt;&gt;"",E$1,"NA"),'MITRE ATT&amp;CK Mappings'!$E394)),ISNUMBER(SEARCH(IF(E$1&lt;&gt;"",E$1,"NA"),'MITRE ATT&amp;CK Mappings'!$F394))),ISNUMBER(SEARCH(IF(E$2&lt;&gt;"",E$2,"NA"),'MITRE ATT&amp;CK Mappings'!$G394))),ISNUMBER(SEARCH(IF(E$2&lt;&gt;"",E$2,"NA"),'MITRE ATT&amp;CK Mappings'!$H394))),ISNUMBER(SEARCH(IF(E$3&lt;&gt;"",E$3,"NA"),'MITRE ATT&amp;CK Mappings'!$I394))),ISNUMBER(SEARCH(IF(E$3&lt;&gt;"",E$3,"NA"),'MITRE ATT&amp;CK Mappings'!$J394))), 'MITRE ATT&amp;CK Mappings'!$B394,"")</f>
        <v/>
      </c>
      <c r="F398" s="26" t="str">
        <f>IF(OR(OR(OR(OR(OR(ISNUMBER(SEARCH(IF(F$1&lt;&gt;"",F$1,"NA"),'MITRE ATT&amp;CK Mappings'!$E394)),ISNUMBER(SEARCH(IF(F$1&lt;&gt;"",F$1,"NA"),'MITRE ATT&amp;CK Mappings'!$F394))),ISNUMBER(SEARCH(IF(F$2&lt;&gt;"",F$2,"NA"),'MITRE ATT&amp;CK Mappings'!$G394))),ISNUMBER(SEARCH(IF(F$2&lt;&gt;"",F$2,"NA"),'MITRE ATT&amp;CK Mappings'!$H394))),ISNUMBER(SEARCH(IF(F$3&lt;&gt;"",F$3,"NA"),'MITRE ATT&amp;CK Mappings'!$I394))),ISNUMBER(SEARCH(IF(F$3&lt;&gt;"",F$3,"NA"),'MITRE ATT&amp;CK Mappings'!$J394))), 'MITRE ATT&amp;CK Mappings'!$B394,"")</f>
        <v/>
      </c>
      <c r="G398" s="26" t="str">
        <f>IF(OR(OR(OR(OR(OR(ISNUMBER(SEARCH(IF(G$1&lt;&gt;"",G$1,"NA"),'MITRE ATT&amp;CK Mappings'!$E394)),ISNUMBER(SEARCH(IF(G$1&lt;&gt;"",G$1,"NA"),'MITRE ATT&amp;CK Mappings'!$F394))),ISNUMBER(SEARCH(IF(G$2&lt;&gt;"",G$2,"NA"),'MITRE ATT&amp;CK Mappings'!$G394))),ISNUMBER(SEARCH(IF(G$2&lt;&gt;"",G$2,"NA"),'MITRE ATT&amp;CK Mappings'!$H394))),ISNUMBER(SEARCH(IF(G$3&lt;&gt;"",G$3,"NA"),'MITRE ATT&amp;CK Mappings'!$I394))),ISNUMBER(SEARCH(IF(G$3&lt;&gt;"",G$3,"NA"),'MITRE ATT&amp;CK Mappings'!$J394))), 'MITRE ATT&amp;CK Mappings'!$B394,"")</f>
        <v/>
      </c>
      <c r="H398" s="26" t="str">
        <f>IF(OR(OR(OR(OR(OR(ISNUMBER(SEARCH(IF(H$1&lt;&gt;"",H$1,"NA"),'MITRE ATT&amp;CK Mappings'!$E394)),ISNUMBER(SEARCH(IF(H$1&lt;&gt;"",H$1,"NA"),'MITRE ATT&amp;CK Mappings'!$F394))),ISNUMBER(SEARCH(IF(H$2&lt;&gt;"",H$2,"NA"),'MITRE ATT&amp;CK Mappings'!$G394))),ISNUMBER(SEARCH(IF(H$2&lt;&gt;"",H$2,"NA"),'MITRE ATT&amp;CK Mappings'!$H394))),ISNUMBER(SEARCH(IF(H$3&lt;&gt;"",H$3,"NA"),'MITRE ATT&amp;CK Mappings'!$I394))),ISNUMBER(SEARCH(IF(H$3&lt;&gt;"",H$3,"NA"),'MITRE ATT&amp;CK Mappings'!$J394))), 'MITRE ATT&amp;CK Mappings'!$B394,"")</f>
        <v/>
      </c>
      <c r="I398" s="26" t="str">
        <f>IF(OR(OR(OR(OR(OR(ISNUMBER(SEARCH(IF(I$1&lt;&gt;"",I$1,"NA"),'MITRE ATT&amp;CK Mappings'!$E394)),ISNUMBER(SEARCH(IF(I$1&lt;&gt;"",I$1,"NA"),'MITRE ATT&amp;CK Mappings'!$F394))),ISNUMBER(SEARCH(IF(I$2&lt;&gt;"",I$2,"NA"),'MITRE ATT&amp;CK Mappings'!$G394))),ISNUMBER(SEARCH(IF(I$2&lt;&gt;"",I$2,"NA"),'MITRE ATT&amp;CK Mappings'!$H394))),ISNUMBER(SEARCH(IF(I$3&lt;&gt;"",I$3,"NA"),'MITRE ATT&amp;CK Mappings'!$I394))),ISNUMBER(SEARCH(IF(I$3&lt;&gt;"",I$3,"NA"),'MITRE ATT&amp;CK Mappings'!$J394))), 'MITRE ATT&amp;CK Mappings'!$B394,"")</f>
        <v/>
      </c>
      <c r="J398" s="26" t="str">
        <f>IF(OR(OR(OR(OR(OR(ISNUMBER(SEARCH(IF(J$1&lt;&gt;"",J$1,"NA"),'MITRE ATT&amp;CK Mappings'!$E394)),ISNUMBER(SEARCH(IF(J$1&lt;&gt;"",J$1,"NA"),'MITRE ATT&amp;CK Mappings'!$F394))),ISNUMBER(SEARCH(IF(J$2&lt;&gt;"",J$2,"NA"),'MITRE ATT&amp;CK Mappings'!$G394))),ISNUMBER(SEARCH(IF(J$2&lt;&gt;"",J$2,"NA"),'MITRE ATT&amp;CK Mappings'!$H394))),ISNUMBER(SEARCH(IF(J$3&lt;&gt;"",J$3,"NA"),'MITRE ATT&amp;CK Mappings'!$I394))),ISNUMBER(SEARCH(IF(J$3&lt;&gt;"",J$3,"NA"),'MITRE ATT&amp;CK Mappings'!$J394))), 'MITRE ATT&amp;CK Mappings'!$B394,"")</f>
        <v/>
      </c>
      <c r="K398" s="26" t="str">
        <f>IF(OR(OR(OR(OR(OR(ISNUMBER(SEARCH(IF(K$1&lt;&gt;"",K$1,"NA"),'MITRE ATT&amp;CK Mappings'!$E394)),ISNUMBER(SEARCH(IF(K$1&lt;&gt;"",K$1,"NA"),'MITRE ATT&amp;CK Mappings'!$F394))),ISNUMBER(SEARCH(IF(K$2&lt;&gt;"",K$2,"NA"),'MITRE ATT&amp;CK Mappings'!$G394))),ISNUMBER(SEARCH(IF(K$2&lt;&gt;"",K$2,"NA"),'MITRE ATT&amp;CK Mappings'!$H394))),ISNUMBER(SEARCH(IF(K$3&lt;&gt;"",K$3,"NA"),'MITRE ATT&amp;CK Mappings'!$I394))),ISNUMBER(SEARCH(IF(K$3&lt;&gt;"",K$3,"NA"),'MITRE ATT&amp;CK Mappings'!$J394))), 'MITRE ATT&amp;CK Mappings'!$B394,"")</f>
        <v/>
      </c>
      <c r="L398" s="26" t="str">
        <f>IF('MITRE ATT&amp;CK Mappings'!D394 &lt;&gt;"",'MITRE ATT&amp;CK Mappings'!D394,"" )</f>
        <v/>
      </c>
    </row>
    <row r="399" spans="1:12" x14ac:dyDescent="0.25">
      <c r="A399" s="27" t="str">
        <f>IF(COUNTIF(B399:K399,"="&amp;'MITRE ATT&amp;CK Mappings'!B395)&gt;0,'MITRE ATT&amp;CK Mappings'!B395,"")</f>
        <v/>
      </c>
      <c r="B399" s="27" t="str">
        <f>IF(OR(OR(OR(OR(OR(ISNUMBER(SEARCH(IF(B$1&lt;&gt;"",B$1,"NA"),'MITRE ATT&amp;CK Mappings'!$E395)),ISNUMBER(SEARCH(IF(B$1&lt;&gt;"",B$1,"NA"),'MITRE ATT&amp;CK Mappings'!$F395))),ISNUMBER(SEARCH(IF(B$2&lt;&gt;"",B$2,"NA"),'MITRE ATT&amp;CK Mappings'!$G395))),ISNUMBER(SEARCH(IF(B$2&lt;&gt;"",B$2,"NA"),'MITRE ATT&amp;CK Mappings'!$H395))),ISNUMBER(SEARCH(IF(B$3&lt;&gt;"",B$3,"NA"),'MITRE ATT&amp;CK Mappings'!$I395))),ISNUMBER(SEARCH(IF(B$3&lt;&gt;"",B$3,"NA"),'MITRE ATT&amp;CK Mappings'!$J395))), 'MITRE ATT&amp;CK Mappings'!$B395,"")</f>
        <v/>
      </c>
      <c r="C399" s="27" t="str">
        <f>IF(OR(OR(OR(OR(OR(ISNUMBER(SEARCH(IF(C$1&lt;&gt;"",C$1,"NA"),'MITRE ATT&amp;CK Mappings'!$E395)),ISNUMBER(SEARCH(IF(C$1&lt;&gt;"",C$1,"NA"),'MITRE ATT&amp;CK Mappings'!$F395))),ISNUMBER(SEARCH(IF(C$2&lt;&gt;"",C$2,"NA"),'MITRE ATT&amp;CK Mappings'!$G395))),ISNUMBER(SEARCH(IF(C$2&lt;&gt;"",C$2,"NA"),'MITRE ATT&amp;CK Mappings'!$H395))),ISNUMBER(SEARCH(IF(C$3&lt;&gt;"",C$3,"NA"),'MITRE ATT&amp;CK Mappings'!$I395))),ISNUMBER(SEARCH(IF(C$3&lt;&gt;"",C$3,"NA"),'MITRE ATT&amp;CK Mappings'!$J395))), 'MITRE ATT&amp;CK Mappings'!$B395,"")</f>
        <v/>
      </c>
      <c r="D399" s="27" t="str">
        <f>IF(OR(OR(OR(OR(OR(ISNUMBER(SEARCH(IF(D$1&lt;&gt;"",D$1,"NA"),'MITRE ATT&amp;CK Mappings'!$E395)),ISNUMBER(SEARCH(IF(D$1&lt;&gt;"",D$1,"NA"),'MITRE ATT&amp;CK Mappings'!$F395))),ISNUMBER(SEARCH(IF(D$2&lt;&gt;"",D$2,"NA"),'MITRE ATT&amp;CK Mappings'!$G395))),ISNUMBER(SEARCH(IF(D$2&lt;&gt;"",D$2,"NA"),'MITRE ATT&amp;CK Mappings'!$H395))),ISNUMBER(SEARCH(IF(D$3&lt;&gt;"",D$3,"NA"),'MITRE ATT&amp;CK Mappings'!$I395))),ISNUMBER(SEARCH(IF(D$3&lt;&gt;"",D$3,"NA"),'MITRE ATT&amp;CK Mappings'!$J395))), 'MITRE ATT&amp;CK Mappings'!$B395,"")</f>
        <v/>
      </c>
      <c r="E399" s="27" t="str">
        <f>IF(OR(OR(OR(OR(OR(ISNUMBER(SEARCH(IF(E$1&lt;&gt;"",E$1,"NA"),'MITRE ATT&amp;CK Mappings'!$E395)),ISNUMBER(SEARCH(IF(E$1&lt;&gt;"",E$1,"NA"),'MITRE ATT&amp;CK Mappings'!$F395))),ISNUMBER(SEARCH(IF(E$2&lt;&gt;"",E$2,"NA"),'MITRE ATT&amp;CK Mappings'!$G395))),ISNUMBER(SEARCH(IF(E$2&lt;&gt;"",E$2,"NA"),'MITRE ATT&amp;CK Mappings'!$H395))),ISNUMBER(SEARCH(IF(E$3&lt;&gt;"",E$3,"NA"),'MITRE ATT&amp;CK Mappings'!$I395))),ISNUMBER(SEARCH(IF(E$3&lt;&gt;"",E$3,"NA"),'MITRE ATT&amp;CK Mappings'!$J395))), 'MITRE ATT&amp;CK Mappings'!$B395,"")</f>
        <v/>
      </c>
      <c r="F399" s="27" t="str">
        <f>IF(OR(OR(OR(OR(OR(ISNUMBER(SEARCH(IF(F$1&lt;&gt;"",F$1,"NA"),'MITRE ATT&amp;CK Mappings'!$E395)),ISNUMBER(SEARCH(IF(F$1&lt;&gt;"",F$1,"NA"),'MITRE ATT&amp;CK Mappings'!$F395))),ISNUMBER(SEARCH(IF(F$2&lt;&gt;"",F$2,"NA"),'MITRE ATT&amp;CK Mappings'!$G395))),ISNUMBER(SEARCH(IF(F$2&lt;&gt;"",F$2,"NA"),'MITRE ATT&amp;CK Mappings'!$H395))),ISNUMBER(SEARCH(IF(F$3&lt;&gt;"",F$3,"NA"),'MITRE ATT&amp;CK Mappings'!$I395))),ISNUMBER(SEARCH(IF(F$3&lt;&gt;"",F$3,"NA"),'MITRE ATT&amp;CK Mappings'!$J395))), 'MITRE ATT&amp;CK Mappings'!$B395,"")</f>
        <v/>
      </c>
      <c r="G399" s="27" t="str">
        <f>IF(OR(OR(OR(OR(OR(ISNUMBER(SEARCH(IF(G$1&lt;&gt;"",G$1,"NA"),'MITRE ATT&amp;CK Mappings'!$E395)),ISNUMBER(SEARCH(IF(G$1&lt;&gt;"",G$1,"NA"),'MITRE ATT&amp;CK Mappings'!$F395))),ISNUMBER(SEARCH(IF(G$2&lt;&gt;"",G$2,"NA"),'MITRE ATT&amp;CK Mappings'!$G395))),ISNUMBER(SEARCH(IF(G$2&lt;&gt;"",G$2,"NA"),'MITRE ATT&amp;CK Mappings'!$H395))),ISNUMBER(SEARCH(IF(G$3&lt;&gt;"",G$3,"NA"),'MITRE ATT&amp;CK Mappings'!$I395))),ISNUMBER(SEARCH(IF(G$3&lt;&gt;"",G$3,"NA"),'MITRE ATT&amp;CK Mappings'!$J395))), 'MITRE ATT&amp;CK Mappings'!$B395,"")</f>
        <v/>
      </c>
      <c r="H399" s="27" t="str">
        <f>IF(OR(OR(OR(OR(OR(ISNUMBER(SEARCH(IF(H$1&lt;&gt;"",H$1,"NA"),'MITRE ATT&amp;CK Mappings'!$E395)),ISNUMBER(SEARCH(IF(H$1&lt;&gt;"",H$1,"NA"),'MITRE ATT&amp;CK Mappings'!$F395))),ISNUMBER(SEARCH(IF(H$2&lt;&gt;"",H$2,"NA"),'MITRE ATT&amp;CK Mappings'!$G395))),ISNUMBER(SEARCH(IF(H$2&lt;&gt;"",H$2,"NA"),'MITRE ATT&amp;CK Mappings'!$H395))),ISNUMBER(SEARCH(IF(H$3&lt;&gt;"",H$3,"NA"),'MITRE ATT&amp;CK Mappings'!$I395))),ISNUMBER(SEARCH(IF(H$3&lt;&gt;"",H$3,"NA"),'MITRE ATT&amp;CK Mappings'!$J395))), 'MITRE ATT&amp;CK Mappings'!$B395,"")</f>
        <v/>
      </c>
      <c r="I399" s="27" t="str">
        <f>IF(OR(OR(OR(OR(OR(ISNUMBER(SEARCH(IF(I$1&lt;&gt;"",I$1,"NA"),'MITRE ATT&amp;CK Mappings'!$E395)),ISNUMBER(SEARCH(IF(I$1&lt;&gt;"",I$1,"NA"),'MITRE ATT&amp;CK Mappings'!$F395))),ISNUMBER(SEARCH(IF(I$2&lt;&gt;"",I$2,"NA"),'MITRE ATT&amp;CK Mappings'!$G395))),ISNUMBER(SEARCH(IF(I$2&lt;&gt;"",I$2,"NA"),'MITRE ATT&amp;CK Mappings'!$H395))),ISNUMBER(SEARCH(IF(I$3&lt;&gt;"",I$3,"NA"),'MITRE ATT&amp;CK Mappings'!$I395))),ISNUMBER(SEARCH(IF(I$3&lt;&gt;"",I$3,"NA"),'MITRE ATT&amp;CK Mappings'!$J395))), 'MITRE ATT&amp;CK Mappings'!$B395,"")</f>
        <v/>
      </c>
      <c r="J399" s="27" t="str">
        <f>IF(OR(OR(OR(OR(OR(ISNUMBER(SEARCH(IF(J$1&lt;&gt;"",J$1,"NA"),'MITRE ATT&amp;CK Mappings'!$E395)),ISNUMBER(SEARCH(IF(J$1&lt;&gt;"",J$1,"NA"),'MITRE ATT&amp;CK Mappings'!$F395))),ISNUMBER(SEARCH(IF(J$2&lt;&gt;"",J$2,"NA"),'MITRE ATT&amp;CK Mappings'!$G395))),ISNUMBER(SEARCH(IF(J$2&lt;&gt;"",J$2,"NA"),'MITRE ATT&amp;CK Mappings'!$H395))),ISNUMBER(SEARCH(IF(J$3&lt;&gt;"",J$3,"NA"),'MITRE ATT&amp;CK Mappings'!$I395))),ISNUMBER(SEARCH(IF(J$3&lt;&gt;"",J$3,"NA"),'MITRE ATT&amp;CK Mappings'!$J395))), 'MITRE ATT&amp;CK Mappings'!$B395,"")</f>
        <v/>
      </c>
      <c r="K399" s="27" t="str">
        <f>IF(OR(OR(OR(OR(OR(ISNUMBER(SEARCH(IF(K$1&lt;&gt;"",K$1,"NA"),'MITRE ATT&amp;CK Mappings'!$E395)),ISNUMBER(SEARCH(IF(K$1&lt;&gt;"",K$1,"NA"),'MITRE ATT&amp;CK Mappings'!$F395))),ISNUMBER(SEARCH(IF(K$2&lt;&gt;"",K$2,"NA"),'MITRE ATT&amp;CK Mappings'!$G395))),ISNUMBER(SEARCH(IF(K$2&lt;&gt;"",K$2,"NA"),'MITRE ATT&amp;CK Mappings'!$H395))),ISNUMBER(SEARCH(IF(K$3&lt;&gt;"",K$3,"NA"),'MITRE ATT&amp;CK Mappings'!$I395))),ISNUMBER(SEARCH(IF(K$3&lt;&gt;"",K$3,"NA"),'MITRE ATT&amp;CK Mappings'!$J395))), 'MITRE ATT&amp;CK Mappings'!$B395,"")</f>
        <v/>
      </c>
      <c r="L399" s="27" t="str">
        <f>IF('MITRE ATT&amp;CK Mappings'!D395 &lt;&gt;"",'MITRE ATT&amp;CK Mappings'!D395,"" )</f>
        <v/>
      </c>
    </row>
    <row r="400" spans="1:12" x14ac:dyDescent="0.25">
      <c r="A400" s="26" t="str">
        <f>IF(COUNTIF(B400:K400,"="&amp;'MITRE ATT&amp;CK Mappings'!B396)&gt;0,'MITRE ATT&amp;CK Mappings'!B396,"")</f>
        <v/>
      </c>
      <c r="B400" s="26" t="str">
        <f>IF(OR(OR(OR(OR(OR(ISNUMBER(SEARCH(IF(B$1&lt;&gt;"",B$1,"NA"),'MITRE ATT&amp;CK Mappings'!$E396)),ISNUMBER(SEARCH(IF(B$1&lt;&gt;"",B$1,"NA"),'MITRE ATT&amp;CK Mappings'!$F396))),ISNUMBER(SEARCH(IF(B$2&lt;&gt;"",B$2,"NA"),'MITRE ATT&amp;CK Mappings'!$G396))),ISNUMBER(SEARCH(IF(B$2&lt;&gt;"",B$2,"NA"),'MITRE ATT&amp;CK Mappings'!$H396))),ISNUMBER(SEARCH(IF(B$3&lt;&gt;"",B$3,"NA"),'MITRE ATT&amp;CK Mappings'!$I396))),ISNUMBER(SEARCH(IF(B$3&lt;&gt;"",B$3,"NA"),'MITRE ATT&amp;CK Mappings'!$J396))), 'MITRE ATT&amp;CK Mappings'!$B396,"")</f>
        <v/>
      </c>
      <c r="C400" s="26" t="str">
        <f>IF(OR(OR(OR(OR(OR(ISNUMBER(SEARCH(IF(C$1&lt;&gt;"",C$1,"NA"),'MITRE ATT&amp;CK Mappings'!$E396)),ISNUMBER(SEARCH(IF(C$1&lt;&gt;"",C$1,"NA"),'MITRE ATT&amp;CK Mappings'!$F396))),ISNUMBER(SEARCH(IF(C$2&lt;&gt;"",C$2,"NA"),'MITRE ATT&amp;CK Mappings'!$G396))),ISNUMBER(SEARCH(IF(C$2&lt;&gt;"",C$2,"NA"),'MITRE ATT&amp;CK Mappings'!$H396))),ISNUMBER(SEARCH(IF(C$3&lt;&gt;"",C$3,"NA"),'MITRE ATT&amp;CK Mappings'!$I396))),ISNUMBER(SEARCH(IF(C$3&lt;&gt;"",C$3,"NA"),'MITRE ATT&amp;CK Mappings'!$J396))), 'MITRE ATT&amp;CK Mappings'!$B396,"")</f>
        <v/>
      </c>
      <c r="D400" s="26" t="str">
        <f>IF(OR(OR(OR(OR(OR(ISNUMBER(SEARCH(IF(D$1&lt;&gt;"",D$1,"NA"),'MITRE ATT&amp;CK Mappings'!$E396)),ISNUMBER(SEARCH(IF(D$1&lt;&gt;"",D$1,"NA"),'MITRE ATT&amp;CK Mappings'!$F396))),ISNUMBER(SEARCH(IF(D$2&lt;&gt;"",D$2,"NA"),'MITRE ATT&amp;CK Mappings'!$G396))),ISNUMBER(SEARCH(IF(D$2&lt;&gt;"",D$2,"NA"),'MITRE ATT&amp;CK Mappings'!$H396))),ISNUMBER(SEARCH(IF(D$3&lt;&gt;"",D$3,"NA"),'MITRE ATT&amp;CK Mappings'!$I396))),ISNUMBER(SEARCH(IF(D$3&lt;&gt;"",D$3,"NA"),'MITRE ATT&amp;CK Mappings'!$J396))), 'MITRE ATT&amp;CK Mappings'!$B396,"")</f>
        <v/>
      </c>
      <c r="E400" s="26" t="str">
        <f>IF(OR(OR(OR(OR(OR(ISNUMBER(SEARCH(IF(E$1&lt;&gt;"",E$1,"NA"),'MITRE ATT&amp;CK Mappings'!$E396)),ISNUMBER(SEARCH(IF(E$1&lt;&gt;"",E$1,"NA"),'MITRE ATT&amp;CK Mappings'!$F396))),ISNUMBER(SEARCH(IF(E$2&lt;&gt;"",E$2,"NA"),'MITRE ATT&amp;CK Mappings'!$G396))),ISNUMBER(SEARCH(IF(E$2&lt;&gt;"",E$2,"NA"),'MITRE ATT&amp;CK Mappings'!$H396))),ISNUMBER(SEARCH(IF(E$3&lt;&gt;"",E$3,"NA"),'MITRE ATT&amp;CK Mappings'!$I396))),ISNUMBER(SEARCH(IF(E$3&lt;&gt;"",E$3,"NA"),'MITRE ATT&amp;CK Mappings'!$J396))), 'MITRE ATT&amp;CK Mappings'!$B396,"")</f>
        <v/>
      </c>
      <c r="F400" s="26" t="str">
        <f>IF(OR(OR(OR(OR(OR(ISNUMBER(SEARCH(IF(F$1&lt;&gt;"",F$1,"NA"),'MITRE ATT&amp;CK Mappings'!$E396)),ISNUMBER(SEARCH(IF(F$1&lt;&gt;"",F$1,"NA"),'MITRE ATT&amp;CK Mappings'!$F396))),ISNUMBER(SEARCH(IF(F$2&lt;&gt;"",F$2,"NA"),'MITRE ATT&amp;CK Mappings'!$G396))),ISNUMBER(SEARCH(IF(F$2&lt;&gt;"",F$2,"NA"),'MITRE ATT&amp;CK Mappings'!$H396))),ISNUMBER(SEARCH(IF(F$3&lt;&gt;"",F$3,"NA"),'MITRE ATT&amp;CK Mappings'!$I396))),ISNUMBER(SEARCH(IF(F$3&lt;&gt;"",F$3,"NA"),'MITRE ATT&amp;CK Mappings'!$J396))), 'MITRE ATT&amp;CK Mappings'!$B396,"")</f>
        <v/>
      </c>
      <c r="G400" s="26" t="str">
        <f>IF(OR(OR(OR(OR(OR(ISNUMBER(SEARCH(IF(G$1&lt;&gt;"",G$1,"NA"),'MITRE ATT&amp;CK Mappings'!$E396)),ISNUMBER(SEARCH(IF(G$1&lt;&gt;"",G$1,"NA"),'MITRE ATT&amp;CK Mappings'!$F396))),ISNUMBER(SEARCH(IF(G$2&lt;&gt;"",G$2,"NA"),'MITRE ATT&amp;CK Mappings'!$G396))),ISNUMBER(SEARCH(IF(G$2&lt;&gt;"",G$2,"NA"),'MITRE ATT&amp;CK Mappings'!$H396))),ISNUMBER(SEARCH(IF(G$3&lt;&gt;"",G$3,"NA"),'MITRE ATT&amp;CK Mappings'!$I396))),ISNUMBER(SEARCH(IF(G$3&lt;&gt;"",G$3,"NA"),'MITRE ATT&amp;CK Mappings'!$J396))), 'MITRE ATT&amp;CK Mappings'!$B396,"")</f>
        <v/>
      </c>
      <c r="H400" s="26" t="str">
        <f>IF(OR(OR(OR(OR(OR(ISNUMBER(SEARCH(IF(H$1&lt;&gt;"",H$1,"NA"),'MITRE ATT&amp;CK Mappings'!$E396)),ISNUMBER(SEARCH(IF(H$1&lt;&gt;"",H$1,"NA"),'MITRE ATT&amp;CK Mappings'!$F396))),ISNUMBER(SEARCH(IF(H$2&lt;&gt;"",H$2,"NA"),'MITRE ATT&amp;CK Mappings'!$G396))),ISNUMBER(SEARCH(IF(H$2&lt;&gt;"",H$2,"NA"),'MITRE ATT&amp;CK Mappings'!$H396))),ISNUMBER(SEARCH(IF(H$3&lt;&gt;"",H$3,"NA"),'MITRE ATT&amp;CK Mappings'!$I396))),ISNUMBER(SEARCH(IF(H$3&lt;&gt;"",H$3,"NA"),'MITRE ATT&amp;CK Mappings'!$J396))), 'MITRE ATT&amp;CK Mappings'!$B396,"")</f>
        <v/>
      </c>
      <c r="I400" s="26" t="str">
        <f>IF(OR(OR(OR(OR(OR(ISNUMBER(SEARCH(IF(I$1&lt;&gt;"",I$1,"NA"),'MITRE ATT&amp;CK Mappings'!$E396)),ISNUMBER(SEARCH(IF(I$1&lt;&gt;"",I$1,"NA"),'MITRE ATT&amp;CK Mappings'!$F396))),ISNUMBER(SEARCH(IF(I$2&lt;&gt;"",I$2,"NA"),'MITRE ATT&amp;CK Mappings'!$G396))),ISNUMBER(SEARCH(IF(I$2&lt;&gt;"",I$2,"NA"),'MITRE ATT&amp;CK Mappings'!$H396))),ISNUMBER(SEARCH(IF(I$3&lt;&gt;"",I$3,"NA"),'MITRE ATT&amp;CK Mappings'!$I396))),ISNUMBER(SEARCH(IF(I$3&lt;&gt;"",I$3,"NA"),'MITRE ATT&amp;CK Mappings'!$J396))), 'MITRE ATT&amp;CK Mappings'!$B396,"")</f>
        <v/>
      </c>
      <c r="J400" s="26" t="str">
        <f>IF(OR(OR(OR(OR(OR(ISNUMBER(SEARCH(IF(J$1&lt;&gt;"",J$1,"NA"),'MITRE ATT&amp;CK Mappings'!$E396)),ISNUMBER(SEARCH(IF(J$1&lt;&gt;"",J$1,"NA"),'MITRE ATT&amp;CK Mappings'!$F396))),ISNUMBER(SEARCH(IF(J$2&lt;&gt;"",J$2,"NA"),'MITRE ATT&amp;CK Mappings'!$G396))),ISNUMBER(SEARCH(IF(J$2&lt;&gt;"",J$2,"NA"),'MITRE ATT&amp;CK Mappings'!$H396))),ISNUMBER(SEARCH(IF(J$3&lt;&gt;"",J$3,"NA"),'MITRE ATT&amp;CK Mappings'!$I396))),ISNUMBER(SEARCH(IF(J$3&lt;&gt;"",J$3,"NA"),'MITRE ATT&amp;CK Mappings'!$J396))), 'MITRE ATT&amp;CK Mappings'!$B396,"")</f>
        <v/>
      </c>
      <c r="K400" s="26" t="str">
        <f>IF(OR(OR(OR(OR(OR(ISNUMBER(SEARCH(IF(K$1&lt;&gt;"",K$1,"NA"),'MITRE ATT&amp;CK Mappings'!$E396)),ISNUMBER(SEARCH(IF(K$1&lt;&gt;"",K$1,"NA"),'MITRE ATT&amp;CK Mappings'!$F396))),ISNUMBER(SEARCH(IF(K$2&lt;&gt;"",K$2,"NA"),'MITRE ATT&amp;CK Mappings'!$G396))),ISNUMBER(SEARCH(IF(K$2&lt;&gt;"",K$2,"NA"),'MITRE ATT&amp;CK Mappings'!$H396))),ISNUMBER(SEARCH(IF(K$3&lt;&gt;"",K$3,"NA"),'MITRE ATT&amp;CK Mappings'!$I396))),ISNUMBER(SEARCH(IF(K$3&lt;&gt;"",K$3,"NA"),'MITRE ATT&amp;CK Mappings'!$J396))), 'MITRE ATT&amp;CK Mappings'!$B396,"")</f>
        <v/>
      </c>
      <c r="L400" s="26" t="str">
        <f>IF('MITRE ATT&amp;CK Mappings'!D396 &lt;&gt;"",'MITRE ATT&amp;CK Mappings'!D396,"" )</f>
        <v/>
      </c>
    </row>
    <row r="401" spans="1:12" x14ac:dyDescent="0.25">
      <c r="A401" s="27" t="str">
        <f>IF(COUNTIF(B401:K401,"="&amp;'MITRE ATT&amp;CK Mappings'!B397)&gt;0,'MITRE ATT&amp;CK Mappings'!B397,"")</f>
        <v/>
      </c>
      <c r="B401" s="27" t="str">
        <f>IF(OR(OR(OR(OR(OR(ISNUMBER(SEARCH(IF(B$1&lt;&gt;"",B$1,"NA"),'MITRE ATT&amp;CK Mappings'!$E397)),ISNUMBER(SEARCH(IF(B$1&lt;&gt;"",B$1,"NA"),'MITRE ATT&amp;CK Mappings'!$F397))),ISNUMBER(SEARCH(IF(B$2&lt;&gt;"",B$2,"NA"),'MITRE ATT&amp;CK Mappings'!$G397))),ISNUMBER(SEARCH(IF(B$2&lt;&gt;"",B$2,"NA"),'MITRE ATT&amp;CK Mappings'!$H397))),ISNUMBER(SEARCH(IF(B$3&lt;&gt;"",B$3,"NA"),'MITRE ATT&amp;CK Mappings'!$I397))),ISNUMBER(SEARCH(IF(B$3&lt;&gt;"",B$3,"NA"),'MITRE ATT&amp;CK Mappings'!$J397))), 'MITRE ATT&amp;CK Mappings'!$B397,"")</f>
        <v/>
      </c>
      <c r="C401" s="27" t="str">
        <f>IF(OR(OR(OR(OR(OR(ISNUMBER(SEARCH(IF(C$1&lt;&gt;"",C$1,"NA"),'MITRE ATT&amp;CK Mappings'!$E397)),ISNUMBER(SEARCH(IF(C$1&lt;&gt;"",C$1,"NA"),'MITRE ATT&amp;CK Mappings'!$F397))),ISNUMBER(SEARCH(IF(C$2&lt;&gt;"",C$2,"NA"),'MITRE ATT&amp;CK Mappings'!$G397))),ISNUMBER(SEARCH(IF(C$2&lt;&gt;"",C$2,"NA"),'MITRE ATT&amp;CK Mappings'!$H397))),ISNUMBER(SEARCH(IF(C$3&lt;&gt;"",C$3,"NA"),'MITRE ATT&amp;CK Mappings'!$I397))),ISNUMBER(SEARCH(IF(C$3&lt;&gt;"",C$3,"NA"),'MITRE ATT&amp;CK Mappings'!$J397))), 'MITRE ATT&amp;CK Mappings'!$B397,"")</f>
        <v/>
      </c>
      <c r="D401" s="27" t="str">
        <f>IF(OR(OR(OR(OR(OR(ISNUMBER(SEARCH(IF(D$1&lt;&gt;"",D$1,"NA"),'MITRE ATT&amp;CK Mappings'!$E397)),ISNUMBER(SEARCH(IF(D$1&lt;&gt;"",D$1,"NA"),'MITRE ATT&amp;CK Mappings'!$F397))),ISNUMBER(SEARCH(IF(D$2&lt;&gt;"",D$2,"NA"),'MITRE ATT&amp;CK Mappings'!$G397))),ISNUMBER(SEARCH(IF(D$2&lt;&gt;"",D$2,"NA"),'MITRE ATT&amp;CK Mappings'!$H397))),ISNUMBER(SEARCH(IF(D$3&lt;&gt;"",D$3,"NA"),'MITRE ATT&amp;CK Mappings'!$I397))),ISNUMBER(SEARCH(IF(D$3&lt;&gt;"",D$3,"NA"),'MITRE ATT&amp;CK Mappings'!$J397))), 'MITRE ATT&amp;CK Mappings'!$B397,"")</f>
        <v/>
      </c>
      <c r="E401" s="27" t="str">
        <f>IF(OR(OR(OR(OR(OR(ISNUMBER(SEARCH(IF(E$1&lt;&gt;"",E$1,"NA"),'MITRE ATT&amp;CK Mappings'!$E397)),ISNUMBER(SEARCH(IF(E$1&lt;&gt;"",E$1,"NA"),'MITRE ATT&amp;CK Mappings'!$F397))),ISNUMBER(SEARCH(IF(E$2&lt;&gt;"",E$2,"NA"),'MITRE ATT&amp;CK Mappings'!$G397))),ISNUMBER(SEARCH(IF(E$2&lt;&gt;"",E$2,"NA"),'MITRE ATT&amp;CK Mappings'!$H397))),ISNUMBER(SEARCH(IF(E$3&lt;&gt;"",E$3,"NA"),'MITRE ATT&amp;CK Mappings'!$I397))),ISNUMBER(SEARCH(IF(E$3&lt;&gt;"",E$3,"NA"),'MITRE ATT&amp;CK Mappings'!$J397))), 'MITRE ATT&amp;CK Mappings'!$B397,"")</f>
        <v/>
      </c>
      <c r="F401" s="27" t="str">
        <f>IF(OR(OR(OR(OR(OR(ISNUMBER(SEARCH(IF(F$1&lt;&gt;"",F$1,"NA"),'MITRE ATT&amp;CK Mappings'!$E397)),ISNUMBER(SEARCH(IF(F$1&lt;&gt;"",F$1,"NA"),'MITRE ATT&amp;CK Mappings'!$F397))),ISNUMBER(SEARCH(IF(F$2&lt;&gt;"",F$2,"NA"),'MITRE ATT&amp;CK Mappings'!$G397))),ISNUMBER(SEARCH(IF(F$2&lt;&gt;"",F$2,"NA"),'MITRE ATT&amp;CK Mappings'!$H397))),ISNUMBER(SEARCH(IF(F$3&lt;&gt;"",F$3,"NA"),'MITRE ATT&amp;CK Mappings'!$I397))),ISNUMBER(SEARCH(IF(F$3&lt;&gt;"",F$3,"NA"),'MITRE ATT&amp;CK Mappings'!$J397))), 'MITRE ATT&amp;CK Mappings'!$B397,"")</f>
        <v/>
      </c>
      <c r="G401" s="27" t="str">
        <f>IF(OR(OR(OR(OR(OR(ISNUMBER(SEARCH(IF(G$1&lt;&gt;"",G$1,"NA"),'MITRE ATT&amp;CK Mappings'!$E397)),ISNUMBER(SEARCH(IF(G$1&lt;&gt;"",G$1,"NA"),'MITRE ATT&amp;CK Mappings'!$F397))),ISNUMBER(SEARCH(IF(G$2&lt;&gt;"",G$2,"NA"),'MITRE ATT&amp;CK Mappings'!$G397))),ISNUMBER(SEARCH(IF(G$2&lt;&gt;"",G$2,"NA"),'MITRE ATT&amp;CK Mappings'!$H397))),ISNUMBER(SEARCH(IF(G$3&lt;&gt;"",G$3,"NA"),'MITRE ATT&amp;CK Mappings'!$I397))),ISNUMBER(SEARCH(IF(G$3&lt;&gt;"",G$3,"NA"),'MITRE ATT&amp;CK Mappings'!$J397))), 'MITRE ATT&amp;CK Mappings'!$B397,"")</f>
        <v/>
      </c>
      <c r="H401" s="27" t="str">
        <f>IF(OR(OR(OR(OR(OR(ISNUMBER(SEARCH(IF(H$1&lt;&gt;"",H$1,"NA"),'MITRE ATT&amp;CK Mappings'!$E397)),ISNUMBER(SEARCH(IF(H$1&lt;&gt;"",H$1,"NA"),'MITRE ATT&amp;CK Mappings'!$F397))),ISNUMBER(SEARCH(IF(H$2&lt;&gt;"",H$2,"NA"),'MITRE ATT&amp;CK Mappings'!$G397))),ISNUMBER(SEARCH(IF(H$2&lt;&gt;"",H$2,"NA"),'MITRE ATT&amp;CK Mappings'!$H397))),ISNUMBER(SEARCH(IF(H$3&lt;&gt;"",H$3,"NA"),'MITRE ATT&amp;CK Mappings'!$I397))),ISNUMBER(SEARCH(IF(H$3&lt;&gt;"",H$3,"NA"),'MITRE ATT&amp;CK Mappings'!$J397))), 'MITRE ATT&amp;CK Mappings'!$B397,"")</f>
        <v/>
      </c>
      <c r="I401" s="27" t="str">
        <f>IF(OR(OR(OR(OR(OR(ISNUMBER(SEARCH(IF(I$1&lt;&gt;"",I$1,"NA"),'MITRE ATT&amp;CK Mappings'!$E397)),ISNUMBER(SEARCH(IF(I$1&lt;&gt;"",I$1,"NA"),'MITRE ATT&amp;CK Mappings'!$F397))),ISNUMBER(SEARCH(IF(I$2&lt;&gt;"",I$2,"NA"),'MITRE ATT&amp;CK Mappings'!$G397))),ISNUMBER(SEARCH(IF(I$2&lt;&gt;"",I$2,"NA"),'MITRE ATT&amp;CK Mappings'!$H397))),ISNUMBER(SEARCH(IF(I$3&lt;&gt;"",I$3,"NA"),'MITRE ATT&amp;CK Mappings'!$I397))),ISNUMBER(SEARCH(IF(I$3&lt;&gt;"",I$3,"NA"),'MITRE ATT&amp;CK Mappings'!$J397))), 'MITRE ATT&amp;CK Mappings'!$B397,"")</f>
        <v/>
      </c>
      <c r="J401" s="27" t="str">
        <f>IF(OR(OR(OR(OR(OR(ISNUMBER(SEARCH(IF(J$1&lt;&gt;"",J$1,"NA"),'MITRE ATT&amp;CK Mappings'!$E397)),ISNUMBER(SEARCH(IF(J$1&lt;&gt;"",J$1,"NA"),'MITRE ATT&amp;CK Mappings'!$F397))),ISNUMBER(SEARCH(IF(J$2&lt;&gt;"",J$2,"NA"),'MITRE ATT&amp;CK Mappings'!$G397))),ISNUMBER(SEARCH(IF(J$2&lt;&gt;"",J$2,"NA"),'MITRE ATT&amp;CK Mappings'!$H397))),ISNUMBER(SEARCH(IF(J$3&lt;&gt;"",J$3,"NA"),'MITRE ATT&amp;CK Mappings'!$I397))),ISNUMBER(SEARCH(IF(J$3&lt;&gt;"",J$3,"NA"),'MITRE ATT&amp;CK Mappings'!$J397))), 'MITRE ATT&amp;CK Mappings'!$B397,"")</f>
        <v/>
      </c>
      <c r="K401" s="27" t="str">
        <f>IF(OR(OR(OR(OR(OR(ISNUMBER(SEARCH(IF(K$1&lt;&gt;"",K$1,"NA"),'MITRE ATT&amp;CK Mappings'!$E397)),ISNUMBER(SEARCH(IF(K$1&lt;&gt;"",K$1,"NA"),'MITRE ATT&amp;CK Mappings'!$F397))),ISNUMBER(SEARCH(IF(K$2&lt;&gt;"",K$2,"NA"),'MITRE ATT&amp;CK Mappings'!$G397))),ISNUMBER(SEARCH(IF(K$2&lt;&gt;"",K$2,"NA"),'MITRE ATT&amp;CK Mappings'!$H397))),ISNUMBER(SEARCH(IF(K$3&lt;&gt;"",K$3,"NA"),'MITRE ATT&amp;CK Mappings'!$I397))),ISNUMBER(SEARCH(IF(K$3&lt;&gt;"",K$3,"NA"),'MITRE ATT&amp;CK Mappings'!$J397))), 'MITRE ATT&amp;CK Mappings'!$B397,"")</f>
        <v/>
      </c>
      <c r="L401" s="27" t="str">
        <f>IF('MITRE ATT&amp;CK Mappings'!D397 &lt;&gt;"",'MITRE ATT&amp;CK Mappings'!D397,"" )</f>
        <v/>
      </c>
    </row>
    <row r="402" spans="1:12" x14ac:dyDescent="0.25">
      <c r="A402" s="26" t="str">
        <f>IF(COUNTIF(B402:K402,"="&amp;'MITRE ATT&amp;CK Mappings'!B398)&gt;0,'MITRE ATT&amp;CK Mappings'!B398,"")</f>
        <v/>
      </c>
      <c r="B402" s="26" t="str">
        <f>IF(OR(OR(OR(OR(OR(ISNUMBER(SEARCH(IF(B$1&lt;&gt;"",B$1,"NA"),'MITRE ATT&amp;CK Mappings'!$E398)),ISNUMBER(SEARCH(IF(B$1&lt;&gt;"",B$1,"NA"),'MITRE ATT&amp;CK Mappings'!$F398))),ISNUMBER(SEARCH(IF(B$2&lt;&gt;"",B$2,"NA"),'MITRE ATT&amp;CK Mappings'!$G398))),ISNUMBER(SEARCH(IF(B$2&lt;&gt;"",B$2,"NA"),'MITRE ATT&amp;CK Mappings'!$H398))),ISNUMBER(SEARCH(IF(B$3&lt;&gt;"",B$3,"NA"),'MITRE ATT&amp;CK Mappings'!$I398))),ISNUMBER(SEARCH(IF(B$3&lt;&gt;"",B$3,"NA"),'MITRE ATT&amp;CK Mappings'!$J398))), 'MITRE ATT&amp;CK Mappings'!$B398,"")</f>
        <v/>
      </c>
      <c r="C402" s="26" t="str">
        <f>IF(OR(OR(OR(OR(OR(ISNUMBER(SEARCH(IF(C$1&lt;&gt;"",C$1,"NA"),'MITRE ATT&amp;CK Mappings'!$E398)),ISNUMBER(SEARCH(IF(C$1&lt;&gt;"",C$1,"NA"),'MITRE ATT&amp;CK Mappings'!$F398))),ISNUMBER(SEARCH(IF(C$2&lt;&gt;"",C$2,"NA"),'MITRE ATT&amp;CK Mappings'!$G398))),ISNUMBER(SEARCH(IF(C$2&lt;&gt;"",C$2,"NA"),'MITRE ATT&amp;CK Mappings'!$H398))),ISNUMBER(SEARCH(IF(C$3&lt;&gt;"",C$3,"NA"),'MITRE ATT&amp;CK Mappings'!$I398))),ISNUMBER(SEARCH(IF(C$3&lt;&gt;"",C$3,"NA"),'MITRE ATT&amp;CK Mappings'!$J398))), 'MITRE ATT&amp;CK Mappings'!$B398,"")</f>
        <v/>
      </c>
      <c r="D402" s="26" t="str">
        <f>IF(OR(OR(OR(OR(OR(ISNUMBER(SEARCH(IF(D$1&lt;&gt;"",D$1,"NA"),'MITRE ATT&amp;CK Mappings'!$E398)),ISNUMBER(SEARCH(IF(D$1&lt;&gt;"",D$1,"NA"),'MITRE ATT&amp;CK Mappings'!$F398))),ISNUMBER(SEARCH(IF(D$2&lt;&gt;"",D$2,"NA"),'MITRE ATT&amp;CK Mappings'!$G398))),ISNUMBER(SEARCH(IF(D$2&lt;&gt;"",D$2,"NA"),'MITRE ATT&amp;CK Mappings'!$H398))),ISNUMBER(SEARCH(IF(D$3&lt;&gt;"",D$3,"NA"),'MITRE ATT&amp;CK Mappings'!$I398))),ISNUMBER(SEARCH(IF(D$3&lt;&gt;"",D$3,"NA"),'MITRE ATT&amp;CK Mappings'!$J398))), 'MITRE ATT&amp;CK Mappings'!$B398,"")</f>
        <v/>
      </c>
      <c r="E402" s="26" t="str">
        <f>IF(OR(OR(OR(OR(OR(ISNUMBER(SEARCH(IF(E$1&lt;&gt;"",E$1,"NA"),'MITRE ATT&amp;CK Mappings'!$E398)),ISNUMBER(SEARCH(IF(E$1&lt;&gt;"",E$1,"NA"),'MITRE ATT&amp;CK Mappings'!$F398))),ISNUMBER(SEARCH(IF(E$2&lt;&gt;"",E$2,"NA"),'MITRE ATT&amp;CK Mappings'!$G398))),ISNUMBER(SEARCH(IF(E$2&lt;&gt;"",E$2,"NA"),'MITRE ATT&amp;CK Mappings'!$H398))),ISNUMBER(SEARCH(IF(E$3&lt;&gt;"",E$3,"NA"),'MITRE ATT&amp;CK Mappings'!$I398))),ISNUMBER(SEARCH(IF(E$3&lt;&gt;"",E$3,"NA"),'MITRE ATT&amp;CK Mappings'!$J398))), 'MITRE ATT&amp;CK Mappings'!$B398,"")</f>
        <v/>
      </c>
      <c r="F402" s="26" t="str">
        <f>IF(OR(OR(OR(OR(OR(ISNUMBER(SEARCH(IF(F$1&lt;&gt;"",F$1,"NA"),'MITRE ATT&amp;CK Mappings'!$E398)),ISNUMBER(SEARCH(IF(F$1&lt;&gt;"",F$1,"NA"),'MITRE ATT&amp;CK Mappings'!$F398))),ISNUMBER(SEARCH(IF(F$2&lt;&gt;"",F$2,"NA"),'MITRE ATT&amp;CK Mappings'!$G398))),ISNUMBER(SEARCH(IF(F$2&lt;&gt;"",F$2,"NA"),'MITRE ATT&amp;CK Mappings'!$H398))),ISNUMBER(SEARCH(IF(F$3&lt;&gt;"",F$3,"NA"),'MITRE ATT&amp;CK Mappings'!$I398))),ISNUMBER(SEARCH(IF(F$3&lt;&gt;"",F$3,"NA"),'MITRE ATT&amp;CK Mappings'!$J398))), 'MITRE ATT&amp;CK Mappings'!$B398,"")</f>
        <v/>
      </c>
      <c r="G402" s="26" t="str">
        <f>IF(OR(OR(OR(OR(OR(ISNUMBER(SEARCH(IF(G$1&lt;&gt;"",G$1,"NA"),'MITRE ATT&amp;CK Mappings'!$E398)),ISNUMBER(SEARCH(IF(G$1&lt;&gt;"",G$1,"NA"),'MITRE ATT&amp;CK Mappings'!$F398))),ISNUMBER(SEARCH(IF(G$2&lt;&gt;"",G$2,"NA"),'MITRE ATT&amp;CK Mappings'!$G398))),ISNUMBER(SEARCH(IF(G$2&lt;&gt;"",G$2,"NA"),'MITRE ATT&amp;CK Mappings'!$H398))),ISNUMBER(SEARCH(IF(G$3&lt;&gt;"",G$3,"NA"),'MITRE ATT&amp;CK Mappings'!$I398))),ISNUMBER(SEARCH(IF(G$3&lt;&gt;"",G$3,"NA"),'MITRE ATT&amp;CK Mappings'!$J398))), 'MITRE ATT&amp;CK Mappings'!$B398,"")</f>
        <v/>
      </c>
      <c r="H402" s="26" t="str">
        <f>IF(OR(OR(OR(OR(OR(ISNUMBER(SEARCH(IF(H$1&lt;&gt;"",H$1,"NA"),'MITRE ATT&amp;CK Mappings'!$E398)),ISNUMBER(SEARCH(IF(H$1&lt;&gt;"",H$1,"NA"),'MITRE ATT&amp;CK Mappings'!$F398))),ISNUMBER(SEARCH(IF(H$2&lt;&gt;"",H$2,"NA"),'MITRE ATT&amp;CK Mappings'!$G398))),ISNUMBER(SEARCH(IF(H$2&lt;&gt;"",H$2,"NA"),'MITRE ATT&amp;CK Mappings'!$H398))),ISNUMBER(SEARCH(IF(H$3&lt;&gt;"",H$3,"NA"),'MITRE ATT&amp;CK Mappings'!$I398))),ISNUMBER(SEARCH(IF(H$3&lt;&gt;"",H$3,"NA"),'MITRE ATT&amp;CK Mappings'!$J398))), 'MITRE ATT&amp;CK Mappings'!$B398,"")</f>
        <v/>
      </c>
      <c r="I402" s="26" t="str">
        <f>IF(OR(OR(OR(OR(OR(ISNUMBER(SEARCH(IF(I$1&lt;&gt;"",I$1,"NA"),'MITRE ATT&amp;CK Mappings'!$E398)),ISNUMBER(SEARCH(IF(I$1&lt;&gt;"",I$1,"NA"),'MITRE ATT&amp;CK Mappings'!$F398))),ISNUMBER(SEARCH(IF(I$2&lt;&gt;"",I$2,"NA"),'MITRE ATT&amp;CK Mappings'!$G398))),ISNUMBER(SEARCH(IF(I$2&lt;&gt;"",I$2,"NA"),'MITRE ATT&amp;CK Mappings'!$H398))),ISNUMBER(SEARCH(IF(I$3&lt;&gt;"",I$3,"NA"),'MITRE ATT&amp;CK Mappings'!$I398))),ISNUMBER(SEARCH(IF(I$3&lt;&gt;"",I$3,"NA"),'MITRE ATT&amp;CK Mappings'!$J398))), 'MITRE ATT&amp;CK Mappings'!$B398,"")</f>
        <v/>
      </c>
      <c r="J402" s="26" t="str">
        <f>IF(OR(OR(OR(OR(OR(ISNUMBER(SEARCH(IF(J$1&lt;&gt;"",J$1,"NA"),'MITRE ATT&amp;CK Mappings'!$E398)),ISNUMBER(SEARCH(IF(J$1&lt;&gt;"",J$1,"NA"),'MITRE ATT&amp;CK Mappings'!$F398))),ISNUMBER(SEARCH(IF(J$2&lt;&gt;"",J$2,"NA"),'MITRE ATT&amp;CK Mappings'!$G398))),ISNUMBER(SEARCH(IF(J$2&lt;&gt;"",J$2,"NA"),'MITRE ATT&amp;CK Mappings'!$H398))),ISNUMBER(SEARCH(IF(J$3&lt;&gt;"",J$3,"NA"),'MITRE ATT&amp;CK Mappings'!$I398))),ISNUMBER(SEARCH(IF(J$3&lt;&gt;"",J$3,"NA"),'MITRE ATT&amp;CK Mappings'!$J398))), 'MITRE ATT&amp;CK Mappings'!$B398,"")</f>
        <v/>
      </c>
      <c r="K402" s="26" t="str">
        <f>IF(OR(OR(OR(OR(OR(ISNUMBER(SEARCH(IF(K$1&lt;&gt;"",K$1,"NA"),'MITRE ATT&amp;CK Mappings'!$E398)),ISNUMBER(SEARCH(IF(K$1&lt;&gt;"",K$1,"NA"),'MITRE ATT&amp;CK Mappings'!$F398))),ISNUMBER(SEARCH(IF(K$2&lt;&gt;"",K$2,"NA"),'MITRE ATT&amp;CK Mappings'!$G398))),ISNUMBER(SEARCH(IF(K$2&lt;&gt;"",K$2,"NA"),'MITRE ATT&amp;CK Mappings'!$H398))),ISNUMBER(SEARCH(IF(K$3&lt;&gt;"",K$3,"NA"),'MITRE ATT&amp;CK Mappings'!$I398))),ISNUMBER(SEARCH(IF(K$3&lt;&gt;"",K$3,"NA"),'MITRE ATT&amp;CK Mappings'!$J398))), 'MITRE ATT&amp;CK Mappings'!$B398,"")</f>
        <v/>
      </c>
      <c r="L402" s="26" t="str">
        <f>IF('MITRE ATT&amp;CK Mappings'!D398 &lt;&gt;"",'MITRE ATT&amp;CK Mappings'!D398,"" )</f>
        <v/>
      </c>
    </row>
    <row r="403" spans="1:12" x14ac:dyDescent="0.25">
      <c r="A403" s="27" t="str">
        <f>IF(COUNTIF(B403:K403,"="&amp;'MITRE ATT&amp;CK Mappings'!B399)&gt;0,'MITRE ATT&amp;CK Mappings'!B399,"")</f>
        <v/>
      </c>
      <c r="B403" s="27" t="str">
        <f>IF(OR(OR(OR(OR(OR(ISNUMBER(SEARCH(IF(B$1&lt;&gt;"",B$1,"NA"),'MITRE ATT&amp;CK Mappings'!$E399)),ISNUMBER(SEARCH(IF(B$1&lt;&gt;"",B$1,"NA"),'MITRE ATT&amp;CK Mappings'!$F399))),ISNUMBER(SEARCH(IF(B$2&lt;&gt;"",B$2,"NA"),'MITRE ATT&amp;CK Mappings'!$G399))),ISNUMBER(SEARCH(IF(B$2&lt;&gt;"",B$2,"NA"),'MITRE ATT&amp;CK Mappings'!$H399))),ISNUMBER(SEARCH(IF(B$3&lt;&gt;"",B$3,"NA"),'MITRE ATT&amp;CK Mappings'!$I399))),ISNUMBER(SEARCH(IF(B$3&lt;&gt;"",B$3,"NA"),'MITRE ATT&amp;CK Mappings'!$J399))), 'MITRE ATT&amp;CK Mappings'!$B399,"")</f>
        <v/>
      </c>
      <c r="C403" s="27" t="str">
        <f>IF(OR(OR(OR(OR(OR(ISNUMBER(SEARCH(IF(C$1&lt;&gt;"",C$1,"NA"),'MITRE ATT&amp;CK Mappings'!$E399)),ISNUMBER(SEARCH(IF(C$1&lt;&gt;"",C$1,"NA"),'MITRE ATT&amp;CK Mappings'!$F399))),ISNUMBER(SEARCH(IF(C$2&lt;&gt;"",C$2,"NA"),'MITRE ATT&amp;CK Mappings'!$G399))),ISNUMBER(SEARCH(IF(C$2&lt;&gt;"",C$2,"NA"),'MITRE ATT&amp;CK Mappings'!$H399))),ISNUMBER(SEARCH(IF(C$3&lt;&gt;"",C$3,"NA"),'MITRE ATT&amp;CK Mappings'!$I399))),ISNUMBER(SEARCH(IF(C$3&lt;&gt;"",C$3,"NA"),'MITRE ATT&amp;CK Mappings'!$J399))), 'MITRE ATT&amp;CK Mappings'!$B399,"")</f>
        <v/>
      </c>
      <c r="D403" s="27" t="str">
        <f>IF(OR(OR(OR(OR(OR(ISNUMBER(SEARCH(IF(D$1&lt;&gt;"",D$1,"NA"),'MITRE ATT&amp;CK Mappings'!$E399)),ISNUMBER(SEARCH(IF(D$1&lt;&gt;"",D$1,"NA"),'MITRE ATT&amp;CK Mappings'!$F399))),ISNUMBER(SEARCH(IF(D$2&lt;&gt;"",D$2,"NA"),'MITRE ATT&amp;CK Mappings'!$G399))),ISNUMBER(SEARCH(IF(D$2&lt;&gt;"",D$2,"NA"),'MITRE ATT&amp;CK Mappings'!$H399))),ISNUMBER(SEARCH(IF(D$3&lt;&gt;"",D$3,"NA"),'MITRE ATT&amp;CK Mappings'!$I399))),ISNUMBER(SEARCH(IF(D$3&lt;&gt;"",D$3,"NA"),'MITRE ATT&amp;CK Mappings'!$J399))), 'MITRE ATT&amp;CK Mappings'!$B399,"")</f>
        <v/>
      </c>
      <c r="E403" s="27" t="str">
        <f>IF(OR(OR(OR(OR(OR(ISNUMBER(SEARCH(IF(E$1&lt;&gt;"",E$1,"NA"),'MITRE ATT&amp;CK Mappings'!$E399)),ISNUMBER(SEARCH(IF(E$1&lt;&gt;"",E$1,"NA"),'MITRE ATT&amp;CK Mappings'!$F399))),ISNUMBER(SEARCH(IF(E$2&lt;&gt;"",E$2,"NA"),'MITRE ATT&amp;CK Mappings'!$G399))),ISNUMBER(SEARCH(IF(E$2&lt;&gt;"",E$2,"NA"),'MITRE ATT&amp;CK Mappings'!$H399))),ISNUMBER(SEARCH(IF(E$3&lt;&gt;"",E$3,"NA"),'MITRE ATT&amp;CK Mappings'!$I399))),ISNUMBER(SEARCH(IF(E$3&lt;&gt;"",E$3,"NA"),'MITRE ATT&amp;CK Mappings'!$J399))), 'MITRE ATT&amp;CK Mappings'!$B399,"")</f>
        <v/>
      </c>
      <c r="F403" s="27" t="str">
        <f>IF(OR(OR(OR(OR(OR(ISNUMBER(SEARCH(IF(F$1&lt;&gt;"",F$1,"NA"),'MITRE ATT&amp;CK Mappings'!$E399)),ISNUMBER(SEARCH(IF(F$1&lt;&gt;"",F$1,"NA"),'MITRE ATT&amp;CK Mappings'!$F399))),ISNUMBER(SEARCH(IF(F$2&lt;&gt;"",F$2,"NA"),'MITRE ATT&amp;CK Mappings'!$G399))),ISNUMBER(SEARCH(IF(F$2&lt;&gt;"",F$2,"NA"),'MITRE ATT&amp;CK Mappings'!$H399))),ISNUMBER(SEARCH(IF(F$3&lt;&gt;"",F$3,"NA"),'MITRE ATT&amp;CK Mappings'!$I399))),ISNUMBER(SEARCH(IF(F$3&lt;&gt;"",F$3,"NA"),'MITRE ATT&amp;CK Mappings'!$J399))), 'MITRE ATT&amp;CK Mappings'!$B399,"")</f>
        <v/>
      </c>
      <c r="G403" s="27" t="str">
        <f>IF(OR(OR(OR(OR(OR(ISNUMBER(SEARCH(IF(G$1&lt;&gt;"",G$1,"NA"),'MITRE ATT&amp;CK Mappings'!$E399)),ISNUMBER(SEARCH(IF(G$1&lt;&gt;"",G$1,"NA"),'MITRE ATT&amp;CK Mappings'!$F399))),ISNUMBER(SEARCH(IF(G$2&lt;&gt;"",G$2,"NA"),'MITRE ATT&amp;CK Mappings'!$G399))),ISNUMBER(SEARCH(IF(G$2&lt;&gt;"",G$2,"NA"),'MITRE ATT&amp;CK Mappings'!$H399))),ISNUMBER(SEARCH(IF(G$3&lt;&gt;"",G$3,"NA"),'MITRE ATT&amp;CK Mappings'!$I399))),ISNUMBER(SEARCH(IF(G$3&lt;&gt;"",G$3,"NA"),'MITRE ATT&amp;CK Mappings'!$J399))), 'MITRE ATT&amp;CK Mappings'!$B399,"")</f>
        <v/>
      </c>
      <c r="H403" s="27" t="str">
        <f>IF(OR(OR(OR(OR(OR(ISNUMBER(SEARCH(IF(H$1&lt;&gt;"",H$1,"NA"),'MITRE ATT&amp;CK Mappings'!$E399)),ISNUMBER(SEARCH(IF(H$1&lt;&gt;"",H$1,"NA"),'MITRE ATT&amp;CK Mappings'!$F399))),ISNUMBER(SEARCH(IF(H$2&lt;&gt;"",H$2,"NA"),'MITRE ATT&amp;CK Mappings'!$G399))),ISNUMBER(SEARCH(IF(H$2&lt;&gt;"",H$2,"NA"),'MITRE ATT&amp;CK Mappings'!$H399))),ISNUMBER(SEARCH(IF(H$3&lt;&gt;"",H$3,"NA"),'MITRE ATT&amp;CK Mappings'!$I399))),ISNUMBER(SEARCH(IF(H$3&lt;&gt;"",H$3,"NA"),'MITRE ATT&amp;CK Mappings'!$J399))), 'MITRE ATT&amp;CK Mappings'!$B399,"")</f>
        <v/>
      </c>
      <c r="I403" s="27" t="str">
        <f>IF(OR(OR(OR(OR(OR(ISNUMBER(SEARCH(IF(I$1&lt;&gt;"",I$1,"NA"),'MITRE ATT&amp;CK Mappings'!$E399)),ISNUMBER(SEARCH(IF(I$1&lt;&gt;"",I$1,"NA"),'MITRE ATT&amp;CK Mappings'!$F399))),ISNUMBER(SEARCH(IF(I$2&lt;&gt;"",I$2,"NA"),'MITRE ATT&amp;CK Mappings'!$G399))),ISNUMBER(SEARCH(IF(I$2&lt;&gt;"",I$2,"NA"),'MITRE ATT&amp;CK Mappings'!$H399))),ISNUMBER(SEARCH(IF(I$3&lt;&gt;"",I$3,"NA"),'MITRE ATT&amp;CK Mappings'!$I399))),ISNUMBER(SEARCH(IF(I$3&lt;&gt;"",I$3,"NA"),'MITRE ATT&amp;CK Mappings'!$J399))), 'MITRE ATT&amp;CK Mappings'!$B399,"")</f>
        <v/>
      </c>
      <c r="J403" s="27" t="str">
        <f>IF(OR(OR(OR(OR(OR(ISNUMBER(SEARCH(IF(J$1&lt;&gt;"",J$1,"NA"),'MITRE ATT&amp;CK Mappings'!$E399)),ISNUMBER(SEARCH(IF(J$1&lt;&gt;"",J$1,"NA"),'MITRE ATT&amp;CK Mappings'!$F399))),ISNUMBER(SEARCH(IF(J$2&lt;&gt;"",J$2,"NA"),'MITRE ATT&amp;CK Mappings'!$G399))),ISNUMBER(SEARCH(IF(J$2&lt;&gt;"",J$2,"NA"),'MITRE ATT&amp;CK Mappings'!$H399))),ISNUMBER(SEARCH(IF(J$3&lt;&gt;"",J$3,"NA"),'MITRE ATT&amp;CK Mappings'!$I399))),ISNUMBER(SEARCH(IF(J$3&lt;&gt;"",J$3,"NA"),'MITRE ATT&amp;CK Mappings'!$J399))), 'MITRE ATT&amp;CK Mappings'!$B399,"")</f>
        <v/>
      </c>
      <c r="K403" s="27" t="str">
        <f>IF(OR(OR(OR(OR(OR(ISNUMBER(SEARCH(IF(K$1&lt;&gt;"",K$1,"NA"),'MITRE ATT&amp;CK Mappings'!$E399)),ISNUMBER(SEARCH(IF(K$1&lt;&gt;"",K$1,"NA"),'MITRE ATT&amp;CK Mappings'!$F399))),ISNUMBER(SEARCH(IF(K$2&lt;&gt;"",K$2,"NA"),'MITRE ATT&amp;CK Mappings'!$G399))),ISNUMBER(SEARCH(IF(K$2&lt;&gt;"",K$2,"NA"),'MITRE ATT&amp;CK Mappings'!$H399))),ISNUMBER(SEARCH(IF(K$3&lt;&gt;"",K$3,"NA"),'MITRE ATT&amp;CK Mappings'!$I399))),ISNUMBER(SEARCH(IF(K$3&lt;&gt;"",K$3,"NA"),'MITRE ATT&amp;CK Mappings'!$J399))), 'MITRE ATT&amp;CK Mappings'!$B399,"")</f>
        <v/>
      </c>
      <c r="L403" s="27" t="str">
        <f>IF('MITRE ATT&amp;CK Mappings'!D399 &lt;&gt;"",'MITRE ATT&amp;CK Mappings'!D399,"" )</f>
        <v/>
      </c>
    </row>
    <row r="404" spans="1:12" x14ac:dyDescent="0.25">
      <c r="A404" s="26" t="str">
        <f>IF(COUNTIF(B404:K404,"="&amp;'MITRE ATT&amp;CK Mappings'!B400)&gt;0,'MITRE ATT&amp;CK Mappings'!B400,"")</f>
        <v/>
      </c>
      <c r="B404" s="26" t="str">
        <f>IF(OR(OR(OR(OR(OR(ISNUMBER(SEARCH(IF(B$1&lt;&gt;"",B$1,"NA"),'MITRE ATT&amp;CK Mappings'!$E400)),ISNUMBER(SEARCH(IF(B$1&lt;&gt;"",B$1,"NA"),'MITRE ATT&amp;CK Mappings'!$F400))),ISNUMBER(SEARCH(IF(B$2&lt;&gt;"",B$2,"NA"),'MITRE ATT&amp;CK Mappings'!$G400))),ISNUMBER(SEARCH(IF(B$2&lt;&gt;"",B$2,"NA"),'MITRE ATT&amp;CK Mappings'!$H400))),ISNUMBER(SEARCH(IF(B$3&lt;&gt;"",B$3,"NA"),'MITRE ATT&amp;CK Mappings'!$I400))),ISNUMBER(SEARCH(IF(B$3&lt;&gt;"",B$3,"NA"),'MITRE ATT&amp;CK Mappings'!$J400))), 'MITRE ATT&amp;CK Mappings'!$B400,"")</f>
        <v/>
      </c>
      <c r="C404" s="26" t="str">
        <f>IF(OR(OR(OR(OR(OR(ISNUMBER(SEARCH(IF(C$1&lt;&gt;"",C$1,"NA"),'MITRE ATT&amp;CK Mappings'!$E400)),ISNUMBER(SEARCH(IF(C$1&lt;&gt;"",C$1,"NA"),'MITRE ATT&amp;CK Mappings'!$F400))),ISNUMBER(SEARCH(IF(C$2&lt;&gt;"",C$2,"NA"),'MITRE ATT&amp;CK Mappings'!$G400))),ISNUMBER(SEARCH(IF(C$2&lt;&gt;"",C$2,"NA"),'MITRE ATT&amp;CK Mappings'!$H400))),ISNUMBER(SEARCH(IF(C$3&lt;&gt;"",C$3,"NA"),'MITRE ATT&amp;CK Mappings'!$I400))),ISNUMBER(SEARCH(IF(C$3&lt;&gt;"",C$3,"NA"),'MITRE ATT&amp;CK Mappings'!$J400))), 'MITRE ATT&amp;CK Mappings'!$B400,"")</f>
        <v/>
      </c>
      <c r="D404" s="26" t="str">
        <f>IF(OR(OR(OR(OR(OR(ISNUMBER(SEARCH(IF(D$1&lt;&gt;"",D$1,"NA"),'MITRE ATT&amp;CK Mappings'!$E400)),ISNUMBER(SEARCH(IF(D$1&lt;&gt;"",D$1,"NA"),'MITRE ATT&amp;CK Mappings'!$F400))),ISNUMBER(SEARCH(IF(D$2&lt;&gt;"",D$2,"NA"),'MITRE ATT&amp;CK Mappings'!$G400))),ISNUMBER(SEARCH(IF(D$2&lt;&gt;"",D$2,"NA"),'MITRE ATT&amp;CK Mappings'!$H400))),ISNUMBER(SEARCH(IF(D$3&lt;&gt;"",D$3,"NA"),'MITRE ATT&amp;CK Mappings'!$I400))),ISNUMBER(SEARCH(IF(D$3&lt;&gt;"",D$3,"NA"),'MITRE ATT&amp;CK Mappings'!$J400))), 'MITRE ATT&amp;CK Mappings'!$B400,"")</f>
        <v/>
      </c>
      <c r="E404" s="26" t="str">
        <f>IF(OR(OR(OR(OR(OR(ISNUMBER(SEARCH(IF(E$1&lt;&gt;"",E$1,"NA"),'MITRE ATT&amp;CK Mappings'!$E400)),ISNUMBER(SEARCH(IF(E$1&lt;&gt;"",E$1,"NA"),'MITRE ATT&amp;CK Mappings'!$F400))),ISNUMBER(SEARCH(IF(E$2&lt;&gt;"",E$2,"NA"),'MITRE ATT&amp;CK Mappings'!$G400))),ISNUMBER(SEARCH(IF(E$2&lt;&gt;"",E$2,"NA"),'MITRE ATT&amp;CK Mappings'!$H400))),ISNUMBER(SEARCH(IF(E$3&lt;&gt;"",E$3,"NA"),'MITRE ATT&amp;CK Mappings'!$I400))),ISNUMBER(SEARCH(IF(E$3&lt;&gt;"",E$3,"NA"),'MITRE ATT&amp;CK Mappings'!$J400))), 'MITRE ATT&amp;CK Mappings'!$B400,"")</f>
        <v/>
      </c>
      <c r="F404" s="26" t="str">
        <f>IF(OR(OR(OR(OR(OR(ISNUMBER(SEARCH(IF(F$1&lt;&gt;"",F$1,"NA"),'MITRE ATT&amp;CK Mappings'!$E400)),ISNUMBER(SEARCH(IF(F$1&lt;&gt;"",F$1,"NA"),'MITRE ATT&amp;CK Mappings'!$F400))),ISNUMBER(SEARCH(IF(F$2&lt;&gt;"",F$2,"NA"),'MITRE ATT&amp;CK Mappings'!$G400))),ISNUMBER(SEARCH(IF(F$2&lt;&gt;"",F$2,"NA"),'MITRE ATT&amp;CK Mappings'!$H400))),ISNUMBER(SEARCH(IF(F$3&lt;&gt;"",F$3,"NA"),'MITRE ATT&amp;CK Mappings'!$I400))),ISNUMBER(SEARCH(IF(F$3&lt;&gt;"",F$3,"NA"),'MITRE ATT&amp;CK Mappings'!$J400))), 'MITRE ATT&amp;CK Mappings'!$B400,"")</f>
        <v/>
      </c>
      <c r="G404" s="26" t="str">
        <f>IF(OR(OR(OR(OR(OR(ISNUMBER(SEARCH(IF(G$1&lt;&gt;"",G$1,"NA"),'MITRE ATT&amp;CK Mappings'!$E400)),ISNUMBER(SEARCH(IF(G$1&lt;&gt;"",G$1,"NA"),'MITRE ATT&amp;CK Mappings'!$F400))),ISNUMBER(SEARCH(IF(G$2&lt;&gt;"",G$2,"NA"),'MITRE ATT&amp;CK Mappings'!$G400))),ISNUMBER(SEARCH(IF(G$2&lt;&gt;"",G$2,"NA"),'MITRE ATT&amp;CK Mappings'!$H400))),ISNUMBER(SEARCH(IF(G$3&lt;&gt;"",G$3,"NA"),'MITRE ATT&amp;CK Mappings'!$I400))),ISNUMBER(SEARCH(IF(G$3&lt;&gt;"",G$3,"NA"),'MITRE ATT&amp;CK Mappings'!$J400))), 'MITRE ATT&amp;CK Mappings'!$B400,"")</f>
        <v/>
      </c>
      <c r="H404" s="26" t="str">
        <f>IF(OR(OR(OR(OR(OR(ISNUMBER(SEARCH(IF(H$1&lt;&gt;"",H$1,"NA"),'MITRE ATT&amp;CK Mappings'!$E400)),ISNUMBER(SEARCH(IF(H$1&lt;&gt;"",H$1,"NA"),'MITRE ATT&amp;CK Mappings'!$F400))),ISNUMBER(SEARCH(IF(H$2&lt;&gt;"",H$2,"NA"),'MITRE ATT&amp;CK Mappings'!$G400))),ISNUMBER(SEARCH(IF(H$2&lt;&gt;"",H$2,"NA"),'MITRE ATT&amp;CK Mappings'!$H400))),ISNUMBER(SEARCH(IF(H$3&lt;&gt;"",H$3,"NA"),'MITRE ATT&amp;CK Mappings'!$I400))),ISNUMBER(SEARCH(IF(H$3&lt;&gt;"",H$3,"NA"),'MITRE ATT&amp;CK Mappings'!$J400))), 'MITRE ATT&amp;CK Mappings'!$B400,"")</f>
        <v/>
      </c>
      <c r="I404" s="26" t="str">
        <f>IF(OR(OR(OR(OR(OR(ISNUMBER(SEARCH(IF(I$1&lt;&gt;"",I$1,"NA"),'MITRE ATT&amp;CK Mappings'!$E400)),ISNUMBER(SEARCH(IF(I$1&lt;&gt;"",I$1,"NA"),'MITRE ATT&amp;CK Mappings'!$F400))),ISNUMBER(SEARCH(IF(I$2&lt;&gt;"",I$2,"NA"),'MITRE ATT&amp;CK Mappings'!$G400))),ISNUMBER(SEARCH(IF(I$2&lt;&gt;"",I$2,"NA"),'MITRE ATT&amp;CK Mappings'!$H400))),ISNUMBER(SEARCH(IF(I$3&lt;&gt;"",I$3,"NA"),'MITRE ATT&amp;CK Mappings'!$I400))),ISNUMBER(SEARCH(IF(I$3&lt;&gt;"",I$3,"NA"),'MITRE ATT&amp;CK Mappings'!$J400))), 'MITRE ATT&amp;CK Mappings'!$B400,"")</f>
        <v/>
      </c>
      <c r="J404" s="26" t="str">
        <f>IF(OR(OR(OR(OR(OR(ISNUMBER(SEARCH(IF(J$1&lt;&gt;"",J$1,"NA"),'MITRE ATT&amp;CK Mappings'!$E400)),ISNUMBER(SEARCH(IF(J$1&lt;&gt;"",J$1,"NA"),'MITRE ATT&amp;CK Mappings'!$F400))),ISNUMBER(SEARCH(IF(J$2&lt;&gt;"",J$2,"NA"),'MITRE ATT&amp;CK Mappings'!$G400))),ISNUMBER(SEARCH(IF(J$2&lt;&gt;"",J$2,"NA"),'MITRE ATT&amp;CK Mappings'!$H400))),ISNUMBER(SEARCH(IF(J$3&lt;&gt;"",J$3,"NA"),'MITRE ATT&amp;CK Mappings'!$I400))),ISNUMBER(SEARCH(IF(J$3&lt;&gt;"",J$3,"NA"),'MITRE ATT&amp;CK Mappings'!$J400))), 'MITRE ATT&amp;CK Mappings'!$B400,"")</f>
        <v/>
      </c>
      <c r="K404" s="26" t="str">
        <f>IF(OR(OR(OR(OR(OR(ISNUMBER(SEARCH(IF(K$1&lt;&gt;"",K$1,"NA"),'MITRE ATT&amp;CK Mappings'!$E400)),ISNUMBER(SEARCH(IF(K$1&lt;&gt;"",K$1,"NA"),'MITRE ATT&amp;CK Mappings'!$F400))),ISNUMBER(SEARCH(IF(K$2&lt;&gt;"",K$2,"NA"),'MITRE ATT&amp;CK Mappings'!$G400))),ISNUMBER(SEARCH(IF(K$2&lt;&gt;"",K$2,"NA"),'MITRE ATT&amp;CK Mappings'!$H400))),ISNUMBER(SEARCH(IF(K$3&lt;&gt;"",K$3,"NA"),'MITRE ATT&amp;CK Mappings'!$I400))),ISNUMBER(SEARCH(IF(K$3&lt;&gt;"",K$3,"NA"),'MITRE ATT&amp;CK Mappings'!$J400))), 'MITRE ATT&amp;CK Mappings'!$B400,"")</f>
        <v/>
      </c>
      <c r="L404" s="26" t="str">
        <f>IF('MITRE ATT&amp;CK Mappings'!D400 &lt;&gt;"",'MITRE ATT&amp;CK Mappings'!D400,"" )</f>
        <v/>
      </c>
    </row>
    <row r="405" spans="1:12" x14ac:dyDescent="0.25">
      <c r="A405" s="27" t="str">
        <f>IF(COUNTIF(B405:K405,"="&amp;'MITRE ATT&amp;CK Mappings'!B401)&gt;0,'MITRE ATT&amp;CK Mappings'!B401,"")</f>
        <v/>
      </c>
      <c r="B405" s="27" t="str">
        <f>IF(OR(OR(OR(OR(OR(ISNUMBER(SEARCH(IF(B$1&lt;&gt;"",B$1,"NA"),'MITRE ATT&amp;CK Mappings'!$E401)),ISNUMBER(SEARCH(IF(B$1&lt;&gt;"",B$1,"NA"),'MITRE ATT&amp;CK Mappings'!$F401))),ISNUMBER(SEARCH(IF(B$2&lt;&gt;"",B$2,"NA"),'MITRE ATT&amp;CK Mappings'!$G401))),ISNUMBER(SEARCH(IF(B$2&lt;&gt;"",B$2,"NA"),'MITRE ATT&amp;CK Mappings'!$H401))),ISNUMBER(SEARCH(IF(B$3&lt;&gt;"",B$3,"NA"),'MITRE ATT&amp;CK Mappings'!$I401))),ISNUMBER(SEARCH(IF(B$3&lt;&gt;"",B$3,"NA"),'MITRE ATT&amp;CK Mappings'!$J401))), 'MITRE ATT&amp;CK Mappings'!$B401,"")</f>
        <v/>
      </c>
      <c r="C405" s="27" t="str">
        <f>IF(OR(OR(OR(OR(OR(ISNUMBER(SEARCH(IF(C$1&lt;&gt;"",C$1,"NA"),'MITRE ATT&amp;CK Mappings'!$E401)),ISNUMBER(SEARCH(IF(C$1&lt;&gt;"",C$1,"NA"),'MITRE ATT&amp;CK Mappings'!$F401))),ISNUMBER(SEARCH(IF(C$2&lt;&gt;"",C$2,"NA"),'MITRE ATT&amp;CK Mappings'!$G401))),ISNUMBER(SEARCH(IF(C$2&lt;&gt;"",C$2,"NA"),'MITRE ATT&amp;CK Mappings'!$H401))),ISNUMBER(SEARCH(IF(C$3&lt;&gt;"",C$3,"NA"),'MITRE ATT&amp;CK Mappings'!$I401))),ISNUMBER(SEARCH(IF(C$3&lt;&gt;"",C$3,"NA"),'MITRE ATT&amp;CK Mappings'!$J401))), 'MITRE ATT&amp;CK Mappings'!$B401,"")</f>
        <v/>
      </c>
      <c r="D405" s="27" t="str">
        <f>IF(OR(OR(OR(OR(OR(ISNUMBER(SEARCH(IF(D$1&lt;&gt;"",D$1,"NA"),'MITRE ATT&amp;CK Mappings'!$E401)),ISNUMBER(SEARCH(IF(D$1&lt;&gt;"",D$1,"NA"),'MITRE ATT&amp;CK Mappings'!$F401))),ISNUMBER(SEARCH(IF(D$2&lt;&gt;"",D$2,"NA"),'MITRE ATT&amp;CK Mappings'!$G401))),ISNUMBER(SEARCH(IF(D$2&lt;&gt;"",D$2,"NA"),'MITRE ATT&amp;CK Mappings'!$H401))),ISNUMBER(SEARCH(IF(D$3&lt;&gt;"",D$3,"NA"),'MITRE ATT&amp;CK Mappings'!$I401))),ISNUMBER(SEARCH(IF(D$3&lt;&gt;"",D$3,"NA"),'MITRE ATT&amp;CK Mappings'!$J401))), 'MITRE ATT&amp;CK Mappings'!$B401,"")</f>
        <v/>
      </c>
      <c r="E405" s="27" t="str">
        <f>IF(OR(OR(OR(OR(OR(ISNUMBER(SEARCH(IF(E$1&lt;&gt;"",E$1,"NA"),'MITRE ATT&amp;CK Mappings'!$E401)),ISNUMBER(SEARCH(IF(E$1&lt;&gt;"",E$1,"NA"),'MITRE ATT&amp;CK Mappings'!$F401))),ISNUMBER(SEARCH(IF(E$2&lt;&gt;"",E$2,"NA"),'MITRE ATT&amp;CK Mappings'!$G401))),ISNUMBER(SEARCH(IF(E$2&lt;&gt;"",E$2,"NA"),'MITRE ATT&amp;CK Mappings'!$H401))),ISNUMBER(SEARCH(IF(E$3&lt;&gt;"",E$3,"NA"),'MITRE ATT&amp;CK Mappings'!$I401))),ISNUMBER(SEARCH(IF(E$3&lt;&gt;"",E$3,"NA"),'MITRE ATT&amp;CK Mappings'!$J401))), 'MITRE ATT&amp;CK Mappings'!$B401,"")</f>
        <v/>
      </c>
      <c r="F405" s="27" t="str">
        <f>IF(OR(OR(OR(OR(OR(ISNUMBER(SEARCH(IF(F$1&lt;&gt;"",F$1,"NA"),'MITRE ATT&amp;CK Mappings'!$E401)),ISNUMBER(SEARCH(IF(F$1&lt;&gt;"",F$1,"NA"),'MITRE ATT&amp;CK Mappings'!$F401))),ISNUMBER(SEARCH(IF(F$2&lt;&gt;"",F$2,"NA"),'MITRE ATT&amp;CK Mappings'!$G401))),ISNUMBER(SEARCH(IF(F$2&lt;&gt;"",F$2,"NA"),'MITRE ATT&amp;CK Mappings'!$H401))),ISNUMBER(SEARCH(IF(F$3&lt;&gt;"",F$3,"NA"),'MITRE ATT&amp;CK Mappings'!$I401))),ISNUMBER(SEARCH(IF(F$3&lt;&gt;"",F$3,"NA"),'MITRE ATT&amp;CK Mappings'!$J401))), 'MITRE ATT&amp;CK Mappings'!$B401,"")</f>
        <v/>
      </c>
      <c r="G405" s="27" t="str">
        <f>IF(OR(OR(OR(OR(OR(ISNUMBER(SEARCH(IF(G$1&lt;&gt;"",G$1,"NA"),'MITRE ATT&amp;CK Mappings'!$E401)),ISNUMBER(SEARCH(IF(G$1&lt;&gt;"",G$1,"NA"),'MITRE ATT&amp;CK Mappings'!$F401))),ISNUMBER(SEARCH(IF(G$2&lt;&gt;"",G$2,"NA"),'MITRE ATT&amp;CK Mappings'!$G401))),ISNUMBER(SEARCH(IF(G$2&lt;&gt;"",G$2,"NA"),'MITRE ATT&amp;CK Mappings'!$H401))),ISNUMBER(SEARCH(IF(G$3&lt;&gt;"",G$3,"NA"),'MITRE ATT&amp;CK Mappings'!$I401))),ISNUMBER(SEARCH(IF(G$3&lt;&gt;"",G$3,"NA"),'MITRE ATT&amp;CK Mappings'!$J401))), 'MITRE ATT&amp;CK Mappings'!$B401,"")</f>
        <v/>
      </c>
      <c r="H405" s="27" t="str">
        <f>IF(OR(OR(OR(OR(OR(ISNUMBER(SEARCH(IF(H$1&lt;&gt;"",H$1,"NA"),'MITRE ATT&amp;CK Mappings'!$E401)),ISNUMBER(SEARCH(IF(H$1&lt;&gt;"",H$1,"NA"),'MITRE ATT&amp;CK Mappings'!$F401))),ISNUMBER(SEARCH(IF(H$2&lt;&gt;"",H$2,"NA"),'MITRE ATT&amp;CK Mappings'!$G401))),ISNUMBER(SEARCH(IF(H$2&lt;&gt;"",H$2,"NA"),'MITRE ATT&amp;CK Mappings'!$H401))),ISNUMBER(SEARCH(IF(H$3&lt;&gt;"",H$3,"NA"),'MITRE ATT&amp;CK Mappings'!$I401))),ISNUMBER(SEARCH(IF(H$3&lt;&gt;"",H$3,"NA"),'MITRE ATT&amp;CK Mappings'!$J401))), 'MITRE ATT&amp;CK Mappings'!$B401,"")</f>
        <v/>
      </c>
      <c r="I405" s="27" t="str">
        <f>IF(OR(OR(OR(OR(OR(ISNUMBER(SEARCH(IF(I$1&lt;&gt;"",I$1,"NA"),'MITRE ATT&amp;CK Mappings'!$E401)),ISNUMBER(SEARCH(IF(I$1&lt;&gt;"",I$1,"NA"),'MITRE ATT&amp;CK Mappings'!$F401))),ISNUMBER(SEARCH(IF(I$2&lt;&gt;"",I$2,"NA"),'MITRE ATT&amp;CK Mappings'!$G401))),ISNUMBER(SEARCH(IF(I$2&lt;&gt;"",I$2,"NA"),'MITRE ATT&amp;CK Mappings'!$H401))),ISNUMBER(SEARCH(IF(I$3&lt;&gt;"",I$3,"NA"),'MITRE ATT&amp;CK Mappings'!$I401))),ISNUMBER(SEARCH(IF(I$3&lt;&gt;"",I$3,"NA"),'MITRE ATT&amp;CK Mappings'!$J401))), 'MITRE ATT&amp;CK Mappings'!$B401,"")</f>
        <v/>
      </c>
      <c r="J405" s="27" t="str">
        <f>IF(OR(OR(OR(OR(OR(ISNUMBER(SEARCH(IF(J$1&lt;&gt;"",J$1,"NA"),'MITRE ATT&amp;CK Mappings'!$E401)),ISNUMBER(SEARCH(IF(J$1&lt;&gt;"",J$1,"NA"),'MITRE ATT&amp;CK Mappings'!$F401))),ISNUMBER(SEARCH(IF(J$2&lt;&gt;"",J$2,"NA"),'MITRE ATT&amp;CK Mappings'!$G401))),ISNUMBER(SEARCH(IF(J$2&lt;&gt;"",J$2,"NA"),'MITRE ATT&amp;CK Mappings'!$H401))),ISNUMBER(SEARCH(IF(J$3&lt;&gt;"",J$3,"NA"),'MITRE ATT&amp;CK Mappings'!$I401))),ISNUMBER(SEARCH(IF(J$3&lt;&gt;"",J$3,"NA"),'MITRE ATT&amp;CK Mappings'!$J401))), 'MITRE ATT&amp;CK Mappings'!$B401,"")</f>
        <v/>
      </c>
      <c r="K405" s="27" t="str">
        <f>IF(OR(OR(OR(OR(OR(ISNUMBER(SEARCH(IF(K$1&lt;&gt;"",K$1,"NA"),'MITRE ATT&amp;CK Mappings'!$E401)),ISNUMBER(SEARCH(IF(K$1&lt;&gt;"",K$1,"NA"),'MITRE ATT&amp;CK Mappings'!$F401))),ISNUMBER(SEARCH(IF(K$2&lt;&gt;"",K$2,"NA"),'MITRE ATT&amp;CK Mappings'!$G401))),ISNUMBER(SEARCH(IF(K$2&lt;&gt;"",K$2,"NA"),'MITRE ATT&amp;CK Mappings'!$H401))),ISNUMBER(SEARCH(IF(K$3&lt;&gt;"",K$3,"NA"),'MITRE ATT&amp;CK Mappings'!$I401))),ISNUMBER(SEARCH(IF(K$3&lt;&gt;"",K$3,"NA"),'MITRE ATT&amp;CK Mappings'!$J401))), 'MITRE ATT&amp;CK Mappings'!$B401,"")</f>
        <v/>
      </c>
      <c r="L405" s="27" t="str">
        <f>IF('MITRE ATT&amp;CK Mappings'!D401 &lt;&gt;"",'MITRE ATT&amp;CK Mappings'!D401,"" )</f>
        <v/>
      </c>
    </row>
    <row r="406" spans="1:12" x14ac:dyDescent="0.25">
      <c r="A406" s="26" t="str">
        <f>IF(COUNTIF(B406:K406,"="&amp;'MITRE ATT&amp;CK Mappings'!B402)&gt;0,'MITRE ATT&amp;CK Mappings'!B402,"")</f>
        <v/>
      </c>
      <c r="B406" s="26" t="str">
        <f>IF(OR(OR(OR(OR(OR(ISNUMBER(SEARCH(IF(B$1&lt;&gt;"",B$1,"NA"),'MITRE ATT&amp;CK Mappings'!$E402)),ISNUMBER(SEARCH(IF(B$1&lt;&gt;"",B$1,"NA"),'MITRE ATT&amp;CK Mappings'!$F402))),ISNUMBER(SEARCH(IF(B$2&lt;&gt;"",B$2,"NA"),'MITRE ATT&amp;CK Mappings'!$G402))),ISNUMBER(SEARCH(IF(B$2&lt;&gt;"",B$2,"NA"),'MITRE ATT&amp;CK Mappings'!$H402))),ISNUMBER(SEARCH(IF(B$3&lt;&gt;"",B$3,"NA"),'MITRE ATT&amp;CK Mappings'!$I402))),ISNUMBER(SEARCH(IF(B$3&lt;&gt;"",B$3,"NA"),'MITRE ATT&amp;CK Mappings'!$J402))), 'MITRE ATT&amp;CK Mappings'!$B402,"")</f>
        <v/>
      </c>
      <c r="C406" s="26" t="str">
        <f>IF(OR(OR(OR(OR(OR(ISNUMBER(SEARCH(IF(C$1&lt;&gt;"",C$1,"NA"),'MITRE ATT&amp;CK Mappings'!$E402)),ISNUMBER(SEARCH(IF(C$1&lt;&gt;"",C$1,"NA"),'MITRE ATT&amp;CK Mappings'!$F402))),ISNUMBER(SEARCH(IF(C$2&lt;&gt;"",C$2,"NA"),'MITRE ATT&amp;CK Mappings'!$G402))),ISNUMBER(SEARCH(IF(C$2&lt;&gt;"",C$2,"NA"),'MITRE ATT&amp;CK Mappings'!$H402))),ISNUMBER(SEARCH(IF(C$3&lt;&gt;"",C$3,"NA"),'MITRE ATT&amp;CK Mappings'!$I402))),ISNUMBER(SEARCH(IF(C$3&lt;&gt;"",C$3,"NA"),'MITRE ATT&amp;CK Mappings'!$J402))), 'MITRE ATT&amp;CK Mappings'!$B402,"")</f>
        <v/>
      </c>
      <c r="D406" s="26" t="str">
        <f>IF(OR(OR(OR(OR(OR(ISNUMBER(SEARCH(IF(D$1&lt;&gt;"",D$1,"NA"),'MITRE ATT&amp;CK Mappings'!$E402)),ISNUMBER(SEARCH(IF(D$1&lt;&gt;"",D$1,"NA"),'MITRE ATT&amp;CK Mappings'!$F402))),ISNUMBER(SEARCH(IF(D$2&lt;&gt;"",D$2,"NA"),'MITRE ATT&amp;CK Mappings'!$G402))),ISNUMBER(SEARCH(IF(D$2&lt;&gt;"",D$2,"NA"),'MITRE ATT&amp;CK Mappings'!$H402))),ISNUMBER(SEARCH(IF(D$3&lt;&gt;"",D$3,"NA"),'MITRE ATT&amp;CK Mappings'!$I402))),ISNUMBER(SEARCH(IF(D$3&lt;&gt;"",D$3,"NA"),'MITRE ATT&amp;CK Mappings'!$J402))), 'MITRE ATT&amp;CK Mappings'!$B402,"")</f>
        <v/>
      </c>
      <c r="E406" s="26" t="str">
        <f>IF(OR(OR(OR(OR(OR(ISNUMBER(SEARCH(IF(E$1&lt;&gt;"",E$1,"NA"),'MITRE ATT&amp;CK Mappings'!$E402)),ISNUMBER(SEARCH(IF(E$1&lt;&gt;"",E$1,"NA"),'MITRE ATT&amp;CK Mappings'!$F402))),ISNUMBER(SEARCH(IF(E$2&lt;&gt;"",E$2,"NA"),'MITRE ATT&amp;CK Mappings'!$G402))),ISNUMBER(SEARCH(IF(E$2&lt;&gt;"",E$2,"NA"),'MITRE ATT&amp;CK Mappings'!$H402))),ISNUMBER(SEARCH(IF(E$3&lt;&gt;"",E$3,"NA"),'MITRE ATT&amp;CK Mappings'!$I402))),ISNUMBER(SEARCH(IF(E$3&lt;&gt;"",E$3,"NA"),'MITRE ATT&amp;CK Mappings'!$J402))), 'MITRE ATT&amp;CK Mappings'!$B402,"")</f>
        <v/>
      </c>
      <c r="F406" s="26" t="str">
        <f>IF(OR(OR(OR(OR(OR(ISNUMBER(SEARCH(IF(F$1&lt;&gt;"",F$1,"NA"),'MITRE ATT&amp;CK Mappings'!$E402)),ISNUMBER(SEARCH(IF(F$1&lt;&gt;"",F$1,"NA"),'MITRE ATT&amp;CK Mappings'!$F402))),ISNUMBER(SEARCH(IF(F$2&lt;&gt;"",F$2,"NA"),'MITRE ATT&amp;CK Mappings'!$G402))),ISNUMBER(SEARCH(IF(F$2&lt;&gt;"",F$2,"NA"),'MITRE ATT&amp;CK Mappings'!$H402))),ISNUMBER(SEARCH(IF(F$3&lt;&gt;"",F$3,"NA"),'MITRE ATT&amp;CK Mappings'!$I402))),ISNUMBER(SEARCH(IF(F$3&lt;&gt;"",F$3,"NA"),'MITRE ATT&amp;CK Mappings'!$J402))), 'MITRE ATT&amp;CK Mappings'!$B402,"")</f>
        <v/>
      </c>
      <c r="G406" s="26" t="str">
        <f>IF(OR(OR(OR(OR(OR(ISNUMBER(SEARCH(IF(G$1&lt;&gt;"",G$1,"NA"),'MITRE ATT&amp;CK Mappings'!$E402)),ISNUMBER(SEARCH(IF(G$1&lt;&gt;"",G$1,"NA"),'MITRE ATT&amp;CK Mappings'!$F402))),ISNUMBER(SEARCH(IF(G$2&lt;&gt;"",G$2,"NA"),'MITRE ATT&amp;CK Mappings'!$G402))),ISNUMBER(SEARCH(IF(G$2&lt;&gt;"",G$2,"NA"),'MITRE ATT&amp;CK Mappings'!$H402))),ISNUMBER(SEARCH(IF(G$3&lt;&gt;"",G$3,"NA"),'MITRE ATT&amp;CK Mappings'!$I402))),ISNUMBER(SEARCH(IF(G$3&lt;&gt;"",G$3,"NA"),'MITRE ATT&amp;CK Mappings'!$J402))), 'MITRE ATT&amp;CK Mappings'!$B402,"")</f>
        <v/>
      </c>
      <c r="H406" s="26" t="str">
        <f>IF(OR(OR(OR(OR(OR(ISNUMBER(SEARCH(IF(H$1&lt;&gt;"",H$1,"NA"),'MITRE ATT&amp;CK Mappings'!$E402)),ISNUMBER(SEARCH(IF(H$1&lt;&gt;"",H$1,"NA"),'MITRE ATT&amp;CK Mappings'!$F402))),ISNUMBER(SEARCH(IF(H$2&lt;&gt;"",H$2,"NA"),'MITRE ATT&amp;CK Mappings'!$G402))),ISNUMBER(SEARCH(IF(H$2&lt;&gt;"",H$2,"NA"),'MITRE ATT&amp;CK Mappings'!$H402))),ISNUMBER(SEARCH(IF(H$3&lt;&gt;"",H$3,"NA"),'MITRE ATT&amp;CK Mappings'!$I402))),ISNUMBER(SEARCH(IF(H$3&lt;&gt;"",H$3,"NA"),'MITRE ATT&amp;CK Mappings'!$J402))), 'MITRE ATT&amp;CK Mappings'!$B402,"")</f>
        <v/>
      </c>
      <c r="I406" s="26" t="str">
        <f>IF(OR(OR(OR(OR(OR(ISNUMBER(SEARCH(IF(I$1&lt;&gt;"",I$1,"NA"),'MITRE ATT&amp;CK Mappings'!$E402)),ISNUMBER(SEARCH(IF(I$1&lt;&gt;"",I$1,"NA"),'MITRE ATT&amp;CK Mappings'!$F402))),ISNUMBER(SEARCH(IF(I$2&lt;&gt;"",I$2,"NA"),'MITRE ATT&amp;CK Mappings'!$G402))),ISNUMBER(SEARCH(IF(I$2&lt;&gt;"",I$2,"NA"),'MITRE ATT&amp;CK Mappings'!$H402))),ISNUMBER(SEARCH(IF(I$3&lt;&gt;"",I$3,"NA"),'MITRE ATT&amp;CK Mappings'!$I402))),ISNUMBER(SEARCH(IF(I$3&lt;&gt;"",I$3,"NA"),'MITRE ATT&amp;CK Mappings'!$J402))), 'MITRE ATT&amp;CK Mappings'!$B402,"")</f>
        <v/>
      </c>
      <c r="J406" s="26" t="str">
        <f>IF(OR(OR(OR(OR(OR(ISNUMBER(SEARCH(IF(J$1&lt;&gt;"",J$1,"NA"),'MITRE ATT&amp;CK Mappings'!$E402)),ISNUMBER(SEARCH(IF(J$1&lt;&gt;"",J$1,"NA"),'MITRE ATT&amp;CK Mappings'!$F402))),ISNUMBER(SEARCH(IF(J$2&lt;&gt;"",J$2,"NA"),'MITRE ATT&amp;CK Mappings'!$G402))),ISNUMBER(SEARCH(IF(J$2&lt;&gt;"",J$2,"NA"),'MITRE ATT&amp;CK Mappings'!$H402))),ISNUMBER(SEARCH(IF(J$3&lt;&gt;"",J$3,"NA"),'MITRE ATT&amp;CK Mappings'!$I402))),ISNUMBER(SEARCH(IF(J$3&lt;&gt;"",J$3,"NA"),'MITRE ATT&amp;CK Mappings'!$J402))), 'MITRE ATT&amp;CK Mappings'!$B402,"")</f>
        <v/>
      </c>
      <c r="K406" s="26" t="str">
        <f>IF(OR(OR(OR(OR(OR(ISNUMBER(SEARCH(IF(K$1&lt;&gt;"",K$1,"NA"),'MITRE ATT&amp;CK Mappings'!$E402)),ISNUMBER(SEARCH(IF(K$1&lt;&gt;"",K$1,"NA"),'MITRE ATT&amp;CK Mappings'!$F402))),ISNUMBER(SEARCH(IF(K$2&lt;&gt;"",K$2,"NA"),'MITRE ATT&amp;CK Mappings'!$G402))),ISNUMBER(SEARCH(IF(K$2&lt;&gt;"",K$2,"NA"),'MITRE ATT&amp;CK Mappings'!$H402))),ISNUMBER(SEARCH(IF(K$3&lt;&gt;"",K$3,"NA"),'MITRE ATT&amp;CK Mappings'!$I402))),ISNUMBER(SEARCH(IF(K$3&lt;&gt;"",K$3,"NA"),'MITRE ATT&amp;CK Mappings'!$J402))), 'MITRE ATT&amp;CK Mappings'!$B402,"")</f>
        <v/>
      </c>
      <c r="L406" s="26" t="str">
        <f>IF('MITRE ATT&amp;CK Mappings'!D402 &lt;&gt;"",'MITRE ATT&amp;CK Mappings'!D402,"" )</f>
        <v/>
      </c>
    </row>
    <row r="407" spans="1:12" x14ac:dyDescent="0.25">
      <c r="A407" s="27" t="str">
        <f>IF(COUNTIF(B407:K407,"="&amp;'MITRE ATT&amp;CK Mappings'!B403)&gt;0,'MITRE ATT&amp;CK Mappings'!B403,"")</f>
        <v/>
      </c>
      <c r="B407" s="27" t="str">
        <f>IF(OR(OR(OR(OR(OR(ISNUMBER(SEARCH(IF(B$1&lt;&gt;"",B$1,"NA"),'MITRE ATT&amp;CK Mappings'!$E403)),ISNUMBER(SEARCH(IF(B$1&lt;&gt;"",B$1,"NA"),'MITRE ATT&amp;CK Mappings'!$F403))),ISNUMBER(SEARCH(IF(B$2&lt;&gt;"",B$2,"NA"),'MITRE ATT&amp;CK Mappings'!$G403))),ISNUMBER(SEARCH(IF(B$2&lt;&gt;"",B$2,"NA"),'MITRE ATT&amp;CK Mappings'!$H403))),ISNUMBER(SEARCH(IF(B$3&lt;&gt;"",B$3,"NA"),'MITRE ATT&amp;CK Mappings'!$I403))),ISNUMBER(SEARCH(IF(B$3&lt;&gt;"",B$3,"NA"),'MITRE ATT&amp;CK Mappings'!$J403))), 'MITRE ATT&amp;CK Mappings'!$B403,"")</f>
        <v/>
      </c>
      <c r="C407" s="27" t="str">
        <f>IF(OR(OR(OR(OR(OR(ISNUMBER(SEARCH(IF(C$1&lt;&gt;"",C$1,"NA"),'MITRE ATT&amp;CK Mappings'!$E403)),ISNUMBER(SEARCH(IF(C$1&lt;&gt;"",C$1,"NA"),'MITRE ATT&amp;CK Mappings'!$F403))),ISNUMBER(SEARCH(IF(C$2&lt;&gt;"",C$2,"NA"),'MITRE ATT&amp;CK Mappings'!$G403))),ISNUMBER(SEARCH(IF(C$2&lt;&gt;"",C$2,"NA"),'MITRE ATT&amp;CK Mappings'!$H403))),ISNUMBER(SEARCH(IF(C$3&lt;&gt;"",C$3,"NA"),'MITRE ATT&amp;CK Mappings'!$I403))),ISNUMBER(SEARCH(IF(C$3&lt;&gt;"",C$3,"NA"),'MITRE ATT&amp;CK Mappings'!$J403))), 'MITRE ATT&amp;CK Mappings'!$B403,"")</f>
        <v/>
      </c>
      <c r="D407" s="27" t="str">
        <f>IF(OR(OR(OR(OR(OR(ISNUMBER(SEARCH(IF(D$1&lt;&gt;"",D$1,"NA"),'MITRE ATT&amp;CK Mappings'!$E403)),ISNUMBER(SEARCH(IF(D$1&lt;&gt;"",D$1,"NA"),'MITRE ATT&amp;CK Mappings'!$F403))),ISNUMBER(SEARCH(IF(D$2&lt;&gt;"",D$2,"NA"),'MITRE ATT&amp;CK Mappings'!$G403))),ISNUMBER(SEARCH(IF(D$2&lt;&gt;"",D$2,"NA"),'MITRE ATT&amp;CK Mappings'!$H403))),ISNUMBER(SEARCH(IF(D$3&lt;&gt;"",D$3,"NA"),'MITRE ATT&amp;CK Mappings'!$I403))),ISNUMBER(SEARCH(IF(D$3&lt;&gt;"",D$3,"NA"),'MITRE ATT&amp;CK Mappings'!$J403))), 'MITRE ATT&amp;CK Mappings'!$B403,"")</f>
        <v/>
      </c>
      <c r="E407" s="27" t="str">
        <f>IF(OR(OR(OR(OR(OR(ISNUMBER(SEARCH(IF(E$1&lt;&gt;"",E$1,"NA"),'MITRE ATT&amp;CK Mappings'!$E403)),ISNUMBER(SEARCH(IF(E$1&lt;&gt;"",E$1,"NA"),'MITRE ATT&amp;CK Mappings'!$F403))),ISNUMBER(SEARCH(IF(E$2&lt;&gt;"",E$2,"NA"),'MITRE ATT&amp;CK Mappings'!$G403))),ISNUMBER(SEARCH(IF(E$2&lt;&gt;"",E$2,"NA"),'MITRE ATT&amp;CK Mappings'!$H403))),ISNUMBER(SEARCH(IF(E$3&lt;&gt;"",E$3,"NA"),'MITRE ATT&amp;CK Mappings'!$I403))),ISNUMBER(SEARCH(IF(E$3&lt;&gt;"",E$3,"NA"),'MITRE ATT&amp;CK Mappings'!$J403))), 'MITRE ATT&amp;CK Mappings'!$B403,"")</f>
        <v/>
      </c>
      <c r="F407" s="27" t="str">
        <f>IF(OR(OR(OR(OR(OR(ISNUMBER(SEARCH(IF(F$1&lt;&gt;"",F$1,"NA"),'MITRE ATT&amp;CK Mappings'!$E403)),ISNUMBER(SEARCH(IF(F$1&lt;&gt;"",F$1,"NA"),'MITRE ATT&amp;CK Mappings'!$F403))),ISNUMBER(SEARCH(IF(F$2&lt;&gt;"",F$2,"NA"),'MITRE ATT&amp;CK Mappings'!$G403))),ISNUMBER(SEARCH(IF(F$2&lt;&gt;"",F$2,"NA"),'MITRE ATT&amp;CK Mappings'!$H403))),ISNUMBER(SEARCH(IF(F$3&lt;&gt;"",F$3,"NA"),'MITRE ATT&amp;CK Mappings'!$I403))),ISNUMBER(SEARCH(IF(F$3&lt;&gt;"",F$3,"NA"),'MITRE ATT&amp;CK Mappings'!$J403))), 'MITRE ATT&amp;CK Mappings'!$B403,"")</f>
        <v/>
      </c>
      <c r="G407" s="27" t="str">
        <f>IF(OR(OR(OR(OR(OR(ISNUMBER(SEARCH(IF(G$1&lt;&gt;"",G$1,"NA"),'MITRE ATT&amp;CK Mappings'!$E403)),ISNUMBER(SEARCH(IF(G$1&lt;&gt;"",G$1,"NA"),'MITRE ATT&amp;CK Mappings'!$F403))),ISNUMBER(SEARCH(IF(G$2&lt;&gt;"",G$2,"NA"),'MITRE ATT&amp;CK Mappings'!$G403))),ISNUMBER(SEARCH(IF(G$2&lt;&gt;"",G$2,"NA"),'MITRE ATT&amp;CK Mappings'!$H403))),ISNUMBER(SEARCH(IF(G$3&lt;&gt;"",G$3,"NA"),'MITRE ATT&amp;CK Mappings'!$I403))),ISNUMBER(SEARCH(IF(G$3&lt;&gt;"",G$3,"NA"),'MITRE ATT&amp;CK Mappings'!$J403))), 'MITRE ATT&amp;CK Mappings'!$B403,"")</f>
        <v/>
      </c>
      <c r="H407" s="27" t="str">
        <f>IF(OR(OR(OR(OR(OR(ISNUMBER(SEARCH(IF(H$1&lt;&gt;"",H$1,"NA"),'MITRE ATT&amp;CK Mappings'!$E403)),ISNUMBER(SEARCH(IF(H$1&lt;&gt;"",H$1,"NA"),'MITRE ATT&amp;CK Mappings'!$F403))),ISNUMBER(SEARCH(IF(H$2&lt;&gt;"",H$2,"NA"),'MITRE ATT&amp;CK Mappings'!$G403))),ISNUMBER(SEARCH(IF(H$2&lt;&gt;"",H$2,"NA"),'MITRE ATT&amp;CK Mappings'!$H403))),ISNUMBER(SEARCH(IF(H$3&lt;&gt;"",H$3,"NA"),'MITRE ATT&amp;CK Mappings'!$I403))),ISNUMBER(SEARCH(IF(H$3&lt;&gt;"",H$3,"NA"),'MITRE ATT&amp;CK Mappings'!$J403))), 'MITRE ATT&amp;CK Mappings'!$B403,"")</f>
        <v/>
      </c>
      <c r="I407" s="27" t="str">
        <f>IF(OR(OR(OR(OR(OR(ISNUMBER(SEARCH(IF(I$1&lt;&gt;"",I$1,"NA"),'MITRE ATT&amp;CK Mappings'!$E403)),ISNUMBER(SEARCH(IF(I$1&lt;&gt;"",I$1,"NA"),'MITRE ATT&amp;CK Mappings'!$F403))),ISNUMBER(SEARCH(IF(I$2&lt;&gt;"",I$2,"NA"),'MITRE ATT&amp;CK Mappings'!$G403))),ISNUMBER(SEARCH(IF(I$2&lt;&gt;"",I$2,"NA"),'MITRE ATT&amp;CK Mappings'!$H403))),ISNUMBER(SEARCH(IF(I$3&lt;&gt;"",I$3,"NA"),'MITRE ATT&amp;CK Mappings'!$I403))),ISNUMBER(SEARCH(IF(I$3&lt;&gt;"",I$3,"NA"),'MITRE ATT&amp;CK Mappings'!$J403))), 'MITRE ATT&amp;CK Mappings'!$B403,"")</f>
        <v/>
      </c>
      <c r="J407" s="27" t="str">
        <f>IF(OR(OR(OR(OR(OR(ISNUMBER(SEARCH(IF(J$1&lt;&gt;"",J$1,"NA"),'MITRE ATT&amp;CK Mappings'!$E403)),ISNUMBER(SEARCH(IF(J$1&lt;&gt;"",J$1,"NA"),'MITRE ATT&amp;CK Mappings'!$F403))),ISNUMBER(SEARCH(IF(J$2&lt;&gt;"",J$2,"NA"),'MITRE ATT&amp;CK Mappings'!$G403))),ISNUMBER(SEARCH(IF(J$2&lt;&gt;"",J$2,"NA"),'MITRE ATT&amp;CK Mappings'!$H403))),ISNUMBER(SEARCH(IF(J$3&lt;&gt;"",J$3,"NA"),'MITRE ATT&amp;CK Mappings'!$I403))),ISNUMBER(SEARCH(IF(J$3&lt;&gt;"",J$3,"NA"),'MITRE ATT&amp;CK Mappings'!$J403))), 'MITRE ATT&amp;CK Mappings'!$B403,"")</f>
        <v/>
      </c>
      <c r="K407" s="27" t="str">
        <f>IF(OR(OR(OR(OR(OR(ISNUMBER(SEARCH(IF(K$1&lt;&gt;"",K$1,"NA"),'MITRE ATT&amp;CK Mappings'!$E403)),ISNUMBER(SEARCH(IF(K$1&lt;&gt;"",K$1,"NA"),'MITRE ATT&amp;CK Mappings'!$F403))),ISNUMBER(SEARCH(IF(K$2&lt;&gt;"",K$2,"NA"),'MITRE ATT&amp;CK Mappings'!$G403))),ISNUMBER(SEARCH(IF(K$2&lt;&gt;"",K$2,"NA"),'MITRE ATT&amp;CK Mappings'!$H403))),ISNUMBER(SEARCH(IF(K$3&lt;&gt;"",K$3,"NA"),'MITRE ATT&amp;CK Mappings'!$I403))),ISNUMBER(SEARCH(IF(K$3&lt;&gt;"",K$3,"NA"),'MITRE ATT&amp;CK Mappings'!$J403))), 'MITRE ATT&amp;CK Mappings'!$B403,"")</f>
        <v/>
      </c>
      <c r="L407" s="27" t="str">
        <f>IF('MITRE ATT&amp;CK Mappings'!D403 &lt;&gt;"",'MITRE ATT&amp;CK Mappings'!D403,"" )</f>
        <v/>
      </c>
    </row>
    <row r="408" spans="1:12" x14ac:dyDescent="0.25">
      <c r="A408" s="26" t="str">
        <f>IF(COUNTIF(B408:K408,"="&amp;'MITRE ATT&amp;CK Mappings'!B404)&gt;0,'MITRE ATT&amp;CK Mappings'!B404,"")</f>
        <v/>
      </c>
      <c r="B408" s="26" t="str">
        <f>IF(OR(OR(OR(OR(OR(ISNUMBER(SEARCH(IF(B$1&lt;&gt;"",B$1,"NA"),'MITRE ATT&amp;CK Mappings'!$E404)),ISNUMBER(SEARCH(IF(B$1&lt;&gt;"",B$1,"NA"),'MITRE ATT&amp;CK Mappings'!$F404))),ISNUMBER(SEARCH(IF(B$2&lt;&gt;"",B$2,"NA"),'MITRE ATT&amp;CK Mappings'!$G404))),ISNUMBER(SEARCH(IF(B$2&lt;&gt;"",B$2,"NA"),'MITRE ATT&amp;CK Mappings'!$H404))),ISNUMBER(SEARCH(IF(B$3&lt;&gt;"",B$3,"NA"),'MITRE ATT&amp;CK Mappings'!$I404))),ISNUMBER(SEARCH(IF(B$3&lt;&gt;"",B$3,"NA"),'MITRE ATT&amp;CK Mappings'!$J404))), 'MITRE ATT&amp;CK Mappings'!$B404,"")</f>
        <v/>
      </c>
      <c r="C408" s="26" t="str">
        <f>IF(OR(OR(OR(OR(OR(ISNUMBER(SEARCH(IF(C$1&lt;&gt;"",C$1,"NA"),'MITRE ATT&amp;CK Mappings'!$E404)),ISNUMBER(SEARCH(IF(C$1&lt;&gt;"",C$1,"NA"),'MITRE ATT&amp;CK Mappings'!$F404))),ISNUMBER(SEARCH(IF(C$2&lt;&gt;"",C$2,"NA"),'MITRE ATT&amp;CK Mappings'!$G404))),ISNUMBER(SEARCH(IF(C$2&lt;&gt;"",C$2,"NA"),'MITRE ATT&amp;CK Mappings'!$H404))),ISNUMBER(SEARCH(IF(C$3&lt;&gt;"",C$3,"NA"),'MITRE ATT&amp;CK Mappings'!$I404))),ISNUMBER(SEARCH(IF(C$3&lt;&gt;"",C$3,"NA"),'MITRE ATT&amp;CK Mappings'!$J404))), 'MITRE ATT&amp;CK Mappings'!$B404,"")</f>
        <v/>
      </c>
      <c r="D408" s="26" t="str">
        <f>IF(OR(OR(OR(OR(OR(ISNUMBER(SEARCH(IF(D$1&lt;&gt;"",D$1,"NA"),'MITRE ATT&amp;CK Mappings'!$E404)),ISNUMBER(SEARCH(IF(D$1&lt;&gt;"",D$1,"NA"),'MITRE ATT&amp;CK Mappings'!$F404))),ISNUMBER(SEARCH(IF(D$2&lt;&gt;"",D$2,"NA"),'MITRE ATT&amp;CK Mappings'!$G404))),ISNUMBER(SEARCH(IF(D$2&lt;&gt;"",D$2,"NA"),'MITRE ATT&amp;CK Mappings'!$H404))),ISNUMBER(SEARCH(IF(D$3&lt;&gt;"",D$3,"NA"),'MITRE ATT&amp;CK Mappings'!$I404))),ISNUMBER(SEARCH(IF(D$3&lt;&gt;"",D$3,"NA"),'MITRE ATT&amp;CK Mappings'!$J404))), 'MITRE ATT&amp;CK Mappings'!$B404,"")</f>
        <v/>
      </c>
      <c r="E408" s="26" t="str">
        <f>IF(OR(OR(OR(OR(OR(ISNUMBER(SEARCH(IF(E$1&lt;&gt;"",E$1,"NA"),'MITRE ATT&amp;CK Mappings'!$E404)),ISNUMBER(SEARCH(IF(E$1&lt;&gt;"",E$1,"NA"),'MITRE ATT&amp;CK Mappings'!$F404))),ISNUMBER(SEARCH(IF(E$2&lt;&gt;"",E$2,"NA"),'MITRE ATT&amp;CK Mappings'!$G404))),ISNUMBER(SEARCH(IF(E$2&lt;&gt;"",E$2,"NA"),'MITRE ATT&amp;CK Mappings'!$H404))),ISNUMBER(SEARCH(IF(E$3&lt;&gt;"",E$3,"NA"),'MITRE ATT&amp;CK Mappings'!$I404))),ISNUMBER(SEARCH(IF(E$3&lt;&gt;"",E$3,"NA"),'MITRE ATT&amp;CK Mappings'!$J404))), 'MITRE ATT&amp;CK Mappings'!$B404,"")</f>
        <v/>
      </c>
      <c r="F408" s="26" t="str">
        <f>IF(OR(OR(OR(OR(OR(ISNUMBER(SEARCH(IF(F$1&lt;&gt;"",F$1,"NA"),'MITRE ATT&amp;CK Mappings'!$E404)),ISNUMBER(SEARCH(IF(F$1&lt;&gt;"",F$1,"NA"),'MITRE ATT&amp;CK Mappings'!$F404))),ISNUMBER(SEARCH(IF(F$2&lt;&gt;"",F$2,"NA"),'MITRE ATT&amp;CK Mappings'!$G404))),ISNUMBER(SEARCH(IF(F$2&lt;&gt;"",F$2,"NA"),'MITRE ATT&amp;CK Mappings'!$H404))),ISNUMBER(SEARCH(IF(F$3&lt;&gt;"",F$3,"NA"),'MITRE ATT&amp;CK Mappings'!$I404))),ISNUMBER(SEARCH(IF(F$3&lt;&gt;"",F$3,"NA"),'MITRE ATT&amp;CK Mappings'!$J404))), 'MITRE ATT&amp;CK Mappings'!$B404,"")</f>
        <v/>
      </c>
      <c r="G408" s="26" t="str">
        <f>IF(OR(OR(OR(OR(OR(ISNUMBER(SEARCH(IF(G$1&lt;&gt;"",G$1,"NA"),'MITRE ATT&amp;CK Mappings'!$E404)),ISNUMBER(SEARCH(IF(G$1&lt;&gt;"",G$1,"NA"),'MITRE ATT&amp;CK Mappings'!$F404))),ISNUMBER(SEARCH(IF(G$2&lt;&gt;"",G$2,"NA"),'MITRE ATT&amp;CK Mappings'!$G404))),ISNUMBER(SEARCH(IF(G$2&lt;&gt;"",G$2,"NA"),'MITRE ATT&amp;CK Mappings'!$H404))),ISNUMBER(SEARCH(IF(G$3&lt;&gt;"",G$3,"NA"),'MITRE ATT&amp;CK Mappings'!$I404))),ISNUMBER(SEARCH(IF(G$3&lt;&gt;"",G$3,"NA"),'MITRE ATT&amp;CK Mappings'!$J404))), 'MITRE ATT&amp;CK Mappings'!$B404,"")</f>
        <v/>
      </c>
      <c r="H408" s="26" t="str">
        <f>IF(OR(OR(OR(OR(OR(ISNUMBER(SEARCH(IF(H$1&lt;&gt;"",H$1,"NA"),'MITRE ATT&amp;CK Mappings'!$E404)),ISNUMBER(SEARCH(IF(H$1&lt;&gt;"",H$1,"NA"),'MITRE ATT&amp;CK Mappings'!$F404))),ISNUMBER(SEARCH(IF(H$2&lt;&gt;"",H$2,"NA"),'MITRE ATT&amp;CK Mappings'!$G404))),ISNUMBER(SEARCH(IF(H$2&lt;&gt;"",H$2,"NA"),'MITRE ATT&amp;CK Mappings'!$H404))),ISNUMBER(SEARCH(IF(H$3&lt;&gt;"",H$3,"NA"),'MITRE ATT&amp;CK Mappings'!$I404))),ISNUMBER(SEARCH(IF(H$3&lt;&gt;"",H$3,"NA"),'MITRE ATT&amp;CK Mappings'!$J404))), 'MITRE ATT&amp;CK Mappings'!$B404,"")</f>
        <v/>
      </c>
      <c r="I408" s="26" t="str">
        <f>IF(OR(OR(OR(OR(OR(ISNUMBER(SEARCH(IF(I$1&lt;&gt;"",I$1,"NA"),'MITRE ATT&amp;CK Mappings'!$E404)),ISNUMBER(SEARCH(IF(I$1&lt;&gt;"",I$1,"NA"),'MITRE ATT&amp;CK Mappings'!$F404))),ISNUMBER(SEARCH(IF(I$2&lt;&gt;"",I$2,"NA"),'MITRE ATT&amp;CK Mappings'!$G404))),ISNUMBER(SEARCH(IF(I$2&lt;&gt;"",I$2,"NA"),'MITRE ATT&amp;CK Mappings'!$H404))),ISNUMBER(SEARCH(IF(I$3&lt;&gt;"",I$3,"NA"),'MITRE ATT&amp;CK Mappings'!$I404))),ISNUMBER(SEARCH(IF(I$3&lt;&gt;"",I$3,"NA"),'MITRE ATT&amp;CK Mappings'!$J404))), 'MITRE ATT&amp;CK Mappings'!$B404,"")</f>
        <v/>
      </c>
      <c r="J408" s="26" t="str">
        <f>IF(OR(OR(OR(OR(OR(ISNUMBER(SEARCH(IF(J$1&lt;&gt;"",J$1,"NA"),'MITRE ATT&amp;CK Mappings'!$E404)),ISNUMBER(SEARCH(IF(J$1&lt;&gt;"",J$1,"NA"),'MITRE ATT&amp;CK Mappings'!$F404))),ISNUMBER(SEARCH(IF(J$2&lt;&gt;"",J$2,"NA"),'MITRE ATT&amp;CK Mappings'!$G404))),ISNUMBER(SEARCH(IF(J$2&lt;&gt;"",J$2,"NA"),'MITRE ATT&amp;CK Mappings'!$H404))),ISNUMBER(SEARCH(IF(J$3&lt;&gt;"",J$3,"NA"),'MITRE ATT&amp;CK Mappings'!$I404))),ISNUMBER(SEARCH(IF(J$3&lt;&gt;"",J$3,"NA"),'MITRE ATT&amp;CK Mappings'!$J404))), 'MITRE ATT&amp;CK Mappings'!$B404,"")</f>
        <v/>
      </c>
      <c r="K408" s="26" t="str">
        <f>IF(OR(OR(OR(OR(OR(ISNUMBER(SEARCH(IF(K$1&lt;&gt;"",K$1,"NA"),'MITRE ATT&amp;CK Mappings'!$E404)),ISNUMBER(SEARCH(IF(K$1&lt;&gt;"",K$1,"NA"),'MITRE ATT&amp;CK Mappings'!$F404))),ISNUMBER(SEARCH(IF(K$2&lt;&gt;"",K$2,"NA"),'MITRE ATT&amp;CK Mappings'!$G404))),ISNUMBER(SEARCH(IF(K$2&lt;&gt;"",K$2,"NA"),'MITRE ATT&amp;CK Mappings'!$H404))),ISNUMBER(SEARCH(IF(K$3&lt;&gt;"",K$3,"NA"),'MITRE ATT&amp;CK Mappings'!$I404))),ISNUMBER(SEARCH(IF(K$3&lt;&gt;"",K$3,"NA"),'MITRE ATT&amp;CK Mappings'!$J404))), 'MITRE ATT&amp;CK Mappings'!$B404,"")</f>
        <v/>
      </c>
      <c r="L408" s="26" t="str">
        <f>IF('MITRE ATT&amp;CK Mappings'!D404 &lt;&gt;"",'MITRE ATT&amp;CK Mappings'!D404,"" )</f>
        <v/>
      </c>
    </row>
    <row r="409" spans="1:12" x14ac:dyDescent="0.25">
      <c r="A409" s="27" t="str">
        <f>IF(COUNTIF(B409:K409,"="&amp;'MITRE ATT&amp;CK Mappings'!B405)&gt;0,'MITRE ATT&amp;CK Mappings'!B405,"")</f>
        <v/>
      </c>
      <c r="B409" s="27" t="str">
        <f>IF(OR(OR(OR(OR(OR(ISNUMBER(SEARCH(IF(B$1&lt;&gt;"",B$1,"NA"),'MITRE ATT&amp;CK Mappings'!$E405)),ISNUMBER(SEARCH(IF(B$1&lt;&gt;"",B$1,"NA"),'MITRE ATT&amp;CK Mappings'!$F405))),ISNUMBER(SEARCH(IF(B$2&lt;&gt;"",B$2,"NA"),'MITRE ATT&amp;CK Mappings'!$G405))),ISNUMBER(SEARCH(IF(B$2&lt;&gt;"",B$2,"NA"),'MITRE ATT&amp;CK Mappings'!$H405))),ISNUMBER(SEARCH(IF(B$3&lt;&gt;"",B$3,"NA"),'MITRE ATT&amp;CK Mappings'!$I405))),ISNUMBER(SEARCH(IF(B$3&lt;&gt;"",B$3,"NA"),'MITRE ATT&amp;CK Mappings'!$J405))), 'MITRE ATT&amp;CK Mappings'!$B405,"")</f>
        <v/>
      </c>
      <c r="C409" s="27" t="str">
        <f>IF(OR(OR(OR(OR(OR(ISNUMBER(SEARCH(IF(C$1&lt;&gt;"",C$1,"NA"),'MITRE ATT&amp;CK Mappings'!$E405)),ISNUMBER(SEARCH(IF(C$1&lt;&gt;"",C$1,"NA"),'MITRE ATT&amp;CK Mappings'!$F405))),ISNUMBER(SEARCH(IF(C$2&lt;&gt;"",C$2,"NA"),'MITRE ATT&amp;CK Mappings'!$G405))),ISNUMBER(SEARCH(IF(C$2&lt;&gt;"",C$2,"NA"),'MITRE ATT&amp;CK Mappings'!$H405))),ISNUMBER(SEARCH(IF(C$3&lt;&gt;"",C$3,"NA"),'MITRE ATT&amp;CK Mappings'!$I405))),ISNUMBER(SEARCH(IF(C$3&lt;&gt;"",C$3,"NA"),'MITRE ATT&amp;CK Mappings'!$J405))), 'MITRE ATT&amp;CK Mappings'!$B405,"")</f>
        <v/>
      </c>
      <c r="D409" s="27" t="str">
        <f>IF(OR(OR(OR(OR(OR(ISNUMBER(SEARCH(IF(D$1&lt;&gt;"",D$1,"NA"),'MITRE ATT&amp;CK Mappings'!$E405)),ISNUMBER(SEARCH(IF(D$1&lt;&gt;"",D$1,"NA"),'MITRE ATT&amp;CK Mappings'!$F405))),ISNUMBER(SEARCH(IF(D$2&lt;&gt;"",D$2,"NA"),'MITRE ATT&amp;CK Mappings'!$G405))),ISNUMBER(SEARCH(IF(D$2&lt;&gt;"",D$2,"NA"),'MITRE ATT&amp;CK Mappings'!$H405))),ISNUMBER(SEARCH(IF(D$3&lt;&gt;"",D$3,"NA"),'MITRE ATT&amp;CK Mappings'!$I405))),ISNUMBER(SEARCH(IF(D$3&lt;&gt;"",D$3,"NA"),'MITRE ATT&amp;CK Mappings'!$J405))), 'MITRE ATT&amp;CK Mappings'!$B405,"")</f>
        <v/>
      </c>
      <c r="E409" s="27" t="str">
        <f>IF(OR(OR(OR(OR(OR(ISNUMBER(SEARCH(IF(E$1&lt;&gt;"",E$1,"NA"),'MITRE ATT&amp;CK Mappings'!$E405)),ISNUMBER(SEARCH(IF(E$1&lt;&gt;"",E$1,"NA"),'MITRE ATT&amp;CK Mappings'!$F405))),ISNUMBER(SEARCH(IF(E$2&lt;&gt;"",E$2,"NA"),'MITRE ATT&amp;CK Mappings'!$G405))),ISNUMBER(SEARCH(IF(E$2&lt;&gt;"",E$2,"NA"),'MITRE ATT&amp;CK Mappings'!$H405))),ISNUMBER(SEARCH(IF(E$3&lt;&gt;"",E$3,"NA"),'MITRE ATT&amp;CK Mappings'!$I405))),ISNUMBER(SEARCH(IF(E$3&lt;&gt;"",E$3,"NA"),'MITRE ATT&amp;CK Mappings'!$J405))), 'MITRE ATT&amp;CK Mappings'!$B405,"")</f>
        <v/>
      </c>
      <c r="F409" s="27" t="str">
        <f>IF(OR(OR(OR(OR(OR(ISNUMBER(SEARCH(IF(F$1&lt;&gt;"",F$1,"NA"),'MITRE ATT&amp;CK Mappings'!$E405)),ISNUMBER(SEARCH(IF(F$1&lt;&gt;"",F$1,"NA"),'MITRE ATT&amp;CK Mappings'!$F405))),ISNUMBER(SEARCH(IF(F$2&lt;&gt;"",F$2,"NA"),'MITRE ATT&amp;CK Mappings'!$G405))),ISNUMBER(SEARCH(IF(F$2&lt;&gt;"",F$2,"NA"),'MITRE ATT&amp;CK Mappings'!$H405))),ISNUMBER(SEARCH(IF(F$3&lt;&gt;"",F$3,"NA"),'MITRE ATT&amp;CK Mappings'!$I405))),ISNUMBER(SEARCH(IF(F$3&lt;&gt;"",F$3,"NA"),'MITRE ATT&amp;CK Mappings'!$J405))), 'MITRE ATT&amp;CK Mappings'!$B405,"")</f>
        <v/>
      </c>
      <c r="G409" s="27" t="str">
        <f>IF(OR(OR(OR(OR(OR(ISNUMBER(SEARCH(IF(G$1&lt;&gt;"",G$1,"NA"),'MITRE ATT&amp;CK Mappings'!$E405)),ISNUMBER(SEARCH(IF(G$1&lt;&gt;"",G$1,"NA"),'MITRE ATT&amp;CK Mappings'!$F405))),ISNUMBER(SEARCH(IF(G$2&lt;&gt;"",G$2,"NA"),'MITRE ATT&amp;CK Mappings'!$G405))),ISNUMBER(SEARCH(IF(G$2&lt;&gt;"",G$2,"NA"),'MITRE ATT&amp;CK Mappings'!$H405))),ISNUMBER(SEARCH(IF(G$3&lt;&gt;"",G$3,"NA"),'MITRE ATT&amp;CK Mappings'!$I405))),ISNUMBER(SEARCH(IF(G$3&lt;&gt;"",G$3,"NA"),'MITRE ATT&amp;CK Mappings'!$J405))), 'MITRE ATT&amp;CK Mappings'!$B405,"")</f>
        <v/>
      </c>
      <c r="H409" s="27" t="str">
        <f>IF(OR(OR(OR(OR(OR(ISNUMBER(SEARCH(IF(H$1&lt;&gt;"",H$1,"NA"),'MITRE ATT&amp;CK Mappings'!$E405)),ISNUMBER(SEARCH(IF(H$1&lt;&gt;"",H$1,"NA"),'MITRE ATT&amp;CK Mappings'!$F405))),ISNUMBER(SEARCH(IF(H$2&lt;&gt;"",H$2,"NA"),'MITRE ATT&amp;CK Mappings'!$G405))),ISNUMBER(SEARCH(IF(H$2&lt;&gt;"",H$2,"NA"),'MITRE ATT&amp;CK Mappings'!$H405))),ISNUMBER(SEARCH(IF(H$3&lt;&gt;"",H$3,"NA"),'MITRE ATT&amp;CK Mappings'!$I405))),ISNUMBER(SEARCH(IF(H$3&lt;&gt;"",H$3,"NA"),'MITRE ATT&amp;CK Mappings'!$J405))), 'MITRE ATT&amp;CK Mappings'!$B405,"")</f>
        <v/>
      </c>
      <c r="I409" s="27" t="str">
        <f>IF(OR(OR(OR(OR(OR(ISNUMBER(SEARCH(IF(I$1&lt;&gt;"",I$1,"NA"),'MITRE ATT&amp;CK Mappings'!$E405)),ISNUMBER(SEARCH(IF(I$1&lt;&gt;"",I$1,"NA"),'MITRE ATT&amp;CK Mappings'!$F405))),ISNUMBER(SEARCH(IF(I$2&lt;&gt;"",I$2,"NA"),'MITRE ATT&amp;CK Mappings'!$G405))),ISNUMBER(SEARCH(IF(I$2&lt;&gt;"",I$2,"NA"),'MITRE ATT&amp;CK Mappings'!$H405))),ISNUMBER(SEARCH(IF(I$3&lt;&gt;"",I$3,"NA"),'MITRE ATT&amp;CK Mappings'!$I405))),ISNUMBER(SEARCH(IF(I$3&lt;&gt;"",I$3,"NA"),'MITRE ATT&amp;CK Mappings'!$J405))), 'MITRE ATT&amp;CK Mappings'!$B405,"")</f>
        <v/>
      </c>
      <c r="J409" s="27" t="str">
        <f>IF(OR(OR(OR(OR(OR(ISNUMBER(SEARCH(IF(J$1&lt;&gt;"",J$1,"NA"),'MITRE ATT&amp;CK Mappings'!$E405)),ISNUMBER(SEARCH(IF(J$1&lt;&gt;"",J$1,"NA"),'MITRE ATT&amp;CK Mappings'!$F405))),ISNUMBER(SEARCH(IF(J$2&lt;&gt;"",J$2,"NA"),'MITRE ATT&amp;CK Mappings'!$G405))),ISNUMBER(SEARCH(IF(J$2&lt;&gt;"",J$2,"NA"),'MITRE ATT&amp;CK Mappings'!$H405))),ISNUMBER(SEARCH(IF(J$3&lt;&gt;"",J$3,"NA"),'MITRE ATT&amp;CK Mappings'!$I405))),ISNUMBER(SEARCH(IF(J$3&lt;&gt;"",J$3,"NA"),'MITRE ATT&amp;CK Mappings'!$J405))), 'MITRE ATT&amp;CK Mappings'!$B405,"")</f>
        <v/>
      </c>
      <c r="K409" s="27" t="str">
        <f>IF(OR(OR(OR(OR(OR(ISNUMBER(SEARCH(IF(K$1&lt;&gt;"",K$1,"NA"),'MITRE ATT&amp;CK Mappings'!$E405)),ISNUMBER(SEARCH(IF(K$1&lt;&gt;"",K$1,"NA"),'MITRE ATT&amp;CK Mappings'!$F405))),ISNUMBER(SEARCH(IF(K$2&lt;&gt;"",K$2,"NA"),'MITRE ATT&amp;CK Mappings'!$G405))),ISNUMBER(SEARCH(IF(K$2&lt;&gt;"",K$2,"NA"),'MITRE ATT&amp;CK Mappings'!$H405))),ISNUMBER(SEARCH(IF(K$3&lt;&gt;"",K$3,"NA"),'MITRE ATT&amp;CK Mappings'!$I405))),ISNUMBER(SEARCH(IF(K$3&lt;&gt;"",K$3,"NA"),'MITRE ATT&amp;CK Mappings'!$J405))), 'MITRE ATT&amp;CK Mappings'!$B405,"")</f>
        <v/>
      </c>
      <c r="L409" s="27" t="str">
        <f>IF('MITRE ATT&amp;CK Mappings'!D405 &lt;&gt;"",'MITRE ATT&amp;CK Mappings'!D405,"" )</f>
        <v/>
      </c>
    </row>
    <row r="410" spans="1:12" x14ac:dyDescent="0.25">
      <c r="A410" s="26" t="str">
        <f>IF(COUNTIF(B410:K410,"="&amp;'MITRE ATT&amp;CK Mappings'!B406)&gt;0,'MITRE ATT&amp;CK Mappings'!B406,"")</f>
        <v/>
      </c>
      <c r="B410" s="26" t="str">
        <f>IF(OR(OR(OR(OR(OR(ISNUMBER(SEARCH(IF(B$1&lt;&gt;"",B$1,"NA"),'MITRE ATT&amp;CK Mappings'!$E406)),ISNUMBER(SEARCH(IF(B$1&lt;&gt;"",B$1,"NA"),'MITRE ATT&amp;CK Mappings'!$F406))),ISNUMBER(SEARCH(IF(B$2&lt;&gt;"",B$2,"NA"),'MITRE ATT&amp;CK Mappings'!$G406))),ISNUMBER(SEARCH(IF(B$2&lt;&gt;"",B$2,"NA"),'MITRE ATT&amp;CK Mappings'!$H406))),ISNUMBER(SEARCH(IF(B$3&lt;&gt;"",B$3,"NA"),'MITRE ATT&amp;CK Mappings'!$I406))),ISNUMBER(SEARCH(IF(B$3&lt;&gt;"",B$3,"NA"),'MITRE ATT&amp;CK Mappings'!$J406))), 'MITRE ATT&amp;CK Mappings'!$B406,"")</f>
        <v/>
      </c>
      <c r="C410" s="26" t="str">
        <f>IF(OR(OR(OR(OR(OR(ISNUMBER(SEARCH(IF(C$1&lt;&gt;"",C$1,"NA"),'MITRE ATT&amp;CK Mappings'!$E406)),ISNUMBER(SEARCH(IF(C$1&lt;&gt;"",C$1,"NA"),'MITRE ATT&amp;CK Mappings'!$F406))),ISNUMBER(SEARCH(IF(C$2&lt;&gt;"",C$2,"NA"),'MITRE ATT&amp;CK Mappings'!$G406))),ISNUMBER(SEARCH(IF(C$2&lt;&gt;"",C$2,"NA"),'MITRE ATT&amp;CK Mappings'!$H406))),ISNUMBER(SEARCH(IF(C$3&lt;&gt;"",C$3,"NA"),'MITRE ATT&amp;CK Mappings'!$I406))),ISNUMBER(SEARCH(IF(C$3&lt;&gt;"",C$3,"NA"),'MITRE ATT&amp;CK Mappings'!$J406))), 'MITRE ATT&amp;CK Mappings'!$B406,"")</f>
        <v/>
      </c>
      <c r="D410" s="26" t="str">
        <f>IF(OR(OR(OR(OR(OR(ISNUMBER(SEARCH(IF(D$1&lt;&gt;"",D$1,"NA"),'MITRE ATT&amp;CK Mappings'!$E406)),ISNUMBER(SEARCH(IF(D$1&lt;&gt;"",D$1,"NA"),'MITRE ATT&amp;CK Mappings'!$F406))),ISNUMBER(SEARCH(IF(D$2&lt;&gt;"",D$2,"NA"),'MITRE ATT&amp;CK Mappings'!$G406))),ISNUMBER(SEARCH(IF(D$2&lt;&gt;"",D$2,"NA"),'MITRE ATT&amp;CK Mappings'!$H406))),ISNUMBER(SEARCH(IF(D$3&lt;&gt;"",D$3,"NA"),'MITRE ATT&amp;CK Mappings'!$I406))),ISNUMBER(SEARCH(IF(D$3&lt;&gt;"",D$3,"NA"),'MITRE ATT&amp;CK Mappings'!$J406))), 'MITRE ATT&amp;CK Mappings'!$B406,"")</f>
        <v/>
      </c>
      <c r="E410" s="26" t="str">
        <f>IF(OR(OR(OR(OR(OR(ISNUMBER(SEARCH(IF(E$1&lt;&gt;"",E$1,"NA"),'MITRE ATT&amp;CK Mappings'!$E406)),ISNUMBER(SEARCH(IF(E$1&lt;&gt;"",E$1,"NA"),'MITRE ATT&amp;CK Mappings'!$F406))),ISNUMBER(SEARCH(IF(E$2&lt;&gt;"",E$2,"NA"),'MITRE ATT&amp;CK Mappings'!$G406))),ISNUMBER(SEARCH(IF(E$2&lt;&gt;"",E$2,"NA"),'MITRE ATT&amp;CK Mappings'!$H406))),ISNUMBER(SEARCH(IF(E$3&lt;&gt;"",E$3,"NA"),'MITRE ATT&amp;CK Mappings'!$I406))),ISNUMBER(SEARCH(IF(E$3&lt;&gt;"",E$3,"NA"),'MITRE ATT&amp;CK Mappings'!$J406))), 'MITRE ATT&amp;CK Mappings'!$B406,"")</f>
        <v/>
      </c>
      <c r="F410" s="26" t="str">
        <f>IF(OR(OR(OR(OR(OR(ISNUMBER(SEARCH(IF(F$1&lt;&gt;"",F$1,"NA"),'MITRE ATT&amp;CK Mappings'!$E406)),ISNUMBER(SEARCH(IF(F$1&lt;&gt;"",F$1,"NA"),'MITRE ATT&amp;CK Mappings'!$F406))),ISNUMBER(SEARCH(IF(F$2&lt;&gt;"",F$2,"NA"),'MITRE ATT&amp;CK Mappings'!$G406))),ISNUMBER(SEARCH(IF(F$2&lt;&gt;"",F$2,"NA"),'MITRE ATT&amp;CK Mappings'!$H406))),ISNUMBER(SEARCH(IF(F$3&lt;&gt;"",F$3,"NA"),'MITRE ATT&amp;CK Mappings'!$I406))),ISNUMBER(SEARCH(IF(F$3&lt;&gt;"",F$3,"NA"),'MITRE ATT&amp;CK Mappings'!$J406))), 'MITRE ATT&amp;CK Mappings'!$B406,"")</f>
        <v/>
      </c>
      <c r="G410" s="26" t="str">
        <f>IF(OR(OR(OR(OR(OR(ISNUMBER(SEARCH(IF(G$1&lt;&gt;"",G$1,"NA"),'MITRE ATT&amp;CK Mappings'!$E406)),ISNUMBER(SEARCH(IF(G$1&lt;&gt;"",G$1,"NA"),'MITRE ATT&amp;CK Mappings'!$F406))),ISNUMBER(SEARCH(IF(G$2&lt;&gt;"",G$2,"NA"),'MITRE ATT&amp;CK Mappings'!$G406))),ISNUMBER(SEARCH(IF(G$2&lt;&gt;"",G$2,"NA"),'MITRE ATT&amp;CK Mappings'!$H406))),ISNUMBER(SEARCH(IF(G$3&lt;&gt;"",G$3,"NA"),'MITRE ATT&amp;CK Mappings'!$I406))),ISNUMBER(SEARCH(IF(G$3&lt;&gt;"",G$3,"NA"),'MITRE ATT&amp;CK Mappings'!$J406))), 'MITRE ATT&amp;CK Mappings'!$B406,"")</f>
        <v/>
      </c>
      <c r="H410" s="26" t="str">
        <f>IF(OR(OR(OR(OR(OR(ISNUMBER(SEARCH(IF(H$1&lt;&gt;"",H$1,"NA"),'MITRE ATT&amp;CK Mappings'!$E406)),ISNUMBER(SEARCH(IF(H$1&lt;&gt;"",H$1,"NA"),'MITRE ATT&amp;CK Mappings'!$F406))),ISNUMBER(SEARCH(IF(H$2&lt;&gt;"",H$2,"NA"),'MITRE ATT&amp;CK Mappings'!$G406))),ISNUMBER(SEARCH(IF(H$2&lt;&gt;"",H$2,"NA"),'MITRE ATT&amp;CK Mappings'!$H406))),ISNUMBER(SEARCH(IF(H$3&lt;&gt;"",H$3,"NA"),'MITRE ATT&amp;CK Mappings'!$I406))),ISNUMBER(SEARCH(IF(H$3&lt;&gt;"",H$3,"NA"),'MITRE ATT&amp;CK Mappings'!$J406))), 'MITRE ATT&amp;CK Mappings'!$B406,"")</f>
        <v/>
      </c>
      <c r="I410" s="26" t="str">
        <f>IF(OR(OR(OR(OR(OR(ISNUMBER(SEARCH(IF(I$1&lt;&gt;"",I$1,"NA"),'MITRE ATT&amp;CK Mappings'!$E406)),ISNUMBER(SEARCH(IF(I$1&lt;&gt;"",I$1,"NA"),'MITRE ATT&amp;CK Mappings'!$F406))),ISNUMBER(SEARCH(IF(I$2&lt;&gt;"",I$2,"NA"),'MITRE ATT&amp;CK Mappings'!$G406))),ISNUMBER(SEARCH(IF(I$2&lt;&gt;"",I$2,"NA"),'MITRE ATT&amp;CK Mappings'!$H406))),ISNUMBER(SEARCH(IF(I$3&lt;&gt;"",I$3,"NA"),'MITRE ATT&amp;CK Mappings'!$I406))),ISNUMBER(SEARCH(IF(I$3&lt;&gt;"",I$3,"NA"),'MITRE ATT&amp;CK Mappings'!$J406))), 'MITRE ATT&amp;CK Mappings'!$B406,"")</f>
        <v/>
      </c>
      <c r="J410" s="26" t="str">
        <f>IF(OR(OR(OR(OR(OR(ISNUMBER(SEARCH(IF(J$1&lt;&gt;"",J$1,"NA"),'MITRE ATT&amp;CK Mappings'!$E406)),ISNUMBER(SEARCH(IF(J$1&lt;&gt;"",J$1,"NA"),'MITRE ATT&amp;CK Mappings'!$F406))),ISNUMBER(SEARCH(IF(J$2&lt;&gt;"",J$2,"NA"),'MITRE ATT&amp;CK Mappings'!$G406))),ISNUMBER(SEARCH(IF(J$2&lt;&gt;"",J$2,"NA"),'MITRE ATT&amp;CK Mappings'!$H406))),ISNUMBER(SEARCH(IF(J$3&lt;&gt;"",J$3,"NA"),'MITRE ATT&amp;CK Mappings'!$I406))),ISNUMBER(SEARCH(IF(J$3&lt;&gt;"",J$3,"NA"),'MITRE ATT&amp;CK Mappings'!$J406))), 'MITRE ATT&amp;CK Mappings'!$B406,"")</f>
        <v/>
      </c>
      <c r="K410" s="26" t="str">
        <f>IF(OR(OR(OR(OR(OR(ISNUMBER(SEARCH(IF(K$1&lt;&gt;"",K$1,"NA"),'MITRE ATT&amp;CK Mappings'!$E406)),ISNUMBER(SEARCH(IF(K$1&lt;&gt;"",K$1,"NA"),'MITRE ATT&amp;CK Mappings'!$F406))),ISNUMBER(SEARCH(IF(K$2&lt;&gt;"",K$2,"NA"),'MITRE ATT&amp;CK Mappings'!$G406))),ISNUMBER(SEARCH(IF(K$2&lt;&gt;"",K$2,"NA"),'MITRE ATT&amp;CK Mappings'!$H406))),ISNUMBER(SEARCH(IF(K$3&lt;&gt;"",K$3,"NA"),'MITRE ATT&amp;CK Mappings'!$I406))),ISNUMBER(SEARCH(IF(K$3&lt;&gt;"",K$3,"NA"),'MITRE ATT&amp;CK Mappings'!$J406))), 'MITRE ATT&amp;CK Mappings'!$B406,"")</f>
        <v/>
      </c>
      <c r="L410" s="26" t="str">
        <f>IF('MITRE ATT&amp;CK Mappings'!D406 &lt;&gt;"",'MITRE ATT&amp;CK Mappings'!D406,"" )</f>
        <v/>
      </c>
    </row>
    <row r="411" spans="1:12" x14ac:dyDescent="0.25">
      <c r="A411" s="27" t="str">
        <f>IF(COUNTIF(B411:K411,"="&amp;'MITRE ATT&amp;CK Mappings'!B407)&gt;0,'MITRE ATT&amp;CK Mappings'!B407,"")</f>
        <v/>
      </c>
      <c r="B411" s="27" t="str">
        <f>IF(OR(OR(OR(OR(OR(ISNUMBER(SEARCH(IF(B$1&lt;&gt;"",B$1,"NA"),'MITRE ATT&amp;CK Mappings'!$E407)),ISNUMBER(SEARCH(IF(B$1&lt;&gt;"",B$1,"NA"),'MITRE ATT&amp;CK Mappings'!$F407))),ISNUMBER(SEARCH(IF(B$2&lt;&gt;"",B$2,"NA"),'MITRE ATT&amp;CK Mappings'!$G407))),ISNUMBER(SEARCH(IF(B$2&lt;&gt;"",B$2,"NA"),'MITRE ATT&amp;CK Mappings'!$H407))),ISNUMBER(SEARCH(IF(B$3&lt;&gt;"",B$3,"NA"),'MITRE ATT&amp;CK Mappings'!$I407))),ISNUMBER(SEARCH(IF(B$3&lt;&gt;"",B$3,"NA"),'MITRE ATT&amp;CK Mappings'!$J407))), 'MITRE ATT&amp;CK Mappings'!$B407,"")</f>
        <v/>
      </c>
      <c r="C411" s="27" t="str">
        <f>IF(OR(OR(OR(OR(OR(ISNUMBER(SEARCH(IF(C$1&lt;&gt;"",C$1,"NA"),'MITRE ATT&amp;CK Mappings'!$E407)),ISNUMBER(SEARCH(IF(C$1&lt;&gt;"",C$1,"NA"),'MITRE ATT&amp;CK Mappings'!$F407))),ISNUMBER(SEARCH(IF(C$2&lt;&gt;"",C$2,"NA"),'MITRE ATT&amp;CK Mappings'!$G407))),ISNUMBER(SEARCH(IF(C$2&lt;&gt;"",C$2,"NA"),'MITRE ATT&amp;CK Mappings'!$H407))),ISNUMBER(SEARCH(IF(C$3&lt;&gt;"",C$3,"NA"),'MITRE ATT&amp;CK Mappings'!$I407))),ISNUMBER(SEARCH(IF(C$3&lt;&gt;"",C$3,"NA"),'MITRE ATT&amp;CK Mappings'!$J407))), 'MITRE ATT&amp;CK Mappings'!$B407,"")</f>
        <v/>
      </c>
      <c r="D411" s="27" t="str">
        <f>IF(OR(OR(OR(OR(OR(ISNUMBER(SEARCH(IF(D$1&lt;&gt;"",D$1,"NA"),'MITRE ATT&amp;CK Mappings'!$E407)),ISNUMBER(SEARCH(IF(D$1&lt;&gt;"",D$1,"NA"),'MITRE ATT&amp;CK Mappings'!$F407))),ISNUMBER(SEARCH(IF(D$2&lt;&gt;"",D$2,"NA"),'MITRE ATT&amp;CK Mappings'!$G407))),ISNUMBER(SEARCH(IF(D$2&lt;&gt;"",D$2,"NA"),'MITRE ATT&amp;CK Mappings'!$H407))),ISNUMBER(SEARCH(IF(D$3&lt;&gt;"",D$3,"NA"),'MITRE ATT&amp;CK Mappings'!$I407))),ISNUMBER(SEARCH(IF(D$3&lt;&gt;"",D$3,"NA"),'MITRE ATT&amp;CK Mappings'!$J407))), 'MITRE ATT&amp;CK Mappings'!$B407,"")</f>
        <v/>
      </c>
      <c r="E411" s="27" t="str">
        <f>IF(OR(OR(OR(OR(OR(ISNUMBER(SEARCH(IF(E$1&lt;&gt;"",E$1,"NA"),'MITRE ATT&amp;CK Mappings'!$E407)),ISNUMBER(SEARCH(IF(E$1&lt;&gt;"",E$1,"NA"),'MITRE ATT&amp;CK Mappings'!$F407))),ISNUMBER(SEARCH(IF(E$2&lt;&gt;"",E$2,"NA"),'MITRE ATT&amp;CK Mappings'!$G407))),ISNUMBER(SEARCH(IF(E$2&lt;&gt;"",E$2,"NA"),'MITRE ATT&amp;CK Mappings'!$H407))),ISNUMBER(SEARCH(IF(E$3&lt;&gt;"",E$3,"NA"),'MITRE ATT&amp;CK Mappings'!$I407))),ISNUMBER(SEARCH(IF(E$3&lt;&gt;"",E$3,"NA"),'MITRE ATT&amp;CK Mappings'!$J407))), 'MITRE ATT&amp;CK Mappings'!$B407,"")</f>
        <v/>
      </c>
      <c r="F411" s="27" t="str">
        <f>IF(OR(OR(OR(OR(OR(ISNUMBER(SEARCH(IF(F$1&lt;&gt;"",F$1,"NA"),'MITRE ATT&amp;CK Mappings'!$E407)),ISNUMBER(SEARCH(IF(F$1&lt;&gt;"",F$1,"NA"),'MITRE ATT&amp;CK Mappings'!$F407))),ISNUMBER(SEARCH(IF(F$2&lt;&gt;"",F$2,"NA"),'MITRE ATT&amp;CK Mappings'!$G407))),ISNUMBER(SEARCH(IF(F$2&lt;&gt;"",F$2,"NA"),'MITRE ATT&amp;CK Mappings'!$H407))),ISNUMBER(SEARCH(IF(F$3&lt;&gt;"",F$3,"NA"),'MITRE ATT&amp;CK Mappings'!$I407))),ISNUMBER(SEARCH(IF(F$3&lt;&gt;"",F$3,"NA"),'MITRE ATT&amp;CK Mappings'!$J407))), 'MITRE ATT&amp;CK Mappings'!$B407,"")</f>
        <v/>
      </c>
      <c r="G411" s="27" t="str">
        <f>IF(OR(OR(OR(OR(OR(ISNUMBER(SEARCH(IF(G$1&lt;&gt;"",G$1,"NA"),'MITRE ATT&amp;CK Mappings'!$E407)),ISNUMBER(SEARCH(IF(G$1&lt;&gt;"",G$1,"NA"),'MITRE ATT&amp;CK Mappings'!$F407))),ISNUMBER(SEARCH(IF(G$2&lt;&gt;"",G$2,"NA"),'MITRE ATT&amp;CK Mappings'!$G407))),ISNUMBER(SEARCH(IF(G$2&lt;&gt;"",G$2,"NA"),'MITRE ATT&amp;CK Mappings'!$H407))),ISNUMBER(SEARCH(IF(G$3&lt;&gt;"",G$3,"NA"),'MITRE ATT&amp;CK Mappings'!$I407))),ISNUMBER(SEARCH(IF(G$3&lt;&gt;"",G$3,"NA"),'MITRE ATT&amp;CK Mappings'!$J407))), 'MITRE ATT&amp;CK Mappings'!$B407,"")</f>
        <v/>
      </c>
      <c r="H411" s="27" t="str">
        <f>IF(OR(OR(OR(OR(OR(ISNUMBER(SEARCH(IF(H$1&lt;&gt;"",H$1,"NA"),'MITRE ATT&amp;CK Mappings'!$E407)),ISNUMBER(SEARCH(IF(H$1&lt;&gt;"",H$1,"NA"),'MITRE ATT&amp;CK Mappings'!$F407))),ISNUMBER(SEARCH(IF(H$2&lt;&gt;"",H$2,"NA"),'MITRE ATT&amp;CK Mappings'!$G407))),ISNUMBER(SEARCH(IF(H$2&lt;&gt;"",H$2,"NA"),'MITRE ATT&amp;CK Mappings'!$H407))),ISNUMBER(SEARCH(IF(H$3&lt;&gt;"",H$3,"NA"),'MITRE ATT&amp;CK Mappings'!$I407))),ISNUMBER(SEARCH(IF(H$3&lt;&gt;"",H$3,"NA"),'MITRE ATT&amp;CK Mappings'!$J407))), 'MITRE ATT&amp;CK Mappings'!$B407,"")</f>
        <v/>
      </c>
      <c r="I411" s="27" t="str">
        <f>IF(OR(OR(OR(OR(OR(ISNUMBER(SEARCH(IF(I$1&lt;&gt;"",I$1,"NA"),'MITRE ATT&amp;CK Mappings'!$E407)),ISNUMBER(SEARCH(IF(I$1&lt;&gt;"",I$1,"NA"),'MITRE ATT&amp;CK Mappings'!$F407))),ISNUMBER(SEARCH(IF(I$2&lt;&gt;"",I$2,"NA"),'MITRE ATT&amp;CK Mappings'!$G407))),ISNUMBER(SEARCH(IF(I$2&lt;&gt;"",I$2,"NA"),'MITRE ATT&amp;CK Mappings'!$H407))),ISNUMBER(SEARCH(IF(I$3&lt;&gt;"",I$3,"NA"),'MITRE ATT&amp;CK Mappings'!$I407))),ISNUMBER(SEARCH(IF(I$3&lt;&gt;"",I$3,"NA"),'MITRE ATT&amp;CK Mappings'!$J407))), 'MITRE ATT&amp;CK Mappings'!$B407,"")</f>
        <v/>
      </c>
      <c r="J411" s="27" t="str">
        <f>IF(OR(OR(OR(OR(OR(ISNUMBER(SEARCH(IF(J$1&lt;&gt;"",J$1,"NA"),'MITRE ATT&amp;CK Mappings'!$E407)),ISNUMBER(SEARCH(IF(J$1&lt;&gt;"",J$1,"NA"),'MITRE ATT&amp;CK Mappings'!$F407))),ISNUMBER(SEARCH(IF(J$2&lt;&gt;"",J$2,"NA"),'MITRE ATT&amp;CK Mappings'!$G407))),ISNUMBER(SEARCH(IF(J$2&lt;&gt;"",J$2,"NA"),'MITRE ATT&amp;CK Mappings'!$H407))),ISNUMBER(SEARCH(IF(J$3&lt;&gt;"",J$3,"NA"),'MITRE ATT&amp;CK Mappings'!$I407))),ISNUMBER(SEARCH(IF(J$3&lt;&gt;"",J$3,"NA"),'MITRE ATT&amp;CK Mappings'!$J407))), 'MITRE ATT&amp;CK Mappings'!$B407,"")</f>
        <v/>
      </c>
      <c r="K411" s="27" t="str">
        <f>IF(OR(OR(OR(OR(OR(ISNUMBER(SEARCH(IF(K$1&lt;&gt;"",K$1,"NA"),'MITRE ATT&amp;CK Mappings'!$E407)),ISNUMBER(SEARCH(IF(K$1&lt;&gt;"",K$1,"NA"),'MITRE ATT&amp;CK Mappings'!$F407))),ISNUMBER(SEARCH(IF(K$2&lt;&gt;"",K$2,"NA"),'MITRE ATT&amp;CK Mappings'!$G407))),ISNUMBER(SEARCH(IF(K$2&lt;&gt;"",K$2,"NA"),'MITRE ATT&amp;CK Mappings'!$H407))),ISNUMBER(SEARCH(IF(K$3&lt;&gt;"",K$3,"NA"),'MITRE ATT&amp;CK Mappings'!$I407))),ISNUMBER(SEARCH(IF(K$3&lt;&gt;"",K$3,"NA"),'MITRE ATT&amp;CK Mappings'!$J407))), 'MITRE ATT&amp;CK Mappings'!$B407,"")</f>
        <v/>
      </c>
      <c r="L411" s="27" t="str">
        <f>IF('MITRE ATT&amp;CK Mappings'!D407 &lt;&gt;"",'MITRE ATT&amp;CK Mappings'!D407,"" )</f>
        <v/>
      </c>
    </row>
    <row r="412" spans="1:12" x14ac:dyDescent="0.25">
      <c r="A412" s="26" t="str">
        <f>IF(COUNTIF(B412:K412,"="&amp;'MITRE ATT&amp;CK Mappings'!B408)&gt;0,'MITRE ATT&amp;CK Mappings'!B408,"")</f>
        <v/>
      </c>
      <c r="B412" s="26" t="str">
        <f>IF(OR(OR(OR(OR(OR(ISNUMBER(SEARCH(IF(B$1&lt;&gt;"",B$1,"NA"),'MITRE ATT&amp;CK Mappings'!$E408)),ISNUMBER(SEARCH(IF(B$1&lt;&gt;"",B$1,"NA"),'MITRE ATT&amp;CK Mappings'!$F408))),ISNUMBER(SEARCH(IF(B$2&lt;&gt;"",B$2,"NA"),'MITRE ATT&amp;CK Mappings'!$G408))),ISNUMBER(SEARCH(IF(B$2&lt;&gt;"",B$2,"NA"),'MITRE ATT&amp;CK Mappings'!$H408))),ISNUMBER(SEARCH(IF(B$3&lt;&gt;"",B$3,"NA"),'MITRE ATT&amp;CK Mappings'!$I408))),ISNUMBER(SEARCH(IF(B$3&lt;&gt;"",B$3,"NA"),'MITRE ATT&amp;CK Mappings'!$J408))), 'MITRE ATT&amp;CK Mappings'!$B408,"")</f>
        <v/>
      </c>
      <c r="C412" s="26" t="str">
        <f>IF(OR(OR(OR(OR(OR(ISNUMBER(SEARCH(IF(C$1&lt;&gt;"",C$1,"NA"),'MITRE ATT&amp;CK Mappings'!$E408)),ISNUMBER(SEARCH(IF(C$1&lt;&gt;"",C$1,"NA"),'MITRE ATT&amp;CK Mappings'!$F408))),ISNUMBER(SEARCH(IF(C$2&lt;&gt;"",C$2,"NA"),'MITRE ATT&amp;CK Mappings'!$G408))),ISNUMBER(SEARCH(IF(C$2&lt;&gt;"",C$2,"NA"),'MITRE ATT&amp;CK Mappings'!$H408))),ISNUMBER(SEARCH(IF(C$3&lt;&gt;"",C$3,"NA"),'MITRE ATT&amp;CK Mappings'!$I408))),ISNUMBER(SEARCH(IF(C$3&lt;&gt;"",C$3,"NA"),'MITRE ATT&amp;CK Mappings'!$J408))), 'MITRE ATT&amp;CK Mappings'!$B408,"")</f>
        <v/>
      </c>
      <c r="D412" s="26" t="str">
        <f>IF(OR(OR(OR(OR(OR(ISNUMBER(SEARCH(IF(D$1&lt;&gt;"",D$1,"NA"),'MITRE ATT&amp;CK Mappings'!$E408)),ISNUMBER(SEARCH(IF(D$1&lt;&gt;"",D$1,"NA"),'MITRE ATT&amp;CK Mappings'!$F408))),ISNUMBER(SEARCH(IF(D$2&lt;&gt;"",D$2,"NA"),'MITRE ATT&amp;CK Mappings'!$G408))),ISNUMBER(SEARCH(IF(D$2&lt;&gt;"",D$2,"NA"),'MITRE ATT&amp;CK Mappings'!$H408))),ISNUMBER(SEARCH(IF(D$3&lt;&gt;"",D$3,"NA"),'MITRE ATT&amp;CK Mappings'!$I408))),ISNUMBER(SEARCH(IF(D$3&lt;&gt;"",D$3,"NA"),'MITRE ATT&amp;CK Mappings'!$J408))), 'MITRE ATT&amp;CK Mappings'!$B408,"")</f>
        <v/>
      </c>
      <c r="E412" s="26" t="str">
        <f>IF(OR(OR(OR(OR(OR(ISNUMBER(SEARCH(IF(E$1&lt;&gt;"",E$1,"NA"),'MITRE ATT&amp;CK Mappings'!$E408)),ISNUMBER(SEARCH(IF(E$1&lt;&gt;"",E$1,"NA"),'MITRE ATT&amp;CK Mappings'!$F408))),ISNUMBER(SEARCH(IF(E$2&lt;&gt;"",E$2,"NA"),'MITRE ATT&amp;CK Mappings'!$G408))),ISNUMBER(SEARCH(IF(E$2&lt;&gt;"",E$2,"NA"),'MITRE ATT&amp;CK Mappings'!$H408))),ISNUMBER(SEARCH(IF(E$3&lt;&gt;"",E$3,"NA"),'MITRE ATT&amp;CK Mappings'!$I408))),ISNUMBER(SEARCH(IF(E$3&lt;&gt;"",E$3,"NA"),'MITRE ATT&amp;CK Mappings'!$J408))), 'MITRE ATT&amp;CK Mappings'!$B408,"")</f>
        <v/>
      </c>
      <c r="F412" s="26" t="str">
        <f>IF(OR(OR(OR(OR(OR(ISNUMBER(SEARCH(IF(F$1&lt;&gt;"",F$1,"NA"),'MITRE ATT&amp;CK Mappings'!$E408)),ISNUMBER(SEARCH(IF(F$1&lt;&gt;"",F$1,"NA"),'MITRE ATT&amp;CK Mappings'!$F408))),ISNUMBER(SEARCH(IF(F$2&lt;&gt;"",F$2,"NA"),'MITRE ATT&amp;CK Mappings'!$G408))),ISNUMBER(SEARCH(IF(F$2&lt;&gt;"",F$2,"NA"),'MITRE ATT&amp;CK Mappings'!$H408))),ISNUMBER(SEARCH(IF(F$3&lt;&gt;"",F$3,"NA"),'MITRE ATT&amp;CK Mappings'!$I408))),ISNUMBER(SEARCH(IF(F$3&lt;&gt;"",F$3,"NA"),'MITRE ATT&amp;CK Mappings'!$J408))), 'MITRE ATT&amp;CK Mappings'!$B408,"")</f>
        <v/>
      </c>
      <c r="G412" s="26" t="str">
        <f>IF(OR(OR(OR(OR(OR(ISNUMBER(SEARCH(IF(G$1&lt;&gt;"",G$1,"NA"),'MITRE ATT&amp;CK Mappings'!$E408)),ISNUMBER(SEARCH(IF(G$1&lt;&gt;"",G$1,"NA"),'MITRE ATT&amp;CK Mappings'!$F408))),ISNUMBER(SEARCH(IF(G$2&lt;&gt;"",G$2,"NA"),'MITRE ATT&amp;CK Mappings'!$G408))),ISNUMBER(SEARCH(IF(G$2&lt;&gt;"",G$2,"NA"),'MITRE ATT&amp;CK Mappings'!$H408))),ISNUMBER(SEARCH(IF(G$3&lt;&gt;"",G$3,"NA"),'MITRE ATT&amp;CK Mappings'!$I408))),ISNUMBER(SEARCH(IF(G$3&lt;&gt;"",G$3,"NA"),'MITRE ATT&amp;CK Mappings'!$J408))), 'MITRE ATT&amp;CK Mappings'!$B408,"")</f>
        <v/>
      </c>
      <c r="H412" s="26" t="str">
        <f>IF(OR(OR(OR(OR(OR(ISNUMBER(SEARCH(IF(H$1&lt;&gt;"",H$1,"NA"),'MITRE ATT&amp;CK Mappings'!$E408)),ISNUMBER(SEARCH(IF(H$1&lt;&gt;"",H$1,"NA"),'MITRE ATT&amp;CK Mappings'!$F408))),ISNUMBER(SEARCH(IF(H$2&lt;&gt;"",H$2,"NA"),'MITRE ATT&amp;CK Mappings'!$G408))),ISNUMBER(SEARCH(IF(H$2&lt;&gt;"",H$2,"NA"),'MITRE ATT&amp;CK Mappings'!$H408))),ISNUMBER(SEARCH(IF(H$3&lt;&gt;"",H$3,"NA"),'MITRE ATT&amp;CK Mappings'!$I408))),ISNUMBER(SEARCH(IF(H$3&lt;&gt;"",H$3,"NA"),'MITRE ATT&amp;CK Mappings'!$J408))), 'MITRE ATT&amp;CK Mappings'!$B408,"")</f>
        <v/>
      </c>
      <c r="I412" s="26" t="str">
        <f>IF(OR(OR(OR(OR(OR(ISNUMBER(SEARCH(IF(I$1&lt;&gt;"",I$1,"NA"),'MITRE ATT&amp;CK Mappings'!$E408)),ISNUMBER(SEARCH(IF(I$1&lt;&gt;"",I$1,"NA"),'MITRE ATT&amp;CK Mappings'!$F408))),ISNUMBER(SEARCH(IF(I$2&lt;&gt;"",I$2,"NA"),'MITRE ATT&amp;CK Mappings'!$G408))),ISNUMBER(SEARCH(IF(I$2&lt;&gt;"",I$2,"NA"),'MITRE ATT&amp;CK Mappings'!$H408))),ISNUMBER(SEARCH(IF(I$3&lt;&gt;"",I$3,"NA"),'MITRE ATT&amp;CK Mappings'!$I408))),ISNUMBER(SEARCH(IF(I$3&lt;&gt;"",I$3,"NA"),'MITRE ATT&amp;CK Mappings'!$J408))), 'MITRE ATT&amp;CK Mappings'!$B408,"")</f>
        <v/>
      </c>
      <c r="J412" s="26" t="str">
        <f>IF(OR(OR(OR(OR(OR(ISNUMBER(SEARCH(IF(J$1&lt;&gt;"",J$1,"NA"),'MITRE ATT&amp;CK Mappings'!$E408)),ISNUMBER(SEARCH(IF(J$1&lt;&gt;"",J$1,"NA"),'MITRE ATT&amp;CK Mappings'!$F408))),ISNUMBER(SEARCH(IF(J$2&lt;&gt;"",J$2,"NA"),'MITRE ATT&amp;CK Mappings'!$G408))),ISNUMBER(SEARCH(IF(J$2&lt;&gt;"",J$2,"NA"),'MITRE ATT&amp;CK Mappings'!$H408))),ISNUMBER(SEARCH(IF(J$3&lt;&gt;"",J$3,"NA"),'MITRE ATT&amp;CK Mappings'!$I408))),ISNUMBER(SEARCH(IF(J$3&lt;&gt;"",J$3,"NA"),'MITRE ATT&amp;CK Mappings'!$J408))), 'MITRE ATT&amp;CK Mappings'!$B408,"")</f>
        <v/>
      </c>
      <c r="K412" s="26" t="str">
        <f>IF(OR(OR(OR(OR(OR(ISNUMBER(SEARCH(IF(K$1&lt;&gt;"",K$1,"NA"),'MITRE ATT&amp;CK Mappings'!$E408)),ISNUMBER(SEARCH(IF(K$1&lt;&gt;"",K$1,"NA"),'MITRE ATT&amp;CK Mappings'!$F408))),ISNUMBER(SEARCH(IF(K$2&lt;&gt;"",K$2,"NA"),'MITRE ATT&amp;CK Mappings'!$G408))),ISNUMBER(SEARCH(IF(K$2&lt;&gt;"",K$2,"NA"),'MITRE ATT&amp;CK Mappings'!$H408))),ISNUMBER(SEARCH(IF(K$3&lt;&gt;"",K$3,"NA"),'MITRE ATT&amp;CK Mappings'!$I408))),ISNUMBER(SEARCH(IF(K$3&lt;&gt;"",K$3,"NA"),'MITRE ATT&amp;CK Mappings'!$J408))), 'MITRE ATT&amp;CK Mappings'!$B408,"")</f>
        <v/>
      </c>
      <c r="L412" s="26" t="str">
        <f>IF('MITRE ATT&amp;CK Mappings'!D408 &lt;&gt;"",'MITRE ATT&amp;CK Mappings'!D408,"" )</f>
        <v/>
      </c>
    </row>
    <row r="413" spans="1:12" x14ac:dyDescent="0.25">
      <c r="A413" s="27" t="str">
        <f>IF(COUNTIF(B413:K413,"="&amp;'MITRE ATT&amp;CK Mappings'!B409)&gt;0,'MITRE ATT&amp;CK Mappings'!B409,"")</f>
        <v/>
      </c>
      <c r="B413" s="27" t="str">
        <f>IF(OR(OR(OR(OR(OR(ISNUMBER(SEARCH(IF(B$1&lt;&gt;"",B$1,"NA"),'MITRE ATT&amp;CK Mappings'!$E409)),ISNUMBER(SEARCH(IF(B$1&lt;&gt;"",B$1,"NA"),'MITRE ATT&amp;CK Mappings'!$F409))),ISNUMBER(SEARCH(IF(B$2&lt;&gt;"",B$2,"NA"),'MITRE ATT&amp;CK Mappings'!$G409))),ISNUMBER(SEARCH(IF(B$2&lt;&gt;"",B$2,"NA"),'MITRE ATT&amp;CK Mappings'!$H409))),ISNUMBER(SEARCH(IF(B$3&lt;&gt;"",B$3,"NA"),'MITRE ATT&amp;CK Mappings'!$I409))),ISNUMBER(SEARCH(IF(B$3&lt;&gt;"",B$3,"NA"),'MITRE ATT&amp;CK Mappings'!$J409))), 'MITRE ATT&amp;CK Mappings'!$B409,"")</f>
        <v/>
      </c>
      <c r="C413" s="27" t="str">
        <f>IF(OR(OR(OR(OR(OR(ISNUMBER(SEARCH(IF(C$1&lt;&gt;"",C$1,"NA"),'MITRE ATT&amp;CK Mappings'!$E409)),ISNUMBER(SEARCH(IF(C$1&lt;&gt;"",C$1,"NA"),'MITRE ATT&amp;CK Mappings'!$F409))),ISNUMBER(SEARCH(IF(C$2&lt;&gt;"",C$2,"NA"),'MITRE ATT&amp;CK Mappings'!$G409))),ISNUMBER(SEARCH(IF(C$2&lt;&gt;"",C$2,"NA"),'MITRE ATT&amp;CK Mappings'!$H409))),ISNUMBER(SEARCH(IF(C$3&lt;&gt;"",C$3,"NA"),'MITRE ATT&amp;CK Mappings'!$I409))),ISNUMBER(SEARCH(IF(C$3&lt;&gt;"",C$3,"NA"),'MITRE ATT&amp;CK Mappings'!$J409))), 'MITRE ATT&amp;CK Mappings'!$B409,"")</f>
        <v/>
      </c>
      <c r="D413" s="27" t="str">
        <f>IF(OR(OR(OR(OR(OR(ISNUMBER(SEARCH(IF(D$1&lt;&gt;"",D$1,"NA"),'MITRE ATT&amp;CK Mappings'!$E409)),ISNUMBER(SEARCH(IF(D$1&lt;&gt;"",D$1,"NA"),'MITRE ATT&amp;CK Mappings'!$F409))),ISNUMBER(SEARCH(IF(D$2&lt;&gt;"",D$2,"NA"),'MITRE ATT&amp;CK Mappings'!$G409))),ISNUMBER(SEARCH(IF(D$2&lt;&gt;"",D$2,"NA"),'MITRE ATT&amp;CK Mappings'!$H409))),ISNUMBER(SEARCH(IF(D$3&lt;&gt;"",D$3,"NA"),'MITRE ATT&amp;CK Mappings'!$I409))),ISNUMBER(SEARCH(IF(D$3&lt;&gt;"",D$3,"NA"),'MITRE ATT&amp;CK Mappings'!$J409))), 'MITRE ATT&amp;CK Mappings'!$B409,"")</f>
        <v/>
      </c>
      <c r="E413" s="27" t="str">
        <f>IF(OR(OR(OR(OR(OR(ISNUMBER(SEARCH(IF(E$1&lt;&gt;"",E$1,"NA"),'MITRE ATT&amp;CK Mappings'!$E409)),ISNUMBER(SEARCH(IF(E$1&lt;&gt;"",E$1,"NA"),'MITRE ATT&amp;CK Mappings'!$F409))),ISNUMBER(SEARCH(IF(E$2&lt;&gt;"",E$2,"NA"),'MITRE ATT&amp;CK Mappings'!$G409))),ISNUMBER(SEARCH(IF(E$2&lt;&gt;"",E$2,"NA"),'MITRE ATT&amp;CK Mappings'!$H409))),ISNUMBER(SEARCH(IF(E$3&lt;&gt;"",E$3,"NA"),'MITRE ATT&amp;CK Mappings'!$I409))),ISNUMBER(SEARCH(IF(E$3&lt;&gt;"",E$3,"NA"),'MITRE ATT&amp;CK Mappings'!$J409))), 'MITRE ATT&amp;CK Mappings'!$B409,"")</f>
        <v/>
      </c>
      <c r="F413" s="27" t="str">
        <f>IF(OR(OR(OR(OR(OR(ISNUMBER(SEARCH(IF(F$1&lt;&gt;"",F$1,"NA"),'MITRE ATT&amp;CK Mappings'!$E409)),ISNUMBER(SEARCH(IF(F$1&lt;&gt;"",F$1,"NA"),'MITRE ATT&amp;CK Mappings'!$F409))),ISNUMBER(SEARCH(IF(F$2&lt;&gt;"",F$2,"NA"),'MITRE ATT&amp;CK Mappings'!$G409))),ISNUMBER(SEARCH(IF(F$2&lt;&gt;"",F$2,"NA"),'MITRE ATT&amp;CK Mappings'!$H409))),ISNUMBER(SEARCH(IF(F$3&lt;&gt;"",F$3,"NA"),'MITRE ATT&amp;CK Mappings'!$I409))),ISNUMBER(SEARCH(IF(F$3&lt;&gt;"",F$3,"NA"),'MITRE ATT&amp;CK Mappings'!$J409))), 'MITRE ATT&amp;CK Mappings'!$B409,"")</f>
        <v/>
      </c>
      <c r="G413" s="27" t="str">
        <f>IF(OR(OR(OR(OR(OR(ISNUMBER(SEARCH(IF(G$1&lt;&gt;"",G$1,"NA"),'MITRE ATT&amp;CK Mappings'!$E409)),ISNUMBER(SEARCH(IF(G$1&lt;&gt;"",G$1,"NA"),'MITRE ATT&amp;CK Mappings'!$F409))),ISNUMBER(SEARCH(IF(G$2&lt;&gt;"",G$2,"NA"),'MITRE ATT&amp;CK Mappings'!$G409))),ISNUMBER(SEARCH(IF(G$2&lt;&gt;"",G$2,"NA"),'MITRE ATT&amp;CK Mappings'!$H409))),ISNUMBER(SEARCH(IF(G$3&lt;&gt;"",G$3,"NA"),'MITRE ATT&amp;CK Mappings'!$I409))),ISNUMBER(SEARCH(IF(G$3&lt;&gt;"",G$3,"NA"),'MITRE ATT&amp;CK Mappings'!$J409))), 'MITRE ATT&amp;CK Mappings'!$B409,"")</f>
        <v/>
      </c>
      <c r="H413" s="27" t="str">
        <f>IF(OR(OR(OR(OR(OR(ISNUMBER(SEARCH(IF(H$1&lt;&gt;"",H$1,"NA"),'MITRE ATT&amp;CK Mappings'!$E409)),ISNUMBER(SEARCH(IF(H$1&lt;&gt;"",H$1,"NA"),'MITRE ATT&amp;CK Mappings'!$F409))),ISNUMBER(SEARCH(IF(H$2&lt;&gt;"",H$2,"NA"),'MITRE ATT&amp;CK Mappings'!$G409))),ISNUMBER(SEARCH(IF(H$2&lt;&gt;"",H$2,"NA"),'MITRE ATT&amp;CK Mappings'!$H409))),ISNUMBER(SEARCH(IF(H$3&lt;&gt;"",H$3,"NA"),'MITRE ATT&amp;CK Mappings'!$I409))),ISNUMBER(SEARCH(IF(H$3&lt;&gt;"",H$3,"NA"),'MITRE ATT&amp;CK Mappings'!$J409))), 'MITRE ATT&amp;CK Mappings'!$B409,"")</f>
        <v/>
      </c>
      <c r="I413" s="27" t="str">
        <f>IF(OR(OR(OR(OR(OR(ISNUMBER(SEARCH(IF(I$1&lt;&gt;"",I$1,"NA"),'MITRE ATT&amp;CK Mappings'!$E409)),ISNUMBER(SEARCH(IF(I$1&lt;&gt;"",I$1,"NA"),'MITRE ATT&amp;CK Mappings'!$F409))),ISNUMBER(SEARCH(IF(I$2&lt;&gt;"",I$2,"NA"),'MITRE ATT&amp;CK Mappings'!$G409))),ISNUMBER(SEARCH(IF(I$2&lt;&gt;"",I$2,"NA"),'MITRE ATT&amp;CK Mappings'!$H409))),ISNUMBER(SEARCH(IF(I$3&lt;&gt;"",I$3,"NA"),'MITRE ATT&amp;CK Mappings'!$I409))),ISNUMBER(SEARCH(IF(I$3&lt;&gt;"",I$3,"NA"),'MITRE ATT&amp;CK Mappings'!$J409))), 'MITRE ATT&amp;CK Mappings'!$B409,"")</f>
        <v/>
      </c>
      <c r="J413" s="27" t="str">
        <f>IF(OR(OR(OR(OR(OR(ISNUMBER(SEARCH(IF(J$1&lt;&gt;"",J$1,"NA"),'MITRE ATT&amp;CK Mappings'!$E409)),ISNUMBER(SEARCH(IF(J$1&lt;&gt;"",J$1,"NA"),'MITRE ATT&amp;CK Mappings'!$F409))),ISNUMBER(SEARCH(IF(J$2&lt;&gt;"",J$2,"NA"),'MITRE ATT&amp;CK Mappings'!$G409))),ISNUMBER(SEARCH(IF(J$2&lt;&gt;"",J$2,"NA"),'MITRE ATT&amp;CK Mappings'!$H409))),ISNUMBER(SEARCH(IF(J$3&lt;&gt;"",J$3,"NA"),'MITRE ATT&amp;CK Mappings'!$I409))),ISNUMBER(SEARCH(IF(J$3&lt;&gt;"",J$3,"NA"),'MITRE ATT&amp;CK Mappings'!$J409))), 'MITRE ATT&amp;CK Mappings'!$B409,"")</f>
        <v/>
      </c>
      <c r="K413" s="27" t="str">
        <f>IF(OR(OR(OR(OR(OR(ISNUMBER(SEARCH(IF(K$1&lt;&gt;"",K$1,"NA"),'MITRE ATT&amp;CK Mappings'!$E409)),ISNUMBER(SEARCH(IF(K$1&lt;&gt;"",K$1,"NA"),'MITRE ATT&amp;CK Mappings'!$F409))),ISNUMBER(SEARCH(IF(K$2&lt;&gt;"",K$2,"NA"),'MITRE ATT&amp;CK Mappings'!$G409))),ISNUMBER(SEARCH(IF(K$2&lt;&gt;"",K$2,"NA"),'MITRE ATT&amp;CK Mappings'!$H409))),ISNUMBER(SEARCH(IF(K$3&lt;&gt;"",K$3,"NA"),'MITRE ATT&amp;CK Mappings'!$I409))),ISNUMBER(SEARCH(IF(K$3&lt;&gt;"",K$3,"NA"),'MITRE ATT&amp;CK Mappings'!$J409))), 'MITRE ATT&amp;CK Mappings'!$B409,"")</f>
        <v/>
      </c>
      <c r="L413" s="27" t="str">
        <f>IF('MITRE ATT&amp;CK Mappings'!D409 &lt;&gt;"",'MITRE ATT&amp;CK Mappings'!D409,"" )</f>
        <v/>
      </c>
    </row>
    <row r="414" spans="1:12" x14ac:dyDescent="0.25">
      <c r="A414" s="26" t="str">
        <f>IF(COUNTIF(B414:K414,"="&amp;'MITRE ATT&amp;CK Mappings'!B410)&gt;0,'MITRE ATT&amp;CK Mappings'!B410,"")</f>
        <v/>
      </c>
      <c r="B414" s="26" t="str">
        <f>IF(OR(OR(OR(OR(OR(ISNUMBER(SEARCH(IF(B$1&lt;&gt;"",B$1,"NA"),'MITRE ATT&amp;CK Mappings'!$E410)),ISNUMBER(SEARCH(IF(B$1&lt;&gt;"",B$1,"NA"),'MITRE ATT&amp;CK Mappings'!$F410))),ISNUMBER(SEARCH(IF(B$2&lt;&gt;"",B$2,"NA"),'MITRE ATT&amp;CK Mappings'!$G410))),ISNUMBER(SEARCH(IF(B$2&lt;&gt;"",B$2,"NA"),'MITRE ATT&amp;CK Mappings'!$H410))),ISNUMBER(SEARCH(IF(B$3&lt;&gt;"",B$3,"NA"),'MITRE ATT&amp;CK Mappings'!$I410))),ISNUMBER(SEARCH(IF(B$3&lt;&gt;"",B$3,"NA"),'MITRE ATT&amp;CK Mappings'!$J410))), 'MITRE ATT&amp;CK Mappings'!$B410,"")</f>
        <v/>
      </c>
      <c r="C414" s="26" t="str">
        <f>IF(OR(OR(OR(OR(OR(ISNUMBER(SEARCH(IF(C$1&lt;&gt;"",C$1,"NA"),'MITRE ATT&amp;CK Mappings'!$E410)),ISNUMBER(SEARCH(IF(C$1&lt;&gt;"",C$1,"NA"),'MITRE ATT&amp;CK Mappings'!$F410))),ISNUMBER(SEARCH(IF(C$2&lt;&gt;"",C$2,"NA"),'MITRE ATT&amp;CK Mappings'!$G410))),ISNUMBER(SEARCH(IF(C$2&lt;&gt;"",C$2,"NA"),'MITRE ATT&amp;CK Mappings'!$H410))),ISNUMBER(SEARCH(IF(C$3&lt;&gt;"",C$3,"NA"),'MITRE ATT&amp;CK Mappings'!$I410))),ISNUMBER(SEARCH(IF(C$3&lt;&gt;"",C$3,"NA"),'MITRE ATT&amp;CK Mappings'!$J410))), 'MITRE ATT&amp;CK Mappings'!$B410,"")</f>
        <v/>
      </c>
      <c r="D414" s="26" t="str">
        <f>IF(OR(OR(OR(OR(OR(ISNUMBER(SEARCH(IF(D$1&lt;&gt;"",D$1,"NA"),'MITRE ATT&amp;CK Mappings'!$E410)),ISNUMBER(SEARCH(IF(D$1&lt;&gt;"",D$1,"NA"),'MITRE ATT&amp;CK Mappings'!$F410))),ISNUMBER(SEARCH(IF(D$2&lt;&gt;"",D$2,"NA"),'MITRE ATT&amp;CK Mappings'!$G410))),ISNUMBER(SEARCH(IF(D$2&lt;&gt;"",D$2,"NA"),'MITRE ATT&amp;CK Mappings'!$H410))),ISNUMBER(SEARCH(IF(D$3&lt;&gt;"",D$3,"NA"),'MITRE ATT&amp;CK Mappings'!$I410))),ISNUMBER(SEARCH(IF(D$3&lt;&gt;"",D$3,"NA"),'MITRE ATT&amp;CK Mappings'!$J410))), 'MITRE ATT&amp;CK Mappings'!$B410,"")</f>
        <v/>
      </c>
      <c r="E414" s="26" t="str">
        <f>IF(OR(OR(OR(OR(OR(ISNUMBER(SEARCH(IF(E$1&lt;&gt;"",E$1,"NA"),'MITRE ATT&amp;CK Mappings'!$E410)),ISNUMBER(SEARCH(IF(E$1&lt;&gt;"",E$1,"NA"),'MITRE ATT&amp;CK Mappings'!$F410))),ISNUMBER(SEARCH(IF(E$2&lt;&gt;"",E$2,"NA"),'MITRE ATT&amp;CK Mappings'!$G410))),ISNUMBER(SEARCH(IF(E$2&lt;&gt;"",E$2,"NA"),'MITRE ATT&amp;CK Mappings'!$H410))),ISNUMBER(SEARCH(IF(E$3&lt;&gt;"",E$3,"NA"),'MITRE ATT&amp;CK Mappings'!$I410))),ISNUMBER(SEARCH(IF(E$3&lt;&gt;"",E$3,"NA"),'MITRE ATT&amp;CK Mappings'!$J410))), 'MITRE ATT&amp;CK Mappings'!$B410,"")</f>
        <v/>
      </c>
      <c r="F414" s="26" t="str">
        <f>IF(OR(OR(OR(OR(OR(ISNUMBER(SEARCH(IF(F$1&lt;&gt;"",F$1,"NA"),'MITRE ATT&amp;CK Mappings'!$E410)),ISNUMBER(SEARCH(IF(F$1&lt;&gt;"",F$1,"NA"),'MITRE ATT&amp;CK Mappings'!$F410))),ISNUMBER(SEARCH(IF(F$2&lt;&gt;"",F$2,"NA"),'MITRE ATT&amp;CK Mappings'!$G410))),ISNUMBER(SEARCH(IF(F$2&lt;&gt;"",F$2,"NA"),'MITRE ATT&amp;CK Mappings'!$H410))),ISNUMBER(SEARCH(IF(F$3&lt;&gt;"",F$3,"NA"),'MITRE ATT&amp;CK Mappings'!$I410))),ISNUMBER(SEARCH(IF(F$3&lt;&gt;"",F$3,"NA"),'MITRE ATT&amp;CK Mappings'!$J410))), 'MITRE ATT&amp;CK Mappings'!$B410,"")</f>
        <v/>
      </c>
      <c r="G414" s="26" t="str">
        <f>IF(OR(OR(OR(OR(OR(ISNUMBER(SEARCH(IF(G$1&lt;&gt;"",G$1,"NA"),'MITRE ATT&amp;CK Mappings'!$E410)),ISNUMBER(SEARCH(IF(G$1&lt;&gt;"",G$1,"NA"),'MITRE ATT&amp;CK Mappings'!$F410))),ISNUMBER(SEARCH(IF(G$2&lt;&gt;"",G$2,"NA"),'MITRE ATT&amp;CK Mappings'!$G410))),ISNUMBER(SEARCH(IF(G$2&lt;&gt;"",G$2,"NA"),'MITRE ATT&amp;CK Mappings'!$H410))),ISNUMBER(SEARCH(IF(G$3&lt;&gt;"",G$3,"NA"),'MITRE ATT&amp;CK Mappings'!$I410))),ISNUMBER(SEARCH(IF(G$3&lt;&gt;"",G$3,"NA"),'MITRE ATT&amp;CK Mappings'!$J410))), 'MITRE ATT&amp;CK Mappings'!$B410,"")</f>
        <v/>
      </c>
      <c r="H414" s="26" t="str">
        <f>IF(OR(OR(OR(OR(OR(ISNUMBER(SEARCH(IF(H$1&lt;&gt;"",H$1,"NA"),'MITRE ATT&amp;CK Mappings'!$E410)),ISNUMBER(SEARCH(IF(H$1&lt;&gt;"",H$1,"NA"),'MITRE ATT&amp;CK Mappings'!$F410))),ISNUMBER(SEARCH(IF(H$2&lt;&gt;"",H$2,"NA"),'MITRE ATT&amp;CK Mappings'!$G410))),ISNUMBER(SEARCH(IF(H$2&lt;&gt;"",H$2,"NA"),'MITRE ATT&amp;CK Mappings'!$H410))),ISNUMBER(SEARCH(IF(H$3&lt;&gt;"",H$3,"NA"),'MITRE ATT&amp;CK Mappings'!$I410))),ISNUMBER(SEARCH(IF(H$3&lt;&gt;"",H$3,"NA"),'MITRE ATT&amp;CK Mappings'!$J410))), 'MITRE ATT&amp;CK Mappings'!$B410,"")</f>
        <v/>
      </c>
      <c r="I414" s="26" t="str">
        <f>IF(OR(OR(OR(OR(OR(ISNUMBER(SEARCH(IF(I$1&lt;&gt;"",I$1,"NA"),'MITRE ATT&amp;CK Mappings'!$E410)),ISNUMBER(SEARCH(IF(I$1&lt;&gt;"",I$1,"NA"),'MITRE ATT&amp;CK Mappings'!$F410))),ISNUMBER(SEARCH(IF(I$2&lt;&gt;"",I$2,"NA"),'MITRE ATT&amp;CK Mappings'!$G410))),ISNUMBER(SEARCH(IF(I$2&lt;&gt;"",I$2,"NA"),'MITRE ATT&amp;CK Mappings'!$H410))),ISNUMBER(SEARCH(IF(I$3&lt;&gt;"",I$3,"NA"),'MITRE ATT&amp;CK Mappings'!$I410))),ISNUMBER(SEARCH(IF(I$3&lt;&gt;"",I$3,"NA"),'MITRE ATT&amp;CK Mappings'!$J410))), 'MITRE ATT&amp;CK Mappings'!$B410,"")</f>
        <v/>
      </c>
      <c r="J414" s="26" t="str">
        <f>IF(OR(OR(OR(OR(OR(ISNUMBER(SEARCH(IF(J$1&lt;&gt;"",J$1,"NA"),'MITRE ATT&amp;CK Mappings'!$E410)),ISNUMBER(SEARCH(IF(J$1&lt;&gt;"",J$1,"NA"),'MITRE ATT&amp;CK Mappings'!$F410))),ISNUMBER(SEARCH(IF(J$2&lt;&gt;"",J$2,"NA"),'MITRE ATT&amp;CK Mappings'!$G410))),ISNUMBER(SEARCH(IF(J$2&lt;&gt;"",J$2,"NA"),'MITRE ATT&amp;CK Mappings'!$H410))),ISNUMBER(SEARCH(IF(J$3&lt;&gt;"",J$3,"NA"),'MITRE ATT&amp;CK Mappings'!$I410))),ISNUMBER(SEARCH(IF(J$3&lt;&gt;"",J$3,"NA"),'MITRE ATT&amp;CK Mappings'!$J410))), 'MITRE ATT&amp;CK Mappings'!$B410,"")</f>
        <v/>
      </c>
      <c r="K414" s="26" t="str">
        <f>IF(OR(OR(OR(OR(OR(ISNUMBER(SEARCH(IF(K$1&lt;&gt;"",K$1,"NA"),'MITRE ATT&amp;CK Mappings'!$E410)),ISNUMBER(SEARCH(IF(K$1&lt;&gt;"",K$1,"NA"),'MITRE ATT&amp;CK Mappings'!$F410))),ISNUMBER(SEARCH(IF(K$2&lt;&gt;"",K$2,"NA"),'MITRE ATT&amp;CK Mappings'!$G410))),ISNUMBER(SEARCH(IF(K$2&lt;&gt;"",K$2,"NA"),'MITRE ATT&amp;CK Mappings'!$H410))),ISNUMBER(SEARCH(IF(K$3&lt;&gt;"",K$3,"NA"),'MITRE ATT&amp;CK Mappings'!$I410))),ISNUMBER(SEARCH(IF(K$3&lt;&gt;"",K$3,"NA"),'MITRE ATT&amp;CK Mappings'!$J410))), 'MITRE ATT&amp;CK Mappings'!$B410,"")</f>
        <v/>
      </c>
      <c r="L414" s="26" t="str">
        <f>IF('MITRE ATT&amp;CK Mappings'!D410 &lt;&gt;"",'MITRE ATT&amp;CK Mappings'!D410,"" )</f>
        <v/>
      </c>
    </row>
    <row r="415" spans="1:12" x14ac:dyDescent="0.25">
      <c r="A415" s="27" t="str">
        <f>IF(COUNTIF(B415:K415,"="&amp;'MITRE ATT&amp;CK Mappings'!B411)&gt;0,'MITRE ATT&amp;CK Mappings'!B411,"")</f>
        <v/>
      </c>
      <c r="B415" s="27" t="str">
        <f>IF(OR(OR(OR(OR(OR(ISNUMBER(SEARCH(IF(B$1&lt;&gt;"",B$1,"NA"),'MITRE ATT&amp;CK Mappings'!$E411)),ISNUMBER(SEARCH(IF(B$1&lt;&gt;"",B$1,"NA"),'MITRE ATT&amp;CK Mappings'!$F411))),ISNUMBER(SEARCH(IF(B$2&lt;&gt;"",B$2,"NA"),'MITRE ATT&amp;CK Mappings'!$G411))),ISNUMBER(SEARCH(IF(B$2&lt;&gt;"",B$2,"NA"),'MITRE ATT&amp;CK Mappings'!$H411))),ISNUMBER(SEARCH(IF(B$3&lt;&gt;"",B$3,"NA"),'MITRE ATT&amp;CK Mappings'!$I411))),ISNUMBER(SEARCH(IF(B$3&lt;&gt;"",B$3,"NA"),'MITRE ATT&amp;CK Mappings'!$J411))), 'MITRE ATT&amp;CK Mappings'!$B411,"")</f>
        <v/>
      </c>
      <c r="C415" s="27" t="str">
        <f>IF(OR(OR(OR(OR(OR(ISNUMBER(SEARCH(IF(C$1&lt;&gt;"",C$1,"NA"),'MITRE ATT&amp;CK Mappings'!$E411)),ISNUMBER(SEARCH(IF(C$1&lt;&gt;"",C$1,"NA"),'MITRE ATT&amp;CK Mappings'!$F411))),ISNUMBER(SEARCH(IF(C$2&lt;&gt;"",C$2,"NA"),'MITRE ATT&amp;CK Mappings'!$G411))),ISNUMBER(SEARCH(IF(C$2&lt;&gt;"",C$2,"NA"),'MITRE ATT&amp;CK Mappings'!$H411))),ISNUMBER(SEARCH(IF(C$3&lt;&gt;"",C$3,"NA"),'MITRE ATT&amp;CK Mappings'!$I411))),ISNUMBER(SEARCH(IF(C$3&lt;&gt;"",C$3,"NA"),'MITRE ATT&amp;CK Mappings'!$J411))), 'MITRE ATT&amp;CK Mappings'!$B411,"")</f>
        <v/>
      </c>
      <c r="D415" s="27" t="str">
        <f>IF(OR(OR(OR(OR(OR(ISNUMBER(SEARCH(IF(D$1&lt;&gt;"",D$1,"NA"),'MITRE ATT&amp;CK Mappings'!$E411)),ISNUMBER(SEARCH(IF(D$1&lt;&gt;"",D$1,"NA"),'MITRE ATT&amp;CK Mappings'!$F411))),ISNUMBER(SEARCH(IF(D$2&lt;&gt;"",D$2,"NA"),'MITRE ATT&amp;CK Mappings'!$G411))),ISNUMBER(SEARCH(IF(D$2&lt;&gt;"",D$2,"NA"),'MITRE ATT&amp;CK Mappings'!$H411))),ISNUMBER(SEARCH(IF(D$3&lt;&gt;"",D$3,"NA"),'MITRE ATT&amp;CK Mappings'!$I411))),ISNUMBER(SEARCH(IF(D$3&lt;&gt;"",D$3,"NA"),'MITRE ATT&amp;CK Mappings'!$J411))), 'MITRE ATT&amp;CK Mappings'!$B411,"")</f>
        <v/>
      </c>
      <c r="E415" s="27" t="str">
        <f>IF(OR(OR(OR(OR(OR(ISNUMBER(SEARCH(IF(E$1&lt;&gt;"",E$1,"NA"),'MITRE ATT&amp;CK Mappings'!$E411)),ISNUMBER(SEARCH(IF(E$1&lt;&gt;"",E$1,"NA"),'MITRE ATT&amp;CK Mappings'!$F411))),ISNUMBER(SEARCH(IF(E$2&lt;&gt;"",E$2,"NA"),'MITRE ATT&amp;CK Mappings'!$G411))),ISNUMBER(SEARCH(IF(E$2&lt;&gt;"",E$2,"NA"),'MITRE ATT&amp;CK Mappings'!$H411))),ISNUMBER(SEARCH(IF(E$3&lt;&gt;"",E$3,"NA"),'MITRE ATT&amp;CK Mappings'!$I411))),ISNUMBER(SEARCH(IF(E$3&lt;&gt;"",E$3,"NA"),'MITRE ATT&amp;CK Mappings'!$J411))), 'MITRE ATT&amp;CK Mappings'!$B411,"")</f>
        <v/>
      </c>
      <c r="F415" s="27" t="str">
        <f>IF(OR(OR(OR(OR(OR(ISNUMBER(SEARCH(IF(F$1&lt;&gt;"",F$1,"NA"),'MITRE ATT&amp;CK Mappings'!$E411)),ISNUMBER(SEARCH(IF(F$1&lt;&gt;"",F$1,"NA"),'MITRE ATT&amp;CK Mappings'!$F411))),ISNUMBER(SEARCH(IF(F$2&lt;&gt;"",F$2,"NA"),'MITRE ATT&amp;CK Mappings'!$G411))),ISNUMBER(SEARCH(IF(F$2&lt;&gt;"",F$2,"NA"),'MITRE ATT&amp;CK Mappings'!$H411))),ISNUMBER(SEARCH(IF(F$3&lt;&gt;"",F$3,"NA"),'MITRE ATT&amp;CK Mappings'!$I411))),ISNUMBER(SEARCH(IF(F$3&lt;&gt;"",F$3,"NA"),'MITRE ATT&amp;CK Mappings'!$J411))), 'MITRE ATT&amp;CK Mappings'!$B411,"")</f>
        <v/>
      </c>
      <c r="G415" s="27" t="str">
        <f>IF(OR(OR(OR(OR(OR(ISNUMBER(SEARCH(IF(G$1&lt;&gt;"",G$1,"NA"),'MITRE ATT&amp;CK Mappings'!$E411)),ISNUMBER(SEARCH(IF(G$1&lt;&gt;"",G$1,"NA"),'MITRE ATT&amp;CK Mappings'!$F411))),ISNUMBER(SEARCH(IF(G$2&lt;&gt;"",G$2,"NA"),'MITRE ATT&amp;CK Mappings'!$G411))),ISNUMBER(SEARCH(IF(G$2&lt;&gt;"",G$2,"NA"),'MITRE ATT&amp;CK Mappings'!$H411))),ISNUMBER(SEARCH(IF(G$3&lt;&gt;"",G$3,"NA"),'MITRE ATT&amp;CK Mappings'!$I411))),ISNUMBER(SEARCH(IF(G$3&lt;&gt;"",G$3,"NA"),'MITRE ATT&amp;CK Mappings'!$J411))), 'MITRE ATT&amp;CK Mappings'!$B411,"")</f>
        <v/>
      </c>
      <c r="H415" s="27" t="str">
        <f>IF(OR(OR(OR(OR(OR(ISNUMBER(SEARCH(IF(H$1&lt;&gt;"",H$1,"NA"),'MITRE ATT&amp;CK Mappings'!$E411)),ISNUMBER(SEARCH(IF(H$1&lt;&gt;"",H$1,"NA"),'MITRE ATT&amp;CK Mappings'!$F411))),ISNUMBER(SEARCH(IF(H$2&lt;&gt;"",H$2,"NA"),'MITRE ATT&amp;CK Mappings'!$G411))),ISNUMBER(SEARCH(IF(H$2&lt;&gt;"",H$2,"NA"),'MITRE ATT&amp;CK Mappings'!$H411))),ISNUMBER(SEARCH(IF(H$3&lt;&gt;"",H$3,"NA"),'MITRE ATT&amp;CK Mappings'!$I411))),ISNUMBER(SEARCH(IF(H$3&lt;&gt;"",H$3,"NA"),'MITRE ATT&amp;CK Mappings'!$J411))), 'MITRE ATT&amp;CK Mappings'!$B411,"")</f>
        <v/>
      </c>
      <c r="I415" s="27" t="str">
        <f>IF(OR(OR(OR(OR(OR(ISNUMBER(SEARCH(IF(I$1&lt;&gt;"",I$1,"NA"),'MITRE ATT&amp;CK Mappings'!$E411)),ISNUMBER(SEARCH(IF(I$1&lt;&gt;"",I$1,"NA"),'MITRE ATT&amp;CK Mappings'!$F411))),ISNUMBER(SEARCH(IF(I$2&lt;&gt;"",I$2,"NA"),'MITRE ATT&amp;CK Mappings'!$G411))),ISNUMBER(SEARCH(IF(I$2&lt;&gt;"",I$2,"NA"),'MITRE ATT&amp;CK Mappings'!$H411))),ISNUMBER(SEARCH(IF(I$3&lt;&gt;"",I$3,"NA"),'MITRE ATT&amp;CK Mappings'!$I411))),ISNUMBER(SEARCH(IF(I$3&lt;&gt;"",I$3,"NA"),'MITRE ATT&amp;CK Mappings'!$J411))), 'MITRE ATT&amp;CK Mappings'!$B411,"")</f>
        <v/>
      </c>
      <c r="J415" s="27" t="str">
        <f>IF(OR(OR(OR(OR(OR(ISNUMBER(SEARCH(IF(J$1&lt;&gt;"",J$1,"NA"),'MITRE ATT&amp;CK Mappings'!$E411)),ISNUMBER(SEARCH(IF(J$1&lt;&gt;"",J$1,"NA"),'MITRE ATT&amp;CK Mappings'!$F411))),ISNUMBER(SEARCH(IF(J$2&lt;&gt;"",J$2,"NA"),'MITRE ATT&amp;CK Mappings'!$G411))),ISNUMBER(SEARCH(IF(J$2&lt;&gt;"",J$2,"NA"),'MITRE ATT&amp;CK Mappings'!$H411))),ISNUMBER(SEARCH(IF(J$3&lt;&gt;"",J$3,"NA"),'MITRE ATT&amp;CK Mappings'!$I411))),ISNUMBER(SEARCH(IF(J$3&lt;&gt;"",J$3,"NA"),'MITRE ATT&amp;CK Mappings'!$J411))), 'MITRE ATT&amp;CK Mappings'!$B411,"")</f>
        <v/>
      </c>
      <c r="K415" s="27" t="str">
        <f>IF(OR(OR(OR(OR(OR(ISNUMBER(SEARCH(IF(K$1&lt;&gt;"",K$1,"NA"),'MITRE ATT&amp;CK Mappings'!$E411)),ISNUMBER(SEARCH(IF(K$1&lt;&gt;"",K$1,"NA"),'MITRE ATT&amp;CK Mappings'!$F411))),ISNUMBER(SEARCH(IF(K$2&lt;&gt;"",K$2,"NA"),'MITRE ATT&amp;CK Mappings'!$G411))),ISNUMBER(SEARCH(IF(K$2&lt;&gt;"",K$2,"NA"),'MITRE ATT&amp;CK Mappings'!$H411))),ISNUMBER(SEARCH(IF(K$3&lt;&gt;"",K$3,"NA"),'MITRE ATT&amp;CK Mappings'!$I411))),ISNUMBER(SEARCH(IF(K$3&lt;&gt;"",K$3,"NA"),'MITRE ATT&amp;CK Mappings'!$J411))), 'MITRE ATT&amp;CK Mappings'!$B411,"")</f>
        <v/>
      </c>
      <c r="L415" s="27" t="str">
        <f>IF('MITRE ATT&amp;CK Mappings'!D411 &lt;&gt;"",'MITRE ATT&amp;CK Mappings'!D411,"" )</f>
        <v/>
      </c>
    </row>
    <row r="416" spans="1:12" x14ac:dyDescent="0.25">
      <c r="A416" s="26" t="str">
        <f>IF(COUNTIF(B416:K416,"="&amp;'MITRE ATT&amp;CK Mappings'!B412)&gt;0,'MITRE ATT&amp;CK Mappings'!B412,"")</f>
        <v/>
      </c>
      <c r="B416" s="26" t="str">
        <f>IF(OR(OR(OR(OR(OR(ISNUMBER(SEARCH(IF(B$1&lt;&gt;"",B$1,"NA"),'MITRE ATT&amp;CK Mappings'!$E412)),ISNUMBER(SEARCH(IF(B$1&lt;&gt;"",B$1,"NA"),'MITRE ATT&amp;CK Mappings'!$F412))),ISNUMBER(SEARCH(IF(B$2&lt;&gt;"",B$2,"NA"),'MITRE ATT&amp;CK Mappings'!$G412))),ISNUMBER(SEARCH(IF(B$2&lt;&gt;"",B$2,"NA"),'MITRE ATT&amp;CK Mappings'!$H412))),ISNUMBER(SEARCH(IF(B$3&lt;&gt;"",B$3,"NA"),'MITRE ATT&amp;CK Mappings'!$I412))),ISNUMBER(SEARCH(IF(B$3&lt;&gt;"",B$3,"NA"),'MITRE ATT&amp;CK Mappings'!$J412))), 'MITRE ATT&amp;CK Mappings'!$B412,"")</f>
        <v/>
      </c>
      <c r="C416" s="26" t="str">
        <f>IF(OR(OR(OR(OR(OR(ISNUMBER(SEARCH(IF(C$1&lt;&gt;"",C$1,"NA"),'MITRE ATT&amp;CK Mappings'!$E412)),ISNUMBER(SEARCH(IF(C$1&lt;&gt;"",C$1,"NA"),'MITRE ATT&amp;CK Mappings'!$F412))),ISNUMBER(SEARCH(IF(C$2&lt;&gt;"",C$2,"NA"),'MITRE ATT&amp;CK Mappings'!$G412))),ISNUMBER(SEARCH(IF(C$2&lt;&gt;"",C$2,"NA"),'MITRE ATT&amp;CK Mappings'!$H412))),ISNUMBER(SEARCH(IF(C$3&lt;&gt;"",C$3,"NA"),'MITRE ATT&amp;CK Mappings'!$I412))),ISNUMBER(SEARCH(IF(C$3&lt;&gt;"",C$3,"NA"),'MITRE ATT&amp;CK Mappings'!$J412))), 'MITRE ATT&amp;CK Mappings'!$B412,"")</f>
        <v/>
      </c>
      <c r="D416" s="26" t="str">
        <f>IF(OR(OR(OR(OR(OR(ISNUMBER(SEARCH(IF(D$1&lt;&gt;"",D$1,"NA"),'MITRE ATT&amp;CK Mappings'!$E412)),ISNUMBER(SEARCH(IF(D$1&lt;&gt;"",D$1,"NA"),'MITRE ATT&amp;CK Mappings'!$F412))),ISNUMBER(SEARCH(IF(D$2&lt;&gt;"",D$2,"NA"),'MITRE ATT&amp;CK Mappings'!$G412))),ISNUMBER(SEARCH(IF(D$2&lt;&gt;"",D$2,"NA"),'MITRE ATT&amp;CK Mappings'!$H412))),ISNUMBER(SEARCH(IF(D$3&lt;&gt;"",D$3,"NA"),'MITRE ATT&amp;CK Mappings'!$I412))),ISNUMBER(SEARCH(IF(D$3&lt;&gt;"",D$3,"NA"),'MITRE ATT&amp;CK Mappings'!$J412))), 'MITRE ATT&amp;CK Mappings'!$B412,"")</f>
        <v/>
      </c>
      <c r="E416" s="26" t="str">
        <f>IF(OR(OR(OR(OR(OR(ISNUMBER(SEARCH(IF(E$1&lt;&gt;"",E$1,"NA"),'MITRE ATT&amp;CK Mappings'!$E412)),ISNUMBER(SEARCH(IF(E$1&lt;&gt;"",E$1,"NA"),'MITRE ATT&amp;CK Mappings'!$F412))),ISNUMBER(SEARCH(IF(E$2&lt;&gt;"",E$2,"NA"),'MITRE ATT&amp;CK Mappings'!$G412))),ISNUMBER(SEARCH(IF(E$2&lt;&gt;"",E$2,"NA"),'MITRE ATT&amp;CK Mappings'!$H412))),ISNUMBER(SEARCH(IF(E$3&lt;&gt;"",E$3,"NA"),'MITRE ATT&amp;CK Mappings'!$I412))),ISNUMBER(SEARCH(IF(E$3&lt;&gt;"",E$3,"NA"),'MITRE ATT&amp;CK Mappings'!$J412))), 'MITRE ATT&amp;CK Mappings'!$B412,"")</f>
        <v/>
      </c>
      <c r="F416" s="26" t="str">
        <f>IF(OR(OR(OR(OR(OR(ISNUMBER(SEARCH(IF(F$1&lt;&gt;"",F$1,"NA"),'MITRE ATT&amp;CK Mappings'!$E412)),ISNUMBER(SEARCH(IF(F$1&lt;&gt;"",F$1,"NA"),'MITRE ATT&amp;CK Mappings'!$F412))),ISNUMBER(SEARCH(IF(F$2&lt;&gt;"",F$2,"NA"),'MITRE ATT&amp;CK Mappings'!$G412))),ISNUMBER(SEARCH(IF(F$2&lt;&gt;"",F$2,"NA"),'MITRE ATT&amp;CK Mappings'!$H412))),ISNUMBER(SEARCH(IF(F$3&lt;&gt;"",F$3,"NA"),'MITRE ATT&amp;CK Mappings'!$I412))),ISNUMBER(SEARCH(IF(F$3&lt;&gt;"",F$3,"NA"),'MITRE ATT&amp;CK Mappings'!$J412))), 'MITRE ATT&amp;CK Mappings'!$B412,"")</f>
        <v/>
      </c>
      <c r="G416" s="26" t="str">
        <f>IF(OR(OR(OR(OR(OR(ISNUMBER(SEARCH(IF(G$1&lt;&gt;"",G$1,"NA"),'MITRE ATT&amp;CK Mappings'!$E412)),ISNUMBER(SEARCH(IF(G$1&lt;&gt;"",G$1,"NA"),'MITRE ATT&amp;CK Mappings'!$F412))),ISNUMBER(SEARCH(IF(G$2&lt;&gt;"",G$2,"NA"),'MITRE ATT&amp;CK Mappings'!$G412))),ISNUMBER(SEARCH(IF(G$2&lt;&gt;"",G$2,"NA"),'MITRE ATT&amp;CK Mappings'!$H412))),ISNUMBER(SEARCH(IF(G$3&lt;&gt;"",G$3,"NA"),'MITRE ATT&amp;CK Mappings'!$I412))),ISNUMBER(SEARCH(IF(G$3&lt;&gt;"",G$3,"NA"),'MITRE ATT&amp;CK Mappings'!$J412))), 'MITRE ATT&amp;CK Mappings'!$B412,"")</f>
        <v/>
      </c>
      <c r="H416" s="26" t="str">
        <f>IF(OR(OR(OR(OR(OR(ISNUMBER(SEARCH(IF(H$1&lt;&gt;"",H$1,"NA"),'MITRE ATT&amp;CK Mappings'!$E412)),ISNUMBER(SEARCH(IF(H$1&lt;&gt;"",H$1,"NA"),'MITRE ATT&amp;CK Mappings'!$F412))),ISNUMBER(SEARCH(IF(H$2&lt;&gt;"",H$2,"NA"),'MITRE ATT&amp;CK Mappings'!$G412))),ISNUMBER(SEARCH(IF(H$2&lt;&gt;"",H$2,"NA"),'MITRE ATT&amp;CK Mappings'!$H412))),ISNUMBER(SEARCH(IF(H$3&lt;&gt;"",H$3,"NA"),'MITRE ATT&amp;CK Mappings'!$I412))),ISNUMBER(SEARCH(IF(H$3&lt;&gt;"",H$3,"NA"),'MITRE ATT&amp;CK Mappings'!$J412))), 'MITRE ATT&amp;CK Mappings'!$B412,"")</f>
        <v/>
      </c>
      <c r="I416" s="26" t="str">
        <f>IF(OR(OR(OR(OR(OR(ISNUMBER(SEARCH(IF(I$1&lt;&gt;"",I$1,"NA"),'MITRE ATT&amp;CK Mappings'!$E412)),ISNUMBER(SEARCH(IF(I$1&lt;&gt;"",I$1,"NA"),'MITRE ATT&amp;CK Mappings'!$F412))),ISNUMBER(SEARCH(IF(I$2&lt;&gt;"",I$2,"NA"),'MITRE ATT&amp;CK Mappings'!$G412))),ISNUMBER(SEARCH(IF(I$2&lt;&gt;"",I$2,"NA"),'MITRE ATT&amp;CK Mappings'!$H412))),ISNUMBER(SEARCH(IF(I$3&lt;&gt;"",I$3,"NA"),'MITRE ATT&amp;CK Mappings'!$I412))),ISNUMBER(SEARCH(IF(I$3&lt;&gt;"",I$3,"NA"),'MITRE ATT&amp;CK Mappings'!$J412))), 'MITRE ATT&amp;CK Mappings'!$B412,"")</f>
        <v/>
      </c>
      <c r="J416" s="26" t="str">
        <f>IF(OR(OR(OR(OR(OR(ISNUMBER(SEARCH(IF(J$1&lt;&gt;"",J$1,"NA"),'MITRE ATT&amp;CK Mappings'!$E412)),ISNUMBER(SEARCH(IF(J$1&lt;&gt;"",J$1,"NA"),'MITRE ATT&amp;CK Mappings'!$F412))),ISNUMBER(SEARCH(IF(J$2&lt;&gt;"",J$2,"NA"),'MITRE ATT&amp;CK Mappings'!$G412))),ISNUMBER(SEARCH(IF(J$2&lt;&gt;"",J$2,"NA"),'MITRE ATT&amp;CK Mappings'!$H412))),ISNUMBER(SEARCH(IF(J$3&lt;&gt;"",J$3,"NA"),'MITRE ATT&amp;CK Mappings'!$I412))),ISNUMBER(SEARCH(IF(J$3&lt;&gt;"",J$3,"NA"),'MITRE ATT&amp;CK Mappings'!$J412))), 'MITRE ATT&amp;CK Mappings'!$B412,"")</f>
        <v/>
      </c>
      <c r="K416" s="26" t="str">
        <f>IF(OR(OR(OR(OR(OR(ISNUMBER(SEARCH(IF(K$1&lt;&gt;"",K$1,"NA"),'MITRE ATT&amp;CK Mappings'!$E412)),ISNUMBER(SEARCH(IF(K$1&lt;&gt;"",K$1,"NA"),'MITRE ATT&amp;CK Mappings'!$F412))),ISNUMBER(SEARCH(IF(K$2&lt;&gt;"",K$2,"NA"),'MITRE ATT&amp;CK Mappings'!$G412))),ISNUMBER(SEARCH(IF(K$2&lt;&gt;"",K$2,"NA"),'MITRE ATT&amp;CK Mappings'!$H412))),ISNUMBER(SEARCH(IF(K$3&lt;&gt;"",K$3,"NA"),'MITRE ATT&amp;CK Mappings'!$I412))),ISNUMBER(SEARCH(IF(K$3&lt;&gt;"",K$3,"NA"),'MITRE ATT&amp;CK Mappings'!$J412))), 'MITRE ATT&amp;CK Mappings'!$B412,"")</f>
        <v/>
      </c>
      <c r="L416" s="26" t="str">
        <f>IF('MITRE ATT&amp;CK Mappings'!D412 &lt;&gt;"",'MITRE ATT&amp;CK Mappings'!D412,"" )</f>
        <v/>
      </c>
    </row>
    <row r="417" spans="1:12" x14ac:dyDescent="0.25">
      <c r="A417" s="27" t="str">
        <f>IF(COUNTIF(B417:K417,"="&amp;'MITRE ATT&amp;CK Mappings'!B413)&gt;0,'MITRE ATT&amp;CK Mappings'!B413,"")</f>
        <v/>
      </c>
      <c r="B417" s="27" t="str">
        <f>IF(OR(OR(OR(OR(OR(ISNUMBER(SEARCH(IF(B$1&lt;&gt;"",B$1,"NA"),'MITRE ATT&amp;CK Mappings'!$E413)),ISNUMBER(SEARCH(IF(B$1&lt;&gt;"",B$1,"NA"),'MITRE ATT&amp;CK Mappings'!$F413))),ISNUMBER(SEARCH(IF(B$2&lt;&gt;"",B$2,"NA"),'MITRE ATT&amp;CK Mappings'!$G413))),ISNUMBER(SEARCH(IF(B$2&lt;&gt;"",B$2,"NA"),'MITRE ATT&amp;CK Mappings'!$H413))),ISNUMBER(SEARCH(IF(B$3&lt;&gt;"",B$3,"NA"),'MITRE ATT&amp;CK Mappings'!$I413))),ISNUMBER(SEARCH(IF(B$3&lt;&gt;"",B$3,"NA"),'MITRE ATT&amp;CK Mappings'!$J413))), 'MITRE ATT&amp;CK Mappings'!$B413,"")</f>
        <v/>
      </c>
      <c r="C417" s="27" t="str">
        <f>IF(OR(OR(OR(OR(OR(ISNUMBER(SEARCH(IF(C$1&lt;&gt;"",C$1,"NA"),'MITRE ATT&amp;CK Mappings'!$E413)),ISNUMBER(SEARCH(IF(C$1&lt;&gt;"",C$1,"NA"),'MITRE ATT&amp;CK Mappings'!$F413))),ISNUMBER(SEARCH(IF(C$2&lt;&gt;"",C$2,"NA"),'MITRE ATT&amp;CK Mappings'!$G413))),ISNUMBER(SEARCH(IF(C$2&lt;&gt;"",C$2,"NA"),'MITRE ATT&amp;CK Mappings'!$H413))),ISNUMBER(SEARCH(IF(C$3&lt;&gt;"",C$3,"NA"),'MITRE ATT&amp;CK Mappings'!$I413))),ISNUMBER(SEARCH(IF(C$3&lt;&gt;"",C$3,"NA"),'MITRE ATT&amp;CK Mappings'!$J413))), 'MITRE ATT&amp;CK Mappings'!$B413,"")</f>
        <v/>
      </c>
      <c r="D417" s="27" t="str">
        <f>IF(OR(OR(OR(OR(OR(ISNUMBER(SEARCH(IF(D$1&lt;&gt;"",D$1,"NA"),'MITRE ATT&amp;CK Mappings'!$E413)),ISNUMBER(SEARCH(IF(D$1&lt;&gt;"",D$1,"NA"),'MITRE ATT&amp;CK Mappings'!$F413))),ISNUMBER(SEARCH(IF(D$2&lt;&gt;"",D$2,"NA"),'MITRE ATT&amp;CK Mappings'!$G413))),ISNUMBER(SEARCH(IF(D$2&lt;&gt;"",D$2,"NA"),'MITRE ATT&amp;CK Mappings'!$H413))),ISNUMBER(SEARCH(IF(D$3&lt;&gt;"",D$3,"NA"),'MITRE ATT&amp;CK Mappings'!$I413))),ISNUMBER(SEARCH(IF(D$3&lt;&gt;"",D$3,"NA"),'MITRE ATT&amp;CK Mappings'!$J413))), 'MITRE ATT&amp;CK Mappings'!$B413,"")</f>
        <v/>
      </c>
      <c r="E417" s="27" t="str">
        <f>IF(OR(OR(OR(OR(OR(ISNUMBER(SEARCH(IF(E$1&lt;&gt;"",E$1,"NA"),'MITRE ATT&amp;CK Mappings'!$E413)),ISNUMBER(SEARCH(IF(E$1&lt;&gt;"",E$1,"NA"),'MITRE ATT&amp;CK Mappings'!$F413))),ISNUMBER(SEARCH(IF(E$2&lt;&gt;"",E$2,"NA"),'MITRE ATT&amp;CK Mappings'!$G413))),ISNUMBER(SEARCH(IF(E$2&lt;&gt;"",E$2,"NA"),'MITRE ATT&amp;CK Mappings'!$H413))),ISNUMBER(SEARCH(IF(E$3&lt;&gt;"",E$3,"NA"),'MITRE ATT&amp;CK Mappings'!$I413))),ISNUMBER(SEARCH(IF(E$3&lt;&gt;"",E$3,"NA"),'MITRE ATT&amp;CK Mappings'!$J413))), 'MITRE ATT&amp;CK Mappings'!$B413,"")</f>
        <v/>
      </c>
      <c r="F417" s="27" t="str">
        <f>IF(OR(OR(OR(OR(OR(ISNUMBER(SEARCH(IF(F$1&lt;&gt;"",F$1,"NA"),'MITRE ATT&amp;CK Mappings'!$E413)),ISNUMBER(SEARCH(IF(F$1&lt;&gt;"",F$1,"NA"),'MITRE ATT&amp;CK Mappings'!$F413))),ISNUMBER(SEARCH(IF(F$2&lt;&gt;"",F$2,"NA"),'MITRE ATT&amp;CK Mappings'!$G413))),ISNUMBER(SEARCH(IF(F$2&lt;&gt;"",F$2,"NA"),'MITRE ATT&amp;CK Mappings'!$H413))),ISNUMBER(SEARCH(IF(F$3&lt;&gt;"",F$3,"NA"),'MITRE ATT&amp;CK Mappings'!$I413))),ISNUMBER(SEARCH(IF(F$3&lt;&gt;"",F$3,"NA"),'MITRE ATT&amp;CK Mappings'!$J413))), 'MITRE ATT&amp;CK Mappings'!$B413,"")</f>
        <v/>
      </c>
      <c r="G417" s="27" t="str">
        <f>IF(OR(OR(OR(OR(OR(ISNUMBER(SEARCH(IF(G$1&lt;&gt;"",G$1,"NA"),'MITRE ATT&amp;CK Mappings'!$E413)),ISNUMBER(SEARCH(IF(G$1&lt;&gt;"",G$1,"NA"),'MITRE ATT&amp;CK Mappings'!$F413))),ISNUMBER(SEARCH(IF(G$2&lt;&gt;"",G$2,"NA"),'MITRE ATT&amp;CK Mappings'!$G413))),ISNUMBER(SEARCH(IF(G$2&lt;&gt;"",G$2,"NA"),'MITRE ATT&amp;CK Mappings'!$H413))),ISNUMBER(SEARCH(IF(G$3&lt;&gt;"",G$3,"NA"),'MITRE ATT&amp;CK Mappings'!$I413))),ISNUMBER(SEARCH(IF(G$3&lt;&gt;"",G$3,"NA"),'MITRE ATT&amp;CK Mappings'!$J413))), 'MITRE ATT&amp;CK Mappings'!$B413,"")</f>
        <v/>
      </c>
      <c r="H417" s="27" t="str">
        <f>IF(OR(OR(OR(OR(OR(ISNUMBER(SEARCH(IF(H$1&lt;&gt;"",H$1,"NA"),'MITRE ATT&amp;CK Mappings'!$E413)),ISNUMBER(SEARCH(IF(H$1&lt;&gt;"",H$1,"NA"),'MITRE ATT&amp;CK Mappings'!$F413))),ISNUMBER(SEARCH(IF(H$2&lt;&gt;"",H$2,"NA"),'MITRE ATT&amp;CK Mappings'!$G413))),ISNUMBER(SEARCH(IF(H$2&lt;&gt;"",H$2,"NA"),'MITRE ATT&amp;CK Mappings'!$H413))),ISNUMBER(SEARCH(IF(H$3&lt;&gt;"",H$3,"NA"),'MITRE ATT&amp;CK Mappings'!$I413))),ISNUMBER(SEARCH(IF(H$3&lt;&gt;"",H$3,"NA"),'MITRE ATT&amp;CK Mappings'!$J413))), 'MITRE ATT&amp;CK Mappings'!$B413,"")</f>
        <v/>
      </c>
      <c r="I417" s="27" t="str">
        <f>IF(OR(OR(OR(OR(OR(ISNUMBER(SEARCH(IF(I$1&lt;&gt;"",I$1,"NA"),'MITRE ATT&amp;CK Mappings'!$E413)),ISNUMBER(SEARCH(IF(I$1&lt;&gt;"",I$1,"NA"),'MITRE ATT&amp;CK Mappings'!$F413))),ISNUMBER(SEARCH(IF(I$2&lt;&gt;"",I$2,"NA"),'MITRE ATT&amp;CK Mappings'!$G413))),ISNUMBER(SEARCH(IF(I$2&lt;&gt;"",I$2,"NA"),'MITRE ATT&amp;CK Mappings'!$H413))),ISNUMBER(SEARCH(IF(I$3&lt;&gt;"",I$3,"NA"),'MITRE ATT&amp;CK Mappings'!$I413))),ISNUMBER(SEARCH(IF(I$3&lt;&gt;"",I$3,"NA"),'MITRE ATT&amp;CK Mappings'!$J413))), 'MITRE ATT&amp;CK Mappings'!$B413,"")</f>
        <v/>
      </c>
      <c r="J417" s="27" t="str">
        <f>IF(OR(OR(OR(OR(OR(ISNUMBER(SEARCH(IF(J$1&lt;&gt;"",J$1,"NA"),'MITRE ATT&amp;CK Mappings'!$E413)),ISNUMBER(SEARCH(IF(J$1&lt;&gt;"",J$1,"NA"),'MITRE ATT&amp;CK Mappings'!$F413))),ISNUMBER(SEARCH(IF(J$2&lt;&gt;"",J$2,"NA"),'MITRE ATT&amp;CK Mappings'!$G413))),ISNUMBER(SEARCH(IF(J$2&lt;&gt;"",J$2,"NA"),'MITRE ATT&amp;CK Mappings'!$H413))),ISNUMBER(SEARCH(IF(J$3&lt;&gt;"",J$3,"NA"),'MITRE ATT&amp;CK Mappings'!$I413))),ISNUMBER(SEARCH(IF(J$3&lt;&gt;"",J$3,"NA"),'MITRE ATT&amp;CK Mappings'!$J413))), 'MITRE ATT&amp;CK Mappings'!$B413,"")</f>
        <v/>
      </c>
      <c r="K417" s="27" t="str">
        <f>IF(OR(OR(OR(OR(OR(ISNUMBER(SEARCH(IF(K$1&lt;&gt;"",K$1,"NA"),'MITRE ATT&amp;CK Mappings'!$E413)),ISNUMBER(SEARCH(IF(K$1&lt;&gt;"",K$1,"NA"),'MITRE ATT&amp;CK Mappings'!$F413))),ISNUMBER(SEARCH(IF(K$2&lt;&gt;"",K$2,"NA"),'MITRE ATT&amp;CK Mappings'!$G413))),ISNUMBER(SEARCH(IF(K$2&lt;&gt;"",K$2,"NA"),'MITRE ATT&amp;CK Mappings'!$H413))),ISNUMBER(SEARCH(IF(K$3&lt;&gt;"",K$3,"NA"),'MITRE ATT&amp;CK Mappings'!$I413))),ISNUMBER(SEARCH(IF(K$3&lt;&gt;"",K$3,"NA"),'MITRE ATT&amp;CK Mappings'!$J413))), 'MITRE ATT&amp;CK Mappings'!$B413,"")</f>
        <v/>
      </c>
      <c r="L417" s="27" t="str">
        <f>IF('MITRE ATT&amp;CK Mappings'!D413 &lt;&gt;"",'MITRE ATT&amp;CK Mappings'!D413,"" )</f>
        <v/>
      </c>
    </row>
    <row r="418" spans="1:12" x14ac:dyDescent="0.25">
      <c r="A418" s="26" t="str">
        <f>IF(COUNTIF(B418:K418,"="&amp;'MITRE ATT&amp;CK Mappings'!B414)&gt;0,'MITRE ATT&amp;CK Mappings'!B414,"")</f>
        <v/>
      </c>
      <c r="B418" s="26" t="str">
        <f>IF(OR(OR(OR(OR(OR(ISNUMBER(SEARCH(IF(B$1&lt;&gt;"",B$1,"NA"),'MITRE ATT&amp;CK Mappings'!$E414)),ISNUMBER(SEARCH(IF(B$1&lt;&gt;"",B$1,"NA"),'MITRE ATT&amp;CK Mappings'!$F414))),ISNUMBER(SEARCH(IF(B$2&lt;&gt;"",B$2,"NA"),'MITRE ATT&amp;CK Mappings'!$G414))),ISNUMBER(SEARCH(IF(B$2&lt;&gt;"",B$2,"NA"),'MITRE ATT&amp;CK Mappings'!$H414))),ISNUMBER(SEARCH(IF(B$3&lt;&gt;"",B$3,"NA"),'MITRE ATT&amp;CK Mappings'!$I414))),ISNUMBER(SEARCH(IF(B$3&lt;&gt;"",B$3,"NA"),'MITRE ATT&amp;CK Mappings'!$J414))), 'MITRE ATT&amp;CK Mappings'!$B414,"")</f>
        <v/>
      </c>
      <c r="C418" s="26" t="str">
        <f>IF(OR(OR(OR(OR(OR(ISNUMBER(SEARCH(IF(C$1&lt;&gt;"",C$1,"NA"),'MITRE ATT&amp;CK Mappings'!$E414)),ISNUMBER(SEARCH(IF(C$1&lt;&gt;"",C$1,"NA"),'MITRE ATT&amp;CK Mappings'!$F414))),ISNUMBER(SEARCH(IF(C$2&lt;&gt;"",C$2,"NA"),'MITRE ATT&amp;CK Mappings'!$G414))),ISNUMBER(SEARCH(IF(C$2&lt;&gt;"",C$2,"NA"),'MITRE ATT&amp;CK Mappings'!$H414))),ISNUMBER(SEARCH(IF(C$3&lt;&gt;"",C$3,"NA"),'MITRE ATT&amp;CK Mappings'!$I414))),ISNUMBER(SEARCH(IF(C$3&lt;&gt;"",C$3,"NA"),'MITRE ATT&amp;CK Mappings'!$J414))), 'MITRE ATT&amp;CK Mappings'!$B414,"")</f>
        <v/>
      </c>
      <c r="D418" s="26" t="str">
        <f>IF(OR(OR(OR(OR(OR(ISNUMBER(SEARCH(IF(D$1&lt;&gt;"",D$1,"NA"),'MITRE ATT&amp;CK Mappings'!$E414)),ISNUMBER(SEARCH(IF(D$1&lt;&gt;"",D$1,"NA"),'MITRE ATT&amp;CK Mappings'!$F414))),ISNUMBER(SEARCH(IF(D$2&lt;&gt;"",D$2,"NA"),'MITRE ATT&amp;CK Mappings'!$G414))),ISNUMBER(SEARCH(IF(D$2&lt;&gt;"",D$2,"NA"),'MITRE ATT&amp;CK Mappings'!$H414))),ISNUMBER(SEARCH(IF(D$3&lt;&gt;"",D$3,"NA"),'MITRE ATT&amp;CK Mappings'!$I414))),ISNUMBER(SEARCH(IF(D$3&lt;&gt;"",D$3,"NA"),'MITRE ATT&amp;CK Mappings'!$J414))), 'MITRE ATT&amp;CK Mappings'!$B414,"")</f>
        <v/>
      </c>
      <c r="E418" s="26" t="str">
        <f>IF(OR(OR(OR(OR(OR(ISNUMBER(SEARCH(IF(E$1&lt;&gt;"",E$1,"NA"),'MITRE ATT&amp;CK Mappings'!$E414)),ISNUMBER(SEARCH(IF(E$1&lt;&gt;"",E$1,"NA"),'MITRE ATT&amp;CK Mappings'!$F414))),ISNUMBER(SEARCH(IF(E$2&lt;&gt;"",E$2,"NA"),'MITRE ATT&amp;CK Mappings'!$G414))),ISNUMBER(SEARCH(IF(E$2&lt;&gt;"",E$2,"NA"),'MITRE ATT&amp;CK Mappings'!$H414))),ISNUMBER(SEARCH(IF(E$3&lt;&gt;"",E$3,"NA"),'MITRE ATT&amp;CK Mappings'!$I414))),ISNUMBER(SEARCH(IF(E$3&lt;&gt;"",E$3,"NA"),'MITRE ATT&amp;CK Mappings'!$J414))), 'MITRE ATT&amp;CK Mappings'!$B414,"")</f>
        <v/>
      </c>
      <c r="F418" s="26" t="str">
        <f>IF(OR(OR(OR(OR(OR(ISNUMBER(SEARCH(IF(F$1&lt;&gt;"",F$1,"NA"),'MITRE ATT&amp;CK Mappings'!$E414)),ISNUMBER(SEARCH(IF(F$1&lt;&gt;"",F$1,"NA"),'MITRE ATT&amp;CK Mappings'!$F414))),ISNUMBER(SEARCH(IF(F$2&lt;&gt;"",F$2,"NA"),'MITRE ATT&amp;CK Mappings'!$G414))),ISNUMBER(SEARCH(IF(F$2&lt;&gt;"",F$2,"NA"),'MITRE ATT&amp;CK Mappings'!$H414))),ISNUMBER(SEARCH(IF(F$3&lt;&gt;"",F$3,"NA"),'MITRE ATT&amp;CK Mappings'!$I414))),ISNUMBER(SEARCH(IF(F$3&lt;&gt;"",F$3,"NA"),'MITRE ATT&amp;CK Mappings'!$J414))), 'MITRE ATT&amp;CK Mappings'!$B414,"")</f>
        <v/>
      </c>
      <c r="G418" s="26" t="str">
        <f>IF(OR(OR(OR(OR(OR(ISNUMBER(SEARCH(IF(G$1&lt;&gt;"",G$1,"NA"),'MITRE ATT&amp;CK Mappings'!$E414)),ISNUMBER(SEARCH(IF(G$1&lt;&gt;"",G$1,"NA"),'MITRE ATT&amp;CK Mappings'!$F414))),ISNUMBER(SEARCH(IF(G$2&lt;&gt;"",G$2,"NA"),'MITRE ATT&amp;CK Mappings'!$G414))),ISNUMBER(SEARCH(IF(G$2&lt;&gt;"",G$2,"NA"),'MITRE ATT&amp;CK Mappings'!$H414))),ISNUMBER(SEARCH(IF(G$3&lt;&gt;"",G$3,"NA"),'MITRE ATT&amp;CK Mappings'!$I414))),ISNUMBER(SEARCH(IF(G$3&lt;&gt;"",G$3,"NA"),'MITRE ATT&amp;CK Mappings'!$J414))), 'MITRE ATT&amp;CK Mappings'!$B414,"")</f>
        <v/>
      </c>
      <c r="H418" s="26" t="str">
        <f>IF(OR(OR(OR(OR(OR(ISNUMBER(SEARCH(IF(H$1&lt;&gt;"",H$1,"NA"),'MITRE ATT&amp;CK Mappings'!$E414)),ISNUMBER(SEARCH(IF(H$1&lt;&gt;"",H$1,"NA"),'MITRE ATT&amp;CK Mappings'!$F414))),ISNUMBER(SEARCH(IF(H$2&lt;&gt;"",H$2,"NA"),'MITRE ATT&amp;CK Mappings'!$G414))),ISNUMBER(SEARCH(IF(H$2&lt;&gt;"",H$2,"NA"),'MITRE ATT&amp;CK Mappings'!$H414))),ISNUMBER(SEARCH(IF(H$3&lt;&gt;"",H$3,"NA"),'MITRE ATT&amp;CK Mappings'!$I414))),ISNUMBER(SEARCH(IF(H$3&lt;&gt;"",H$3,"NA"),'MITRE ATT&amp;CK Mappings'!$J414))), 'MITRE ATT&amp;CK Mappings'!$B414,"")</f>
        <v/>
      </c>
      <c r="I418" s="26" t="str">
        <f>IF(OR(OR(OR(OR(OR(ISNUMBER(SEARCH(IF(I$1&lt;&gt;"",I$1,"NA"),'MITRE ATT&amp;CK Mappings'!$E414)),ISNUMBER(SEARCH(IF(I$1&lt;&gt;"",I$1,"NA"),'MITRE ATT&amp;CK Mappings'!$F414))),ISNUMBER(SEARCH(IF(I$2&lt;&gt;"",I$2,"NA"),'MITRE ATT&amp;CK Mappings'!$G414))),ISNUMBER(SEARCH(IF(I$2&lt;&gt;"",I$2,"NA"),'MITRE ATT&amp;CK Mappings'!$H414))),ISNUMBER(SEARCH(IF(I$3&lt;&gt;"",I$3,"NA"),'MITRE ATT&amp;CK Mappings'!$I414))),ISNUMBER(SEARCH(IF(I$3&lt;&gt;"",I$3,"NA"),'MITRE ATT&amp;CK Mappings'!$J414))), 'MITRE ATT&amp;CK Mappings'!$B414,"")</f>
        <v/>
      </c>
      <c r="J418" s="26" t="str">
        <f>IF(OR(OR(OR(OR(OR(ISNUMBER(SEARCH(IF(J$1&lt;&gt;"",J$1,"NA"),'MITRE ATT&amp;CK Mappings'!$E414)),ISNUMBER(SEARCH(IF(J$1&lt;&gt;"",J$1,"NA"),'MITRE ATT&amp;CK Mappings'!$F414))),ISNUMBER(SEARCH(IF(J$2&lt;&gt;"",J$2,"NA"),'MITRE ATT&amp;CK Mappings'!$G414))),ISNUMBER(SEARCH(IF(J$2&lt;&gt;"",J$2,"NA"),'MITRE ATT&amp;CK Mappings'!$H414))),ISNUMBER(SEARCH(IF(J$3&lt;&gt;"",J$3,"NA"),'MITRE ATT&amp;CK Mappings'!$I414))),ISNUMBER(SEARCH(IF(J$3&lt;&gt;"",J$3,"NA"),'MITRE ATT&amp;CK Mappings'!$J414))), 'MITRE ATT&amp;CK Mappings'!$B414,"")</f>
        <v/>
      </c>
      <c r="K418" s="26" t="str">
        <f>IF(OR(OR(OR(OR(OR(ISNUMBER(SEARCH(IF(K$1&lt;&gt;"",K$1,"NA"),'MITRE ATT&amp;CK Mappings'!$E414)),ISNUMBER(SEARCH(IF(K$1&lt;&gt;"",K$1,"NA"),'MITRE ATT&amp;CK Mappings'!$F414))),ISNUMBER(SEARCH(IF(K$2&lt;&gt;"",K$2,"NA"),'MITRE ATT&amp;CK Mappings'!$G414))),ISNUMBER(SEARCH(IF(K$2&lt;&gt;"",K$2,"NA"),'MITRE ATT&amp;CK Mappings'!$H414))),ISNUMBER(SEARCH(IF(K$3&lt;&gt;"",K$3,"NA"),'MITRE ATT&amp;CK Mappings'!$I414))),ISNUMBER(SEARCH(IF(K$3&lt;&gt;"",K$3,"NA"),'MITRE ATT&amp;CK Mappings'!$J414))), 'MITRE ATT&amp;CK Mappings'!$B414,"")</f>
        <v/>
      </c>
      <c r="L418" s="26" t="str">
        <f>IF('MITRE ATT&amp;CK Mappings'!D414 &lt;&gt;"",'MITRE ATT&amp;CK Mappings'!D414,"" )</f>
        <v/>
      </c>
    </row>
    <row r="419" spans="1:12" x14ac:dyDescent="0.25">
      <c r="A419" s="27" t="str">
        <f>IF(COUNTIF(B419:K419,"="&amp;'MITRE ATT&amp;CK Mappings'!B415)&gt;0,'MITRE ATT&amp;CK Mappings'!B415,"")</f>
        <v/>
      </c>
      <c r="B419" s="27" t="str">
        <f>IF(OR(OR(OR(OR(OR(ISNUMBER(SEARCH(IF(B$1&lt;&gt;"",B$1,"NA"),'MITRE ATT&amp;CK Mappings'!$E415)),ISNUMBER(SEARCH(IF(B$1&lt;&gt;"",B$1,"NA"),'MITRE ATT&amp;CK Mappings'!$F415))),ISNUMBER(SEARCH(IF(B$2&lt;&gt;"",B$2,"NA"),'MITRE ATT&amp;CK Mappings'!$G415))),ISNUMBER(SEARCH(IF(B$2&lt;&gt;"",B$2,"NA"),'MITRE ATT&amp;CK Mappings'!$H415))),ISNUMBER(SEARCH(IF(B$3&lt;&gt;"",B$3,"NA"),'MITRE ATT&amp;CK Mappings'!$I415))),ISNUMBER(SEARCH(IF(B$3&lt;&gt;"",B$3,"NA"),'MITRE ATT&amp;CK Mappings'!$J415))), 'MITRE ATT&amp;CK Mappings'!$B415,"")</f>
        <v/>
      </c>
      <c r="C419" s="27" t="str">
        <f>IF(OR(OR(OR(OR(OR(ISNUMBER(SEARCH(IF(C$1&lt;&gt;"",C$1,"NA"),'MITRE ATT&amp;CK Mappings'!$E415)),ISNUMBER(SEARCH(IF(C$1&lt;&gt;"",C$1,"NA"),'MITRE ATT&amp;CK Mappings'!$F415))),ISNUMBER(SEARCH(IF(C$2&lt;&gt;"",C$2,"NA"),'MITRE ATT&amp;CK Mappings'!$G415))),ISNUMBER(SEARCH(IF(C$2&lt;&gt;"",C$2,"NA"),'MITRE ATT&amp;CK Mappings'!$H415))),ISNUMBER(SEARCH(IF(C$3&lt;&gt;"",C$3,"NA"),'MITRE ATT&amp;CK Mappings'!$I415))),ISNUMBER(SEARCH(IF(C$3&lt;&gt;"",C$3,"NA"),'MITRE ATT&amp;CK Mappings'!$J415))), 'MITRE ATT&amp;CK Mappings'!$B415,"")</f>
        <v/>
      </c>
      <c r="D419" s="27" t="str">
        <f>IF(OR(OR(OR(OR(OR(ISNUMBER(SEARCH(IF(D$1&lt;&gt;"",D$1,"NA"),'MITRE ATT&amp;CK Mappings'!$E415)),ISNUMBER(SEARCH(IF(D$1&lt;&gt;"",D$1,"NA"),'MITRE ATT&amp;CK Mappings'!$F415))),ISNUMBER(SEARCH(IF(D$2&lt;&gt;"",D$2,"NA"),'MITRE ATT&amp;CK Mappings'!$G415))),ISNUMBER(SEARCH(IF(D$2&lt;&gt;"",D$2,"NA"),'MITRE ATT&amp;CK Mappings'!$H415))),ISNUMBER(SEARCH(IF(D$3&lt;&gt;"",D$3,"NA"),'MITRE ATT&amp;CK Mappings'!$I415))),ISNUMBER(SEARCH(IF(D$3&lt;&gt;"",D$3,"NA"),'MITRE ATT&amp;CK Mappings'!$J415))), 'MITRE ATT&amp;CK Mappings'!$B415,"")</f>
        <v/>
      </c>
      <c r="E419" s="27" t="str">
        <f>IF(OR(OR(OR(OR(OR(ISNUMBER(SEARCH(IF(E$1&lt;&gt;"",E$1,"NA"),'MITRE ATT&amp;CK Mappings'!$E415)),ISNUMBER(SEARCH(IF(E$1&lt;&gt;"",E$1,"NA"),'MITRE ATT&amp;CK Mappings'!$F415))),ISNUMBER(SEARCH(IF(E$2&lt;&gt;"",E$2,"NA"),'MITRE ATT&amp;CK Mappings'!$G415))),ISNUMBER(SEARCH(IF(E$2&lt;&gt;"",E$2,"NA"),'MITRE ATT&amp;CK Mappings'!$H415))),ISNUMBER(SEARCH(IF(E$3&lt;&gt;"",E$3,"NA"),'MITRE ATT&amp;CK Mappings'!$I415))),ISNUMBER(SEARCH(IF(E$3&lt;&gt;"",E$3,"NA"),'MITRE ATT&amp;CK Mappings'!$J415))), 'MITRE ATT&amp;CK Mappings'!$B415,"")</f>
        <v/>
      </c>
      <c r="F419" s="27" t="str">
        <f>IF(OR(OR(OR(OR(OR(ISNUMBER(SEARCH(IF(F$1&lt;&gt;"",F$1,"NA"),'MITRE ATT&amp;CK Mappings'!$E415)),ISNUMBER(SEARCH(IF(F$1&lt;&gt;"",F$1,"NA"),'MITRE ATT&amp;CK Mappings'!$F415))),ISNUMBER(SEARCH(IF(F$2&lt;&gt;"",F$2,"NA"),'MITRE ATT&amp;CK Mappings'!$G415))),ISNUMBER(SEARCH(IF(F$2&lt;&gt;"",F$2,"NA"),'MITRE ATT&amp;CK Mappings'!$H415))),ISNUMBER(SEARCH(IF(F$3&lt;&gt;"",F$3,"NA"),'MITRE ATT&amp;CK Mappings'!$I415))),ISNUMBER(SEARCH(IF(F$3&lt;&gt;"",F$3,"NA"),'MITRE ATT&amp;CK Mappings'!$J415))), 'MITRE ATT&amp;CK Mappings'!$B415,"")</f>
        <v/>
      </c>
      <c r="G419" s="27" t="str">
        <f>IF(OR(OR(OR(OR(OR(ISNUMBER(SEARCH(IF(G$1&lt;&gt;"",G$1,"NA"),'MITRE ATT&amp;CK Mappings'!$E415)),ISNUMBER(SEARCH(IF(G$1&lt;&gt;"",G$1,"NA"),'MITRE ATT&amp;CK Mappings'!$F415))),ISNUMBER(SEARCH(IF(G$2&lt;&gt;"",G$2,"NA"),'MITRE ATT&amp;CK Mappings'!$G415))),ISNUMBER(SEARCH(IF(G$2&lt;&gt;"",G$2,"NA"),'MITRE ATT&amp;CK Mappings'!$H415))),ISNUMBER(SEARCH(IF(G$3&lt;&gt;"",G$3,"NA"),'MITRE ATT&amp;CK Mappings'!$I415))),ISNUMBER(SEARCH(IF(G$3&lt;&gt;"",G$3,"NA"),'MITRE ATT&amp;CK Mappings'!$J415))), 'MITRE ATT&amp;CK Mappings'!$B415,"")</f>
        <v/>
      </c>
      <c r="H419" s="27" t="str">
        <f>IF(OR(OR(OR(OR(OR(ISNUMBER(SEARCH(IF(H$1&lt;&gt;"",H$1,"NA"),'MITRE ATT&amp;CK Mappings'!$E415)),ISNUMBER(SEARCH(IF(H$1&lt;&gt;"",H$1,"NA"),'MITRE ATT&amp;CK Mappings'!$F415))),ISNUMBER(SEARCH(IF(H$2&lt;&gt;"",H$2,"NA"),'MITRE ATT&amp;CK Mappings'!$G415))),ISNUMBER(SEARCH(IF(H$2&lt;&gt;"",H$2,"NA"),'MITRE ATT&amp;CK Mappings'!$H415))),ISNUMBER(SEARCH(IF(H$3&lt;&gt;"",H$3,"NA"),'MITRE ATT&amp;CK Mappings'!$I415))),ISNUMBER(SEARCH(IF(H$3&lt;&gt;"",H$3,"NA"),'MITRE ATT&amp;CK Mappings'!$J415))), 'MITRE ATT&amp;CK Mappings'!$B415,"")</f>
        <v/>
      </c>
      <c r="I419" s="27" t="str">
        <f>IF(OR(OR(OR(OR(OR(ISNUMBER(SEARCH(IF(I$1&lt;&gt;"",I$1,"NA"),'MITRE ATT&amp;CK Mappings'!$E415)),ISNUMBER(SEARCH(IF(I$1&lt;&gt;"",I$1,"NA"),'MITRE ATT&amp;CK Mappings'!$F415))),ISNUMBER(SEARCH(IF(I$2&lt;&gt;"",I$2,"NA"),'MITRE ATT&amp;CK Mappings'!$G415))),ISNUMBER(SEARCH(IF(I$2&lt;&gt;"",I$2,"NA"),'MITRE ATT&amp;CK Mappings'!$H415))),ISNUMBER(SEARCH(IF(I$3&lt;&gt;"",I$3,"NA"),'MITRE ATT&amp;CK Mappings'!$I415))),ISNUMBER(SEARCH(IF(I$3&lt;&gt;"",I$3,"NA"),'MITRE ATT&amp;CK Mappings'!$J415))), 'MITRE ATT&amp;CK Mappings'!$B415,"")</f>
        <v/>
      </c>
      <c r="J419" s="27" t="str">
        <f>IF(OR(OR(OR(OR(OR(ISNUMBER(SEARCH(IF(J$1&lt;&gt;"",J$1,"NA"),'MITRE ATT&amp;CK Mappings'!$E415)),ISNUMBER(SEARCH(IF(J$1&lt;&gt;"",J$1,"NA"),'MITRE ATT&amp;CK Mappings'!$F415))),ISNUMBER(SEARCH(IF(J$2&lt;&gt;"",J$2,"NA"),'MITRE ATT&amp;CK Mappings'!$G415))),ISNUMBER(SEARCH(IF(J$2&lt;&gt;"",J$2,"NA"),'MITRE ATT&amp;CK Mappings'!$H415))),ISNUMBER(SEARCH(IF(J$3&lt;&gt;"",J$3,"NA"),'MITRE ATT&amp;CK Mappings'!$I415))),ISNUMBER(SEARCH(IF(J$3&lt;&gt;"",J$3,"NA"),'MITRE ATT&amp;CK Mappings'!$J415))), 'MITRE ATT&amp;CK Mappings'!$B415,"")</f>
        <v/>
      </c>
      <c r="K419" s="27" t="str">
        <f>IF(OR(OR(OR(OR(OR(ISNUMBER(SEARCH(IF(K$1&lt;&gt;"",K$1,"NA"),'MITRE ATT&amp;CK Mappings'!$E415)),ISNUMBER(SEARCH(IF(K$1&lt;&gt;"",K$1,"NA"),'MITRE ATT&amp;CK Mappings'!$F415))),ISNUMBER(SEARCH(IF(K$2&lt;&gt;"",K$2,"NA"),'MITRE ATT&amp;CK Mappings'!$G415))),ISNUMBER(SEARCH(IF(K$2&lt;&gt;"",K$2,"NA"),'MITRE ATT&amp;CK Mappings'!$H415))),ISNUMBER(SEARCH(IF(K$3&lt;&gt;"",K$3,"NA"),'MITRE ATT&amp;CK Mappings'!$I415))),ISNUMBER(SEARCH(IF(K$3&lt;&gt;"",K$3,"NA"),'MITRE ATT&amp;CK Mappings'!$J415))), 'MITRE ATT&amp;CK Mappings'!$B415,"")</f>
        <v/>
      </c>
      <c r="L419" s="27" t="str">
        <f>IF('MITRE ATT&amp;CK Mappings'!D415 &lt;&gt;"",'MITRE ATT&amp;CK Mappings'!D415,"" )</f>
        <v/>
      </c>
    </row>
    <row r="420" spans="1:12" x14ac:dyDescent="0.25">
      <c r="A420" s="26" t="str">
        <f>IF(COUNTIF(B420:K420,"="&amp;'MITRE ATT&amp;CK Mappings'!B416)&gt;0,'MITRE ATT&amp;CK Mappings'!B416,"")</f>
        <v/>
      </c>
      <c r="B420" s="26" t="str">
        <f>IF(OR(OR(OR(OR(OR(ISNUMBER(SEARCH(IF(B$1&lt;&gt;"",B$1,"NA"),'MITRE ATT&amp;CK Mappings'!$E416)),ISNUMBER(SEARCH(IF(B$1&lt;&gt;"",B$1,"NA"),'MITRE ATT&amp;CK Mappings'!$F416))),ISNUMBER(SEARCH(IF(B$2&lt;&gt;"",B$2,"NA"),'MITRE ATT&amp;CK Mappings'!$G416))),ISNUMBER(SEARCH(IF(B$2&lt;&gt;"",B$2,"NA"),'MITRE ATT&amp;CK Mappings'!$H416))),ISNUMBER(SEARCH(IF(B$3&lt;&gt;"",B$3,"NA"),'MITRE ATT&amp;CK Mappings'!$I416))),ISNUMBER(SEARCH(IF(B$3&lt;&gt;"",B$3,"NA"),'MITRE ATT&amp;CK Mappings'!$J416))), 'MITRE ATT&amp;CK Mappings'!$B416,"")</f>
        <v/>
      </c>
      <c r="C420" s="26" t="str">
        <f>IF(OR(OR(OR(OR(OR(ISNUMBER(SEARCH(IF(C$1&lt;&gt;"",C$1,"NA"),'MITRE ATT&amp;CK Mappings'!$E416)),ISNUMBER(SEARCH(IF(C$1&lt;&gt;"",C$1,"NA"),'MITRE ATT&amp;CK Mappings'!$F416))),ISNUMBER(SEARCH(IF(C$2&lt;&gt;"",C$2,"NA"),'MITRE ATT&amp;CK Mappings'!$G416))),ISNUMBER(SEARCH(IF(C$2&lt;&gt;"",C$2,"NA"),'MITRE ATT&amp;CK Mappings'!$H416))),ISNUMBER(SEARCH(IF(C$3&lt;&gt;"",C$3,"NA"),'MITRE ATT&amp;CK Mappings'!$I416))),ISNUMBER(SEARCH(IF(C$3&lt;&gt;"",C$3,"NA"),'MITRE ATT&amp;CK Mappings'!$J416))), 'MITRE ATT&amp;CK Mappings'!$B416,"")</f>
        <v/>
      </c>
      <c r="D420" s="26" t="str">
        <f>IF(OR(OR(OR(OR(OR(ISNUMBER(SEARCH(IF(D$1&lt;&gt;"",D$1,"NA"),'MITRE ATT&amp;CK Mappings'!$E416)),ISNUMBER(SEARCH(IF(D$1&lt;&gt;"",D$1,"NA"),'MITRE ATT&amp;CK Mappings'!$F416))),ISNUMBER(SEARCH(IF(D$2&lt;&gt;"",D$2,"NA"),'MITRE ATT&amp;CK Mappings'!$G416))),ISNUMBER(SEARCH(IF(D$2&lt;&gt;"",D$2,"NA"),'MITRE ATT&amp;CK Mappings'!$H416))),ISNUMBER(SEARCH(IF(D$3&lt;&gt;"",D$3,"NA"),'MITRE ATT&amp;CK Mappings'!$I416))),ISNUMBER(SEARCH(IF(D$3&lt;&gt;"",D$3,"NA"),'MITRE ATT&amp;CK Mappings'!$J416))), 'MITRE ATT&amp;CK Mappings'!$B416,"")</f>
        <v/>
      </c>
      <c r="E420" s="26" t="str">
        <f>IF(OR(OR(OR(OR(OR(ISNUMBER(SEARCH(IF(E$1&lt;&gt;"",E$1,"NA"),'MITRE ATT&amp;CK Mappings'!$E416)),ISNUMBER(SEARCH(IF(E$1&lt;&gt;"",E$1,"NA"),'MITRE ATT&amp;CK Mappings'!$F416))),ISNUMBER(SEARCH(IF(E$2&lt;&gt;"",E$2,"NA"),'MITRE ATT&amp;CK Mappings'!$G416))),ISNUMBER(SEARCH(IF(E$2&lt;&gt;"",E$2,"NA"),'MITRE ATT&amp;CK Mappings'!$H416))),ISNUMBER(SEARCH(IF(E$3&lt;&gt;"",E$3,"NA"),'MITRE ATT&amp;CK Mappings'!$I416))),ISNUMBER(SEARCH(IF(E$3&lt;&gt;"",E$3,"NA"),'MITRE ATT&amp;CK Mappings'!$J416))), 'MITRE ATT&amp;CK Mappings'!$B416,"")</f>
        <v/>
      </c>
      <c r="F420" s="26" t="str">
        <f>IF(OR(OR(OR(OR(OR(ISNUMBER(SEARCH(IF(F$1&lt;&gt;"",F$1,"NA"),'MITRE ATT&amp;CK Mappings'!$E416)),ISNUMBER(SEARCH(IF(F$1&lt;&gt;"",F$1,"NA"),'MITRE ATT&amp;CK Mappings'!$F416))),ISNUMBER(SEARCH(IF(F$2&lt;&gt;"",F$2,"NA"),'MITRE ATT&amp;CK Mappings'!$G416))),ISNUMBER(SEARCH(IF(F$2&lt;&gt;"",F$2,"NA"),'MITRE ATT&amp;CK Mappings'!$H416))),ISNUMBER(SEARCH(IF(F$3&lt;&gt;"",F$3,"NA"),'MITRE ATT&amp;CK Mappings'!$I416))),ISNUMBER(SEARCH(IF(F$3&lt;&gt;"",F$3,"NA"),'MITRE ATT&amp;CK Mappings'!$J416))), 'MITRE ATT&amp;CK Mappings'!$B416,"")</f>
        <v/>
      </c>
      <c r="G420" s="26" t="str">
        <f>IF(OR(OR(OR(OR(OR(ISNUMBER(SEARCH(IF(G$1&lt;&gt;"",G$1,"NA"),'MITRE ATT&amp;CK Mappings'!$E416)),ISNUMBER(SEARCH(IF(G$1&lt;&gt;"",G$1,"NA"),'MITRE ATT&amp;CK Mappings'!$F416))),ISNUMBER(SEARCH(IF(G$2&lt;&gt;"",G$2,"NA"),'MITRE ATT&amp;CK Mappings'!$G416))),ISNUMBER(SEARCH(IF(G$2&lt;&gt;"",G$2,"NA"),'MITRE ATT&amp;CK Mappings'!$H416))),ISNUMBER(SEARCH(IF(G$3&lt;&gt;"",G$3,"NA"),'MITRE ATT&amp;CK Mappings'!$I416))),ISNUMBER(SEARCH(IF(G$3&lt;&gt;"",G$3,"NA"),'MITRE ATT&amp;CK Mappings'!$J416))), 'MITRE ATT&amp;CK Mappings'!$B416,"")</f>
        <v/>
      </c>
      <c r="H420" s="26" t="str">
        <f>IF(OR(OR(OR(OR(OR(ISNUMBER(SEARCH(IF(H$1&lt;&gt;"",H$1,"NA"),'MITRE ATT&amp;CK Mappings'!$E416)),ISNUMBER(SEARCH(IF(H$1&lt;&gt;"",H$1,"NA"),'MITRE ATT&amp;CK Mappings'!$F416))),ISNUMBER(SEARCH(IF(H$2&lt;&gt;"",H$2,"NA"),'MITRE ATT&amp;CK Mappings'!$G416))),ISNUMBER(SEARCH(IF(H$2&lt;&gt;"",H$2,"NA"),'MITRE ATT&amp;CK Mappings'!$H416))),ISNUMBER(SEARCH(IF(H$3&lt;&gt;"",H$3,"NA"),'MITRE ATT&amp;CK Mappings'!$I416))),ISNUMBER(SEARCH(IF(H$3&lt;&gt;"",H$3,"NA"),'MITRE ATT&amp;CK Mappings'!$J416))), 'MITRE ATT&amp;CK Mappings'!$B416,"")</f>
        <v/>
      </c>
      <c r="I420" s="26" t="str">
        <f>IF(OR(OR(OR(OR(OR(ISNUMBER(SEARCH(IF(I$1&lt;&gt;"",I$1,"NA"),'MITRE ATT&amp;CK Mappings'!$E416)),ISNUMBER(SEARCH(IF(I$1&lt;&gt;"",I$1,"NA"),'MITRE ATT&amp;CK Mappings'!$F416))),ISNUMBER(SEARCH(IF(I$2&lt;&gt;"",I$2,"NA"),'MITRE ATT&amp;CK Mappings'!$G416))),ISNUMBER(SEARCH(IF(I$2&lt;&gt;"",I$2,"NA"),'MITRE ATT&amp;CK Mappings'!$H416))),ISNUMBER(SEARCH(IF(I$3&lt;&gt;"",I$3,"NA"),'MITRE ATT&amp;CK Mappings'!$I416))),ISNUMBER(SEARCH(IF(I$3&lt;&gt;"",I$3,"NA"),'MITRE ATT&amp;CK Mappings'!$J416))), 'MITRE ATT&amp;CK Mappings'!$B416,"")</f>
        <v/>
      </c>
      <c r="J420" s="26" t="str">
        <f>IF(OR(OR(OR(OR(OR(ISNUMBER(SEARCH(IF(J$1&lt;&gt;"",J$1,"NA"),'MITRE ATT&amp;CK Mappings'!$E416)),ISNUMBER(SEARCH(IF(J$1&lt;&gt;"",J$1,"NA"),'MITRE ATT&amp;CK Mappings'!$F416))),ISNUMBER(SEARCH(IF(J$2&lt;&gt;"",J$2,"NA"),'MITRE ATT&amp;CK Mappings'!$G416))),ISNUMBER(SEARCH(IF(J$2&lt;&gt;"",J$2,"NA"),'MITRE ATT&amp;CK Mappings'!$H416))),ISNUMBER(SEARCH(IF(J$3&lt;&gt;"",J$3,"NA"),'MITRE ATT&amp;CK Mappings'!$I416))),ISNUMBER(SEARCH(IF(J$3&lt;&gt;"",J$3,"NA"),'MITRE ATT&amp;CK Mappings'!$J416))), 'MITRE ATT&amp;CK Mappings'!$B416,"")</f>
        <v/>
      </c>
      <c r="K420" s="26" t="str">
        <f>IF(OR(OR(OR(OR(OR(ISNUMBER(SEARCH(IF(K$1&lt;&gt;"",K$1,"NA"),'MITRE ATT&amp;CK Mappings'!$E416)),ISNUMBER(SEARCH(IF(K$1&lt;&gt;"",K$1,"NA"),'MITRE ATT&amp;CK Mappings'!$F416))),ISNUMBER(SEARCH(IF(K$2&lt;&gt;"",K$2,"NA"),'MITRE ATT&amp;CK Mappings'!$G416))),ISNUMBER(SEARCH(IF(K$2&lt;&gt;"",K$2,"NA"),'MITRE ATT&amp;CK Mappings'!$H416))),ISNUMBER(SEARCH(IF(K$3&lt;&gt;"",K$3,"NA"),'MITRE ATT&amp;CK Mappings'!$I416))),ISNUMBER(SEARCH(IF(K$3&lt;&gt;"",K$3,"NA"),'MITRE ATT&amp;CK Mappings'!$J416))), 'MITRE ATT&amp;CK Mappings'!$B416,"")</f>
        <v/>
      </c>
      <c r="L420" s="26" t="str">
        <f>IF('MITRE ATT&amp;CK Mappings'!D416 &lt;&gt;"",'MITRE ATT&amp;CK Mappings'!D416,"" )</f>
        <v/>
      </c>
    </row>
    <row r="421" spans="1:12" x14ac:dyDescent="0.25">
      <c r="A421" s="27" t="str">
        <f>IF(COUNTIF(B421:K421,"="&amp;'MITRE ATT&amp;CK Mappings'!B417)&gt;0,'MITRE ATT&amp;CK Mappings'!B417,"")</f>
        <v/>
      </c>
      <c r="B421" s="27" t="str">
        <f>IF(OR(OR(OR(OR(OR(ISNUMBER(SEARCH(IF(B$1&lt;&gt;"",B$1,"NA"),'MITRE ATT&amp;CK Mappings'!$E417)),ISNUMBER(SEARCH(IF(B$1&lt;&gt;"",B$1,"NA"),'MITRE ATT&amp;CK Mappings'!$F417))),ISNUMBER(SEARCH(IF(B$2&lt;&gt;"",B$2,"NA"),'MITRE ATT&amp;CK Mappings'!$G417))),ISNUMBER(SEARCH(IF(B$2&lt;&gt;"",B$2,"NA"),'MITRE ATT&amp;CK Mappings'!$H417))),ISNUMBER(SEARCH(IF(B$3&lt;&gt;"",B$3,"NA"),'MITRE ATT&amp;CK Mappings'!$I417))),ISNUMBER(SEARCH(IF(B$3&lt;&gt;"",B$3,"NA"),'MITRE ATT&amp;CK Mappings'!$J417))), 'MITRE ATT&amp;CK Mappings'!$B417,"")</f>
        <v/>
      </c>
      <c r="C421" s="27" t="str">
        <f>IF(OR(OR(OR(OR(OR(ISNUMBER(SEARCH(IF(C$1&lt;&gt;"",C$1,"NA"),'MITRE ATT&amp;CK Mappings'!$E417)),ISNUMBER(SEARCH(IF(C$1&lt;&gt;"",C$1,"NA"),'MITRE ATT&amp;CK Mappings'!$F417))),ISNUMBER(SEARCH(IF(C$2&lt;&gt;"",C$2,"NA"),'MITRE ATT&amp;CK Mappings'!$G417))),ISNUMBER(SEARCH(IF(C$2&lt;&gt;"",C$2,"NA"),'MITRE ATT&amp;CK Mappings'!$H417))),ISNUMBER(SEARCH(IF(C$3&lt;&gt;"",C$3,"NA"),'MITRE ATT&amp;CK Mappings'!$I417))),ISNUMBER(SEARCH(IF(C$3&lt;&gt;"",C$3,"NA"),'MITRE ATT&amp;CK Mappings'!$J417))), 'MITRE ATT&amp;CK Mappings'!$B417,"")</f>
        <v/>
      </c>
      <c r="D421" s="27" t="str">
        <f>IF(OR(OR(OR(OR(OR(ISNUMBER(SEARCH(IF(D$1&lt;&gt;"",D$1,"NA"),'MITRE ATT&amp;CK Mappings'!$E417)),ISNUMBER(SEARCH(IF(D$1&lt;&gt;"",D$1,"NA"),'MITRE ATT&amp;CK Mappings'!$F417))),ISNUMBER(SEARCH(IF(D$2&lt;&gt;"",D$2,"NA"),'MITRE ATT&amp;CK Mappings'!$G417))),ISNUMBER(SEARCH(IF(D$2&lt;&gt;"",D$2,"NA"),'MITRE ATT&amp;CK Mappings'!$H417))),ISNUMBER(SEARCH(IF(D$3&lt;&gt;"",D$3,"NA"),'MITRE ATT&amp;CK Mappings'!$I417))),ISNUMBER(SEARCH(IF(D$3&lt;&gt;"",D$3,"NA"),'MITRE ATT&amp;CK Mappings'!$J417))), 'MITRE ATT&amp;CK Mappings'!$B417,"")</f>
        <v/>
      </c>
      <c r="E421" s="27" t="str">
        <f>IF(OR(OR(OR(OR(OR(ISNUMBER(SEARCH(IF(E$1&lt;&gt;"",E$1,"NA"),'MITRE ATT&amp;CK Mappings'!$E417)),ISNUMBER(SEARCH(IF(E$1&lt;&gt;"",E$1,"NA"),'MITRE ATT&amp;CK Mappings'!$F417))),ISNUMBER(SEARCH(IF(E$2&lt;&gt;"",E$2,"NA"),'MITRE ATT&amp;CK Mappings'!$G417))),ISNUMBER(SEARCH(IF(E$2&lt;&gt;"",E$2,"NA"),'MITRE ATT&amp;CK Mappings'!$H417))),ISNUMBER(SEARCH(IF(E$3&lt;&gt;"",E$3,"NA"),'MITRE ATT&amp;CK Mappings'!$I417))),ISNUMBER(SEARCH(IF(E$3&lt;&gt;"",E$3,"NA"),'MITRE ATT&amp;CK Mappings'!$J417))), 'MITRE ATT&amp;CK Mappings'!$B417,"")</f>
        <v/>
      </c>
      <c r="F421" s="27" t="str">
        <f>IF(OR(OR(OR(OR(OR(ISNUMBER(SEARCH(IF(F$1&lt;&gt;"",F$1,"NA"),'MITRE ATT&amp;CK Mappings'!$E417)),ISNUMBER(SEARCH(IF(F$1&lt;&gt;"",F$1,"NA"),'MITRE ATT&amp;CK Mappings'!$F417))),ISNUMBER(SEARCH(IF(F$2&lt;&gt;"",F$2,"NA"),'MITRE ATT&amp;CK Mappings'!$G417))),ISNUMBER(SEARCH(IF(F$2&lt;&gt;"",F$2,"NA"),'MITRE ATT&amp;CK Mappings'!$H417))),ISNUMBER(SEARCH(IF(F$3&lt;&gt;"",F$3,"NA"),'MITRE ATT&amp;CK Mappings'!$I417))),ISNUMBER(SEARCH(IF(F$3&lt;&gt;"",F$3,"NA"),'MITRE ATT&amp;CK Mappings'!$J417))), 'MITRE ATT&amp;CK Mappings'!$B417,"")</f>
        <v/>
      </c>
      <c r="G421" s="27" t="str">
        <f>IF(OR(OR(OR(OR(OR(ISNUMBER(SEARCH(IF(G$1&lt;&gt;"",G$1,"NA"),'MITRE ATT&amp;CK Mappings'!$E417)),ISNUMBER(SEARCH(IF(G$1&lt;&gt;"",G$1,"NA"),'MITRE ATT&amp;CK Mappings'!$F417))),ISNUMBER(SEARCH(IF(G$2&lt;&gt;"",G$2,"NA"),'MITRE ATT&amp;CK Mappings'!$G417))),ISNUMBER(SEARCH(IF(G$2&lt;&gt;"",G$2,"NA"),'MITRE ATT&amp;CK Mappings'!$H417))),ISNUMBER(SEARCH(IF(G$3&lt;&gt;"",G$3,"NA"),'MITRE ATT&amp;CK Mappings'!$I417))),ISNUMBER(SEARCH(IF(G$3&lt;&gt;"",G$3,"NA"),'MITRE ATT&amp;CK Mappings'!$J417))), 'MITRE ATT&amp;CK Mappings'!$B417,"")</f>
        <v/>
      </c>
      <c r="H421" s="27" t="str">
        <f>IF(OR(OR(OR(OR(OR(ISNUMBER(SEARCH(IF(H$1&lt;&gt;"",H$1,"NA"),'MITRE ATT&amp;CK Mappings'!$E417)),ISNUMBER(SEARCH(IF(H$1&lt;&gt;"",H$1,"NA"),'MITRE ATT&amp;CK Mappings'!$F417))),ISNUMBER(SEARCH(IF(H$2&lt;&gt;"",H$2,"NA"),'MITRE ATT&amp;CK Mappings'!$G417))),ISNUMBER(SEARCH(IF(H$2&lt;&gt;"",H$2,"NA"),'MITRE ATT&amp;CK Mappings'!$H417))),ISNUMBER(SEARCH(IF(H$3&lt;&gt;"",H$3,"NA"),'MITRE ATT&amp;CK Mappings'!$I417))),ISNUMBER(SEARCH(IF(H$3&lt;&gt;"",H$3,"NA"),'MITRE ATT&amp;CK Mappings'!$J417))), 'MITRE ATT&amp;CK Mappings'!$B417,"")</f>
        <v/>
      </c>
      <c r="I421" s="27" t="str">
        <f>IF(OR(OR(OR(OR(OR(ISNUMBER(SEARCH(IF(I$1&lt;&gt;"",I$1,"NA"),'MITRE ATT&amp;CK Mappings'!$E417)),ISNUMBER(SEARCH(IF(I$1&lt;&gt;"",I$1,"NA"),'MITRE ATT&amp;CK Mappings'!$F417))),ISNUMBER(SEARCH(IF(I$2&lt;&gt;"",I$2,"NA"),'MITRE ATT&amp;CK Mappings'!$G417))),ISNUMBER(SEARCH(IF(I$2&lt;&gt;"",I$2,"NA"),'MITRE ATT&amp;CK Mappings'!$H417))),ISNUMBER(SEARCH(IF(I$3&lt;&gt;"",I$3,"NA"),'MITRE ATT&amp;CK Mappings'!$I417))),ISNUMBER(SEARCH(IF(I$3&lt;&gt;"",I$3,"NA"),'MITRE ATT&amp;CK Mappings'!$J417))), 'MITRE ATT&amp;CK Mappings'!$B417,"")</f>
        <v/>
      </c>
      <c r="J421" s="27" t="str">
        <f>IF(OR(OR(OR(OR(OR(ISNUMBER(SEARCH(IF(J$1&lt;&gt;"",J$1,"NA"),'MITRE ATT&amp;CK Mappings'!$E417)),ISNUMBER(SEARCH(IF(J$1&lt;&gt;"",J$1,"NA"),'MITRE ATT&amp;CK Mappings'!$F417))),ISNUMBER(SEARCH(IF(J$2&lt;&gt;"",J$2,"NA"),'MITRE ATT&amp;CK Mappings'!$G417))),ISNUMBER(SEARCH(IF(J$2&lt;&gt;"",J$2,"NA"),'MITRE ATT&amp;CK Mappings'!$H417))),ISNUMBER(SEARCH(IF(J$3&lt;&gt;"",J$3,"NA"),'MITRE ATT&amp;CK Mappings'!$I417))),ISNUMBER(SEARCH(IF(J$3&lt;&gt;"",J$3,"NA"),'MITRE ATT&amp;CK Mappings'!$J417))), 'MITRE ATT&amp;CK Mappings'!$B417,"")</f>
        <v/>
      </c>
      <c r="K421" s="27" t="str">
        <f>IF(OR(OR(OR(OR(OR(ISNUMBER(SEARCH(IF(K$1&lt;&gt;"",K$1,"NA"),'MITRE ATT&amp;CK Mappings'!$E417)),ISNUMBER(SEARCH(IF(K$1&lt;&gt;"",K$1,"NA"),'MITRE ATT&amp;CK Mappings'!$F417))),ISNUMBER(SEARCH(IF(K$2&lt;&gt;"",K$2,"NA"),'MITRE ATT&amp;CK Mappings'!$G417))),ISNUMBER(SEARCH(IF(K$2&lt;&gt;"",K$2,"NA"),'MITRE ATT&amp;CK Mappings'!$H417))),ISNUMBER(SEARCH(IF(K$3&lt;&gt;"",K$3,"NA"),'MITRE ATT&amp;CK Mappings'!$I417))),ISNUMBER(SEARCH(IF(K$3&lt;&gt;"",K$3,"NA"),'MITRE ATT&amp;CK Mappings'!$J417))), 'MITRE ATT&amp;CK Mappings'!$B417,"")</f>
        <v/>
      </c>
      <c r="L421" s="27" t="str">
        <f>IF('MITRE ATT&amp;CK Mappings'!D417 &lt;&gt;"",'MITRE ATT&amp;CK Mappings'!D417,"" )</f>
        <v/>
      </c>
    </row>
    <row r="422" spans="1:12" x14ac:dyDescent="0.25">
      <c r="A422" s="26" t="str">
        <f>IF(COUNTIF(B422:K422,"="&amp;'MITRE ATT&amp;CK Mappings'!B418)&gt;0,'MITRE ATT&amp;CK Mappings'!B418,"")</f>
        <v/>
      </c>
      <c r="B422" s="26" t="str">
        <f>IF(OR(OR(OR(OR(OR(ISNUMBER(SEARCH(IF(B$1&lt;&gt;"",B$1,"NA"),'MITRE ATT&amp;CK Mappings'!$E418)),ISNUMBER(SEARCH(IF(B$1&lt;&gt;"",B$1,"NA"),'MITRE ATT&amp;CK Mappings'!$F418))),ISNUMBER(SEARCH(IF(B$2&lt;&gt;"",B$2,"NA"),'MITRE ATT&amp;CK Mappings'!$G418))),ISNUMBER(SEARCH(IF(B$2&lt;&gt;"",B$2,"NA"),'MITRE ATT&amp;CK Mappings'!$H418))),ISNUMBER(SEARCH(IF(B$3&lt;&gt;"",B$3,"NA"),'MITRE ATT&amp;CK Mappings'!$I418))),ISNUMBER(SEARCH(IF(B$3&lt;&gt;"",B$3,"NA"),'MITRE ATT&amp;CK Mappings'!$J418))), 'MITRE ATT&amp;CK Mappings'!$B418,"")</f>
        <v/>
      </c>
      <c r="C422" s="26" t="str">
        <f>IF(OR(OR(OR(OR(OR(ISNUMBER(SEARCH(IF(C$1&lt;&gt;"",C$1,"NA"),'MITRE ATT&amp;CK Mappings'!$E418)),ISNUMBER(SEARCH(IF(C$1&lt;&gt;"",C$1,"NA"),'MITRE ATT&amp;CK Mappings'!$F418))),ISNUMBER(SEARCH(IF(C$2&lt;&gt;"",C$2,"NA"),'MITRE ATT&amp;CK Mappings'!$G418))),ISNUMBER(SEARCH(IF(C$2&lt;&gt;"",C$2,"NA"),'MITRE ATT&amp;CK Mappings'!$H418))),ISNUMBER(SEARCH(IF(C$3&lt;&gt;"",C$3,"NA"),'MITRE ATT&amp;CK Mappings'!$I418))),ISNUMBER(SEARCH(IF(C$3&lt;&gt;"",C$3,"NA"),'MITRE ATT&amp;CK Mappings'!$J418))), 'MITRE ATT&amp;CK Mappings'!$B418,"")</f>
        <v/>
      </c>
      <c r="D422" s="26" t="str">
        <f>IF(OR(OR(OR(OR(OR(ISNUMBER(SEARCH(IF(D$1&lt;&gt;"",D$1,"NA"),'MITRE ATT&amp;CK Mappings'!$E418)),ISNUMBER(SEARCH(IF(D$1&lt;&gt;"",D$1,"NA"),'MITRE ATT&amp;CK Mappings'!$F418))),ISNUMBER(SEARCH(IF(D$2&lt;&gt;"",D$2,"NA"),'MITRE ATT&amp;CK Mappings'!$G418))),ISNUMBER(SEARCH(IF(D$2&lt;&gt;"",D$2,"NA"),'MITRE ATT&amp;CK Mappings'!$H418))),ISNUMBER(SEARCH(IF(D$3&lt;&gt;"",D$3,"NA"),'MITRE ATT&amp;CK Mappings'!$I418))),ISNUMBER(SEARCH(IF(D$3&lt;&gt;"",D$3,"NA"),'MITRE ATT&amp;CK Mappings'!$J418))), 'MITRE ATT&amp;CK Mappings'!$B418,"")</f>
        <v/>
      </c>
      <c r="E422" s="26" t="str">
        <f>IF(OR(OR(OR(OR(OR(ISNUMBER(SEARCH(IF(E$1&lt;&gt;"",E$1,"NA"),'MITRE ATT&amp;CK Mappings'!$E418)),ISNUMBER(SEARCH(IF(E$1&lt;&gt;"",E$1,"NA"),'MITRE ATT&amp;CK Mappings'!$F418))),ISNUMBER(SEARCH(IF(E$2&lt;&gt;"",E$2,"NA"),'MITRE ATT&amp;CK Mappings'!$G418))),ISNUMBER(SEARCH(IF(E$2&lt;&gt;"",E$2,"NA"),'MITRE ATT&amp;CK Mappings'!$H418))),ISNUMBER(SEARCH(IF(E$3&lt;&gt;"",E$3,"NA"),'MITRE ATT&amp;CK Mappings'!$I418))),ISNUMBER(SEARCH(IF(E$3&lt;&gt;"",E$3,"NA"),'MITRE ATT&amp;CK Mappings'!$J418))), 'MITRE ATT&amp;CK Mappings'!$B418,"")</f>
        <v/>
      </c>
      <c r="F422" s="26" t="str">
        <f>IF(OR(OR(OR(OR(OR(ISNUMBER(SEARCH(IF(F$1&lt;&gt;"",F$1,"NA"),'MITRE ATT&amp;CK Mappings'!$E418)),ISNUMBER(SEARCH(IF(F$1&lt;&gt;"",F$1,"NA"),'MITRE ATT&amp;CK Mappings'!$F418))),ISNUMBER(SEARCH(IF(F$2&lt;&gt;"",F$2,"NA"),'MITRE ATT&amp;CK Mappings'!$G418))),ISNUMBER(SEARCH(IF(F$2&lt;&gt;"",F$2,"NA"),'MITRE ATT&amp;CK Mappings'!$H418))),ISNUMBER(SEARCH(IF(F$3&lt;&gt;"",F$3,"NA"),'MITRE ATT&amp;CK Mappings'!$I418))),ISNUMBER(SEARCH(IF(F$3&lt;&gt;"",F$3,"NA"),'MITRE ATT&amp;CK Mappings'!$J418))), 'MITRE ATT&amp;CK Mappings'!$B418,"")</f>
        <v/>
      </c>
      <c r="G422" s="26" t="str">
        <f>IF(OR(OR(OR(OR(OR(ISNUMBER(SEARCH(IF(G$1&lt;&gt;"",G$1,"NA"),'MITRE ATT&amp;CK Mappings'!$E418)),ISNUMBER(SEARCH(IF(G$1&lt;&gt;"",G$1,"NA"),'MITRE ATT&amp;CK Mappings'!$F418))),ISNUMBER(SEARCH(IF(G$2&lt;&gt;"",G$2,"NA"),'MITRE ATT&amp;CK Mappings'!$G418))),ISNUMBER(SEARCH(IF(G$2&lt;&gt;"",G$2,"NA"),'MITRE ATT&amp;CK Mappings'!$H418))),ISNUMBER(SEARCH(IF(G$3&lt;&gt;"",G$3,"NA"),'MITRE ATT&amp;CK Mappings'!$I418))),ISNUMBER(SEARCH(IF(G$3&lt;&gt;"",G$3,"NA"),'MITRE ATT&amp;CK Mappings'!$J418))), 'MITRE ATT&amp;CK Mappings'!$B418,"")</f>
        <v/>
      </c>
      <c r="H422" s="26" t="str">
        <f>IF(OR(OR(OR(OR(OR(ISNUMBER(SEARCH(IF(H$1&lt;&gt;"",H$1,"NA"),'MITRE ATT&amp;CK Mappings'!$E418)),ISNUMBER(SEARCH(IF(H$1&lt;&gt;"",H$1,"NA"),'MITRE ATT&amp;CK Mappings'!$F418))),ISNUMBER(SEARCH(IF(H$2&lt;&gt;"",H$2,"NA"),'MITRE ATT&amp;CK Mappings'!$G418))),ISNUMBER(SEARCH(IF(H$2&lt;&gt;"",H$2,"NA"),'MITRE ATT&amp;CK Mappings'!$H418))),ISNUMBER(SEARCH(IF(H$3&lt;&gt;"",H$3,"NA"),'MITRE ATT&amp;CK Mappings'!$I418))),ISNUMBER(SEARCH(IF(H$3&lt;&gt;"",H$3,"NA"),'MITRE ATT&amp;CK Mappings'!$J418))), 'MITRE ATT&amp;CK Mappings'!$B418,"")</f>
        <v/>
      </c>
      <c r="I422" s="26" t="str">
        <f>IF(OR(OR(OR(OR(OR(ISNUMBER(SEARCH(IF(I$1&lt;&gt;"",I$1,"NA"),'MITRE ATT&amp;CK Mappings'!$E418)),ISNUMBER(SEARCH(IF(I$1&lt;&gt;"",I$1,"NA"),'MITRE ATT&amp;CK Mappings'!$F418))),ISNUMBER(SEARCH(IF(I$2&lt;&gt;"",I$2,"NA"),'MITRE ATT&amp;CK Mappings'!$G418))),ISNUMBER(SEARCH(IF(I$2&lt;&gt;"",I$2,"NA"),'MITRE ATT&amp;CK Mappings'!$H418))),ISNUMBER(SEARCH(IF(I$3&lt;&gt;"",I$3,"NA"),'MITRE ATT&amp;CK Mappings'!$I418))),ISNUMBER(SEARCH(IF(I$3&lt;&gt;"",I$3,"NA"),'MITRE ATT&amp;CK Mappings'!$J418))), 'MITRE ATT&amp;CK Mappings'!$B418,"")</f>
        <v/>
      </c>
      <c r="J422" s="26" t="str">
        <f>IF(OR(OR(OR(OR(OR(ISNUMBER(SEARCH(IF(J$1&lt;&gt;"",J$1,"NA"),'MITRE ATT&amp;CK Mappings'!$E418)),ISNUMBER(SEARCH(IF(J$1&lt;&gt;"",J$1,"NA"),'MITRE ATT&amp;CK Mappings'!$F418))),ISNUMBER(SEARCH(IF(J$2&lt;&gt;"",J$2,"NA"),'MITRE ATT&amp;CK Mappings'!$G418))),ISNUMBER(SEARCH(IF(J$2&lt;&gt;"",J$2,"NA"),'MITRE ATT&amp;CK Mappings'!$H418))),ISNUMBER(SEARCH(IF(J$3&lt;&gt;"",J$3,"NA"),'MITRE ATT&amp;CK Mappings'!$I418))),ISNUMBER(SEARCH(IF(J$3&lt;&gt;"",J$3,"NA"),'MITRE ATT&amp;CK Mappings'!$J418))), 'MITRE ATT&amp;CK Mappings'!$B418,"")</f>
        <v/>
      </c>
      <c r="K422" s="26" t="str">
        <f>IF(OR(OR(OR(OR(OR(ISNUMBER(SEARCH(IF(K$1&lt;&gt;"",K$1,"NA"),'MITRE ATT&amp;CK Mappings'!$E418)),ISNUMBER(SEARCH(IF(K$1&lt;&gt;"",K$1,"NA"),'MITRE ATT&amp;CK Mappings'!$F418))),ISNUMBER(SEARCH(IF(K$2&lt;&gt;"",K$2,"NA"),'MITRE ATT&amp;CK Mappings'!$G418))),ISNUMBER(SEARCH(IF(K$2&lt;&gt;"",K$2,"NA"),'MITRE ATT&amp;CK Mappings'!$H418))),ISNUMBER(SEARCH(IF(K$3&lt;&gt;"",K$3,"NA"),'MITRE ATT&amp;CK Mappings'!$I418))),ISNUMBER(SEARCH(IF(K$3&lt;&gt;"",K$3,"NA"),'MITRE ATT&amp;CK Mappings'!$J418))), 'MITRE ATT&amp;CK Mappings'!$B418,"")</f>
        <v/>
      </c>
      <c r="L422" s="26" t="str">
        <f>IF('MITRE ATT&amp;CK Mappings'!D418 &lt;&gt;"",'MITRE ATT&amp;CK Mappings'!D418,"" )</f>
        <v/>
      </c>
    </row>
    <row r="423" spans="1:12" x14ac:dyDescent="0.25">
      <c r="A423" s="27" t="str">
        <f>IF(COUNTIF(B423:K423,"="&amp;'MITRE ATT&amp;CK Mappings'!B419)&gt;0,'MITRE ATT&amp;CK Mappings'!B419,"")</f>
        <v/>
      </c>
      <c r="B423" s="27" t="str">
        <f>IF(OR(OR(OR(OR(OR(ISNUMBER(SEARCH(IF(B$1&lt;&gt;"",B$1,"NA"),'MITRE ATT&amp;CK Mappings'!$E419)),ISNUMBER(SEARCH(IF(B$1&lt;&gt;"",B$1,"NA"),'MITRE ATT&amp;CK Mappings'!$F419))),ISNUMBER(SEARCH(IF(B$2&lt;&gt;"",B$2,"NA"),'MITRE ATT&amp;CK Mappings'!$G419))),ISNUMBER(SEARCH(IF(B$2&lt;&gt;"",B$2,"NA"),'MITRE ATT&amp;CK Mappings'!$H419))),ISNUMBER(SEARCH(IF(B$3&lt;&gt;"",B$3,"NA"),'MITRE ATT&amp;CK Mappings'!$I419))),ISNUMBER(SEARCH(IF(B$3&lt;&gt;"",B$3,"NA"),'MITRE ATT&amp;CK Mappings'!$J419))), 'MITRE ATT&amp;CK Mappings'!$B419,"")</f>
        <v/>
      </c>
      <c r="C423" s="27" t="str">
        <f>IF(OR(OR(OR(OR(OR(ISNUMBER(SEARCH(IF(C$1&lt;&gt;"",C$1,"NA"),'MITRE ATT&amp;CK Mappings'!$E419)),ISNUMBER(SEARCH(IF(C$1&lt;&gt;"",C$1,"NA"),'MITRE ATT&amp;CK Mappings'!$F419))),ISNUMBER(SEARCH(IF(C$2&lt;&gt;"",C$2,"NA"),'MITRE ATT&amp;CK Mappings'!$G419))),ISNUMBER(SEARCH(IF(C$2&lt;&gt;"",C$2,"NA"),'MITRE ATT&amp;CK Mappings'!$H419))),ISNUMBER(SEARCH(IF(C$3&lt;&gt;"",C$3,"NA"),'MITRE ATT&amp;CK Mappings'!$I419))),ISNUMBER(SEARCH(IF(C$3&lt;&gt;"",C$3,"NA"),'MITRE ATT&amp;CK Mappings'!$J419))), 'MITRE ATT&amp;CK Mappings'!$B419,"")</f>
        <v/>
      </c>
      <c r="D423" s="27" t="str">
        <f>IF(OR(OR(OR(OR(OR(ISNUMBER(SEARCH(IF(D$1&lt;&gt;"",D$1,"NA"),'MITRE ATT&amp;CK Mappings'!$E419)),ISNUMBER(SEARCH(IF(D$1&lt;&gt;"",D$1,"NA"),'MITRE ATT&amp;CK Mappings'!$F419))),ISNUMBER(SEARCH(IF(D$2&lt;&gt;"",D$2,"NA"),'MITRE ATT&amp;CK Mappings'!$G419))),ISNUMBER(SEARCH(IF(D$2&lt;&gt;"",D$2,"NA"),'MITRE ATT&amp;CK Mappings'!$H419))),ISNUMBER(SEARCH(IF(D$3&lt;&gt;"",D$3,"NA"),'MITRE ATT&amp;CK Mappings'!$I419))),ISNUMBER(SEARCH(IF(D$3&lt;&gt;"",D$3,"NA"),'MITRE ATT&amp;CK Mappings'!$J419))), 'MITRE ATT&amp;CK Mappings'!$B419,"")</f>
        <v/>
      </c>
      <c r="E423" s="27" t="str">
        <f>IF(OR(OR(OR(OR(OR(ISNUMBER(SEARCH(IF(E$1&lt;&gt;"",E$1,"NA"),'MITRE ATT&amp;CK Mappings'!$E419)),ISNUMBER(SEARCH(IF(E$1&lt;&gt;"",E$1,"NA"),'MITRE ATT&amp;CK Mappings'!$F419))),ISNUMBER(SEARCH(IF(E$2&lt;&gt;"",E$2,"NA"),'MITRE ATT&amp;CK Mappings'!$G419))),ISNUMBER(SEARCH(IF(E$2&lt;&gt;"",E$2,"NA"),'MITRE ATT&amp;CK Mappings'!$H419))),ISNUMBER(SEARCH(IF(E$3&lt;&gt;"",E$3,"NA"),'MITRE ATT&amp;CK Mappings'!$I419))),ISNUMBER(SEARCH(IF(E$3&lt;&gt;"",E$3,"NA"),'MITRE ATT&amp;CK Mappings'!$J419))), 'MITRE ATT&amp;CK Mappings'!$B419,"")</f>
        <v/>
      </c>
      <c r="F423" s="27" t="str">
        <f>IF(OR(OR(OR(OR(OR(ISNUMBER(SEARCH(IF(F$1&lt;&gt;"",F$1,"NA"),'MITRE ATT&amp;CK Mappings'!$E419)),ISNUMBER(SEARCH(IF(F$1&lt;&gt;"",F$1,"NA"),'MITRE ATT&amp;CK Mappings'!$F419))),ISNUMBER(SEARCH(IF(F$2&lt;&gt;"",F$2,"NA"),'MITRE ATT&amp;CK Mappings'!$G419))),ISNUMBER(SEARCH(IF(F$2&lt;&gt;"",F$2,"NA"),'MITRE ATT&amp;CK Mappings'!$H419))),ISNUMBER(SEARCH(IF(F$3&lt;&gt;"",F$3,"NA"),'MITRE ATT&amp;CK Mappings'!$I419))),ISNUMBER(SEARCH(IF(F$3&lt;&gt;"",F$3,"NA"),'MITRE ATT&amp;CK Mappings'!$J419))), 'MITRE ATT&amp;CK Mappings'!$B419,"")</f>
        <v/>
      </c>
      <c r="G423" s="27" t="str">
        <f>IF(OR(OR(OR(OR(OR(ISNUMBER(SEARCH(IF(G$1&lt;&gt;"",G$1,"NA"),'MITRE ATT&amp;CK Mappings'!$E419)),ISNUMBER(SEARCH(IF(G$1&lt;&gt;"",G$1,"NA"),'MITRE ATT&amp;CK Mappings'!$F419))),ISNUMBER(SEARCH(IF(G$2&lt;&gt;"",G$2,"NA"),'MITRE ATT&amp;CK Mappings'!$G419))),ISNUMBER(SEARCH(IF(G$2&lt;&gt;"",G$2,"NA"),'MITRE ATT&amp;CK Mappings'!$H419))),ISNUMBER(SEARCH(IF(G$3&lt;&gt;"",G$3,"NA"),'MITRE ATT&amp;CK Mappings'!$I419))),ISNUMBER(SEARCH(IF(G$3&lt;&gt;"",G$3,"NA"),'MITRE ATT&amp;CK Mappings'!$J419))), 'MITRE ATT&amp;CK Mappings'!$B419,"")</f>
        <v/>
      </c>
      <c r="H423" s="27" t="str">
        <f>IF(OR(OR(OR(OR(OR(ISNUMBER(SEARCH(IF(H$1&lt;&gt;"",H$1,"NA"),'MITRE ATT&amp;CK Mappings'!$E419)),ISNUMBER(SEARCH(IF(H$1&lt;&gt;"",H$1,"NA"),'MITRE ATT&amp;CK Mappings'!$F419))),ISNUMBER(SEARCH(IF(H$2&lt;&gt;"",H$2,"NA"),'MITRE ATT&amp;CK Mappings'!$G419))),ISNUMBER(SEARCH(IF(H$2&lt;&gt;"",H$2,"NA"),'MITRE ATT&amp;CK Mappings'!$H419))),ISNUMBER(SEARCH(IF(H$3&lt;&gt;"",H$3,"NA"),'MITRE ATT&amp;CK Mappings'!$I419))),ISNUMBER(SEARCH(IF(H$3&lt;&gt;"",H$3,"NA"),'MITRE ATT&amp;CK Mappings'!$J419))), 'MITRE ATT&amp;CK Mappings'!$B419,"")</f>
        <v/>
      </c>
      <c r="I423" s="27" t="str">
        <f>IF(OR(OR(OR(OR(OR(ISNUMBER(SEARCH(IF(I$1&lt;&gt;"",I$1,"NA"),'MITRE ATT&amp;CK Mappings'!$E419)),ISNUMBER(SEARCH(IF(I$1&lt;&gt;"",I$1,"NA"),'MITRE ATT&amp;CK Mappings'!$F419))),ISNUMBER(SEARCH(IF(I$2&lt;&gt;"",I$2,"NA"),'MITRE ATT&amp;CK Mappings'!$G419))),ISNUMBER(SEARCH(IF(I$2&lt;&gt;"",I$2,"NA"),'MITRE ATT&amp;CK Mappings'!$H419))),ISNUMBER(SEARCH(IF(I$3&lt;&gt;"",I$3,"NA"),'MITRE ATT&amp;CK Mappings'!$I419))),ISNUMBER(SEARCH(IF(I$3&lt;&gt;"",I$3,"NA"),'MITRE ATT&amp;CK Mappings'!$J419))), 'MITRE ATT&amp;CK Mappings'!$B419,"")</f>
        <v/>
      </c>
      <c r="J423" s="27" t="str">
        <f>IF(OR(OR(OR(OR(OR(ISNUMBER(SEARCH(IF(J$1&lt;&gt;"",J$1,"NA"),'MITRE ATT&amp;CK Mappings'!$E419)),ISNUMBER(SEARCH(IF(J$1&lt;&gt;"",J$1,"NA"),'MITRE ATT&amp;CK Mappings'!$F419))),ISNUMBER(SEARCH(IF(J$2&lt;&gt;"",J$2,"NA"),'MITRE ATT&amp;CK Mappings'!$G419))),ISNUMBER(SEARCH(IF(J$2&lt;&gt;"",J$2,"NA"),'MITRE ATT&amp;CK Mappings'!$H419))),ISNUMBER(SEARCH(IF(J$3&lt;&gt;"",J$3,"NA"),'MITRE ATT&amp;CK Mappings'!$I419))),ISNUMBER(SEARCH(IF(J$3&lt;&gt;"",J$3,"NA"),'MITRE ATT&amp;CK Mappings'!$J419))), 'MITRE ATT&amp;CK Mappings'!$B419,"")</f>
        <v/>
      </c>
      <c r="K423" s="27" t="str">
        <f>IF(OR(OR(OR(OR(OR(ISNUMBER(SEARCH(IF(K$1&lt;&gt;"",K$1,"NA"),'MITRE ATT&amp;CK Mappings'!$E419)),ISNUMBER(SEARCH(IF(K$1&lt;&gt;"",K$1,"NA"),'MITRE ATT&amp;CK Mappings'!$F419))),ISNUMBER(SEARCH(IF(K$2&lt;&gt;"",K$2,"NA"),'MITRE ATT&amp;CK Mappings'!$G419))),ISNUMBER(SEARCH(IF(K$2&lt;&gt;"",K$2,"NA"),'MITRE ATT&amp;CK Mappings'!$H419))),ISNUMBER(SEARCH(IF(K$3&lt;&gt;"",K$3,"NA"),'MITRE ATT&amp;CK Mappings'!$I419))),ISNUMBER(SEARCH(IF(K$3&lt;&gt;"",K$3,"NA"),'MITRE ATT&amp;CK Mappings'!$J419))), 'MITRE ATT&amp;CK Mappings'!$B419,"")</f>
        <v/>
      </c>
      <c r="L423" s="27" t="str">
        <f>IF('MITRE ATT&amp;CK Mappings'!D419 &lt;&gt;"",'MITRE ATT&amp;CK Mappings'!D419,"" )</f>
        <v/>
      </c>
    </row>
    <row r="424" spans="1:12" x14ac:dyDescent="0.25">
      <c r="A424" s="26" t="str">
        <f>IF(COUNTIF(B424:K424,"="&amp;'MITRE ATT&amp;CK Mappings'!B420)&gt;0,'MITRE ATT&amp;CK Mappings'!B420,"")</f>
        <v/>
      </c>
      <c r="B424" s="26" t="str">
        <f>IF(OR(OR(OR(OR(OR(ISNUMBER(SEARCH(IF(B$1&lt;&gt;"",B$1,"NA"),'MITRE ATT&amp;CK Mappings'!$E420)),ISNUMBER(SEARCH(IF(B$1&lt;&gt;"",B$1,"NA"),'MITRE ATT&amp;CK Mappings'!$F420))),ISNUMBER(SEARCH(IF(B$2&lt;&gt;"",B$2,"NA"),'MITRE ATT&amp;CK Mappings'!$G420))),ISNUMBER(SEARCH(IF(B$2&lt;&gt;"",B$2,"NA"),'MITRE ATT&amp;CK Mappings'!$H420))),ISNUMBER(SEARCH(IF(B$3&lt;&gt;"",B$3,"NA"),'MITRE ATT&amp;CK Mappings'!$I420))),ISNUMBER(SEARCH(IF(B$3&lt;&gt;"",B$3,"NA"),'MITRE ATT&amp;CK Mappings'!$J420))), 'MITRE ATT&amp;CK Mappings'!$B420,"")</f>
        <v/>
      </c>
      <c r="C424" s="26" t="str">
        <f>IF(OR(OR(OR(OR(OR(ISNUMBER(SEARCH(IF(C$1&lt;&gt;"",C$1,"NA"),'MITRE ATT&amp;CK Mappings'!$E420)),ISNUMBER(SEARCH(IF(C$1&lt;&gt;"",C$1,"NA"),'MITRE ATT&amp;CK Mappings'!$F420))),ISNUMBER(SEARCH(IF(C$2&lt;&gt;"",C$2,"NA"),'MITRE ATT&amp;CK Mappings'!$G420))),ISNUMBER(SEARCH(IF(C$2&lt;&gt;"",C$2,"NA"),'MITRE ATT&amp;CK Mappings'!$H420))),ISNUMBER(SEARCH(IF(C$3&lt;&gt;"",C$3,"NA"),'MITRE ATT&amp;CK Mappings'!$I420))),ISNUMBER(SEARCH(IF(C$3&lt;&gt;"",C$3,"NA"),'MITRE ATT&amp;CK Mappings'!$J420))), 'MITRE ATT&amp;CK Mappings'!$B420,"")</f>
        <v/>
      </c>
      <c r="D424" s="26" t="str">
        <f>IF(OR(OR(OR(OR(OR(ISNUMBER(SEARCH(IF(D$1&lt;&gt;"",D$1,"NA"),'MITRE ATT&amp;CK Mappings'!$E420)),ISNUMBER(SEARCH(IF(D$1&lt;&gt;"",D$1,"NA"),'MITRE ATT&amp;CK Mappings'!$F420))),ISNUMBER(SEARCH(IF(D$2&lt;&gt;"",D$2,"NA"),'MITRE ATT&amp;CK Mappings'!$G420))),ISNUMBER(SEARCH(IF(D$2&lt;&gt;"",D$2,"NA"),'MITRE ATT&amp;CK Mappings'!$H420))),ISNUMBER(SEARCH(IF(D$3&lt;&gt;"",D$3,"NA"),'MITRE ATT&amp;CK Mappings'!$I420))),ISNUMBER(SEARCH(IF(D$3&lt;&gt;"",D$3,"NA"),'MITRE ATT&amp;CK Mappings'!$J420))), 'MITRE ATT&amp;CK Mappings'!$B420,"")</f>
        <v/>
      </c>
      <c r="E424" s="26" t="str">
        <f>IF(OR(OR(OR(OR(OR(ISNUMBER(SEARCH(IF(E$1&lt;&gt;"",E$1,"NA"),'MITRE ATT&amp;CK Mappings'!$E420)),ISNUMBER(SEARCH(IF(E$1&lt;&gt;"",E$1,"NA"),'MITRE ATT&amp;CK Mappings'!$F420))),ISNUMBER(SEARCH(IF(E$2&lt;&gt;"",E$2,"NA"),'MITRE ATT&amp;CK Mappings'!$G420))),ISNUMBER(SEARCH(IF(E$2&lt;&gt;"",E$2,"NA"),'MITRE ATT&amp;CK Mappings'!$H420))),ISNUMBER(SEARCH(IF(E$3&lt;&gt;"",E$3,"NA"),'MITRE ATT&amp;CK Mappings'!$I420))),ISNUMBER(SEARCH(IF(E$3&lt;&gt;"",E$3,"NA"),'MITRE ATT&amp;CK Mappings'!$J420))), 'MITRE ATT&amp;CK Mappings'!$B420,"")</f>
        <v/>
      </c>
      <c r="F424" s="26" t="str">
        <f>IF(OR(OR(OR(OR(OR(ISNUMBER(SEARCH(IF(F$1&lt;&gt;"",F$1,"NA"),'MITRE ATT&amp;CK Mappings'!$E420)),ISNUMBER(SEARCH(IF(F$1&lt;&gt;"",F$1,"NA"),'MITRE ATT&amp;CK Mappings'!$F420))),ISNUMBER(SEARCH(IF(F$2&lt;&gt;"",F$2,"NA"),'MITRE ATT&amp;CK Mappings'!$G420))),ISNUMBER(SEARCH(IF(F$2&lt;&gt;"",F$2,"NA"),'MITRE ATT&amp;CK Mappings'!$H420))),ISNUMBER(SEARCH(IF(F$3&lt;&gt;"",F$3,"NA"),'MITRE ATT&amp;CK Mappings'!$I420))),ISNUMBER(SEARCH(IF(F$3&lt;&gt;"",F$3,"NA"),'MITRE ATT&amp;CK Mappings'!$J420))), 'MITRE ATT&amp;CK Mappings'!$B420,"")</f>
        <v/>
      </c>
      <c r="G424" s="26" t="str">
        <f>IF(OR(OR(OR(OR(OR(ISNUMBER(SEARCH(IF(G$1&lt;&gt;"",G$1,"NA"),'MITRE ATT&amp;CK Mappings'!$E420)),ISNUMBER(SEARCH(IF(G$1&lt;&gt;"",G$1,"NA"),'MITRE ATT&amp;CK Mappings'!$F420))),ISNUMBER(SEARCH(IF(G$2&lt;&gt;"",G$2,"NA"),'MITRE ATT&amp;CK Mappings'!$G420))),ISNUMBER(SEARCH(IF(G$2&lt;&gt;"",G$2,"NA"),'MITRE ATT&amp;CK Mappings'!$H420))),ISNUMBER(SEARCH(IF(G$3&lt;&gt;"",G$3,"NA"),'MITRE ATT&amp;CK Mappings'!$I420))),ISNUMBER(SEARCH(IF(G$3&lt;&gt;"",G$3,"NA"),'MITRE ATT&amp;CK Mappings'!$J420))), 'MITRE ATT&amp;CK Mappings'!$B420,"")</f>
        <v/>
      </c>
      <c r="H424" s="26" t="str">
        <f>IF(OR(OR(OR(OR(OR(ISNUMBER(SEARCH(IF(H$1&lt;&gt;"",H$1,"NA"),'MITRE ATT&amp;CK Mappings'!$E420)),ISNUMBER(SEARCH(IF(H$1&lt;&gt;"",H$1,"NA"),'MITRE ATT&amp;CK Mappings'!$F420))),ISNUMBER(SEARCH(IF(H$2&lt;&gt;"",H$2,"NA"),'MITRE ATT&amp;CK Mappings'!$G420))),ISNUMBER(SEARCH(IF(H$2&lt;&gt;"",H$2,"NA"),'MITRE ATT&amp;CK Mappings'!$H420))),ISNUMBER(SEARCH(IF(H$3&lt;&gt;"",H$3,"NA"),'MITRE ATT&amp;CK Mappings'!$I420))),ISNUMBER(SEARCH(IF(H$3&lt;&gt;"",H$3,"NA"),'MITRE ATT&amp;CK Mappings'!$J420))), 'MITRE ATT&amp;CK Mappings'!$B420,"")</f>
        <v/>
      </c>
      <c r="I424" s="26" t="str">
        <f>IF(OR(OR(OR(OR(OR(ISNUMBER(SEARCH(IF(I$1&lt;&gt;"",I$1,"NA"),'MITRE ATT&amp;CK Mappings'!$E420)),ISNUMBER(SEARCH(IF(I$1&lt;&gt;"",I$1,"NA"),'MITRE ATT&amp;CK Mappings'!$F420))),ISNUMBER(SEARCH(IF(I$2&lt;&gt;"",I$2,"NA"),'MITRE ATT&amp;CK Mappings'!$G420))),ISNUMBER(SEARCH(IF(I$2&lt;&gt;"",I$2,"NA"),'MITRE ATT&amp;CK Mappings'!$H420))),ISNUMBER(SEARCH(IF(I$3&lt;&gt;"",I$3,"NA"),'MITRE ATT&amp;CK Mappings'!$I420))),ISNUMBER(SEARCH(IF(I$3&lt;&gt;"",I$3,"NA"),'MITRE ATT&amp;CK Mappings'!$J420))), 'MITRE ATT&amp;CK Mappings'!$B420,"")</f>
        <v/>
      </c>
      <c r="J424" s="26" t="str">
        <f>IF(OR(OR(OR(OR(OR(ISNUMBER(SEARCH(IF(J$1&lt;&gt;"",J$1,"NA"),'MITRE ATT&amp;CK Mappings'!$E420)),ISNUMBER(SEARCH(IF(J$1&lt;&gt;"",J$1,"NA"),'MITRE ATT&amp;CK Mappings'!$F420))),ISNUMBER(SEARCH(IF(J$2&lt;&gt;"",J$2,"NA"),'MITRE ATT&amp;CK Mappings'!$G420))),ISNUMBER(SEARCH(IF(J$2&lt;&gt;"",J$2,"NA"),'MITRE ATT&amp;CK Mappings'!$H420))),ISNUMBER(SEARCH(IF(J$3&lt;&gt;"",J$3,"NA"),'MITRE ATT&amp;CK Mappings'!$I420))),ISNUMBER(SEARCH(IF(J$3&lt;&gt;"",J$3,"NA"),'MITRE ATT&amp;CK Mappings'!$J420))), 'MITRE ATT&amp;CK Mappings'!$B420,"")</f>
        <v/>
      </c>
      <c r="K424" s="26" t="str">
        <f>IF(OR(OR(OR(OR(OR(ISNUMBER(SEARCH(IF(K$1&lt;&gt;"",K$1,"NA"),'MITRE ATT&amp;CK Mappings'!$E420)),ISNUMBER(SEARCH(IF(K$1&lt;&gt;"",K$1,"NA"),'MITRE ATT&amp;CK Mappings'!$F420))),ISNUMBER(SEARCH(IF(K$2&lt;&gt;"",K$2,"NA"),'MITRE ATT&amp;CK Mappings'!$G420))),ISNUMBER(SEARCH(IF(K$2&lt;&gt;"",K$2,"NA"),'MITRE ATT&amp;CK Mappings'!$H420))),ISNUMBER(SEARCH(IF(K$3&lt;&gt;"",K$3,"NA"),'MITRE ATT&amp;CK Mappings'!$I420))),ISNUMBER(SEARCH(IF(K$3&lt;&gt;"",K$3,"NA"),'MITRE ATT&amp;CK Mappings'!$J420))), 'MITRE ATT&amp;CK Mappings'!$B420,"")</f>
        <v/>
      </c>
      <c r="L424" s="26" t="str">
        <f>IF('MITRE ATT&amp;CK Mappings'!D420 &lt;&gt;"",'MITRE ATT&amp;CK Mappings'!D420,"" )</f>
        <v/>
      </c>
    </row>
    <row r="425" spans="1:12" x14ac:dyDescent="0.25">
      <c r="A425" s="27" t="str">
        <f>IF(COUNTIF(B425:K425,"="&amp;'MITRE ATT&amp;CK Mappings'!B421)&gt;0,'MITRE ATT&amp;CK Mappings'!B421,"")</f>
        <v/>
      </c>
      <c r="B425" s="27" t="str">
        <f>IF(OR(OR(OR(OR(OR(ISNUMBER(SEARCH(IF(B$1&lt;&gt;"",B$1,"NA"),'MITRE ATT&amp;CK Mappings'!$E421)),ISNUMBER(SEARCH(IF(B$1&lt;&gt;"",B$1,"NA"),'MITRE ATT&amp;CK Mappings'!$F421))),ISNUMBER(SEARCH(IF(B$2&lt;&gt;"",B$2,"NA"),'MITRE ATT&amp;CK Mappings'!$G421))),ISNUMBER(SEARCH(IF(B$2&lt;&gt;"",B$2,"NA"),'MITRE ATT&amp;CK Mappings'!$H421))),ISNUMBER(SEARCH(IF(B$3&lt;&gt;"",B$3,"NA"),'MITRE ATT&amp;CK Mappings'!$I421))),ISNUMBER(SEARCH(IF(B$3&lt;&gt;"",B$3,"NA"),'MITRE ATT&amp;CK Mappings'!$J421))), 'MITRE ATT&amp;CK Mappings'!$B421,"")</f>
        <v/>
      </c>
      <c r="C425" s="27" t="str">
        <f>IF(OR(OR(OR(OR(OR(ISNUMBER(SEARCH(IF(C$1&lt;&gt;"",C$1,"NA"),'MITRE ATT&amp;CK Mappings'!$E421)),ISNUMBER(SEARCH(IF(C$1&lt;&gt;"",C$1,"NA"),'MITRE ATT&amp;CK Mappings'!$F421))),ISNUMBER(SEARCH(IF(C$2&lt;&gt;"",C$2,"NA"),'MITRE ATT&amp;CK Mappings'!$G421))),ISNUMBER(SEARCH(IF(C$2&lt;&gt;"",C$2,"NA"),'MITRE ATT&amp;CK Mappings'!$H421))),ISNUMBER(SEARCH(IF(C$3&lt;&gt;"",C$3,"NA"),'MITRE ATT&amp;CK Mappings'!$I421))),ISNUMBER(SEARCH(IF(C$3&lt;&gt;"",C$3,"NA"),'MITRE ATT&amp;CK Mappings'!$J421))), 'MITRE ATT&amp;CK Mappings'!$B421,"")</f>
        <v/>
      </c>
      <c r="D425" s="27" t="str">
        <f>IF(OR(OR(OR(OR(OR(ISNUMBER(SEARCH(IF(D$1&lt;&gt;"",D$1,"NA"),'MITRE ATT&amp;CK Mappings'!$E421)),ISNUMBER(SEARCH(IF(D$1&lt;&gt;"",D$1,"NA"),'MITRE ATT&amp;CK Mappings'!$F421))),ISNUMBER(SEARCH(IF(D$2&lt;&gt;"",D$2,"NA"),'MITRE ATT&amp;CK Mappings'!$G421))),ISNUMBER(SEARCH(IF(D$2&lt;&gt;"",D$2,"NA"),'MITRE ATT&amp;CK Mappings'!$H421))),ISNUMBER(SEARCH(IF(D$3&lt;&gt;"",D$3,"NA"),'MITRE ATT&amp;CK Mappings'!$I421))),ISNUMBER(SEARCH(IF(D$3&lt;&gt;"",D$3,"NA"),'MITRE ATT&amp;CK Mappings'!$J421))), 'MITRE ATT&amp;CK Mappings'!$B421,"")</f>
        <v/>
      </c>
      <c r="E425" s="27" t="str">
        <f>IF(OR(OR(OR(OR(OR(ISNUMBER(SEARCH(IF(E$1&lt;&gt;"",E$1,"NA"),'MITRE ATT&amp;CK Mappings'!$E421)),ISNUMBER(SEARCH(IF(E$1&lt;&gt;"",E$1,"NA"),'MITRE ATT&amp;CK Mappings'!$F421))),ISNUMBER(SEARCH(IF(E$2&lt;&gt;"",E$2,"NA"),'MITRE ATT&amp;CK Mappings'!$G421))),ISNUMBER(SEARCH(IF(E$2&lt;&gt;"",E$2,"NA"),'MITRE ATT&amp;CK Mappings'!$H421))),ISNUMBER(SEARCH(IF(E$3&lt;&gt;"",E$3,"NA"),'MITRE ATT&amp;CK Mappings'!$I421))),ISNUMBER(SEARCH(IF(E$3&lt;&gt;"",E$3,"NA"),'MITRE ATT&amp;CK Mappings'!$J421))), 'MITRE ATT&amp;CK Mappings'!$B421,"")</f>
        <v/>
      </c>
      <c r="F425" s="27" t="str">
        <f>IF(OR(OR(OR(OR(OR(ISNUMBER(SEARCH(IF(F$1&lt;&gt;"",F$1,"NA"),'MITRE ATT&amp;CK Mappings'!$E421)),ISNUMBER(SEARCH(IF(F$1&lt;&gt;"",F$1,"NA"),'MITRE ATT&amp;CK Mappings'!$F421))),ISNUMBER(SEARCH(IF(F$2&lt;&gt;"",F$2,"NA"),'MITRE ATT&amp;CK Mappings'!$G421))),ISNUMBER(SEARCH(IF(F$2&lt;&gt;"",F$2,"NA"),'MITRE ATT&amp;CK Mappings'!$H421))),ISNUMBER(SEARCH(IF(F$3&lt;&gt;"",F$3,"NA"),'MITRE ATT&amp;CK Mappings'!$I421))),ISNUMBER(SEARCH(IF(F$3&lt;&gt;"",F$3,"NA"),'MITRE ATT&amp;CK Mappings'!$J421))), 'MITRE ATT&amp;CK Mappings'!$B421,"")</f>
        <v/>
      </c>
      <c r="G425" s="27" t="str">
        <f>IF(OR(OR(OR(OR(OR(ISNUMBER(SEARCH(IF(G$1&lt;&gt;"",G$1,"NA"),'MITRE ATT&amp;CK Mappings'!$E421)),ISNUMBER(SEARCH(IF(G$1&lt;&gt;"",G$1,"NA"),'MITRE ATT&amp;CK Mappings'!$F421))),ISNUMBER(SEARCH(IF(G$2&lt;&gt;"",G$2,"NA"),'MITRE ATT&amp;CK Mappings'!$G421))),ISNUMBER(SEARCH(IF(G$2&lt;&gt;"",G$2,"NA"),'MITRE ATT&amp;CK Mappings'!$H421))),ISNUMBER(SEARCH(IF(G$3&lt;&gt;"",G$3,"NA"),'MITRE ATT&amp;CK Mappings'!$I421))),ISNUMBER(SEARCH(IF(G$3&lt;&gt;"",G$3,"NA"),'MITRE ATT&amp;CK Mappings'!$J421))), 'MITRE ATT&amp;CK Mappings'!$B421,"")</f>
        <v/>
      </c>
      <c r="H425" s="27" t="str">
        <f>IF(OR(OR(OR(OR(OR(ISNUMBER(SEARCH(IF(H$1&lt;&gt;"",H$1,"NA"),'MITRE ATT&amp;CK Mappings'!$E421)),ISNUMBER(SEARCH(IF(H$1&lt;&gt;"",H$1,"NA"),'MITRE ATT&amp;CK Mappings'!$F421))),ISNUMBER(SEARCH(IF(H$2&lt;&gt;"",H$2,"NA"),'MITRE ATT&amp;CK Mappings'!$G421))),ISNUMBER(SEARCH(IF(H$2&lt;&gt;"",H$2,"NA"),'MITRE ATT&amp;CK Mappings'!$H421))),ISNUMBER(SEARCH(IF(H$3&lt;&gt;"",H$3,"NA"),'MITRE ATT&amp;CK Mappings'!$I421))),ISNUMBER(SEARCH(IF(H$3&lt;&gt;"",H$3,"NA"),'MITRE ATT&amp;CK Mappings'!$J421))), 'MITRE ATT&amp;CK Mappings'!$B421,"")</f>
        <v/>
      </c>
      <c r="I425" s="27" t="str">
        <f>IF(OR(OR(OR(OR(OR(ISNUMBER(SEARCH(IF(I$1&lt;&gt;"",I$1,"NA"),'MITRE ATT&amp;CK Mappings'!$E421)),ISNUMBER(SEARCH(IF(I$1&lt;&gt;"",I$1,"NA"),'MITRE ATT&amp;CK Mappings'!$F421))),ISNUMBER(SEARCH(IF(I$2&lt;&gt;"",I$2,"NA"),'MITRE ATT&amp;CK Mappings'!$G421))),ISNUMBER(SEARCH(IF(I$2&lt;&gt;"",I$2,"NA"),'MITRE ATT&amp;CK Mappings'!$H421))),ISNUMBER(SEARCH(IF(I$3&lt;&gt;"",I$3,"NA"),'MITRE ATT&amp;CK Mappings'!$I421))),ISNUMBER(SEARCH(IF(I$3&lt;&gt;"",I$3,"NA"),'MITRE ATT&amp;CK Mappings'!$J421))), 'MITRE ATT&amp;CK Mappings'!$B421,"")</f>
        <v/>
      </c>
      <c r="J425" s="27" t="str">
        <f>IF(OR(OR(OR(OR(OR(ISNUMBER(SEARCH(IF(J$1&lt;&gt;"",J$1,"NA"),'MITRE ATT&amp;CK Mappings'!$E421)),ISNUMBER(SEARCH(IF(J$1&lt;&gt;"",J$1,"NA"),'MITRE ATT&amp;CK Mappings'!$F421))),ISNUMBER(SEARCH(IF(J$2&lt;&gt;"",J$2,"NA"),'MITRE ATT&amp;CK Mappings'!$G421))),ISNUMBER(SEARCH(IF(J$2&lt;&gt;"",J$2,"NA"),'MITRE ATT&amp;CK Mappings'!$H421))),ISNUMBER(SEARCH(IF(J$3&lt;&gt;"",J$3,"NA"),'MITRE ATT&amp;CK Mappings'!$I421))),ISNUMBER(SEARCH(IF(J$3&lt;&gt;"",J$3,"NA"),'MITRE ATT&amp;CK Mappings'!$J421))), 'MITRE ATT&amp;CK Mappings'!$B421,"")</f>
        <v/>
      </c>
      <c r="K425" s="27" t="str">
        <f>IF(OR(OR(OR(OR(OR(ISNUMBER(SEARCH(IF(K$1&lt;&gt;"",K$1,"NA"),'MITRE ATT&amp;CK Mappings'!$E421)),ISNUMBER(SEARCH(IF(K$1&lt;&gt;"",K$1,"NA"),'MITRE ATT&amp;CK Mappings'!$F421))),ISNUMBER(SEARCH(IF(K$2&lt;&gt;"",K$2,"NA"),'MITRE ATT&amp;CK Mappings'!$G421))),ISNUMBER(SEARCH(IF(K$2&lt;&gt;"",K$2,"NA"),'MITRE ATT&amp;CK Mappings'!$H421))),ISNUMBER(SEARCH(IF(K$3&lt;&gt;"",K$3,"NA"),'MITRE ATT&amp;CK Mappings'!$I421))),ISNUMBER(SEARCH(IF(K$3&lt;&gt;"",K$3,"NA"),'MITRE ATT&amp;CK Mappings'!$J421))), 'MITRE ATT&amp;CK Mappings'!$B421,"")</f>
        <v/>
      </c>
      <c r="L425" s="27" t="str">
        <f>IF('MITRE ATT&amp;CK Mappings'!D421 &lt;&gt;"",'MITRE ATT&amp;CK Mappings'!D421,"" )</f>
        <v/>
      </c>
    </row>
    <row r="426" spans="1:12" x14ac:dyDescent="0.25">
      <c r="A426" s="26" t="str">
        <f>IF(COUNTIF(B426:K426,"="&amp;'MITRE ATT&amp;CK Mappings'!B422)&gt;0,'MITRE ATT&amp;CK Mappings'!B422,"")</f>
        <v/>
      </c>
      <c r="B426" s="26" t="str">
        <f>IF(OR(OR(OR(OR(OR(ISNUMBER(SEARCH(IF(B$1&lt;&gt;"",B$1,"NA"),'MITRE ATT&amp;CK Mappings'!$E422)),ISNUMBER(SEARCH(IF(B$1&lt;&gt;"",B$1,"NA"),'MITRE ATT&amp;CK Mappings'!$F422))),ISNUMBER(SEARCH(IF(B$2&lt;&gt;"",B$2,"NA"),'MITRE ATT&amp;CK Mappings'!$G422))),ISNUMBER(SEARCH(IF(B$2&lt;&gt;"",B$2,"NA"),'MITRE ATT&amp;CK Mappings'!$H422))),ISNUMBER(SEARCH(IF(B$3&lt;&gt;"",B$3,"NA"),'MITRE ATT&amp;CK Mappings'!$I422))),ISNUMBER(SEARCH(IF(B$3&lt;&gt;"",B$3,"NA"),'MITRE ATT&amp;CK Mappings'!$J422))), 'MITRE ATT&amp;CK Mappings'!$B422,"")</f>
        <v/>
      </c>
      <c r="C426" s="26" t="str">
        <f>IF(OR(OR(OR(OR(OR(ISNUMBER(SEARCH(IF(C$1&lt;&gt;"",C$1,"NA"),'MITRE ATT&amp;CK Mappings'!$E422)),ISNUMBER(SEARCH(IF(C$1&lt;&gt;"",C$1,"NA"),'MITRE ATT&amp;CK Mappings'!$F422))),ISNUMBER(SEARCH(IF(C$2&lt;&gt;"",C$2,"NA"),'MITRE ATT&amp;CK Mappings'!$G422))),ISNUMBER(SEARCH(IF(C$2&lt;&gt;"",C$2,"NA"),'MITRE ATT&amp;CK Mappings'!$H422))),ISNUMBER(SEARCH(IF(C$3&lt;&gt;"",C$3,"NA"),'MITRE ATT&amp;CK Mappings'!$I422))),ISNUMBER(SEARCH(IF(C$3&lt;&gt;"",C$3,"NA"),'MITRE ATT&amp;CK Mappings'!$J422))), 'MITRE ATT&amp;CK Mappings'!$B422,"")</f>
        <v/>
      </c>
      <c r="D426" s="26" t="str">
        <f>IF(OR(OR(OR(OR(OR(ISNUMBER(SEARCH(IF(D$1&lt;&gt;"",D$1,"NA"),'MITRE ATT&amp;CK Mappings'!$E422)),ISNUMBER(SEARCH(IF(D$1&lt;&gt;"",D$1,"NA"),'MITRE ATT&amp;CK Mappings'!$F422))),ISNUMBER(SEARCH(IF(D$2&lt;&gt;"",D$2,"NA"),'MITRE ATT&amp;CK Mappings'!$G422))),ISNUMBER(SEARCH(IF(D$2&lt;&gt;"",D$2,"NA"),'MITRE ATT&amp;CK Mappings'!$H422))),ISNUMBER(SEARCH(IF(D$3&lt;&gt;"",D$3,"NA"),'MITRE ATT&amp;CK Mappings'!$I422))),ISNUMBER(SEARCH(IF(D$3&lt;&gt;"",D$3,"NA"),'MITRE ATT&amp;CK Mappings'!$J422))), 'MITRE ATT&amp;CK Mappings'!$B422,"")</f>
        <v/>
      </c>
      <c r="E426" s="26" t="str">
        <f>IF(OR(OR(OR(OR(OR(ISNUMBER(SEARCH(IF(E$1&lt;&gt;"",E$1,"NA"),'MITRE ATT&amp;CK Mappings'!$E422)),ISNUMBER(SEARCH(IF(E$1&lt;&gt;"",E$1,"NA"),'MITRE ATT&amp;CK Mappings'!$F422))),ISNUMBER(SEARCH(IF(E$2&lt;&gt;"",E$2,"NA"),'MITRE ATT&amp;CK Mappings'!$G422))),ISNUMBER(SEARCH(IF(E$2&lt;&gt;"",E$2,"NA"),'MITRE ATT&amp;CK Mappings'!$H422))),ISNUMBER(SEARCH(IF(E$3&lt;&gt;"",E$3,"NA"),'MITRE ATT&amp;CK Mappings'!$I422))),ISNUMBER(SEARCH(IF(E$3&lt;&gt;"",E$3,"NA"),'MITRE ATT&amp;CK Mappings'!$J422))), 'MITRE ATT&amp;CK Mappings'!$B422,"")</f>
        <v/>
      </c>
      <c r="F426" s="26" t="str">
        <f>IF(OR(OR(OR(OR(OR(ISNUMBER(SEARCH(IF(F$1&lt;&gt;"",F$1,"NA"),'MITRE ATT&amp;CK Mappings'!$E422)),ISNUMBER(SEARCH(IF(F$1&lt;&gt;"",F$1,"NA"),'MITRE ATT&amp;CK Mappings'!$F422))),ISNUMBER(SEARCH(IF(F$2&lt;&gt;"",F$2,"NA"),'MITRE ATT&amp;CK Mappings'!$G422))),ISNUMBER(SEARCH(IF(F$2&lt;&gt;"",F$2,"NA"),'MITRE ATT&amp;CK Mappings'!$H422))),ISNUMBER(SEARCH(IF(F$3&lt;&gt;"",F$3,"NA"),'MITRE ATT&amp;CK Mappings'!$I422))),ISNUMBER(SEARCH(IF(F$3&lt;&gt;"",F$3,"NA"),'MITRE ATT&amp;CK Mappings'!$J422))), 'MITRE ATT&amp;CK Mappings'!$B422,"")</f>
        <v/>
      </c>
      <c r="G426" s="26" t="str">
        <f>IF(OR(OR(OR(OR(OR(ISNUMBER(SEARCH(IF(G$1&lt;&gt;"",G$1,"NA"),'MITRE ATT&amp;CK Mappings'!$E422)),ISNUMBER(SEARCH(IF(G$1&lt;&gt;"",G$1,"NA"),'MITRE ATT&amp;CK Mappings'!$F422))),ISNUMBER(SEARCH(IF(G$2&lt;&gt;"",G$2,"NA"),'MITRE ATT&amp;CK Mappings'!$G422))),ISNUMBER(SEARCH(IF(G$2&lt;&gt;"",G$2,"NA"),'MITRE ATT&amp;CK Mappings'!$H422))),ISNUMBER(SEARCH(IF(G$3&lt;&gt;"",G$3,"NA"),'MITRE ATT&amp;CK Mappings'!$I422))),ISNUMBER(SEARCH(IF(G$3&lt;&gt;"",G$3,"NA"),'MITRE ATT&amp;CK Mappings'!$J422))), 'MITRE ATT&amp;CK Mappings'!$B422,"")</f>
        <v/>
      </c>
      <c r="H426" s="26" t="str">
        <f>IF(OR(OR(OR(OR(OR(ISNUMBER(SEARCH(IF(H$1&lt;&gt;"",H$1,"NA"),'MITRE ATT&amp;CK Mappings'!$E422)),ISNUMBER(SEARCH(IF(H$1&lt;&gt;"",H$1,"NA"),'MITRE ATT&amp;CK Mappings'!$F422))),ISNUMBER(SEARCH(IF(H$2&lt;&gt;"",H$2,"NA"),'MITRE ATT&amp;CK Mappings'!$G422))),ISNUMBER(SEARCH(IF(H$2&lt;&gt;"",H$2,"NA"),'MITRE ATT&amp;CK Mappings'!$H422))),ISNUMBER(SEARCH(IF(H$3&lt;&gt;"",H$3,"NA"),'MITRE ATT&amp;CK Mappings'!$I422))),ISNUMBER(SEARCH(IF(H$3&lt;&gt;"",H$3,"NA"),'MITRE ATT&amp;CK Mappings'!$J422))), 'MITRE ATT&amp;CK Mappings'!$B422,"")</f>
        <v/>
      </c>
      <c r="I426" s="26" t="str">
        <f>IF(OR(OR(OR(OR(OR(ISNUMBER(SEARCH(IF(I$1&lt;&gt;"",I$1,"NA"),'MITRE ATT&amp;CK Mappings'!$E422)),ISNUMBER(SEARCH(IF(I$1&lt;&gt;"",I$1,"NA"),'MITRE ATT&amp;CK Mappings'!$F422))),ISNUMBER(SEARCH(IF(I$2&lt;&gt;"",I$2,"NA"),'MITRE ATT&amp;CK Mappings'!$G422))),ISNUMBER(SEARCH(IF(I$2&lt;&gt;"",I$2,"NA"),'MITRE ATT&amp;CK Mappings'!$H422))),ISNUMBER(SEARCH(IF(I$3&lt;&gt;"",I$3,"NA"),'MITRE ATT&amp;CK Mappings'!$I422))),ISNUMBER(SEARCH(IF(I$3&lt;&gt;"",I$3,"NA"),'MITRE ATT&amp;CK Mappings'!$J422))), 'MITRE ATT&amp;CK Mappings'!$B422,"")</f>
        <v/>
      </c>
      <c r="J426" s="26" t="str">
        <f>IF(OR(OR(OR(OR(OR(ISNUMBER(SEARCH(IF(J$1&lt;&gt;"",J$1,"NA"),'MITRE ATT&amp;CK Mappings'!$E422)),ISNUMBER(SEARCH(IF(J$1&lt;&gt;"",J$1,"NA"),'MITRE ATT&amp;CK Mappings'!$F422))),ISNUMBER(SEARCH(IF(J$2&lt;&gt;"",J$2,"NA"),'MITRE ATT&amp;CK Mappings'!$G422))),ISNUMBER(SEARCH(IF(J$2&lt;&gt;"",J$2,"NA"),'MITRE ATT&amp;CK Mappings'!$H422))),ISNUMBER(SEARCH(IF(J$3&lt;&gt;"",J$3,"NA"),'MITRE ATT&amp;CK Mappings'!$I422))),ISNUMBER(SEARCH(IF(J$3&lt;&gt;"",J$3,"NA"),'MITRE ATT&amp;CK Mappings'!$J422))), 'MITRE ATT&amp;CK Mappings'!$B422,"")</f>
        <v/>
      </c>
      <c r="K426" s="26" t="str">
        <f>IF(OR(OR(OR(OR(OR(ISNUMBER(SEARCH(IF(K$1&lt;&gt;"",K$1,"NA"),'MITRE ATT&amp;CK Mappings'!$E422)),ISNUMBER(SEARCH(IF(K$1&lt;&gt;"",K$1,"NA"),'MITRE ATT&amp;CK Mappings'!$F422))),ISNUMBER(SEARCH(IF(K$2&lt;&gt;"",K$2,"NA"),'MITRE ATT&amp;CK Mappings'!$G422))),ISNUMBER(SEARCH(IF(K$2&lt;&gt;"",K$2,"NA"),'MITRE ATT&amp;CK Mappings'!$H422))),ISNUMBER(SEARCH(IF(K$3&lt;&gt;"",K$3,"NA"),'MITRE ATT&amp;CK Mappings'!$I422))),ISNUMBER(SEARCH(IF(K$3&lt;&gt;"",K$3,"NA"),'MITRE ATT&amp;CK Mappings'!$J422))), 'MITRE ATT&amp;CK Mappings'!$B422,"")</f>
        <v/>
      </c>
      <c r="L426" s="26" t="str">
        <f>IF('MITRE ATT&amp;CK Mappings'!D422 &lt;&gt;"",'MITRE ATT&amp;CK Mappings'!D422,"" )</f>
        <v/>
      </c>
    </row>
    <row r="427" spans="1:12" x14ac:dyDescent="0.25">
      <c r="A427" s="27" t="str">
        <f>IF(COUNTIF(B427:K427,"="&amp;'MITRE ATT&amp;CK Mappings'!B423)&gt;0,'MITRE ATT&amp;CK Mappings'!B423,"")</f>
        <v/>
      </c>
      <c r="B427" s="27" t="str">
        <f>IF(OR(OR(OR(OR(OR(ISNUMBER(SEARCH(IF(B$1&lt;&gt;"",B$1,"NA"),'MITRE ATT&amp;CK Mappings'!$E423)),ISNUMBER(SEARCH(IF(B$1&lt;&gt;"",B$1,"NA"),'MITRE ATT&amp;CK Mappings'!$F423))),ISNUMBER(SEARCH(IF(B$2&lt;&gt;"",B$2,"NA"),'MITRE ATT&amp;CK Mappings'!$G423))),ISNUMBER(SEARCH(IF(B$2&lt;&gt;"",B$2,"NA"),'MITRE ATT&amp;CK Mappings'!$H423))),ISNUMBER(SEARCH(IF(B$3&lt;&gt;"",B$3,"NA"),'MITRE ATT&amp;CK Mappings'!$I423))),ISNUMBER(SEARCH(IF(B$3&lt;&gt;"",B$3,"NA"),'MITRE ATT&amp;CK Mappings'!$J423))), 'MITRE ATT&amp;CK Mappings'!$B423,"")</f>
        <v/>
      </c>
      <c r="C427" s="27" t="str">
        <f>IF(OR(OR(OR(OR(OR(ISNUMBER(SEARCH(IF(C$1&lt;&gt;"",C$1,"NA"),'MITRE ATT&amp;CK Mappings'!$E423)),ISNUMBER(SEARCH(IF(C$1&lt;&gt;"",C$1,"NA"),'MITRE ATT&amp;CK Mappings'!$F423))),ISNUMBER(SEARCH(IF(C$2&lt;&gt;"",C$2,"NA"),'MITRE ATT&amp;CK Mappings'!$G423))),ISNUMBER(SEARCH(IF(C$2&lt;&gt;"",C$2,"NA"),'MITRE ATT&amp;CK Mappings'!$H423))),ISNUMBER(SEARCH(IF(C$3&lt;&gt;"",C$3,"NA"),'MITRE ATT&amp;CK Mappings'!$I423))),ISNUMBER(SEARCH(IF(C$3&lt;&gt;"",C$3,"NA"),'MITRE ATT&amp;CK Mappings'!$J423))), 'MITRE ATT&amp;CK Mappings'!$B423,"")</f>
        <v/>
      </c>
      <c r="D427" s="27" t="str">
        <f>IF(OR(OR(OR(OR(OR(ISNUMBER(SEARCH(IF(D$1&lt;&gt;"",D$1,"NA"),'MITRE ATT&amp;CK Mappings'!$E423)),ISNUMBER(SEARCH(IF(D$1&lt;&gt;"",D$1,"NA"),'MITRE ATT&amp;CK Mappings'!$F423))),ISNUMBER(SEARCH(IF(D$2&lt;&gt;"",D$2,"NA"),'MITRE ATT&amp;CK Mappings'!$G423))),ISNUMBER(SEARCH(IF(D$2&lt;&gt;"",D$2,"NA"),'MITRE ATT&amp;CK Mappings'!$H423))),ISNUMBER(SEARCH(IF(D$3&lt;&gt;"",D$3,"NA"),'MITRE ATT&amp;CK Mappings'!$I423))),ISNUMBER(SEARCH(IF(D$3&lt;&gt;"",D$3,"NA"),'MITRE ATT&amp;CK Mappings'!$J423))), 'MITRE ATT&amp;CK Mappings'!$B423,"")</f>
        <v/>
      </c>
      <c r="E427" s="27" t="str">
        <f>IF(OR(OR(OR(OR(OR(ISNUMBER(SEARCH(IF(E$1&lt;&gt;"",E$1,"NA"),'MITRE ATT&amp;CK Mappings'!$E423)),ISNUMBER(SEARCH(IF(E$1&lt;&gt;"",E$1,"NA"),'MITRE ATT&amp;CK Mappings'!$F423))),ISNUMBER(SEARCH(IF(E$2&lt;&gt;"",E$2,"NA"),'MITRE ATT&amp;CK Mappings'!$G423))),ISNUMBER(SEARCH(IF(E$2&lt;&gt;"",E$2,"NA"),'MITRE ATT&amp;CK Mappings'!$H423))),ISNUMBER(SEARCH(IF(E$3&lt;&gt;"",E$3,"NA"),'MITRE ATT&amp;CK Mappings'!$I423))),ISNUMBER(SEARCH(IF(E$3&lt;&gt;"",E$3,"NA"),'MITRE ATT&amp;CK Mappings'!$J423))), 'MITRE ATT&amp;CK Mappings'!$B423,"")</f>
        <v/>
      </c>
      <c r="F427" s="27" t="str">
        <f>IF(OR(OR(OR(OR(OR(ISNUMBER(SEARCH(IF(F$1&lt;&gt;"",F$1,"NA"),'MITRE ATT&amp;CK Mappings'!$E423)),ISNUMBER(SEARCH(IF(F$1&lt;&gt;"",F$1,"NA"),'MITRE ATT&amp;CK Mappings'!$F423))),ISNUMBER(SEARCH(IF(F$2&lt;&gt;"",F$2,"NA"),'MITRE ATT&amp;CK Mappings'!$G423))),ISNUMBER(SEARCH(IF(F$2&lt;&gt;"",F$2,"NA"),'MITRE ATT&amp;CK Mappings'!$H423))),ISNUMBER(SEARCH(IF(F$3&lt;&gt;"",F$3,"NA"),'MITRE ATT&amp;CK Mappings'!$I423))),ISNUMBER(SEARCH(IF(F$3&lt;&gt;"",F$3,"NA"),'MITRE ATT&amp;CK Mappings'!$J423))), 'MITRE ATT&amp;CK Mappings'!$B423,"")</f>
        <v/>
      </c>
      <c r="G427" s="27" t="str">
        <f>IF(OR(OR(OR(OR(OR(ISNUMBER(SEARCH(IF(G$1&lt;&gt;"",G$1,"NA"),'MITRE ATT&amp;CK Mappings'!$E423)),ISNUMBER(SEARCH(IF(G$1&lt;&gt;"",G$1,"NA"),'MITRE ATT&amp;CK Mappings'!$F423))),ISNUMBER(SEARCH(IF(G$2&lt;&gt;"",G$2,"NA"),'MITRE ATT&amp;CK Mappings'!$G423))),ISNUMBER(SEARCH(IF(G$2&lt;&gt;"",G$2,"NA"),'MITRE ATT&amp;CK Mappings'!$H423))),ISNUMBER(SEARCH(IF(G$3&lt;&gt;"",G$3,"NA"),'MITRE ATT&amp;CK Mappings'!$I423))),ISNUMBER(SEARCH(IF(G$3&lt;&gt;"",G$3,"NA"),'MITRE ATT&amp;CK Mappings'!$J423))), 'MITRE ATT&amp;CK Mappings'!$B423,"")</f>
        <v/>
      </c>
      <c r="H427" s="27" t="str">
        <f>IF(OR(OR(OR(OR(OR(ISNUMBER(SEARCH(IF(H$1&lt;&gt;"",H$1,"NA"),'MITRE ATT&amp;CK Mappings'!$E423)),ISNUMBER(SEARCH(IF(H$1&lt;&gt;"",H$1,"NA"),'MITRE ATT&amp;CK Mappings'!$F423))),ISNUMBER(SEARCH(IF(H$2&lt;&gt;"",H$2,"NA"),'MITRE ATT&amp;CK Mappings'!$G423))),ISNUMBER(SEARCH(IF(H$2&lt;&gt;"",H$2,"NA"),'MITRE ATT&amp;CK Mappings'!$H423))),ISNUMBER(SEARCH(IF(H$3&lt;&gt;"",H$3,"NA"),'MITRE ATT&amp;CK Mappings'!$I423))),ISNUMBER(SEARCH(IF(H$3&lt;&gt;"",H$3,"NA"),'MITRE ATT&amp;CK Mappings'!$J423))), 'MITRE ATT&amp;CK Mappings'!$B423,"")</f>
        <v/>
      </c>
      <c r="I427" s="27" t="str">
        <f>IF(OR(OR(OR(OR(OR(ISNUMBER(SEARCH(IF(I$1&lt;&gt;"",I$1,"NA"),'MITRE ATT&amp;CK Mappings'!$E423)),ISNUMBER(SEARCH(IF(I$1&lt;&gt;"",I$1,"NA"),'MITRE ATT&amp;CK Mappings'!$F423))),ISNUMBER(SEARCH(IF(I$2&lt;&gt;"",I$2,"NA"),'MITRE ATT&amp;CK Mappings'!$G423))),ISNUMBER(SEARCH(IF(I$2&lt;&gt;"",I$2,"NA"),'MITRE ATT&amp;CK Mappings'!$H423))),ISNUMBER(SEARCH(IF(I$3&lt;&gt;"",I$3,"NA"),'MITRE ATT&amp;CK Mappings'!$I423))),ISNUMBER(SEARCH(IF(I$3&lt;&gt;"",I$3,"NA"),'MITRE ATT&amp;CK Mappings'!$J423))), 'MITRE ATT&amp;CK Mappings'!$B423,"")</f>
        <v/>
      </c>
      <c r="J427" s="27" t="str">
        <f>IF(OR(OR(OR(OR(OR(ISNUMBER(SEARCH(IF(J$1&lt;&gt;"",J$1,"NA"),'MITRE ATT&amp;CK Mappings'!$E423)),ISNUMBER(SEARCH(IF(J$1&lt;&gt;"",J$1,"NA"),'MITRE ATT&amp;CK Mappings'!$F423))),ISNUMBER(SEARCH(IF(J$2&lt;&gt;"",J$2,"NA"),'MITRE ATT&amp;CK Mappings'!$G423))),ISNUMBER(SEARCH(IF(J$2&lt;&gt;"",J$2,"NA"),'MITRE ATT&amp;CK Mappings'!$H423))),ISNUMBER(SEARCH(IF(J$3&lt;&gt;"",J$3,"NA"),'MITRE ATT&amp;CK Mappings'!$I423))),ISNUMBER(SEARCH(IF(J$3&lt;&gt;"",J$3,"NA"),'MITRE ATT&amp;CK Mappings'!$J423))), 'MITRE ATT&amp;CK Mappings'!$B423,"")</f>
        <v/>
      </c>
      <c r="K427" s="27" t="str">
        <f>IF(OR(OR(OR(OR(OR(ISNUMBER(SEARCH(IF(K$1&lt;&gt;"",K$1,"NA"),'MITRE ATT&amp;CK Mappings'!$E423)),ISNUMBER(SEARCH(IF(K$1&lt;&gt;"",K$1,"NA"),'MITRE ATT&amp;CK Mappings'!$F423))),ISNUMBER(SEARCH(IF(K$2&lt;&gt;"",K$2,"NA"),'MITRE ATT&amp;CK Mappings'!$G423))),ISNUMBER(SEARCH(IF(K$2&lt;&gt;"",K$2,"NA"),'MITRE ATT&amp;CK Mappings'!$H423))),ISNUMBER(SEARCH(IF(K$3&lt;&gt;"",K$3,"NA"),'MITRE ATT&amp;CK Mappings'!$I423))),ISNUMBER(SEARCH(IF(K$3&lt;&gt;"",K$3,"NA"),'MITRE ATT&amp;CK Mappings'!$J423))), 'MITRE ATT&amp;CK Mappings'!$B423,"")</f>
        <v/>
      </c>
      <c r="L427" s="27" t="str">
        <f>IF('MITRE ATT&amp;CK Mappings'!D423 &lt;&gt;"",'MITRE ATT&amp;CK Mappings'!D423,"" )</f>
        <v/>
      </c>
    </row>
    <row r="428" spans="1:12" x14ac:dyDescent="0.25">
      <c r="A428" s="26" t="str">
        <f>IF(COUNTIF(B428:K428,"="&amp;'MITRE ATT&amp;CK Mappings'!B424)&gt;0,'MITRE ATT&amp;CK Mappings'!B424,"")</f>
        <v/>
      </c>
      <c r="B428" s="26" t="str">
        <f>IF(OR(OR(OR(OR(OR(ISNUMBER(SEARCH(IF(B$1&lt;&gt;"",B$1,"NA"),'MITRE ATT&amp;CK Mappings'!$E424)),ISNUMBER(SEARCH(IF(B$1&lt;&gt;"",B$1,"NA"),'MITRE ATT&amp;CK Mappings'!$F424))),ISNUMBER(SEARCH(IF(B$2&lt;&gt;"",B$2,"NA"),'MITRE ATT&amp;CK Mappings'!$G424))),ISNUMBER(SEARCH(IF(B$2&lt;&gt;"",B$2,"NA"),'MITRE ATT&amp;CK Mappings'!$H424))),ISNUMBER(SEARCH(IF(B$3&lt;&gt;"",B$3,"NA"),'MITRE ATT&amp;CK Mappings'!$I424))),ISNUMBER(SEARCH(IF(B$3&lt;&gt;"",B$3,"NA"),'MITRE ATT&amp;CK Mappings'!$J424))), 'MITRE ATT&amp;CK Mappings'!$B424,"")</f>
        <v/>
      </c>
      <c r="C428" s="26" t="str">
        <f>IF(OR(OR(OR(OR(OR(ISNUMBER(SEARCH(IF(C$1&lt;&gt;"",C$1,"NA"),'MITRE ATT&amp;CK Mappings'!$E424)),ISNUMBER(SEARCH(IF(C$1&lt;&gt;"",C$1,"NA"),'MITRE ATT&amp;CK Mappings'!$F424))),ISNUMBER(SEARCH(IF(C$2&lt;&gt;"",C$2,"NA"),'MITRE ATT&amp;CK Mappings'!$G424))),ISNUMBER(SEARCH(IF(C$2&lt;&gt;"",C$2,"NA"),'MITRE ATT&amp;CK Mappings'!$H424))),ISNUMBER(SEARCH(IF(C$3&lt;&gt;"",C$3,"NA"),'MITRE ATT&amp;CK Mappings'!$I424))),ISNUMBER(SEARCH(IF(C$3&lt;&gt;"",C$3,"NA"),'MITRE ATT&amp;CK Mappings'!$J424))), 'MITRE ATT&amp;CK Mappings'!$B424,"")</f>
        <v/>
      </c>
      <c r="D428" s="26" t="str">
        <f>IF(OR(OR(OR(OR(OR(ISNUMBER(SEARCH(IF(D$1&lt;&gt;"",D$1,"NA"),'MITRE ATT&amp;CK Mappings'!$E424)),ISNUMBER(SEARCH(IF(D$1&lt;&gt;"",D$1,"NA"),'MITRE ATT&amp;CK Mappings'!$F424))),ISNUMBER(SEARCH(IF(D$2&lt;&gt;"",D$2,"NA"),'MITRE ATT&amp;CK Mappings'!$G424))),ISNUMBER(SEARCH(IF(D$2&lt;&gt;"",D$2,"NA"),'MITRE ATT&amp;CK Mappings'!$H424))),ISNUMBER(SEARCH(IF(D$3&lt;&gt;"",D$3,"NA"),'MITRE ATT&amp;CK Mappings'!$I424))),ISNUMBER(SEARCH(IF(D$3&lt;&gt;"",D$3,"NA"),'MITRE ATT&amp;CK Mappings'!$J424))), 'MITRE ATT&amp;CK Mappings'!$B424,"")</f>
        <v/>
      </c>
      <c r="E428" s="26" t="str">
        <f>IF(OR(OR(OR(OR(OR(ISNUMBER(SEARCH(IF(E$1&lt;&gt;"",E$1,"NA"),'MITRE ATT&amp;CK Mappings'!$E424)),ISNUMBER(SEARCH(IF(E$1&lt;&gt;"",E$1,"NA"),'MITRE ATT&amp;CK Mappings'!$F424))),ISNUMBER(SEARCH(IF(E$2&lt;&gt;"",E$2,"NA"),'MITRE ATT&amp;CK Mappings'!$G424))),ISNUMBER(SEARCH(IF(E$2&lt;&gt;"",E$2,"NA"),'MITRE ATT&amp;CK Mappings'!$H424))),ISNUMBER(SEARCH(IF(E$3&lt;&gt;"",E$3,"NA"),'MITRE ATT&amp;CK Mappings'!$I424))),ISNUMBER(SEARCH(IF(E$3&lt;&gt;"",E$3,"NA"),'MITRE ATT&amp;CK Mappings'!$J424))), 'MITRE ATT&amp;CK Mappings'!$B424,"")</f>
        <v/>
      </c>
      <c r="F428" s="26" t="str">
        <f>IF(OR(OR(OR(OR(OR(ISNUMBER(SEARCH(IF(F$1&lt;&gt;"",F$1,"NA"),'MITRE ATT&amp;CK Mappings'!$E424)),ISNUMBER(SEARCH(IF(F$1&lt;&gt;"",F$1,"NA"),'MITRE ATT&amp;CK Mappings'!$F424))),ISNUMBER(SEARCH(IF(F$2&lt;&gt;"",F$2,"NA"),'MITRE ATT&amp;CK Mappings'!$G424))),ISNUMBER(SEARCH(IF(F$2&lt;&gt;"",F$2,"NA"),'MITRE ATT&amp;CK Mappings'!$H424))),ISNUMBER(SEARCH(IF(F$3&lt;&gt;"",F$3,"NA"),'MITRE ATT&amp;CK Mappings'!$I424))),ISNUMBER(SEARCH(IF(F$3&lt;&gt;"",F$3,"NA"),'MITRE ATT&amp;CK Mappings'!$J424))), 'MITRE ATT&amp;CK Mappings'!$B424,"")</f>
        <v/>
      </c>
      <c r="G428" s="26" t="str">
        <f>IF(OR(OR(OR(OR(OR(ISNUMBER(SEARCH(IF(G$1&lt;&gt;"",G$1,"NA"),'MITRE ATT&amp;CK Mappings'!$E424)),ISNUMBER(SEARCH(IF(G$1&lt;&gt;"",G$1,"NA"),'MITRE ATT&amp;CK Mappings'!$F424))),ISNUMBER(SEARCH(IF(G$2&lt;&gt;"",G$2,"NA"),'MITRE ATT&amp;CK Mappings'!$G424))),ISNUMBER(SEARCH(IF(G$2&lt;&gt;"",G$2,"NA"),'MITRE ATT&amp;CK Mappings'!$H424))),ISNUMBER(SEARCH(IF(G$3&lt;&gt;"",G$3,"NA"),'MITRE ATT&amp;CK Mappings'!$I424))),ISNUMBER(SEARCH(IF(G$3&lt;&gt;"",G$3,"NA"),'MITRE ATT&amp;CK Mappings'!$J424))), 'MITRE ATT&amp;CK Mappings'!$B424,"")</f>
        <v/>
      </c>
      <c r="H428" s="26" t="str">
        <f>IF(OR(OR(OR(OR(OR(ISNUMBER(SEARCH(IF(H$1&lt;&gt;"",H$1,"NA"),'MITRE ATT&amp;CK Mappings'!$E424)),ISNUMBER(SEARCH(IF(H$1&lt;&gt;"",H$1,"NA"),'MITRE ATT&amp;CK Mappings'!$F424))),ISNUMBER(SEARCH(IF(H$2&lt;&gt;"",H$2,"NA"),'MITRE ATT&amp;CK Mappings'!$G424))),ISNUMBER(SEARCH(IF(H$2&lt;&gt;"",H$2,"NA"),'MITRE ATT&amp;CK Mappings'!$H424))),ISNUMBER(SEARCH(IF(H$3&lt;&gt;"",H$3,"NA"),'MITRE ATT&amp;CK Mappings'!$I424))),ISNUMBER(SEARCH(IF(H$3&lt;&gt;"",H$3,"NA"),'MITRE ATT&amp;CK Mappings'!$J424))), 'MITRE ATT&amp;CK Mappings'!$B424,"")</f>
        <v/>
      </c>
      <c r="I428" s="26" t="str">
        <f>IF(OR(OR(OR(OR(OR(ISNUMBER(SEARCH(IF(I$1&lt;&gt;"",I$1,"NA"),'MITRE ATT&amp;CK Mappings'!$E424)),ISNUMBER(SEARCH(IF(I$1&lt;&gt;"",I$1,"NA"),'MITRE ATT&amp;CK Mappings'!$F424))),ISNUMBER(SEARCH(IF(I$2&lt;&gt;"",I$2,"NA"),'MITRE ATT&amp;CK Mappings'!$G424))),ISNUMBER(SEARCH(IF(I$2&lt;&gt;"",I$2,"NA"),'MITRE ATT&amp;CK Mappings'!$H424))),ISNUMBER(SEARCH(IF(I$3&lt;&gt;"",I$3,"NA"),'MITRE ATT&amp;CK Mappings'!$I424))),ISNUMBER(SEARCH(IF(I$3&lt;&gt;"",I$3,"NA"),'MITRE ATT&amp;CK Mappings'!$J424))), 'MITRE ATT&amp;CK Mappings'!$B424,"")</f>
        <v/>
      </c>
      <c r="J428" s="26" t="str">
        <f>IF(OR(OR(OR(OR(OR(ISNUMBER(SEARCH(IF(J$1&lt;&gt;"",J$1,"NA"),'MITRE ATT&amp;CK Mappings'!$E424)),ISNUMBER(SEARCH(IF(J$1&lt;&gt;"",J$1,"NA"),'MITRE ATT&amp;CK Mappings'!$F424))),ISNUMBER(SEARCH(IF(J$2&lt;&gt;"",J$2,"NA"),'MITRE ATT&amp;CK Mappings'!$G424))),ISNUMBER(SEARCH(IF(J$2&lt;&gt;"",J$2,"NA"),'MITRE ATT&amp;CK Mappings'!$H424))),ISNUMBER(SEARCH(IF(J$3&lt;&gt;"",J$3,"NA"),'MITRE ATT&amp;CK Mappings'!$I424))),ISNUMBER(SEARCH(IF(J$3&lt;&gt;"",J$3,"NA"),'MITRE ATT&amp;CK Mappings'!$J424))), 'MITRE ATT&amp;CK Mappings'!$B424,"")</f>
        <v/>
      </c>
      <c r="K428" s="26" t="str">
        <f>IF(OR(OR(OR(OR(OR(ISNUMBER(SEARCH(IF(K$1&lt;&gt;"",K$1,"NA"),'MITRE ATT&amp;CK Mappings'!$E424)),ISNUMBER(SEARCH(IF(K$1&lt;&gt;"",K$1,"NA"),'MITRE ATT&amp;CK Mappings'!$F424))),ISNUMBER(SEARCH(IF(K$2&lt;&gt;"",K$2,"NA"),'MITRE ATT&amp;CK Mappings'!$G424))),ISNUMBER(SEARCH(IF(K$2&lt;&gt;"",K$2,"NA"),'MITRE ATT&amp;CK Mappings'!$H424))),ISNUMBER(SEARCH(IF(K$3&lt;&gt;"",K$3,"NA"),'MITRE ATT&amp;CK Mappings'!$I424))),ISNUMBER(SEARCH(IF(K$3&lt;&gt;"",K$3,"NA"),'MITRE ATT&amp;CK Mappings'!$J424))), 'MITRE ATT&amp;CK Mappings'!$B424,"")</f>
        <v/>
      </c>
      <c r="L428" s="26" t="str">
        <f>IF('MITRE ATT&amp;CK Mappings'!D424 &lt;&gt;"",'MITRE ATT&amp;CK Mappings'!D424,"" )</f>
        <v/>
      </c>
    </row>
    <row r="429" spans="1:12" x14ac:dyDescent="0.25">
      <c r="A429" s="27" t="str">
        <f>IF(COUNTIF(B429:K429,"="&amp;'MITRE ATT&amp;CK Mappings'!B425)&gt;0,'MITRE ATT&amp;CK Mappings'!B425,"")</f>
        <v/>
      </c>
      <c r="B429" s="27" t="str">
        <f>IF(OR(OR(OR(OR(OR(ISNUMBER(SEARCH(IF(B$1&lt;&gt;"",B$1,"NA"),'MITRE ATT&amp;CK Mappings'!$E425)),ISNUMBER(SEARCH(IF(B$1&lt;&gt;"",B$1,"NA"),'MITRE ATT&amp;CK Mappings'!$F425))),ISNUMBER(SEARCH(IF(B$2&lt;&gt;"",B$2,"NA"),'MITRE ATT&amp;CK Mappings'!$G425))),ISNUMBER(SEARCH(IF(B$2&lt;&gt;"",B$2,"NA"),'MITRE ATT&amp;CK Mappings'!$H425))),ISNUMBER(SEARCH(IF(B$3&lt;&gt;"",B$3,"NA"),'MITRE ATT&amp;CK Mappings'!$I425))),ISNUMBER(SEARCH(IF(B$3&lt;&gt;"",B$3,"NA"),'MITRE ATT&amp;CK Mappings'!$J425))), 'MITRE ATT&amp;CK Mappings'!$B425,"")</f>
        <v/>
      </c>
      <c r="C429" s="27" t="str">
        <f>IF(OR(OR(OR(OR(OR(ISNUMBER(SEARCH(IF(C$1&lt;&gt;"",C$1,"NA"),'MITRE ATT&amp;CK Mappings'!$E425)),ISNUMBER(SEARCH(IF(C$1&lt;&gt;"",C$1,"NA"),'MITRE ATT&amp;CK Mappings'!$F425))),ISNUMBER(SEARCH(IF(C$2&lt;&gt;"",C$2,"NA"),'MITRE ATT&amp;CK Mappings'!$G425))),ISNUMBER(SEARCH(IF(C$2&lt;&gt;"",C$2,"NA"),'MITRE ATT&amp;CK Mappings'!$H425))),ISNUMBER(SEARCH(IF(C$3&lt;&gt;"",C$3,"NA"),'MITRE ATT&amp;CK Mappings'!$I425))),ISNUMBER(SEARCH(IF(C$3&lt;&gt;"",C$3,"NA"),'MITRE ATT&amp;CK Mappings'!$J425))), 'MITRE ATT&amp;CK Mappings'!$B425,"")</f>
        <v/>
      </c>
      <c r="D429" s="27" t="str">
        <f>IF(OR(OR(OR(OR(OR(ISNUMBER(SEARCH(IF(D$1&lt;&gt;"",D$1,"NA"),'MITRE ATT&amp;CK Mappings'!$E425)),ISNUMBER(SEARCH(IF(D$1&lt;&gt;"",D$1,"NA"),'MITRE ATT&amp;CK Mappings'!$F425))),ISNUMBER(SEARCH(IF(D$2&lt;&gt;"",D$2,"NA"),'MITRE ATT&amp;CK Mappings'!$G425))),ISNUMBER(SEARCH(IF(D$2&lt;&gt;"",D$2,"NA"),'MITRE ATT&amp;CK Mappings'!$H425))),ISNUMBER(SEARCH(IF(D$3&lt;&gt;"",D$3,"NA"),'MITRE ATT&amp;CK Mappings'!$I425))),ISNUMBER(SEARCH(IF(D$3&lt;&gt;"",D$3,"NA"),'MITRE ATT&amp;CK Mappings'!$J425))), 'MITRE ATT&amp;CK Mappings'!$B425,"")</f>
        <v/>
      </c>
      <c r="E429" s="27" t="str">
        <f>IF(OR(OR(OR(OR(OR(ISNUMBER(SEARCH(IF(E$1&lt;&gt;"",E$1,"NA"),'MITRE ATT&amp;CK Mappings'!$E425)),ISNUMBER(SEARCH(IF(E$1&lt;&gt;"",E$1,"NA"),'MITRE ATT&amp;CK Mappings'!$F425))),ISNUMBER(SEARCH(IF(E$2&lt;&gt;"",E$2,"NA"),'MITRE ATT&amp;CK Mappings'!$G425))),ISNUMBER(SEARCH(IF(E$2&lt;&gt;"",E$2,"NA"),'MITRE ATT&amp;CK Mappings'!$H425))),ISNUMBER(SEARCH(IF(E$3&lt;&gt;"",E$3,"NA"),'MITRE ATT&amp;CK Mappings'!$I425))),ISNUMBER(SEARCH(IF(E$3&lt;&gt;"",E$3,"NA"),'MITRE ATT&amp;CK Mappings'!$J425))), 'MITRE ATT&amp;CK Mappings'!$B425,"")</f>
        <v/>
      </c>
      <c r="F429" s="27" t="str">
        <f>IF(OR(OR(OR(OR(OR(ISNUMBER(SEARCH(IF(F$1&lt;&gt;"",F$1,"NA"),'MITRE ATT&amp;CK Mappings'!$E425)),ISNUMBER(SEARCH(IF(F$1&lt;&gt;"",F$1,"NA"),'MITRE ATT&amp;CK Mappings'!$F425))),ISNUMBER(SEARCH(IF(F$2&lt;&gt;"",F$2,"NA"),'MITRE ATT&amp;CK Mappings'!$G425))),ISNUMBER(SEARCH(IF(F$2&lt;&gt;"",F$2,"NA"),'MITRE ATT&amp;CK Mappings'!$H425))),ISNUMBER(SEARCH(IF(F$3&lt;&gt;"",F$3,"NA"),'MITRE ATT&amp;CK Mappings'!$I425))),ISNUMBER(SEARCH(IF(F$3&lt;&gt;"",F$3,"NA"),'MITRE ATT&amp;CK Mappings'!$J425))), 'MITRE ATT&amp;CK Mappings'!$B425,"")</f>
        <v/>
      </c>
      <c r="G429" s="27" t="str">
        <f>IF(OR(OR(OR(OR(OR(ISNUMBER(SEARCH(IF(G$1&lt;&gt;"",G$1,"NA"),'MITRE ATT&amp;CK Mappings'!$E425)),ISNUMBER(SEARCH(IF(G$1&lt;&gt;"",G$1,"NA"),'MITRE ATT&amp;CK Mappings'!$F425))),ISNUMBER(SEARCH(IF(G$2&lt;&gt;"",G$2,"NA"),'MITRE ATT&amp;CK Mappings'!$G425))),ISNUMBER(SEARCH(IF(G$2&lt;&gt;"",G$2,"NA"),'MITRE ATT&amp;CK Mappings'!$H425))),ISNUMBER(SEARCH(IF(G$3&lt;&gt;"",G$3,"NA"),'MITRE ATT&amp;CK Mappings'!$I425))),ISNUMBER(SEARCH(IF(G$3&lt;&gt;"",G$3,"NA"),'MITRE ATT&amp;CK Mappings'!$J425))), 'MITRE ATT&amp;CK Mappings'!$B425,"")</f>
        <v/>
      </c>
      <c r="H429" s="27" t="str">
        <f>IF(OR(OR(OR(OR(OR(ISNUMBER(SEARCH(IF(H$1&lt;&gt;"",H$1,"NA"),'MITRE ATT&amp;CK Mappings'!$E425)),ISNUMBER(SEARCH(IF(H$1&lt;&gt;"",H$1,"NA"),'MITRE ATT&amp;CK Mappings'!$F425))),ISNUMBER(SEARCH(IF(H$2&lt;&gt;"",H$2,"NA"),'MITRE ATT&amp;CK Mappings'!$G425))),ISNUMBER(SEARCH(IF(H$2&lt;&gt;"",H$2,"NA"),'MITRE ATT&amp;CK Mappings'!$H425))),ISNUMBER(SEARCH(IF(H$3&lt;&gt;"",H$3,"NA"),'MITRE ATT&amp;CK Mappings'!$I425))),ISNUMBER(SEARCH(IF(H$3&lt;&gt;"",H$3,"NA"),'MITRE ATT&amp;CK Mappings'!$J425))), 'MITRE ATT&amp;CK Mappings'!$B425,"")</f>
        <v/>
      </c>
      <c r="I429" s="27" t="str">
        <f>IF(OR(OR(OR(OR(OR(ISNUMBER(SEARCH(IF(I$1&lt;&gt;"",I$1,"NA"),'MITRE ATT&amp;CK Mappings'!$E425)),ISNUMBER(SEARCH(IF(I$1&lt;&gt;"",I$1,"NA"),'MITRE ATT&amp;CK Mappings'!$F425))),ISNUMBER(SEARCH(IF(I$2&lt;&gt;"",I$2,"NA"),'MITRE ATT&amp;CK Mappings'!$G425))),ISNUMBER(SEARCH(IF(I$2&lt;&gt;"",I$2,"NA"),'MITRE ATT&amp;CK Mappings'!$H425))),ISNUMBER(SEARCH(IF(I$3&lt;&gt;"",I$3,"NA"),'MITRE ATT&amp;CK Mappings'!$I425))),ISNUMBER(SEARCH(IF(I$3&lt;&gt;"",I$3,"NA"),'MITRE ATT&amp;CK Mappings'!$J425))), 'MITRE ATT&amp;CK Mappings'!$B425,"")</f>
        <v/>
      </c>
      <c r="J429" s="27" t="str">
        <f>IF(OR(OR(OR(OR(OR(ISNUMBER(SEARCH(IF(J$1&lt;&gt;"",J$1,"NA"),'MITRE ATT&amp;CK Mappings'!$E425)),ISNUMBER(SEARCH(IF(J$1&lt;&gt;"",J$1,"NA"),'MITRE ATT&amp;CK Mappings'!$F425))),ISNUMBER(SEARCH(IF(J$2&lt;&gt;"",J$2,"NA"),'MITRE ATT&amp;CK Mappings'!$G425))),ISNUMBER(SEARCH(IF(J$2&lt;&gt;"",J$2,"NA"),'MITRE ATT&amp;CK Mappings'!$H425))),ISNUMBER(SEARCH(IF(J$3&lt;&gt;"",J$3,"NA"),'MITRE ATT&amp;CK Mappings'!$I425))),ISNUMBER(SEARCH(IF(J$3&lt;&gt;"",J$3,"NA"),'MITRE ATT&amp;CK Mappings'!$J425))), 'MITRE ATT&amp;CK Mappings'!$B425,"")</f>
        <v/>
      </c>
      <c r="K429" s="27" t="str">
        <f>IF(OR(OR(OR(OR(OR(ISNUMBER(SEARCH(IF(K$1&lt;&gt;"",K$1,"NA"),'MITRE ATT&amp;CK Mappings'!$E425)),ISNUMBER(SEARCH(IF(K$1&lt;&gt;"",K$1,"NA"),'MITRE ATT&amp;CK Mappings'!$F425))),ISNUMBER(SEARCH(IF(K$2&lt;&gt;"",K$2,"NA"),'MITRE ATT&amp;CK Mappings'!$G425))),ISNUMBER(SEARCH(IF(K$2&lt;&gt;"",K$2,"NA"),'MITRE ATT&amp;CK Mappings'!$H425))),ISNUMBER(SEARCH(IF(K$3&lt;&gt;"",K$3,"NA"),'MITRE ATT&amp;CK Mappings'!$I425))),ISNUMBER(SEARCH(IF(K$3&lt;&gt;"",K$3,"NA"),'MITRE ATT&amp;CK Mappings'!$J425))), 'MITRE ATT&amp;CK Mappings'!$B425,"")</f>
        <v/>
      </c>
      <c r="L429" s="27" t="str">
        <f>IF('MITRE ATT&amp;CK Mappings'!D425 &lt;&gt;"",'MITRE ATT&amp;CK Mappings'!D425,"" )</f>
        <v/>
      </c>
    </row>
    <row r="430" spans="1:12" x14ac:dyDescent="0.25">
      <c r="A430" s="26" t="str">
        <f>IF(COUNTIF(B430:K430,"="&amp;'MITRE ATT&amp;CK Mappings'!B426)&gt;0,'MITRE ATT&amp;CK Mappings'!B426,"")</f>
        <v/>
      </c>
      <c r="B430" s="26" t="str">
        <f>IF(OR(OR(OR(OR(OR(ISNUMBER(SEARCH(IF(B$1&lt;&gt;"",B$1,"NA"),'MITRE ATT&amp;CK Mappings'!$E426)),ISNUMBER(SEARCH(IF(B$1&lt;&gt;"",B$1,"NA"),'MITRE ATT&amp;CK Mappings'!$F426))),ISNUMBER(SEARCH(IF(B$2&lt;&gt;"",B$2,"NA"),'MITRE ATT&amp;CK Mappings'!$G426))),ISNUMBER(SEARCH(IF(B$2&lt;&gt;"",B$2,"NA"),'MITRE ATT&amp;CK Mappings'!$H426))),ISNUMBER(SEARCH(IF(B$3&lt;&gt;"",B$3,"NA"),'MITRE ATT&amp;CK Mappings'!$I426))),ISNUMBER(SEARCH(IF(B$3&lt;&gt;"",B$3,"NA"),'MITRE ATT&amp;CK Mappings'!$J426))), 'MITRE ATT&amp;CK Mappings'!$B426,"")</f>
        <v/>
      </c>
      <c r="C430" s="26" t="str">
        <f>IF(OR(OR(OR(OR(OR(ISNUMBER(SEARCH(IF(C$1&lt;&gt;"",C$1,"NA"),'MITRE ATT&amp;CK Mappings'!$E426)),ISNUMBER(SEARCH(IF(C$1&lt;&gt;"",C$1,"NA"),'MITRE ATT&amp;CK Mappings'!$F426))),ISNUMBER(SEARCH(IF(C$2&lt;&gt;"",C$2,"NA"),'MITRE ATT&amp;CK Mappings'!$G426))),ISNUMBER(SEARCH(IF(C$2&lt;&gt;"",C$2,"NA"),'MITRE ATT&amp;CK Mappings'!$H426))),ISNUMBER(SEARCH(IF(C$3&lt;&gt;"",C$3,"NA"),'MITRE ATT&amp;CK Mappings'!$I426))),ISNUMBER(SEARCH(IF(C$3&lt;&gt;"",C$3,"NA"),'MITRE ATT&amp;CK Mappings'!$J426))), 'MITRE ATT&amp;CK Mappings'!$B426,"")</f>
        <v/>
      </c>
      <c r="D430" s="26" t="str">
        <f>IF(OR(OR(OR(OR(OR(ISNUMBER(SEARCH(IF(D$1&lt;&gt;"",D$1,"NA"),'MITRE ATT&amp;CK Mappings'!$E426)),ISNUMBER(SEARCH(IF(D$1&lt;&gt;"",D$1,"NA"),'MITRE ATT&amp;CK Mappings'!$F426))),ISNUMBER(SEARCH(IF(D$2&lt;&gt;"",D$2,"NA"),'MITRE ATT&amp;CK Mappings'!$G426))),ISNUMBER(SEARCH(IF(D$2&lt;&gt;"",D$2,"NA"),'MITRE ATT&amp;CK Mappings'!$H426))),ISNUMBER(SEARCH(IF(D$3&lt;&gt;"",D$3,"NA"),'MITRE ATT&amp;CK Mappings'!$I426))),ISNUMBER(SEARCH(IF(D$3&lt;&gt;"",D$3,"NA"),'MITRE ATT&amp;CK Mappings'!$J426))), 'MITRE ATT&amp;CK Mappings'!$B426,"")</f>
        <v/>
      </c>
      <c r="E430" s="26" t="str">
        <f>IF(OR(OR(OR(OR(OR(ISNUMBER(SEARCH(IF(E$1&lt;&gt;"",E$1,"NA"),'MITRE ATT&amp;CK Mappings'!$E426)),ISNUMBER(SEARCH(IF(E$1&lt;&gt;"",E$1,"NA"),'MITRE ATT&amp;CK Mappings'!$F426))),ISNUMBER(SEARCH(IF(E$2&lt;&gt;"",E$2,"NA"),'MITRE ATT&amp;CK Mappings'!$G426))),ISNUMBER(SEARCH(IF(E$2&lt;&gt;"",E$2,"NA"),'MITRE ATT&amp;CK Mappings'!$H426))),ISNUMBER(SEARCH(IF(E$3&lt;&gt;"",E$3,"NA"),'MITRE ATT&amp;CK Mappings'!$I426))),ISNUMBER(SEARCH(IF(E$3&lt;&gt;"",E$3,"NA"),'MITRE ATT&amp;CK Mappings'!$J426))), 'MITRE ATT&amp;CK Mappings'!$B426,"")</f>
        <v/>
      </c>
      <c r="F430" s="26" t="str">
        <f>IF(OR(OR(OR(OR(OR(ISNUMBER(SEARCH(IF(F$1&lt;&gt;"",F$1,"NA"),'MITRE ATT&amp;CK Mappings'!$E426)),ISNUMBER(SEARCH(IF(F$1&lt;&gt;"",F$1,"NA"),'MITRE ATT&amp;CK Mappings'!$F426))),ISNUMBER(SEARCH(IF(F$2&lt;&gt;"",F$2,"NA"),'MITRE ATT&amp;CK Mappings'!$G426))),ISNUMBER(SEARCH(IF(F$2&lt;&gt;"",F$2,"NA"),'MITRE ATT&amp;CK Mappings'!$H426))),ISNUMBER(SEARCH(IF(F$3&lt;&gt;"",F$3,"NA"),'MITRE ATT&amp;CK Mappings'!$I426))),ISNUMBER(SEARCH(IF(F$3&lt;&gt;"",F$3,"NA"),'MITRE ATT&amp;CK Mappings'!$J426))), 'MITRE ATT&amp;CK Mappings'!$B426,"")</f>
        <v/>
      </c>
      <c r="G430" s="26" t="str">
        <f>IF(OR(OR(OR(OR(OR(ISNUMBER(SEARCH(IF(G$1&lt;&gt;"",G$1,"NA"),'MITRE ATT&amp;CK Mappings'!$E426)),ISNUMBER(SEARCH(IF(G$1&lt;&gt;"",G$1,"NA"),'MITRE ATT&amp;CK Mappings'!$F426))),ISNUMBER(SEARCH(IF(G$2&lt;&gt;"",G$2,"NA"),'MITRE ATT&amp;CK Mappings'!$G426))),ISNUMBER(SEARCH(IF(G$2&lt;&gt;"",G$2,"NA"),'MITRE ATT&amp;CK Mappings'!$H426))),ISNUMBER(SEARCH(IF(G$3&lt;&gt;"",G$3,"NA"),'MITRE ATT&amp;CK Mappings'!$I426))),ISNUMBER(SEARCH(IF(G$3&lt;&gt;"",G$3,"NA"),'MITRE ATT&amp;CK Mappings'!$J426))), 'MITRE ATT&amp;CK Mappings'!$B426,"")</f>
        <v/>
      </c>
      <c r="H430" s="26" t="str">
        <f>IF(OR(OR(OR(OR(OR(ISNUMBER(SEARCH(IF(H$1&lt;&gt;"",H$1,"NA"),'MITRE ATT&amp;CK Mappings'!$E426)),ISNUMBER(SEARCH(IF(H$1&lt;&gt;"",H$1,"NA"),'MITRE ATT&amp;CK Mappings'!$F426))),ISNUMBER(SEARCH(IF(H$2&lt;&gt;"",H$2,"NA"),'MITRE ATT&amp;CK Mappings'!$G426))),ISNUMBER(SEARCH(IF(H$2&lt;&gt;"",H$2,"NA"),'MITRE ATT&amp;CK Mappings'!$H426))),ISNUMBER(SEARCH(IF(H$3&lt;&gt;"",H$3,"NA"),'MITRE ATT&amp;CK Mappings'!$I426))),ISNUMBER(SEARCH(IF(H$3&lt;&gt;"",H$3,"NA"),'MITRE ATT&amp;CK Mappings'!$J426))), 'MITRE ATT&amp;CK Mappings'!$B426,"")</f>
        <v/>
      </c>
      <c r="I430" s="26" t="str">
        <f>IF(OR(OR(OR(OR(OR(ISNUMBER(SEARCH(IF(I$1&lt;&gt;"",I$1,"NA"),'MITRE ATT&amp;CK Mappings'!$E426)),ISNUMBER(SEARCH(IF(I$1&lt;&gt;"",I$1,"NA"),'MITRE ATT&amp;CK Mappings'!$F426))),ISNUMBER(SEARCH(IF(I$2&lt;&gt;"",I$2,"NA"),'MITRE ATT&amp;CK Mappings'!$G426))),ISNUMBER(SEARCH(IF(I$2&lt;&gt;"",I$2,"NA"),'MITRE ATT&amp;CK Mappings'!$H426))),ISNUMBER(SEARCH(IF(I$3&lt;&gt;"",I$3,"NA"),'MITRE ATT&amp;CK Mappings'!$I426))),ISNUMBER(SEARCH(IF(I$3&lt;&gt;"",I$3,"NA"),'MITRE ATT&amp;CK Mappings'!$J426))), 'MITRE ATT&amp;CK Mappings'!$B426,"")</f>
        <v/>
      </c>
      <c r="J430" s="26" t="str">
        <f>IF(OR(OR(OR(OR(OR(ISNUMBER(SEARCH(IF(J$1&lt;&gt;"",J$1,"NA"),'MITRE ATT&amp;CK Mappings'!$E426)),ISNUMBER(SEARCH(IF(J$1&lt;&gt;"",J$1,"NA"),'MITRE ATT&amp;CK Mappings'!$F426))),ISNUMBER(SEARCH(IF(J$2&lt;&gt;"",J$2,"NA"),'MITRE ATT&amp;CK Mappings'!$G426))),ISNUMBER(SEARCH(IF(J$2&lt;&gt;"",J$2,"NA"),'MITRE ATT&amp;CK Mappings'!$H426))),ISNUMBER(SEARCH(IF(J$3&lt;&gt;"",J$3,"NA"),'MITRE ATT&amp;CK Mappings'!$I426))),ISNUMBER(SEARCH(IF(J$3&lt;&gt;"",J$3,"NA"),'MITRE ATT&amp;CK Mappings'!$J426))), 'MITRE ATT&amp;CK Mappings'!$B426,"")</f>
        <v/>
      </c>
      <c r="K430" s="26" t="str">
        <f>IF(OR(OR(OR(OR(OR(ISNUMBER(SEARCH(IF(K$1&lt;&gt;"",K$1,"NA"),'MITRE ATT&amp;CK Mappings'!$E426)),ISNUMBER(SEARCH(IF(K$1&lt;&gt;"",K$1,"NA"),'MITRE ATT&amp;CK Mappings'!$F426))),ISNUMBER(SEARCH(IF(K$2&lt;&gt;"",K$2,"NA"),'MITRE ATT&amp;CK Mappings'!$G426))),ISNUMBER(SEARCH(IF(K$2&lt;&gt;"",K$2,"NA"),'MITRE ATT&amp;CK Mappings'!$H426))),ISNUMBER(SEARCH(IF(K$3&lt;&gt;"",K$3,"NA"),'MITRE ATT&amp;CK Mappings'!$I426))),ISNUMBER(SEARCH(IF(K$3&lt;&gt;"",K$3,"NA"),'MITRE ATT&amp;CK Mappings'!$J426))), 'MITRE ATT&amp;CK Mappings'!$B426,"")</f>
        <v/>
      </c>
      <c r="L430" s="26" t="str">
        <f>IF('MITRE ATT&amp;CK Mappings'!D426 &lt;&gt;"",'MITRE ATT&amp;CK Mappings'!D426,"" )</f>
        <v/>
      </c>
    </row>
    <row r="431" spans="1:12" x14ac:dyDescent="0.25">
      <c r="A431" s="27" t="str">
        <f>IF(COUNTIF(B431:K431,"="&amp;'MITRE ATT&amp;CK Mappings'!B427)&gt;0,'MITRE ATT&amp;CK Mappings'!B427,"")</f>
        <v/>
      </c>
      <c r="B431" s="27" t="str">
        <f>IF(OR(OR(OR(OR(OR(ISNUMBER(SEARCH(IF(B$1&lt;&gt;"",B$1,"NA"),'MITRE ATT&amp;CK Mappings'!$E427)),ISNUMBER(SEARCH(IF(B$1&lt;&gt;"",B$1,"NA"),'MITRE ATT&amp;CK Mappings'!$F427))),ISNUMBER(SEARCH(IF(B$2&lt;&gt;"",B$2,"NA"),'MITRE ATT&amp;CK Mappings'!$G427))),ISNUMBER(SEARCH(IF(B$2&lt;&gt;"",B$2,"NA"),'MITRE ATT&amp;CK Mappings'!$H427))),ISNUMBER(SEARCH(IF(B$3&lt;&gt;"",B$3,"NA"),'MITRE ATT&amp;CK Mappings'!$I427))),ISNUMBER(SEARCH(IF(B$3&lt;&gt;"",B$3,"NA"),'MITRE ATT&amp;CK Mappings'!$J427))), 'MITRE ATT&amp;CK Mappings'!$B427,"")</f>
        <v/>
      </c>
      <c r="C431" s="27" t="str">
        <f>IF(OR(OR(OR(OR(OR(ISNUMBER(SEARCH(IF(C$1&lt;&gt;"",C$1,"NA"),'MITRE ATT&amp;CK Mappings'!$E427)),ISNUMBER(SEARCH(IF(C$1&lt;&gt;"",C$1,"NA"),'MITRE ATT&amp;CK Mappings'!$F427))),ISNUMBER(SEARCH(IF(C$2&lt;&gt;"",C$2,"NA"),'MITRE ATT&amp;CK Mappings'!$G427))),ISNUMBER(SEARCH(IF(C$2&lt;&gt;"",C$2,"NA"),'MITRE ATT&amp;CK Mappings'!$H427))),ISNUMBER(SEARCH(IF(C$3&lt;&gt;"",C$3,"NA"),'MITRE ATT&amp;CK Mappings'!$I427))),ISNUMBER(SEARCH(IF(C$3&lt;&gt;"",C$3,"NA"),'MITRE ATT&amp;CK Mappings'!$J427))), 'MITRE ATT&amp;CK Mappings'!$B427,"")</f>
        <v/>
      </c>
      <c r="D431" s="27" t="str">
        <f>IF(OR(OR(OR(OR(OR(ISNUMBER(SEARCH(IF(D$1&lt;&gt;"",D$1,"NA"),'MITRE ATT&amp;CK Mappings'!$E427)),ISNUMBER(SEARCH(IF(D$1&lt;&gt;"",D$1,"NA"),'MITRE ATT&amp;CK Mappings'!$F427))),ISNUMBER(SEARCH(IF(D$2&lt;&gt;"",D$2,"NA"),'MITRE ATT&amp;CK Mappings'!$G427))),ISNUMBER(SEARCH(IF(D$2&lt;&gt;"",D$2,"NA"),'MITRE ATT&amp;CK Mappings'!$H427))),ISNUMBER(SEARCH(IF(D$3&lt;&gt;"",D$3,"NA"),'MITRE ATT&amp;CK Mappings'!$I427))),ISNUMBER(SEARCH(IF(D$3&lt;&gt;"",D$3,"NA"),'MITRE ATT&amp;CK Mappings'!$J427))), 'MITRE ATT&amp;CK Mappings'!$B427,"")</f>
        <v/>
      </c>
      <c r="E431" s="27" t="str">
        <f>IF(OR(OR(OR(OR(OR(ISNUMBER(SEARCH(IF(E$1&lt;&gt;"",E$1,"NA"),'MITRE ATT&amp;CK Mappings'!$E427)),ISNUMBER(SEARCH(IF(E$1&lt;&gt;"",E$1,"NA"),'MITRE ATT&amp;CK Mappings'!$F427))),ISNUMBER(SEARCH(IF(E$2&lt;&gt;"",E$2,"NA"),'MITRE ATT&amp;CK Mappings'!$G427))),ISNUMBER(SEARCH(IF(E$2&lt;&gt;"",E$2,"NA"),'MITRE ATT&amp;CK Mappings'!$H427))),ISNUMBER(SEARCH(IF(E$3&lt;&gt;"",E$3,"NA"),'MITRE ATT&amp;CK Mappings'!$I427))),ISNUMBER(SEARCH(IF(E$3&lt;&gt;"",E$3,"NA"),'MITRE ATT&amp;CK Mappings'!$J427))), 'MITRE ATT&amp;CK Mappings'!$B427,"")</f>
        <v/>
      </c>
      <c r="F431" s="27" t="str">
        <f>IF(OR(OR(OR(OR(OR(ISNUMBER(SEARCH(IF(F$1&lt;&gt;"",F$1,"NA"),'MITRE ATT&amp;CK Mappings'!$E427)),ISNUMBER(SEARCH(IF(F$1&lt;&gt;"",F$1,"NA"),'MITRE ATT&amp;CK Mappings'!$F427))),ISNUMBER(SEARCH(IF(F$2&lt;&gt;"",F$2,"NA"),'MITRE ATT&amp;CK Mappings'!$G427))),ISNUMBER(SEARCH(IF(F$2&lt;&gt;"",F$2,"NA"),'MITRE ATT&amp;CK Mappings'!$H427))),ISNUMBER(SEARCH(IF(F$3&lt;&gt;"",F$3,"NA"),'MITRE ATT&amp;CK Mappings'!$I427))),ISNUMBER(SEARCH(IF(F$3&lt;&gt;"",F$3,"NA"),'MITRE ATT&amp;CK Mappings'!$J427))), 'MITRE ATT&amp;CK Mappings'!$B427,"")</f>
        <v/>
      </c>
      <c r="G431" s="27" t="str">
        <f>IF(OR(OR(OR(OR(OR(ISNUMBER(SEARCH(IF(G$1&lt;&gt;"",G$1,"NA"),'MITRE ATT&amp;CK Mappings'!$E427)),ISNUMBER(SEARCH(IF(G$1&lt;&gt;"",G$1,"NA"),'MITRE ATT&amp;CK Mappings'!$F427))),ISNUMBER(SEARCH(IF(G$2&lt;&gt;"",G$2,"NA"),'MITRE ATT&amp;CK Mappings'!$G427))),ISNUMBER(SEARCH(IF(G$2&lt;&gt;"",G$2,"NA"),'MITRE ATT&amp;CK Mappings'!$H427))),ISNUMBER(SEARCH(IF(G$3&lt;&gt;"",G$3,"NA"),'MITRE ATT&amp;CK Mappings'!$I427))),ISNUMBER(SEARCH(IF(G$3&lt;&gt;"",G$3,"NA"),'MITRE ATT&amp;CK Mappings'!$J427))), 'MITRE ATT&amp;CK Mappings'!$B427,"")</f>
        <v/>
      </c>
      <c r="H431" s="27" t="str">
        <f>IF(OR(OR(OR(OR(OR(ISNUMBER(SEARCH(IF(H$1&lt;&gt;"",H$1,"NA"),'MITRE ATT&amp;CK Mappings'!$E427)),ISNUMBER(SEARCH(IF(H$1&lt;&gt;"",H$1,"NA"),'MITRE ATT&amp;CK Mappings'!$F427))),ISNUMBER(SEARCH(IF(H$2&lt;&gt;"",H$2,"NA"),'MITRE ATT&amp;CK Mappings'!$G427))),ISNUMBER(SEARCH(IF(H$2&lt;&gt;"",H$2,"NA"),'MITRE ATT&amp;CK Mappings'!$H427))),ISNUMBER(SEARCH(IF(H$3&lt;&gt;"",H$3,"NA"),'MITRE ATT&amp;CK Mappings'!$I427))),ISNUMBER(SEARCH(IF(H$3&lt;&gt;"",H$3,"NA"),'MITRE ATT&amp;CK Mappings'!$J427))), 'MITRE ATT&amp;CK Mappings'!$B427,"")</f>
        <v/>
      </c>
      <c r="I431" s="27" t="str">
        <f>IF(OR(OR(OR(OR(OR(ISNUMBER(SEARCH(IF(I$1&lt;&gt;"",I$1,"NA"),'MITRE ATT&amp;CK Mappings'!$E427)),ISNUMBER(SEARCH(IF(I$1&lt;&gt;"",I$1,"NA"),'MITRE ATT&amp;CK Mappings'!$F427))),ISNUMBER(SEARCH(IF(I$2&lt;&gt;"",I$2,"NA"),'MITRE ATT&amp;CK Mappings'!$G427))),ISNUMBER(SEARCH(IF(I$2&lt;&gt;"",I$2,"NA"),'MITRE ATT&amp;CK Mappings'!$H427))),ISNUMBER(SEARCH(IF(I$3&lt;&gt;"",I$3,"NA"),'MITRE ATT&amp;CK Mappings'!$I427))),ISNUMBER(SEARCH(IF(I$3&lt;&gt;"",I$3,"NA"),'MITRE ATT&amp;CK Mappings'!$J427))), 'MITRE ATT&amp;CK Mappings'!$B427,"")</f>
        <v/>
      </c>
      <c r="J431" s="27" t="str">
        <f>IF(OR(OR(OR(OR(OR(ISNUMBER(SEARCH(IF(J$1&lt;&gt;"",J$1,"NA"),'MITRE ATT&amp;CK Mappings'!$E427)),ISNUMBER(SEARCH(IF(J$1&lt;&gt;"",J$1,"NA"),'MITRE ATT&amp;CK Mappings'!$F427))),ISNUMBER(SEARCH(IF(J$2&lt;&gt;"",J$2,"NA"),'MITRE ATT&amp;CK Mappings'!$G427))),ISNUMBER(SEARCH(IF(J$2&lt;&gt;"",J$2,"NA"),'MITRE ATT&amp;CK Mappings'!$H427))),ISNUMBER(SEARCH(IF(J$3&lt;&gt;"",J$3,"NA"),'MITRE ATT&amp;CK Mappings'!$I427))),ISNUMBER(SEARCH(IF(J$3&lt;&gt;"",J$3,"NA"),'MITRE ATT&amp;CK Mappings'!$J427))), 'MITRE ATT&amp;CK Mappings'!$B427,"")</f>
        <v/>
      </c>
      <c r="K431" s="27" t="str">
        <f>IF(OR(OR(OR(OR(OR(ISNUMBER(SEARCH(IF(K$1&lt;&gt;"",K$1,"NA"),'MITRE ATT&amp;CK Mappings'!$E427)),ISNUMBER(SEARCH(IF(K$1&lt;&gt;"",K$1,"NA"),'MITRE ATT&amp;CK Mappings'!$F427))),ISNUMBER(SEARCH(IF(K$2&lt;&gt;"",K$2,"NA"),'MITRE ATT&amp;CK Mappings'!$G427))),ISNUMBER(SEARCH(IF(K$2&lt;&gt;"",K$2,"NA"),'MITRE ATT&amp;CK Mappings'!$H427))),ISNUMBER(SEARCH(IF(K$3&lt;&gt;"",K$3,"NA"),'MITRE ATT&amp;CK Mappings'!$I427))),ISNUMBER(SEARCH(IF(K$3&lt;&gt;"",K$3,"NA"),'MITRE ATT&amp;CK Mappings'!$J427))), 'MITRE ATT&amp;CK Mappings'!$B427,"")</f>
        <v/>
      </c>
      <c r="L431" s="27" t="str">
        <f>IF('MITRE ATT&amp;CK Mappings'!D427 &lt;&gt;"",'MITRE ATT&amp;CK Mappings'!D427,"" )</f>
        <v/>
      </c>
    </row>
    <row r="432" spans="1:12" x14ac:dyDescent="0.25">
      <c r="A432" s="26" t="str">
        <f>IF(COUNTIF(B432:K432,"="&amp;'MITRE ATT&amp;CK Mappings'!B428)&gt;0,'MITRE ATT&amp;CK Mappings'!B428,"")</f>
        <v/>
      </c>
      <c r="B432" s="26" t="str">
        <f>IF(OR(OR(OR(OR(OR(ISNUMBER(SEARCH(IF(B$1&lt;&gt;"",B$1,"NA"),'MITRE ATT&amp;CK Mappings'!$E428)),ISNUMBER(SEARCH(IF(B$1&lt;&gt;"",B$1,"NA"),'MITRE ATT&amp;CK Mappings'!$F428))),ISNUMBER(SEARCH(IF(B$2&lt;&gt;"",B$2,"NA"),'MITRE ATT&amp;CK Mappings'!$G428))),ISNUMBER(SEARCH(IF(B$2&lt;&gt;"",B$2,"NA"),'MITRE ATT&amp;CK Mappings'!$H428))),ISNUMBER(SEARCH(IF(B$3&lt;&gt;"",B$3,"NA"),'MITRE ATT&amp;CK Mappings'!$I428))),ISNUMBER(SEARCH(IF(B$3&lt;&gt;"",B$3,"NA"),'MITRE ATT&amp;CK Mappings'!$J428))), 'MITRE ATT&amp;CK Mappings'!$B428,"")</f>
        <v/>
      </c>
      <c r="C432" s="26" t="str">
        <f>IF(OR(OR(OR(OR(OR(ISNUMBER(SEARCH(IF(C$1&lt;&gt;"",C$1,"NA"),'MITRE ATT&amp;CK Mappings'!$E428)),ISNUMBER(SEARCH(IF(C$1&lt;&gt;"",C$1,"NA"),'MITRE ATT&amp;CK Mappings'!$F428))),ISNUMBER(SEARCH(IF(C$2&lt;&gt;"",C$2,"NA"),'MITRE ATT&amp;CK Mappings'!$G428))),ISNUMBER(SEARCH(IF(C$2&lt;&gt;"",C$2,"NA"),'MITRE ATT&amp;CK Mappings'!$H428))),ISNUMBER(SEARCH(IF(C$3&lt;&gt;"",C$3,"NA"),'MITRE ATT&amp;CK Mappings'!$I428))),ISNUMBER(SEARCH(IF(C$3&lt;&gt;"",C$3,"NA"),'MITRE ATT&amp;CK Mappings'!$J428))), 'MITRE ATT&amp;CK Mappings'!$B428,"")</f>
        <v/>
      </c>
      <c r="D432" s="26" t="str">
        <f>IF(OR(OR(OR(OR(OR(ISNUMBER(SEARCH(IF(D$1&lt;&gt;"",D$1,"NA"),'MITRE ATT&amp;CK Mappings'!$E428)),ISNUMBER(SEARCH(IF(D$1&lt;&gt;"",D$1,"NA"),'MITRE ATT&amp;CK Mappings'!$F428))),ISNUMBER(SEARCH(IF(D$2&lt;&gt;"",D$2,"NA"),'MITRE ATT&amp;CK Mappings'!$G428))),ISNUMBER(SEARCH(IF(D$2&lt;&gt;"",D$2,"NA"),'MITRE ATT&amp;CK Mappings'!$H428))),ISNUMBER(SEARCH(IF(D$3&lt;&gt;"",D$3,"NA"),'MITRE ATT&amp;CK Mappings'!$I428))),ISNUMBER(SEARCH(IF(D$3&lt;&gt;"",D$3,"NA"),'MITRE ATT&amp;CK Mappings'!$J428))), 'MITRE ATT&amp;CK Mappings'!$B428,"")</f>
        <v/>
      </c>
      <c r="E432" s="26" t="str">
        <f>IF(OR(OR(OR(OR(OR(ISNUMBER(SEARCH(IF(E$1&lt;&gt;"",E$1,"NA"),'MITRE ATT&amp;CK Mappings'!$E428)),ISNUMBER(SEARCH(IF(E$1&lt;&gt;"",E$1,"NA"),'MITRE ATT&amp;CK Mappings'!$F428))),ISNUMBER(SEARCH(IF(E$2&lt;&gt;"",E$2,"NA"),'MITRE ATT&amp;CK Mappings'!$G428))),ISNUMBER(SEARCH(IF(E$2&lt;&gt;"",E$2,"NA"),'MITRE ATT&amp;CK Mappings'!$H428))),ISNUMBER(SEARCH(IF(E$3&lt;&gt;"",E$3,"NA"),'MITRE ATT&amp;CK Mappings'!$I428))),ISNUMBER(SEARCH(IF(E$3&lt;&gt;"",E$3,"NA"),'MITRE ATT&amp;CK Mappings'!$J428))), 'MITRE ATT&amp;CK Mappings'!$B428,"")</f>
        <v/>
      </c>
      <c r="F432" s="26" t="str">
        <f>IF(OR(OR(OR(OR(OR(ISNUMBER(SEARCH(IF(F$1&lt;&gt;"",F$1,"NA"),'MITRE ATT&amp;CK Mappings'!$E428)),ISNUMBER(SEARCH(IF(F$1&lt;&gt;"",F$1,"NA"),'MITRE ATT&amp;CK Mappings'!$F428))),ISNUMBER(SEARCH(IF(F$2&lt;&gt;"",F$2,"NA"),'MITRE ATT&amp;CK Mappings'!$G428))),ISNUMBER(SEARCH(IF(F$2&lt;&gt;"",F$2,"NA"),'MITRE ATT&amp;CK Mappings'!$H428))),ISNUMBER(SEARCH(IF(F$3&lt;&gt;"",F$3,"NA"),'MITRE ATT&amp;CK Mappings'!$I428))),ISNUMBER(SEARCH(IF(F$3&lt;&gt;"",F$3,"NA"),'MITRE ATT&amp;CK Mappings'!$J428))), 'MITRE ATT&amp;CK Mappings'!$B428,"")</f>
        <v/>
      </c>
      <c r="G432" s="26" t="str">
        <f>IF(OR(OR(OR(OR(OR(ISNUMBER(SEARCH(IF(G$1&lt;&gt;"",G$1,"NA"),'MITRE ATT&amp;CK Mappings'!$E428)),ISNUMBER(SEARCH(IF(G$1&lt;&gt;"",G$1,"NA"),'MITRE ATT&amp;CK Mappings'!$F428))),ISNUMBER(SEARCH(IF(G$2&lt;&gt;"",G$2,"NA"),'MITRE ATT&amp;CK Mappings'!$G428))),ISNUMBER(SEARCH(IF(G$2&lt;&gt;"",G$2,"NA"),'MITRE ATT&amp;CK Mappings'!$H428))),ISNUMBER(SEARCH(IF(G$3&lt;&gt;"",G$3,"NA"),'MITRE ATT&amp;CK Mappings'!$I428))),ISNUMBER(SEARCH(IF(G$3&lt;&gt;"",G$3,"NA"),'MITRE ATT&amp;CK Mappings'!$J428))), 'MITRE ATT&amp;CK Mappings'!$B428,"")</f>
        <v/>
      </c>
      <c r="H432" s="26" t="str">
        <f>IF(OR(OR(OR(OR(OR(ISNUMBER(SEARCH(IF(H$1&lt;&gt;"",H$1,"NA"),'MITRE ATT&amp;CK Mappings'!$E428)),ISNUMBER(SEARCH(IF(H$1&lt;&gt;"",H$1,"NA"),'MITRE ATT&amp;CK Mappings'!$F428))),ISNUMBER(SEARCH(IF(H$2&lt;&gt;"",H$2,"NA"),'MITRE ATT&amp;CK Mappings'!$G428))),ISNUMBER(SEARCH(IF(H$2&lt;&gt;"",H$2,"NA"),'MITRE ATT&amp;CK Mappings'!$H428))),ISNUMBER(SEARCH(IF(H$3&lt;&gt;"",H$3,"NA"),'MITRE ATT&amp;CK Mappings'!$I428))),ISNUMBER(SEARCH(IF(H$3&lt;&gt;"",H$3,"NA"),'MITRE ATT&amp;CK Mappings'!$J428))), 'MITRE ATT&amp;CK Mappings'!$B428,"")</f>
        <v/>
      </c>
      <c r="I432" s="26" t="str">
        <f>IF(OR(OR(OR(OR(OR(ISNUMBER(SEARCH(IF(I$1&lt;&gt;"",I$1,"NA"),'MITRE ATT&amp;CK Mappings'!$E428)),ISNUMBER(SEARCH(IF(I$1&lt;&gt;"",I$1,"NA"),'MITRE ATT&amp;CK Mappings'!$F428))),ISNUMBER(SEARCH(IF(I$2&lt;&gt;"",I$2,"NA"),'MITRE ATT&amp;CK Mappings'!$G428))),ISNUMBER(SEARCH(IF(I$2&lt;&gt;"",I$2,"NA"),'MITRE ATT&amp;CK Mappings'!$H428))),ISNUMBER(SEARCH(IF(I$3&lt;&gt;"",I$3,"NA"),'MITRE ATT&amp;CK Mappings'!$I428))),ISNUMBER(SEARCH(IF(I$3&lt;&gt;"",I$3,"NA"),'MITRE ATT&amp;CK Mappings'!$J428))), 'MITRE ATT&amp;CK Mappings'!$B428,"")</f>
        <v/>
      </c>
      <c r="J432" s="26" t="str">
        <f>IF(OR(OR(OR(OR(OR(ISNUMBER(SEARCH(IF(J$1&lt;&gt;"",J$1,"NA"),'MITRE ATT&amp;CK Mappings'!$E428)),ISNUMBER(SEARCH(IF(J$1&lt;&gt;"",J$1,"NA"),'MITRE ATT&amp;CK Mappings'!$F428))),ISNUMBER(SEARCH(IF(J$2&lt;&gt;"",J$2,"NA"),'MITRE ATT&amp;CK Mappings'!$G428))),ISNUMBER(SEARCH(IF(J$2&lt;&gt;"",J$2,"NA"),'MITRE ATT&amp;CK Mappings'!$H428))),ISNUMBER(SEARCH(IF(J$3&lt;&gt;"",J$3,"NA"),'MITRE ATT&amp;CK Mappings'!$I428))),ISNUMBER(SEARCH(IF(J$3&lt;&gt;"",J$3,"NA"),'MITRE ATT&amp;CK Mappings'!$J428))), 'MITRE ATT&amp;CK Mappings'!$B428,"")</f>
        <v/>
      </c>
      <c r="K432" s="26" t="str">
        <f>IF(OR(OR(OR(OR(OR(ISNUMBER(SEARCH(IF(K$1&lt;&gt;"",K$1,"NA"),'MITRE ATT&amp;CK Mappings'!$E428)),ISNUMBER(SEARCH(IF(K$1&lt;&gt;"",K$1,"NA"),'MITRE ATT&amp;CK Mappings'!$F428))),ISNUMBER(SEARCH(IF(K$2&lt;&gt;"",K$2,"NA"),'MITRE ATT&amp;CK Mappings'!$G428))),ISNUMBER(SEARCH(IF(K$2&lt;&gt;"",K$2,"NA"),'MITRE ATT&amp;CK Mappings'!$H428))),ISNUMBER(SEARCH(IF(K$3&lt;&gt;"",K$3,"NA"),'MITRE ATT&amp;CK Mappings'!$I428))),ISNUMBER(SEARCH(IF(K$3&lt;&gt;"",K$3,"NA"),'MITRE ATT&amp;CK Mappings'!$J428))), 'MITRE ATT&amp;CK Mappings'!$B428,"")</f>
        <v/>
      </c>
      <c r="L432" s="26" t="str">
        <f>IF('MITRE ATT&amp;CK Mappings'!D428 &lt;&gt;"",'MITRE ATT&amp;CK Mappings'!D428,"" )</f>
        <v/>
      </c>
    </row>
    <row r="433" spans="1:12" x14ac:dyDescent="0.25">
      <c r="A433" s="27" t="str">
        <f>IF(COUNTIF(B433:K433,"="&amp;'MITRE ATT&amp;CK Mappings'!B429)&gt;0,'MITRE ATT&amp;CK Mappings'!B429,"")</f>
        <v/>
      </c>
      <c r="B433" s="27" t="str">
        <f>IF(OR(OR(OR(OR(OR(ISNUMBER(SEARCH(IF(B$1&lt;&gt;"",B$1,"NA"),'MITRE ATT&amp;CK Mappings'!$E429)),ISNUMBER(SEARCH(IF(B$1&lt;&gt;"",B$1,"NA"),'MITRE ATT&amp;CK Mappings'!$F429))),ISNUMBER(SEARCH(IF(B$2&lt;&gt;"",B$2,"NA"),'MITRE ATT&amp;CK Mappings'!$G429))),ISNUMBER(SEARCH(IF(B$2&lt;&gt;"",B$2,"NA"),'MITRE ATT&amp;CK Mappings'!$H429))),ISNUMBER(SEARCH(IF(B$3&lt;&gt;"",B$3,"NA"),'MITRE ATT&amp;CK Mappings'!$I429))),ISNUMBER(SEARCH(IF(B$3&lt;&gt;"",B$3,"NA"),'MITRE ATT&amp;CK Mappings'!$J429))), 'MITRE ATT&amp;CK Mappings'!$B429,"")</f>
        <v/>
      </c>
      <c r="C433" s="27" t="str">
        <f>IF(OR(OR(OR(OR(OR(ISNUMBER(SEARCH(IF(C$1&lt;&gt;"",C$1,"NA"),'MITRE ATT&amp;CK Mappings'!$E429)),ISNUMBER(SEARCH(IF(C$1&lt;&gt;"",C$1,"NA"),'MITRE ATT&amp;CK Mappings'!$F429))),ISNUMBER(SEARCH(IF(C$2&lt;&gt;"",C$2,"NA"),'MITRE ATT&amp;CK Mappings'!$G429))),ISNUMBER(SEARCH(IF(C$2&lt;&gt;"",C$2,"NA"),'MITRE ATT&amp;CK Mappings'!$H429))),ISNUMBER(SEARCH(IF(C$3&lt;&gt;"",C$3,"NA"),'MITRE ATT&amp;CK Mappings'!$I429))),ISNUMBER(SEARCH(IF(C$3&lt;&gt;"",C$3,"NA"),'MITRE ATT&amp;CK Mappings'!$J429))), 'MITRE ATT&amp;CK Mappings'!$B429,"")</f>
        <v/>
      </c>
      <c r="D433" s="27" t="str">
        <f>IF(OR(OR(OR(OR(OR(ISNUMBER(SEARCH(IF(D$1&lt;&gt;"",D$1,"NA"),'MITRE ATT&amp;CK Mappings'!$E429)),ISNUMBER(SEARCH(IF(D$1&lt;&gt;"",D$1,"NA"),'MITRE ATT&amp;CK Mappings'!$F429))),ISNUMBER(SEARCH(IF(D$2&lt;&gt;"",D$2,"NA"),'MITRE ATT&amp;CK Mappings'!$G429))),ISNUMBER(SEARCH(IF(D$2&lt;&gt;"",D$2,"NA"),'MITRE ATT&amp;CK Mappings'!$H429))),ISNUMBER(SEARCH(IF(D$3&lt;&gt;"",D$3,"NA"),'MITRE ATT&amp;CK Mappings'!$I429))),ISNUMBER(SEARCH(IF(D$3&lt;&gt;"",D$3,"NA"),'MITRE ATT&amp;CK Mappings'!$J429))), 'MITRE ATT&amp;CK Mappings'!$B429,"")</f>
        <v/>
      </c>
      <c r="E433" s="27" t="str">
        <f>IF(OR(OR(OR(OR(OR(ISNUMBER(SEARCH(IF(E$1&lt;&gt;"",E$1,"NA"),'MITRE ATT&amp;CK Mappings'!$E429)),ISNUMBER(SEARCH(IF(E$1&lt;&gt;"",E$1,"NA"),'MITRE ATT&amp;CK Mappings'!$F429))),ISNUMBER(SEARCH(IF(E$2&lt;&gt;"",E$2,"NA"),'MITRE ATT&amp;CK Mappings'!$G429))),ISNUMBER(SEARCH(IF(E$2&lt;&gt;"",E$2,"NA"),'MITRE ATT&amp;CK Mappings'!$H429))),ISNUMBER(SEARCH(IF(E$3&lt;&gt;"",E$3,"NA"),'MITRE ATT&amp;CK Mappings'!$I429))),ISNUMBER(SEARCH(IF(E$3&lt;&gt;"",E$3,"NA"),'MITRE ATT&amp;CK Mappings'!$J429))), 'MITRE ATT&amp;CK Mappings'!$B429,"")</f>
        <v/>
      </c>
      <c r="F433" s="27" t="str">
        <f>IF(OR(OR(OR(OR(OR(ISNUMBER(SEARCH(IF(F$1&lt;&gt;"",F$1,"NA"),'MITRE ATT&amp;CK Mappings'!$E429)),ISNUMBER(SEARCH(IF(F$1&lt;&gt;"",F$1,"NA"),'MITRE ATT&amp;CK Mappings'!$F429))),ISNUMBER(SEARCH(IF(F$2&lt;&gt;"",F$2,"NA"),'MITRE ATT&amp;CK Mappings'!$G429))),ISNUMBER(SEARCH(IF(F$2&lt;&gt;"",F$2,"NA"),'MITRE ATT&amp;CK Mappings'!$H429))),ISNUMBER(SEARCH(IF(F$3&lt;&gt;"",F$3,"NA"),'MITRE ATT&amp;CK Mappings'!$I429))),ISNUMBER(SEARCH(IF(F$3&lt;&gt;"",F$3,"NA"),'MITRE ATT&amp;CK Mappings'!$J429))), 'MITRE ATT&amp;CK Mappings'!$B429,"")</f>
        <v/>
      </c>
      <c r="G433" s="27" t="str">
        <f>IF(OR(OR(OR(OR(OR(ISNUMBER(SEARCH(IF(G$1&lt;&gt;"",G$1,"NA"),'MITRE ATT&amp;CK Mappings'!$E429)),ISNUMBER(SEARCH(IF(G$1&lt;&gt;"",G$1,"NA"),'MITRE ATT&amp;CK Mappings'!$F429))),ISNUMBER(SEARCH(IF(G$2&lt;&gt;"",G$2,"NA"),'MITRE ATT&amp;CK Mappings'!$G429))),ISNUMBER(SEARCH(IF(G$2&lt;&gt;"",G$2,"NA"),'MITRE ATT&amp;CK Mappings'!$H429))),ISNUMBER(SEARCH(IF(G$3&lt;&gt;"",G$3,"NA"),'MITRE ATT&amp;CK Mappings'!$I429))),ISNUMBER(SEARCH(IF(G$3&lt;&gt;"",G$3,"NA"),'MITRE ATT&amp;CK Mappings'!$J429))), 'MITRE ATT&amp;CK Mappings'!$B429,"")</f>
        <v/>
      </c>
      <c r="H433" s="27" t="str">
        <f>IF(OR(OR(OR(OR(OR(ISNUMBER(SEARCH(IF(H$1&lt;&gt;"",H$1,"NA"),'MITRE ATT&amp;CK Mappings'!$E429)),ISNUMBER(SEARCH(IF(H$1&lt;&gt;"",H$1,"NA"),'MITRE ATT&amp;CK Mappings'!$F429))),ISNUMBER(SEARCH(IF(H$2&lt;&gt;"",H$2,"NA"),'MITRE ATT&amp;CK Mappings'!$G429))),ISNUMBER(SEARCH(IF(H$2&lt;&gt;"",H$2,"NA"),'MITRE ATT&amp;CK Mappings'!$H429))),ISNUMBER(SEARCH(IF(H$3&lt;&gt;"",H$3,"NA"),'MITRE ATT&amp;CK Mappings'!$I429))),ISNUMBER(SEARCH(IF(H$3&lt;&gt;"",H$3,"NA"),'MITRE ATT&amp;CK Mappings'!$J429))), 'MITRE ATT&amp;CK Mappings'!$B429,"")</f>
        <v/>
      </c>
      <c r="I433" s="27" t="str">
        <f>IF(OR(OR(OR(OR(OR(ISNUMBER(SEARCH(IF(I$1&lt;&gt;"",I$1,"NA"),'MITRE ATT&amp;CK Mappings'!$E429)),ISNUMBER(SEARCH(IF(I$1&lt;&gt;"",I$1,"NA"),'MITRE ATT&amp;CK Mappings'!$F429))),ISNUMBER(SEARCH(IF(I$2&lt;&gt;"",I$2,"NA"),'MITRE ATT&amp;CK Mappings'!$G429))),ISNUMBER(SEARCH(IF(I$2&lt;&gt;"",I$2,"NA"),'MITRE ATT&amp;CK Mappings'!$H429))),ISNUMBER(SEARCH(IF(I$3&lt;&gt;"",I$3,"NA"),'MITRE ATT&amp;CK Mappings'!$I429))),ISNUMBER(SEARCH(IF(I$3&lt;&gt;"",I$3,"NA"),'MITRE ATT&amp;CK Mappings'!$J429))), 'MITRE ATT&amp;CK Mappings'!$B429,"")</f>
        <v/>
      </c>
      <c r="J433" s="27" t="str">
        <f>IF(OR(OR(OR(OR(OR(ISNUMBER(SEARCH(IF(J$1&lt;&gt;"",J$1,"NA"),'MITRE ATT&amp;CK Mappings'!$E429)),ISNUMBER(SEARCH(IF(J$1&lt;&gt;"",J$1,"NA"),'MITRE ATT&amp;CK Mappings'!$F429))),ISNUMBER(SEARCH(IF(J$2&lt;&gt;"",J$2,"NA"),'MITRE ATT&amp;CK Mappings'!$G429))),ISNUMBER(SEARCH(IF(J$2&lt;&gt;"",J$2,"NA"),'MITRE ATT&amp;CK Mappings'!$H429))),ISNUMBER(SEARCH(IF(J$3&lt;&gt;"",J$3,"NA"),'MITRE ATT&amp;CK Mappings'!$I429))),ISNUMBER(SEARCH(IF(J$3&lt;&gt;"",J$3,"NA"),'MITRE ATT&amp;CK Mappings'!$J429))), 'MITRE ATT&amp;CK Mappings'!$B429,"")</f>
        <v/>
      </c>
      <c r="K433" s="27" t="str">
        <f>IF(OR(OR(OR(OR(OR(ISNUMBER(SEARCH(IF(K$1&lt;&gt;"",K$1,"NA"),'MITRE ATT&amp;CK Mappings'!$E429)),ISNUMBER(SEARCH(IF(K$1&lt;&gt;"",K$1,"NA"),'MITRE ATT&amp;CK Mappings'!$F429))),ISNUMBER(SEARCH(IF(K$2&lt;&gt;"",K$2,"NA"),'MITRE ATT&amp;CK Mappings'!$G429))),ISNUMBER(SEARCH(IF(K$2&lt;&gt;"",K$2,"NA"),'MITRE ATT&amp;CK Mappings'!$H429))),ISNUMBER(SEARCH(IF(K$3&lt;&gt;"",K$3,"NA"),'MITRE ATT&amp;CK Mappings'!$I429))),ISNUMBER(SEARCH(IF(K$3&lt;&gt;"",K$3,"NA"),'MITRE ATT&amp;CK Mappings'!$J429))), 'MITRE ATT&amp;CK Mappings'!$B429,"")</f>
        <v/>
      </c>
      <c r="L433" s="27" t="str">
        <f>IF('MITRE ATT&amp;CK Mappings'!D429 &lt;&gt;"",'MITRE ATT&amp;CK Mappings'!D429,"" )</f>
        <v/>
      </c>
    </row>
    <row r="434" spans="1:12" x14ac:dyDescent="0.25">
      <c r="A434" s="26" t="str">
        <f>IF(COUNTIF(B434:K434,"="&amp;'MITRE ATT&amp;CK Mappings'!B430)&gt;0,'MITRE ATT&amp;CK Mappings'!B430,"")</f>
        <v/>
      </c>
      <c r="B434" s="26" t="str">
        <f>IF(OR(OR(OR(OR(OR(ISNUMBER(SEARCH(IF(B$1&lt;&gt;"",B$1,"NA"),'MITRE ATT&amp;CK Mappings'!$E430)),ISNUMBER(SEARCH(IF(B$1&lt;&gt;"",B$1,"NA"),'MITRE ATT&amp;CK Mappings'!$F430))),ISNUMBER(SEARCH(IF(B$2&lt;&gt;"",B$2,"NA"),'MITRE ATT&amp;CK Mappings'!$G430))),ISNUMBER(SEARCH(IF(B$2&lt;&gt;"",B$2,"NA"),'MITRE ATT&amp;CK Mappings'!$H430))),ISNUMBER(SEARCH(IF(B$3&lt;&gt;"",B$3,"NA"),'MITRE ATT&amp;CK Mappings'!$I430))),ISNUMBER(SEARCH(IF(B$3&lt;&gt;"",B$3,"NA"),'MITRE ATT&amp;CK Mappings'!$J430))), 'MITRE ATT&amp;CK Mappings'!$B430,"")</f>
        <v/>
      </c>
      <c r="C434" s="26" t="str">
        <f>IF(OR(OR(OR(OR(OR(ISNUMBER(SEARCH(IF(C$1&lt;&gt;"",C$1,"NA"),'MITRE ATT&amp;CK Mappings'!$E430)),ISNUMBER(SEARCH(IF(C$1&lt;&gt;"",C$1,"NA"),'MITRE ATT&amp;CK Mappings'!$F430))),ISNUMBER(SEARCH(IF(C$2&lt;&gt;"",C$2,"NA"),'MITRE ATT&amp;CK Mappings'!$G430))),ISNUMBER(SEARCH(IF(C$2&lt;&gt;"",C$2,"NA"),'MITRE ATT&amp;CK Mappings'!$H430))),ISNUMBER(SEARCH(IF(C$3&lt;&gt;"",C$3,"NA"),'MITRE ATT&amp;CK Mappings'!$I430))),ISNUMBER(SEARCH(IF(C$3&lt;&gt;"",C$3,"NA"),'MITRE ATT&amp;CK Mappings'!$J430))), 'MITRE ATT&amp;CK Mappings'!$B430,"")</f>
        <v/>
      </c>
      <c r="D434" s="26" t="str">
        <f>IF(OR(OR(OR(OR(OR(ISNUMBER(SEARCH(IF(D$1&lt;&gt;"",D$1,"NA"),'MITRE ATT&amp;CK Mappings'!$E430)),ISNUMBER(SEARCH(IF(D$1&lt;&gt;"",D$1,"NA"),'MITRE ATT&amp;CK Mappings'!$F430))),ISNUMBER(SEARCH(IF(D$2&lt;&gt;"",D$2,"NA"),'MITRE ATT&amp;CK Mappings'!$G430))),ISNUMBER(SEARCH(IF(D$2&lt;&gt;"",D$2,"NA"),'MITRE ATT&amp;CK Mappings'!$H430))),ISNUMBER(SEARCH(IF(D$3&lt;&gt;"",D$3,"NA"),'MITRE ATT&amp;CK Mappings'!$I430))),ISNUMBER(SEARCH(IF(D$3&lt;&gt;"",D$3,"NA"),'MITRE ATT&amp;CK Mappings'!$J430))), 'MITRE ATT&amp;CK Mappings'!$B430,"")</f>
        <v/>
      </c>
      <c r="E434" s="26" t="str">
        <f>IF(OR(OR(OR(OR(OR(ISNUMBER(SEARCH(IF(E$1&lt;&gt;"",E$1,"NA"),'MITRE ATT&amp;CK Mappings'!$E430)),ISNUMBER(SEARCH(IF(E$1&lt;&gt;"",E$1,"NA"),'MITRE ATT&amp;CK Mappings'!$F430))),ISNUMBER(SEARCH(IF(E$2&lt;&gt;"",E$2,"NA"),'MITRE ATT&amp;CK Mappings'!$G430))),ISNUMBER(SEARCH(IF(E$2&lt;&gt;"",E$2,"NA"),'MITRE ATT&amp;CK Mappings'!$H430))),ISNUMBER(SEARCH(IF(E$3&lt;&gt;"",E$3,"NA"),'MITRE ATT&amp;CK Mappings'!$I430))),ISNUMBER(SEARCH(IF(E$3&lt;&gt;"",E$3,"NA"),'MITRE ATT&amp;CK Mappings'!$J430))), 'MITRE ATT&amp;CK Mappings'!$B430,"")</f>
        <v/>
      </c>
      <c r="F434" s="26" t="str">
        <f>IF(OR(OR(OR(OR(OR(ISNUMBER(SEARCH(IF(F$1&lt;&gt;"",F$1,"NA"),'MITRE ATT&amp;CK Mappings'!$E430)),ISNUMBER(SEARCH(IF(F$1&lt;&gt;"",F$1,"NA"),'MITRE ATT&amp;CK Mappings'!$F430))),ISNUMBER(SEARCH(IF(F$2&lt;&gt;"",F$2,"NA"),'MITRE ATT&amp;CK Mappings'!$G430))),ISNUMBER(SEARCH(IF(F$2&lt;&gt;"",F$2,"NA"),'MITRE ATT&amp;CK Mappings'!$H430))),ISNUMBER(SEARCH(IF(F$3&lt;&gt;"",F$3,"NA"),'MITRE ATT&amp;CK Mappings'!$I430))),ISNUMBER(SEARCH(IF(F$3&lt;&gt;"",F$3,"NA"),'MITRE ATT&amp;CK Mappings'!$J430))), 'MITRE ATT&amp;CK Mappings'!$B430,"")</f>
        <v/>
      </c>
      <c r="G434" s="26" t="str">
        <f>IF(OR(OR(OR(OR(OR(ISNUMBER(SEARCH(IF(G$1&lt;&gt;"",G$1,"NA"),'MITRE ATT&amp;CK Mappings'!$E430)),ISNUMBER(SEARCH(IF(G$1&lt;&gt;"",G$1,"NA"),'MITRE ATT&amp;CK Mappings'!$F430))),ISNUMBER(SEARCH(IF(G$2&lt;&gt;"",G$2,"NA"),'MITRE ATT&amp;CK Mappings'!$G430))),ISNUMBER(SEARCH(IF(G$2&lt;&gt;"",G$2,"NA"),'MITRE ATT&amp;CK Mappings'!$H430))),ISNUMBER(SEARCH(IF(G$3&lt;&gt;"",G$3,"NA"),'MITRE ATT&amp;CK Mappings'!$I430))),ISNUMBER(SEARCH(IF(G$3&lt;&gt;"",G$3,"NA"),'MITRE ATT&amp;CK Mappings'!$J430))), 'MITRE ATT&amp;CK Mappings'!$B430,"")</f>
        <v/>
      </c>
      <c r="H434" s="26" t="str">
        <f>IF(OR(OR(OR(OR(OR(ISNUMBER(SEARCH(IF(H$1&lt;&gt;"",H$1,"NA"),'MITRE ATT&amp;CK Mappings'!$E430)),ISNUMBER(SEARCH(IF(H$1&lt;&gt;"",H$1,"NA"),'MITRE ATT&amp;CK Mappings'!$F430))),ISNUMBER(SEARCH(IF(H$2&lt;&gt;"",H$2,"NA"),'MITRE ATT&amp;CK Mappings'!$G430))),ISNUMBER(SEARCH(IF(H$2&lt;&gt;"",H$2,"NA"),'MITRE ATT&amp;CK Mappings'!$H430))),ISNUMBER(SEARCH(IF(H$3&lt;&gt;"",H$3,"NA"),'MITRE ATT&amp;CK Mappings'!$I430))),ISNUMBER(SEARCH(IF(H$3&lt;&gt;"",H$3,"NA"),'MITRE ATT&amp;CK Mappings'!$J430))), 'MITRE ATT&amp;CK Mappings'!$B430,"")</f>
        <v/>
      </c>
      <c r="I434" s="26" t="str">
        <f>IF(OR(OR(OR(OR(OR(ISNUMBER(SEARCH(IF(I$1&lt;&gt;"",I$1,"NA"),'MITRE ATT&amp;CK Mappings'!$E430)),ISNUMBER(SEARCH(IF(I$1&lt;&gt;"",I$1,"NA"),'MITRE ATT&amp;CK Mappings'!$F430))),ISNUMBER(SEARCH(IF(I$2&lt;&gt;"",I$2,"NA"),'MITRE ATT&amp;CK Mappings'!$G430))),ISNUMBER(SEARCH(IF(I$2&lt;&gt;"",I$2,"NA"),'MITRE ATT&amp;CK Mappings'!$H430))),ISNUMBER(SEARCH(IF(I$3&lt;&gt;"",I$3,"NA"),'MITRE ATT&amp;CK Mappings'!$I430))),ISNUMBER(SEARCH(IF(I$3&lt;&gt;"",I$3,"NA"),'MITRE ATT&amp;CK Mappings'!$J430))), 'MITRE ATT&amp;CK Mappings'!$B430,"")</f>
        <v/>
      </c>
      <c r="J434" s="26" t="str">
        <f>IF(OR(OR(OR(OR(OR(ISNUMBER(SEARCH(IF(J$1&lt;&gt;"",J$1,"NA"),'MITRE ATT&amp;CK Mappings'!$E430)),ISNUMBER(SEARCH(IF(J$1&lt;&gt;"",J$1,"NA"),'MITRE ATT&amp;CK Mappings'!$F430))),ISNUMBER(SEARCH(IF(J$2&lt;&gt;"",J$2,"NA"),'MITRE ATT&amp;CK Mappings'!$G430))),ISNUMBER(SEARCH(IF(J$2&lt;&gt;"",J$2,"NA"),'MITRE ATT&amp;CK Mappings'!$H430))),ISNUMBER(SEARCH(IF(J$3&lt;&gt;"",J$3,"NA"),'MITRE ATT&amp;CK Mappings'!$I430))),ISNUMBER(SEARCH(IF(J$3&lt;&gt;"",J$3,"NA"),'MITRE ATT&amp;CK Mappings'!$J430))), 'MITRE ATT&amp;CK Mappings'!$B430,"")</f>
        <v/>
      </c>
      <c r="K434" s="26" t="str">
        <f>IF(OR(OR(OR(OR(OR(ISNUMBER(SEARCH(IF(K$1&lt;&gt;"",K$1,"NA"),'MITRE ATT&amp;CK Mappings'!$E430)),ISNUMBER(SEARCH(IF(K$1&lt;&gt;"",K$1,"NA"),'MITRE ATT&amp;CK Mappings'!$F430))),ISNUMBER(SEARCH(IF(K$2&lt;&gt;"",K$2,"NA"),'MITRE ATT&amp;CK Mappings'!$G430))),ISNUMBER(SEARCH(IF(K$2&lt;&gt;"",K$2,"NA"),'MITRE ATT&amp;CK Mappings'!$H430))),ISNUMBER(SEARCH(IF(K$3&lt;&gt;"",K$3,"NA"),'MITRE ATT&amp;CK Mappings'!$I430))),ISNUMBER(SEARCH(IF(K$3&lt;&gt;"",K$3,"NA"),'MITRE ATT&amp;CK Mappings'!$J430))), 'MITRE ATT&amp;CK Mappings'!$B430,"")</f>
        <v/>
      </c>
      <c r="L434" s="26" t="str">
        <f>IF('MITRE ATT&amp;CK Mappings'!D430 &lt;&gt;"",'MITRE ATT&amp;CK Mappings'!D430,"" )</f>
        <v/>
      </c>
    </row>
    <row r="435" spans="1:12" x14ac:dyDescent="0.25">
      <c r="A435" s="27" t="str">
        <f>IF(COUNTIF(B435:K435,"="&amp;'MITRE ATT&amp;CK Mappings'!B431)&gt;0,'MITRE ATT&amp;CK Mappings'!B431,"")</f>
        <v/>
      </c>
      <c r="B435" s="27" t="str">
        <f>IF(OR(OR(OR(OR(OR(ISNUMBER(SEARCH(IF(B$1&lt;&gt;"",B$1,"NA"),'MITRE ATT&amp;CK Mappings'!$E431)),ISNUMBER(SEARCH(IF(B$1&lt;&gt;"",B$1,"NA"),'MITRE ATT&amp;CK Mappings'!$F431))),ISNUMBER(SEARCH(IF(B$2&lt;&gt;"",B$2,"NA"),'MITRE ATT&amp;CK Mappings'!$G431))),ISNUMBER(SEARCH(IF(B$2&lt;&gt;"",B$2,"NA"),'MITRE ATT&amp;CK Mappings'!$H431))),ISNUMBER(SEARCH(IF(B$3&lt;&gt;"",B$3,"NA"),'MITRE ATT&amp;CK Mappings'!$I431))),ISNUMBER(SEARCH(IF(B$3&lt;&gt;"",B$3,"NA"),'MITRE ATT&amp;CK Mappings'!$J431))), 'MITRE ATT&amp;CK Mappings'!$B431,"")</f>
        <v/>
      </c>
      <c r="C435" s="27" t="str">
        <f>IF(OR(OR(OR(OR(OR(ISNUMBER(SEARCH(IF(C$1&lt;&gt;"",C$1,"NA"),'MITRE ATT&amp;CK Mappings'!$E431)),ISNUMBER(SEARCH(IF(C$1&lt;&gt;"",C$1,"NA"),'MITRE ATT&amp;CK Mappings'!$F431))),ISNUMBER(SEARCH(IF(C$2&lt;&gt;"",C$2,"NA"),'MITRE ATT&amp;CK Mappings'!$G431))),ISNUMBER(SEARCH(IF(C$2&lt;&gt;"",C$2,"NA"),'MITRE ATT&amp;CK Mappings'!$H431))),ISNUMBER(SEARCH(IF(C$3&lt;&gt;"",C$3,"NA"),'MITRE ATT&amp;CK Mappings'!$I431))),ISNUMBER(SEARCH(IF(C$3&lt;&gt;"",C$3,"NA"),'MITRE ATT&amp;CK Mappings'!$J431))), 'MITRE ATT&amp;CK Mappings'!$B431,"")</f>
        <v/>
      </c>
      <c r="D435" s="27" t="str">
        <f>IF(OR(OR(OR(OR(OR(ISNUMBER(SEARCH(IF(D$1&lt;&gt;"",D$1,"NA"),'MITRE ATT&amp;CK Mappings'!$E431)),ISNUMBER(SEARCH(IF(D$1&lt;&gt;"",D$1,"NA"),'MITRE ATT&amp;CK Mappings'!$F431))),ISNUMBER(SEARCH(IF(D$2&lt;&gt;"",D$2,"NA"),'MITRE ATT&amp;CK Mappings'!$G431))),ISNUMBER(SEARCH(IF(D$2&lt;&gt;"",D$2,"NA"),'MITRE ATT&amp;CK Mappings'!$H431))),ISNUMBER(SEARCH(IF(D$3&lt;&gt;"",D$3,"NA"),'MITRE ATT&amp;CK Mappings'!$I431))),ISNUMBER(SEARCH(IF(D$3&lt;&gt;"",D$3,"NA"),'MITRE ATT&amp;CK Mappings'!$J431))), 'MITRE ATT&amp;CK Mappings'!$B431,"")</f>
        <v/>
      </c>
      <c r="E435" s="27" t="str">
        <f>IF(OR(OR(OR(OR(OR(ISNUMBER(SEARCH(IF(E$1&lt;&gt;"",E$1,"NA"),'MITRE ATT&amp;CK Mappings'!$E431)),ISNUMBER(SEARCH(IF(E$1&lt;&gt;"",E$1,"NA"),'MITRE ATT&amp;CK Mappings'!$F431))),ISNUMBER(SEARCH(IF(E$2&lt;&gt;"",E$2,"NA"),'MITRE ATT&amp;CK Mappings'!$G431))),ISNUMBER(SEARCH(IF(E$2&lt;&gt;"",E$2,"NA"),'MITRE ATT&amp;CK Mappings'!$H431))),ISNUMBER(SEARCH(IF(E$3&lt;&gt;"",E$3,"NA"),'MITRE ATT&amp;CK Mappings'!$I431))),ISNUMBER(SEARCH(IF(E$3&lt;&gt;"",E$3,"NA"),'MITRE ATT&amp;CK Mappings'!$J431))), 'MITRE ATT&amp;CK Mappings'!$B431,"")</f>
        <v/>
      </c>
      <c r="F435" s="27" t="str">
        <f>IF(OR(OR(OR(OR(OR(ISNUMBER(SEARCH(IF(F$1&lt;&gt;"",F$1,"NA"),'MITRE ATT&amp;CK Mappings'!$E431)),ISNUMBER(SEARCH(IF(F$1&lt;&gt;"",F$1,"NA"),'MITRE ATT&amp;CK Mappings'!$F431))),ISNUMBER(SEARCH(IF(F$2&lt;&gt;"",F$2,"NA"),'MITRE ATT&amp;CK Mappings'!$G431))),ISNUMBER(SEARCH(IF(F$2&lt;&gt;"",F$2,"NA"),'MITRE ATT&amp;CK Mappings'!$H431))),ISNUMBER(SEARCH(IF(F$3&lt;&gt;"",F$3,"NA"),'MITRE ATT&amp;CK Mappings'!$I431))),ISNUMBER(SEARCH(IF(F$3&lt;&gt;"",F$3,"NA"),'MITRE ATT&amp;CK Mappings'!$J431))), 'MITRE ATT&amp;CK Mappings'!$B431,"")</f>
        <v/>
      </c>
      <c r="G435" s="27" t="str">
        <f>IF(OR(OR(OR(OR(OR(ISNUMBER(SEARCH(IF(G$1&lt;&gt;"",G$1,"NA"),'MITRE ATT&amp;CK Mappings'!$E431)),ISNUMBER(SEARCH(IF(G$1&lt;&gt;"",G$1,"NA"),'MITRE ATT&amp;CK Mappings'!$F431))),ISNUMBER(SEARCH(IF(G$2&lt;&gt;"",G$2,"NA"),'MITRE ATT&amp;CK Mappings'!$G431))),ISNUMBER(SEARCH(IF(G$2&lt;&gt;"",G$2,"NA"),'MITRE ATT&amp;CK Mappings'!$H431))),ISNUMBER(SEARCH(IF(G$3&lt;&gt;"",G$3,"NA"),'MITRE ATT&amp;CK Mappings'!$I431))),ISNUMBER(SEARCH(IF(G$3&lt;&gt;"",G$3,"NA"),'MITRE ATT&amp;CK Mappings'!$J431))), 'MITRE ATT&amp;CK Mappings'!$B431,"")</f>
        <v/>
      </c>
      <c r="H435" s="27" t="str">
        <f>IF(OR(OR(OR(OR(OR(ISNUMBER(SEARCH(IF(H$1&lt;&gt;"",H$1,"NA"),'MITRE ATT&amp;CK Mappings'!$E431)),ISNUMBER(SEARCH(IF(H$1&lt;&gt;"",H$1,"NA"),'MITRE ATT&amp;CK Mappings'!$F431))),ISNUMBER(SEARCH(IF(H$2&lt;&gt;"",H$2,"NA"),'MITRE ATT&amp;CK Mappings'!$G431))),ISNUMBER(SEARCH(IF(H$2&lt;&gt;"",H$2,"NA"),'MITRE ATT&amp;CK Mappings'!$H431))),ISNUMBER(SEARCH(IF(H$3&lt;&gt;"",H$3,"NA"),'MITRE ATT&amp;CK Mappings'!$I431))),ISNUMBER(SEARCH(IF(H$3&lt;&gt;"",H$3,"NA"),'MITRE ATT&amp;CK Mappings'!$J431))), 'MITRE ATT&amp;CK Mappings'!$B431,"")</f>
        <v/>
      </c>
      <c r="I435" s="27" t="str">
        <f>IF(OR(OR(OR(OR(OR(ISNUMBER(SEARCH(IF(I$1&lt;&gt;"",I$1,"NA"),'MITRE ATT&amp;CK Mappings'!$E431)),ISNUMBER(SEARCH(IF(I$1&lt;&gt;"",I$1,"NA"),'MITRE ATT&amp;CK Mappings'!$F431))),ISNUMBER(SEARCH(IF(I$2&lt;&gt;"",I$2,"NA"),'MITRE ATT&amp;CK Mappings'!$G431))),ISNUMBER(SEARCH(IF(I$2&lt;&gt;"",I$2,"NA"),'MITRE ATT&amp;CK Mappings'!$H431))),ISNUMBER(SEARCH(IF(I$3&lt;&gt;"",I$3,"NA"),'MITRE ATT&amp;CK Mappings'!$I431))),ISNUMBER(SEARCH(IF(I$3&lt;&gt;"",I$3,"NA"),'MITRE ATT&amp;CK Mappings'!$J431))), 'MITRE ATT&amp;CK Mappings'!$B431,"")</f>
        <v/>
      </c>
      <c r="J435" s="27" t="str">
        <f>IF(OR(OR(OR(OR(OR(ISNUMBER(SEARCH(IF(J$1&lt;&gt;"",J$1,"NA"),'MITRE ATT&amp;CK Mappings'!$E431)),ISNUMBER(SEARCH(IF(J$1&lt;&gt;"",J$1,"NA"),'MITRE ATT&amp;CK Mappings'!$F431))),ISNUMBER(SEARCH(IF(J$2&lt;&gt;"",J$2,"NA"),'MITRE ATT&amp;CK Mappings'!$G431))),ISNUMBER(SEARCH(IF(J$2&lt;&gt;"",J$2,"NA"),'MITRE ATT&amp;CK Mappings'!$H431))),ISNUMBER(SEARCH(IF(J$3&lt;&gt;"",J$3,"NA"),'MITRE ATT&amp;CK Mappings'!$I431))),ISNUMBER(SEARCH(IF(J$3&lt;&gt;"",J$3,"NA"),'MITRE ATT&amp;CK Mappings'!$J431))), 'MITRE ATT&amp;CK Mappings'!$B431,"")</f>
        <v/>
      </c>
      <c r="K435" s="27" t="str">
        <f>IF(OR(OR(OR(OR(OR(ISNUMBER(SEARCH(IF(K$1&lt;&gt;"",K$1,"NA"),'MITRE ATT&amp;CK Mappings'!$E431)),ISNUMBER(SEARCH(IF(K$1&lt;&gt;"",K$1,"NA"),'MITRE ATT&amp;CK Mappings'!$F431))),ISNUMBER(SEARCH(IF(K$2&lt;&gt;"",K$2,"NA"),'MITRE ATT&amp;CK Mappings'!$G431))),ISNUMBER(SEARCH(IF(K$2&lt;&gt;"",K$2,"NA"),'MITRE ATT&amp;CK Mappings'!$H431))),ISNUMBER(SEARCH(IF(K$3&lt;&gt;"",K$3,"NA"),'MITRE ATT&amp;CK Mappings'!$I431))),ISNUMBER(SEARCH(IF(K$3&lt;&gt;"",K$3,"NA"),'MITRE ATT&amp;CK Mappings'!$J431))), 'MITRE ATT&amp;CK Mappings'!$B431,"")</f>
        <v/>
      </c>
      <c r="L435" s="27" t="str">
        <f>IF('MITRE ATT&amp;CK Mappings'!D431 &lt;&gt;"",'MITRE ATT&amp;CK Mappings'!D431,"" )</f>
        <v/>
      </c>
    </row>
    <row r="436" spans="1:12" x14ac:dyDescent="0.25">
      <c r="A436" s="26" t="str">
        <f>IF(COUNTIF(B436:K436,"="&amp;'MITRE ATT&amp;CK Mappings'!B432)&gt;0,'MITRE ATT&amp;CK Mappings'!B432,"")</f>
        <v/>
      </c>
      <c r="B436" s="26" t="str">
        <f>IF(OR(OR(OR(OR(OR(ISNUMBER(SEARCH(IF(B$1&lt;&gt;"",B$1,"NA"),'MITRE ATT&amp;CK Mappings'!$E432)),ISNUMBER(SEARCH(IF(B$1&lt;&gt;"",B$1,"NA"),'MITRE ATT&amp;CK Mappings'!$F432))),ISNUMBER(SEARCH(IF(B$2&lt;&gt;"",B$2,"NA"),'MITRE ATT&amp;CK Mappings'!$G432))),ISNUMBER(SEARCH(IF(B$2&lt;&gt;"",B$2,"NA"),'MITRE ATT&amp;CK Mappings'!$H432))),ISNUMBER(SEARCH(IF(B$3&lt;&gt;"",B$3,"NA"),'MITRE ATT&amp;CK Mappings'!$I432))),ISNUMBER(SEARCH(IF(B$3&lt;&gt;"",B$3,"NA"),'MITRE ATT&amp;CK Mappings'!$J432))), 'MITRE ATT&amp;CK Mappings'!$B432,"")</f>
        <v/>
      </c>
      <c r="C436" s="26" t="str">
        <f>IF(OR(OR(OR(OR(OR(ISNUMBER(SEARCH(IF(C$1&lt;&gt;"",C$1,"NA"),'MITRE ATT&amp;CK Mappings'!$E432)),ISNUMBER(SEARCH(IF(C$1&lt;&gt;"",C$1,"NA"),'MITRE ATT&amp;CK Mappings'!$F432))),ISNUMBER(SEARCH(IF(C$2&lt;&gt;"",C$2,"NA"),'MITRE ATT&amp;CK Mappings'!$G432))),ISNUMBER(SEARCH(IF(C$2&lt;&gt;"",C$2,"NA"),'MITRE ATT&amp;CK Mappings'!$H432))),ISNUMBER(SEARCH(IF(C$3&lt;&gt;"",C$3,"NA"),'MITRE ATT&amp;CK Mappings'!$I432))),ISNUMBER(SEARCH(IF(C$3&lt;&gt;"",C$3,"NA"),'MITRE ATT&amp;CK Mappings'!$J432))), 'MITRE ATT&amp;CK Mappings'!$B432,"")</f>
        <v/>
      </c>
      <c r="D436" s="26" t="str">
        <f>IF(OR(OR(OR(OR(OR(ISNUMBER(SEARCH(IF(D$1&lt;&gt;"",D$1,"NA"),'MITRE ATT&amp;CK Mappings'!$E432)),ISNUMBER(SEARCH(IF(D$1&lt;&gt;"",D$1,"NA"),'MITRE ATT&amp;CK Mappings'!$F432))),ISNUMBER(SEARCH(IF(D$2&lt;&gt;"",D$2,"NA"),'MITRE ATT&amp;CK Mappings'!$G432))),ISNUMBER(SEARCH(IF(D$2&lt;&gt;"",D$2,"NA"),'MITRE ATT&amp;CK Mappings'!$H432))),ISNUMBER(SEARCH(IF(D$3&lt;&gt;"",D$3,"NA"),'MITRE ATT&amp;CK Mappings'!$I432))),ISNUMBER(SEARCH(IF(D$3&lt;&gt;"",D$3,"NA"),'MITRE ATT&amp;CK Mappings'!$J432))), 'MITRE ATT&amp;CK Mappings'!$B432,"")</f>
        <v/>
      </c>
      <c r="E436" s="26" t="str">
        <f>IF(OR(OR(OR(OR(OR(ISNUMBER(SEARCH(IF(E$1&lt;&gt;"",E$1,"NA"),'MITRE ATT&amp;CK Mappings'!$E432)),ISNUMBER(SEARCH(IF(E$1&lt;&gt;"",E$1,"NA"),'MITRE ATT&amp;CK Mappings'!$F432))),ISNUMBER(SEARCH(IF(E$2&lt;&gt;"",E$2,"NA"),'MITRE ATT&amp;CK Mappings'!$G432))),ISNUMBER(SEARCH(IF(E$2&lt;&gt;"",E$2,"NA"),'MITRE ATT&amp;CK Mappings'!$H432))),ISNUMBER(SEARCH(IF(E$3&lt;&gt;"",E$3,"NA"),'MITRE ATT&amp;CK Mappings'!$I432))),ISNUMBER(SEARCH(IF(E$3&lt;&gt;"",E$3,"NA"),'MITRE ATT&amp;CK Mappings'!$J432))), 'MITRE ATT&amp;CK Mappings'!$B432,"")</f>
        <v/>
      </c>
      <c r="F436" s="26" t="str">
        <f>IF(OR(OR(OR(OR(OR(ISNUMBER(SEARCH(IF(F$1&lt;&gt;"",F$1,"NA"),'MITRE ATT&amp;CK Mappings'!$E432)),ISNUMBER(SEARCH(IF(F$1&lt;&gt;"",F$1,"NA"),'MITRE ATT&amp;CK Mappings'!$F432))),ISNUMBER(SEARCH(IF(F$2&lt;&gt;"",F$2,"NA"),'MITRE ATT&amp;CK Mappings'!$G432))),ISNUMBER(SEARCH(IF(F$2&lt;&gt;"",F$2,"NA"),'MITRE ATT&amp;CK Mappings'!$H432))),ISNUMBER(SEARCH(IF(F$3&lt;&gt;"",F$3,"NA"),'MITRE ATT&amp;CK Mappings'!$I432))),ISNUMBER(SEARCH(IF(F$3&lt;&gt;"",F$3,"NA"),'MITRE ATT&amp;CK Mappings'!$J432))), 'MITRE ATT&amp;CK Mappings'!$B432,"")</f>
        <v/>
      </c>
      <c r="G436" s="26" t="str">
        <f>IF(OR(OR(OR(OR(OR(ISNUMBER(SEARCH(IF(G$1&lt;&gt;"",G$1,"NA"),'MITRE ATT&amp;CK Mappings'!$E432)),ISNUMBER(SEARCH(IF(G$1&lt;&gt;"",G$1,"NA"),'MITRE ATT&amp;CK Mappings'!$F432))),ISNUMBER(SEARCH(IF(G$2&lt;&gt;"",G$2,"NA"),'MITRE ATT&amp;CK Mappings'!$G432))),ISNUMBER(SEARCH(IF(G$2&lt;&gt;"",G$2,"NA"),'MITRE ATT&amp;CK Mappings'!$H432))),ISNUMBER(SEARCH(IF(G$3&lt;&gt;"",G$3,"NA"),'MITRE ATT&amp;CK Mappings'!$I432))),ISNUMBER(SEARCH(IF(G$3&lt;&gt;"",G$3,"NA"),'MITRE ATT&amp;CK Mappings'!$J432))), 'MITRE ATT&amp;CK Mappings'!$B432,"")</f>
        <v/>
      </c>
      <c r="H436" s="26" t="str">
        <f>IF(OR(OR(OR(OR(OR(ISNUMBER(SEARCH(IF(H$1&lt;&gt;"",H$1,"NA"),'MITRE ATT&amp;CK Mappings'!$E432)),ISNUMBER(SEARCH(IF(H$1&lt;&gt;"",H$1,"NA"),'MITRE ATT&amp;CK Mappings'!$F432))),ISNUMBER(SEARCH(IF(H$2&lt;&gt;"",H$2,"NA"),'MITRE ATT&amp;CK Mappings'!$G432))),ISNUMBER(SEARCH(IF(H$2&lt;&gt;"",H$2,"NA"),'MITRE ATT&amp;CK Mappings'!$H432))),ISNUMBER(SEARCH(IF(H$3&lt;&gt;"",H$3,"NA"),'MITRE ATT&amp;CK Mappings'!$I432))),ISNUMBER(SEARCH(IF(H$3&lt;&gt;"",H$3,"NA"),'MITRE ATT&amp;CK Mappings'!$J432))), 'MITRE ATT&amp;CK Mappings'!$B432,"")</f>
        <v/>
      </c>
      <c r="I436" s="26" t="str">
        <f>IF(OR(OR(OR(OR(OR(ISNUMBER(SEARCH(IF(I$1&lt;&gt;"",I$1,"NA"),'MITRE ATT&amp;CK Mappings'!$E432)),ISNUMBER(SEARCH(IF(I$1&lt;&gt;"",I$1,"NA"),'MITRE ATT&amp;CK Mappings'!$F432))),ISNUMBER(SEARCH(IF(I$2&lt;&gt;"",I$2,"NA"),'MITRE ATT&amp;CK Mappings'!$G432))),ISNUMBER(SEARCH(IF(I$2&lt;&gt;"",I$2,"NA"),'MITRE ATT&amp;CK Mappings'!$H432))),ISNUMBER(SEARCH(IF(I$3&lt;&gt;"",I$3,"NA"),'MITRE ATT&amp;CK Mappings'!$I432))),ISNUMBER(SEARCH(IF(I$3&lt;&gt;"",I$3,"NA"),'MITRE ATT&amp;CK Mappings'!$J432))), 'MITRE ATT&amp;CK Mappings'!$B432,"")</f>
        <v/>
      </c>
      <c r="J436" s="26" t="str">
        <f>IF(OR(OR(OR(OR(OR(ISNUMBER(SEARCH(IF(J$1&lt;&gt;"",J$1,"NA"),'MITRE ATT&amp;CK Mappings'!$E432)),ISNUMBER(SEARCH(IF(J$1&lt;&gt;"",J$1,"NA"),'MITRE ATT&amp;CK Mappings'!$F432))),ISNUMBER(SEARCH(IF(J$2&lt;&gt;"",J$2,"NA"),'MITRE ATT&amp;CK Mappings'!$G432))),ISNUMBER(SEARCH(IF(J$2&lt;&gt;"",J$2,"NA"),'MITRE ATT&amp;CK Mappings'!$H432))),ISNUMBER(SEARCH(IF(J$3&lt;&gt;"",J$3,"NA"),'MITRE ATT&amp;CK Mappings'!$I432))),ISNUMBER(SEARCH(IF(J$3&lt;&gt;"",J$3,"NA"),'MITRE ATT&amp;CK Mappings'!$J432))), 'MITRE ATT&amp;CK Mappings'!$B432,"")</f>
        <v/>
      </c>
      <c r="K436" s="26" t="str">
        <f>IF(OR(OR(OR(OR(OR(ISNUMBER(SEARCH(IF(K$1&lt;&gt;"",K$1,"NA"),'MITRE ATT&amp;CK Mappings'!$E432)),ISNUMBER(SEARCH(IF(K$1&lt;&gt;"",K$1,"NA"),'MITRE ATT&amp;CK Mappings'!$F432))),ISNUMBER(SEARCH(IF(K$2&lt;&gt;"",K$2,"NA"),'MITRE ATT&amp;CK Mappings'!$G432))),ISNUMBER(SEARCH(IF(K$2&lt;&gt;"",K$2,"NA"),'MITRE ATT&amp;CK Mappings'!$H432))),ISNUMBER(SEARCH(IF(K$3&lt;&gt;"",K$3,"NA"),'MITRE ATT&amp;CK Mappings'!$I432))),ISNUMBER(SEARCH(IF(K$3&lt;&gt;"",K$3,"NA"),'MITRE ATT&amp;CK Mappings'!$J432))), 'MITRE ATT&amp;CK Mappings'!$B432,"")</f>
        <v/>
      </c>
      <c r="L436" s="26" t="str">
        <f>IF('MITRE ATT&amp;CK Mappings'!D432 &lt;&gt;"",'MITRE ATT&amp;CK Mappings'!D432,"" )</f>
        <v/>
      </c>
    </row>
    <row r="437" spans="1:12" x14ac:dyDescent="0.25">
      <c r="A437" s="27" t="str">
        <f>IF(COUNTIF(B437:K437,"="&amp;'MITRE ATT&amp;CK Mappings'!B433)&gt;0,'MITRE ATT&amp;CK Mappings'!B433,"")</f>
        <v/>
      </c>
      <c r="B437" s="27" t="str">
        <f>IF(OR(OR(OR(OR(OR(ISNUMBER(SEARCH(IF(B$1&lt;&gt;"",B$1,"NA"),'MITRE ATT&amp;CK Mappings'!$E433)),ISNUMBER(SEARCH(IF(B$1&lt;&gt;"",B$1,"NA"),'MITRE ATT&amp;CK Mappings'!$F433))),ISNUMBER(SEARCH(IF(B$2&lt;&gt;"",B$2,"NA"),'MITRE ATT&amp;CK Mappings'!$G433))),ISNUMBER(SEARCH(IF(B$2&lt;&gt;"",B$2,"NA"),'MITRE ATT&amp;CK Mappings'!$H433))),ISNUMBER(SEARCH(IF(B$3&lt;&gt;"",B$3,"NA"),'MITRE ATT&amp;CK Mappings'!$I433))),ISNUMBER(SEARCH(IF(B$3&lt;&gt;"",B$3,"NA"),'MITRE ATT&amp;CK Mappings'!$J433))), 'MITRE ATT&amp;CK Mappings'!$B433,"")</f>
        <v/>
      </c>
      <c r="C437" s="27" t="str">
        <f>IF(OR(OR(OR(OR(OR(ISNUMBER(SEARCH(IF(C$1&lt;&gt;"",C$1,"NA"),'MITRE ATT&amp;CK Mappings'!$E433)),ISNUMBER(SEARCH(IF(C$1&lt;&gt;"",C$1,"NA"),'MITRE ATT&amp;CK Mappings'!$F433))),ISNUMBER(SEARCH(IF(C$2&lt;&gt;"",C$2,"NA"),'MITRE ATT&amp;CK Mappings'!$G433))),ISNUMBER(SEARCH(IF(C$2&lt;&gt;"",C$2,"NA"),'MITRE ATT&amp;CK Mappings'!$H433))),ISNUMBER(SEARCH(IF(C$3&lt;&gt;"",C$3,"NA"),'MITRE ATT&amp;CK Mappings'!$I433))),ISNUMBER(SEARCH(IF(C$3&lt;&gt;"",C$3,"NA"),'MITRE ATT&amp;CK Mappings'!$J433))), 'MITRE ATT&amp;CK Mappings'!$B433,"")</f>
        <v/>
      </c>
      <c r="D437" s="27" t="str">
        <f>IF(OR(OR(OR(OR(OR(ISNUMBER(SEARCH(IF(D$1&lt;&gt;"",D$1,"NA"),'MITRE ATT&amp;CK Mappings'!$E433)),ISNUMBER(SEARCH(IF(D$1&lt;&gt;"",D$1,"NA"),'MITRE ATT&amp;CK Mappings'!$F433))),ISNUMBER(SEARCH(IF(D$2&lt;&gt;"",D$2,"NA"),'MITRE ATT&amp;CK Mappings'!$G433))),ISNUMBER(SEARCH(IF(D$2&lt;&gt;"",D$2,"NA"),'MITRE ATT&amp;CK Mappings'!$H433))),ISNUMBER(SEARCH(IF(D$3&lt;&gt;"",D$3,"NA"),'MITRE ATT&amp;CK Mappings'!$I433))),ISNUMBER(SEARCH(IF(D$3&lt;&gt;"",D$3,"NA"),'MITRE ATT&amp;CK Mappings'!$J433))), 'MITRE ATT&amp;CK Mappings'!$B433,"")</f>
        <v/>
      </c>
      <c r="E437" s="27" t="str">
        <f>IF(OR(OR(OR(OR(OR(ISNUMBER(SEARCH(IF(E$1&lt;&gt;"",E$1,"NA"),'MITRE ATT&amp;CK Mappings'!$E433)),ISNUMBER(SEARCH(IF(E$1&lt;&gt;"",E$1,"NA"),'MITRE ATT&amp;CK Mappings'!$F433))),ISNUMBER(SEARCH(IF(E$2&lt;&gt;"",E$2,"NA"),'MITRE ATT&amp;CK Mappings'!$G433))),ISNUMBER(SEARCH(IF(E$2&lt;&gt;"",E$2,"NA"),'MITRE ATT&amp;CK Mappings'!$H433))),ISNUMBER(SEARCH(IF(E$3&lt;&gt;"",E$3,"NA"),'MITRE ATT&amp;CK Mappings'!$I433))),ISNUMBER(SEARCH(IF(E$3&lt;&gt;"",E$3,"NA"),'MITRE ATT&amp;CK Mappings'!$J433))), 'MITRE ATT&amp;CK Mappings'!$B433,"")</f>
        <v/>
      </c>
      <c r="F437" s="27" t="str">
        <f>IF(OR(OR(OR(OR(OR(ISNUMBER(SEARCH(IF(F$1&lt;&gt;"",F$1,"NA"),'MITRE ATT&amp;CK Mappings'!$E433)),ISNUMBER(SEARCH(IF(F$1&lt;&gt;"",F$1,"NA"),'MITRE ATT&amp;CK Mappings'!$F433))),ISNUMBER(SEARCH(IF(F$2&lt;&gt;"",F$2,"NA"),'MITRE ATT&amp;CK Mappings'!$G433))),ISNUMBER(SEARCH(IF(F$2&lt;&gt;"",F$2,"NA"),'MITRE ATT&amp;CK Mappings'!$H433))),ISNUMBER(SEARCH(IF(F$3&lt;&gt;"",F$3,"NA"),'MITRE ATT&amp;CK Mappings'!$I433))),ISNUMBER(SEARCH(IF(F$3&lt;&gt;"",F$3,"NA"),'MITRE ATT&amp;CK Mappings'!$J433))), 'MITRE ATT&amp;CK Mappings'!$B433,"")</f>
        <v/>
      </c>
      <c r="G437" s="27" t="str">
        <f>IF(OR(OR(OR(OR(OR(ISNUMBER(SEARCH(IF(G$1&lt;&gt;"",G$1,"NA"),'MITRE ATT&amp;CK Mappings'!$E433)),ISNUMBER(SEARCH(IF(G$1&lt;&gt;"",G$1,"NA"),'MITRE ATT&amp;CK Mappings'!$F433))),ISNUMBER(SEARCH(IF(G$2&lt;&gt;"",G$2,"NA"),'MITRE ATT&amp;CK Mappings'!$G433))),ISNUMBER(SEARCH(IF(G$2&lt;&gt;"",G$2,"NA"),'MITRE ATT&amp;CK Mappings'!$H433))),ISNUMBER(SEARCH(IF(G$3&lt;&gt;"",G$3,"NA"),'MITRE ATT&amp;CK Mappings'!$I433))),ISNUMBER(SEARCH(IF(G$3&lt;&gt;"",G$3,"NA"),'MITRE ATT&amp;CK Mappings'!$J433))), 'MITRE ATT&amp;CK Mappings'!$B433,"")</f>
        <v/>
      </c>
      <c r="H437" s="27" t="str">
        <f>IF(OR(OR(OR(OR(OR(ISNUMBER(SEARCH(IF(H$1&lt;&gt;"",H$1,"NA"),'MITRE ATT&amp;CK Mappings'!$E433)),ISNUMBER(SEARCH(IF(H$1&lt;&gt;"",H$1,"NA"),'MITRE ATT&amp;CK Mappings'!$F433))),ISNUMBER(SEARCH(IF(H$2&lt;&gt;"",H$2,"NA"),'MITRE ATT&amp;CK Mappings'!$G433))),ISNUMBER(SEARCH(IF(H$2&lt;&gt;"",H$2,"NA"),'MITRE ATT&amp;CK Mappings'!$H433))),ISNUMBER(SEARCH(IF(H$3&lt;&gt;"",H$3,"NA"),'MITRE ATT&amp;CK Mappings'!$I433))),ISNUMBER(SEARCH(IF(H$3&lt;&gt;"",H$3,"NA"),'MITRE ATT&amp;CK Mappings'!$J433))), 'MITRE ATT&amp;CK Mappings'!$B433,"")</f>
        <v/>
      </c>
      <c r="I437" s="27" t="str">
        <f>IF(OR(OR(OR(OR(OR(ISNUMBER(SEARCH(IF(I$1&lt;&gt;"",I$1,"NA"),'MITRE ATT&amp;CK Mappings'!$E433)),ISNUMBER(SEARCH(IF(I$1&lt;&gt;"",I$1,"NA"),'MITRE ATT&amp;CK Mappings'!$F433))),ISNUMBER(SEARCH(IF(I$2&lt;&gt;"",I$2,"NA"),'MITRE ATT&amp;CK Mappings'!$G433))),ISNUMBER(SEARCH(IF(I$2&lt;&gt;"",I$2,"NA"),'MITRE ATT&amp;CK Mappings'!$H433))),ISNUMBER(SEARCH(IF(I$3&lt;&gt;"",I$3,"NA"),'MITRE ATT&amp;CK Mappings'!$I433))),ISNUMBER(SEARCH(IF(I$3&lt;&gt;"",I$3,"NA"),'MITRE ATT&amp;CK Mappings'!$J433))), 'MITRE ATT&amp;CK Mappings'!$B433,"")</f>
        <v/>
      </c>
      <c r="J437" s="27" t="str">
        <f>IF(OR(OR(OR(OR(OR(ISNUMBER(SEARCH(IF(J$1&lt;&gt;"",J$1,"NA"),'MITRE ATT&amp;CK Mappings'!$E433)),ISNUMBER(SEARCH(IF(J$1&lt;&gt;"",J$1,"NA"),'MITRE ATT&amp;CK Mappings'!$F433))),ISNUMBER(SEARCH(IF(J$2&lt;&gt;"",J$2,"NA"),'MITRE ATT&amp;CK Mappings'!$G433))),ISNUMBER(SEARCH(IF(J$2&lt;&gt;"",J$2,"NA"),'MITRE ATT&amp;CK Mappings'!$H433))),ISNUMBER(SEARCH(IF(J$3&lt;&gt;"",J$3,"NA"),'MITRE ATT&amp;CK Mappings'!$I433))),ISNUMBER(SEARCH(IF(J$3&lt;&gt;"",J$3,"NA"),'MITRE ATT&amp;CK Mappings'!$J433))), 'MITRE ATT&amp;CK Mappings'!$B433,"")</f>
        <v/>
      </c>
      <c r="K437" s="27" t="str">
        <f>IF(OR(OR(OR(OR(OR(ISNUMBER(SEARCH(IF(K$1&lt;&gt;"",K$1,"NA"),'MITRE ATT&amp;CK Mappings'!$E433)),ISNUMBER(SEARCH(IF(K$1&lt;&gt;"",K$1,"NA"),'MITRE ATT&amp;CK Mappings'!$F433))),ISNUMBER(SEARCH(IF(K$2&lt;&gt;"",K$2,"NA"),'MITRE ATT&amp;CK Mappings'!$G433))),ISNUMBER(SEARCH(IF(K$2&lt;&gt;"",K$2,"NA"),'MITRE ATT&amp;CK Mappings'!$H433))),ISNUMBER(SEARCH(IF(K$3&lt;&gt;"",K$3,"NA"),'MITRE ATT&amp;CK Mappings'!$I433))),ISNUMBER(SEARCH(IF(K$3&lt;&gt;"",K$3,"NA"),'MITRE ATT&amp;CK Mappings'!$J433))), 'MITRE ATT&amp;CK Mappings'!$B433,"")</f>
        <v/>
      </c>
      <c r="L437" s="27" t="str">
        <f>IF('MITRE ATT&amp;CK Mappings'!D433 &lt;&gt;"",'MITRE ATT&amp;CK Mappings'!D433,"" )</f>
        <v/>
      </c>
    </row>
    <row r="438" spans="1:12" x14ac:dyDescent="0.25">
      <c r="A438" s="26" t="str">
        <f>IF(COUNTIF(B438:K438,"="&amp;'MITRE ATT&amp;CK Mappings'!B434)&gt;0,'MITRE ATT&amp;CK Mappings'!B434,"")</f>
        <v/>
      </c>
      <c r="B438" s="26" t="str">
        <f>IF(OR(OR(OR(OR(OR(ISNUMBER(SEARCH(IF(B$1&lt;&gt;"",B$1,"NA"),'MITRE ATT&amp;CK Mappings'!$E434)),ISNUMBER(SEARCH(IF(B$1&lt;&gt;"",B$1,"NA"),'MITRE ATT&amp;CK Mappings'!$F434))),ISNUMBER(SEARCH(IF(B$2&lt;&gt;"",B$2,"NA"),'MITRE ATT&amp;CK Mappings'!$G434))),ISNUMBER(SEARCH(IF(B$2&lt;&gt;"",B$2,"NA"),'MITRE ATT&amp;CK Mappings'!$H434))),ISNUMBER(SEARCH(IF(B$3&lt;&gt;"",B$3,"NA"),'MITRE ATT&amp;CK Mappings'!$I434))),ISNUMBER(SEARCH(IF(B$3&lt;&gt;"",B$3,"NA"),'MITRE ATT&amp;CK Mappings'!$J434))), 'MITRE ATT&amp;CK Mappings'!$B434,"")</f>
        <v/>
      </c>
      <c r="C438" s="26" t="str">
        <f>IF(OR(OR(OR(OR(OR(ISNUMBER(SEARCH(IF(C$1&lt;&gt;"",C$1,"NA"),'MITRE ATT&amp;CK Mappings'!$E434)),ISNUMBER(SEARCH(IF(C$1&lt;&gt;"",C$1,"NA"),'MITRE ATT&amp;CK Mappings'!$F434))),ISNUMBER(SEARCH(IF(C$2&lt;&gt;"",C$2,"NA"),'MITRE ATT&amp;CK Mappings'!$G434))),ISNUMBER(SEARCH(IF(C$2&lt;&gt;"",C$2,"NA"),'MITRE ATT&amp;CK Mappings'!$H434))),ISNUMBER(SEARCH(IF(C$3&lt;&gt;"",C$3,"NA"),'MITRE ATT&amp;CK Mappings'!$I434))),ISNUMBER(SEARCH(IF(C$3&lt;&gt;"",C$3,"NA"),'MITRE ATT&amp;CK Mappings'!$J434))), 'MITRE ATT&amp;CK Mappings'!$B434,"")</f>
        <v/>
      </c>
      <c r="D438" s="26" t="str">
        <f>IF(OR(OR(OR(OR(OR(ISNUMBER(SEARCH(IF(D$1&lt;&gt;"",D$1,"NA"),'MITRE ATT&amp;CK Mappings'!$E434)),ISNUMBER(SEARCH(IF(D$1&lt;&gt;"",D$1,"NA"),'MITRE ATT&amp;CK Mappings'!$F434))),ISNUMBER(SEARCH(IF(D$2&lt;&gt;"",D$2,"NA"),'MITRE ATT&amp;CK Mappings'!$G434))),ISNUMBER(SEARCH(IF(D$2&lt;&gt;"",D$2,"NA"),'MITRE ATT&amp;CK Mappings'!$H434))),ISNUMBER(SEARCH(IF(D$3&lt;&gt;"",D$3,"NA"),'MITRE ATT&amp;CK Mappings'!$I434))),ISNUMBER(SEARCH(IF(D$3&lt;&gt;"",D$3,"NA"),'MITRE ATT&amp;CK Mappings'!$J434))), 'MITRE ATT&amp;CK Mappings'!$B434,"")</f>
        <v/>
      </c>
      <c r="E438" s="26" t="str">
        <f>IF(OR(OR(OR(OR(OR(ISNUMBER(SEARCH(IF(E$1&lt;&gt;"",E$1,"NA"),'MITRE ATT&amp;CK Mappings'!$E434)),ISNUMBER(SEARCH(IF(E$1&lt;&gt;"",E$1,"NA"),'MITRE ATT&amp;CK Mappings'!$F434))),ISNUMBER(SEARCH(IF(E$2&lt;&gt;"",E$2,"NA"),'MITRE ATT&amp;CK Mappings'!$G434))),ISNUMBER(SEARCH(IF(E$2&lt;&gt;"",E$2,"NA"),'MITRE ATT&amp;CK Mappings'!$H434))),ISNUMBER(SEARCH(IF(E$3&lt;&gt;"",E$3,"NA"),'MITRE ATT&amp;CK Mappings'!$I434))),ISNUMBER(SEARCH(IF(E$3&lt;&gt;"",E$3,"NA"),'MITRE ATT&amp;CK Mappings'!$J434))), 'MITRE ATT&amp;CK Mappings'!$B434,"")</f>
        <v/>
      </c>
      <c r="F438" s="26" t="str">
        <f>IF(OR(OR(OR(OR(OR(ISNUMBER(SEARCH(IF(F$1&lt;&gt;"",F$1,"NA"),'MITRE ATT&amp;CK Mappings'!$E434)),ISNUMBER(SEARCH(IF(F$1&lt;&gt;"",F$1,"NA"),'MITRE ATT&amp;CK Mappings'!$F434))),ISNUMBER(SEARCH(IF(F$2&lt;&gt;"",F$2,"NA"),'MITRE ATT&amp;CK Mappings'!$G434))),ISNUMBER(SEARCH(IF(F$2&lt;&gt;"",F$2,"NA"),'MITRE ATT&amp;CK Mappings'!$H434))),ISNUMBER(SEARCH(IF(F$3&lt;&gt;"",F$3,"NA"),'MITRE ATT&amp;CK Mappings'!$I434))),ISNUMBER(SEARCH(IF(F$3&lt;&gt;"",F$3,"NA"),'MITRE ATT&amp;CK Mappings'!$J434))), 'MITRE ATT&amp;CK Mappings'!$B434,"")</f>
        <v/>
      </c>
      <c r="G438" s="26" t="str">
        <f>IF(OR(OR(OR(OR(OR(ISNUMBER(SEARCH(IF(G$1&lt;&gt;"",G$1,"NA"),'MITRE ATT&amp;CK Mappings'!$E434)),ISNUMBER(SEARCH(IF(G$1&lt;&gt;"",G$1,"NA"),'MITRE ATT&amp;CK Mappings'!$F434))),ISNUMBER(SEARCH(IF(G$2&lt;&gt;"",G$2,"NA"),'MITRE ATT&amp;CK Mappings'!$G434))),ISNUMBER(SEARCH(IF(G$2&lt;&gt;"",G$2,"NA"),'MITRE ATT&amp;CK Mappings'!$H434))),ISNUMBER(SEARCH(IF(G$3&lt;&gt;"",G$3,"NA"),'MITRE ATT&amp;CK Mappings'!$I434))),ISNUMBER(SEARCH(IF(G$3&lt;&gt;"",G$3,"NA"),'MITRE ATT&amp;CK Mappings'!$J434))), 'MITRE ATT&amp;CK Mappings'!$B434,"")</f>
        <v/>
      </c>
      <c r="H438" s="26" t="str">
        <f>IF(OR(OR(OR(OR(OR(ISNUMBER(SEARCH(IF(H$1&lt;&gt;"",H$1,"NA"),'MITRE ATT&amp;CK Mappings'!$E434)),ISNUMBER(SEARCH(IF(H$1&lt;&gt;"",H$1,"NA"),'MITRE ATT&amp;CK Mappings'!$F434))),ISNUMBER(SEARCH(IF(H$2&lt;&gt;"",H$2,"NA"),'MITRE ATT&amp;CK Mappings'!$G434))),ISNUMBER(SEARCH(IF(H$2&lt;&gt;"",H$2,"NA"),'MITRE ATT&amp;CK Mappings'!$H434))),ISNUMBER(SEARCH(IF(H$3&lt;&gt;"",H$3,"NA"),'MITRE ATT&amp;CK Mappings'!$I434))),ISNUMBER(SEARCH(IF(H$3&lt;&gt;"",H$3,"NA"),'MITRE ATT&amp;CK Mappings'!$J434))), 'MITRE ATT&amp;CK Mappings'!$B434,"")</f>
        <v/>
      </c>
      <c r="I438" s="26" t="str">
        <f>IF(OR(OR(OR(OR(OR(ISNUMBER(SEARCH(IF(I$1&lt;&gt;"",I$1,"NA"),'MITRE ATT&amp;CK Mappings'!$E434)),ISNUMBER(SEARCH(IF(I$1&lt;&gt;"",I$1,"NA"),'MITRE ATT&amp;CK Mappings'!$F434))),ISNUMBER(SEARCH(IF(I$2&lt;&gt;"",I$2,"NA"),'MITRE ATT&amp;CK Mappings'!$G434))),ISNUMBER(SEARCH(IF(I$2&lt;&gt;"",I$2,"NA"),'MITRE ATT&amp;CK Mappings'!$H434))),ISNUMBER(SEARCH(IF(I$3&lt;&gt;"",I$3,"NA"),'MITRE ATT&amp;CK Mappings'!$I434))),ISNUMBER(SEARCH(IF(I$3&lt;&gt;"",I$3,"NA"),'MITRE ATT&amp;CK Mappings'!$J434))), 'MITRE ATT&amp;CK Mappings'!$B434,"")</f>
        <v/>
      </c>
      <c r="J438" s="26" t="str">
        <f>IF(OR(OR(OR(OR(OR(ISNUMBER(SEARCH(IF(J$1&lt;&gt;"",J$1,"NA"),'MITRE ATT&amp;CK Mappings'!$E434)),ISNUMBER(SEARCH(IF(J$1&lt;&gt;"",J$1,"NA"),'MITRE ATT&amp;CK Mappings'!$F434))),ISNUMBER(SEARCH(IF(J$2&lt;&gt;"",J$2,"NA"),'MITRE ATT&amp;CK Mappings'!$G434))),ISNUMBER(SEARCH(IF(J$2&lt;&gt;"",J$2,"NA"),'MITRE ATT&amp;CK Mappings'!$H434))),ISNUMBER(SEARCH(IF(J$3&lt;&gt;"",J$3,"NA"),'MITRE ATT&amp;CK Mappings'!$I434))),ISNUMBER(SEARCH(IF(J$3&lt;&gt;"",J$3,"NA"),'MITRE ATT&amp;CK Mappings'!$J434))), 'MITRE ATT&amp;CK Mappings'!$B434,"")</f>
        <v/>
      </c>
      <c r="K438" s="26" t="str">
        <f>IF(OR(OR(OR(OR(OR(ISNUMBER(SEARCH(IF(K$1&lt;&gt;"",K$1,"NA"),'MITRE ATT&amp;CK Mappings'!$E434)),ISNUMBER(SEARCH(IF(K$1&lt;&gt;"",K$1,"NA"),'MITRE ATT&amp;CK Mappings'!$F434))),ISNUMBER(SEARCH(IF(K$2&lt;&gt;"",K$2,"NA"),'MITRE ATT&amp;CK Mappings'!$G434))),ISNUMBER(SEARCH(IF(K$2&lt;&gt;"",K$2,"NA"),'MITRE ATT&amp;CK Mappings'!$H434))),ISNUMBER(SEARCH(IF(K$3&lt;&gt;"",K$3,"NA"),'MITRE ATT&amp;CK Mappings'!$I434))),ISNUMBER(SEARCH(IF(K$3&lt;&gt;"",K$3,"NA"),'MITRE ATT&amp;CK Mappings'!$J434))), 'MITRE ATT&amp;CK Mappings'!$B434,"")</f>
        <v/>
      </c>
      <c r="L438" s="26" t="str">
        <f>IF('MITRE ATT&amp;CK Mappings'!D434 &lt;&gt;"",'MITRE ATT&amp;CK Mappings'!D434,"" )</f>
        <v/>
      </c>
    </row>
    <row r="439" spans="1:12" x14ac:dyDescent="0.25">
      <c r="A439" s="27" t="str">
        <f>IF(COUNTIF(B439:K439,"="&amp;'MITRE ATT&amp;CK Mappings'!B435)&gt;0,'MITRE ATT&amp;CK Mappings'!B435,"")</f>
        <v/>
      </c>
      <c r="B439" s="27" t="str">
        <f>IF(OR(OR(OR(OR(OR(ISNUMBER(SEARCH(IF(B$1&lt;&gt;"",B$1,"NA"),'MITRE ATT&amp;CK Mappings'!$E435)),ISNUMBER(SEARCH(IF(B$1&lt;&gt;"",B$1,"NA"),'MITRE ATT&amp;CK Mappings'!$F435))),ISNUMBER(SEARCH(IF(B$2&lt;&gt;"",B$2,"NA"),'MITRE ATT&amp;CK Mappings'!$G435))),ISNUMBER(SEARCH(IF(B$2&lt;&gt;"",B$2,"NA"),'MITRE ATT&amp;CK Mappings'!$H435))),ISNUMBER(SEARCH(IF(B$3&lt;&gt;"",B$3,"NA"),'MITRE ATT&amp;CK Mappings'!$I435))),ISNUMBER(SEARCH(IF(B$3&lt;&gt;"",B$3,"NA"),'MITRE ATT&amp;CK Mappings'!$J435))), 'MITRE ATT&amp;CK Mappings'!$B435,"")</f>
        <v/>
      </c>
      <c r="C439" s="27" t="str">
        <f>IF(OR(OR(OR(OR(OR(ISNUMBER(SEARCH(IF(C$1&lt;&gt;"",C$1,"NA"),'MITRE ATT&amp;CK Mappings'!$E435)),ISNUMBER(SEARCH(IF(C$1&lt;&gt;"",C$1,"NA"),'MITRE ATT&amp;CK Mappings'!$F435))),ISNUMBER(SEARCH(IF(C$2&lt;&gt;"",C$2,"NA"),'MITRE ATT&amp;CK Mappings'!$G435))),ISNUMBER(SEARCH(IF(C$2&lt;&gt;"",C$2,"NA"),'MITRE ATT&amp;CK Mappings'!$H435))),ISNUMBER(SEARCH(IF(C$3&lt;&gt;"",C$3,"NA"),'MITRE ATT&amp;CK Mappings'!$I435))),ISNUMBER(SEARCH(IF(C$3&lt;&gt;"",C$3,"NA"),'MITRE ATT&amp;CK Mappings'!$J435))), 'MITRE ATT&amp;CK Mappings'!$B435,"")</f>
        <v/>
      </c>
      <c r="D439" s="27" t="str">
        <f>IF(OR(OR(OR(OR(OR(ISNUMBER(SEARCH(IF(D$1&lt;&gt;"",D$1,"NA"),'MITRE ATT&amp;CK Mappings'!$E435)),ISNUMBER(SEARCH(IF(D$1&lt;&gt;"",D$1,"NA"),'MITRE ATT&amp;CK Mappings'!$F435))),ISNUMBER(SEARCH(IF(D$2&lt;&gt;"",D$2,"NA"),'MITRE ATT&amp;CK Mappings'!$G435))),ISNUMBER(SEARCH(IF(D$2&lt;&gt;"",D$2,"NA"),'MITRE ATT&amp;CK Mappings'!$H435))),ISNUMBER(SEARCH(IF(D$3&lt;&gt;"",D$3,"NA"),'MITRE ATT&amp;CK Mappings'!$I435))),ISNUMBER(SEARCH(IF(D$3&lt;&gt;"",D$3,"NA"),'MITRE ATT&amp;CK Mappings'!$J435))), 'MITRE ATT&amp;CK Mappings'!$B435,"")</f>
        <v/>
      </c>
      <c r="E439" s="27" t="str">
        <f>IF(OR(OR(OR(OR(OR(ISNUMBER(SEARCH(IF(E$1&lt;&gt;"",E$1,"NA"),'MITRE ATT&amp;CK Mappings'!$E435)),ISNUMBER(SEARCH(IF(E$1&lt;&gt;"",E$1,"NA"),'MITRE ATT&amp;CK Mappings'!$F435))),ISNUMBER(SEARCH(IF(E$2&lt;&gt;"",E$2,"NA"),'MITRE ATT&amp;CK Mappings'!$G435))),ISNUMBER(SEARCH(IF(E$2&lt;&gt;"",E$2,"NA"),'MITRE ATT&amp;CK Mappings'!$H435))),ISNUMBER(SEARCH(IF(E$3&lt;&gt;"",E$3,"NA"),'MITRE ATT&amp;CK Mappings'!$I435))),ISNUMBER(SEARCH(IF(E$3&lt;&gt;"",E$3,"NA"),'MITRE ATT&amp;CK Mappings'!$J435))), 'MITRE ATT&amp;CK Mappings'!$B435,"")</f>
        <v/>
      </c>
      <c r="F439" s="27" t="str">
        <f>IF(OR(OR(OR(OR(OR(ISNUMBER(SEARCH(IF(F$1&lt;&gt;"",F$1,"NA"),'MITRE ATT&amp;CK Mappings'!$E435)),ISNUMBER(SEARCH(IF(F$1&lt;&gt;"",F$1,"NA"),'MITRE ATT&amp;CK Mappings'!$F435))),ISNUMBER(SEARCH(IF(F$2&lt;&gt;"",F$2,"NA"),'MITRE ATT&amp;CK Mappings'!$G435))),ISNUMBER(SEARCH(IF(F$2&lt;&gt;"",F$2,"NA"),'MITRE ATT&amp;CK Mappings'!$H435))),ISNUMBER(SEARCH(IF(F$3&lt;&gt;"",F$3,"NA"),'MITRE ATT&amp;CK Mappings'!$I435))),ISNUMBER(SEARCH(IF(F$3&lt;&gt;"",F$3,"NA"),'MITRE ATT&amp;CK Mappings'!$J435))), 'MITRE ATT&amp;CK Mappings'!$B435,"")</f>
        <v/>
      </c>
      <c r="G439" s="27" t="str">
        <f>IF(OR(OR(OR(OR(OR(ISNUMBER(SEARCH(IF(G$1&lt;&gt;"",G$1,"NA"),'MITRE ATT&amp;CK Mappings'!$E435)),ISNUMBER(SEARCH(IF(G$1&lt;&gt;"",G$1,"NA"),'MITRE ATT&amp;CK Mappings'!$F435))),ISNUMBER(SEARCH(IF(G$2&lt;&gt;"",G$2,"NA"),'MITRE ATT&amp;CK Mappings'!$G435))),ISNUMBER(SEARCH(IF(G$2&lt;&gt;"",G$2,"NA"),'MITRE ATT&amp;CK Mappings'!$H435))),ISNUMBER(SEARCH(IF(G$3&lt;&gt;"",G$3,"NA"),'MITRE ATT&amp;CK Mappings'!$I435))),ISNUMBER(SEARCH(IF(G$3&lt;&gt;"",G$3,"NA"),'MITRE ATT&amp;CK Mappings'!$J435))), 'MITRE ATT&amp;CK Mappings'!$B435,"")</f>
        <v/>
      </c>
      <c r="H439" s="27" t="str">
        <f>IF(OR(OR(OR(OR(OR(ISNUMBER(SEARCH(IF(H$1&lt;&gt;"",H$1,"NA"),'MITRE ATT&amp;CK Mappings'!$E435)),ISNUMBER(SEARCH(IF(H$1&lt;&gt;"",H$1,"NA"),'MITRE ATT&amp;CK Mappings'!$F435))),ISNUMBER(SEARCH(IF(H$2&lt;&gt;"",H$2,"NA"),'MITRE ATT&amp;CK Mappings'!$G435))),ISNUMBER(SEARCH(IF(H$2&lt;&gt;"",H$2,"NA"),'MITRE ATT&amp;CK Mappings'!$H435))),ISNUMBER(SEARCH(IF(H$3&lt;&gt;"",H$3,"NA"),'MITRE ATT&amp;CK Mappings'!$I435))),ISNUMBER(SEARCH(IF(H$3&lt;&gt;"",H$3,"NA"),'MITRE ATT&amp;CK Mappings'!$J435))), 'MITRE ATT&amp;CK Mappings'!$B435,"")</f>
        <v/>
      </c>
      <c r="I439" s="27" t="str">
        <f>IF(OR(OR(OR(OR(OR(ISNUMBER(SEARCH(IF(I$1&lt;&gt;"",I$1,"NA"),'MITRE ATT&amp;CK Mappings'!$E435)),ISNUMBER(SEARCH(IF(I$1&lt;&gt;"",I$1,"NA"),'MITRE ATT&amp;CK Mappings'!$F435))),ISNUMBER(SEARCH(IF(I$2&lt;&gt;"",I$2,"NA"),'MITRE ATT&amp;CK Mappings'!$G435))),ISNUMBER(SEARCH(IF(I$2&lt;&gt;"",I$2,"NA"),'MITRE ATT&amp;CK Mappings'!$H435))),ISNUMBER(SEARCH(IF(I$3&lt;&gt;"",I$3,"NA"),'MITRE ATT&amp;CK Mappings'!$I435))),ISNUMBER(SEARCH(IF(I$3&lt;&gt;"",I$3,"NA"),'MITRE ATT&amp;CK Mappings'!$J435))), 'MITRE ATT&amp;CK Mappings'!$B435,"")</f>
        <v/>
      </c>
      <c r="J439" s="27" t="str">
        <f>IF(OR(OR(OR(OR(OR(ISNUMBER(SEARCH(IF(J$1&lt;&gt;"",J$1,"NA"),'MITRE ATT&amp;CK Mappings'!$E435)),ISNUMBER(SEARCH(IF(J$1&lt;&gt;"",J$1,"NA"),'MITRE ATT&amp;CK Mappings'!$F435))),ISNUMBER(SEARCH(IF(J$2&lt;&gt;"",J$2,"NA"),'MITRE ATT&amp;CK Mappings'!$G435))),ISNUMBER(SEARCH(IF(J$2&lt;&gt;"",J$2,"NA"),'MITRE ATT&amp;CK Mappings'!$H435))),ISNUMBER(SEARCH(IF(J$3&lt;&gt;"",J$3,"NA"),'MITRE ATT&amp;CK Mappings'!$I435))),ISNUMBER(SEARCH(IF(J$3&lt;&gt;"",J$3,"NA"),'MITRE ATT&amp;CK Mappings'!$J435))), 'MITRE ATT&amp;CK Mappings'!$B435,"")</f>
        <v/>
      </c>
      <c r="K439" s="27" t="str">
        <f>IF(OR(OR(OR(OR(OR(ISNUMBER(SEARCH(IF(K$1&lt;&gt;"",K$1,"NA"),'MITRE ATT&amp;CK Mappings'!$E435)),ISNUMBER(SEARCH(IF(K$1&lt;&gt;"",K$1,"NA"),'MITRE ATT&amp;CK Mappings'!$F435))),ISNUMBER(SEARCH(IF(K$2&lt;&gt;"",K$2,"NA"),'MITRE ATT&amp;CK Mappings'!$G435))),ISNUMBER(SEARCH(IF(K$2&lt;&gt;"",K$2,"NA"),'MITRE ATT&amp;CK Mappings'!$H435))),ISNUMBER(SEARCH(IF(K$3&lt;&gt;"",K$3,"NA"),'MITRE ATT&amp;CK Mappings'!$I435))),ISNUMBER(SEARCH(IF(K$3&lt;&gt;"",K$3,"NA"),'MITRE ATT&amp;CK Mappings'!$J435))), 'MITRE ATT&amp;CK Mappings'!$B435,"")</f>
        <v/>
      </c>
      <c r="L439" s="27" t="str">
        <f>IF('MITRE ATT&amp;CK Mappings'!D435 &lt;&gt;"",'MITRE ATT&amp;CK Mappings'!D435,"" )</f>
        <v/>
      </c>
    </row>
    <row r="440" spans="1:12" x14ac:dyDescent="0.25">
      <c r="A440" s="26" t="str">
        <f>IF(COUNTIF(B440:K440,"="&amp;'MITRE ATT&amp;CK Mappings'!B436)&gt;0,'MITRE ATT&amp;CK Mappings'!B436,"")</f>
        <v/>
      </c>
      <c r="B440" s="26" t="str">
        <f>IF(OR(OR(OR(OR(OR(ISNUMBER(SEARCH(IF(B$1&lt;&gt;"",B$1,"NA"),'MITRE ATT&amp;CK Mappings'!$E436)),ISNUMBER(SEARCH(IF(B$1&lt;&gt;"",B$1,"NA"),'MITRE ATT&amp;CK Mappings'!$F436))),ISNUMBER(SEARCH(IF(B$2&lt;&gt;"",B$2,"NA"),'MITRE ATT&amp;CK Mappings'!$G436))),ISNUMBER(SEARCH(IF(B$2&lt;&gt;"",B$2,"NA"),'MITRE ATT&amp;CK Mappings'!$H436))),ISNUMBER(SEARCH(IF(B$3&lt;&gt;"",B$3,"NA"),'MITRE ATT&amp;CK Mappings'!$I436))),ISNUMBER(SEARCH(IF(B$3&lt;&gt;"",B$3,"NA"),'MITRE ATT&amp;CK Mappings'!$J436))), 'MITRE ATT&amp;CK Mappings'!$B436,"")</f>
        <v/>
      </c>
      <c r="C440" s="26" t="str">
        <f>IF(OR(OR(OR(OR(OR(ISNUMBER(SEARCH(IF(C$1&lt;&gt;"",C$1,"NA"),'MITRE ATT&amp;CK Mappings'!$E436)),ISNUMBER(SEARCH(IF(C$1&lt;&gt;"",C$1,"NA"),'MITRE ATT&amp;CK Mappings'!$F436))),ISNUMBER(SEARCH(IF(C$2&lt;&gt;"",C$2,"NA"),'MITRE ATT&amp;CK Mappings'!$G436))),ISNUMBER(SEARCH(IF(C$2&lt;&gt;"",C$2,"NA"),'MITRE ATT&amp;CK Mappings'!$H436))),ISNUMBER(SEARCH(IF(C$3&lt;&gt;"",C$3,"NA"),'MITRE ATT&amp;CK Mappings'!$I436))),ISNUMBER(SEARCH(IF(C$3&lt;&gt;"",C$3,"NA"),'MITRE ATT&amp;CK Mappings'!$J436))), 'MITRE ATT&amp;CK Mappings'!$B436,"")</f>
        <v/>
      </c>
      <c r="D440" s="26" t="str">
        <f>IF(OR(OR(OR(OR(OR(ISNUMBER(SEARCH(IF(D$1&lt;&gt;"",D$1,"NA"),'MITRE ATT&amp;CK Mappings'!$E436)),ISNUMBER(SEARCH(IF(D$1&lt;&gt;"",D$1,"NA"),'MITRE ATT&amp;CK Mappings'!$F436))),ISNUMBER(SEARCH(IF(D$2&lt;&gt;"",D$2,"NA"),'MITRE ATT&amp;CK Mappings'!$G436))),ISNUMBER(SEARCH(IF(D$2&lt;&gt;"",D$2,"NA"),'MITRE ATT&amp;CK Mappings'!$H436))),ISNUMBER(SEARCH(IF(D$3&lt;&gt;"",D$3,"NA"),'MITRE ATT&amp;CK Mappings'!$I436))),ISNUMBER(SEARCH(IF(D$3&lt;&gt;"",D$3,"NA"),'MITRE ATT&amp;CK Mappings'!$J436))), 'MITRE ATT&amp;CK Mappings'!$B436,"")</f>
        <v/>
      </c>
      <c r="E440" s="26" t="str">
        <f>IF(OR(OR(OR(OR(OR(ISNUMBER(SEARCH(IF(E$1&lt;&gt;"",E$1,"NA"),'MITRE ATT&amp;CK Mappings'!$E436)),ISNUMBER(SEARCH(IF(E$1&lt;&gt;"",E$1,"NA"),'MITRE ATT&amp;CK Mappings'!$F436))),ISNUMBER(SEARCH(IF(E$2&lt;&gt;"",E$2,"NA"),'MITRE ATT&amp;CK Mappings'!$G436))),ISNUMBER(SEARCH(IF(E$2&lt;&gt;"",E$2,"NA"),'MITRE ATT&amp;CK Mappings'!$H436))),ISNUMBER(SEARCH(IF(E$3&lt;&gt;"",E$3,"NA"),'MITRE ATT&amp;CK Mappings'!$I436))),ISNUMBER(SEARCH(IF(E$3&lt;&gt;"",E$3,"NA"),'MITRE ATT&amp;CK Mappings'!$J436))), 'MITRE ATT&amp;CK Mappings'!$B436,"")</f>
        <v/>
      </c>
      <c r="F440" s="26" t="str">
        <f>IF(OR(OR(OR(OR(OR(ISNUMBER(SEARCH(IF(F$1&lt;&gt;"",F$1,"NA"),'MITRE ATT&amp;CK Mappings'!$E436)),ISNUMBER(SEARCH(IF(F$1&lt;&gt;"",F$1,"NA"),'MITRE ATT&amp;CK Mappings'!$F436))),ISNUMBER(SEARCH(IF(F$2&lt;&gt;"",F$2,"NA"),'MITRE ATT&amp;CK Mappings'!$G436))),ISNUMBER(SEARCH(IF(F$2&lt;&gt;"",F$2,"NA"),'MITRE ATT&amp;CK Mappings'!$H436))),ISNUMBER(SEARCH(IF(F$3&lt;&gt;"",F$3,"NA"),'MITRE ATT&amp;CK Mappings'!$I436))),ISNUMBER(SEARCH(IF(F$3&lt;&gt;"",F$3,"NA"),'MITRE ATT&amp;CK Mappings'!$J436))), 'MITRE ATT&amp;CK Mappings'!$B436,"")</f>
        <v/>
      </c>
      <c r="G440" s="26" t="str">
        <f>IF(OR(OR(OR(OR(OR(ISNUMBER(SEARCH(IF(G$1&lt;&gt;"",G$1,"NA"),'MITRE ATT&amp;CK Mappings'!$E436)),ISNUMBER(SEARCH(IF(G$1&lt;&gt;"",G$1,"NA"),'MITRE ATT&amp;CK Mappings'!$F436))),ISNUMBER(SEARCH(IF(G$2&lt;&gt;"",G$2,"NA"),'MITRE ATT&amp;CK Mappings'!$G436))),ISNUMBER(SEARCH(IF(G$2&lt;&gt;"",G$2,"NA"),'MITRE ATT&amp;CK Mappings'!$H436))),ISNUMBER(SEARCH(IF(G$3&lt;&gt;"",G$3,"NA"),'MITRE ATT&amp;CK Mappings'!$I436))),ISNUMBER(SEARCH(IF(G$3&lt;&gt;"",G$3,"NA"),'MITRE ATT&amp;CK Mappings'!$J436))), 'MITRE ATT&amp;CK Mappings'!$B436,"")</f>
        <v/>
      </c>
      <c r="H440" s="26" t="str">
        <f>IF(OR(OR(OR(OR(OR(ISNUMBER(SEARCH(IF(H$1&lt;&gt;"",H$1,"NA"),'MITRE ATT&amp;CK Mappings'!$E436)),ISNUMBER(SEARCH(IF(H$1&lt;&gt;"",H$1,"NA"),'MITRE ATT&amp;CK Mappings'!$F436))),ISNUMBER(SEARCH(IF(H$2&lt;&gt;"",H$2,"NA"),'MITRE ATT&amp;CK Mappings'!$G436))),ISNUMBER(SEARCH(IF(H$2&lt;&gt;"",H$2,"NA"),'MITRE ATT&amp;CK Mappings'!$H436))),ISNUMBER(SEARCH(IF(H$3&lt;&gt;"",H$3,"NA"),'MITRE ATT&amp;CK Mappings'!$I436))),ISNUMBER(SEARCH(IF(H$3&lt;&gt;"",H$3,"NA"),'MITRE ATT&amp;CK Mappings'!$J436))), 'MITRE ATT&amp;CK Mappings'!$B436,"")</f>
        <v/>
      </c>
      <c r="I440" s="26" t="str">
        <f>IF(OR(OR(OR(OR(OR(ISNUMBER(SEARCH(IF(I$1&lt;&gt;"",I$1,"NA"),'MITRE ATT&amp;CK Mappings'!$E436)),ISNUMBER(SEARCH(IF(I$1&lt;&gt;"",I$1,"NA"),'MITRE ATT&amp;CK Mappings'!$F436))),ISNUMBER(SEARCH(IF(I$2&lt;&gt;"",I$2,"NA"),'MITRE ATT&amp;CK Mappings'!$G436))),ISNUMBER(SEARCH(IF(I$2&lt;&gt;"",I$2,"NA"),'MITRE ATT&amp;CK Mappings'!$H436))),ISNUMBER(SEARCH(IF(I$3&lt;&gt;"",I$3,"NA"),'MITRE ATT&amp;CK Mappings'!$I436))),ISNUMBER(SEARCH(IF(I$3&lt;&gt;"",I$3,"NA"),'MITRE ATT&amp;CK Mappings'!$J436))), 'MITRE ATT&amp;CK Mappings'!$B436,"")</f>
        <v/>
      </c>
      <c r="J440" s="26" t="str">
        <f>IF(OR(OR(OR(OR(OR(ISNUMBER(SEARCH(IF(J$1&lt;&gt;"",J$1,"NA"),'MITRE ATT&amp;CK Mappings'!$E436)),ISNUMBER(SEARCH(IF(J$1&lt;&gt;"",J$1,"NA"),'MITRE ATT&amp;CK Mappings'!$F436))),ISNUMBER(SEARCH(IF(J$2&lt;&gt;"",J$2,"NA"),'MITRE ATT&amp;CK Mappings'!$G436))),ISNUMBER(SEARCH(IF(J$2&lt;&gt;"",J$2,"NA"),'MITRE ATT&amp;CK Mappings'!$H436))),ISNUMBER(SEARCH(IF(J$3&lt;&gt;"",J$3,"NA"),'MITRE ATT&amp;CK Mappings'!$I436))),ISNUMBER(SEARCH(IF(J$3&lt;&gt;"",J$3,"NA"),'MITRE ATT&amp;CK Mappings'!$J436))), 'MITRE ATT&amp;CK Mappings'!$B436,"")</f>
        <v/>
      </c>
      <c r="K440" s="26" t="str">
        <f>IF(OR(OR(OR(OR(OR(ISNUMBER(SEARCH(IF(K$1&lt;&gt;"",K$1,"NA"),'MITRE ATT&amp;CK Mappings'!$E436)),ISNUMBER(SEARCH(IF(K$1&lt;&gt;"",K$1,"NA"),'MITRE ATT&amp;CK Mappings'!$F436))),ISNUMBER(SEARCH(IF(K$2&lt;&gt;"",K$2,"NA"),'MITRE ATT&amp;CK Mappings'!$G436))),ISNUMBER(SEARCH(IF(K$2&lt;&gt;"",K$2,"NA"),'MITRE ATT&amp;CK Mappings'!$H436))),ISNUMBER(SEARCH(IF(K$3&lt;&gt;"",K$3,"NA"),'MITRE ATT&amp;CK Mappings'!$I436))),ISNUMBER(SEARCH(IF(K$3&lt;&gt;"",K$3,"NA"),'MITRE ATT&amp;CK Mappings'!$J436))), 'MITRE ATT&amp;CK Mappings'!$B436,"")</f>
        <v/>
      </c>
      <c r="L440" s="26" t="str">
        <f>IF('MITRE ATT&amp;CK Mappings'!D436 &lt;&gt;"",'MITRE ATT&amp;CK Mappings'!D436,"" )</f>
        <v/>
      </c>
    </row>
    <row r="441" spans="1:12" x14ac:dyDescent="0.25">
      <c r="A441" s="27" t="str">
        <f>IF(COUNTIF(B441:K441,"="&amp;'MITRE ATT&amp;CK Mappings'!B437)&gt;0,'MITRE ATT&amp;CK Mappings'!B437,"")</f>
        <v/>
      </c>
      <c r="B441" s="27" t="str">
        <f>IF(OR(OR(OR(OR(OR(ISNUMBER(SEARCH(IF(B$1&lt;&gt;"",B$1,"NA"),'MITRE ATT&amp;CK Mappings'!$E437)),ISNUMBER(SEARCH(IF(B$1&lt;&gt;"",B$1,"NA"),'MITRE ATT&amp;CK Mappings'!$F437))),ISNUMBER(SEARCH(IF(B$2&lt;&gt;"",B$2,"NA"),'MITRE ATT&amp;CK Mappings'!$G437))),ISNUMBER(SEARCH(IF(B$2&lt;&gt;"",B$2,"NA"),'MITRE ATT&amp;CK Mappings'!$H437))),ISNUMBER(SEARCH(IF(B$3&lt;&gt;"",B$3,"NA"),'MITRE ATT&amp;CK Mappings'!$I437))),ISNUMBER(SEARCH(IF(B$3&lt;&gt;"",B$3,"NA"),'MITRE ATT&amp;CK Mappings'!$J437))), 'MITRE ATT&amp;CK Mappings'!$B437,"")</f>
        <v/>
      </c>
      <c r="C441" s="27" t="str">
        <f>IF(OR(OR(OR(OR(OR(ISNUMBER(SEARCH(IF(C$1&lt;&gt;"",C$1,"NA"),'MITRE ATT&amp;CK Mappings'!$E437)),ISNUMBER(SEARCH(IF(C$1&lt;&gt;"",C$1,"NA"),'MITRE ATT&amp;CK Mappings'!$F437))),ISNUMBER(SEARCH(IF(C$2&lt;&gt;"",C$2,"NA"),'MITRE ATT&amp;CK Mappings'!$G437))),ISNUMBER(SEARCH(IF(C$2&lt;&gt;"",C$2,"NA"),'MITRE ATT&amp;CK Mappings'!$H437))),ISNUMBER(SEARCH(IF(C$3&lt;&gt;"",C$3,"NA"),'MITRE ATT&amp;CK Mappings'!$I437))),ISNUMBER(SEARCH(IF(C$3&lt;&gt;"",C$3,"NA"),'MITRE ATT&amp;CK Mappings'!$J437))), 'MITRE ATT&amp;CK Mappings'!$B437,"")</f>
        <v/>
      </c>
      <c r="D441" s="27" t="str">
        <f>IF(OR(OR(OR(OR(OR(ISNUMBER(SEARCH(IF(D$1&lt;&gt;"",D$1,"NA"),'MITRE ATT&amp;CK Mappings'!$E437)),ISNUMBER(SEARCH(IF(D$1&lt;&gt;"",D$1,"NA"),'MITRE ATT&amp;CK Mappings'!$F437))),ISNUMBER(SEARCH(IF(D$2&lt;&gt;"",D$2,"NA"),'MITRE ATT&amp;CK Mappings'!$G437))),ISNUMBER(SEARCH(IF(D$2&lt;&gt;"",D$2,"NA"),'MITRE ATT&amp;CK Mappings'!$H437))),ISNUMBER(SEARCH(IF(D$3&lt;&gt;"",D$3,"NA"),'MITRE ATT&amp;CK Mappings'!$I437))),ISNUMBER(SEARCH(IF(D$3&lt;&gt;"",D$3,"NA"),'MITRE ATT&amp;CK Mappings'!$J437))), 'MITRE ATT&amp;CK Mappings'!$B437,"")</f>
        <v/>
      </c>
      <c r="E441" s="27" t="str">
        <f>IF(OR(OR(OR(OR(OR(ISNUMBER(SEARCH(IF(E$1&lt;&gt;"",E$1,"NA"),'MITRE ATT&amp;CK Mappings'!$E437)),ISNUMBER(SEARCH(IF(E$1&lt;&gt;"",E$1,"NA"),'MITRE ATT&amp;CK Mappings'!$F437))),ISNUMBER(SEARCH(IF(E$2&lt;&gt;"",E$2,"NA"),'MITRE ATT&amp;CK Mappings'!$G437))),ISNUMBER(SEARCH(IF(E$2&lt;&gt;"",E$2,"NA"),'MITRE ATT&amp;CK Mappings'!$H437))),ISNUMBER(SEARCH(IF(E$3&lt;&gt;"",E$3,"NA"),'MITRE ATT&amp;CK Mappings'!$I437))),ISNUMBER(SEARCH(IF(E$3&lt;&gt;"",E$3,"NA"),'MITRE ATT&amp;CK Mappings'!$J437))), 'MITRE ATT&amp;CK Mappings'!$B437,"")</f>
        <v/>
      </c>
      <c r="F441" s="27" t="str">
        <f>IF(OR(OR(OR(OR(OR(ISNUMBER(SEARCH(IF(F$1&lt;&gt;"",F$1,"NA"),'MITRE ATT&amp;CK Mappings'!$E437)),ISNUMBER(SEARCH(IF(F$1&lt;&gt;"",F$1,"NA"),'MITRE ATT&amp;CK Mappings'!$F437))),ISNUMBER(SEARCH(IF(F$2&lt;&gt;"",F$2,"NA"),'MITRE ATT&amp;CK Mappings'!$G437))),ISNUMBER(SEARCH(IF(F$2&lt;&gt;"",F$2,"NA"),'MITRE ATT&amp;CK Mappings'!$H437))),ISNUMBER(SEARCH(IF(F$3&lt;&gt;"",F$3,"NA"),'MITRE ATT&amp;CK Mappings'!$I437))),ISNUMBER(SEARCH(IF(F$3&lt;&gt;"",F$3,"NA"),'MITRE ATT&amp;CK Mappings'!$J437))), 'MITRE ATT&amp;CK Mappings'!$B437,"")</f>
        <v/>
      </c>
      <c r="G441" s="27" t="str">
        <f>IF(OR(OR(OR(OR(OR(ISNUMBER(SEARCH(IF(G$1&lt;&gt;"",G$1,"NA"),'MITRE ATT&amp;CK Mappings'!$E437)),ISNUMBER(SEARCH(IF(G$1&lt;&gt;"",G$1,"NA"),'MITRE ATT&amp;CK Mappings'!$F437))),ISNUMBER(SEARCH(IF(G$2&lt;&gt;"",G$2,"NA"),'MITRE ATT&amp;CK Mappings'!$G437))),ISNUMBER(SEARCH(IF(G$2&lt;&gt;"",G$2,"NA"),'MITRE ATT&amp;CK Mappings'!$H437))),ISNUMBER(SEARCH(IF(G$3&lt;&gt;"",G$3,"NA"),'MITRE ATT&amp;CK Mappings'!$I437))),ISNUMBER(SEARCH(IF(G$3&lt;&gt;"",G$3,"NA"),'MITRE ATT&amp;CK Mappings'!$J437))), 'MITRE ATT&amp;CK Mappings'!$B437,"")</f>
        <v/>
      </c>
      <c r="H441" s="27" t="str">
        <f>IF(OR(OR(OR(OR(OR(ISNUMBER(SEARCH(IF(H$1&lt;&gt;"",H$1,"NA"),'MITRE ATT&amp;CK Mappings'!$E437)),ISNUMBER(SEARCH(IF(H$1&lt;&gt;"",H$1,"NA"),'MITRE ATT&amp;CK Mappings'!$F437))),ISNUMBER(SEARCH(IF(H$2&lt;&gt;"",H$2,"NA"),'MITRE ATT&amp;CK Mappings'!$G437))),ISNUMBER(SEARCH(IF(H$2&lt;&gt;"",H$2,"NA"),'MITRE ATT&amp;CK Mappings'!$H437))),ISNUMBER(SEARCH(IF(H$3&lt;&gt;"",H$3,"NA"),'MITRE ATT&amp;CK Mappings'!$I437))),ISNUMBER(SEARCH(IF(H$3&lt;&gt;"",H$3,"NA"),'MITRE ATT&amp;CK Mappings'!$J437))), 'MITRE ATT&amp;CK Mappings'!$B437,"")</f>
        <v/>
      </c>
      <c r="I441" s="27" t="str">
        <f>IF(OR(OR(OR(OR(OR(ISNUMBER(SEARCH(IF(I$1&lt;&gt;"",I$1,"NA"),'MITRE ATT&amp;CK Mappings'!$E437)),ISNUMBER(SEARCH(IF(I$1&lt;&gt;"",I$1,"NA"),'MITRE ATT&amp;CK Mappings'!$F437))),ISNUMBER(SEARCH(IF(I$2&lt;&gt;"",I$2,"NA"),'MITRE ATT&amp;CK Mappings'!$G437))),ISNUMBER(SEARCH(IF(I$2&lt;&gt;"",I$2,"NA"),'MITRE ATT&amp;CK Mappings'!$H437))),ISNUMBER(SEARCH(IF(I$3&lt;&gt;"",I$3,"NA"),'MITRE ATT&amp;CK Mappings'!$I437))),ISNUMBER(SEARCH(IF(I$3&lt;&gt;"",I$3,"NA"),'MITRE ATT&amp;CK Mappings'!$J437))), 'MITRE ATT&amp;CK Mappings'!$B437,"")</f>
        <v/>
      </c>
      <c r="J441" s="27" t="str">
        <f>IF(OR(OR(OR(OR(OR(ISNUMBER(SEARCH(IF(J$1&lt;&gt;"",J$1,"NA"),'MITRE ATT&amp;CK Mappings'!$E437)),ISNUMBER(SEARCH(IF(J$1&lt;&gt;"",J$1,"NA"),'MITRE ATT&amp;CK Mappings'!$F437))),ISNUMBER(SEARCH(IF(J$2&lt;&gt;"",J$2,"NA"),'MITRE ATT&amp;CK Mappings'!$G437))),ISNUMBER(SEARCH(IF(J$2&lt;&gt;"",J$2,"NA"),'MITRE ATT&amp;CK Mappings'!$H437))),ISNUMBER(SEARCH(IF(J$3&lt;&gt;"",J$3,"NA"),'MITRE ATT&amp;CK Mappings'!$I437))),ISNUMBER(SEARCH(IF(J$3&lt;&gt;"",J$3,"NA"),'MITRE ATT&amp;CK Mappings'!$J437))), 'MITRE ATT&amp;CK Mappings'!$B437,"")</f>
        <v/>
      </c>
      <c r="K441" s="27" t="str">
        <f>IF(OR(OR(OR(OR(OR(ISNUMBER(SEARCH(IF(K$1&lt;&gt;"",K$1,"NA"),'MITRE ATT&amp;CK Mappings'!$E437)),ISNUMBER(SEARCH(IF(K$1&lt;&gt;"",K$1,"NA"),'MITRE ATT&amp;CK Mappings'!$F437))),ISNUMBER(SEARCH(IF(K$2&lt;&gt;"",K$2,"NA"),'MITRE ATT&amp;CK Mappings'!$G437))),ISNUMBER(SEARCH(IF(K$2&lt;&gt;"",K$2,"NA"),'MITRE ATT&amp;CK Mappings'!$H437))),ISNUMBER(SEARCH(IF(K$3&lt;&gt;"",K$3,"NA"),'MITRE ATT&amp;CK Mappings'!$I437))),ISNUMBER(SEARCH(IF(K$3&lt;&gt;"",K$3,"NA"),'MITRE ATT&amp;CK Mappings'!$J437))), 'MITRE ATT&amp;CK Mappings'!$B437,"")</f>
        <v/>
      </c>
      <c r="L441" s="27" t="str">
        <f>IF('MITRE ATT&amp;CK Mappings'!D437 &lt;&gt;"",'MITRE ATT&amp;CK Mappings'!D437,"" )</f>
        <v/>
      </c>
    </row>
    <row r="442" spans="1:12" x14ac:dyDescent="0.25">
      <c r="A442" s="26" t="str">
        <f>IF(COUNTIF(B442:K442,"="&amp;'MITRE ATT&amp;CK Mappings'!B438)&gt;0,'MITRE ATT&amp;CK Mappings'!B438,"")</f>
        <v/>
      </c>
      <c r="B442" s="26" t="str">
        <f>IF(OR(OR(OR(OR(OR(ISNUMBER(SEARCH(IF(B$1&lt;&gt;"",B$1,"NA"),'MITRE ATT&amp;CK Mappings'!$E438)),ISNUMBER(SEARCH(IF(B$1&lt;&gt;"",B$1,"NA"),'MITRE ATT&amp;CK Mappings'!$F438))),ISNUMBER(SEARCH(IF(B$2&lt;&gt;"",B$2,"NA"),'MITRE ATT&amp;CK Mappings'!$G438))),ISNUMBER(SEARCH(IF(B$2&lt;&gt;"",B$2,"NA"),'MITRE ATT&amp;CK Mappings'!$H438))),ISNUMBER(SEARCH(IF(B$3&lt;&gt;"",B$3,"NA"),'MITRE ATT&amp;CK Mappings'!$I438))),ISNUMBER(SEARCH(IF(B$3&lt;&gt;"",B$3,"NA"),'MITRE ATT&amp;CK Mappings'!$J438))), 'MITRE ATT&amp;CK Mappings'!$B438,"")</f>
        <v/>
      </c>
      <c r="C442" s="26" t="str">
        <f>IF(OR(OR(OR(OR(OR(ISNUMBER(SEARCH(IF(C$1&lt;&gt;"",C$1,"NA"),'MITRE ATT&amp;CK Mappings'!$E438)),ISNUMBER(SEARCH(IF(C$1&lt;&gt;"",C$1,"NA"),'MITRE ATT&amp;CK Mappings'!$F438))),ISNUMBER(SEARCH(IF(C$2&lt;&gt;"",C$2,"NA"),'MITRE ATT&amp;CK Mappings'!$G438))),ISNUMBER(SEARCH(IF(C$2&lt;&gt;"",C$2,"NA"),'MITRE ATT&amp;CK Mappings'!$H438))),ISNUMBER(SEARCH(IF(C$3&lt;&gt;"",C$3,"NA"),'MITRE ATT&amp;CK Mappings'!$I438))),ISNUMBER(SEARCH(IF(C$3&lt;&gt;"",C$3,"NA"),'MITRE ATT&amp;CK Mappings'!$J438))), 'MITRE ATT&amp;CK Mappings'!$B438,"")</f>
        <v/>
      </c>
      <c r="D442" s="26" t="str">
        <f>IF(OR(OR(OR(OR(OR(ISNUMBER(SEARCH(IF(D$1&lt;&gt;"",D$1,"NA"),'MITRE ATT&amp;CK Mappings'!$E438)),ISNUMBER(SEARCH(IF(D$1&lt;&gt;"",D$1,"NA"),'MITRE ATT&amp;CK Mappings'!$F438))),ISNUMBER(SEARCH(IF(D$2&lt;&gt;"",D$2,"NA"),'MITRE ATT&amp;CK Mappings'!$G438))),ISNUMBER(SEARCH(IF(D$2&lt;&gt;"",D$2,"NA"),'MITRE ATT&amp;CK Mappings'!$H438))),ISNUMBER(SEARCH(IF(D$3&lt;&gt;"",D$3,"NA"),'MITRE ATT&amp;CK Mappings'!$I438))),ISNUMBER(SEARCH(IF(D$3&lt;&gt;"",D$3,"NA"),'MITRE ATT&amp;CK Mappings'!$J438))), 'MITRE ATT&amp;CK Mappings'!$B438,"")</f>
        <v/>
      </c>
      <c r="E442" s="26" t="str">
        <f>IF(OR(OR(OR(OR(OR(ISNUMBER(SEARCH(IF(E$1&lt;&gt;"",E$1,"NA"),'MITRE ATT&amp;CK Mappings'!$E438)),ISNUMBER(SEARCH(IF(E$1&lt;&gt;"",E$1,"NA"),'MITRE ATT&amp;CK Mappings'!$F438))),ISNUMBER(SEARCH(IF(E$2&lt;&gt;"",E$2,"NA"),'MITRE ATT&amp;CK Mappings'!$G438))),ISNUMBER(SEARCH(IF(E$2&lt;&gt;"",E$2,"NA"),'MITRE ATT&amp;CK Mappings'!$H438))),ISNUMBER(SEARCH(IF(E$3&lt;&gt;"",E$3,"NA"),'MITRE ATT&amp;CK Mappings'!$I438))),ISNUMBER(SEARCH(IF(E$3&lt;&gt;"",E$3,"NA"),'MITRE ATT&amp;CK Mappings'!$J438))), 'MITRE ATT&amp;CK Mappings'!$B438,"")</f>
        <v/>
      </c>
      <c r="F442" s="26" t="str">
        <f>IF(OR(OR(OR(OR(OR(ISNUMBER(SEARCH(IF(F$1&lt;&gt;"",F$1,"NA"),'MITRE ATT&amp;CK Mappings'!$E438)),ISNUMBER(SEARCH(IF(F$1&lt;&gt;"",F$1,"NA"),'MITRE ATT&amp;CK Mappings'!$F438))),ISNUMBER(SEARCH(IF(F$2&lt;&gt;"",F$2,"NA"),'MITRE ATT&amp;CK Mappings'!$G438))),ISNUMBER(SEARCH(IF(F$2&lt;&gt;"",F$2,"NA"),'MITRE ATT&amp;CK Mappings'!$H438))),ISNUMBER(SEARCH(IF(F$3&lt;&gt;"",F$3,"NA"),'MITRE ATT&amp;CK Mappings'!$I438))),ISNUMBER(SEARCH(IF(F$3&lt;&gt;"",F$3,"NA"),'MITRE ATT&amp;CK Mappings'!$J438))), 'MITRE ATT&amp;CK Mappings'!$B438,"")</f>
        <v/>
      </c>
      <c r="G442" s="26" t="str">
        <f>IF(OR(OR(OR(OR(OR(ISNUMBER(SEARCH(IF(G$1&lt;&gt;"",G$1,"NA"),'MITRE ATT&amp;CK Mappings'!$E438)),ISNUMBER(SEARCH(IF(G$1&lt;&gt;"",G$1,"NA"),'MITRE ATT&amp;CK Mappings'!$F438))),ISNUMBER(SEARCH(IF(G$2&lt;&gt;"",G$2,"NA"),'MITRE ATT&amp;CK Mappings'!$G438))),ISNUMBER(SEARCH(IF(G$2&lt;&gt;"",G$2,"NA"),'MITRE ATT&amp;CK Mappings'!$H438))),ISNUMBER(SEARCH(IF(G$3&lt;&gt;"",G$3,"NA"),'MITRE ATT&amp;CK Mappings'!$I438))),ISNUMBER(SEARCH(IF(G$3&lt;&gt;"",G$3,"NA"),'MITRE ATT&amp;CK Mappings'!$J438))), 'MITRE ATT&amp;CK Mappings'!$B438,"")</f>
        <v/>
      </c>
      <c r="H442" s="26" t="str">
        <f>IF(OR(OR(OR(OR(OR(ISNUMBER(SEARCH(IF(H$1&lt;&gt;"",H$1,"NA"),'MITRE ATT&amp;CK Mappings'!$E438)),ISNUMBER(SEARCH(IF(H$1&lt;&gt;"",H$1,"NA"),'MITRE ATT&amp;CK Mappings'!$F438))),ISNUMBER(SEARCH(IF(H$2&lt;&gt;"",H$2,"NA"),'MITRE ATT&amp;CK Mappings'!$G438))),ISNUMBER(SEARCH(IF(H$2&lt;&gt;"",H$2,"NA"),'MITRE ATT&amp;CK Mappings'!$H438))),ISNUMBER(SEARCH(IF(H$3&lt;&gt;"",H$3,"NA"),'MITRE ATT&amp;CK Mappings'!$I438))),ISNUMBER(SEARCH(IF(H$3&lt;&gt;"",H$3,"NA"),'MITRE ATT&amp;CK Mappings'!$J438))), 'MITRE ATT&amp;CK Mappings'!$B438,"")</f>
        <v/>
      </c>
      <c r="I442" s="26" t="str">
        <f>IF(OR(OR(OR(OR(OR(ISNUMBER(SEARCH(IF(I$1&lt;&gt;"",I$1,"NA"),'MITRE ATT&amp;CK Mappings'!$E438)),ISNUMBER(SEARCH(IF(I$1&lt;&gt;"",I$1,"NA"),'MITRE ATT&amp;CK Mappings'!$F438))),ISNUMBER(SEARCH(IF(I$2&lt;&gt;"",I$2,"NA"),'MITRE ATT&amp;CK Mappings'!$G438))),ISNUMBER(SEARCH(IF(I$2&lt;&gt;"",I$2,"NA"),'MITRE ATT&amp;CK Mappings'!$H438))),ISNUMBER(SEARCH(IF(I$3&lt;&gt;"",I$3,"NA"),'MITRE ATT&amp;CK Mappings'!$I438))),ISNUMBER(SEARCH(IF(I$3&lt;&gt;"",I$3,"NA"),'MITRE ATT&amp;CK Mappings'!$J438))), 'MITRE ATT&amp;CK Mappings'!$B438,"")</f>
        <v/>
      </c>
      <c r="J442" s="26" t="str">
        <f>IF(OR(OR(OR(OR(OR(ISNUMBER(SEARCH(IF(J$1&lt;&gt;"",J$1,"NA"),'MITRE ATT&amp;CK Mappings'!$E438)),ISNUMBER(SEARCH(IF(J$1&lt;&gt;"",J$1,"NA"),'MITRE ATT&amp;CK Mappings'!$F438))),ISNUMBER(SEARCH(IF(J$2&lt;&gt;"",J$2,"NA"),'MITRE ATT&amp;CK Mappings'!$G438))),ISNUMBER(SEARCH(IF(J$2&lt;&gt;"",J$2,"NA"),'MITRE ATT&amp;CK Mappings'!$H438))),ISNUMBER(SEARCH(IF(J$3&lt;&gt;"",J$3,"NA"),'MITRE ATT&amp;CK Mappings'!$I438))),ISNUMBER(SEARCH(IF(J$3&lt;&gt;"",J$3,"NA"),'MITRE ATT&amp;CK Mappings'!$J438))), 'MITRE ATT&amp;CK Mappings'!$B438,"")</f>
        <v/>
      </c>
      <c r="K442" s="26" t="str">
        <f>IF(OR(OR(OR(OR(OR(ISNUMBER(SEARCH(IF(K$1&lt;&gt;"",K$1,"NA"),'MITRE ATT&amp;CK Mappings'!$E438)),ISNUMBER(SEARCH(IF(K$1&lt;&gt;"",K$1,"NA"),'MITRE ATT&amp;CK Mappings'!$F438))),ISNUMBER(SEARCH(IF(K$2&lt;&gt;"",K$2,"NA"),'MITRE ATT&amp;CK Mappings'!$G438))),ISNUMBER(SEARCH(IF(K$2&lt;&gt;"",K$2,"NA"),'MITRE ATT&amp;CK Mappings'!$H438))),ISNUMBER(SEARCH(IF(K$3&lt;&gt;"",K$3,"NA"),'MITRE ATT&amp;CK Mappings'!$I438))),ISNUMBER(SEARCH(IF(K$3&lt;&gt;"",K$3,"NA"),'MITRE ATT&amp;CK Mappings'!$J438))), 'MITRE ATT&amp;CK Mappings'!$B438,"")</f>
        <v/>
      </c>
      <c r="L442" s="26" t="str">
        <f>IF('MITRE ATT&amp;CK Mappings'!D438 &lt;&gt;"",'MITRE ATT&amp;CK Mappings'!D438,"" )</f>
        <v/>
      </c>
    </row>
    <row r="443" spans="1:12" x14ac:dyDescent="0.25">
      <c r="A443" s="27" t="str">
        <f>IF(COUNTIF(B443:K443,"="&amp;'MITRE ATT&amp;CK Mappings'!B439)&gt;0,'MITRE ATT&amp;CK Mappings'!B439,"")</f>
        <v/>
      </c>
      <c r="B443" s="27" t="str">
        <f>IF(OR(OR(OR(OR(OR(ISNUMBER(SEARCH(IF(B$1&lt;&gt;"",B$1,"NA"),'MITRE ATT&amp;CK Mappings'!$E439)),ISNUMBER(SEARCH(IF(B$1&lt;&gt;"",B$1,"NA"),'MITRE ATT&amp;CK Mappings'!$F439))),ISNUMBER(SEARCH(IF(B$2&lt;&gt;"",B$2,"NA"),'MITRE ATT&amp;CK Mappings'!$G439))),ISNUMBER(SEARCH(IF(B$2&lt;&gt;"",B$2,"NA"),'MITRE ATT&amp;CK Mappings'!$H439))),ISNUMBER(SEARCH(IF(B$3&lt;&gt;"",B$3,"NA"),'MITRE ATT&amp;CK Mappings'!$I439))),ISNUMBER(SEARCH(IF(B$3&lt;&gt;"",B$3,"NA"),'MITRE ATT&amp;CK Mappings'!$J439))), 'MITRE ATT&amp;CK Mappings'!$B439,"")</f>
        <v/>
      </c>
      <c r="C443" s="27" t="str">
        <f>IF(OR(OR(OR(OR(OR(ISNUMBER(SEARCH(IF(C$1&lt;&gt;"",C$1,"NA"),'MITRE ATT&amp;CK Mappings'!$E439)),ISNUMBER(SEARCH(IF(C$1&lt;&gt;"",C$1,"NA"),'MITRE ATT&amp;CK Mappings'!$F439))),ISNUMBER(SEARCH(IF(C$2&lt;&gt;"",C$2,"NA"),'MITRE ATT&amp;CK Mappings'!$G439))),ISNUMBER(SEARCH(IF(C$2&lt;&gt;"",C$2,"NA"),'MITRE ATT&amp;CK Mappings'!$H439))),ISNUMBER(SEARCH(IF(C$3&lt;&gt;"",C$3,"NA"),'MITRE ATT&amp;CK Mappings'!$I439))),ISNUMBER(SEARCH(IF(C$3&lt;&gt;"",C$3,"NA"),'MITRE ATT&amp;CK Mappings'!$J439))), 'MITRE ATT&amp;CK Mappings'!$B439,"")</f>
        <v/>
      </c>
      <c r="D443" s="27" t="str">
        <f>IF(OR(OR(OR(OR(OR(ISNUMBER(SEARCH(IF(D$1&lt;&gt;"",D$1,"NA"),'MITRE ATT&amp;CK Mappings'!$E439)),ISNUMBER(SEARCH(IF(D$1&lt;&gt;"",D$1,"NA"),'MITRE ATT&amp;CK Mappings'!$F439))),ISNUMBER(SEARCH(IF(D$2&lt;&gt;"",D$2,"NA"),'MITRE ATT&amp;CK Mappings'!$G439))),ISNUMBER(SEARCH(IF(D$2&lt;&gt;"",D$2,"NA"),'MITRE ATT&amp;CK Mappings'!$H439))),ISNUMBER(SEARCH(IF(D$3&lt;&gt;"",D$3,"NA"),'MITRE ATT&amp;CK Mappings'!$I439))),ISNUMBER(SEARCH(IF(D$3&lt;&gt;"",D$3,"NA"),'MITRE ATT&amp;CK Mappings'!$J439))), 'MITRE ATT&amp;CK Mappings'!$B439,"")</f>
        <v/>
      </c>
      <c r="E443" s="27" t="str">
        <f>IF(OR(OR(OR(OR(OR(ISNUMBER(SEARCH(IF(E$1&lt;&gt;"",E$1,"NA"),'MITRE ATT&amp;CK Mappings'!$E439)),ISNUMBER(SEARCH(IF(E$1&lt;&gt;"",E$1,"NA"),'MITRE ATT&amp;CK Mappings'!$F439))),ISNUMBER(SEARCH(IF(E$2&lt;&gt;"",E$2,"NA"),'MITRE ATT&amp;CK Mappings'!$G439))),ISNUMBER(SEARCH(IF(E$2&lt;&gt;"",E$2,"NA"),'MITRE ATT&amp;CK Mappings'!$H439))),ISNUMBER(SEARCH(IF(E$3&lt;&gt;"",E$3,"NA"),'MITRE ATT&amp;CK Mappings'!$I439))),ISNUMBER(SEARCH(IF(E$3&lt;&gt;"",E$3,"NA"),'MITRE ATT&amp;CK Mappings'!$J439))), 'MITRE ATT&amp;CK Mappings'!$B439,"")</f>
        <v/>
      </c>
      <c r="F443" s="27" t="str">
        <f>IF(OR(OR(OR(OR(OR(ISNUMBER(SEARCH(IF(F$1&lt;&gt;"",F$1,"NA"),'MITRE ATT&amp;CK Mappings'!$E439)),ISNUMBER(SEARCH(IF(F$1&lt;&gt;"",F$1,"NA"),'MITRE ATT&amp;CK Mappings'!$F439))),ISNUMBER(SEARCH(IF(F$2&lt;&gt;"",F$2,"NA"),'MITRE ATT&amp;CK Mappings'!$G439))),ISNUMBER(SEARCH(IF(F$2&lt;&gt;"",F$2,"NA"),'MITRE ATT&amp;CK Mappings'!$H439))),ISNUMBER(SEARCH(IF(F$3&lt;&gt;"",F$3,"NA"),'MITRE ATT&amp;CK Mappings'!$I439))),ISNUMBER(SEARCH(IF(F$3&lt;&gt;"",F$3,"NA"),'MITRE ATT&amp;CK Mappings'!$J439))), 'MITRE ATT&amp;CK Mappings'!$B439,"")</f>
        <v/>
      </c>
      <c r="G443" s="27" t="str">
        <f>IF(OR(OR(OR(OR(OR(ISNUMBER(SEARCH(IF(G$1&lt;&gt;"",G$1,"NA"),'MITRE ATT&amp;CK Mappings'!$E439)),ISNUMBER(SEARCH(IF(G$1&lt;&gt;"",G$1,"NA"),'MITRE ATT&amp;CK Mappings'!$F439))),ISNUMBER(SEARCH(IF(G$2&lt;&gt;"",G$2,"NA"),'MITRE ATT&amp;CK Mappings'!$G439))),ISNUMBER(SEARCH(IF(G$2&lt;&gt;"",G$2,"NA"),'MITRE ATT&amp;CK Mappings'!$H439))),ISNUMBER(SEARCH(IF(G$3&lt;&gt;"",G$3,"NA"),'MITRE ATT&amp;CK Mappings'!$I439))),ISNUMBER(SEARCH(IF(G$3&lt;&gt;"",G$3,"NA"),'MITRE ATT&amp;CK Mappings'!$J439))), 'MITRE ATT&amp;CK Mappings'!$B439,"")</f>
        <v/>
      </c>
      <c r="H443" s="27" t="str">
        <f>IF(OR(OR(OR(OR(OR(ISNUMBER(SEARCH(IF(H$1&lt;&gt;"",H$1,"NA"),'MITRE ATT&amp;CK Mappings'!$E439)),ISNUMBER(SEARCH(IF(H$1&lt;&gt;"",H$1,"NA"),'MITRE ATT&amp;CK Mappings'!$F439))),ISNUMBER(SEARCH(IF(H$2&lt;&gt;"",H$2,"NA"),'MITRE ATT&amp;CK Mappings'!$G439))),ISNUMBER(SEARCH(IF(H$2&lt;&gt;"",H$2,"NA"),'MITRE ATT&amp;CK Mappings'!$H439))),ISNUMBER(SEARCH(IF(H$3&lt;&gt;"",H$3,"NA"),'MITRE ATT&amp;CK Mappings'!$I439))),ISNUMBER(SEARCH(IF(H$3&lt;&gt;"",H$3,"NA"),'MITRE ATT&amp;CK Mappings'!$J439))), 'MITRE ATT&amp;CK Mappings'!$B439,"")</f>
        <v/>
      </c>
      <c r="I443" s="27" t="str">
        <f>IF(OR(OR(OR(OR(OR(ISNUMBER(SEARCH(IF(I$1&lt;&gt;"",I$1,"NA"),'MITRE ATT&amp;CK Mappings'!$E439)),ISNUMBER(SEARCH(IF(I$1&lt;&gt;"",I$1,"NA"),'MITRE ATT&amp;CK Mappings'!$F439))),ISNUMBER(SEARCH(IF(I$2&lt;&gt;"",I$2,"NA"),'MITRE ATT&amp;CK Mappings'!$G439))),ISNUMBER(SEARCH(IF(I$2&lt;&gt;"",I$2,"NA"),'MITRE ATT&amp;CK Mappings'!$H439))),ISNUMBER(SEARCH(IF(I$3&lt;&gt;"",I$3,"NA"),'MITRE ATT&amp;CK Mappings'!$I439))),ISNUMBER(SEARCH(IF(I$3&lt;&gt;"",I$3,"NA"),'MITRE ATT&amp;CK Mappings'!$J439))), 'MITRE ATT&amp;CK Mappings'!$B439,"")</f>
        <v/>
      </c>
      <c r="J443" s="27" t="str">
        <f>IF(OR(OR(OR(OR(OR(ISNUMBER(SEARCH(IF(J$1&lt;&gt;"",J$1,"NA"),'MITRE ATT&amp;CK Mappings'!$E439)),ISNUMBER(SEARCH(IF(J$1&lt;&gt;"",J$1,"NA"),'MITRE ATT&amp;CK Mappings'!$F439))),ISNUMBER(SEARCH(IF(J$2&lt;&gt;"",J$2,"NA"),'MITRE ATT&amp;CK Mappings'!$G439))),ISNUMBER(SEARCH(IF(J$2&lt;&gt;"",J$2,"NA"),'MITRE ATT&amp;CK Mappings'!$H439))),ISNUMBER(SEARCH(IF(J$3&lt;&gt;"",J$3,"NA"),'MITRE ATT&amp;CK Mappings'!$I439))),ISNUMBER(SEARCH(IF(J$3&lt;&gt;"",J$3,"NA"),'MITRE ATT&amp;CK Mappings'!$J439))), 'MITRE ATT&amp;CK Mappings'!$B439,"")</f>
        <v/>
      </c>
      <c r="K443" s="27" t="str">
        <f>IF(OR(OR(OR(OR(OR(ISNUMBER(SEARCH(IF(K$1&lt;&gt;"",K$1,"NA"),'MITRE ATT&amp;CK Mappings'!$E439)),ISNUMBER(SEARCH(IF(K$1&lt;&gt;"",K$1,"NA"),'MITRE ATT&amp;CK Mappings'!$F439))),ISNUMBER(SEARCH(IF(K$2&lt;&gt;"",K$2,"NA"),'MITRE ATT&amp;CK Mappings'!$G439))),ISNUMBER(SEARCH(IF(K$2&lt;&gt;"",K$2,"NA"),'MITRE ATT&amp;CK Mappings'!$H439))),ISNUMBER(SEARCH(IF(K$3&lt;&gt;"",K$3,"NA"),'MITRE ATT&amp;CK Mappings'!$I439))),ISNUMBER(SEARCH(IF(K$3&lt;&gt;"",K$3,"NA"),'MITRE ATT&amp;CK Mappings'!$J439))), 'MITRE ATT&amp;CK Mappings'!$B439,"")</f>
        <v/>
      </c>
      <c r="L443" s="27" t="str">
        <f>IF('MITRE ATT&amp;CK Mappings'!D439 &lt;&gt;"",'MITRE ATT&amp;CK Mappings'!D439,"" )</f>
        <v/>
      </c>
    </row>
    <row r="444" spans="1:12" x14ac:dyDescent="0.25">
      <c r="A444" s="26" t="str">
        <f>IF(COUNTIF(B444:K444,"="&amp;'MITRE ATT&amp;CK Mappings'!B440)&gt;0,'MITRE ATT&amp;CK Mappings'!B440,"")</f>
        <v/>
      </c>
      <c r="B444" s="26" t="str">
        <f>IF(OR(OR(OR(OR(OR(ISNUMBER(SEARCH(IF(B$1&lt;&gt;"",B$1,"NA"),'MITRE ATT&amp;CK Mappings'!$E440)),ISNUMBER(SEARCH(IF(B$1&lt;&gt;"",B$1,"NA"),'MITRE ATT&amp;CK Mappings'!$F440))),ISNUMBER(SEARCH(IF(B$2&lt;&gt;"",B$2,"NA"),'MITRE ATT&amp;CK Mappings'!$G440))),ISNUMBER(SEARCH(IF(B$2&lt;&gt;"",B$2,"NA"),'MITRE ATT&amp;CK Mappings'!$H440))),ISNUMBER(SEARCH(IF(B$3&lt;&gt;"",B$3,"NA"),'MITRE ATT&amp;CK Mappings'!$I440))),ISNUMBER(SEARCH(IF(B$3&lt;&gt;"",B$3,"NA"),'MITRE ATT&amp;CK Mappings'!$J440))), 'MITRE ATT&amp;CK Mappings'!$B440,"")</f>
        <v/>
      </c>
      <c r="C444" s="26" t="str">
        <f>IF(OR(OR(OR(OR(OR(ISNUMBER(SEARCH(IF(C$1&lt;&gt;"",C$1,"NA"),'MITRE ATT&amp;CK Mappings'!$E440)),ISNUMBER(SEARCH(IF(C$1&lt;&gt;"",C$1,"NA"),'MITRE ATT&amp;CK Mappings'!$F440))),ISNUMBER(SEARCH(IF(C$2&lt;&gt;"",C$2,"NA"),'MITRE ATT&amp;CK Mappings'!$G440))),ISNUMBER(SEARCH(IF(C$2&lt;&gt;"",C$2,"NA"),'MITRE ATT&amp;CK Mappings'!$H440))),ISNUMBER(SEARCH(IF(C$3&lt;&gt;"",C$3,"NA"),'MITRE ATT&amp;CK Mappings'!$I440))),ISNUMBER(SEARCH(IF(C$3&lt;&gt;"",C$3,"NA"),'MITRE ATT&amp;CK Mappings'!$J440))), 'MITRE ATT&amp;CK Mappings'!$B440,"")</f>
        <v/>
      </c>
      <c r="D444" s="26" t="str">
        <f>IF(OR(OR(OR(OR(OR(ISNUMBER(SEARCH(IF(D$1&lt;&gt;"",D$1,"NA"),'MITRE ATT&amp;CK Mappings'!$E440)),ISNUMBER(SEARCH(IF(D$1&lt;&gt;"",D$1,"NA"),'MITRE ATT&amp;CK Mappings'!$F440))),ISNUMBER(SEARCH(IF(D$2&lt;&gt;"",D$2,"NA"),'MITRE ATT&amp;CK Mappings'!$G440))),ISNUMBER(SEARCH(IF(D$2&lt;&gt;"",D$2,"NA"),'MITRE ATT&amp;CK Mappings'!$H440))),ISNUMBER(SEARCH(IF(D$3&lt;&gt;"",D$3,"NA"),'MITRE ATT&amp;CK Mappings'!$I440))),ISNUMBER(SEARCH(IF(D$3&lt;&gt;"",D$3,"NA"),'MITRE ATT&amp;CK Mappings'!$J440))), 'MITRE ATT&amp;CK Mappings'!$B440,"")</f>
        <v/>
      </c>
      <c r="E444" s="26" t="str">
        <f>IF(OR(OR(OR(OR(OR(ISNUMBER(SEARCH(IF(E$1&lt;&gt;"",E$1,"NA"),'MITRE ATT&amp;CK Mappings'!$E440)),ISNUMBER(SEARCH(IF(E$1&lt;&gt;"",E$1,"NA"),'MITRE ATT&amp;CK Mappings'!$F440))),ISNUMBER(SEARCH(IF(E$2&lt;&gt;"",E$2,"NA"),'MITRE ATT&amp;CK Mappings'!$G440))),ISNUMBER(SEARCH(IF(E$2&lt;&gt;"",E$2,"NA"),'MITRE ATT&amp;CK Mappings'!$H440))),ISNUMBER(SEARCH(IF(E$3&lt;&gt;"",E$3,"NA"),'MITRE ATT&amp;CK Mappings'!$I440))),ISNUMBER(SEARCH(IF(E$3&lt;&gt;"",E$3,"NA"),'MITRE ATT&amp;CK Mappings'!$J440))), 'MITRE ATT&amp;CK Mappings'!$B440,"")</f>
        <v/>
      </c>
      <c r="F444" s="26" t="str">
        <f>IF(OR(OR(OR(OR(OR(ISNUMBER(SEARCH(IF(F$1&lt;&gt;"",F$1,"NA"),'MITRE ATT&amp;CK Mappings'!$E440)),ISNUMBER(SEARCH(IF(F$1&lt;&gt;"",F$1,"NA"),'MITRE ATT&amp;CK Mappings'!$F440))),ISNUMBER(SEARCH(IF(F$2&lt;&gt;"",F$2,"NA"),'MITRE ATT&amp;CK Mappings'!$G440))),ISNUMBER(SEARCH(IF(F$2&lt;&gt;"",F$2,"NA"),'MITRE ATT&amp;CK Mappings'!$H440))),ISNUMBER(SEARCH(IF(F$3&lt;&gt;"",F$3,"NA"),'MITRE ATT&amp;CK Mappings'!$I440))),ISNUMBER(SEARCH(IF(F$3&lt;&gt;"",F$3,"NA"),'MITRE ATT&amp;CK Mappings'!$J440))), 'MITRE ATT&amp;CK Mappings'!$B440,"")</f>
        <v/>
      </c>
      <c r="G444" s="26" t="str">
        <f>IF(OR(OR(OR(OR(OR(ISNUMBER(SEARCH(IF(G$1&lt;&gt;"",G$1,"NA"),'MITRE ATT&amp;CK Mappings'!$E440)),ISNUMBER(SEARCH(IF(G$1&lt;&gt;"",G$1,"NA"),'MITRE ATT&amp;CK Mappings'!$F440))),ISNUMBER(SEARCH(IF(G$2&lt;&gt;"",G$2,"NA"),'MITRE ATT&amp;CK Mappings'!$G440))),ISNUMBER(SEARCH(IF(G$2&lt;&gt;"",G$2,"NA"),'MITRE ATT&amp;CK Mappings'!$H440))),ISNUMBER(SEARCH(IF(G$3&lt;&gt;"",G$3,"NA"),'MITRE ATT&amp;CK Mappings'!$I440))),ISNUMBER(SEARCH(IF(G$3&lt;&gt;"",G$3,"NA"),'MITRE ATT&amp;CK Mappings'!$J440))), 'MITRE ATT&amp;CK Mappings'!$B440,"")</f>
        <v/>
      </c>
      <c r="H444" s="26" t="str">
        <f>IF(OR(OR(OR(OR(OR(ISNUMBER(SEARCH(IF(H$1&lt;&gt;"",H$1,"NA"),'MITRE ATT&amp;CK Mappings'!$E440)),ISNUMBER(SEARCH(IF(H$1&lt;&gt;"",H$1,"NA"),'MITRE ATT&amp;CK Mappings'!$F440))),ISNUMBER(SEARCH(IF(H$2&lt;&gt;"",H$2,"NA"),'MITRE ATT&amp;CK Mappings'!$G440))),ISNUMBER(SEARCH(IF(H$2&lt;&gt;"",H$2,"NA"),'MITRE ATT&amp;CK Mappings'!$H440))),ISNUMBER(SEARCH(IF(H$3&lt;&gt;"",H$3,"NA"),'MITRE ATT&amp;CK Mappings'!$I440))),ISNUMBER(SEARCH(IF(H$3&lt;&gt;"",H$3,"NA"),'MITRE ATT&amp;CK Mappings'!$J440))), 'MITRE ATT&amp;CK Mappings'!$B440,"")</f>
        <v/>
      </c>
      <c r="I444" s="26" t="str">
        <f>IF(OR(OR(OR(OR(OR(ISNUMBER(SEARCH(IF(I$1&lt;&gt;"",I$1,"NA"),'MITRE ATT&amp;CK Mappings'!$E440)),ISNUMBER(SEARCH(IF(I$1&lt;&gt;"",I$1,"NA"),'MITRE ATT&amp;CK Mappings'!$F440))),ISNUMBER(SEARCH(IF(I$2&lt;&gt;"",I$2,"NA"),'MITRE ATT&amp;CK Mappings'!$G440))),ISNUMBER(SEARCH(IF(I$2&lt;&gt;"",I$2,"NA"),'MITRE ATT&amp;CK Mappings'!$H440))),ISNUMBER(SEARCH(IF(I$3&lt;&gt;"",I$3,"NA"),'MITRE ATT&amp;CK Mappings'!$I440))),ISNUMBER(SEARCH(IF(I$3&lt;&gt;"",I$3,"NA"),'MITRE ATT&amp;CK Mappings'!$J440))), 'MITRE ATT&amp;CK Mappings'!$B440,"")</f>
        <v/>
      </c>
      <c r="J444" s="26" t="str">
        <f>IF(OR(OR(OR(OR(OR(ISNUMBER(SEARCH(IF(J$1&lt;&gt;"",J$1,"NA"),'MITRE ATT&amp;CK Mappings'!$E440)),ISNUMBER(SEARCH(IF(J$1&lt;&gt;"",J$1,"NA"),'MITRE ATT&amp;CK Mappings'!$F440))),ISNUMBER(SEARCH(IF(J$2&lt;&gt;"",J$2,"NA"),'MITRE ATT&amp;CK Mappings'!$G440))),ISNUMBER(SEARCH(IF(J$2&lt;&gt;"",J$2,"NA"),'MITRE ATT&amp;CK Mappings'!$H440))),ISNUMBER(SEARCH(IF(J$3&lt;&gt;"",J$3,"NA"),'MITRE ATT&amp;CK Mappings'!$I440))),ISNUMBER(SEARCH(IF(J$3&lt;&gt;"",J$3,"NA"),'MITRE ATT&amp;CK Mappings'!$J440))), 'MITRE ATT&amp;CK Mappings'!$B440,"")</f>
        <v/>
      </c>
      <c r="K444" s="26" t="str">
        <f>IF(OR(OR(OR(OR(OR(ISNUMBER(SEARCH(IF(K$1&lt;&gt;"",K$1,"NA"),'MITRE ATT&amp;CK Mappings'!$E440)),ISNUMBER(SEARCH(IF(K$1&lt;&gt;"",K$1,"NA"),'MITRE ATT&amp;CK Mappings'!$F440))),ISNUMBER(SEARCH(IF(K$2&lt;&gt;"",K$2,"NA"),'MITRE ATT&amp;CK Mappings'!$G440))),ISNUMBER(SEARCH(IF(K$2&lt;&gt;"",K$2,"NA"),'MITRE ATT&amp;CK Mappings'!$H440))),ISNUMBER(SEARCH(IF(K$3&lt;&gt;"",K$3,"NA"),'MITRE ATT&amp;CK Mappings'!$I440))),ISNUMBER(SEARCH(IF(K$3&lt;&gt;"",K$3,"NA"),'MITRE ATT&amp;CK Mappings'!$J440))), 'MITRE ATT&amp;CK Mappings'!$B440,"")</f>
        <v/>
      </c>
      <c r="L444" s="26" t="str">
        <f>IF('MITRE ATT&amp;CK Mappings'!D440 &lt;&gt;"",'MITRE ATT&amp;CK Mappings'!D440,"" )</f>
        <v/>
      </c>
    </row>
    <row r="445" spans="1:12" x14ac:dyDescent="0.25">
      <c r="A445" s="27" t="str">
        <f>IF(COUNTIF(B445:K445,"="&amp;'MITRE ATT&amp;CK Mappings'!B441)&gt;0,'MITRE ATT&amp;CK Mappings'!B441,"")</f>
        <v/>
      </c>
      <c r="B445" s="27" t="str">
        <f>IF(OR(OR(OR(OR(OR(ISNUMBER(SEARCH(IF(B$1&lt;&gt;"",B$1,"NA"),'MITRE ATT&amp;CK Mappings'!$E441)),ISNUMBER(SEARCH(IF(B$1&lt;&gt;"",B$1,"NA"),'MITRE ATT&amp;CK Mappings'!$F441))),ISNUMBER(SEARCH(IF(B$2&lt;&gt;"",B$2,"NA"),'MITRE ATT&amp;CK Mappings'!$G441))),ISNUMBER(SEARCH(IF(B$2&lt;&gt;"",B$2,"NA"),'MITRE ATT&amp;CK Mappings'!$H441))),ISNUMBER(SEARCH(IF(B$3&lt;&gt;"",B$3,"NA"),'MITRE ATT&amp;CK Mappings'!$I441))),ISNUMBER(SEARCH(IF(B$3&lt;&gt;"",B$3,"NA"),'MITRE ATT&amp;CK Mappings'!$J441))), 'MITRE ATT&amp;CK Mappings'!$B441,"")</f>
        <v/>
      </c>
      <c r="C445" s="27" t="str">
        <f>IF(OR(OR(OR(OR(OR(ISNUMBER(SEARCH(IF(C$1&lt;&gt;"",C$1,"NA"),'MITRE ATT&amp;CK Mappings'!$E441)),ISNUMBER(SEARCH(IF(C$1&lt;&gt;"",C$1,"NA"),'MITRE ATT&amp;CK Mappings'!$F441))),ISNUMBER(SEARCH(IF(C$2&lt;&gt;"",C$2,"NA"),'MITRE ATT&amp;CK Mappings'!$G441))),ISNUMBER(SEARCH(IF(C$2&lt;&gt;"",C$2,"NA"),'MITRE ATT&amp;CK Mappings'!$H441))),ISNUMBER(SEARCH(IF(C$3&lt;&gt;"",C$3,"NA"),'MITRE ATT&amp;CK Mappings'!$I441))),ISNUMBER(SEARCH(IF(C$3&lt;&gt;"",C$3,"NA"),'MITRE ATT&amp;CK Mappings'!$J441))), 'MITRE ATT&amp;CK Mappings'!$B441,"")</f>
        <v/>
      </c>
      <c r="D445" s="27" t="str">
        <f>IF(OR(OR(OR(OR(OR(ISNUMBER(SEARCH(IF(D$1&lt;&gt;"",D$1,"NA"),'MITRE ATT&amp;CK Mappings'!$E441)),ISNUMBER(SEARCH(IF(D$1&lt;&gt;"",D$1,"NA"),'MITRE ATT&amp;CK Mappings'!$F441))),ISNUMBER(SEARCH(IF(D$2&lt;&gt;"",D$2,"NA"),'MITRE ATT&amp;CK Mappings'!$G441))),ISNUMBER(SEARCH(IF(D$2&lt;&gt;"",D$2,"NA"),'MITRE ATT&amp;CK Mappings'!$H441))),ISNUMBER(SEARCH(IF(D$3&lt;&gt;"",D$3,"NA"),'MITRE ATT&amp;CK Mappings'!$I441))),ISNUMBER(SEARCH(IF(D$3&lt;&gt;"",D$3,"NA"),'MITRE ATT&amp;CK Mappings'!$J441))), 'MITRE ATT&amp;CK Mappings'!$B441,"")</f>
        <v/>
      </c>
      <c r="E445" s="27" t="str">
        <f>IF(OR(OR(OR(OR(OR(ISNUMBER(SEARCH(IF(E$1&lt;&gt;"",E$1,"NA"),'MITRE ATT&amp;CK Mappings'!$E441)),ISNUMBER(SEARCH(IF(E$1&lt;&gt;"",E$1,"NA"),'MITRE ATT&amp;CK Mappings'!$F441))),ISNUMBER(SEARCH(IF(E$2&lt;&gt;"",E$2,"NA"),'MITRE ATT&amp;CK Mappings'!$G441))),ISNUMBER(SEARCH(IF(E$2&lt;&gt;"",E$2,"NA"),'MITRE ATT&amp;CK Mappings'!$H441))),ISNUMBER(SEARCH(IF(E$3&lt;&gt;"",E$3,"NA"),'MITRE ATT&amp;CK Mappings'!$I441))),ISNUMBER(SEARCH(IF(E$3&lt;&gt;"",E$3,"NA"),'MITRE ATT&amp;CK Mappings'!$J441))), 'MITRE ATT&amp;CK Mappings'!$B441,"")</f>
        <v/>
      </c>
      <c r="F445" s="27" t="str">
        <f>IF(OR(OR(OR(OR(OR(ISNUMBER(SEARCH(IF(F$1&lt;&gt;"",F$1,"NA"),'MITRE ATT&amp;CK Mappings'!$E441)),ISNUMBER(SEARCH(IF(F$1&lt;&gt;"",F$1,"NA"),'MITRE ATT&amp;CK Mappings'!$F441))),ISNUMBER(SEARCH(IF(F$2&lt;&gt;"",F$2,"NA"),'MITRE ATT&amp;CK Mappings'!$G441))),ISNUMBER(SEARCH(IF(F$2&lt;&gt;"",F$2,"NA"),'MITRE ATT&amp;CK Mappings'!$H441))),ISNUMBER(SEARCH(IF(F$3&lt;&gt;"",F$3,"NA"),'MITRE ATT&amp;CK Mappings'!$I441))),ISNUMBER(SEARCH(IF(F$3&lt;&gt;"",F$3,"NA"),'MITRE ATT&amp;CK Mappings'!$J441))), 'MITRE ATT&amp;CK Mappings'!$B441,"")</f>
        <v/>
      </c>
      <c r="G445" s="27" t="str">
        <f>IF(OR(OR(OR(OR(OR(ISNUMBER(SEARCH(IF(G$1&lt;&gt;"",G$1,"NA"),'MITRE ATT&amp;CK Mappings'!$E441)),ISNUMBER(SEARCH(IF(G$1&lt;&gt;"",G$1,"NA"),'MITRE ATT&amp;CK Mappings'!$F441))),ISNUMBER(SEARCH(IF(G$2&lt;&gt;"",G$2,"NA"),'MITRE ATT&amp;CK Mappings'!$G441))),ISNUMBER(SEARCH(IF(G$2&lt;&gt;"",G$2,"NA"),'MITRE ATT&amp;CK Mappings'!$H441))),ISNUMBER(SEARCH(IF(G$3&lt;&gt;"",G$3,"NA"),'MITRE ATT&amp;CK Mappings'!$I441))),ISNUMBER(SEARCH(IF(G$3&lt;&gt;"",G$3,"NA"),'MITRE ATT&amp;CK Mappings'!$J441))), 'MITRE ATT&amp;CK Mappings'!$B441,"")</f>
        <v/>
      </c>
      <c r="H445" s="27" t="str">
        <f>IF(OR(OR(OR(OR(OR(ISNUMBER(SEARCH(IF(H$1&lt;&gt;"",H$1,"NA"),'MITRE ATT&amp;CK Mappings'!$E441)),ISNUMBER(SEARCH(IF(H$1&lt;&gt;"",H$1,"NA"),'MITRE ATT&amp;CK Mappings'!$F441))),ISNUMBER(SEARCH(IF(H$2&lt;&gt;"",H$2,"NA"),'MITRE ATT&amp;CK Mappings'!$G441))),ISNUMBER(SEARCH(IF(H$2&lt;&gt;"",H$2,"NA"),'MITRE ATT&amp;CK Mappings'!$H441))),ISNUMBER(SEARCH(IF(H$3&lt;&gt;"",H$3,"NA"),'MITRE ATT&amp;CK Mappings'!$I441))),ISNUMBER(SEARCH(IF(H$3&lt;&gt;"",H$3,"NA"),'MITRE ATT&amp;CK Mappings'!$J441))), 'MITRE ATT&amp;CK Mappings'!$B441,"")</f>
        <v/>
      </c>
      <c r="I445" s="27" t="str">
        <f>IF(OR(OR(OR(OR(OR(ISNUMBER(SEARCH(IF(I$1&lt;&gt;"",I$1,"NA"),'MITRE ATT&amp;CK Mappings'!$E441)),ISNUMBER(SEARCH(IF(I$1&lt;&gt;"",I$1,"NA"),'MITRE ATT&amp;CK Mappings'!$F441))),ISNUMBER(SEARCH(IF(I$2&lt;&gt;"",I$2,"NA"),'MITRE ATT&amp;CK Mappings'!$G441))),ISNUMBER(SEARCH(IF(I$2&lt;&gt;"",I$2,"NA"),'MITRE ATT&amp;CK Mappings'!$H441))),ISNUMBER(SEARCH(IF(I$3&lt;&gt;"",I$3,"NA"),'MITRE ATT&amp;CK Mappings'!$I441))),ISNUMBER(SEARCH(IF(I$3&lt;&gt;"",I$3,"NA"),'MITRE ATT&amp;CK Mappings'!$J441))), 'MITRE ATT&amp;CK Mappings'!$B441,"")</f>
        <v/>
      </c>
      <c r="J445" s="27" t="str">
        <f>IF(OR(OR(OR(OR(OR(ISNUMBER(SEARCH(IF(J$1&lt;&gt;"",J$1,"NA"),'MITRE ATT&amp;CK Mappings'!$E441)),ISNUMBER(SEARCH(IF(J$1&lt;&gt;"",J$1,"NA"),'MITRE ATT&amp;CK Mappings'!$F441))),ISNUMBER(SEARCH(IF(J$2&lt;&gt;"",J$2,"NA"),'MITRE ATT&amp;CK Mappings'!$G441))),ISNUMBER(SEARCH(IF(J$2&lt;&gt;"",J$2,"NA"),'MITRE ATT&amp;CK Mappings'!$H441))),ISNUMBER(SEARCH(IF(J$3&lt;&gt;"",J$3,"NA"),'MITRE ATT&amp;CK Mappings'!$I441))),ISNUMBER(SEARCH(IF(J$3&lt;&gt;"",J$3,"NA"),'MITRE ATT&amp;CK Mappings'!$J441))), 'MITRE ATT&amp;CK Mappings'!$B441,"")</f>
        <v/>
      </c>
      <c r="K445" s="27" t="str">
        <f>IF(OR(OR(OR(OR(OR(ISNUMBER(SEARCH(IF(K$1&lt;&gt;"",K$1,"NA"),'MITRE ATT&amp;CK Mappings'!$E441)),ISNUMBER(SEARCH(IF(K$1&lt;&gt;"",K$1,"NA"),'MITRE ATT&amp;CK Mappings'!$F441))),ISNUMBER(SEARCH(IF(K$2&lt;&gt;"",K$2,"NA"),'MITRE ATT&amp;CK Mappings'!$G441))),ISNUMBER(SEARCH(IF(K$2&lt;&gt;"",K$2,"NA"),'MITRE ATT&amp;CK Mappings'!$H441))),ISNUMBER(SEARCH(IF(K$3&lt;&gt;"",K$3,"NA"),'MITRE ATT&amp;CK Mappings'!$I441))),ISNUMBER(SEARCH(IF(K$3&lt;&gt;"",K$3,"NA"),'MITRE ATT&amp;CK Mappings'!$J441))), 'MITRE ATT&amp;CK Mappings'!$B441,"")</f>
        <v/>
      </c>
      <c r="L445" s="27" t="str">
        <f>IF('MITRE ATT&amp;CK Mappings'!D441 &lt;&gt;"",'MITRE ATT&amp;CK Mappings'!D441,"" )</f>
        <v/>
      </c>
    </row>
    <row r="446" spans="1:12" x14ac:dyDescent="0.25">
      <c r="A446" s="26" t="str">
        <f>IF(COUNTIF(B446:K446,"="&amp;'MITRE ATT&amp;CK Mappings'!B442)&gt;0,'MITRE ATT&amp;CK Mappings'!B442,"")</f>
        <v/>
      </c>
      <c r="B446" s="26" t="str">
        <f>IF(OR(OR(OR(OR(OR(ISNUMBER(SEARCH(IF(B$1&lt;&gt;"",B$1,"NA"),'MITRE ATT&amp;CK Mappings'!$E442)),ISNUMBER(SEARCH(IF(B$1&lt;&gt;"",B$1,"NA"),'MITRE ATT&amp;CK Mappings'!$F442))),ISNUMBER(SEARCH(IF(B$2&lt;&gt;"",B$2,"NA"),'MITRE ATT&amp;CK Mappings'!$G442))),ISNUMBER(SEARCH(IF(B$2&lt;&gt;"",B$2,"NA"),'MITRE ATT&amp;CK Mappings'!$H442))),ISNUMBER(SEARCH(IF(B$3&lt;&gt;"",B$3,"NA"),'MITRE ATT&amp;CK Mappings'!$I442))),ISNUMBER(SEARCH(IF(B$3&lt;&gt;"",B$3,"NA"),'MITRE ATT&amp;CK Mappings'!$J442))), 'MITRE ATT&amp;CK Mappings'!$B442,"")</f>
        <v/>
      </c>
      <c r="C446" s="26" t="str">
        <f>IF(OR(OR(OR(OR(OR(ISNUMBER(SEARCH(IF(C$1&lt;&gt;"",C$1,"NA"),'MITRE ATT&amp;CK Mappings'!$E442)),ISNUMBER(SEARCH(IF(C$1&lt;&gt;"",C$1,"NA"),'MITRE ATT&amp;CK Mappings'!$F442))),ISNUMBER(SEARCH(IF(C$2&lt;&gt;"",C$2,"NA"),'MITRE ATT&amp;CK Mappings'!$G442))),ISNUMBER(SEARCH(IF(C$2&lt;&gt;"",C$2,"NA"),'MITRE ATT&amp;CK Mappings'!$H442))),ISNUMBER(SEARCH(IF(C$3&lt;&gt;"",C$3,"NA"),'MITRE ATT&amp;CK Mappings'!$I442))),ISNUMBER(SEARCH(IF(C$3&lt;&gt;"",C$3,"NA"),'MITRE ATT&amp;CK Mappings'!$J442))), 'MITRE ATT&amp;CK Mappings'!$B442,"")</f>
        <v/>
      </c>
      <c r="D446" s="26" t="str">
        <f>IF(OR(OR(OR(OR(OR(ISNUMBER(SEARCH(IF(D$1&lt;&gt;"",D$1,"NA"),'MITRE ATT&amp;CK Mappings'!$E442)),ISNUMBER(SEARCH(IF(D$1&lt;&gt;"",D$1,"NA"),'MITRE ATT&amp;CK Mappings'!$F442))),ISNUMBER(SEARCH(IF(D$2&lt;&gt;"",D$2,"NA"),'MITRE ATT&amp;CK Mappings'!$G442))),ISNUMBER(SEARCH(IF(D$2&lt;&gt;"",D$2,"NA"),'MITRE ATT&amp;CK Mappings'!$H442))),ISNUMBER(SEARCH(IF(D$3&lt;&gt;"",D$3,"NA"),'MITRE ATT&amp;CK Mappings'!$I442))),ISNUMBER(SEARCH(IF(D$3&lt;&gt;"",D$3,"NA"),'MITRE ATT&amp;CK Mappings'!$J442))), 'MITRE ATT&amp;CK Mappings'!$B442,"")</f>
        <v/>
      </c>
      <c r="E446" s="26" t="str">
        <f>IF(OR(OR(OR(OR(OR(ISNUMBER(SEARCH(IF(E$1&lt;&gt;"",E$1,"NA"),'MITRE ATT&amp;CK Mappings'!$E442)),ISNUMBER(SEARCH(IF(E$1&lt;&gt;"",E$1,"NA"),'MITRE ATT&amp;CK Mappings'!$F442))),ISNUMBER(SEARCH(IF(E$2&lt;&gt;"",E$2,"NA"),'MITRE ATT&amp;CK Mappings'!$G442))),ISNUMBER(SEARCH(IF(E$2&lt;&gt;"",E$2,"NA"),'MITRE ATT&amp;CK Mappings'!$H442))),ISNUMBER(SEARCH(IF(E$3&lt;&gt;"",E$3,"NA"),'MITRE ATT&amp;CK Mappings'!$I442))),ISNUMBER(SEARCH(IF(E$3&lt;&gt;"",E$3,"NA"),'MITRE ATT&amp;CK Mappings'!$J442))), 'MITRE ATT&amp;CK Mappings'!$B442,"")</f>
        <v/>
      </c>
      <c r="F446" s="26" t="str">
        <f>IF(OR(OR(OR(OR(OR(ISNUMBER(SEARCH(IF(F$1&lt;&gt;"",F$1,"NA"),'MITRE ATT&amp;CK Mappings'!$E442)),ISNUMBER(SEARCH(IF(F$1&lt;&gt;"",F$1,"NA"),'MITRE ATT&amp;CK Mappings'!$F442))),ISNUMBER(SEARCH(IF(F$2&lt;&gt;"",F$2,"NA"),'MITRE ATT&amp;CK Mappings'!$G442))),ISNUMBER(SEARCH(IF(F$2&lt;&gt;"",F$2,"NA"),'MITRE ATT&amp;CK Mappings'!$H442))),ISNUMBER(SEARCH(IF(F$3&lt;&gt;"",F$3,"NA"),'MITRE ATT&amp;CK Mappings'!$I442))),ISNUMBER(SEARCH(IF(F$3&lt;&gt;"",F$3,"NA"),'MITRE ATT&amp;CK Mappings'!$J442))), 'MITRE ATT&amp;CK Mappings'!$B442,"")</f>
        <v/>
      </c>
      <c r="G446" s="26" t="str">
        <f>IF(OR(OR(OR(OR(OR(ISNUMBER(SEARCH(IF(G$1&lt;&gt;"",G$1,"NA"),'MITRE ATT&amp;CK Mappings'!$E442)),ISNUMBER(SEARCH(IF(G$1&lt;&gt;"",G$1,"NA"),'MITRE ATT&amp;CK Mappings'!$F442))),ISNUMBER(SEARCH(IF(G$2&lt;&gt;"",G$2,"NA"),'MITRE ATT&amp;CK Mappings'!$G442))),ISNUMBER(SEARCH(IF(G$2&lt;&gt;"",G$2,"NA"),'MITRE ATT&amp;CK Mappings'!$H442))),ISNUMBER(SEARCH(IF(G$3&lt;&gt;"",G$3,"NA"),'MITRE ATT&amp;CK Mappings'!$I442))),ISNUMBER(SEARCH(IF(G$3&lt;&gt;"",G$3,"NA"),'MITRE ATT&amp;CK Mappings'!$J442))), 'MITRE ATT&amp;CK Mappings'!$B442,"")</f>
        <v/>
      </c>
      <c r="H446" s="26" t="str">
        <f>IF(OR(OR(OR(OR(OR(ISNUMBER(SEARCH(IF(H$1&lt;&gt;"",H$1,"NA"),'MITRE ATT&amp;CK Mappings'!$E442)),ISNUMBER(SEARCH(IF(H$1&lt;&gt;"",H$1,"NA"),'MITRE ATT&amp;CK Mappings'!$F442))),ISNUMBER(SEARCH(IF(H$2&lt;&gt;"",H$2,"NA"),'MITRE ATT&amp;CK Mappings'!$G442))),ISNUMBER(SEARCH(IF(H$2&lt;&gt;"",H$2,"NA"),'MITRE ATT&amp;CK Mappings'!$H442))),ISNUMBER(SEARCH(IF(H$3&lt;&gt;"",H$3,"NA"),'MITRE ATT&amp;CK Mappings'!$I442))),ISNUMBER(SEARCH(IF(H$3&lt;&gt;"",H$3,"NA"),'MITRE ATT&amp;CK Mappings'!$J442))), 'MITRE ATT&amp;CK Mappings'!$B442,"")</f>
        <v/>
      </c>
      <c r="I446" s="26" t="str">
        <f>IF(OR(OR(OR(OR(OR(ISNUMBER(SEARCH(IF(I$1&lt;&gt;"",I$1,"NA"),'MITRE ATT&amp;CK Mappings'!$E442)),ISNUMBER(SEARCH(IF(I$1&lt;&gt;"",I$1,"NA"),'MITRE ATT&amp;CK Mappings'!$F442))),ISNUMBER(SEARCH(IF(I$2&lt;&gt;"",I$2,"NA"),'MITRE ATT&amp;CK Mappings'!$G442))),ISNUMBER(SEARCH(IF(I$2&lt;&gt;"",I$2,"NA"),'MITRE ATT&amp;CK Mappings'!$H442))),ISNUMBER(SEARCH(IF(I$3&lt;&gt;"",I$3,"NA"),'MITRE ATT&amp;CK Mappings'!$I442))),ISNUMBER(SEARCH(IF(I$3&lt;&gt;"",I$3,"NA"),'MITRE ATT&amp;CK Mappings'!$J442))), 'MITRE ATT&amp;CK Mappings'!$B442,"")</f>
        <v/>
      </c>
      <c r="J446" s="26" t="str">
        <f>IF(OR(OR(OR(OR(OR(ISNUMBER(SEARCH(IF(J$1&lt;&gt;"",J$1,"NA"),'MITRE ATT&amp;CK Mappings'!$E442)),ISNUMBER(SEARCH(IF(J$1&lt;&gt;"",J$1,"NA"),'MITRE ATT&amp;CK Mappings'!$F442))),ISNUMBER(SEARCH(IF(J$2&lt;&gt;"",J$2,"NA"),'MITRE ATT&amp;CK Mappings'!$G442))),ISNUMBER(SEARCH(IF(J$2&lt;&gt;"",J$2,"NA"),'MITRE ATT&amp;CK Mappings'!$H442))),ISNUMBER(SEARCH(IF(J$3&lt;&gt;"",J$3,"NA"),'MITRE ATT&amp;CK Mappings'!$I442))),ISNUMBER(SEARCH(IF(J$3&lt;&gt;"",J$3,"NA"),'MITRE ATT&amp;CK Mappings'!$J442))), 'MITRE ATT&amp;CK Mappings'!$B442,"")</f>
        <v/>
      </c>
      <c r="K446" s="26" t="str">
        <f>IF(OR(OR(OR(OR(OR(ISNUMBER(SEARCH(IF(K$1&lt;&gt;"",K$1,"NA"),'MITRE ATT&amp;CK Mappings'!$E442)),ISNUMBER(SEARCH(IF(K$1&lt;&gt;"",K$1,"NA"),'MITRE ATT&amp;CK Mappings'!$F442))),ISNUMBER(SEARCH(IF(K$2&lt;&gt;"",K$2,"NA"),'MITRE ATT&amp;CK Mappings'!$G442))),ISNUMBER(SEARCH(IF(K$2&lt;&gt;"",K$2,"NA"),'MITRE ATT&amp;CK Mappings'!$H442))),ISNUMBER(SEARCH(IF(K$3&lt;&gt;"",K$3,"NA"),'MITRE ATT&amp;CK Mappings'!$I442))),ISNUMBER(SEARCH(IF(K$3&lt;&gt;"",K$3,"NA"),'MITRE ATT&amp;CK Mappings'!$J442))), 'MITRE ATT&amp;CK Mappings'!$B442,"")</f>
        <v/>
      </c>
      <c r="L446" s="26" t="str">
        <f>IF('MITRE ATT&amp;CK Mappings'!D442 &lt;&gt;"",'MITRE ATT&amp;CK Mappings'!D442,"" )</f>
        <v/>
      </c>
    </row>
    <row r="447" spans="1:12" x14ac:dyDescent="0.25">
      <c r="A447" s="27" t="str">
        <f>IF(COUNTIF(B447:K447,"="&amp;'MITRE ATT&amp;CK Mappings'!B443)&gt;0,'MITRE ATT&amp;CK Mappings'!B443,"")</f>
        <v/>
      </c>
      <c r="B447" s="27" t="str">
        <f>IF(OR(OR(OR(OR(OR(ISNUMBER(SEARCH(IF(B$1&lt;&gt;"",B$1,"NA"),'MITRE ATT&amp;CK Mappings'!$E443)),ISNUMBER(SEARCH(IF(B$1&lt;&gt;"",B$1,"NA"),'MITRE ATT&amp;CK Mappings'!$F443))),ISNUMBER(SEARCH(IF(B$2&lt;&gt;"",B$2,"NA"),'MITRE ATT&amp;CK Mappings'!$G443))),ISNUMBER(SEARCH(IF(B$2&lt;&gt;"",B$2,"NA"),'MITRE ATT&amp;CK Mappings'!$H443))),ISNUMBER(SEARCH(IF(B$3&lt;&gt;"",B$3,"NA"),'MITRE ATT&amp;CK Mappings'!$I443))),ISNUMBER(SEARCH(IF(B$3&lt;&gt;"",B$3,"NA"),'MITRE ATT&amp;CK Mappings'!$J443))), 'MITRE ATT&amp;CK Mappings'!$B443,"")</f>
        <v/>
      </c>
      <c r="C447" s="27" t="str">
        <f>IF(OR(OR(OR(OR(OR(ISNUMBER(SEARCH(IF(C$1&lt;&gt;"",C$1,"NA"),'MITRE ATT&amp;CK Mappings'!$E443)),ISNUMBER(SEARCH(IF(C$1&lt;&gt;"",C$1,"NA"),'MITRE ATT&amp;CK Mappings'!$F443))),ISNUMBER(SEARCH(IF(C$2&lt;&gt;"",C$2,"NA"),'MITRE ATT&amp;CK Mappings'!$G443))),ISNUMBER(SEARCH(IF(C$2&lt;&gt;"",C$2,"NA"),'MITRE ATT&amp;CK Mappings'!$H443))),ISNUMBER(SEARCH(IF(C$3&lt;&gt;"",C$3,"NA"),'MITRE ATT&amp;CK Mappings'!$I443))),ISNUMBER(SEARCH(IF(C$3&lt;&gt;"",C$3,"NA"),'MITRE ATT&amp;CK Mappings'!$J443))), 'MITRE ATT&amp;CK Mappings'!$B443,"")</f>
        <v/>
      </c>
      <c r="D447" s="27" t="str">
        <f>IF(OR(OR(OR(OR(OR(ISNUMBER(SEARCH(IF(D$1&lt;&gt;"",D$1,"NA"),'MITRE ATT&amp;CK Mappings'!$E443)),ISNUMBER(SEARCH(IF(D$1&lt;&gt;"",D$1,"NA"),'MITRE ATT&amp;CK Mappings'!$F443))),ISNUMBER(SEARCH(IF(D$2&lt;&gt;"",D$2,"NA"),'MITRE ATT&amp;CK Mappings'!$G443))),ISNUMBER(SEARCH(IF(D$2&lt;&gt;"",D$2,"NA"),'MITRE ATT&amp;CK Mappings'!$H443))),ISNUMBER(SEARCH(IF(D$3&lt;&gt;"",D$3,"NA"),'MITRE ATT&amp;CK Mappings'!$I443))),ISNUMBER(SEARCH(IF(D$3&lt;&gt;"",D$3,"NA"),'MITRE ATT&amp;CK Mappings'!$J443))), 'MITRE ATT&amp;CK Mappings'!$B443,"")</f>
        <v/>
      </c>
      <c r="E447" s="27" t="str">
        <f>IF(OR(OR(OR(OR(OR(ISNUMBER(SEARCH(IF(E$1&lt;&gt;"",E$1,"NA"),'MITRE ATT&amp;CK Mappings'!$E443)),ISNUMBER(SEARCH(IF(E$1&lt;&gt;"",E$1,"NA"),'MITRE ATT&amp;CK Mappings'!$F443))),ISNUMBER(SEARCH(IF(E$2&lt;&gt;"",E$2,"NA"),'MITRE ATT&amp;CK Mappings'!$G443))),ISNUMBER(SEARCH(IF(E$2&lt;&gt;"",E$2,"NA"),'MITRE ATT&amp;CK Mappings'!$H443))),ISNUMBER(SEARCH(IF(E$3&lt;&gt;"",E$3,"NA"),'MITRE ATT&amp;CK Mappings'!$I443))),ISNUMBER(SEARCH(IF(E$3&lt;&gt;"",E$3,"NA"),'MITRE ATT&amp;CK Mappings'!$J443))), 'MITRE ATT&amp;CK Mappings'!$B443,"")</f>
        <v/>
      </c>
      <c r="F447" s="27" t="str">
        <f>IF(OR(OR(OR(OR(OR(ISNUMBER(SEARCH(IF(F$1&lt;&gt;"",F$1,"NA"),'MITRE ATT&amp;CK Mappings'!$E443)),ISNUMBER(SEARCH(IF(F$1&lt;&gt;"",F$1,"NA"),'MITRE ATT&amp;CK Mappings'!$F443))),ISNUMBER(SEARCH(IF(F$2&lt;&gt;"",F$2,"NA"),'MITRE ATT&amp;CK Mappings'!$G443))),ISNUMBER(SEARCH(IF(F$2&lt;&gt;"",F$2,"NA"),'MITRE ATT&amp;CK Mappings'!$H443))),ISNUMBER(SEARCH(IF(F$3&lt;&gt;"",F$3,"NA"),'MITRE ATT&amp;CK Mappings'!$I443))),ISNUMBER(SEARCH(IF(F$3&lt;&gt;"",F$3,"NA"),'MITRE ATT&amp;CK Mappings'!$J443))), 'MITRE ATT&amp;CK Mappings'!$B443,"")</f>
        <v/>
      </c>
      <c r="G447" s="27" t="str">
        <f>IF(OR(OR(OR(OR(OR(ISNUMBER(SEARCH(IF(G$1&lt;&gt;"",G$1,"NA"),'MITRE ATT&amp;CK Mappings'!$E443)),ISNUMBER(SEARCH(IF(G$1&lt;&gt;"",G$1,"NA"),'MITRE ATT&amp;CK Mappings'!$F443))),ISNUMBER(SEARCH(IF(G$2&lt;&gt;"",G$2,"NA"),'MITRE ATT&amp;CK Mappings'!$G443))),ISNUMBER(SEARCH(IF(G$2&lt;&gt;"",G$2,"NA"),'MITRE ATT&amp;CK Mappings'!$H443))),ISNUMBER(SEARCH(IF(G$3&lt;&gt;"",G$3,"NA"),'MITRE ATT&amp;CK Mappings'!$I443))),ISNUMBER(SEARCH(IF(G$3&lt;&gt;"",G$3,"NA"),'MITRE ATT&amp;CK Mappings'!$J443))), 'MITRE ATT&amp;CK Mappings'!$B443,"")</f>
        <v/>
      </c>
      <c r="H447" s="27" t="str">
        <f>IF(OR(OR(OR(OR(OR(ISNUMBER(SEARCH(IF(H$1&lt;&gt;"",H$1,"NA"),'MITRE ATT&amp;CK Mappings'!$E443)),ISNUMBER(SEARCH(IF(H$1&lt;&gt;"",H$1,"NA"),'MITRE ATT&amp;CK Mappings'!$F443))),ISNUMBER(SEARCH(IF(H$2&lt;&gt;"",H$2,"NA"),'MITRE ATT&amp;CK Mappings'!$G443))),ISNUMBER(SEARCH(IF(H$2&lt;&gt;"",H$2,"NA"),'MITRE ATT&amp;CK Mappings'!$H443))),ISNUMBER(SEARCH(IF(H$3&lt;&gt;"",H$3,"NA"),'MITRE ATT&amp;CK Mappings'!$I443))),ISNUMBER(SEARCH(IF(H$3&lt;&gt;"",H$3,"NA"),'MITRE ATT&amp;CK Mappings'!$J443))), 'MITRE ATT&amp;CK Mappings'!$B443,"")</f>
        <v/>
      </c>
      <c r="I447" s="27" t="str">
        <f>IF(OR(OR(OR(OR(OR(ISNUMBER(SEARCH(IF(I$1&lt;&gt;"",I$1,"NA"),'MITRE ATT&amp;CK Mappings'!$E443)),ISNUMBER(SEARCH(IF(I$1&lt;&gt;"",I$1,"NA"),'MITRE ATT&amp;CK Mappings'!$F443))),ISNUMBER(SEARCH(IF(I$2&lt;&gt;"",I$2,"NA"),'MITRE ATT&amp;CK Mappings'!$G443))),ISNUMBER(SEARCH(IF(I$2&lt;&gt;"",I$2,"NA"),'MITRE ATT&amp;CK Mappings'!$H443))),ISNUMBER(SEARCH(IF(I$3&lt;&gt;"",I$3,"NA"),'MITRE ATT&amp;CK Mappings'!$I443))),ISNUMBER(SEARCH(IF(I$3&lt;&gt;"",I$3,"NA"),'MITRE ATT&amp;CK Mappings'!$J443))), 'MITRE ATT&amp;CK Mappings'!$B443,"")</f>
        <v/>
      </c>
      <c r="J447" s="27" t="str">
        <f>IF(OR(OR(OR(OR(OR(ISNUMBER(SEARCH(IF(J$1&lt;&gt;"",J$1,"NA"),'MITRE ATT&amp;CK Mappings'!$E443)),ISNUMBER(SEARCH(IF(J$1&lt;&gt;"",J$1,"NA"),'MITRE ATT&amp;CK Mappings'!$F443))),ISNUMBER(SEARCH(IF(J$2&lt;&gt;"",J$2,"NA"),'MITRE ATT&amp;CK Mappings'!$G443))),ISNUMBER(SEARCH(IF(J$2&lt;&gt;"",J$2,"NA"),'MITRE ATT&amp;CK Mappings'!$H443))),ISNUMBER(SEARCH(IF(J$3&lt;&gt;"",J$3,"NA"),'MITRE ATT&amp;CK Mappings'!$I443))),ISNUMBER(SEARCH(IF(J$3&lt;&gt;"",J$3,"NA"),'MITRE ATT&amp;CK Mappings'!$J443))), 'MITRE ATT&amp;CK Mappings'!$B443,"")</f>
        <v/>
      </c>
      <c r="K447" s="27" t="str">
        <f>IF(OR(OR(OR(OR(OR(ISNUMBER(SEARCH(IF(K$1&lt;&gt;"",K$1,"NA"),'MITRE ATT&amp;CK Mappings'!$E443)),ISNUMBER(SEARCH(IF(K$1&lt;&gt;"",K$1,"NA"),'MITRE ATT&amp;CK Mappings'!$F443))),ISNUMBER(SEARCH(IF(K$2&lt;&gt;"",K$2,"NA"),'MITRE ATT&amp;CK Mappings'!$G443))),ISNUMBER(SEARCH(IF(K$2&lt;&gt;"",K$2,"NA"),'MITRE ATT&amp;CK Mappings'!$H443))),ISNUMBER(SEARCH(IF(K$3&lt;&gt;"",K$3,"NA"),'MITRE ATT&amp;CK Mappings'!$I443))),ISNUMBER(SEARCH(IF(K$3&lt;&gt;"",K$3,"NA"),'MITRE ATT&amp;CK Mappings'!$J443))), 'MITRE ATT&amp;CK Mappings'!$B443,"")</f>
        <v/>
      </c>
      <c r="L447" s="27" t="str">
        <f>IF('MITRE ATT&amp;CK Mappings'!D443 &lt;&gt;"",'MITRE ATT&amp;CK Mappings'!D443,"" )</f>
        <v/>
      </c>
    </row>
    <row r="448" spans="1:12" x14ac:dyDescent="0.25">
      <c r="A448" s="26" t="str">
        <f>IF(COUNTIF(B448:K448,"="&amp;'MITRE ATT&amp;CK Mappings'!B444)&gt;0,'MITRE ATT&amp;CK Mappings'!B444,"")</f>
        <v/>
      </c>
      <c r="B448" s="26" t="str">
        <f>IF(OR(OR(OR(OR(OR(ISNUMBER(SEARCH(IF(B$1&lt;&gt;"",B$1,"NA"),'MITRE ATT&amp;CK Mappings'!$E444)),ISNUMBER(SEARCH(IF(B$1&lt;&gt;"",B$1,"NA"),'MITRE ATT&amp;CK Mappings'!$F444))),ISNUMBER(SEARCH(IF(B$2&lt;&gt;"",B$2,"NA"),'MITRE ATT&amp;CK Mappings'!$G444))),ISNUMBER(SEARCH(IF(B$2&lt;&gt;"",B$2,"NA"),'MITRE ATT&amp;CK Mappings'!$H444))),ISNUMBER(SEARCH(IF(B$3&lt;&gt;"",B$3,"NA"),'MITRE ATT&amp;CK Mappings'!$I444))),ISNUMBER(SEARCH(IF(B$3&lt;&gt;"",B$3,"NA"),'MITRE ATT&amp;CK Mappings'!$J444))), 'MITRE ATT&amp;CK Mappings'!$B444,"")</f>
        <v/>
      </c>
      <c r="C448" s="26" t="str">
        <f>IF(OR(OR(OR(OR(OR(ISNUMBER(SEARCH(IF(C$1&lt;&gt;"",C$1,"NA"),'MITRE ATT&amp;CK Mappings'!$E444)),ISNUMBER(SEARCH(IF(C$1&lt;&gt;"",C$1,"NA"),'MITRE ATT&amp;CK Mappings'!$F444))),ISNUMBER(SEARCH(IF(C$2&lt;&gt;"",C$2,"NA"),'MITRE ATT&amp;CK Mappings'!$G444))),ISNUMBER(SEARCH(IF(C$2&lt;&gt;"",C$2,"NA"),'MITRE ATT&amp;CK Mappings'!$H444))),ISNUMBER(SEARCH(IF(C$3&lt;&gt;"",C$3,"NA"),'MITRE ATT&amp;CK Mappings'!$I444))),ISNUMBER(SEARCH(IF(C$3&lt;&gt;"",C$3,"NA"),'MITRE ATT&amp;CK Mappings'!$J444))), 'MITRE ATT&amp;CK Mappings'!$B444,"")</f>
        <v/>
      </c>
      <c r="D448" s="26" t="str">
        <f>IF(OR(OR(OR(OR(OR(ISNUMBER(SEARCH(IF(D$1&lt;&gt;"",D$1,"NA"),'MITRE ATT&amp;CK Mappings'!$E444)),ISNUMBER(SEARCH(IF(D$1&lt;&gt;"",D$1,"NA"),'MITRE ATT&amp;CK Mappings'!$F444))),ISNUMBER(SEARCH(IF(D$2&lt;&gt;"",D$2,"NA"),'MITRE ATT&amp;CK Mappings'!$G444))),ISNUMBER(SEARCH(IF(D$2&lt;&gt;"",D$2,"NA"),'MITRE ATT&amp;CK Mappings'!$H444))),ISNUMBER(SEARCH(IF(D$3&lt;&gt;"",D$3,"NA"),'MITRE ATT&amp;CK Mappings'!$I444))),ISNUMBER(SEARCH(IF(D$3&lt;&gt;"",D$3,"NA"),'MITRE ATT&amp;CK Mappings'!$J444))), 'MITRE ATT&amp;CK Mappings'!$B444,"")</f>
        <v/>
      </c>
      <c r="E448" s="26" t="str">
        <f>IF(OR(OR(OR(OR(OR(ISNUMBER(SEARCH(IF(E$1&lt;&gt;"",E$1,"NA"),'MITRE ATT&amp;CK Mappings'!$E444)),ISNUMBER(SEARCH(IF(E$1&lt;&gt;"",E$1,"NA"),'MITRE ATT&amp;CK Mappings'!$F444))),ISNUMBER(SEARCH(IF(E$2&lt;&gt;"",E$2,"NA"),'MITRE ATT&amp;CK Mappings'!$G444))),ISNUMBER(SEARCH(IF(E$2&lt;&gt;"",E$2,"NA"),'MITRE ATT&amp;CK Mappings'!$H444))),ISNUMBER(SEARCH(IF(E$3&lt;&gt;"",E$3,"NA"),'MITRE ATT&amp;CK Mappings'!$I444))),ISNUMBER(SEARCH(IF(E$3&lt;&gt;"",E$3,"NA"),'MITRE ATT&amp;CK Mappings'!$J444))), 'MITRE ATT&amp;CK Mappings'!$B444,"")</f>
        <v/>
      </c>
      <c r="F448" s="26" t="str">
        <f>IF(OR(OR(OR(OR(OR(ISNUMBER(SEARCH(IF(F$1&lt;&gt;"",F$1,"NA"),'MITRE ATT&amp;CK Mappings'!$E444)),ISNUMBER(SEARCH(IF(F$1&lt;&gt;"",F$1,"NA"),'MITRE ATT&amp;CK Mappings'!$F444))),ISNUMBER(SEARCH(IF(F$2&lt;&gt;"",F$2,"NA"),'MITRE ATT&amp;CK Mappings'!$G444))),ISNUMBER(SEARCH(IF(F$2&lt;&gt;"",F$2,"NA"),'MITRE ATT&amp;CK Mappings'!$H444))),ISNUMBER(SEARCH(IF(F$3&lt;&gt;"",F$3,"NA"),'MITRE ATT&amp;CK Mappings'!$I444))),ISNUMBER(SEARCH(IF(F$3&lt;&gt;"",F$3,"NA"),'MITRE ATT&amp;CK Mappings'!$J444))), 'MITRE ATT&amp;CK Mappings'!$B444,"")</f>
        <v/>
      </c>
      <c r="G448" s="26" t="str">
        <f>IF(OR(OR(OR(OR(OR(ISNUMBER(SEARCH(IF(G$1&lt;&gt;"",G$1,"NA"),'MITRE ATT&amp;CK Mappings'!$E444)),ISNUMBER(SEARCH(IF(G$1&lt;&gt;"",G$1,"NA"),'MITRE ATT&amp;CK Mappings'!$F444))),ISNUMBER(SEARCH(IF(G$2&lt;&gt;"",G$2,"NA"),'MITRE ATT&amp;CK Mappings'!$G444))),ISNUMBER(SEARCH(IF(G$2&lt;&gt;"",G$2,"NA"),'MITRE ATT&amp;CK Mappings'!$H444))),ISNUMBER(SEARCH(IF(G$3&lt;&gt;"",G$3,"NA"),'MITRE ATT&amp;CK Mappings'!$I444))),ISNUMBER(SEARCH(IF(G$3&lt;&gt;"",G$3,"NA"),'MITRE ATT&amp;CK Mappings'!$J444))), 'MITRE ATT&amp;CK Mappings'!$B444,"")</f>
        <v/>
      </c>
      <c r="H448" s="26" t="str">
        <f>IF(OR(OR(OR(OR(OR(ISNUMBER(SEARCH(IF(H$1&lt;&gt;"",H$1,"NA"),'MITRE ATT&amp;CK Mappings'!$E444)),ISNUMBER(SEARCH(IF(H$1&lt;&gt;"",H$1,"NA"),'MITRE ATT&amp;CK Mappings'!$F444))),ISNUMBER(SEARCH(IF(H$2&lt;&gt;"",H$2,"NA"),'MITRE ATT&amp;CK Mappings'!$G444))),ISNUMBER(SEARCH(IF(H$2&lt;&gt;"",H$2,"NA"),'MITRE ATT&amp;CK Mappings'!$H444))),ISNUMBER(SEARCH(IF(H$3&lt;&gt;"",H$3,"NA"),'MITRE ATT&amp;CK Mappings'!$I444))),ISNUMBER(SEARCH(IF(H$3&lt;&gt;"",H$3,"NA"),'MITRE ATT&amp;CK Mappings'!$J444))), 'MITRE ATT&amp;CK Mappings'!$B444,"")</f>
        <v/>
      </c>
      <c r="I448" s="26" t="str">
        <f>IF(OR(OR(OR(OR(OR(ISNUMBER(SEARCH(IF(I$1&lt;&gt;"",I$1,"NA"),'MITRE ATT&amp;CK Mappings'!$E444)),ISNUMBER(SEARCH(IF(I$1&lt;&gt;"",I$1,"NA"),'MITRE ATT&amp;CK Mappings'!$F444))),ISNUMBER(SEARCH(IF(I$2&lt;&gt;"",I$2,"NA"),'MITRE ATT&amp;CK Mappings'!$G444))),ISNUMBER(SEARCH(IF(I$2&lt;&gt;"",I$2,"NA"),'MITRE ATT&amp;CK Mappings'!$H444))),ISNUMBER(SEARCH(IF(I$3&lt;&gt;"",I$3,"NA"),'MITRE ATT&amp;CK Mappings'!$I444))),ISNUMBER(SEARCH(IF(I$3&lt;&gt;"",I$3,"NA"),'MITRE ATT&amp;CK Mappings'!$J444))), 'MITRE ATT&amp;CK Mappings'!$B444,"")</f>
        <v/>
      </c>
      <c r="J448" s="26" t="str">
        <f>IF(OR(OR(OR(OR(OR(ISNUMBER(SEARCH(IF(J$1&lt;&gt;"",J$1,"NA"),'MITRE ATT&amp;CK Mappings'!$E444)),ISNUMBER(SEARCH(IF(J$1&lt;&gt;"",J$1,"NA"),'MITRE ATT&amp;CK Mappings'!$F444))),ISNUMBER(SEARCH(IF(J$2&lt;&gt;"",J$2,"NA"),'MITRE ATT&amp;CK Mappings'!$G444))),ISNUMBER(SEARCH(IF(J$2&lt;&gt;"",J$2,"NA"),'MITRE ATT&amp;CK Mappings'!$H444))),ISNUMBER(SEARCH(IF(J$3&lt;&gt;"",J$3,"NA"),'MITRE ATT&amp;CK Mappings'!$I444))),ISNUMBER(SEARCH(IF(J$3&lt;&gt;"",J$3,"NA"),'MITRE ATT&amp;CK Mappings'!$J444))), 'MITRE ATT&amp;CK Mappings'!$B444,"")</f>
        <v/>
      </c>
      <c r="K448" s="26" t="str">
        <f>IF(OR(OR(OR(OR(OR(ISNUMBER(SEARCH(IF(K$1&lt;&gt;"",K$1,"NA"),'MITRE ATT&amp;CK Mappings'!$E444)),ISNUMBER(SEARCH(IF(K$1&lt;&gt;"",K$1,"NA"),'MITRE ATT&amp;CK Mappings'!$F444))),ISNUMBER(SEARCH(IF(K$2&lt;&gt;"",K$2,"NA"),'MITRE ATT&amp;CK Mappings'!$G444))),ISNUMBER(SEARCH(IF(K$2&lt;&gt;"",K$2,"NA"),'MITRE ATT&amp;CK Mappings'!$H444))),ISNUMBER(SEARCH(IF(K$3&lt;&gt;"",K$3,"NA"),'MITRE ATT&amp;CK Mappings'!$I444))),ISNUMBER(SEARCH(IF(K$3&lt;&gt;"",K$3,"NA"),'MITRE ATT&amp;CK Mappings'!$J444))), 'MITRE ATT&amp;CK Mappings'!$B444,"")</f>
        <v/>
      </c>
      <c r="L448" s="26" t="str">
        <f>IF('MITRE ATT&amp;CK Mappings'!D444 &lt;&gt;"",'MITRE ATT&amp;CK Mappings'!D444,"" )</f>
        <v/>
      </c>
    </row>
    <row r="449" spans="1:12" x14ac:dyDescent="0.25">
      <c r="A449" s="27" t="str">
        <f>IF(COUNTIF(B449:K449,"="&amp;'MITRE ATT&amp;CK Mappings'!B445)&gt;0,'MITRE ATT&amp;CK Mappings'!B445,"")</f>
        <v/>
      </c>
      <c r="B449" s="27" t="str">
        <f>IF(OR(OR(OR(OR(OR(ISNUMBER(SEARCH(IF(B$1&lt;&gt;"",B$1,"NA"),'MITRE ATT&amp;CK Mappings'!$E445)),ISNUMBER(SEARCH(IF(B$1&lt;&gt;"",B$1,"NA"),'MITRE ATT&amp;CK Mappings'!$F445))),ISNUMBER(SEARCH(IF(B$2&lt;&gt;"",B$2,"NA"),'MITRE ATT&amp;CK Mappings'!$G445))),ISNUMBER(SEARCH(IF(B$2&lt;&gt;"",B$2,"NA"),'MITRE ATT&amp;CK Mappings'!$H445))),ISNUMBER(SEARCH(IF(B$3&lt;&gt;"",B$3,"NA"),'MITRE ATT&amp;CK Mappings'!$I445))),ISNUMBER(SEARCH(IF(B$3&lt;&gt;"",B$3,"NA"),'MITRE ATT&amp;CK Mappings'!$J445))), 'MITRE ATT&amp;CK Mappings'!$B445,"")</f>
        <v/>
      </c>
      <c r="C449" s="27" t="str">
        <f>IF(OR(OR(OR(OR(OR(ISNUMBER(SEARCH(IF(C$1&lt;&gt;"",C$1,"NA"),'MITRE ATT&amp;CK Mappings'!$E445)),ISNUMBER(SEARCH(IF(C$1&lt;&gt;"",C$1,"NA"),'MITRE ATT&amp;CK Mappings'!$F445))),ISNUMBER(SEARCH(IF(C$2&lt;&gt;"",C$2,"NA"),'MITRE ATT&amp;CK Mappings'!$G445))),ISNUMBER(SEARCH(IF(C$2&lt;&gt;"",C$2,"NA"),'MITRE ATT&amp;CK Mappings'!$H445))),ISNUMBER(SEARCH(IF(C$3&lt;&gt;"",C$3,"NA"),'MITRE ATT&amp;CK Mappings'!$I445))),ISNUMBER(SEARCH(IF(C$3&lt;&gt;"",C$3,"NA"),'MITRE ATT&amp;CK Mappings'!$J445))), 'MITRE ATT&amp;CK Mappings'!$B445,"")</f>
        <v/>
      </c>
      <c r="D449" s="27" t="str">
        <f>IF(OR(OR(OR(OR(OR(ISNUMBER(SEARCH(IF(D$1&lt;&gt;"",D$1,"NA"),'MITRE ATT&amp;CK Mappings'!$E445)),ISNUMBER(SEARCH(IF(D$1&lt;&gt;"",D$1,"NA"),'MITRE ATT&amp;CK Mappings'!$F445))),ISNUMBER(SEARCH(IF(D$2&lt;&gt;"",D$2,"NA"),'MITRE ATT&amp;CK Mappings'!$G445))),ISNUMBER(SEARCH(IF(D$2&lt;&gt;"",D$2,"NA"),'MITRE ATT&amp;CK Mappings'!$H445))),ISNUMBER(SEARCH(IF(D$3&lt;&gt;"",D$3,"NA"),'MITRE ATT&amp;CK Mappings'!$I445))),ISNUMBER(SEARCH(IF(D$3&lt;&gt;"",D$3,"NA"),'MITRE ATT&amp;CK Mappings'!$J445))), 'MITRE ATT&amp;CK Mappings'!$B445,"")</f>
        <v/>
      </c>
      <c r="E449" s="27" t="str">
        <f>IF(OR(OR(OR(OR(OR(ISNUMBER(SEARCH(IF(E$1&lt;&gt;"",E$1,"NA"),'MITRE ATT&amp;CK Mappings'!$E445)),ISNUMBER(SEARCH(IF(E$1&lt;&gt;"",E$1,"NA"),'MITRE ATT&amp;CK Mappings'!$F445))),ISNUMBER(SEARCH(IF(E$2&lt;&gt;"",E$2,"NA"),'MITRE ATT&amp;CK Mappings'!$G445))),ISNUMBER(SEARCH(IF(E$2&lt;&gt;"",E$2,"NA"),'MITRE ATT&amp;CK Mappings'!$H445))),ISNUMBER(SEARCH(IF(E$3&lt;&gt;"",E$3,"NA"),'MITRE ATT&amp;CK Mappings'!$I445))),ISNUMBER(SEARCH(IF(E$3&lt;&gt;"",E$3,"NA"),'MITRE ATT&amp;CK Mappings'!$J445))), 'MITRE ATT&amp;CK Mappings'!$B445,"")</f>
        <v/>
      </c>
      <c r="F449" s="27" t="str">
        <f>IF(OR(OR(OR(OR(OR(ISNUMBER(SEARCH(IF(F$1&lt;&gt;"",F$1,"NA"),'MITRE ATT&amp;CK Mappings'!$E445)),ISNUMBER(SEARCH(IF(F$1&lt;&gt;"",F$1,"NA"),'MITRE ATT&amp;CK Mappings'!$F445))),ISNUMBER(SEARCH(IF(F$2&lt;&gt;"",F$2,"NA"),'MITRE ATT&amp;CK Mappings'!$G445))),ISNUMBER(SEARCH(IF(F$2&lt;&gt;"",F$2,"NA"),'MITRE ATT&amp;CK Mappings'!$H445))),ISNUMBER(SEARCH(IF(F$3&lt;&gt;"",F$3,"NA"),'MITRE ATT&amp;CK Mappings'!$I445))),ISNUMBER(SEARCH(IF(F$3&lt;&gt;"",F$3,"NA"),'MITRE ATT&amp;CK Mappings'!$J445))), 'MITRE ATT&amp;CK Mappings'!$B445,"")</f>
        <v/>
      </c>
      <c r="G449" s="27" t="str">
        <f>IF(OR(OR(OR(OR(OR(ISNUMBER(SEARCH(IF(G$1&lt;&gt;"",G$1,"NA"),'MITRE ATT&amp;CK Mappings'!$E445)),ISNUMBER(SEARCH(IF(G$1&lt;&gt;"",G$1,"NA"),'MITRE ATT&amp;CK Mappings'!$F445))),ISNUMBER(SEARCH(IF(G$2&lt;&gt;"",G$2,"NA"),'MITRE ATT&amp;CK Mappings'!$G445))),ISNUMBER(SEARCH(IF(G$2&lt;&gt;"",G$2,"NA"),'MITRE ATT&amp;CK Mappings'!$H445))),ISNUMBER(SEARCH(IF(G$3&lt;&gt;"",G$3,"NA"),'MITRE ATT&amp;CK Mappings'!$I445))),ISNUMBER(SEARCH(IF(G$3&lt;&gt;"",G$3,"NA"),'MITRE ATT&amp;CK Mappings'!$J445))), 'MITRE ATT&amp;CK Mappings'!$B445,"")</f>
        <v/>
      </c>
      <c r="H449" s="27" t="str">
        <f>IF(OR(OR(OR(OR(OR(ISNUMBER(SEARCH(IF(H$1&lt;&gt;"",H$1,"NA"),'MITRE ATT&amp;CK Mappings'!$E445)),ISNUMBER(SEARCH(IF(H$1&lt;&gt;"",H$1,"NA"),'MITRE ATT&amp;CK Mappings'!$F445))),ISNUMBER(SEARCH(IF(H$2&lt;&gt;"",H$2,"NA"),'MITRE ATT&amp;CK Mappings'!$G445))),ISNUMBER(SEARCH(IF(H$2&lt;&gt;"",H$2,"NA"),'MITRE ATT&amp;CK Mappings'!$H445))),ISNUMBER(SEARCH(IF(H$3&lt;&gt;"",H$3,"NA"),'MITRE ATT&amp;CK Mappings'!$I445))),ISNUMBER(SEARCH(IF(H$3&lt;&gt;"",H$3,"NA"),'MITRE ATT&amp;CK Mappings'!$J445))), 'MITRE ATT&amp;CK Mappings'!$B445,"")</f>
        <v/>
      </c>
      <c r="I449" s="27" t="str">
        <f>IF(OR(OR(OR(OR(OR(ISNUMBER(SEARCH(IF(I$1&lt;&gt;"",I$1,"NA"),'MITRE ATT&amp;CK Mappings'!$E445)),ISNUMBER(SEARCH(IF(I$1&lt;&gt;"",I$1,"NA"),'MITRE ATT&amp;CK Mappings'!$F445))),ISNUMBER(SEARCH(IF(I$2&lt;&gt;"",I$2,"NA"),'MITRE ATT&amp;CK Mappings'!$G445))),ISNUMBER(SEARCH(IF(I$2&lt;&gt;"",I$2,"NA"),'MITRE ATT&amp;CK Mappings'!$H445))),ISNUMBER(SEARCH(IF(I$3&lt;&gt;"",I$3,"NA"),'MITRE ATT&amp;CK Mappings'!$I445))),ISNUMBER(SEARCH(IF(I$3&lt;&gt;"",I$3,"NA"),'MITRE ATT&amp;CK Mappings'!$J445))), 'MITRE ATT&amp;CK Mappings'!$B445,"")</f>
        <v/>
      </c>
      <c r="J449" s="27" t="str">
        <f>IF(OR(OR(OR(OR(OR(ISNUMBER(SEARCH(IF(J$1&lt;&gt;"",J$1,"NA"),'MITRE ATT&amp;CK Mappings'!$E445)),ISNUMBER(SEARCH(IF(J$1&lt;&gt;"",J$1,"NA"),'MITRE ATT&amp;CK Mappings'!$F445))),ISNUMBER(SEARCH(IF(J$2&lt;&gt;"",J$2,"NA"),'MITRE ATT&amp;CK Mappings'!$G445))),ISNUMBER(SEARCH(IF(J$2&lt;&gt;"",J$2,"NA"),'MITRE ATT&amp;CK Mappings'!$H445))),ISNUMBER(SEARCH(IF(J$3&lt;&gt;"",J$3,"NA"),'MITRE ATT&amp;CK Mappings'!$I445))),ISNUMBER(SEARCH(IF(J$3&lt;&gt;"",J$3,"NA"),'MITRE ATT&amp;CK Mappings'!$J445))), 'MITRE ATT&amp;CK Mappings'!$B445,"")</f>
        <v/>
      </c>
      <c r="K449" s="27" t="str">
        <f>IF(OR(OR(OR(OR(OR(ISNUMBER(SEARCH(IF(K$1&lt;&gt;"",K$1,"NA"),'MITRE ATT&amp;CK Mappings'!$E445)),ISNUMBER(SEARCH(IF(K$1&lt;&gt;"",K$1,"NA"),'MITRE ATT&amp;CK Mappings'!$F445))),ISNUMBER(SEARCH(IF(K$2&lt;&gt;"",K$2,"NA"),'MITRE ATT&amp;CK Mappings'!$G445))),ISNUMBER(SEARCH(IF(K$2&lt;&gt;"",K$2,"NA"),'MITRE ATT&amp;CK Mappings'!$H445))),ISNUMBER(SEARCH(IF(K$3&lt;&gt;"",K$3,"NA"),'MITRE ATT&amp;CK Mappings'!$I445))),ISNUMBER(SEARCH(IF(K$3&lt;&gt;"",K$3,"NA"),'MITRE ATT&amp;CK Mappings'!$J445))), 'MITRE ATT&amp;CK Mappings'!$B445,"")</f>
        <v/>
      </c>
      <c r="L449" s="27" t="str">
        <f>IF('MITRE ATT&amp;CK Mappings'!D445 &lt;&gt;"",'MITRE ATT&amp;CK Mappings'!D445,"" )</f>
        <v/>
      </c>
    </row>
    <row r="450" spans="1:12" x14ac:dyDescent="0.25">
      <c r="A450" s="26" t="str">
        <f>IF(COUNTIF(B450:K450,"="&amp;'MITRE ATT&amp;CK Mappings'!B446)&gt;0,'MITRE ATT&amp;CK Mappings'!B446,"")</f>
        <v/>
      </c>
      <c r="B450" s="26" t="str">
        <f>IF(OR(OR(OR(OR(OR(ISNUMBER(SEARCH(IF(B$1&lt;&gt;"",B$1,"NA"),'MITRE ATT&amp;CK Mappings'!$E446)),ISNUMBER(SEARCH(IF(B$1&lt;&gt;"",B$1,"NA"),'MITRE ATT&amp;CK Mappings'!$F446))),ISNUMBER(SEARCH(IF(B$2&lt;&gt;"",B$2,"NA"),'MITRE ATT&amp;CK Mappings'!$G446))),ISNUMBER(SEARCH(IF(B$2&lt;&gt;"",B$2,"NA"),'MITRE ATT&amp;CK Mappings'!$H446))),ISNUMBER(SEARCH(IF(B$3&lt;&gt;"",B$3,"NA"),'MITRE ATT&amp;CK Mappings'!$I446))),ISNUMBER(SEARCH(IF(B$3&lt;&gt;"",B$3,"NA"),'MITRE ATT&amp;CK Mappings'!$J446))), 'MITRE ATT&amp;CK Mappings'!$B446,"")</f>
        <v/>
      </c>
      <c r="C450" s="26" t="str">
        <f>IF(OR(OR(OR(OR(OR(ISNUMBER(SEARCH(IF(C$1&lt;&gt;"",C$1,"NA"),'MITRE ATT&amp;CK Mappings'!$E446)),ISNUMBER(SEARCH(IF(C$1&lt;&gt;"",C$1,"NA"),'MITRE ATT&amp;CK Mappings'!$F446))),ISNUMBER(SEARCH(IF(C$2&lt;&gt;"",C$2,"NA"),'MITRE ATT&amp;CK Mappings'!$G446))),ISNUMBER(SEARCH(IF(C$2&lt;&gt;"",C$2,"NA"),'MITRE ATT&amp;CK Mappings'!$H446))),ISNUMBER(SEARCH(IF(C$3&lt;&gt;"",C$3,"NA"),'MITRE ATT&amp;CK Mappings'!$I446))),ISNUMBER(SEARCH(IF(C$3&lt;&gt;"",C$3,"NA"),'MITRE ATT&amp;CK Mappings'!$J446))), 'MITRE ATT&amp;CK Mappings'!$B446,"")</f>
        <v/>
      </c>
      <c r="D450" s="26" t="str">
        <f>IF(OR(OR(OR(OR(OR(ISNUMBER(SEARCH(IF(D$1&lt;&gt;"",D$1,"NA"),'MITRE ATT&amp;CK Mappings'!$E446)),ISNUMBER(SEARCH(IF(D$1&lt;&gt;"",D$1,"NA"),'MITRE ATT&amp;CK Mappings'!$F446))),ISNUMBER(SEARCH(IF(D$2&lt;&gt;"",D$2,"NA"),'MITRE ATT&amp;CK Mappings'!$G446))),ISNUMBER(SEARCH(IF(D$2&lt;&gt;"",D$2,"NA"),'MITRE ATT&amp;CK Mappings'!$H446))),ISNUMBER(SEARCH(IF(D$3&lt;&gt;"",D$3,"NA"),'MITRE ATT&amp;CK Mappings'!$I446))),ISNUMBER(SEARCH(IF(D$3&lt;&gt;"",D$3,"NA"),'MITRE ATT&amp;CK Mappings'!$J446))), 'MITRE ATT&amp;CK Mappings'!$B446,"")</f>
        <v/>
      </c>
      <c r="E450" s="26" t="str">
        <f>IF(OR(OR(OR(OR(OR(ISNUMBER(SEARCH(IF(E$1&lt;&gt;"",E$1,"NA"),'MITRE ATT&amp;CK Mappings'!$E446)),ISNUMBER(SEARCH(IF(E$1&lt;&gt;"",E$1,"NA"),'MITRE ATT&amp;CK Mappings'!$F446))),ISNUMBER(SEARCH(IF(E$2&lt;&gt;"",E$2,"NA"),'MITRE ATT&amp;CK Mappings'!$G446))),ISNUMBER(SEARCH(IF(E$2&lt;&gt;"",E$2,"NA"),'MITRE ATT&amp;CK Mappings'!$H446))),ISNUMBER(SEARCH(IF(E$3&lt;&gt;"",E$3,"NA"),'MITRE ATT&amp;CK Mappings'!$I446))),ISNUMBER(SEARCH(IF(E$3&lt;&gt;"",E$3,"NA"),'MITRE ATT&amp;CK Mappings'!$J446))), 'MITRE ATT&amp;CK Mappings'!$B446,"")</f>
        <v/>
      </c>
      <c r="F450" s="26" t="str">
        <f>IF(OR(OR(OR(OR(OR(ISNUMBER(SEARCH(IF(F$1&lt;&gt;"",F$1,"NA"),'MITRE ATT&amp;CK Mappings'!$E446)),ISNUMBER(SEARCH(IF(F$1&lt;&gt;"",F$1,"NA"),'MITRE ATT&amp;CK Mappings'!$F446))),ISNUMBER(SEARCH(IF(F$2&lt;&gt;"",F$2,"NA"),'MITRE ATT&amp;CK Mappings'!$G446))),ISNUMBER(SEARCH(IF(F$2&lt;&gt;"",F$2,"NA"),'MITRE ATT&amp;CK Mappings'!$H446))),ISNUMBER(SEARCH(IF(F$3&lt;&gt;"",F$3,"NA"),'MITRE ATT&amp;CK Mappings'!$I446))),ISNUMBER(SEARCH(IF(F$3&lt;&gt;"",F$3,"NA"),'MITRE ATT&amp;CK Mappings'!$J446))), 'MITRE ATT&amp;CK Mappings'!$B446,"")</f>
        <v/>
      </c>
      <c r="G450" s="26" t="str">
        <f>IF(OR(OR(OR(OR(OR(ISNUMBER(SEARCH(IF(G$1&lt;&gt;"",G$1,"NA"),'MITRE ATT&amp;CK Mappings'!$E446)),ISNUMBER(SEARCH(IF(G$1&lt;&gt;"",G$1,"NA"),'MITRE ATT&amp;CK Mappings'!$F446))),ISNUMBER(SEARCH(IF(G$2&lt;&gt;"",G$2,"NA"),'MITRE ATT&amp;CK Mappings'!$G446))),ISNUMBER(SEARCH(IF(G$2&lt;&gt;"",G$2,"NA"),'MITRE ATT&amp;CK Mappings'!$H446))),ISNUMBER(SEARCH(IF(G$3&lt;&gt;"",G$3,"NA"),'MITRE ATT&amp;CK Mappings'!$I446))),ISNUMBER(SEARCH(IF(G$3&lt;&gt;"",G$3,"NA"),'MITRE ATT&amp;CK Mappings'!$J446))), 'MITRE ATT&amp;CK Mappings'!$B446,"")</f>
        <v/>
      </c>
      <c r="H450" s="26" t="str">
        <f>IF(OR(OR(OR(OR(OR(ISNUMBER(SEARCH(IF(H$1&lt;&gt;"",H$1,"NA"),'MITRE ATT&amp;CK Mappings'!$E446)),ISNUMBER(SEARCH(IF(H$1&lt;&gt;"",H$1,"NA"),'MITRE ATT&amp;CK Mappings'!$F446))),ISNUMBER(SEARCH(IF(H$2&lt;&gt;"",H$2,"NA"),'MITRE ATT&amp;CK Mappings'!$G446))),ISNUMBER(SEARCH(IF(H$2&lt;&gt;"",H$2,"NA"),'MITRE ATT&amp;CK Mappings'!$H446))),ISNUMBER(SEARCH(IF(H$3&lt;&gt;"",H$3,"NA"),'MITRE ATT&amp;CK Mappings'!$I446))),ISNUMBER(SEARCH(IF(H$3&lt;&gt;"",H$3,"NA"),'MITRE ATT&amp;CK Mappings'!$J446))), 'MITRE ATT&amp;CK Mappings'!$B446,"")</f>
        <v/>
      </c>
      <c r="I450" s="26" t="str">
        <f>IF(OR(OR(OR(OR(OR(ISNUMBER(SEARCH(IF(I$1&lt;&gt;"",I$1,"NA"),'MITRE ATT&amp;CK Mappings'!$E446)),ISNUMBER(SEARCH(IF(I$1&lt;&gt;"",I$1,"NA"),'MITRE ATT&amp;CK Mappings'!$F446))),ISNUMBER(SEARCH(IF(I$2&lt;&gt;"",I$2,"NA"),'MITRE ATT&amp;CK Mappings'!$G446))),ISNUMBER(SEARCH(IF(I$2&lt;&gt;"",I$2,"NA"),'MITRE ATT&amp;CK Mappings'!$H446))),ISNUMBER(SEARCH(IF(I$3&lt;&gt;"",I$3,"NA"),'MITRE ATT&amp;CK Mappings'!$I446))),ISNUMBER(SEARCH(IF(I$3&lt;&gt;"",I$3,"NA"),'MITRE ATT&amp;CK Mappings'!$J446))), 'MITRE ATT&amp;CK Mappings'!$B446,"")</f>
        <v/>
      </c>
      <c r="J450" s="26" t="str">
        <f>IF(OR(OR(OR(OR(OR(ISNUMBER(SEARCH(IF(J$1&lt;&gt;"",J$1,"NA"),'MITRE ATT&amp;CK Mappings'!$E446)),ISNUMBER(SEARCH(IF(J$1&lt;&gt;"",J$1,"NA"),'MITRE ATT&amp;CK Mappings'!$F446))),ISNUMBER(SEARCH(IF(J$2&lt;&gt;"",J$2,"NA"),'MITRE ATT&amp;CK Mappings'!$G446))),ISNUMBER(SEARCH(IF(J$2&lt;&gt;"",J$2,"NA"),'MITRE ATT&amp;CK Mappings'!$H446))),ISNUMBER(SEARCH(IF(J$3&lt;&gt;"",J$3,"NA"),'MITRE ATT&amp;CK Mappings'!$I446))),ISNUMBER(SEARCH(IF(J$3&lt;&gt;"",J$3,"NA"),'MITRE ATT&amp;CK Mappings'!$J446))), 'MITRE ATT&amp;CK Mappings'!$B446,"")</f>
        <v/>
      </c>
      <c r="K450" s="26" t="str">
        <f>IF(OR(OR(OR(OR(OR(ISNUMBER(SEARCH(IF(K$1&lt;&gt;"",K$1,"NA"),'MITRE ATT&amp;CK Mappings'!$E446)),ISNUMBER(SEARCH(IF(K$1&lt;&gt;"",K$1,"NA"),'MITRE ATT&amp;CK Mappings'!$F446))),ISNUMBER(SEARCH(IF(K$2&lt;&gt;"",K$2,"NA"),'MITRE ATT&amp;CK Mappings'!$G446))),ISNUMBER(SEARCH(IF(K$2&lt;&gt;"",K$2,"NA"),'MITRE ATT&amp;CK Mappings'!$H446))),ISNUMBER(SEARCH(IF(K$3&lt;&gt;"",K$3,"NA"),'MITRE ATT&amp;CK Mappings'!$I446))),ISNUMBER(SEARCH(IF(K$3&lt;&gt;"",K$3,"NA"),'MITRE ATT&amp;CK Mappings'!$J446))), 'MITRE ATT&amp;CK Mappings'!$B446,"")</f>
        <v/>
      </c>
      <c r="L450" s="26" t="str">
        <f>IF('MITRE ATT&amp;CK Mappings'!D446 &lt;&gt;"",'MITRE ATT&amp;CK Mappings'!D446,"" )</f>
        <v/>
      </c>
    </row>
    <row r="451" spans="1:12" x14ac:dyDescent="0.25">
      <c r="A451" s="27" t="str">
        <f>IF(COUNTIF(B451:K451,"="&amp;'MITRE ATT&amp;CK Mappings'!B447)&gt;0,'MITRE ATT&amp;CK Mappings'!B447,"")</f>
        <v/>
      </c>
      <c r="B451" s="27" t="str">
        <f>IF(OR(OR(OR(OR(OR(ISNUMBER(SEARCH(IF(B$1&lt;&gt;"",B$1,"NA"),'MITRE ATT&amp;CK Mappings'!$E447)),ISNUMBER(SEARCH(IF(B$1&lt;&gt;"",B$1,"NA"),'MITRE ATT&amp;CK Mappings'!$F447))),ISNUMBER(SEARCH(IF(B$2&lt;&gt;"",B$2,"NA"),'MITRE ATT&amp;CK Mappings'!$G447))),ISNUMBER(SEARCH(IF(B$2&lt;&gt;"",B$2,"NA"),'MITRE ATT&amp;CK Mappings'!$H447))),ISNUMBER(SEARCH(IF(B$3&lt;&gt;"",B$3,"NA"),'MITRE ATT&amp;CK Mappings'!$I447))),ISNUMBER(SEARCH(IF(B$3&lt;&gt;"",B$3,"NA"),'MITRE ATT&amp;CK Mappings'!$J447))), 'MITRE ATT&amp;CK Mappings'!$B447,"")</f>
        <v/>
      </c>
      <c r="C451" s="27" t="str">
        <f>IF(OR(OR(OR(OR(OR(ISNUMBER(SEARCH(IF(C$1&lt;&gt;"",C$1,"NA"),'MITRE ATT&amp;CK Mappings'!$E447)),ISNUMBER(SEARCH(IF(C$1&lt;&gt;"",C$1,"NA"),'MITRE ATT&amp;CK Mappings'!$F447))),ISNUMBER(SEARCH(IF(C$2&lt;&gt;"",C$2,"NA"),'MITRE ATT&amp;CK Mappings'!$G447))),ISNUMBER(SEARCH(IF(C$2&lt;&gt;"",C$2,"NA"),'MITRE ATT&amp;CK Mappings'!$H447))),ISNUMBER(SEARCH(IF(C$3&lt;&gt;"",C$3,"NA"),'MITRE ATT&amp;CK Mappings'!$I447))),ISNUMBER(SEARCH(IF(C$3&lt;&gt;"",C$3,"NA"),'MITRE ATT&amp;CK Mappings'!$J447))), 'MITRE ATT&amp;CK Mappings'!$B447,"")</f>
        <v/>
      </c>
      <c r="D451" s="27" t="str">
        <f>IF(OR(OR(OR(OR(OR(ISNUMBER(SEARCH(IF(D$1&lt;&gt;"",D$1,"NA"),'MITRE ATT&amp;CK Mappings'!$E447)),ISNUMBER(SEARCH(IF(D$1&lt;&gt;"",D$1,"NA"),'MITRE ATT&amp;CK Mappings'!$F447))),ISNUMBER(SEARCH(IF(D$2&lt;&gt;"",D$2,"NA"),'MITRE ATT&amp;CK Mappings'!$G447))),ISNUMBER(SEARCH(IF(D$2&lt;&gt;"",D$2,"NA"),'MITRE ATT&amp;CK Mappings'!$H447))),ISNUMBER(SEARCH(IF(D$3&lt;&gt;"",D$3,"NA"),'MITRE ATT&amp;CK Mappings'!$I447))),ISNUMBER(SEARCH(IF(D$3&lt;&gt;"",D$3,"NA"),'MITRE ATT&amp;CK Mappings'!$J447))), 'MITRE ATT&amp;CK Mappings'!$B447,"")</f>
        <v/>
      </c>
      <c r="E451" s="27" t="str">
        <f>IF(OR(OR(OR(OR(OR(ISNUMBER(SEARCH(IF(E$1&lt;&gt;"",E$1,"NA"),'MITRE ATT&amp;CK Mappings'!$E447)),ISNUMBER(SEARCH(IF(E$1&lt;&gt;"",E$1,"NA"),'MITRE ATT&amp;CK Mappings'!$F447))),ISNUMBER(SEARCH(IF(E$2&lt;&gt;"",E$2,"NA"),'MITRE ATT&amp;CK Mappings'!$G447))),ISNUMBER(SEARCH(IF(E$2&lt;&gt;"",E$2,"NA"),'MITRE ATT&amp;CK Mappings'!$H447))),ISNUMBER(SEARCH(IF(E$3&lt;&gt;"",E$3,"NA"),'MITRE ATT&amp;CK Mappings'!$I447))),ISNUMBER(SEARCH(IF(E$3&lt;&gt;"",E$3,"NA"),'MITRE ATT&amp;CK Mappings'!$J447))), 'MITRE ATT&amp;CK Mappings'!$B447,"")</f>
        <v/>
      </c>
      <c r="F451" s="27" t="str">
        <f>IF(OR(OR(OR(OR(OR(ISNUMBER(SEARCH(IF(F$1&lt;&gt;"",F$1,"NA"),'MITRE ATT&amp;CK Mappings'!$E447)),ISNUMBER(SEARCH(IF(F$1&lt;&gt;"",F$1,"NA"),'MITRE ATT&amp;CK Mappings'!$F447))),ISNUMBER(SEARCH(IF(F$2&lt;&gt;"",F$2,"NA"),'MITRE ATT&amp;CK Mappings'!$G447))),ISNUMBER(SEARCH(IF(F$2&lt;&gt;"",F$2,"NA"),'MITRE ATT&amp;CK Mappings'!$H447))),ISNUMBER(SEARCH(IF(F$3&lt;&gt;"",F$3,"NA"),'MITRE ATT&amp;CK Mappings'!$I447))),ISNUMBER(SEARCH(IF(F$3&lt;&gt;"",F$3,"NA"),'MITRE ATT&amp;CK Mappings'!$J447))), 'MITRE ATT&amp;CK Mappings'!$B447,"")</f>
        <v/>
      </c>
      <c r="G451" s="27" t="str">
        <f>IF(OR(OR(OR(OR(OR(ISNUMBER(SEARCH(IF(G$1&lt;&gt;"",G$1,"NA"),'MITRE ATT&amp;CK Mappings'!$E447)),ISNUMBER(SEARCH(IF(G$1&lt;&gt;"",G$1,"NA"),'MITRE ATT&amp;CK Mappings'!$F447))),ISNUMBER(SEARCH(IF(G$2&lt;&gt;"",G$2,"NA"),'MITRE ATT&amp;CK Mappings'!$G447))),ISNUMBER(SEARCH(IF(G$2&lt;&gt;"",G$2,"NA"),'MITRE ATT&amp;CK Mappings'!$H447))),ISNUMBER(SEARCH(IF(G$3&lt;&gt;"",G$3,"NA"),'MITRE ATT&amp;CK Mappings'!$I447))),ISNUMBER(SEARCH(IF(G$3&lt;&gt;"",G$3,"NA"),'MITRE ATT&amp;CK Mappings'!$J447))), 'MITRE ATT&amp;CK Mappings'!$B447,"")</f>
        <v/>
      </c>
      <c r="H451" s="27" t="str">
        <f>IF(OR(OR(OR(OR(OR(ISNUMBER(SEARCH(IF(H$1&lt;&gt;"",H$1,"NA"),'MITRE ATT&amp;CK Mappings'!$E447)),ISNUMBER(SEARCH(IF(H$1&lt;&gt;"",H$1,"NA"),'MITRE ATT&amp;CK Mappings'!$F447))),ISNUMBER(SEARCH(IF(H$2&lt;&gt;"",H$2,"NA"),'MITRE ATT&amp;CK Mappings'!$G447))),ISNUMBER(SEARCH(IF(H$2&lt;&gt;"",H$2,"NA"),'MITRE ATT&amp;CK Mappings'!$H447))),ISNUMBER(SEARCH(IF(H$3&lt;&gt;"",H$3,"NA"),'MITRE ATT&amp;CK Mappings'!$I447))),ISNUMBER(SEARCH(IF(H$3&lt;&gt;"",H$3,"NA"),'MITRE ATT&amp;CK Mappings'!$J447))), 'MITRE ATT&amp;CK Mappings'!$B447,"")</f>
        <v/>
      </c>
      <c r="I451" s="27" t="str">
        <f>IF(OR(OR(OR(OR(OR(ISNUMBER(SEARCH(IF(I$1&lt;&gt;"",I$1,"NA"),'MITRE ATT&amp;CK Mappings'!$E447)),ISNUMBER(SEARCH(IF(I$1&lt;&gt;"",I$1,"NA"),'MITRE ATT&amp;CK Mappings'!$F447))),ISNUMBER(SEARCH(IF(I$2&lt;&gt;"",I$2,"NA"),'MITRE ATT&amp;CK Mappings'!$G447))),ISNUMBER(SEARCH(IF(I$2&lt;&gt;"",I$2,"NA"),'MITRE ATT&amp;CK Mappings'!$H447))),ISNUMBER(SEARCH(IF(I$3&lt;&gt;"",I$3,"NA"),'MITRE ATT&amp;CK Mappings'!$I447))),ISNUMBER(SEARCH(IF(I$3&lt;&gt;"",I$3,"NA"),'MITRE ATT&amp;CK Mappings'!$J447))), 'MITRE ATT&amp;CK Mappings'!$B447,"")</f>
        <v/>
      </c>
      <c r="J451" s="27" t="str">
        <f>IF(OR(OR(OR(OR(OR(ISNUMBER(SEARCH(IF(J$1&lt;&gt;"",J$1,"NA"),'MITRE ATT&amp;CK Mappings'!$E447)),ISNUMBER(SEARCH(IF(J$1&lt;&gt;"",J$1,"NA"),'MITRE ATT&amp;CK Mappings'!$F447))),ISNUMBER(SEARCH(IF(J$2&lt;&gt;"",J$2,"NA"),'MITRE ATT&amp;CK Mappings'!$G447))),ISNUMBER(SEARCH(IF(J$2&lt;&gt;"",J$2,"NA"),'MITRE ATT&amp;CK Mappings'!$H447))),ISNUMBER(SEARCH(IF(J$3&lt;&gt;"",J$3,"NA"),'MITRE ATT&amp;CK Mappings'!$I447))),ISNUMBER(SEARCH(IF(J$3&lt;&gt;"",J$3,"NA"),'MITRE ATT&amp;CK Mappings'!$J447))), 'MITRE ATT&amp;CK Mappings'!$B447,"")</f>
        <v/>
      </c>
      <c r="K451" s="27" t="str">
        <f>IF(OR(OR(OR(OR(OR(ISNUMBER(SEARCH(IF(K$1&lt;&gt;"",K$1,"NA"),'MITRE ATT&amp;CK Mappings'!$E447)),ISNUMBER(SEARCH(IF(K$1&lt;&gt;"",K$1,"NA"),'MITRE ATT&amp;CK Mappings'!$F447))),ISNUMBER(SEARCH(IF(K$2&lt;&gt;"",K$2,"NA"),'MITRE ATT&amp;CK Mappings'!$G447))),ISNUMBER(SEARCH(IF(K$2&lt;&gt;"",K$2,"NA"),'MITRE ATT&amp;CK Mappings'!$H447))),ISNUMBER(SEARCH(IF(K$3&lt;&gt;"",K$3,"NA"),'MITRE ATT&amp;CK Mappings'!$I447))),ISNUMBER(SEARCH(IF(K$3&lt;&gt;"",K$3,"NA"),'MITRE ATT&amp;CK Mappings'!$J447))), 'MITRE ATT&amp;CK Mappings'!$B447,"")</f>
        <v/>
      </c>
      <c r="L451" s="27" t="str">
        <f>IF('MITRE ATT&amp;CK Mappings'!D447 &lt;&gt;"",'MITRE ATT&amp;CK Mappings'!D447,"" )</f>
        <v/>
      </c>
    </row>
    <row r="452" spans="1:12" x14ac:dyDescent="0.25">
      <c r="A452" s="26" t="str">
        <f>IF(COUNTIF(B452:K452,"="&amp;'MITRE ATT&amp;CK Mappings'!B448)&gt;0,'MITRE ATT&amp;CK Mappings'!B448,"")</f>
        <v/>
      </c>
      <c r="B452" s="26" t="str">
        <f>IF(OR(OR(OR(OR(OR(ISNUMBER(SEARCH(IF(B$1&lt;&gt;"",B$1,"NA"),'MITRE ATT&amp;CK Mappings'!$E448)),ISNUMBER(SEARCH(IF(B$1&lt;&gt;"",B$1,"NA"),'MITRE ATT&amp;CK Mappings'!$F448))),ISNUMBER(SEARCH(IF(B$2&lt;&gt;"",B$2,"NA"),'MITRE ATT&amp;CK Mappings'!$G448))),ISNUMBER(SEARCH(IF(B$2&lt;&gt;"",B$2,"NA"),'MITRE ATT&amp;CK Mappings'!$H448))),ISNUMBER(SEARCH(IF(B$3&lt;&gt;"",B$3,"NA"),'MITRE ATT&amp;CK Mappings'!$I448))),ISNUMBER(SEARCH(IF(B$3&lt;&gt;"",B$3,"NA"),'MITRE ATT&amp;CK Mappings'!$J448))), 'MITRE ATT&amp;CK Mappings'!$B448,"")</f>
        <v/>
      </c>
      <c r="C452" s="26" t="str">
        <f>IF(OR(OR(OR(OR(OR(ISNUMBER(SEARCH(IF(C$1&lt;&gt;"",C$1,"NA"),'MITRE ATT&amp;CK Mappings'!$E448)),ISNUMBER(SEARCH(IF(C$1&lt;&gt;"",C$1,"NA"),'MITRE ATT&amp;CK Mappings'!$F448))),ISNUMBER(SEARCH(IF(C$2&lt;&gt;"",C$2,"NA"),'MITRE ATT&amp;CK Mappings'!$G448))),ISNUMBER(SEARCH(IF(C$2&lt;&gt;"",C$2,"NA"),'MITRE ATT&amp;CK Mappings'!$H448))),ISNUMBER(SEARCH(IF(C$3&lt;&gt;"",C$3,"NA"),'MITRE ATT&amp;CK Mappings'!$I448))),ISNUMBER(SEARCH(IF(C$3&lt;&gt;"",C$3,"NA"),'MITRE ATT&amp;CK Mappings'!$J448))), 'MITRE ATT&amp;CK Mappings'!$B448,"")</f>
        <v/>
      </c>
      <c r="D452" s="26" t="str">
        <f>IF(OR(OR(OR(OR(OR(ISNUMBER(SEARCH(IF(D$1&lt;&gt;"",D$1,"NA"),'MITRE ATT&amp;CK Mappings'!$E448)),ISNUMBER(SEARCH(IF(D$1&lt;&gt;"",D$1,"NA"),'MITRE ATT&amp;CK Mappings'!$F448))),ISNUMBER(SEARCH(IF(D$2&lt;&gt;"",D$2,"NA"),'MITRE ATT&amp;CK Mappings'!$G448))),ISNUMBER(SEARCH(IF(D$2&lt;&gt;"",D$2,"NA"),'MITRE ATT&amp;CK Mappings'!$H448))),ISNUMBER(SEARCH(IF(D$3&lt;&gt;"",D$3,"NA"),'MITRE ATT&amp;CK Mappings'!$I448))),ISNUMBER(SEARCH(IF(D$3&lt;&gt;"",D$3,"NA"),'MITRE ATT&amp;CK Mappings'!$J448))), 'MITRE ATT&amp;CK Mappings'!$B448,"")</f>
        <v/>
      </c>
      <c r="E452" s="26" t="str">
        <f>IF(OR(OR(OR(OR(OR(ISNUMBER(SEARCH(IF(E$1&lt;&gt;"",E$1,"NA"),'MITRE ATT&amp;CK Mappings'!$E448)),ISNUMBER(SEARCH(IF(E$1&lt;&gt;"",E$1,"NA"),'MITRE ATT&amp;CK Mappings'!$F448))),ISNUMBER(SEARCH(IF(E$2&lt;&gt;"",E$2,"NA"),'MITRE ATT&amp;CK Mappings'!$G448))),ISNUMBER(SEARCH(IF(E$2&lt;&gt;"",E$2,"NA"),'MITRE ATT&amp;CK Mappings'!$H448))),ISNUMBER(SEARCH(IF(E$3&lt;&gt;"",E$3,"NA"),'MITRE ATT&amp;CK Mappings'!$I448))),ISNUMBER(SEARCH(IF(E$3&lt;&gt;"",E$3,"NA"),'MITRE ATT&amp;CK Mappings'!$J448))), 'MITRE ATT&amp;CK Mappings'!$B448,"")</f>
        <v/>
      </c>
      <c r="F452" s="26" t="str">
        <f>IF(OR(OR(OR(OR(OR(ISNUMBER(SEARCH(IF(F$1&lt;&gt;"",F$1,"NA"),'MITRE ATT&amp;CK Mappings'!$E448)),ISNUMBER(SEARCH(IF(F$1&lt;&gt;"",F$1,"NA"),'MITRE ATT&amp;CK Mappings'!$F448))),ISNUMBER(SEARCH(IF(F$2&lt;&gt;"",F$2,"NA"),'MITRE ATT&amp;CK Mappings'!$G448))),ISNUMBER(SEARCH(IF(F$2&lt;&gt;"",F$2,"NA"),'MITRE ATT&amp;CK Mappings'!$H448))),ISNUMBER(SEARCH(IF(F$3&lt;&gt;"",F$3,"NA"),'MITRE ATT&amp;CK Mappings'!$I448))),ISNUMBER(SEARCH(IF(F$3&lt;&gt;"",F$3,"NA"),'MITRE ATT&amp;CK Mappings'!$J448))), 'MITRE ATT&amp;CK Mappings'!$B448,"")</f>
        <v/>
      </c>
      <c r="G452" s="26" t="str">
        <f>IF(OR(OR(OR(OR(OR(ISNUMBER(SEARCH(IF(G$1&lt;&gt;"",G$1,"NA"),'MITRE ATT&amp;CK Mappings'!$E448)),ISNUMBER(SEARCH(IF(G$1&lt;&gt;"",G$1,"NA"),'MITRE ATT&amp;CK Mappings'!$F448))),ISNUMBER(SEARCH(IF(G$2&lt;&gt;"",G$2,"NA"),'MITRE ATT&amp;CK Mappings'!$G448))),ISNUMBER(SEARCH(IF(G$2&lt;&gt;"",G$2,"NA"),'MITRE ATT&amp;CK Mappings'!$H448))),ISNUMBER(SEARCH(IF(G$3&lt;&gt;"",G$3,"NA"),'MITRE ATT&amp;CK Mappings'!$I448))),ISNUMBER(SEARCH(IF(G$3&lt;&gt;"",G$3,"NA"),'MITRE ATT&amp;CK Mappings'!$J448))), 'MITRE ATT&amp;CK Mappings'!$B448,"")</f>
        <v/>
      </c>
      <c r="H452" s="26" t="str">
        <f>IF(OR(OR(OR(OR(OR(ISNUMBER(SEARCH(IF(H$1&lt;&gt;"",H$1,"NA"),'MITRE ATT&amp;CK Mappings'!$E448)),ISNUMBER(SEARCH(IF(H$1&lt;&gt;"",H$1,"NA"),'MITRE ATT&amp;CK Mappings'!$F448))),ISNUMBER(SEARCH(IF(H$2&lt;&gt;"",H$2,"NA"),'MITRE ATT&amp;CK Mappings'!$G448))),ISNUMBER(SEARCH(IF(H$2&lt;&gt;"",H$2,"NA"),'MITRE ATT&amp;CK Mappings'!$H448))),ISNUMBER(SEARCH(IF(H$3&lt;&gt;"",H$3,"NA"),'MITRE ATT&amp;CK Mappings'!$I448))),ISNUMBER(SEARCH(IF(H$3&lt;&gt;"",H$3,"NA"),'MITRE ATT&amp;CK Mappings'!$J448))), 'MITRE ATT&amp;CK Mappings'!$B448,"")</f>
        <v/>
      </c>
      <c r="I452" s="26" t="str">
        <f>IF(OR(OR(OR(OR(OR(ISNUMBER(SEARCH(IF(I$1&lt;&gt;"",I$1,"NA"),'MITRE ATT&amp;CK Mappings'!$E448)),ISNUMBER(SEARCH(IF(I$1&lt;&gt;"",I$1,"NA"),'MITRE ATT&amp;CK Mappings'!$F448))),ISNUMBER(SEARCH(IF(I$2&lt;&gt;"",I$2,"NA"),'MITRE ATT&amp;CK Mappings'!$G448))),ISNUMBER(SEARCH(IF(I$2&lt;&gt;"",I$2,"NA"),'MITRE ATT&amp;CK Mappings'!$H448))),ISNUMBER(SEARCH(IF(I$3&lt;&gt;"",I$3,"NA"),'MITRE ATT&amp;CK Mappings'!$I448))),ISNUMBER(SEARCH(IF(I$3&lt;&gt;"",I$3,"NA"),'MITRE ATT&amp;CK Mappings'!$J448))), 'MITRE ATT&amp;CK Mappings'!$B448,"")</f>
        <v/>
      </c>
      <c r="J452" s="26" t="str">
        <f>IF(OR(OR(OR(OR(OR(ISNUMBER(SEARCH(IF(J$1&lt;&gt;"",J$1,"NA"),'MITRE ATT&amp;CK Mappings'!$E448)),ISNUMBER(SEARCH(IF(J$1&lt;&gt;"",J$1,"NA"),'MITRE ATT&amp;CK Mappings'!$F448))),ISNUMBER(SEARCH(IF(J$2&lt;&gt;"",J$2,"NA"),'MITRE ATT&amp;CK Mappings'!$G448))),ISNUMBER(SEARCH(IF(J$2&lt;&gt;"",J$2,"NA"),'MITRE ATT&amp;CK Mappings'!$H448))),ISNUMBER(SEARCH(IF(J$3&lt;&gt;"",J$3,"NA"),'MITRE ATT&amp;CK Mappings'!$I448))),ISNUMBER(SEARCH(IF(J$3&lt;&gt;"",J$3,"NA"),'MITRE ATT&amp;CK Mappings'!$J448))), 'MITRE ATT&amp;CK Mappings'!$B448,"")</f>
        <v/>
      </c>
      <c r="K452" s="26" t="str">
        <f>IF(OR(OR(OR(OR(OR(ISNUMBER(SEARCH(IF(K$1&lt;&gt;"",K$1,"NA"),'MITRE ATT&amp;CK Mappings'!$E448)),ISNUMBER(SEARCH(IF(K$1&lt;&gt;"",K$1,"NA"),'MITRE ATT&amp;CK Mappings'!$F448))),ISNUMBER(SEARCH(IF(K$2&lt;&gt;"",K$2,"NA"),'MITRE ATT&amp;CK Mappings'!$G448))),ISNUMBER(SEARCH(IF(K$2&lt;&gt;"",K$2,"NA"),'MITRE ATT&amp;CK Mappings'!$H448))),ISNUMBER(SEARCH(IF(K$3&lt;&gt;"",K$3,"NA"),'MITRE ATT&amp;CK Mappings'!$I448))),ISNUMBER(SEARCH(IF(K$3&lt;&gt;"",K$3,"NA"),'MITRE ATT&amp;CK Mappings'!$J448))), 'MITRE ATT&amp;CK Mappings'!$B448,"")</f>
        <v/>
      </c>
      <c r="L452" s="26" t="str">
        <f>IF('MITRE ATT&amp;CK Mappings'!D448 &lt;&gt;"",'MITRE ATT&amp;CK Mappings'!D448,"" )</f>
        <v/>
      </c>
    </row>
    <row r="453" spans="1:12" x14ac:dyDescent="0.25">
      <c r="A453" s="27" t="str">
        <f>IF(COUNTIF(B453:K453,"="&amp;'MITRE ATT&amp;CK Mappings'!B449)&gt;0,'MITRE ATT&amp;CK Mappings'!B449,"")</f>
        <v/>
      </c>
      <c r="B453" s="27" t="str">
        <f>IF(OR(OR(OR(OR(OR(ISNUMBER(SEARCH(IF(B$1&lt;&gt;"",B$1,"NA"),'MITRE ATT&amp;CK Mappings'!$E449)),ISNUMBER(SEARCH(IF(B$1&lt;&gt;"",B$1,"NA"),'MITRE ATT&amp;CK Mappings'!$F449))),ISNUMBER(SEARCH(IF(B$2&lt;&gt;"",B$2,"NA"),'MITRE ATT&amp;CK Mappings'!$G449))),ISNUMBER(SEARCH(IF(B$2&lt;&gt;"",B$2,"NA"),'MITRE ATT&amp;CK Mappings'!$H449))),ISNUMBER(SEARCH(IF(B$3&lt;&gt;"",B$3,"NA"),'MITRE ATT&amp;CK Mappings'!$I449))),ISNUMBER(SEARCH(IF(B$3&lt;&gt;"",B$3,"NA"),'MITRE ATT&amp;CK Mappings'!$J449))), 'MITRE ATT&amp;CK Mappings'!$B449,"")</f>
        <v/>
      </c>
      <c r="C453" s="27" t="str">
        <f>IF(OR(OR(OR(OR(OR(ISNUMBER(SEARCH(IF(C$1&lt;&gt;"",C$1,"NA"),'MITRE ATT&amp;CK Mappings'!$E449)),ISNUMBER(SEARCH(IF(C$1&lt;&gt;"",C$1,"NA"),'MITRE ATT&amp;CK Mappings'!$F449))),ISNUMBER(SEARCH(IF(C$2&lt;&gt;"",C$2,"NA"),'MITRE ATT&amp;CK Mappings'!$G449))),ISNUMBER(SEARCH(IF(C$2&lt;&gt;"",C$2,"NA"),'MITRE ATT&amp;CK Mappings'!$H449))),ISNUMBER(SEARCH(IF(C$3&lt;&gt;"",C$3,"NA"),'MITRE ATT&amp;CK Mappings'!$I449))),ISNUMBER(SEARCH(IF(C$3&lt;&gt;"",C$3,"NA"),'MITRE ATT&amp;CK Mappings'!$J449))), 'MITRE ATT&amp;CK Mappings'!$B449,"")</f>
        <v/>
      </c>
      <c r="D453" s="27" t="str">
        <f>IF(OR(OR(OR(OR(OR(ISNUMBER(SEARCH(IF(D$1&lt;&gt;"",D$1,"NA"),'MITRE ATT&amp;CK Mappings'!$E449)),ISNUMBER(SEARCH(IF(D$1&lt;&gt;"",D$1,"NA"),'MITRE ATT&amp;CK Mappings'!$F449))),ISNUMBER(SEARCH(IF(D$2&lt;&gt;"",D$2,"NA"),'MITRE ATT&amp;CK Mappings'!$G449))),ISNUMBER(SEARCH(IF(D$2&lt;&gt;"",D$2,"NA"),'MITRE ATT&amp;CK Mappings'!$H449))),ISNUMBER(SEARCH(IF(D$3&lt;&gt;"",D$3,"NA"),'MITRE ATT&amp;CK Mappings'!$I449))),ISNUMBER(SEARCH(IF(D$3&lt;&gt;"",D$3,"NA"),'MITRE ATT&amp;CK Mappings'!$J449))), 'MITRE ATT&amp;CK Mappings'!$B449,"")</f>
        <v/>
      </c>
      <c r="E453" s="27" t="str">
        <f>IF(OR(OR(OR(OR(OR(ISNUMBER(SEARCH(IF(E$1&lt;&gt;"",E$1,"NA"),'MITRE ATT&amp;CK Mappings'!$E449)),ISNUMBER(SEARCH(IF(E$1&lt;&gt;"",E$1,"NA"),'MITRE ATT&amp;CK Mappings'!$F449))),ISNUMBER(SEARCH(IF(E$2&lt;&gt;"",E$2,"NA"),'MITRE ATT&amp;CK Mappings'!$G449))),ISNUMBER(SEARCH(IF(E$2&lt;&gt;"",E$2,"NA"),'MITRE ATT&amp;CK Mappings'!$H449))),ISNUMBER(SEARCH(IF(E$3&lt;&gt;"",E$3,"NA"),'MITRE ATT&amp;CK Mappings'!$I449))),ISNUMBER(SEARCH(IF(E$3&lt;&gt;"",E$3,"NA"),'MITRE ATT&amp;CK Mappings'!$J449))), 'MITRE ATT&amp;CK Mappings'!$B449,"")</f>
        <v/>
      </c>
      <c r="F453" s="27" t="str">
        <f>IF(OR(OR(OR(OR(OR(ISNUMBER(SEARCH(IF(F$1&lt;&gt;"",F$1,"NA"),'MITRE ATT&amp;CK Mappings'!$E449)),ISNUMBER(SEARCH(IF(F$1&lt;&gt;"",F$1,"NA"),'MITRE ATT&amp;CK Mappings'!$F449))),ISNUMBER(SEARCH(IF(F$2&lt;&gt;"",F$2,"NA"),'MITRE ATT&amp;CK Mappings'!$G449))),ISNUMBER(SEARCH(IF(F$2&lt;&gt;"",F$2,"NA"),'MITRE ATT&amp;CK Mappings'!$H449))),ISNUMBER(SEARCH(IF(F$3&lt;&gt;"",F$3,"NA"),'MITRE ATT&amp;CK Mappings'!$I449))),ISNUMBER(SEARCH(IF(F$3&lt;&gt;"",F$3,"NA"),'MITRE ATT&amp;CK Mappings'!$J449))), 'MITRE ATT&amp;CK Mappings'!$B449,"")</f>
        <v/>
      </c>
      <c r="G453" s="27" t="str">
        <f>IF(OR(OR(OR(OR(OR(ISNUMBER(SEARCH(IF(G$1&lt;&gt;"",G$1,"NA"),'MITRE ATT&amp;CK Mappings'!$E449)),ISNUMBER(SEARCH(IF(G$1&lt;&gt;"",G$1,"NA"),'MITRE ATT&amp;CK Mappings'!$F449))),ISNUMBER(SEARCH(IF(G$2&lt;&gt;"",G$2,"NA"),'MITRE ATT&amp;CK Mappings'!$G449))),ISNUMBER(SEARCH(IF(G$2&lt;&gt;"",G$2,"NA"),'MITRE ATT&amp;CK Mappings'!$H449))),ISNUMBER(SEARCH(IF(G$3&lt;&gt;"",G$3,"NA"),'MITRE ATT&amp;CK Mappings'!$I449))),ISNUMBER(SEARCH(IF(G$3&lt;&gt;"",G$3,"NA"),'MITRE ATT&amp;CK Mappings'!$J449))), 'MITRE ATT&amp;CK Mappings'!$B449,"")</f>
        <v/>
      </c>
      <c r="H453" s="27" t="str">
        <f>IF(OR(OR(OR(OR(OR(ISNUMBER(SEARCH(IF(H$1&lt;&gt;"",H$1,"NA"),'MITRE ATT&amp;CK Mappings'!$E449)),ISNUMBER(SEARCH(IF(H$1&lt;&gt;"",H$1,"NA"),'MITRE ATT&amp;CK Mappings'!$F449))),ISNUMBER(SEARCH(IF(H$2&lt;&gt;"",H$2,"NA"),'MITRE ATT&amp;CK Mappings'!$G449))),ISNUMBER(SEARCH(IF(H$2&lt;&gt;"",H$2,"NA"),'MITRE ATT&amp;CK Mappings'!$H449))),ISNUMBER(SEARCH(IF(H$3&lt;&gt;"",H$3,"NA"),'MITRE ATT&amp;CK Mappings'!$I449))),ISNUMBER(SEARCH(IF(H$3&lt;&gt;"",H$3,"NA"),'MITRE ATT&amp;CK Mappings'!$J449))), 'MITRE ATT&amp;CK Mappings'!$B449,"")</f>
        <v/>
      </c>
      <c r="I453" s="27" t="str">
        <f>IF(OR(OR(OR(OR(OR(ISNUMBER(SEARCH(IF(I$1&lt;&gt;"",I$1,"NA"),'MITRE ATT&amp;CK Mappings'!$E449)),ISNUMBER(SEARCH(IF(I$1&lt;&gt;"",I$1,"NA"),'MITRE ATT&amp;CK Mappings'!$F449))),ISNUMBER(SEARCH(IF(I$2&lt;&gt;"",I$2,"NA"),'MITRE ATT&amp;CK Mappings'!$G449))),ISNUMBER(SEARCH(IF(I$2&lt;&gt;"",I$2,"NA"),'MITRE ATT&amp;CK Mappings'!$H449))),ISNUMBER(SEARCH(IF(I$3&lt;&gt;"",I$3,"NA"),'MITRE ATT&amp;CK Mappings'!$I449))),ISNUMBER(SEARCH(IF(I$3&lt;&gt;"",I$3,"NA"),'MITRE ATT&amp;CK Mappings'!$J449))), 'MITRE ATT&amp;CK Mappings'!$B449,"")</f>
        <v/>
      </c>
      <c r="J453" s="27" t="str">
        <f>IF(OR(OR(OR(OR(OR(ISNUMBER(SEARCH(IF(J$1&lt;&gt;"",J$1,"NA"),'MITRE ATT&amp;CK Mappings'!$E449)),ISNUMBER(SEARCH(IF(J$1&lt;&gt;"",J$1,"NA"),'MITRE ATT&amp;CK Mappings'!$F449))),ISNUMBER(SEARCH(IF(J$2&lt;&gt;"",J$2,"NA"),'MITRE ATT&amp;CK Mappings'!$G449))),ISNUMBER(SEARCH(IF(J$2&lt;&gt;"",J$2,"NA"),'MITRE ATT&amp;CK Mappings'!$H449))),ISNUMBER(SEARCH(IF(J$3&lt;&gt;"",J$3,"NA"),'MITRE ATT&amp;CK Mappings'!$I449))),ISNUMBER(SEARCH(IF(J$3&lt;&gt;"",J$3,"NA"),'MITRE ATT&amp;CK Mappings'!$J449))), 'MITRE ATT&amp;CK Mappings'!$B449,"")</f>
        <v/>
      </c>
      <c r="K453" s="27" t="str">
        <f>IF(OR(OR(OR(OR(OR(ISNUMBER(SEARCH(IF(K$1&lt;&gt;"",K$1,"NA"),'MITRE ATT&amp;CK Mappings'!$E449)),ISNUMBER(SEARCH(IF(K$1&lt;&gt;"",K$1,"NA"),'MITRE ATT&amp;CK Mappings'!$F449))),ISNUMBER(SEARCH(IF(K$2&lt;&gt;"",K$2,"NA"),'MITRE ATT&amp;CK Mappings'!$G449))),ISNUMBER(SEARCH(IF(K$2&lt;&gt;"",K$2,"NA"),'MITRE ATT&amp;CK Mappings'!$H449))),ISNUMBER(SEARCH(IF(K$3&lt;&gt;"",K$3,"NA"),'MITRE ATT&amp;CK Mappings'!$I449))),ISNUMBER(SEARCH(IF(K$3&lt;&gt;"",K$3,"NA"),'MITRE ATT&amp;CK Mappings'!$J449))), 'MITRE ATT&amp;CK Mappings'!$B449,"")</f>
        <v/>
      </c>
      <c r="L453" s="27" t="str">
        <f>IF('MITRE ATT&amp;CK Mappings'!D449 &lt;&gt;"",'MITRE ATT&amp;CK Mappings'!D449,"" )</f>
        <v/>
      </c>
    </row>
    <row r="454" spans="1:12" x14ac:dyDescent="0.25">
      <c r="A454" s="26" t="str">
        <f>IF(COUNTIF(B454:K454,"="&amp;'MITRE ATT&amp;CK Mappings'!B450)&gt;0,'MITRE ATT&amp;CK Mappings'!B450,"")</f>
        <v/>
      </c>
      <c r="B454" s="26" t="str">
        <f>IF(OR(OR(OR(OR(OR(ISNUMBER(SEARCH(IF(B$1&lt;&gt;"",B$1,"NA"),'MITRE ATT&amp;CK Mappings'!$E450)),ISNUMBER(SEARCH(IF(B$1&lt;&gt;"",B$1,"NA"),'MITRE ATT&amp;CK Mappings'!$F450))),ISNUMBER(SEARCH(IF(B$2&lt;&gt;"",B$2,"NA"),'MITRE ATT&amp;CK Mappings'!$G450))),ISNUMBER(SEARCH(IF(B$2&lt;&gt;"",B$2,"NA"),'MITRE ATT&amp;CK Mappings'!$H450))),ISNUMBER(SEARCH(IF(B$3&lt;&gt;"",B$3,"NA"),'MITRE ATT&amp;CK Mappings'!$I450))),ISNUMBER(SEARCH(IF(B$3&lt;&gt;"",B$3,"NA"),'MITRE ATT&amp;CK Mappings'!$J450))), 'MITRE ATT&amp;CK Mappings'!$B450,"")</f>
        <v/>
      </c>
      <c r="C454" s="26" t="str">
        <f>IF(OR(OR(OR(OR(OR(ISNUMBER(SEARCH(IF(C$1&lt;&gt;"",C$1,"NA"),'MITRE ATT&amp;CK Mappings'!$E450)),ISNUMBER(SEARCH(IF(C$1&lt;&gt;"",C$1,"NA"),'MITRE ATT&amp;CK Mappings'!$F450))),ISNUMBER(SEARCH(IF(C$2&lt;&gt;"",C$2,"NA"),'MITRE ATT&amp;CK Mappings'!$G450))),ISNUMBER(SEARCH(IF(C$2&lt;&gt;"",C$2,"NA"),'MITRE ATT&amp;CK Mappings'!$H450))),ISNUMBER(SEARCH(IF(C$3&lt;&gt;"",C$3,"NA"),'MITRE ATT&amp;CK Mappings'!$I450))),ISNUMBER(SEARCH(IF(C$3&lt;&gt;"",C$3,"NA"),'MITRE ATT&amp;CK Mappings'!$J450))), 'MITRE ATT&amp;CK Mappings'!$B450,"")</f>
        <v/>
      </c>
      <c r="D454" s="26" t="str">
        <f>IF(OR(OR(OR(OR(OR(ISNUMBER(SEARCH(IF(D$1&lt;&gt;"",D$1,"NA"),'MITRE ATT&amp;CK Mappings'!$E450)),ISNUMBER(SEARCH(IF(D$1&lt;&gt;"",D$1,"NA"),'MITRE ATT&amp;CK Mappings'!$F450))),ISNUMBER(SEARCH(IF(D$2&lt;&gt;"",D$2,"NA"),'MITRE ATT&amp;CK Mappings'!$G450))),ISNUMBER(SEARCH(IF(D$2&lt;&gt;"",D$2,"NA"),'MITRE ATT&amp;CK Mappings'!$H450))),ISNUMBER(SEARCH(IF(D$3&lt;&gt;"",D$3,"NA"),'MITRE ATT&amp;CK Mappings'!$I450))),ISNUMBER(SEARCH(IF(D$3&lt;&gt;"",D$3,"NA"),'MITRE ATT&amp;CK Mappings'!$J450))), 'MITRE ATT&amp;CK Mappings'!$B450,"")</f>
        <v/>
      </c>
      <c r="E454" s="26" t="str">
        <f>IF(OR(OR(OR(OR(OR(ISNUMBER(SEARCH(IF(E$1&lt;&gt;"",E$1,"NA"),'MITRE ATT&amp;CK Mappings'!$E450)),ISNUMBER(SEARCH(IF(E$1&lt;&gt;"",E$1,"NA"),'MITRE ATT&amp;CK Mappings'!$F450))),ISNUMBER(SEARCH(IF(E$2&lt;&gt;"",E$2,"NA"),'MITRE ATT&amp;CK Mappings'!$G450))),ISNUMBER(SEARCH(IF(E$2&lt;&gt;"",E$2,"NA"),'MITRE ATT&amp;CK Mappings'!$H450))),ISNUMBER(SEARCH(IF(E$3&lt;&gt;"",E$3,"NA"),'MITRE ATT&amp;CK Mappings'!$I450))),ISNUMBER(SEARCH(IF(E$3&lt;&gt;"",E$3,"NA"),'MITRE ATT&amp;CK Mappings'!$J450))), 'MITRE ATT&amp;CK Mappings'!$B450,"")</f>
        <v/>
      </c>
      <c r="F454" s="26" t="str">
        <f>IF(OR(OR(OR(OR(OR(ISNUMBER(SEARCH(IF(F$1&lt;&gt;"",F$1,"NA"),'MITRE ATT&amp;CK Mappings'!$E450)),ISNUMBER(SEARCH(IF(F$1&lt;&gt;"",F$1,"NA"),'MITRE ATT&amp;CK Mappings'!$F450))),ISNUMBER(SEARCH(IF(F$2&lt;&gt;"",F$2,"NA"),'MITRE ATT&amp;CK Mappings'!$G450))),ISNUMBER(SEARCH(IF(F$2&lt;&gt;"",F$2,"NA"),'MITRE ATT&amp;CK Mappings'!$H450))),ISNUMBER(SEARCH(IF(F$3&lt;&gt;"",F$3,"NA"),'MITRE ATT&amp;CK Mappings'!$I450))),ISNUMBER(SEARCH(IF(F$3&lt;&gt;"",F$3,"NA"),'MITRE ATT&amp;CK Mappings'!$J450))), 'MITRE ATT&amp;CK Mappings'!$B450,"")</f>
        <v/>
      </c>
      <c r="G454" s="26" t="str">
        <f>IF(OR(OR(OR(OR(OR(ISNUMBER(SEARCH(IF(G$1&lt;&gt;"",G$1,"NA"),'MITRE ATT&amp;CK Mappings'!$E450)),ISNUMBER(SEARCH(IF(G$1&lt;&gt;"",G$1,"NA"),'MITRE ATT&amp;CK Mappings'!$F450))),ISNUMBER(SEARCH(IF(G$2&lt;&gt;"",G$2,"NA"),'MITRE ATT&amp;CK Mappings'!$G450))),ISNUMBER(SEARCH(IF(G$2&lt;&gt;"",G$2,"NA"),'MITRE ATT&amp;CK Mappings'!$H450))),ISNUMBER(SEARCH(IF(G$3&lt;&gt;"",G$3,"NA"),'MITRE ATT&amp;CK Mappings'!$I450))),ISNUMBER(SEARCH(IF(G$3&lt;&gt;"",G$3,"NA"),'MITRE ATT&amp;CK Mappings'!$J450))), 'MITRE ATT&amp;CK Mappings'!$B450,"")</f>
        <v/>
      </c>
      <c r="H454" s="26" t="str">
        <f>IF(OR(OR(OR(OR(OR(ISNUMBER(SEARCH(IF(H$1&lt;&gt;"",H$1,"NA"),'MITRE ATT&amp;CK Mappings'!$E450)),ISNUMBER(SEARCH(IF(H$1&lt;&gt;"",H$1,"NA"),'MITRE ATT&amp;CK Mappings'!$F450))),ISNUMBER(SEARCH(IF(H$2&lt;&gt;"",H$2,"NA"),'MITRE ATT&amp;CK Mappings'!$G450))),ISNUMBER(SEARCH(IF(H$2&lt;&gt;"",H$2,"NA"),'MITRE ATT&amp;CK Mappings'!$H450))),ISNUMBER(SEARCH(IF(H$3&lt;&gt;"",H$3,"NA"),'MITRE ATT&amp;CK Mappings'!$I450))),ISNUMBER(SEARCH(IF(H$3&lt;&gt;"",H$3,"NA"),'MITRE ATT&amp;CK Mappings'!$J450))), 'MITRE ATT&amp;CK Mappings'!$B450,"")</f>
        <v/>
      </c>
      <c r="I454" s="26" t="str">
        <f>IF(OR(OR(OR(OR(OR(ISNUMBER(SEARCH(IF(I$1&lt;&gt;"",I$1,"NA"),'MITRE ATT&amp;CK Mappings'!$E450)),ISNUMBER(SEARCH(IF(I$1&lt;&gt;"",I$1,"NA"),'MITRE ATT&amp;CK Mappings'!$F450))),ISNUMBER(SEARCH(IF(I$2&lt;&gt;"",I$2,"NA"),'MITRE ATT&amp;CK Mappings'!$G450))),ISNUMBER(SEARCH(IF(I$2&lt;&gt;"",I$2,"NA"),'MITRE ATT&amp;CK Mappings'!$H450))),ISNUMBER(SEARCH(IF(I$3&lt;&gt;"",I$3,"NA"),'MITRE ATT&amp;CK Mappings'!$I450))),ISNUMBER(SEARCH(IF(I$3&lt;&gt;"",I$3,"NA"),'MITRE ATT&amp;CK Mappings'!$J450))), 'MITRE ATT&amp;CK Mappings'!$B450,"")</f>
        <v/>
      </c>
      <c r="J454" s="26" t="str">
        <f>IF(OR(OR(OR(OR(OR(ISNUMBER(SEARCH(IF(J$1&lt;&gt;"",J$1,"NA"),'MITRE ATT&amp;CK Mappings'!$E450)),ISNUMBER(SEARCH(IF(J$1&lt;&gt;"",J$1,"NA"),'MITRE ATT&amp;CK Mappings'!$F450))),ISNUMBER(SEARCH(IF(J$2&lt;&gt;"",J$2,"NA"),'MITRE ATT&amp;CK Mappings'!$G450))),ISNUMBER(SEARCH(IF(J$2&lt;&gt;"",J$2,"NA"),'MITRE ATT&amp;CK Mappings'!$H450))),ISNUMBER(SEARCH(IF(J$3&lt;&gt;"",J$3,"NA"),'MITRE ATT&amp;CK Mappings'!$I450))),ISNUMBER(SEARCH(IF(J$3&lt;&gt;"",J$3,"NA"),'MITRE ATT&amp;CK Mappings'!$J450))), 'MITRE ATT&amp;CK Mappings'!$B450,"")</f>
        <v/>
      </c>
      <c r="K454" s="26" t="str">
        <f>IF(OR(OR(OR(OR(OR(ISNUMBER(SEARCH(IF(K$1&lt;&gt;"",K$1,"NA"),'MITRE ATT&amp;CK Mappings'!$E450)),ISNUMBER(SEARCH(IF(K$1&lt;&gt;"",K$1,"NA"),'MITRE ATT&amp;CK Mappings'!$F450))),ISNUMBER(SEARCH(IF(K$2&lt;&gt;"",K$2,"NA"),'MITRE ATT&amp;CK Mappings'!$G450))),ISNUMBER(SEARCH(IF(K$2&lt;&gt;"",K$2,"NA"),'MITRE ATT&amp;CK Mappings'!$H450))),ISNUMBER(SEARCH(IF(K$3&lt;&gt;"",K$3,"NA"),'MITRE ATT&amp;CK Mappings'!$I450))),ISNUMBER(SEARCH(IF(K$3&lt;&gt;"",K$3,"NA"),'MITRE ATT&amp;CK Mappings'!$J450))), 'MITRE ATT&amp;CK Mappings'!$B450,"")</f>
        <v/>
      </c>
      <c r="L454" s="26" t="str">
        <f>IF('MITRE ATT&amp;CK Mappings'!D450 &lt;&gt;"",'MITRE ATT&amp;CK Mappings'!D450,"" )</f>
        <v/>
      </c>
    </row>
    <row r="455" spans="1:12" x14ac:dyDescent="0.25">
      <c r="A455" s="27" t="str">
        <f>IF(COUNTIF(B455:K455,"="&amp;'MITRE ATT&amp;CK Mappings'!B451)&gt;0,'MITRE ATT&amp;CK Mappings'!B451,"")</f>
        <v/>
      </c>
      <c r="B455" s="27" t="str">
        <f>IF(OR(OR(OR(OR(OR(ISNUMBER(SEARCH(IF(B$1&lt;&gt;"",B$1,"NA"),'MITRE ATT&amp;CK Mappings'!$E451)),ISNUMBER(SEARCH(IF(B$1&lt;&gt;"",B$1,"NA"),'MITRE ATT&amp;CK Mappings'!$F451))),ISNUMBER(SEARCH(IF(B$2&lt;&gt;"",B$2,"NA"),'MITRE ATT&amp;CK Mappings'!$G451))),ISNUMBER(SEARCH(IF(B$2&lt;&gt;"",B$2,"NA"),'MITRE ATT&amp;CK Mappings'!$H451))),ISNUMBER(SEARCH(IF(B$3&lt;&gt;"",B$3,"NA"),'MITRE ATT&amp;CK Mappings'!$I451))),ISNUMBER(SEARCH(IF(B$3&lt;&gt;"",B$3,"NA"),'MITRE ATT&amp;CK Mappings'!$J451))), 'MITRE ATT&amp;CK Mappings'!$B451,"")</f>
        <v/>
      </c>
      <c r="C455" s="27" t="str">
        <f>IF(OR(OR(OR(OR(OR(ISNUMBER(SEARCH(IF(C$1&lt;&gt;"",C$1,"NA"),'MITRE ATT&amp;CK Mappings'!$E451)),ISNUMBER(SEARCH(IF(C$1&lt;&gt;"",C$1,"NA"),'MITRE ATT&amp;CK Mappings'!$F451))),ISNUMBER(SEARCH(IF(C$2&lt;&gt;"",C$2,"NA"),'MITRE ATT&amp;CK Mappings'!$G451))),ISNUMBER(SEARCH(IF(C$2&lt;&gt;"",C$2,"NA"),'MITRE ATT&amp;CK Mappings'!$H451))),ISNUMBER(SEARCH(IF(C$3&lt;&gt;"",C$3,"NA"),'MITRE ATT&amp;CK Mappings'!$I451))),ISNUMBER(SEARCH(IF(C$3&lt;&gt;"",C$3,"NA"),'MITRE ATT&amp;CK Mappings'!$J451))), 'MITRE ATT&amp;CK Mappings'!$B451,"")</f>
        <v/>
      </c>
      <c r="D455" s="27" t="str">
        <f>IF(OR(OR(OR(OR(OR(ISNUMBER(SEARCH(IF(D$1&lt;&gt;"",D$1,"NA"),'MITRE ATT&amp;CK Mappings'!$E451)),ISNUMBER(SEARCH(IF(D$1&lt;&gt;"",D$1,"NA"),'MITRE ATT&amp;CK Mappings'!$F451))),ISNUMBER(SEARCH(IF(D$2&lt;&gt;"",D$2,"NA"),'MITRE ATT&amp;CK Mappings'!$G451))),ISNUMBER(SEARCH(IF(D$2&lt;&gt;"",D$2,"NA"),'MITRE ATT&amp;CK Mappings'!$H451))),ISNUMBER(SEARCH(IF(D$3&lt;&gt;"",D$3,"NA"),'MITRE ATT&amp;CK Mappings'!$I451))),ISNUMBER(SEARCH(IF(D$3&lt;&gt;"",D$3,"NA"),'MITRE ATT&amp;CK Mappings'!$J451))), 'MITRE ATT&amp;CK Mappings'!$B451,"")</f>
        <v/>
      </c>
      <c r="E455" s="27" t="str">
        <f>IF(OR(OR(OR(OR(OR(ISNUMBER(SEARCH(IF(E$1&lt;&gt;"",E$1,"NA"),'MITRE ATT&amp;CK Mappings'!$E451)),ISNUMBER(SEARCH(IF(E$1&lt;&gt;"",E$1,"NA"),'MITRE ATT&amp;CK Mappings'!$F451))),ISNUMBER(SEARCH(IF(E$2&lt;&gt;"",E$2,"NA"),'MITRE ATT&amp;CK Mappings'!$G451))),ISNUMBER(SEARCH(IF(E$2&lt;&gt;"",E$2,"NA"),'MITRE ATT&amp;CK Mappings'!$H451))),ISNUMBER(SEARCH(IF(E$3&lt;&gt;"",E$3,"NA"),'MITRE ATT&amp;CK Mappings'!$I451))),ISNUMBER(SEARCH(IF(E$3&lt;&gt;"",E$3,"NA"),'MITRE ATT&amp;CK Mappings'!$J451))), 'MITRE ATT&amp;CK Mappings'!$B451,"")</f>
        <v/>
      </c>
      <c r="F455" s="27" t="str">
        <f>IF(OR(OR(OR(OR(OR(ISNUMBER(SEARCH(IF(F$1&lt;&gt;"",F$1,"NA"),'MITRE ATT&amp;CK Mappings'!$E451)),ISNUMBER(SEARCH(IF(F$1&lt;&gt;"",F$1,"NA"),'MITRE ATT&amp;CK Mappings'!$F451))),ISNUMBER(SEARCH(IF(F$2&lt;&gt;"",F$2,"NA"),'MITRE ATT&amp;CK Mappings'!$G451))),ISNUMBER(SEARCH(IF(F$2&lt;&gt;"",F$2,"NA"),'MITRE ATT&amp;CK Mappings'!$H451))),ISNUMBER(SEARCH(IF(F$3&lt;&gt;"",F$3,"NA"),'MITRE ATT&amp;CK Mappings'!$I451))),ISNUMBER(SEARCH(IF(F$3&lt;&gt;"",F$3,"NA"),'MITRE ATT&amp;CK Mappings'!$J451))), 'MITRE ATT&amp;CK Mappings'!$B451,"")</f>
        <v/>
      </c>
      <c r="G455" s="27" t="str">
        <f>IF(OR(OR(OR(OR(OR(ISNUMBER(SEARCH(IF(G$1&lt;&gt;"",G$1,"NA"),'MITRE ATT&amp;CK Mappings'!$E451)),ISNUMBER(SEARCH(IF(G$1&lt;&gt;"",G$1,"NA"),'MITRE ATT&amp;CK Mappings'!$F451))),ISNUMBER(SEARCH(IF(G$2&lt;&gt;"",G$2,"NA"),'MITRE ATT&amp;CK Mappings'!$G451))),ISNUMBER(SEARCH(IF(G$2&lt;&gt;"",G$2,"NA"),'MITRE ATT&amp;CK Mappings'!$H451))),ISNUMBER(SEARCH(IF(G$3&lt;&gt;"",G$3,"NA"),'MITRE ATT&amp;CK Mappings'!$I451))),ISNUMBER(SEARCH(IF(G$3&lt;&gt;"",G$3,"NA"),'MITRE ATT&amp;CK Mappings'!$J451))), 'MITRE ATT&amp;CK Mappings'!$B451,"")</f>
        <v/>
      </c>
      <c r="H455" s="27" t="str">
        <f>IF(OR(OR(OR(OR(OR(ISNUMBER(SEARCH(IF(H$1&lt;&gt;"",H$1,"NA"),'MITRE ATT&amp;CK Mappings'!$E451)),ISNUMBER(SEARCH(IF(H$1&lt;&gt;"",H$1,"NA"),'MITRE ATT&amp;CK Mappings'!$F451))),ISNUMBER(SEARCH(IF(H$2&lt;&gt;"",H$2,"NA"),'MITRE ATT&amp;CK Mappings'!$G451))),ISNUMBER(SEARCH(IF(H$2&lt;&gt;"",H$2,"NA"),'MITRE ATT&amp;CK Mappings'!$H451))),ISNUMBER(SEARCH(IF(H$3&lt;&gt;"",H$3,"NA"),'MITRE ATT&amp;CK Mappings'!$I451))),ISNUMBER(SEARCH(IF(H$3&lt;&gt;"",H$3,"NA"),'MITRE ATT&amp;CK Mappings'!$J451))), 'MITRE ATT&amp;CK Mappings'!$B451,"")</f>
        <v/>
      </c>
      <c r="I455" s="27" t="str">
        <f>IF(OR(OR(OR(OR(OR(ISNUMBER(SEARCH(IF(I$1&lt;&gt;"",I$1,"NA"),'MITRE ATT&amp;CK Mappings'!$E451)),ISNUMBER(SEARCH(IF(I$1&lt;&gt;"",I$1,"NA"),'MITRE ATT&amp;CK Mappings'!$F451))),ISNUMBER(SEARCH(IF(I$2&lt;&gt;"",I$2,"NA"),'MITRE ATT&amp;CK Mappings'!$G451))),ISNUMBER(SEARCH(IF(I$2&lt;&gt;"",I$2,"NA"),'MITRE ATT&amp;CK Mappings'!$H451))),ISNUMBER(SEARCH(IF(I$3&lt;&gt;"",I$3,"NA"),'MITRE ATT&amp;CK Mappings'!$I451))),ISNUMBER(SEARCH(IF(I$3&lt;&gt;"",I$3,"NA"),'MITRE ATT&amp;CK Mappings'!$J451))), 'MITRE ATT&amp;CK Mappings'!$B451,"")</f>
        <v/>
      </c>
      <c r="J455" s="27" t="str">
        <f>IF(OR(OR(OR(OR(OR(ISNUMBER(SEARCH(IF(J$1&lt;&gt;"",J$1,"NA"),'MITRE ATT&amp;CK Mappings'!$E451)),ISNUMBER(SEARCH(IF(J$1&lt;&gt;"",J$1,"NA"),'MITRE ATT&amp;CK Mappings'!$F451))),ISNUMBER(SEARCH(IF(J$2&lt;&gt;"",J$2,"NA"),'MITRE ATT&amp;CK Mappings'!$G451))),ISNUMBER(SEARCH(IF(J$2&lt;&gt;"",J$2,"NA"),'MITRE ATT&amp;CK Mappings'!$H451))),ISNUMBER(SEARCH(IF(J$3&lt;&gt;"",J$3,"NA"),'MITRE ATT&amp;CK Mappings'!$I451))),ISNUMBER(SEARCH(IF(J$3&lt;&gt;"",J$3,"NA"),'MITRE ATT&amp;CK Mappings'!$J451))), 'MITRE ATT&amp;CK Mappings'!$B451,"")</f>
        <v/>
      </c>
      <c r="K455" s="27" t="str">
        <f>IF(OR(OR(OR(OR(OR(ISNUMBER(SEARCH(IF(K$1&lt;&gt;"",K$1,"NA"),'MITRE ATT&amp;CK Mappings'!$E451)),ISNUMBER(SEARCH(IF(K$1&lt;&gt;"",K$1,"NA"),'MITRE ATT&amp;CK Mappings'!$F451))),ISNUMBER(SEARCH(IF(K$2&lt;&gt;"",K$2,"NA"),'MITRE ATT&amp;CK Mappings'!$G451))),ISNUMBER(SEARCH(IF(K$2&lt;&gt;"",K$2,"NA"),'MITRE ATT&amp;CK Mappings'!$H451))),ISNUMBER(SEARCH(IF(K$3&lt;&gt;"",K$3,"NA"),'MITRE ATT&amp;CK Mappings'!$I451))),ISNUMBER(SEARCH(IF(K$3&lt;&gt;"",K$3,"NA"),'MITRE ATT&amp;CK Mappings'!$J451))), 'MITRE ATT&amp;CK Mappings'!$B451,"")</f>
        <v/>
      </c>
      <c r="L455" s="27" t="str">
        <f>IF('MITRE ATT&amp;CK Mappings'!D451 &lt;&gt;"",'MITRE ATT&amp;CK Mappings'!D451,"" )</f>
        <v/>
      </c>
    </row>
    <row r="456" spans="1:12" x14ac:dyDescent="0.25">
      <c r="A456" s="26" t="str">
        <f>IF(COUNTIF(B456:K456,"="&amp;'MITRE ATT&amp;CK Mappings'!B452)&gt;0,'MITRE ATT&amp;CK Mappings'!B452,"")</f>
        <v/>
      </c>
      <c r="B456" s="26" t="str">
        <f>IF(OR(OR(OR(OR(OR(ISNUMBER(SEARCH(IF(B$1&lt;&gt;"",B$1,"NA"),'MITRE ATT&amp;CK Mappings'!$E452)),ISNUMBER(SEARCH(IF(B$1&lt;&gt;"",B$1,"NA"),'MITRE ATT&amp;CK Mappings'!$F452))),ISNUMBER(SEARCH(IF(B$2&lt;&gt;"",B$2,"NA"),'MITRE ATT&amp;CK Mappings'!$G452))),ISNUMBER(SEARCH(IF(B$2&lt;&gt;"",B$2,"NA"),'MITRE ATT&amp;CK Mappings'!$H452))),ISNUMBER(SEARCH(IF(B$3&lt;&gt;"",B$3,"NA"),'MITRE ATT&amp;CK Mappings'!$I452))),ISNUMBER(SEARCH(IF(B$3&lt;&gt;"",B$3,"NA"),'MITRE ATT&amp;CK Mappings'!$J452))), 'MITRE ATT&amp;CK Mappings'!$B452,"")</f>
        <v/>
      </c>
      <c r="C456" s="26" t="str">
        <f>IF(OR(OR(OR(OR(OR(ISNUMBER(SEARCH(IF(C$1&lt;&gt;"",C$1,"NA"),'MITRE ATT&amp;CK Mappings'!$E452)),ISNUMBER(SEARCH(IF(C$1&lt;&gt;"",C$1,"NA"),'MITRE ATT&amp;CK Mappings'!$F452))),ISNUMBER(SEARCH(IF(C$2&lt;&gt;"",C$2,"NA"),'MITRE ATT&amp;CK Mappings'!$G452))),ISNUMBER(SEARCH(IF(C$2&lt;&gt;"",C$2,"NA"),'MITRE ATT&amp;CK Mappings'!$H452))),ISNUMBER(SEARCH(IF(C$3&lt;&gt;"",C$3,"NA"),'MITRE ATT&amp;CK Mappings'!$I452))),ISNUMBER(SEARCH(IF(C$3&lt;&gt;"",C$3,"NA"),'MITRE ATT&amp;CK Mappings'!$J452))), 'MITRE ATT&amp;CK Mappings'!$B452,"")</f>
        <v/>
      </c>
      <c r="D456" s="26" t="str">
        <f>IF(OR(OR(OR(OR(OR(ISNUMBER(SEARCH(IF(D$1&lt;&gt;"",D$1,"NA"),'MITRE ATT&amp;CK Mappings'!$E452)),ISNUMBER(SEARCH(IF(D$1&lt;&gt;"",D$1,"NA"),'MITRE ATT&amp;CK Mappings'!$F452))),ISNUMBER(SEARCH(IF(D$2&lt;&gt;"",D$2,"NA"),'MITRE ATT&amp;CK Mappings'!$G452))),ISNUMBER(SEARCH(IF(D$2&lt;&gt;"",D$2,"NA"),'MITRE ATT&amp;CK Mappings'!$H452))),ISNUMBER(SEARCH(IF(D$3&lt;&gt;"",D$3,"NA"),'MITRE ATT&amp;CK Mappings'!$I452))),ISNUMBER(SEARCH(IF(D$3&lt;&gt;"",D$3,"NA"),'MITRE ATT&amp;CK Mappings'!$J452))), 'MITRE ATT&amp;CK Mappings'!$B452,"")</f>
        <v/>
      </c>
      <c r="E456" s="26" t="str">
        <f>IF(OR(OR(OR(OR(OR(ISNUMBER(SEARCH(IF(E$1&lt;&gt;"",E$1,"NA"),'MITRE ATT&amp;CK Mappings'!$E452)),ISNUMBER(SEARCH(IF(E$1&lt;&gt;"",E$1,"NA"),'MITRE ATT&amp;CK Mappings'!$F452))),ISNUMBER(SEARCH(IF(E$2&lt;&gt;"",E$2,"NA"),'MITRE ATT&amp;CK Mappings'!$G452))),ISNUMBER(SEARCH(IF(E$2&lt;&gt;"",E$2,"NA"),'MITRE ATT&amp;CK Mappings'!$H452))),ISNUMBER(SEARCH(IF(E$3&lt;&gt;"",E$3,"NA"),'MITRE ATT&amp;CK Mappings'!$I452))),ISNUMBER(SEARCH(IF(E$3&lt;&gt;"",E$3,"NA"),'MITRE ATT&amp;CK Mappings'!$J452))), 'MITRE ATT&amp;CK Mappings'!$B452,"")</f>
        <v/>
      </c>
      <c r="F456" s="26" t="str">
        <f>IF(OR(OR(OR(OR(OR(ISNUMBER(SEARCH(IF(F$1&lt;&gt;"",F$1,"NA"),'MITRE ATT&amp;CK Mappings'!$E452)),ISNUMBER(SEARCH(IF(F$1&lt;&gt;"",F$1,"NA"),'MITRE ATT&amp;CK Mappings'!$F452))),ISNUMBER(SEARCH(IF(F$2&lt;&gt;"",F$2,"NA"),'MITRE ATT&amp;CK Mappings'!$G452))),ISNUMBER(SEARCH(IF(F$2&lt;&gt;"",F$2,"NA"),'MITRE ATT&amp;CK Mappings'!$H452))),ISNUMBER(SEARCH(IF(F$3&lt;&gt;"",F$3,"NA"),'MITRE ATT&amp;CK Mappings'!$I452))),ISNUMBER(SEARCH(IF(F$3&lt;&gt;"",F$3,"NA"),'MITRE ATT&amp;CK Mappings'!$J452))), 'MITRE ATT&amp;CK Mappings'!$B452,"")</f>
        <v/>
      </c>
      <c r="G456" s="26" t="str">
        <f>IF(OR(OR(OR(OR(OR(ISNUMBER(SEARCH(IF(G$1&lt;&gt;"",G$1,"NA"),'MITRE ATT&amp;CK Mappings'!$E452)),ISNUMBER(SEARCH(IF(G$1&lt;&gt;"",G$1,"NA"),'MITRE ATT&amp;CK Mappings'!$F452))),ISNUMBER(SEARCH(IF(G$2&lt;&gt;"",G$2,"NA"),'MITRE ATT&amp;CK Mappings'!$G452))),ISNUMBER(SEARCH(IF(G$2&lt;&gt;"",G$2,"NA"),'MITRE ATT&amp;CK Mappings'!$H452))),ISNUMBER(SEARCH(IF(G$3&lt;&gt;"",G$3,"NA"),'MITRE ATT&amp;CK Mappings'!$I452))),ISNUMBER(SEARCH(IF(G$3&lt;&gt;"",G$3,"NA"),'MITRE ATT&amp;CK Mappings'!$J452))), 'MITRE ATT&amp;CK Mappings'!$B452,"")</f>
        <v/>
      </c>
      <c r="H456" s="26" t="str">
        <f>IF(OR(OR(OR(OR(OR(ISNUMBER(SEARCH(IF(H$1&lt;&gt;"",H$1,"NA"),'MITRE ATT&amp;CK Mappings'!$E452)),ISNUMBER(SEARCH(IF(H$1&lt;&gt;"",H$1,"NA"),'MITRE ATT&amp;CK Mappings'!$F452))),ISNUMBER(SEARCH(IF(H$2&lt;&gt;"",H$2,"NA"),'MITRE ATT&amp;CK Mappings'!$G452))),ISNUMBER(SEARCH(IF(H$2&lt;&gt;"",H$2,"NA"),'MITRE ATT&amp;CK Mappings'!$H452))),ISNUMBER(SEARCH(IF(H$3&lt;&gt;"",H$3,"NA"),'MITRE ATT&amp;CK Mappings'!$I452))),ISNUMBER(SEARCH(IF(H$3&lt;&gt;"",H$3,"NA"),'MITRE ATT&amp;CK Mappings'!$J452))), 'MITRE ATT&amp;CK Mappings'!$B452,"")</f>
        <v/>
      </c>
      <c r="I456" s="26" t="str">
        <f>IF(OR(OR(OR(OR(OR(ISNUMBER(SEARCH(IF(I$1&lt;&gt;"",I$1,"NA"),'MITRE ATT&amp;CK Mappings'!$E452)),ISNUMBER(SEARCH(IF(I$1&lt;&gt;"",I$1,"NA"),'MITRE ATT&amp;CK Mappings'!$F452))),ISNUMBER(SEARCH(IF(I$2&lt;&gt;"",I$2,"NA"),'MITRE ATT&amp;CK Mappings'!$G452))),ISNUMBER(SEARCH(IF(I$2&lt;&gt;"",I$2,"NA"),'MITRE ATT&amp;CK Mappings'!$H452))),ISNUMBER(SEARCH(IF(I$3&lt;&gt;"",I$3,"NA"),'MITRE ATT&amp;CK Mappings'!$I452))),ISNUMBER(SEARCH(IF(I$3&lt;&gt;"",I$3,"NA"),'MITRE ATT&amp;CK Mappings'!$J452))), 'MITRE ATT&amp;CK Mappings'!$B452,"")</f>
        <v/>
      </c>
      <c r="J456" s="26" t="str">
        <f>IF(OR(OR(OR(OR(OR(ISNUMBER(SEARCH(IF(J$1&lt;&gt;"",J$1,"NA"),'MITRE ATT&amp;CK Mappings'!$E452)),ISNUMBER(SEARCH(IF(J$1&lt;&gt;"",J$1,"NA"),'MITRE ATT&amp;CK Mappings'!$F452))),ISNUMBER(SEARCH(IF(J$2&lt;&gt;"",J$2,"NA"),'MITRE ATT&amp;CK Mappings'!$G452))),ISNUMBER(SEARCH(IF(J$2&lt;&gt;"",J$2,"NA"),'MITRE ATT&amp;CK Mappings'!$H452))),ISNUMBER(SEARCH(IF(J$3&lt;&gt;"",J$3,"NA"),'MITRE ATT&amp;CK Mappings'!$I452))),ISNUMBER(SEARCH(IF(J$3&lt;&gt;"",J$3,"NA"),'MITRE ATT&amp;CK Mappings'!$J452))), 'MITRE ATT&amp;CK Mappings'!$B452,"")</f>
        <v/>
      </c>
      <c r="K456" s="26" t="str">
        <f>IF(OR(OR(OR(OR(OR(ISNUMBER(SEARCH(IF(K$1&lt;&gt;"",K$1,"NA"),'MITRE ATT&amp;CK Mappings'!$E452)),ISNUMBER(SEARCH(IF(K$1&lt;&gt;"",K$1,"NA"),'MITRE ATT&amp;CK Mappings'!$F452))),ISNUMBER(SEARCH(IF(K$2&lt;&gt;"",K$2,"NA"),'MITRE ATT&amp;CK Mappings'!$G452))),ISNUMBER(SEARCH(IF(K$2&lt;&gt;"",K$2,"NA"),'MITRE ATT&amp;CK Mappings'!$H452))),ISNUMBER(SEARCH(IF(K$3&lt;&gt;"",K$3,"NA"),'MITRE ATT&amp;CK Mappings'!$I452))),ISNUMBER(SEARCH(IF(K$3&lt;&gt;"",K$3,"NA"),'MITRE ATT&amp;CK Mappings'!$J452))), 'MITRE ATT&amp;CK Mappings'!$B452,"")</f>
        <v/>
      </c>
      <c r="L456" s="26" t="str">
        <f>IF('MITRE ATT&amp;CK Mappings'!D452 &lt;&gt;"",'MITRE ATT&amp;CK Mappings'!D452,"" )</f>
        <v/>
      </c>
    </row>
    <row r="457" spans="1:12" x14ac:dyDescent="0.25">
      <c r="A457" s="27" t="str">
        <f>IF(COUNTIF(B457:K457,"="&amp;'MITRE ATT&amp;CK Mappings'!B453)&gt;0,'MITRE ATT&amp;CK Mappings'!B453,"")</f>
        <v/>
      </c>
      <c r="B457" s="27" t="str">
        <f>IF(OR(OR(OR(OR(OR(ISNUMBER(SEARCH(IF(B$1&lt;&gt;"",B$1,"NA"),'MITRE ATT&amp;CK Mappings'!$E453)),ISNUMBER(SEARCH(IF(B$1&lt;&gt;"",B$1,"NA"),'MITRE ATT&amp;CK Mappings'!$F453))),ISNUMBER(SEARCH(IF(B$2&lt;&gt;"",B$2,"NA"),'MITRE ATT&amp;CK Mappings'!$G453))),ISNUMBER(SEARCH(IF(B$2&lt;&gt;"",B$2,"NA"),'MITRE ATT&amp;CK Mappings'!$H453))),ISNUMBER(SEARCH(IF(B$3&lt;&gt;"",B$3,"NA"),'MITRE ATT&amp;CK Mappings'!$I453))),ISNUMBER(SEARCH(IF(B$3&lt;&gt;"",B$3,"NA"),'MITRE ATT&amp;CK Mappings'!$J453))), 'MITRE ATT&amp;CK Mappings'!$B453,"")</f>
        <v/>
      </c>
      <c r="C457" s="27" t="str">
        <f>IF(OR(OR(OR(OR(OR(ISNUMBER(SEARCH(IF(C$1&lt;&gt;"",C$1,"NA"),'MITRE ATT&amp;CK Mappings'!$E453)),ISNUMBER(SEARCH(IF(C$1&lt;&gt;"",C$1,"NA"),'MITRE ATT&amp;CK Mappings'!$F453))),ISNUMBER(SEARCH(IF(C$2&lt;&gt;"",C$2,"NA"),'MITRE ATT&amp;CK Mappings'!$G453))),ISNUMBER(SEARCH(IF(C$2&lt;&gt;"",C$2,"NA"),'MITRE ATT&amp;CK Mappings'!$H453))),ISNUMBER(SEARCH(IF(C$3&lt;&gt;"",C$3,"NA"),'MITRE ATT&amp;CK Mappings'!$I453))),ISNUMBER(SEARCH(IF(C$3&lt;&gt;"",C$3,"NA"),'MITRE ATT&amp;CK Mappings'!$J453))), 'MITRE ATT&amp;CK Mappings'!$B453,"")</f>
        <v/>
      </c>
      <c r="D457" s="27" t="str">
        <f>IF(OR(OR(OR(OR(OR(ISNUMBER(SEARCH(IF(D$1&lt;&gt;"",D$1,"NA"),'MITRE ATT&amp;CK Mappings'!$E453)),ISNUMBER(SEARCH(IF(D$1&lt;&gt;"",D$1,"NA"),'MITRE ATT&amp;CK Mappings'!$F453))),ISNUMBER(SEARCH(IF(D$2&lt;&gt;"",D$2,"NA"),'MITRE ATT&amp;CK Mappings'!$G453))),ISNUMBER(SEARCH(IF(D$2&lt;&gt;"",D$2,"NA"),'MITRE ATT&amp;CK Mappings'!$H453))),ISNUMBER(SEARCH(IF(D$3&lt;&gt;"",D$3,"NA"),'MITRE ATT&amp;CK Mappings'!$I453))),ISNUMBER(SEARCH(IF(D$3&lt;&gt;"",D$3,"NA"),'MITRE ATT&amp;CK Mappings'!$J453))), 'MITRE ATT&amp;CK Mappings'!$B453,"")</f>
        <v/>
      </c>
      <c r="E457" s="27" t="str">
        <f>IF(OR(OR(OR(OR(OR(ISNUMBER(SEARCH(IF(E$1&lt;&gt;"",E$1,"NA"),'MITRE ATT&amp;CK Mappings'!$E453)),ISNUMBER(SEARCH(IF(E$1&lt;&gt;"",E$1,"NA"),'MITRE ATT&amp;CK Mappings'!$F453))),ISNUMBER(SEARCH(IF(E$2&lt;&gt;"",E$2,"NA"),'MITRE ATT&amp;CK Mappings'!$G453))),ISNUMBER(SEARCH(IF(E$2&lt;&gt;"",E$2,"NA"),'MITRE ATT&amp;CK Mappings'!$H453))),ISNUMBER(SEARCH(IF(E$3&lt;&gt;"",E$3,"NA"),'MITRE ATT&amp;CK Mappings'!$I453))),ISNUMBER(SEARCH(IF(E$3&lt;&gt;"",E$3,"NA"),'MITRE ATT&amp;CK Mappings'!$J453))), 'MITRE ATT&amp;CK Mappings'!$B453,"")</f>
        <v/>
      </c>
      <c r="F457" s="27" t="str">
        <f>IF(OR(OR(OR(OR(OR(ISNUMBER(SEARCH(IF(F$1&lt;&gt;"",F$1,"NA"),'MITRE ATT&amp;CK Mappings'!$E453)),ISNUMBER(SEARCH(IF(F$1&lt;&gt;"",F$1,"NA"),'MITRE ATT&amp;CK Mappings'!$F453))),ISNUMBER(SEARCH(IF(F$2&lt;&gt;"",F$2,"NA"),'MITRE ATT&amp;CK Mappings'!$G453))),ISNUMBER(SEARCH(IF(F$2&lt;&gt;"",F$2,"NA"),'MITRE ATT&amp;CK Mappings'!$H453))),ISNUMBER(SEARCH(IF(F$3&lt;&gt;"",F$3,"NA"),'MITRE ATT&amp;CK Mappings'!$I453))),ISNUMBER(SEARCH(IF(F$3&lt;&gt;"",F$3,"NA"),'MITRE ATT&amp;CK Mappings'!$J453))), 'MITRE ATT&amp;CK Mappings'!$B453,"")</f>
        <v/>
      </c>
      <c r="G457" s="27" t="str">
        <f>IF(OR(OR(OR(OR(OR(ISNUMBER(SEARCH(IF(G$1&lt;&gt;"",G$1,"NA"),'MITRE ATT&amp;CK Mappings'!$E453)),ISNUMBER(SEARCH(IF(G$1&lt;&gt;"",G$1,"NA"),'MITRE ATT&amp;CK Mappings'!$F453))),ISNUMBER(SEARCH(IF(G$2&lt;&gt;"",G$2,"NA"),'MITRE ATT&amp;CK Mappings'!$G453))),ISNUMBER(SEARCH(IF(G$2&lt;&gt;"",G$2,"NA"),'MITRE ATT&amp;CK Mappings'!$H453))),ISNUMBER(SEARCH(IF(G$3&lt;&gt;"",G$3,"NA"),'MITRE ATT&amp;CK Mappings'!$I453))),ISNUMBER(SEARCH(IF(G$3&lt;&gt;"",G$3,"NA"),'MITRE ATT&amp;CK Mappings'!$J453))), 'MITRE ATT&amp;CK Mappings'!$B453,"")</f>
        <v/>
      </c>
      <c r="H457" s="27" t="str">
        <f>IF(OR(OR(OR(OR(OR(ISNUMBER(SEARCH(IF(H$1&lt;&gt;"",H$1,"NA"),'MITRE ATT&amp;CK Mappings'!$E453)),ISNUMBER(SEARCH(IF(H$1&lt;&gt;"",H$1,"NA"),'MITRE ATT&amp;CK Mappings'!$F453))),ISNUMBER(SEARCH(IF(H$2&lt;&gt;"",H$2,"NA"),'MITRE ATT&amp;CK Mappings'!$G453))),ISNUMBER(SEARCH(IF(H$2&lt;&gt;"",H$2,"NA"),'MITRE ATT&amp;CK Mappings'!$H453))),ISNUMBER(SEARCH(IF(H$3&lt;&gt;"",H$3,"NA"),'MITRE ATT&amp;CK Mappings'!$I453))),ISNUMBER(SEARCH(IF(H$3&lt;&gt;"",H$3,"NA"),'MITRE ATT&amp;CK Mappings'!$J453))), 'MITRE ATT&amp;CK Mappings'!$B453,"")</f>
        <v/>
      </c>
      <c r="I457" s="27" t="str">
        <f>IF(OR(OR(OR(OR(OR(ISNUMBER(SEARCH(IF(I$1&lt;&gt;"",I$1,"NA"),'MITRE ATT&amp;CK Mappings'!$E453)),ISNUMBER(SEARCH(IF(I$1&lt;&gt;"",I$1,"NA"),'MITRE ATT&amp;CK Mappings'!$F453))),ISNUMBER(SEARCH(IF(I$2&lt;&gt;"",I$2,"NA"),'MITRE ATT&amp;CK Mappings'!$G453))),ISNUMBER(SEARCH(IF(I$2&lt;&gt;"",I$2,"NA"),'MITRE ATT&amp;CK Mappings'!$H453))),ISNUMBER(SEARCH(IF(I$3&lt;&gt;"",I$3,"NA"),'MITRE ATT&amp;CK Mappings'!$I453))),ISNUMBER(SEARCH(IF(I$3&lt;&gt;"",I$3,"NA"),'MITRE ATT&amp;CK Mappings'!$J453))), 'MITRE ATT&amp;CK Mappings'!$B453,"")</f>
        <v/>
      </c>
      <c r="J457" s="27" t="str">
        <f>IF(OR(OR(OR(OR(OR(ISNUMBER(SEARCH(IF(J$1&lt;&gt;"",J$1,"NA"),'MITRE ATT&amp;CK Mappings'!$E453)),ISNUMBER(SEARCH(IF(J$1&lt;&gt;"",J$1,"NA"),'MITRE ATT&amp;CK Mappings'!$F453))),ISNUMBER(SEARCH(IF(J$2&lt;&gt;"",J$2,"NA"),'MITRE ATT&amp;CK Mappings'!$G453))),ISNUMBER(SEARCH(IF(J$2&lt;&gt;"",J$2,"NA"),'MITRE ATT&amp;CK Mappings'!$H453))),ISNUMBER(SEARCH(IF(J$3&lt;&gt;"",J$3,"NA"),'MITRE ATT&amp;CK Mappings'!$I453))),ISNUMBER(SEARCH(IF(J$3&lt;&gt;"",J$3,"NA"),'MITRE ATT&amp;CK Mappings'!$J453))), 'MITRE ATT&amp;CK Mappings'!$B453,"")</f>
        <v/>
      </c>
      <c r="K457" s="27" t="str">
        <f>IF(OR(OR(OR(OR(OR(ISNUMBER(SEARCH(IF(K$1&lt;&gt;"",K$1,"NA"),'MITRE ATT&amp;CK Mappings'!$E453)),ISNUMBER(SEARCH(IF(K$1&lt;&gt;"",K$1,"NA"),'MITRE ATT&amp;CK Mappings'!$F453))),ISNUMBER(SEARCH(IF(K$2&lt;&gt;"",K$2,"NA"),'MITRE ATT&amp;CK Mappings'!$G453))),ISNUMBER(SEARCH(IF(K$2&lt;&gt;"",K$2,"NA"),'MITRE ATT&amp;CK Mappings'!$H453))),ISNUMBER(SEARCH(IF(K$3&lt;&gt;"",K$3,"NA"),'MITRE ATT&amp;CK Mappings'!$I453))),ISNUMBER(SEARCH(IF(K$3&lt;&gt;"",K$3,"NA"),'MITRE ATT&amp;CK Mappings'!$J453))), 'MITRE ATT&amp;CK Mappings'!$B453,"")</f>
        <v/>
      </c>
      <c r="L457" s="27" t="str">
        <f>IF('MITRE ATT&amp;CK Mappings'!D453 &lt;&gt;"",'MITRE ATT&amp;CK Mappings'!D453,"" )</f>
        <v/>
      </c>
    </row>
    <row r="458" spans="1:12" x14ac:dyDescent="0.25">
      <c r="A458" s="26" t="str">
        <f>IF(COUNTIF(B458:K458,"="&amp;'MITRE ATT&amp;CK Mappings'!B454)&gt;0,'MITRE ATT&amp;CK Mappings'!B454,"")</f>
        <v/>
      </c>
      <c r="B458" s="26" t="str">
        <f>IF(OR(OR(OR(OR(OR(ISNUMBER(SEARCH(IF(B$1&lt;&gt;"",B$1,"NA"),'MITRE ATT&amp;CK Mappings'!$E454)),ISNUMBER(SEARCH(IF(B$1&lt;&gt;"",B$1,"NA"),'MITRE ATT&amp;CK Mappings'!$F454))),ISNUMBER(SEARCH(IF(B$2&lt;&gt;"",B$2,"NA"),'MITRE ATT&amp;CK Mappings'!$G454))),ISNUMBER(SEARCH(IF(B$2&lt;&gt;"",B$2,"NA"),'MITRE ATT&amp;CK Mappings'!$H454))),ISNUMBER(SEARCH(IF(B$3&lt;&gt;"",B$3,"NA"),'MITRE ATT&amp;CK Mappings'!$I454))),ISNUMBER(SEARCH(IF(B$3&lt;&gt;"",B$3,"NA"),'MITRE ATT&amp;CK Mappings'!$J454))), 'MITRE ATT&amp;CK Mappings'!$B454,"")</f>
        <v/>
      </c>
      <c r="C458" s="26" t="str">
        <f>IF(OR(OR(OR(OR(OR(ISNUMBER(SEARCH(IF(C$1&lt;&gt;"",C$1,"NA"),'MITRE ATT&amp;CK Mappings'!$E454)),ISNUMBER(SEARCH(IF(C$1&lt;&gt;"",C$1,"NA"),'MITRE ATT&amp;CK Mappings'!$F454))),ISNUMBER(SEARCH(IF(C$2&lt;&gt;"",C$2,"NA"),'MITRE ATT&amp;CK Mappings'!$G454))),ISNUMBER(SEARCH(IF(C$2&lt;&gt;"",C$2,"NA"),'MITRE ATT&amp;CK Mappings'!$H454))),ISNUMBER(SEARCH(IF(C$3&lt;&gt;"",C$3,"NA"),'MITRE ATT&amp;CK Mappings'!$I454))),ISNUMBER(SEARCH(IF(C$3&lt;&gt;"",C$3,"NA"),'MITRE ATT&amp;CK Mappings'!$J454))), 'MITRE ATT&amp;CK Mappings'!$B454,"")</f>
        <v/>
      </c>
      <c r="D458" s="26" t="str">
        <f>IF(OR(OR(OR(OR(OR(ISNUMBER(SEARCH(IF(D$1&lt;&gt;"",D$1,"NA"),'MITRE ATT&amp;CK Mappings'!$E454)),ISNUMBER(SEARCH(IF(D$1&lt;&gt;"",D$1,"NA"),'MITRE ATT&amp;CK Mappings'!$F454))),ISNUMBER(SEARCH(IF(D$2&lt;&gt;"",D$2,"NA"),'MITRE ATT&amp;CK Mappings'!$G454))),ISNUMBER(SEARCH(IF(D$2&lt;&gt;"",D$2,"NA"),'MITRE ATT&amp;CK Mappings'!$H454))),ISNUMBER(SEARCH(IF(D$3&lt;&gt;"",D$3,"NA"),'MITRE ATT&amp;CK Mappings'!$I454))),ISNUMBER(SEARCH(IF(D$3&lt;&gt;"",D$3,"NA"),'MITRE ATT&amp;CK Mappings'!$J454))), 'MITRE ATT&amp;CK Mappings'!$B454,"")</f>
        <v/>
      </c>
      <c r="E458" s="26" t="str">
        <f>IF(OR(OR(OR(OR(OR(ISNUMBER(SEARCH(IF(E$1&lt;&gt;"",E$1,"NA"),'MITRE ATT&amp;CK Mappings'!$E454)),ISNUMBER(SEARCH(IF(E$1&lt;&gt;"",E$1,"NA"),'MITRE ATT&amp;CK Mappings'!$F454))),ISNUMBER(SEARCH(IF(E$2&lt;&gt;"",E$2,"NA"),'MITRE ATT&amp;CK Mappings'!$G454))),ISNUMBER(SEARCH(IF(E$2&lt;&gt;"",E$2,"NA"),'MITRE ATT&amp;CK Mappings'!$H454))),ISNUMBER(SEARCH(IF(E$3&lt;&gt;"",E$3,"NA"),'MITRE ATT&amp;CK Mappings'!$I454))),ISNUMBER(SEARCH(IF(E$3&lt;&gt;"",E$3,"NA"),'MITRE ATT&amp;CK Mappings'!$J454))), 'MITRE ATT&amp;CK Mappings'!$B454,"")</f>
        <v/>
      </c>
      <c r="F458" s="26" t="str">
        <f>IF(OR(OR(OR(OR(OR(ISNUMBER(SEARCH(IF(F$1&lt;&gt;"",F$1,"NA"),'MITRE ATT&amp;CK Mappings'!$E454)),ISNUMBER(SEARCH(IF(F$1&lt;&gt;"",F$1,"NA"),'MITRE ATT&amp;CK Mappings'!$F454))),ISNUMBER(SEARCH(IF(F$2&lt;&gt;"",F$2,"NA"),'MITRE ATT&amp;CK Mappings'!$G454))),ISNUMBER(SEARCH(IF(F$2&lt;&gt;"",F$2,"NA"),'MITRE ATT&amp;CK Mappings'!$H454))),ISNUMBER(SEARCH(IF(F$3&lt;&gt;"",F$3,"NA"),'MITRE ATT&amp;CK Mappings'!$I454))),ISNUMBER(SEARCH(IF(F$3&lt;&gt;"",F$3,"NA"),'MITRE ATT&amp;CK Mappings'!$J454))), 'MITRE ATT&amp;CK Mappings'!$B454,"")</f>
        <v/>
      </c>
      <c r="G458" s="26" t="str">
        <f>IF(OR(OR(OR(OR(OR(ISNUMBER(SEARCH(IF(G$1&lt;&gt;"",G$1,"NA"),'MITRE ATT&amp;CK Mappings'!$E454)),ISNUMBER(SEARCH(IF(G$1&lt;&gt;"",G$1,"NA"),'MITRE ATT&amp;CK Mappings'!$F454))),ISNUMBER(SEARCH(IF(G$2&lt;&gt;"",G$2,"NA"),'MITRE ATT&amp;CK Mappings'!$G454))),ISNUMBER(SEARCH(IF(G$2&lt;&gt;"",G$2,"NA"),'MITRE ATT&amp;CK Mappings'!$H454))),ISNUMBER(SEARCH(IF(G$3&lt;&gt;"",G$3,"NA"),'MITRE ATT&amp;CK Mappings'!$I454))),ISNUMBER(SEARCH(IF(G$3&lt;&gt;"",G$3,"NA"),'MITRE ATT&amp;CK Mappings'!$J454))), 'MITRE ATT&amp;CK Mappings'!$B454,"")</f>
        <v/>
      </c>
      <c r="H458" s="26" t="str">
        <f>IF(OR(OR(OR(OR(OR(ISNUMBER(SEARCH(IF(H$1&lt;&gt;"",H$1,"NA"),'MITRE ATT&amp;CK Mappings'!$E454)),ISNUMBER(SEARCH(IF(H$1&lt;&gt;"",H$1,"NA"),'MITRE ATT&amp;CK Mappings'!$F454))),ISNUMBER(SEARCH(IF(H$2&lt;&gt;"",H$2,"NA"),'MITRE ATT&amp;CK Mappings'!$G454))),ISNUMBER(SEARCH(IF(H$2&lt;&gt;"",H$2,"NA"),'MITRE ATT&amp;CK Mappings'!$H454))),ISNUMBER(SEARCH(IF(H$3&lt;&gt;"",H$3,"NA"),'MITRE ATT&amp;CK Mappings'!$I454))),ISNUMBER(SEARCH(IF(H$3&lt;&gt;"",H$3,"NA"),'MITRE ATT&amp;CK Mappings'!$J454))), 'MITRE ATT&amp;CK Mappings'!$B454,"")</f>
        <v/>
      </c>
      <c r="I458" s="26" t="str">
        <f>IF(OR(OR(OR(OR(OR(ISNUMBER(SEARCH(IF(I$1&lt;&gt;"",I$1,"NA"),'MITRE ATT&amp;CK Mappings'!$E454)),ISNUMBER(SEARCH(IF(I$1&lt;&gt;"",I$1,"NA"),'MITRE ATT&amp;CK Mappings'!$F454))),ISNUMBER(SEARCH(IF(I$2&lt;&gt;"",I$2,"NA"),'MITRE ATT&amp;CK Mappings'!$G454))),ISNUMBER(SEARCH(IF(I$2&lt;&gt;"",I$2,"NA"),'MITRE ATT&amp;CK Mappings'!$H454))),ISNUMBER(SEARCH(IF(I$3&lt;&gt;"",I$3,"NA"),'MITRE ATT&amp;CK Mappings'!$I454))),ISNUMBER(SEARCH(IF(I$3&lt;&gt;"",I$3,"NA"),'MITRE ATT&amp;CK Mappings'!$J454))), 'MITRE ATT&amp;CK Mappings'!$B454,"")</f>
        <v/>
      </c>
      <c r="J458" s="26" t="str">
        <f>IF(OR(OR(OR(OR(OR(ISNUMBER(SEARCH(IF(J$1&lt;&gt;"",J$1,"NA"),'MITRE ATT&amp;CK Mappings'!$E454)),ISNUMBER(SEARCH(IF(J$1&lt;&gt;"",J$1,"NA"),'MITRE ATT&amp;CK Mappings'!$F454))),ISNUMBER(SEARCH(IF(J$2&lt;&gt;"",J$2,"NA"),'MITRE ATT&amp;CK Mappings'!$G454))),ISNUMBER(SEARCH(IF(J$2&lt;&gt;"",J$2,"NA"),'MITRE ATT&amp;CK Mappings'!$H454))),ISNUMBER(SEARCH(IF(J$3&lt;&gt;"",J$3,"NA"),'MITRE ATT&amp;CK Mappings'!$I454))),ISNUMBER(SEARCH(IF(J$3&lt;&gt;"",J$3,"NA"),'MITRE ATT&amp;CK Mappings'!$J454))), 'MITRE ATT&amp;CK Mappings'!$B454,"")</f>
        <v/>
      </c>
      <c r="K458" s="26" t="str">
        <f>IF(OR(OR(OR(OR(OR(ISNUMBER(SEARCH(IF(K$1&lt;&gt;"",K$1,"NA"),'MITRE ATT&amp;CK Mappings'!$E454)),ISNUMBER(SEARCH(IF(K$1&lt;&gt;"",K$1,"NA"),'MITRE ATT&amp;CK Mappings'!$F454))),ISNUMBER(SEARCH(IF(K$2&lt;&gt;"",K$2,"NA"),'MITRE ATT&amp;CK Mappings'!$G454))),ISNUMBER(SEARCH(IF(K$2&lt;&gt;"",K$2,"NA"),'MITRE ATT&amp;CK Mappings'!$H454))),ISNUMBER(SEARCH(IF(K$3&lt;&gt;"",K$3,"NA"),'MITRE ATT&amp;CK Mappings'!$I454))),ISNUMBER(SEARCH(IF(K$3&lt;&gt;"",K$3,"NA"),'MITRE ATT&amp;CK Mappings'!$J454))), 'MITRE ATT&amp;CK Mappings'!$B454,"")</f>
        <v/>
      </c>
      <c r="L458" s="26" t="str">
        <f>IF('MITRE ATT&amp;CK Mappings'!D454 &lt;&gt;"",'MITRE ATT&amp;CK Mappings'!D454,"" )</f>
        <v/>
      </c>
    </row>
    <row r="459" spans="1:12" x14ac:dyDescent="0.25">
      <c r="A459" s="27" t="str">
        <f>IF(COUNTIF(B459:K459,"="&amp;'MITRE ATT&amp;CK Mappings'!B455)&gt;0,'MITRE ATT&amp;CK Mappings'!B455,"")</f>
        <v/>
      </c>
      <c r="B459" s="27" t="str">
        <f>IF(OR(OR(OR(OR(OR(ISNUMBER(SEARCH(IF(B$1&lt;&gt;"",B$1,"NA"),'MITRE ATT&amp;CK Mappings'!$E455)),ISNUMBER(SEARCH(IF(B$1&lt;&gt;"",B$1,"NA"),'MITRE ATT&amp;CK Mappings'!$F455))),ISNUMBER(SEARCH(IF(B$2&lt;&gt;"",B$2,"NA"),'MITRE ATT&amp;CK Mappings'!$G455))),ISNUMBER(SEARCH(IF(B$2&lt;&gt;"",B$2,"NA"),'MITRE ATT&amp;CK Mappings'!$H455))),ISNUMBER(SEARCH(IF(B$3&lt;&gt;"",B$3,"NA"),'MITRE ATT&amp;CK Mappings'!$I455))),ISNUMBER(SEARCH(IF(B$3&lt;&gt;"",B$3,"NA"),'MITRE ATT&amp;CK Mappings'!$J455))), 'MITRE ATT&amp;CK Mappings'!$B455,"")</f>
        <v/>
      </c>
      <c r="C459" s="27" t="str">
        <f>IF(OR(OR(OR(OR(OR(ISNUMBER(SEARCH(IF(C$1&lt;&gt;"",C$1,"NA"),'MITRE ATT&amp;CK Mappings'!$E455)),ISNUMBER(SEARCH(IF(C$1&lt;&gt;"",C$1,"NA"),'MITRE ATT&amp;CK Mappings'!$F455))),ISNUMBER(SEARCH(IF(C$2&lt;&gt;"",C$2,"NA"),'MITRE ATT&amp;CK Mappings'!$G455))),ISNUMBER(SEARCH(IF(C$2&lt;&gt;"",C$2,"NA"),'MITRE ATT&amp;CK Mappings'!$H455))),ISNUMBER(SEARCH(IF(C$3&lt;&gt;"",C$3,"NA"),'MITRE ATT&amp;CK Mappings'!$I455))),ISNUMBER(SEARCH(IF(C$3&lt;&gt;"",C$3,"NA"),'MITRE ATT&amp;CK Mappings'!$J455))), 'MITRE ATT&amp;CK Mappings'!$B455,"")</f>
        <v/>
      </c>
      <c r="D459" s="27" t="str">
        <f>IF(OR(OR(OR(OR(OR(ISNUMBER(SEARCH(IF(D$1&lt;&gt;"",D$1,"NA"),'MITRE ATT&amp;CK Mappings'!$E455)),ISNUMBER(SEARCH(IF(D$1&lt;&gt;"",D$1,"NA"),'MITRE ATT&amp;CK Mappings'!$F455))),ISNUMBER(SEARCH(IF(D$2&lt;&gt;"",D$2,"NA"),'MITRE ATT&amp;CK Mappings'!$G455))),ISNUMBER(SEARCH(IF(D$2&lt;&gt;"",D$2,"NA"),'MITRE ATT&amp;CK Mappings'!$H455))),ISNUMBER(SEARCH(IF(D$3&lt;&gt;"",D$3,"NA"),'MITRE ATT&amp;CK Mappings'!$I455))),ISNUMBER(SEARCH(IF(D$3&lt;&gt;"",D$3,"NA"),'MITRE ATT&amp;CK Mappings'!$J455))), 'MITRE ATT&amp;CK Mappings'!$B455,"")</f>
        <v/>
      </c>
      <c r="E459" s="27" t="str">
        <f>IF(OR(OR(OR(OR(OR(ISNUMBER(SEARCH(IF(E$1&lt;&gt;"",E$1,"NA"),'MITRE ATT&amp;CK Mappings'!$E455)),ISNUMBER(SEARCH(IF(E$1&lt;&gt;"",E$1,"NA"),'MITRE ATT&amp;CK Mappings'!$F455))),ISNUMBER(SEARCH(IF(E$2&lt;&gt;"",E$2,"NA"),'MITRE ATT&amp;CK Mappings'!$G455))),ISNUMBER(SEARCH(IF(E$2&lt;&gt;"",E$2,"NA"),'MITRE ATT&amp;CK Mappings'!$H455))),ISNUMBER(SEARCH(IF(E$3&lt;&gt;"",E$3,"NA"),'MITRE ATT&amp;CK Mappings'!$I455))),ISNUMBER(SEARCH(IF(E$3&lt;&gt;"",E$3,"NA"),'MITRE ATT&amp;CK Mappings'!$J455))), 'MITRE ATT&amp;CK Mappings'!$B455,"")</f>
        <v/>
      </c>
      <c r="F459" s="27" t="str">
        <f>IF(OR(OR(OR(OR(OR(ISNUMBER(SEARCH(IF(F$1&lt;&gt;"",F$1,"NA"),'MITRE ATT&amp;CK Mappings'!$E455)),ISNUMBER(SEARCH(IF(F$1&lt;&gt;"",F$1,"NA"),'MITRE ATT&amp;CK Mappings'!$F455))),ISNUMBER(SEARCH(IF(F$2&lt;&gt;"",F$2,"NA"),'MITRE ATT&amp;CK Mappings'!$G455))),ISNUMBER(SEARCH(IF(F$2&lt;&gt;"",F$2,"NA"),'MITRE ATT&amp;CK Mappings'!$H455))),ISNUMBER(SEARCH(IF(F$3&lt;&gt;"",F$3,"NA"),'MITRE ATT&amp;CK Mappings'!$I455))),ISNUMBER(SEARCH(IF(F$3&lt;&gt;"",F$3,"NA"),'MITRE ATT&amp;CK Mappings'!$J455))), 'MITRE ATT&amp;CK Mappings'!$B455,"")</f>
        <v/>
      </c>
      <c r="G459" s="27" t="str">
        <f>IF(OR(OR(OR(OR(OR(ISNUMBER(SEARCH(IF(G$1&lt;&gt;"",G$1,"NA"),'MITRE ATT&amp;CK Mappings'!$E455)),ISNUMBER(SEARCH(IF(G$1&lt;&gt;"",G$1,"NA"),'MITRE ATT&amp;CK Mappings'!$F455))),ISNUMBER(SEARCH(IF(G$2&lt;&gt;"",G$2,"NA"),'MITRE ATT&amp;CK Mappings'!$G455))),ISNUMBER(SEARCH(IF(G$2&lt;&gt;"",G$2,"NA"),'MITRE ATT&amp;CK Mappings'!$H455))),ISNUMBER(SEARCH(IF(G$3&lt;&gt;"",G$3,"NA"),'MITRE ATT&amp;CK Mappings'!$I455))),ISNUMBER(SEARCH(IF(G$3&lt;&gt;"",G$3,"NA"),'MITRE ATT&amp;CK Mappings'!$J455))), 'MITRE ATT&amp;CK Mappings'!$B455,"")</f>
        <v/>
      </c>
      <c r="H459" s="27" t="str">
        <f>IF(OR(OR(OR(OR(OR(ISNUMBER(SEARCH(IF(H$1&lt;&gt;"",H$1,"NA"),'MITRE ATT&amp;CK Mappings'!$E455)),ISNUMBER(SEARCH(IF(H$1&lt;&gt;"",H$1,"NA"),'MITRE ATT&amp;CK Mappings'!$F455))),ISNUMBER(SEARCH(IF(H$2&lt;&gt;"",H$2,"NA"),'MITRE ATT&amp;CK Mappings'!$G455))),ISNUMBER(SEARCH(IF(H$2&lt;&gt;"",H$2,"NA"),'MITRE ATT&amp;CK Mappings'!$H455))),ISNUMBER(SEARCH(IF(H$3&lt;&gt;"",H$3,"NA"),'MITRE ATT&amp;CK Mappings'!$I455))),ISNUMBER(SEARCH(IF(H$3&lt;&gt;"",H$3,"NA"),'MITRE ATT&amp;CK Mappings'!$J455))), 'MITRE ATT&amp;CK Mappings'!$B455,"")</f>
        <v/>
      </c>
      <c r="I459" s="27" t="str">
        <f>IF(OR(OR(OR(OR(OR(ISNUMBER(SEARCH(IF(I$1&lt;&gt;"",I$1,"NA"),'MITRE ATT&amp;CK Mappings'!$E455)),ISNUMBER(SEARCH(IF(I$1&lt;&gt;"",I$1,"NA"),'MITRE ATT&amp;CK Mappings'!$F455))),ISNUMBER(SEARCH(IF(I$2&lt;&gt;"",I$2,"NA"),'MITRE ATT&amp;CK Mappings'!$G455))),ISNUMBER(SEARCH(IF(I$2&lt;&gt;"",I$2,"NA"),'MITRE ATT&amp;CK Mappings'!$H455))),ISNUMBER(SEARCH(IF(I$3&lt;&gt;"",I$3,"NA"),'MITRE ATT&amp;CK Mappings'!$I455))),ISNUMBER(SEARCH(IF(I$3&lt;&gt;"",I$3,"NA"),'MITRE ATT&amp;CK Mappings'!$J455))), 'MITRE ATT&amp;CK Mappings'!$B455,"")</f>
        <v/>
      </c>
      <c r="J459" s="27" t="str">
        <f>IF(OR(OR(OR(OR(OR(ISNUMBER(SEARCH(IF(J$1&lt;&gt;"",J$1,"NA"),'MITRE ATT&amp;CK Mappings'!$E455)),ISNUMBER(SEARCH(IF(J$1&lt;&gt;"",J$1,"NA"),'MITRE ATT&amp;CK Mappings'!$F455))),ISNUMBER(SEARCH(IF(J$2&lt;&gt;"",J$2,"NA"),'MITRE ATT&amp;CK Mappings'!$G455))),ISNUMBER(SEARCH(IF(J$2&lt;&gt;"",J$2,"NA"),'MITRE ATT&amp;CK Mappings'!$H455))),ISNUMBER(SEARCH(IF(J$3&lt;&gt;"",J$3,"NA"),'MITRE ATT&amp;CK Mappings'!$I455))),ISNUMBER(SEARCH(IF(J$3&lt;&gt;"",J$3,"NA"),'MITRE ATT&amp;CK Mappings'!$J455))), 'MITRE ATT&amp;CK Mappings'!$B455,"")</f>
        <v/>
      </c>
      <c r="K459" s="27" t="str">
        <f>IF(OR(OR(OR(OR(OR(ISNUMBER(SEARCH(IF(K$1&lt;&gt;"",K$1,"NA"),'MITRE ATT&amp;CK Mappings'!$E455)),ISNUMBER(SEARCH(IF(K$1&lt;&gt;"",K$1,"NA"),'MITRE ATT&amp;CK Mappings'!$F455))),ISNUMBER(SEARCH(IF(K$2&lt;&gt;"",K$2,"NA"),'MITRE ATT&amp;CK Mappings'!$G455))),ISNUMBER(SEARCH(IF(K$2&lt;&gt;"",K$2,"NA"),'MITRE ATT&amp;CK Mappings'!$H455))),ISNUMBER(SEARCH(IF(K$3&lt;&gt;"",K$3,"NA"),'MITRE ATT&amp;CK Mappings'!$I455))),ISNUMBER(SEARCH(IF(K$3&lt;&gt;"",K$3,"NA"),'MITRE ATT&amp;CK Mappings'!$J455))), 'MITRE ATT&amp;CK Mappings'!$B455,"")</f>
        <v/>
      </c>
      <c r="L459" s="27" t="str">
        <f>IF('MITRE ATT&amp;CK Mappings'!D455 &lt;&gt;"",'MITRE ATT&amp;CK Mappings'!D455,"" )</f>
        <v/>
      </c>
    </row>
    <row r="460" spans="1:12" x14ac:dyDescent="0.25">
      <c r="A460" s="26" t="str">
        <f>IF(COUNTIF(B460:K460,"="&amp;'MITRE ATT&amp;CK Mappings'!B456)&gt;0,'MITRE ATT&amp;CK Mappings'!B456,"")</f>
        <v/>
      </c>
      <c r="B460" s="26" t="str">
        <f>IF(OR(OR(OR(OR(OR(ISNUMBER(SEARCH(IF(B$1&lt;&gt;"",B$1,"NA"),'MITRE ATT&amp;CK Mappings'!$E456)),ISNUMBER(SEARCH(IF(B$1&lt;&gt;"",B$1,"NA"),'MITRE ATT&amp;CK Mappings'!$F456))),ISNUMBER(SEARCH(IF(B$2&lt;&gt;"",B$2,"NA"),'MITRE ATT&amp;CK Mappings'!$G456))),ISNUMBER(SEARCH(IF(B$2&lt;&gt;"",B$2,"NA"),'MITRE ATT&amp;CK Mappings'!$H456))),ISNUMBER(SEARCH(IF(B$3&lt;&gt;"",B$3,"NA"),'MITRE ATT&amp;CK Mappings'!$I456))),ISNUMBER(SEARCH(IF(B$3&lt;&gt;"",B$3,"NA"),'MITRE ATT&amp;CK Mappings'!$J456))), 'MITRE ATT&amp;CK Mappings'!$B456,"")</f>
        <v/>
      </c>
      <c r="C460" s="26" t="str">
        <f>IF(OR(OR(OR(OR(OR(ISNUMBER(SEARCH(IF(C$1&lt;&gt;"",C$1,"NA"),'MITRE ATT&amp;CK Mappings'!$E456)),ISNUMBER(SEARCH(IF(C$1&lt;&gt;"",C$1,"NA"),'MITRE ATT&amp;CK Mappings'!$F456))),ISNUMBER(SEARCH(IF(C$2&lt;&gt;"",C$2,"NA"),'MITRE ATT&amp;CK Mappings'!$G456))),ISNUMBER(SEARCH(IF(C$2&lt;&gt;"",C$2,"NA"),'MITRE ATT&amp;CK Mappings'!$H456))),ISNUMBER(SEARCH(IF(C$3&lt;&gt;"",C$3,"NA"),'MITRE ATT&amp;CK Mappings'!$I456))),ISNUMBER(SEARCH(IF(C$3&lt;&gt;"",C$3,"NA"),'MITRE ATT&amp;CK Mappings'!$J456))), 'MITRE ATT&amp;CK Mappings'!$B456,"")</f>
        <v/>
      </c>
      <c r="D460" s="26" t="str">
        <f>IF(OR(OR(OR(OR(OR(ISNUMBER(SEARCH(IF(D$1&lt;&gt;"",D$1,"NA"),'MITRE ATT&amp;CK Mappings'!$E456)),ISNUMBER(SEARCH(IF(D$1&lt;&gt;"",D$1,"NA"),'MITRE ATT&amp;CK Mappings'!$F456))),ISNUMBER(SEARCH(IF(D$2&lt;&gt;"",D$2,"NA"),'MITRE ATT&amp;CK Mappings'!$G456))),ISNUMBER(SEARCH(IF(D$2&lt;&gt;"",D$2,"NA"),'MITRE ATT&amp;CK Mappings'!$H456))),ISNUMBER(SEARCH(IF(D$3&lt;&gt;"",D$3,"NA"),'MITRE ATT&amp;CK Mappings'!$I456))),ISNUMBER(SEARCH(IF(D$3&lt;&gt;"",D$3,"NA"),'MITRE ATT&amp;CK Mappings'!$J456))), 'MITRE ATT&amp;CK Mappings'!$B456,"")</f>
        <v/>
      </c>
      <c r="E460" s="26" t="str">
        <f>IF(OR(OR(OR(OR(OR(ISNUMBER(SEARCH(IF(E$1&lt;&gt;"",E$1,"NA"),'MITRE ATT&amp;CK Mappings'!$E456)),ISNUMBER(SEARCH(IF(E$1&lt;&gt;"",E$1,"NA"),'MITRE ATT&amp;CK Mappings'!$F456))),ISNUMBER(SEARCH(IF(E$2&lt;&gt;"",E$2,"NA"),'MITRE ATT&amp;CK Mappings'!$G456))),ISNUMBER(SEARCH(IF(E$2&lt;&gt;"",E$2,"NA"),'MITRE ATT&amp;CK Mappings'!$H456))),ISNUMBER(SEARCH(IF(E$3&lt;&gt;"",E$3,"NA"),'MITRE ATT&amp;CK Mappings'!$I456))),ISNUMBER(SEARCH(IF(E$3&lt;&gt;"",E$3,"NA"),'MITRE ATT&amp;CK Mappings'!$J456))), 'MITRE ATT&amp;CK Mappings'!$B456,"")</f>
        <v/>
      </c>
      <c r="F460" s="26" t="str">
        <f>IF(OR(OR(OR(OR(OR(ISNUMBER(SEARCH(IF(F$1&lt;&gt;"",F$1,"NA"),'MITRE ATT&amp;CK Mappings'!$E456)),ISNUMBER(SEARCH(IF(F$1&lt;&gt;"",F$1,"NA"),'MITRE ATT&amp;CK Mappings'!$F456))),ISNUMBER(SEARCH(IF(F$2&lt;&gt;"",F$2,"NA"),'MITRE ATT&amp;CK Mappings'!$G456))),ISNUMBER(SEARCH(IF(F$2&lt;&gt;"",F$2,"NA"),'MITRE ATT&amp;CK Mappings'!$H456))),ISNUMBER(SEARCH(IF(F$3&lt;&gt;"",F$3,"NA"),'MITRE ATT&amp;CK Mappings'!$I456))),ISNUMBER(SEARCH(IF(F$3&lt;&gt;"",F$3,"NA"),'MITRE ATT&amp;CK Mappings'!$J456))), 'MITRE ATT&amp;CK Mappings'!$B456,"")</f>
        <v/>
      </c>
      <c r="G460" s="26" t="str">
        <f>IF(OR(OR(OR(OR(OR(ISNUMBER(SEARCH(IF(G$1&lt;&gt;"",G$1,"NA"),'MITRE ATT&amp;CK Mappings'!$E456)),ISNUMBER(SEARCH(IF(G$1&lt;&gt;"",G$1,"NA"),'MITRE ATT&amp;CK Mappings'!$F456))),ISNUMBER(SEARCH(IF(G$2&lt;&gt;"",G$2,"NA"),'MITRE ATT&amp;CK Mappings'!$G456))),ISNUMBER(SEARCH(IF(G$2&lt;&gt;"",G$2,"NA"),'MITRE ATT&amp;CK Mappings'!$H456))),ISNUMBER(SEARCH(IF(G$3&lt;&gt;"",G$3,"NA"),'MITRE ATT&amp;CK Mappings'!$I456))),ISNUMBER(SEARCH(IF(G$3&lt;&gt;"",G$3,"NA"),'MITRE ATT&amp;CK Mappings'!$J456))), 'MITRE ATT&amp;CK Mappings'!$B456,"")</f>
        <v/>
      </c>
      <c r="H460" s="26" t="str">
        <f>IF(OR(OR(OR(OR(OR(ISNUMBER(SEARCH(IF(H$1&lt;&gt;"",H$1,"NA"),'MITRE ATT&amp;CK Mappings'!$E456)),ISNUMBER(SEARCH(IF(H$1&lt;&gt;"",H$1,"NA"),'MITRE ATT&amp;CK Mappings'!$F456))),ISNUMBER(SEARCH(IF(H$2&lt;&gt;"",H$2,"NA"),'MITRE ATT&amp;CK Mappings'!$G456))),ISNUMBER(SEARCH(IF(H$2&lt;&gt;"",H$2,"NA"),'MITRE ATT&amp;CK Mappings'!$H456))),ISNUMBER(SEARCH(IF(H$3&lt;&gt;"",H$3,"NA"),'MITRE ATT&amp;CK Mappings'!$I456))),ISNUMBER(SEARCH(IF(H$3&lt;&gt;"",H$3,"NA"),'MITRE ATT&amp;CK Mappings'!$J456))), 'MITRE ATT&amp;CK Mappings'!$B456,"")</f>
        <v/>
      </c>
      <c r="I460" s="26" t="str">
        <f>IF(OR(OR(OR(OR(OR(ISNUMBER(SEARCH(IF(I$1&lt;&gt;"",I$1,"NA"),'MITRE ATT&amp;CK Mappings'!$E456)),ISNUMBER(SEARCH(IF(I$1&lt;&gt;"",I$1,"NA"),'MITRE ATT&amp;CK Mappings'!$F456))),ISNUMBER(SEARCH(IF(I$2&lt;&gt;"",I$2,"NA"),'MITRE ATT&amp;CK Mappings'!$G456))),ISNUMBER(SEARCH(IF(I$2&lt;&gt;"",I$2,"NA"),'MITRE ATT&amp;CK Mappings'!$H456))),ISNUMBER(SEARCH(IF(I$3&lt;&gt;"",I$3,"NA"),'MITRE ATT&amp;CK Mappings'!$I456))),ISNUMBER(SEARCH(IF(I$3&lt;&gt;"",I$3,"NA"),'MITRE ATT&amp;CK Mappings'!$J456))), 'MITRE ATT&amp;CK Mappings'!$B456,"")</f>
        <v/>
      </c>
      <c r="J460" s="26" t="str">
        <f>IF(OR(OR(OR(OR(OR(ISNUMBER(SEARCH(IF(J$1&lt;&gt;"",J$1,"NA"),'MITRE ATT&amp;CK Mappings'!$E456)),ISNUMBER(SEARCH(IF(J$1&lt;&gt;"",J$1,"NA"),'MITRE ATT&amp;CK Mappings'!$F456))),ISNUMBER(SEARCH(IF(J$2&lt;&gt;"",J$2,"NA"),'MITRE ATT&amp;CK Mappings'!$G456))),ISNUMBER(SEARCH(IF(J$2&lt;&gt;"",J$2,"NA"),'MITRE ATT&amp;CK Mappings'!$H456))),ISNUMBER(SEARCH(IF(J$3&lt;&gt;"",J$3,"NA"),'MITRE ATT&amp;CK Mappings'!$I456))),ISNUMBER(SEARCH(IF(J$3&lt;&gt;"",J$3,"NA"),'MITRE ATT&amp;CK Mappings'!$J456))), 'MITRE ATT&amp;CK Mappings'!$B456,"")</f>
        <v/>
      </c>
      <c r="K460" s="26" t="str">
        <f>IF(OR(OR(OR(OR(OR(ISNUMBER(SEARCH(IF(K$1&lt;&gt;"",K$1,"NA"),'MITRE ATT&amp;CK Mappings'!$E456)),ISNUMBER(SEARCH(IF(K$1&lt;&gt;"",K$1,"NA"),'MITRE ATT&amp;CK Mappings'!$F456))),ISNUMBER(SEARCH(IF(K$2&lt;&gt;"",K$2,"NA"),'MITRE ATT&amp;CK Mappings'!$G456))),ISNUMBER(SEARCH(IF(K$2&lt;&gt;"",K$2,"NA"),'MITRE ATT&amp;CK Mappings'!$H456))),ISNUMBER(SEARCH(IF(K$3&lt;&gt;"",K$3,"NA"),'MITRE ATT&amp;CK Mappings'!$I456))),ISNUMBER(SEARCH(IF(K$3&lt;&gt;"",K$3,"NA"),'MITRE ATT&amp;CK Mappings'!$J456))), 'MITRE ATT&amp;CK Mappings'!$B456,"")</f>
        <v/>
      </c>
      <c r="L460" s="26" t="str">
        <f>IF('MITRE ATT&amp;CK Mappings'!D456 &lt;&gt;"",'MITRE ATT&amp;CK Mappings'!D456,"" )</f>
        <v/>
      </c>
    </row>
    <row r="461" spans="1:12" x14ac:dyDescent="0.25">
      <c r="A461" s="27" t="str">
        <f>IF(COUNTIF(B461:K461,"="&amp;'MITRE ATT&amp;CK Mappings'!B457)&gt;0,'MITRE ATT&amp;CK Mappings'!B457,"")</f>
        <v/>
      </c>
      <c r="B461" s="27" t="str">
        <f>IF(OR(OR(OR(OR(OR(ISNUMBER(SEARCH(IF(B$1&lt;&gt;"",B$1,"NA"),'MITRE ATT&amp;CK Mappings'!$E457)),ISNUMBER(SEARCH(IF(B$1&lt;&gt;"",B$1,"NA"),'MITRE ATT&amp;CK Mappings'!$F457))),ISNUMBER(SEARCH(IF(B$2&lt;&gt;"",B$2,"NA"),'MITRE ATT&amp;CK Mappings'!$G457))),ISNUMBER(SEARCH(IF(B$2&lt;&gt;"",B$2,"NA"),'MITRE ATT&amp;CK Mappings'!$H457))),ISNUMBER(SEARCH(IF(B$3&lt;&gt;"",B$3,"NA"),'MITRE ATT&amp;CK Mappings'!$I457))),ISNUMBER(SEARCH(IF(B$3&lt;&gt;"",B$3,"NA"),'MITRE ATT&amp;CK Mappings'!$J457))), 'MITRE ATT&amp;CK Mappings'!$B457,"")</f>
        <v/>
      </c>
      <c r="C461" s="27" t="str">
        <f>IF(OR(OR(OR(OR(OR(ISNUMBER(SEARCH(IF(C$1&lt;&gt;"",C$1,"NA"),'MITRE ATT&amp;CK Mappings'!$E457)),ISNUMBER(SEARCH(IF(C$1&lt;&gt;"",C$1,"NA"),'MITRE ATT&amp;CK Mappings'!$F457))),ISNUMBER(SEARCH(IF(C$2&lt;&gt;"",C$2,"NA"),'MITRE ATT&amp;CK Mappings'!$G457))),ISNUMBER(SEARCH(IF(C$2&lt;&gt;"",C$2,"NA"),'MITRE ATT&amp;CK Mappings'!$H457))),ISNUMBER(SEARCH(IF(C$3&lt;&gt;"",C$3,"NA"),'MITRE ATT&amp;CK Mappings'!$I457))),ISNUMBER(SEARCH(IF(C$3&lt;&gt;"",C$3,"NA"),'MITRE ATT&amp;CK Mappings'!$J457))), 'MITRE ATT&amp;CK Mappings'!$B457,"")</f>
        <v/>
      </c>
      <c r="D461" s="27" t="str">
        <f>IF(OR(OR(OR(OR(OR(ISNUMBER(SEARCH(IF(D$1&lt;&gt;"",D$1,"NA"),'MITRE ATT&amp;CK Mappings'!$E457)),ISNUMBER(SEARCH(IF(D$1&lt;&gt;"",D$1,"NA"),'MITRE ATT&amp;CK Mappings'!$F457))),ISNUMBER(SEARCH(IF(D$2&lt;&gt;"",D$2,"NA"),'MITRE ATT&amp;CK Mappings'!$G457))),ISNUMBER(SEARCH(IF(D$2&lt;&gt;"",D$2,"NA"),'MITRE ATT&amp;CK Mappings'!$H457))),ISNUMBER(SEARCH(IF(D$3&lt;&gt;"",D$3,"NA"),'MITRE ATT&amp;CK Mappings'!$I457))),ISNUMBER(SEARCH(IF(D$3&lt;&gt;"",D$3,"NA"),'MITRE ATT&amp;CK Mappings'!$J457))), 'MITRE ATT&amp;CK Mappings'!$B457,"")</f>
        <v/>
      </c>
      <c r="E461" s="27" t="str">
        <f>IF(OR(OR(OR(OR(OR(ISNUMBER(SEARCH(IF(E$1&lt;&gt;"",E$1,"NA"),'MITRE ATT&amp;CK Mappings'!$E457)),ISNUMBER(SEARCH(IF(E$1&lt;&gt;"",E$1,"NA"),'MITRE ATT&amp;CK Mappings'!$F457))),ISNUMBER(SEARCH(IF(E$2&lt;&gt;"",E$2,"NA"),'MITRE ATT&amp;CK Mappings'!$G457))),ISNUMBER(SEARCH(IF(E$2&lt;&gt;"",E$2,"NA"),'MITRE ATT&amp;CK Mappings'!$H457))),ISNUMBER(SEARCH(IF(E$3&lt;&gt;"",E$3,"NA"),'MITRE ATT&amp;CK Mappings'!$I457))),ISNUMBER(SEARCH(IF(E$3&lt;&gt;"",E$3,"NA"),'MITRE ATT&amp;CK Mappings'!$J457))), 'MITRE ATT&amp;CK Mappings'!$B457,"")</f>
        <v/>
      </c>
      <c r="F461" s="27" t="str">
        <f>IF(OR(OR(OR(OR(OR(ISNUMBER(SEARCH(IF(F$1&lt;&gt;"",F$1,"NA"),'MITRE ATT&amp;CK Mappings'!$E457)),ISNUMBER(SEARCH(IF(F$1&lt;&gt;"",F$1,"NA"),'MITRE ATT&amp;CK Mappings'!$F457))),ISNUMBER(SEARCH(IF(F$2&lt;&gt;"",F$2,"NA"),'MITRE ATT&amp;CK Mappings'!$G457))),ISNUMBER(SEARCH(IF(F$2&lt;&gt;"",F$2,"NA"),'MITRE ATT&amp;CK Mappings'!$H457))),ISNUMBER(SEARCH(IF(F$3&lt;&gt;"",F$3,"NA"),'MITRE ATT&amp;CK Mappings'!$I457))),ISNUMBER(SEARCH(IF(F$3&lt;&gt;"",F$3,"NA"),'MITRE ATT&amp;CK Mappings'!$J457))), 'MITRE ATT&amp;CK Mappings'!$B457,"")</f>
        <v/>
      </c>
      <c r="G461" s="27" t="str">
        <f>IF(OR(OR(OR(OR(OR(ISNUMBER(SEARCH(IF(G$1&lt;&gt;"",G$1,"NA"),'MITRE ATT&amp;CK Mappings'!$E457)),ISNUMBER(SEARCH(IF(G$1&lt;&gt;"",G$1,"NA"),'MITRE ATT&amp;CK Mappings'!$F457))),ISNUMBER(SEARCH(IF(G$2&lt;&gt;"",G$2,"NA"),'MITRE ATT&amp;CK Mappings'!$G457))),ISNUMBER(SEARCH(IF(G$2&lt;&gt;"",G$2,"NA"),'MITRE ATT&amp;CK Mappings'!$H457))),ISNUMBER(SEARCH(IF(G$3&lt;&gt;"",G$3,"NA"),'MITRE ATT&amp;CK Mappings'!$I457))),ISNUMBER(SEARCH(IF(G$3&lt;&gt;"",G$3,"NA"),'MITRE ATT&amp;CK Mappings'!$J457))), 'MITRE ATT&amp;CK Mappings'!$B457,"")</f>
        <v/>
      </c>
      <c r="H461" s="27" t="str">
        <f>IF(OR(OR(OR(OR(OR(ISNUMBER(SEARCH(IF(H$1&lt;&gt;"",H$1,"NA"),'MITRE ATT&amp;CK Mappings'!$E457)),ISNUMBER(SEARCH(IF(H$1&lt;&gt;"",H$1,"NA"),'MITRE ATT&amp;CK Mappings'!$F457))),ISNUMBER(SEARCH(IF(H$2&lt;&gt;"",H$2,"NA"),'MITRE ATT&amp;CK Mappings'!$G457))),ISNUMBER(SEARCH(IF(H$2&lt;&gt;"",H$2,"NA"),'MITRE ATT&amp;CK Mappings'!$H457))),ISNUMBER(SEARCH(IF(H$3&lt;&gt;"",H$3,"NA"),'MITRE ATT&amp;CK Mappings'!$I457))),ISNUMBER(SEARCH(IF(H$3&lt;&gt;"",H$3,"NA"),'MITRE ATT&amp;CK Mappings'!$J457))), 'MITRE ATT&amp;CK Mappings'!$B457,"")</f>
        <v/>
      </c>
      <c r="I461" s="27" t="str">
        <f>IF(OR(OR(OR(OR(OR(ISNUMBER(SEARCH(IF(I$1&lt;&gt;"",I$1,"NA"),'MITRE ATT&amp;CK Mappings'!$E457)),ISNUMBER(SEARCH(IF(I$1&lt;&gt;"",I$1,"NA"),'MITRE ATT&amp;CK Mappings'!$F457))),ISNUMBER(SEARCH(IF(I$2&lt;&gt;"",I$2,"NA"),'MITRE ATT&amp;CK Mappings'!$G457))),ISNUMBER(SEARCH(IF(I$2&lt;&gt;"",I$2,"NA"),'MITRE ATT&amp;CK Mappings'!$H457))),ISNUMBER(SEARCH(IF(I$3&lt;&gt;"",I$3,"NA"),'MITRE ATT&amp;CK Mappings'!$I457))),ISNUMBER(SEARCH(IF(I$3&lt;&gt;"",I$3,"NA"),'MITRE ATT&amp;CK Mappings'!$J457))), 'MITRE ATT&amp;CK Mappings'!$B457,"")</f>
        <v/>
      </c>
      <c r="J461" s="27" t="str">
        <f>IF(OR(OR(OR(OR(OR(ISNUMBER(SEARCH(IF(J$1&lt;&gt;"",J$1,"NA"),'MITRE ATT&amp;CK Mappings'!$E457)),ISNUMBER(SEARCH(IF(J$1&lt;&gt;"",J$1,"NA"),'MITRE ATT&amp;CK Mappings'!$F457))),ISNUMBER(SEARCH(IF(J$2&lt;&gt;"",J$2,"NA"),'MITRE ATT&amp;CK Mappings'!$G457))),ISNUMBER(SEARCH(IF(J$2&lt;&gt;"",J$2,"NA"),'MITRE ATT&amp;CK Mappings'!$H457))),ISNUMBER(SEARCH(IF(J$3&lt;&gt;"",J$3,"NA"),'MITRE ATT&amp;CK Mappings'!$I457))),ISNUMBER(SEARCH(IF(J$3&lt;&gt;"",J$3,"NA"),'MITRE ATT&amp;CK Mappings'!$J457))), 'MITRE ATT&amp;CK Mappings'!$B457,"")</f>
        <v/>
      </c>
      <c r="K461" s="27" t="str">
        <f>IF(OR(OR(OR(OR(OR(ISNUMBER(SEARCH(IF(K$1&lt;&gt;"",K$1,"NA"),'MITRE ATT&amp;CK Mappings'!$E457)),ISNUMBER(SEARCH(IF(K$1&lt;&gt;"",K$1,"NA"),'MITRE ATT&amp;CK Mappings'!$F457))),ISNUMBER(SEARCH(IF(K$2&lt;&gt;"",K$2,"NA"),'MITRE ATT&amp;CK Mappings'!$G457))),ISNUMBER(SEARCH(IF(K$2&lt;&gt;"",K$2,"NA"),'MITRE ATT&amp;CK Mappings'!$H457))),ISNUMBER(SEARCH(IF(K$3&lt;&gt;"",K$3,"NA"),'MITRE ATT&amp;CK Mappings'!$I457))),ISNUMBER(SEARCH(IF(K$3&lt;&gt;"",K$3,"NA"),'MITRE ATT&amp;CK Mappings'!$J457))), 'MITRE ATT&amp;CK Mappings'!$B457,"")</f>
        <v/>
      </c>
      <c r="L461" s="27" t="str">
        <f>IF('MITRE ATT&amp;CK Mappings'!D457 &lt;&gt;"",'MITRE ATT&amp;CK Mappings'!D457,"" )</f>
        <v/>
      </c>
    </row>
    <row r="462" spans="1:12" x14ac:dyDescent="0.25">
      <c r="A462" s="26" t="str">
        <f>IF(COUNTIF(B462:K462,"="&amp;'MITRE ATT&amp;CK Mappings'!B458)&gt;0,'MITRE ATT&amp;CK Mappings'!B458,"")</f>
        <v/>
      </c>
      <c r="B462" s="26" t="str">
        <f>IF(OR(OR(OR(OR(OR(ISNUMBER(SEARCH(IF(B$1&lt;&gt;"",B$1,"NA"),'MITRE ATT&amp;CK Mappings'!$E458)),ISNUMBER(SEARCH(IF(B$1&lt;&gt;"",B$1,"NA"),'MITRE ATT&amp;CK Mappings'!$F458))),ISNUMBER(SEARCH(IF(B$2&lt;&gt;"",B$2,"NA"),'MITRE ATT&amp;CK Mappings'!$G458))),ISNUMBER(SEARCH(IF(B$2&lt;&gt;"",B$2,"NA"),'MITRE ATT&amp;CK Mappings'!$H458))),ISNUMBER(SEARCH(IF(B$3&lt;&gt;"",B$3,"NA"),'MITRE ATT&amp;CK Mappings'!$I458))),ISNUMBER(SEARCH(IF(B$3&lt;&gt;"",B$3,"NA"),'MITRE ATT&amp;CK Mappings'!$J458))), 'MITRE ATT&amp;CK Mappings'!$B458,"")</f>
        <v/>
      </c>
      <c r="C462" s="26" t="str">
        <f>IF(OR(OR(OR(OR(OR(ISNUMBER(SEARCH(IF(C$1&lt;&gt;"",C$1,"NA"),'MITRE ATT&amp;CK Mappings'!$E458)),ISNUMBER(SEARCH(IF(C$1&lt;&gt;"",C$1,"NA"),'MITRE ATT&amp;CK Mappings'!$F458))),ISNUMBER(SEARCH(IF(C$2&lt;&gt;"",C$2,"NA"),'MITRE ATT&amp;CK Mappings'!$G458))),ISNUMBER(SEARCH(IF(C$2&lt;&gt;"",C$2,"NA"),'MITRE ATT&amp;CK Mappings'!$H458))),ISNUMBER(SEARCH(IF(C$3&lt;&gt;"",C$3,"NA"),'MITRE ATT&amp;CK Mappings'!$I458))),ISNUMBER(SEARCH(IF(C$3&lt;&gt;"",C$3,"NA"),'MITRE ATT&amp;CK Mappings'!$J458))), 'MITRE ATT&amp;CK Mappings'!$B458,"")</f>
        <v/>
      </c>
      <c r="D462" s="26" t="str">
        <f>IF(OR(OR(OR(OR(OR(ISNUMBER(SEARCH(IF(D$1&lt;&gt;"",D$1,"NA"),'MITRE ATT&amp;CK Mappings'!$E458)),ISNUMBER(SEARCH(IF(D$1&lt;&gt;"",D$1,"NA"),'MITRE ATT&amp;CK Mappings'!$F458))),ISNUMBER(SEARCH(IF(D$2&lt;&gt;"",D$2,"NA"),'MITRE ATT&amp;CK Mappings'!$G458))),ISNUMBER(SEARCH(IF(D$2&lt;&gt;"",D$2,"NA"),'MITRE ATT&amp;CK Mappings'!$H458))),ISNUMBER(SEARCH(IF(D$3&lt;&gt;"",D$3,"NA"),'MITRE ATT&amp;CK Mappings'!$I458))),ISNUMBER(SEARCH(IF(D$3&lt;&gt;"",D$3,"NA"),'MITRE ATT&amp;CK Mappings'!$J458))), 'MITRE ATT&amp;CK Mappings'!$B458,"")</f>
        <v/>
      </c>
      <c r="E462" s="26" t="str">
        <f>IF(OR(OR(OR(OR(OR(ISNUMBER(SEARCH(IF(E$1&lt;&gt;"",E$1,"NA"),'MITRE ATT&amp;CK Mappings'!$E458)),ISNUMBER(SEARCH(IF(E$1&lt;&gt;"",E$1,"NA"),'MITRE ATT&amp;CK Mappings'!$F458))),ISNUMBER(SEARCH(IF(E$2&lt;&gt;"",E$2,"NA"),'MITRE ATT&amp;CK Mappings'!$G458))),ISNUMBER(SEARCH(IF(E$2&lt;&gt;"",E$2,"NA"),'MITRE ATT&amp;CK Mappings'!$H458))),ISNUMBER(SEARCH(IF(E$3&lt;&gt;"",E$3,"NA"),'MITRE ATT&amp;CK Mappings'!$I458))),ISNUMBER(SEARCH(IF(E$3&lt;&gt;"",E$3,"NA"),'MITRE ATT&amp;CK Mappings'!$J458))), 'MITRE ATT&amp;CK Mappings'!$B458,"")</f>
        <v/>
      </c>
      <c r="F462" s="26" t="str">
        <f>IF(OR(OR(OR(OR(OR(ISNUMBER(SEARCH(IF(F$1&lt;&gt;"",F$1,"NA"),'MITRE ATT&amp;CK Mappings'!$E458)),ISNUMBER(SEARCH(IF(F$1&lt;&gt;"",F$1,"NA"),'MITRE ATT&amp;CK Mappings'!$F458))),ISNUMBER(SEARCH(IF(F$2&lt;&gt;"",F$2,"NA"),'MITRE ATT&amp;CK Mappings'!$G458))),ISNUMBER(SEARCH(IF(F$2&lt;&gt;"",F$2,"NA"),'MITRE ATT&amp;CK Mappings'!$H458))),ISNUMBER(SEARCH(IF(F$3&lt;&gt;"",F$3,"NA"),'MITRE ATT&amp;CK Mappings'!$I458))),ISNUMBER(SEARCH(IF(F$3&lt;&gt;"",F$3,"NA"),'MITRE ATT&amp;CK Mappings'!$J458))), 'MITRE ATT&amp;CK Mappings'!$B458,"")</f>
        <v/>
      </c>
      <c r="G462" s="26" t="str">
        <f>IF(OR(OR(OR(OR(OR(ISNUMBER(SEARCH(IF(G$1&lt;&gt;"",G$1,"NA"),'MITRE ATT&amp;CK Mappings'!$E458)),ISNUMBER(SEARCH(IF(G$1&lt;&gt;"",G$1,"NA"),'MITRE ATT&amp;CK Mappings'!$F458))),ISNUMBER(SEARCH(IF(G$2&lt;&gt;"",G$2,"NA"),'MITRE ATT&amp;CK Mappings'!$G458))),ISNUMBER(SEARCH(IF(G$2&lt;&gt;"",G$2,"NA"),'MITRE ATT&amp;CK Mappings'!$H458))),ISNUMBER(SEARCH(IF(G$3&lt;&gt;"",G$3,"NA"),'MITRE ATT&amp;CK Mappings'!$I458))),ISNUMBER(SEARCH(IF(G$3&lt;&gt;"",G$3,"NA"),'MITRE ATT&amp;CK Mappings'!$J458))), 'MITRE ATT&amp;CK Mappings'!$B458,"")</f>
        <v/>
      </c>
      <c r="H462" s="26" t="str">
        <f>IF(OR(OR(OR(OR(OR(ISNUMBER(SEARCH(IF(H$1&lt;&gt;"",H$1,"NA"),'MITRE ATT&amp;CK Mappings'!$E458)),ISNUMBER(SEARCH(IF(H$1&lt;&gt;"",H$1,"NA"),'MITRE ATT&amp;CK Mappings'!$F458))),ISNUMBER(SEARCH(IF(H$2&lt;&gt;"",H$2,"NA"),'MITRE ATT&amp;CK Mappings'!$G458))),ISNUMBER(SEARCH(IF(H$2&lt;&gt;"",H$2,"NA"),'MITRE ATT&amp;CK Mappings'!$H458))),ISNUMBER(SEARCH(IF(H$3&lt;&gt;"",H$3,"NA"),'MITRE ATT&amp;CK Mappings'!$I458))),ISNUMBER(SEARCH(IF(H$3&lt;&gt;"",H$3,"NA"),'MITRE ATT&amp;CK Mappings'!$J458))), 'MITRE ATT&amp;CK Mappings'!$B458,"")</f>
        <v/>
      </c>
      <c r="I462" s="26" t="str">
        <f>IF(OR(OR(OR(OR(OR(ISNUMBER(SEARCH(IF(I$1&lt;&gt;"",I$1,"NA"),'MITRE ATT&amp;CK Mappings'!$E458)),ISNUMBER(SEARCH(IF(I$1&lt;&gt;"",I$1,"NA"),'MITRE ATT&amp;CK Mappings'!$F458))),ISNUMBER(SEARCH(IF(I$2&lt;&gt;"",I$2,"NA"),'MITRE ATT&amp;CK Mappings'!$G458))),ISNUMBER(SEARCH(IF(I$2&lt;&gt;"",I$2,"NA"),'MITRE ATT&amp;CK Mappings'!$H458))),ISNUMBER(SEARCH(IF(I$3&lt;&gt;"",I$3,"NA"),'MITRE ATT&amp;CK Mappings'!$I458))),ISNUMBER(SEARCH(IF(I$3&lt;&gt;"",I$3,"NA"),'MITRE ATT&amp;CK Mappings'!$J458))), 'MITRE ATT&amp;CK Mappings'!$B458,"")</f>
        <v/>
      </c>
      <c r="J462" s="26" t="str">
        <f>IF(OR(OR(OR(OR(OR(ISNUMBER(SEARCH(IF(J$1&lt;&gt;"",J$1,"NA"),'MITRE ATT&amp;CK Mappings'!$E458)),ISNUMBER(SEARCH(IF(J$1&lt;&gt;"",J$1,"NA"),'MITRE ATT&amp;CK Mappings'!$F458))),ISNUMBER(SEARCH(IF(J$2&lt;&gt;"",J$2,"NA"),'MITRE ATT&amp;CK Mappings'!$G458))),ISNUMBER(SEARCH(IF(J$2&lt;&gt;"",J$2,"NA"),'MITRE ATT&amp;CK Mappings'!$H458))),ISNUMBER(SEARCH(IF(J$3&lt;&gt;"",J$3,"NA"),'MITRE ATT&amp;CK Mappings'!$I458))),ISNUMBER(SEARCH(IF(J$3&lt;&gt;"",J$3,"NA"),'MITRE ATT&amp;CK Mappings'!$J458))), 'MITRE ATT&amp;CK Mappings'!$B458,"")</f>
        <v/>
      </c>
      <c r="K462" s="26" t="str">
        <f>IF(OR(OR(OR(OR(OR(ISNUMBER(SEARCH(IF(K$1&lt;&gt;"",K$1,"NA"),'MITRE ATT&amp;CK Mappings'!$E458)),ISNUMBER(SEARCH(IF(K$1&lt;&gt;"",K$1,"NA"),'MITRE ATT&amp;CK Mappings'!$F458))),ISNUMBER(SEARCH(IF(K$2&lt;&gt;"",K$2,"NA"),'MITRE ATT&amp;CK Mappings'!$G458))),ISNUMBER(SEARCH(IF(K$2&lt;&gt;"",K$2,"NA"),'MITRE ATT&amp;CK Mappings'!$H458))),ISNUMBER(SEARCH(IF(K$3&lt;&gt;"",K$3,"NA"),'MITRE ATT&amp;CK Mappings'!$I458))),ISNUMBER(SEARCH(IF(K$3&lt;&gt;"",K$3,"NA"),'MITRE ATT&amp;CK Mappings'!$J458))), 'MITRE ATT&amp;CK Mappings'!$B458,"")</f>
        <v/>
      </c>
      <c r="L462" s="26" t="str">
        <f>IF('MITRE ATT&amp;CK Mappings'!D458 &lt;&gt;"",'MITRE ATT&amp;CK Mappings'!D458,"" )</f>
        <v/>
      </c>
    </row>
    <row r="463" spans="1:12" x14ac:dyDescent="0.25">
      <c r="A463" s="27" t="str">
        <f>IF(COUNTIF(B463:K463,"="&amp;'MITRE ATT&amp;CK Mappings'!B459)&gt;0,'MITRE ATT&amp;CK Mappings'!B459,"")</f>
        <v/>
      </c>
      <c r="B463" s="27" t="str">
        <f>IF(OR(OR(OR(OR(OR(ISNUMBER(SEARCH(IF(B$1&lt;&gt;"",B$1,"NA"),'MITRE ATT&amp;CK Mappings'!$E459)),ISNUMBER(SEARCH(IF(B$1&lt;&gt;"",B$1,"NA"),'MITRE ATT&amp;CK Mappings'!$F459))),ISNUMBER(SEARCH(IF(B$2&lt;&gt;"",B$2,"NA"),'MITRE ATT&amp;CK Mappings'!$G459))),ISNUMBER(SEARCH(IF(B$2&lt;&gt;"",B$2,"NA"),'MITRE ATT&amp;CK Mappings'!$H459))),ISNUMBER(SEARCH(IF(B$3&lt;&gt;"",B$3,"NA"),'MITRE ATT&amp;CK Mappings'!$I459))),ISNUMBER(SEARCH(IF(B$3&lt;&gt;"",B$3,"NA"),'MITRE ATT&amp;CK Mappings'!$J459))), 'MITRE ATT&amp;CK Mappings'!$B459,"")</f>
        <v/>
      </c>
      <c r="C463" s="27" t="str">
        <f>IF(OR(OR(OR(OR(OR(ISNUMBER(SEARCH(IF(C$1&lt;&gt;"",C$1,"NA"),'MITRE ATT&amp;CK Mappings'!$E459)),ISNUMBER(SEARCH(IF(C$1&lt;&gt;"",C$1,"NA"),'MITRE ATT&amp;CK Mappings'!$F459))),ISNUMBER(SEARCH(IF(C$2&lt;&gt;"",C$2,"NA"),'MITRE ATT&amp;CK Mappings'!$G459))),ISNUMBER(SEARCH(IF(C$2&lt;&gt;"",C$2,"NA"),'MITRE ATT&amp;CK Mappings'!$H459))),ISNUMBER(SEARCH(IF(C$3&lt;&gt;"",C$3,"NA"),'MITRE ATT&amp;CK Mappings'!$I459))),ISNUMBER(SEARCH(IF(C$3&lt;&gt;"",C$3,"NA"),'MITRE ATT&amp;CK Mappings'!$J459))), 'MITRE ATT&amp;CK Mappings'!$B459,"")</f>
        <v/>
      </c>
      <c r="D463" s="27" t="str">
        <f>IF(OR(OR(OR(OR(OR(ISNUMBER(SEARCH(IF(D$1&lt;&gt;"",D$1,"NA"),'MITRE ATT&amp;CK Mappings'!$E459)),ISNUMBER(SEARCH(IF(D$1&lt;&gt;"",D$1,"NA"),'MITRE ATT&amp;CK Mappings'!$F459))),ISNUMBER(SEARCH(IF(D$2&lt;&gt;"",D$2,"NA"),'MITRE ATT&amp;CK Mappings'!$G459))),ISNUMBER(SEARCH(IF(D$2&lt;&gt;"",D$2,"NA"),'MITRE ATT&amp;CK Mappings'!$H459))),ISNUMBER(SEARCH(IF(D$3&lt;&gt;"",D$3,"NA"),'MITRE ATT&amp;CK Mappings'!$I459))),ISNUMBER(SEARCH(IF(D$3&lt;&gt;"",D$3,"NA"),'MITRE ATT&amp;CK Mappings'!$J459))), 'MITRE ATT&amp;CK Mappings'!$B459,"")</f>
        <v/>
      </c>
      <c r="E463" s="27" t="str">
        <f>IF(OR(OR(OR(OR(OR(ISNUMBER(SEARCH(IF(E$1&lt;&gt;"",E$1,"NA"),'MITRE ATT&amp;CK Mappings'!$E459)),ISNUMBER(SEARCH(IF(E$1&lt;&gt;"",E$1,"NA"),'MITRE ATT&amp;CK Mappings'!$F459))),ISNUMBER(SEARCH(IF(E$2&lt;&gt;"",E$2,"NA"),'MITRE ATT&amp;CK Mappings'!$G459))),ISNUMBER(SEARCH(IF(E$2&lt;&gt;"",E$2,"NA"),'MITRE ATT&amp;CK Mappings'!$H459))),ISNUMBER(SEARCH(IF(E$3&lt;&gt;"",E$3,"NA"),'MITRE ATT&amp;CK Mappings'!$I459))),ISNUMBER(SEARCH(IF(E$3&lt;&gt;"",E$3,"NA"),'MITRE ATT&amp;CK Mappings'!$J459))), 'MITRE ATT&amp;CK Mappings'!$B459,"")</f>
        <v/>
      </c>
      <c r="F463" s="27" t="str">
        <f>IF(OR(OR(OR(OR(OR(ISNUMBER(SEARCH(IF(F$1&lt;&gt;"",F$1,"NA"),'MITRE ATT&amp;CK Mappings'!$E459)),ISNUMBER(SEARCH(IF(F$1&lt;&gt;"",F$1,"NA"),'MITRE ATT&amp;CK Mappings'!$F459))),ISNUMBER(SEARCH(IF(F$2&lt;&gt;"",F$2,"NA"),'MITRE ATT&amp;CK Mappings'!$G459))),ISNUMBER(SEARCH(IF(F$2&lt;&gt;"",F$2,"NA"),'MITRE ATT&amp;CK Mappings'!$H459))),ISNUMBER(SEARCH(IF(F$3&lt;&gt;"",F$3,"NA"),'MITRE ATT&amp;CK Mappings'!$I459))),ISNUMBER(SEARCH(IF(F$3&lt;&gt;"",F$3,"NA"),'MITRE ATT&amp;CK Mappings'!$J459))), 'MITRE ATT&amp;CK Mappings'!$B459,"")</f>
        <v/>
      </c>
      <c r="G463" s="27" t="str">
        <f>IF(OR(OR(OR(OR(OR(ISNUMBER(SEARCH(IF(G$1&lt;&gt;"",G$1,"NA"),'MITRE ATT&amp;CK Mappings'!$E459)),ISNUMBER(SEARCH(IF(G$1&lt;&gt;"",G$1,"NA"),'MITRE ATT&amp;CK Mappings'!$F459))),ISNUMBER(SEARCH(IF(G$2&lt;&gt;"",G$2,"NA"),'MITRE ATT&amp;CK Mappings'!$G459))),ISNUMBER(SEARCH(IF(G$2&lt;&gt;"",G$2,"NA"),'MITRE ATT&amp;CK Mappings'!$H459))),ISNUMBER(SEARCH(IF(G$3&lt;&gt;"",G$3,"NA"),'MITRE ATT&amp;CK Mappings'!$I459))),ISNUMBER(SEARCH(IF(G$3&lt;&gt;"",G$3,"NA"),'MITRE ATT&amp;CK Mappings'!$J459))), 'MITRE ATT&amp;CK Mappings'!$B459,"")</f>
        <v/>
      </c>
      <c r="H463" s="27" t="str">
        <f>IF(OR(OR(OR(OR(OR(ISNUMBER(SEARCH(IF(H$1&lt;&gt;"",H$1,"NA"),'MITRE ATT&amp;CK Mappings'!$E459)),ISNUMBER(SEARCH(IF(H$1&lt;&gt;"",H$1,"NA"),'MITRE ATT&amp;CK Mappings'!$F459))),ISNUMBER(SEARCH(IF(H$2&lt;&gt;"",H$2,"NA"),'MITRE ATT&amp;CK Mappings'!$G459))),ISNUMBER(SEARCH(IF(H$2&lt;&gt;"",H$2,"NA"),'MITRE ATT&amp;CK Mappings'!$H459))),ISNUMBER(SEARCH(IF(H$3&lt;&gt;"",H$3,"NA"),'MITRE ATT&amp;CK Mappings'!$I459))),ISNUMBER(SEARCH(IF(H$3&lt;&gt;"",H$3,"NA"),'MITRE ATT&amp;CK Mappings'!$J459))), 'MITRE ATT&amp;CK Mappings'!$B459,"")</f>
        <v/>
      </c>
      <c r="I463" s="27" t="str">
        <f>IF(OR(OR(OR(OR(OR(ISNUMBER(SEARCH(IF(I$1&lt;&gt;"",I$1,"NA"),'MITRE ATT&amp;CK Mappings'!$E459)),ISNUMBER(SEARCH(IF(I$1&lt;&gt;"",I$1,"NA"),'MITRE ATT&amp;CK Mappings'!$F459))),ISNUMBER(SEARCH(IF(I$2&lt;&gt;"",I$2,"NA"),'MITRE ATT&amp;CK Mappings'!$G459))),ISNUMBER(SEARCH(IF(I$2&lt;&gt;"",I$2,"NA"),'MITRE ATT&amp;CK Mappings'!$H459))),ISNUMBER(SEARCH(IF(I$3&lt;&gt;"",I$3,"NA"),'MITRE ATT&amp;CK Mappings'!$I459))),ISNUMBER(SEARCH(IF(I$3&lt;&gt;"",I$3,"NA"),'MITRE ATT&amp;CK Mappings'!$J459))), 'MITRE ATT&amp;CK Mappings'!$B459,"")</f>
        <v/>
      </c>
      <c r="J463" s="27" t="str">
        <f>IF(OR(OR(OR(OR(OR(ISNUMBER(SEARCH(IF(J$1&lt;&gt;"",J$1,"NA"),'MITRE ATT&amp;CK Mappings'!$E459)),ISNUMBER(SEARCH(IF(J$1&lt;&gt;"",J$1,"NA"),'MITRE ATT&amp;CK Mappings'!$F459))),ISNUMBER(SEARCH(IF(J$2&lt;&gt;"",J$2,"NA"),'MITRE ATT&amp;CK Mappings'!$G459))),ISNUMBER(SEARCH(IF(J$2&lt;&gt;"",J$2,"NA"),'MITRE ATT&amp;CK Mappings'!$H459))),ISNUMBER(SEARCH(IF(J$3&lt;&gt;"",J$3,"NA"),'MITRE ATT&amp;CK Mappings'!$I459))),ISNUMBER(SEARCH(IF(J$3&lt;&gt;"",J$3,"NA"),'MITRE ATT&amp;CK Mappings'!$J459))), 'MITRE ATT&amp;CK Mappings'!$B459,"")</f>
        <v/>
      </c>
      <c r="K463" s="27" t="str">
        <f>IF(OR(OR(OR(OR(OR(ISNUMBER(SEARCH(IF(K$1&lt;&gt;"",K$1,"NA"),'MITRE ATT&amp;CK Mappings'!$E459)),ISNUMBER(SEARCH(IF(K$1&lt;&gt;"",K$1,"NA"),'MITRE ATT&amp;CK Mappings'!$F459))),ISNUMBER(SEARCH(IF(K$2&lt;&gt;"",K$2,"NA"),'MITRE ATT&amp;CK Mappings'!$G459))),ISNUMBER(SEARCH(IF(K$2&lt;&gt;"",K$2,"NA"),'MITRE ATT&amp;CK Mappings'!$H459))),ISNUMBER(SEARCH(IF(K$3&lt;&gt;"",K$3,"NA"),'MITRE ATT&amp;CK Mappings'!$I459))),ISNUMBER(SEARCH(IF(K$3&lt;&gt;"",K$3,"NA"),'MITRE ATT&amp;CK Mappings'!$J459))), 'MITRE ATT&amp;CK Mappings'!$B459,"")</f>
        <v/>
      </c>
      <c r="L463" s="27" t="str">
        <f>IF('MITRE ATT&amp;CK Mappings'!D459 &lt;&gt;"",'MITRE ATT&amp;CK Mappings'!D459,"" )</f>
        <v/>
      </c>
    </row>
    <row r="464" spans="1:12" x14ac:dyDescent="0.25">
      <c r="A464" s="26" t="str">
        <f>IF(COUNTIF(B464:K464,"="&amp;'MITRE ATT&amp;CK Mappings'!B460)&gt;0,'MITRE ATT&amp;CK Mappings'!B460,"")</f>
        <v/>
      </c>
      <c r="B464" s="26" t="str">
        <f>IF(OR(OR(OR(OR(OR(ISNUMBER(SEARCH(IF(B$1&lt;&gt;"",B$1,"NA"),'MITRE ATT&amp;CK Mappings'!$E460)),ISNUMBER(SEARCH(IF(B$1&lt;&gt;"",B$1,"NA"),'MITRE ATT&amp;CK Mappings'!$F460))),ISNUMBER(SEARCH(IF(B$2&lt;&gt;"",B$2,"NA"),'MITRE ATT&amp;CK Mappings'!$G460))),ISNUMBER(SEARCH(IF(B$2&lt;&gt;"",B$2,"NA"),'MITRE ATT&amp;CK Mappings'!$H460))),ISNUMBER(SEARCH(IF(B$3&lt;&gt;"",B$3,"NA"),'MITRE ATT&amp;CK Mappings'!$I460))),ISNUMBER(SEARCH(IF(B$3&lt;&gt;"",B$3,"NA"),'MITRE ATT&amp;CK Mappings'!$J460))), 'MITRE ATT&amp;CK Mappings'!$B460,"")</f>
        <v/>
      </c>
      <c r="C464" s="26" t="str">
        <f>IF(OR(OR(OR(OR(OR(ISNUMBER(SEARCH(IF(C$1&lt;&gt;"",C$1,"NA"),'MITRE ATT&amp;CK Mappings'!$E460)),ISNUMBER(SEARCH(IF(C$1&lt;&gt;"",C$1,"NA"),'MITRE ATT&amp;CK Mappings'!$F460))),ISNUMBER(SEARCH(IF(C$2&lt;&gt;"",C$2,"NA"),'MITRE ATT&amp;CK Mappings'!$G460))),ISNUMBER(SEARCH(IF(C$2&lt;&gt;"",C$2,"NA"),'MITRE ATT&amp;CK Mappings'!$H460))),ISNUMBER(SEARCH(IF(C$3&lt;&gt;"",C$3,"NA"),'MITRE ATT&amp;CK Mappings'!$I460))),ISNUMBER(SEARCH(IF(C$3&lt;&gt;"",C$3,"NA"),'MITRE ATT&amp;CK Mappings'!$J460))), 'MITRE ATT&amp;CK Mappings'!$B460,"")</f>
        <v/>
      </c>
      <c r="D464" s="26" t="str">
        <f>IF(OR(OR(OR(OR(OR(ISNUMBER(SEARCH(IF(D$1&lt;&gt;"",D$1,"NA"),'MITRE ATT&amp;CK Mappings'!$E460)),ISNUMBER(SEARCH(IF(D$1&lt;&gt;"",D$1,"NA"),'MITRE ATT&amp;CK Mappings'!$F460))),ISNUMBER(SEARCH(IF(D$2&lt;&gt;"",D$2,"NA"),'MITRE ATT&amp;CK Mappings'!$G460))),ISNUMBER(SEARCH(IF(D$2&lt;&gt;"",D$2,"NA"),'MITRE ATT&amp;CK Mappings'!$H460))),ISNUMBER(SEARCH(IF(D$3&lt;&gt;"",D$3,"NA"),'MITRE ATT&amp;CK Mappings'!$I460))),ISNUMBER(SEARCH(IF(D$3&lt;&gt;"",D$3,"NA"),'MITRE ATT&amp;CK Mappings'!$J460))), 'MITRE ATT&amp;CK Mappings'!$B460,"")</f>
        <v/>
      </c>
      <c r="E464" s="26" t="str">
        <f>IF(OR(OR(OR(OR(OR(ISNUMBER(SEARCH(IF(E$1&lt;&gt;"",E$1,"NA"),'MITRE ATT&amp;CK Mappings'!$E460)),ISNUMBER(SEARCH(IF(E$1&lt;&gt;"",E$1,"NA"),'MITRE ATT&amp;CK Mappings'!$F460))),ISNUMBER(SEARCH(IF(E$2&lt;&gt;"",E$2,"NA"),'MITRE ATT&amp;CK Mappings'!$G460))),ISNUMBER(SEARCH(IF(E$2&lt;&gt;"",E$2,"NA"),'MITRE ATT&amp;CK Mappings'!$H460))),ISNUMBER(SEARCH(IF(E$3&lt;&gt;"",E$3,"NA"),'MITRE ATT&amp;CK Mappings'!$I460))),ISNUMBER(SEARCH(IF(E$3&lt;&gt;"",E$3,"NA"),'MITRE ATT&amp;CK Mappings'!$J460))), 'MITRE ATT&amp;CK Mappings'!$B460,"")</f>
        <v/>
      </c>
      <c r="F464" s="26" t="str">
        <f>IF(OR(OR(OR(OR(OR(ISNUMBER(SEARCH(IF(F$1&lt;&gt;"",F$1,"NA"),'MITRE ATT&amp;CK Mappings'!$E460)),ISNUMBER(SEARCH(IF(F$1&lt;&gt;"",F$1,"NA"),'MITRE ATT&amp;CK Mappings'!$F460))),ISNUMBER(SEARCH(IF(F$2&lt;&gt;"",F$2,"NA"),'MITRE ATT&amp;CK Mappings'!$G460))),ISNUMBER(SEARCH(IF(F$2&lt;&gt;"",F$2,"NA"),'MITRE ATT&amp;CK Mappings'!$H460))),ISNUMBER(SEARCH(IF(F$3&lt;&gt;"",F$3,"NA"),'MITRE ATT&amp;CK Mappings'!$I460))),ISNUMBER(SEARCH(IF(F$3&lt;&gt;"",F$3,"NA"),'MITRE ATT&amp;CK Mappings'!$J460))), 'MITRE ATT&amp;CK Mappings'!$B460,"")</f>
        <v/>
      </c>
      <c r="G464" s="26" t="str">
        <f>IF(OR(OR(OR(OR(OR(ISNUMBER(SEARCH(IF(G$1&lt;&gt;"",G$1,"NA"),'MITRE ATT&amp;CK Mappings'!$E460)),ISNUMBER(SEARCH(IF(G$1&lt;&gt;"",G$1,"NA"),'MITRE ATT&amp;CK Mappings'!$F460))),ISNUMBER(SEARCH(IF(G$2&lt;&gt;"",G$2,"NA"),'MITRE ATT&amp;CK Mappings'!$G460))),ISNUMBER(SEARCH(IF(G$2&lt;&gt;"",G$2,"NA"),'MITRE ATT&amp;CK Mappings'!$H460))),ISNUMBER(SEARCH(IF(G$3&lt;&gt;"",G$3,"NA"),'MITRE ATT&amp;CK Mappings'!$I460))),ISNUMBER(SEARCH(IF(G$3&lt;&gt;"",G$3,"NA"),'MITRE ATT&amp;CK Mappings'!$J460))), 'MITRE ATT&amp;CK Mappings'!$B460,"")</f>
        <v/>
      </c>
      <c r="H464" s="26" t="str">
        <f>IF(OR(OR(OR(OR(OR(ISNUMBER(SEARCH(IF(H$1&lt;&gt;"",H$1,"NA"),'MITRE ATT&amp;CK Mappings'!$E460)),ISNUMBER(SEARCH(IF(H$1&lt;&gt;"",H$1,"NA"),'MITRE ATT&amp;CK Mappings'!$F460))),ISNUMBER(SEARCH(IF(H$2&lt;&gt;"",H$2,"NA"),'MITRE ATT&amp;CK Mappings'!$G460))),ISNUMBER(SEARCH(IF(H$2&lt;&gt;"",H$2,"NA"),'MITRE ATT&amp;CK Mappings'!$H460))),ISNUMBER(SEARCH(IF(H$3&lt;&gt;"",H$3,"NA"),'MITRE ATT&amp;CK Mappings'!$I460))),ISNUMBER(SEARCH(IF(H$3&lt;&gt;"",H$3,"NA"),'MITRE ATT&amp;CK Mappings'!$J460))), 'MITRE ATT&amp;CK Mappings'!$B460,"")</f>
        <v/>
      </c>
      <c r="I464" s="26" t="str">
        <f>IF(OR(OR(OR(OR(OR(ISNUMBER(SEARCH(IF(I$1&lt;&gt;"",I$1,"NA"),'MITRE ATT&amp;CK Mappings'!$E460)),ISNUMBER(SEARCH(IF(I$1&lt;&gt;"",I$1,"NA"),'MITRE ATT&amp;CK Mappings'!$F460))),ISNUMBER(SEARCH(IF(I$2&lt;&gt;"",I$2,"NA"),'MITRE ATT&amp;CK Mappings'!$G460))),ISNUMBER(SEARCH(IF(I$2&lt;&gt;"",I$2,"NA"),'MITRE ATT&amp;CK Mappings'!$H460))),ISNUMBER(SEARCH(IF(I$3&lt;&gt;"",I$3,"NA"),'MITRE ATT&amp;CK Mappings'!$I460))),ISNUMBER(SEARCH(IF(I$3&lt;&gt;"",I$3,"NA"),'MITRE ATT&amp;CK Mappings'!$J460))), 'MITRE ATT&amp;CK Mappings'!$B460,"")</f>
        <v/>
      </c>
      <c r="J464" s="26" t="str">
        <f>IF(OR(OR(OR(OR(OR(ISNUMBER(SEARCH(IF(J$1&lt;&gt;"",J$1,"NA"),'MITRE ATT&amp;CK Mappings'!$E460)),ISNUMBER(SEARCH(IF(J$1&lt;&gt;"",J$1,"NA"),'MITRE ATT&amp;CK Mappings'!$F460))),ISNUMBER(SEARCH(IF(J$2&lt;&gt;"",J$2,"NA"),'MITRE ATT&amp;CK Mappings'!$G460))),ISNUMBER(SEARCH(IF(J$2&lt;&gt;"",J$2,"NA"),'MITRE ATT&amp;CK Mappings'!$H460))),ISNUMBER(SEARCH(IF(J$3&lt;&gt;"",J$3,"NA"),'MITRE ATT&amp;CK Mappings'!$I460))),ISNUMBER(SEARCH(IF(J$3&lt;&gt;"",J$3,"NA"),'MITRE ATT&amp;CK Mappings'!$J460))), 'MITRE ATT&amp;CK Mappings'!$B460,"")</f>
        <v/>
      </c>
      <c r="K464" s="26" t="str">
        <f>IF(OR(OR(OR(OR(OR(ISNUMBER(SEARCH(IF(K$1&lt;&gt;"",K$1,"NA"),'MITRE ATT&amp;CK Mappings'!$E460)),ISNUMBER(SEARCH(IF(K$1&lt;&gt;"",K$1,"NA"),'MITRE ATT&amp;CK Mappings'!$F460))),ISNUMBER(SEARCH(IF(K$2&lt;&gt;"",K$2,"NA"),'MITRE ATT&amp;CK Mappings'!$G460))),ISNUMBER(SEARCH(IF(K$2&lt;&gt;"",K$2,"NA"),'MITRE ATT&amp;CK Mappings'!$H460))),ISNUMBER(SEARCH(IF(K$3&lt;&gt;"",K$3,"NA"),'MITRE ATT&amp;CK Mappings'!$I460))),ISNUMBER(SEARCH(IF(K$3&lt;&gt;"",K$3,"NA"),'MITRE ATT&amp;CK Mappings'!$J460))), 'MITRE ATT&amp;CK Mappings'!$B460,"")</f>
        <v/>
      </c>
      <c r="L464" s="26" t="str">
        <f>IF('MITRE ATT&amp;CK Mappings'!D460 &lt;&gt;"",'MITRE ATT&amp;CK Mappings'!D460,"" )</f>
        <v/>
      </c>
    </row>
    <row r="465" spans="1:12" x14ac:dyDescent="0.25">
      <c r="A465" s="27" t="str">
        <f>IF(COUNTIF(B465:K465,"="&amp;'MITRE ATT&amp;CK Mappings'!B461)&gt;0,'MITRE ATT&amp;CK Mappings'!B461,"")</f>
        <v/>
      </c>
      <c r="B465" s="27" t="str">
        <f>IF(OR(OR(OR(OR(OR(ISNUMBER(SEARCH(IF(B$1&lt;&gt;"",B$1,"NA"),'MITRE ATT&amp;CK Mappings'!$E461)),ISNUMBER(SEARCH(IF(B$1&lt;&gt;"",B$1,"NA"),'MITRE ATT&amp;CK Mappings'!$F461))),ISNUMBER(SEARCH(IF(B$2&lt;&gt;"",B$2,"NA"),'MITRE ATT&amp;CK Mappings'!$G461))),ISNUMBER(SEARCH(IF(B$2&lt;&gt;"",B$2,"NA"),'MITRE ATT&amp;CK Mappings'!$H461))),ISNUMBER(SEARCH(IF(B$3&lt;&gt;"",B$3,"NA"),'MITRE ATT&amp;CK Mappings'!$I461))),ISNUMBER(SEARCH(IF(B$3&lt;&gt;"",B$3,"NA"),'MITRE ATT&amp;CK Mappings'!$J461))), 'MITRE ATT&amp;CK Mappings'!$B461,"")</f>
        <v/>
      </c>
      <c r="C465" s="27" t="str">
        <f>IF(OR(OR(OR(OR(OR(ISNUMBER(SEARCH(IF(C$1&lt;&gt;"",C$1,"NA"),'MITRE ATT&amp;CK Mappings'!$E461)),ISNUMBER(SEARCH(IF(C$1&lt;&gt;"",C$1,"NA"),'MITRE ATT&amp;CK Mappings'!$F461))),ISNUMBER(SEARCH(IF(C$2&lt;&gt;"",C$2,"NA"),'MITRE ATT&amp;CK Mappings'!$G461))),ISNUMBER(SEARCH(IF(C$2&lt;&gt;"",C$2,"NA"),'MITRE ATT&amp;CK Mappings'!$H461))),ISNUMBER(SEARCH(IF(C$3&lt;&gt;"",C$3,"NA"),'MITRE ATT&amp;CK Mappings'!$I461))),ISNUMBER(SEARCH(IF(C$3&lt;&gt;"",C$3,"NA"),'MITRE ATT&amp;CK Mappings'!$J461))), 'MITRE ATT&amp;CK Mappings'!$B461,"")</f>
        <v/>
      </c>
      <c r="D465" s="27" t="str">
        <f>IF(OR(OR(OR(OR(OR(ISNUMBER(SEARCH(IF(D$1&lt;&gt;"",D$1,"NA"),'MITRE ATT&amp;CK Mappings'!$E461)),ISNUMBER(SEARCH(IF(D$1&lt;&gt;"",D$1,"NA"),'MITRE ATT&amp;CK Mappings'!$F461))),ISNUMBER(SEARCH(IF(D$2&lt;&gt;"",D$2,"NA"),'MITRE ATT&amp;CK Mappings'!$G461))),ISNUMBER(SEARCH(IF(D$2&lt;&gt;"",D$2,"NA"),'MITRE ATT&amp;CK Mappings'!$H461))),ISNUMBER(SEARCH(IF(D$3&lt;&gt;"",D$3,"NA"),'MITRE ATT&amp;CK Mappings'!$I461))),ISNUMBER(SEARCH(IF(D$3&lt;&gt;"",D$3,"NA"),'MITRE ATT&amp;CK Mappings'!$J461))), 'MITRE ATT&amp;CK Mappings'!$B461,"")</f>
        <v/>
      </c>
      <c r="E465" s="27" t="str">
        <f>IF(OR(OR(OR(OR(OR(ISNUMBER(SEARCH(IF(E$1&lt;&gt;"",E$1,"NA"),'MITRE ATT&amp;CK Mappings'!$E461)),ISNUMBER(SEARCH(IF(E$1&lt;&gt;"",E$1,"NA"),'MITRE ATT&amp;CK Mappings'!$F461))),ISNUMBER(SEARCH(IF(E$2&lt;&gt;"",E$2,"NA"),'MITRE ATT&amp;CK Mappings'!$G461))),ISNUMBER(SEARCH(IF(E$2&lt;&gt;"",E$2,"NA"),'MITRE ATT&amp;CK Mappings'!$H461))),ISNUMBER(SEARCH(IF(E$3&lt;&gt;"",E$3,"NA"),'MITRE ATT&amp;CK Mappings'!$I461))),ISNUMBER(SEARCH(IF(E$3&lt;&gt;"",E$3,"NA"),'MITRE ATT&amp;CK Mappings'!$J461))), 'MITRE ATT&amp;CK Mappings'!$B461,"")</f>
        <v/>
      </c>
      <c r="F465" s="27" t="str">
        <f>IF(OR(OR(OR(OR(OR(ISNUMBER(SEARCH(IF(F$1&lt;&gt;"",F$1,"NA"),'MITRE ATT&amp;CK Mappings'!$E461)),ISNUMBER(SEARCH(IF(F$1&lt;&gt;"",F$1,"NA"),'MITRE ATT&amp;CK Mappings'!$F461))),ISNUMBER(SEARCH(IF(F$2&lt;&gt;"",F$2,"NA"),'MITRE ATT&amp;CK Mappings'!$G461))),ISNUMBER(SEARCH(IF(F$2&lt;&gt;"",F$2,"NA"),'MITRE ATT&amp;CK Mappings'!$H461))),ISNUMBER(SEARCH(IF(F$3&lt;&gt;"",F$3,"NA"),'MITRE ATT&amp;CK Mappings'!$I461))),ISNUMBER(SEARCH(IF(F$3&lt;&gt;"",F$3,"NA"),'MITRE ATT&amp;CK Mappings'!$J461))), 'MITRE ATT&amp;CK Mappings'!$B461,"")</f>
        <v/>
      </c>
      <c r="G465" s="27" t="str">
        <f>IF(OR(OR(OR(OR(OR(ISNUMBER(SEARCH(IF(G$1&lt;&gt;"",G$1,"NA"),'MITRE ATT&amp;CK Mappings'!$E461)),ISNUMBER(SEARCH(IF(G$1&lt;&gt;"",G$1,"NA"),'MITRE ATT&amp;CK Mappings'!$F461))),ISNUMBER(SEARCH(IF(G$2&lt;&gt;"",G$2,"NA"),'MITRE ATT&amp;CK Mappings'!$G461))),ISNUMBER(SEARCH(IF(G$2&lt;&gt;"",G$2,"NA"),'MITRE ATT&amp;CK Mappings'!$H461))),ISNUMBER(SEARCH(IF(G$3&lt;&gt;"",G$3,"NA"),'MITRE ATT&amp;CK Mappings'!$I461))),ISNUMBER(SEARCH(IF(G$3&lt;&gt;"",G$3,"NA"),'MITRE ATT&amp;CK Mappings'!$J461))), 'MITRE ATT&amp;CK Mappings'!$B461,"")</f>
        <v/>
      </c>
      <c r="H465" s="27" t="str">
        <f>IF(OR(OR(OR(OR(OR(ISNUMBER(SEARCH(IF(H$1&lt;&gt;"",H$1,"NA"),'MITRE ATT&amp;CK Mappings'!$E461)),ISNUMBER(SEARCH(IF(H$1&lt;&gt;"",H$1,"NA"),'MITRE ATT&amp;CK Mappings'!$F461))),ISNUMBER(SEARCH(IF(H$2&lt;&gt;"",H$2,"NA"),'MITRE ATT&amp;CK Mappings'!$G461))),ISNUMBER(SEARCH(IF(H$2&lt;&gt;"",H$2,"NA"),'MITRE ATT&amp;CK Mappings'!$H461))),ISNUMBER(SEARCH(IF(H$3&lt;&gt;"",H$3,"NA"),'MITRE ATT&amp;CK Mappings'!$I461))),ISNUMBER(SEARCH(IF(H$3&lt;&gt;"",H$3,"NA"),'MITRE ATT&amp;CK Mappings'!$J461))), 'MITRE ATT&amp;CK Mappings'!$B461,"")</f>
        <v/>
      </c>
      <c r="I465" s="27" t="str">
        <f>IF(OR(OR(OR(OR(OR(ISNUMBER(SEARCH(IF(I$1&lt;&gt;"",I$1,"NA"),'MITRE ATT&amp;CK Mappings'!$E461)),ISNUMBER(SEARCH(IF(I$1&lt;&gt;"",I$1,"NA"),'MITRE ATT&amp;CK Mappings'!$F461))),ISNUMBER(SEARCH(IF(I$2&lt;&gt;"",I$2,"NA"),'MITRE ATT&amp;CK Mappings'!$G461))),ISNUMBER(SEARCH(IF(I$2&lt;&gt;"",I$2,"NA"),'MITRE ATT&amp;CK Mappings'!$H461))),ISNUMBER(SEARCH(IF(I$3&lt;&gt;"",I$3,"NA"),'MITRE ATT&amp;CK Mappings'!$I461))),ISNUMBER(SEARCH(IF(I$3&lt;&gt;"",I$3,"NA"),'MITRE ATT&amp;CK Mappings'!$J461))), 'MITRE ATT&amp;CK Mappings'!$B461,"")</f>
        <v/>
      </c>
      <c r="J465" s="27" t="str">
        <f>IF(OR(OR(OR(OR(OR(ISNUMBER(SEARCH(IF(J$1&lt;&gt;"",J$1,"NA"),'MITRE ATT&amp;CK Mappings'!$E461)),ISNUMBER(SEARCH(IF(J$1&lt;&gt;"",J$1,"NA"),'MITRE ATT&amp;CK Mappings'!$F461))),ISNUMBER(SEARCH(IF(J$2&lt;&gt;"",J$2,"NA"),'MITRE ATT&amp;CK Mappings'!$G461))),ISNUMBER(SEARCH(IF(J$2&lt;&gt;"",J$2,"NA"),'MITRE ATT&amp;CK Mappings'!$H461))),ISNUMBER(SEARCH(IF(J$3&lt;&gt;"",J$3,"NA"),'MITRE ATT&amp;CK Mappings'!$I461))),ISNUMBER(SEARCH(IF(J$3&lt;&gt;"",J$3,"NA"),'MITRE ATT&amp;CK Mappings'!$J461))), 'MITRE ATT&amp;CK Mappings'!$B461,"")</f>
        <v/>
      </c>
      <c r="K465" s="27" t="str">
        <f>IF(OR(OR(OR(OR(OR(ISNUMBER(SEARCH(IF(K$1&lt;&gt;"",K$1,"NA"),'MITRE ATT&amp;CK Mappings'!$E461)),ISNUMBER(SEARCH(IF(K$1&lt;&gt;"",K$1,"NA"),'MITRE ATT&amp;CK Mappings'!$F461))),ISNUMBER(SEARCH(IF(K$2&lt;&gt;"",K$2,"NA"),'MITRE ATT&amp;CK Mappings'!$G461))),ISNUMBER(SEARCH(IF(K$2&lt;&gt;"",K$2,"NA"),'MITRE ATT&amp;CK Mappings'!$H461))),ISNUMBER(SEARCH(IF(K$3&lt;&gt;"",K$3,"NA"),'MITRE ATT&amp;CK Mappings'!$I461))),ISNUMBER(SEARCH(IF(K$3&lt;&gt;"",K$3,"NA"),'MITRE ATT&amp;CK Mappings'!$J461))), 'MITRE ATT&amp;CK Mappings'!$B461,"")</f>
        <v/>
      </c>
      <c r="L465" s="27" t="str">
        <f>IF('MITRE ATT&amp;CK Mappings'!D461 &lt;&gt;"",'MITRE ATT&amp;CK Mappings'!D461,"" )</f>
        <v/>
      </c>
    </row>
    <row r="466" spans="1:12" x14ac:dyDescent="0.25">
      <c r="A466" s="26" t="str">
        <f>IF(COUNTIF(B466:K466,"="&amp;'MITRE ATT&amp;CK Mappings'!B462)&gt;0,'MITRE ATT&amp;CK Mappings'!B462,"")</f>
        <v/>
      </c>
      <c r="B466" s="26" t="str">
        <f>IF(OR(OR(OR(OR(OR(ISNUMBER(SEARCH(IF(B$1&lt;&gt;"",B$1,"NA"),'MITRE ATT&amp;CK Mappings'!$E462)),ISNUMBER(SEARCH(IF(B$1&lt;&gt;"",B$1,"NA"),'MITRE ATT&amp;CK Mappings'!$F462))),ISNUMBER(SEARCH(IF(B$2&lt;&gt;"",B$2,"NA"),'MITRE ATT&amp;CK Mappings'!$G462))),ISNUMBER(SEARCH(IF(B$2&lt;&gt;"",B$2,"NA"),'MITRE ATT&amp;CK Mappings'!$H462))),ISNUMBER(SEARCH(IF(B$3&lt;&gt;"",B$3,"NA"),'MITRE ATT&amp;CK Mappings'!$I462))),ISNUMBER(SEARCH(IF(B$3&lt;&gt;"",B$3,"NA"),'MITRE ATT&amp;CK Mappings'!$J462))), 'MITRE ATT&amp;CK Mappings'!$B462,"")</f>
        <v/>
      </c>
      <c r="C466" s="26" t="str">
        <f>IF(OR(OR(OR(OR(OR(ISNUMBER(SEARCH(IF(C$1&lt;&gt;"",C$1,"NA"),'MITRE ATT&amp;CK Mappings'!$E462)),ISNUMBER(SEARCH(IF(C$1&lt;&gt;"",C$1,"NA"),'MITRE ATT&amp;CK Mappings'!$F462))),ISNUMBER(SEARCH(IF(C$2&lt;&gt;"",C$2,"NA"),'MITRE ATT&amp;CK Mappings'!$G462))),ISNUMBER(SEARCH(IF(C$2&lt;&gt;"",C$2,"NA"),'MITRE ATT&amp;CK Mappings'!$H462))),ISNUMBER(SEARCH(IF(C$3&lt;&gt;"",C$3,"NA"),'MITRE ATT&amp;CK Mappings'!$I462))),ISNUMBER(SEARCH(IF(C$3&lt;&gt;"",C$3,"NA"),'MITRE ATT&amp;CK Mappings'!$J462))), 'MITRE ATT&amp;CK Mappings'!$B462,"")</f>
        <v/>
      </c>
      <c r="D466" s="26" t="str">
        <f>IF(OR(OR(OR(OR(OR(ISNUMBER(SEARCH(IF(D$1&lt;&gt;"",D$1,"NA"),'MITRE ATT&amp;CK Mappings'!$E462)),ISNUMBER(SEARCH(IF(D$1&lt;&gt;"",D$1,"NA"),'MITRE ATT&amp;CK Mappings'!$F462))),ISNUMBER(SEARCH(IF(D$2&lt;&gt;"",D$2,"NA"),'MITRE ATT&amp;CK Mappings'!$G462))),ISNUMBER(SEARCH(IF(D$2&lt;&gt;"",D$2,"NA"),'MITRE ATT&amp;CK Mappings'!$H462))),ISNUMBER(SEARCH(IF(D$3&lt;&gt;"",D$3,"NA"),'MITRE ATT&amp;CK Mappings'!$I462))),ISNUMBER(SEARCH(IF(D$3&lt;&gt;"",D$3,"NA"),'MITRE ATT&amp;CK Mappings'!$J462))), 'MITRE ATT&amp;CK Mappings'!$B462,"")</f>
        <v/>
      </c>
      <c r="E466" s="26" t="str">
        <f>IF(OR(OR(OR(OR(OR(ISNUMBER(SEARCH(IF(E$1&lt;&gt;"",E$1,"NA"),'MITRE ATT&amp;CK Mappings'!$E462)),ISNUMBER(SEARCH(IF(E$1&lt;&gt;"",E$1,"NA"),'MITRE ATT&amp;CK Mappings'!$F462))),ISNUMBER(SEARCH(IF(E$2&lt;&gt;"",E$2,"NA"),'MITRE ATT&amp;CK Mappings'!$G462))),ISNUMBER(SEARCH(IF(E$2&lt;&gt;"",E$2,"NA"),'MITRE ATT&amp;CK Mappings'!$H462))),ISNUMBER(SEARCH(IF(E$3&lt;&gt;"",E$3,"NA"),'MITRE ATT&amp;CK Mappings'!$I462))),ISNUMBER(SEARCH(IF(E$3&lt;&gt;"",E$3,"NA"),'MITRE ATT&amp;CK Mappings'!$J462))), 'MITRE ATT&amp;CK Mappings'!$B462,"")</f>
        <v/>
      </c>
      <c r="F466" s="26" t="str">
        <f>IF(OR(OR(OR(OR(OR(ISNUMBER(SEARCH(IF(F$1&lt;&gt;"",F$1,"NA"),'MITRE ATT&amp;CK Mappings'!$E462)),ISNUMBER(SEARCH(IF(F$1&lt;&gt;"",F$1,"NA"),'MITRE ATT&amp;CK Mappings'!$F462))),ISNUMBER(SEARCH(IF(F$2&lt;&gt;"",F$2,"NA"),'MITRE ATT&amp;CK Mappings'!$G462))),ISNUMBER(SEARCH(IF(F$2&lt;&gt;"",F$2,"NA"),'MITRE ATT&amp;CK Mappings'!$H462))),ISNUMBER(SEARCH(IF(F$3&lt;&gt;"",F$3,"NA"),'MITRE ATT&amp;CK Mappings'!$I462))),ISNUMBER(SEARCH(IF(F$3&lt;&gt;"",F$3,"NA"),'MITRE ATT&amp;CK Mappings'!$J462))), 'MITRE ATT&amp;CK Mappings'!$B462,"")</f>
        <v/>
      </c>
      <c r="G466" s="26" t="str">
        <f>IF(OR(OR(OR(OR(OR(ISNUMBER(SEARCH(IF(G$1&lt;&gt;"",G$1,"NA"),'MITRE ATT&amp;CK Mappings'!$E462)),ISNUMBER(SEARCH(IF(G$1&lt;&gt;"",G$1,"NA"),'MITRE ATT&amp;CK Mappings'!$F462))),ISNUMBER(SEARCH(IF(G$2&lt;&gt;"",G$2,"NA"),'MITRE ATT&amp;CK Mappings'!$G462))),ISNUMBER(SEARCH(IF(G$2&lt;&gt;"",G$2,"NA"),'MITRE ATT&amp;CK Mappings'!$H462))),ISNUMBER(SEARCH(IF(G$3&lt;&gt;"",G$3,"NA"),'MITRE ATT&amp;CK Mappings'!$I462))),ISNUMBER(SEARCH(IF(G$3&lt;&gt;"",G$3,"NA"),'MITRE ATT&amp;CK Mappings'!$J462))), 'MITRE ATT&amp;CK Mappings'!$B462,"")</f>
        <v/>
      </c>
      <c r="H466" s="26" t="str">
        <f>IF(OR(OR(OR(OR(OR(ISNUMBER(SEARCH(IF(H$1&lt;&gt;"",H$1,"NA"),'MITRE ATT&amp;CK Mappings'!$E462)),ISNUMBER(SEARCH(IF(H$1&lt;&gt;"",H$1,"NA"),'MITRE ATT&amp;CK Mappings'!$F462))),ISNUMBER(SEARCH(IF(H$2&lt;&gt;"",H$2,"NA"),'MITRE ATT&amp;CK Mappings'!$G462))),ISNUMBER(SEARCH(IF(H$2&lt;&gt;"",H$2,"NA"),'MITRE ATT&amp;CK Mappings'!$H462))),ISNUMBER(SEARCH(IF(H$3&lt;&gt;"",H$3,"NA"),'MITRE ATT&amp;CK Mappings'!$I462))),ISNUMBER(SEARCH(IF(H$3&lt;&gt;"",H$3,"NA"),'MITRE ATT&amp;CK Mappings'!$J462))), 'MITRE ATT&amp;CK Mappings'!$B462,"")</f>
        <v/>
      </c>
      <c r="I466" s="26" t="str">
        <f>IF(OR(OR(OR(OR(OR(ISNUMBER(SEARCH(IF(I$1&lt;&gt;"",I$1,"NA"),'MITRE ATT&amp;CK Mappings'!$E462)),ISNUMBER(SEARCH(IF(I$1&lt;&gt;"",I$1,"NA"),'MITRE ATT&amp;CK Mappings'!$F462))),ISNUMBER(SEARCH(IF(I$2&lt;&gt;"",I$2,"NA"),'MITRE ATT&amp;CK Mappings'!$G462))),ISNUMBER(SEARCH(IF(I$2&lt;&gt;"",I$2,"NA"),'MITRE ATT&amp;CK Mappings'!$H462))),ISNUMBER(SEARCH(IF(I$3&lt;&gt;"",I$3,"NA"),'MITRE ATT&amp;CK Mappings'!$I462))),ISNUMBER(SEARCH(IF(I$3&lt;&gt;"",I$3,"NA"),'MITRE ATT&amp;CK Mappings'!$J462))), 'MITRE ATT&amp;CK Mappings'!$B462,"")</f>
        <v/>
      </c>
      <c r="J466" s="26" t="str">
        <f>IF(OR(OR(OR(OR(OR(ISNUMBER(SEARCH(IF(J$1&lt;&gt;"",J$1,"NA"),'MITRE ATT&amp;CK Mappings'!$E462)),ISNUMBER(SEARCH(IF(J$1&lt;&gt;"",J$1,"NA"),'MITRE ATT&amp;CK Mappings'!$F462))),ISNUMBER(SEARCH(IF(J$2&lt;&gt;"",J$2,"NA"),'MITRE ATT&amp;CK Mappings'!$G462))),ISNUMBER(SEARCH(IF(J$2&lt;&gt;"",J$2,"NA"),'MITRE ATT&amp;CK Mappings'!$H462))),ISNUMBER(SEARCH(IF(J$3&lt;&gt;"",J$3,"NA"),'MITRE ATT&amp;CK Mappings'!$I462))),ISNUMBER(SEARCH(IF(J$3&lt;&gt;"",J$3,"NA"),'MITRE ATT&amp;CK Mappings'!$J462))), 'MITRE ATT&amp;CK Mappings'!$B462,"")</f>
        <v/>
      </c>
      <c r="K466" s="26" t="str">
        <f>IF(OR(OR(OR(OR(OR(ISNUMBER(SEARCH(IF(K$1&lt;&gt;"",K$1,"NA"),'MITRE ATT&amp;CK Mappings'!$E462)),ISNUMBER(SEARCH(IF(K$1&lt;&gt;"",K$1,"NA"),'MITRE ATT&amp;CK Mappings'!$F462))),ISNUMBER(SEARCH(IF(K$2&lt;&gt;"",K$2,"NA"),'MITRE ATT&amp;CK Mappings'!$G462))),ISNUMBER(SEARCH(IF(K$2&lt;&gt;"",K$2,"NA"),'MITRE ATT&amp;CK Mappings'!$H462))),ISNUMBER(SEARCH(IF(K$3&lt;&gt;"",K$3,"NA"),'MITRE ATT&amp;CK Mappings'!$I462))),ISNUMBER(SEARCH(IF(K$3&lt;&gt;"",K$3,"NA"),'MITRE ATT&amp;CK Mappings'!$J462))), 'MITRE ATT&amp;CK Mappings'!$B462,"")</f>
        <v/>
      </c>
      <c r="L466" s="26" t="str">
        <f>IF('MITRE ATT&amp;CK Mappings'!D462 &lt;&gt;"",'MITRE ATT&amp;CK Mappings'!D462,"" )</f>
        <v/>
      </c>
    </row>
    <row r="467" spans="1:12" x14ac:dyDescent="0.25">
      <c r="A467" s="27" t="str">
        <f>IF(COUNTIF(B467:K467,"="&amp;'MITRE ATT&amp;CK Mappings'!B463)&gt;0,'MITRE ATT&amp;CK Mappings'!B463,"")</f>
        <v/>
      </c>
      <c r="B467" s="27" t="str">
        <f>IF(OR(OR(OR(OR(OR(ISNUMBER(SEARCH(IF(B$1&lt;&gt;"",B$1,"NA"),'MITRE ATT&amp;CK Mappings'!$E463)),ISNUMBER(SEARCH(IF(B$1&lt;&gt;"",B$1,"NA"),'MITRE ATT&amp;CK Mappings'!$F463))),ISNUMBER(SEARCH(IF(B$2&lt;&gt;"",B$2,"NA"),'MITRE ATT&amp;CK Mappings'!$G463))),ISNUMBER(SEARCH(IF(B$2&lt;&gt;"",B$2,"NA"),'MITRE ATT&amp;CK Mappings'!$H463))),ISNUMBER(SEARCH(IF(B$3&lt;&gt;"",B$3,"NA"),'MITRE ATT&amp;CK Mappings'!$I463))),ISNUMBER(SEARCH(IF(B$3&lt;&gt;"",B$3,"NA"),'MITRE ATT&amp;CK Mappings'!$J463))), 'MITRE ATT&amp;CK Mappings'!$B463,"")</f>
        <v/>
      </c>
      <c r="C467" s="27" t="str">
        <f>IF(OR(OR(OR(OR(OR(ISNUMBER(SEARCH(IF(C$1&lt;&gt;"",C$1,"NA"),'MITRE ATT&amp;CK Mappings'!$E463)),ISNUMBER(SEARCH(IF(C$1&lt;&gt;"",C$1,"NA"),'MITRE ATT&amp;CK Mappings'!$F463))),ISNUMBER(SEARCH(IF(C$2&lt;&gt;"",C$2,"NA"),'MITRE ATT&amp;CK Mappings'!$G463))),ISNUMBER(SEARCH(IF(C$2&lt;&gt;"",C$2,"NA"),'MITRE ATT&amp;CK Mappings'!$H463))),ISNUMBER(SEARCH(IF(C$3&lt;&gt;"",C$3,"NA"),'MITRE ATT&amp;CK Mappings'!$I463))),ISNUMBER(SEARCH(IF(C$3&lt;&gt;"",C$3,"NA"),'MITRE ATT&amp;CK Mappings'!$J463))), 'MITRE ATT&amp;CK Mappings'!$B463,"")</f>
        <v/>
      </c>
      <c r="D467" s="27" t="str">
        <f>IF(OR(OR(OR(OR(OR(ISNUMBER(SEARCH(IF(D$1&lt;&gt;"",D$1,"NA"),'MITRE ATT&amp;CK Mappings'!$E463)),ISNUMBER(SEARCH(IF(D$1&lt;&gt;"",D$1,"NA"),'MITRE ATT&amp;CK Mappings'!$F463))),ISNUMBER(SEARCH(IF(D$2&lt;&gt;"",D$2,"NA"),'MITRE ATT&amp;CK Mappings'!$G463))),ISNUMBER(SEARCH(IF(D$2&lt;&gt;"",D$2,"NA"),'MITRE ATT&amp;CK Mappings'!$H463))),ISNUMBER(SEARCH(IF(D$3&lt;&gt;"",D$3,"NA"),'MITRE ATT&amp;CK Mappings'!$I463))),ISNUMBER(SEARCH(IF(D$3&lt;&gt;"",D$3,"NA"),'MITRE ATT&amp;CK Mappings'!$J463))), 'MITRE ATT&amp;CK Mappings'!$B463,"")</f>
        <v/>
      </c>
      <c r="E467" s="27" t="str">
        <f>IF(OR(OR(OR(OR(OR(ISNUMBER(SEARCH(IF(E$1&lt;&gt;"",E$1,"NA"),'MITRE ATT&amp;CK Mappings'!$E463)),ISNUMBER(SEARCH(IF(E$1&lt;&gt;"",E$1,"NA"),'MITRE ATT&amp;CK Mappings'!$F463))),ISNUMBER(SEARCH(IF(E$2&lt;&gt;"",E$2,"NA"),'MITRE ATT&amp;CK Mappings'!$G463))),ISNUMBER(SEARCH(IF(E$2&lt;&gt;"",E$2,"NA"),'MITRE ATT&amp;CK Mappings'!$H463))),ISNUMBER(SEARCH(IF(E$3&lt;&gt;"",E$3,"NA"),'MITRE ATT&amp;CK Mappings'!$I463))),ISNUMBER(SEARCH(IF(E$3&lt;&gt;"",E$3,"NA"),'MITRE ATT&amp;CK Mappings'!$J463))), 'MITRE ATT&amp;CK Mappings'!$B463,"")</f>
        <v/>
      </c>
      <c r="F467" s="27" t="str">
        <f>IF(OR(OR(OR(OR(OR(ISNUMBER(SEARCH(IF(F$1&lt;&gt;"",F$1,"NA"),'MITRE ATT&amp;CK Mappings'!$E463)),ISNUMBER(SEARCH(IF(F$1&lt;&gt;"",F$1,"NA"),'MITRE ATT&amp;CK Mappings'!$F463))),ISNUMBER(SEARCH(IF(F$2&lt;&gt;"",F$2,"NA"),'MITRE ATT&amp;CK Mappings'!$G463))),ISNUMBER(SEARCH(IF(F$2&lt;&gt;"",F$2,"NA"),'MITRE ATT&amp;CK Mappings'!$H463))),ISNUMBER(SEARCH(IF(F$3&lt;&gt;"",F$3,"NA"),'MITRE ATT&amp;CK Mappings'!$I463))),ISNUMBER(SEARCH(IF(F$3&lt;&gt;"",F$3,"NA"),'MITRE ATT&amp;CK Mappings'!$J463))), 'MITRE ATT&amp;CK Mappings'!$B463,"")</f>
        <v/>
      </c>
      <c r="G467" s="27" t="str">
        <f>IF(OR(OR(OR(OR(OR(ISNUMBER(SEARCH(IF(G$1&lt;&gt;"",G$1,"NA"),'MITRE ATT&amp;CK Mappings'!$E463)),ISNUMBER(SEARCH(IF(G$1&lt;&gt;"",G$1,"NA"),'MITRE ATT&amp;CK Mappings'!$F463))),ISNUMBER(SEARCH(IF(G$2&lt;&gt;"",G$2,"NA"),'MITRE ATT&amp;CK Mappings'!$G463))),ISNUMBER(SEARCH(IF(G$2&lt;&gt;"",G$2,"NA"),'MITRE ATT&amp;CK Mappings'!$H463))),ISNUMBER(SEARCH(IF(G$3&lt;&gt;"",G$3,"NA"),'MITRE ATT&amp;CK Mappings'!$I463))),ISNUMBER(SEARCH(IF(G$3&lt;&gt;"",G$3,"NA"),'MITRE ATT&amp;CK Mappings'!$J463))), 'MITRE ATT&amp;CK Mappings'!$B463,"")</f>
        <v/>
      </c>
      <c r="H467" s="27" t="str">
        <f>IF(OR(OR(OR(OR(OR(ISNUMBER(SEARCH(IF(H$1&lt;&gt;"",H$1,"NA"),'MITRE ATT&amp;CK Mappings'!$E463)),ISNUMBER(SEARCH(IF(H$1&lt;&gt;"",H$1,"NA"),'MITRE ATT&amp;CK Mappings'!$F463))),ISNUMBER(SEARCH(IF(H$2&lt;&gt;"",H$2,"NA"),'MITRE ATT&amp;CK Mappings'!$G463))),ISNUMBER(SEARCH(IF(H$2&lt;&gt;"",H$2,"NA"),'MITRE ATT&amp;CK Mappings'!$H463))),ISNUMBER(SEARCH(IF(H$3&lt;&gt;"",H$3,"NA"),'MITRE ATT&amp;CK Mappings'!$I463))),ISNUMBER(SEARCH(IF(H$3&lt;&gt;"",H$3,"NA"),'MITRE ATT&amp;CK Mappings'!$J463))), 'MITRE ATT&amp;CK Mappings'!$B463,"")</f>
        <v/>
      </c>
      <c r="I467" s="27" t="str">
        <f>IF(OR(OR(OR(OR(OR(ISNUMBER(SEARCH(IF(I$1&lt;&gt;"",I$1,"NA"),'MITRE ATT&amp;CK Mappings'!$E463)),ISNUMBER(SEARCH(IF(I$1&lt;&gt;"",I$1,"NA"),'MITRE ATT&amp;CK Mappings'!$F463))),ISNUMBER(SEARCH(IF(I$2&lt;&gt;"",I$2,"NA"),'MITRE ATT&amp;CK Mappings'!$G463))),ISNUMBER(SEARCH(IF(I$2&lt;&gt;"",I$2,"NA"),'MITRE ATT&amp;CK Mappings'!$H463))),ISNUMBER(SEARCH(IF(I$3&lt;&gt;"",I$3,"NA"),'MITRE ATT&amp;CK Mappings'!$I463))),ISNUMBER(SEARCH(IF(I$3&lt;&gt;"",I$3,"NA"),'MITRE ATT&amp;CK Mappings'!$J463))), 'MITRE ATT&amp;CK Mappings'!$B463,"")</f>
        <v/>
      </c>
      <c r="J467" s="27" t="str">
        <f>IF(OR(OR(OR(OR(OR(ISNUMBER(SEARCH(IF(J$1&lt;&gt;"",J$1,"NA"),'MITRE ATT&amp;CK Mappings'!$E463)),ISNUMBER(SEARCH(IF(J$1&lt;&gt;"",J$1,"NA"),'MITRE ATT&amp;CK Mappings'!$F463))),ISNUMBER(SEARCH(IF(J$2&lt;&gt;"",J$2,"NA"),'MITRE ATT&amp;CK Mappings'!$G463))),ISNUMBER(SEARCH(IF(J$2&lt;&gt;"",J$2,"NA"),'MITRE ATT&amp;CK Mappings'!$H463))),ISNUMBER(SEARCH(IF(J$3&lt;&gt;"",J$3,"NA"),'MITRE ATT&amp;CK Mappings'!$I463))),ISNUMBER(SEARCH(IF(J$3&lt;&gt;"",J$3,"NA"),'MITRE ATT&amp;CK Mappings'!$J463))), 'MITRE ATT&amp;CK Mappings'!$B463,"")</f>
        <v/>
      </c>
      <c r="K467" s="27" t="str">
        <f>IF(OR(OR(OR(OR(OR(ISNUMBER(SEARCH(IF(K$1&lt;&gt;"",K$1,"NA"),'MITRE ATT&amp;CK Mappings'!$E463)),ISNUMBER(SEARCH(IF(K$1&lt;&gt;"",K$1,"NA"),'MITRE ATT&amp;CK Mappings'!$F463))),ISNUMBER(SEARCH(IF(K$2&lt;&gt;"",K$2,"NA"),'MITRE ATT&amp;CK Mappings'!$G463))),ISNUMBER(SEARCH(IF(K$2&lt;&gt;"",K$2,"NA"),'MITRE ATT&amp;CK Mappings'!$H463))),ISNUMBER(SEARCH(IF(K$3&lt;&gt;"",K$3,"NA"),'MITRE ATT&amp;CK Mappings'!$I463))),ISNUMBER(SEARCH(IF(K$3&lt;&gt;"",K$3,"NA"),'MITRE ATT&amp;CK Mappings'!$J463))), 'MITRE ATT&amp;CK Mappings'!$B463,"")</f>
        <v/>
      </c>
      <c r="L467" s="27" t="str">
        <f>IF('MITRE ATT&amp;CK Mappings'!D463 &lt;&gt;"",'MITRE ATT&amp;CK Mappings'!D463,"" )</f>
        <v/>
      </c>
    </row>
    <row r="468" spans="1:12" x14ac:dyDescent="0.25">
      <c r="A468" s="26" t="str">
        <f>IF(COUNTIF(B468:K468,"="&amp;'MITRE ATT&amp;CK Mappings'!B464)&gt;0,'MITRE ATT&amp;CK Mappings'!B464,"")</f>
        <v/>
      </c>
      <c r="B468" s="26" t="str">
        <f>IF(OR(OR(OR(OR(OR(ISNUMBER(SEARCH(IF(B$1&lt;&gt;"",B$1,"NA"),'MITRE ATT&amp;CK Mappings'!$E464)),ISNUMBER(SEARCH(IF(B$1&lt;&gt;"",B$1,"NA"),'MITRE ATT&amp;CK Mappings'!$F464))),ISNUMBER(SEARCH(IF(B$2&lt;&gt;"",B$2,"NA"),'MITRE ATT&amp;CK Mappings'!$G464))),ISNUMBER(SEARCH(IF(B$2&lt;&gt;"",B$2,"NA"),'MITRE ATT&amp;CK Mappings'!$H464))),ISNUMBER(SEARCH(IF(B$3&lt;&gt;"",B$3,"NA"),'MITRE ATT&amp;CK Mappings'!$I464))),ISNUMBER(SEARCH(IF(B$3&lt;&gt;"",B$3,"NA"),'MITRE ATT&amp;CK Mappings'!$J464))), 'MITRE ATT&amp;CK Mappings'!$B464,"")</f>
        <v/>
      </c>
      <c r="C468" s="26" t="str">
        <f>IF(OR(OR(OR(OR(OR(ISNUMBER(SEARCH(IF(C$1&lt;&gt;"",C$1,"NA"),'MITRE ATT&amp;CK Mappings'!$E464)),ISNUMBER(SEARCH(IF(C$1&lt;&gt;"",C$1,"NA"),'MITRE ATT&amp;CK Mappings'!$F464))),ISNUMBER(SEARCH(IF(C$2&lt;&gt;"",C$2,"NA"),'MITRE ATT&amp;CK Mappings'!$G464))),ISNUMBER(SEARCH(IF(C$2&lt;&gt;"",C$2,"NA"),'MITRE ATT&amp;CK Mappings'!$H464))),ISNUMBER(SEARCH(IF(C$3&lt;&gt;"",C$3,"NA"),'MITRE ATT&amp;CK Mappings'!$I464))),ISNUMBER(SEARCH(IF(C$3&lt;&gt;"",C$3,"NA"),'MITRE ATT&amp;CK Mappings'!$J464))), 'MITRE ATT&amp;CK Mappings'!$B464,"")</f>
        <v/>
      </c>
      <c r="D468" s="26" t="str">
        <f>IF(OR(OR(OR(OR(OR(ISNUMBER(SEARCH(IF(D$1&lt;&gt;"",D$1,"NA"),'MITRE ATT&amp;CK Mappings'!$E464)),ISNUMBER(SEARCH(IF(D$1&lt;&gt;"",D$1,"NA"),'MITRE ATT&amp;CK Mappings'!$F464))),ISNUMBER(SEARCH(IF(D$2&lt;&gt;"",D$2,"NA"),'MITRE ATT&amp;CK Mappings'!$G464))),ISNUMBER(SEARCH(IF(D$2&lt;&gt;"",D$2,"NA"),'MITRE ATT&amp;CK Mappings'!$H464))),ISNUMBER(SEARCH(IF(D$3&lt;&gt;"",D$3,"NA"),'MITRE ATT&amp;CK Mappings'!$I464))),ISNUMBER(SEARCH(IF(D$3&lt;&gt;"",D$3,"NA"),'MITRE ATT&amp;CK Mappings'!$J464))), 'MITRE ATT&amp;CK Mappings'!$B464,"")</f>
        <v/>
      </c>
      <c r="E468" s="26" t="str">
        <f>IF(OR(OR(OR(OR(OR(ISNUMBER(SEARCH(IF(E$1&lt;&gt;"",E$1,"NA"),'MITRE ATT&amp;CK Mappings'!$E464)),ISNUMBER(SEARCH(IF(E$1&lt;&gt;"",E$1,"NA"),'MITRE ATT&amp;CK Mappings'!$F464))),ISNUMBER(SEARCH(IF(E$2&lt;&gt;"",E$2,"NA"),'MITRE ATT&amp;CK Mappings'!$G464))),ISNUMBER(SEARCH(IF(E$2&lt;&gt;"",E$2,"NA"),'MITRE ATT&amp;CK Mappings'!$H464))),ISNUMBER(SEARCH(IF(E$3&lt;&gt;"",E$3,"NA"),'MITRE ATT&amp;CK Mappings'!$I464))),ISNUMBER(SEARCH(IF(E$3&lt;&gt;"",E$3,"NA"),'MITRE ATT&amp;CK Mappings'!$J464))), 'MITRE ATT&amp;CK Mappings'!$B464,"")</f>
        <v/>
      </c>
      <c r="F468" s="26" t="str">
        <f>IF(OR(OR(OR(OR(OR(ISNUMBER(SEARCH(IF(F$1&lt;&gt;"",F$1,"NA"),'MITRE ATT&amp;CK Mappings'!$E464)),ISNUMBER(SEARCH(IF(F$1&lt;&gt;"",F$1,"NA"),'MITRE ATT&amp;CK Mappings'!$F464))),ISNUMBER(SEARCH(IF(F$2&lt;&gt;"",F$2,"NA"),'MITRE ATT&amp;CK Mappings'!$G464))),ISNUMBER(SEARCH(IF(F$2&lt;&gt;"",F$2,"NA"),'MITRE ATT&amp;CK Mappings'!$H464))),ISNUMBER(SEARCH(IF(F$3&lt;&gt;"",F$3,"NA"),'MITRE ATT&amp;CK Mappings'!$I464))),ISNUMBER(SEARCH(IF(F$3&lt;&gt;"",F$3,"NA"),'MITRE ATT&amp;CK Mappings'!$J464))), 'MITRE ATT&amp;CK Mappings'!$B464,"")</f>
        <v/>
      </c>
      <c r="G468" s="26" t="str">
        <f>IF(OR(OR(OR(OR(OR(ISNUMBER(SEARCH(IF(G$1&lt;&gt;"",G$1,"NA"),'MITRE ATT&amp;CK Mappings'!$E464)),ISNUMBER(SEARCH(IF(G$1&lt;&gt;"",G$1,"NA"),'MITRE ATT&amp;CK Mappings'!$F464))),ISNUMBER(SEARCH(IF(G$2&lt;&gt;"",G$2,"NA"),'MITRE ATT&amp;CK Mappings'!$G464))),ISNUMBER(SEARCH(IF(G$2&lt;&gt;"",G$2,"NA"),'MITRE ATT&amp;CK Mappings'!$H464))),ISNUMBER(SEARCH(IF(G$3&lt;&gt;"",G$3,"NA"),'MITRE ATT&amp;CK Mappings'!$I464))),ISNUMBER(SEARCH(IF(G$3&lt;&gt;"",G$3,"NA"),'MITRE ATT&amp;CK Mappings'!$J464))), 'MITRE ATT&amp;CK Mappings'!$B464,"")</f>
        <v/>
      </c>
      <c r="H468" s="26" t="str">
        <f>IF(OR(OR(OR(OR(OR(ISNUMBER(SEARCH(IF(H$1&lt;&gt;"",H$1,"NA"),'MITRE ATT&amp;CK Mappings'!$E464)),ISNUMBER(SEARCH(IF(H$1&lt;&gt;"",H$1,"NA"),'MITRE ATT&amp;CK Mappings'!$F464))),ISNUMBER(SEARCH(IF(H$2&lt;&gt;"",H$2,"NA"),'MITRE ATT&amp;CK Mappings'!$G464))),ISNUMBER(SEARCH(IF(H$2&lt;&gt;"",H$2,"NA"),'MITRE ATT&amp;CK Mappings'!$H464))),ISNUMBER(SEARCH(IF(H$3&lt;&gt;"",H$3,"NA"),'MITRE ATT&amp;CK Mappings'!$I464))),ISNUMBER(SEARCH(IF(H$3&lt;&gt;"",H$3,"NA"),'MITRE ATT&amp;CK Mappings'!$J464))), 'MITRE ATT&amp;CK Mappings'!$B464,"")</f>
        <v/>
      </c>
      <c r="I468" s="26" t="str">
        <f>IF(OR(OR(OR(OR(OR(ISNUMBER(SEARCH(IF(I$1&lt;&gt;"",I$1,"NA"),'MITRE ATT&amp;CK Mappings'!$E464)),ISNUMBER(SEARCH(IF(I$1&lt;&gt;"",I$1,"NA"),'MITRE ATT&amp;CK Mappings'!$F464))),ISNUMBER(SEARCH(IF(I$2&lt;&gt;"",I$2,"NA"),'MITRE ATT&amp;CK Mappings'!$G464))),ISNUMBER(SEARCH(IF(I$2&lt;&gt;"",I$2,"NA"),'MITRE ATT&amp;CK Mappings'!$H464))),ISNUMBER(SEARCH(IF(I$3&lt;&gt;"",I$3,"NA"),'MITRE ATT&amp;CK Mappings'!$I464))),ISNUMBER(SEARCH(IF(I$3&lt;&gt;"",I$3,"NA"),'MITRE ATT&amp;CK Mappings'!$J464))), 'MITRE ATT&amp;CK Mappings'!$B464,"")</f>
        <v/>
      </c>
      <c r="J468" s="26" t="str">
        <f>IF(OR(OR(OR(OR(OR(ISNUMBER(SEARCH(IF(J$1&lt;&gt;"",J$1,"NA"),'MITRE ATT&amp;CK Mappings'!$E464)),ISNUMBER(SEARCH(IF(J$1&lt;&gt;"",J$1,"NA"),'MITRE ATT&amp;CK Mappings'!$F464))),ISNUMBER(SEARCH(IF(J$2&lt;&gt;"",J$2,"NA"),'MITRE ATT&amp;CK Mappings'!$G464))),ISNUMBER(SEARCH(IF(J$2&lt;&gt;"",J$2,"NA"),'MITRE ATT&amp;CK Mappings'!$H464))),ISNUMBER(SEARCH(IF(J$3&lt;&gt;"",J$3,"NA"),'MITRE ATT&amp;CK Mappings'!$I464))),ISNUMBER(SEARCH(IF(J$3&lt;&gt;"",J$3,"NA"),'MITRE ATT&amp;CK Mappings'!$J464))), 'MITRE ATT&amp;CK Mappings'!$B464,"")</f>
        <v/>
      </c>
      <c r="K468" s="26" t="str">
        <f>IF(OR(OR(OR(OR(OR(ISNUMBER(SEARCH(IF(K$1&lt;&gt;"",K$1,"NA"),'MITRE ATT&amp;CK Mappings'!$E464)),ISNUMBER(SEARCH(IF(K$1&lt;&gt;"",K$1,"NA"),'MITRE ATT&amp;CK Mappings'!$F464))),ISNUMBER(SEARCH(IF(K$2&lt;&gt;"",K$2,"NA"),'MITRE ATT&amp;CK Mappings'!$G464))),ISNUMBER(SEARCH(IF(K$2&lt;&gt;"",K$2,"NA"),'MITRE ATT&amp;CK Mappings'!$H464))),ISNUMBER(SEARCH(IF(K$3&lt;&gt;"",K$3,"NA"),'MITRE ATT&amp;CK Mappings'!$I464))),ISNUMBER(SEARCH(IF(K$3&lt;&gt;"",K$3,"NA"),'MITRE ATT&amp;CK Mappings'!$J464))), 'MITRE ATT&amp;CK Mappings'!$B464,"")</f>
        <v/>
      </c>
      <c r="L468" s="26" t="str">
        <f>IF('MITRE ATT&amp;CK Mappings'!D464 &lt;&gt;"",'MITRE ATT&amp;CK Mappings'!D464,"" )</f>
        <v/>
      </c>
    </row>
    <row r="469" spans="1:12" x14ac:dyDescent="0.25">
      <c r="A469" s="27" t="str">
        <f>IF(COUNTIF(B469:K469,"="&amp;'MITRE ATT&amp;CK Mappings'!B465)&gt;0,'MITRE ATT&amp;CK Mappings'!B465,"")</f>
        <v/>
      </c>
      <c r="B469" s="27" t="str">
        <f>IF(OR(OR(OR(OR(OR(ISNUMBER(SEARCH(IF(B$1&lt;&gt;"",B$1,"NA"),'MITRE ATT&amp;CK Mappings'!$E465)),ISNUMBER(SEARCH(IF(B$1&lt;&gt;"",B$1,"NA"),'MITRE ATT&amp;CK Mappings'!$F465))),ISNUMBER(SEARCH(IF(B$2&lt;&gt;"",B$2,"NA"),'MITRE ATT&amp;CK Mappings'!$G465))),ISNUMBER(SEARCH(IF(B$2&lt;&gt;"",B$2,"NA"),'MITRE ATT&amp;CK Mappings'!$H465))),ISNUMBER(SEARCH(IF(B$3&lt;&gt;"",B$3,"NA"),'MITRE ATT&amp;CK Mappings'!$I465))),ISNUMBER(SEARCH(IF(B$3&lt;&gt;"",B$3,"NA"),'MITRE ATT&amp;CK Mappings'!$J465))), 'MITRE ATT&amp;CK Mappings'!$B465,"")</f>
        <v/>
      </c>
      <c r="C469" s="27" t="str">
        <f>IF(OR(OR(OR(OR(OR(ISNUMBER(SEARCH(IF(C$1&lt;&gt;"",C$1,"NA"),'MITRE ATT&amp;CK Mappings'!$E465)),ISNUMBER(SEARCH(IF(C$1&lt;&gt;"",C$1,"NA"),'MITRE ATT&amp;CK Mappings'!$F465))),ISNUMBER(SEARCH(IF(C$2&lt;&gt;"",C$2,"NA"),'MITRE ATT&amp;CK Mappings'!$G465))),ISNUMBER(SEARCH(IF(C$2&lt;&gt;"",C$2,"NA"),'MITRE ATT&amp;CK Mappings'!$H465))),ISNUMBER(SEARCH(IF(C$3&lt;&gt;"",C$3,"NA"),'MITRE ATT&amp;CK Mappings'!$I465))),ISNUMBER(SEARCH(IF(C$3&lt;&gt;"",C$3,"NA"),'MITRE ATT&amp;CK Mappings'!$J465))), 'MITRE ATT&amp;CK Mappings'!$B465,"")</f>
        <v/>
      </c>
      <c r="D469" s="27" t="str">
        <f>IF(OR(OR(OR(OR(OR(ISNUMBER(SEARCH(IF(D$1&lt;&gt;"",D$1,"NA"),'MITRE ATT&amp;CK Mappings'!$E465)),ISNUMBER(SEARCH(IF(D$1&lt;&gt;"",D$1,"NA"),'MITRE ATT&amp;CK Mappings'!$F465))),ISNUMBER(SEARCH(IF(D$2&lt;&gt;"",D$2,"NA"),'MITRE ATT&amp;CK Mappings'!$G465))),ISNUMBER(SEARCH(IF(D$2&lt;&gt;"",D$2,"NA"),'MITRE ATT&amp;CK Mappings'!$H465))),ISNUMBER(SEARCH(IF(D$3&lt;&gt;"",D$3,"NA"),'MITRE ATT&amp;CK Mappings'!$I465))),ISNUMBER(SEARCH(IF(D$3&lt;&gt;"",D$3,"NA"),'MITRE ATT&amp;CK Mappings'!$J465))), 'MITRE ATT&amp;CK Mappings'!$B465,"")</f>
        <v/>
      </c>
      <c r="E469" s="27" t="str">
        <f>IF(OR(OR(OR(OR(OR(ISNUMBER(SEARCH(IF(E$1&lt;&gt;"",E$1,"NA"),'MITRE ATT&amp;CK Mappings'!$E465)),ISNUMBER(SEARCH(IF(E$1&lt;&gt;"",E$1,"NA"),'MITRE ATT&amp;CK Mappings'!$F465))),ISNUMBER(SEARCH(IF(E$2&lt;&gt;"",E$2,"NA"),'MITRE ATT&amp;CK Mappings'!$G465))),ISNUMBER(SEARCH(IF(E$2&lt;&gt;"",E$2,"NA"),'MITRE ATT&amp;CK Mappings'!$H465))),ISNUMBER(SEARCH(IF(E$3&lt;&gt;"",E$3,"NA"),'MITRE ATT&amp;CK Mappings'!$I465))),ISNUMBER(SEARCH(IF(E$3&lt;&gt;"",E$3,"NA"),'MITRE ATT&amp;CK Mappings'!$J465))), 'MITRE ATT&amp;CK Mappings'!$B465,"")</f>
        <v/>
      </c>
      <c r="F469" s="27" t="str">
        <f>IF(OR(OR(OR(OR(OR(ISNUMBER(SEARCH(IF(F$1&lt;&gt;"",F$1,"NA"),'MITRE ATT&amp;CK Mappings'!$E465)),ISNUMBER(SEARCH(IF(F$1&lt;&gt;"",F$1,"NA"),'MITRE ATT&amp;CK Mappings'!$F465))),ISNUMBER(SEARCH(IF(F$2&lt;&gt;"",F$2,"NA"),'MITRE ATT&amp;CK Mappings'!$G465))),ISNUMBER(SEARCH(IF(F$2&lt;&gt;"",F$2,"NA"),'MITRE ATT&amp;CK Mappings'!$H465))),ISNUMBER(SEARCH(IF(F$3&lt;&gt;"",F$3,"NA"),'MITRE ATT&amp;CK Mappings'!$I465))),ISNUMBER(SEARCH(IF(F$3&lt;&gt;"",F$3,"NA"),'MITRE ATT&amp;CK Mappings'!$J465))), 'MITRE ATT&amp;CK Mappings'!$B465,"")</f>
        <v/>
      </c>
      <c r="G469" s="27" t="str">
        <f>IF(OR(OR(OR(OR(OR(ISNUMBER(SEARCH(IF(G$1&lt;&gt;"",G$1,"NA"),'MITRE ATT&amp;CK Mappings'!$E465)),ISNUMBER(SEARCH(IF(G$1&lt;&gt;"",G$1,"NA"),'MITRE ATT&amp;CK Mappings'!$F465))),ISNUMBER(SEARCH(IF(G$2&lt;&gt;"",G$2,"NA"),'MITRE ATT&amp;CK Mappings'!$G465))),ISNUMBER(SEARCH(IF(G$2&lt;&gt;"",G$2,"NA"),'MITRE ATT&amp;CK Mappings'!$H465))),ISNUMBER(SEARCH(IF(G$3&lt;&gt;"",G$3,"NA"),'MITRE ATT&amp;CK Mappings'!$I465))),ISNUMBER(SEARCH(IF(G$3&lt;&gt;"",G$3,"NA"),'MITRE ATT&amp;CK Mappings'!$J465))), 'MITRE ATT&amp;CK Mappings'!$B465,"")</f>
        <v/>
      </c>
      <c r="H469" s="27" t="str">
        <f>IF(OR(OR(OR(OR(OR(ISNUMBER(SEARCH(IF(H$1&lt;&gt;"",H$1,"NA"),'MITRE ATT&amp;CK Mappings'!$E465)),ISNUMBER(SEARCH(IF(H$1&lt;&gt;"",H$1,"NA"),'MITRE ATT&amp;CK Mappings'!$F465))),ISNUMBER(SEARCH(IF(H$2&lt;&gt;"",H$2,"NA"),'MITRE ATT&amp;CK Mappings'!$G465))),ISNUMBER(SEARCH(IF(H$2&lt;&gt;"",H$2,"NA"),'MITRE ATT&amp;CK Mappings'!$H465))),ISNUMBER(SEARCH(IF(H$3&lt;&gt;"",H$3,"NA"),'MITRE ATT&amp;CK Mappings'!$I465))),ISNUMBER(SEARCH(IF(H$3&lt;&gt;"",H$3,"NA"),'MITRE ATT&amp;CK Mappings'!$J465))), 'MITRE ATT&amp;CK Mappings'!$B465,"")</f>
        <v/>
      </c>
      <c r="I469" s="27" t="str">
        <f>IF(OR(OR(OR(OR(OR(ISNUMBER(SEARCH(IF(I$1&lt;&gt;"",I$1,"NA"),'MITRE ATT&amp;CK Mappings'!$E465)),ISNUMBER(SEARCH(IF(I$1&lt;&gt;"",I$1,"NA"),'MITRE ATT&amp;CK Mappings'!$F465))),ISNUMBER(SEARCH(IF(I$2&lt;&gt;"",I$2,"NA"),'MITRE ATT&amp;CK Mappings'!$G465))),ISNUMBER(SEARCH(IF(I$2&lt;&gt;"",I$2,"NA"),'MITRE ATT&amp;CK Mappings'!$H465))),ISNUMBER(SEARCH(IF(I$3&lt;&gt;"",I$3,"NA"),'MITRE ATT&amp;CK Mappings'!$I465))),ISNUMBER(SEARCH(IF(I$3&lt;&gt;"",I$3,"NA"),'MITRE ATT&amp;CK Mappings'!$J465))), 'MITRE ATT&amp;CK Mappings'!$B465,"")</f>
        <v/>
      </c>
      <c r="J469" s="27" t="str">
        <f>IF(OR(OR(OR(OR(OR(ISNUMBER(SEARCH(IF(J$1&lt;&gt;"",J$1,"NA"),'MITRE ATT&amp;CK Mappings'!$E465)),ISNUMBER(SEARCH(IF(J$1&lt;&gt;"",J$1,"NA"),'MITRE ATT&amp;CK Mappings'!$F465))),ISNUMBER(SEARCH(IF(J$2&lt;&gt;"",J$2,"NA"),'MITRE ATT&amp;CK Mappings'!$G465))),ISNUMBER(SEARCH(IF(J$2&lt;&gt;"",J$2,"NA"),'MITRE ATT&amp;CK Mappings'!$H465))),ISNUMBER(SEARCH(IF(J$3&lt;&gt;"",J$3,"NA"),'MITRE ATT&amp;CK Mappings'!$I465))),ISNUMBER(SEARCH(IF(J$3&lt;&gt;"",J$3,"NA"),'MITRE ATT&amp;CK Mappings'!$J465))), 'MITRE ATT&amp;CK Mappings'!$B465,"")</f>
        <v/>
      </c>
      <c r="K469" s="27" t="str">
        <f>IF(OR(OR(OR(OR(OR(ISNUMBER(SEARCH(IF(K$1&lt;&gt;"",K$1,"NA"),'MITRE ATT&amp;CK Mappings'!$E465)),ISNUMBER(SEARCH(IF(K$1&lt;&gt;"",K$1,"NA"),'MITRE ATT&amp;CK Mappings'!$F465))),ISNUMBER(SEARCH(IF(K$2&lt;&gt;"",K$2,"NA"),'MITRE ATT&amp;CK Mappings'!$G465))),ISNUMBER(SEARCH(IF(K$2&lt;&gt;"",K$2,"NA"),'MITRE ATT&amp;CK Mappings'!$H465))),ISNUMBER(SEARCH(IF(K$3&lt;&gt;"",K$3,"NA"),'MITRE ATT&amp;CK Mappings'!$I465))),ISNUMBER(SEARCH(IF(K$3&lt;&gt;"",K$3,"NA"),'MITRE ATT&amp;CK Mappings'!$J465))), 'MITRE ATT&amp;CK Mappings'!$B465,"")</f>
        <v/>
      </c>
      <c r="L469" s="27" t="str">
        <f>IF('MITRE ATT&amp;CK Mappings'!D465 &lt;&gt;"",'MITRE ATT&amp;CK Mappings'!D465,"" )</f>
        <v/>
      </c>
    </row>
    <row r="470" spans="1:12" x14ac:dyDescent="0.25">
      <c r="A470" s="26" t="str">
        <f>IF(COUNTIF(B470:K470,"="&amp;'MITRE ATT&amp;CK Mappings'!B466)&gt;0,'MITRE ATT&amp;CK Mappings'!B466,"")</f>
        <v/>
      </c>
      <c r="B470" s="26" t="str">
        <f>IF(OR(OR(OR(OR(OR(ISNUMBER(SEARCH(IF(B$1&lt;&gt;"",B$1,"NA"),'MITRE ATT&amp;CK Mappings'!$E466)),ISNUMBER(SEARCH(IF(B$1&lt;&gt;"",B$1,"NA"),'MITRE ATT&amp;CK Mappings'!$F466))),ISNUMBER(SEARCH(IF(B$2&lt;&gt;"",B$2,"NA"),'MITRE ATT&amp;CK Mappings'!$G466))),ISNUMBER(SEARCH(IF(B$2&lt;&gt;"",B$2,"NA"),'MITRE ATT&amp;CK Mappings'!$H466))),ISNUMBER(SEARCH(IF(B$3&lt;&gt;"",B$3,"NA"),'MITRE ATT&amp;CK Mappings'!$I466))),ISNUMBER(SEARCH(IF(B$3&lt;&gt;"",B$3,"NA"),'MITRE ATT&amp;CK Mappings'!$J466))), 'MITRE ATT&amp;CK Mappings'!$B466,"")</f>
        <v/>
      </c>
      <c r="C470" s="26" t="str">
        <f>IF(OR(OR(OR(OR(OR(ISNUMBER(SEARCH(IF(C$1&lt;&gt;"",C$1,"NA"),'MITRE ATT&amp;CK Mappings'!$E466)),ISNUMBER(SEARCH(IF(C$1&lt;&gt;"",C$1,"NA"),'MITRE ATT&amp;CK Mappings'!$F466))),ISNUMBER(SEARCH(IF(C$2&lt;&gt;"",C$2,"NA"),'MITRE ATT&amp;CK Mappings'!$G466))),ISNUMBER(SEARCH(IF(C$2&lt;&gt;"",C$2,"NA"),'MITRE ATT&amp;CK Mappings'!$H466))),ISNUMBER(SEARCH(IF(C$3&lt;&gt;"",C$3,"NA"),'MITRE ATT&amp;CK Mappings'!$I466))),ISNUMBER(SEARCH(IF(C$3&lt;&gt;"",C$3,"NA"),'MITRE ATT&amp;CK Mappings'!$J466))), 'MITRE ATT&amp;CK Mappings'!$B466,"")</f>
        <v/>
      </c>
      <c r="D470" s="26" t="str">
        <f>IF(OR(OR(OR(OR(OR(ISNUMBER(SEARCH(IF(D$1&lt;&gt;"",D$1,"NA"),'MITRE ATT&amp;CK Mappings'!$E466)),ISNUMBER(SEARCH(IF(D$1&lt;&gt;"",D$1,"NA"),'MITRE ATT&amp;CK Mappings'!$F466))),ISNUMBER(SEARCH(IF(D$2&lt;&gt;"",D$2,"NA"),'MITRE ATT&amp;CK Mappings'!$G466))),ISNUMBER(SEARCH(IF(D$2&lt;&gt;"",D$2,"NA"),'MITRE ATT&amp;CK Mappings'!$H466))),ISNUMBER(SEARCH(IF(D$3&lt;&gt;"",D$3,"NA"),'MITRE ATT&amp;CK Mappings'!$I466))),ISNUMBER(SEARCH(IF(D$3&lt;&gt;"",D$3,"NA"),'MITRE ATT&amp;CK Mappings'!$J466))), 'MITRE ATT&amp;CK Mappings'!$B466,"")</f>
        <v/>
      </c>
      <c r="E470" s="26" t="str">
        <f>IF(OR(OR(OR(OR(OR(ISNUMBER(SEARCH(IF(E$1&lt;&gt;"",E$1,"NA"),'MITRE ATT&amp;CK Mappings'!$E466)),ISNUMBER(SEARCH(IF(E$1&lt;&gt;"",E$1,"NA"),'MITRE ATT&amp;CK Mappings'!$F466))),ISNUMBER(SEARCH(IF(E$2&lt;&gt;"",E$2,"NA"),'MITRE ATT&amp;CK Mappings'!$G466))),ISNUMBER(SEARCH(IF(E$2&lt;&gt;"",E$2,"NA"),'MITRE ATT&amp;CK Mappings'!$H466))),ISNUMBER(SEARCH(IF(E$3&lt;&gt;"",E$3,"NA"),'MITRE ATT&amp;CK Mappings'!$I466))),ISNUMBER(SEARCH(IF(E$3&lt;&gt;"",E$3,"NA"),'MITRE ATT&amp;CK Mappings'!$J466))), 'MITRE ATT&amp;CK Mappings'!$B466,"")</f>
        <v/>
      </c>
      <c r="F470" s="26" t="str">
        <f>IF(OR(OR(OR(OR(OR(ISNUMBER(SEARCH(IF(F$1&lt;&gt;"",F$1,"NA"),'MITRE ATT&amp;CK Mappings'!$E466)),ISNUMBER(SEARCH(IF(F$1&lt;&gt;"",F$1,"NA"),'MITRE ATT&amp;CK Mappings'!$F466))),ISNUMBER(SEARCH(IF(F$2&lt;&gt;"",F$2,"NA"),'MITRE ATT&amp;CK Mappings'!$G466))),ISNUMBER(SEARCH(IF(F$2&lt;&gt;"",F$2,"NA"),'MITRE ATT&amp;CK Mappings'!$H466))),ISNUMBER(SEARCH(IF(F$3&lt;&gt;"",F$3,"NA"),'MITRE ATT&amp;CK Mappings'!$I466))),ISNUMBER(SEARCH(IF(F$3&lt;&gt;"",F$3,"NA"),'MITRE ATT&amp;CK Mappings'!$J466))), 'MITRE ATT&amp;CK Mappings'!$B466,"")</f>
        <v/>
      </c>
      <c r="G470" s="26" t="str">
        <f>IF(OR(OR(OR(OR(OR(ISNUMBER(SEARCH(IF(G$1&lt;&gt;"",G$1,"NA"),'MITRE ATT&amp;CK Mappings'!$E466)),ISNUMBER(SEARCH(IF(G$1&lt;&gt;"",G$1,"NA"),'MITRE ATT&amp;CK Mappings'!$F466))),ISNUMBER(SEARCH(IF(G$2&lt;&gt;"",G$2,"NA"),'MITRE ATT&amp;CK Mappings'!$G466))),ISNUMBER(SEARCH(IF(G$2&lt;&gt;"",G$2,"NA"),'MITRE ATT&amp;CK Mappings'!$H466))),ISNUMBER(SEARCH(IF(G$3&lt;&gt;"",G$3,"NA"),'MITRE ATT&amp;CK Mappings'!$I466))),ISNUMBER(SEARCH(IF(G$3&lt;&gt;"",G$3,"NA"),'MITRE ATT&amp;CK Mappings'!$J466))), 'MITRE ATT&amp;CK Mappings'!$B466,"")</f>
        <v/>
      </c>
      <c r="H470" s="26" t="str">
        <f>IF(OR(OR(OR(OR(OR(ISNUMBER(SEARCH(IF(H$1&lt;&gt;"",H$1,"NA"),'MITRE ATT&amp;CK Mappings'!$E466)),ISNUMBER(SEARCH(IF(H$1&lt;&gt;"",H$1,"NA"),'MITRE ATT&amp;CK Mappings'!$F466))),ISNUMBER(SEARCH(IF(H$2&lt;&gt;"",H$2,"NA"),'MITRE ATT&amp;CK Mappings'!$G466))),ISNUMBER(SEARCH(IF(H$2&lt;&gt;"",H$2,"NA"),'MITRE ATT&amp;CK Mappings'!$H466))),ISNUMBER(SEARCH(IF(H$3&lt;&gt;"",H$3,"NA"),'MITRE ATT&amp;CK Mappings'!$I466))),ISNUMBER(SEARCH(IF(H$3&lt;&gt;"",H$3,"NA"),'MITRE ATT&amp;CK Mappings'!$J466))), 'MITRE ATT&amp;CK Mappings'!$B466,"")</f>
        <v/>
      </c>
      <c r="I470" s="26" t="str">
        <f>IF(OR(OR(OR(OR(OR(ISNUMBER(SEARCH(IF(I$1&lt;&gt;"",I$1,"NA"),'MITRE ATT&amp;CK Mappings'!$E466)),ISNUMBER(SEARCH(IF(I$1&lt;&gt;"",I$1,"NA"),'MITRE ATT&amp;CK Mappings'!$F466))),ISNUMBER(SEARCH(IF(I$2&lt;&gt;"",I$2,"NA"),'MITRE ATT&amp;CK Mappings'!$G466))),ISNUMBER(SEARCH(IF(I$2&lt;&gt;"",I$2,"NA"),'MITRE ATT&amp;CK Mappings'!$H466))),ISNUMBER(SEARCH(IF(I$3&lt;&gt;"",I$3,"NA"),'MITRE ATT&amp;CK Mappings'!$I466))),ISNUMBER(SEARCH(IF(I$3&lt;&gt;"",I$3,"NA"),'MITRE ATT&amp;CK Mappings'!$J466))), 'MITRE ATT&amp;CK Mappings'!$B466,"")</f>
        <v/>
      </c>
      <c r="J470" s="26" t="str">
        <f>IF(OR(OR(OR(OR(OR(ISNUMBER(SEARCH(IF(J$1&lt;&gt;"",J$1,"NA"),'MITRE ATT&amp;CK Mappings'!$E466)),ISNUMBER(SEARCH(IF(J$1&lt;&gt;"",J$1,"NA"),'MITRE ATT&amp;CK Mappings'!$F466))),ISNUMBER(SEARCH(IF(J$2&lt;&gt;"",J$2,"NA"),'MITRE ATT&amp;CK Mappings'!$G466))),ISNUMBER(SEARCH(IF(J$2&lt;&gt;"",J$2,"NA"),'MITRE ATT&amp;CK Mappings'!$H466))),ISNUMBER(SEARCH(IF(J$3&lt;&gt;"",J$3,"NA"),'MITRE ATT&amp;CK Mappings'!$I466))),ISNUMBER(SEARCH(IF(J$3&lt;&gt;"",J$3,"NA"),'MITRE ATT&amp;CK Mappings'!$J466))), 'MITRE ATT&amp;CK Mappings'!$B466,"")</f>
        <v/>
      </c>
      <c r="K470" s="26" t="str">
        <f>IF(OR(OR(OR(OR(OR(ISNUMBER(SEARCH(IF(K$1&lt;&gt;"",K$1,"NA"),'MITRE ATT&amp;CK Mappings'!$E466)),ISNUMBER(SEARCH(IF(K$1&lt;&gt;"",K$1,"NA"),'MITRE ATT&amp;CK Mappings'!$F466))),ISNUMBER(SEARCH(IF(K$2&lt;&gt;"",K$2,"NA"),'MITRE ATT&amp;CK Mappings'!$G466))),ISNUMBER(SEARCH(IF(K$2&lt;&gt;"",K$2,"NA"),'MITRE ATT&amp;CK Mappings'!$H466))),ISNUMBER(SEARCH(IF(K$3&lt;&gt;"",K$3,"NA"),'MITRE ATT&amp;CK Mappings'!$I466))),ISNUMBER(SEARCH(IF(K$3&lt;&gt;"",K$3,"NA"),'MITRE ATT&amp;CK Mappings'!$J466))), 'MITRE ATT&amp;CK Mappings'!$B466,"")</f>
        <v/>
      </c>
      <c r="L470" s="26" t="str">
        <f>IF('MITRE ATT&amp;CK Mappings'!D466 &lt;&gt;"",'MITRE ATT&amp;CK Mappings'!D466,"" )</f>
        <v/>
      </c>
    </row>
    <row r="471" spans="1:12" x14ac:dyDescent="0.25">
      <c r="A471" s="27" t="str">
        <f>IF(COUNTIF(B471:K471,"="&amp;'MITRE ATT&amp;CK Mappings'!B467)&gt;0,'MITRE ATT&amp;CK Mappings'!B467,"")</f>
        <v/>
      </c>
      <c r="B471" s="27" t="str">
        <f>IF(OR(OR(OR(OR(OR(ISNUMBER(SEARCH(IF(B$1&lt;&gt;"",B$1,"NA"),'MITRE ATT&amp;CK Mappings'!$E467)),ISNUMBER(SEARCH(IF(B$1&lt;&gt;"",B$1,"NA"),'MITRE ATT&amp;CK Mappings'!$F467))),ISNUMBER(SEARCH(IF(B$2&lt;&gt;"",B$2,"NA"),'MITRE ATT&amp;CK Mappings'!$G467))),ISNUMBER(SEARCH(IF(B$2&lt;&gt;"",B$2,"NA"),'MITRE ATT&amp;CK Mappings'!$H467))),ISNUMBER(SEARCH(IF(B$3&lt;&gt;"",B$3,"NA"),'MITRE ATT&amp;CK Mappings'!$I467))),ISNUMBER(SEARCH(IF(B$3&lt;&gt;"",B$3,"NA"),'MITRE ATT&amp;CK Mappings'!$J467))), 'MITRE ATT&amp;CK Mappings'!$B467,"")</f>
        <v/>
      </c>
      <c r="C471" s="27" t="str">
        <f>IF(OR(OR(OR(OR(OR(ISNUMBER(SEARCH(IF(C$1&lt;&gt;"",C$1,"NA"),'MITRE ATT&amp;CK Mappings'!$E467)),ISNUMBER(SEARCH(IF(C$1&lt;&gt;"",C$1,"NA"),'MITRE ATT&amp;CK Mappings'!$F467))),ISNUMBER(SEARCH(IF(C$2&lt;&gt;"",C$2,"NA"),'MITRE ATT&amp;CK Mappings'!$G467))),ISNUMBER(SEARCH(IF(C$2&lt;&gt;"",C$2,"NA"),'MITRE ATT&amp;CK Mappings'!$H467))),ISNUMBER(SEARCH(IF(C$3&lt;&gt;"",C$3,"NA"),'MITRE ATT&amp;CK Mappings'!$I467))),ISNUMBER(SEARCH(IF(C$3&lt;&gt;"",C$3,"NA"),'MITRE ATT&amp;CK Mappings'!$J467))), 'MITRE ATT&amp;CK Mappings'!$B467,"")</f>
        <v/>
      </c>
      <c r="D471" s="27" t="str">
        <f>IF(OR(OR(OR(OR(OR(ISNUMBER(SEARCH(IF(D$1&lt;&gt;"",D$1,"NA"),'MITRE ATT&amp;CK Mappings'!$E467)),ISNUMBER(SEARCH(IF(D$1&lt;&gt;"",D$1,"NA"),'MITRE ATT&amp;CK Mappings'!$F467))),ISNUMBER(SEARCH(IF(D$2&lt;&gt;"",D$2,"NA"),'MITRE ATT&amp;CK Mappings'!$G467))),ISNUMBER(SEARCH(IF(D$2&lt;&gt;"",D$2,"NA"),'MITRE ATT&amp;CK Mappings'!$H467))),ISNUMBER(SEARCH(IF(D$3&lt;&gt;"",D$3,"NA"),'MITRE ATT&amp;CK Mappings'!$I467))),ISNUMBER(SEARCH(IF(D$3&lt;&gt;"",D$3,"NA"),'MITRE ATT&amp;CK Mappings'!$J467))), 'MITRE ATT&amp;CK Mappings'!$B467,"")</f>
        <v/>
      </c>
      <c r="E471" s="27" t="str">
        <f>IF(OR(OR(OR(OR(OR(ISNUMBER(SEARCH(IF(E$1&lt;&gt;"",E$1,"NA"),'MITRE ATT&amp;CK Mappings'!$E467)),ISNUMBER(SEARCH(IF(E$1&lt;&gt;"",E$1,"NA"),'MITRE ATT&amp;CK Mappings'!$F467))),ISNUMBER(SEARCH(IF(E$2&lt;&gt;"",E$2,"NA"),'MITRE ATT&amp;CK Mappings'!$G467))),ISNUMBER(SEARCH(IF(E$2&lt;&gt;"",E$2,"NA"),'MITRE ATT&amp;CK Mappings'!$H467))),ISNUMBER(SEARCH(IF(E$3&lt;&gt;"",E$3,"NA"),'MITRE ATT&amp;CK Mappings'!$I467))),ISNUMBER(SEARCH(IF(E$3&lt;&gt;"",E$3,"NA"),'MITRE ATT&amp;CK Mappings'!$J467))), 'MITRE ATT&amp;CK Mappings'!$B467,"")</f>
        <v/>
      </c>
      <c r="F471" s="27" t="str">
        <f>IF(OR(OR(OR(OR(OR(ISNUMBER(SEARCH(IF(F$1&lt;&gt;"",F$1,"NA"),'MITRE ATT&amp;CK Mappings'!$E467)),ISNUMBER(SEARCH(IF(F$1&lt;&gt;"",F$1,"NA"),'MITRE ATT&amp;CK Mappings'!$F467))),ISNUMBER(SEARCH(IF(F$2&lt;&gt;"",F$2,"NA"),'MITRE ATT&amp;CK Mappings'!$G467))),ISNUMBER(SEARCH(IF(F$2&lt;&gt;"",F$2,"NA"),'MITRE ATT&amp;CK Mappings'!$H467))),ISNUMBER(SEARCH(IF(F$3&lt;&gt;"",F$3,"NA"),'MITRE ATT&amp;CK Mappings'!$I467))),ISNUMBER(SEARCH(IF(F$3&lt;&gt;"",F$3,"NA"),'MITRE ATT&amp;CK Mappings'!$J467))), 'MITRE ATT&amp;CK Mappings'!$B467,"")</f>
        <v/>
      </c>
      <c r="G471" s="27" t="str">
        <f>IF(OR(OR(OR(OR(OR(ISNUMBER(SEARCH(IF(G$1&lt;&gt;"",G$1,"NA"),'MITRE ATT&amp;CK Mappings'!$E467)),ISNUMBER(SEARCH(IF(G$1&lt;&gt;"",G$1,"NA"),'MITRE ATT&amp;CK Mappings'!$F467))),ISNUMBER(SEARCH(IF(G$2&lt;&gt;"",G$2,"NA"),'MITRE ATT&amp;CK Mappings'!$G467))),ISNUMBER(SEARCH(IF(G$2&lt;&gt;"",G$2,"NA"),'MITRE ATT&amp;CK Mappings'!$H467))),ISNUMBER(SEARCH(IF(G$3&lt;&gt;"",G$3,"NA"),'MITRE ATT&amp;CK Mappings'!$I467))),ISNUMBER(SEARCH(IF(G$3&lt;&gt;"",G$3,"NA"),'MITRE ATT&amp;CK Mappings'!$J467))), 'MITRE ATT&amp;CK Mappings'!$B467,"")</f>
        <v/>
      </c>
      <c r="H471" s="27" t="str">
        <f>IF(OR(OR(OR(OR(OR(ISNUMBER(SEARCH(IF(H$1&lt;&gt;"",H$1,"NA"),'MITRE ATT&amp;CK Mappings'!$E467)),ISNUMBER(SEARCH(IF(H$1&lt;&gt;"",H$1,"NA"),'MITRE ATT&amp;CK Mappings'!$F467))),ISNUMBER(SEARCH(IF(H$2&lt;&gt;"",H$2,"NA"),'MITRE ATT&amp;CK Mappings'!$G467))),ISNUMBER(SEARCH(IF(H$2&lt;&gt;"",H$2,"NA"),'MITRE ATT&amp;CK Mappings'!$H467))),ISNUMBER(SEARCH(IF(H$3&lt;&gt;"",H$3,"NA"),'MITRE ATT&amp;CK Mappings'!$I467))),ISNUMBER(SEARCH(IF(H$3&lt;&gt;"",H$3,"NA"),'MITRE ATT&amp;CK Mappings'!$J467))), 'MITRE ATT&amp;CK Mappings'!$B467,"")</f>
        <v/>
      </c>
      <c r="I471" s="27" t="str">
        <f>IF(OR(OR(OR(OR(OR(ISNUMBER(SEARCH(IF(I$1&lt;&gt;"",I$1,"NA"),'MITRE ATT&amp;CK Mappings'!$E467)),ISNUMBER(SEARCH(IF(I$1&lt;&gt;"",I$1,"NA"),'MITRE ATT&amp;CK Mappings'!$F467))),ISNUMBER(SEARCH(IF(I$2&lt;&gt;"",I$2,"NA"),'MITRE ATT&amp;CK Mappings'!$G467))),ISNUMBER(SEARCH(IF(I$2&lt;&gt;"",I$2,"NA"),'MITRE ATT&amp;CK Mappings'!$H467))),ISNUMBER(SEARCH(IF(I$3&lt;&gt;"",I$3,"NA"),'MITRE ATT&amp;CK Mappings'!$I467))),ISNUMBER(SEARCH(IF(I$3&lt;&gt;"",I$3,"NA"),'MITRE ATT&amp;CK Mappings'!$J467))), 'MITRE ATT&amp;CK Mappings'!$B467,"")</f>
        <v/>
      </c>
      <c r="J471" s="27" t="str">
        <f>IF(OR(OR(OR(OR(OR(ISNUMBER(SEARCH(IF(J$1&lt;&gt;"",J$1,"NA"),'MITRE ATT&amp;CK Mappings'!$E467)),ISNUMBER(SEARCH(IF(J$1&lt;&gt;"",J$1,"NA"),'MITRE ATT&amp;CK Mappings'!$F467))),ISNUMBER(SEARCH(IF(J$2&lt;&gt;"",J$2,"NA"),'MITRE ATT&amp;CK Mappings'!$G467))),ISNUMBER(SEARCH(IF(J$2&lt;&gt;"",J$2,"NA"),'MITRE ATT&amp;CK Mappings'!$H467))),ISNUMBER(SEARCH(IF(J$3&lt;&gt;"",J$3,"NA"),'MITRE ATT&amp;CK Mappings'!$I467))),ISNUMBER(SEARCH(IF(J$3&lt;&gt;"",J$3,"NA"),'MITRE ATT&amp;CK Mappings'!$J467))), 'MITRE ATT&amp;CK Mappings'!$B467,"")</f>
        <v/>
      </c>
      <c r="K471" s="27" t="str">
        <f>IF(OR(OR(OR(OR(OR(ISNUMBER(SEARCH(IF(K$1&lt;&gt;"",K$1,"NA"),'MITRE ATT&amp;CK Mappings'!$E467)),ISNUMBER(SEARCH(IF(K$1&lt;&gt;"",K$1,"NA"),'MITRE ATT&amp;CK Mappings'!$F467))),ISNUMBER(SEARCH(IF(K$2&lt;&gt;"",K$2,"NA"),'MITRE ATT&amp;CK Mappings'!$G467))),ISNUMBER(SEARCH(IF(K$2&lt;&gt;"",K$2,"NA"),'MITRE ATT&amp;CK Mappings'!$H467))),ISNUMBER(SEARCH(IF(K$3&lt;&gt;"",K$3,"NA"),'MITRE ATT&amp;CK Mappings'!$I467))),ISNUMBER(SEARCH(IF(K$3&lt;&gt;"",K$3,"NA"),'MITRE ATT&amp;CK Mappings'!$J467))), 'MITRE ATT&amp;CK Mappings'!$B467,"")</f>
        <v/>
      </c>
      <c r="L471" s="27" t="str">
        <f>IF('MITRE ATT&amp;CK Mappings'!D467 &lt;&gt;"",'MITRE ATT&amp;CK Mappings'!D467,"" )</f>
        <v/>
      </c>
    </row>
    <row r="472" spans="1:12" x14ac:dyDescent="0.25">
      <c r="A472" s="26" t="str">
        <f>IF(COUNTIF(B472:K472,"="&amp;'MITRE ATT&amp;CK Mappings'!B468)&gt;0,'MITRE ATT&amp;CK Mappings'!B468,"")</f>
        <v/>
      </c>
      <c r="B472" s="26" t="str">
        <f>IF(OR(OR(OR(OR(OR(ISNUMBER(SEARCH(IF(B$1&lt;&gt;"",B$1,"NA"),'MITRE ATT&amp;CK Mappings'!$E468)),ISNUMBER(SEARCH(IF(B$1&lt;&gt;"",B$1,"NA"),'MITRE ATT&amp;CK Mappings'!$F468))),ISNUMBER(SEARCH(IF(B$2&lt;&gt;"",B$2,"NA"),'MITRE ATT&amp;CK Mappings'!$G468))),ISNUMBER(SEARCH(IF(B$2&lt;&gt;"",B$2,"NA"),'MITRE ATT&amp;CK Mappings'!$H468))),ISNUMBER(SEARCH(IF(B$3&lt;&gt;"",B$3,"NA"),'MITRE ATT&amp;CK Mappings'!$I468))),ISNUMBER(SEARCH(IF(B$3&lt;&gt;"",B$3,"NA"),'MITRE ATT&amp;CK Mappings'!$J468))), 'MITRE ATT&amp;CK Mappings'!$B468,"")</f>
        <v/>
      </c>
      <c r="C472" s="26" t="str">
        <f>IF(OR(OR(OR(OR(OR(ISNUMBER(SEARCH(IF(C$1&lt;&gt;"",C$1,"NA"),'MITRE ATT&amp;CK Mappings'!$E468)),ISNUMBER(SEARCH(IF(C$1&lt;&gt;"",C$1,"NA"),'MITRE ATT&amp;CK Mappings'!$F468))),ISNUMBER(SEARCH(IF(C$2&lt;&gt;"",C$2,"NA"),'MITRE ATT&amp;CK Mappings'!$G468))),ISNUMBER(SEARCH(IF(C$2&lt;&gt;"",C$2,"NA"),'MITRE ATT&amp;CK Mappings'!$H468))),ISNUMBER(SEARCH(IF(C$3&lt;&gt;"",C$3,"NA"),'MITRE ATT&amp;CK Mappings'!$I468))),ISNUMBER(SEARCH(IF(C$3&lt;&gt;"",C$3,"NA"),'MITRE ATT&amp;CK Mappings'!$J468))), 'MITRE ATT&amp;CK Mappings'!$B468,"")</f>
        <v/>
      </c>
      <c r="D472" s="26" t="str">
        <f>IF(OR(OR(OR(OR(OR(ISNUMBER(SEARCH(IF(D$1&lt;&gt;"",D$1,"NA"),'MITRE ATT&amp;CK Mappings'!$E468)),ISNUMBER(SEARCH(IF(D$1&lt;&gt;"",D$1,"NA"),'MITRE ATT&amp;CK Mappings'!$F468))),ISNUMBER(SEARCH(IF(D$2&lt;&gt;"",D$2,"NA"),'MITRE ATT&amp;CK Mappings'!$G468))),ISNUMBER(SEARCH(IF(D$2&lt;&gt;"",D$2,"NA"),'MITRE ATT&amp;CK Mappings'!$H468))),ISNUMBER(SEARCH(IF(D$3&lt;&gt;"",D$3,"NA"),'MITRE ATT&amp;CK Mappings'!$I468))),ISNUMBER(SEARCH(IF(D$3&lt;&gt;"",D$3,"NA"),'MITRE ATT&amp;CK Mappings'!$J468))), 'MITRE ATT&amp;CK Mappings'!$B468,"")</f>
        <v/>
      </c>
      <c r="E472" s="26" t="str">
        <f>IF(OR(OR(OR(OR(OR(ISNUMBER(SEARCH(IF(E$1&lt;&gt;"",E$1,"NA"),'MITRE ATT&amp;CK Mappings'!$E468)),ISNUMBER(SEARCH(IF(E$1&lt;&gt;"",E$1,"NA"),'MITRE ATT&amp;CK Mappings'!$F468))),ISNUMBER(SEARCH(IF(E$2&lt;&gt;"",E$2,"NA"),'MITRE ATT&amp;CK Mappings'!$G468))),ISNUMBER(SEARCH(IF(E$2&lt;&gt;"",E$2,"NA"),'MITRE ATT&amp;CK Mappings'!$H468))),ISNUMBER(SEARCH(IF(E$3&lt;&gt;"",E$3,"NA"),'MITRE ATT&amp;CK Mappings'!$I468))),ISNUMBER(SEARCH(IF(E$3&lt;&gt;"",E$3,"NA"),'MITRE ATT&amp;CK Mappings'!$J468))), 'MITRE ATT&amp;CK Mappings'!$B468,"")</f>
        <v/>
      </c>
      <c r="F472" s="26" t="str">
        <f>IF(OR(OR(OR(OR(OR(ISNUMBER(SEARCH(IF(F$1&lt;&gt;"",F$1,"NA"),'MITRE ATT&amp;CK Mappings'!$E468)),ISNUMBER(SEARCH(IF(F$1&lt;&gt;"",F$1,"NA"),'MITRE ATT&amp;CK Mappings'!$F468))),ISNUMBER(SEARCH(IF(F$2&lt;&gt;"",F$2,"NA"),'MITRE ATT&amp;CK Mappings'!$G468))),ISNUMBER(SEARCH(IF(F$2&lt;&gt;"",F$2,"NA"),'MITRE ATT&amp;CK Mappings'!$H468))),ISNUMBER(SEARCH(IF(F$3&lt;&gt;"",F$3,"NA"),'MITRE ATT&amp;CK Mappings'!$I468))),ISNUMBER(SEARCH(IF(F$3&lt;&gt;"",F$3,"NA"),'MITRE ATT&amp;CK Mappings'!$J468))), 'MITRE ATT&amp;CK Mappings'!$B468,"")</f>
        <v/>
      </c>
      <c r="G472" s="26" t="str">
        <f>IF(OR(OR(OR(OR(OR(ISNUMBER(SEARCH(IF(G$1&lt;&gt;"",G$1,"NA"),'MITRE ATT&amp;CK Mappings'!$E468)),ISNUMBER(SEARCH(IF(G$1&lt;&gt;"",G$1,"NA"),'MITRE ATT&amp;CK Mappings'!$F468))),ISNUMBER(SEARCH(IF(G$2&lt;&gt;"",G$2,"NA"),'MITRE ATT&amp;CK Mappings'!$G468))),ISNUMBER(SEARCH(IF(G$2&lt;&gt;"",G$2,"NA"),'MITRE ATT&amp;CK Mappings'!$H468))),ISNUMBER(SEARCH(IF(G$3&lt;&gt;"",G$3,"NA"),'MITRE ATT&amp;CK Mappings'!$I468))),ISNUMBER(SEARCH(IF(G$3&lt;&gt;"",G$3,"NA"),'MITRE ATT&amp;CK Mappings'!$J468))), 'MITRE ATT&amp;CK Mappings'!$B468,"")</f>
        <v/>
      </c>
      <c r="H472" s="26" t="str">
        <f>IF(OR(OR(OR(OR(OR(ISNUMBER(SEARCH(IF(H$1&lt;&gt;"",H$1,"NA"),'MITRE ATT&amp;CK Mappings'!$E468)),ISNUMBER(SEARCH(IF(H$1&lt;&gt;"",H$1,"NA"),'MITRE ATT&amp;CK Mappings'!$F468))),ISNUMBER(SEARCH(IF(H$2&lt;&gt;"",H$2,"NA"),'MITRE ATT&amp;CK Mappings'!$G468))),ISNUMBER(SEARCH(IF(H$2&lt;&gt;"",H$2,"NA"),'MITRE ATT&amp;CK Mappings'!$H468))),ISNUMBER(SEARCH(IF(H$3&lt;&gt;"",H$3,"NA"),'MITRE ATT&amp;CK Mappings'!$I468))),ISNUMBER(SEARCH(IF(H$3&lt;&gt;"",H$3,"NA"),'MITRE ATT&amp;CK Mappings'!$J468))), 'MITRE ATT&amp;CK Mappings'!$B468,"")</f>
        <v/>
      </c>
      <c r="I472" s="26" t="str">
        <f>IF(OR(OR(OR(OR(OR(ISNUMBER(SEARCH(IF(I$1&lt;&gt;"",I$1,"NA"),'MITRE ATT&amp;CK Mappings'!$E468)),ISNUMBER(SEARCH(IF(I$1&lt;&gt;"",I$1,"NA"),'MITRE ATT&amp;CK Mappings'!$F468))),ISNUMBER(SEARCH(IF(I$2&lt;&gt;"",I$2,"NA"),'MITRE ATT&amp;CK Mappings'!$G468))),ISNUMBER(SEARCH(IF(I$2&lt;&gt;"",I$2,"NA"),'MITRE ATT&amp;CK Mappings'!$H468))),ISNUMBER(SEARCH(IF(I$3&lt;&gt;"",I$3,"NA"),'MITRE ATT&amp;CK Mappings'!$I468))),ISNUMBER(SEARCH(IF(I$3&lt;&gt;"",I$3,"NA"),'MITRE ATT&amp;CK Mappings'!$J468))), 'MITRE ATT&amp;CK Mappings'!$B468,"")</f>
        <v/>
      </c>
      <c r="J472" s="26" t="str">
        <f>IF(OR(OR(OR(OR(OR(ISNUMBER(SEARCH(IF(J$1&lt;&gt;"",J$1,"NA"),'MITRE ATT&amp;CK Mappings'!$E468)),ISNUMBER(SEARCH(IF(J$1&lt;&gt;"",J$1,"NA"),'MITRE ATT&amp;CK Mappings'!$F468))),ISNUMBER(SEARCH(IF(J$2&lt;&gt;"",J$2,"NA"),'MITRE ATT&amp;CK Mappings'!$G468))),ISNUMBER(SEARCH(IF(J$2&lt;&gt;"",J$2,"NA"),'MITRE ATT&amp;CK Mappings'!$H468))),ISNUMBER(SEARCH(IF(J$3&lt;&gt;"",J$3,"NA"),'MITRE ATT&amp;CK Mappings'!$I468))),ISNUMBER(SEARCH(IF(J$3&lt;&gt;"",J$3,"NA"),'MITRE ATT&amp;CK Mappings'!$J468))), 'MITRE ATT&amp;CK Mappings'!$B468,"")</f>
        <v/>
      </c>
      <c r="K472" s="26" t="str">
        <f>IF(OR(OR(OR(OR(OR(ISNUMBER(SEARCH(IF(K$1&lt;&gt;"",K$1,"NA"),'MITRE ATT&amp;CK Mappings'!$E468)),ISNUMBER(SEARCH(IF(K$1&lt;&gt;"",K$1,"NA"),'MITRE ATT&amp;CK Mappings'!$F468))),ISNUMBER(SEARCH(IF(K$2&lt;&gt;"",K$2,"NA"),'MITRE ATT&amp;CK Mappings'!$G468))),ISNUMBER(SEARCH(IF(K$2&lt;&gt;"",K$2,"NA"),'MITRE ATT&amp;CK Mappings'!$H468))),ISNUMBER(SEARCH(IF(K$3&lt;&gt;"",K$3,"NA"),'MITRE ATT&amp;CK Mappings'!$I468))),ISNUMBER(SEARCH(IF(K$3&lt;&gt;"",K$3,"NA"),'MITRE ATT&amp;CK Mappings'!$J468))), 'MITRE ATT&amp;CK Mappings'!$B468,"")</f>
        <v/>
      </c>
      <c r="L472" s="26" t="str">
        <f>IF('MITRE ATT&amp;CK Mappings'!D468 &lt;&gt;"",'MITRE ATT&amp;CK Mappings'!D468,"" )</f>
        <v/>
      </c>
    </row>
    <row r="473" spans="1:12" x14ac:dyDescent="0.25">
      <c r="A473" s="27" t="str">
        <f>IF(COUNTIF(B473:K473,"="&amp;'MITRE ATT&amp;CK Mappings'!B469)&gt;0,'MITRE ATT&amp;CK Mappings'!B469,"")</f>
        <v/>
      </c>
      <c r="B473" s="27" t="str">
        <f>IF(OR(OR(OR(OR(OR(ISNUMBER(SEARCH(IF(B$1&lt;&gt;"",B$1,"NA"),'MITRE ATT&amp;CK Mappings'!$E469)),ISNUMBER(SEARCH(IF(B$1&lt;&gt;"",B$1,"NA"),'MITRE ATT&amp;CK Mappings'!$F469))),ISNUMBER(SEARCH(IF(B$2&lt;&gt;"",B$2,"NA"),'MITRE ATT&amp;CK Mappings'!$G469))),ISNUMBER(SEARCH(IF(B$2&lt;&gt;"",B$2,"NA"),'MITRE ATT&amp;CK Mappings'!$H469))),ISNUMBER(SEARCH(IF(B$3&lt;&gt;"",B$3,"NA"),'MITRE ATT&amp;CK Mappings'!$I469))),ISNUMBER(SEARCH(IF(B$3&lt;&gt;"",B$3,"NA"),'MITRE ATT&amp;CK Mappings'!$J469))), 'MITRE ATT&amp;CK Mappings'!$B469,"")</f>
        <v/>
      </c>
      <c r="C473" s="27" t="str">
        <f>IF(OR(OR(OR(OR(OR(ISNUMBER(SEARCH(IF(C$1&lt;&gt;"",C$1,"NA"),'MITRE ATT&amp;CK Mappings'!$E469)),ISNUMBER(SEARCH(IF(C$1&lt;&gt;"",C$1,"NA"),'MITRE ATT&amp;CK Mappings'!$F469))),ISNUMBER(SEARCH(IF(C$2&lt;&gt;"",C$2,"NA"),'MITRE ATT&amp;CK Mappings'!$G469))),ISNUMBER(SEARCH(IF(C$2&lt;&gt;"",C$2,"NA"),'MITRE ATT&amp;CK Mappings'!$H469))),ISNUMBER(SEARCH(IF(C$3&lt;&gt;"",C$3,"NA"),'MITRE ATT&amp;CK Mappings'!$I469))),ISNUMBER(SEARCH(IF(C$3&lt;&gt;"",C$3,"NA"),'MITRE ATT&amp;CK Mappings'!$J469))), 'MITRE ATT&amp;CK Mappings'!$B469,"")</f>
        <v/>
      </c>
      <c r="D473" s="27" t="str">
        <f>IF(OR(OR(OR(OR(OR(ISNUMBER(SEARCH(IF(D$1&lt;&gt;"",D$1,"NA"),'MITRE ATT&amp;CK Mappings'!$E469)),ISNUMBER(SEARCH(IF(D$1&lt;&gt;"",D$1,"NA"),'MITRE ATT&amp;CK Mappings'!$F469))),ISNUMBER(SEARCH(IF(D$2&lt;&gt;"",D$2,"NA"),'MITRE ATT&amp;CK Mappings'!$G469))),ISNUMBER(SEARCH(IF(D$2&lt;&gt;"",D$2,"NA"),'MITRE ATT&amp;CK Mappings'!$H469))),ISNUMBER(SEARCH(IF(D$3&lt;&gt;"",D$3,"NA"),'MITRE ATT&amp;CK Mappings'!$I469))),ISNUMBER(SEARCH(IF(D$3&lt;&gt;"",D$3,"NA"),'MITRE ATT&amp;CK Mappings'!$J469))), 'MITRE ATT&amp;CK Mappings'!$B469,"")</f>
        <v/>
      </c>
      <c r="E473" s="27" t="str">
        <f>IF(OR(OR(OR(OR(OR(ISNUMBER(SEARCH(IF(E$1&lt;&gt;"",E$1,"NA"),'MITRE ATT&amp;CK Mappings'!$E469)),ISNUMBER(SEARCH(IF(E$1&lt;&gt;"",E$1,"NA"),'MITRE ATT&amp;CK Mappings'!$F469))),ISNUMBER(SEARCH(IF(E$2&lt;&gt;"",E$2,"NA"),'MITRE ATT&amp;CK Mappings'!$G469))),ISNUMBER(SEARCH(IF(E$2&lt;&gt;"",E$2,"NA"),'MITRE ATT&amp;CK Mappings'!$H469))),ISNUMBER(SEARCH(IF(E$3&lt;&gt;"",E$3,"NA"),'MITRE ATT&amp;CK Mappings'!$I469))),ISNUMBER(SEARCH(IF(E$3&lt;&gt;"",E$3,"NA"),'MITRE ATT&amp;CK Mappings'!$J469))), 'MITRE ATT&amp;CK Mappings'!$B469,"")</f>
        <v/>
      </c>
      <c r="F473" s="27" t="str">
        <f>IF(OR(OR(OR(OR(OR(ISNUMBER(SEARCH(IF(F$1&lt;&gt;"",F$1,"NA"),'MITRE ATT&amp;CK Mappings'!$E469)),ISNUMBER(SEARCH(IF(F$1&lt;&gt;"",F$1,"NA"),'MITRE ATT&amp;CK Mappings'!$F469))),ISNUMBER(SEARCH(IF(F$2&lt;&gt;"",F$2,"NA"),'MITRE ATT&amp;CK Mappings'!$G469))),ISNUMBER(SEARCH(IF(F$2&lt;&gt;"",F$2,"NA"),'MITRE ATT&amp;CK Mappings'!$H469))),ISNUMBER(SEARCH(IF(F$3&lt;&gt;"",F$3,"NA"),'MITRE ATT&amp;CK Mappings'!$I469))),ISNUMBER(SEARCH(IF(F$3&lt;&gt;"",F$3,"NA"),'MITRE ATT&amp;CK Mappings'!$J469))), 'MITRE ATT&amp;CK Mappings'!$B469,"")</f>
        <v/>
      </c>
      <c r="G473" s="27" t="str">
        <f>IF(OR(OR(OR(OR(OR(ISNUMBER(SEARCH(IF(G$1&lt;&gt;"",G$1,"NA"),'MITRE ATT&amp;CK Mappings'!$E469)),ISNUMBER(SEARCH(IF(G$1&lt;&gt;"",G$1,"NA"),'MITRE ATT&amp;CK Mappings'!$F469))),ISNUMBER(SEARCH(IF(G$2&lt;&gt;"",G$2,"NA"),'MITRE ATT&amp;CK Mappings'!$G469))),ISNUMBER(SEARCH(IF(G$2&lt;&gt;"",G$2,"NA"),'MITRE ATT&amp;CK Mappings'!$H469))),ISNUMBER(SEARCH(IF(G$3&lt;&gt;"",G$3,"NA"),'MITRE ATT&amp;CK Mappings'!$I469))),ISNUMBER(SEARCH(IF(G$3&lt;&gt;"",G$3,"NA"),'MITRE ATT&amp;CK Mappings'!$J469))), 'MITRE ATT&amp;CK Mappings'!$B469,"")</f>
        <v/>
      </c>
      <c r="H473" s="27" t="str">
        <f>IF(OR(OR(OR(OR(OR(ISNUMBER(SEARCH(IF(H$1&lt;&gt;"",H$1,"NA"),'MITRE ATT&amp;CK Mappings'!$E469)),ISNUMBER(SEARCH(IF(H$1&lt;&gt;"",H$1,"NA"),'MITRE ATT&amp;CK Mappings'!$F469))),ISNUMBER(SEARCH(IF(H$2&lt;&gt;"",H$2,"NA"),'MITRE ATT&amp;CK Mappings'!$G469))),ISNUMBER(SEARCH(IF(H$2&lt;&gt;"",H$2,"NA"),'MITRE ATT&amp;CK Mappings'!$H469))),ISNUMBER(SEARCH(IF(H$3&lt;&gt;"",H$3,"NA"),'MITRE ATT&amp;CK Mappings'!$I469))),ISNUMBER(SEARCH(IF(H$3&lt;&gt;"",H$3,"NA"),'MITRE ATT&amp;CK Mappings'!$J469))), 'MITRE ATT&amp;CK Mappings'!$B469,"")</f>
        <v/>
      </c>
      <c r="I473" s="27" t="str">
        <f>IF(OR(OR(OR(OR(OR(ISNUMBER(SEARCH(IF(I$1&lt;&gt;"",I$1,"NA"),'MITRE ATT&amp;CK Mappings'!$E469)),ISNUMBER(SEARCH(IF(I$1&lt;&gt;"",I$1,"NA"),'MITRE ATT&amp;CK Mappings'!$F469))),ISNUMBER(SEARCH(IF(I$2&lt;&gt;"",I$2,"NA"),'MITRE ATT&amp;CK Mappings'!$G469))),ISNUMBER(SEARCH(IF(I$2&lt;&gt;"",I$2,"NA"),'MITRE ATT&amp;CK Mappings'!$H469))),ISNUMBER(SEARCH(IF(I$3&lt;&gt;"",I$3,"NA"),'MITRE ATT&amp;CK Mappings'!$I469))),ISNUMBER(SEARCH(IF(I$3&lt;&gt;"",I$3,"NA"),'MITRE ATT&amp;CK Mappings'!$J469))), 'MITRE ATT&amp;CK Mappings'!$B469,"")</f>
        <v/>
      </c>
      <c r="J473" s="27" t="str">
        <f>IF(OR(OR(OR(OR(OR(ISNUMBER(SEARCH(IF(J$1&lt;&gt;"",J$1,"NA"),'MITRE ATT&amp;CK Mappings'!$E469)),ISNUMBER(SEARCH(IF(J$1&lt;&gt;"",J$1,"NA"),'MITRE ATT&amp;CK Mappings'!$F469))),ISNUMBER(SEARCH(IF(J$2&lt;&gt;"",J$2,"NA"),'MITRE ATT&amp;CK Mappings'!$G469))),ISNUMBER(SEARCH(IF(J$2&lt;&gt;"",J$2,"NA"),'MITRE ATT&amp;CK Mappings'!$H469))),ISNUMBER(SEARCH(IF(J$3&lt;&gt;"",J$3,"NA"),'MITRE ATT&amp;CK Mappings'!$I469))),ISNUMBER(SEARCH(IF(J$3&lt;&gt;"",J$3,"NA"),'MITRE ATT&amp;CK Mappings'!$J469))), 'MITRE ATT&amp;CK Mappings'!$B469,"")</f>
        <v/>
      </c>
      <c r="K473" s="27" t="str">
        <f>IF(OR(OR(OR(OR(OR(ISNUMBER(SEARCH(IF(K$1&lt;&gt;"",K$1,"NA"),'MITRE ATT&amp;CK Mappings'!$E469)),ISNUMBER(SEARCH(IF(K$1&lt;&gt;"",K$1,"NA"),'MITRE ATT&amp;CK Mappings'!$F469))),ISNUMBER(SEARCH(IF(K$2&lt;&gt;"",K$2,"NA"),'MITRE ATT&amp;CK Mappings'!$G469))),ISNUMBER(SEARCH(IF(K$2&lt;&gt;"",K$2,"NA"),'MITRE ATT&amp;CK Mappings'!$H469))),ISNUMBER(SEARCH(IF(K$3&lt;&gt;"",K$3,"NA"),'MITRE ATT&amp;CK Mappings'!$I469))),ISNUMBER(SEARCH(IF(K$3&lt;&gt;"",K$3,"NA"),'MITRE ATT&amp;CK Mappings'!$J469))), 'MITRE ATT&amp;CK Mappings'!$B469,"")</f>
        <v/>
      </c>
      <c r="L473" s="27" t="str">
        <f>IF('MITRE ATT&amp;CK Mappings'!D469 &lt;&gt;"",'MITRE ATT&amp;CK Mappings'!D469,"" )</f>
        <v/>
      </c>
    </row>
    <row r="474" spans="1:12" x14ac:dyDescent="0.25">
      <c r="A474" s="26" t="str">
        <f>IF(COUNTIF(B474:K474,"="&amp;'MITRE ATT&amp;CK Mappings'!B470)&gt;0,'MITRE ATT&amp;CK Mappings'!B470,"")</f>
        <v/>
      </c>
      <c r="B474" s="26" t="str">
        <f>IF(OR(OR(OR(OR(OR(ISNUMBER(SEARCH(IF(B$1&lt;&gt;"",B$1,"NA"),'MITRE ATT&amp;CK Mappings'!$E470)),ISNUMBER(SEARCH(IF(B$1&lt;&gt;"",B$1,"NA"),'MITRE ATT&amp;CK Mappings'!$F470))),ISNUMBER(SEARCH(IF(B$2&lt;&gt;"",B$2,"NA"),'MITRE ATT&amp;CK Mappings'!$G470))),ISNUMBER(SEARCH(IF(B$2&lt;&gt;"",B$2,"NA"),'MITRE ATT&amp;CK Mappings'!$H470))),ISNUMBER(SEARCH(IF(B$3&lt;&gt;"",B$3,"NA"),'MITRE ATT&amp;CK Mappings'!$I470))),ISNUMBER(SEARCH(IF(B$3&lt;&gt;"",B$3,"NA"),'MITRE ATT&amp;CK Mappings'!$J470))), 'MITRE ATT&amp;CK Mappings'!$B470,"")</f>
        <v/>
      </c>
      <c r="C474" s="26" t="str">
        <f>IF(OR(OR(OR(OR(OR(ISNUMBER(SEARCH(IF(C$1&lt;&gt;"",C$1,"NA"),'MITRE ATT&amp;CK Mappings'!$E470)),ISNUMBER(SEARCH(IF(C$1&lt;&gt;"",C$1,"NA"),'MITRE ATT&amp;CK Mappings'!$F470))),ISNUMBER(SEARCH(IF(C$2&lt;&gt;"",C$2,"NA"),'MITRE ATT&amp;CK Mappings'!$G470))),ISNUMBER(SEARCH(IF(C$2&lt;&gt;"",C$2,"NA"),'MITRE ATT&amp;CK Mappings'!$H470))),ISNUMBER(SEARCH(IF(C$3&lt;&gt;"",C$3,"NA"),'MITRE ATT&amp;CK Mappings'!$I470))),ISNUMBER(SEARCH(IF(C$3&lt;&gt;"",C$3,"NA"),'MITRE ATT&amp;CK Mappings'!$J470))), 'MITRE ATT&amp;CK Mappings'!$B470,"")</f>
        <v/>
      </c>
      <c r="D474" s="26" t="str">
        <f>IF(OR(OR(OR(OR(OR(ISNUMBER(SEARCH(IF(D$1&lt;&gt;"",D$1,"NA"),'MITRE ATT&amp;CK Mappings'!$E470)),ISNUMBER(SEARCH(IF(D$1&lt;&gt;"",D$1,"NA"),'MITRE ATT&amp;CK Mappings'!$F470))),ISNUMBER(SEARCH(IF(D$2&lt;&gt;"",D$2,"NA"),'MITRE ATT&amp;CK Mappings'!$G470))),ISNUMBER(SEARCH(IF(D$2&lt;&gt;"",D$2,"NA"),'MITRE ATT&amp;CK Mappings'!$H470))),ISNUMBER(SEARCH(IF(D$3&lt;&gt;"",D$3,"NA"),'MITRE ATT&amp;CK Mappings'!$I470))),ISNUMBER(SEARCH(IF(D$3&lt;&gt;"",D$3,"NA"),'MITRE ATT&amp;CK Mappings'!$J470))), 'MITRE ATT&amp;CK Mappings'!$B470,"")</f>
        <v/>
      </c>
      <c r="E474" s="26" t="str">
        <f>IF(OR(OR(OR(OR(OR(ISNUMBER(SEARCH(IF(E$1&lt;&gt;"",E$1,"NA"),'MITRE ATT&amp;CK Mappings'!$E470)),ISNUMBER(SEARCH(IF(E$1&lt;&gt;"",E$1,"NA"),'MITRE ATT&amp;CK Mappings'!$F470))),ISNUMBER(SEARCH(IF(E$2&lt;&gt;"",E$2,"NA"),'MITRE ATT&amp;CK Mappings'!$G470))),ISNUMBER(SEARCH(IF(E$2&lt;&gt;"",E$2,"NA"),'MITRE ATT&amp;CK Mappings'!$H470))),ISNUMBER(SEARCH(IF(E$3&lt;&gt;"",E$3,"NA"),'MITRE ATT&amp;CK Mappings'!$I470))),ISNUMBER(SEARCH(IF(E$3&lt;&gt;"",E$3,"NA"),'MITRE ATT&amp;CK Mappings'!$J470))), 'MITRE ATT&amp;CK Mappings'!$B470,"")</f>
        <v/>
      </c>
      <c r="F474" s="26" t="str">
        <f>IF(OR(OR(OR(OR(OR(ISNUMBER(SEARCH(IF(F$1&lt;&gt;"",F$1,"NA"),'MITRE ATT&amp;CK Mappings'!$E470)),ISNUMBER(SEARCH(IF(F$1&lt;&gt;"",F$1,"NA"),'MITRE ATT&amp;CK Mappings'!$F470))),ISNUMBER(SEARCH(IF(F$2&lt;&gt;"",F$2,"NA"),'MITRE ATT&amp;CK Mappings'!$G470))),ISNUMBER(SEARCH(IF(F$2&lt;&gt;"",F$2,"NA"),'MITRE ATT&amp;CK Mappings'!$H470))),ISNUMBER(SEARCH(IF(F$3&lt;&gt;"",F$3,"NA"),'MITRE ATT&amp;CK Mappings'!$I470))),ISNUMBER(SEARCH(IF(F$3&lt;&gt;"",F$3,"NA"),'MITRE ATT&amp;CK Mappings'!$J470))), 'MITRE ATT&amp;CK Mappings'!$B470,"")</f>
        <v/>
      </c>
      <c r="G474" s="26" t="str">
        <f>IF(OR(OR(OR(OR(OR(ISNUMBER(SEARCH(IF(G$1&lt;&gt;"",G$1,"NA"),'MITRE ATT&amp;CK Mappings'!$E470)),ISNUMBER(SEARCH(IF(G$1&lt;&gt;"",G$1,"NA"),'MITRE ATT&amp;CK Mappings'!$F470))),ISNUMBER(SEARCH(IF(G$2&lt;&gt;"",G$2,"NA"),'MITRE ATT&amp;CK Mappings'!$G470))),ISNUMBER(SEARCH(IF(G$2&lt;&gt;"",G$2,"NA"),'MITRE ATT&amp;CK Mappings'!$H470))),ISNUMBER(SEARCH(IF(G$3&lt;&gt;"",G$3,"NA"),'MITRE ATT&amp;CK Mappings'!$I470))),ISNUMBER(SEARCH(IF(G$3&lt;&gt;"",G$3,"NA"),'MITRE ATT&amp;CK Mappings'!$J470))), 'MITRE ATT&amp;CK Mappings'!$B470,"")</f>
        <v/>
      </c>
      <c r="H474" s="26" t="str">
        <f>IF(OR(OR(OR(OR(OR(ISNUMBER(SEARCH(IF(H$1&lt;&gt;"",H$1,"NA"),'MITRE ATT&amp;CK Mappings'!$E470)),ISNUMBER(SEARCH(IF(H$1&lt;&gt;"",H$1,"NA"),'MITRE ATT&amp;CK Mappings'!$F470))),ISNUMBER(SEARCH(IF(H$2&lt;&gt;"",H$2,"NA"),'MITRE ATT&amp;CK Mappings'!$G470))),ISNUMBER(SEARCH(IF(H$2&lt;&gt;"",H$2,"NA"),'MITRE ATT&amp;CK Mappings'!$H470))),ISNUMBER(SEARCH(IF(H$3&lt;&gt;"",H$3,"NA"),'MITRE ATT&amp;CK Mappings'!$I470))),ISNUMBER(SEARCH(IF(H$3&lt;&gt;"",H$3,"NA"),'MITRE ATT&amp;CK Mappings'!$J470))), 'MITRE ATT&amp;CK Mappings'!$B470,"")</f>
        <v/>
      </c>
      <c r="I474" s="26" t="str">
        <f>IF(OR(OR(OR(OR(OR(ISNUMBER(SEARCH(IF(I$1&lt;&gt;"",I$1,"NA"),'MITRE ATT&amp;CK Mappings'!$E470)),ISNUMBER(SEARCH(IF(I$1&lt;&gt;"",I$1,"NA"),'MITRE ATT&amp;CK Mappings'!$F470))),ISNUMBER(SEARCH(IF(I$2&lt;&gt;"",I$2,"NA"),'MITRE ATT&amp;CK Mappings'!$G470))),ISNUMBER(SEARCH(IF(I$2&lt;&gt;"",I$2,"NA"),'MITRE ATT&amp;CK Mappings'!$H470))),ISNUMBER(SEARCH(IF(I$3&lt;&gt;"",I$3,"NA"),'MITRE ATT&amp;CK Mappings'!$I470))),ISNUMBER(SEARCH(IF(I$3&lt;&gt;"",I$3,"NA"),'MITRE ATT&amp;CK Mappings'!$J470))), 'MITRE ATT&amp;CK Mappings'!$B470,"")</f>
        <v/>
      </c>
      <c r="J474" s="26" t="str">
        <f>IF(OR(OR(OR(OR(OR(ISNUMBER(SEARCH(IF(J$1&lt;&gt;"",J$1,"NA"),'MITRE ATT&amp;CK Mappings'!$E470)),ISNUMBER(SEARCH(IF(J$1&lt;&gt;"",J$1,"NA"),'MITRE ATT&amp;CK Mappings'!$F470))),ISNUMBER(SEARCH(IF(J$2&lt;&gt;"",J$2,"NA"),'MITRE ATT&amp;CK Mappings'!$G470))),ISNUMBER(SEARCH(IF(J$2&lt;&gt;"",J$2,"NA"),'MITRE ATT&amp;CK Mappings'!$H470))),ISNUMBER(SEARCH(IF(J$3&lt;&gt;"",J$3,"NA"),'MITRE ATT&amp;CK Mappings'!$I470))),ISNUMBER(SEARCH(IF(J$3&lt;&gt;"",J$3,"NA"),'MITRE ATT&amp;CK Mappings'!$J470))), 'MITRE ATT&amp;CK Mappings'!$B470,"")</f>
        <v/>
      </c>
      <c r="K474" s="26" t="str">
        <f>IF(OR(OR(OR(OR(OR(ISNUMBER(SEARCH(IF(K$1&lt;&gt;"",K$1,"NA"),'MITRE ATT&amp;CK Mappings'!$E470)),ISNUMBER(SEARCH(IF(K$1&lt;&gt;"",K$1,"NA"),'MITRE ATT&amp;CK Mappings'!$F470))),ISNUMBER(SEARCH(IF(K$2&lt;&gt;"",K$2,"NA"),'MITRE ATT&amp;CK Mappings'!$G470))),ISNUMBER(SEARCH(IF(K$2&lt;&gt;"",K$2,"NA"),'MITRE ATT&amp;CK Mappings'!$H470))),ISNUMBER(SEARCH(IF(K$3&lt;&gt;"",K$3,"NA"),'MITRE ATT&amp;CK Mappings'!$I470))),ISNUMBER(SEARCH(IF(K$3&lt;&gt;"",K$3,"NA"),'MITRE ATT&amp;CK Mappings'!$J470))), 'MITRE ATT&amp;CK Mappings'!$B470,"")</f>
        <v/>
      </c>
      <c r="L474" s="26" t="str">
        <f>IF('MITRE ATT&amp;CK Mappings'!D470 &lt;&gt;"",'MITRE ATT&amp;CK Mappings'!D470,"" )</f>
        <v/>
      </c>
    </row>
    <row r="475" spans="1:12" x14ac:dyDescent="0.25">
      <c r="A475" s="27" t="str">
        <f>IF(COUNTIF(B475:K475,"="&amp;'MITRE ATT&amp;CK Mappings'!B471)&gt;0,'MITRE ATT&amp;CK Mappings'!B471,"")</f>
        <v/>
      </c>
      <c r="B475" s="27" t="str">
        <f>IF(OR(OR(OR(OR(OR(ISNUMBER(SEARCH(IF(B$1&lt;&gt;"",B$1,"NA"),'MITRE ATT&amp;CK Mappings'!$E471)),ISNUMBER(SEARCH(IF(B$1&lt;&gt;"",B$1,"NA"),'MITRE ATT&amp;CK Mappings'!$F471))),ISNUMBER(SEARCH(IF(B$2&lt;&gt;"",B$2,"NA"),'MITRE ATT&amp;CK Mappings'!$G471))),ISNUMBER(SEARCH(IF(B$2&lt;&gt;"",B$2,"NA"),'MITRE ATT&amp;CK Mappings'!$H471))),ISNUMBER(SEARCH(IF(B$3&lt;&gt;"",B$3,"NA"),'MITRE ATT&amp;CK Mappings'!$I471))),ISNUMBER(SEARCH(IF(B$3&lt;&gt;"",B$3,"NA"),'MITRE ATT&amp;CK Mappings'!$J471))), 'MITRE ATT&amp;CK Mappings'!$B471,"")</f>
        <v/>
      </c>
      <c r="C475" s="27" t="str">
        <f>IF(OR(OR(OR(OR(OR(ISNUMBER(SEARCH(IF(C$1&lt;&gt;"",C$1,"NA"),'MITRE ATT&amp;CK Mappings'!$E471)),ISNUMBER(SEARCH(IF(C$1&lt;&gt;"",C$1,"NA"),'MITRE ATT&amp;CK Mappings'!$F471))),ISNUMBER(SEARCH(IF(C$2&lt;&gt;"",C$2,"NA"),'MITRE ATT&amp;CK Mappings'!$G471))),ISNUMBER(SEARCH(IF(C$2&lt;&gt;"",C$2,"NA"),'MITRE ATT&amp;CK Mappings'!$H471))),ISNUMBER(SEARCH(IF(C$3&lt;&gt;"",C$3,"NA"),'MITRE ATT&amp;CK Mappings'!$I471))),ISNUMBER(SEARCH(IF(C$3&lt;&gt;"",C$3,"NA"),'MITRE ATT&amp;CK Mappings'!$J471))), 'MITRE ATT&amp;CK Mappings'!$B471,"")</f>
        <v/>
      </c>
      <c r="D475" s="27" t="str">
        <f>IF(OR(OR(OR(OR(OR(ISNUMBER(SEARCH(IF(D$1&lt;&gt;"",D$1,"NA"),'MITRE ATT&amp;CK Mappings'!$E471)),ISNUMBER(SEARCH(IF(D$1&lt;&gt;"",D$1,"NA"),'MITRE ATT&amp;CK Mappings'!$F471))),ISNUMBER(SEARCH(IF(D$2&lt;&gt;"",D$2,"NA"),'MITRE ATT&amp;CK Mappings'!$G471))),ISNUMBER(SEARCH(IF(D$2&lt;&gt;"",D$2,"NA"),'MITRE ATT&amp;CK Mappings'!$H471))),ISNUMBER(SEARCH(IF(D$3&lt;&gt;"",D$3,"NA"),'MITRE ATT&amp;CK Mappings'!$I471))),ISNUMBER(SEARCH(IF(D$3&lt;&gt;"",D$3,"NA"),'MITRE ATT&amp;CK Mappings'!$J471))), 'MITRE ATT&amp;CK Mappings'!$B471,"")</f>
        <v/>
      </c>
      <c r="E475" s="27" t="str">
        <f>IF(OR(OR(OR(OR(OR(ISNUMBER(SEARCH(IF(E$1&lt;&gt;"",E$1,"NA"),'MITRE ATT&amp;CK Mappings'!$E471)),ISNUMBER(SEARCH(IF(E$1&lt;&gt;"",E$1,"NA"),'MITRE ATT&amp;CK Mappings'!$F471))),ISNUMBER(SEARCH(IF(E$2&lt;&gt;"",E$2,"NA"),'MITRE ATT&amp;CK Mappings'!$G471))),ISNUMBER(SEARCH(IF(E$2&lt;&gt;"",E$2,"NA"),'MITRE ATT&amp;CK Mappings'!$H471))),ISNUMBER(SEARCH(IF(E$3&lt;&gt;"",E$3,"NA"),'MITRE ATT&amp;CK Mappings'!$I471))),ISNUMBER(SEARCH(IF(E$3&lt;&gt;"",E$3,"NA"),'MITRE ATT&amp;CK Mappings'!$J471))), 'MITRE ATT&amp;CK Mappings'!$B471,"")</f>
        <v/>
      </c>
      <c r="F475" s="27" t="str">
        <f>IF(OR(OR(OR(OR(OR(ISNUMBER(SEARCH(IF(F$1&lt;&gt;"",F$1,"NA"),'MITRE ATT&amp;CK Mappings'!$E471)),ISNUMBER(SEARCH(IF(F$1&lt;&gt;"",F$1,"NA"),'MITRE ATT&amp;CK Mappings'!$F471))),ISNUMBER(SEARCH(IF(F$2&lt;&gt;"",F$2,"NA"),'MITRE ATT&amp;CK Mappings'!$G471))),ISNUMBER(SEARCH(IF(F$2&lt;&gt;"",F$2,"NA"),'MITRE ATT&amp;CK Mappings'!$H471))),ISNUMBER(SEARCH(IF(F$3&lt;&gt;"",F$3,"NA"),'MITRE ATT&amp;CK Mappings'!$I471))),ISNUMBER(SEARCH(IF(F$3&lt;&gt;"",F$3,"NA"),'MITRE ATT&amp;CK Mappings'!$J471))), 'MITRE ATT&amp;CK Mappings'!$B471,"")</f>
        <v/>
      </c>
      <c r="G475" s="27" t="str">
        <f>IF(OR(OR(OR(OR(OR(ISNUMBER(SEARCH(IF(G$1&lt;&gt;"",G$1,"NA"),'MITRE ATT&amp;CK Mappings'!$E471)),ISNUMBER(SEARCH(IF(G$1&lt;&gt;"",G$1,"NA"),'MITRE ATT&amp;CK Mappings'!$F471))),ISNUMBER(SEARCH(IF(G$2&lt;&gt;"",G$2,"NA"),'MITRE ATT&amp;CK Mappings'!$G471))),ISNUMBER(SEARCH(IF(G$2&lt;&gt;"",G$2,"NA"),'MITRE ATT&amp;CK Mappings'!$H471))),ISNUMBER(SEARCH(IF(G$3&lt;&gt;"",G$3,"NA"),'MITRE ATT&amp;CK Mappings'!$I471))),ISNUMBER(SEARCH(IF(G$3&lt;&gt;"",G$3,"NA"),'MITRE ATT&amp;CK Mappings'!$J471))), 'MITRE ATT&amp;CK Mappings'!$B471,"")</f>
        <v/>
      </c>
      <c r="H475" s="27" t="str">
        <f>IF(OR(OR(OR(OR(OR(ISNUMBER(SEARCH(IF(H$1&lt;&gt;"",H$1,"NA"),'MITRE ATT&amp;CK Mappings'!$E471)),ISNUMBER(SEARCH(IF(H$1&lt;&gt;"",H$1,"NA"),'MITRE ATT&amp;CK Mappings'!$F471))),ISNUMBER(SEARCH(IF(H$2&lt;&gt;"",H$2,"NA"),'MITRE ATT&amp;CK Mappings'!$G471))),ISNUMBER(SEARCH(IF(H$2&lt;&gt;"",H$2,"NA"),'MITRE ATT&amp;CK Mappings'!$H471))),ISNUMBER(SEARCH(IF(H$3&lt;&gt;"",H$3,"NA"),'MITRE ATT&amp;CK Mappings'!$I471))),ISNUMBER(SEARCH(IF(H$3&lt;&gt;"",H$3,"NA"),'MITRE ATT&amp;CK Mappings'!$J471))), 'MITRE ATT&amp;CK Mappings'!$B471,"")</f>
        <v/>
      </c>
      <c r="I475" s="27" t="str">
        <f>IF(OR(OR(OR(OR(OR(ISNUMBER(SEARCH(IF(I$1&lt;&gt;"",I$1,"NA"),'MITRE ATT&amp;CK Mappings'!$E471)),ISNUMBER(SEARCH(IF(I$1&lt;&gt;"",I$1,"NA"),'MITRE ATT&amp;CK Mappings'!$F471))),ISNUMBER(SEARCH(IF(I$2&lt;&gt;"",I$2,"NA"),'MITRE ATT&amp;CK Mappings'!$G471))),ISNUMBER(SEARCH(IF(I$2&lt;&gt;"",I$2,"NA"),'MITRE ATT&amp;CK Mappings'!$H471))),ISNUMBER(SEARCH(IF(I$3&lt;&gt;"",I$3,"NA"),'MITRE ATT&amp;CK Mappings'!$I471))),ISNUMBER(SEARCH(IF(I$3&lt;&gt;"",I$3,"NA"),'MITRE ATT&amp;CK Mappings'!$J471))), 'MITRE ATT&amp;CK Mappings'!$B471,"")</f>
        <v/>
      </c>
      <c r="J475" s="27" t="str">
        <f>IF(OR(OR(OR(OR(OR(ISNUMBER(SEARCH(IF(J$1&lt;&gt;"",J$1,"NA"),'MITRE ATT&amp;CK Mappings'!$E471)),ISNUMBER(SEARCH(IF(J$1&lt;&gt;"",J$1,"NA"),'MITRE ATT&amp;CK Mappings'!$F471))),ISNUMBER(SEARCH(IF(J$2&lt;&gt;"",J$2,"NA"),'MITRE ATT&amp;CK Mappings'!$G471))),ISNUMBER(SEARCH(IF(J$2&lt;&gt;"",J$2,"NA"),'MITRE ATT&amp;CK Mappings'!$H471))),ISNUMBER(SEARCH(IF(J$3&lt;&gt;"",J$3,"NA"),'MITRE ATT&amp;CK Mappings'!$I471))),ISNUMBER(SEARCH(IF(J$3&lt;&gt;"",J$3,"NA"),'MITRE ATT&amp;CK Mappings'!$J471))), 'MITRE ATT&amp;CK Mappings'!$B471,"")</f>
        <v/>
      </c>
      <c r="K475" s="27" t="str">
        <f>IF(OR(OR(OR(OR(OR(ISNUMBER(SEARCH(IF(K$1&lt;&gt;"",K$1,"NA"),'MITRE ATT&amp;CK Mappings'!$E471)),ISNUMBER(SEARCH(IF(K$1&lt;&gt;"",K$1,"NA"),'MITRE ATT&amp;CK Mappings'!$F471))),ISNUMBER(SEARCH(IF(K$2&lt;&gt;"",K$2,"NA"),'MITRE ATT&amp;CK Mappings'!$G471))),ISNUMBER(SEARCH(IF(K$2&lt;&gt;"",K$2,"NA"),'MITRE ATT&amp;CK Mappings'!$H471))),ISNUMBER(SEARCH(IF(K$3&lt;&gt;"",K$3,"NA"),'MITRE ATT&amp;CK Mappings'!$I471))),ISNUMBER(SEARCH(IF(K$3&lt;&gt;"",K$3,"NA"),'MITRE ATT&amp;CK Mappings'!$J471))), 'MITRE ATT&amp;CK Mappings'!$B471,"")</f>
        <v/>
      </c>
      <c r="L475" s="27" t="str">
        <f>IF('MITRE ATT&amp;CK Mappings'!D471 &lt;&gt;"",'MITRE ATT&amp;CK Mappings'!D471,"" )</f>
        <v/>
      </c>
    </row>
    <row r="476" spans="1:12" x14ac:dyDescent="0.25">
      <c r="A476" s="26" t="str">
        <f>IF(COUNTIF(B476:K476,"="&amp;'MITRE ATT&amp;CK Mappings'!B472)&gt;0,'MITRE ATT&amp;CK Mappings'!B472,"")</f>
        <v/>
      </c>
      <c r="B476" s="26" t="str">
        <f>IF(OR(OR(OR(OR(OR(ISNUMBER(SEARCH(IF(B$1&lt;&gt;"",B$1,"NA"),'MITRE ATT&amp;CK Mappings'!$E472)),ISNUMBER(SEARCH(IF(B$1&lt;&gt;"",B$1,"NA"),'MITRE ATT&amp;CK Mappings'!$F472))),ISNUMBER(SEARCH(IF(B$2&lt;&gt;"",B$2,"NA"),'MITRE ATT&amp;CK Mappings'!$G472))),ISNUMBER(SEARCH(IF(B$2&lt;&gt;"",B$2,"NA"),'MITRE ATT&amp;CK Mappings'!$H472))),ISNUMBER(SEARCH(IF(B$3&lt;&gt;"",B$3,"NA"),'MITRE ATT&amp;CK Mappings'!$I472))),ISNUMBER(SEARCH(IF(B$3&lt;&gt;"",B$3,"NA"),'MITRE ATT&amp;CK Mappings'!$J472))), 'MITRE ATT&amp;CK Mappings'!$B472,"")</f>
        <v/>
      </c>
      <c r="C476" s="26" t="str">
        <f>IF(OR(OR(OR(OR(OR(ISNUMBER(SEARCH(IF(C$1&lt;&gt;"",C$1,"NA"),'MITRE ATT&amp;CK Mappings'!$E472)),ISNUMBER(SEARCH(IF(C$1&lt;&gt;"",C$1,"NA"),'MITRE ATT&amp;CK Mappings'!$F472))),ISNUMBER(SEARCH(IF(C$2&lt;&gt;"",C$2,"NA"),'MITRE ATT&amp;CK Mappings'!$G472))),ISNUMBER(SEARCH(IF(C$2&lt;&gt;"",C$2,"NA"),'MITRE ATT&amp;CK Mappings'!$H472))),ISNUMBER(SEARCH(IF(C$3&lt;&gt;"",C$3,"NA"),'MITRE ATT&amp;CK Mappings'!$I472))),ISNUMBER(SEARCH(IF(C$3&lt;&gt;"",C$3,"NA"),'MITRE ATT&amp;CK Mappings'!$J472))), 'MITRE ATT&amp;CK Mappings'!$B472,"")</f>
        <v/>
      </c>
      <c r="D476" s="26" t="str">
        <f>IF(OR(OR(OR(OR(OR(ISNUMBER(SEARCH(IF(D$1&lt;&gt;"",D$1,"NA"),'MITRE ATT&amp;CK Mappings'!$E472)),ISNUMBER(SEARCH(IF(D$1&lt;&gt;"",D$1,"NA"),'MITRE ATT&amp;CK Mappings'!$F472))),ISNUMBER(SEARCH(IF(D$2&lt;&gt;"",D$2,"NA"),'MITRE ATT&amp;CK Mappings'!$G472))),ISNUMBER(SEARCH(IF(D$2&lt;&gt;"",D$2,"NA"),'MITRE ATT&amp;CK Mappings'!$H472))),ISNUMBER(SEARCH(IF(D$3&lt;&gt;"",D$3,"NA"),'MITRE ATT&amp;CK Mappings'!$I472))),ISNUMBER(SEARCH(IF(D$3&lt;&gt;"",D$3,"NA"),'MITRE ATT&amp;CK Mappings'!$J472))), 'MITRE ATT&amp;CK Mappings'!$B472,"")</f>
        <v/>
      </c>
      <c r="E476" s="26" t="str">
        <f>IF(OR(OR(OR(OR(OR(ISNUMBER(SEARCH(IF(E$1&lt;&gt;"",E$1,"NA"),'MITRE ATT&amp;CK Mappings'!$E472)),ISNUMBER(SEARCH(IF(E$1&lt;&gt;"",E$1,"NA"),'MITRE ATT&amp;CK Mappings'!$F472))),ISNUMBER(SEARCH(IF(E$2&lt;&gt;"",E$2,"NA"),'MITRE ATT&amp;CK Mappings'!$G472))),ISNUMBER(SEARCH(IF(E$2&lt;&gt;"",E$2,"NA"),'MITRE ATT&amp;CK Mappings'!$H472))),ISNUMBER(SEARCH(IF(E$3&lt;&gt;"",E$3,"NA"),'MITRE ATT&amp;CK Mappings'!$I472))),ISNUMBER(SEARCH(IF(E$3&lt;&gt;"",E$3,"NA"),'MITRE ATT&amp;CK Mappings'!$J472))), 'MITRE ATT&amp;CK Mappings'!$B472,"")</f>
        <v/>
      </c>
      <c r="F476" s="26" t="str">
        <f>IF(OR(OR(OR(OR(OR(ISNUMBER(SEARCH(IF(F$1&lt;&gt;"",F$1,"NA"),'MITRE ATT&amp;CK Mappings'!$E472)),ISNUMBER(SEARCH(IF(F$1&lt;&gt;"",F$1,"NA"),'MITRE ATT&amp;CK Mappings'!$F472))),ISNUMBER(SEARCH(IF(F$2&lt;&gt;"",F$2,"NA"),'MITRE ATT&amp;CK Mappings'!$G472))),ISNUMBER(SEARCH(IF(F$2&lt;&gt;"",F$2,"NA"),'MITRE ATT&amp;CK Mappings'!$H472))),ISNUMBER(SEARCH(IF(F$3&lt;&gt;"",F$3,"NA"),'MITRE ATT&amp;CK Mappings'!$I472))),ISNUMBER(SEARCH(IF(F$3&lt;&gt;"",F$3,"NA"),'MITRE ATT&amp;CK Mappings'!$J472))), 'MITRE ATT&amp;CK Mappings'!$B472,"")</f>
        <v/>
      </c>
      <c r="G476" s="26" t="str">
        <f>IF(OR(OR(OR(OR(OR(ISNUMBER(SEARCH(IF(G$1&lt;&gt;"",G$1,"NA"),'MITRE ATT&amp;CK Mappings'!$E472)),ISNUMBER(SEARCH(IF(G$1&lt;&gt;"",G$1,"NA"),'MITRE ATT&amp;CK Mappings'!$F472))),ISNUMBER(SEARCH(IF(G$2&lt;&gt;"",G$2,"NA"),'MITRE ATT&amp;CK Mappings'!$G472))),ISNUMBER(SEARCH(IF(G$2&lt;&gt;"",G$2,"NA"),'MITRE ATT&amp;CK Mappings'!$H472))),ISNUMBER(SEARCH(IF(G$3&lt;&gt;"",G$3,"NA"),'MITRE ATT&amp;CK Mappings'!$I472))),ISNUMBER(SEARCH(IF(G$3&lt;&gt;"",G$3,"NA"),'MITRE ATT&amp;CK Mappings'!$J472))), 'MITRE ATT&amp;CK Mappings'!$B472,"")</f>
        <v/>
      </c>
      <c r="H476" s="26" t="str">
        <f>IF(OR(OR(OR(OR(OR(ISNUMBER(SEARCH(IF(H$1&lt;&gt;"",H$1,"NA"),'MITRE ATT&amp;CK Mappings'!$E472)),ISNUMBER(SEARCH(IF(H$1&lt;&gt;"",H$1,"NA"),'MITRE ATT&amp;CK Mappings'!$F472))),ISNUMBER(SEARCH(IF(H$2&lt;&gt;"",H$2,"NA"),'MITRE ATT&amp;CK Mappings'!$G472))),ISNUMBER(SEARCH(IF(H$2&lt;&gt;"",H$2,"NA"),'MITRE ATT&amp;CK Mappings'!$H472))),ISNUMBER(SEARCH(IF(H$3&lt;&gt;"",H$3,"NA"),'MITRE ATT&amp;CK Mappings'!$I472))),ISNUMBER(SEARCH(IF(H$3&lt;&gt;"",H$3,"NA"),'MITRE ATT&amp;CK Mappings'!$J472))), 'MITRE ATT&amp;CK Mappings'!$B472,"")</f>
        <v/>
      </c>
      <c r="I476" s="26" t="str">
        <f>IF(OR(OR(OR(OR(OR(ISNUMBER(SEARCH(IF(I$1&lt;&gt;"",I$1,"NA"),'MITRE ATT&amp;CK Mappings'!$E472)),ISNUMBER(SEARCH(IF(I$1&lt;&gt;"",I$1,"NA"),'MITRE ATT&amp;CK Mappings'!$F472))),ISNUMBER(SEARCH(IF(I$2&lt;&gt;"",I$2,"NA"),'MITRE ATT&amp;CK Mappings'!$G472))),ISNUMBER(SEARCH(IF(I$2&lt;&gt;"",I$2,"NA"),'MITRE ATT&amp;CK Mappings'!$H472))),ISNUMBER(SEARCH(IF(I$3&lt;&gt;"",I$3,"NA"),'MITRE ATT&amp;CK Mappings'!$I472))),ISNUMBER(SEARCH(IF(I$3&lt;&gt;"",I$3,"NA"),'MITRE ATT&amp;CK Mappings'!$J472))), 'MITRE ATT&amp;CK Mappings'!$B472,"")</f>
        <v/>
      </c>
      <c r="J476" s="26" t="str">
        <f>IF(OR(OR(OR(OR(OR(ISNUMBER(SEARCH(IF(J$1&lt;&gt;"",J$1,"NA"),'MITRE ATT&amp;CK Mappings'!$E472)),ISNUMBER(SEARCH(IF(J$1&lt;&gt;"",J$1,"NA"),'MITRE ATT&amp;CK Mappings'!$F472))),ISNUMBER(SEARCH(IF(J$2&lt;&gt;"",J$2,"NA"),'MITRE ATT&amp;CK Mappings'!$G472))),ISNUMBER(SEARCH(IF(J$2&lt;&gt;"",J$2,"NA"),'MITRE ATT&amp;CK Mappings'!$H472))),ISNUMBER(SEARCH(IF(J$3&lt;&gt;"",J$3,"NA"),'MITRE ATT&amp;CK Mappings'!$I472))),ISNUMBER(SEARCH(IF(J$3&lt;&gt;"",J$3,"NA"),'MITRE ATT&amp;CK Mappings'!$J472))), 'MITRE ATT&amp;CK Mappings'!$B472,"")</f>
        <v/>
      </c>
      <c r="K476" s="26" t="str">
        <f>IF(OR(OR(OR(OR(OR(ISNUMBER(SEARCH(IF(K$1&lt;&gt;"",K$1,"NA"),'MITRE ATT&amp;CK Mappings'!$E472)),ISNUMBER(SEARCH(IF(K$1&lt;&gt;"",K$1,"NA"),'MITRE ATT&amp;CK Mappings'!$F472))),ISNUMBER(SEARCH(IF(K$2&lt;&gt;"",K$2,"NA"),'MITRE ATT&amp;CK Mappings'!$G472))),ISNUMBER(SEARCH(IF(K$2&lt;&gt;"",K$2,"NA"),'MITRE ATT&amp;CK Mappings'!$H472))),ISNUMBER(SEARCH(IF(K$3&lt;&gt;"",K$3,"NA"),'MITRE ATT&amp;CK Mappings'!$I472))),ISNUMBER(SEARCH(IF(K$3&lt;&gt;"",K$3,"NA"),'MITRE ATT&amp;CK Mappings'!$J472))), 'MITRE ATT&amp;CK Mappings'!$B472,"")</f>
        <v/>
      </c>
      <c r="L476" s="26" t="str">
        <f>IF('MITRE ATT&amp;CK Mappings'!D472 &lt;&gt;"",'MITRE ATT&amp;CK Mappings'!D472,"" )</f>
        <v/>
      </c>
    </row>
    <row r="477" spans="1:12" x14ac:dyDescent="0.25">
      <c r="A477" s="27" t="str">
        <f>IF(COUNTIF(B477:K477,"="&amp;'MITRE ATT&amp;CK Mappings'!B473)&gt;0,'MITRE ATT&amp;CK Mappings'!B473,"")</f>
        <v/>
      </c>
      <c r="B477" s="27" t="str">
        <f>IF(OR(OR(OR(OR(OR(ISNUMBER(SEARCH(IF(B$1&lt;&gt;"",B$1,"NA"),'MITRE ATT&amp;CK Mappings'!$E473)),ISNUMBER(SEARCH(IF(B$1&lt;&gt;"",B$1,"NA"),'MITRE ATT&amp;CK Mappings'!$F473))),ISNUMBER(SEARCH(IF(B$2&lt;&gt;"",B$2,"NA"),'MITRE ATT&amp;CK Mappings'!$G473))),ISNUMBER(SEARCH(IF(B$2&lt;&gt;"",B$2,"NA"),'MITRE ATT&amp;CK Mappings'!$H473))),ISNUMBER(SEARCH(IF(B$3&lt;&gt;"",B$3,"NA"),'MITRE ATT&amp;CK Mappings'!$I473))),ISNUMBER(SEARCH(IF(B$3&lt;&gt;"",B$3,"NA"),'MITRE ATT&amp;CK Mappings'!$J473))), 'MITRE ATT&amp;CK Mappings'!$B473,"")</f>
        <v/>
      </c>
      <c r="C477" s="27" t="str">
        <f>IF(OR(OR(OR(OR(OR(ISNUMBER(SEARCH(IF(C$1&lt;&gt;"",C$1,"NA"),'MITRE ATT&amp;CK Mappings'!$E473)),ISNUMBER(SEARCH(IF(C$1&lt;&gt;"",C$1,"NA"),'MITRE ATT&amp;CK Mappings'!$F473))),ISNUMBER(SEARCH(IF(C$2&lt;&gt;"",C$2,"NA"),'MITRE ATT&amp;CK Mappings'!$G473))),ISNUMBER(SEARCH(IF(C$2&lt;&gt;"",C$2,"NA"),'MITRE ATT&amp;CK Mappings'!$H473))),ISNUMBER(SEARCH(IF(C$3&lt;&gt;"",C$3,"NA"),'MITRE ATT&amp;CK Mappings'!$I473))),ISNUMBER(SEARCH(IF(C$3&lt;&gt;"",C$3,"NA"),'MITRE ATT&amp;CK Mappings'!$J473))), 'MITRE ATT&amp;CK Mappings'!$B473,"")</f>
        <v/>
      </c>
      <c r="D477" s="27" t="str">
        <f>IF(OR(OR(OR(OR(OR(ISNUMBER(SEARCH(IF(D$1&lt;&gt;"",D$1,"NA"),'MITRE ATT&amp;CK Mappings'!$E473)),ISNUMBER(SEARCH(IF(D$1&lt;&gt;"",D$1,"NA"),'MITRE ATT&amp;CK Mappings'!$F473))),ISNUMBER(SEARCH(IF(D$2&lt;&gt;"",D$2,"NA"),'MITRE ATT&amp;CK Mappings'!$G473))),ISNUMBER(SEARCH(IF(D$2&lt;&gt;"",D$2,"NA"),'MITRE ATT&amp;CK Mappings'!$H473))),ISNUMBER(SEARCH(IF(D$3&lt;&gt;"",D$3,"NA"),'MITRE ATT&amp;CK Mappings'!$I473))),ISNUMBER(SEARCH(IF(D$3&lt;&gt;"",D$3,"NA"),'MITRE ATT&amp;CK Mappings'!$J473))), 'MITRE ATT&amp;CK Mappings'!$B473,"")</f>
        <v/>
      </c>
      <c r="E477" s="27" t="str">
        <f>IF(OR(OR(OR(OR(OR(ISNUMBER(SEARCH(IF(E$1&lt;&gt;"",E$1,"NA"),'MITRE ATT&amp;CK Mappings'!$E473)),ISNUMBER(SEARCH(IF(E$1&lt;&gt;"",E$1,"NA"),'MITRE ATT&amp;CK Mappings'!$F473))),ISNUMBER(SEARCH(IF(E$2&lt;&gt;"",E$2,"NA"),'MITRE ATT&amp;CK Mappings'!$G473))),ISNUMBER(SEARCH(IF(E$2&lt;&gt;"",E$2,"NA"),'MITRE ATT&amp;CK Mappings'!$H473))),ISNUMBER(SEARCH(IF(E$3&lt;&gt;"",E$3,"NA"),'MITRE ATT&amp;CK Mappings'!$I473))),ISNUMBER(SEARCH(IF(E$3&lt;&gt;"",E$3,"NA"),'MITRE ATT&amp;CK Mappings'!$J473))), 'MITRE ATT&amp;CK Mappings'!$B473,"")</f>
        <v/>
      </c>
      <c r="F477" s="27" t="str">
        <f>IF(OR(OR(OR(OR(OR(ISNUMBER(SEARCH(IF(F$1&lt;&gt;"",F$1,"NA"),'MITRE ATT&amp;CK Mappings'!$E473)),ISNUMBER(SEARCH(IF(F$1&lt;&gt;"",F$1,"NA"),'MITRE ATT&amp;CK Mappings'!$F473))),ISNUMBER(SEARCH(IF(F$2&lt;&gt;"",F$2,"NA"),'MITRE ATT&amp;CK Mappings'!$G473))),ISNUMBER(SEARCH(IF(F$2&lt;&gt;"",F$2,"NA"),'MITRE ATT&amp;CK Mappings'!$H473))),ISNUMBER(SEARCH(IF(F$3&lt;&gt;"",F$3,"NA"),'MITRE ATT&amp;CK Mappings'!$I473))),ISNUMBER(SEARCH(IF(F$3&lt;&gt;"",F$3,"NA"),'MITRE ATT&amp;CK Mappings'!$J473))), 'MITRE ATT&amp;CK Mappings'!$B473,"")</f>
        <v/>
      </c>
      <c r="G477" s="27" t="str">
        <f>IF(OR(OR(OR(OR(OR(ISNUMBER(SEARCH(IF(G$1&lt;&gt;"",G$1,"NA"),'MITRE ATT&amp;CK Mappings'!$E473)),ISNUMBER(SEARCH(IF(G$1&lt;&gt;"",G$1,"NA"),'MITRE ATT&amp;CK Mappings'!$F473))),ISNUMBER(SEARCH(IF(G$2&lt;&gt;"",G$2,"NA"),'MITRE ATT&amp;CK Mappings'!$G473))),ISNUMBER(SEARCH(IF(G$2&lt;&gt;"",G$2,"NA"),'MITRE ATT&amp;CK Mappings'!$H473))),ISNUMBER(SEARCH(IF(G$3&lt;&gt;"",G$3,"NA"),'MITRE ATT&amp;CK Mappings'!$I473))),ISNUMBER(SEARCH(IF(G$3&lt;&gt;"",G$3,"NA"),'MITRE ATT&amp;CK Mappings'!$J473))), 'MITRE ATT&amp;CK Mappings'!$B473,"")</f>
        <v/>
      </c>
      <c r="H477" s="27" t="str">
        <f>IF(OR(OR(OR(OR(OR(ISNUMBER(SEARCH(IF(H$1&lt;&gt;"",H$1,"NA"),'MITRE ATT&amp;CK Mappings'!$E473)),ISNUMBER(SEARCH(IF(H$1&lt;&gt;"",H$1,"NA"),'MITRE ATT&amp;CK Mappings'!$F473))),ISNUMBER(SEARCH(IF(H$2&lt;&gt;"",H$2,"NA"),'MITRE ATT&amp;CK Mappings'!$G473))),ISNUMBER(SEARCH(IF(H$2&lt;&gt;"",H$2,"NA"),'MITRE ATT&amp;CK Mappings'!$H473))),ISNUMBER(SEARCH(IF(H$3&lt;&gt;"",H$3,"NA"),'MITRE ATT&amp;CK Mappings'!$I473))),ISNUMBER(SEARCH(IF(H$3&lt;&gt;"",H$3,"NA"),'MITRE ATT&amp;CK Mappings'!$J473))), 'MITRE ATT&amp;CK Mappings'!$B473,"")</f>
        <v/>
      </c>
      <c r="I477" s="27" t="str">
        <f>IF(OR(OR(OR(OR(OR(ISNUMBER(SEARCH(IF(I$1&lt;&gt;"",I$1,"NA"),'MITRE ATT&amp;CK Mappings'!$E473)),ISNUMBER(SEARCH(IF(I$1&lt;&gt;"",I$1,"NA"),'MITRE ATT&amp;CK Mappings'!$F473))),ISNUMBER(SEARCH(IF(I$2&lt;&gt;"",I$2,"NA"),'MITRE ATT&amp;CK Mappings'!$G473))),ISNUMBER(SEARCH(IF(I$2&lt;&gt;"",I$2,"NA"),'MITRE ATT&amp;CK Mappings'!$H473))),ISNUMBER(SEARCH(IF(I$3&lt;&gt;"",I$3,"NA"),'MITRE ATT&amp;CK Mappings'!$I473))),ISNUMBER(SEARCH(IF(I$3&lt;&gt;"",I$3,"NA"),'MITRE ATT&amp;CK Mappings'!$J473))), 'MITRE ATT&amp;CK Mappings'!$B473,"")</f>
        <v/>
      </c>
      <c r="J477" s="27" t="str">
        <f>IF(OR(OR(OR(OR(OR(ISNUMBER(SEARCH(IF(J$1&lt;&gt;"",J$1,"NA"),'MITRE ATT&amp;CK Mappings'!$E473)),ISNUMBER(SEARCH(IF(J$1&lt;&gt;"",J$1,"NA"),'MITRE ATT&amp;CK Mappings'!$F473))),ISNUMBER(SEARCH(IF(J$2&lt;&gt;"",J$2,"NA"),'MITRE ATT&amp;CK Mappings'!$G473))),ISNUMBER(SEARCH(IF(J$2&lt;&gt;"",J$2,"NA"),'MITRE ATT&amp;CK Mappings'!$H473))),ISNUMBER(SEARCH(IF(J$3&lt;&gt;"",J$3,"NA"),'MITRE ATT&amp;CK Mappings'!$I473))),ISNUMBER(SEARCH(IF(J$3&lt;&gt;"",J$3,"NA"),'MITRE ATT&amp;CK Mappings'!$J473))), 'MITRE ATT&amp;CK Mappings'!$B473,"")</f>
        <v/>
      </c>
      <c r="K477" s="27" t="str">
        <f>IF(OR(OR(OR(OR(OR(ISNUMBER(SEARCH(IF(K$1&lt;&gt;"",K$1,"NA"),'MITRE ATT&amp;CK Mappings'!$E473)),ISNUMBER(SEARCH(IF(K$1&lt;&gt;"",K$1,"NA"),'MITRE ATT&amp;CK Mappings'!$F473))),ISNUMBER(SEARCH(IF(K$2&lt;&gt;"",K$2,"NA"),'MITRE ATT&amp;CK Mappings'!$G473))),ISNUMBER(SEARCH(IF(K$2&lt;&gt;"",K$2,"NA"),'MITRE ATT&amp;CK Mappings'!$H473))),ISNUMBER(SEARCH(IF(K$3&lt;&gt;"",K$3,"NA"),'MITRE ATT&amp;CK Mappings'!$I473))),ISNUMBER(SEARCH(IF(K$3&lt;&gt;"",K$3,"NA"),'MITRE ATT&amp;CK Mappings'!$J473))), 'MITRE ATT&amp;CK Mappings'!$B473,"")</f>
        <v/>
      </c>
      <c r="L477" s="27" t="str">
        <f>IF('MITRE ATT&amp;CK Mappings'!D473 &lt;&gt;"",'MITRE ATT&amp;CK Mappings'!D473,"" )</f>
        <v/>
      </c>
    </row>
    <row r="478" spans="1:12" x14ac:dyDescent="0.25">
      <c r="A478" s="26" t="str">
        <f>IF(COUNTIF(B478:K478,"="&amp;'MITRE ATT&amp;CK Mappings'!B474)&gt;0,'MITRE ATT&amp;CK Mappings'!B474,"")</f>
        <v/>
      </c>
      <c r="B478" s="26" t="str">
        <f>IF(OR(OR(OR(OR(OR(ISNUMBER(SEARCH(IF(B$1&lt;&gt;"",B$1,"NA"),'MITRE ATT&amp;CK Mappings'!$E474)),ISNUMBER(SEARCH(IF(B$1&lt;&gt;"",B$1,"NA"),'MITRE ATT&amp;CK Mappings'!$F474))),ISNUMBER(SEARCH(IF(B$2&lt;&gt;"",B$2,"NA"),'MITRE ATT&amp;CK Mappings'!$G474))),ISNUMBER(SEARCH(IF(B$2&lt;&gt;"",B$2,"NA"),'MITRE ATT&amp;CK Mappings'!$H474))),ISNUMBER(SEARCH(IF(B$3&lt;&gt;"",B$3,"NA"),'MITRE ATT&amp;CK Mappings'!$I474))),ISNUMBER(SEARCH(IF(B$3&lt;&gt;"",B$3,"NA"),'MITRE ATT&amp;CK Mappings'!$J474))), 'MITRE ATT&amp;CK Mappings'!$B474,"")</f>
        <v/>
      </c>
      <c r="C478" s="26" t="str">
        <f>IF(OR(OR(OR(OR(OR(ISNUMBER(SEARCH(IF(C$1&lt;&gt;"",C$1,"NA"),'MITRE ATT&amp;CK Mappings'!$E474)),ISNUMBER(SEARCH(IF(C$1&lt;&gt;"",C$1,"NA"),'MITRE ATT&amp;CK Mappings'!$F474))),ISNUMBER(SEARCH(IF(C$2&lt;&gt;"",C$2,"NA"),'MITRE ATT&amp;CK Mappings'!$G474))),ISNUMBER(SEARCH(IF(C$2&lt;&gt;"",C$2,"NA"),'MITRE ATT&amp;CK Mappings'!$H474))),ISNUMBER(SEARCH(IF(C$3&lt;&gt;"",C$3,"NA"),'MITRE ATT&amp;CK Mappings'!$I474))),ISNUMBER(SEARCH(IF(C$3&lt;&gt;"",C$3,"NA"),'MITRE ATT&amp;CK Mappings'!$J474))), 'MITRE ATT&amp;CK Mappings'!$B474,"")</f>
        <v/>
      </c>
      <c r="D478" s="26" t="str">
        <f>IF(OR(OR(OR(OR(OR(ISNUMBER(SEARCH(IF(D$1&lt;&gt;"",D$1,"NA"),'MITRE ATT&amp;CK Mappings'!$E474)),ISNUMBER(SEARCH(IF(D$1&lt;&gt;"",D$1,"NA"),'MITRE ATT&amp;CK Mappings'!$F474))),ISNUMBER(SEARCH(IF(D$2&lt;&gt;"",D$2,"NA"),'MITRE ATT&amp;CK Mappings'!$G474))),ISNUMBER(SEARCH(IF(D$2&lt;&gt;"",D$2,"NA"),'MITRE ATT&amp;CK Mappings'!$H474))),ISNUMBER(SEARCH(IF(D$3&lt;&gt;"",D$3,"NA"),'MITRE ATT&amp;CK Mappings'!$I474))),ISNUMBER(SEARCH(IF(D$3&lt;&gt;"",D$3,"NA"),'MITRE ATT&amp;CK Mappings'!$J474))), 'MITRE ATT&amp;CK Mappings'!$B474,"")</f>
        <v/>
      </c>
      <c r="E478" s="26" t="str">
        <f>IF(OR(OR(OR(OR(OR(ISNUMBER(SEARCH(IF(E$1&lt;&gt;"",E$1,"NA"),'MITRE ATT&amp;CK Mappings'!$E474)),ISNUMBER(SEARCH(IF(E$1&lt;&gt;"",E$1,"NA"),'MITRE ATT&amp;CK Mappings'!$F474))),ISNUMBER(SEARCH(IF(E$2&lt;&gt;"",E$2,"NA"),'MITRE ATT&amp;CK Mappings'!$G474))),ISNUMBER(SEARCH(IF(E$2&lt;&gt;"",E$2,"NA"),'MITRE ATT&amp;CK Mappings'!$H474))),ISNUMBER(SEARCH(IF(E$3&lt;&gt;"",E$3,"NA"),'MITRE ATT&amp;CK Mappings'!$I474))),ISNUMBER(SEARCH(IF(E$3&lt;&gt;"",E$3,"NA"),'MITRE ATT&amp;CK Mappings'!$J474))), 'MITRE ATT&amp;CK Mappings'!$B474,"")</f>
        <v/>
      </c>
      <c r="F478" s="26" t="str">
        <f>IF(OR(OR(OR(OR(OR(ISNUMBER(SEARCH(IF(F$1&lt;&gt;"",F$1,"NA"),'MITRE ATT&amp;CK Mappings'!$E474)),ISNUMBER(SEARCH(IF(F$1&lt;&gt;"",F$1,"NA"),'MITRE ATT&amp;CK Mappings'!$F474))),ISNUMBER(SEARCH(IF(F$2&lt;&gt;"",F$2,"NA"),'MITRE ATT&amp;CK Mappings'!$G474))),ISNUMBER(SEARCH(IF(F$2&lt;&gt;"",F$2,"NA"),'MITRE ATT&amp;CK Mappings'!$H474))),ISNUMBER(SEARCH(IF(F$3&lt;&gt;"",F$3,"NA"),'MITRE ATT&amp;CK Mappings'!$I474))),ISNUMBER(SEARCH(IF(F$3&lt;&gt;"",F$3,"NA"),'MITRE ATT&amp;CK Mappings'!$J474))), 'MITRE ATT&amp;CK Mappings'!$B474,"")</f>
        <v/>
      </c>
      <c r="G478" s="26" t="str">
        <f>IF(OR(OR(OR(OR(OR(ISNUMBER(SEARCH(IF(G$1&lt;&gt;"",G$1,"NA"),'MITRE ATT&amp;CK Mappings'!$E474)),ISNUMBER(SEARCH(IF(G$1&lt;&gt;"",G$1,"NA"),'MITRE ATT&amp;CK Mappings'!$F474))),ISNUMBER(SEARCH(IF(G$2&lt;&gt;"",G$2,"NA"),'MITRE ATT&amp;CK Mappings'!$G474))),ISNUMBER(SEARCH(IF(G$2&lt;&gt;"",G$2,"NA"),'MITRE ATT&amp;CK Mappings'!$H474))),ISNUMBER(SEARCH(IF(G$3&lt;&gt;"",G$3,"NA"),'MITRE ATT&amp;CK Mappings'!$I474))),ISNUMBER(SEARCH(IF(G$3&lt;&gt;"",G$3,"NA"),'MITRE ATT&amp;CK Mappings'!$J474))), 'MITRE ATT&amp;CK Mappings'!$B474,"")</f>
        <v/>
      </c>
      <c r="H478" s="26" t="str">
        <f>IF(OR(OR(OR(OR(OR(ISNUMBER(SEARCH(IF(H$1&lt;&gt;"",H$1,"NA"),'MITRE ATT&amp;CK Mappings'!$E474)),ISNUMBER(SEARCH(IF(H$1&lt;&gt;"",H$1,"NA"),'MITRE ATT&amp;CK Mappings'!$F474))),ISNUMBER(SEARCH(IF(H$2&lt;&gt;"",H$2,"NA"),'MITRE ATT&amp;CK Mappings'!$G474))),ISNUMBER(SEARCH(IF(H$2&lt;&gt;"",H$2,"NA"),'MITRE ATT&amp;CK Mappings'!$H474))),ISNUMBER(SEARCH(IF(H$3&lt;&gt;"",H$3,"NA"),'MITRE ATT&amp;CK Mappings'!$I474))),ISNUMBER(SEARCH(IF(H$3&lt;&gt;"",H$3,"NA"),'MITRE ATT&amp;CK Mappings'!$J474))), 'MITRE ATT&amp;CK Mappings'!$B474,"")</f>
        <v/>
      </c>
      <c r="I478" s="26" t="str">
        <f>IF(OR(OR(OR(OR(OR(ISNUMBER(SEARCH(IF(I$1&lt;&gt;"",I$1,"NA"),'MITRE ATT&amp;CK Mappings'!$E474)),ISNUMBER(SEARCH(IF(I$1&lt;&gt;"",I$1,"NA"),'MITRE ATT&amp;CK Mappings'!$F474))),ISNUMBER(SEARCH(IF(I$2&lt;&gt;"",I$2,"NA"),'MITRE ATT&amp;CK Mappings'!$G474))),ISNUMBER(SEARCH(IF(I$2&lt;&gt;"",I$2,"NA"),'MITRE ATT&amp;CK Mappings'!$H474))),ISNUMBER(SEARCH(IF(I$3&lt;&gt;"",I$3,"NA"),'MITRE ATT&amp;CK Mappings'!$I474))),ISNUMBER(SEARCH(IF(I$3&lt;&gt;"",I$3,"NA"),'MITRE ATT&amp;CK Mappings'!$J474))), 'MITRE ATT&amp;CK Mappings'!$B474,"")</f>
        <v/>
      </c>
      <c r="J478" s="26" t="str">
        <f>IF(OR(OR(OR(OR(OR(ISNUMBER(SEARCH(IF(J$1&lt;&gt;"",J$1,"NA"),'MITRE ATT&amp;CK Mappings'!$E474)),ISNUMBER(SEARCH(IF(J$1&lt;&gt;"",J$1,"NA"),'MITRE ATT&amp;CK Mappings'!$F474))),ISNUMBER(SEARCH(IF(J$2&lt;&gt;"",J$2,"NA"),'MITRE ATT&amp;CK Mappings'!$G474))),ISNUMBER(SEARCH(IF(J$2&lt;&gt;"",J$2,"NA"),'MITRE ATT&amp;CK Mappings'!$H474))),ISNUMBER(SEARCH(IF(J$3&lt;&gt;"",J$3,"NA"),'MITRE ATT&amp;CK Mappings'!$I474))),ISNUMBER(SEARCH(IF(J$3&lt;&gt;"",J$3,"NA"),'MITRE ATT&amp;CK Mappings'!$J474))), 'MITRE ATT&amp;CK Mappings'!$B474,"")</f>
        <v/>
      </c>
      <c r="K478" s="26" t="str">
        <f>IF(OR(OR(OR(OR(OR(ISNUMBER(SEARCH(IF(K$1&lt;&gt;"",K$1,"NA"),'MITRE ATT&amp;CK Mappings'!$E474)),ISNUMBER(SEARCH(IF(K$1&lt;&gt;"",K$1,"NA"),'MITRE ATT&amp;CK Mappings'!$F474))),ISNUMBER(SEARCH(IF(K$2&lt;&gt;"",K$2,"NA"),'MITRE ATT&amp;CK Mappings'!$G474))),ISNUMBER(SEARCH(IF(K$2&lt;&gt;"",K$2,"NA"),'MITRE ATT&amp;CK Mappings'!$H474))),ISNUMBER(SEARCH(IF(K$3&lt;&gt;"",K$3,"NA"),'MITRE ATT&amp;CK Mappings'!$I474))),ISNUMBER(SEARCH(IF(K$3&lt;&gt;"",K$3,"NA"),'MITRE ATT&amp;CK Mappings'!$J474))), 'MITRE ATT&amp;CK Mappings'!$B474,"")</f>
        <v/>
      </c>
      <c r="L478" s="26" t="str">
        <f>IF('MITRE ATT&amp;CK Mappings'!D474 &lt;&gt;"",'MITRE ATT&amp;CK Mappings'!D474,"" )</f>
        <v/>
      </c>
    </row>
    <row r="479" spans="1:12" x14ac:dyDescent="0.25">
      <c r="A479" s="27" t="str">
        <f>IF(COUNTIF(B479:K479,"="&amp;'MITRE ATT&amp;CK Mappings'!B475)&gt;0,'MITRE ATT&amp;CK Mappings'!B475,"")</f>
        <v/>
      </c>
      <c r="B479" s="27" t="str">
        <f>IF(OR(OR(OR(OR(OR(ISNUMBER(SEARCH(IF(B$1&lt;&gt;"",B$1,"NA"),'MITRE ATT&amp;CK Mappings'!$E475)),ISNUMBER(SEARCH(IF(B$1&lt;&gt;"",B$1,"NA"),'MITRE ATT&amp;CK Mappings'!$F475))),ISNUMBER(SEARCH(IF(B$2&lt;&gt;"",B$2,"NA"),'MITRE ATT&amp;CK Mappings'!$G475))),ISNUMBER(SEARCH(IF(B$2&lt;&gt;"",B$2,"NA"),'MITRE ATT&amp;CK Mappings'!$H475))),ISNUMBER(SEARCH(IF(B$3&lt;&gt;"",B$3,"NA"),'MITRE ATT&amp;CK Mappings'!$I475))),ISNUMBER(SEARCH(IF(B$3&lt;&gt;"",B$3,"NA"),'MITRE ATT&amp;CK Mappings'!$J475))), 'MITRE ATT&amp;CK Mappings'!$B475,"")</f>
        <v/>
      </c>
      <c r="C479" s="27" t="str">
        <f>IF(OR(OR(OR(OR(OR(ISNUMBER(SEARCH(IF(C$1&lt;&gt;"",C$1,"NA"),'MITRE ATT&amp;CK Mappings'!$E475)),ISNUMBER(SEARCH(IF(C$1&lt;&gt;"",C$1,"NA"),'MITRE ATT&amp;CK Mappings'!$F475))),ISNUMBER(SEARCH(IF(C$2&lt;&gt;"",C$2,"NA"),'MITRE ATT&amp;CK Mappings'!$G475))),ISNUMBER(SEARCH(IF(C$2&lt;&gt;"",C$2,"NA"),'MITRE ATT&amp;CK Mappings'!$H475))),ISNUMBER(SEARCH(IF(C$3&lt;&gt;"",C$3,"NA"),'MITRE ATT&amp;CK Mappings'!$I475))),ISNUMBER(SEARCH(IF(C$3&lt;&gt;"",C$3,"NA"),'MITRE ATT&amp;CK Mappings'!$J475))), 'MITRE ATT&amp;CK Mappings'!$B475,"")</f>
        <v/>
      </c>
      <c r="D479" s="27" t="str">
        <f>IF(OR(OR(OR(OR(OR(ISNUMBER(SEARCH(IF(D$1&lt;&gt;"",D$1,"NA"),'MITRE ATT&amp;CK Mappings'!$E475)),ISNUMBER(SEARCH(IF(D$1&lt;&gt;"",D$1,"NA"),'MITRE ATT&amp;CK Mappings'!$F475))),ISNUMBER(SEARCH(IF(D$2&lt;&gt;"",D$2,"NA"),'MITRE ATT&amp;CK Mappings'!$G475))),ISNUMBER(SEARCH(IF(D$2&lt;&gt;"",D$2,"NA"),'MITRE ATT&amp;CK Mappings'!$H475))),ISNUMBER(SEARCH(IF(D$3&lt;&gt;"",D$3,"NA"),'MITRE ATT&amp;CK Mappings'!$I475))),ISNUMBER(SEARCH(IF(D$3&lt;&gt;"",D$3,"NA"),'MITRE ATT&amp;CK Mappings'!$J475))), 'MITRE ATT&amp;CK Mappings'!$B475,"")</f>
        <v/>
      </c>
      <c r="E479" s="27" t="str">
        <f>IF(OR(OR(OR(OR(OR(ISNUMBER(SEARCH(IF(E$1&lt;&gt;"",E$1,"NA"),'MITRE ATT&amp;CK Mappings'!$E475)),ISNUMBER(SEARCH(IF(E$1&lt;&gt;"",E$1,"NA"),'MITRE ATT&amp;CK Mappings'!$F475))),ISNUMBER(SEARCH(IF(E$2&lt;&gt;"",E$2,"NA"),'MITRE ATT&amp;CK Mappings'!$G475))),ISNUMBER(SEARCH(IF(E$2&lt;&gt;"",E$2,"NA"),'MITRE ATT&amp;CK Mappings'!$H475))),ISNUMBER(SEARCH(IF(E$3&lt;&gt;"",E$3,"NA"),'MITRE ATT&amp;CK Mappings'!$I475))),ISNUMBER(SEARCH(IF(E$3&lt;&gt;"",E$3,"NA"),'MITRE ATT&amp;CK Mappings'!$J475))), 'MITRE ATT&amp;CK Mappings'!$B475,"")</f>
        <v/>
      </c>
      <c r="F479" s="27" t="str">
        <f>IF(OR(OR(OR(OR(OR(ISNUMBER(SEARCH(IF(F$1&lt;&gt;"",F$1,"NA"),'MITRE ATT&amp;CK Mappings'!$E475)),ISNUMBER(SEARCH(IF(F$1&lt;&gt;"",F$1,"NA"),'MITRE ATT&amp;CK Mappings'!$F475))),ISNUMBER(SEARCH(IF(F$2&lt;&gt;"",F$2,"NA"),'MITRE ATT&amp;CK Mappings'!$G475))),ISNUMBER(SEARCH(IF(F$2&lt;&gt;"",F$2,"NA"),'MITRE ATT&amp;CK Mappings'!$H475))),ISNUMBER(SEARCH(IF(F$3&lt;&gt;"",F$3,"NA"),'MITRE ATT&amp;CK Mappings'!$I475))),ISNUMBER(SEARCH(IF(F$3&lt;&gt;"",F$3,"NA"),'MITRE ATT&amp;CK Mappings'!$J475))), 'MITRE ATT&amp;CK Mappings'!$B475,"")</f>
        <v/>
      </c>
      <c r="G479" s="27" t="str">
        <f>IF(OR(OR(OR(OR(OR(ISNUMBER(SEARCH(IF(G$1&lt;&gt;"",G$1,"NA"),'MITRE ATT&amp;CK Mappings'!$E475)),ISNUMBER(SEARCH(IF(G$1&lt;&gt;"",G$1,"NA"),'MITRE ATT&amp;CK Mappings'!$F475))),ISNUMBER(SEARCH(IF(G$2&lt;&gt;"",G$2,"NA"),'MITRE ATT&amp;CK Mappings'!$G475))),ISNUMBER(SEARCH(IF(G$2&lt;&gt;"",G$2,"NA"),'MITRE ATT&amp;CK Mappings'!$H475))),ISNUMBER(SEARCH(IF(G$3&lt;&gt;"",G$3,"NA"),'MITRE ATT&amp;CK Mappings'!$I475))),ISNUMBER(SEARCH(IF(G$3&lt;&gt;"",G$3,"NA"),'MITRE ATT&amp;CK Mappings'!$J475))), 'MITRE ATT&amp;CK Mappings'!$B475,"")</f>
        <v/>
      </c>
      <c r="H479" s="27" t="str">
        <f>IF(OR(OR(OR(OR(OR(ISNUMBER(SEARCH(IF(H$1&lt;&gt;"",H$1,"NA"),'MITRE ATT&amp;CK Mappings'!$E475)),ISNUMBER(SEARCH(IF(H$1&lt;&gt;"",H$1,"NA"),'MITRE ATT&amp;CK Mappings'!$F475))),ISNUMBER(SEARCH(IF(H$2&lt;&gt;"",H$2,"NA"),'MITRE ATT&amp;CK Mappings'!$G475))),ISNUMBER(SEARCH(IF(H$2&lt;&gt;"",H$2,"NA"),'MITRE ATT&amp;CK Mappings'!$H475))),ISNUMBER(SEARCH(IF(H$3&lt;&gt;"",H$3,"NA"),'MITRE ATT&amp;CK Mappings'!$I475))),ISNUMBER(SEARCH(IF(H$3&lt;&gt;"",H$3,"NA"),'MITRE ATT&amp;CK Mappings'!$J475))), 'MITRE ATT&amp;CK Mappings'!$B475,"")</f>
        <v/>
      </c>
      <c r="I479" s="27" t="str">
        <f>IF(OR(OR(OR(OR(OR(ISNUMBER(SEARCH(IF(I$1&lt;&gt;"",I$1,"NA"),'MITRE ATT&amp;CK Mappings'!$E475)),ISNUMBER(SEARCH(IF(I$1&lt;&gt;"",I$1,"NA"),'MITRE ATT&amp;CK Mappings'!$F475))),ISNUMBER(SEARCH(IF(I$2&lt;&gt;"",I$2,"NA"),'MITRE ATT&amp;CK Mappings'!$G475))),ISNUMBER(SEARCH(IF(I$2&lt;&gt;"",I$2,"NA"),'MITRE ATT&amp;CK Mappings'!$H475))),ISNUMBER(SEARCH(IF(I$3&lt;&gt;"",I$3,"NA"),'MITRE ATT&amp;CK Mappings'!$I475))),ISNUMBER(SEARCH(IF(I$3&lt;&gt;"",I$3,"NA"),'MITRE ATT&amp;CK Mappings'!$J475))), 'MITRE ATT&amp;CK Mappings'!$B475,"")</f>
        <v/>
      </c>
      <c r="J479" s="27" t="str">
        <f>IF(OR(OR(OR(OR(OR(ISNUMBER(SEARCH(IF(J$1&lt;&gt;"",J$1,"NA"),'MITRE ATT&amp;CK Mappings'!$E475)),ISNUMBER(SEARCH(IF(J$1&lt;&gt;"",J$1,"NA"),'MITRE ATT&amp;CK Mappings'!$F475))),ISNUMBER(SEARCH(IF(J$2&lt;&gt;"",J$2,"NA"),'MITRE ATT&amp;CK Mappings'!$G475))),ISNUMBER(SEARCH(IF(J$2&lt;&gt;"",J$2,"NA"),'MITRE ATT&amp;CK Mappings'!$H475))),ISNUMBER(SEARCH(IF(J$3&lt;&gt;"",J$3,"NA"),'MITRE ATT&amp;CK Mappings'!$I475))),ISNUMBER(SEARCH(IF(J$3&lt;&gt;"",J$3,"NA"),'MITRE ATT&amp;CK Mappings'!$J475))), 'MITRE ATT&amp;CK Mappings'!$B475,"")</f>
        <v/>
      </c>
      <c r="K479" s="27" t="str">
        <f>IF(OR(OR(OR(OR(OR(ISNUMBER(SEARCH(IF(K$1&lt;&gt;"",K$1,"NA"),'MITRE ATT&amp;CK Mappings'!$E475)),ISNUMBER(SEARCH(IF(K$1&lt;&gt;"",K$1,"NA"),'MITRE ATT&amp;CK Mappings'!$F475))),ISNUMBER(SEARCH(IF(K$2&lt;&gt;"",K$2,"NA"),'MITRE ATT&amp;CK Mappings'!$G475))),ISNUMBER(SEARCH(IF(K$2&lt;&gt;"",K$2,"NA"),'MITRE ATT&amp;CK Mappings'!$H475))),ISNUMBER(SEARCH(IF(K$3&lt;&gt;"",K$3,"NA"),'MITRE ATT&amp;CK Mappings'!$I475))),ISNUMBER(SEARCH(IF(K$3&lt;&gt;"",K$3,"NA"),'MITRE ATT&amp;CK Mappings'!$J475))), 'MITRE ATT&amp;CK Mappings'!$B475,"")</f>
        <v/>
      </c>
      <c r="L479" s="27" t="str">
        <f>IF('MITRE ATT&amp;CK Mappings'!D475 &lt;&gt;"",'MITRE ATT&amp;CK Mappings'!D475,"" )</f>
        <v/>
      </c>
    </row>
    <row r="480" spans="1:12" x14ac:dyDescent="0.25">
      <c r="A480" s="26" t="str">
        <f>IF(COUNTIF(B480:K480,"="&amp;'MITRE ATT&amp;CK Mappings'!B476)&gt;0,'MITRE ATT&amp;CK Mappings'!B476,"")</f>
        <v/>
      </c>
      <c r="B480" s="26" t="str">
        <f>IF(OR(OR(OR(OR(OR(ISNUMBER(SEARCH(IF(B$1&lt;&gt;"",B$1,"NA"),'MITRE ATT&amp;CK Mappings'!$E476)),ISNUMBER(SEARCH(IF(B$1&lt;&gt;"",B$1,"NA"),'MITRE ATT&amp;CK Mappings'!$F476))),ISNUMBER(SEARCH(IF(B$2&lt;&gt;"",B$2,"NA"),'MITRE ATT&amp;CK Mappings'!$G476))),ISNUMBER(SEARCH(IF(B$2&lt;&gt;"",B$2,"NA"),'MITRE ATT&amp;CK Mappings'!$H476))),ISNUMBER(SEARCH(IF(B$3&lt;&gt;"",B$3,"NA"),'MITRE ATT&amp;CK Mappings'!$I476))),ISNUMBER(SEARCH(IF(B$3&lt;&gt;"",B$3,"NA"),'MITRE ATT&amp;CK Mappings'!$J476))), 'MITRE ATT&amp;CK Mappings'!$B476,"")</f>
        <v/>
      </c>
      <c r="C480" s="26" t="str">
        <f>IF(OR(OR(OR(OR(OR(ISNUMBER(SEARCH(IF(C$1&lt;&gt;"",C$1,"NA"),'MITRE ATT&amp;CK Mappings'!$E476)),ISNUMBER(SEARCH(IF(C$1&lt;&gt;"",C$1,"NA"),'MITRE ATT&amp;CK Mappings'!$F476))),ISNUMBER(SEARCH(IF(C$2&lt;&gt;"",C$2,"NA"),'MITRE ATT&amp;CK Mappings'!$G476))),ISNUMBER(SEARCH(IF(C$2&lt;&gt;"",C$2,"NA"),'MITRE ATT&amp;CK Mappings'!$H476))),ISNUMBER(SEARCH(IF(C$3&lt;&gt;"",C$3,"NA"),'MITRE ATT&amp;CK Mappings'!$I476))),ISNUMBER(SEARCH(IF(C$3&lt;&gt;"",C$3,"NA"),'MITRE ATT&amp;CK Mappings'!$J476))), 'MITRE ATT&amp;CK Mappings'!$B476,"")</f>
        <v/>
      </c>
      <c r="D480" s="26" t="str">
        <f>IF(OR(OR(OR(OR(OR(ISNUMBER(SEARCH(IF(D$1&lt;&gt;"",D$1,"NA"),'MITRE ATT&amp;CK Mappings'!$E476)),ISNUMBER(SEARCH(IF(D$1&lt;&gt;"",D$1,"NA"),'MITRE ATT&amp;CK Mappings'!$F476))),ISNUMBER(SEARCH(IF(D$2&lt;&gt;"",D$2,"NA"),'MITRE ATT&amp;CK Mappings'!$G476))),ISNUMBER(SEARCH(IF(D$2&lt;&gt;"",D$2,"NA"),'MITRE ATT&amp;CK Mappings'!$H476))),ISNUMBER(SEARCH(IF(D$3&lt;&gt;"",D$3,"NA"),'MITRE ATT&amp;CK Mappings'!$I476))),ISNUMBER(SEARCH(IF(D$3&lt;&gt;"",D$3,"NA"),'MITRE ATT&amp;CK Mappings'!$J476))), 'MITRE ATT&amp;CK Mappings'!$B476,"")</f>
        <v/>
      </c>
      <c r="E480" s="26" t="str">
        <f>IF(OR(OR(OR(OR(OR(ISNUMBER(SEARCH(IF(E$1&lt;&gt;"",E$1,"NA"),'MITRE ATT&amp;CK Mappings'!$E476)),ISNUMBER(SEARCH(IF(E$1&lt;&gt;"",E$1,"NA"),'MITRE ATT&amp;CK Mappings'!$F476))),ISNUMBER(SEARCH(IF(E$2&lt;&gt;"",E$2,"NA"),'MITRE ATT&amp;CK Mappings'!$G476))),ISNUMBER(SEARCH(IF(E$2&lt;&gt;"",E$2,"NA"),'MITRE ATT&amp;CK Mappings'!$H476))),ISNUMBER(SEARCH(IF(E$3&lt;&gt;"",E$3,"NA"),'MITRE ATT&amp;CK Mappings'!$I476))),ISNUMBER(SEARCH(IF(E$3&lt;&gt;"",E$3,"NA"),'MITRE ATT&amp;CK Mappings'!$J476))), 'MITRE ATT&amp;CK Mappings'!$B476,"")</f>
        <v/>
      </c>
      <c r="F480" s="26" t="str">
        <f>IF(OR(OR(OR(OR(OR(ISNUMBER(SEARCH(IF(F$1&lt;&gt;"",F$1,"NA"),'MITRE ATT&amp;CK Mappings'!$E476)),ISNUMBER(SEARCH(IF(F$1&lt;&gt;"",F$1,"NA"),'MITRE ATT&amp;CK Mappings'!$F476))),ISNUMBER(SEARCH(IF(F$2&lt;&gt;"",F$2,"NA"),'MITRE ATT&amp;CK Mappings'!$G476))),ISNUMBER(SEARCH(IF(F$2&lt;&gt;"",F$2,"NA"),'MITRE ATT&amp;CK Mappings'!$H476))),ISNUMBER(SEARCH(IF(F$3&lt;&gt;"",F$3,"NA"),'MITRE ATT&amp;CK Mappings'!$I476))),ISNUMBER(SEARCH(IF(F$3&lt;&gt;"",F$3,"NA"),'MITRE ATT&amp;CK Mappings'!$J476))), 'MITRE ATT&amp;CK Mappings'!$B476,"")</f>
        <v/>
      </c>
      <c r="G480" s="26" t="str">
        <f>IF(OR(OR(OR(OR(OR(ISNUMBER(SEARCH(IF(G$1&lt;&gt;"",G$1,"NA"),'MITRE ATT&amp;CK Mappings'!$E476)),ISNUMBER(SEARCH(IF(G$1&lt;&gt;"",G$1,"NA"),'MITRE ATT&amp;CK Mappings'!$F476))),ISNUMBER(SEARCH(IF(G$2&lt;&gt;"",G$2,"NA"),'MITRE ATT&amp;CK Mappings'!$G476))),ISNUMBER(SEARCH(IF(G$2&lt;&gt;"",G$2,"NA"),'MITRE ATT&amp;CK Mappings'!$H476))),ISNUMBER(SEARCH(IF(G$3&lt;&gt;"",G$3,"NA"),'MITRE ATT&amp;CK Mappings'!$I476))),ISNUMBER(SEARCH(IF(G$3&lt;&gt;"",G$3,"NA"),'MITRE ATT&amp;CK Mappings'!$J476))), 'MITRE ATT&amp;CK Mappings'!$B476,"")</f>
        <v/>
      </c>
      <c r="H480" s="26" t="str">
        <f>IF(OR(OR(OR(OR(OR(ISNUMBER(SEARCH(IF(H$1&lt;&gt;"",H$1,"NA"),'MITRE ATT&amp;CK Mappings'!$E476)),ISNUMBER(SEARCH(IF(H$1&lt;&gt;"",H$1,"NA"),'MITRE ATT&amp;CK Mappings'!$F476))),ISNUMBER(SEARCH(IF(H$2&lt;&gt;"",H$2,"NA"),'MITRE ATT&amp;CK Mappings'!$G476))),ISNUMBER(SEARCH(IF(H$2&lt;&gt;"",H$2,"NA"),'MITRE ATT&amp;CK Mappings'!$H476))),ISNUMBER(SEARCH(IF(H$3&lt;&gt;"",H$3,"NA"),'MITRE ATT&amp;CK Mappings'!$I476))),ISNUMBER(SEARCH(IF(H$3&lt;&gt;"",H$3,"NA"),'MITRE ATT&amp;CK Mappings'!$J476))), 'MITRE ATT&amp;CK Mappings'!$B476,"")</f>
        <v/>
      </c>
      <c r="I480" s="26" t="str">
        <f>IF(OR(OR(OR(OR(OR(ISNUMBER(SEARCH(IF(I$1&lt;&gt;"",I$1,"NA"),'MITRE ATT&amp;CK Mappings'!$E476)),ISNUMBER(SEARCH(IF(I$1&lt;&gt;"",I$1,"NA"),'MITRE ATT&amp;CK Mappings'!$F476))),ISNUMBER(SEARCH(IF(I$2&lt;&gt;"",I$2,"NA"),'MITRE ATT&amp;CK Mappings'!$G476))),ISNUMBER(SEARCH(IF(I$2&lt;&gt;"",I$2,"NA"),'MITRE ATT&amp;CK Mappings'!$H476))),ISNUMBER(SEARCH(IF(I$3&lt;&gt;"",I$3,"NA"),'MITRE ATT&amp;CK Mappings'!$I476))),ISNUMBER(SEARCH(IF(I$3&lt;&gt;"",I$3,"NA"),'MITRE ATT&amp;CK Mappings'!$J476))), 'MITRE ATT&amp;CK Mappings'!$B476,"")</f>
        <v/>
      </c>
      <c r="J480" s="26" t="str">
        <f>IF(OR(OR(OR(OR(OR(ISNUMBER(SEARCH(IF(J$1&lt;&gt;"",J$1,"NA"),'MITRE ATT&amp;CK Mappings'!$E476)),ISNUMBER(SEARCH(IF(J$1&lt;&gt;"",J$1,"NA"),'MITRE ATT&amp;CK Mappings'!$F476))),ISNUMBER(SEARCH(IF(J$2&lt;&gt;"",J$2,"NA"),'MITRE ATT&amp;CK Mappings'!$G476))),ISNUMBER(SEARCH(IF(J$2&lt;&gt;"",J$2,"NA"),'MITRE ATT&amp;CK Mappings'!$H476))),ISNUMBER(SEARCH(IF(J$3&lt;&gt;"",J$3,"NA"),'MITRE ATT&amp;CK Mappings'!$I476))),ISNUMBER(SEARCH(IF(J$3&lt;&gt;"",J$3,"NA"),'MITRE ATT&amp;CK Mappings'!$J476))), 'MITRE ATT&amp;CK Mappings'!$B476,"")</f>
        <v/>
      </c>
      <c r="K480" s="26" t="str">
        <f>IF(OR(OR(OR(OR(OR(ISNUMBER(SEARCH(IF(K$1&lt;&gt;"",K$1,"NA"),'MITRE ATT&amp;CK Mappings'!$E476)),ISNUMBER(SEARCH(IF(K$1&lt;&gt;"",K$1,"NA"),'MITRE ATT&amp;CK Mappings'!$F476))),ISNUMBER(SEARCH(IF(K$2&lt;&gt;"",K$2,"NA"),'MITRE ATT&amp;CK Mappings'!$G476))),ISNUMBER(SEARCH(IF(K$2&lt;&gt;"",K$2,"NA"),'MITRE ATT&amp;CK Mappings'!$H476))),ISNUMBER(SEARCH(IF(K$3&lt;&gt;"",K$3,"NA"),'MITRE ATT&amp;CK Mappings'!$I476))),ISNUMBER(SEARCH(IF(K$3&lt;&gt;"",K$3,"NA"),'MITRE ATT&amp;CK Mappings'!$J476))), 'MITRE ATT&amp;CK Mappings'!$B476,"")</f>
        <v/>
      </c>
      <c r="L480" s="26" t="str">
        <f>IF('MITRE ATT&amp;CK Mappings'!D476 &lt;&gt;"",'MITRE ATT&amp;CK Mappings'!D476,"" )</f>
        <v/>
      </c>
    </row>
    <row r="481" spans="1:12" x14ac:dyDescent="0.25">
      <c r="A481" s="27" t="str">
        <f>IF(COUNTIF(B481:K481,"="&amp;'MITRE ATT&amp;CK Mappings'!B477)&gt;0,'MITRE ATT&amp;CK Mappings'!B477,"")</f>
        <v/>
      </c>
      <c r="B481" s="27" t="str">
        <f>IF(OR(OR(OR(OR(OR(ISNUMBER(SEARCH(IF(B$1&lt;&gt;"",B$1,"NA"),'MITRE ATT&amp;CK Mappings'!$E477)),ISNUMBER(SEARCH(IF(B$1&lt;&gt;"",B$1,"NA"),'MITRE ATT&amp;CK Mappings'!$F477))),ISNUMBER(SEARCH(IF(B$2&lt;&gt;"",B$2,"NA"),'MITRE ATT&amp;CK Mappings'!$G477))),ISNUMBER(SEARCH(IF(B$2&lt;&gt;"",B$2,"NA"),'MITRE ATT&amp;CK Mappings'!$H477))),ISNUMBER(SEARCH(IF(B$3&lt;&gt;"",B$3,"NA"),'MITRE ATT&amp;CK Mappings'!$I477))),ISNUMBER(SEARCH(IF(B$3&lt;&gt;"",B$3,"NA"),'MITRE ATT&amp;CK Mappings'!$J477))), 'MITRE ATT&amp;CK Mappings'!$B477,"")</f>
        <v/>
      </c>
      <c r="C481" s="27" t="str">
        <f>IF(OR(OR(OR(OR(OR(ISNUMBER(SEARCH(IF(C$1&lt;&gt;"",C$1,"NA"),'MITRE ATT&amp;CK Mappings'!$E477)),ISNUMBER(SEARCH(IF(C$1&lt;&gt;"",C$1,"NA"),'MITRE ATT&amp;CK Mappings'!$F477))),ISNUMBER(SEARCH(IF(C$2&lt;&gt;"",C$2,"NA"),'MITRE ATT&amp;CK Mappings'!$G477))),ISNUMBER(SEARCH(IF(C$2&lt;&gt;"",C$2,"NA"),'MITRE ATT&amp;CK Mappings'!$H477))),ISNUMBER(SEARCH(IF(C$3&lt;&gt;"",C$3,"NA"),'MITRE ATT&amp;CK Mappings'!$I477))),ISNUMBER(SEARCH(IF(C$3&lt;&gt;"",C$3,"NA"),'MITRE ATT&amp;CK Mappings'!$J477))), 'MITRE ATT&amp;CK Mappings'!$B477,"")</f>
        <v/>
      </c>
      <c r="D481" s="27" t="str">
        <f>IF(OR(OR(OR(OR(OR(ISNUMBER(SEARCH(IF(D$1&lt;&gt;"",D$1,"NA"),'MITRE ATT&amp;CK Mappings'!$E477)),ISNUMBER(SEARCH(IF(D$1&lt;&gt;"",D$1,"NA"),'MITRE ATT&amp;CK Mappings'!$F477))),ISNUMBER(SEARCH(IF(D$2&lt;&gt;"",D$2,"NA"),'MITRE ATT&amp;CK Mappings'!$G477))),ISNUMBER(SEARCH(IF(D$2&lt;&gt;"",D$2,"NA"),'MITRE ATT&amp;CK Mappings'!$H477))),ISNUMBER(SEARCH(IF(D$3&lt;&gt;"",D$3,"NA"),'MITRE ATT&amp;CK Mappings'!$I477))),ISNUMBER(SEARCH(IF(D$3&lt;&gt;"",D$3,"NA"),'MITRE ATT&amp;CK Mappings'!$J477))), 'MITRE ATT&amp;CK Mappings'!$B477,"")</f>
        <v/>
      </c>
      <c r="E481" s="27" t="str">
        <f>IF(OR(OR(OR(OR(OR(ISNUMBER(SEARCH(IF(E$1&lt;&gt;"",E$1,"NA"),'MITRE ATT&amp;CK Mappings'!$E477)),ISNUMBER(SEARCH(IF(E$1&lt;&gt;"",E$1,"NA"),'MITRE ATT&amp;CK Mappings'!$F477))),ISNUMBER(SEARCH(IF(E$2&lt;&gt;"",E$2,"NA"),'MITRE ATT&amp;CK Mappings'!$G477))),ISNUMBER(SEARCH(IF(E$2&lt;&gt;"",E$2,"NA"),'MITRE ATT&amp;CK Mappings'!$H477))),ISNUMBER(SEARCH(IF(E$3&lt;&gt;"",E$3,"NA"),'MITRE ATT&amp;CK Mappings'!$I477))),ISNUMBER(SEARCH(IF(E$3&lt;&gt;"",E$3,"NA"),'MITRE ATT&amp;CK Mappings'!$J477))), 'MITRE ATT&amp;CK Mappings'!$B477,"")</f>
        <v/>
      </c>
      <c r="F481" s="27" t="str">
        <f>IF(OR(OR(OR(OR(OR(ISNUMBER(SEARCH(IF(F$1&lt;&gt;"",F$1,"NA"),'MITRE ATT&amp;CK Mappings'!$E477)),ISNUMBER(SEARCH(IF(F$1&lt;&gt;"",F$1,"NA"),'MITRE ATT&amp;CK Mappings'!$F477))),ISNUMBER(SEARCH(IF(F$2&lt;&gt;"",F$2,"NA"),'MITRE ATT&amp;CK Mappings'!$G477))),ISNUMBER(SEARCH(IF(F$2&lt;&gt;"",F$2,"NA"),'MITRE ATT&amp;CK Mappings'!$H477))),ISNUMBER(SEARCH(IF(F$3&lt;&gt;"",F$3,"NA"),'MITRE ATT&amp;CK Mappings'!$I477))),ISNUMBER(SEARCH(IF(F$3&lt;&gt;"",F$3,"NA"),'MITRE ATT&amp;CK Mappings'!$J477))), 'MITRE ATT&amp;CK Mappings'!$B477,"")</f>
        <v/>
      </c>
      <c r="G481" s="27" t="str">
        <f>IF(OR(OR(OR(OR(OR(ISNUMBER(SEARCH(IF(G$1&lt;&gt;"",G$1,"NA"),'MITRE ATT&amp;CK Mappings'!$E477)),ISNUMBER(SEARCH(IF(G$1&lt;&gt;"",G$1,"NA"),'MITRE ATT&amp;CK Mappings'!$F477))),ISNUMBER(SEARCH(IF(G$2&lt;&gt;"",G$2,"NA"),'MITRE ATT&amp;CK Mappings'!$G477))),ISNUMBER(SEARCH(IF(G$2&lt;&gt;"",G$2,"NA"),'MITRE ATT&amp;CK Mappings'!$H477))),ISNUMBER(SEARCH(IF(G$3&lt;&gt;"",G$3,"NA"),'MITRE ATT&amp;CK Mappings'!$I477))),ISNUMBER(SEARCH(IF(G$3&lt;&gt;"",G$3,"NA"),'MITRE ATT&amp;CK Mappings'!$J477))), 'MITRE ATT&amp;CK Mappings'!$B477,"")</f>
        <v/>
      </c>
      <c r="H481" s="27" t="str">
        <f>IF(OR(OR(OR(OR(OR(ISNUMBER(SEARCH(IF(H$1&lt;&gt;"",H$1,"NA"),'MITRE ATT&amp;CK Mappings'!$E477)),ISNUMBER(SEARCH(IF(H$1&lt;&gt;"",H$1,"NA"),'MITRE ATT&amp;CK Mappings'!$F477))),ISNUMBER(SEARCH(IF(H$2&lt;&gt;"",H$2,"NA"),'MITRE ATT&amp;CK Mappings'!$G477))),ISNUMBER(SEARCH(IF(H$2&lt;&gt;"",H$2,"NA"),'MITRE ATT&amp;CK Mappings'!$H477))),ISNUMBER(SEARCH(IF(H$3&lt;&gt;"",H$3,"NA"),'MITRE ATT&amp;CK Mappings'!$I477))),ISNUMBER(SEARCH(IF(H$3&lt;&gt;"",H$3,"NA"),'MITRE ATT&amp;CK Mappings'!$J477))), 'MITRE ATT&amp;CK Mappings'!$B477,"")</f>
        <v/>
      </c>
      <c r="I481" s="27" t="str">
        <f>IF(OR(OR(OR(OR(OR(ISNUMBER(SEARCH(IF(I$1&lt;&gt;"",I$1,"NA"),'MITRE ATT&amp;CK Mappings'!$E477)),ISNUMBER(SEARCH(IF(I$1&lt;&gt;"",I$1,"NA"),'MITRE ATT&amp;CK Mappings'!$F477))),ISNUMBER(SEARCH(IF(I$2&lt;&gt;"",I$2,"NA"),'MITRE ATT&amp;CK Mappings'!$G477))),ISNUMBER(SEARCH(IF(I$2&lt;&gt;"",I$2,"NA"),'MITRE ATT&amp;CK Mappings'!$H477))),ISNUMBER(SEARCH(IF(I$3&lt;&gt;"",I$3,"NA"),'MITRE ATT&amp;CK Mappings'!$I477))),ISNUMBER(SEARCH(IF(I$3&lt;&gt;"",I$3,"NA"),'MITRE ATT&amp;CK Mappings'!$J477))), 'MITRE ATT&amp;CK Mappings'!$B477,"")</f>
        <v/>
      </c>
      <c r="J481" s="27" t="str">
        <f>IF(OR(OR(OR(OR(OR(ISNUMBER(SEARCH(IF(J$1&lt;&gt;"",J$1,"NA"),'MITRE ATT&amp;CK Mappings'!$E477)),ISNUMBER(SEARCH(IF(J$1&lt;&gt;"",J$1,"NA"),'MITRE ATT&amp;CK Mappings'!$F477))),ISNUMBER(SEARCH(IF(J$2&lt;&gt;"",J$2,"NA"),'MITRE ATT&amp;CK Mappings'!$G477))),ISNUMBER(SEARCH(IF(J$2&lt;&gt;"",J$2,"NA"),'MITRE ATT&amp;CK Mappings'!$H477))),ISNUMBER(SEARCH(IF(J$3&lt;&gt;"",J$3,"NA"),'MITRE ATT&amp;CK Mappings'!$I477))),ISNUMBER(SEARCH(IF(J$3&lt;&gt;"",J$3,"NA"),'MITRE ATT&amp;CK Mappings'!$J477))), 'MITRE ATT&amp;CK Mappings'!$B477,"")</f>
        <v/>
      </c>
      <c r="K481" s="27" t="str">
        <f>IF(OR(OR(OR(OR(OR(ISNUMBER(SEARCH(IF(K$1&lt;&gt;"",K$1,"NA"),'MITRE ATT&amp;CK Mappings'!$E477)),ISNUMBER(SEARCH(IF(K$1&lt;&gt;"",K$1,"NA"),'MITRE ATT&amp;CK Mappings'!$F477))),ISNUMBER(SEARCH(IF(K$2&lt;&gt;"",K$2,"NA"),'MITRE ATT&amp;CK Mappings'!$G477))),ISNUMBER(SEARCH(IF(K$2&lt;&gt;"",K$2,"NA"),'MITRE ATT&amp;CK Mappings'!$H477))),ISNUMBER(SEARCH(IF(K$3&lt;&gt;"",K$3,"NA"),'MITRE ATT&amp;CK Mappings'!$I477))),ISNUMBER(SEARCH(IF(K$3&lt;&gt;"",K$3,"NA"),'MITRE ATT&amp;CK Mappings'!$J477))), 'MITRE ATT&amp;CK Mappings'!$B477,"")</f>
        <v/>
      </c>
      <c r="L481" s="27" t="str">
        <f>IF('MITRE ATT&amp;CK Mappings'!D477 &lt;&gt;"",'MITRE ATT&amp;CK Mappings'!D477,"" )</f>
        <v/>
      </c>
    </row>
    <row r="482" spans="1:12" x14ac:dyDescent="0.25">
      <c r="A482" s="26" t="str">
        <f>IF(COUNTIF(B482:K482,"="&amp;'MITRE ATT&amp;CK Mappings'!B478)&gt;0,'MITRE ATT&amp;CK Mappings'!B478,"")</f>
        <v/>
      </c>
      <c r="B482" s="26" t="str">
        <f>IF(OR(OR(OR(OR(OR(ISNUMBER(SEARCH(IF(B$1&lt;&gt;"",B$1,"NA"),'MITRE ATT&amp;CK Mappings'!$E478)),ISNUMBER(SEARCH(IF(B$1&lt;&gt;"",B$1,"NA"),'MITRE ATT&amp;CK Mappings'!$F478))),ISNUMBER(SEARCH(IF(B$2&lt;&gt;"",B$2,"NA"),'MITRE ATT&amp;CK Mappings'!$G478))),ISNUMBER(SEARCH(IF(B$2&lt;&gt;"",B$2,"NA"),'MITRE ATT&amp;CK Mappings'!$H478))),ISNUMBER(SEARCH(IF(B$3&lt;&gt;"",B$3,"NA"),'MITRE ATT&amp;CK Mappings'!$I478))),ISNUMBER(SEARCH(IF(B$3&lt;&gt;"",B$3,"NA"),'MITRE ATT&amp;CK Mappings'!$J478))), 'MITRE ATT&amp;CK Mappings'!$B478,"")</f>
        <v/>
      </c>
      <c r="C482" s="26" t="str">
        <f>IF(OR(OR(OR(OR(OR(ISNUMBER(SEARCH(IF(C$1&lt;&gt;"",C$1,"NA"),'MITRE ATT&amp;CK Mappings'!$E478)),ISNUMBER(SEARCH(IF(C$1&lt;&gt;"",C$1,"NA"),'MITRE ATT&amp;CK Mappings'!$F478))),ISNUMBER(SEARCH(IF(C$2&lt;&gt;"",C$2,"NA"),'MITRE ATT&amp;CK Mappings'!$G478))),ISNUMBER(SEARCH(IF(C$2&lt;&gt;"",C$2,"NA"),'MITRE ATT&amp;CK Mappings'!$H478))),ISNUMBER(SEARCH(IF(C$3&lt;&gt;"",C$3,"NA"),'MITRE ATT&amp;CK Mappings'!$I478))),ISNUMBER(SEARCH(IF(C$3&lt;&gt;"",C$3,"NA"),'MITRE ATT&amp;CK Mappings'!$J478))), 'MITRE ATT&amp;CK Mappings'!$B478,"")</f>
        <v/>
      </c>
      <c r="D482" s="26" t="str">
        <f>IF(OR(OR(OR(OR(OR(ISNUMBER(SEARCH(IF(D$1&lt;&gt;"",D$1,"NA"),'MITRE ATT&amp;CK Mappings'!$E478)),ISNUMBER(SEARCH(IF(D$1&lt;&gt;"",D$1,"NA"),'MITRE ATT&amp;CK Mappings'!$F478))),ISNUMBER(SEARCH(IF(D$2&lt;&gt;"",D$2,"NA"),'MITRE ATT&amp;CK Mappings'!$G478))),ISNUMBER(SEARCH(IF(D$2&lt;&gt;"",D$2,"NA"),'MITRE ATT&amp;CK Mappings'!$H478))),ISNUMBER(SEARCH(IF(D$3&lt;&gt;"",D$3,"NA"),'MITRE ATT&amp;CK Mappings'!$I478))),ISNUMBER(SEARCH(IF(D$3&lt;&gt;"",D$3,"NA"),'MITRE ATT&amp;CK Mappings'!$J478))), 'MITRE ATT&amp;CK Mappings'!$B478,"")</f>
        <v/>
      </c>
      <c r="E482" s="26" t="str">
        <f>IF(OR(OR(OR(OR(OR(ISNUMBER(SEARCH(IF(E$1&lt;&gt;"",E$1,"NA"),'MITRE ATT&amp;CK Mappings'!$E478)),ISNUMBER(SEARCH(IF(E$1&lt;&gt;"",E$1,"NA"),'MITRE ATT&amp;CK Mappings'!$F478))),ISNUMBER(SEARCH(IF(E$2&lt;&gt;"",E$2,"NA"),'MITRE ATT&amp;CK Mappings'!$G478))),ISNUMBER(SEARCH(IF(E$2&lt;&gt;"",E$2,"NA"),'MITRE ATT&amp;CK Mappings'!$H478))),ISNUMBER(SEARCH(IF(E$3&lt;&gt;"",E$3,"NA"),'MITRE ATT&amp;CK Mappings'!$I478))),ISNUMBER(SEARCH(IF(E$3&lt;&gt;"",E$3,"NA"),'MITRE ATT&amp;CK Mappings'!$J478))), 'MITRE ATT&amp;CK Mappings'!$B478,"")</f>
        <v/>
      </c>
      <c r="F482" s="26" t="str">
        <f>IF(OR(OR(OR(OR(OR(ISNUMBER(SEARCH(IF(F$1&lt;&gt;"",F$1,"NA"),'MITRE ATT&amp;CK Mappings'!$E478)),ISNUMBER(SEARCH(IF(F$1&lt;&gt;"",F$1,"NA"),'MITRE ATT&amp;CK Mappings'!$F478))),ISNUMBER(SEARCH(IF(F$2&lt;&gt;"",F$2,"NA"),'MITRE ATT&amp;CK Mappings'!$G478))),ISNUMBER(SEARCH(IF(F$2&lt;&gt;"",F$2,"NA"),'MITRE ATT&amp;CK Mappings'!$H478))),ISNUMBER(SEARCH(IF(F$3&lt;&gt;"",F$3,"NA"),'MITRE ATT&amp;CK Mappings'!$I478))),ISNUMBER(SEARCH(IF(F$3&lt;&gt;"",F$3,"NA"),'MITRE ATT&amp;CK Mappings'!$J478))), 'MITRE ATT&amp;CK Mappings'!$B478,"")</f>
        <v/>
      </c>
      <c r="G482" s="26" t="str">
        <f>IF(OR(OR(OR(OR(OR(ISNUMBER(SEARCH(IF(G$1&lt;&gt;"",G$1,"NA"),'MITRE ATT&amp;CK Mappings'!$E478)),ISNUMBER(SEARCH(IF(G$1&lt;&gt;"",G$1,"NA"),'MITRE ATT&amp;CK Mappings'!$F478))),ISNUMBER(SEARCH(IF(G$2&lt;&gt;"",G$2,"NA"),'MITRE ATT&amp;CK Mappings'!$G478))),ISNUMBER(SEARCH(IF(G$2&lt;&gt;"",G$2,"NA"),'MITRE ATT&amp;CK Mappings'!$H478))),ISNUMBER(SEARCH(IF(G$3&lt;&gt;"",G$3,"NA"),'MITRE ATT&amp;CK Mappings'!$I478))),ISNUMBER(SEARCH(IF(G$3&lt;&gt;"",G$3,"NA"),'MITRE ATT&amp;CK Mappings'!$J478))), 'MITRE ATT&amp;CK Mappings'!$B478,"")</f>
        <v/>
      </c>
      <c r="H482" s="26" t="str">
        <f>IF(OR(OR(OR(OR(OR(ISNUMBER(SEARCH(IF(H$1&lt;&gt;"",H$1,"NA"),'MITRE ATT&amp;CK Mappings'!$E478)),ISNUMBER(SEARCH(IF(H$1&lt;&gt;"",H$1,"NA"),'MITRE ATT&amp;CK Mappings'!$F478))),ISNUMBER(SEARCH(IF(H$2&lt;&gt;"",H$2,"NA"),'MITRE ATT&amp;CK Mappings'!$G478))),ISNUMBER(SEARCH(IF(H$2&lt;&gt;"",H$2,"NA"),'MITRE ATT&amp;CK Mappings'!$H478))),ISNUMBER(SEARCH(IF(H$3&lt;&gt;"",H$3,"NA"),'MITRE ATT&amp;CK Mappings'!$I478))),ISNUMBER(SEARCH(IF(H$3&lt;&gt;"",H$3,"NA"),'MITRE ATT&amp;CK Mappings'!$J478))), 'MITRE ATT&amp;CK Mappings'!$B478,"")</f>
        <v/>
      </c>
      <c r="I482" s="26" t="str">
        <f>IF(OR(OR(OR(OR(OR(ISNUMBER(SEARCH(IF(I$1&lt;&gt;"",I$1,"NA"),'MITRE ATT&amp;CK Mappings'!$E478)),ISNUMBER(SEARCH(IF(I$1&lt;&gt;"",I$1,"NA"),'MITRE ATT&amp;CK Mappings'!$F478))),ISNUMBER(SEARCH(IF(I$2&lt;&gt;"",I$2,"NA"),'MITRE ATT&amp;CK Mappings'!$G478))),ISNUMBER(SEARCH(IF(I$2&lt;&gt;"",I$2,"NA"),'MITRE ATT&amp;CK Mappings'!$H478))),ISNUMBER(SEARCH(IF(I$3&lt;&gt;"",I$3,"NA"),'MITRE ATT&amp;CK Mappings'!$I478))),ISNUMBER(SEARCH(IF(I$3&lt;&gt;"",I$3,"NA"),'MITRE ATT&amp;CK Mappings'!$J478))), 'MITRE ATT&amp;CK Mappings'!$B478,"")</f>
        <v/>
      </c>
      <c r="J482" s="26" t="str">
        <f>IF(OR(OR(OR(OR(OR(ISNUMBER(SEARCH(IF(J$1&lt;&gt;"",J$1,"NA"),'MITRE ATT&amp;CK Mappings'!$E478)),ISNUMBER(SEARCH(IF(J$1&lt;&gt;"",J$1,"NA"),'MITRE ATT&amp;CK Mappings'!$F478))),ISNUMBER(SEARCH(IF(J$2&lt;&gt;"",J$2,"NA"),'MITRE ATT&amp;CK Mappings'!$G478))),ISNUMBER(SEARCH(IF(J$2&lt;&gt;"",J$2,"NA"),'MITRE ATT&amp;CK Mappings'!$H478))),ISNUMBER(SEARCH(IF(J$3&lt;&gt;"",J$3,"NA"),'MITRE ATT&amp;CK Mappings'!$I478))),ISNUMBER(SEARCH(IF(J$3&lt;&gt;"",J$3,"NA"),'MITRE ATT&amp;CK Mappings'!$J478))), 'MITRE ATT&amp;CK Mappings'!$B478,"")</f>
        <v/>
      </c>
      <c r="K482" s="26" t="str">
        <f>IF(OR(OR(OR(OR(OR(ISNUMBER(SEARCH(IF(K$1&lt;&gt;"",K$1,"NA"),'MITRE ATT&amp;CK Mappings'!$E478)),ISNUMBER(SEARCH(IF(K$1&lt;&gt;"",K$1,"NA"),'MITRE ATT&amp;CK Mappings'!$F478))),ISNUMBER(SEARCH(IF(K$2&lt;&gt;"",K$2,"NA"),'MITRE ATT&amp;CK Mappings'!$G478))),ISNUMBER(SEARCH(IF(K$2&lt;&gt;"",K$2,"NA"),'MITRE ATT&amp;CK Mappings'!$H478))),ISNUMBER(SEARCH(IF(K$3&lt;&gt;"",K$3,"NA"),'MITRE ATT&amp;CK Mappings'!$I478))),ISNUMBER(SEARCH(IF(K$3&lt;&gt;"",K$3,"NA"),'MITRE ATT&amp;CK Mappings'!$J478))), 'MITRE ATT&amp;CK Mappings'!$B478,"")</f>
        <v/>
      </c>
      <c r="L482" s="26" t="str">
        <f>IF('MITRE ATT&amp;CK Mappings'!D478 &lt;&gt;"",'MITRE ATT&amp;CK Mappings'!D478,"" )</f>
        <v/>
      </c>
    </row>
    <row r="483" spans="1:12" x14ac:dyDescent="0.25">
      <c r="A483" s="27" t="str">
        <f>IF(COUNTIF(B483:K483,"="&amp;'MITRE ATT&amp;CK Mappings'!B479)&gt;0,'MITRE ATT&amp;CK Mappings'!B479,"")</f>
        <v/>
      </c>
      <c r="B483" s="27" t="str">
        <f>IF(OR(OR(OR(OR(OR(ISNUMBER(SEARCH(IF(B$1&lt;&gt;"",B$1,"NA"),'MITRE ATT&amp;CK Mappings'!$E479)),ISNUMBER(SEARCH(IF(B$1&lt;&gt;"",B$1,"NA"),'MITRE ATT&amp;CK Mappings'!$F479))),ISNUMBER(SEARCH(IF(B$2&lt;&gt;"",B$2,"NA"),'MITRE ATT&amp;CK Mappings'!$G479))),ISNUMBER(SEARCH(IF(B$2&lt;&gt;"",B$2,"NA"),'MITRE ATT&amp;CK Mappings'!$H479))),ISNUMBER(SEARCH(IF(B$3&lt;&gt;"",B$3,"NA"),'MITRE ATT&amp;CK Mappings'!$I479))),ISNUMBER(SEARCH(IF(B$3&lt;&gt;"",B$3,"NA"),'MITRE ATT&amp;CK Mappings'!$J479))), 'MITRE ATT&amp;CK Mappings'!$B479,"")</f>
        <v/>
      </c>
      <c r="C483" s="27" t="str">
        <f>IF(OR(OR(OR(OR(OR(ISNUMBER(SEARCH(IF(C$1&lt;&gt;"",C$1,"NA"),'MITRE ATT&amp;CK Mappings'!$E479)),ISNUMBER(SEARCH(IF(C$1&lt;&gt;"",C$1,"NA"),'MITRE ATT&amp;CK Mappings'!$F479))),ISNUMBER(SEARCH(IF(C$2&lt;&gt;"",C$2,"NA"),'MITRE ATT&amp;CK Mappings'!$G479))),ISNUMBER(SEARCH(IF(C$2&lt;&gt;"",C$2,"NA"),'MITRE ATT&amp;CK Mappings'!$H479))),ISNUMBER(SEARCH(IF(C$3&lt;&gt;"",C$3,"NA"),'MITRE ATT&amp;CK Mappings'!$I479))),ISNUMBER(SEARCH(IF(C$3&lt;&gt;"",C$3,"NA"),'MITRE ATT&amp;CK Mappings'!$J479))), 'MITRE ATT&amp;CK Mappings'!$B479,"")</f>
        <v/>
      </c>
      <c r="D483" s="27" t="str">
        <f>IF(OR(OR(OR(OR(OR(ISNUMBER(SEARCH(IF(D$1&lt;&gt;"",D$1,"NA"),'MITRE ATT&amp;CK Mappings'!$E479)),ISNUMBER(SEARCH(IF(D$1&lt;&gt;"",D$1,"NA"),'MITRE ATT&amp;CK Mappings'!$F479))),ISNUMBER(SEARCH(IF(D$2&lt;&gt;"",D$2,"NA"),'MITRE ATT&amp;CK Mappings'!$G479))),ISNUMBER(SEARCH(IF(D$2&lt;&gt;"",D$2,"NA"),'MITRE ATT&amp;CK Mappings'!$H479))),ISNUMBER(SEARCH(IF(D$3&lt;&gt;"",D$3,"NA"),'MITRE ATT&amp;CK Mappings'!$I479))),ISNUMBER(SEARCH(IF(D$3&lt;&gt;"",D$3,"NA"),'MITRE ATT&amp;CK Mappings'!$J479))), 'MITRE ATT&amp;CK Mappings'!$B479,"")</f>
        <v/>
      </c>
      <c r="E483" s="27" t="str">
        <f>IF(OR(OR(OR(OR(OR(ISNUMBER(SEARCH(IF(E$1&lt;&gt;"",E$1,"NA"),'MITRE ATT&amp;CK Mappings'!$E479)),ISNUMBER(SEARCH(IF(E$1&lt;&gt;"",E$1,"NA"),'MITRE ATT&amp;CK Mappings'!$F479))),ISNUMBER(SEARCH(IF(E$2&lt;&gt;"",E$2,"NA"),'MITRE ATT&amp;CK Mappings'!$G479))),ISNUMBER(SEARCH(IF(E$2&lt;&gt;"",E$2,"NA"),'MITRE ATT&amp;CK Mappings'!$H479))),ISNUMBER(SEARCH(IF(E$3&lt;&gt;"",E$3,"NA"),'MITRE ATT&amp;CK Mappings'!$I479))),ISNUMBER(SEARCH(IF(E$3&lt;&gt;"",E$3,"NA"),'MITRE ATT&amp;CK Mappings'!$J479))), 'MITRE ATT&amp;CK Mappings'!$B479,"")</f>
        <v/>
      </c>
      <c r="F483" s="27" t="str">
        <f>IF(OR(OR(OR(OR(OR(ISNUMBER(SEARCH(IF(F$1&lt;&gt;"",F$1,"NA"),'MITRE ATT&amp;CK Mappings'!$E479)),ISNUMBER(SEARCH(IF(F$1&lt;&gt;"",F$1,"NA"),'MITRE ATT&amp;CK Mappings'!$F479))),ISNUMBER(SEARCH(IF(F$2&lt;&gt;"",F$2,"NA"),'MITRE ATT&amp;CK Mappings'!$G479))),ISNUMBER(SEARCH(IF(F$2&lt;&gt;"",F$2,"NA"),'MITRE ATT&amp;CK Mappings'!$H479))),ISNUMBER(SEARCH(IF(F$3&lt;&gt;"",F$3,"NA"),'MITRE ATT&amp;CK Mappings'!$I479))),ISNUMBER(SEARCH(IF(F$3&lt;&gt;"",F$3,"NA"),'MITRE ATT&amp;CK Mappings'!$J479))), 'MITRE ATT&amp;CK Mappings'!$B479,"")</f>
        <v/>
      </c>
      <c r="G483" s="27" t="str">
        <f>IF(OR(OR(OR(OR(OR(ISNUMBER(SEARCH(IF(G$1&lt;&gt;"",G$1,"NA"),'MITRE ATT&amp;CK Mappings'!$E479)),ISNUMBER(SEARCH(IF(G$1&lt;&gt;"",G$1,"NA"),'MITRE ATT&amp;CK Mappings'!$F479))),ISNUMBER(SEARCH(IF(G$2&lt;&gt;"",G$2,"NA"),'MITRE ATT&amp;CK Mappings'!$G479))),ISNUMBER(SEARCH(IF(G$2&lt;&gt;"",G$2,"NA"),'MITRE ATT&amp;CK Mappings'!$H479))),ISNUMBER(SEARCH(IF(G$3&lt;&gt;"",G$3,"NA"),'MITRE ATT&amp;CK Mappings'!$I479))),ISNUMBER(SEARCH(IF(G$3&lt;&gt;"",G$3,"NA"),'MITRE ATT&amp;CK Mappings'!$J479))), 'MITRE ATT&amp;CK Mappings'!$B479,"")</f>
        <v/>
      </c>
      <c r="H483" s="27" t="str">
        <f>IF(OR(OR(OR(OR(OR(ISNUMBER(SEARCH(IF(H$1&lt;&gt;"",H$1,"NA"),'MITRE ATT&amp;CK Mappings'!$E479)),ISNUMBER(SEARCH(IF(H$1&lt;&gt;"",H$1,"NA"),'MITRE ATT&amp;CK Mappings'!$F479))),ISNUMBER(SEARCH(IF(H$2&lt;&gt;"",H$2,"NA"),'MITRE ATT&amp;CK Mappings'!$G479))),ISNUMBER(SEARCH(IF(H$2&lt;&gt;"",H$2,"NA"),'MITRE ATT&amp;CK Mappings'!$H479))),ISNUMBER(SEARCH(IF(H$3&lt;&gt;"",H$3,"NA"),'MITRE ATT&amp;CK Mappings'!$I479))),ISNUMBER(SEARCH(IF(H$3&lt;&gt;"",H$3,"NA"),'MITRE ATT&amp;CK Mappings'!$J479))), 'MITRE ATT&amp;CK Mappings'!$B479,"")</f>
        <v/>
      </c>
      <c r="I483" s="27" t="str">
        <f>IF(OR(OR(OR(OR(OR(ISNUMBER(SEARCH(IF(I$1&lt;&gt;"",I$1,"NA"),'MITRE ATT&amp;CK Mappings'!$E479)),ISNUMBER(SEARCH(IF(I$1&lt;&gt;"",I$1,"NA"),'MITRE ATT&amp;CK Mappings'!$F479))),ISNUMBER(SEARCH(IF(I$2&lt;&gt;"",I$2,"NA"),'MITRE ATT&amp;CK Mappings'!$G479))),ISNUMBER(SEARCH(IF(I$2&lt;&gt;"",I$2,"NA"),'MITRE ATT&amp;CK Mappings'!$H479))),ISNUMBER(SEARCH(IF(I$3&lt;&gt;"",I$3,"NA"),'MITRE ATT&amp;CK Mappings'!$I479))),ISNUMBER(SEARCH(IF(I$3&lt;&gt;"",I$3,"NA"),'MITRE ATT&amp;CK Mappings'!$J479))), 'MITRE ATT&amp;CK Mappings'!$B479,"")</f>
        <v/>
      </c>
      <c r="J483" s="27" t="str">
        <f>IF(OR(OR(OR(OR(OR(ISNUMBER(SEARCH(IF(J$1&lt;&gt;"",J$1,"NA"),'MITRE ATT&amp;CK Mappings'!$E479)),ISNUMBER(SEARCH(IF(J$1&lt;&gt;"",J$1,"NA"),'MITRE ATT&amp;CK Mappings'!$F479))),ISNUMBER(SEARCH(IF(J$2&lt;&gt;"",J$2,"NA"),'MITRE ATT&amp;CK Mappings'!$G479))),ISNUMBER(SEARCH(IF(J$2&lt;&gt;"",J$2,"NA"),'MITRE ATT&amp;CK Mappings'!$H479))),ISNUMBER(SEARCH(IF(J$3&lt;&gt;"",J$3,"NA"),'MITRE ATT&amp;CK Mappings'!$I479))),ISNUMBER(SEARCH(IF(J$3&lt;&gt;"",J$3,"NA"),'MITRE ATT&amp;CK Mappings'!$J479))), 'MITRE ATT&amp;CK Mappings'!$B479,"")</f>
        <v/>
      </c>
      <c r="K483" s="27" t="str">
        <f>IF(OR(OR(OR(OR(OR(ISNUMBER(SEARCH(IF(K$1&lt;&gt;"",K$1,"NA"),'MITRE ATT&amp;CK Mappings'!$E479)),ISNUMBER(SEARCH(IF(K$1&lt;&gt;"",K$1,"NA"),'MITRE ATT&amp;CK Mappings'!$F479))),ISNUMBER(SEARCH(IF(K$2&lt;&gt;"",K$2,"NA"),'MITRE ATT&amp;CK Mappings'!$G479))),ISNUMBER(SEARCH(IF(K$2&lt;&gt;"",K$2,"NA"),'MITRE ATT&amp;CK Mappings'!$H479))),ISNUMBER(SEARCH(IF(K$3&lt;&gt;"",K$3,"NA"),'MITRE ATT&amp;CK Mappings'!$I479))),ISNUMBER(SEARCH(IF(K$3&lt;&gt;"",K$3,"NA"),'MITRE ATT&amp;CK Mappings'!$J479))), 'MITRE ATT&amp;CK Mappings'!$B479,"")</f>
        <v/>
      </c>
      <c r="L483" s="27" t="str">
        <f>IF('MITRE ATT&amp;CK Mappings'!D479 &lt;&gt;"",'MITRE ATT&amp;CK Mappings'!D479,"" )</f>
        <v/>
      </c>
    </row>
    <row r="484" spans="1:12" x14ac:dyDescent="0.25">
      <c r="A484" s="26" t="str">
        <f>IF(COUNTIF(B484:K484,"="&amp;'MITRE ATT&amp;CK Mappings'!B480)&gt;0,'MITRE ATT&amp;CK Mappings'!B480,"")</f>
        <v/>
      </c>
      <c r="B484" s="26" t="str">
        <f>IF(OR(OR(OR(OR(OR(ISNUMBER(SEARCH(IF(B$1&lt;&gt;"",B$1,"NA"),'MITRE ATT&amp;CK Mappings'!$E480)),ISNUMBER(SEARCH(IF(B$1&lt;&gt;"",B$1,"NA"),'MITRE ATT&amp;CK Mappings'!$F480))),ISNUMBER(SEARCH(IF(B$2&lt;&gt;"",B$2,"NA"),'MITRE ATT&amp;CK Mappings'!$G480))),ISNUMBER(SEARCH(IF(B$2&lt;&gt;"",B$2,"NA"),'MITRE ATT&amp;CK Mappings'!$H480))),ISNUMBER(SEARCH(IF(B$3&lt;&gt;"",B$3,"NA"),'MITRE ATT&amp;CK Mappings'!$I480))),ISNUMBER(SEARCH(IF(B$3&lt;&gt;"",B$3,"NA"),'MITRE ATT&amp;CK Mappings'!$J480))), 'MITRE ATT&amp;CK Mappings'!$B480,"")</f>
        <v/>
      </c>
      <c r="C484" s="26" t="str">
        <f>IF(OR(OR(OR(OR(OR(ISNUMBER(SEARCH(IF(C$1&lt;&gt;"",C$1,"NA"),'MITRE ATT&amp;CK Mappings'!$E480)),ISNUMBER(SEARCH(IF(C$1&lt;&gt;"",C$1,"NA"),'MITRE ATT&amp;CK Mappings'!$F480))),ISNUMBER(SEARCH(IF(C$2&lt;&gt;"",C$2,"NA"),'MITRE ATT&amp;CK Mappings'!$G480))),ISNUMBER(SEARCH(IF(C$2&lt;&gt;"",C$2,"NA"),'MITRE ATT&amp;CK Mappings'!$H480))),ISNUMBER(SEARCH(IF(C$3&lt;&gt;"",C$3,"NA"),'MITRE ATT&amp;CK Mappings'!$I480))),ISNUMBER(SEARCH(IF(C$3&lt;&gt;"",C$3,"NA"),'MITRE ATT&amp;CK Mappings'!$J480))), 'MITRE ATT&amp;CK Mappings'!$B480,"")</f>
        <v/>
      </c>
      <c r="D484" s="26" t="str">
        <f>IF(OR(OR(OR(OR(OR(ISNUMBER(SEARCH(IF(D$1&lt;&gt;"",D$1,"NA"),'MITRE ATT&amp;CK Mappings'!$E480)),ISNUMBER(SEARCH(IF(D$1&lt;&gt;"",D$1,"NA"),'MITRE ATT&amp;CK Mappings'!$F480))),ISNUMBER(SEARCH(IF(D$2&lt;&gt;"",D$2,"NA"),'MITRE ATT&amp;CK Mappings'!$G480))),ISNUMBER(SEARCH(IF(D$2&lt;&gt;"",D$2,"NA"),'MITRE ATT&amp;CK Mappings'!$H480))),ISNUMBER(SEARCH(IF(D$3&lt;&gt;"",D$3,"NA"),'MITRE ATT&amp;CK Mappings'!$I480))),ISNUMBER(SEARCH(IF(D$3&lt;&gt;"",D$3,"NA"),'MITRE ATT&amp;CK Mappings'!$J480))), 'MITRE ATT&amp;CK Mappings'!$B480,"")</f>
        <v/>
      </c>
      <c r="E484" s="26" t="str">
        <f>IF(OR(OR(OR(OR(OR(ISNUMBER(SEARCH(IF(E$1&lt;&gt;"",E$1,"NA"),'MITRE ATT&amp;CK Mappings'!$E480)),ISNUMBER(SEARCH(IF(E$1&lt;&gt;"",E$1,"NA"),'MITRE ATT&amp;CK Mappings'!$F480))),ISNUMBER(SEARCH(IF(E$2&lt;&gt;"",E$2,"NA"),'MITRE ATT&amp;CK Mappings'!$G480))),ISNUMBER(SEARCH(IF(E$2&lt;&gt;"",E$2,"NA"),'MITRE ATT&amp;CK Mappings'!$H480))),ISNUMBER(SEARCH(IF(E$3&lt;&gt;"",E$3,"NA"),'MITRE ATT&amp;CK Mappings'!$I480))),ISNUMBER(SEARCH(IF(E$3&lt;&gt;"",E$3,"NA"),'MITRE ATT&amp;CK Mappings'!$J480))), 'MITRE ATT&amp;CK Mappings'!$B480,"")</f>
        <v/>
      </c>
      <c r="F484" s="26" t="str">
        <f>IF(OR(OR(OR(OR(OR(ISNUMBER(SEARCH(IF(F$1&lt;&gt;"",F$1,"NA"),'MITRE ATT&amp;CK Mappings'!$E480)),ISNUMBER(SEARCH(IF(F$1&lt;&gt;"",F$1,"NA"),'MITRE ATT&amp;CK Mappings'!$F480))),ISNUMBER(SEARCH(IF(F$2&lt;&gt;"",F$2,"NA"),'MITRE ATT&amp;CK Mappings'!$G480))),ISNUMBER(SEARCH(IF(F$2&lt;&gt;"",F$2,"NA"),'MITRE ATT&amp;CK Mappings'!$H480))),ISNUMBER(SEARCH(IF(F$3&lt;&gt;"",F$3,"NA"),'MITRE ATT&amp;CK Mappings'!$I480))),ISNUMBER(SEARCH(IF(F$3&lt;&gt;"",F$3,"NA"),'MITRE ATT&amp;CK Mappings'!$J480))), 'MITRE ATT&amp;CK Mappings'!$B480,"")</f>
        <v/>
      </c>
      <c r="G484" s="26" t="str">
        <f>IF(OR(OR(OR(OR(OR(ISNUMBER(SEARCH(IF(G$1&lt;&gt;"",G$1,"NA"),'MITRE ATT&amp;CK Mappings'!$E480)),ISNUMBER(SEARCH(IF(G$1&lt;&gt;"",G$1,"NA"),'MITRE ATT&amp;CK Mappings'!$F480))),ISNUMBER(SEARCH(IF(G$2&lt;&gt;"",G$2,"NA"),'MITRE ATT&amp;CK Mappings'!$G480))),ISNUMBER(SEARCH(IF(G$2&lt;&gt;"",G$2,"NA"),'MITRE ATT&amp;CK Mappings'!$H480))),ISNUMBER(SEARCH(IF(G$3&lt;&gt;"",G$3,"NA"),'MITRE ATT&amp;CK Mappings'!$I480))),ISNUMBER(SEARCH(IF(G$3&lt;&gt;"",G$3,"NA"),'MITRE ATT&amp;CK Mappings'!$J480))), 'MITRE ATT&amp;CK Mappings'!$B480,"")</f>
        <v/>
      </c>
      <c r="H484" s="26" t="str">
        <f>IF(OR(OR(OR(OR(OR(ISNUMBER(SEARCH(IF(H$1&lt;&gt;"",H$1,"NA"),'MITRE ATT&amp;CK Mappings'!$E480)),ISNUMBER(SEARCH(IF(H$1&lt;&gt;"",H$1,"NA"),'MITRE ATT&amp;CK Mappings'!$F480))),ISNUMBER(SEARCH(IF(H$2&lt;&gt;"",H$2,"NA"),'MITRE ATT&amp;CK Mappings'!$G480))),ISNUMBER(SEARCH(IF(H$2&lt;&gt;"",H$2,"NA"),'MITRE ATT&amp;CK Mappings'!$H480))),ISNUMBER(SEARCH(IF(H$3&lt;&gt;"",H$3,"NA"),'MITRE ATT&amp;CK Mappings'!$I480))),ISNUMBER(SEARCH(IF(H$3&lt;&gt;"",H$3,"NA"),'MITRE ATT&amp;CK Mappings'!$J480))), 'MITRE ATT&amp;CK Mappings'!$B480,"")</f>
        <v/>
      </c>
      <c r="I484" s="26" t="str">
        <f>IF(OR(OR(OR(OR(OR(ISNUMBER(SEARCH(IF(I$1&lt;&gt;"",I$1,"NA"),'MITRE ATT&amp;CK Mappings'!$E480)),ISNUMBER(SEARCH(IF(I$1&lt;&gt;"",I$1,"NA"),'MITRE ATT&amp;CK Mappings'!$F480))),ISNUMBER(SEARCH(IF(I$2&lt;&gt;"",I$2,"NA"),'MITRE ATT&amp;CK Mappings'!$G480))),ISNUMBER(SEARCH(IF(I$2&lt;&gt;"",I$2,"NA"),'MITRE ATT&amp;CK Mappings'!$H480))),ISNUMBER(SEARCH(IF(I$3&lt;&gt;"",I$3,"NA"),'MITRE ATT&amp;CK Mappings'!$I480))),ISNUMBER(SEARCH(IF(I$3&lt;&gt;"",I$3,"NA"),'MITRE ATT&amp;CK Mappings'!$J480))), 'MITRE ATT&amp;CK Mappings'!$B480,"")</f>
        <v/>
      </c>
      <c r="J484" s="26" t="str">
        <f>IF(OR(OR(OR(OR(OR(ISNUMBER(SEARCH(IF(J$1&lt;&gt;"",J$1,"NA"),'MITRE ATT&amp;CK Mappings'!$E480)),ISNUMBER(SEARCH(IF(J$1&lt;&gt;"",J$1,"NA"),'MITRE ATT&amp;CK Mappings'!$F480))),ISNUMBER(SEARCH(IF(J$2&lt;&gt;"",J$2,"NA"),'MITRE ATT&amp;CK Mappings'!$G480))),ISNUMBER(SEARCH(IF(J$2&lt;&gt;"",J$2,"NA"),'MITRE ATT&amp;CK Mappings'!$H480))),ISNUMBER(SEARCH(IF(J$3&lt;&gt;"",J$3,"NA"),'MITRE ATT&amp;CK Mappings'!$I480))),ISNUMBER(SEARCH(IF(J$3&lt;&gt;"",J$3,"NA"),'MITRE ATT&amp;CK Mappings'!$J480))), 'MITRE ATT&amp;CK Mappings'!$B480,"")</f>
        <v/>
      </c>
      <c r="K484" s="26" t="str">
        <f>IF(OR(OR(OR(OR(OR(ISNUMBER(SEARCH(IF(K$1&lt;&gt;"",K$1,"NA"),'MITRE ATT&amp;CK Mappings'!$E480)),ISNUMBER(SEARCH(IF(K$1&lt;&gt;"",K$1,"NA"),'MITRE ATT&amp;CK Mappings'!$F480))),ISNUMBER(SEARCH(IF(K$2&lt;&gt;"",K$2,"NA"),'MITRE ATT&amp;CK Mappings'!$G480))),ISNUMBER(SEARCH(IF(K$2&lt;&gt;"",K$2,"NA"),'MITRE ATT&amp;CK Mappings'!$H480))),ISNUMBER(SEARCH(IF(K$3&lt;&gt;"",K$3,"NA"),'MITRE ATT&amp;CK Mappings'!$I480))),ISNUMBER(SEARCH(IF(K$3&lt;&gt;"",K$3,"NA"),'MITRE ATT&amp;CK Mappings'!$J480))), 'MITRE ATT&amp;CK Mappings'!$B480,"")</f>
        <v/>
      </c>
      <c r="L484" s="26" t="str">
        <f>IF('MITRE ATT&amp;CK Mappings'!D480 &lt;&gt;"",'MITRE ATT&amp;CK Mappings'!D480,"" )</f>
        <v/>
      </c>
    </row>
    <row r="485" spans="1:12" x14ac:dyDescent="0.25">
      <c r="A485" s="27" t="str">
        <f>IF(COUNTIF(B485:K485,"="&amp;'MITRE ATT&amp;CK Mappings'!B481)&gt;0,'MITRE ATT&amp;CK Mappings'!B481,"")</f>
        <v/>
      </c>
      <c r="B485" s="27" t="str">
        <f>IF(OR(OR(OR(OR(OR(ISNUMBER(SEARCH(IF(B$1&lt;&gt;"",B$1,"NA"),'MITRE ATT&amp;CK Mappings'!$E481)),ISNUMBER(SEARCH(IF(B$1&lt;&gt;"",B$1,"NA"),'MITRE ATT&amp;CK Mappings'!$F481))),ISNUMBER(SEARCH(IF(B$2&lt;&gt;"",B$2,"NA"),'MITRE ATT&amp;CK Mappings'!$G481))),ISNUMBER(SEARCH(IF(B$2&lt;&gt;"",B$2,"NA"),'MITRE ATT&amp;CK Mappings'!$H481))),ISNUMBER(SEARCH(IF(B$3&lt;&gt;"",B$3,"NA"),'MITRE ATT&amp;CK Mappings'!$I481))),ISNUMBER(SEARCH(IF(B$3&lt;&gt;"",B$3,"NA"),'MITRE ATT&amp;CK Mappings'!$J481))), 'MITRE ATT&amp;CK Mappings'!$B481,"")</f>
        <v/>
      </c>
      <c r="C485" s="27" t="str">
        <f>IF(OR(OR(OR(OR(OR(ISNUMBER(SEARCH(IF(C$1&lt;&gt;"",C$1,"NA"),'MITRE ATT&amp;CK Mappings'!$E481)),ISNUMBER(SEARCH(IF(C$1&lt;&gt;"",C$1,"NA"),'MITRE ATT&amp;CK Mappings'!$F481))),ISNUMBER(SEARCH(IF(C$2&lt;&gt;"",C$2,"NA"),'MITRE ATT&amp;CK Mappings'!$G481))),ISNUMBER(SEARCH(IF(C$2&lt;&gt;"",C$2,"NA"),'MITRE ATT&amp;CK Mappings'!$H481))),ISNUMBER(SEARCH(IF(C$3&lt;&gt;"",C$3,"NA"),'MITRE ATT&amp;CK Mappings'!$I481))),ISNUMBER(SEARCH(IF(C$3&lt;&gt;"",C$3,"NA"),'MITRE ATT&amp;CK Mappings'!$J481))), 'MITRE ATT&amp;CK Mappings'!$B481,"")</f>
        <v/>
      </c>
      <c r="D485" s="27" t="str">
        <f>IF(OR(OR(OR(OR(OR(ISNUMBER(SEARCH(IF(D$1&lt;&gt;"",D$1,"NA"),'MITRE ATT&amp;CK Mappings'!$E481)),ISNUMBER(SEARCH(IF(D$1&lt;&gt;"",D$1,"NA"),'MITRE ATT&amp;CK Mappings'!$F481))),ISNUMBER(SEARCH(IF(D$2&lt;&gt;"",D$2,"NA"),'MITRE ATT&amp;CK Mappings'!$G481))),ISNUMBER(SEARCH(IF(D$2&lt;&gt;"",D$2,"NA"),'MITRE ATT&amp;CK Mappings'!$H481))),ISNUMBER(SEARCH(IF(D$3&lt;&gt;"",D$3,"NA"),'MITRE ATT&amp;CK Mappings'!$I481))),ISNUMBER(SEARCH(IF(D$3&lt;&gt;"",D$3,"NA"),'MITRE ATT&amp;CK Mappings'!$J481))), 'MITRE ATT&amp;CK Mappings'!$B481,"")</f>
        <v/>
      </c>
      <c r="E485" s="27" t="str">
        <f>IF(OR(OR(OR(OR(OR(ISNUMBER(SEARCH(IF(E$1&lt;&gt;"",E$1,"NA"),'MITRE ATT&amp;CK Mappings'!$E481)),ISNUMBER(SEARCH(IF(E$1&lt;&gt;"",E$1,"NA"),'MITRE ATT&amp;CK Mappings'!$F481))),ISNUMBER(SEARCH(IF(E$2&lt;&gt;"",E$2,"NA"),'MITRE ATT&amp;CK Mappings'!$G481))),ISNUMBER(SEARCH(IF(E$2&lt;&gt;"",E$2,"NA"),'MITRE ATT&amp;CK Mappings'!$H481))),ISNUMBER(SEARCH(IF(E$3&lt;&gt;"",E$3,"NA"),'MITRE ATT&amp;CK Mappings'!$I481))),ISNUMBER(SEARCH(IF(E$3&lt;&gt;"",E$3,"NA"),'MITRE ATT&amp;CK Mappings'!$J481))), 'MITRE ATT&amp;CK Mappings'!$B481,"")</f>
        <v/>
      </c>
      <c r="F485" s="27" t="str">
        <f>IF(OR(OR(OR(OR(OR(ISNUMBER(SEARCH(IF(F$1&lt;&gt;"",F$1,"NA"),'MITRE ATT&amp;CK Mappings'!$E481)),ISNUMBER(SEARCH(IF(F$1&lt;&gt;"",F$1,"NA"),'MITRE ATT&amp;CK Mappings'!$F481))),ISNUMBER(SEARCH(IF(F$2&lt;&gt;"",F$2,"NA"),'MITRE ATT&amp;CK Mappings'!$G481))),ISNUMBER(SEARCH(IF(F$2&lt;&gt;"",F$2,"NA"),'MITRE ATT&amp;CK Mappings'!$H481))),ISNUMBER(SEARCH(IF(F$3&lt;&gt;"",F$3,"NA"),'MITRE ATT&amp;CK Mappings'!$I481))),ISNUMBER(SEARCH(IF(F$3&lt;&gt;"",F$3,"NA"),'MITRE ATT&amp;CK Mappings'!$J481))), 'MITRE ATT&amp;CK Mappings'!$B481,"")</f>
        <v/>
      </c>
      <c r="G485" s="27" t="str">
        <f>IF(OR(OR(OR(OR(OR(ISNUMBER(SEARCH(IF(G$1&lt;&gt;"",G$1,"NA"),'MITRE ATT&amp;CK Mappings'!$E481)),ISNUMBER(SEARCH(IF(G$1&lt;&gt;"",G$1,"NA"),'MITRE ATT&amp;CK Mappings'!$F481))),ISNUMBER(SEARCH(IF(G$2&lt;&gt;"",G$2,"NA"),'MITRE ATT&amp;CK Mappings'!$G481))),ISNUMBER(SEARCH(IF(G$2&lt;&gt;"",G$2,"NA"),'MITRE ATT&amp;CK Mappings'!$H481))),ISNUMBER(SEARCH(IF(G$3&lt;&gt;"",G$3,"NA"),'MITRE ATT&amp;CK Mappings'!$I481))),ISNUMBER(SEARCH(IF(G$3&lt;&gt;"",G$3,"NA"),'MITRE ATT&amp;CK Mappings'!$J481))), 'MITRE ATT&amp;CK Mappings'!$B481,"")</f>
        <v/>
      </c>
      <c r="H485" s="27" t="str">
        <f>IF(OR(OR(OR(OR(OR(ISNUMBER(SEARCH(IF(H$1&lt;&gt;"",H$1,"NA"),'MITRE ATT&amp;CK Mappings'!$E481)),ISNUMBER(SEARCH(IF(H$1&lt;&gt;"",H$1,"NA"),'MITRE ATT&amp;CK Mappings'!$F481))),ISNUMBER(SEARCH(IF(H$2&lt;&gt;"",H$2,"NA"),'MITRE ATT&amp;CK Mappings'!$G481))),ISNUMBER(SEARCH(IF(H$2&lt;&gt;"",H$2,"NA"),'MITRE ATT&amp;CK Mappings'!$H481))),ISNUMBER(SEARCH(IF(H$3&lt;&gt;"",H$3,"NA"),'MITRE ATT&amp;CK Mappings'!$I481))),ISNUMBER(SEARCH(IF(H$3&lt;&gt;"",H$3,"NA"),'MITRE ATT&amp;CK Mappings'!$J481))), 'MITRE ATT&amp;CK Mappings'!$B481,"")</f>
        <v/>
      </c>
      <c r="I485" s="27" t="str">
        <f>IF(OR(OR(OR(OR(OR(ISNUMBER(SEARCH(IF(I$1&lt;&gt;"",I$1,"NA"),'MITRE ATT&amp;CK Mappings'!$E481)),ISNUMBER(SEARCH(IF(I$1&lt;&gt;"",I$1,"NA"),'MITRE ATT&amp;CK Mappings'!$F481))),ISNUMBER(SEARCH(IF(I$2&lt;&gt;"",I$2,"NA"),'MITRE ATT&amp;CK Mappings'!$G481))),ISNUMBER(SEARCH(IF(I$2&lt;&gt;"",I$2,"NA"),'MITRE ATT&amp;CK Mappings'!$H481))),ISNUMBER(SEARCH(IF(I$3&lt;&gt;"",I$3,"NA"),'MITRE ATT&amp;CK Mappings'!$I481))),ISNUMBER(SEARCH(IF(I$3&lt;&gt;"",I$3,"NA"),'MITRE ATT&amp;CK Mappings'!$J481))), 'MITRE ATT&amp;CK Mappings'!$B481,"")</f>
        <v/>
      </c>
      <c r="J485" s="27" t="str">
        <f>IF(OR(OR(OR(OR(OR(ISNUMBER(SEARCH(IF(J$1&lt;&gt;"",J$1,"NA"),'MITRE ATT&amp;CK Mappings'!$E481)),ISNUMBER(SEARCH(IF(J$1&lt;&gt;"",J$1,"NA"),'MITRE ATT&amp;CK Mappings'!$F481))),ISNUMBER(SEARCH(IF(J$2&lt;&gt;"",J$2,"NA"),'MITRE ATT&amp;CK Mappings'!$G481))),ISNUMBER(SEARCH(IF(J$2&lt;&gt;"",J$2,"NA"),'MITRE ATT&amp;CK Mappings'!$H481))),ISNUMBER(SEARCH(IF(J$3&lt;&gt;"",J$3,"NA"),'MITRE ATT&amp;CK Mappings'!$I481))),ISNUMBER(SEARCH(IF(J$3&lt;&gt;"",J$3,"NA"),'MITRE ATT&amp;CK Mappings'!$J481))), 'MITRE ATT&amp;CK Mappings'!$B481,"")</f>
        <v/>
      </c>
      <c r="K485" s="27" t="str">
        <f>IF(OR(OR(OR(OR(OR(ISNUMBER(SEARCH(IF(K$1&lt;&gt;"",K$1,"NA"),'MITRE ATT&amp;CK Mappings'!$E481)),ISNUMBER(SEARCH(IF(K$1&lt;&gt;"",K$1,"NA"),'MITRE ATT&amp;CK Mappings'!$F481))),ISNUMBER(SEARCH(IF(K$2&lt;&gt;"",K$2,"NA"),'MITRE ATT&amp;CK Mappings'!$G481))),ISNUMBER(SEARCH(IF(K$2&lt;&gt;"",K$2,"NA"),'MITRE ATT&amp;CK Mappings'!$H481))),ISNUMBER(SEARCH(IF(K$3&lt;&gt;"",K$3,"NA"),'MITRE ATT&amp;CK Mappings'!$I481))),ISNUMBER(SEARCH(IF(K$3&lt;&gt;"",K$3,"NA"),'MITRE ATT&amp;CK Mappings'!$J481))), 'MITRE ATT&amp;CK Mappings'!$B481,"")</f>
        <v/>
      </c>
      <c r="L485" s="27" t="str">
        <f>IF('MITRE ATT&amp;CK Mappings'!D481 &lt;&gt;"",'MITRE ATT&amp;CK Mappings'!D481,"" )</f>
        <v/>
      </c>
    </row>
    <row r="486" spans="1:12" x14ac:dyDescent="0.25">
      <c r="A486" s="26" t="str">
        <f>IF(COUNTIF(B486:K486,"="&amp;'MITRE ATT&amp;CK Mappings'!B482)&gt;0,'MITRE ATT&amp;CK Mappings'!B482,"")</f>
        <v/>
      </c>
      <c r="B486" s="26" t="str">
        <f>IF(OR(OR(OR(OR(OR(ISNUMBER(SEARCH(IF(B$1&lt;&gt;"",B$1,"NA"),'MITRE ATT&amp;CK Mappings'!$E482)),ISNUMBER(SEARCH(IF(B$1&lt;&gt;"",B$1,"NA"),'MITRE ATT&amp;CK Mappings'!$F482))),ISNUMBER(SEARCH(IF(B$2&lt;&gt;"",B$2,"NA"),'MITRE ATT&amp;CK Mappings'!$G482))),ISNUMBER(SEARCH(IF(B$2&lt;&gt;"",B$2,"NA"),'MITRE ATT&amp;CK Mappings'!$H482))),ISNUMBER(SEARCH(IF(B$3&lt;&gt;"",B$3,"NA"),'MITRE ATT&amp;CK Mappings'!$I482))),ISNUMBER(SEARCH(IF(B$3&lt;&gt;"",B$3,"NA"),'MITRE ATT&amp;CK Mappings'!$J482))), 'MITRE ATT&amp;CK Mappings'!$B482,"")</f>
        <v/>
      </c>
      <c r="C486" s="26" t="str">
        <f>IF(OR(OR(OR(OR(OR(ISNUMBER(SEARCH(IF(C$1&lt;&gt;"",C$1,"NA"),'MITRE ATT&amp;CK Mappings'!$E482)),ISNUMBER(SEARCH(IF(C$1&lt;&gt;"",C$1,"NA"),'MITRE ATT&amp;CK Mappings'!$F482))),ISNUMBER(SEARCH(IF(C$2&lt;&gt;"",C$2,"NA"),'MITRE ATT&amp;CK Mappings'!$G482))),ISNUMBER(SEARCH(IF(C$2&lt;&gt;"",C$2,"NA"),'MITRE ATT&amp;CK Mappings'!$H482))),ISNUMBER(SEARCH(IF(C$3&lt;&gt;"",C$3,"NA"),'MITRE ATT&amp;CK Mappings'!$I482))),ISNUMBER(SEARCH(IF(C$3&lt;&gt;"",C$3,"NA"),'MITRE ATT&amp;CK Mappings'!$J482))), 'MITRE ATT&amp;CK Mappings'!$B482,"")</f>
        <v/>
      </c>
      <c r="D486" s="26" t="str">
        <f>IF(OR(OR(OR(OR(OR(ISNUMBER(SEARCH(IF(D$1&lt;&gt;"",D$1,"NA"),'MITRE ATT&amp;CK Mappings'!$E482)),ISNUMBER(SEARCH(IF(D$1&lt;&gt;"",D$1,"NA"),'MITRE ATT&amp;CK Mappings'!$F482))),ISNUMBER(SEARCH(IF(D$2&lt;&gt;"",D$2,"NA"),'MITRE ATT&amp;CK Mappings'!$G482))),ISNUMBER(SEARCH(IF(D$2&lt;&gt;"",D$2,"NA"),'MITRE ATT&amp;CK Mappings'!$H482))),ISNUMBER(SEARCH(IF(D$3&lt;&gt;"",D$3,"NA"),'MITRE ATT&amp;CK Mappings'!$I482))),ISNUMBER(SEARCH(IF(D$3&lt;&gt;"",D$3,"NA"),'MITRE ATT&amp;CK Mappings'!$J482))), 'MITRE ATT&amp;CK Mappings'!$B482,"")</f>
        <v/>
      </c>
      <c r="E486" s="26" t="str">
        <f>IF(OR(OR(OR(OR(OR(ISNUMBER(SEARCH(IF(E$1&lt;&gt;"",E$1,"NA"),'MITRE ATT&amp;CK Mappings'!$E482)),ISNUMBER(SEARCH(IF(E$1&lt;&gt;"",E$1,"NA"),'MITRE ATT&amp;CK Mappings'!$F482))),ISNUMBER(SEARCH(IF(E$2&lt;&gt;"",E$2,"NA"),'MITRE ATT&amp;CK Mappings'!$G482))),ISNUMBER(SEARCH(IF(E$2&lt;&gt;"",E$2,"NA"),'MITRE ATT&amp;CK Mappings'!$H482))),ISNUMBER(SEARCH(IF(E$3&lt;&gt;"",E$3,"NA"),'MITRE ATT&amp;CK Mappings'!$I482))),ISNUMBER(SEARCH(IF(E$3&lt;&gt;"",E$3,"NA"),'MITRE ATT&amp;CK Mappings'!$J482))), 'MITRE ATT&amp;CK Mappings'!$B482,"")</f>
        <v/>
      </c>
      <c r="F486" s="26" t="str">
        <f>IF(OR(OR(OR(OR(OR(ISNUMBER(SEARCH(IF(F$1&lt;&gt;"",F$1,"NA"),'MITRE ATT&amp;CK Mappings'!$E482)),ISNUMBER(SEARCH(IF(F$1&lt;&gt;"",F$1,"NA"),'MITRE ATT&amp;CK Mappings'!$F482))),ISNUMBER(SEARCH(IF(F$2&lt;&gt;"",F$2,"NA"),'MITRE ATT&amp;CK Mappings'!$G482))),ISNUMBER(SEARCH(IF(F$2&lt;&gt;"",F$2,"NA"),'MITRE ATT&amp;CK Mappings'!$H482))),ISNUMBER(SEARCH(IF(F$3&lt;&gt;"",F$3,"NA"),'MITRE ATT&amp;CK Mappings'!$I482))),ISNUMBER(SEARCH(IF(F$3&lt;&gt;"",F$3,"NA"),'MITRE ATT&amp;CK Mappings'!$J482))), 'MITRE ATT&amp;CK Mappings'!$B482,"")</f>
        <v/>
      </c>
      <c r="G486" s="26" t="str">
        <f>IF(OR(OR(OR(OR(OR(ISNUMBER(SEARCH(IF(G$1&lt;&gt;"",G$1,"NA"),'MITRE ATT&amp;CK Mappings'!$E482)),ISNUMBER(SEARCH(IF(G$1&lt;&gt;"",G$1,"NA"),'MITRE ATT&amp;CK Mappings'!$F482))),ISNUMBER(SEARCH(IF(G$2&lt;&gt;"",G$2,"NA"),'MITRE ATT&amp;CK Mappings'!$G482))),ISNUMBER(SEARCH(IF(G$2&lt;&gt;"",G$2,"NA"),'MITRE ATT&amp;CK Mappings'!$H482))),ISNUMBER(SEARCH(IF(G$3&lt;&gt;"",G$3,"NA"),'MITRE ATT&amp;CK Mappings'!$I482))),ISNUMBER(SEARCH(IF(G$3&lt;&gt;"",G$3,"NA"),'MITRE ATT&amp;CK Mappings'!$J482))), 'MITRE ATT&amp;CK Mappings'!$B482,"")</f>
        <v/>
      </c>
      <c r="H486" s="26" t="str">
        <f>IF(OR(OR(OR(OR(OR(ISNUMBER(SEARCH(IF(H$1&lt;&gt;"",H$1,"NA"),'MITRE ATT&amp;CK Mappings'!$E482)),ISNUMBER(SEARCH(IF(H$1&lt;&gt;"",H$1,"NA"),'MITRE ATT&amp;CK Mappings'!$F482))),ISNUMBER(SEARCH(IF(H$2&lt;&gt;"",H$2,"NA"),'MITRE ATT&amp;CK Mappings'!$G482))),ISNUMBER(SEARCH(IF(H$2&lt;&gt;"",H$2,"NA"),'MITRE ATT&amp;CK Mappings'!$H482))),ISNUMBER(SEARCH(IF(H$3&lt;&gt;"",H$3,"NA"),'MITRE ATT&amp;CK Mappings'!$I482))),ISNUMBER(SEARCH(IF(H$3&lt;&gt;"",H$3,"NA"),'MITRE ATT&amp;CK Mappings'!$J482))), 'MITRE ATT&amp;CK Mappings'!$B482,"")</f>
        <v/>
      </c>
      <c r="I486" s="26" t="str">
        <f>IF(OR(OR(OR(OR(OR(ISNUMBER(SEARCH(IF(I$1&lt;&gt;"",I$1,"NA"),'MITRE ATT&amp;CK Mappings'!$E482)),ISNUMBER(SEARCH(IF(I$1&lt;&gt;"",I$1,"NA"),'MITRE ATT&amp;CK Mappings'!$F482))),ISNUMBER(SEARCH(IF(I$2&lt;&gt;"",I$2,"NA"),'MITRE ATT&amp;CK Mappings'!$G482))),ISNUMBER(SEARCH(IF(I$2&lt;&gt;"",I$2,"NA"),'MITRE ATT&amp;CK Mappings'!$H482))),ISNUMBER(SEARCH(IF(I$3&lt;&gt;"",I$3,"NA"),'MITRE ATT&amp;CK Mappings'!$I482))),ISNUMBER(SEARCH(IF(I$3&lt;&gt;"",I$3,"NA"),'MITRE ATT&amp;CK Mappings'!$J482))), 'MITRE ATT&amp;CK Mappings'!$B482,"")</f>
        <v/>
      </c>
      <c r="J486" s="26" t="str">
        <f>IF(OR(OR(OR(OR(OR(ISNUMBER(SEARCH(IF(J$1&lt;&gt;"",J$1,"NA"),'MITRE ATT&amp;CK Mappings'!$E482)),ISNUMBER(SEARCH(IF(J$1&lt;&gt;"",J$1,"NA"),'MITRE ATT&amp;CK Mappings'!$F482))),ISNUMBER(SEARCH(IF(J$2&lt;&gt;"",J$2,"NA"),'MITRE ATT&amp;CK Mappings'!$G482))),ISNUMBER(SEARCH(IF(J$2&lt;&gt;"",J$2,"NA"),'MITRE ATT&amp;CK Mappings'!$H482))),ISNUMBER(SEARCH(IF(J$3&lt;&gt;"",J$3,"NA"),'MITRE ATT&amp;CK Mappings'!$I482))),ISNUMBER(SEARCH(IF(J$3&lt;&gt;"",J$3,"NA"),'MITRE ATT&amp;CK Mappings'!$J482))), 'MITRE ATT&amp;CK Mappings'!$B482,"")</f>
        <v/>
      </c>
      <c r="K486" s="26" t="str">
        <f>IF(OR(OR(OR(OR(OR(ISNUMBER(SEARCH(IF(K$1&lt;&gt;"",K$1,"NA"),'MITRE ATT&amp;CK Mappings'!$E482)),ISNUMBER(SEARCH(IF(K$1&lt;&gt;"",K$1,"NA"),'MITRE ATT&amp;CK Mappings'!$F482))),ISNUMBER(SEARCH(IF(K$2&lt;&gt;"",K$2,"NA"),'MITRE ATT&amp;CK Mappings'!$G482))),ISNUMBER(SEARCH(IF(K$2&lt;&gt;"",K$2,"NA"),'MITRE ATT&amp;CK Mappings'!$H482))),ISNUMBER(SEARCH(IF(K$3&lt;&gt;"",K$3,"NA"),'MITRE ATT&amp;CK Mappings'!$I482))),ISNUMBER(SEARCH(IF(K$3&lt;&gt;"",K$3,"NA"),'MITRE ATT&amp;CK Mappings'!$J482))), 'MITRE ATT&amp;CK Mappings'!$B482,"")</f>
        <v/>
      </c>
      <c r="L486" s="26" t="str">
        <f>IF('MITRE ATT&amp;CK Mappings'!D482 &lt;&gt;"",'MITRE ATT&amp;CK Mappings'!D482,"" )</f>
        <v/>
      </c>
    </row>
    <row r="487" spans="1:12" x14ac:dyDescent="0.25">
      <c r="A487" s="27" t="str">
        <f>IF(COUNTIF(B487:K487,"="&amp;'MITRE ATT&amp;CK Mappings'!B483)&gt;0,'MITRE ATT&amp;CK Mappings'!B483,"")</f>
        <v/>
      </c>
      <c r="B487" s="27" t="str">
        <f>IF(OR(OR(OR(OR(OR(ISNUMBER(SEARCH(IF(B$1&lt;&gt;"",B$1,"NA"),'MITRE ATT&amp;CK Mappings'!$E483)),ISNUMBER(SEARCH(IF(B$1&lt;&gt;"",B$1,"NA"),'MITRE ATT&amp;CK Mappings'!$F483))),ISNUMBER(SEARCH(IF(B$2&lt;&gt;"",B$2,"NA"),'MITRE ATT&amp;CK Mappings'!$G483))),ISNUMBER(SEARCH(IF(B$2&lt;&gt;"",B$2,"NA"),'MITRE ATT&amp;CK Mappings'!$H483))),ISNUMBER(SEARCH(IF(B$3&lt;&gt;"",B$3,"NA"),'MITRE ATT&amp;CK Mappings'!$I483))),ISNUMBER(SEARCH(IF(B$3&lt;&gt;"",B$3,"NA"),'MITRE ATT&amp;CK Mappings'!$J483))), 'MITRE ATT&amp;CK Mappings'!$B483,"")</f>
        <v/>
      </c>
      <c r="C487" s="27" t="str">
        <f>IF(OR(OR(OR(OR(OR(ISNUMBER(SEARCH(IF(C$1&lt;&gt;"",C$1,"NA"),'MITRE ATT&amp;CK Mappings'!$E483)),ISNUMBER(SEARCH(IF(C$1&lt;&gt;"",C$1,"NA"),'MITRE ATT&amp;CK Mappings'!$F483))),ISNUMBER(SEARCH(IF(C$2&lt;&gt;"",C$2,"NA"),'MITRE ATT&amp;CK Mappings'!$G483))),ISNUMBER(SEARCH(IF(C$2&lt;&gt;"",C$2,"NA"),'MITRE ATT&amp;CK Mappings'!$H483))),ISNUMBER(SEARCH(IF(C$3&lt;&gt;"",C$3,"NA"),'MITRE ATT&amp;CK Mappings'!$I483))),ISNUMBER(SEARCH(IF(C$3&lt;&gt;"",C$3,"NA"),'MITRE ATT&amp;CK Mappings'!$J483))), 'MITRE ATT&amp;CK Mappings'!$B483,"")</f>
        <v/>
      </c>
      <c r="D487" s="27" t="str">
        <f>IF(OR(OR(OR(OR(OR(ISNUMBER(SEARCH(IF(D$1&lt;&gt;"",D$1,"NA"),'MITRE ATT&amp;CK Mappings'!$E483)),ISNUMBER(SEARCH(IF(D$1&lt;&gt;"",D$1,"NA"),'MITRE ATT&amp;CK Mappings'!$F483))),ISNUMBER(SEARCH(IF(D$2&lt;&gt;"",D$2,"NA"),'MITRE ATT&amp;CK Mappings'!$G483))),ISNUMBER(SEARCH(IF(D$2&lt;&gt;"",D$2,"NA"),'MITRE ATT&amp;CK Mappings'!$H483))),ISNUMBER(SEARCH(IF(D$3&lt;&gt;"",D$3,"NA"),'MITRE ATT&amp;CK Mappings'!$I483))),ISNUMBER(SEARCH(IF(D$3&lt;&gt;"",D$3,"NA"),'MITRE ATT&amp;CK Mappings'!$J483))), 'MITRE ATT&amp;CK Mappings'!$B483,"")</f>
        <v/>
      </c>
      <c r="E487" s="27" t="str">
        <f>IF(OR(OR(OR(OR(OR(ISNUMBER(SEARCH(IF(E$1&lt;&gt;"",E$1,"NA"),'MITRE ATT&amp;CK Mappings'!$E483)),ISNUMBER(SEARCH(IF(E$1&lt;&gt;"",E$1,"NA"),'MITRE ATT&amp;CK Mappings'!$F483))),ISNUMBER(SEARCH(IF(E$2&lt;&gt;"",E$2,"NA"),'MITRE ATT&amp;CK Mappings'!$G483))),ISNUMBER(SEARCH(IF(E$2&lt;&gt;"",E$2,"NA"),'MITRE ATT&amp;CK Mappings'!$H483))),ISNUMBER(SEARCH(IF(E$3&lt;&gt;"",E$3,"NA"),'MITRE ATT&amp;CK Mappings'!$I483))),ISNUMBER(SEARCH(IF(E$3&lt;&gt;"",E$3,"NA"),'MITRE ATT&amp;CK Mappings'!$J483))), 'MITRE ATT&amp;CK Mappings'!$B483,"")</f>
        <v/>
      </c>
      <c r="F487" s="27" t="str">
        <f>IF(OR(OR(OR(OR(OR(ISNUMBER(SEARCH(IF(F$1&lt;&gt;"",F$1,"NA"),'MITRE ATT&amp;CK Mappings'!$E483)),ISNUMBER(SEARCH(IF(F$1&lt;&gt;"",F$1,"NA"),'MITRE ATT&amp;CK Mappings'!$F483))),ISNUMBER(SEARCH(IF(F$2&lt;&gt;"",F$2,"NA"),'MITRE ATT&amp;CK Mappings'!$G483))),ISNUMBER(SEARCH(IF(F$2&lt;&gt;"",F$2,"NA"),'MITRE ATT&amp;CK Mappings'!$H483))),ISNUMBER(SEARCH(IF(F$3&lt;&gt;"",F$3,"NA"),'MITRE ATT&amp;CK Mappings'!$I483))),ISNUMBER(SEARCH(IF(F$3&lt;&gt;"",F$3,"NA"),'MITRE ATT&amp;CK Mappings'!$J483))), 'MITRE ATT&amp;CK Mappings'!$B483,"")</f>
        <v/>
      </c>
      <c r="G487" s="27" t="str">
        <f>IF(OR(OR(OR(OR(OR(ISNUMBER(SEARCH(IF(G$1&lt;&gt;"",G$1,"NA"),'MITRE ATT&amp;CK Mappings'!$E483)),ISNUMBER(SEARCH(IF(G$1&lt;&gt;"",G$1,"NA"),'MITRE ATT&amp;CK Mappings'!$F483))),ISNUMBER(SEARCH(IF(G$2&lt;&gt;"",G$2,"NA"),'MITRE ATT&amp;CK Mappings'!$G483))),ISNUMBER(SEARCH(IF(G$2&lt;&gt;"",G$2,"NA"),'MITRE ATT&amp;CK Mappings'!$H483))),ISNUMBER(SEARCH(IF(G$3&lt;&gt;"",G$3,"NA"),'MITRE ATT&amp;CK Mappings'!$I483))),ISNUMBER(SEARCH(IF(G$3&lt;&gt;"",G$3,"NA"),'MITRE ATT&amp;CK Mappings'!$J483))), 'MITRE ATT&amp;CK Mappings'!$B483,"")</f>
        <v/>
      </c>
      <c r="H487" s="27" t="str">
        <f>IF(OR(OR(OR(OR(OR(ISNUMBER(SEARCH(IF(H$1&lt;&gt;"",H$1,"NA"),'MITRE ATT&amp;CK Mappings'!$E483)),ISNUMBER(SEARCH(IF(H$1&lt;&gt;"",H$1,"NA"),'MITRE ATT&amp;CK Mappings'!$F483))),ISNUMBER(SEARCH(IF(H$2&lt;&gt;"",H$2,"NA"),'MITRE ATT&amp;CK Mappings'!$G483))),ISNUMBER(SEARCH(IF(H$2&lt;&gt;"",H$2,"NA"),'MITRE ATT&amp;CK Mappings'!$H483))),ISNUMBER(SEARCH(IF(H$3&lt;&gt;"",H$3,"NA"),'MITRE ATT&amp;CK Mappings'!$I483))),ISNUMBER(SEARCH(IF(H$3&lt;&gt;"",H$3,"NA"),'MITRE ATT&amp;CK Mappings'!$J483))), 'MITRE ATT&amp;CK Mappings'!$B483,"")</f>
        <v/>
      </c>
      <c r="I487" s="27" t="str">
        <f>IF(OR(OR(OR(OR(OR(ISNUMBER(SEARCH(IF(I$1&lt;&gt;"",I$1,"NA"),'MITRE ATT&amp;CK Mappings'!$E483)),ISNUMBER(SEARCH(IF(I$1&lt;&gt;"",I$1,"NA"),'MITRE ATT&amp;CK Mappings'!$F483))),ISNUMBER(SEARCH(IF(I$2&lt;&gt;"",I$2,"NA"),'MITRE ATT&amp;CK Mappings'!$G483))),ISNUMBER(SEARCH(IF(I$2&lt;&gt;"",I$2,"NA"),'MITRE ATT&amp;CK Mappings'!$H483))),ISNUMBER(SEARCH(IF(I$3&lt;&gt;"",I$3,"NA"),'MITRE ATT&amp;CK Mappings'!$I483))),ISNUMBER(SEARCH(IF(I$3&lt;&gt;"",I$3,"NA"),'MITRE ATT&amp;CK Mappings'!$J483))), 'MITRE ATT&amp;CK Mappings'!$B483,"")</f>
        <v/>
      </c>
      <c r="J487" s="27" t="str">
        <f>IF(OR(OR(OR(OR(OR(ISNUMBER(SEARCH(IF(J$1&lt;&gt;"",J$1,"NA"),'MITRE ATT&amp;CK Mappings'!$E483)),ISNUMBER(SEARCH(IF(J$1&lt;&gt;"",J$1,"NA"),'MITRE ATT&amp;CK Mappings'!$F483))),ISNUMBER(SEARCH(IF(J$2&lt;&gt;"",J$2,"NA"),'MITRE ATT&amp;CK Mappings'!$G483))),ISNUMBER(SEARCH(IF(J$2&lt;&gt;"",J$2,"NA"),'MITRE ATT&amp;CK Mappings'!$H483))),ISNUMBER(SEARCH(IF(J$3&lt;&gt;"",J$3,"NA"),'MITRE ATT&amp;CK Mappings'!$I483))),ISNUMBER(SEARCH(IF(J$3&lt;&gt;"",J$3,"NA"),'MITRE ATT&amp;CK Mappings'!$J483))), 'MITRE ATT&amp;CK Mappings'!$B483,"")</f>
        <v/>
      </c>
      <c r="K487" s="27" t="str">
        <f>IF(OR(OR(OR(OR(OR(ISNUMBER(SEARCH(IF(K$1&lt;&gt;"",K$1,"NA"),'MITRE ATT&amp;CK Mappings'!$E483)),ISNUMBER(SEARCH(IF(K$1&lt;&gt;"",K$1,"NA"),'MITRE ATT&amp;CK Mappings'!$F483))),ISNUMBER(SEARCH(IF(K$2&lt;&gt;"",K$2,"NA"),'MITRE ATT&amp;CK Mappings'!$G483))),ISNUMBER(SEARCH(IF(K$2&lt;&gt;"",K$2,"NA"),'MITRE ATT&amp;CK Mappings'!$H483))),ISNUMBER(SEARCH(IF(K$3&lt;&gt;"",K$3,"NA"),'MITRE ATT&amp;CK Mappings'!$I483))),ISNUMBER(SEARCH(IF(K$3&lt;&gt;"",K$3,"NA"),'MITRE ATT&amp;CK Mappings'!$J483))), 'MITRE ATT&amp;CK Mappings'!$B483,"")</f>
        <v/>
      </c>
      <c r="L487" s="27" t="str">
        <f>IF('MITRE ATT&amp;CK Mappings'!D483 &lt;&gt;"",'MITRE ATT&amp;CK Mappings'!D483,"" )</f>
        <v/>
      </c>
    </row>
    <row r="488" spans="1:12" x14ac:dyDescent="0.25">
      <c r="A488" s="26" t="str">
        <f>IF(COUNTIF(B488:K488,"="&amp;'MITRE ATT&amp;CK Mappings'!B484)&gt;0,'MITRE ATT&amp;CK Mappings'!B484,"")</f>
        <v/>
      </c>
      <c r="B488" s="26" t="str">
        <f>IF(OR(OR(OR(OR(OR(ISNUMBER(SEARCH(IF(B$1&lt;&gt;"",B$1,"NA"),'MITRE ATT&amp;CK Mappings'!$E484)),ISNUMBER(SEARCH(IF(B$1&lt;&gt;"",B$1,"NA"),'MITRE ATT&amp;CK Mappings'!$F484))),ISNUMBER(SEARCH(IF(B$2&lt;&gt;"",B$2,"NA"),'MITRE ATT&amp;CK Mappings'!$G484))),ISNUMBER(SEARCH(IF(B$2&lt;&gt;"",B$2,"NA"),'MITRE ATT&amp;CK Mappings'!$H484))),ISNUMBER(SEARCH(IF(B$3&lt;&gt;"",B$3,"NA"),'MITRE ATT&amp;CK Mappings'!$I484))),ISNUMBER(SEARCH(IF(B$3&lt;&gt;"",B$3,"NA"),'MITRE ATT&amp;CK Mappings'!$J484))), 'MITRE ATT&amp;CK Mappings'!$B484,"")</f>
        <v/>
      </c>
      <c r="C488" s="26" t="str">
        <f>IF(OR(OR(OR(OR(OR(ISNUMBER(SEARCH(IF(C$1&lt;&gt;"",C$1,"NA"),'MITRE ATT&amp;CK Mappings'!$E484)),ISNUMBER(SEARCH(IF(C$1&lt;&gt;"",C$1,"NA"),'MITRE ATT&amp;CK Mappings'!$F484))),ISNUMBER(SEARCH(IF(C$2&lt;&gt;"",C$2,"NA"),'MITRE ATT&amp;CK Mappings'!$G484))),ISNUMBER(SEARCH(IF(C$2&lt;&gt;"",C$2,"NA"),'MITRE ATT&amp;CK Mappings'!$H484))),ISNUMBER(SEARCH(IF(C$3&lt;&gt;"",C$3,"NA"),'MITRE ATT&amp;CK Mappings'!$I484))),ISNUMBER(SEARCH(IF(C$3&lt;&gt;"",C$3,"NA"),'MITRE ATT&amp;CK Mappings'!$J484))), 'MITRE ATT&amp;CK Mappings'!$B484,"")</f>
        <v/>
      </c>
      <c r="D488" s="26" t="str">
        <f>IF(OR(OR(OR(OR(OR(ISNUMBER(SEARCH(IF(D$1&lt;&gt;"",D$1,"NA"),'MITRE ATT&amp;CK Mappings'!$E484)),ISNUMBER(SEARCH(IF(D$1&lt;&gt;"",D$1,"NA"),'MITRE ATT&amp;CK Mappings'!$F484))),ISNUMBER(SEARCH(IF(D$2&lt;&gt;"",D$2,"NA"),'MITRE ATT&amp;CK Mappings'!$G484))),ISNUMBER(SEARCH(IF(D$2&lt;&gt;"",D$2,"NA"),'MITRE ATT&amp;CK Mappings'!$H484))),ISNUMBER(SEARCH(IF(D$3&lt;&gt;"",D$3,"NA"),'MITRE ATT&amp;CK Mappings'!$I484))),ISNUMBER(SEARCH(IF(D$3&lt;&gt;"",D$3,"NA"),'MITRE ATT&amp;CK Mappings'!$J484))), 'MITRE ATT&amp;CK Mappings'!$B484,"")</f>
        <v/>
      </c>
      <c r="E488" s="26" t="str">
        <f>IF(OR(OR(OR(OR(OR(ISNUMBER(SEARCH(IF(E$1&lt;&gt;"",E$1,"NA"),'MITRE ATT&amp;CK Mappings'!$E484)),ISNUMBER(SEARCH(IF(E$1&lt;&gt;"",E$1,"NA"),'MITRE ATT&amp;CK Mappings'!$F484))),ISNUMBER(SEARCH(IF(E$2&lt;&gt;"",E$2,"NA"),'MITRE ATT&amp;CK Mappings'!$G484))),ISNUMBER(SEARCH(IF(E$2&lt;&gt;"",E$2,"NA"),'MITRE ATT&amp;CK Mappings'!$H484))),ISNUMBER(SEARCH(IF(E$3&lt;&gt;"",E$3,"NA"),'MITRE ATT&amp;CK Mappings'!$I484))),ISNUMBER(SEARCH(IF(E$3&lt;&gt;"",E$3,"NA"),'MITRE ATT&amp;CK Mappings'!$J484))), 'MITRE ATT&amp;CK Mappings'!$B484,"")</f>
        <v/>
      </c>
      <c r="F488" s="26" t="str">
        <f>IF(OR(OR(OR(OR(OR(ISNUMBER(SEARCH(IF(F$1&lt;&gt;"",F$1,"NA"),'MITRE ATT&amp;CK Mappings'!$E484)),ISNUMBER(SEARCH(IF(F$1&lt;&gt;"",F$1,"NA"),'MITRE ATT&amp;CK Mappings'!$F484))),ISNUMBER(SEARCH(IF(F$2&lt;&gt;"",F$2,"NA"),'MITRE ATT&amp;CK Mappings'!$G484))),ISNUMBER(SEARCH(IF(F$2&lt;&gt;"",F$2,"NA"),'MITRE ATT&amp;CK Mappings'!$H484))),ISNUMBER(SEARCH(IF(F$3&lt;&gt;"",F$3,"NA"),'MITRE ATT&amp;CK Mappings'!$I484))),ISNUMBER(SEARCH(IF(F$3&lt;&gt;"",F$3,"NA"),'MITRE ATT&amp;CK Mappings'!$J484))), 'MITRE ATT&amp;CK Mappings'!$B484,"")</f>
        <v/>
      </c>
      <c r="G488" s="26" t="str">
        <f>IF(OR(OR(OR(OR(OR(ISNUMBER(SEARCH(IF(G$1&lt;&gt;"",G$1,"NA"),'MITRE ATT&amp;CK Mappings'!$E484)),ISNUMBER(SEARCH(IF(G$1&lt;&gt;"",G$1,"NA"),'MITRE ATT&amp;CK Mappings'!$F484))),ISNUMBER(SEARCH(IF(G$2&lt;&gt;"",G$2,"NA"),'MITRE ATT&amp;CK Mappings'!$G484))),ISNUMBER(SEARCH(IF(G$2&lt;&gt;"",G$2,"NA"),'MITRE ATT&amp;CK Mappings'!$H484))),ISNUMBER(SEARCH(IF(G$3&lt;&gt;"",G$3,"NA"),'MITRE ATT&amp;CK Mappings'!$I484))),ISNUMBER(SEARCH(IF(G$3&lt;&gt;"",G$3,"NA"),'MITRE ATT&amp;CK Mappings'!$J484))), 'MITRE ATT&amp;CK Mappings'!$B484,"")</f>
        <v/>
      </c>
      <c r="H488" s="26" t="str">
        <f>IF(OR(OR(OR(OR(OR(ISNUMBER(SEARCH(IF(H$1&lt;&gt;"",H$1,"NA"),'MITRE ATT&amp;CK Mappings'!$E484)),ISNUMBER(SEARCH(IF(H$1&lt;&gt;"",H$1,"NA"),'MITRE ATT&amp;CK Mappings'!$F484))),ISNUMBER(SEARCH(IF(H$2&lt;&gt;"",H$2,"NA"),'MITRE ATT&amp;CK Mappings'!$G484))),ISNUMBER(SEARCH(IF(H$2&lt;&gt;"",H$2,"NA"),'MITRE ATT&amp;CK Mappings'!$H484))),ISNUMBER(SEARCH(IF(H$3&lt;&gt;"",H$3,"NA"),'MITRE ATT&amp;CK Mappings'!$I484))),ISNUMBER(SEARCH(IF(H$3&lt;&gt;"",H$3,"NA"),'MITRE ATT&amp;CK Mappings'!$J484))), 'MITRE ATT&amp;CK Mappings'!$B484,"")</f>
        <v/>
      </c>
      <c r="I488" s="26" t="str">
        <f>IF(OR(OR(OR(OR(OR(ISNUMBER(SEARCH(IF(I$1&lt;&gt;"",I$1,"NA"),'MITRE ATT&amp;CK Mappings'!$E484)),ISNUMBER(SEARCH(IF(I$1&lt;&gt;"",I$1,"NA"),'MITRE ATT&amp;CK Mappings'!$F484))),ISNUMBER(SEARCH(IF(I$2&lt;&gt;"",I$2,"NA"),'MITRE ATT&amp;CK Mappings'!$G484))),ISNUMBER(SEARCH(IF(I$2&lt;&gt;"",I$2,"NA"),'MITRE ATT&amp;CK Mappings'!$H484))),ISNUMBER(SEARCH(IF(I$3&lt;&gt;"",I$3,"NA"),'MITRE ATT&amp;CK Mappings'!$I484))),ISNUMBER(SEARCH(IF(I$3&lt;&gt;"",I$3,"NA"),'MITRE ATT&amp;CK Mappings'!$J484))), 'MITRE ATT&amp;CK Mappings'!$B484,"")</f>
        <v/>
      </c>
      <c r="J488" s="26" t="str">
        <f>IF(OR(OR(OR(OR(OR(ISNUMBER(SEARCH(IF(J$1&lt;&gt;"",J$1,"NA"),'MITRE ATT&amp;CK Mappings'!$E484)),ISNUMBER(SEARCH(IF(J$1&lt;&gt;"",J$1,"NA"),'MITRE ATT&amp;CK Mappings'!$F484))),ISNUMBER(SEARCH(IF(J$2&lt;&gt;"",J$2,"NA"),'MITRE ATT&amp;CK Mappings'!$G484))),ISNUMBER(SEARCH(IF(J$2&lt;&gt;"",J$2,"NA"),'MITRE ATT&amp;CK Mappings'!$H484))),ISNUMBER(SEARCH(IF(J$3&lt;&gt;"",J$3,"NA"),'MITRE ATT&amp;CK Mappings'!$I484))),ISNUMBER(SEARCH(IF(J$3&lt;&gt;"",J$3,"NA"),'MITRE ATT&amp;CK Mappings'!$J484))), 'MITRE ATT&amp;CK Mappings'!$B484,"")</f>
        <v/>
      </c>
      <c r="K488" s="26" t="str">
        <f>IF(OR(OR(OR(OR(OR(ISNUMBER(SEARCH(IF(K$1&lt;&gt;"",K$1,"NA"),'MITRE ATT&amp;CK Mappings'!$E484)),ISNUMBER(SEARCH(IF(K$1&lt;&gt;"",K$1,"NA"),'MITRE ATT&amp;CK Mappings'!$F484))),ISNUMBER(SEARCH(IF(K$2&lt;&gt;"",K$2,"NA"),'MITRE ATT&amp;CK Mappings'!$G484))),ISNUMBER(SEARCH(IF(K$2&lt;&gt;"",K$2,"NA"),'MITRE ATT&amp;CK Mappings'!$H484))),ISNUMBER(SEARCH(IF(K$3&lt;&gt;"",K$3,"NA"),'MITRE ATT&amp;CK Mappings'!$I484))),ISNUMBER(SEARCH(IF(K$3&lt;&gt;"",K$3,"NA"),'MITRE ATT&amp;CK Mappings'!$J484))), 'MITRE ATT&amp;CK Mappings'!$B484,"")</f>
        <v/>
      </c>
      <c r="L488" s="26" t="str">
        <f>IF('MITRE ATT&amp;CK Mappings'!D484 &lt;&gt;"",'MITRE ATT&amp;CK Mappings'!D484,"" )</f>
        <v/>
      </c>
    </row>
    <row r="489" spans="1:12" x14ac:dyDescent="0.25">
      <c r="A489" s="27" t="str">
        <f>IF(COUNTIF(B489:K489,"="&amp;'MITRE ATT&amp;CK Mappings'!B485)&gt;0,'MITRE ATT&amp;CK Mappings'!B485,"")</f>
        <v/>
      </c>
      <c r="B489" s="27" t="str">
        <f>IF(OR(OR(OR(OR(OR(ISNUMBER(SEARCH(IF(B$1&lt;&gt;"",B$1,"NA"),'MITRE ATT&amp;CK Mappings'!$E485)),ISNUMBER(SEARCH(IF(B$1&lt;&gt;"",B$1,"NA"),'MITRE ATT&amp;CK Mappings'!$F485))),ISNUMBER(SEARCH(IF(B$2&lt;&gt;"",B$2,"NA"),'MITRE ATT&amp;CK Mappings'!$G485))),ISNUMBER(SEARCH(IF(B$2&lt;&gt;"",B$2,"NA"),'MITRE ATT&amp;CK Mappings'!$H485))),ISNUMBER(SEARCH(IF(B$3&lt;&gt;"",B$3,"NA"),'MITRE ATT&amp;CK Mappings'!$I485))),ISNUMBER(SEARCH(IF(B$3&lt;&gt;"",B$3,"NA"),'MITRE ATT&amp;CK Mappings'!$J485))), 'MITRE ATT&amp;CK Mappings'!$B485,"")</f>
        <v/>
      </c>
      <c r="C489" s="27" t="str">
        <f>IF(OR(OR(OR(OR(OR(ISNUMBER(SEARCH(IF(C$1&lt;&gt;"",C$1,"NA"),'MITRE ATT&amp;CK Mappings'!$E485)),ISNUMBER(SEARCH(IF(C$1&lt;&gt;"",C$1,"NA"),'MITRE ATT&amp;CK Mappings'!$F485))),ISNUMBER(SEARCH(IF(C$2&lt;&gt;"",C$2,"NA"),'MITRE ATT&amp;CK Mappings'!$G485))),ISNUMBER(SEARCH(IF(C$2&lt;&gt;"",C$2,"NA"),'MITRE ATT&amp;CK Mappings'!$H485))),ISNUMBER(SEARCH(IF(C$3&lt;&gt;"",C$3,"NA"),'MITRE ATT&amp;CK Mappings'!$I485))),ISNUMBER(SEARCH(IF(C$3&lt;&gt;"",C$3,"NA"),'MITRE ATT&amp;CK Mappings'!$J485))), 'MITRE ATT&amp;CK Mappings'!$B485,"")</f>
        <v/>
      </c>
      <c r="D489" s="27" t="str">
        <f>IF(OR(OR(OR(OR(OR(ISNUMBER(SEARCH(IF(D$1&lt;&gt;"",D$1,"NA"),'MITRE ATT&amp;CK Mappings'!$E485)),ISNUMBER(SEARCH(IF(D$1&lt;&gt;"",D$1,"NA"),'MITRE ATT&amp;CK Mappings'!$F485))),ISNUMBER(SEARCH(IF(D$2&lt;&gt;"",D$2,"NA"),'MITRE ATT&amp;CK Mappings'!$G485))),ISNUMBER(SEARCH(IF(D$2&lt;&gt;"",D$2,"NA"),'MITRE ATT&amp;CK Mappings'!$H485))),ISNUMBER(SEARCH(IF(D$3&lt;&gt;"",D$3,"NA"),'MITRE ATT&amp;CK Mappings'!$I485))),ISNUMBER(SEARCH(IF(D$3&lt;&gt;"",D$3,"NA"),'MITRE ATT&amp;CK Mappings'!$J485))), 'MITRE ATT&amp;CK Mappings'!$B485,"")</f>
        <v/>
      </c>
      <c r="E489" s="27" t="str">
        <f>IF(OR(OR(OR(OR(OR(ISNUMBER(SEARCH(IF(E$1&lt;&gt;"",E$1,"NA"),'MITRE ATT&amp;CK Mappings'!$E485)),ISNUMBER(SEARCH(IF(E$1&lt;&gt;"",E$1,"NA"),'MITRE ATT&amp;CK Mappings'!$F485))),ISNUMBER(SEARCH(IF(E$2&lt;&gt;"",E$2,"NA"),'MITRE ATT&amp;CK Mappings'!$G485))),ISNUMBER(SEARCH(IF(E$2&lt;&gt;"",E$2,"NA"),'MITRE ATT&amp;CK Mappings'!$H485))),ISNUMBER(SEARCH(IF(E$3&lt;&gt;"",E$3,"NA"),'MITRE ATT&amp;CK Mappings'!$I485))),ISNUMBER(SEARCH(IF(E$3&lt;&gt;"",E$3,"NA"),'MITRE ATT&amp;CK Mappings'!$J485))), 'MITRE ATT&amp;CK Mappings'!$B485,"")</f>
        <v/>
      </c>
      <c r="F489" s="27" t="str">
        <f>IF(OR(OR(OR(OR(OR(ISNUMBER(SEARCH(IF(F$1&lt;&gt;"",F$1,"NA"),'MITRE ATT&amp;CK Mappings'!$E485)),ISNUMBER(SEARCH(IF(F$1&lt;&gt;"",F$1,"NA"),'MITRE ATT&amp;CK Mappings'!$F485))),ISNUMBER(SEARCH(IF(F$2&lt;&gt;"",F$2,"NA"),'MITRE ATT&amp;CK Mappings'!$G485))),ISNUMBER(SEARCH(IF(F$2&lt;&gt;"",F$2,"NA"),'MITRE ATT&amp;CK Mappings'!$H485))),ISNUMBER(SEARCH(IF(F$3&lt;&gt;"",F$3,"NA"),'MITRE ATT&amp;CK Mappings'!$I485))),ISNUMBER(SEARCH(IF(F$3&lt;&gt;"",F$3,"NA"),'MITRE ATT&amp;CK Mappings'!$J485))), 'MITRE ATT&amp;CK Mappings'!$B485,"")</f>
        <v/>
      </c>
      <c r="G489" s="27" t="str">
        <f>IF(OR(OR(OR(OR(OR(ISNUMBER(SEARCH(IF(G$1&lt;&gt;"",G$1,"NA"),'MITRE ATT&amp;CK Mappings'!$E485)),ISNUMBER(SEARCH(IF(G$1&lt;&gt;"",G$1,"NA"),'MITRE ATT&amp;CK Mappings'!$F485))),ISNUMBER(SEARCH(IF(G$2&lt;&gt;"",G$2,"NA"),'MITRE ATT&amp;CK Mappings'!$G485))),ISNUMBER(SEARCH(IF(G$2&lt;&gt;"",G$2,"NA"),'MITRE ATT&amp;CK Mappings'!$H485))),ISNUMBER(SEARCH(IF(G$3&lt;&gt;"",G$3,"NA"),'MITRE ATT&amp;CK Mappings'!$I485))),ISNUMBER(SEARCH(IF(G$3&lt;&gt;"",G$3,"NA"),'MITRE ATT&amp;CK Mappings'!$J485))), 'MITRE ATT&amp;CK Mappings'!$B485,"")</f>
        <v/>
      </c>
      <c r="H489" s="27" t="str">
        <f>IF(OR(OR(OR(OR(OR(ISNUMBER(SEARCH(IF(H$1&lt;&gt;"",H$1,"NA"),'MITRE ATT&amp;CK Mappings'!$E485)),ISNUMBER(SEARCH(IF(H$1&lt;&gt;"",H$1,"NA"),'MITRE ATT&amp;CK Mappings'!$F485))),ISNUMBER(SEARCH(IF(H$2&lt;&gt;"",H$2,"NA"),'MITRE ATT&amp;CK Mappings'!$G485))),ISNUMBER(SEARCH(IF(H$2&lt;&gt;"",H$2,"NA"),'MITRE ATT&amp;CK Mappings'!$H485))),ISNUMBER(SEARCH(IF(H$3&lt;&gt;"",H$3,"NA"),'MITRE ATT&amp;CK Mappings'!$I485))),ISNUMBER(SEARCH(IF(H$3&lt;&gt;"",H$3,"NA"),'MITRE ATT&amp;CK Mappings'!$J485))), 'MITRE ATT&amp;CK Mappings'!$B485,"")</f>
        <v/>
      </c>
      <c r="I489" s="27" t="str">
        <f>IF(OR(OR(OR(OR(OR(ISNUMBER(SEARCH(IF(I$1&lt;&gt;"",I$1,"NA"),'MITRE ATT&amp;CK Mappings'!$E485)),ISNUMBER(SEARCH(IF(I$1&lt;&gt;"",I$1,"NA"),'MITRE ATT&amp;CK Mappings'!$F485))),ISNUMBER(SEARCH(IF(I$2&lt;&gt;"",I$2,"NA"),'MITRE ATT&amp;CK Mappings'!$G485))),ISNUMBER(SEARCH(IF(I$2&lt;&gt;"",I$2,"NA"),'MITRE ATT&amp;CK Mappings'!$H485))),ISNUMBER(SEARCH(IF(I$3&lt;&gt;"",I$3,"NA"),'MITRE ATT&amp;CK Mappings'!$I485))),ISNUMBER(SEARCH(IF(I$3&lt;&gt;"",I$3,"NA"),'MITRE ATT&amp;CK Mappings'!$J485))), 'MITRE ATT&amp;CK Mappings'!$B485,"")</f>
        <v/>
      </c>
      <c r="J489" s="27" t="str">
        <f>IF(OR(OR(OR(OR(OR(ISNUMBER(SEARCH(IF(J$1&lt;&gt;"",J$1,"NA"),'MITRE ATT&amp;CK Mappings'!$E485)),ISNUMBER(SEARCH(IF(J$1&lt;&gt;"",J$1,"NA"),'MITRE ATT&amp;CK Mappings'!$F485))),ISNUMBER(SEARCH(IF(J$2&lt;&gt;"",J$2,"NA"),'MITRE ATT&amp;CK Mappings'!$G485))),ISNUMBER(SEARCH(IF(J$2&lt;&gt;"",J$2,"NA"),'MITRE ATT&amp;CK Mappings'!$H485))),ISNUMBER(SEARCH(IF(J$3&lt;&gt;"",J$3,"NA"),'MITRE ATT&amp;CK Mappings'!$I485))),ISNUMBER(SEARCH(IF(J$3&lt;&gt;"",J$3,"NA"),'MITRE ATT&amp;CK Mappings'!$J485))), 'MITRE ATT&amp;CK Mappings'!$B485,"")</f>
        <v/>
      </c>
      <c r="K489" s="27" t="str">
        <f>IF(OR(OR(OR(OR(OR(ISNUMBER(SEARCH(IF(K$1&lt;&gt;"",K$1,"NA"),'MITRE ATT&amp;CK Mappings'!$E485)),ISNUMBER(SEARCH(IF(K$1&lt;&gt;"",K$1,"NA"),'MITRE ATT&amp;CK Mappings'!$F485))),ISNUMBER(SEARCH(IF(K$2&lt;&gt;"",K$2,"NA"),'MITRE ATT&amp;CK Mappings'!$G485))),ISNUMBER(SEARCH(IF(K$2&lt;&gt;"",K$2,"NA"),'MITRE ATT&amp;CK Mappings'!$H485))),ISNUMBER(SEARCH(IF(K$3&lt;&gt;"",K$3,"NA"),'MITRE ATT&amp;CK Mappings'!$I485))),ISNUMBER(SEARCH(IF(K$3&lt;&gt;"",K$3,"NA"),'MITRE ATT&amp;CK Mappings'!$J485))), 'MITRE ATT&amp;CK Mappings'!$B485,"")</f>
        <v/>
      </c>
      <c r="L489" s="27" t="str">
        <f>IF('MITRE ATT&amp;CK Mappings'!D485 &lt;&gt;"",'MITRE ATT&amp;CK Mappings'!D485,"" )</f>
        <v/>
      </c>
    </row>
    <row r="490" spans="1:12" x14ac:dyDescent="0.25">
      <c r="A490" s="26" t="str">
        <f>IF(COUNTIF(B490:K490,"="&amp;'MITRE ATT&amp;CK Mappings'!B486)&gt;0,'MITRE ATT&amp;CK Mappings'!B486,"")</f>
        <v/>
      </c>
      <c r="B490" s="26" t="str">
        <f>IF(OR(OR(OR(OR(OR(ISNUMBER(SEARCH(IF(B$1&lt;&gt;"",B$1,"NA"),'MITRE ATT&amp;CK Mappings'!$E486)),ISNUMBER(SEARCH(IF(B$1&lt;&gt;"",B$1,"NA"),'MITRE ATT&amp;CK Mappings'!$F486))),ISNUMBER(SEARCH(IF(B$2&lt;&gt;"",B$2,"NA"),'MITRE ATT&amp;CK Mappings'!$G486))),ISNUMBER(SEARCH(IF(B$2&lt;&gt;"",B$2,"NA"),'MITRE ATT&amp;CK Mappings'!$H486))),ISNUMBER(SEARCH(IF(B$3&lt;&gt;"",B$3,"NA"),'MITRE ATT&amp;CK Mappings'!$I486))),ISNUMBER(SEARCH(IF(B$3&lt;&gt;"",B$3,"NA"),'MITRE ATT&amp;CK Mappings'!$J486))), 'MITRE ATT&amp;CK Mappings'!$B486,"")</f>
        <v/>
      </c>
      <c r="C490" s="26" t="str">
        <f>IF(OR(OR(OR(OR(OR(ISNUMBER(SEARCH(IF(C$1&lt;&gt;"",C$1,"NA"),'MITRE ATT&amp;CK Mappings'!$E486)),ISNUMBER(SEARCH(IF(C$1&lt;&gt;"",C$1,"NA"),'MITRE ATT&amp;CK Mappings'!$F486))),ISNUMBER(SEARCH(IF(C$2&lt;&gt;"",C$2,"NA"),'MITRE ATT&amp;CK Mappings'!$G486))),ISNUMBER(SEARCH(IF(C$2&lt;&gt;"",C$2,"NA"),'MITRE ATT&amp;CK Mappings'!$H486))),ISNUMBER(SEARCH(IF(C$3&lt;&gt;"",C$3,"NA"),'MITRE ATT&amp;CK Mappings'!$I486))),ISNUMBER(SEARCH(IF(C$3&lt;&gt;"",C$3,"NA"),'MITRE ATT&amp;CK Mappings'!$J486))), 'MITRE ATT&amp;CK Mappings'!$B486,"")</f>
        <v/>
      </c>
      <c r="D490" s="26" t="str">
        <f>IF(OR(OR(OR(OR(OR(ISNUMBER(SEARCH(IF(D$1&lt;&gt;"",D$1,"NA"),'MITRE ATT&amp;CK Mappings'!$E486)),ISNUMBER(SEARCH(IF(D$1&lt;&gt;"",D$1,"NA"),'MITRE ATT&amp;CK Mappings'!$F486))),ISNUMBER(SEARCH(IF(D$2&lt;&gt;"",D$2,"NA"),'MITRE ATT&amp;CK Mappings'!$G486))),ISNUMBER(SEARCH(IF(D$2&lt;&gt;"",D$2,"NA"),'MITRE ATT&amp;CK Mappings'!$H486))),ISNUMBER(SEARCH(IF(D$3&lt;&gt;"",D$3,"NA"),'MITRE ATT&amp;CK Mappings'!$I486))),ISNUMBER(SEARCH(IF(D$3&lt;&gt;"",D$3,"NA"),'MITRE ATT&amp;CK Mappings'!$J486))), 'MITRE ATT&amp;CK Mappings'!$B486,"")</f>
        <v/>
      </c>
      <c r="E490" s="26" t="str">
        <f>IF(OR(OR(OR(OR(OR(ISNUMBER(SEARCH(IF(E$1&lt;&gt;"",E$1,"NA"),'MITRE ATT&amp;CK Mappings'!$E486)),ISNUMBER(SEARCH(IF(E$1&lt;&gt;"",E$1,"NA"),'MITRE ATT&amp;CK Mappings'!$F486))),ISNUMBER(SEARCH(IF(E$2&lt;&gt;"",E$2,"NA"),'MITRE ATT&amp;CK Mappings'!$G486))),ISNUMBER(SEARCH(IF(E$2&lt;&gt;"",E$2,"NA"),'MITRE ATT&amp;CK Mappings'!$H486))),ISNUMBER(SEARCH(IF(E$3&lt;&gt;"",E$3,"NA"),'MITRE ATT&amp;CK Mappings'!$I486))),ISNUMBER(SEARCH(IF(E$3&lt;&gt;"",E$3,"NA"),'MITRE ATT&amp;CK Mappings'!$J486))), 'MITRE ATT&amp;CK Mappings'!$B486,"")</f>
        <v/>
      </c>
      <c r="F490" s="26" t="str">
        <f>IF(OR(OR(OR(OR(OR(ISNUMBER(SEARCH(IF(F$1&lt;&gt;"",F$1,"NA"),'MITRE ATT&amp;CK Mappings'!$E486)),ISNUMBER(SEARCH(IF(F$1&lt;&gt;"",F$1,"NA"),'MITRE ATT&amp;CK Mappings'!$F486))),ISNUMBER(SEARCH(IF(F$2&lt;&gt;"",F$2,"NA"),'MITRE ATT&amp;CK Mappings'!$G486))),ISNUMBER(SEARCH(IF(F$2&lt;&gt;"",F$2,"NA"),'MITRE ATT&amp;CK Mappings'!$H486))),ISNUMBER(SEARCH(IF(F$3&lt;&gt;"",F$3,"NA"),'MITRE ATT&amp;CK Mappings'!$I486))),ISNUMBER(SEARCH(IF(F$3&lt;&gt;"",F$3,"NA"),'MITRE ATT&amp;CK Mappings'!$J486))), 'MITRE ATT&amp;CK Mappings'!$B486,"")</f>
        <v/>
      </c>
      <c r="G490" s="26" t="str">
        <f>IF(OR(OR(OR(OR(OR(ISNUMBER(SEARCH(IF(G$1&lt;&gt;"",G$1,"NA"),'MITRE ATT&amp;CK Mappings'!$E486)),ISNUMBER(SEARCH(IF(G$1&lt;&gt;"",G$1,"NA"),'MITRE ATT&amp;CK Mappings'!$F486))),ISNUMBER(SEARCH(IF(G$2&lt;&gt;"",G$2,"NA"),'MITRE ATT&amp;CK Mappings'!$G486))),ISNUMBER(SEARCH(IF(G$2&lt;&gt;"",G$2,"NA"),'MITRE ATT&amp;CK Mappings'!$H486))),ISNUMBER(SEARCH(IF(G$3&lt;&gt;"",G$3,"NA"),'MITRE ATT&amp;CK Mappings'!$I486))),ISNUMBER(SEARCH(IF(G$3&lt;&gt;"",G$3,"NA"),'MITRE ATT&amp;CK Mappings'!$J486))), 'MITRE ATT&amp;CK Mappings'!$B486,"")</f>
        <v/>
      </c>
      <c r="H490" s="26" t="str">
        <f>IF(OR(OR(OR(OR(OR(ISNUMBER(SEARCH(IF(H$1&lt;&gt;"",H$1,"NA"),'MITRE ATT&amp;CK Mappings'!$E486)),ISNUMBER(SEARCH(IF(H$1&lt;&gt;"",H$1,"NA"),'MITRE ATT&amp;CK Mappings'!$F486))),ISNUMBER(SEARCH(IF(H$2&lt;&gt;"",H$2,"NA"),'MITRE ATT&amp;CK Mappings'!$G486))),ISNUMBER(SEARCH(IF(H$2&lt;&gt;"",H$2,"NA"),'MITRE ATT&amp;CK Mappings'!$H486))),ISNUMBER(SEARCH(IF(H$3&lt;&gt;"",H$3,"NA"),'MITRE ATT&amp;CK Mappings'!$I486))),ISNUMBER(SEARCH(IF(H$3&lt;&gt;"",H$3,"NA"),'MITRE ATT&amp;CK Mappings'!$J486))), 'MITRE ATT&amp;CK Mappings'!$B486,"")</f>
        <v/>
      </c>
      <c r="I490" s="26" t="str">
        <f>IF(OR(OR(OR(OR(OR(ISNUMBER(SEARCH(IF(I$1&lt;&gt;"",I$1,"NA"),'MITRE ATT&amp;CK Mappings'!$E486)),ISNUMBER(SEARCH(IF(I$1&lt;&gt;"",I$1,"NA"),'MITRE ATT&amp;CK Mappings'!$F486))),ISNUMBER(SEARCH(IF(I$2&lt;&gt;"",I$2,"NA"),'MITRE ATT&amp;CK Mappings'!$G486))),ISNUMBER(SEARCH(IF(I$2&lt;&gt;"",I$2,"NA"),'MITRE ATT&amp;CK Mappings'!$H486))),ISNUMBER(SEARCH(IF(I$3&lt;&gt;"",I$3,"NA"),'MITRE ATT&amp;CK Mappings'!$I486))),ISNUMBER(SEARCH(IF(I$3&lt;&gt;"",I$3,"NA"),'MITRE ATT&amp;CK Mappings'!$J486))), 'MITRE ATT&amp;CK Mappings'!$B486,"")</f>
        <v/>
      </c>
      <c r="J490" s="26" t="str">
        <f>IF(OR(OR(OR(OR(OR(ISNUMBER(SEARCH(IF(J$1&lt;&gt;"",J$1,"NA"),'MITRE ATT&amp;CK Mappings'!$E486)),ISNUMBER(SEARCH(IF(J$1&lt;&gt;"",J$1,"NA"),'MITRE ATT&amp;CK Mappings'!$F486))),ISNUMBER(SEARCH(IF(J$2&lt;&gt;"",J$2,"NA"),'MITRE ATT&amp;CK Mappings'!$G486))),ISNUMBER(SEARCH(IF(J$2&lt;&gt;"",J$2,"NA"),'MITRE ATT&amp;CK Mappings'!$H486))),ISNUMBER(SEARCH(IF(J$3&lt;&gt;"",J$3,"NA"),'MITRE ATT&amp;CK Mappings'!$I486))),ISNUMBER(SEARCH(IF(J$3&lt;&gt;"",J$3,"NA"),'MITRE ATT&amp;CK Mappings'!$J486))), 'MITRE ATT&amp;CK Mappings'!$B486,"")</f>
        <v/>
      </c>
      <c r="K490" s="26" t="str">
        <f>IF(OR(OR(OR(OR(OR(ISNUMBER(SEARCH(IF(K$1&lt;&gt;"",K$1,"NA"),'MITRE ATT&amp;CK Mappings'!$E486)),ISNUMBER(SEARCH(IF(K$1&lt;&gt;"",K$1,"NA"),'MITRE ATT&amp;CK Mappings'!$F486))),ISNUMBER(SEARCH(IF(K$2&lt;&gt;"",K$2,"NA"),'MITRE ATT&amp;CK Mappings'!$G486))),ISNUMBER(SEARCH(IF(K$2&lt;&gt;"",K$2,"NA"),'MITRE ATT&amp;CK Mappings'!$H486))),ISNUMBER(SEARCH(IF(K$3&lt;&gt;"",K$3,"NA"),'MITRE ATT&amp;CK Mappings'!$I486))),ISNUMBER(SEARCH(IF(K$3&lt;&gt;"",K$3,"NA"),'MITRE ATT&amp;CK Mappings'!$J486))), 'MITRE ATT&amp;CK Mappings'!$B486,"")</f>
        <v/>
      </c>
      <c r="L490" s="26" t="str">
        <f>IF('MITRE ATT&amp;CK Mappings'!D486 &lt;&gt;"",'MITRE ATT&amp;CK Mappings'!D486,"" )</f>
        <v/>
      </c>
    </row>
    <row r="491" spans="1:12" x14ac:dyDescent="0.25">
      <c r="A491" s="27" t="str">
        <f>IF(COUNTIF(B491:K491,"="&amp;'MITRE ATT&amp;CK Mappings'!B487)&gt;0,'MITRE ATT&amp;CK Mappings'!B487,"")</f>
        <v/>
      </c>
      <c r="B491" s="27" t="str">
        <f>IF(OR(OR(OR(OR(OR(ISNUMBER(SEARCH(IF(B$1&lt;&gt;"",B$1,"NA"),'MITRE ATT&amp;CK Mappings'!$E487)),ISNUMBER(SEARCH(IF(B$1&lt;&gt;"",B$1,"NA"),'MITRE ATT&amp;CK Mappings'!$F487))),ISNUMBER(SEARCH(IF(B$2&lt;&gt;"",B$2,"NA"),'MITRE ATT&amp;CK Mappings'!$G487))),ISNUMBER(SEARCH(IF(B$2&lt;&gt;"",B$2,"NA"),'MITRE ATT&amp;CK Mappings'!$H487))),ISNUMBER(SEARCH(IF(B$3&lt;&gt;"",B$3,"NA"),'MITRE ATT&amp;CK Mappings'!$I487))),ISNUMBER(SEARCH(IF(B$3&lt;&gt;"",B$3,"NA"),'MITRE ATT&amp;CK Mappings'!$J487))), 'MITRE ATT&amp;CK Mappings'!$B487,"")</f>
        <v/>
      </c>
      <c r="C491" s="27" t="str">
        <f>IF(OR(OR(OR(OR(OR(ISNUMBER(SEARCH(IF(C$1&lt;&gt;"",C$1,"NA"),'MITRE ATT&amp;CK Mappings'!$E487)),ISNUMBER(SEARCH(IF(C$1&lt;&gt;"",C$1,"NA"),'MITRE ATT&amp;CK Mappings'!$F487))),ISNUMBER(SEARCH(IF(C$2&lt;&gt;"",C$2,"NA"),'MITRE ATT&amp;CK Mappings'!$G487))),ISNUMBER(SEARCH(IF(C$2&lt;&gt;"",C$2,"NA"),'MITRE ATT&amp;CK Mappings'!$H487))),ISNUMBER(SEARCH(IF(C$3&lt;&gt;"",C$3,"NA"),'MITRE ATT&amp;CK Mappings'!$I487))),ISNUMBER(SEARCH(IF(C$3&lt;&gt;"",C$3,"NA"),'MITRE ATT&amp;CK Mappings'!$J487))), 'MITRE ATT&amp;CK Mappings'!$B487,"")</f>
        <v/>
      </c>
      <c r="D491" s="27" t="str">
        <f>IF(OR(OR(OR(OR(OR(ISNUMBER(SEARCH(IF(D$1&lt;&gt;"",D$1,"NA"),'MITRE ATT&amp;CK Mappings'!$E487)),ISNUMBER(SEARCH(IF(D$1&lt;&gt;"",D$1,"NA"),'MITRE ATT&amp;CK Mappings'!$F487))),ISNUMBER(SEARCH(IF(D$2&lt;&gt;"",D$2,"NA"),'MITRE ATT&amp;CK Mappings'!$G487))),ISNUMBER(SEARCH(IF(D$2&lt;&gt;"",D$2,"NA"),'MITRE ATT&amp;CK Mappings'!$H487))),ISNUMBER(SEARCH(IF(D$3&lt;&gt;"",D$3,"NA"),'MITRE ATT&amp;CK Mappings'!$I487))),ISNUMBER(SEARCH(IF(D$3&lt;&gt;"",D$3,"NA"),'MITRE ATT&amp;CK Mappings'!$J487))), 'MITRE ATT&amp;CK Mappings'!$B487,"")</f>
        <v/>
      </c>
      <c r="E491" s="27" t="str">
        <f>IF(OR(OR(OR(OR(OR(ISNUMBER(SEARCH(IF(E$1&lt;&gt;"",E$1,"NA"),'MITRE ATT&amp;CK Mappings'!$E487)),ISNUMBER(SEARCH(IF(E$1&lt;&gt;"",E$1,"NA"),'MITRE ATT&amp;CK Mappings'!$F487))),ISNUMBER(SEARCH(IF(E$2&lt;&gt;"",E$2,"NA"),'MITRE ATT&amp;CK Mappings'!$G487))),ISNUMBER(SEARCH(IF(E$2&lt;&gt;"",E$2,"NA"),'MITRE ATT&amp;CK Mappings'!$H487))),ISNUMBER(SEARCH(IF(E$3&lt;&gt;"",E$3,"NA"),'MITRE ATT&amp;CK Mappings'!$I487))),ISNUMBER(SEARCH(IF(E$3&lt;&gt;"",E$3,"NA"),'MITRE ATT&amp;CK Mappings'!$J487))), 'MITRE ATT&amp;CK Mappings'!$B487,"")</f>
        <v/>
      </c>
      <c r="F491" s="27" t="str">
        <f>IF(OR(OR(OR(OR(OR(ISNUMBER(SEARCH(IF(F$1&lt;&gt;"",F$1,"NA"),'MITRE ATT&amp;CK Mappings'!$E487)),ISNUMBER(SEARCH(IF(F$1&lt;&gt;"",F$1,"NA"),'MITRE ATT&amp;CK Mappings'!$F487))),ISNUMBER(SEARCH(IF(F$2&lt;&gt;"",F$2,"NA"),'MITRE ATT&amp;CK Mappings'!$G487))),ISNUMBER(SEARCH(IF(F$2&lt;&gt;"",F$2,"NA"),'MITRE ATT&amp;CK Mappings'!$H487))),ISNUMBER(SEARCH(IF(F$3&lt;&gt;"",F$3,"NA"),'MITRE ATT&amp;CK Mappings'!$I487))),ISNUMBER(SEARCH(IF(F$3&lt;&gt;"",F$3,"NA"),'MITRE ATT&amp;CK Mappings'!$J487))), 'MITRE ATT&amp;CK Mappings'!$B487,"")</f>
        <v/>
      </c>
      <c r="G491" s="27" t="str">
        <f>IF(OR(OR(OR(OR(OR(ISNUMBER(SEARCH(IF(G$1&lt;&gt;"",G$1,"NA"),'MITRE ATT&amp;CK Mappings'!$E487)),ISNUMBER(SEARCH(IF(G$1&lt;&gt;"",G$1,"NA"),'MITRE ATT&amp;CK Mappings'!$F487))),ISNUMBER(SEARCH(IF(G$2&lt;&gt;"",G$2,"NA"),'MITRE ATT&amp;CK Mappings'!$G487))),ISNUMBER(SEARCH(IF(G$2&lt;&gt;"",G$2,"NA"),'MITRE ATT&amp;CK Mappings'!$H487))),ISNUMBER(SEARCH(IF(G$3&lt;&gt;"",G$3,"NA"),'MITRE ATT&amp;CK Mappings'!$I487))),ISNUMBER(SEARCH(IF(G$3&lt;&gt;"",G$3,"NA"),'MITRE ATT&amp;CK Mappings'!$J487))), 'MITRE ATT&amp;CK Mappings'!$B487,"")</f>
        <v/>
      </c>
      <c r="H491" s="27" t="str">
        <f>IF(OR(OR(OR(OR(OR(ISNUMBER(SEARCH(IF(H$1&lt;&gt;"",H$1,"NA"),'MITRE ATT&amp;CK Mappings'!$E487)),ISNUMBER(SEARCH(IF(H$1&lt;&gt;"",H$1,"NA"),'MITRE ATT&amp;CK Mappings'!$F487))),ISNUMBER(SEARCH(IF(H$2&lt;&gt;"",H$2,"NA"),'MITRE ATT&amp;CK Mappings'!$G487))),ISNUMBER(SEARCH(IF(H$2&lt;&gt;"",H$2,"NA"),'MITRE ATT&amp;CK Mappings'!$H487))),ISNUMBER(SEARCH(IF(H$3&lt;&gt;"",H$3,"NA"),'MITRE ATT&amp;CK Mappings'!$I487))),ISNUMBER(SEARCH(IF(H$3&lt;&gt;"",H$3,"NA"),'MITRE ATT&amp;CK Mappings'!$J487))), 'MITRE ATT&amp;CK Mappings'!$B487,"")</f>
        <v/>
      </c>
      <c r="I491" s="27" t="str">
        <f>IF(OR(OR(OR(OR(OR(ISNUMBER(SEARCH(IF(I$1&lt;&gt;"",I$1,"NA"),'MITRE ATT&amp;CK Mappings'!$E487)),ISNUMBER(SEARCH(IF(I$1&lt;&gt;"",I$1,"NA"),'MITRE ATT&amp;CK Mappings'!$F487))),ISNUMBER(SEARCH(IF(I$2&lt;&gt;"",I$2,"NA"),'MITRE ATT&amp;CK Mappings'!$G487))),ISNUMBER(SEARCH(IF(I$2&lt;&gt;"",I$2,"NA"),'MITRE ATT&amp;CK Mappings'!$H487))),ISNUMBER(SEARCH(IF(I$3&lt;&gt;"",I$3,"NA"),'MITRE ATT&amp;CK Mappings'!$I487))),ISNUMBER(SEARCH(IF(I$3&lt;&gt;"",I$3,"NA"),'MITRE ATT&amp;CK Mappings'!$J487))), 'MITRE ATT&amp;CK Mappings'!$B487,"")</f>
        <v/>
      </c>
      <c r="J491" s="27" t="str">
        <f>IF(OR(OR(OR(OR(OR(ISNUMBER(SEARCH(IF(J$1&lt;&gt;"",J$1,"NA"),'MITRE ATT&amp;CK Mappings'!$E487)),ISNUMBER(SEARCH(IF(J$1&lt;&gt;"",J$1,"NA"),'MITRE ATT&amp;CK Mappings'!$F487))),ISNUMBER(SEARCH(IF(J$2&lt;&gt;"",J$2,"NA"),'MITRE ATT&amp;CK Mappings'!$G487))),ISNUMBER(SEARCH(IF(J$2&lt;&gt;"",J$2,"NA"),'MITRE ATT&amp;CK Mappings'!$H487))),ISNUMBER(SEARCH(IF(J$3&lt;&gt;"",J$3,"NA"),'MITRE ATT&amp;CK Mappings'!$I487))),ISNUMBER(SEARCH(IF(J$3&lt;&gt;"",J$3,"NA"),'MITRE ATT&amp;CK Mappings'!$J487))), 'MITRE ATT&amp;CK Mappings'!$B487,"")</f>
        <v/>
      </c>
      <c r="K491" s="27" t="str">
        <f>IF(OR(OR(OR(OR(OR(ISNUMBER(SEARCH(IF(K$1&lt;&gt;"",K$1,"NA"),'MITRE ATT&amp;CK Mappings'!$E487)),ISNUMBER(SEARCH(IF(K$1&lt;&gt;"",K$1,"NA"),'MITRE ATT&amp;CK Mappings'!$F487))),ISNUMBER(SEARCH(IF(K$2&lt;&gt;"",K$2,"NA"),'MITRE ATT&amp;CK Mappings'!$G487))),ISNUMBER(SEARCH(IF(K$2&lt;&gt;"",K$2,"NA"),'MITRE ATT&amp;CK Mappings'!$H487))),ISNUMBER(SEARCH(IF(K$3&lt;&gt;"",K$3,"NA"),'MITRE ATT&amp;CK Mappings'!$I487))),ISNUMBER(SEARCH(IF(K$3&lt;&gt;"",K$3,"NA"),'MITRE ATT&amp;CK Mappings'!$J487))), 'MITRE ATT&amp;CK Mappings'!$B487,"")</f>
        <v/>
      </c>
      <c r="L491" s="27" t="str">
        <f>IF('MITRE ATT&amp;CK Mappings'!D487 &lt;&gt;"",'MITRE ATT&amp;CK Mappings'!D487,"" )</f>
        <v/>
      </c>
    </row>
    <row r="492" spans="1:12" x14ac:dyDescent="0.25">
      <c r="A492" s="26" t="str">
        <f>IF(COUNTIF(B492:K492,"="&amp;'MITRE ATT&amp;CK Mappings'!B488)&gt;0,'MITRE ATT&amp;CK Mappings'!B488,"")</f>
        <v/>
      </c>
      <c r="B492" s="26" t="str">
        <f>IF(OR(OR(OR(OR(OR(ISNUMBER(SEARCH(IF(B$1&lt;&gt;"",B$1,"NA"),'MITRE ATT&amp;CK Mappings'!$E488)),ISNUMBER(SEARCH(IF(B$1&lt;&gt;"",B$1,"NA"),'MITRE ATT&amp;CK Mappings'!$F488))),ISNUMBER(SEARCH(IF(B$2&lt;&gt;"",B$2,"NA"),'MITRE ATT&amp;CK Mappings'!$G488))),ISNUMBER(SEARCH(IF(B$2&lt;&gt;"",B$2,"NA"),'MITRE ATT&amp;CK Mappings'!$H488))),ISNUMBER(SEARCH(IF(B$3&lt;&gt;"",B$3,"NA"),'MITRE ATT&amp;CK Mappings'!$I488))),ISNUMBER(SEARCH(IF(B$3&lt;&gt;"",B$3,"NA"),'MITRE ATT&amp;CK Mappings'!$J488))), 'MITRE ATT&amp;CK Mappings'!$B488,"")</f>
        <v/>
      </c>
      <c r="C492" s="26" t="str">
        <f>IF(OR(OR(OR(OR(OR(ISNUMBER(SEARCH(IF(C$1&lt;&gt;"",C$1,"NA"),'MITRE ATT&amp;CK Mappings'!$E488)),ISNUMBER(SEARCH(IF(C$1&lt;&gt;"",C$1,"NA"),'MITRE ATT&amp;CK Mappings'!$F488))),ISNUMBER(SEARCH(IF(C$2&lt;&gt;"",C$2,"NA"),'MITRE ATT&amp;CK Mappings'!$G488))),ISNUMBER(SEARCH(IF(C$2&lt;&gt;"",C$2,"NA"),'MITRE ATT&amp;CK Mappings'!$H488))),ISNUMBER(SEARCH(IF(C$3&lt;&gt;"",C$3,"NA"),'MITRE ATT&amp;CK Mappings'!$I488))),ISNUMBER(SEARCH(IF(C$3&lt;&gt;"",C$3,"NA"),'MITRE ATT&amp;CK Mappings'!$J488))), 'MITRE ATT&amp;CK Mappings'!$B488,"")</f>
        <v/>
      </c>
      <c r="D492" s="26" t="str">
        <f>IF(OR(OR(OR(OR(OR(ISNUMBER(SEARCH(IF(D$1&lt;&gt;"",D$1,"NA"),'MITRE ATT&amp;CK Mappings'!$E488)),ISNUMBER(SEARCH(IF(D$1&lt;&gt;"",D$1,"NA"),'MITRE ATT&amp;CK Mappings'!$F488))),ISNUMBER(SEARCH(IF(D$2&lt;&gt;"",D$2,"NA"),'MITRE ATT&amp;CK Mappings'!$G488))),ISNUMBER(SEARCH(IF(D$2&lt;&gt;"",D$2,"NA"),'MITRE ATT&amp;CK Mappings'!$H488))),ISNUMBER(SEARCH(IF(D$3&lt;&gt;"",D$3,"NA"),'MITRE ATT&amp;CK Mappings'!$I488))),ISNUMBER(SEARCH(IF(D$3&lt;&gt;"",D$3,"NA"),'MITRE ATT&amp;CK Mappings'!$J488))), 'MITRE ATT&amp;CK Mappings'!$B488,"")</f>
        <v/>
      </c>
      <c r="E492" s="26" t="str">
        <f>IF(OR(OR(OR(OR(OR(ISNUMBER(SEARCH(IF(E$1&lt;&gt;"",E$1,"NA"),'MITRE ATT&amp;CK Mappings'!$E488)),ISNUMBER(SEARCH(IF(E$1&lt;&gt;"",E$1,"NA"),'MITRE ATT&amp;CK Mappings'!$F488))),ISNUMBER(SEARCH(IF(E$2&lt;&gt;"",E$2,"NA"),'MITRE ATT&amp;CK Mappings'!$G488))),ISNUMBER(SEARCH(IF(E$2&lt;&gt;"",E$2,"NA"),'MITRE ATT&amp;CK Mappings'!$H488))),ISNUMBER(SEARCH(IF(E$3&lt;&gt;"",E$3,"NA"),'MITRE ATT&amp;CK Mappings'!$I488))),ISNUMBER(SEARCH(IF(E$3&lt;&gt;"",E$3,"NA"),'MITRE ATT&amp;CK Mappings'!$J488))), 'MITRE ATT&amp;CK Mappings'!$B488,"")</f>
        <v/>
      </c>
      <c r="F492" s="26" t="str">
        <f>IF(OR(OR(OR(OR(OR(ISNUMBER(SEARCH(IF(F$1&lt;&gt;"",F$1,"NA"),'MITRE ATT&amp;CK Mappings'!$E488)),ISNUMBER(SEARCH(IF(F$1&lt;&gt;"",F$1,"NA"),'MITRE ATT&amp;CK Mappings'!$F488))),ISNUMBER(SEARCH(IF(F$2&lt;&gt;"",F$2,"NA"),'MITRE ATT&amp;CK Mappings'!$G488))),ISNUMBER(SEARCH(IF(F$2&lt;&gt;"",F$2,"NA"),'MITRE ATT&amp;CK Mappings'!$H488))),ISNUMBER(SEARCH(IF(F$3&lt;&gt;"",F$3,"NA"),'MITRE ATT&amp;CK Mappings'!$I488))),ISNUMBER(SEARCH(IF(F$3&lt;&gt;"",F$3,"NA"),'MITRE ATT&amp;CK Mappings'!$J488))), 'MITRE ATT&amp;CK Mappings'!$B488,"")</f>
        <v/>
      </c>
      <c r="G492" s="26" t="str">
        <f>IF(OR(OR(OR(OR(OR(ISNUMBER(SEARCH(IF(G$1&lt;&gt;"",G$1,"NA"),'MITRE ATT&amp;CK Mappings'!$E488)),ISNUMBER(SEARCH(IF(G$1&lt;&gt;"",G$1,"NA"),'MITRE ATT&amp;CK Mappings'!$F488))),ISNUMBER(SEARCH(IF(G$2&lt;&gt;"",G$2,"NA"),'MITRE ATT&amp;CK Mappings'!$G488))),ISNUMBER(SEARCH(IF(G$2&lt;&gt;"",G$2,"NA"),'MITRE ATT&amp;CK Mappings'!$H488))),ISNUMBER(SEARCH(IF(G$3&lt;&gt;"",G$3,"NA"),'MITRE ATT&amp;CK Mappings'!$I488))),ISNUMBER(SEARCH(IF(G$3&lt;&gt;"",G$3,"NA"),'MITRE ATT&amp;CK Mappings'!$J488))), 'MITRE ATT&amp;CK Mappings'!$B488,"")</f>
        <v/>
      </c>
      <c r="H492" s="26" t="str">
        <f>IF(OR(OR(OR(OR(OR(ISNUMBER(SEARCH(IF(H$1&lt;&gt;"",H$1,"NA"),'MITRE ATT&amp;CK Mappings'!$E488)),ISNUMBER(SEARCH(IF(H$1&lt;&gt;"",H$1,"NA"),'MITRE ATT&amp;CK Mappings'!$F488))),ISNUMBER(SEARCH(IF(H$2&lt;&gt;"",H$2,"NA"),'MITRE ATT&amp;CK Mappings'!$G488))),ISNUMBER(SEARCH(IF(H$2&lt;&gt;"",H$2,"NA"),'MITRE ATT&amp;CK Mappings'!$H488))),ISNUMBER(SEARCH(IF(H$3&lt;&gt;"",H$3,"NA"),'MITRE ATT&amp;CK Mappings'!$I488))),ISNUMBER(SEARCH(IF(H$3&lt;&gt;"",H$3,"NA"),'MITRE ATT&amp;CK Mappings'!$J488))), 'MITRE ATT&amp;CK Mappings'!$B488,"")</f>
        <v/>
      </c>
      <c r="I492" s="26" t="str">
        <f>IF(OR(OR(OR(OR(OR(ISNUMBER(SEARCH(IF(I$1&lt;&gt;"",I$1,"NA"),'MITRE ATT&amp;CK Mappings'!$E488)),ISNUMBER(SEARCH(IF(I$1&lt;&gt;"",I$1,"NA"),'MITRE ATT&amp;CK Mappings'!$F488))),ISNUMBER(SEARCH(IF(I$2&lt;&gt;"",I$2,"NA"),'MITRE ATT&amp;CK Mappings'!$G488))),ISNUMBER(SEARCH(IF(I$2&lt;&gt;"",I$2,"NA"),'MITRE ATT&amp;CK Mappings'!$H488))),ISNUMBER(SEARCH(IF(I$3&lt;&gt;"",I$3,"NA"),'MITRE ATT&amp;CK Mappings'!$I488))),ISNUMBER(SEARCH(IF(I$3&lt;&gt;"",I$3,"NA"),'MITRE ATT&amp;CK Mappings'!$J488))), 'MITRE ATT&amp;CK Mappings'!$B488,"")</f>
        <v/>
      </c>
      <c r="J492" s="26" t="str">
        <f>IF(OR(OR(OR(OR(OR(ISNUMBER(SEARCH(IF(J$1&lt;&gt;"",J$1,"NA"),'MITRE ATT&amp;CK Mappings'!$E488)),ISNUMBER(SEARCH(IF(J$1&lt;&gt;"",J$1,"NA"),'MITRE ATT&amp;CK Mappings'!$F488))),ISNUMBER(SEARCH(IF(J$2&lt;&gt;"",J$2,"NA"),'MITRE ATT&amp;CK Mappings'!$G488))),ISNUMBER(SEARCH(IF(J$2&lt;&gt;"",J$2,"NA"),'MITRE ATT&amp;CK Mappings'!$H488))),ISNUMBER(SEARCH(IF(J$3&lt;&gt;"",J$3,"NA"),'MITRE ATT&amp;CK Mappings'!$I488))),ISNUMBER(SEARCH(IF(J$3&lt;&gt;"",J$3,"NA"),'MITRE ATT&amp;CK Mappings'!$J488))), 'MITRE ATT&amp;CK Mappings'!$B488,"")</f>
        <v/>
      </c>
      <c r="K492" s="26" t="str">
        <f>IF(OR(OR(OR(OR(OR(ISNUMBER(SEARCH(IF(K$1&lt;&gt;"",K$1,"NA"),'MITRE ATT&amp;CK Mappings'!$E488)),ISNUMBER(SEARCH(IF(K$1&lt;&gt;"",K$1,"NA"),'MITRE ATT&amp;CK Mappings'!$F488))),ISNUMBER(SEARCH(IF(K$2&lt;&gt;"",K$2,"NA"),'MITRE ATT&amp;CK Mappings'!$G488))),ISNUMBER(SEARCH(IF(K$2&lt;&gt;"",K$2,"NA"),'MITRE ATT&amp;CK Mappings'!$H488))),ISNUMBER(SEARCH(IF(K$3&lt;&gt;"",K$3,"NA"),'MITRE ATT&amp;CK Mappings'!$I488))),ISNUMBER(SEARCH(IF(K$3&lt;&gt;"",K$3,"NA"),'MITRE ATT&amp;CK Mappings'!$J488))), 'MITRE ATT&amp;CK Mappings'!$B488,"")</f>
        <v/>
      </c>
      <c r="L492" s="26" t="str">
        <f>IF('MITRE ATT&amp;CK Mappings'!D488 &lt;&gt;"",'MITRE ATT&amp;CK Mappings'!D488,"" )</f>
        <v/>
      </c>
    </row>
    <row r="493" spans="1:12" x14ac:dyDescent="0.25">
      <c r="A493" s="27" t="str">
        <f>IF(COUNTIF(B493:K493,"="&amp;'MITRE ATT&amp;CK Mappings'!B489)&gt;0,'MITRE ATT&amp;CK Mappings'!B489,"")</f>
        <v/>
      </c>
      <c r="B493" s="27" t="str">
        <f>IF(OR(OR(OR(OR(OR(ISNUMBER(SEARCH(IF(B$1&lt;&gt;"",B$1,"NA"),'MITRE ATT&amp;CK Mappings'!$E489)),ISNUMBER(SEARCH(IF(B$1&lt;&gt;"",B$1,"NA"),'MITRE ATT&amp;CK Mappings'!$F489))),ISNUMBER(SEARCH(IF(B$2&lt;&gt;"",B$2,"NA"),'MITRE ATT&amp;CK Mappings'!$G489))),ISNUMBER(SEARCH(IF(B$2&lt;&gt;"",B$2,"NA"),'MITRE ATT&amp;CK Mappings'!$H489))),ISNUMBER(SEARCH(IF(B$3&lt;&gt;"",B$3,"NA"),'MITRE ATT&amp;CK Mappings'!$I489))),ISNUMBER(SEARCH(IF(B$3&lt;&gt;"",B$3,"NA"),'MITRE ATT&amp;CK Mappings'!$J489))), 'MITRE ATT&amp;CK Mappings'!$B489,"")</f>
        <v/>
      </c>
      <c r="C493" s="27" t="str">
        <f>IF(OR(OR(OR(OR(OR(ISNUMBER(SEARCH(IF(C$1&lt;&gt;"",C$1,"NA"),'MITRE ATT&amp;CK Mappings'!$E489)),ISNUMBER(SEARCH(IF(C$1&lt;&gt;"",C$1,"NA"),'MITRE ATT&amp;CK Mappings'!$F489))),ISNUMBER(SEARCH(IF(C$2&lt;&gt;"",C$2,"NA"),'MITRE ATT&amp;CK Mappings'!$G489))),ISNUMBER(SEARCH(IF(C$2&lt;&gt;"",C$2,"NA"),'MITRE ATT&amp;CK Mappings'!$H489))),ISNUMBER(SEARCH(IF(C$3&lt;&gt;"",C$3,"NA"),'MITRE ATT&amp;CK Mappings'!$I489))),ISNUMBER(SEARCH(IF(C$3&lt;&gt;"",C$3,"NA"),'MITRE ATT&amp;CK Mappings'!$J489))), 'MITRE ATT&amp;CK Mappings'!$B489,"")</f>
        <v/>
      </c>
      <c r="D493" s="27" t="str">
        <f>IF(OR(OR(OR(OR(OR(ISNUMBER(SEARCH(IF(D$1&lt;&gt;"",D$1,"NA"),'MITRE ATT&amp;CK Mappings'!$E489)),ISNUMBER(SEARCH(IF(D$1&lt;&gt;"",D$1,"NA"),'MITRE ATT&amp;CK Mappings'!$F489))),ISNUMBER(SEARCH(IF(D$2&lt;&gt;"",D$2,"NA"),'MITRE ATT&amp;CK Mappings'!$G489))),ISNUMBER(SEARCH(IF(D$2&lt;&gt;"",D$2,"NA"),'MITRE ATT&amp;CK Mappings'!$H489))),ISNUMBER(SEARCH(IF(D$3&lt;&gt;"",D$3,"NA"),'MITRE ATT&amp;CK Mappings'!$I489))),ISNUMBER(SEARCH(IF(D$3&lt;&gt;"",D$3,"NA"),'MITRE ATT&amp;CK Mappings'!$J489))), 'MITRE ATT&amp;CK Mappings'!$B489,"")</f>
        <v/>
      </c>
      <c r="E493" s="27" t="str">
        <f>IF(OR(OR(OR(OR(OR(ISNUMBER(SEARCH(IF(E$1&lt;&gt;"",E$1,"NA"),'MITRE ATT&amp;CK Mappings'!$E489)),ISNUMBER(SEARCH(IF(E$1&lt;&gt;"",E$1,"NA"),'MITRE ATT&amp;CK Mappings'!$F489))),ISNUMBER(SEARCH(IF(E$2&lt;&gt;"",E$2,"NA"),'MITRE ATT&amp;CK Mappings'!$G489))),ISNUMBER(SEARCH(IF(E$2&lt;&gt;"",E$2,"NA"),'MITRE ATT&amp;CK Mappings'!$H489))),ISNUMBER(SEARCH(IF(E$3&lt;&gt;"",E$3,"NA"),'MITRE ATT&amp;CK Mappings'!$I489))),ISNUMBER(SEARCH(IF(E$3&lt;&gt;"",E$3,"NA"),'MITRE ATT&amp;CK Mappings'!$J489))), 'MITRE ATT&amp;CK Mappings'!$B489,"")</f>
        <v/>
      </c>
      <c r="F493" s="27" t="str">
        <f>IF(OR(OR(OR(OR(OR(ISNUMBER(SEARCH(IF(F$1&lt;&gt;"",F$1,"NA"),'MITRE ATT&amp;CK Mappings'!$E489)),ISNUMBER(SEARCH(IF(F$1&lt;&gt;"",F$1,"NA"),'MITRE ATT&amp;CK Mappings'!$F489))),ISNUMBER(SEARCH(IF(F$2&lt;&gt;"",F$2,"NA"),'MITRE ATT&amp;CK Mappings'!$G489))),ISNUMBER(SEARCH(IF(F$2&lt;&gt;"",F$2,"NA"),'MITRE ATT&amp;CK Mappings'!$H489))),ISNUMBER(SEARCH(IF(F$3&lt;&gt;"",F$3,"NA"),'MITRE ATT&amp;CK Mappings'!$I489))),ISNUMBER(SEARCH(IF(F$3&lt;&gt;"",F$3,"NA"),'MITRE ATT&amp;CK Mappings'!$J489))), 'MITRE ATT&amp;CK Mappings'!$B489,"")</f>
        <v/>
      </c>
      <c r="G493" s="27" t="str">
        <f>IF(OR(OR(OR(OR(OR(ISNUMBER(SEARCH(IF(G$1&lt;&gt;"",G$1,"NA"),'MITRE ATT&amp;CK Mappings'!$E489)),ISNUMBER(SEARCH(IF(G$1&lt;&gt;"",G$1,"NA"),'MITRE ATT&amp;CK Mappings'!$F489))),ISNUMBER(SEARCH(IF(G$2&lt;&gt;"",G$2,"NA"),'MITRE ATT&amp;CK Mappings'!$G489))),ISNUMBER(SEARCH(IF(G$2&lt;&gt;"",G$2,"NA"),'MITRE ATT&amp;CK Mappings'!$H489))),ISNUMBER(SEARCH(IF(G$3&lt;&gt;"",G$3,"NA"),'MITRE ATT&amp;CK Mappings'!$I489))),ISNUMBER(SEARCH(IF(G$3&lt;&gt;"",G$3,"NA"),'MITRE ATT&amp;CK Mappings'!$J489))), 'MITRE ATT&amp;CK Mappings'!$B489,"")</f>
        <v/>
      </c>
      <c r="H493" s="27" t="str">
        <f>IF(OR(OR(OR(OR(OR(ISNUMBER(SEARCH(IF(H$1&lt;&gt;"",H$1,"NA"),'MITRE ATT&amp;CK Mappings'!$E489)),ISNUMBER(SEARCH(IF(H$1&lt;&gt;"",H$1,"NA"),'MITRE ATT&amp;CK Mappings'!$F489))),ISNUMBER(SEARCH(IF(H$2&lt;&gt;"",H$2,"NA"),'MITRE ATT&amp;CK Mappings'!$G489))),ISNUMBER(SEARCH(IF(H$2&lt;&gt;"",H$2,"NA"),'MITRE ATT&amp;CK Mappings'!$H489))),ISNUMBER(SEARCH(IF(H$3&lt;&gt;"",H$3,"NA"),'MITRE ATT&amp;CK Mappings'!$I489))),ISNUMBER(SEARCH(IF(H$3&lt;&gt;"",H$3,"NA"),'MITRE ATT&amp;CK Mappings'!$J489))), 'MITRE ATT&amp;CK Mappings'!$B489,"")</f>
        <v/>
      </c>
      <c r="I493" s="27" t="str">
        <f>IF(OR(OR(OR(OR(OR(ISNUMBER(SEARCH(IF(I$1&lt;&gt;"",I$1,"NA"),'MITRE ATT&amp;CK Mappings'!$E489)),ISNUMBER(SEARCH(IF(I$1&lt;&gt;"",I$1,"NA"),'MITRE ATT&amp;CK Mappings'!$F489))),ISNUMBER(SEARCH(IF(I$2&lt;&gt;"",I$2,"NA"),'MITRE ATT&amp;CK Mappings'!$G489))),ISNUMBER(SEARCH(IF(I$2&lt;&gt;"",I$2,"NA"),'MITRE ATT&amp;CK Mappings'!$H489))),ISNUMBER(SEARCH(IF(I$3&lt;&gt;"",I$3,"NA"),'MITRE ATT&amp;CK Mappings'!$I489))),ISNUMBER(SEARCH(IF(I$3&lt;&gt;"",I$3,"NA"),'MITRE ATT&amp;CK Mappings'!$J489))), 'MITRE ATT&amp;CK Mappings'!$B489,"")</f>
        <v/>
      </c>
      <c r="J493" s="27" t="str">
        <f>IF(OR(OR(OR(OR(OR(ISNUMBER(SEARCH(IF(J$1&lt;&gt;"",J$1,"NA"),'MITRE ATT&amp;CK Mappings'!$E489)),ISNUMBER(SEARCH(IF(J$1&lt;&gt;"",J$1,"NA"),'MITRE ATT&amp;CK Mappings'!$F489))),ISNUMBER(SEARCH(IF(J$2&lt;&gt;"",J$2,"NA"),'MITRE ATT&amp;CK Mappings'!$G489))),ISNUMBER(SEARCH(IF(J$2&lt;&gt;"",J$2,"NA"),'MITRE ATT&amp;CK Mappings'!$H489))),ISNUMBER(SEARCH(IF(J$3&lt;&gt;"",J$3,"NA"),'MITRE ATT&amp;CK Mappings'!$I489))),ISNUMBER(SEARCH(IF(J$3&lt;&gt;"",J$3,"NA"),'MITRE ATT&amp;CK Mappings'!$J489))), 'MITRE ATT&amp;CK Mappings'!$B489,"")</f>
        <v/>
      </c>
      <c r="K493" s="27" t="str">
        <f>IF(OR(OR(OR(OR(OR(ISNUMBER(SEARCH(IF(K$1&lt;&gt;"",K$1,"NA"),'MITRE ATT&amp;CK Mappings'!$E489)),ISNUMBER(SEARCH(IF(K$1&lt;&gt;"",K$1,"NA"),'MITRE ATT&amp;CK Mappings'!$F489))),ISNUMBER(SEARCH(IF(K$2&lt;&gt;"",K$2,"NA"),'MITRE ATT&amp;CK Mappings'!$G489))),ISNUMBER(SEARCH(IF(K$2&lt;&gt;"",K$2,"NA"),'MITRE ATT&amp;CK Mappings'!$H489))),ISNUMBER(SEARCH(IF(K$3&lt;&gt;"",K$3,"NA"),'MITRE ATT&amp;CK Mappings'!$I489))),ISNUMBER(SEARCH(IF(K$3&lt;&gt;"",K$3,"NA"),'MITRE ATT&amp;CK Mappings'!$J489))), 'MITRE ATT&amp;CK Mappings'!$B489,"")</f>
        <v/>
      </c>
      <c r="L493" s="27" t="str">
        <f>IF('MITRE ATT&amp;CK Mappings'!D489 &lt;&gt;"",'MITRE ATT&amp;CK Mappings'!D489,"" )</f>
        <v/>
      </c>
    </row>
    <row r="494" spans="1:12" x14ac:dyDescent="0.25">
      <c r="A494" s="26" t="str">
        <f>IF(COUNTIF(B494:K494,"="&amp;'MITRE ATT&amp;CK Mappings'!B490)&gt;0,'MITRE ATT&amp;CK Mappings'!B490,"")</f>
        <v/>
      </c>
      <c r="B494" s="26" t="str">
        <f>IF(OR(OR(OR(OR(OR(ISNUMBER(SEARCH(IF(B$1&lt;&gt;"",B$1,"NA"),'MITRE ATT&amp;CK Mappings'!$E490)),ISNUMBER(SEARCH(IF(B$1&lt;&gt;"",B$1,"NA"),'MITRE ATT&amp;CK Mappings'!$F490))),ISNUMBER(SEARCH(IF(B$2&lt;&gt;"",B$2,"NA"),'MITRE ATT&amp;CK Mappings'!$G490))),ISNUMBER(SEARCH(IF(B$2&lt;&gt;"",B$2,"NA"),'MITRE ATT&amp;CK Mappings'!$H490))),ISNUMBER(SEARCH(IF(B$3&lt;&gt;"",B$3,"NA"),'MITRE ATT&amp;CK Mappings'!$I490))),ISNUMBER(SEARCH(IF(B$3&lt;&gt;"",B$3,"NA"),'MITRE ATT&amp;CK Mappings'!$J490))), 'MITRE ATT&amp;CK Mappings'!$B490,"")</f>
        <v/>
      </c>
      <c r="C494" s="26" t="str">
        <f>IF(OR(OR(OR(OR(OR(ISNUMBER(SEARCH(IF(C$1&lt;&gt;"",C$1,"NA"),'MITRE ATT&amp;CK Mappings'!$E490)),ISNUMBER(SEARCH(IF(C$1&lt;&gt;"",C$1,"NA"),'MITRE ATT&amp;CK Mappings'!$F490))),ISNUMBER(SEARCH(IF(C$2&lt;&gt;"",C$2,"NA"),'MITRE ATT&amp;CK Mappings'!$G490))),ISNUMBER(SEARCH(IF(C$2&lt;&gt;"",C$2,"NA"),'MITRE ATT&amp;CK Mappings'!$H490))),ISNUMBER(SEARCH(IF(C$3&lt;&gt;"",C$3,"NA"),'MITRE ATT&amp;CK Mappings'!$I490))),ISNUMBER(SEARCH(IF(C$3&lt;&gt;"",C$3,"NA"),'MITRE ATT&amp;CK Mappings'!$J490))), 'MITRE ATT&amp;CK Mappings'!$B490,"")</f>
        <v/>
      </c>
      <c r="D494" s="26" t="str">
        <f>IF(OR(OR(OR(OR(OR(ISNUMBER(SEARCH(IF(D$1&lt;&gt;"",D$1,"NA"),'MITRE ATT&amp;CK Mappings'!$E490)),ISNUMBER(SEARCH(IF(D$1&lt;&gt;"",D$1,"NA"),'MITRE ATT&amp;CK Mappings'!$F490))),ISNUMBER(SEARCH(IF(D$2&lt;&gt;"",D$2,"NA"),'MITRE ATT&amp;CK Mappings'!$G490))),ISNUMBER(SEARCH(IF(D$2&lt;&gt;"",D$2,"NA"),'MITRE ATT&amp;CK Mappings'!$H490))),ISNUMBER(SEARCH(IF(D$3&lt;&gt;"",D$3,"NA"),'MITRE ATT&amp;CK Mappings'!$I490))),ISNUMBER(SEARCH(IF(D$3&lt;&gt;"",D$3,"NA"),'MITRE ATT&amp;CK Mappings'!$J490))), 'MITRE ATT&amp;CK Mappings'!$B490,"")</f>
        <v/>
      </c>
      <c r="E494" s="26" t="str">
        <f>IF(OR(OR(OR(OR(OR(ISNUMBER(SEARCH(IF(E$1&lt;&gt;"",E$1,"NA"),'MITRE ATT&amp;CK Mappings'!$E490)),ISNUMBER(SEARCH(IF(E$1&lt;&gt;"",E$1,"NA"),'MITRE ATT&amp;CK Mappings'!$F490))),ISNUMBER(SEARCH(IF(E$2&lt;&gt;"",E$2,"NA"),'MITRE ATT&amp;CK Mappings'!$G490))),ISNUMBER(SEARCH(IF(E$2&lt;&gt;"",E$2,"NA"),'MITRE ATT&amp;CK Mappings'!$H490))),ISNUMBER(SEARCH(IF(E$3&lt;&gt;"",E$3,"NA"),'MITRE ATT&amp;CK Mappings'!$I490))),ISNUMBER(SEARCH(IF(E$3&lt;&gt;"",E$3,"NA"),'MITRE ATT&amp;CK Mappings'!$J490))), 'MITRE ATT&amp;CK Mappings'!$B490,"")</f>
        <v/>
      </c>
      <c r="F494" s="26" t="str">
        <f>IF(OR(OR(OR(OR(OR(ISNUMBER(SEARCH(IF(F$1&lt;&gt;"",F$1,"NA"),'MITRE ATT&amp;CK Mappings'!$E490)),ISNUMBER(SEARCH(IF(F$1&lt;&gt;"",F$1,"NA"),'MITRE ATT&amp;CK Mappings'!$F490))),ISNUMBER(SEARCH(IF(F$2&lt;&gt;"",F$2,"NA"),'MITRE ATT&amp;CK Mappings'!$G490))),ISNUMBER(SEARCH(IF(F$2&lt;&gt;"",F$2,"NA"),'MITRE ATT&amp;CK Mappings'!$H490))),ISNUMBER(SEARCH(IF(F$3&lt;&gt;"",F$3,"NA"),'MITRE ATT&amp;CK Mappings'!$I490))),ISNUMBER(SEARCH(IF(F$3&lt;&gt;"",F$3,"NA"),'MITRE ATT&amp;CK Mappings'!$J490))), 'MITRE ATT&amp;CK Mappings'!$B490,"")</f>
        <v/>
      </c>
      <c r="G494" s="26" t="str">
        <f>IF(OR(OR(OR(OR(OR(ISNUMBER(SEARCH(IF(G$1&lt;&gt;"",G$1,"NA"),'MITRE ATT&amp;CK Mappings'!$E490)),ISNUMBER(SEARCH(IF(G$1&lt;&gt;"",G$1,"NA"),'MITRE ATT&amp;CK Mappings'!$F490))),ISNUMBER(SEARCH(IF(G$2&lt;&gt;"",G$2,"NA"),'MITRE ATT&amp;CK Mappings'!$G490))),ISNUMBER(SEARCH(IF(G$2&lt;&gt;"",G$2,"NA"),'MITRE ATT&amp;CK Mappings'!$H490))),ISNUMBER(SEARCH(IF(G$3&lt;&gt;"",G$3,"NA"),'MITRE ATT&amp;CK Mappings'!$I490))),ISNUMBER(SEARCH(IF(G$3&lt;&gt;"",G$3,"NA"),'MITRE ATT&amp;CK Mappings'!$J490))), 'MITRE ATT&amp;CK Mappings'!$B490,"")</f>
        <v/>
      </c>
      <c r="H494" s="26" t="str">
        <f>IF(OR(OR(OR(OR(OR(ISNUMBER(SEARCH(IF(H$1&lt;&gt;"",H$1,"NA"),'MITRE ATT&amp;CK Mappings'!$E490)),ISNUMBER(SEARCH(IF(H$1&lt;&gt;"",H$1,"NA"),'MITRE ATT&amp;CK Mappings'!$F490))),ISNUMBER(SEARCH(IF(H$2&lt;&gt;"",H$2,"NA"),'MITRE ATT&amp;CK Mappings'!$G490))),ISNUMBER(SEARCH(IF(H$2&lt;&gt;"",H$2,"NA"),'MITRE ATT&amp;CK Mappings'!$H490))),ISNUMBER(SEARCH(IF(H$3&lt;&gt;"",H$3,"NA"),'MITRE ATT&amp;CK Mappings'!$I490))),ISNUMBER(SEARCH(IF(H$3&lt;&gt;"",H$3,"NA"),'MITRE ATT&amp;CK Mappings'!$J490))), 'MITRE ATT&amp;CK Mappings'!$B490,"")</f>
        <v/>
      </c>
      <c r="I494" s="26" t="str">
        <f>IF(OR(OR(OR(OR(OR(ISNUMBER(SEARCH(IF(I$1&lt;&gt;"",I$1,"NA"),'MITRE ATT&amp;CK Mappings'!$E490)),ISNUMBER(SEARCH(IF(I$1&lt;&gt;"",I$1,"NA"),'MITRE ATT&amp;CK Mappings'!$F490))),ISNUMBER(SEARCH(IF(I$2&lt;&gt;"",I$2,"NA"),'MITRE ATT&amp;CK Mappings'!$G490))),ISNUMBER(SEARCH(IF(I$2&lt;&gt;"",I$2,"NA"),'MITRE ATT&amp;CK Mappings'!$H490))),ISNUMBER(SEARCH(IF(I$3&lt;&gt;"",I$3,"NA"),'MITRE ATT&amp;CK Mappings'!$I490))),ISNUMBER(SEARCH(IF(I$3&lt;&gt;"",I$3,"NA"),'MITRE ATT&amp;CK Mappings'!$J490))), 'MITRE ATT&amp;CK Mappings'!$B490,"")</f>
        <v/>
      </c>
      <c r="J494" s="26" t="str">
        <f>IF(OR(OR(OR(OR(OR(ISNUMBER(SEARCH(IF(J$1&lt;&gt;"",J$1,"NA"),'MITRE ATT&amp;CK Mappings'!$E490)),ISNUMBER(SEARCH(IF(J$1&lt;&gt;"",J$1,"NA"),'MITRE ATT&amp;CK Mappings'!$F490))),ISNUMBER(SEARCH(IF(J$2&lt;&gt;"",J$2,"NA"),'MITRE ATT&amp;CK Mappings'!$G490))),ISNUMBER(SEARCH(IF(J$2&lt;&gt;"",J$2,"NA"),'MITRE ATT&amp;CK Mappings'!$H490))),ISNUMBER(SEARCH(IF(J$3&lt;&gt;"",J$3,"NA"),'MITRE ATT&amp;CK Mappings'!$I490))),ISNUMBER(SEARCH(IF(J$3&lt;&gt;"",J$3,"NA"),'MITRE ATT&amp;CK Mappings'!$J490))), 'MITRE ATT&amp;CK Mappings'!$B490,"")</f>
        <v/>
      </c>
      <c r="K494" s="26" t="str">
        <f>IF(OR(OR(OR(OR(OR(ISNUMBER(SEARCH(IF(K$1&lt;&gt;"",K$1,"NA"),'MITRE ATT&amp;CK Mappings'!$E490)),ISNUMBER(SEARCH(IF(K$1&lt;&gt;"",K$1,"NA"),'MITRE ATT&amp;CK Mappings'!$F490))),ISNUMBER(SEARCH(IF(K$2&lt;&gt;"",K$2,"NA"),'MITRE ATT&amp;CK Mappings'!$G490))),ISNUMBER(SEARCH(IF(K$2&lt;&gt;"",K$2,"NA"),'MITRE ATT&amp;CK Mappings'!$H490))),ISNUMBER(SEARCH(IF(K$3&lt;&gt;"",K$3,"NA"),'MITRE ATT&amp;CK Mappings'!$I490))),ISNUMBER(SEARCH(IF(K$3&lt;&gt;"",K$3,"NA"),'MITRE ATT&amp;CK Mappings'!$J490))), 'MITRE ATT&amp;CK Mappings'!$B490,"")</f>
        <v/>
      </c>
      <c r="L494" s="26" t="str">
        <f>IF('MITRE ATT&amp;CK Mappings'!D490 &lt;&gt;"",'MITRE ATT&amp;CK Mappings'!D490,"" )</f>
        <v/>
      </c>
    </row>
    <row r="495" spans="1:12" x14ac:dyDescent="0.25">
      <c r="A495" s="27" t="str">
        <f>IF(COUNTIF(B495:K495,"="&amp;'MITRE ATT&amp;CK Mappings'!B491)&gt;0,'MITRE ATT&amp;CK Mappings'!B491,"")</f>
        <v/>
      </c>
      <c r="B495" s="27" t="str">
        <f>IF(OR(OR(OR(OR(OR(ISNUMBER(SEARCH(IF(B$1&lt;&gt;"",B$1,"NA"),'MITRE ATT&amp;CK Mappings'!$E491)),ISNUMBER(SEARCH(IF(B$1&lt;&gt;"",B$1,"NA"),'MITRE ATT&amp;CK Mappings'!$F491))),ISNUMBER(SEARCH(IF(B$2&lt;&gt;"",B$2,"NA"),'MITRE ATT&amp;CK Mappings'!$G491))),ISNUMBER(SEARCH(IF(B$2&lt;&gt;"",B$2,"NA"),'MITRE ATT&amp;CK Mappings'!$H491))),ISNUMBER(SEARCH(IF(B$3&lt;&gt;"",B$3,"NA"),'MITRE ATT&amp;CK Mappings'!$I491))),ISNUMBER(SEARCH(IF(B$3&lt;&gt;"",B$3,"NA"),'MITRE ATT&amp;CK Mappings'!$J491))), 'MITRE ATT&amp;CK Mappings'!$B491,"")</f>
        <v/>
      </c>
      <c r="C495" s="27" t="str">
        <f>IF(OR(OR(OR(OR(OR(ISNUMBER(SEARCH(IF(C$1&lt;&gt;"",C$1,"NA"),'MITRE ATT&amp;CK Mappings'!$E491)),ISNUMBER(SEARCH(IF(C$1&lt;&gt;"",C$1,"NA"),'MITRE ATT&amp;CK Mappings'!$F491))),ISNUMBER(SEARCH(IF(C$2&lt;&gt;"",C$2,"NA"),'MITRE ATT&amp;CK Mappings'!$G491))),ISNUMBER(SEARCH(IF(C$2&lt;&gt;"",C$2,"NA"),'MITRE ATT&amp;CK Mappings'!$H491))),ISNUMBER(SEARCH(IF(C$3&lt;&gt;"",C$3,"NA"),'MITRE ATT&amp;CK Mappings'!$I491))),ISNUMBER(SEARCH(IF(C$3&lt;&gt;"",C$3,"NA"),'MITRE ATT&amp;CK Mappings'!$J491))), 'MITRE ATT&amp;CK Mappings'!$B491,"")</f>
        <v/>
      </c>
      <c r="D495" s="27" t="str">
        <f>IF(OR(OR(OR(OR(OR(ISNUMBER(SEARCH(IF(D$1&lt;&gt;"",D$1,"NA"),'MITRE ATT&amp;CK Mappings'!$E491)),ISNUMBER(SEARCH(IF(D$1&lt;&gt;"",D$1,"NA"),'MITRE ATT&amp;CK Mappings'!$F491))),ISNUMBER(SEARCH(IF(D$2&lt;&gt;"",D$2,"NA"),'MITRE ATT&amp;CK Mappings'!$G491))),ISNUMBER(SEARCH(IF(D$2&lt;&gt;"",D$2,"NA"),'MITRE ATT&amp;CK Mappings'!$H491))),ISNUMBER(SEARCH(IF(D$3&lt;&gt;"",D$3,"NA"),'MITRE ATT&amp;CK Mappings'!$I491))),ISNUMBER(SEARCH(IF(D$3&lt;&gt;"",D$3,"NA"),'MITRE ATT&amp;CK Mappings'!$J491))), 'MITRE ATT&amp;CK Mappings'!$B491,"")</f>
        <v/>
      </c>
      <c r="E495" s="27" t="str">
        <f>IF(OR(OR(OR(OR(OR(ISNUMBER(SEARCH(IF(E$1&lt;&gt;"",E$1,"NA"),'MITRE ATT&amp;CK Mappings'!$E491)),ISNUMBER(SEARCH(IF(E$1&lt;&gt;"",E$1,"NA"),'MITRE ATT&amp;CK Mappings'!$F491))),ISNUMBER(SEARCH(IF(E$2&lt;&gt;"",E$2,"NA"),'MITRE ATT&amp;CK Mappings'!$G491))),ISNUMBER(SEARCH(IF(E$2&lt;&gt;"",E$2,"NA"),'MITRE ATT&amp;CK Mappings'!$H491))),ISNUMBER(SEARCH(IF(E$3&lt;&gt;"",E$3,"NA"),'MITRE ATT&amp;CK Mappings'!$I491))),ISNUMBER(SEARCH(IF(E$3&lt;&gt;"",E$3,"NA"),'MITRE ATT&amp;CK Mappings'!$J491))), 'MITRE ATT&amp;CK Mappings'!$B491,"")</f>
        <v/>
      </c>
      <c r="F495" s="27" t="str">
        <f>IF(OR(OR(OR(OR(OR(ISNUMBER(SEARCH(IF(F$1&lt;&gt;"",F$1,"NA"),'MITRE ATT&amp;CK Mappings'!$E491)),ISNUMBER(SEARCH(IF(F$1&lt;&gt;"",F$1,"NA"),'MITRE ATT&amp;CK Mappings'!$F491))),ISNUMBER(SEARCH(IF(F$2&lt;&gt;"",F$2,"NA"),'MITRE ATT&amp;CK Mappings'!$G491))),ISNUMBER(SEARCH(IF(F$2&lt;&gt;"",F$2,"NA"),'MITRE ATT&amp;CK Mappings'!$H491))),ISNUMBER(SEARCH(IF(F$3&lt;&gt;"",F$3,"NA"),'MITRE ATT&amp;CK Mappings'!$I491))),ISNUMBER(SEARCH(IF(F$3&lt;&gt;"",F$3,"NA"),'MITRE ATT&amp;CK Mappings'!$J491))), 'MITRE ATT&amp;CK Mappings'!$B491,"")</f>
        <v/>
      </c>
      <c r="G495" s="27" t="str">
        <f>IF(OR(OR(OR(OR(OR(ISNUMBER(SEARCH(IF(G$1&lt;&gt;"",G$1,"NA"),'MITRE ATT&amp;CK Mappings'!$E491)),ISNUMBER(SEARCH(IF(G$1&lt;&gt;"",G$1,"NA"),'MITRE ATT&amp;CK Mappings'!$F491))),ISNUMBER(SEARCH(IF(G$2&lt;&gt;"",G$2,"NA"),'MITRE ATT&amp;CK Mappings'!$G491))),ISNUMBER(SEARCH(IF(G$2&lt;&gt;"",G$2,"NA"),'MITRE ATT&amp;CK Mappings'!$H491))),ISNUMBER(SEARCH(IF(G$3&lt;&gt;"",G$3,"NA"),'MITRE ATT&amp;CK Mappings'!$I491))),ISNUMBER(SEARCH(IF(G$3&lt;&gt;"",G$3,"NA"),'MITRE ATT&amp;CK Mappings'!$J491))), 'MITRE ATT&amp;CK Mappings'!$B491,"")</f>
        <v/>
      </c>
      <c r="H495" s="27" t="str">
        <f>IF(OR(OR(OR(OR(OR(ISNUMBER(SEARCH(IF(H$1&lt;&gt;"",H$1,"NA"),'MITRE ATT&amp;CK Mappings'!$E491)),ISNUMBER(SEARCH(IF(H$1&lt;&gt;"",H$1,"NA"),'MITRE ATT&amp;CK Mappings'!$F491))),ISNUMBER(SEARCH(IF(H$2&lt;&gt;"",H$2,"NA"),'MITRE ATT&amp;CK Mappings'!$G491))),ISNUMBER(SEARCH(IF(H$2&lt;&gt;"",H$2,"NA"),'MITRE ATT&amp;CK Mappings'!$H491))),ISNUMBER(SEARCH(IF(H$3&lt;&gt;"",H$3,"NA"),'MITRE ATT&amp;CK Mappings'!$I491))),ISNUMBER(SEARCH(IF(H$3&lt;&gt;"",H$3,"NA"),'MITRE ATT&amp;CK Mappings'!$J491))), 'MITRE ATT&amp;CK Mappings'!$B491,"")</f>
        <v/>
      </c>
      <c r="I495" s="27" t="str">
        <f>IF(OR(OR(OR(OR(OR(ISNUMBER(SEARCH(IF(I$1&lt;&gt;"",I$1,"NA"),'MITRE ATT&amp;CK Mappings'!$E491)),ISNUMBER(SEARCH(IF(I$1&lt;&gt;"",I$1,"NA"),'MITRE ATT&amp;CK Mappings'!$F491))),ISNUMBER(SEARCH(IF(I$2&lt;&gt;"",I$2,"NA"),'MITRE ATT&amp;CK Mappings'!$G491))),ISNUMBER(SEARCH(IF(I$2&lt;&gt;"",I$2,"NA"),'MITRE ATT&amp;CK Mappings'!$H491))),ISNUMBER(SEARCH(IF(I$3&lt;&gt;"",I$3,"NA"),'MITRE ATT&amp;CK Mappings'!$I491))),ISNUMBER(SEARCH(IF(I$3&lt;&gt;"",I$3,"NA"),'MITRE ATT&amp;CK Mappings'!$J491))), 'MITRE ATT&amp;CK Mappings'!$B491,"")</f>
        <v/>
      </c>
      <c r="J495" s="27" t="str">
        <f>IF(OR(OR(OR(OR(OR(ISNUMBER(SEARCH(IF(J$1&lt;&gt;"",J$1,"NA"),'MITRE ATT&amp;CK Mappings'!$E491)),ISNUMBER(SEARCH(IF(J$1&lt;&gt;"",J$1,"NA"),'MITRE ATT&amp;CK Mappings'!$F491))),ISNUMBER(SEARCH(IF(J$2&lt;&gt;"",J$2,"NA"),'MITRE ATT&amp;CK Mappings'!$G491))),ISNUMBER(SEARCH(IF(J$2&lt;&gt;"",J$2,"NA"),'MITRE ATT&amp;CK Mappings'!$H491))),ISNUMBER(SEARCH(IF(J$3&lt;&gt;"",J$3,"NA"),'MITRE ATT&amp;CK Mappings'!$I491))),ISNUMBER(SEARCH(IF(J$3&lt;&gt;"",J$3,"NA"),'MITRE ATT&amp;CK Mappings'!$J491))), 'MITRE ATT&amp;CK Mappings'!$B491,"")</f>
        <v/>
      </c>
      <c r="K495" s="27" t="str">
        <f>IF(OR(OR(OR(OR(OR(ISNUMBER(SEARCH(IF(K$1&lt;&gt;"",K$1,"NA"),'MITRE ATT&amp;CK Mappings'!$E491)),ISNUMBER(SEARCH(IF(K$1&lt;&gt;"",K$1,"NA"),'MITRE ATT&amp;CK Mappings'!$F491))),ISNUMBER(SEARCH(IF(K$2&lt;&gt;"",K$2,"NA"),'MITRE ATT&amp;CK Mappings'!$G491))),ISNUMBER(SEARCH(IF(K$2&lt;&gt;"",K$2,"NA"),'MITRE ATT&amp;CK Mappings'!$H491))),ISNUMBER(SEARCH(IF(K$3&lt;&gt;"",K$3,"NA"),'MITRE ATT&amp;CK Mappings'!$I491))),ISNUMBER(SEARCH(IF(K$3&lt;&gt;"",K$3,"NA"),'MITRE ATT&amp;CK Mappings'!$J491))), 'MITRE ATT&amp;CK Mappings'!$B491,"")</f>
        <v/>
      </c>
      <c r="L495" s="27" t="str">
        <f>IF('MITRE ATT&amp;CK Mappings'!D491 &lt;&gt;"",'MITRE ATT&amp;CK Mappings'!D491,"" )</f>
        <v/>
      </c>
    </row>
    <row r="496" spans="1:12" x14ac:dyDescent="0.25">
      <c r="A496" s="26" t="str">
        <f>IF(COUNTIF(B496:K496,"="&amp;'MITRE ATT&amp;CK Mappings'!B492)&gt;0,'MITRE ATT&amp;CK Mappings'!B492,"")</f>
        <v/>
      </c>
      <c r="B496" s="26" t="str">
        <f>IF(OR(OR(OR(OR(OR(ISNUMBER(SEARCH(IF(B$1&lt;&gt;"",B$1,"NA"),'MITRE ATT&amp;CK Mappings'!$E492)),ISNUMBER(SEARCH(IF(B$1&lt;&gt;"",B$1,"NA"),'MITRE ATT&amp;CK Mappings'!$F492))),ISNUMBER(SEARCH(IF(B$2&lt;&gt;"",B$2,"NA"),'MITRE ATT&amp;CK Mappings'!$G492))),ISNUMBER(SEARCH(IF(B$2&lt;&gt;"",B$2,"NA"),'MITRE ATT&amp;CK Mappings'!$H492))),ISNUMBER(SEARCH(IF(B$3&lt;&gt;"",B$3,"NA"),'MITRE ATT&amp;CK Mappings'!$I492))),ISNUMBER(SEARCH(IF(B$3&lt;&gt;"",B$3,"NA"),'MITRE ATT&amp;CK Mappings'!$J492))), 'MITRE ATT&amp;CK Mappings'!$B492,"")</f>
        <v/>
      </c>
      <c r="C496" s="26" t="str">
        <f>IF(OR(OR(OR(OR(OR(ISNUMBER(SEARCH(IF(C$1&lt;&gt;"",C$1,"NA"),'MITRE ATT&amp;CK Mappings'!$E492)),ISNUMBER(SEARCH(IF(C$1&lt;&gt;"",C$1,"NA"),'MITRE ATT&amp;CK Mappings'!$F492))),ISNUMBER(SEARCH(IF(C$2&lt;&gt;"",C$2,"NA"),'MITRE ATT&amp;CK Mappings'!$G492))),ISNUMBER(SEARCH(IF(C$2&lt;&gt;"",C$2,"NA"),'MITRE ATT&amp;CK Mappings'!$H492))),ISNUMBER(SEARCH(IF(C$3&lt;&gt;"",C$3,"NA"),'MITRE ATT&amp;CK Mappings'!$I492))),ISNUMBER(SEARCH(IF(C$3&lt;&gt;"",C$3,"NA"),'MITRE ATT&amp;CK Mappings'!$J492))), 'MITRE ATT&amp;CK Mappings'!$B492,"")</f>
        <v/>
      </c>
      <c r="D496" s="26" t="str">
        <f>IF(OR(OR(OR(OR(OR(ISNUMBER(SEARCH(IF(D$1&lt;&gt;"",D$1,"NA"),'MITRE ATT&amp;CK Mappings'!$E492)),ISNUMBER(SEARCH(IF(D$1&lt;&gt;"",D$1,"NA"),'MITRE ATT&amp;CK Mappings'!$F492))),ISNUMBER(SEARCH(IF(D$2&lt;&gt;"",D$2,"NA"),'MITRE ATT&amp;CK Mappings'!$G492))),ISNUMBER(SEARCH(IF(D$2&lt;&gt;"",D$2,"NA"),'MITRE ATT&amp;CK Mappings'!$H492))),ISNUMBER(SEARCH(IF(D$3&lt;&gt;"",D$3,"NA"),'MITRE ATT&amp;CK Mappings'!$I492))),ISNUMBER(SEARCH(IF(D$3&lt;&gt;"",D$3,"NA"),'MITRE ATT&amp;CK Mappings'!$J492))), 'MITRE ATT&amp;CK Mappings'!$B492,"")</f>
        <v/>
      </c>
      <c r="E496" s="26" t="str">
        <f>IF(OR(OR(OR(OR(OR(ISNUMBER(SEARCH(IF(E$1&lt;&gt;"",E$1,"NA"),'MITRE ATT&amp;CK Mappings'!$E492)),ISNUMBER(SEARCH(IF(E$1&lt;&gt;"",E$1,"NA"),'MITRE ATT&amp;CK Mappings'!$F492))),ISNUMBER(SEARCH(IF(E$2&lt;&gt;"",E$2,"NA"),'MITRE ATT&amp;CK Mappings'!$G492))),ISNUMBER(SEARCH(IF(E$2&lt;&gt;"",E$2,"NA"),'MITRE ATT&amp;CK Mappings'!$H492))),ISNUMBER(SEARCH(IF(E$3&lt;&gt;"",E$3,"NA"),'MITRE ATT&amp;CK Mappings'!$I492))),ISNUMBER(SEARCH(IF(E$3&lt;&gt;"",E$3,"NA"),'MITRE ATT&amp;CK Mappings'!$J492))), 'MITRE ATT&amp;CK Mappings'!$B492,"")</f>
        <v/>
      </c>
      <c r="F496" s="26" t="str">
        <f>IF(OR(OR(OR(OR(OR(ISNUMBER(SEARCH(IF(F$1&lt;&gt;"",F$1,"NA"),'MITRE ATT&amp;CK Mappings'!$E492)),ISNUMBER(SEARCH(IF(F$1&lt;&gt;"",F$1,"NA"),'MITRE ATT&amp;CK Mappings'!$F492))),ISNUMBER(SEARCH(IF(F$2&lt;&gt;"",F$2,"NA"),'MITRE ATT&amp;CK Mappings'!$G492))),ISNUMBER(SEARCH(IF(F$2&lt;&gt;"",F$2,"NA"),'MITRE ATT&amp;CK Mappings'!$H492))),ISNUMBER(SEARCH(IF(F$3&lt;&gt;"",F$3,"NA"),'MITRE ATT&amp;CK Mappings'!$I492))),ISNUMBER(SEARCH(IF(F$3&lt;&gt;"",F$3,"NA"),'MITRE ATT&amp;CK Mappings'!$J492))), 'MITRE ATT&amp;CK Mappings'!$B492,"")</f>
        <v/>
      </c>
      <c r="G496" s="26" t="str">
        <f>IF(OR(OR(OR(OR(OR(ISNUMBER(SEARCH(IF(G$1&lt;&gt;"",G$1,"NA"),'MITRE ATT&amp;CK Mappings'!$E492)),ISNUMBER(SEARCH(IF(G$1&lt;&gt;"",G$1,"NA"),'MITRE ATT&amp;CK Mappings'!$F492))),ISNUMBER(SEARCH(IF(G$2&lt;&gt;"",G$2,"NA"),'MITRE ATT&amp;CK Mappings'!$G492))),ISNUMBER(SEARCH(IF(G$2&lt;&gt;"",G$2,"NA"),'MITRE ATT&amp;CK Mappings'!$H492))),ISNUMBER(SEARCH(IF(G$3&lt;&gt;"",G$3,"NA"),'MITRE ATT&amp;CK Mappings'!$I492))),ISNUMBER(SEARCH(IF(G$3&lt;&gt;"",G$3,"NA"),'MITRE ATT&amp;CK Mappings'!$J492))), 'MITRE ATT&amp;CK Mappings'!$B492,"")</f>
        <v/>
      </c>
      <c r="H496" s="26" t="str">
        <f>IF(OR(OR(OR(OR(OR(ISNUMBER(SEARCH(IF(H$1&lt;&gt;"",H$1,"NA"),'MITRE ATT&amp;CK Mappings'!$E492)),ISNUMBER(SEARCH(IF(H$1&lt;&gt;"",H$1,"NA"),'MITRE ATT&amp;CK Mappings'!$F492))),ISNUMBER(SEARCH(IF(H$2&lt;&gt;"",H$2,"NA"),'MITRE ATT&amp;CK Mappings'!$G492))),ISNUMBER(SEARCH(IF(H$2&lt;&gt;"",H$2,"NA"),'MITRE ATT&amp;CK Mappings'!$H492))),ISNUMBER(SEARCH(IF(H$3&lt;&gt;"",H$3,"NA"),'MITRE ATT&amp;CK Mappings'!$I492))),ISNUMBER(SEARCH(IF(H$3&lt;&gt;"",H$3,"NA"),'MITRE ATT&amp;CK Mappings'!$J492))), 'MITRE ATT&amp;CK Mappings'!$B492,"")</f>
        <v/>
      </c>
      <c r="I496" s="26" t="str">
        <f>IF(OR(OR(OR(OR(OR(ISNUMBER(SEARCH(IF(I$1&lt;&gt;"",I$1,"NA"),'MITRE ATT&amp;CK Mappings'!$E492)),ISNUMBER(SEARCH(IF(I$1&lt;&gt;"",I$1,"NA"),'MITRE ATT&amp;CK Mappings'!$F492))),ISNUMBER(SEARCH(IF(I$2&lt;&gt;"",I$2,"NA"),'MITRE ATT&amp;CK Mappings'!$G492))),ISNUMBER(SEARCH(IF(I$2&lt;&gt;"",I$2,"NA"),'MITRE ATT&amp;CK Mappings'!$H492))),ISNUMBER(SEARCH(IF(I$3&lt;&gt;"",I$3,"NA"),'MITRE ATT&amp;CK Mappings'!$I492))),ISNUMBER(SEARCH(IF(I$3&lt;&gt;"",I$3,"NA"),'MITRE ATT&amp;CK Mappings'!$J492))), 'MITRE ATT&amp;CK Mappings'!$B492,"")</f>
        <v/>
      </c>
      <c r="J496" s="26" t="str">
        <f>IF(OR(OR(OR(OR(OR(ISNUMBER(SEARCH(IF(J$1&lt;&gt;"",J$1,"NA"),'MITRE ATT&amp;CK Mappings'!$E492)),ISNUMBER(SEARCH(IF(J$1&lt;&gt;"",J$1,"NA"),'MITRE ATT&amp;CK Mappings'!$F492))),ISNUMBER(SEARCH(IF(J$2&lt;&gt;"",J$2,"NA"),'MITRE ATT&amp;CK Mappings'!$G492))),ISNUMBER(SEARCH(IF(J$2&lt;&gt;"",J$2,"NA"),'MITRE ATT&amp;CK Mappings'!$H492))),ISNUMBER(SEARCH(IF(J$3&lt;&gt;"",J$3,"NA"),'MITRE ATT&amp;CK Mappings'!$I492))),ISNUMBER(SEARCH(IF(J$3&lt;&gt;"",J$3,"NA"),'MITRE ATT&amp;CK Mappings'!$J492))), 'MITRE ATT&amp;CK Mappings'!$B492,"")</f>
        <v/>
      </c>
      <c r="K496" s="26" t="str">
        <f>IF(OR(OR(OR(OR(OR(ISNUMBER(SEARCH(IF(K$1&lt;&gt;"",K$1,"NA"),'MITRE ATT&amp;CK Mappings'!$E492)),ISNUMBER(SEARCH(IF(K$1&lt;&gt;"",K$1,"NA"),'MITRE ATT&amp;CK Mappings'!$F492))),ISNUMBER(SEARCH(IF(K$2&lt;&gt;"",K$2,"NA"),'MITRE ATT&amp;CK Mappings'!$G492))),ISNUMBER(SEARCH(IF(K$2&lt;&gt;"",K$2,"NA"),'MITRE ATT&amp;CK Mappings'!$H492))),ISNUMBER(SEARCH(IF(K$3&lt;&gt;"",K$3,"NA"),'MITRE ATT&amp;CK Mappings'!$I492))),ISNUMBER(SEARCH(IF(K$3&lt;&gt;"",K$3,"NA"),'MITRE ATT&amp;CK Mappings'!$J492))), 'MITRE ATT&amp;CK Mappings'!$B492,"")</f>
        <v/>
      </c>
      <c r="L496" s="26" t="str">
        <f>IF('MITRE ATT&amp;CK Mappings'!D492 &lt;&gt;"",'MITRE ATT&amp;CK Mappings'!D492,"" )</f>
        <v/>
      </c>
    </row>
    <row r="497" spans="1:12" x14ac:dyDescent="0.25">
      <c r="A497" s="27" t="str">
        <f>IF(COUNTIF(B497:K497,"="&amp;'MITRE ATT&amp;CK Mappings'!B493)&gt;0,'MITRE ATT&amp;CK Mappings'!B493,"")</f>
        <v/>
      </c>
      <c r="B497" s="27" t="str">
        <f>IF(OR(OR(OR(OR(OR(ISNUMBER(SEARCH(IF(B$1&lt;&gt;"",B$1,"NA"),'MITRE ATT&amp;CK Mappings'!$E493)),ISNUMBER(SEARCH(IF(B$1&lt;&gt;"",B$1,"NA"),'MITRE ATT&amp;CK Mappings'!$F493))),ISNUMBER(SEARCH(IF(B$2&lt;&gt;"",B$2,"NA"),'MITRE ATT&amp;CK Mappings'!$G493))),ISNUMBER(SEARCH(IF(B$2&lt;&gt;"",B$2,"NA"),'MITRE ATT&amp;CK Mappings'!$H493))),ISNUMBER(SEARCH(IF(B$3&lt;&gt;"",B$3,"NA"),'MITRE ATT&amp;CK Mappings'!$I493))),ISNUMBER(SEARCH(IF(B$3&lt;&gt;"",B$3,"NA"),'MITRE ATT&amp;CK Mappings'!$J493))), 'MITRE ATT&amp;CK Mappings'!$B493,"")</f>
        <v/>
      </c>
      <c r="C497" s="27" t="str">
        <f>IF(OR(OR(OR(OR(OR(ISNUMBER(SEARCH(IF(C$1&lt;&gt;"",C$1,"NA"),'MITRE ATT&amp;CK Mappings'!$E493)),ISNUMBER(SEARCH(IF(C$1&lt;&gt;"",C$1,"NA"),'MITRE ATT&amp;CK Mappings'!$F493))),ISNUMBER(SEARCH(IF(C$2&lt;&gt;"",C$2,"NA"),'MITRE ATT&amp;CK Mappings'!$G493))),ISNUMBER(SEARCH(IF(C$2&lt;&gt;"",C$2,"NA"),'MITRE ATT&amp;CK Mappings'!$H493))),ISNUMBER(SEARCH(IF(C$3&lt;&gt;"",C$3,"NA"),'MITRE ATT&amp;CK Mappings'!$I493))),ISNUMBER(SEARCH(IF(C$3&lt;&gt;"",C$3,"NA"),'MITRE ATT&amp;CK Mappings'!$J493))), 'MITRE ATT&amp;CK Mappings'!$B493,"")</f>
        <v/>
      </c>
      <c r="D497" s="27" t="str">
        <f>IF(OR(OR(OR(OR(OR(ISNUMBER(SEARCH(IF(D$1&lt;&gt;"",D$1,"NA"),'MITRE ATT&amp;CK Mappings'!$E493)),ISNUMBER(SEARCH(IF(D$1&lt;&gt;"",D$1,"NA"),'MITRE ATT&amp;CK Mappings'!$F493))),ISNUMBER(SEARCH(IF(D$2&lt;&gt;"",D$2,"NA"),'MITRE ATT&amp;CK Mappings'!$G493))),ISNUMBER(SEARCH(IF(D$2&lt;&gt;"",D$2,"NA"),'MITRE ATT&amp;CK Mappings'!$H493))),ISNUMBER(SEARCH(IF(D$3&lt;&gt;"",D$3,"NA"),'MITRE ATT&amp;CK Mappings'!$I493))),ISNUMBER(SEARCH(IF(D$3&lt;&gt;"",D$3,"NA"),'MITRE ATT&amp;CK Mappings'!$J493))), 'MITRE ATT&amp;CK Mappings'!$B493,"")</f>
        <v/>
      </c>
      <c r="E497" s="27" t="str">
        <f>IF(OR(OR(OR(OR(OR(ISNUMBER(SEARCH(IF(E$1&lt;&gt;"",E$1,"NA"),'MITRE ATT&amp;CK Mappings'!$E493)),ISNUMBER(SEARCH(IF(E$1&lt;&gt;"",E$1,"NA"),'MITRE ATT&amp;CK Mappings'!$F493))),ISNUMBER(SEARCH(IF(E$2&lt;&gt;"",E$2,"NA"),'MITRE ATT&amp;CK Mappings'!$G493))),ISNUMBER(SEARCH(IF(E$2&lt;&gt;"",E$2,"NA"),'MITRE ATT&amp;CK Mappings'!$H493))),ISNUMBER(SEARCH(IF(E$3&lt;&gt;"",E$3,"NA"),'MITRE ATT&amp;CK Mappings'!$I493))),ISNUMBER(SEARCH(IF(E$3&lt;&gt;"",E$3,"NA"),'MITRE ATT&amp;CK Mappings'!$J493))), 'MITRE ATT&amp;CK Mappings'!$B493,"")</f>
        <v/>
      </c>
      <c r="F497" s="27" t="str">
        <f>IF(OR(OR(OR(OR(OR(ISNUMBER(SEARCH(IF(F$1&lt;&gt;"",F$1,"NA"),'MITRE ATT&amp;CK Mappings'!$E493)),ISNUMBER(SEARCH(IF(F$1&lt;&gt;"",F$1,"NA"),'MITRE ATT&amp;CK Mappings'!$F493))),ISNUMBER(SEARCH(IF(F$2&lt;&gt;"",F$2,"NA"),'MITRE ATT&amp;CK Mappings'!$G493))),ISNUMBER(SEARCH(IF(F$2&lt;&gt;"",F$2,"NA"),'MITRE ATT&amp;CK Mappings'!$H493))),ISNUMBER(SEARCH(IF(F$3&lt;&gt;"",F$3,"NA"),'MITRE ATT&amp;CK Mappings'!$I493))),ISNUMBER(SEARCH(IF(F$3&lt;&gt;"",F$3,"NA"),'MITRE ATT&amp;CK Mappings'!$J493))), 'MITRE ATT&amp;CK Mappings'!$B493,"")</f>
        <v/>
      </c>
      <c r="G497" s="27" t="str">
        <f>IF(OR(OR(OR(OR(OR(ISNUMBER(SEARCH(IF(G$1&lt;&gt;"",G$1,"NA"),'MITRE ATT&amp;CK Mappings'!$E493)),ISNUMBER(SEARCH(IF(G$1&lt;&gt;"",G$1,"NA"),'MITRE ATT&amp;CK Mappings'!$F493))),ISNUMBER(SEARCH(IF(G$2&lt;&gt;"",G$2,"NA"),'MITRE ATT&amp;CK Mappings'!$G493))),ISNUMBER(SEARCH(IF(G$2&lt;&gt;"",G$2,"NA"),'MITRE ATT&amp;CK Mappings'!$H493))),ISNUMBER(SEARCH(IF(G$3&lt;&gt;"",G$3,"NA"),'MITRE ATT&amp;CK Mappings'!$I493))),ISNUMBER(SEARCH(IF(G$3&lt;&gt;"",G$3,"NA"),'MITRE ATT&amp;CK Mappings'!$J493))), 'MITRE ATT&amp;CK Mappings'!$B493,"")</f>
        <v/>
      </c>
      <c r="H497" s="27" t="str">
        <f>IF(OR(OR(OR(OR(OR(ISNUMBER(SEARCH(IF(H$1&lt;&gt;"",H$1,"NA"),'MITRE ATT&amp;CK Mappings'!$E493)),ISNUMBER(SEARCH(IF(H$1&lt;&gt;"",H$1,"NA"),'MITRE ATT&amp;CK Mappings'!$F493))),ISNUMBER(SEARCH(IF(H$2&lt;&gt;"",H$2,"NA"),'MITRE ATT&amp;CK Mappings'!$G493))),ISNUMBER(SEARCH(IF(H$2&lt;&gt;"",H$2,"NA"),'MITRE ATT&amp;CK Mappings'!$H493))),ISNUMBER(SEARCH(IF(H$3&lt;&gt;"",H$3,"NA"),'MITRE ATT&amp;CK Mappings'!$I493))),ISNUMBER(SEARCH(IF(H$3&lt;&gt;"",H$3,"NA"),'MITRE ATT&amp;CK Mappings'!$J493))), 'MITRE ATT&amp;CK Mappings'!$B493,"")</f>
        <v/>
      </c>
      <c r="I497" s="27" t="str">
        <f>IF(OR(OR(OR(OR(OR(ISNUMBER(SEARCH(IF(I$1&lt;&gt;"",I$1,"NA"),'MITRE ATT&amp;CK Mappings'!$E493)),ISNUMBER(SEARCH(IF(I$1&lt;&gt;"",I$1,"NA"),'MITRE ATT&amp;CK Mappings'!$F493))),ISNUMBER(SEARCH(IF(I$2&lt;&gt;"",I$2,"NA"),'MITRE ATT&amp;CK Mappings'!$G493))),ISNUMBER(SEARCH(IF(I$2&lt;&gt;"",I$2,"NA"),'MITRE ATT&amp;CK Mappings'!$H493))),ISNUMBER(SEARCH(IF(I$3&lt;&gt;"",I$3,"NA"),'MITRE ATT&amp;CK Mappings'!$I493))),ISNUMBER(SEARCH(IF(I$3&lt;&gt;"",I$3,"NA"),'MITRE ATT&amp;CK Mappings'!$J493))), 'MITRE ATT&amp;CK Mappings'!$B493,"")</f>
        <v/>
      </c>
      <c r="J497" s="27" t="str">
        <f>IF(OR(OR(OR(OR(OR(ISNUMBER(SEARCH(IF(J$1&lt;&gt;"",J$1,"NA"),'MITRE ATT&amp;CK Mappings'!$E493)),ISNUMBER(SEARCH(IF(J$1&lt;&gt;"",J$1,"NA"),'MITRE ATT&amp;CK Mappings'!$F493))),ISNUMBER(SEARCH(IF(J$2&lt;&gt;"",J$2,"NA"),'MITRE ATT&amp;CK Mappings'!$G493))),ISNUMBER(SEARCH(IF(J$2&lt;&gt;"",J$2,"NA"),'MITRE ATT&amp;CK Mappings'!$H493))),ISNUMBER(SEARCH(IF(J$3&lt;&gt;"",J$3,"NA"),'MITRE ATT&amp;CK Mappings'!$I493))),ISNUMBER(SEARCH(IF(J$3&lt;&gt;"",J$3,"NA"),'MITRE ATT&amp;CK Mappings'!$J493))), 'MITRE ATT&amp;CK Mappings'!$B493,"")</f>
        <v/>
      </c>
      <c r="K497" s="27" t="str">
        <f>IF(OR(OR(OR(OR(OR(ISNUMBER(SEARCH(IF(K$1&lt;&gt;"",K$1,"NA"),'MITRE ATT&amp;CK Mappings'!$E493)),ISNUMBER(SEARCH(IF(K$1&lt;&gt;"",K$1,"NA"),'MITRE ATT&amp;CK Mappings'!$F493))),ISNUMBER(SEARCH(IF(K$2&lt;&gt;"",K$2,"NA"),'MITRE ATT&amp;CK Mappings'!$G493))),ISNUMBER(SEARCH(IF(K$2&lt;&gt;"",K$2,"NA"),'MITRE ATT&amp;CK Mappings'!$H493))),ISNUMBER(SEARCH(IF(K$3&lt;&gt;"",K$3,"NA"),'MITRE ATT&amp;CK Mappings'!$I493))),ISNUMBER(SEARCH(IF(K$3&lt;&gt;"",K$3,"NA"),'MITRE ATT&amp;CK Mappings'!$J493))), 'MITRE ATT&amp;CK Mappings'!$B493,"")</f>
        <v/>
      </c>
      <c r="L497" s="27" t="str">
        <f>IF('MITRE ATT&amp;CK Mappings'!D493 &lt;&gt;"",'MITRE ATT&amp;CK Mappings'!D493,"" )</f>
        <v/>
      </c>
    </row>
    <row r="498" spans="1:12" x14ac:dyDescent="0.25">
      <c r="A498" s="26" t="str">
        <f>IF(COUNTIF(B498:K498,"="&amp;'MITRE ATT&amp;CK Mappings'!B494)&gt;0,'MITRE ATT&amp;CK Mappings'!B494,"")</f>
        <v/>
      </c>
      <c r="B498" s="26" t="str">
        <f>IF(OR(OR(OR(OR(OR(ISNUMBER(SEARCH(IF(B$1&lt;&gt;"",B$1,"NA"),'MITRE ATT&amp;CK Mappings'!$E494)),ISNUMBER(SEARCH(IF(B$1&lt;&gt;"",B$1,"NA"),'MITRE ATT&amp;CK Mappings'!$F494))),ISNUMBER(SEARCH(IF(B$2&lt;&gt;"",B$2,"NA"),'MITRE ATT&amp;CK Mappings'!$G494))),ISNUMBER(SEARCH(IF(B$2&lt;&gt;"",B$2,"NA"),'MITRE ATT&amp;CK Mappings'!$H494))),ISNUMBER(SEARCH(IF(B$3&lt;&gt;"",B$3,"NA"),'MITRE ATT&amp;CK Mappings'!$I494))),ISNUMBER(SEARCH(IF(B$3&lt;&gt;"",B$3,"NA"),'MITRE ATT&amp;CK Mappings'!$J494))), 'MITRE ATT&amp;CK Mappings'!$B494,"")</f>
        <v/>
      </c>
      <c r="C498" s="26" t="str">
        <f>IF(OR(OR(OR(OR(OR(ISNUMBER(SEARCH(IF(C$1&lt;&gt;"",C$1,"NA"),'MITRE ATT&amp;CK Mappings'!$E494)),ISNUMBER(SEARCH(IF(C$1&lt;&gt;"",C$1,"NA"),'MITRE ATT&amp;CK Mappings'!$F494))),ISNUMBER(SEARCH(IF(C$2&lt;&gt;"",C$2,"NA"),'MITRE ATT&amp;CK Mappings'!$G494))),ISNUMBER(SEARCH(IF(C$2&lt;&gt;"",C$2,"NA"),'MITRE ATT&amp;CK Mappings'!$H494))),ISNUMBER(SEARCH(IF(C$3&lt;&gt;"",C$3,"NA"),'MITRE ATT&amp;CK Mappings'!$I494))),ISNUMBER(SEARCH(IF(C$3&lt;&gt;"",C$3,"NA"),'MITRE ATT&amp;CK Mappings'!$J494))), 'MITRE ATT&amp;CK Mappings'!$B494,"")</f>
        <v/>
      </c>
      <c r="D498" s="26" t="str">
        <f>IF(OR(OR(OR(OR(OR(ISNUMBER(SEARCH(IF(D$1&lt;&gt;"",D$1,"NA"),'MITRE ATT&amp;CK Mappings'!$E494)),ISNUMBER(SEARCH(IF(D$1&lt;&gt;"",D$1,"NA"),'MITRE ATT&amp;CK Mappings'!$F494))),ISNUMBER(SEARCH(IF(D$2&lt;&gt;"",D$2,"NA"),'MITRE ATT&amp;CK Mappings'!$G494))),ISNUMBER(SEARCH(IF(D$2&lt;&gt;"",D$2,"NA"),'MITRE ATT&amp;CK Mappings'!$H494))),ISNUMBER(SEARCH(IF(D$3&lt;&gt;"",D$3,"NA"),'MITRE ATT&amp;CK Mappings'!$I494))),ISNUMBER(SEARCH(IF(D$3&lt;&gt;"",D$3,"NA"),'MITRE ATT&amp;CK Mappings'!$J494))), 'MITRE ATT&amp;CK Mappings'!$B494,"")</f>
        <v/>
      </c>
      <c r="E498" s="26" t="str">
        <f>IF(OR(OR(OR(OR(OR(ISNUMBER(SEARCH(IF(E$1&lt;&gt;"",E$1,"NA"),'MITRE ATT&amp;CK Mappings'!$E494)),ISNUMBER(SEARCH(IF(E$1&lt;&gt;"",E$1,"NA"),'MITRE ATT&amp;CK Mappings'!$F494))),ISNUMBER(SEARCH(IF(E$2&lt;&gt;"",E$2,"NA"),'MITRE ATT&amp;CK Mappings'!$G494))),ISNUMBER(SEARCH(IF(E$2&lt;&gt;"",E$2,"NA"),'MITRE ATT&amp;CK Mappings'!$H494))),ISNUMBER(SEARCH(IF(E$3&lt;&gt;"",E$3,"NA"),'MITRE ATT&amp;CK Mappings'!$I494))),ISNUMBER(SEARCH(IF(E$3&lt;&gt;"",E$3,"NA"),'MITRE ATT&amp;CK Mappings'!$J494))), 'MITRE ATT&amp;CK Mappings'!$B494,"")</f>
        <v/>
      </c>
      <c r="F498" s="26" t="str">
        <f>IF(OR(OR(OR(OR(OR(ISNUMBER(SEARCH(IF(F$1&lt;&gt;"",F$1,"NA"),'MITRE ATT&amp;CK Mappings'!$E494)),ISNUMBER(SEARCH(IF(F$1&lt;&gt;"",F$1,"NA"),'MITRE ATT&amp;CK Mappings'!$F494))),ISNUMBER(SEARCH(IF(F$2&lt;&gt;"",F$2,"NA"),'MITRE ATT&amp;CK Mappings'!$G494))),ISNUMBER(SEARCH(IF(F$2&lt;&gt;"",F$2,"NA"),'MITRE ATT&amp;CK Mappings'!$H494))),ISNUMBER(SEARCH(IF(F$3&lt;&gt;"",F$3,"NA"),'MITRE ATT&amp;CK Mappings'!$I494))),ISNUMBER(SEARCH(IF(F$3&lt;&gt;"",F$3,"NA"),'MITRE ATT&amp;CK Mappings'!$J494))), 'MITRE ATT&amp;CK Mappings'!$B494,"")</f>
        <v/>
      </c>
      <c r="G498" s="26" t="str">
        <f>IF(OR(OR(OR(OR(OR(ISNUMBER(SEARCH(IF(G$1&lt;&gt;"",G$1,"NA"),'MITRE ATT&amp;CK Mappings'!$E494)),ISNUMBER(SEARCH(IF(G$1&lt;&gt;"",G$1,"NA"),'MITRE ATT&amp;CK Mappings'!$F494))),ISNUMBER(SEARCH(IF(G$2&lt;&gt;"",G$2,"NA"),'MITRE ATT&amp;CK Mappings'!$G494))),ISNUMBER(SEARCH(IF(G$2&lt;&gt;"",G$2,"NA"),'MITRE ATT&amp;CK Mappings'!$H494))),ISNUMBER(SEARCH(IF(G$3&lt;&gt;"",G$3,"NA"),'MITRE ATT&amp;CK Mappings'!$I494))),ISNUMBER(SEARCH(IF(G$3&lt;&gt;"",G$3,"NA"),'MITRE ATT&amp;CK Mappings'!$J494))), 'MITRE ATT&amp;CK Mappings'!$B494,"")</f>
        <v/>
      </c>
      <c r="H498" s="26" t="str">
        <f>IF(OR(OR(OR(OR(OR(ISNUMBER(SEARCH(IF(H$1&lt;&gt;"",H$1,"NA"),'MITRE ATT&amp;CK Mappings'!$E494)),ISNUMBER(SEARCH(IF(H$1&lt;&gt;"",H$1,"NA"),'MITRE ATT&amp;CK Mappings'!$F494))),ISNUMBER(SEARCH(IF(H$2&lt;&gt;"",H$2,"NA"),'MITRE ATT&amp;CK Mappings'!$G494))),ISNUMBER(SEARCH(IF(H$2&lt;&gt;"",H$2,"NA"),'MITRE ATT&amp;CK Mappings'!$H494))),ISNUMBER(SEARCH(IF(H$3&lt;&gt;"",H$3,"NA"),'MITRE ATT&amp;CK Mappings'!$I494))),ISNUMBER(SEARCH(IF(H$3&lt;&gt;"",H$3,"NA"),'MITRE ATT&amp;CK Mappings'!$J494))), 'MITRE ATT&amp;CK Mappings'!$B494,"")</f>
        <v/>
      </c>
      <c r="I498" s="26" t="str">
        <f>IF(OR(OR(OR(OR(OR(ISNUMBER(SEARCH(IF(I$1&lt;&gt;"",I$1,"NA"),'MITRE ATT&amp;CK Mappings'!$E494)),ISNUMBER(SEARCH(IF(I$1&lt;&gt;"",I$1,"NA"),'MITRE ATT&amp;CK Mappings'!$F494))),ISNUMBER(SEARCH(IF(I$2&lt;&gt;"",I$2,"NA"),'MITRE ATT&amp;CK Mappings'!$G494))),ISNUMBER(SEARCH(IF(I$2&lt;&gt;"",I$2,"NA"),'MITRE ATT&amp;CK Mappings'!$H494))),ISNUMBER(SEARCH(IF(I$3&lt;&gt;"",I$3,"NA"),'MITRE ATT&amp;CK Mappings'!$I494))),ISNUMBER(SEARCH(IF(I$3&lt;&gt;"",I$3,"NA"),'MITRE ATT&amp;CK Mappings'!$J494))), 'MITRE ATT&amp;CK Mappings'!$B494,"")</f>
        <v/>
      </c>
      <c r="J498" s="26" t="str">
        <f>IF(OR(OR(OR(OR(OR(ISNUMBER(SEARCH(IF(J$1&lt;&gt;"",J$1,"NA"),'MITRE ATT&amp;CK Mappings'!$E494)),ISNUMBER(SEARCH(IF(J$1&lt;&gt;"",J$1,"NA"),'MITRE ATT&amp;CK Mappings'!$F494))),ISNUMBER(SEARCH(IF(J$2&lt;&gt;"",J$2,"NA"),'MITRE ATT&amp;CK Mappings'!$G494))),ISNUMBER(SEARCH(IF(J$2&lt;&gt;"",J$2,"NA"),'MITRE ATT&amp;CK Mappings'!$H494))),ISNUMBER(SEARCH(IF(J$3&lt;&gt;"",J$3,"NA"),'MITRE ATT&amp;CK Mappings'!$I494))),ISNUMBER(SEARCH(IF(J$3&lt;&gt;"",J$3,"NA"),'MITRE ATT&amp;CK Mappings'!$J494))), 'MITRE ATT&amp;CK Mappings'!$B494,"")</f>
        <v/>
      </c>
      <c r="K498" s="26" t="str">
        <f>IF(OR(OR(OR(OR(OR(ISNUMBER(SEARCH(IF(K$1&lt;&gt;"",K$1,"NA"),'MITRE ATT&amp;CK Mappings'!$E494)),ISNUMBER(SEARCH(IF(K$1&lt;&gt;"",K$1,"NA"),'MITRE ATT&amp;CK Mappings'!$F494))),ISNUMBER(SEARCH(IF(K$2&lt;&gt;"",K$2,"NA"),'MITRE ATT&amp;CK Mappings'!$G494))),ISNUMBER(SEARCH(IF(K$2&lt;&gt;"",K$2,"NA"),'MITRE ATT&amp;CK Mappings'!$H494))),ISNUMBER(SEARCH(IF(K$3&lt;&gt;"",K$3,"NA"),'MITRE ATT&amp;CK Mappings'!$I494))),ISNUMBER(SEARCH(IF(K$3&lt;&gt;"",K$3,"NA"),'MITRE ATT&amp;CK Mappings'!$J494))), 'MITRE ATT&amp;CK Mappings'!$B494,"")</f>
        <v/>
      </c>
      <c r="L498" s="26" t="str">
        <f>IF('MITRE ATT&amp;CK Mappings'!D494 &lt;&gt;"",'MITRE ATT&amp;CK Mappings'!D494,"" )</f>
        <v/>
      </c>
    </row>
    <row r="499" spans="1:12" x14ac:dyDescent="0.25">
      <c r="A499" s="27" t="str">
        <f>IF(COUNTIF(B499:K499,"="&amp;'MITRE ATT&amp;CK Mappings'!B495)&gt;0,'MITRE ATT&amp;CK Mappings'!B495,"")</f>
        <v/>
      </c>
      <c r="B499" s="27" t="str">
        <f>IF(OR(OR(OR(OR(OR(ISNUMBER(SEARCH(IF(B$1&lt;&gt;"",B$1,"NA"),'MITRE ATT&amp;CK Mappings'!$E495)),ISNUMBER(SEARCH(IF(B$1&lt;&gt;"",B$1,"NA"),'MITRE ATT&amp;CK Mappings'!$F495))),ISNUMBER(SEARCH(IF(B$2&lt;&gt;"",B$2,"NA"),'MITRE ATT&amp;CK Mappings'!$G495))),ISNUMBER(SEARCH(IF(B$2&lt;&gt;"",B$2,"NA"),'MITRE ATT&amp;CK Mappings'!$H495))),ISNUMBER(SEARCH(IF(B$3&lt;&gt;"",B$3,"NA"),'MITRE ATT&amp;CK Mappings'!$I495))),ISNUMBER(SEARCH(IF(B$3&lt;&gt;"",B$3,"NA"),'MITRE ATT&amp;CK Mappings'!$J495))), 'MITRE ATT&amp;CK Mappings'!$B495,"")</f>
        <v/>
      </c>
      <c r="C499" s="27" t="str">
        <f>IF(OR(OR(OR(OR(OR(ISNUMBER(SEARCH(IF(C$1&lt;&gt;"",C$1,"NA"),'MITRE ATT&amp;CK Mappings'!$E495)),ISNUMBER(SEARCH(IF(C$1&lt;&gt;"",C$1,"NA"),'MITRE ATT&amp;CK Mappings'!$F495))),ISNUMBER(SEARCH(IF(C$2&lt;&gt;"",C$2,"NA"),'MITRE ATT&amp;CK Mappings'!$G495))),ISNUMBER(SEARCH(IF(C$2&lt;&gt;"",C$2,"NA"),'MITRE ATT&amp;CK Mappings'!$H495))),ISNUMBER(SEARCH(IF(C$3&lt;&gt;"",C$3,"NA"),'MITRE ATT&amp;CK Mappings'!$I495))),ISNUMBER(SEARCH(IF(C$3&lt;&gt;"",C$3,"NA"),'MITRE ATT&amp;CK Mappings'!$J495))), 'MITRE ATT&amp;CK Mappings'!$B495,"")</f>
        <v/>
      </c>
      <c r="D499" s="27" t="str">
        <f>IF(OR(OR(OR(OR(OR(ISNUMBER(SEARCH(IF(D$1&lt;&gt;"",D$1,"NA"),'MITRE ATT&amp;CK Mappings'!$E495)),ISNUMBER(SEARCH(IF(D$1&lt;&gt;"",D$1,"NA"),'MITRE ATT&amp;CK Mappings'!$F495))),ISNUMBER(SEARCH(IF(D$2&lt;&gt;"",D$2,"NA"),'MITRE ATT&amp;CK Mappings'!$G495))),ISNUMBER(SEARCH(IF(D$2&lt;&gt;"",D$2,"NA"),'MITRE ATT&amp;CK Mappings'!$H495))),ISNUMBER(SEARCH(IF(D$3&lt;&gt;"",D$3,"NA"),'MITRE ATT&amp;CK Mappings'!$I495))),ISNUMBER(SEARCH(IF(D$3&lt;&gt;"",D$3,"NA"),'MITRE ATT&amp;CK Mappings'!$J495))), 'MITRE ATT&amp;CK Mappings'!$B495,"")</f>
        <v/>
      </c>
      <c r="E499" s="27" t="str">
        <f>IF(OR(OR(OR(OR(OR(ISNUMBER(SEARCH(IF(E$1&lt;&gt;"",E$1,"NA"),'MITRE ATT&amp;CK Mappings'!$E495)),ISNUMBER(SEARCH(IF(E$1&lt;&gt;"",E$1,"NA"),'MITRE ATT&amp;CK Mappings'!$F495))),ISNUMBER(SEARCH(IF(E$2&lt;&gt;"",E$2,"NA"),'MITRE ATT&amp;CK Mappings'!$G495))),ISNUMBER(SEARCH(IF(E$2&lt;&gt;"",E$2,"NA"),'MITRE ATT&amp;CK Mappings'!$H495))),ISNUMBER(SEARCH(IF(E$3&lt;&gt;"",E$3,"NA"),'MITRE ATT&amp;CK Mappings'!$I495))),ISNUMBER(SEARCH(IF(E$3&lt;&gt;"",E$3,"NA"),'MITRE ATT&amp;CK Mappings'!$J495))), 'MITRE ATT&amp;CK Mappings'!$B495,"")</f>
        <v/>
      </c>
      <c r="F499" s="27" t="str">
        <f>IF(OR(OR(OR(OR(OR(ISNUMBER(SEARCH(IF(F$1&lt;&gt;"",F$1,"NA"),'MITRE ATT&amp;CK Mappings'!$E495)),ISNUMBER(SEARCH(IF(F$1&lt;&gt;"",F$1,"NA"),'MITRE ATT&amp;CK Mappings'!$F495))),ISNUMBER(SEARCH(IF(F$2&lt;&gt;"",F$2,"NA"),'MITRE ATT&amp;CK Mappings'!$G495))),ISNUMBER(SEARCH(IF(F$2&lt;&gt;"",F$2,"NA"),'MITRE ATT&amp;CK Mappings'!$H495))),ISNUMBER(SEARCH(IF(F$3&lt;&gt;"",F$3,"NA"),'MITRE ATT&amp;CK Mappings'!$I495))),ISNUMBER(SEARCH(IF(F$3&lt;&gt;"",F$3,"NA"),'MITRE ATT&amp;CK Mappings'!$J495))), 'MITRE ATT&amp;CK Mappings'!$B495,"")</f>
        <v/>
      </c>
      <c r="G499" s="27" t="str">
        <f>IF(OR(OR(OR(OR(OR(ISNUMBER(SEARCH(IF(G$1&lt;&gt;"",G$1,"NA"),'MITRE ATT&amp;CK Mappings'!$E495)),ISNUMBER(SEARCH(IF(G$1&lt;&gt;"",G$1,"NA"),'MITRE ATT&amp;CK Mappings'!$F495))),ISNUMBER(SEARCH(IF(G$2&lt;&gt;"",G$2,"NA"),'MITRE ATT&amp;CK Mappings'!$G495))),ISNUMBER(SEARCH(IF(G$2&lt;&gt;"",G$2,"NA"),'MITRE ATT&amp;CK Mappings'!$H495))),ISNUMBER(SEARCH(IF(G$3&lt;&gt;"",G$3,"NA"),'MITRE ATT&amp;CK Mappings'!$I495))),ISNUMBER(SEARCH(IF(G$3&lt;&gt;"",G$3,"NA"),'MITRE ATT&amp;CK Mappings'!$J495))), 'MITRE ATT&amp;CK Mappings'!$B495,"")</f>
        <v/>
      </c>
      <c r="H499" s="27" t="str">
        <f>IF(OR(OR(OR(OR(OR(ISNUMBER(SEARCH(IF(H$1&lt;&gt;"",H$1,"NA"),'MITRE ATT&amp;CK Mappings'!$E495)),ISNUMBER(SEARCH(IF(H$1&lt;&gt;"",H$1,"NA"),'MITRE ATT&amp;CK Mappings'!$F495))),ISNUMBER(SEARCH(IF(H$2&lt;&gt;"",H$2,"NA"),'MITRE ATT&amp;CK Mappings'!$G495))),ISNUMBER(SEARCH(IF(H$2&lt;&gt;"",H$2,"NA"),'MITRE ATT&amp;CK Mappings'!$H495))),ISNUMBER(SEARCH(IF(H$3&lt;&gt;"",H$3,"NA"),'MITRE ATT&amp;CK Mappings'!$I495))),ISNUMBER(SEARCH(IF(H$3&lt;&gt;"",H$3,"NA"),'MITRE ATT&amp;CK Mappings'!$J495))), 'MITRE ATT&amp;CK Mappings'!$B495,"")</f>
        <v/>
      </c>
      <c r="I499" s="27" t="str">
        <f>IF(OR(OR(OR(OR(OR(ISNUMBER(SEARCH(IF(I$1&lt;&gt;"",I$1,"NA"),'MITRE ATT&amp;CK Mappings'!$E495)),ISNUMBER(SEARCH(IF(I$1&lt;&gt;"",I$1,"NA"),'MITRE ATT&amp;CK Mappings'!$F495))),ISNUMBER(SEARCH(IF(I$2&lt;&gt;"",I$2,"NA"),'MITRE ATT&amp;CK Mappings'!$G495))),ISNUMBER(SEARCH(IF(I$2&lt;&gt;"",I$2,"NA"),'MITRE ATT&amp;CK Mappings'!$H495))),ISNUMBER(SEARCH(IF(I$3&lt;&gt;"",I$3,"NA"),'MITRE ATT&amp;CK Mappings'!$I495))),ISNUMBER(SEARCH(IF(I$3&lt;&gt;"",I$3,"NA"),'MITRE ATT&amp;CK Mappings'!$J495))), 'MITRE ATT&amp;CK Mappings'!$B495,"")</f>
        <v/>
      </c>
      <c r="J499" s="27" t="str">
        <f>IF(OR(OR(OR(OR(OR(ISNUMBER(SEARCH(IF(J$1&lt;&gt;"",J$1,"NA"),'MITRE ATT&amp;CK Mappings'!$E495)),ISNUMBER(SEARCH(IF(J$1&lt;&gt;"",J$1,"NA"),'MITRE ATT&amp;CK Mappings'!$F495))),ISNUMBER(SEARCH(IF(J$2&lt;&gt;"",J$2,"NA"),'MITRE ATT&amp;CK Mappings'!$G495))),ISNUMBER(SEARCH(IF(J$2&lt;&gt;"",J$2,"NA"),'MITRE ATT&amp;CK Mappings'!$H495))),ISNUMBER(SEARCH(IF(J$3&lt;&gt;"",J$3,"NA"),'MITRE ATT&amp;CK Mappings'!$I495))),ISNUMBER(SEARCH(IF(J$3&lt;&gt;"",J$3,"NA"),'MITRE ATT&amp;CK Mappings'!$J495))), 'MITRE ATT&amp;CK Mappings'!$B495,"")</f>
        <v/>
      </c>
      <c r="K499" s="27" t="str">
        <f>IF(OR(OR(OR(OR(OR(ISNUMBER(SEARCH(IF(K$1&lt;&gt;"",K$1,"NA"),'MITRE ATT&amp;CK Mappings'!$E495)),ISNUMBER(SEARCH(IF(K$1&lt;&gt;"",K$1,"NA"),'MITRE ATT&amp;CK Mappings'!$F495))),ISNUMBER(SEARCH(IF(K$2&lt;&gt;"",K$2,"NA"),'MITRE ATT&amp;CK Mappings'!$G495))),ISNUMBER(SEARCH(IF(K$2&lt;&gt;"",K$2,"NA"),'MITRE ATT&amp;CK Mappings'!$H495))),ISNUMBER(SEARCH(IF(K$3&lt;&gt;"",K$3,"NA"),'MITRE ATT&amp;CK Mappings'!$I495))),ISNUMBER(SEARCH(IF(K$3&lt;&gt;"",K$3,"NA"),'MITRE ATT&amp;CK Mappings'!$J495))), 'MITRE ATT&amp;CK Mappings'!$B495,"")</f>
        <v/>
      </c>
      <c r="L499" s="27" t="str">
        <f>IF('MITRE ATT&amp;CK Mappings'!D495 &lt;&gt;"",'MITRE ATT&amp;CK Mappings'!D495,"" )</f>
        <v/>
      </c>
    </row>
    <row r="500" spans="1:12" x14ac:dyDescent="0.25">
      <c r="A500" s="26" t="str">
        <f>IF(COUNTIF(B500:K500,"="&amp;'MITRE ATT&amp;CK Mappings'!B496)&gt;0,'MITRE ATT&amp;CK Mappings'!B496,"")</f>
        <v/>
      </c>
      <c r="B500" s="26" t="str">
        <f>IF(OR(OR(OR(OR(OR(ISNUMBER(SEARCH(IF(B$1&lt;&gt;"",B$1,"NA"),'MITRE ATT&amp;CK Mappings'!$E496)),ISNUMBER(SEARCH(IF(B$1&lt;&gt;"",B$1,"NA"),'MITRE ATT&amp;CK Mappings'!$F496))),ISNUMBER(SEARCH(IF(B$2&lt;&gt;"",B$2,"NA"),'MITRE ATT&amp;CK Mappings'!$G496))),ISNUMBER(SEARCH(IF(B$2&lt;&gt;"",B$2,"NA"),'MITRE ATT&amp;CK Mappings'!$H496))),ISNUMBER(SEARCH(IF(B$3&lt;&gt;"",B$3,"NA"),'MITRE ATT&amp;CK Mappings'!$I496))),ISNUMBER(SEARCH(IF(B$3&lt;&gt;"",B$3,"NA"),'MITRE ATT&amp;CK Mappings'!$J496))), 'MITRE ATT&amp;CK Mappings'!$B496,"")</f>
        <v/>
      </c>
      <c r="C500" s="26" t="str">
        <f>IF(OR(OR(OR(OR(OR(ISNUMBER(SEARCH(IF(C$1&lt;&gt;"",C$1,"NA"),'MITRE ATT&amp;CK Mappings'!$E496)),ISNUMBER(SEARCH(IF(C$1&lt;&gt;"",C$1,"NA"),'MITRE ATT&amp;CK Mappings'!$F496))),ISNUMBER(SEARCH(IF(C$2&lt;&gt;"",C$2,"NA"),'MITRE ATT&amp;CK Mappings'!$G496))),ISNUMBER(SEARCH(IF(C$2&lt;&gt;"",C$2,"NA"),'MITRE ATT&amp;CK Mappings'!$H496))),ISNUMBER(SEARCH(IF(C$3&lt;&gt;"",C$3,"NA"),'MITRE ATT&amp;CK Mappings'!$I496))),ISNUMBER(SEARCH(IF(C$3&lt;&gt;"",C$3,"NA"),'MITRE ATT&amp;CK Mappings'!$J496))), 'MITRE ATT&amp;CK Mappings'!$B496,"")</f>
        <v/>
      </c>
      <c r="D500" s="26" t="str">
        <f>IF(OR(OR(OR(OR(OR(ISNUMBER(SEARCH(IF(D$1&lt;&gt;"",D$1,"NA"),'MITRE ATT&amp;CK Mappings'!$E496)),ISNUMBER(SEARCH(IF(D$1&lt;&gt;"",D$1,"NA"),'MITRE ATT&amp;CK Mappings'!$F496))),ISNUMBER(SEARCH(IF(D$2&lt;&gt;"",D$2,"NA"),'MITRE ATT&amp;CK Mappings'!$G496))),ISNUMBER(SEARCH(IF(D$2&lt;&gt;"",D$2,"NA"),'MITRE ATT&amp;CK Mappings'!$H496))),ISNUMBER(SEARCH(IF(D$3&lt;&gt;"",D$3,"NA"),'MITRE ATT&amp;CK Mappings'!$I496))),ISNUMBER(SEARCH(IF(D$3&lt;&gt;"",D$3,"NA"),'MITRE ATT&amp;CK Mappings'!$J496))), 'MITRE ATT&amp;CK Mappings'!$B496,"")</f>
        <v/>
      </c>
      <c r="E500" s="26" t="str">
        <f>IF(OR(OR(OR(OR(OR(ISNUMBER(SEARCH(IF(E$1&lt;&gt;"",E$1,"NA"),'MITRE ATT&amp;CK Mappings'!$E496)),ISNUMBER(SEARCH(IF(E$1&lt;&gt;"",E$1,"NA"),'MITRE ATT&amp;CK Mappings'!$F496))),ISNUMBER(SEARCH(IF(E$2&lt;&gt;"",E$2,"NA"),'MITRE ATT&amp;CK Mappings'!$G496))),ISNUMBER(SEARCH(IF(E$2&lt;&gt;"",E$2,"NA"),'MITRE ATT&amp;CK Mappings'!$H496))),ISNUMBER(SEARCH(IF(E$3&lt;&gt;"",E$3,"NA"),'MITRE ATT&amp;CK Mappings'!$I496))),ISNUMBER(SEARCH(IF(E$3&lt;&gt;"",E$3,"NA"),'MITRE ATT&amp;CK Mappings'!$J496))), 'MITRE ATT&amp;CK Mappings'!$B496,"")</f>
        <v/>
      </c>
      <c r="F500" s="26" t="str">
        <f>IF(OR(OR(OR(OR(OR(ISNUMBER(SEARCH(IF(F$1&lt;&gt;"",F$1,"NA"),'MITRE ATT&amp;CK Mappings'!$E496)),ISNUMBER(SEARCH(IF(F$1&lt;&gt;"",F$1,"NA"),'MITRE ATT&amp;CK Mappings'!$F496))),ISNUMBER(SEARCH(IF(F$2&lt;&gt;"",F$2,"NA"),'MITRE ATT&amp;CK Mappings'!$G496))),ISNUMBER(SEARCH(IF(F$2&lt;&gt;"",F$2,"NA"),'MITRE ATT&amp;CK Mappings'!$H496))),ISNUMBER(SEARCH(IF(F$3&lt;&gt;"",F$3,"NA"),'MITRE ATT&amp;CK Mappings'!$I496))),ISNUMBER(SEARCH(IF(F$3&lt;&gt;"",F$3,"NA"),'MITRE ATT&amp;CK Mappings'!$J496))), 'MITRE ATT&amp;CK Mappings'!$B496,"")</f>
        <v/>
      </c>
      <c r="G500" s="26" t="str">
        <f>IF(OR(OR(OR(OR(OR(ISNUMBER(SEARCH(IF(G$1&lt;&gt;"",G$1,"NA"),'MITRE ATT&amp;CK Mappings'!$E496)),ISNUMBER(SEARCH(IF(G$1&lt;&gt;"",G$1,"NA"),'MITRE ATT&amp;CK Mappings'!$F496))),ISNUMBER(SEARCH(IF(G$2&lt;&gt;"",G$2,"NA"),'MITRE ATT&amp;CK Mappings'!$G496))),ISNUMBER(SEARCH(IF(G$2&lt;&gt;"",G$2,"NA"),'MITRE ATT&amp;CK Mappings'!$H496))),ISNUMBER(SEARCH(IF(G$3&lt;&gt;"",G$3,"NA"),'MITRE ATT&amp;CK Mappings'!$I496))),ISNUMBER(SEARCH(IF(G$3&lt;&gt;"",G$3,"NA"),'MITRE ATT&amp;CK Mappings'!$J496))), 'MITRE ATT&amp;CK Mappings'!$B496,"")</f>
        <v/>
      </c>
      <c r="H500" s="26" t="str">
        <f>IF(OR(OR(OR(OR(OR(ISNUMBER(SEARCH(IF(H$1&lt;&gt;"",H$1,"NA"),'MITRE ATT&amp;CK Mappings'!$E496)),ISNUMBER(SEARCH(IF(H$1&lt;&gt;"",H$1,"NA"),'MITRE ATT&amp;CK Mappings'!$F496))),ISNUMBER(SEARCH(IF(H$2&lt;&gt;"",H$2,"NA"),'MITRE ATT&amp;CK Mappings'!$G496))),ISNUMBER(SEARCH(IF(H$2&lt;&gt;"",H$2,"NA"),'MITRE ATT&amp;CK Mappings'!$H496))),ISNUMBER(SEARCH(IF(H$3&lt;&gt;"",H$3,"NA"),'MITRE ATT&amp;CK Mappings'!$I496))),ISNUMBER(SEARCH(IF(H$3&lt;&gt;"",H$3,"NA"),'MITRE ATT&amp;CK Mappings'!$J496))), 'MITRE ATT&amp;CK Mappings'!$B496,"")</f>
        <v/>
      </c>
      <c r="I500" s="26" t="str">
        <f>IF(OR(OR(OR(OR(OR(ISNUMBER(SEARCH(IF(I$1&lt;&gt;"",I$1,"NA"),'MITRE ATT&amp;CK Mappings'!$E496)),ISNUMBER(SEARCH(IF(I$1&lt;&gt;"",I$1,"NA"),'MITRE ATT&amp;CK Mappings'!$F496))),ISNUMBER(SEARCH(IF(I$2&lt;&gt;"",I$2,"NA"),'MITRE ATT&amp;CK Mappings'!$G496))),ISNUMBER(SEARCH(IF(I$2&lt;&gt;"",I$2,"NA"),'MITRE ATT&amp;CK Mappings'!$H496))),ISNUMBER(SEARCH(IF(I$3&lt;&gt;"",I$3,"NA"),'MITRE ATT&amp;CK Mappings'!$I496))),ISNUMBER(SEARCH(IF(I$3&lt;&gt;"",I$3,"NA"),'MITRE ATT&amp;CK Mappings'!$J496))), 'MITRE ATT&amp;CK Mappings'!$B496,"")</f>
        <v/>
      </c>
      <c r="J500" s="26" t="str">
        <f>IF(OR(OR(OR(OR(OR(ISNUMBER(SEARCH(IF(J$1&lt;&gt;"",J$1,"NA"),'MITRE ATT&amp;CK Mappings'!$E496)),ISNUMBER(SEARCH(IF(J$1&lt;&gt;"",J$1,"NA"),'MITRE ATT&amp;CK Mappings'!$F496))),ISNUMBER(SEARCH(IF(J$2&lt;&gt;"",J$2,"NA"),'MITRE ATT&amp;CK Mappings'!$G496))),ISNUMBER(SEARCH(IF(J$2&lt;&gt;"",J$2,"NA"),'MITRE ATT&amp;CK Mappings'!$H496))),ISNUMBER(SEARCH(IF(J$3&lt;&gt;"",J$3,"NA"),'MITRE ATT&amp;CK Mappings'!$I496))),ISNUMBER(SEARCH(IF(J$3&lt;&gt;"",J$3,"NA"),'MITRE ATT&amp;CK Mappings'!$J496))), 'MITRE ATT&amp;CK Mappings'!$B496,"")</f>
        <v/>
      </c>
      <c r="K500" s="26" t="str">
        <f>IF(OR(OR(OR(OR(OR(ISNUMBER(SEARCH(IF(K$1&lt;&gt;"",K$1,"NA"),'MITRE ATT&amp;CK Mappings'!$E496)),ISNUMBER(SEARCH(IF(K$1&lt;&gt;"",K$1,"NA"),'MITRE ATT&amp;CK Mappings'!$F496))),ISNUMBER(SEARCH(IF(K$2&lt;&gt;"",K$2,"NA"),'MITRE ATT&amp;CK Mappings'!$G496))),ISNUMBER(SEARCH(IF(K$2&lt;&gt;"",K$2,"NA"),'MITRE ATT&amp;CK Mappings'!$H496))),ISNUMBER(SEARCH(IF(K$3&lt;&gt;"",K$3,"NA"),'MITRE ATT&amp;CK Mappings'!$I496))),ISNUMBER(SEARCH(IF(K$3&lt;&gt;"",K$3,"NA"),'MITRE ATT&amp;CK Mappings'!$J496))), 'MITRE ATT&amp;CK Mappings'!$B496,"")</f>
        <v/>
      </c>
      <c r="L500" s="26" t="str">
        <f>IF('MITRE ATT&amp;CK Mappings'!D496 &lt;&gt;"",'MITRE ATT&amp;CK Mappings'!D496,"" )</f>
        <v/>
      </c>
    </row>
    <row r="501" spans="1:12" x14ac:dyDescent="0.25">
      <c r="A501" s="27" t="str">
        <f>IF(COUNTIF(B501:K501,"="&amp;'MITRE ATT&amp;CK Mappings'!B497)&gt;0,'MITRE ATT&amp;CK Mappings'!B497,"")</f>
        <v/>
      </c>
      <c r="B501" s="27" t="str">
        <f>IF(OR(OR(OR(OR(OR(ISNUMBER(SEARCH(IF(B$1&lt;&gt;"",B$1,"NA"),'MITRE ATT&amp;CK Mappings'!$E497)),ISNUMBER(SEARCH(IF(B$1&lt;&gt;"",B$1,"NA"),'MITRE ATT&amp;CK Mappings'!$F497))),ISNUMBER(SEARCH(IF(B$2&lt;&gt;"",B$2,"NA"),'MITRE ATT&amp;CK Mappings'!$G497))),ISNUMBER(SEARCH(IF(B$2&lt;&gt;"",B$2,"NA"),'MITRE ATT&amp;CK Mappings'!$H497))),ISNUMBER(SEARCH(IF(B$3&lt;&gt;"",B$3,"NA"),'MITRE ATT&amp;CK Mappings'!$I497))),ISNUMBER(SEARCH(IF(B$3&lt;&gt;"",B$3,"NA"),'MITRE ATT&amp;CK Mappings'!$J497))), 'MITRE ATT&amp;CK Mappings'!$B497,"")</f>
        <v/>
      </c>
      <c r="C501" s="27" t="str">
        <f>IF(OR(OR(OR(OR(OR(ISNUMBER(SEARCH(IF(C$1&lt;&gt;"",C$1,"NA"),'MITRE ATT&amp;CK Mappings'!$E497)),ISNUMBER(SEARCH(IF(C$1&lt;&gt;"",C$1,"NA"),'MITRE ATT&amp;CK Mappings'!$F497))),ISNUMBER(SEARCH(IF(C$2&lt;&gt;"",C$2,"NA"),'MITRE ATT&amp;CK Mappings'!$G497))),ISNUMBER(SEARCH(IF(C$2&lt;&gt;"",C$2,"NA"),'MITRE ATT&amp;CK Mappings'!$H497))),ISNUMBER(SEARCH(IF(C$3&lt;&gt;"",C$3,"NA"),'MITRE ATT&amp;CK Mappings'!$I497))),ISNUMBER(SEARCH(IF(C$3&lt;&gt;"",C$3,"NA"),'MITRE ATT&amp;CK Mappings'!$J497))), 'MITRE ATT&amp;CK Mappings'!$B497,"")</f>
        <v/>
      </c>
      <c r="D501" s="27" t="str">
        <f>IF(OR(OR(OR(OR(OR(ISNUMBER(SEARCH(IF(D$1&lt;&gt;"",D$1,"NA"),'MITRE ATT&amp;CK Mappings'!$E497)),ISNUMBER(SEARCH(IF(D$1&lt;&gt;"",D$1,"NA"),'MITRE ATT&amp;CK Mappings'!$F497))),ISNUMBER(SEARCH(IF(D$2&lt;&gt;"",D$2,"NA"),'MITRE ATT&amp;CK Mappings'!$G497))),ISNUMBER(SEARCH(IF(D$2&lt;&gt;"",D$2,"NA"),'MITRE ATT&amp;CK Mappings'!$H497))),ISNUMBER(SEARCH(IF(D$3&lt;&gt;"",D$3,"NA"),'MITRE ATT&amp;CK Mappings'!$I497))),ISNUMBER(SEARCH(IF(D$3&lt;&gt;"",D$3,"NA"),'MITRE ATT&amp;CK Mappings'!$J497))), 'MITRE ATT&amp;CK Mappings'!$B497,"")</f>
        <v/>
      </c>
      <c r="E501" s="27" t="str">
        <f>IF(OR(OR(OR(OR(OR(ISNUMBER(SEARCH(IF(E$1&lt;&gt;"",E$1,"NA"),'MITRE ATT&amp;CK Mappings'!$E497)),ISNUMBER(SEARCH(IF(E$1&lt;&gt;"",E$1,"NA"),'MITRE ATT&amp;CK Mappings'!$F497))),ISNUMBER(SEARCH(IF(E$2&lt;&gt;"",E$2,"NA"),'MITRE ATT&amp;CK Mappings'!$G497))),ISNUMBER(SEARCH(IF(E$2&lt;&gt;"",E$2,"NA"),'MITRE ATT&amp;CK Mappings'!$H497))),ISNUMBER(SEARCH(IF(E$3&lt;&gt;"",E$3,"NA"),'MITRE ATT&amp;CK Mappings'!$I497))),ISNUMBER(SEARCH(IF(E$3&lt;&gt;"",E$3,"NA"),'MITRE ATT&amp;CK Mappings'!$J497))), 'MITRE ATT&amp;CK Mappings'!$B497,"")</f>
        <v/>
      </c>
      <c r="F501" s="27" t="str">
        <f>IF(OR(OR(OR(OR(OR(ISNUMBER(SEARCH(IF(F$1&lt;&gt;"",F$1,"NA"),'MITRE ATT&amp;CK Mappings'!$E497)),ISNUMBER(SEARCH(IF(F$1&lt;&gt;"",F$1,"NA"),'MITRE ATT&amp;CK Mappings'!$F497))),ISNUMBER(SEARCH(IF(F$2&lt;&gt;"",F$2,"NA"),'MITRE ATT&amp;CK Mappings'!$G497))),ISNUMBER(SEARCH(IF(F$2&lt;&gt;"",F$2,"NA"),'MITRE ATT&amp;CK Mappings'!$H497))),ISNUMBER(SEARCH(IF(F$3&lt;&gt;"",F$3,"NA"),'MITRE ATT&amp;CK Mappings'!$I497))),ISNUMBER(SEARCH(IF(F$3&lt;&gt;"",F$3,"NA"),'MITRE ATT&amp;CK Mappings'!$J497))), 'MITRE ATT&amp;CK Mappings'!$B497,"")</f>
        <v/>
      </c>
      <c r="G501" s="27" t="str">
        <f>IF(OR(OR(OR(OR(OR(ISNUMBER(SEARCH(IF(G$1&lt;&gt;"",G$1,"NA"),'MITRE ATT&amp;CK Mappings'!$E497)),ISNUMBER(SEARCH(IF(G$1&lt;&gt;"",G$1,"NA"),'MITRE ATT&amp;CK Mappings'!$F497))),ISNUMBER(SEARCH(IF(G$2&lt;&gt;"",G$2,"NA"),'MITRE ATT&amp;CK Mappings'!$G497))),ISNUMBER(SEARCH(IF(G$2&lt;&gt;"",G$2,"NA"),'MITRE ATT&amp;CK Mappings'!$H497))),ISNUMBER(SEARCH(IF(G$3&lt;&gt;"",G$3,"NA"),'MITRE ATT&amp;CK Mappings'!$I497))),ISNUMBER(SEARCH(IF(G$3&lt;&gt;"",G$3,"NA"),'MITRE ATT&amp;CK Mappings'!$J497))), 'MITRE ATT&amp;CK Mappings'!$B497,"")</f>
        <v/>
      </c>
      <c r="H501" s="27" t="str">
        <f>IF(OR(OR(OR(OR(OR(ISNUMBER(SEARCH(IF(H$1&lt;&gt;"",H$1,"NA"),'MITRE ATT&amp;CK Mappings'!$E497)),ISNUMBER(SEARCH(IF(H$1&lt;&gt;"",H$1,"NA"),'MITRE ATT&amp;CK Mappings'!$F497))),ISNUMBER(SEARCH(IF(H$2&lt;&gt;"",H$2,"NA"),'MITRE ATT&amp;CK Mappings'!$G497))),ISNUMBER(SEARCH(IF(H$2&lt;&gt;"",H$2,"NA"),'MITRE ATT&amp;CK Mappings'!$H497))),ISNUMBER(SEARCH(IF(H$3&lt;&gt;"",H$3,"NA"),'MITRE ATT&amp;CK Mappings'!$I497))),ISNUMBER(SEARCH(IF(H$3&lt;&gt;"",H$3,"NA"),'MITRE ATT&amp;CK Mappings'!$J497))), 'MITRE ATT&amp;CK Mappings'!$B497,"")</f>
        <v/>
      </c>
      <c r="I501" s="27" t="str">
        <f>IF(OR(OR(OR(OR(OR(ISNUMBER(SEARCH(IF(I$1&lt;&gt;"",I$1,"NA"),'MITRE ATT&amp;CK Mappings'!$E497)),ISNUMBER(SEARCH(IF(I$1&lt;&gt;"",I$1,"NA"),'MITRE ATT&amp;CK Mappings'!$F497))),ISNUMBER(SEARCH(IF(I$2&lt;&gt;"",I$2,"NA"),'MITRE ATT&amp;CK Mappings'!$G497))),ISNUMBER(SEARCH(IF(I$2&lt;&gt;"",I$2,"NA"),'MITRE ATT&amp;CK Mappings'!$H497))),ISNUMBER(SEARCH(IF(I$3&lt;&gt;"",I$3,"NA"),'MITRE ATT&amp;CK Mappings'!$I497))),ISNUMBER(SEARCH(IF(I$3&lt;&gt;"",I$3,"NA"),'MITRE ATT&amp;CK Mappings'!$J497))), 'MITRE ATT&amp;CK Mappings'!$B497,"")</f>
        <v/>
      </c>
      <c r="J501" s="27" t="str">
        <f>IF(OR(OR(OR(OR(OR(ISNUMBER(SEARCH(IF(J$1&lt;&gt;"",J$1,"NA"),'MITRE ATT&amp;CK Mappings'!$E497)),ISNUMBER(SEARCH(IF(J$1&lt;&gt;"",J$1,"NA"),'MITRE ATT&amp;CK Mappings'!$F497))),ISNUMBER(SEARCH(IF(J$2&lt;&gt;"",J$2,"NA"),'MITRE ATT&amp;CK Mappings'!$G497))),ISNUMBER(SEARCH(IF(J$2&lt;&gt;"",J$2,"NA"),'MITRE ATT&amp;CK Mappings'!$H497))),ISNUMBER(SEARCH(IF(J$3&lt;&gt;"",J$3,"NA"),'MITRE ATT&amp;CK Mappings'!$I497))),ISNUMBER(SEARCH(IF(J$3&lt;&gt;"",J$3,"NA"),'MITRE ATT&amp;CK Mappings'!$J497))), 'MITRE ATT&amp;CK Mappings'!$B497,"")</f>
        <v/>
      </c>
      <c r="K501" s="27" t="str">
        <f>IF(OR(OR(OR(OR(OR(ISNUMBER(SEARCH(IF(K$1&lt;&gt;"",K$1,"NA"),'MITRE ATT&amp;CK Mappings'!$E497)),ISNUMBER(SEARCH(IF(K$1&lt;&gt;"",K$1,"NA"),'MITRE ATT&amp;CK Mappings'!$F497))),ISNUMBER(SEARCH(IF(K$2&lt;&gt;"",K$2,"NA"),'MITRE ATT&amp;CK Mappings'!$G497))),ISNUMBER(SEARCH(IF(K$2&lt;&gt;"",K$2,"NA"),'MITRE ATT&amp;CK Mappings'!$H497))),ISNUMBER(SEARCH(IF(K$3&lt;&gt;"",K$3,"NA"),'MITRE ATT&amp;CK Mappings'!$I497))),ISNUMBER(SEARCH(IF(K$3&lt;&gt;"",K$3,"NA"),'MITRE ATT&amp;CK Mappings'!$J497))), 'MITRE ATT&amp;CK Mappings'!$B497,"")</f>
        <v/>
      </c>
      <c r="L501" s="27" t="str">
        <f>IF('MITRE ATT&amp;CK Mappings'!D497 &lt;&gt;"",'MITRE ATT&amp;CK Mappings'!D497,"" )</f>
        <v/>
      </c>
    </row>
    <row r="502" spans="1:12" x14ac:dyDescent="0.25">
      <c r="A502" s="26" t="str">
        <f>IF(COUNTIF(B502:K502,"="&amp;'MITRE ATT&amp;CK Mappings'!B498)&gt;0,'MITRE ATT&amp;CK Mappings'!B498,"")</f>
        <v/>
      </c>
      <c r="B502" s="26" t="str">
        <f>IF(OR(OR(OR(OR(OR(ISNUMBER(SEARCH(IF(B$1&lt;&gt;"",B$1,"NA"),'MITRE ATT&amp;CK Mappings'!$E498)),ISNUMBER(SEARCH(IF(B$1&lt;&gt;"",B$1,"NA"),'MITRE ATT&amp;CK Mappings'!$F498))),ISNUMBER(SEARCH(IF(B$2&lt;&gt;"",B$2,"NA"),'MITRE ATT&amp;CK Mappings'!$G498))),ISNUMBER(SEARCH(IF(B$2&lt;&gt;"",B$2,"NA"),'MITRE ATT&amp;CK Mappings'!$H498))),ISNUMBER(SEARCH(IF(B$3&lt;&gt;"",B$3,"NA"),'MITRE ATT&amp;CK Mappings'!$I498))),ISNUMBER(SEARCH(IF(B$3&lt;&gt;"",B$3,"NA"),'MITRE ATT&amp;CK Mappings'!$J498))), 'MITRE ATT&amp;CK Mappings'!$B498,"")</f>
        <v/>
      </c>
      <c r="C502" s="26" t="str">
        <f>IF(OR(OR(OR(OR(OR(ISNUMBER(SEARCH(IF(C$1&lt;&gt;"",C$1,"NA"),'MITRE ATT&amp;CK Mappings'!$E498)),ISNUMBER(SEARCH(IF(C$1&lt;&gt;"",C$1,"NA"),'MITRE ATT&amp;CK Mappings'!$F498))),ISNUMBER(SEARCH(IF(C$2&lt;&gt;"",C$2,"NA"),'MITRE ATT&amp;CK Mappings'!$G498))),ISNUMBER(SEARCH(IF(C$2&lt;&gt;"",C$2,"NA"),'MITRE ATT&amp;CK Mappings'!$H498))),ISNUMBER(SEARCH(IF(C$3&lt;&gt;"",C$3,"NA"),'MITRE ATT&amp;CK Mappings'!$I498))),ISNUMBER(SEARCH(IF(C$3&lt;&gt;"",C$3,"NA"),'MITRE ATT&amp;CK Mappings'!$J498))), 'MITRE ATT&amp;CK Mappings'!$B498,"")</f>
        <v/>
      </c>
      <c r="D502" s="26" t="str">
        <f>IF(OR(OR(OR(OR(OR(ISNUMBER(SEARCH(IF(D$1&lt;&gt;"",D$1,"NA"),'MITRE ATT&amp;CK Mappings'!$E498)),ISNUMBER(SEARCH(IF(D$1&lt;&gt;"",D$1,"NA"),'MITRE ATT&amp;CK Mappings'!$F498))),ISNUMBER(SEARCH(IF(D$2&lt;&gt;"",D$2,"NA"),'MITRE ATT&amp;CK Mappings'!$G498))),ISNUMBER(SEARCH(IF(D$2&lt;&gt;"",D$2,"NA"),'MITRE ATT&amp;CK Mappings'!$H498))),ISNUMBER(SEARCH(IF(D$3&lt;&gt;"",D$3,"NA"),'MITRE ATT&amp;CK Mappings'!$I498))),ISNUMBER(SEARCH(IF(D$3&lt;&gt;"",D$3,"NA"),'MITRE ATT&amp;CK Mappings'!$J498))), 'MITRE ATT&amp;CK Mappings'!$B498,"")</f>
        <v/>
      </c>
      <c r="E502" s="26" t="str">
        <f>IF(OR(OR(OR(OR(OR(ISNUMBER(SEARCH(IF(E$1&lt;&gt;"",E$1,"NA"),'MITRE ATT&amp;CK Mappings'!$E498)),ISNUMBER(SEARCH(IF(E$1&lt;&gt;"",E$1,"NA"),'MITRE ATT&amp;CK Mappings'!$F498))),ISNUMBER(SEARCH(IF(E$2&lt;&gt;"",E$2,"NA"),'MITRE ATT&amp;CK Mappings'!$G498))),ISNUMBER(SEARCH(IF(E$2&lt;&gt;"",E$2,"NA"),'MITRE ATT&amp;CK Mappings'!$H498))),ISNUMBER(SEARCH(IF(E$3&lt;&gt;"",E$3,"NA"),'MITRE ATT&amp;CK Mappings'!$I498))),ISNUMBER(SEARCH(IF(E$3&lt;&gt;"",E$3,"NA"),'MITRE ATT&amp;CK Mappings'!$J498))), 'MITRE ATT&amp;CK Mappings'!$B498,"")</f>
        <v/>
      </c>
      <c r="F502" s="26" t="str">
        <f>IF(OR(OR(OR(OR(OR(ISNUMBER(SEARCH(IF(F$1&lt;&gt;"",F$1,"NA"),'MITRE ATT&amp;CK Mappings'!$E498)),ISNUMBER(SEARCH(IF(F$1&lt;&gt;"",F$1,"NA"),'MITRE ATT&amp;CK Mappings'!$F498))),ISNUMBER(SEARCH(IF(F$2&lt;&gt;"",F$2,"NA"),'MITRE ATT&amp;CK Mappings'!$G498))),ISNUMBER(SEARCH(IF(F$2&lt;&gt;"",F$2,"NA"),'MITRE ATT&amp;CK Mappings'!$H498))),ISNUMBER(SEARCH(IF(F$3&lt;&gt;"",F$3,"NA"),'MITRE ATT&amp;CK Mappings'!$I498))),ISNUMBER(SEARCH(IF(F$3&lt;&gt;"",F$3,"NA"),'MITRE ATT&amp;CK Mappings'!$J498))), 'MITRE ATT&amp;CK Mappings'!$B498,"")</f>
        <v/>
      </c>
      <c r="G502" s="26" t="str">
        <f>IF(OR(OR(OR(OR(OR(ISNUMBER(SEARCH(IF(G$1&lt;&gt;"",G$1,"NA"),'MITRE ATT&amp;CK Mappings'!$E498)),ISNUMBER(SEARCH(IF(G$1&lt;&gt;"",G$1,"NA"),'MITRE ATT&amp;CK Mappings'!$F498))),ISNUMBER(SEARCH(IF(G$2&lt;&gt;"",G$2,"NA"),'MITRE ATT&amp;CK Mappings'!$G498))),ISNUMBER(SEARCH(IF(G$2&lt;&gt;"",G$2,"NA"),'MITRE ATT&amp;CK Mappings'!$H498))),ISNUMBER(SEARCH(IF(G$3&lt;&gt;"",G$3,"NA"),'MITRE ATT&amp;CK Mappings'!$I498))),ISNUMBER(SEARCH(IF(G$3&lt;&gt;"",G$3,"NA"),'MITRE ATT&amp;CK Mappings'!$J498))), 'MITRE ATT&amp;CK Mappings'!$B498,"")</f>
        <v/>
      </c>
      <c r="H502" s="26" t="str">
        <f>IF(OR(OR(OR(OR(OR(ISNUMBER(SEARCH(IF(H$1&lt;&gt;"",H$1,"NA"),'MITRE ATT&amp;CK Mappings'!$E498)),ISNUMBER(SEARCH(IF(H$1&lt;&gt;"",H$1,"NA"),'MITRE ATT&amp;CK Mappings'!$F498))),ISNUMBER(SEARCH(IF(H$2&lt;&gt;"",H$2,"NA"),'MITRE ATT&amp;CK Mappings'!$G498))),ISNUMBER(SEARCH(IF(H$2&lt;&gt;"",H$2,"NA"),'MITRE ATT&amp;CK Mappings'!$H498))),ISNUMBER(SEARCH(IF(H$3&lt;&gt;"",H$3,"NA"),'MITRE ATT&amp;CK Mappings'!$I498))),ISNUMBER(SEARCH(IF(H$3&lt;&gt;"",H$3,"NA"),'MITRE ATT&amp;CK Mappings'!$J498))), 'MITRE ATT&amp;CK Mappings'!$B498,"")</f>
        <v/>
      </c>
      <c r="I502" s="26" t="str">
        <f>IF(OR(OR(OR(OR(OR(ISNUMBER(SEARCH(IF(I$1&lt;&gt;"",I$1,"NA"),'MITRE ATT&amp;CK Mappings'!$E498)),ISNUMBER(SEARCH(IF(I$1&lt;&gt;"",I$1,"NA"),'MITRE ATT&amp;CK Mappings'!$F498))),ISNUMBER(SEARCH(IF(I$2&lt;&gt;"",I$2,"NA"),'MITRE ATT&amp;CK Mappings'!$G498))),ISNUMBER(SEARCH(IF(I$2&lt;&gt;"",I$2,"NA"),'MITRE ATT&amp;CK Mappings'!$H498))),ISNUMBER(SEARCH(IF(I$3&lt;&gt;"",I$3,"NA"),'MITRE ATT&amp;CK Mappings'!$I498))),ISNUMBER(SEARCH(IF(I$3&lt;&gt;"",I$3,"NA"),'MITRE ATT&amp;CK Mappings'!$J498))), 'MITRE ATT&amp;CK Mappings'!$B498,"")</f>
        <v/>
      </c>
      <c r="J502" s="26" t="str">
        <f>IF(OR(OR(OR(OR(OR(ISNUMBER(SEARCH(IF(J$1&lt;&gt;"",J$1,"NA"),'MITRE ATT&amp;CK Mappings'!$E498)),ISNUMBER(SEARCH(IF(J$1&lt;&gt;"",J$1,"NA"),'MITRE ATT&amp;CK Mappings'!$F498))),ISNUMBER(SEARCH(IF(J$2&lt;&gt;"",J$2,"NA"),'MITRE ATT&amp;CK Mappings'!$G498))),ISNUMBER(SEARCH(IF(J$2&lt;&gt;"",J$2,"NA"),'MITRE ATT&amp;CK Mappings'!$H498))),ISNUMBER(SEARCH(IF(J$3&lt;&gt;"",J$3,"NA"),'MITRE ATT&amp;CK Mappings'!$I498))),ISNUMBER(SEARCH(IF(J$3&lt;&gt;"",J$3,"NA"),'MITRE ATT&amp;CK Mappings'!$J498))), 'MITRE ATT&amp;CK Mappings'!$B498,"")</f>
        <v/>
      </c>
      <c r="K502" s="26" t="str">
        <f>IF(OR(OR(OR(OR(OR(ISNUMBER(SEARCH(IF(K$1&lt;&gt;"",K$1,"NA"),'MITRE ATT&amp;CK Mappings'!$E498)),ISNUMBER(SEARCH(IF(K$1&lt;&gt;"",K$1,"NA"),'MITRE ATT&amp;CK Mappings'!$F498))),ISNUMBER(SEARCH(IF(K$2&lt;&gt;"",K$2,"NA"),'MITRE ATT&amp;CK Mappings'!$G498))),ISNUMBER(SEARCH(IF(K$2&lt;&gt;"",K$2,"NA"),'MITRE ATT&amp;CK Mappings'!$H498))),ISNUMBER(SEARCH(IF(K$3&lt;&gt;"",K$3,"NA"),'MITRE ATT&amp;CK Mappings'!$I498))),ISNUMBER(SEARCH(IF(K$3&lt;&gt;"",K$3,"NA"),'MITRE ATT&amp;CK Mappings'!$J498))), 'MITRE ATT&amp;CK Mappings'!$B498,"")</f>
        <v/>
      </c>
      <c r="L502" s="26" t="str">
        <f>IF('MITRE ATT&amp;CK Mappings'!D498 &lt;&gt;"",'MITRE ATT&amp;CK Mappings'!D498,"" )</f>
        <v/>
      </c>
    </row>
    <row r="503" spans="1:12" x14ac:dyDescent="0.25">
      <c r="A503" s="27" t="str">
        <f>IF(COUNTIF(B503:K503,"="&amp;'MITRE ATT&amp;CK Mappings'!B499)&gt;0,'MITRE ATT&amp;CK Mappings'!B499,"")</f>
        <v/>
      </c>
      <c r="B503" s="27" t="str">
        <f>IF(OR(OR(OR(OR(OR(ISNUMBER(SEARCH(IF(B$1&lt;&gt;"",B$1,"NA"),'MITRE ATT&amp;CK Mappings'!$E499)),ISNUMBER(SEARCH(IF(B$1&lt;&gt;"",B$1,"NA"),'MITRE ATT&amp;CK Mappings'!$F499))),ISNUMBER(SEARCH(IF(B$2&lt;&gt;"",B$2,"NA"),'MITRE ATT&amp;CK Mappings'!$G499))),ISNUMBER(SEARCH(IF(B$2&lt;&gt;"",B$2,"NA"),'MITRE ATT&amp;CK Mappings'!$H499))),ISNUMBER(SEARCH(IF(B$3&lt;&gt;"",B$3,"NA"),'MITRE ATT&amp;CK Mappings'!$I499))),ISNUMBER(SEARCH(IF(B$3&lt;&gt;"",B$3,"NA"),'MITRE ATT&amp;CK Mappings'!$J499))), 'MITRE ATT&amp;CK Mappings'!$B499,"")</f>
        <v/>
      </c>
      <c r="C503" s="27" t="str">
        <f>IF(OR(OR(OR(OR(OR(ISNUMBER(SEARCH(IF(C$1&lt;&gt;"",C$1,"NA"),'MITRE ATT&amp;CK Mappings'!$E499)),ISNUMBER(SEARCH(IF(C$1&lt;&gt;"",C$1,"NA"),'MITRE ATT&amp;CK Mappings'!$F499))),ISNUMBER(SEARCH(IF(C$2&lt;&gt;"",C$2,"NA"),'MITRE ATT&amp;CK Mappings'!$G499))),ISNUMBER(SEARCH(IF(C$2&lt;&gt;"",C$2,"NA"),'MITRE ATT&amp;CK Mappings'!$H499))),ISNUMBER(SEARCH(IF(C$3&lt;&gt;"",C$3,"NA"),'MITRE ATT&amp;CK Mappings'!$I499))),ISNUMBER(SEARCH(IF(C$3&lt;&gt;"",C$3,"NA"),'MITRE ATT&amp;CK Mappings'!$J499))), 'MITRE ATT&amp;CK Mappings'!$B499,"")</f>
        <v/>
      </c>
      <c r="D503" s="27" t="str">
        <f>IF(OR(OR(OR(OR(OR(ISNUMBER(SEARCH(IF(D$1&lt;&gt;"",D$1,"NA"),'MITRE ATT&amp;CK Mappings'!$E499)),ISNUMBER(SEARCH(IF(D$1&lt;&gt;"",D$1,"NA"),'MITRE ATT&amp;CK Mappings'!$F499))),ISNUMBER(SEARCH(IF(D$2&lt;&gt;"",D$2,"NA"),'MITRE ATT&amp;CK Mappings'!$G499))),ISNUMBER(SEARCH(IF(D$2&lt;&gt;"",D$2,"NA"),'MITRE ATT&amp;CK Mappings'!$H499))),ISNUMBER(SEARCH(IF(D$3&lt;&gt;"",D$3,"NA"),'MITRE ATT&amp;CK Mappings'!$I499))),ISNUMBER(SEARCH(IF(D$3&lt;&gt;"",D$3,"NA"),'MITRE ATT&amp;CK Mappings'!$J499))), 'MITRE ATT&amp;CK Mappings'!$B499,"")</f>
        <v/>
      </c>
      <c r="E503" s="27" t="str">
        <f>IF(OR(OR(OR(OR(OR(ISNUMBER(SEARCH(IF(E$1&lt;&gt;"",E$1,"NA"),'MITRE ATT&amp;CK Mappings'!$E499)),ISNUMBER(SEARCH(IF(E$1&lt;&gt;"",E$1,"NA"),'MITRE ATT&amp;CK Mappings'!$F499))),ISNUMBER(SEARCH(IF(E$2&lt;&gt;"",E$2,"NA"),'MITRE ATT&amp;CK Mappings'!$G499))),ISNUMBER(SEARCH(IF(E$2&lt;&gt;"",E$2,"NA"),'MITRE ATT&amp;CK Mappings'!$H499))),ISNUMBER(SEARCH(IF(E$3&lt;&gt;"",E$3,"NA"),'MITRE ATT&amp;CK Mappings'!$I499))),ISNUMBER(SEARCH(IF(E$3&lt;&gt;"",E$3,"NA"),'MITRE ATT&amp;CK Mappings'!$J499))), 'MITRE ATT&amp;CK Mappings'!$B499,"")</f>
        <v/>
      </c>
      <c r="F503" s="27" t="str">
        <f>IF(OR(OR(OR(OR(OR(ISNUMBER(SEARCH(IF(F$1&lt;&gt;"",F$1,"NA"),'MITRE ATT&amp;CK Mappings'!$E499)),ISNUMBER(SEARCH(IF(F$1&lt;&gt;"",F$1,"NA"),'MITRE ATT&amp;CK Mappings'!$F499))),ISNUMBER(SEARCH(IF(F$2&lt;&gt;"",F$2,"NA"),'MITRE ATT&amp;CK Mappings'!$G499))),ISNUMBER(SEARCH(IF(F$2&lt;&gt;"",F$2,"NA"),'MITRE ATT&amp;CK Mappings'!$H499))),ISNUMBER(SEARCH(IF(F$3&lt;&gt;"",F$3,"NA"),'MITRE ATT&amp;CK Mappings'!$I499))),ISNUMBER(SEARCH(IF(F$3&lt;&gt;"",F$3,"NA"),'MITRE ATT&amp;CK Mappings'!$J499))), 'MITRE ATT&amp;CK Mappings'!$B499,"")</f>
        <v/>
      </c>
      <c r="G503" s="27" t="str">
        <f>IF(OR(OR(OR(OR(OR(ISNUMBER(SEARCH(IF(G$1&lt;&gt;"",G$1,"NA"),'MITRE ATT&amp;CK Mappings'!$E499)),ISNUMBER(SEARCH(IF(G$1&lt;&gt;"",G$1,"NA"),'MITRE ATT&amp;CK Mappings'!$F499))),ISNUMBER(SEARCH(IF(G$2&lt;&gt;"",G$2,"NA"),'MITRE ATT&amp;CK Mappings'!$G499))),ISNUMBER(SEARCH(IF(G$2&lt;&gt;"",G$2,"NA"),'MITRE ATT&amp;CK Mappings'!$H499))),ISNUMBER(SEARCH(IF(G$3&lt;&gt;"",G$3,"NA"),'MITRE ATT&amp;CK Mappings'!$I499))),ISNUMBER(SEARCH(IF(G$3&lt;&gt;"",G$3,"NA"),'MITRE ATT&amp;CK Mappings'!$J499))), 'MITRE ATT&amp;CK Mappings'!$B499,"")</f>
        <v/>
      </c>
      <c r="H503" s="27" t="str">
        <f>IF(OR(OR(OR(OR(OR(ISNUMBER(SEARCH(IF(H$1&lt;&gt;"",H$1,"NA"),'MITRE ATT&amp;CK Mappings'!$E499)),ISNUMBER(SEARCH(IF(H$1&lt;&gt;"",H$1,"NA"),'MITRE ATT&amp;CK Mappings'!$F499))),ISNUMBER(SEARCH(IF(H$2&lt;&gt;"",H$2,"NA"),'MITRE ATT&amp;CK Mappings'!$G499))),ISNUMBER(SEARCH(IF(H$2&lt;&gt;"",H$2,"NA"),'MITRE ATT&amp;CK Mappings'!$H499))),ISNUMBER(SEARCH(IF(H$3&lt;&gt;"",H$3,"NA"),'MITRE ATT&amp;CK Mappings'!$I499))),ISNUMBER(SEARCH(IF(H$3&lt;&gt;"",H$3,"NA"),'MITRE ATT&amp;CK Mappings'!$J499))), 'MITRE ATT&amp;CK Mappings'!$B499,"")</f>
        <v/>
      </c>
      <c r="I503" s="27" t="str">
        <f>IF(OR(OR(OR(OR(OR(ISNUMBER(SEARCH(IF(I$1&lt;&gt;"",I$1,"NA"),'MITRE ATT&amp;CK Mappings'!$E499)),ISNUMBER(SEARCH(IF(I$1&lt;&gt;"",I$1,"NA"),'MITRE ATT&amp;CK Mappings'!$F499))),ISNUMBER(SEARCH(IF(I$2&lt;&gt;"",I$2,"NA"),'MITRE ATT&amp;CK Mappings'!$G499))),ISNUMBER(SEARCH(IF(I$2&lt;&gt;"",I$2,"NA"),'MITRE ATT&amp;CK Mappings'!$H499))),ISNUMBER(SEARCH(IF(I$3&lt;&gt;"",I$3,"NA"),'MITRE ATT&amp;CK Mappings'!$I499))),ISNUMBER(SEARCH(IF(I$3&lt;&gt;"",I$3,"NA"),'MITRE ATT&amp;CK Mappings'!$J499))), 'MITRE ATT&amp;CK Mappings'!$B499,"")</f>
        <v/>
      </c>
      <c r="J503" s="27" t="str">
        <f>IF(OR(OR(OR(OR(OR(ISNUMBER(SEARCH(IF(J$1&lt;&gt;"",J$1,"NA"),'MITRE ATT&amp;CK Mappings'!$E499)),ISNUMBER(SEARCH(IF(J$1&lt;&gt;"",J$1,"NA"),'MITRE ATT&amp;CK Mappings'!$F499))),ISNUMBER(SEARCH(IF(J$2&lt;&gt;"",J$2,"NA"),'MITRE ATT&amp;CK Mappings'!$G499))),ISNUMBER(SEARCH(IF(J$2&lt;&gt;"",J$2,"NA"),'MITRE ATT&amp;CK Mappings'!$H499))),ISNUMBER(SEARCH(IF(J$3&lt;&gt;"",J$3,"NA"),'MITRE ATT&amp;CK Mappings'!$I499))),ISNUMBER(SEARCH(IF(J$3&lt;&gt;"",J$3,"NA"),'MITRE ATT&amp;CK Mappings'!$J499))), 'MITRE ATT&amp;CK Mappings'!$B499,"")</f>
        <v/>
      </c>
      <c r="K503" s="27" t="str">
        <f>IF(OR(OR(OR(OR(OR(ISNUMBER(SEARCH(IF(K$1&lt;&gt;"",K$1,"NA"),'MITRE ATT&amp;CK Mappings'!$E499)),ISNUMBER(SEARCH(IF(K$1&lt;&gt;"",K$1,"NA"),'MITRE ATT&amp;CK Mappings'!$F499))),ISNUMBER(SEARCH(IF(K$2&lt;&gt;"",K$2,"NA"),'MITRE ATT&amp;CK Mappings'!$G499))),ISNUMBER(SEARCH(IF(K$2&lt;&gt;"",K$2,"NA"),'MITRE ATT&amp;CK Mappings'!$H499))),ISNUMBER(SEARCH(IF(K$3&lt;&gt;"",K$3,"NA"),'MITRE ATT&amp;CK Mappings'!$I499))),ISNUMBER(SEARCH(IF(K$3&lt;&gt;"",K$3,"NA"),'MITRE ATT&amp;CK Mappings'!$J499))), 'MITRE ATT&amp;CK Mappings'!$B499,"")</f>
        <v/>
      </c>
      <c r="L503" s="27" t="str">
        <f>IF('MITRE ATT&amp;CK Mappings'!D499 &lt;&gt;"",'MITRE ATT&amp;CK Mappings'!D499,"" )</f>
        <v/>
      </c>
    </row>
    <row r="504" spans="1:12" x14ac:dyDescent="0.25">
      <c r="A504" s="26" t="str">
        <f>IF(COUNTIF(B504:K504,"="&amp;'MITRE ATT&amp;CK Mappings'!B500)&gt;0,'MITRE ATT&amp;CK Mappings'!B500,"")</f>
        <v/>
      </c>
      <c r="B504" s="26" t="str">
        <f>IF(OR(OR(OR(OR(OR(ISNUMBER(SEARCH(IF(B$1&lt;&gt;"",B$1,"NA"),'MITRE ATT&amp;CK Mappings'!$E500)),ISNUMBER(SEARCH(IF(B$1&lt;&gt;"",B$1,"NA"),'MITRE ATT&amp;CK Mappings'!$F500))),ISNUMBER(SEARCH(IF(B$2&lt;&gt;"",B$2,"NA"),'MITRE ATT&amp;CK Mappings'!$G500))),ISNUMBER(SEARCH(IF(B$2&lt;&gt;"",B$2,"NA"),'MITRE ATT&amp;CK Mappings'!$H500))),ISNUMBER(SEARCH(IF(B$3&lt;&gt;"",B$3,"NA"),'MITRE ATT&amp;CK Mappings'!$I500))),ISNUMBER(SEARCH(IF(B$3&lt;&gt;"",B$3,"NA"),'MITRE ATT&amp;CK Mappings'!$J500))), 'MITRE ATT&amp;CK Mappings'!$B500,"")</f>
        <v/>
      </c>
      <c r="C504" s="26" t="str">
        <f>IF(OR(OR(OR(OR(OR(ISNUMBER(SEARCH(IF(C$1&lt;&gt;"",C$1,"NA"),'MITRE ATT&amp;CK Mappings'!$E500)),ISNUMBER(SEARCH(IF(C$1&lt;&gt;"",C$1,"NA"),'MITRE ATT&amp;CK Mappings'!$F500))),ISNUMBER(SEARCH(IF(C$2&lt;&gt;"",C$2,"NA"),'MITRE ATT&amp;CK Mappings'!$G500))),ISNUMBER(SEARCH(IF(C$2&lt;&gt;"",C$2,"NA"),'MITRE ATT&amp;CK Mappings'!$H500))),ISNUMBER(SEARCH(IF(C$3&lt;&gt;"",C$3,"NA"),'MITRE ATT&amp;CK Mappings'!$I500))),ISNUMBER(SEARCH(IF(C$3&lt;&gt;"",C$3,"NA"),'MITRE ATT&amp;CK Mappings'!$J500))), 'MITRE ATT&amp;CK Mappings'!$B500,"")</f>
        <v/>
      </c>
      <c r="D504" s="26" t="str">
        <f>IF(OR(OR(OR(OR(OR(ISNUMBER(SEARCH(IF(D$1&lt;&gt;"",D$1,"NA"),'MITRE ATT&amp;CK Mappings'!$E500)),ISNUMBER(SEARCH(IF(D$1&lt;&gt;"",D$1,"NA"),'MITRE ATT&amp;CK Mappings'!$F500))),ISNUMBER(SEARCH(IF(D$2&lt;&gt;"",D$2,"NA"),'MITRE ATT&amp;CK Mappings'!$G500))),ISNUMBER(SEARCH(IF(D$2&lt;&gt;"",D$2,"NA"),'MITRE ATT&amp;CK Mappings'!$H500))),ISNUMBER(SEARCH(IF(D$3&lt;&gt;"",D$3,"NA"),'MITRE ATT&amp;CK Mappings'!$I500))),ISNUMBER(SEARCH(IF(D$3&lt;&gt;"",D$3,"NA"),'MITRE ATT&amp;CK Mappings'!$J500))), 'MITRE ATT&amp;CK Mappings'!$B500,"")</f>
        <v/>
      </c>
      <c r="E504" s="26" t="str">
        <f>IF(OR(OR(OR(OR(OR(ISNUMBER(SEARCH(IF(E$1&lt;&gt;"",E$1,"NA"),'MITRE ATT&amp;CK Mappings'!$E500)),ISNUMBER(SEARCH(IF(E$1&lt;&gt;"",E$1,"NA"),'MITRE ATT&amp;CK Mappings'!$F500))),ISNUMBER(SEARCH(IF(E$2&lt;&gt;"",E$2,"NA"),'MITRE ATT&amp;CK Mappings'!$G500))),ISNUMBER(SEARCH(IF(E$2&lt;&gt;"",E$2,"NA"),'MITRE ATT&amp;CK Mappings'!$H500))),ISNUMBER(SEARCH(IF(E$3&lt;&gt;"",E$3,"NA"),'MITRE ATT&amp;CK Mappings'!$I500))),ISNUMBER(SEARCH(IF(E$3&lt;&gt;"",E$3,"NA"),'MITRE ATT&amp;CK Mappings'!$J500))), 'MITRE ATT&amp;CK Mappings'!$B500,"")</f>
        <v/>
      </c>
      <c r="F504" s="26" t="str">
        <f>IF(OR(OR(OR(OR(OR(ISNUMBER(SEARCH(IF(F$1&lt;&gt;"",F$1,"NA"),'MITRE ATT&amp;CK Mappings'!$E500)),ISNUMBER(SEARCH(IF(F$1&lt;&gt;"",F$1,"NA"),'MITRE ATT&amp;CK Mappings'!$F500))),ISNUMBER(SEARCH(IF(F$2&lt;&gt;"",F$2,"NA"),'MITRE ATT&amp;CK Mappings'!$G500))),ISNUMBER(SEARCH(IF(F$2&lt;&gt;"",F$2,"NA"),'MITRE ATT&amp;CK Mappings'!$H500))),ISNUMBER(SEARCH(IF(F$3&lt;&gt;"",F$3,"NA"),'MITRE ATT&amp;CK Mappings'!$I500))),ISNUMBER(SEARCH(IF(F$3&lt;&gt;"",F$3,"NA"),'MITRE ATT&amp;CK Mappings'!$J500))), 'MITRE ATT&amp;CK Mappings'!$B500,"")</f>
        <v/>
      </c>
      <c r="G504" s="26" t="str">
        <f>IF(OR(OR(OR(OR(OR(ISNUMBER(SEARCH(IF(G$1&lt;&gt;"",G$1,"NA"),'MITRE ATT&amp;CK Mappings'!$E500)),ISNUMBER(SEARCH(IF(G$1&lt;&gt;"",G$1,"NA"),'MITRE ATT&amp;CK Mappings'!$F500))),ISNUMBER(SEARCH(IF(G$2&lt;&gt;"",G$2,"NA"),'MITRE ATT&amp;CK Mappings'!$G500))),ISNUMBER(SEARCH(IF(G$2&lt;&gt;"",G$2,"NA"),'MITRE ATT&amp;CK Mappings'!$H500))),ISNUMBER(SEARCH(IF(G$3&lt;&gt;"",G$3,"NA"),'MITRE ATT&amp;CK Mappings'!$I500))),ISNUMBER(SEARCH(IF(G$3&lt;&gt;"",G$3,"NA"),'MITRE ATT&amp;CK Mappings'!$J500))), 'MITRE ATT&amp;CK Mappings'!$B500,"")</f>
        <v/>
      </c>
      <c r="H504" s="26" t="str">
        <f>IF(OR(OR(OR(OR(OR(ISNUMBER(SEARCH(IF(H$1&lt;&gt;"",H$1,"NA"),'MITRE ATT&amp;CK Mappings'!$E500)),ISNUMBER(SEARCH(IF(H$1&lt;&gt;"",H$1,"NA"),'MITRE ATT&amp;CK Mappings'!$F500))),ISNUMBER(SEARCH(IF(H$2&lt;&gt;"",H$2,"NA"),'MITRE ATT&amp;CK Mappings'!$G500))),ISNUMBER(SEARCH(IF(H$2&lt;&gt;"",H$2,"NA"),'MITRE ATT&amp;CK Mappings'!$H500))),ISNUMBER(SEARCH(IF(H$3&lt;&gt;"",H$3,"NA"),'MITRE ATT&amp;CK Mappings'!$I500))),ISNUMBER(SEARCH(IF(H$3&lt;&gt;"",H$3,"NA"),'MITRE ATT&amp;CK Mappings'!$J500))), 'MITRE ATT&amp;CK Mappings'!$B500,"")</f>
        <v/>
      </c>
      <c r="I504" s="26" t="str">
        <f>IF(OR(OR(OR(OR(OR(ISNUMBER(SEARCH(IF(I$1&lt;&gt;"",I$1,"NA"),'MITRE ATT&amp;CK Mappings'!$E500)),ISNUMBER(SEARCH(IF(I$1&lt;&gt;"",I$1,"NA"),'MITRE ATT&amp;CK Mappings'!$F500))),ISNUMBER(SEARCH(IF(I$2&lt;&gt;"",I$2,"NA"),'MITRE ATT&amp;CK Mappings'!$G500))),ISNUMBER(SEARCH(IF(I$2&lt;&gt;"",I$2,"NA"),'MITRE ATT&amp;CK Mappings'!$H500))),ISNUMBER(SEARCH(IF(I$3&lt;&gt;"",I$3,"NA"),'MITRE ATT&amp;CK Mappings'!$I500))),ISNUMBER(SEARCH(IF(I$3&lt;&gt;"",I$3,"NA"),'MITRE ATT&amp;CK Mappings'!$J500))), 'MITRE ATT&amp;CK Mappings'!$B500,"")</f>
        <v/>
      </c>
      <c r="J504" s="26" t="str">
        <f>IF(OR(OR(OR(OR(OR(ISNUMBER(SEARCH(IF(J$1&lt;&gt;"",J$1,"NA"),'MITRE ATT&amp;CK Mappings'!$E500)),ISNUMBER(SEARCH(IF(J$1&lt;&gt;"",J$1,"NA"),'MITRE ATT&amp;CK Mappings'!$F500))),ISNUMBER(SEARCH(IF(J$2&lt;&gt;"",J$2,"NA"),'MITRE ATT&amp;CK Mappings'!$G500))),ISNUMBER(SEARCH(IF(J$2&lt;&gt;"",J$2,"NA"),'MITRE ATT&amp;CK Mappings'!$H500))),ISNUMBER(SEARCH(IF(J$3&lt;&gt;"",J$3,"NA"),'MITRE ATT&amp;CK Mappings'!$I500))),ISNUMBER(SEARCH(IF(J$3&lt;&gt;"",J$3,"NA"),'MITRE ATT&amp;CK Mappings'!$J500))), 'MITRE ATT&amp;CK Mappings'!$B500,"")</f>
        <v/>
      </c>
      <c r="K504" s="26" t="str">
        <f>IF(OR(OR(OR(OR(OR(ISNUMBER(SEARCH(IF(K$1&lt;&gt;"",K$1,"NA"),'MITRE ATT&amp;CK Mappings'!$E500)),ISNUMBER(SEARCH(IF(K$1&lt;&gt;"",K$1,"NA"),'MITRE ATT&amp;CK Mappings'!$F500))),ISNUMBER(SEARCH(IF(K$2&lt;&gt;"",K$2,"NA"),'MITRE ATT&amp;CK Mappings'!$G500))),ISNUMBER(SEARCH(IF(K$2&lt;&gt;"",K$2,"NA"),'MITRE ATT&amp;CK Mappings'!$H500))),ISNUMBER(SEARCH(IF(K$3&lt;&gt;"",K$3,"NA"),'MITRE ATT&amp;CK Mappings'!$I500))),ISNUMBER(SEARCH(IF(K$3&lt;&gt;"",K$3,"NA"),'MITRE ATT&amp;CK Mappings'!$J500))), 'MITRE ATT&amp;CK Mappings'!$B500,"")</f>
        <v/>
      </c>
      <c r="L504" s="26" t="str">
        <f>IF('MITRE ATT&amp;CK Mappings'!D500 &lt;&gt;"",'MITRE ATT&amp;CK Mappings'!D500,"" )</f>
        <v/>
      </c>
    </row>
    <row r="505" spans="1:12" x14ac:dyDescent="0.25">
      <c r="A505" s="27" t="str">
        <f>IF(COUNTIF(B505:K505,"="&amp;'MITRE ATT&amp;CK Mappings'!B501)&gt;0,'MITRE ATT&amp;CK Mappings'!B501,"")</f>
        <v/>
      </c>
      <c r="B505" s="27" t="str">
        <f>IF(OR(OR(OR(OR(OR(ISNUMBER(SEARCH(IF(B$1&lt;&gt;"",B$1,"NA"),'MITRE ATT&amp;CK Mappings'!$E501)),ISNUMBER(SEARCH(IF(B$1&lt;&gt;"",B$1,"NA"),'MITRE ATT&amp;CK Mappings'!$F501))),ISNUMBER(SEARCH(IF(B$2&lt;&gt;"",B$2,"NA"),'MITRE ATT&amp;CK Mappings'!$G501))),ISNUMBER(SEARCH(IF(B$2&lt;&gt;"",B$2,"NA"),'MITRE ATT&amp;CK Mappings'!$H501))),ISNUMBER(SEARCH(IF(B$3&lt;&gt;"",B$3,"NA"),'MITRE ATT&amp;CK Mappings'!$I501))),ISNUMBER(SEARCH(IF(B$3&lt;&gt;"",B$3,"NA"),'MITRE ATT&amp;CK Mappings'!$J501))), 'MITRE ATT&amp;CK Mappings'!$B501,"")</f>
        <v/>
      </c>
      <c r="C505" s="27" t="str">
        <f>IF(OR(OR(OR(OR(OR(ISNUMBER(SEARCH(IF(C$1&lt;&gt;"",C$1,"NA"),'MITRE ATT&amp;CK Mappings'!$E501)),ISNUMBER(SEARCH(IF(C$1&lt;&gt;"",C$1,"NA"),'MITRE ATT&amp;CK Mappings'!$F501))),ISNUMBER(SEARCH(IF(C$2&lt;&gt;"",C$2,"NA"),'MITRE ATT&amp;CK Mappings'!$G501))),ISNUMBER(SEARCH(IF(C$2&lt;&gt;"",C$2,"NA"),'MITRE ATT&amp;CK Mappings'!$H501))),ISNUMBER(SEARCH(IF(C$3&lt;&gt;"",C$3,"NA"),'MITRE ATT&amp;CK Mappings'!$I501))),ISNUMBER(SEARCH(IF(C$3&lt;&gt;"",C$3,"NA"),'MITRE ATT&amp;CK Mappings'!$J501))), 'MITRE ATT&amp;CK Mappings'!$B501,"")</f>
        <v/>
      </c>
      <c r="D505" s="27" t="str">
        <f>IF(OR(OR(OR(OR(OR(ISNUMBER(SEARCH(IF(D$1&lt;&gt;"",D$1,"NA"),'MITRE ATT&amp;CK Mappings'!$E501)),ISNUMBER(SEARCH(IF(D$1&lt;&gt;"",D$1,"NA"),'MITRE ATT&amp;CK Mappings'!$F501))),ISNUMBER(SEARCH(IF(D$2&lt;&gt;"",D$2,"NA"),'MITRE ATT&amp;CK Mappings'!$G501))),ISNUMBER(SEARCH(IF(D$2&lt;&gt;"",D$2,"NA"),'MITRE ATT&amp;CK Mappings'!$H501))),ISNUMBER(SEARCH(IF(D$3&lt;&gt;"",D$3,"NA"),'MITRE ATT&amp;CK Mappings'!$I501))),ISNUMBER(SEARCH(IF(D$3&lt;&gt;"",D$3,"NA"),'MITRE ATT&amp;CK Mappings'!$J501))), 'MITRE ATT&amp;CK Mappings'!$B501,"")</f>
        <v/>
      </c>
      <c r="E505" s="27" t="str">
        <f>IF(OR(OR(OR(OR(OR(ISNUMBER(SEARCH(IF(E$1&lt;&gt;"",E$1,"NA"),'MITRE ATT&amp;CK Mappings'!$E501)),ISNUMBER(SEARCH(IF(E$1&lt;&gt;"",E$1,"NA"),'MITRE ATT&amp;CK Mappings'!$F501))),ISNUMBER(SEARCH(IF(E$2&lt;&gt;"",E$2,"NA"),'MITRE ATT&amp;CK Mappings'!$G501))),ISNUMBER(SEARCH(IF(E$2&lt;&gt;"",E$2,"NA"),'MITRE ATT&amp;CK Mappings'!$H501))),ISNUMBER(SEARCH(IF(E$3&lt;&gt;"",E$3,"NA"),'MITRE ATT&amp;CK Mappings'!$I501))),ISNUMBER(SEARCH(IF(E$3&lt;&gt;"",E$3,"NA"),'MITRE ATT&amp;CK Mappings'!$J501))), 'MITRE ATT&amp;CK Mappings'!$B501,"")</f>
        <v/>
      </c>
      <c r="F505" s="27" t="str">
        <f>IF(OR(OR(OR(OR(OR(ISNUMBER(SEARCH(IF(F$1&lt;&gt;"",F$1,"NA"),'MITRE ATT&amp;CK Mappings'!$E501)),ISNUMBER(SEARCH(IF(F$1&lt;&gt;"",F$1,"NA"),'MITRE ATT&amp;CK Mappings'!$F501))),ISNUMBER(SEARCH(IF(F$2&lt;&gt;"",F$2,"NA"),'MITRE ATT&amp;CK Mappings'!$G501))),ISNUMBER(SEARCH(IF(F$2&lt;&gt;"",F$2,"NA"),'MITRE ATT&amp;CK Mappings'!$H501))),ISNUMBER(SEARCH(IF(F$3&lt;&gt;"",F$3,"NA"),'MITRE ATT&amp;CK Mappings'!$I501))),ISNUMBER(SEARCH(IF(F$3&lt;&gt;"",F$3,"NA"),'MITRE ATT&amp;CK Mappings'!$J501))), 'MITRE ATT&amp;CK Mappings'!$B501,"")</f>
        <v/>
      </c>
      <c r="G505" s="27" t="str">
        <f>IF(OR(OR(OR(OR(OR(ISNUMBER(SEARCH(IF(G$1&lt;&gt;"",G$1,"NA"),'MITRE ATT&amp;CK Mappings'!$E501)),ISNUMBER(SEARCH(IF(G$1&lt;&gt;"",G$1,"NA"),'MITRE ATT&amp;CK Mappings'!$F501))),ISNUMBER(SEARCH(IF(G$2&lt;&gt;"",G$2,"NA"),'MITRE ATT&amp;CK Mappings'!$G501))),ISNUMBER(SEARCH(IF(G$2&lt;&gt;"",G$2,"NA"),'MITRE ATT&amp;CK Mappings'!$H501))),ISNUMBER(SEARCH(IF(G$3&lt;&gt;"",G$3,"NA"),'MITRE ATT&amp;CK Mappings'!$I501))),ISNUMBER(SEARCH(IF(G$3&lt;&gt;"",G$3,"NA"),'MITRE ATT&amp;CK Mappings'!$J501))), 'MITRE ATT&amp;CK Mappings'!$B501,"")</f>
        <v/>
      </c>
      <c r="H505" s="27" t="str">
        <f>IF(OR(OR(OR(OR(OR(ISNUMBER(SEARCH(IF(H$1&lt;&gt;"",H$1,"NA"),'MITRE ATT&amp;CK Mappings'!$E501)),ISNUMBER(SEARCH(IF(H$1&lt;&gt;"",H$1,"NA"),'MITRE ATT&amp;CK Mappings'!$F501))),ISNUMBER(SEARCH(IF(H$2&lt;&gt;"",H$2,"NA"),'MITRE ATT&amp;CK Mappings'!$G501))),ISNUMBER(SEARCH(IF(H$2&lt;&gt;"",H$2,"NA"),'MITRE ATT&amp;CK Mappings'!$H501))),ISNUMBER(SEARCH(IF(H$3&lt;&gt;"",H$3,"NA"),'MITRE ATT&amp;CK Mappings'!$I501))),ISNUMBER(SEARCH(IF(H$3&lt;&gt;"",H$3,"NA"),'MITRE ATT&amp;CK Mappings'!$J501))), 'MITRE ATT&amp;CK Mappings'!$B501,"")</f>
        <v/>
      </c>
      <c r="I505" s="27" t="str">
        <f>IF(OR(OR(OR(OR(OR(ISNUMBER(SEARCH(IF(I$1&lt;&gt;"",I$1,"NA"),'MITRE ATT&amp;CK Mappings'!$E501)),ISNUMBER(SEARCH(IF(I$1&lt;&gt;"",I$1,"NA"),'MITRE ATT&amp;CK Mappings'!$F501))),ISNUMBER(SEARCH(IF(I$2&lt;&gt;"",I$2,"NA"),'MITRE ATT&amp;CK Mappings'!$G501))),ISNUMBER(SEARCH(IF(I$2&lt;&gt;"",I$2,"NA"),'MITRE ATT&amp;CK Mappings'!$H501))),ISNUMBER(SEARCH(IF(I$3&lt;&gt;"",I$3,"NA"),'MITRE ATT&amp;CK Mappings'!$I501))),ISNUMBER(SEARCH(IF(I$3&lt;&gt;"",I$3,"NA"),'MITRE ATT&amp;CK Mappings'!$J501))), 'MITRE ATT&amp;CK Mappings'!$B501,"")</f>
        <v/>
      </c>
      <c r="J505" s="27" t="str">
        <f>IF(OR(OR(OR(OR(OR(ISNUMBER(SEARCH(IF(J$1&lt;&gt;"",J$1,"NA"),'MITRE ATT&amp;CK Mappings'!$E501)),ISNUMBER(SEARCH(IF(J$1&lt;&gt;"",J$1,"NA"),'MITRE ATT&amp;CK Mappings'!$F501))),ISNUMBER(SEARCH(IF(J$2&lt;&gt;"",J$2,"NA"),'MITRE ATT&amp;CK Mappings'!$G501))),ISNUMBER(SEARCH(IF(J$2&lt;&gt;"",J$2,"NA"),'MITRE ATT&amp;CK Mappings'!$H501))),ISNUMBER(SEARCH(IF(J$3&lt;&gt;"",J$3,"NA"),'MITRE ATT&amp;CK Mappings'!$I501))),ISNUMBER(SEARCH(IF(J$3&lt;&gt;"",J$3,"NA"),'MITRE ATT&amp;CK Mappings'!$J501))), 'MITRE ATT&amp;CK Mappings'!$B501,"")</f>
        <v/>
      </c>
      <c r="K505" s="27" t="str">
        <f>IF(OR(OR(OR(OR(OR(ISNUMBER(SEARCH(IF(K$1&lt;&gt;"",K$1,"NA"),'MITRE ATT&amp;CK Mappings'!$E501)),ISNUMBER(SEARCH(IF(K$1&lt;&gt;"",K$1,"NA"),'MITRE ATT&amp;CK Mappings'!$F501))),ISNUMBER(SEARCH(IF(K$2&lt;&gt;"",K$2,"NA"),'MITRE ATT&amp;CK Mappings'!$G501))),ISNUMBER(SEARCH(IF(K$2&lt;&gt;"",K$2,"NA"),'MITRE ATT&amp;CK Mappings'!$H501))),ISNUMBER(SEARCH(IF(K$3&lt;&gt;"",K$3,"NA"),'MITRE ATT&amp;CK Mappings'!$I501))),ISNUMBER(SEARCH(IF(K$3&lt;&gt;"",K$3,"NA"),'MITRE ATT&amp;CK Mappings'!$J501))), 'MITRE ATT&amp;CK Mappings'!$B501,"")</f>
        <v/>
      </c>
      <c r="L505" s="27" t="str">
        <f>IF('MITRE ATT&amp;CK Mappings'!D501 &lt;&gt;"",'MITRE ATT&amp;CK Mappings'!D501,"" )</f>
        <v/>
      </c>
    </row>
    <row r="506" spans="1:12" x14ac:dyDescent="0.25">
      <c r="A506" s="26" t="str">
        <f>IF(COUNTIF(B506:K506,"="&amp;'MITRE ATT&amp;CK Mappings'!B502)&gt;0,'MITRE ATT&amp;CK Mappings'!B502,"")</f>
        <v/>
      </c>
      <c r="B506" s="26" t="str">
        <f>IF(OR(OR(OR(OR(OR(ISNUMBER(SEARCH(IF(B$1&lt;&gt;"",B$1,"NA"),'MITRE ATT&amp;CK Mappings'!$E502)),ISNUMBER(SEARCH(IF(B$1&lt;&gt;"",B$1,"NA"),'MITRE ATT&amp;CK Mappings'!$F502))),ISNUMBER(SEARCH(IF(B$2&lt;&gt;"",B$2,"NA"),'MITRE ATT&amp;CK Mappings'!$G502))),ISNUMBER(SEARCH(IF(B$2&lt;&gt;"",B$2,"NA"),'MITRE ATT&amp;CK Mappings'!$H502))),ISNUMBER(SEARCH(IF(B$3&lt;&gt;"",B$3,"NA"),'MITRE ATT&amp;CK Mappings'!$I502))),ISNUMBER(SEARCH(IF(B$3&lt;&gt;"",B$3,"NA"),'MITRE ATT&amp;CK Mappings'!$J502))), 'MITRE ATT&amp;CK Mappings'!$B502,"")</f>
        <v/>
      </c>
      <c r="C506" s="26" t="str">
        <f>IF(OR(OR(OR(OR(OR(ISNUMBER(SEARCH(IF(C$1&lt;&gt;"",C$1,"NA"),'MITRE ATT&amp;CK Mappings'!$E502)),ISNUMBER(SEARCH(IF(C$1&lt;&gt;"",C$1,"NA"),'MITRE ATT&amp;CK Mappings'!$F502))),ISNUMBER(SEARCH(IF(C$2&lt;&gt;"",C$2,"NA"),'MITRE ATT&amp;CK Mappings'!$G502))),ISNUMBER(SEARCH(IF(C$2&lt;&gt;"",C$2,"NA"),'MITRE ATT&amp;CK Mappings'!$H502))),ISNUMBER(SEARCH(IF(C$3&lt;&gt;"",C$3,"NA"),'MITRE ATT&amp;CK Mappings'!$I502))),ISNUMBER(SEARCH(IF(C$3&lt;&gt;"",C$3,"NA"),'MITRE ATT&amp;CK Mappings'!$J502))), 'MITRE ATT&amp;CK Mappings'!$B502,"")</f>
        <v/>
      </c>
      <c r="D506" s="26" t="str">
        <f>IF(OR(OR(OR(OR(OR(ISNUMBER(SEARCH(IF(D$1&lt;&gt;"",D$1,"NA"),'MITRE ATT&amp;CK Mappings'!$E502)),ISNUMBER(SEARCH(IF(D$1&lt;&gt;"",D$1,"NA"),'MITRE ATT&amp;CK Mappings'!$F502))),ISNUMBER(SEARCH(IF(D$2&lt;&gt;"",D$2,"NA"),'MITRE ATT&amp;CK Mappings'!$G502))),ISNUMBER(SEARCH(IF(D$2&lt;&gt;"",D$2,"NA"),'MITRE ATT&amp;CK Mappings'!$H502))),ISNUMBER(SEARCH(IF(D$3&lt;&gt;"",D$3,"NA"),'MITRE ATT&amp;CK Mappings'!$I502))),ISNUMBER(SEARCH(IF(D$3&lt;&gt;"",D$3,"NA"),'MITRE ATT&amp;CK Mappings'!$J502))), 'MITRE ATT&amp;CK Mappings'!$B502,"")</f>
        <v/>
      </c>
      <c r="E506" s="26" t="str">
        <f>IF(OR(OR(OR(OR(OR(ISNUMBER(SEARCH(IF(E$1&lt;&gt;"",E$1,"NA"),'MITRE ATT&amp;CK Mappings'!$E502)),ISNUMBER(SEARCH(IF(E$1&lt;&gt;"",E$1,"NA"),'MITRE ATT&amp;CK Mappings'!$F502))),ISNUMBER(SEARCH(IF(E$2&lt;&gt;"",E$2,"NA"),'MITRE ATT&amp;CK Mappings'!$G502))),ISNUMBER(SEARCH(IF(E$2&lt;&gt;"",E$2,"NA"),'MITRE ATT&amp;CK Mappings'!$H502))),ISNUMBER(SEARCH(IF(E$3&lt;&gt;"",E$3,"NA"),'MITRE ATT&amp;CK Mappings'!$I502))),ISNUMBER(SEARCH(IF(E$3&lt;&gt;"",E$3,"NA"),'MITRE ATT&amp;CK Mappings'!$J502))), 'MITRE ATT&amp;CK Mappings'!$B502,"")</f>
        <v/>
      </c>
      <c r="F506" s="26" t="str">
        <f>IF(OR(OR(OR(OR(OR(ISNUMBER(SEARCH(IF(F$1&lt;&gt;"",F$1,"NA"),'MITRE ATT&amp;CK Mappings'!$E502)),ISNUMBER(SEARCH(IF(F$1&lt;&gt;"",F$1,"NA"),'MITRE ATT&amp;CK Mappings'!$F502))),ISNUMBER(SEARCH(IF(F$2&lt;&gt;"",F$2,"NA"),'MITRE ATT&amp;CK Mappings'!$G502))),ISNUMBER(SEARCH(IF(F$2&lt;&gt;"",F$2,"NA"),'MITRE ATT&amp;CK Mappings'!$H502))),ISNUMBER(SEARCH(IF(F$3&lt;&gt;"",F$3,"NA"),'MITRE ATT&amp;CK Mappings'!$I502))),ISNUMBER(SEARCH(IF(F$3&lt;&gt;"",F$3,"NA"),'MITRE ATT&amp;CK Mappings'!$J502))), 'MITRE ATT&amp;CK Mappings'!$B502,"")</f>
        <v/>
      </c>
      <c r="G506" s="26" t="str">
        <f>IF(OR(OR(OR(OR(OR(ISNUMBER(SEARCH(IF(G$1&lt;&gt;"",G$1,"NA"),'MITRE ATT&amp;CK Mappings'!$E502)),ISNUMBER(SEARCH(IF(G$1&lt;&gt;"",G$1,"NA"),'MITRE ATT&amp;CK Mappings'!$F502))),ISNUMBER(SEARCH(IF(G$2&lt;&gt;"",G$2,"NA"),'MITRE ATT&amp;CK Mappings'!$G502))),ISNUMBER(SEARCH(IF(G$2&lt;&gt;"",G$2,"NA"),'MITRE ATT&amp;CK Mappings'!$H502))),ISNUMBER(SEARCH(IF(G$3&lt;&gt;"",G$3,"NA"),'MITRE ATT&amp;CK Mappings'!$I502))),ISNUMBER(SEARCH(IF(G$3&lt;&gt;"",G$3,"NA"),'MITRE ATT&amp;CK Mappings'!$J502))), 'MITRE ATT&amp;CK Mappings'!$B502,"")</f>
        <v/>
      </c>
      <c r="H506" s="26" t="str">
        <f>IF(OR(OR(OR(OR(OR(ISNUMBER(SEARCH(IF(H$1&lt;&gt;"",H$1,"NA"),'MITRE ATT&amp;CK Mappings'!$E502)),ISNUMBER(SEARCH(IF(H$1&lt;&gt;"",H$1,"NA"),'MITRE ATT&amp;CK Mappings'!$F502))),ISNUMBER(SEARCH(IF(H$2&lt;&gt;"",H$2,"NA"),'MITRE ATT&amp;CK Mappings'!$G502))),ISNUMBER(SEARCH(IF(H$2&lt;&gt;"",H$2,"NA"),'MITRE ATT&amp;CK Mappings'!$H502))),ISNUMBER(SEARCH(IF(H$3&lt;&gt;"",H$3,"NA"),'MITRE ATT&amp;CK Mappings'!$I502))),ISNUMBER(SEARCH(IF(H$3&lt;&gt;"",H$3,"NA"),'MITRE ATT&amp;CK Mappings'!$J502))), 'MITRE ATT&amp;CK Mappings'!$B502,"")</f>
        <v/>
      </c>
      <c r="I506" s="26" t="str">
        <f>IF(OR(OR(OR(OR(OR(ISNUMBER(SEARCH(IF(I$1&lt;&gt;"",I$1,"NA"),'MITRE ATT&amp;CK Mappings'!$E502)),ISNUMBER(SEARCH(IF(I$1&lt;&gt;"",I$1,"NA"),'MITRE ATT&amp;CK Mappings'!$F502))),ISNUMBER(SEARCH(IF(I$2&lt;&gt;"",I$2,"NA"),'MITRE ATT&amp;CK Mappings'!$G502))),ISNUMBER(SEARCH(IF(I$2&lt;&gt;"",I$2,"NA"),'MITRE ATT&amp;CK Mappings'!$H502))),ISNUMBER(SEARCH(IF(I$3&lt;&gt;"",I$3,"NA"),'MITRE ATT&amp;CK Mappings'!$I502))),ISNUMBER(SEARCH(IF(I$3&lt;&gt;"",I$3,"NA"),'MITRE ATT&amp;CK Mappings'!$J502))), 'MITRE ATT&amp;CK Mappings'!$B502,"")</f>
        <v/>
      </c>
      <c r="J506" s="26" t="str">
        <f>IF(OR(OR(OR(OR(OR(ISNUMBER(SEARCH(IF(J$1&lt;&gt;"",J$1,"NA"),'MITRE ATT&amp;CK Mappings'!$E502)),ISNUMBER(SEARCH(IF(J$1&lt;&gt;"",J$1,"NA"),'MITRE ATT&amp;CK Mappings'!$F502))),ISNUMBER(SEARCH(IF(J$2&lt;&gt;"",J$2,"NA"),'MITRE ATT&amp;CK Mappings'!$G502))),ISNUMBER(SEARCH(IF(J$2&lt;&gt;"",J$2,"NA"),'MITRE ATT&amp;CK Mappings'!$H502))),ISNUMBER(SEARCH(IF(J$3&lt;&gt;"",J$3,"NA"),'MITRE ATT&amp;CK Mappings'!$I502))),ISNUMBER(SEARCH(IF(J$3&lt;&gt;"",J$3,"NA"),'MITRE ATT&amp;CK Mappings'!$J502))), 'MITRE ATT&amp;CK Mappings'!$B502,"")</f>
        <v/>
      </c>
      <c r="K506" s="26" t="str">
        <f>IF(OR(OR(OR(OR(OR(ISNUMBER(SEARCH(IF(K$1&lt;&gt;"",K$1,"NA"),'MITRE ATT&amp;CK Mappings'!$E502)),ISNUMBER(SEARCH(IF(K$1&lt;&gt;"",K$1,"NA"),'MITRE ATT&amp;CK Mappings'!$F502))),ISNUMBER(SEARCH(IF(K$2&lt;&gt;"",K$2,"NA"),'MITRE ATT&amp;CK Mappings'!$G502))),ISNUMBER(SEARCH(IF(K$2&lt;&gt;"",K$2,"NA"),'MITRE ATT&amp;CK Mappings'!$H502))),ISNUMBER(SEARCH(IF(K$3&lt;&gt;"",K$3,"NA"),'MITRE ATT&amp;CK Mappings'!$I502))),ISNUMBER(SEARCH(IF(K$3&lt;&gt;"",K$3,"NA"),'MITRE ATT&amp;CK Mappings'!$J502))), 'MITRE ATT&amp;CK Mappings'!$B502,"")</f>
        <v/>
      </c>
      <c r="L506" s="26" t="str">
        <f>IF('MITRE ATT&amp;CK Mappings'!D502 &lt;&gt;"",'MITRE ATT&amp;CK Mappings'!D502,"" )</f>
        <v/>
      </c>
    </row>
    <row r="507" spans="1:12" x14ac:dyDescent="0.25">
      <c r="A507" s="27" t="str">
        <f>IF(COUNTIF(B507:K507,"="&amp;'MITRE ATT&amp;CK Mappings'!B503)&gt;0,'MITRE ATT&amp;CK Mappings'!B503,"")</f>
        <v/>
      </c>
      <c r="B507" s="27" t="str">
        <f>IF(OR(OR(OR(OR(OR(ISNUMBER(SEARCH(IF(B$1&lt;&gt;"",B$1,"NA"),'MITRE ATT&amp;CK Mappings'!$E503)),ISNUMBER(SEARCH(IF(B$1&lt;&gt;"",B$1,"NA"),'MITRE ATT&amp;CK Mappings'!$F503))),ISNUMBER(SEARCH(IF(B$2&lt;&gt;"",B$2,"NA"),'MITRE ATT&amp;CK Mappings'!$G503))),ISNUMBER(SEARCH(IF(B$2&lt;&gt;"",B$2,"NA"),'MITRE ATT&amp;CK Mappings'!$H503))),ISNUMBER(SEARCH(IF(B$3&lt;&gt;"",B$3,"NA"),'MITRE ATT&amp;CK Mappings'!$I503))),ISNUMBER(SEARCH(IF(B$3&lt;&gt;"",B$3,"NA"),'MITRE ATT&amp;CK Mappings'!$J503))), 'MITRE ATT&amp;CK Mappings'!$B503,"")</f>
        <v/>
      </c>
      <c r="C507" s="27" t="str">
        <f>IF(OR(OR(OR(OR(OR(ISNUMBER(SEARCH(IF(C$1&lt;&gt;"",C$1,"NA"),'MITRE ATT&amp;CK Mappings'!$E503)),ISNUMBER(SEARCH(IF(C$1&lt;&gt;"",C$1,"NA"),'MITRE ATT&amp;CK Mappings'!$F503))),ISNUMBER(SEARCH(IF(C$2&lt;&gt;"",C$2,"NA"),'MITRE ATT&amp;CK Mappings'!$G503))),ISNUMBER(SEARCH(IF(C$2&lt;&gt;"",C$2,"NA"),'MITRE ATT&amp;CK Mappings'!$H503))),ISNUMBER(SEARCH(IF(C$3&lt;&gt;"",C$3,"NA"),'MITRE ATT&amp;CK Mappings'!$I503))),ISNUMBER(SEARCH(IF(C$3&lt;&gt;"",C$3,"NA"),'MITRE ATT&amp;CK Mappings'!$J503))), 'MITRE ATT&amp;CK Mappings'!$B503,"")</f>
        <v/>
      </c>
      <c r="D507" s="27" t="str">
        <f>IF(OR(OR(OR(OR(OR(ISNUMBER(SEARCH(IF(D$1&lt;&gt;"",D$1,"NA"),'MITRE ATT&amp;CK Mappings'!$E503)),ISNUMBER(SEARCH(IF(D$1&lt;&gt;"",D$1,"NA"),'MITRE ATT&amp;CK Mappings'!$F503))),ISNUMBER(SEARCH(IF(D$2&lt;&gt;"",D$2,"NA"),'MITRE ATT&amp;CK Mappings'!$G503))),ISNUMBER(SEARCH(IF(D$2&lt;&gt;"",D$2,"NA"),'MITRE ATT&amp;CK Mappings'!$H503))),ISNUMBER(SEARCH(IF(D$3&lt;&gt;"",D$3,"NA"),'MITRE ATT&amp;CK Mappings'!$I503))),ISNUMBER(SEARCH(IF(D$3&lt;&gt;"",D$3,"NA"),'MITRE ATT&amp;CK Mappings'!$J503))), 'MITRE ATT&amp;CK Mappings'!$B503,"")</f>
        <v/>
      </c>
      <c r="E507" s="27" t="str">
        <f>IF(OR(OR(OR(OR(OR(ISNUMBER(SEARCH(IF(E$1&lt;&gt;"",E$1,"NA"),'MITRE ATT&amp;CK Mappings'!$E503)),ISNUMBER(SEARCH(IF(E$1&lt;&gt;"",E$1,"NA"),'MITRE ATT&amp;CK Mappings'!$F503))),ISNUMBER(SEARCH(IF(E$2&lt;&gt;"",E$2,"NA"),'MITRE ATT&amp;CK Mappings'!$G503))),ISNUMBER(SEARCH(IF(E$2&lt;&gt;"",E$2,"NA"),'MITRE ATT&amp;CK Mappings'!$H503))),ISNUMBER(SEARCH(IF(E$3&lt;&gt;"",E$3,"NA"),'MITRE ATT&amp;CK Mappings'!$I503))),ISNUMBER(SEARCH(IF(E$3&lt;&gt;"",E$3,"NA"),'MITRE ATT&amp;CK Mappings'!$J503))), 'MITRE ATT&amp;CK Mappings'!$B503,"")</f>
        <v/>
      </c>
      <c r="F507" s="27" t="str">
        <f>IF(OR(OR(OR(OR(OR(ISNUMBER(SEARCH(IF(F$1&lt;&gt;"",F$1,"NA"),'MITRE ATT&amp;CK Mappings'!$E503)),ISNUMBER(SEARCH(IF(F$1&lt;&gt;"",F$1,"NA"),'MITRE ATT&amp;CK Mappings'!$F503))),ISNUMBER(SEARCH(IF(F$2&lt;&gt;"",F$2,"NA"),'MITRE ATT&amp;CK Mappings'!$G503))),ISNUMBER(SEARCH(IF(F$2&lt;&gt;"",F$2,"NA"),'MITRE ATT&amp;CK Mappings'!$H503))),ISNUMBER(SEARCH(IF(F$3&lt;&gt;"",F$3,"NA"),'MITRE ATT&amp;CK Mappings'!$I503))),ISNUMBER(SEARCH(IF(F$3&lt;&gt;"",F$3,"NA"),'MITRE ATT&amp;CK Mappings'!$J503))), 'MITRE ATT&amp;CK Mappings'!$B503,"")</f>
        <v/>
      </c>
      <c r="G507" s="27" t="str">
        <f>IF(OR(OR(OR(OR(OR(ISNUMBER(SEARCH(IF(G$1&lt;&gt;"",G$1,"NA"),'MITRE ATT&amp;CK Mappings'!$E503)),ISNUMBER(SEARCH(IF(G$1&lt;&gt;"",G$1,"NA"),'MITRE ATT&amp;CK Mappings'!$F503))),ISNUMBER(SEARCH(IF(G$2&lt;&gt;"",G$2,"NA"),'MITRE ATT&amp;CK Mappings'!$G503))),ISNUMBER(SEARCH(IF(G$2&lt;&gt;"",G$2,"NA"),'MITRE ATT&amp;CK Mappings'!$H503))),ISNUMBER(SEARCH(IF(G$3&lt;&gt;"",G$3,"NA"),'MITRE ATT&amp;CK Mappings'!$I503))),ISNUMBER(SEARCH(IF(G$3&lt;&gt;"",G$3,"NA"),'MITRE ATT&amp;CK Mappings'!$J503))), 'MITRE ATT&amp;CK Mappings'!$B503,"")</f>
        <v/>
      </c>
      <c r="H507" s="27" t="str">
        <f>IF(OR(OR(OR(OR(OR(ISNUMBER(SEARCH(IF(H$1&lt;&gt;"",H$1,"NA"),'MITRE ATT&amp;CK Mappings'!$E503)),ISNUMBER(SEARCH(IF(H$1&lt;&gt;"",H$1,"NA"),'MITRE ATT&amp;CK Mappings'!$F503))),ISNUMBER(SEARCH(IF(H$2&lt;&gt;"",H$2,"NA"),'MITRE ATT&amp;CK Mappings'!$G503))),ISNUMBER(SEARCH(IF(H$2&lt;&gt;"",H$2,"NA"),'MITRE ATT&amp;CK Mappings'!$H503))),ISNUMBER(SEARCH(IF(H$3&lt;&gt;"",H$3,"NA"),'MITRE ATT&amp;CK Mappings'!$I503))),ISNUMBER(SEARCH(IF(H$3&lt;&gt;"",H$3,"NA"),'MITRE ATT&amp;CK Mappings'!$J503))), 'MITRE ATT&amp;CK Mappings'!$B503,"")</f>
        <v/>
      </c>
      <c r="I507" s="27" t="str">
        <f>IF(OR(OR(OR(OR(OR(ISNUMBER(SEARCH(IF(I$1&lt;&gt;"",I$1,"NA"),'MITRE ATT&amp;CK Mappings'!$E503)),ISNUMBER(SEARCH(IF(I$1&lt;&gt;"",I$1,"NA"),'MITRE ATT&amp;CK Mappings'!$F503))),ISNUMBER(SEARCH(IF(I$2&lt;&gt;"",I$2,"NA"),'MITRE ATT&amp;CK Mappings'!$G503))),ISNUMBER(SEARCH(IF(I$2&lt;&gt;"",I$2,"NA"),'MITRE ATT&amp;CK Mappings'!$H503))),ISNUMBER(SEARCH(IF(I$3&lt;&gt;"",I$3,"NA"),'MITRE ATT&amp;CK Mappings'!$I503))),ISNUMBER(SEARCH(IF(I$3&lt;&gt;"",I$3,"NA"),'MITRE ATT&amp;CK Mappings'!$J503))), 'MITRE ATT&amp;CK Mappings'!$B503,"")</f>
        <v/>
      </c>
      <c r="J507" s="27" t="str">
        <f>IF(OR(OR(OR(OR(OR(ISNUMBER(SEARCH(IF(J$1&lt;&gt;"",J$1,"NA"),'MITRE ATT&amp;CK Mappings'!$E503)),ISNUMBER(SEARCH(IF(J$1&lt;&gt;"",J$1,"NA"),'MITRE ATT&amp;CK Mappings'!$F503))),ISNUMBER(SEARCH(IF(J$2&lt;&gt;"",J$2,"NA"),'MITRE ATT&amp;CK Mappings'!$G503))),ISNUMBER(SEARCH(IF(J$2&lt;&gt;"",J$2,"NA"),'MITRE ATT&amp;CK Mappings'!$H503))),ISNUMBER(SEARCH(IF(J$3&lt;&gt;"",J$3,"NA"),'MITRE ATT&amp;CK Mappings'!$I503))),ISNUMBER(SEARCH(IF(J$3&lt;&gt;"",J$3,"NA"),'MITRE ATT&amp;CK Mappings'!$J503))), 'MITRE ATT&amp;CK Mappings'!$B503,"")</f>
        <v/>
      </c>
      <c r="K507" s="27" t="str">
        <f>IF(OR(OR(OR(OR(OR(ISNUMBER(SEARCH(IF(K$1&lt;&gt;"",K$1,"NA"),'MITRE ATT&amp;CK Mappings'!$E503)),ISNUMBER(SEARCH(IF(K$1&lt;&gt;"",K$1,"NA"),'MITRE ATT&amp;CK Mappings'!$F503))),ISNUMBER(SEARCH(IF(K$2&lt;&gt;"",K$2,"NA"),'MITRE ATT&amp;CK Mappings'!$G503))),ISNUMBER(SEARCH(IF(K$2&lt;&gt;"",K$2,"NA"),'MITRE ATT&amp;CK Mappings'!$H503))),ISNUMBER(SEARCH(IF(K$3&lt;&gt;"",K$3,"NA"),'MITRE ATT&amp;CK Mappings'!$I503))),ISNUMBER(SEARCH(IF(K$3&lt;&gt;"",K$3,"NA"),'MITRE ATT&amp;CK Mappings'!$J503))), 'MITRE ATT&amp;CK Mappings'!$B503,"")</f>
        <v/>
      </c>
      <c r="L507" s="27" t="str">
        <f>IF('MITRE ATT&amp;CK Mappings'!D503 &lt;&gt;"",'MITRE ATT&amp;CK Mappings'!D503,"" )</f>
        <v/>
      </c>
    </row>
    <row r="508" spans="1:12" x14ac:dyDescent="0.25">
      <c r="A508" s="26" t="str">
        <f>IF(COUNTIF(B508:K508,"="&amp;'MITRE ATT&amp;CK Mappings'!B504)&gt;0,'MITRE ATT&amp;CK Mappings'!B504,"")</f>
        <v/>
      </c>
      <c r="B508" s="26" t="str">
        <f>IF(OR(OR(OR(OR(OR(ISNUMBER(SEARCH(IF(B$1&lt;&gt;"",B$1,"NA"),'MITRE ATT&amp;CK Mappings'!$E504)),ISNUMBER(SEARCH(IF(B$1&lt;&gt;"",B$1,"NA"),'MITRE ATT&amp;CK Mappings'!$F504))),ISNUMBER(SEARCH(IF(B$2&lt;&gt;"",B$2,"NA"),'MITRE ATT&amp;CK Mappings'!$G504))),ISNUMBER(SEARCH(IF(B$2&lt;&gt;"",B$2,"NA"),'MITRE ATT&amp;CK Mappings'!$H504))),ISNUMBER(SEARCH(IF(B$3&lt;&gt;"",B$3,"NA"),'MITRE ATT&amp;CK Mappings'!$I504))),ISNUMBER(SEARCH(IF(B$3&lt;&gt;"",B$3,"NA"),'MITRE ATT&amp;CK Mappings'!$J504))), 'MITRE ATT&amp;CK Mappings'!$B504,"")</f>
        <v/>
      </c>
      <c r="C508" s="26" t="str">
        <f>IF(OR(OR(OR(OR(OR(ISNUMBER(SEARCH(IF(C$1&lt;&gt;"",C$1,"NA"),'MITRE ATT&amp;CK Mappings'!$E504)),ISNUMBER(SEARCH(IF(C$1&lt;&gt;"",C$1,"NA"),'MITRE ATT&amp;CK Mappings'!$F504))),ISNUMBER(SEARCH(IF(C$2&lt;&gt;"",C$2,"NA"),'MITRE ATT&amp;CK Mappings'!$G504))),ISNUMBER(SEARCH(IF(C$2&lt;&gt;"",C$2,"NA"),'MITRE ATT&amp;CK Mappings'!$H504))),ISNUMBER(SEARCH(IF(C$3&lt;&gt;"",C$3,"NA"),'MITRE ATT&amp;CK Mappings'!$I504))),ISNUMBER(SEARCH(IF(C$3&lt;&gt;"",C$3,"NA"),'MITRE ATT&amp;CK Mappings'!$J504))), 'MITRE ATT&amp;CK Mappings'!$B504,"")</f>
        <v/>
      </c>
      <c r="D508" s="26" t="str">
        <f>IF(OR(OR(OR(OR(OR(ISNUMBER(SEARCH(IF(D$1&lt;&gt;"",D$1,"NA"),'MITRE ATT&amp;CK Mappings'!$E504)),ISNUMBER(SEARCH(IF(D$1&lt;&gt;"",D$1,"NA"),'MITRE ATT&amp;CK Mappings'!$F504))),ISNUMBER(SEARCH(IF(D$2&lt;&gt;"",D$2,"NA"),'MITRE ATT&amp;CK Mappings'!$G504))),ISNUMBER(SEARCH(IF(D$2&lt;&gt;"",D$2,"NA"),'MITRE ATT&amp;CK Mappings'!$H504))),ISNUMBER(SEARCH(IF(D$3&lt;&gt;"",D$3,"NA"),'MITRE ATT&amp;CK Mappings'!$I504))),ISNUMBER(SEARCH(IF(D$3&lt;&gt;"",D$3,"NA"),'MITRE ATT&amp;CK Mappings'!$J504))), 'MITRE ATT&amp;CK Mappings'!$B504,"")</f>
        <v/>
      </c>
      <c r="E508" s="26" t="str">
        <f>IF(OR(OR(OR(OR(OR(ISNUMBER(SEARCH(IF(E$1&lt;&gt;"",E$1,"NA"),'MITRE ATT&amp;CK Mappings'!$E504)),ISNUMBER(SEARCH(IF(E$1&lt;&gt;"",E$1,"NA"),'MITRE ATT&amp;CK Mappings'!$F504))),ISNUMBER(SEARCH(IF(E$2&lt;&gt;"",E$2,"NA"),'MITRE ATT&amp;CK Mappings'!$G504))),ISNUMBER(SEARCH(IF(E$2&lt;&gt;"",E$2,"NA"),'MITRE ATT&amp;CK Mappings'!$H504))),ISNUMBER(SEARCH(IF(E$3&lt;&gt;"",E$3,"NA"),'MITRE ATT&amp;CK Mappings'!$I504))),ISNUMBER(SEARCH(IF(E$3&lt;&gt;"",E$3,"NA"),'MITRE ATT&amp;CK Mappings'!$J504))), 'MITRE ATT&amp;CK Mappings'!$B504,"")</f>
        <v/>
      </c>
      <c r="F508" s="26" t="str">
        <f>IF(OR(OR(OR(OR(OR(ISNUMBER(SEARCH(IF(F$1&lt;&gt;"",F$1,"NA"),'MITRE ATT&amp;CK Mappings'!$E504)),ISNUMBER(SEARCH(IF(F$1&lt;&gt;"",F$1,"NA"),'MITRE ATT&amp;CK Mappings'!$F504))),ISNUMBER(SEARCH(IF(F$2&lt;&gt;"",F$2,"NA"),'MITRE ATT&amp;CK Mappings'!$G504))),ISNUMBER(SEARCH(IF(F$2&lt;&gt;"",F$2,"NA"),'MITRE ATT&amp;CK Mappings'!$H504))),ISNUMBER(SEARCH(IF(F$3&lt;&gt;"",F$3,"NA"),'MITRE ATT&amp;CK Mappings'!$I504))),ISNUMBER(SEARCH(IF(F$3&lt;&gt;"",F$3,"NA"),'MITRE ATT&amp;CK Mappings'!$J504))), 'MITRE ATT&amp;CK Mappings'!$B504,"")</f>
        <v/>
      </c>
      <c r="G508" s="26" t="str">
        <f>IF(OR(OR(OR(OR(OR(ISNUMBER(SEARCH(IF(G$1&lt;&gt;"",G$1,"NA"),'MITRE ATT&amp;CK Mappings'!$E504)),ISNUMBER(SEARCH(IF(G$1&lt;&gt;"",G$1,"NA"),'MITRE ATT&amp;CK Mappings'!$F504))),ISNUMBER(SEARCH(IF(G$2&lt;&gt;"",G$2,"NA"),'MITRE ATT&amp;CK Mappings'!$G504))),ISNUMBER(SEARCH(IF(G$2&lt;&gt;"",G$2,"NA"),'MITRE ATT&amp;CK Mappings'!$H504))),ISNUMBER(SEARCH(IF(G$3&lt;&gt;"",G$3,"NA"),'MITRE ATT&amp;CK Mappings'!$I504))),ISNUMBER(SEARCH(IF(G$3&lt;&gt;"",G$3,"NA"),'MITRE ATT&amp;CK Mappings'!$J504))), 'MITRE ATT&amp;CK Mappings'!$B504,"")</f>
        <v/>
      </c>
      <c r="H508" s="26" t="str">
        <f>IF(OR(OR(OR(OR(OR(ISNUMBER(SEARCH(IF(H$1&lt;&gt;"",H$1,"NA"),'MITRE ATT&amp;CK Mappings'!$E504)),ISNUMBER(SEARCH(IF(H$1&lt;&gt;"",H$1,"NA"),'MITRE ATT&amp;CK Mappings'!$F504))),ISNUMBER(SEARCH(IF(H$2&lt;&gt;"",H$2,"NA"),'MITRE ATT&amp;CK Mappings'!$G504))),ISNUMBER(SEARCH(IF(H$2&lt;&gt;"",H$2,"NA"),'MITRE ATT&amp;CK Mappings'!$H504))),ISNUMBER(SEARCH(IF(H$3&lt;&gt;"",H$3,"NA"),'MITRE ATT&amp;CK Mappings'!$I504))),ISNUMBER(SEARCH(IF(H$3&lt;&gt;"",H$3,"NA"),'MITRE ATT&amp;CK Mappings'!$J504))), 'MITRE ATT&amp;CK Mappings'!$B504,"")</f>
        <v/>
      </c>
      <c r="I508" s="26" t="str">
        <f>IF(OR(OR(OR(OR(OR(ISNUMBER(SEARCH(IF(I$1&lt;&gt;"",I$1,"NA"),'MITRE ATT&amp;CK Mappings'!$E504)),ISNUMBER(SEARCH(IF(I$1&lt;&gt;"",I$1,"NA"),'MITRE ATT&amp;CK Mappings'!$F504))),ISNUMBER(SEARCH(IF(I$2&lt;&gt;"",I$2,"NA"),'MITRE ATT&amp;CK Mappings'!$G504))),ISNUMBER(SEARCH(IF(I$2&lt;&gt;"",I$2,"NA"),'MITRE ATT&amp;CK Mappings'!$H504))),ISNUMBER(SEARCH(IF(I$3&lt;&gt;"",I$3,"NA"),'MITRE ATT&amp;CK Mappings'!$I504))),ISNUMBER(SEARCH(IF(I$3&lt;&gt;"",I$3,"NA"),'MITRE ATT&amp;CK Mappings'!$J504))), 'MITRE ATT&amp;CK Mappings'!$B504,"")</f>
        <v/>
      </c>
      <c r="J508" s="26" t="str">
        <f>IF(OR(OR(OR(OR(OR(ISNUMBER(SEARCH(IF(J$1&lt;&gt;"",J$1,"NA"),'MITRE ATT&amp;CK Mappings'!$E504)),ISNUMBER(SEARCH(IF(J$1&lt;&gt;"",J$1,"NA"),'MITRE ATT&amp;CK Mappings'!$F504))),ISNUMBER(SEARCH(IF(J$2&lt;&gt;"",J$2,"NA"),'MITRE ATT&amp;CK Mappings'!$G504))),ISNUMBER(SEARCH(IF(J$2&lt;&gt;"",J$2,"NA"),'MITRE ATT&amp;CK Mappings'!$H504))),ISNUMBER(SEARCH(IF(J$3&lt;&gt;"",J$3,"NA"),'MITRE ATT&amp;CK Mappings'!$I504))),ISNUMBER(SEARCH(IF(J$3&lt;&gt;"",J$3,"NA"),'MITRE ATT&amp;CK Mappings'!$J504))), 'MITRE ATT&amp;CK Mappings'!$B504,"")</f>
        <v/>
      </c>
      <c r="K508" s="26" t="str">
        <f>IF(OR(OR(OR(OR(OR(ISNUMBER(SEARCH(IF(K$1&lt;&gt;"",K$1,"NA"),'MITRE ATT&amp;CK Mappings'!$E504)),ISNUMBER(SEARCH(IF(K$1&lt;&gt;"",K$1,"NA"),'MITRE ATT&amp;CK Mappings'!$F504))),ISNUMBER(SEARCH(IF(K$2&lt;&gt;"",K$2,"NA"),'MITRE ATT&amp;CK Mappings'!$G504))),ISNUMBER(SEARCH(IF(K$2&lt;&gt;"",K$2,"NA"),'MITRE ATT&amp;CK Mappings'!$H504))),ISNUMBER(SEARCH(IF(K$3&lt;&gt;"",K$3,"NA"),'MITRE ATT&amp;CK Mappings'!$I504))),ISNUMBER(SEARCH(IF(K$3&lt;&gt;"",K$3,"NA"),'MITRE ATT&amp;CK Mappings'!$J504))), 'MITRE ATT&amp;CK Mappings'!$B504,"")</f>
        <v/>
      </c>
      <c r="L508" s="26" t="str">
        <f>IF('MITRE ATT&amp;CK Mappings'!D504 &lt;&gt;"",'MITRE ATT&amp;CK Mappings'!D504,"" )</f>
        <v/>
      </c>
    </row>
    <row r="509" spans="1:12" x14ac:dyDescent="0.25">
      <c r="A509" s="27" t="str">
        <f>IF(COUNTIF(B509:K509,"="&amp;'MITRE ATT&amp;CK Mappings'!B505)&gt;0,'MITRE ATT&amp;CK Mappings'!B505,"")</f>
        <v/>
      </c>
      <c r="B509" s="27" t="str">
        <f>IF(OR(OR(OR(OR(OR(ISNUMBER(SEARCH(IF(B$1&lt;&gt;"",B$1,"NA"),'MITRE ATT&amp;CK Mappings'!$E505)),ISNUMBER(SEARCH(IF(B$1&lt;&gt;"",B$1,"NA"),'MITRE ATT&amp;CK Mappings'!$F505))),ISNUMBER(SEARCH(IF(B$2&lt;&gt;"",B$2,"NA"),'MITRE ATT&amp;CK Mappings'!$G505))),ISNUMBER(SEARCH(IF(B$2&lt;&gt;"",B$2,"NA"),'MITRE ATT&amp;CK Mappings'!$H505))),ISNUMBER(SEARCH(IF(B$3&lt;&gt;"",B$3,"NA"),'MITRE ATT&amp;CK Mappings'!$I505))),ISNUMBER(SEARCH(IF(B$3&lt;&gt;"",B$3,"NA"),'MITRE ATT&amp;CK Mappings'!$J505))), 'MITRE ATT&amp;CK Mappings'!$B505,"")</f>
        <v/>
      </c>
      <c r="C509" s="27" t="str">
        <f>IF(OR(OR(OR(OR(OR(ISNUMBER(SEARCH(IF(C$1&lt;&gt;"",C$1,"NA"),'MITRE ATT&amp;CK Mappings'!$E505)),ISNUMBER(SEARCH(IF(C$1&lt;&gt;"",C$1,"NA"),'MITRE ATT&amp;CK Mappings'!$F505))),ISNUMBER(SEARCH(IF(C$2&lt;&gt;"",C$2,"NA"),'MITRE ATT&amp;CK Mappings'!$G505))),ISNUMBER(SEARCH(IF(C$2&lt;&gt;"",C$2,"NA"),'MITRE ATT&amp;CK Mappings'!$H505))),ISNUMBER(SEARCH(IF(C$3&lt;&gt;"",C$3,"NA"),'MITRE ATT&amp;CK Mappings'!$I505))),ISNUMBER(SEARCH(IF(C$3&lt;&gt;"",C$3,"NA"),'MITRE ATT&amp;CK Mappings'!$J505))), 'MITRE ATT&amp;CK Mappings'!$B505,"")</f>
        <v/>
      </c>
      <c r="D509" s="27" t="str">
        <f>IF(OR(OR(OR(OR(OR(ISNUMBER(SEARCH(IF(D$1&lt;&gt;"",D$1,"NA"),'MITRE ATT&amp;CK Mappings'!$E505)),ISNUMBER(SEARCH(IF(D$1&lt;&gt;"",D$1,"NA"),'MITRE ATT&amp;CK Mappings'!$F505))),ISNUMBER(SEARCH(IF(D$2&lt;&gt;"",D$2,"NA"),'MITRE ATT&amp;CK Mappings'!$G505))),ISNUMBER(SEARCH(IF(D$2&lt;&gt;"",D$2,"NA"),'MITRE ATT&amp;CK Mappings'!$H505))),ISNUMBER(SEARCH(IF(D$3&lt;&gt;"",D$3,"NA"),'MITRE ATT&amp;CK Mappings'!$I505))),ISNUMBER(SEARCH(IF(D$3&lt;&gt;"",D$3,"NA"),'MITRE ATT&amp;CK Mappings'!$J505))), 'MITRE ATT&amp;CK Mappings'!$B505,"")</f>
        <v/>
      </c>
      <c r="E509" s="27" t="str">
        <f>IF(OR(OR(OR(OR(OR(ISNUMBER(SEARCH(IF(E$1&lt;&gt;"",E$1,"NA"),'MITRE ATT&amp;CK Mappings'!$E505)),ISNUMBER(SEARCH(IF(E$1&lt;&gt;"",E$1,"NA"),'MITRE ATT&amp;CK Mappings'!$F505))),ISNUMBER(SEARCH(IF(E$2&lt;&gt;"",E$2,"NA"),'MITRE ATT&amp;CK Mappings'!$G505))),ISNUMBER(SEARCH(IF(E$2&lt;&gt;"",E$2,"NA"),'MITRE ATT&amp;CK Mappings'!$H505))),ISNUMBER(SEARCH(IF(E$3&lt;&gt;"",E$3,"NA"),'MITRE ATT&amp;CK Mappings'!$I505))),ISNUMBER(SEARCH(IF(E$3&lt;&gt;"",E$3,"NA"),'MITRE ATT&amp;CK Mappings'!$J505))), 'MITRE ATT&amp;CK Mappings'!$B505,"")</f>
        <v/>
      </c>
      <c r="F509" s="27" t="str">
        <f>IF(OR(OR(OR(OR(OR(ISNUMBER(SEARCH(IF(F$1&lt;&gt;"",F$1,"NA"),'MITRE ATT&amp;CK Mappings'!$E505)),ISNUMBER(SEARCH(IF(F$1&lt;&gt;"",F$1,"NA"),'MITRE ATT&amp;CK Mappings'!$F505))),ISNUMBER(SEARCH(IF(F$2&lt;&gt;"",F$2,"NA"),'MITRE ATT&amp;CK Mappings'!$G505))),ISNUMBER(SEARCH(IF(F$2&lt;&gt;"",F$2,"NA"),'MITRE ATT&amp;CK Mappings'!$H505))),ISNUMBER(SEARCH(IF(F$3&lt;&gt;"",F$3,"NA"),'MITRE ATT&amp;CK Mappings'!$I505))),ISNUMBER(SEARCH(IF(F$3&lt;&gt;"",F$3,"NA"),'MITRE ATT&amp;CK Mappings'!$J505))), 'MITRE ATT&amp;CK Mappings'!$B505,"")</f>
        <v/>
      </c>
      <c r="G509" s="27" t="str">
        <f>IF(OR(OR(OR(OR(OR(ISNUMBER(SEARCH(IF(G$1&lt;&gt;"",G$1,"NA"),'MITRE ATT&amp;CK Mappings'!$E505)),ISNUMBER(SEARCH(IF(G$1&lt;&gt;"",G$1,"NA"),'MITRE ATT&amp;CK Mappings'!$F505))),ISNUMBER(SEARCH(IF(G$2&lt;&gt;"",G$2,"NA"),'MITRE ATT&amp;CK Mappings'!$G505))),ISNUMBER(SEARCH(IF(G$2&lt;&gt;"",G$2,"NA"),'MITRE ATT&amp;CK Mappings'!$H505))),ISNUMBER(SEARCH(IF(G$3&lt;&gt;"",G$3,"NA"),'MITRE ATT&amp;CK Mappings'!$I505))),ISNUMBER(SEARCH(IF(G$3&lt;&gt;"",G$3,"NA"),'MITRE ATT&amp;CK Mappings'!$J505))), 'MITRE ATT&amp;CK Mappings'!$B505,"")</f>
        <v/>
      </c>
      <c r="H509" s="27" t="str">
        <f>IF(OR(OR(OR(OR(OR(ISNUMBER(SEARCH(IF(H$1&lt;&gt;"",H$1,"NA"),'MITRE ATT&amp;CK Mappings'!$E505)),ISNUMBER(SEARCH(IF(H$1&lt;&gt;"",H$1,"NA"),'MITRE ATT&amp;CK Mappings'!$F505))),ISNUMBER(SEARCH(IF(H$2&lt;&gt;"",H$2,"NA"),'MITRE ATT&amp;CK Mappings'!$G505))),ISNUMBER(SEARCH(IF(H$2&lt;&gt;"",H$2,"NA"),'MITRE ATT&amp;CK Mappings'!$H505))),ISNUMBER(SEARCH(IF(H$3&lt;&gt;"",H$3,"NA"),'MITRE ATT&amp;CK Mappings'!$I505))),ISNUMBER(SEARCH(IF(H$3&lt;&gt;"",H$3,"NA"),'MITRE ATT&amp;CK Mappings'!$J505))), 'MITRE ATT&amp;CK Mappings'!$B505,"")</f>
        <v/>
      </c>
      <c r="I509" s="27" t="str">
        <f>IF(OR(OR(OR(OR(OR(ISNUMBER(SEARCH(IF(I$1&lt;&gt;"",I$1,"NA"),'MITRE ATT&amp;CK Mappings'!$E505)),ISNUMBER(SEARCH(IF(I$1&lt;&gt;"",I$1,"NA"),'MITRE ATT&amp;CK Mappings'!$F505))),ISNUMBER(SEARCH(IF(I$2&lt;&gt;"",I$2,"NA"),'MITRE ATT&amp;CK Mappings'!$G505))),ISNUMBER(SEARCH(IF(I$2&lt;&gt;"",I$2,"NA"),'MITRE ATT&amp;CK Mappings'!$H505))),ISNUMBER(SEARCH(IF(I$3&lt;&gt;"",I$3,"NA"),'MITRE ATT&amp;CK Mappings'!$I505))),ISNUMBER(SEARCH(IF(I$3&lt;&gt;"",I$3,"NA"),'MITRE ATT&amp;CK Mappings'!$J505))), 'MITRE ATT&amp;CK Mappings'!$B505,"")</f>
        <v/>
      </c>
      <c r="J509" s="27" t="str">
        <f>IF(OR(OR(OR(OR(OR(ISNUMBER(SEARCH(IF(J$1&lt;&gt;"",J$1,"NA"),'MITRE ATT&amp;CK Mappings'!$E505)),ISNUMBER(SEARCH(IF(J$1&lt;&gt;"",J$1,"NA"),'MITRE ATT&amp;CK Mappings'!$F505))),ISNUMBER(SEARCH(IF(J$2&lt;&gt;"",J$2,"NA"),'MITRE ATT&amp;CK Mappings'!$G505))),ISNUMBER(SEARCH(IF(J$2&lt;&gt;"",J$2,"NA"),'MITRE ATT&amp;CK Mappings'!$H505))),ISNUMBER(SEARCH(IF(J$3&lt;&gt;"",J$3,"NA"),'MITRE ATT&amp;CK Mappings'!$I505))),ISNUMBER(SEARCH(IF(J$3&lt;&gt;"",J$3,"NA"),'MITRE ATT&amp;CK Mappings'!$J505))), 'MITRE ATT&amp;CK Mappings'!$B505,"")</f>
        <v/>
      </c>
      <c r="K509" s="27" t="str">
        <f>IF(OR(OR(OR(OR(OR(ISNUMBER(SEARCH(IF(K$1&lt;&gt;"",K$1,"NA"),'MITRE ATT&amp;CK Mappings'!$E505)),ISNUMBER(SEARCH(IF(K$1&lt;&gt;"",K$1,"NA"),'MITRE ATT&amp;CK Mappings'!$F505))),ISNUMBER(SEARCH(IF(K$2&lt;&gt;"",K$2,"NA"),'MITRE ATT&amp;CK Mappings'!$G505))),ISNUMBER(SEARCH(IF(K$2&lt;&gt;"",K$2,"NA"),'MITRE ATT&amp;CK Mappings'!$H505))),ISNUMBER(SEARCH(IF(K$3&lt;&gt;"",K$3,"NA"),'MITRE ATT&amp;CK Mappings'!$I505))),ISNUMBER(SEARCH(IF(K$3&lt;&gt;"",K$3,"NA"),'MITRE ATT&amp;CK Mappings'!$J505))), 'MITRE ATT&amp;CK Mappings'!$B505,"")</f>
        <v/>
      </c>
      <c r="L509" s="27" t="str">
        <f>IF('MITRE ATT&amp;CK Mappings'!D505 &lt;&gt;"",'MITRE ATT&amp;CK Mappings'!D505,"" )</f>
        <v/>
      </c>
    </row>
    <row r="510" spans="1:12" x14ac:dyDescent="0.25">
      <c r="A510" s="26" t="str">
        <f>IF(COUNTIF(B510:K510,"="&amp;'MITRE ATT&amp;CK Mappings'!B506)&gt;0,'MITRE ATT&amp;CK Mappings'!B506,"")</f>
        <v/>
      </c>
      <c r="B510" s="26" t="str">
        <f>IF(OR(OR(OR(OR(OR(ISNUMBER(SEARCH(IF(B$1&lt;&gt;"",B$1,"NA"),'MITRE ATT&amp;CK Mappings'!$E506)),ISNUMBER(SEARCH(IF(B$1&lt;&gt;"",B$1,"NA"),'MITRE ATT&amp;CK Mappings'!$F506))),ISNUMBER(SEARCH(IF(B$2&lt;&gt;"",B$2,"NA"),'MITRE ATT&amp;CK Mappings'!$G506))),ISNUMBER(SEARCH(IF(B$2&lt;&gt;"",B$2,"NA"),'MITRE ATT&amp;CK Mappings'!$H506))),ISNUMBER(SEARCH(IF(B$3&lt;&gt;"",B$3,"NA"),'MITRE ATT&amp;CK Mappings'!$I506))),ISNUMBER(SEARCH(IF(B$3&lt;&gt;"",B$3,"NA"),'MITRE ATT&amp;CK Mappings'!$J506))), 'MITRE ATT&amp;CK Mappings'!$B506,"")</f>
        <v/>
      </c>
      <c r="C510" s="26" t="str">
        <f>IF(OR(OR(OR(OR(OR(ISNUMBER(SEARCH(IF(C$1&lt;&gt;"",C$1,"NA"),'MITRE ATT&amp;CK Mappings'!$E506)),ISNUMBER(SEARCH(IF(C$1&lt;&gt;"",C$1,"NA"),'MITRE ATT&amp;CK Mappings'!$F506))),ISNUMBER(SEARCH(IF(C$2&lt;&gt;"",C$2,"NA"),'MITRE ATT&amp;CK Mappings'!$G506))),ISNUMBER(SEARCH(IF(C$2&lt;&gt;"",C$2,"NA"),'MITRE ATT&amp;CK Mappings'!$H506))),ISNUMBER(SEARCH(IF(C$3&lt;&gt;"",C$3,"NA"),'MITRE ATT&amp;CK Mappings'!$I506))),ISNUMBER(SEARCH(IF(C$3&lt;&gt;"",C$3,"NA"),'MITRE ATT&amp;CK Mappings'!$J506))), 'MITRE ATT&amp;CK Mappings'!$B506,"")</f>
        <v/>
      </c>
      <c r="D510" s="26" t="str">
        <f>IF(OR(OR(OR(OR(OR(ISNUMBER(SEARCH(IF(D$1&lt;&gt;"",D$1,"NA"),'MITRE ATT&amp;CK Mappings'!$E506)),ISNUMBER(SEARCH(IF(D$1&lt;&gt;"",D$1,"NA"),'MITRE ATT&amp;CK Mappings'!$F506))),ISNUMBER(SEARCH(IF(D$2&lt;&gt;"",D$2,"NA"),'MITRE ATT&amp;CK Mappings'!$G506))),ISNUMBER(SEARCH(IF(D$2&lt;&gt;"",D$2,"NA"),'MITRE ATT&amp;CK Mappings'!$H506))),ISNUMBER(SEARCH(IF(D$3&lt;&gt;"",D$3,"NA"),'MITRE ATT&amp;CK Mappings'!$I506))),ISNUMBER(SEARCH(IF(D$3&lt;&gt;"",D$3,"NA"),'MITRE ATT&amp;CK Mappings'!$J506))), 'MITRE ATT&amp;CK Mappings'!$B506,"")</f>
        <v/>
      </c>
      <c r="E510" s="26" t="str">
        <f>IF(OR(OR(OR(OR(OR(ISNUMBER(SEARCH(IF(E$1&lt;&gt;"",E$1,"NA"),'MITRE ATT&amp;CK Mappings'!$E506)),ISNUMBER(SEARCH(IF(E$1&lt;&gt;"",E$1,"NA"),'MITRE ATT&amp;CK Mappings'!$F506))),ISNUMBER(SEARCH(IF(E$2&lt;&gt;"",E$2,"NA"),'MITRE ATT&amp;CK Mappings'!$G506))),ISNUMBER(SEARCH(IF(E$2&lt;&gt;"",E$2,"NA"),'MITRE ATT&amp;CK Mappings'!$H506))),ISNUMBER(SEARCH(IF(E$3&lt;&gt;"",E$3,"NA"),'MITRE ATT&amp;CK Mappings'!$I506))),ISNUMBER(SEARCH(IF(E$3&lt;&gt;"",E$3,"NA"),'MITRE ATT&amp;CK Mappings'!$J506))), 'MITRE ATT&amp;CK Mappings'!$B506,"")</f>
        <v/>
      </c>
      <c r="F510" s="26" t="str">
        <f>IF(OR(OR(OR(OR(OR(ISNUMBER(SEARCH(IF(F$1&lt;&gt;"",F$1,"NA"),'MITRE ATT&amp;CK Mappings'!$E506)),ISNUMBER(SEARCH(IF(F$1&lt;&gt;"",F$1,"NA"),'MITRE ATT&amp;CK Mappings'!$F506))),ISNUMBER(SEARCH(IF(F$2&lt;&gt;"",F$2,"NA"),'MITRE ATT&amp;CK Mappings'!$G506))),ISNUMBER(SEARCH(IF(F$2&lt;&gt;"",F$2,"NA"),'MITRE ATT&amp;CK Mappings'!$H506))),ISNUMBER(SEARCH(IF(F$3&lt;&gt;"",F$3,"NA"),'MITRE ATT&amp;CK Mappings'!$I506))),ISNUMBER(SEARCH(IF(F$3&lt;&gt;"",F$3,"NA"),'MITRE ATT&amp;CK Mappings'!$J506))), 'MITRE ATT&amp;CK Mappings'!$B506,"")</f>
        <v/>
      </c>
      <c r="G510" s="26" t="str">
        <f>IF(OR(OR(OR(OR(OR(ISNUMBER(SEARCH(IF(G$1&lt;&gt;"",G$1,"NA"),'MITRE ATT&amp;CK Mappings'!$E506)),ISNUMBER(SEARCH(IF(G$1&lt;&gt;"",G$1,"NA"),'MITRE ATT&amp;CK Mappings'!$F506))),ISNUMBER(SEARCH(IF(G$2&lt;&gt;"",G$2,"NA"),'MITRE ATT&amp;CK Mappings'!$G506))),ISNUMBER(SEARCH(IF(G$2&lt;&gt;"",G$2,"NA"),'MITRE ATT&amp;CK Mappings'!$H506))),ISNUMBER(SEARCH(IF(G$3&lt;&gt;"",G$3,"NA"),'MITRE ATT&amp;CK Mappings'!$I506))),ISNUMBER(SEARCH(IF(G$3&lt;&gt;"",G$3,"NA"),'MITRE ATT&amp;CK Mappings'!$J506))), 'MITRE ATT&amp;CK Mappings'!$B506,"")</f>
        <v/>
      </c>
      <c r="H510" s="26" t="str">
        <f>IF(OR(OR(OR(OR(OR(ISNUMBER(SEARCH(IF(H$1&lt;&gt;"",H$1,"NA"),'MITRE ATT&amp;CK Mappings'!$E506)),ISNUMBER(SEARCH(IF(H$1&lt;&gt;"",H$1,"NA"),'MITRE ATT&amp;CK Mappings'!$F506))),ISNUMBER(SEARCH(IF(H$2&lt;&gt;"",H$2,"NA"),'MITRE ATT&amp;CK Mappings'!$G506))),ISNUMBER(SEARCH(IF(H$2&lt;&gt;"",H$2,"NA"),'MITRE ATT&amp;CK Mappings'!$H506))),ISNUMBER(SEARCH(IF(H$3&lt;&gt;"",H$3,"NA"),'MITRE ATT&amp;CK Mappings'!$I506))),ISNUMBER(SEARCH(IF(H$3&lt;&gt;"",H$3,"NA"),'MITRE ATT&amp;CK Mappings'!$J506))), 'MITRE ATT&amp;CK Mappings'!$B506,"")</f>
        <v/>
      </c>
      <c r="I510" s="26" t="str">
        <f>IF(OR(OR(OR(OR(OR(ISNUMBER(SEARCH(IF(I$1&lt;&gt;"",I$1,"NA"),'MITRE ATT&amp;CK Mappings'!$E506)),ISNUMBER(SEARCH(IF(I$1&lt;&gt;"",I$1,"NA"),'MITRE ATT&amp;CK Mappings'!$F506))),ISNUMBER(SEARCH(IF(I$2&lt;&gt;"",I$2,"NA"),'MITRE ATT&amp;CK Mappings'!$G506))),ISNUMBER(SEARCH(IF(I$2&lt;&gt;"",I$2,"NA"),'MITRE ATT&amp;CK Mappings'!$H506))),ISNUMBER(SEARCH(IF(I$3&lt;&gt;"",I$3,"NA"),'MITRE ATT&amp;CK Mappings'!$I506))),ISNUMBER(SEARCH(IF(I$3&lt;&gt;"",I$3,"NA"),'MITRE ATT&amp;CK Mappings'!$J506))), 'MITRE ATT&amp;CK Mappings'!$B506,"")</f>
        <v/>
      </c>
      <c r="J510" s="26" t="str">
        <f>IF(OR(OR(OR(OR(OR(ISNUMBER(SEARCH(IF(J$1&lt;&gt;"",J$1,"NA"),'MITRE ATT&amp;CK Mappings'!$E506)),ISNUMBER(SEARCH(IF(J$1&lt;&gt;"",J$1,"NA"),'MITRE ATT&amp;CK Mappings'!$F506))),ISNUMBER(SEARCH(IF(J$2&lt;&gt;"",J$2,"NA"),'MITRE ATT&amp;CK Mappings'!$G506))),ISNUMBER(SEARCH(IF(J$2&lt;&gt;"",J$2,"NA"),'MITRE ATT&amp;CK Mappings'!$H506))),ISNUMBER(SEARCH(IF(J$3&lt;&gt;"",J$3,"NA"),'MITRE ATT&amp;CK Mappings'!$I506))),ISNUMBER(SEARCH(IF(J$3&lt;&gt;"",J$3,"NA"),'MITRE ATT&amp;CK Mappings'!$J506))), 'MITRE ATT&amp;CK Mappings'!$B506,"")</f>
        <v/>
      </c>
      <c r="K510" s="26" t="str">
        <f>IF(OR(OR(OR(OR(OR(ISNUMBER(SEARCH(IF(K$1&lt;&gt;"",K$1,"NA"),'MITRE ATT&amp;CK Mappings'!$E506)),ISNUMBER(SEARCH(IF(K$1&lt;&gt;"",K$1,"NA"),'MITRE ATT&amp;CK Mappings'!$F506))),ISNUMBER(SEARCH(IF(K$2&lt;&gt;"",K$2,"NA"),'MITRE ATT&amp;CK Mappings'!$G506))),ISNUMBER(SEARCH(IF(K$2&lt;&gt;"",K$2,"NA"),'MITRE ATT&amp;CK Mappings'!$H506))),ISNUMBER(SEARCH(IF(K$3&lt;&gt;"",K$3,"NA"),'MITRE ATT&amp;CK Mappings'!$I506))),ISNUMBER(SEARCH(IF(K$3&lt;&gt;"",K$3,"NA"),'MITRE ATT&amp;CK Mappings'!$J506))), 'MITRE ATT&amp;CK Mappings'!$B506,"")</f>
        <v/>
      </c>
      <c r="L510" s="26" t="str">
        <f>IF('MITRE ATT&amp;CK Mappings'!D506 &lt;&gt;"",'MITRE ATT&amp;CK Mappings'!D506,"" )</f>
        <v/>
      </c>
    </row>
    <row r="511" spans="1:12" x14ac:dyDescent="0.25">
      <c r="A511" s="27" t="str">
        <f>IF(COUNTIF(B511:K511,"="&amp;'MITRE ATT&amp;CK Mappings'!B507)&gt;0,'MITRE ATT&amp;CK Mappings'!B507,"")</f>
        <v/>
      </c>
      <c r="B511" s="27" t="str">
        <f>IF(OR(OR(OR(OR(OR(ISNUMBER(SEARCH(IF(B$1&lt;&gt;"",B$1,"NA"),'MITRE ATT&amp;CK Mappings'!$E507)),ISNUMBER(SEARCH(IF(B$1&lt;&gt;"",B$1,"NA"),'MITRE ATT&amp;CK Mappings'!$F507))),ISNUMBER(SEARCH(IF(B$2&lt;&gt;"",B$2,"NA"),'MITRE ATT&amp;CK Mappings'!$G507))),ISNUMBER(SEARCH(IF(B$2&lt;&gt;"",B$2,"NA"),'MITRE ATT&amp;CK Mappings'!$H507))),ISNUMBER(SEARCH(IF(B$3&lt;&gt;"",B$3,"NA"),'MITRE ATT&amp;CK Mappings'!$I507))),ISNUMBER(SEARCH(IF(B$3&lt;&gt;"",B$3,"NA"),'MITRE ATT&amp;CK Mappings'!$J507))), 'MITRE ATT&amp;CK Mappings'!$B507,"")</f>
        <v/>
      </c>
      <c r="C511" s="27" t="str">
        <f>IF(OR(OR(OR(OR(OR(ISNUMBER(SEARCH(IF(C$1&lt;&gt;"",C$1,"NA"),'MITRE ATT&amp;CK Mappings'!$E507)),ISNUMBER(SEARCH(IF(C$1&lt;&gt;"",C$1,"NA"),'MITRE ATT&amp;CK Mappings'!$F507))),ISNUMBER(SEARCH(IF(C$2&lt;&gt;"",C$2,"NA"),'MITRE ATT&amp;CK Mappings'!$G507))),ISNUMBER(SEARCH(IF(C$2&lt;&gt;"",C$2,"NA"),'MITRE ATT&amp;CK Mappings'!$H507))),ISNUMBER(SEARCH(IF(C$3&lt;&gt;"",C$3,"NA"),'MITRE ATT&amp;CK Mappings'!$I507))),ISNUMBER(SEARCH(IF(C$3&lt;&gt;"",C$3,"NA"),'MITRE ATT&amp;CK Mappings'!$J507))), 'MITRE ATT&amp;CK Mappings'!$B507,"")</f>
        <v/>
      </c>
      <c r="D511" s="27" t="str">
        <f>IF(OR(OR(OR(OR(OR(ISNUMBER(SEARCH(IF(D$1&lt;&gt;"",D$1,"NA"),'MITRE ATT&amp;CK Mappings'!$E507)),ISNUMBER(SEARCH(IF(D$1&lt;&gt;"",D$1,"NA"),'MITRE ATT&amp;CK Mappings'!$F507))),ISNUMBER(SEARCH(IF(D$2&lt;&gt;"",D$2,"NA"),'MITRE ATT&amp;CK Mappings'!$G507))),ISNUMBER(SEARCH(IF(D$2&lt;&gt;"",D$2,"NA"),'MITRE ATT&amp;CK Mappings'!$H507))),ISNUMBER(SEARCH(IF(D$3&lt;&gt;"",D$3,"NA"),'MITRE ATT&amp;CK Mappings'!$I507))),ISNUMBER(SEARCH(IF(D$3&lt;&gt;"",D$3,"NA"),'MITRE ATT&amp;CK Mappings'!$J507))), 'MITRE ATT&amp;CK Mappings'!$B507,"")</f>
        <v/>
      </c>
      <c r="E511" s="27" t="str">
        <f>IF(OR(OR(OR(OR(OR(ISNUMBER(SEARCH(IF(E$1&lt;&gt;"",E$1,"NA"),'MITRE ATT&amp;CK Mappings'!$E507)),ISNUMBER(SEARCH(IF(E$1&lt;&gt;"",E$1,"NA"),'MITRE ATT&amp;CK Mappings'!$F507))),ISNUMBER(SEARCH(IF(E$2&lt;&gt;"",E$2,"NA"),'MITRE ATT&amp;CK Mappings'!$G507))),ISNUMBER(SEARCH(IF(E$2&lt;&gt;"",E$2,"NA"),'MITRE ATT&amp;CK Mappings'!$H507))),ISNUMBER(SEARCH(IF(E$3&lt;&gt;"",E$3,"NA"),'MITRE ATT&amp;CK Mappings'!$I507))),ISNUMBER(SEARCH(IF(E$3&lt;&gt;"",E$3,"NA"),'MITRE ATT&amp;CK Mappings'!$J507))), 'MITRE ATT&amp;CK Mappings'!$B507,"")</f>
        <v/>
      </c>
      <c r="F511" s="27" t="str">
        <f>IF(OR(OR(OR(OR(OR(ISNUMBER(SEARCH(IF(F$1&lt;&gt;"",F$1,"NA"),'MITRE ATT&amp;CK Mappings'!$E507)),ISNUMBER(SEARCH(IF(F$1&lt;&gt;"",F$1,"NA"),'MITRE ATT&amp;CK Mappings'!$F507))),ISNUMBER(SEARCH(IF(F$2&lt;&gt;"",F$2,"NA"),'MITRE ATT&amp;CK Mappings'!$G507))),ISNUMBER(SEARCH(IF(F$2&lt;&gt;"",F$2,"NA"),'MITRE ATT&amp;CK Mappings'!$H507))),ISNUMBER(SEARCH(IF(F$3&lt;&gt;"",F$3,"NA"),'MITRE ATT&amp;CK Mappings'!$I507))),ISNUMBER(SEARCH(IF(F$3&lt;&gt;"",F$3,"NA"),'MITRE ATT&amp;CK Mappings'!$J507))), 'MITRE ATT&amp;CK Mappings'!$B507,"")</f>
        <v/>
      </c>
      <c r="G511" s="27" t="str">
        <f>IF(OR(OR(OR(OR(OR(ISNUMBER(SEARCH(IF(G$1&lt;&gt;"",G$1,"NA"),'MITRE ATT&amp;CK Mappings'!$E507)),ISNUMBER(SEARCH(IF(G$1&lt;&gt;"",G$1,"NA"),'MITRE ATT&amp;CK Mappings'!$F507))),ISNUMBER(SEARCH(IF(G$2&lt;&gt;"",G$2,"NA"),'MITRE ATT&amp;CK Mappings'!$G507))),ISNUMBER(SEARCH(IF(G$2&lt;&gt;"",G$2,"NA"),'MITRE ATT&amp;CK Mappings'!$H507))),ISNUMBER(SEARCH(IF(G$3&lt;&gt;"",G$3,"NA"),'MITRE ATT&amp;CK Mappings'!$I507))),ISNUMBER(SEARCH(IF(G$3&lt;&gt;"",G$3,"NA"),'MITRE ATT&amp;CK Mappings'!$J507))), 'MITRE ATT&amp;CK Mappings'!$B507,"")</f>
        <v/>
      </c>
      <c r="H511" s="27" t="str">
        <f>IF(OR(OR(OR(OR(OR(ISNUMBER(SEARCH(IF(H$1&lt;&gt;"",H$1,"NA"),'MITRE ATT&amp;CK Mappings'!$E507)),ISNUMBER(SEARCH(IF(H$1&lt;&gt;"",H$1,"NA"),'MITRE ATT&amp;CK Mappings'!$F507))),ISNUMBER(SEARCH(IF(H$2&lt;&gt;"",H$2,"NA"),'MITRE ATT&amp;CK Mappings'!$G507))),ISNUMBER(SEARCH(IF(H$2&lt;&gt;"",H$2,"NA"),'MITRE ATT&amp;CK Mappings'!$H507))),ISNUMBER(SEARCH(IF(H$3&lt;&gt;"",H$3,"NA"),'MITRE ATT&amp;CK Mappings'!$I507))),ISNUMBER(SEARCH(IF(H$3&lt;&gt;"",H$3,"NA"),'MITRE ATT&amp;CK Mappings'!$J507))), 'MITRE ATT&amp;CK Mappings'!$B507,"")</f>
        <v/>
      </c>
      <c r="I511" s="27" t="str">
        <f>IF(OR(OR(OR(OR(OR(ISNUMBER(SEARCH(IF(I$1&lt;&gt;"",I$1,"NA"),'MITRE ATT&amp;CK Mappings'!$E507)),ISNUMBER(SEARCH(IF(I$1&lt;&gt;"",I$1,"NA"),'MITRE ATT&amp;CK Mappings'!$F507))),ISNUMBER(SEARCH(IF(I$2&lt;&gt;"",I$2,"NA"),'MITRE ATT&amp;CK Mappings'!$G507))),ISNUMBER(SEARCH(IF(I$2&lt;&gt;"",I$2,"NA"),'MITRE ATT&amp;CK Mappings'!$H507))),ISNUMBER(SEARCH(IF(I$3&lt;&gt;"",I$3,"NA"),'MITRE ATT&amp;CK Mappings'!$I507))),ISNUMBER(SEARCH(IF(I$3&lt;&gt;"",I$3,"NA"),'MITRE ATT&amp;CK Mappings'!$J507))), 'MITRE ATT&amp;CK Mappings'!$B507,"")</f>
        <v/>
      </c>
      <c r="J511" s="27" t="str">
        <f>IF(OR(OR(OR(OR(OR(ISNUMBER(SEARCH(IF(J$1&lt;&gt;"",J$1,"NA"),'MITRE ATT&amp;CK Mappings'!$E507)),ISNUMBER(SEARCH(IF(J$1&lt;&gt;"",J$1,"NA"),'MITRE ATT&amp;CK Mappings'!$F507))),ISNUMBER(SEARCH(IF(J$2&lt;&gt;"",J$2,"NA"),'MITRE ATT&amp;CK Mappings'!$G507))),ISNUMBER(SEARCH(IF(J$2&lt;&gt;"",J$2,"NA"),'MITRE ATT&amp;CK Mappings'!$H507))),ISNUMBER(SEARCH(IF(J$3&lt;&gt;"",J$3,"NA"),'MITRE ATT&amp;CK Mappings'!$I507))),ISNUMBER(SEARCH(IF(J$3&lt;&gt;"",J$3,"NA"),'MITRE ATT&amp;CK Mappings'!$J507))), 'MITRE ATT&amp;CK Mappings'!$B507,"")</f>
        <v/>
      </c>
      <c r="K511" s="27" t="str">
        <f>IF(OR(OR(OR(OR(OR(ISNUMBER(SEARCH(IF(K$1&lt;&gt;"",K$1,"NA"),'MITRE ATT&amp;CK Mappings'!$E507)),ISNUMBER(SEARCH(IF(K$1&lt;&gt;"",K$1,"NA"),'MITRE ATT&amp;CK Mappings'!$F507))),ISNUMBER(SEARCH(IF(K$2&lt;&gt;"",K$2,"NA"),'MITRE ATT&amp;CK Mappings'!$G507))),ISNUMBER(SEARCH(IF(K$2&lt;&gt;"",K$2,"NA"),'MITRE ATT&amp;CK Mappings'!$H507))),ISNUMBER(SEARCH(IF(K$3&lt;&gt;"",K$3,"NA"),'MITRE ATT&amp;CK Mappings'!$I507))),ISNUMBER(SEARCH(IF(K$3&lt;&gt;"",K$3,"NA"),'MITRE ATT&amp;CK Mappings'!$J507))), 'MITRE ATT&amp;CK Mappings'!$B507,"")</f>
        <v/>
      </c>
      <c r="L511" s="27" t="str">
        <f>IF('MITRE ATT&amp;CK Mappings'!D507 &lt;&gt;"",'MITRE ATT&amp;CK Mappings'!D507,"" )</f>
        <v/>
      </c>
    </row>
    <row r="512" spans="1:12" x14ac:dyDescent="0.25">
      <c r="A512" s="26" t="str">
        <f>IF(COUNTIF(B512:K512,"="&amp;'MITRE ATT&amp;CK Mappings'!B508)&gt;0,'MITRE ATT&amp;CK Mappings'!B508,"")</f>
        <v/>
      </c>
      <c r="B512" s="26" t="str">
        <f>IF(OR(OR(OR(OR(OR(ISNUMBER(SEARCH(IF(B$1&lt;&gt;"",B$1,"NA"),'MITRE ATT&amp;CK Mappings'!$E508)),ISNUMBER(SEARCH(IF(B$1&lt;&gt;"",B$1,"NA"),'MITRE ATT&amp;CK Mappings'!$F508))),ISNUMBER(SEARCH(IF(B$2&lt;&gt;"",B$2,"NA"),'MITRE ATT&amp;CK Mappings'!$G508))),ISNUMBER(SEARCH(IF(B$2&lt;&gt;"",B$2,"NA"),'MITRE ATT&amp;CK Mappings'!$H508))),ISNUMBER(SEARCH(IF(B$3&lt;&gt;"",B$3,"NA"),'MITRE ATT&amp;CK Mappings'!$I508))),ISNUMBER(SEARCH(IF(B$3&lt;&gt;"",B$3,"NA"),'MITRE ATT&amp;CK Mappings'!$J508))), 'MITRE ATT&amp;CK Mappings'!$B508,"")</f>
        <v/>
      </c>
      <c r="C512" s="26" t="str">
        <f>IF(OR(OR(OR(OR(OR(ISNUMBER(SEARCH(IF(C$1&lt;&gt;"",C$1,"NA"),'MITRE ATT&amp;CK Mappings'!$E508)),ISNUMBER(SEARCH(IF(C$1&lt;&gt;"",C$1,"NA"),'MITRE ATT&amp;CK Mappings'!$F508))),ISNUMBER(SEARCH(IF(C$2&lt;&gt;"",C$2,"NA"),'MITRE ATT&amp;CK Mappings'!$G508))),ISNUMBER(SEARCH(IF(C$2&lt;&gt;"",C$2,"NA"),'MITRE ATT&amp;CK Mappings'!$H508))),ISNUMBER(SEARCH(IF(C$3&lt;&gt;"",C$3,"NA"),'MITRE ATT&amp;CK Mappings'!$I508))),ISNUMBER(SEARCH(IF(C$3&lt;&gt;"",C$3,"NA"),'MITRE ATT&amp;CK Mappings'!$J508))), 'MITRE ATT&amp;CK Mappings'!$B508,"")</f>
        <v/>
      </c>
      <c r="D512" s="26" t="str">
        <f>IF(OR(OR(OR(OR(OR(ISNUMBER(SEARCH(IF(D$1&lt;&gt;"",D$1,"NA"),'MITRE ATT&amp;CK Mappings'!$E508)),ISNUMBER(SEARCH(IF(D$1&lt;&gt;"",D$1,"NA"),'MITRE ATT&amp;CK Mappings'!$F508))),ISNUMBER(SEARCH(IF(D$2&lt;&gt;"",D$2,"NA"),'MITRE ATT&amp;CK Mappings'!$G508))),ISNUMBER(SEARCH(IF(D$2&lt;&gt;"",D$2,"NA"),'MITRE ATT&amp;CK Mappings'!$H508))),ISNUMBER(SEARCH(IF(D$3&lt;&gt;"",D$3,"NA"),'MITRE ATT&amp;CK Mappings'!$I508))),ISNUMBER(SEARCH(IF(D$3&lt;&gt;"",D$3,"NA"),'MITRE ATT&amp;CK Mappings'!$J508))), 'MITRE ATT&amp;CK Mappings'!$B508,"")</f>
        <v/>
      </c>
      <c r="E512" s="26" t="str">
        <f>IF(OR(OR(OR(OR(OR(ISNUMBER(SEARCH(IF(E$1&lt;&gt;"",E$1,"NA"),'MITRE ATT&amp;CK Mappings'!$E508)),ISNUMBER(SEARCH(IF(E$1&lt;&gt;"",E$1,"NA"),'MITRE ATT&amp;CK Mappings'!$F508))),ISNUMBER(SEARCH(IF(E$2&lt;&gt;"",E$2,"NA"),'MITRE ATT&amp;CK Mappings'!$G508))),ISNUMBER(SEARCH(IF(E$2&lt;&gt;"",E$2,"NA"),'MITRE ATT&amp;CK Mappings'!$H508))),ISNUMBER(SEARCH(IF(E$3&lt;&gt;"",E$3,"NA"),'MITRE ATT&amp;CK Mappings'!$I508))),ISNUMBER(SEARCH(IF(E$3&lt;&gt;"",E$3,"NA"),'MITRE ATT&amp;CK Mappings'!$J508))), 'MITRE ATT&amp;CK Mappings'!$B508,"")</f>
        <v/>
      </c>
      <c r="F512" s="26" t="str">
        <f>IF(OR(OR(OR(OR(OR(ISNUMBER(SEARCH(IF(F$1&lt;&gt;"",F$1,"NA"),'MITRE ATT&amp;CK Mappings'!$E508)),ISNUMBER(SEARCH(IF(F$1&lt;&gt;"",F$1,"NA"),'MITRE ATT&amp;CK Mappings'!$F508))),ISNUMBER(SEARCH(IF(F$2&lt;&gt;"",F$2,"NA"),'MITRE ATT&amp;CK Mappings'!$G508))),ISNUMBER(SEARCH(IF(F$2&lt;&gt;"",F$2,"NA"),'MITRE ATT&amp;CK Mappings'!$H508))),ISNUMBER(SEARCH(IF(F$3&lt;&gt;"",F$3,"NA"),'MITRE ATT&amp;CK Mappings'!$I508))),ISNUMBER(SEARCH(IF(F$3&lt;&gt;"",F$3,"NA"),'MITRE ATT&amp;CK Mappings'!$J508))), 'MITRE ATT&amp;CK Mappings'!$B508,"")</f>
        <v/>
      </c>
      <c r="G512" s="26" t="str">
        <f>IF(OR(OR(OR(OR(OR(ISNUMBER(SEARCH(IF(G$1&lt;&gt;"",G$1,"NA"),'MITRE ATT&amp;CK Mappings'!$E508)),ISNUMBER(SEARCH(IF(G$1&lt;&gt;"",G$1,"NA"),'MITRE ATT&amp;CK Mappings'!$F508))),ISNUMBER(SEARCH(IF(G$2&lt;&gt;"",G$2,"NA"),'MITRE ATT&amp;CK Mappings'!$G508))),ISNUMBER(SEARCH(IF(G$2&lt;&gt;"",G$2,"NA"),'MITRE ATT&amp;CK Mappings'!$H508))),ISNUMBER(SEARCH(IF(G$3&lt;&gt;"",G$3,"NA"),'MITRE ATT&amp;CK Mappings'!$I508))),ISNUMBER(SEARCH(IF(G$3&lt;&gt;"",G$3,"NA"),'MITRE ATT&amp;CK Mappings'!$J508))), 'MITRE ATT&amp;CK Mappings'!$B508,"")</f>
        <v/>
      </c>
      <c r="H512" s="26" t="str">
        <f>IF(OR(OR(OR(OR(OR(ISNUMBER(SEARCH(IF(H$1&lt;&gt;"",H$1,"NA"),'MITRE ATT&amp;CK Mappings'!$E508)),ISNUMBER(SEARCH(IF(H$1&lt;&gt;"",H$1,"NA"),'MITRE ATT&amp;CK Mappings'!$F508))),ISNUMBER(SEARCH(IF(H$2&lt;&gt;"",H$2,"NA"),'MITRE ATT&amp;CK Mappings'!$G508))),ISNUMBER(SEARCH(IF(H$2&lt;&gt;"",H$2,"NA"),'MITRE ATT&amp;CK Mappings'!$H508))),ISNUMBER(SEARCH(IF(H$3&lt;&gt;"",H$3,"NA"),'MITRE ATT&amp;CK Mappings'!$I508))),ISNUMBER(SEARCH(IF(H$3&lt;&gt;"",H$3,"NA"),'MITRE ATT&amp;CK Mappings'!$J508))), 'MITRE ATT&amp;CK Mappings'!$B508,"")</f>
        <v/>
      </c>
      <c r="I512" s="26" t="str">
        <f>IF(OR(OR(OR(OR(OR(ISNUMBER(SEARCH(IF(I$1&lt;&gt;"",I$1,"NA"),'MITRE ATT&amp;CK Mappings'!$E508)),ISNUMBER(SEARCH(IF(I$1&lt;&gt;"",I$1,"NA"),'MITRE ATT&amp;CK Mappings'!$F508))),ISNUMBER(SEARCH(IF(I$2&lt;&gt;"",I$2,"NA"),'MITRE ATT&amp;CK Mappings'!$G508))),ISNUMBER(SEARCH(IF(I$2&lt;&gt;"",I$2,"NA"),'MITRE ATT&amp;CK Mappings'!$H508))),ISNUMBER(SEARCH(IF(I$3&lt;&gt;"",I$3,"NA"),'MITRE ATT&amp;CK Mappings'!$I508))),ISNUMBER(SEARCH(IF(I$3&lt;&gt;"",I$3,"NA"),'MITRE ATT&amp;CK Mappings'!$J508))), 'MITRE ATT&amp;CK Mappings'!$B508,"")</f>
        <v/>
      </c>
      <c r="J512" s="26" t="str">
        <f>IF(OR(OR(OR(OR(OR(ISNUMBER(SEARCH(IF(J$1&lt;&gt;"",J$1,"NA"),'MITRE ATT&amp;CK Mappings'!$E508)),ISNUMBER(SEARCH(IF(J$1&lt;&gt;"",J$1,"NA"),'MITRE ATT&amp;CK Mappings'!$F508))),ISNUMBER(SEARCH(IF(J$2&lt;&gt;"",J$2,"NA"),'MITRE ATT&amp;CK Mappings'!$G508))),ISNUMBER(SEARCH(IF(J$2&lt;&gt;"",J$2,"NA"),'MITRE ATT&amp;CK Mappings'!$H508))),ISNUMBER(SEARCH(IF(J$3&lt;&gt;"",J$3,"NA"),'MITRE ATT&amp;CK Mappings'!$I508))),ISNUMBER(SEARCH(IF(J$3&lt;&gt;"",J$3,"NA"),'MITRE ATT&amp;CK Mappings'!$J508))), 'MITRE ATT&amp;CK Mappings'!$B508,"")</f>
        <v/>
      </c>
      <c r="K512" s="26" t="str">
        <f>IF(OR(OR(OR(OR(OR(ISNUMBER(SEARCH(IF(K$1&lt;&gt;"",K$1,"NA"),'MITRE ATT&amp;CK Mappings'!$E508)),ISNUMBER(SEARCH(IF(K$1&lt;&gt;"",K$1,"NA"),'MITRE ATT&amp;CK Mappings'!$F508))),ISNUMBER(SEARCH(IF(K$2&lt;&gt;"",K$2,"NA"),'MITRE ATT&amp;CK Mappings'!$G508))),ISNUMBER(SEARCH(IF(K$2&lt;&gt;"",K$2,"NA"),'MITRE ATT&amp;CK Mappings'!$H508))),ISNUMBER(SEARCH(IF(K$3&lt;&gt;"",K$3,"NA"),'MITRE ATT&amp;CK Mappings'!$I508))),ISNUMBER(SEARCH(IF(K$3&lt;&gt;"",K$3,"NA"),'MITRE ATT&amp;CK Mappings'!$J508))), 'MITRE ATT&amp;CK Mappings'!$B508,"")</f>
        <v/>
      </c>
      <c r="L512" s="26" t="str">
        <f>IF('MITRE ATT&amp;CK Mappings'!D508 &lt;&gt;"",'MITRE ATT&amp;CK Mappings'!D508,"" )</f>
        <v/>
      </c>
    </row>
    <row r="513" spans="1:12" x14ac:dyDescent="0.25">
      <c r="A513" s="27" t="str">
        <f>IF(COUNTIF(B513:K513,"="&amp;'MITRE ATT&amp;CK Mappings'!B509)&gt;0,'MITRE ATT&amp;CK Mappings'!B509,"")</f>
        <v/>
      </c>
      <c r="B513" s="27" t="str">
        <f>IF(OR(OR(OR(OR(OR(ISNUMBER(SEARCH(IF(B$1&lt;&gt;"",B$1,"NA"),'MITRE ATT&amp;CK Mappings'!$E509)),ISNUMBER(SEARCH(IF(B$1&lt;&gt;"",B$1,"NA"),'MITRE ATT&amp;CK Mappings'!$F509))),ISNUMBER(SEARCH(IF(B$2&lt;&gt;"",B$2,"NA"),'MITRE ATT&amp;CK Mappings'!$G509))),ISNUMBER(SEARCH(IF(B$2&lt;&gt;"",B$2,"NA"),'MITRE ATT&amp;CK Mappings'!$H509))),ISNUMBER(SEARCH(IF(B$3&lt;&gt;"",B$3,"NA"),'MITRE ATT&amp;CK Mappings'!$I509))),ISNUMBER(SEARCH(IF(B$3&lt;&gt;"",B$3,"NA"),'MITRE ATT&amp;CK Mappings'!$J509))), 'MITRE ATT&amp;CK Mappings'!$B509,"")</f>
        <v/>
      </c>
      <c r="C513" s="27" t="str">
        <f>IF(OR(OR(OR(OR(OR(ISNUMBER(SEARCH(IF(C$1&lt;&gt;"",C$1,"NA"),'MITRE ATT&amp;CK Mappings'!$E509)),ISNUMBER(SEARCH(IF(C$1&lt;&gt;"",C$1,"NA"),'MITRE ATT&amp;CK Mappings'!$F509))),ISNUMBER(SEARCH(IF(C$2&lt;&gt;"",C$2,"NA"),'MITRE ATT&amp;CK Mappings'!$G509))),ISNUMBER(SEARCH(IF(C$2&lt;&gt;"",C$2,"NA"),'MITRE ATT&amp;CK Mappings'!$H509))),ISNUMBER(SEARCH(IF(C$3&lt;&gt;"",C$3,"NA"),'MITRE ATT&amp;CK Mappings'!$I509))),ISNUMBER(SEARCH(IF(C$3&lt;&gt;"",C$3,"NA"),'MITRE ATT&amp;CK Mappings'!$J509))), 'MITRE ATT&amp;CK Mappings'!$B509,"")</f>
        <v/>
      </c>
      <c r="D513" s="27" t="str">
        <f>IF(OR(OR(OR(OR(OR(ISNUMBER(SEARCH(IF(D$1&lt;&gt;"",D$1,"NA"),'MITRE ATT&amp;CK Mappings'!$E509)),ISNUMBER(SEARCH(IF(D$1&lt;&gt;"",D$1,"NA"),'MITRE ATT&amp;CK Mappings'!$F509))),ISNUMBER(SEARCH(IF(D$2&lt;&gt;"",D$2,"NA"),'MITRE ATT&amp;CK Mappings'!$G509))),ISNUMBER(SEARCH(IF(D$2&lt;&gt;"",D$2,"NA"),'MITRE ATT&amp;CK Mappings'!$H509))),ISNUMBER(SEARCH(IF(D$3&lt;&gt;"",D$3,"NA"),'MITRE ATT&amp;CK Mappings'!$I509))),ISNUMBER(SEARCH(IF(D$3&lt;&gt;"",D$3,"NA"),'MITRE ATT&amp;CK Mappings'!$J509))), 'MITRE ATT&amp;CK Mappings'!$B509,"")</f>
        <v/>
      </c>
      <c r="E513" s="27" t="str">
        <f>IF(OR(OR(OR(OR(OR(ISNUMBER(SEARCH(IF(E$1&lt;&gt;"",E$1,"NA"),'MITRE ATT&amp;CK Mappings'!$E509)),ISNUMBER(SEARCH(IF(E$1&lt;&gt;"",E$1,"NA"),'MITRE ATT&amp;CK Mappings'!$F509))),ISNUMBER(SEARCH(IF(E$2&lt;&gt;"",E$2,"NA"),'MITRE ATT&amp;CK Mappings'!$G509))),ISNUMBER(SEARCH(IF(E$2&lt;&gt;"",E$2,"NA"),'MITRE ATT&amp;CK Mappings'!$H509))),ISNUMBER(SEARCH(IF(E$3&lt;&gt;"",E$3,"NA"),'MITRE ATT&amp;CK Mappings'!$I509))),ISNUMBER(SEARCH(IF(E$3&lt;&gt;"",E$3,"NA"),'MITRE ATT&amp;CK Mappings'!$J509))), 'MITRE ATT&amp;CK Mappings'!$B509,"")</f>
        <v/>
      </c>
      <c r="F513" s="27" t="str">
        <f>IF(OR(OR(OR(OR(OR(ISNUMBER(SEARCH(IF(F$1&lt;&gt;"",F$1,"NA"),'MITRE ATT&amp;CK Mappings'!$E509)),ISNUMBER(SEARCH(IF(F$1&lt;&gt;"",F$1,"NA"),'MITRE ATT&amp;CK Mappings'!$F509))),ISNUMBER(SEARCH(IF(F$2&lt;&gt;"",F$2,"NA"),'MITRE ATT&amp;CK Mappings'!$G509))),ISNUMBER(SEARCH(IF(F$2&lt;&gt;"",F$2,"NA"),'MITRE ATT&amp;CK Mappings'!$H509))),ISNUMBER(SEARCH(IF(F$3&lt;&gt;"",F$3,"NA"),'MITRE ATT&amp;CK Mappings'!$I509))),ISNUMBER(SEARCH(IF(F$3&lt;&gt;"",F$3,"NA"),'MITRE ATT&amp;CK Mappings'!$J509))), 'MITRE ATT&amp;CK Mappings'!$B509,"")</f>
        <v/>
      </c>
      <c r="G513" s="27" t="str">
        <f>IF(OR(OR(OR(OR(OR(ISNUMBER(SEARCH(IF(G$1&lt;&gt;"",G$1,"NA"),'MITRE ATT&amp;CK Mappings'!$E509)),ISNUMBER(SEARCH(IF(G$1&lt;&gt;"",G$1,"NA"),'MITRE ATT&amp;CK Mappings'!$F509))),ISNUMBER(SEARCH(IF(G$2&lt;&gt;"",G$2,"NA"),'MITRE ATT&amp;CK Mappings'!$G509))),ISNUMBER(SEARCH(IF(G$2&lt;&gt;"",G$2,"NA"),'MITRE ATT&amp;CK Mappings'!$H509))),ISNUMBER(SEARCH(IF(G$3&lt;&gt;"",G$3,"NA"),'MITRE ATT&amp;CK Mappings'!$I509))),ISNUMBER(SEARCH(IF(G$3&lt;&gt;"",G$3,"NA"),'MITRE ATT&amp;CK Mappings'!$J509))), 'MITRE ATT&amp;CK Mappings'!$B509,"")</f>
        <v/>
      </c>
      <c r="H513" s="27" t="str">
        <f>IF(OR(OR(OR(OR(OR(ISNUMBER(SEARCH(IF(H$1&lt;&gt;"",H$1,"NA"),'MITRE ATT&amp;CK Mappings'!$E509)),ISNUMBER(SEARCH(IF(H$1&lt;&gt;"",H$1,"NA"),'MITRE ATT&amp;CK Mappings'!$F509))),ISNUMBER(SEARCH(IF(H$2&lt;&gt;"",H$2,"NA"),'MITRE ATT&amp;CK Mappings'!$G509))),ISNUMBER(SEARCH(IF(H$2&lt;&gt;"",H$2,"NA"),'MITRE ATT&amp;CK Mappings'!$H509))),ISNUMBER(SEARCH(IF(H$3&lt;&gt;"",H$3,"NA"),'MITRE ATT&amp;CK Mappings'!$I509))),ISNUMBER(SEARCH(IF(H$3&lt;&gt;"",H$3,"NA"),'MITRE ATT&amp;CK Mappings'!$J509))), 'MITRE ATT&amp;CK Mappings'!$B509,"")</f>
        <v/>
      </c>
      <c r="I513" s="27" t="str">
        <f>IF(OR(OR(OR(OR(OR(ISNUMBER(SEARCH(IF(I$1&lt;&gt;"",I$1,"NA"),'MITRE ATT&amp;CK Mappings'!$E509)),ISNUMBER(SEARCH(IF(I$1&lt;&gt;"",I$1,"NA"),'MITRE ATT&amp;CK Mappings'!$F509))),ISNUMBER(SEARCH(IF(I$2&lt;&gt;"",I$2,"NA"),'MITRE ATT&amp;CK Mappings'!$G509))),ISNUMBER(SEARCH(IF(I$2&lt;&gt;"",I$2,"NA"),'MITRE ATT&amp;CK Mappings'!$H509))),ISNUMBER(SEARCH(IF(I$3&lt;&gt;"",I$3,"NA"),'MITRE ATT&amp;CK Mappings'!$I509))),ISNUMBER(SEARCH(IF(I$3&lt;&gt;"",I$3,"NA"),'MITRE ATT&amp;CK Mappings'!$J509))), 'MITRE ATT&amp;CK Mappings'!$B509,"")</f>
        <v/>
      </c>
      <c r="J513" s="27" t="str">
        <f>IF(OR(OR(OR(OR(OR(ISNUMBER(SEARCH(IF(J$1&lt;&gt;"",J$1,"NA"),'MITRE ATT&amp;CK Mappings'!$E509)),ISNUMBER(SEARCH(IF(J$1&lt;&gt;"",J$1,"NA"),'MITRE ATT&amp;CK Mappings'!$F509))),ISNUMBER(SEARCH(IF(J$2&lt;&gt;"",J$2,"NA"),'MITRE ATT&amp;CK Mappings'!$G509))),ISNUMBER(SEARCH(IF(J$2&lt;&gt;"",J$2,"NA"),'MITRE ATT&amp;CK Mappings'!$H509))),ISNUMBER(SEARCH(IF(J$3&lt;&gt;"",J$3,"NA"),'MITRE ATT&amp;CK Mappings'!$I509))),ISNUMBER(SEARCH(IF(J$3&lt;&gt;"",J$3,"NA"),'MITRE ATT&amp;CK Mappings'!$J509))), 'MITRE ATT&amp;CK Mappings'!$B509,"")</f>
        <v/>
      </c>
      <c r="K513" s="27" t="str">
        <f>IF(OR(OR(OR(OR(OR(ISNUMBER(SEARCH(IF(K$1&lt;&gt;"",K$1,"NA"),'MITRE ATT&amp;CK Mappings'!$E509)),ISNUMBER(SEARCH(IF(K$1&lt;&gt;"",K$1,"NA"),'MITRE ATT&amp;CK Mappings'!$F509))),ISNUMBER(SEARCH(IF(K$2&lt;&gt;"",K$2,"NA"),'MITRE ATT&amp;CK Mappings'!$G509))),ISNUMBER(SEARCH(IF(K$2&lt;&gt;"",K$2,"NA"),'MITRE ATT&amp;CK Mappings'!$H509))),ISNUMBER(SEARCH(IF(K$3&lt;&gt;"",K$3,"NA"),'MITRE ATT&amp;CK Mappings'!$I509))),ISNUMBER(SEARCH(IF(K$3&lt;&gt;"",K$3,"NA"),'MITRE ATT&amp;CK Mappings'!$J509))), 'MITRE ATT&amp;CK Mappings'!$B509,"")</f>
        <v/>
      </c>
      <c r="L513" s="27" t="str">
        <f>IF('MITRE ATT&amp;CK Mappings'!D509 &lt;&gt;"",'MITRE ATT&amp;CK Mappings'!D509,"" )</f>
        <v/>
      </c>
    </row>
    <row r="514" spans="1:12" x14ac:dyDescent="0.25">
      <c r="A514" s="26" t="str">
        <f>IF(COUNTIF(B514:K514,"="&amp;'MITRE ATT&amp;CK Mappings'!B510)&gt;0,'MITRE ATT&amp;CK Mappings'!B510,"")</f>
        <v/>
      </c>
      <c r="B514" s="26" t="str">
        <f>IF(OR(OR(OR(OR(OR(ISNUMBER(SEARCH(IF(B$1&lt;&gt;"",B$1,"NA"),'MITRE ATT&amp;CK Mappings'!$E510)),ISNUMBER(SEARCH(IF(B$1&lt;&gt;"",B$1,"NA"),'MITRE ATT&amp;CK Mappings'!$F510))),ISNUMBER(SEARCH(IF(B$2&lt;&gt;"",B$2,"NA"),'MITRE ATT&amp;CK Mappings'!$G510))),ISNUMBER(SEARCH(IF(B$2&lt;&gt;"",B$2,"NA"),'MITRE ATT&amp;CK Mappings'!$H510))),ISNUMBER(SEARCH(IF(B$3&lt;&gt;"",B$3,"NA"),'MITRE ATT&amp;CK Mappings'!$I510))),ISNUMBER(SEARCH(IF(B$3&lt;&gt;"",B$3,"NA"),'MITRE ATT&amp;CK Mappings'!$J510))), 'MITRE ATT&amp;CK Mappings'!$B510,"")</f>
        <v/>
      </c>
      <c r="C514" s="26" t="str">
        <f>IF(OR(OR(OR(OR(OR(ISNUMBER(SEARCH(IF(C$1&lt;&gt;"",C$1,"NA"),'MITRE ATT&amp;CK Mappings'!$E510)),ISNUMBER(SEARCH(IF(C$1&lt;&gt;"",C$1,"NA"),'MITRE ATT&amp;CK Mappings'!$F510))),ISNUMBER(SEARCH(IF(C$2&lt;&gt;"",C$2,"NA"),'MITRE ATT&amp;CK Mappings'!$G510))),ISNUMBER(SEARCH(IF(C$2&lt;&gt;"",C$2,"NA"),'MITRE ATT&amp;CK Mappings'!$H510))),ISNUMBER(SEARCH(IF(C$3&lt;&gt;"",C$3,"NA"),'MITRE ATT&amp;CK Mappings'!$I510))),ISNUMBER(SEARCH(IF(C$3&lt;&gt;"",C$3,"NA"),'MITRE ATT&amp;CK Mappings'!$J510))), 'MITRE ATT&amp;CK Mappings'!$B510,"")</f>
        <v/>
      </c>
      <c r="D514" s="26" t="str">
        <f>IF(OR(OR(OR(OR(OR(ISNUMBER(SEARCH(IF(D$1&lt;&gt;"",D$1,"NA"),'MITRE ATT&amp;CK Mappings'!$E510)),ISNUMBER(SEARCH(IF(D$1&lt;&gt;"",D$1,"NA"),'MITRE ATT&amp;CK Mappings'!$F510))),ISNUMBER(SEARCH(IF(D$2&lt;&gt;"",D$2,"NA"),'MITRE ATT&amp;CK Mappings'!$G510))),ISNUMBER(SEARCH(IF(D$2&lt;&gt;"",D$2,"NA"),'MITRE ATT&amp;CK Mappings'!$H510))),ISNUMBER(SEARCH(IF(D$3&lt;&gt;"",D$3,"NA"),'MITRE ATT&amp;CK Mappings'!$I510))),ISNUMBER(SEARCH(IF(D$3&lt;&gt;"",D$3,"NA"),'MITRE ATT&amp;CK Mappings'!$J510))), 'MITRE ATT&amp;CK Mappings'!$B510,"")</f>
        <v/>
      </c>
      <c r="E514" s="26" t="str">
        <f>IF(OR(OR(OR(OR(OR(ISNUMBER(SEARCH(IF(E$1&lt;&gt;"",E$1,"NA"),'MITRE ATT&amp;CK Mappings'!$E510)),ISNUMBER(SEARCH(IF(E$1&lt;&gt;"",E$1,"NA"),'MITRE ATT&amp;CK Mappings'!$F510))),ISNUMBER(SEARCH(IF(E$2&lt;&gt;"",E$2,"NA"),'MITRE ATT&amp;CK Mappings'!$G510))),ISNUMBER(SEARCH(IF(E$2&lt;&gt;"",E$2,"NA"),'MITRE ATT&amp;CK Mappings'!$H510))),ISNUMBER(SEARCH(IF(E$3&lt;&gt;"",E$3,"NA"),'MITRE ATT&amp;CK Mappings'!$I510))),ISNUMBER(SEARCH(IF(E$3&lt;&gt;"",E$3,"NA"),'MITRE ATT&amp;CK Mappings'!$J510))), 'MITRE ATT&amp;CK Mappings'!$B510,"")</f>
        <v/>
      </c>
      <c r="F514" s="26" t="str">
        <f>IF(OR(OR(OR(OR(OR(ISNUMBER(SEARCH(IF(F$1&lt;&gt;"",F$1,"NA"),'MITRE ATT&amp;CK Mappings'!$E510)),ISNUMBER(SEARCH(IF(F$1&lt;&gt;"",F$1,"NA"),'MITRE ATT&amp;CK Mappings'!$F510))),ISNUMBER(SEARCH(IF(F$2&lt;&gt;"",F$2,"NA"),'MITRE ATT&amp;CK Mappings'!$G510))),ISNUMBER(SEARCH(IF(F$2&lt;&gt;"",F$2,"NA"),'MITRE ATT&amp;CK Mappings'!$H510))),ISNUMBER(SEARCH(IF(F$3&lt;&gt;"",F$3,"NA"),'MITRE ATT&amp;CK Mappings'!$I510))),ISNUMBER(SEARCH(IF(F$3&lt;&gt;"",F$3,"NA"),'MITRE ATT&amp;CK Mappings'!$J510))), 'MITRE ATT&amp;CK Mappings'!$B510,"")</f>
        <v/>
      </c>
      <c r="G514" s="26" t="str">
        <f>IF(OR(OR(OR(OR(OR(ISNUMBER(SEARCH(IF(G$1&lt;&gt;"",G$1,"NA"),'MITRE ATT&amp;CK Mappings'!$E510)),ISNUMBER(SEARCH(IF(G$1&lt;&gt;"",G$1,"NA"),'MITRE ATT&amp;CK Mappings'!$F510))),ISNUMBER(SEARCH(IF(G$2&lt;&gt;"",G$2,"NA"),'MITRE ATT&amp;CK Mappings'!$G510))),ISNUMBER(SEARCH(IF(G$2&lt;&gt;"",G$2,"NA"),'MITRE ATT&amp;CK Mappings'!$H510))),ISNUMBER(SEARCH(IF(G$3&lt;&gt;"",G$3,"NA"),'MITRE ATT&amp;CK Mappings'!$I510))),ISNUMBER(SEARCH(IF(G$3&lt;&gt;"",G$3,"NA"),'MITRE ATT&amp;CK Mappings'!$J510))), 'MITRE ATT&amp;CK Mappings'!$B510,"")</f>
        <v/>
      </c>
      <c r="H514" s="26" t="str">
        <f>IF(OR(OR(OR(OR(OR(ISNUMBER(SEARCH(IF(H$1&lt;&gt;"",H$1,"NA"),'MITRE ATT&amp;CK Mappings'!$E510)),ISNUMBER(SEARCH(IF(H$1&lt;&gt;"",H$1,"NA"),'MITRE ATT&amp;CK Mappings'!$F510))),ISNUMBER(SEARCH(IF(H$2&lt;&gt;"",H$2,"NA"),'MITRE ATT&amp;CK Mappings'!$G510))),ISNUMBER(SEARCH(IF(H$2&lt;&gt;"",H$2,"NA"),'MITRE ATT&amp;CK Mappings'!$H510))),ISNUMBER(SEARCH(IF(H$3&lt;&gt;"",H$3,"NA"),'MITRE ATT&amp;CK Mappings'!$I510))),ISNUMBER(SEARCH(IF(H$3&lt;&gt;"",H$3,"NA"),'MITRE ATT&amp;CK Mappings'!$J510))), 'MITRE ATT&amp;CK Mappings'!$B510,"")</f>
        <v/>
      </c>
      <c r="I514" s="26" t="str">
        <f>IF(OR(OR(OR(OR(OR(ISNUMBER(SEARCH(IF(I$1&lt;&gt;"",I$1,"NA"),'MITRE ATT&amp;CK Mappings'!$E510)),ISNUMBER(SEARCH(IF(I$1&lt;&gt;"",I$1,"NA"),'MITRE ATT&amp;CK Mappings'!$F510))),ISNUMBER(SEARCH(IF(I$2&lt;&gt;"",I$2,"NA"),'MITRE ATT&amp;CK Mappings'!$G510))),ISNUMBER(SEARCH(IF(I$2&lt;&gt;"",I$2,"NA"),'MITRE ATT&amp;CK Mappings'!$H510))),ISNUMBER(SEARCH(IF(I$3&lt;&gt;"",I$3,"NA"),'MITRE ATT&amp;CK Mappings'!$I510))),ISNUMBER(SEARCH(IF(I$3&lt;&gt;"",I$3,"NA"),'MITRE ATT&amp;CK Mappings'!$J510))), 'MITRE ATT&amp;CK Mappings'!$B510,"")</f>
        <v/>
      </c>
      <c r="J514" s="26" t="str">
        <f>IF(OR(OR(OR(OR(OR(ISNUMBER(SEARCH(IF(J$1&lt;&gt;"",J$1,"NA"),'MITRE ATT&amp;CK Mappings'!$E510)),ISNUMBER(SEARCH(IF(J$1&lt;&gt;"",J$1,"NA"),'MITRE ATT&amp;CK Mappings'!$F510))),ISNUMBER(SEARCH(IF(J$2&lt;&gt;"",J$2,"NA"),'MITRE ATT&amp;CK Mappings'!$G510))),ISNUMBER(SEARCH(IF(J$2&lt;&gt;"",J$2,"NA"),'MITRE ATT&amp;CK Mappings'!$H510))),ISNUMBER(SEARCH(IF(J$3&lt;&gt;"",J$3,"NA"),'MITRE ATT&amp;CK Mappings'!$I510))),ISNUMBER(SEARCH(IF(J$3&lt;&gt;"",J$3,"NA"),'MITRE ATT&amp;CK Mappings'!$J510))), 'MITRE ATT&amp;CK Mappings'!$B510,"")</f>
        <v/>
      </c>
      <c r="K514" s="26" t="str">
        <f>IF(OR(OR(OR(OR(OR(ISNUMBER(SEARCH(IF(K$1&lt;&gt;"",K$1,"NA"),'MITRE ATT&amp;CK Mappings'!$E510)),ISNUMBER(SEARCH(IF(K$1&lt;&gt;"",K$1,"NA"),'MITRE ATT&amp;CK Mappings'!$F510))),ISNUMBER(SEARCH(IF(K$2&lt;&gt;"",K$2,"NA"),'MITRE ATT&amp;CK Mappings'!$G510))),ISNUMBER(SEARCH(IF(K$2&lt;&gt;"",K$2,"NA"),'MITRE ATT&amp;CK Mappings'!$H510))),ISNUMBER(SEARCH(IF(K$3&lt;&gt;"",K$3,"NA"),'MITRE ATT&amp;CK Mappings'!$I510))),ISNUMBER(SEARCH(IF(K$3&lt;&gt;"",K$3,"NA"),'MITRE ATT&amp;CK Mappings'!$J510))), 'MITRE ATT&amp;CK Mappings'!$B510,"")</f>
        <v/>
      </c>
      <c r="L514" s="26" t="str">
        <f>IF('MITRE ATT&amp;CK Mappings'!D510 &lt;&gt;"",'MITRE ATT&amp;CK Mappings'!D510,"" )</f>
        <v/>
      </c>
    </row>
    <row r="515" spans="1:12" x14ac:dyDescent="0.25">
      <c r="A515" s="27" t="str">
        <f>IF(COUNTIF(B515:K515,"="&amp;'MITRE ATT&amp;CK Mappings'!B511)&gt;0,'MITRE ATT&amp;CK Mappings'!B511,"")</f>
        <v/>
      </c>
      <c r="B515" s="27" t="str">
        <f>IF(OR(OR(OR(OR(OR(ISNUMBER(SEARCH(IF(B$1&lt;&gt;"",B$1,"NA"),'MITRE ATT&amp;CK Mappings'!$E511)),ISNUMBER(SEARCH(IF(B$1&lt;&gt;"",B$1,"NA"),'MITRE ATT&amp;CK Mappings'!$F511))),ISNUMBER(SEARCH(IF(B$2&lt;&gt;"",B$2,"NA"),'MITRE ATT&amp;CK Mappings'!$G511))),ISNUMBER(SEARCH(IF(B$2&lt;&gt;"",B$2,"NA"),'MITRE ATT&amp;CK Mappings'!$H511))),ISNUMBER(SEARCH(IF(B$3&lt;&gt;"",B$3,"NA"),'MITRE ATT&amp;CK Mappings'!$I511))),ISNUMBER(SEARCH(IF(B$3&lt;&gt;"",B$3,"NA"),'MITRE ATT&amp;CK Mappings'!$J511))), 'MITRE ATT&amp;CK Mappings'!$B511,"")</f>
        <v/>
      </c>
      <c r="C515" s="27" t="str">
        <f>IF(OR(OR(OR(OR(OR(ISNUMBER(SEARCH(IF(C$1&lt;&gt;"",C$1,"NA"),'MITRE ATT&amp;CK Mappings'!$E511)),ISNUMBER(SEARCH(IF(C$1&lt;&gt;"",C$1,"NA"),'MITRE ATT&amp;CK Mappings'!$F511))),ISNUMBER(SEARCH(IF(C$2&lt;&gt;"",C$2,"NA"),'MITRE ATT&amp;CK Mappings'!$G511))),ISNUMBER(SEARCH(IF(C$2&lt;&gt;"",C$2,"NA"),'MITRE ATT&amp;CK Mappings'!$H511))),ISNUMBER(SEARCH(IF(C$3&lt;&gt;"",C$3,"NA"),'MITRE ATT&amp;CK Mappings'!$I511))),ISNUMBER(SEARCH(IF(C$3&lt;&gt;"",C$3,"NA"),'MITRE ATT&amp;CK Mappings'!$J511))), 'MITRE ATT&amp;CK Mappings'!$B511,"")</f>
        <v/>
      </c>
      <c r="D515" s="27" t="str">
        <f>IF(OR(OR(OR(OR(OR(ISNUMBER(SEARCH(IF(D$1&lt;&gt;"",D$1,"NA"),'MITRE ATT&amp;CK Mappings'!$E511)),ISNUMBER(SEARCH(IF(D$1&lt;&gt;"",D$1,"NA"),'MITRE ATT&amp;CK Mappings'!$F511))),ISNUMBER(SEARCH(IF(D$2&lt;&gt;"",D$2,"NA"),'MITRE ATT&amp;CK Mappings'!$G511))),ISNUMBER(SEARCH(IF(D$2&lt;&gt;"",D$2,"NA"),'MITRE ATT&amp;CK Mappings'!$H511))),ISNUMBER(SEARCH(IF(D$3&lt;&gt;"",D$3,"NA"),'MITRE ATT&amp;CK Mappings'!$I511))),ISNUMBER(SEARCH(IF(D$3&lt;&gt;"",D$3,"NA"),'MITRE ATT&amp;CK Mappings'!$J511))), 'MITRE ATT&amp;CK Mappings'!$B511,"")</f>
        <v/>
      </c>
      <c r="E515" s="27" t="str">
        <f>IF(OR(OR(OR(OR(OR(ISNUMBER(SEARCH(IF(E$1&lt;&gt;"",E$1,"NA"),'MITRE ATT&amp;CK Mappings'!$E511)),ISNUMBER(SEARCH(IF(E$1&lt;&gt;"",E$1,"NA"),'MITRE ATT&amp;CK Mappings'!$F511))),ISNUMBER(SEARCH(IF(E$2&lt;&gt;"",E$2,"NA"),'MITRE ATT&amp;CK Mappings'!$G511))),ISNUMBER(SEARCH(IF(E$2&lt;&gt;"",E$2,"NA"),'MITRE ATT&amp;CK Mappings'!$H511))),ISNUMBER(SEARCH(IF(E$3&lt;&gt;"",E$3,"NA"),'MITRE ATT&amp;CK Mappings'!$I511))),ISNUMBER(SEARCH(IF(E$3&lt;&gt;"",E$3,"NA"),'MITRE ATT&amp;CK Mappings'!$J511))), 'MITRE ATT&amp;CK Mappings'!$B511,"")</f>
        <v/>
      </c>
      <c r="F515" s="27" t="str">
        <f>IF(OR(OR(OR(OR(OR(ISNUMBER(SEARCH(IF(F$1&lt;&gt;"",F$1,"NA"),'MITRE ATT&amp;CK Mappings'!$E511)),ISNUMBER(SEARCH(IF(F$1&lt;&gt;"",F$1,"NA"),'MITRE ATT&amp;CK Mappings'!$F511))),ISNUMBER(SEARCH(IF(F$2&lt;&gt;"",F$2,"NA"),'MITRE ATT&amp;CK Mappings'!$G511))),ISNUMBER(SEARCH(IF(F$2&lt;&gt;"",F$2,"NA"),'MITRE ATT&amp;CK Mappings'!$H511))),ISNUMBER(SEARCH(IF(F$3&lt;&gt;"",F$3,"NA"),'MITRE ATT&amp;CK Mappings'!$I511))),ISNUMBER(SEARCH(IF(F$3&lt;&gt;"",F$3,"NA"),'MITRE ATT&amp;CK Mappings'!$J511))), 'MITRE ATT&amp;CK Mappings'!$B511,"")</f>
        <v/>
      </c>
      <c r="G515" s="27" t="str">
        <f>IF(OR(OR(OR(OR(OR(ISNUMBER(SEARCH(IF(G$1&lt;&gt;"",G$1,"NA"),'MITRE ATT&amp;CK Mappings'!$E511)),ISNUMBER(SEARCH(IF(G$1&lt;&gt;"",G$1,"NA"),'MITRE ATT&amp;CK Mappings'!$F511))),ISNUMBER(SEARCH(IF(G$2&lt;&gt;"",G$2,"NA"),'MITRE ATT&amp;CK Mappings'!$G511))),ISNUMBER(SEARCH(IF(G$2&lt;&gt;"",G$2,"NA"),'MITRE ATT&amp;CK Mappings'!$H511))),ISNUMBER(SEARCH(IF(G$3&lt;&gt;"",G$3,"NA"),'MITRE ATT&amp;CK Mappings'!$I511))),ISNUMBER(SEARCH(IF(G$3&lt;&gt;"",G$3,"NA"),'MITRE ATT&amp;CK Mappings'!$J511))), 'MITRE ATT&amp;CK Mappings'!$B511,"")</f>
        <v/>
      </c>
      <c r="H515" s="27" t="str">
        <f>IF(OR(OR(OR(OR(OR(ISNUMBER(SEARCH(IF(H$1&lt;&gt;"",H$1,"NA"),'MITRE ATT&amp;CK Mappings'!$E511)),ISNUMBER(SEARCH(IF(H$1&lt;&gt;"",H$1,"NA"),'MITRE ATT&amp;CK Mappings'!$F511))),ISNUMBER(SEARCH(IF(H$2&lt;&gt;"",H$2,"NA"),'MITRE ATT&amp;CK Mappings'!$G511))),ISNUMBER(SEARCH(IF(H$2&lt;&gt;"",H$2,"NA"),'MITRE ATT&amp;CK Mappings'!$H511))),ISNUMBER(SEARCH(IF(H$3&lt;&gt;"",H$3,"NA"),'MITRE ATT&amp;CK Mappings'!$I511))),ISNUMBER(SEARCH(IF(H$3&lt;&gt;"",H$3,"NA"),'MITRE ATT&amp;CK Mappings'!$J511))), 'MITRE ATT&amp;CK Mappings'!$B511,"")</f>
        <v/>
      </c>
      <c r="I515" s="27" t="str">
        <f>IF(OR(OR(OR(OR(OR(ISNUMBER(SEARCH(IF(I$1&lt;&gt;"",I$1,"NA"),'MITRE ATT&amp;CK Mappings'!$E511)),ISNUMBER(SEARCH(IF(I$1&lt;&gt;"",I$1,"NA"),'MITRE ATT&amp;CK Mappings'!$F511))),ISNUMBER(SEARCH(IF(I$2&lt;&gt;"",I$2,"NA"),'MITRE ATT&amp;CK Mappings'!$G511))),ISNUMBER(SEARCH(IF(I$2&lt;&gt;"",I$2,"NA"),'MITRE ATT&amp;CK Mappings'!$H511))),ISNUMBER(SEARCH(IF(I$3&lt;&gt;"",I$3,"NA"),'MITRE ATT&amp;CK Mappings'!$I511))),ISNUMBER(SEARCH(IF(I$3&lt;&gt;"",I$3,"NA"),'MITRE ATT&amp;CK Mappings'!$J511))), 'MITRE ATT&amp;CK Mappings'!$B511,"")</f>
        <v/>
      </c>
      <c r="J515" s="27" t="str">
        <f>IF(OR(OR(OR(OR(OR(ISNUMBER(SEARCH(IF(J$1&lt;&gt;"",J$1,"NA"),'MITRE ATT&amp;CK Mappings'!$E511)),ISNUMBER(SEARCH(IF(J$1&lt;&gt;"",J$1,"NA"),'MITRE ATT&amp;CK Mappings'!$F511))),ISNUMBER(SEARCH(IF(J$2&lt;&gt;"",J$2,"NA"),'MITRE ATT&amp;CK Mappings'!$G511))),ISNUMBER(SEARCH(IF(J$2&lt;&gt;"",J$2,"NA"),'MITRE ATT&amp;CK Mappings'!$H511))),ISNUMBER(SEARCH(IF(J$3&lt;&gt;"",J$3,"NA"),'MITRE ATT&amp;CK Mappings'!$I511))),ISNUMBER(SEARCH(IF(J$3&lt;&gt;"",J$3,"NA"),'MITRE ATT&amp;CK Mappings'!$J511))), 'MITRE ATT&amp;CK Mappings'!$B511,"")</f>
        <v/>
      </c>
      <c r="K515" s="27" t="str">
        <f>IF(OR(OR(OR(OR(OR(ISNUMBER(SEARCH(IF(K$1&lt;&gt;"",K$1,"NA"),'MITRE ATT&amp;CK Mappings'!$E511)),ISNUMBER(SEARCH(IF(K$1&lt;&gt;"",K$1,"NA"),'MITRE ATT&amp;CK Mappings'!$F511))),ISNUMBER(SEARCH(IF(K$2&lt;&gt;"",K$2,"NA"),'MITRE ATT&amp;CK Mappings'!$G511))),ISNUMBER(SEARCH(IF(K$2&lt;&gt;"",K$2,"NA"),'MITRE ATT&amp;CK Mappings'!$H511))),ISNUMBER(SEARCH(IF(K$3&lt;&gt;"",K$3,"NA"),'MITRE ATT&amp;CK Mappings'!$I511))),ISNUMBER(SEARCH(IF(K$3&lt;&gt;"",K$3,"NA"),'MITRE ATT&amp;CK Mappings'!$J511))), 'MITRE ATT&amp;CK Mappings'!$B511,"")</f>
        <v/>
      </c>
      <c r="L515" s="27" t="str">
        <f>IF('MITRE ATT&amp;CK Mappings'!D511 &lt;&gt;"",'MITRE ATT&amp;CK Mappings'!D511,"" )</f>
        <v/>
      </c>
    </row>
    <row r="516" spans="1:12" x14ac:dyDescent="0.25">
      <c r="A516" s="26" t="str">
        <f>IF(COUNTIF(B516:K516,"="&amp;'MITRE ATT&amp;CK Mappings'!B512)&gt;0,'MITRE ATT&amp;CK Mappings'!B512,"")</f>
        <v/>
      </c>
      <c r="B516" s="26" t="str">
        <f>IF(OR(OR(OR(OR(OR(ISNUMBER(SEARCH(IF(B$1&lt;&gt;"",B$1,"NA"),'MITRE ATT&amp;CK Mappings'!$E512)),ISNUMBER(SEARCH(IF(B$1&lt;&gt;"",B$1,"NA"),'MITRE ATT&amp;CK Mappings'!$F512))),ISNUMBER(SEARCH(IF(B$2&lt;&gt;"",B$2,"NA"),'MITRE ATT&amp;CK Mappings'!$G512))),ISNUMBER(SEARCH(IF(B$2&lt;&gt;"",B$2,"NA"),'MITRE ATT&amp;CK Mappings'!$H512))),ISNUMBER(SEARCH(IF(B$3&lt;&gt;"",B$3,"NA"),'MITRE ATT&amp;CK Mappings'!$I512))),ISNUMBER(SEARCH(IF(B$3&lt;&gt;"",B$3,"NA"),'MITRE ATT&amp;CK Mappings'!$J512))), 'MITRE ATT&amp;CK Mappings'!$B512,"")</f>
        <v/>
      </c>
      <c r="C516" s="26" t="str">
        <f>IF(OR(OR(OR(OR(OR(ISNUMBER(SEARCH(IF(C$1&lt;&gt;"",C$1,"NA"),'MITRE ATT&amp;CK Mappings'!$E512)),ISNUMBER(SEARCH(IF(C$1&lt;&gt;"",C$1,"NA"),'MITRE ATT&amp;CK Mappings'!$F512))),ISNUMBER(SEARCH(IF(C$2&lt;&gt;"",C$2,"NA"),'MITRE ATT&amp;CK Mappings'!$G512))),ISNUMBER(SEARCH(IF(C$2&lt;&gt;"",C$2,"NA"),'MITRE ATT&amp;CK Mappings'!$H512))),ISNUMBER(SEARCH(IF(C$3&lt;&gt;"",C$3,"NA"),'MITRE ATT&amp;CK Mappings'!$I512))),ISNUMBER(SEARCH(IF(C$3&lt;&gt;"",C$3,"NA"),'MITRE ATT&amp;CK Mappings'!$J512))), 'MITRE ATT&amp;CK Mappings'!$B512,"")</f>
        <v/>
      </c>
      <c r="D516" s="26" t="str">
        <f>IF(OR(OR(OR(OR(OR(ISNUMBER(SEARCH(IF(D$1&lt;&gt;"",D$1,"NA"),'MITRE ATT&amp;CK Mappings'!$E512)),ISNUMBER(SEARCH(IF(D$1&lt;&gt;"",D$1,"NA"),'MITRE ATT&amp;CK Mappings'!$F512))),ISNUMBER(SEARCH(IF(D$2&lt;&gt;"",D$2,"NA"),'MITRE ATT&amp;CK Mappings'!$G512))),ISNUMBER(SEARCH(IF(D$2&lt;&gt;"",D$2,"NA"),'MITRE ATT&amp;CK Mappings'!$H512))),ISNUMBER(SEARCH(IF(D$3&lt;&gt;"",D$3,"NA"),'MITRE ATT&amp;CK Mappings'!$I512))),ISNUMBER(SEARCH(IF(D$3&lt;&gt;"",D$3,"NA"),'MITRE ATT&amp;CK Mappings'!$J512))), 'MITRE ATT&amp;CK Mappings'!$B512,"")</f>
        <v/>
      </c>
      <c r="E516" s="26" t="str">
        <f>IF(OR(OR(OR(OR(OR(ISNUMBER(SEARCH(IF(E$1&lt;&gt;"",E$1,"NA"),'MITRE ATT&amp;CK Mappings'!$E512)),ISNUMBER(SEARCH(IF(E$1&lt;&gt;"",E$1,"NA"),'MITRE ATT&amp;CK Mappings'!$F512))),ISNUMBER(SEARCH(IF(E$2&lt;&gt;"",E$2,"NA"),'MITRE ATT&amp;CK Mappings'!$G512))),ISNUMBER(SEARCH(IF(E$2&lt;&gt;"",E$2,"NA"),'MITRE ATT&amp;CK Mappings'!$H512))),ISNUMBER(SEARCH(IF(E$3&lt;&gt;"",E$3,"NA"),'MITRE ATT&amp;CK Mappings'!$I512))),ISNUMBER(SEARCH(IF(E$3&lt;&gt;"",E$3,"NA"),'MITRE ATT&amp;CK Mappings'!$J512))), 'MITRE ATT&amp;CK Mappings'!$B512,"")</f>
        <v/>
      </c>
      <c r="F516" s="26" t="str">
        <f>IF(OR(OR(OR(OR(OR(ISNUMBER(SEARCH(IF(F$1&lt;&gt;"",F$1,"NA"),'MITRE ATT&amp;CK Mappings'!$E512)),ISNUMBER(SEARCH(IF(F$1&lt;&gt;"",F$1,"NA"),'MITRE ATT&amp;CK Mappings'!$F512))),ISNUMBER(SEARCH(IF(F$2&lt;&gt;"",F$2,"NA"),'MITRE ATT&amp;CK Mappings'!$G512))),ISNUMBER(SEARCH(IF(F$2&lt;&gt;"",F$2,"NA"),'MITRE ATT&amp;CK Mappings'!$H512))),ISNUMBER(SEARCH(IF(F$3&lt;&gt;"",F$3,"NA"),'MITRE ATT&amp;CK Mappings'!$I512))),ISNUMBER(SEARCH(IF(F$3&lt;&gt;"",F$3,"NA"),'MITRE ATT&amp;CK Mappings'!$J512))), 'MITRE ATT&amp;CK Mappings'!$B512,"")</f>
        <v/>
      </c>
      <c r="G516" s="26" t="str">
        <f>IF(OR(OR(OR(OR(OR(ISNUMBER(SEARCH(IF(G$1&lt;&gt;"",G$1,"NA"),'MITRE ATT&amp;CK Mappings'!$E512)),ISNUMBER(SEARCH(IF(G$1&lt;&gt;"",G$1,"NA"),'MITRE ATT&amp;CK Mappings'!$F512))),ISNUMBER(SEARCH(IF(G$2&lt;&gt;"",G$2,"NA"),'MITRE ATT&amp;CK Mappings'!$G512))),ISNUMBER(SEARCH(IF(G$2&lt;&gt;"",G$2,"NA"),'MITRE ATT&amp;CK Mappings'!$H512))),ISNUMBER(SEARCH(IF(G$3&lt;&gt;"",G$3,"NA"),'MITRE ATT&amp;CK Mappings'!$I512))),ISNUMBER(SEARCH(IF(G$3&lt;&gt;"",G$3,"NA"),'MITRE ATT&amp;CK Mappings'!$J512))), 'MITRE ATT&amp;CK Mappings'!$B512,"")</f>
        <v/>
      </c>
      <c r="H516" s="26" t="str">
        <f>IF(OR(OR(OR(OR(OR(ISNUMBER(SEARCH(IF(H$1&lt;&gt;"",H$1,"NA"),'MITRE ATT&amp;CK Mappings'!$E512)),ISNUMBER(SEARCH(IF(H$1&lt;&gt;"",H$1,"NA"),'MITRE ATT&amp;CK Mappings'!$F512))),ISNUMBER(SEARCH(IF(H$2&lt;&gt;"",H$2,"NA"),'MITRE ATT&amp;CK Mappings'!$G512))),ISNUMBER(SEARCH(IF(H$2&lt;&gt;"",H$2,"NA"),'MITRE ATT&amp;CK Mappings'!$H512))),ISNUMBER(SEARCH(IF(H$3&lt;&gt;"",H$3,"NA"),'MITRE ATT&amp;CK Mappings'!$I512))),ISNUMBER(SEARCH(IF(H$3&lt;&gt;"",H$3,"NA"),'MITRE ATT&amp;CK Mappings'!$J512))), 'MITRE ATT&amp;CK Mappings'!$B512,"")</f>
        <v/>
      </c>
      <c r="I516" s="26" t="str">
        <f>IF(OR(OR(OR(OR(OR(ISNUMBER(SEARCH(IF(I$1&lt;&gt;"",I$1,"NA"),'MITRE ATT&amp;CK Mappings'!$E512)),ISNUMBER(SEARCH(IF(I$1&lt;&gt;"",I$1,"NA"),'MITRE ATT&amp;CK Mappings'!$F512))),ISNUMBER(SEARCH(IF(I$2&lt;&gt;"",I$2,"NA"),'MITRE ATT&amp;CK Mappings'!$G512))),ISNUMBER(SEARCH(IF(I$2&lt;&gt;"",I$2,"NA"),'MITRE ATT&amp;CK Mappings'!$H512))),ISNUMBER(SEARCH(IF(I$3&lt;&gt;"",I$3,"NA"),'MITRE ATT&amp;CK Mappings'!$I512))),ISNUMBER(SEARCH(IF(I$3&lt;&gt;"",I$3,"NA"),'MITRE ATT&amp;CK Mappings'!$J512))), 'MITRE ATT&amp;CK Mappings'!$B512,"")</f>
        <v/>
      </c>
      <c r="J516" s="26" t="str">
        <f>IF(OR(OR(OR(OR(OR(ISNUMBER(SEARCH(IF(J$1&lt;&gt;"",J$1,"NA"),'MITRE ATT&amp;CK Mappings'!$E512)),ISNUMBER(SEARCH(IF(J$1&lt;&gt;"",J$1,"NA"),'MITRE ATT&amp;CK Mappings'!$F512))),ISNUMBER(SEARCH(IF(J$2&lt;&gt;"",J$2,"NA"),'MITRE ATT&amp;CK Mappings'!$G512))),ISNUMBER(SEARCH(IF(J$2&lt;&gt;"",J$2,"NA"),'MITRE ATT&amp;CK Mappings'!$H512))),ISNUMBER(SEARCH(IF(J$3&lt;&gt;"",J$3,"NA"),'MITRE ATT&amp;CK Mappings'!$I512))),ISNUMBER(SEARCH(IF(J$3&lt;&gt;"",J$3,"NA"),'MITRE ATT&amp;CK Mappings'!$J512))), 'MITRE ATT&amp;CK Mappings'!$B512,"")</f>
        <v/>
      </c>
      <c r="K516" s="26" t="str">
        <f>IF(OR(OR(OR(OR(OR(ISNUMBER(SEARCH(IF(K$1&lt;&gt;"",K$1,"NA"),'MITRE ATT&amp;CK Mappings'!$E512)),ISNUMBER(SEARCH(IF(K$1&lt;&gt;"",K$1,"NA"),'MITRE ATT&amp;CK Mappings'!$F512))),ISNUMBER(SEARCH(IF(K$2&lt;&gt;"",K$2,"NA"),'MITRE ATT&amp;CK Mappings'!$G512))),ISNUMBER(SEARCH(IF(K$2&lt;&gt;"",K$2,"NA"),'MITRE ATT&amp;CK Mappings'!$H512))),ISNUMBER(SEARCH(IF(K$3&lt;&gt;"",K$3,"NA"),'MITRE ATT&amp;CK Mappings'!$I512))),ISNUMBER(SEARCH(IF(K$3&lt;&gt;"",K$3,"NA"),'MITRE ATT&amp;CK Mappings'!$J512))), 'MITRE ATT&amp;CK Mappings'!$B512,"")</f>
        <v/>
      </c>
      <c r="L516" s="26" t="str">
        <f>IF('MITRE ATT&amp;CK Mappings'!D512 &lt;&gt;"",'MITRE ATT&amp;CK Mappings'!D512,"" )</f>
        <v/>
      </c>
    </row>
    <row r="517" spans="1:12" x14ac:dyDescent="0.25">
      <c r="A517" s="27" t="str">
        <f>IF(COUNTIF(B517:K517,"="&amp;'MITRE ATT&amp;CK Mappings'!B513)&gt;0,'MITRE ATT&amp;CK Mappings'!B513,"")</f>
        <v/>
      </c>
      <c r="B517" s="27" t="str">
        <f>IF(OR(OR(OR(OR(OR(ISNUMBER(SEARCH(IF(B$1&lt;&gt;"",B$1,"NA"),'MITRE ATT&amp;CK Mappings'!$E513)),ISNUMBER(SEARCH(IF(B$1&lt;&gt;"",B$1,"NA"),'MITRE ATT&amp;CK Mappings'!$F513))),ISNUMBER(SEARCH(IF(B$2&lt;&gt;"",B$2,"NA"),'MITRE ATT&amp;CK Mappings'!$G513))),ISNUMBER(SEARCH(IF(B$2&lt;&gt;"",B$2,"NA"),'MITRE ATT&amp;CK Mappings'!$H513))),ISNUMBER(SEARCH(IF(B$3&lt;&gt;"",B$3,"NA"),'MITRE ATT&amp;CK Mappings'!$I513))),ISNUMBER(SEARCH(IF(B$3&lt;&gt;"",B$3,"NA"),'MITRE ATT&amp;CK Mappings'!$J513))), 'MITRE ATT&amp;CK Mappings'!$B513,"")</f>
        <v/>
      </c>
      <c r="C517" s="27" t="str">
        <f>IF(OR(OR(OR(OR(OR(ISNUMBER(SEARCH(IF(C$1&lt;&gt;"",C$1,"NA"),'MITRE ATT&amp;CK Mappings'!$E513)),ISNUMBER(SEARCH(IF(C$1&lt;&gt;"",C$1,"NA"),'MITRE ATT&amp;CK Mappings'!$F513))),ISNUMBER(SEARCH(IF(C$2&lt;&gt;"",C$2,"NA"),'MITRE ATT&amp;CK Mappings'!$G513))),ISNUMBER(SEARCH(IF(C$2&lt;&gt;"",C$2,"NA"),'MITRE ATT&amp;CK Mappings'!$H513))),ISNUMBER(SEARCH(IF(C$3&lt;&gt;"",C$3,"NA"),'MITRE ATT&amp;CK Mappings'!$I513))),ISNUMBER(SEARCH(IF(C$3&lt;&gt;"",C$3,"NA"),'MITRE ATT&amp;CK Mappings'!$J513))), 'MITRE ATT&amp;CK Mappings'!$B513,"")</f>
        <v/>
      </c>
      <c r="D517" s="27" t="str">
        <f>IF(OR(OR(OR(OR(OR(ISNUMBER(SEARCH(IF(D$1&lt;&gt;"",D$1,"NA"),'MITRE ATT&amp;CK Mappings'!$E513)),ISNUMBER(SEARCH(IF(D$1&lt;&gt;"",D$1,"NA"),'MITRE ATT&amp;CK Mappings'!$F513))),ISNUMBER(SEARCH(IF(D$2&lt;&gt;"",D$2,"NA"),'MITRE ATT&amp;CK Mappings'!$G513))),ISNUMBER(SEARCH(IF(D$2&lt;&gt;"",D$2,"NA"),'MITRE ATT&amp;CK Mappings'!$H513))),ISNUMBER(SEARCH(IF(D$3&lt;&gt;"",D$3,"NA"),'MITRE ATT&amp;CK Mappings'!$I513))),ISNUMBER(SEARCH(IF(D$3&lt;&gt;"",D$3,"NA"),'MITRE ATT&amp;CK Mappings'!$J513))), 'MITRE ATT&amp;CK Mappings'!$B513,"")</f>
        <v/>
      </c>
      <c r="E517" s="27" t="str">
        <f>IF(OR(OR(OR(OR(OR(ISNUMBER(SEARCH(IF(E$1&lt;&gt;"",E$1,"NA"),'MITRE ATT&amp;CK Mappings'!$E513)),ISNUMBER(SEARCH(IF(E$1&lt;&gt;"",E$1,"NA"),'MITRE ATT&amp;CK Mappings'!$F513))),ISNUMBER(SEARCH(IF(E$2&lt;&gt;"",E$2,"NA"),'MITRE ATT&amp;CK Mappings'!$G513))),ISNUMBER(SEARCH(IF(E$2&lt;&gt;"",E$2,"NA"),'MITRE ATT&amp;CK Mappings'!$H513))),ISNUMBER(SEARCH(IF(E$3&lt;&gt;"",E$3,"NA"),'MITRE ATT&amp;CK Mappings'!$I513))),ISNUMBER(SEARCH(IF(E$3&lt;&gt;"",E$3,"NA"),'MITRE ATT&amp;CK Mappings'!$J513))), 'MITRE ATT&amp;CK Mappings'!$B513,"")</f>
        <v/>
      </c>
      <c r="F517" s="27" t="str">
        <f>IF(OR(OR(OR(OR(OR(ISNUMBER(SEARCH(IF(F$1&lt;&gt;"",F$1,"NA"),'MITRE ATT&amp;CK Mappings'!$E513)),ISNUMBER(SEARCH(IF(F$1&lt;&gt;"",F$1,"NA"),'MITRE ATT&amp;CK Mappings'!$F513))),ISNUMBER(SEARCH(IF(F$2&lt;&gt;"",F$2,"NA"),'MITRE ATT&amp;CK Mappings'!$G513))),ISNUMBER(SEARCH(IF(F$2&lt;&gt;"",F$2,"NA"),'MITRE ATT&amp;CK Mappings'!$H513))),ISNUMBER(SEARCH(IF(F$3&lt;&gt;"",F$3,"NA"),'MITRE ATT&amp;CK Mappings'!$I513))),ISNUMBER(SEARCH(IF(F$3&lt;&gt;"",F$3,"NA"),'MITRE ATT&amp;CK Mappings'!$J513))), 'MITRE ATT&amp;CK Mappings'!$B513,"")</f>
        <v/>
      </c>
      <c r="G517" s="27" t="str">
        <f>IF(OR(OR(OR(OR(OR(ISNUMBER(SEARCH(IF(G$1&lt;&gt;"",G$1,"NA"),'MITRE ATT&amp;CK Mappings'!$E513)),ISNUMBER(SEARCH(IF(G$1&lt;&gt;"",G$1,"NA"),'MITRE ATT&amp;CK Mappings'!$F513))),ISNUMBER(SEARCH(IF(G$2&lt;&gt;"",G$2,"NA"),'MITRE ATT&amp;CK Mappings'!$G513))),ISNUMBER(SEARCH(IF(G$2&lt;&gt;"",G$2,"NA"),'MITRE ATT&amp;CK Mappings'!$H513))),ISNUMBER(SEARCH(IF(G$3&lt;&gt;"",G$3,"NA"),'MITRE ATT&amp;CK Mappings'!$I513))),ISNUMBER(SEARCH(IF(G$3&lt;&gt;"",G$3,"NA"),'MITRE ATT&amp;CK Mappings'!$J513))), 'MITRE ATT&amp;CK Mappings'!$B513,"")</f>
        <v/>
      </c>
      <c r="H517" s="27" t="str">
        <f>IF(OR(OR(OR(OR(OR(ISNUMBER(SEARCH(IF(H$1&lt;&gt;"",H$1,"NA"),'MITRE ATT&amp;CK Mappings'!$E513)),ISNUMBER(SEARCH(IF(H$1&lt;&gt;"",H$1,"NA"),'MITRE ATT&amp;CK Mappings'!$F513))),ISNUMBER(SEARCH(IF(H$2&lt;&gt;"",H$2,"NA"),'MITRE ATT&amp;CK Mappings'!$G513))),ISNUMBER(SEARCH(IF(H$2&lt;&gt;"",H$2,"NA"),'MITRE ATT&amp;CK Mappings'!$H513))),ISNUMBER(SEARCH(IF(H$3&lt;&gt;"",H$3,"NA"),'MITRE ATT&amp;CK Mappings'!$I513))),ISNUMBER(SEARCH(IF(H$3&lt;&gt;"",H$3,"NA"),'MITRE ATT&amp;CK Mappings'!$J513))), 'MITRE ATT&amp;CK Mappings'!$B513,"")</f>
        <v/>
      </c>
      <c r="I517" s="27" t="str">
        <f>IF(OR(OR(OR(OR(OR(ISNUMBER(SEARCH(IF(I$1&lt;&gt;"",I$1,"NA"),'MITRE ATT&amp;CK Mappings'!$E513)),ISNUMBER(SEARCH(IF(I$1&lt;&gt;"",I$1,"NA"),'MITRE ATT&amp;CK Mappings'!$F513))),ISNUMBER(SEARCH(IF(I$2&lt;&gt;"",I$2,"NA"),'MITRE ATT&amp;CK Mappings'!$G513))),ISNUMBER(SEARCH(IF(I$2&lt;&gt;"",I$2,"NA"),'MITRE ATT&amp;CK Mappings'!$H513))),ISNUMBER(SEARCH(IF(I$3&lt;&gt;"",I$3,"NA"),'MITRE ATT&amp;CK Mappings'!$I513))),ISNUMBER(SEARCH(IF(I$3&lt;&gt;"",I$3,"NA"),'MITRE ATT&amp;CK Mappings'!$J513))), 'MITRE ATT&amp;CK Mappings'!$B513,"")</f>
        <v/>
      </c>
      <c r="J517" s="27" t="str">
        <f>IF(OR(OR(OR(OR(OR(ISNUMBER(SEARCH(IF(J$1&lt;&gt;"",J$1,"NA"),'MITRE ATT&amp;CK Mappings'!$E513)),ISNUMBER(SEARCH(IF(J$1&lt;&gt;"",J$1,"NA"),'MITRE ATT&amp;CK Mappings'!$F513))),ISNUMBER(SEARCH(IF(J$2&lt;&gt;"",J$2,"NA"),'MITRE ATT&amp;CK Mappings'!$G513))),ISNUMBER(SEARCH(IF(J$2&lt;&gt;"",J$2,"NA"),'MITRE ATT&amp;CK Mappings'!$H513))),ISNUMBER(SEARCH(IF(J$3&lt;&gt;"",J$3,"NA"),'MITRE ATT&amp;CK Mappings'!$I513))),ISNUMBER(SEARCH(IF(J$3&lt;&gt;"",J$3,"NA"),'MITRE ATT&amp;CK Mappings'!$J513))), 'MITRE ATT&amp;CK Mappings'!$B513,"")</f>
        <v/>
      </c>
      <c r="K517" s="27" t="str">
        <f>IF(OR(OR(OR(OR(OR(ISNUMBER(SEARCH(IF(K$1&lt;&gt;"",K$1,"NA"),'MITRE ATT&amp;CK Mappings'!$E513)),ISNUMBER(SEARCH(IF(K$1&lt;&gt;"",K$1,"NA"),'MITRE ATT&amp;CK Mappings'!$F513))),ISNUMBER(SEARCH(IF(K$2&lt;&gt;"",K$2,"NA"),'MITRE ATT&amp;CK Mappings'!$G513))),ISNUMBER(SEARCH(IF(K$2&lt;&gt;"",K$2,"NA"),'MITRE ATT&amp;CK Mappings'!$H513))),ISNUMBER(SEARCH(IF(K$3&lt;&gt;"",K$3,"NA"),'MITRE ATT&amp;CK Mappings'!$I513))),ISNUMBER(SEARCH(IF(K$3&lt;&gt;"",K$3,"NA"),'MITRE ATT&amp;CK Mappings'!$J513))), 'MITRE ATT&amp;CK Mappings'!$B513,"")</f>
        <v/>
      </c>
      <c r="L517" s="27" t="str">
        <f>IF('MITRE ATT&amp;CK Mappings'!D513 &lt;&gt;"",'MITRE ATT&amp;CK Mappings'!D513,"" )</f>
        <v/>
      </c>
    </row>
    <row r="518" spans="1:12" x14ac:dyDescent="0.25">
      <c r="A518" s="26" t="str">
        <f>IF(COUNTIF(B518:K518,"="&amp;'MITRE ATT&amp;CK Mappings'!B514)&gt;0,'MITRE ATT&amp;CK Mappings'!B514,"")</f>
        <v/>
      </c>
      <c r="B518" s="26" t="str">
        <f>IF(OR(OR(OR(OR(OR(ISNUMBER(SEARCH(IF(B$1&lt;&gt;"",B$1,"NA"),'MITRE ATT&amp;CK Mappings'!$E514)),ISNUMBER(SEARCH(IF(B$1&lt;&gt;"",B$1,"NA"),'MITRE ATT&amp;CK Mappings'!$F514))),ISNUMBER(SEARCH(IF(B$2&lt;&gt;"",B$2,"NA"),'MITRE ATT&amp;CK Mappings'!$G514))),ISNUMBER(SEARCH(IF(B$2&lt;&gt;"",B$2,"NA"),'MITRE ATT&amp;CK Mappings'!$H514))),ISNUMBER(SEARCH(IF(B$3&lt;&gt;"",B$3,"NA"),'MITRE ATT&amp;CK Mappings'!$I514))),ISNUMBER(SEARCH(IF(B$3&lt;&gt;"",B$3,"NA"),'MITRE ATT&amp;CK Mappings'!$J514))), 'MITRE ATT&amp;CK Mappings'!$B514,"")</f>
        <v/>
      </c>
      <c r="C518" s="26" t="str">
        <f>IF(OR(OR(OR(OR(OR(ISNUMBER(SEARCH(IF(C$1&lt;&gt;"",C$1,"NA"),'MITRE ATT&amp;CK Mappings'!$E514)),ISNUMBER(SEARCH(IF(C$1&lt;&gt;"",C$1,"NA"),'MITRE ATT&amp;CK Mappings'!$F514))),ISNUMBER(SEARCH(IF(C$2&lt;&gt;"",C$2,"NA"),'MITRE ATT&amp;CK Mappings'!$G514))),ISNUMBER(SEARCH(IF(C$2&lt;&gt;"",C$2,"NA"),'MITRE ATT&amp;CK Mappings'!$H514))),ISNUMBER(SEARCH(IF(C$3&lt;&gt;"",C$3,"NA"),'MITRE ATT&amp;CK Mappings'!$I514))),ISNUMBER(SEARCH(IF(C$3&lt;&gt;"",C$3,"NA"),'MITRE ATT&amp;CK Mappings'!$J514))), 'MITRE ATT&amp;CK Mappings'!$B514,"")</f>
        <v/>
      </c>
      <c r="D518" s="26" t="str">
        <f>IF(OR(OR(OR(OR(OR(ISNUMBER(SEARCH(IF(D$1&lt;&gt;"",D$1,"NA"),'MITRE ATT&amp;CK Mappings'!$E514)),ISNUMBER(SEARCH(IF(D$1&lt;&gt;"",D$1,"NA"),'MITRE ATT&amp;CK Mappings'!$F514))),ISNUMBER(SEARCH(IF(D$2&lt;&gt;"",D$2,"NA"),'MITRE ATT&amp;CK Mappings'!$G514))),ISNUMBER(SEARCH(IF(D$2&lt;&gt;"",D$2,"NA"),'MITRE ATT&amp;CK Mappings'!$H514))),ISNUMBER(SEARCH(IF(D$3&lt;&gt;"",D$3,"NA"),'MITRE ATT&amp;CK Mappings'!$I514))),ISNUMBER(SEARCH(IF(D$3&lt;&gt;"",D$3,"NA"),'MITRE ATT&amp;CK Mappings'!$J514))), 'MITRE ATT&amp;CK Mappings'!$B514,"")</f>
        <v/>
      </c>
      <c r="E518" s="26" t="str">
        <f>IF(OR(OR(OR(OR(OR(ISNUMBER(SEARCH(IF(E$1&lt;&gt;"",E$1,"NA"),'MITRE ATT&amp;CK Mappings'!$E514)),ISNUMBER(SEARCH(IF(E$1&lt;&gt;"",E$1,"NA"),'MITRE ATT&amp;CK Mappings'!$F514))),ISNUMBER(SEARCH(IF(E$2&lt;&gt;"",E$2,"NA"),'MITRE ATT&amp;CK Mappings'!$G514))),ISNUMBER(SEARCH(IF(E$2&lt;&gt;"",E$2,"NA"),'MITRE ATT&amp;CK Mappings'!$H514))),ISNUMBER(SEARCH(IF(E$3&lt;&gt;"",E$3,"NA"),'MITRE ATT&amp;CK Mappings'!$I514))),ISNUMBER(SEARCH(IF(E$3&lt;&gt;"",E$3,"NA"),'MITRE ATT&amp;CK Mappings'!$J514))), 'MITRE ATT&amp;CK Mappings'!$B514,"")</f>
        <v/>
      </c>
      <c r="F518" s="26" t="str">
        <f>IF(OR(OR(OR(OR(OR(ISNUMBER(SEARCH(IF(F$1&lt;&gt;"",F$1,"NA"),'MITRE ATT&amp;CK Mappings'!$E514)),ISNUMBER(SEARCH(IF(F$1&lt;&gt;"",F$1,"NA"),'MITRE ATT&amp;CK Mappings'!$F514))),ISNUMBER(SEARCH(IF(F$2&lt;&gt;"",F$2,"NA"),'MITRE ATT&amp;CK Mappings'!$G514))),ISNUMBER(SEARCH(IF(F$2&lt;&gt;"",F$2,"NA"),'MITRE ATT&amp;CK Mappings'!$H514))),ISNUMBER(SEARCH(IF(F$3&lt;&gt;"",F$3,"NA"),'MITRE ATT&amp;CK Mappings'!$I514))),ISNUMBER(SEARCH(IF(F$3&lt;&gt;"",F$3,"NA"),'MITRE ATT&amp;CK Mappings'!$J514))), 'MITRE ATT&amp;CK Mappings'!$B514,"")</f>
        <v/>
      </c>
      <c r="G518" s="26" t="str">
        <f>IF(OR(OR(OR(OR(OR(ISNUMBER(SEARCH(IF(G$1&lt;&gt;"",G$1,"NA"),'MITRE ATT&amp;CK Mappings'!$E514)),ISNUMBER(SEARCH(IF(G$1&lt;&gt;"",G$1,"NA"),'MITRE ATT&amp;CK Mappings'!$F514))),ISNUMBER(SEARCH(IF(G$2&lt;&gt;"",G$2,"NA"),'MITRE ATT&amp;CK Mappings'!$G514))),ISNUMBER(SEARCH(IF(G$2&lt;&gt;"",G$2,"NA"),'MITRE ATT&amp;CK Mappings'!$H514))),ISNUMBER(SEARCH(IF(G$3&lt;&gt;"",G$3,"NA"),'MITRE ATT&amp;CK Mappings'!$I514))),ISNUMBER(SEARCH(IF(G$3&lt;&gt;"",G$3,"NA"),'MITRE ATT&amp;CK Mappings'!$J514))), 'MITRE ATT&amp;CK Mappings'!$B514,"")</f>
        <v/>
      </c>
      <c r="H518" s="26" t="str">
        <f>IF(OR(OR(OR(OR(OR(ISNUMBER(SEARCH(IF(H$1&lt;&gt;"",H$1,"NA"),'MITRE ATT&amp;CK Mappings'!$E514)),ISNUMBER(SEARCH(IF(H$1&lt;&gt;"",H$1,"NA"),'MITRE ATT&amp;CK Mappings'!$F514))),ISNUMBER(SEARCH(IF(H$2&lt;&gt;"",H$2,"NA"),'MITRE ATT&amp;CK Mappings'!$G514))),ISNUMBER(SEARCH(IF(H$2&lt;&gt;"",H$2,"NA"),'MITRE ATT&amp;CK Mappings'!$H514))),ISNUMBER(SEARCH(IF(H$3&lt;&gt;"",H$3,"NA"),'MITRE ATT&amp;CK Mappings'!$I514))),ISNUMBER(SEARCH(IF(H$3&lt;&gt;"",H$3,"NA"),'MITRE ATT&amp;CK Mappings'!$J514))), 'MITRE ATT&amp;CK Mappings'!$B514,"")</f>
        <v/>
      </c>
      <c r="I518" s="26" t="str">
        <f>IF(OR(OR(OR(OR(OR(ISNUMBER(SEARCH(IF(I$1&lt;&gt;"",I$1,"NA"),'MITRE ATT&amp;CK Mappings'!$E514)),ISNUMBER(SEARCH(IF(I$1&lt;&gt;"",I$1,"NA"),'MITRE ATT&amp;CK Mappings'!$F514))),ISNUMBER(SEARCH(IF(I$2&lt;&gt;"",I$2,"NA"),'MITRE ATT&amp;CK Mappings'!$G514))),ISNUMBER(SEARCH(IF(I$2&lt;&gt;"",I$2,"NA"),'MITRE ATT&amp;CK Mappings'!$H514))),ISNUMBER(SEARCH(IF(I$3&lt;&gt;"",I$3,"NA"),'MITRE ATT&amp;CK Mappings'!$I514))),ISNUMBER(SEARCH(IF(I$3&lt;&gt;"",I$3,"NA"),'MITRE ATT&amp;CK Mappings'!$J514))), 'MITRE ATT&amp;CK Mappings'!$B514,"")</f>
        <v/>
      </c>
      <c r="J518" s="26" t="str">
        <f>IF(OR(OR(OR(OR(OR(ISNUMBER(SEARCH(IF(J$1&lt;&gt;"",J$1,"NA"),'MITRE ATT&amp;CK Mappings'!$E514)),ISNUMBER(SEARCH(IF(J$1&lt;&gt;"",J$1,"NA"),'MITRE ATT&amp;CK Mappings'!$F514))),ISNUMBER(SEARCH(IF(J$2&lt;&gt;"",J$2,"NA"),'MITRE ATT&amp;CK Mappings'!$G514))),ISNUMBER(SEARCH(IF(J$2&lt;&gt;"",J$2,"NA"),'MITRE ATT&amp;CK Mappings'!$H514))),ISNUMBER(SEARCH(IF(J$3&lt;&gt;"",J$3,"NA"),'MITRE ATT&amp;CK Mappings'!$I514))),ISNUMBER(SEARCH(IF(J$3&lt;&gt;"",J$3,"NA"),'MITRE ATT&amp;CK Mappings'!$J514))), 'MITRE ATT&amp;CK Mappings'!$B514,"")</f>
        <v/>
      </c>
      <c r="K518" s="26" t="str">
        <f>IF(OR(OR(OR(OR(OR(ISNUMBER(SEARCH(IF(K$1&lt;&gt;"",K$1,"NA"),'MITRE ATT&amp;CK Mappings'!$E514)),ISNUMBER(SEARCH(IF(K$1&lt;&gt;"",K$1,"NA"),'MITRE ATT&amp;CK Mappings'!$F514))),ISNUMBER(SEARCH(IF(K$2&lt;&gt;"",K$2,"NA"),'MITRE ATT&amp;CK Mappings'!$G514))),ISNUMBER(SEARCH(IF(K$2&lt;&gt;"",K$2,"NA"),'MITRE ATT&amp;CK Mappings'!$H514))),ISNUMBER(SEARCH(IF(K$3&lt;&gt;"",K$3,"NA"),'MITRE ATT&amp;CK Mappings'!$I514))),ISNUMBER(SEARCH(IF(K$3&lt;&gt;"",K$3,"NA"),'MITRE ATT&amp;CK Mappings'!$J514))), 'MITRE ATT&amp;CK Mappings'!$B514,"")</f>
        <v/>
      </c>
      <c r="L518" s="26" t="str">
        <f>IF('MITRE ATT&amp;CK Mappings'!D514 &lt;&gt;"",'MITRE ATT&amp;CK Mappings'!D514,"" )</f>
        <v/>
      </c>
    </row>
    <row r="519" spans="1:12" x14ac:dyDescent="0.25">
      <c r="A519" s="27" t="str">
        <f>IF(COUNTIF(B519:K519,"="&amp;'MITRE ATT&amp;CK Mappings'!B515)&gt;0,'MITRE ATT&amp;CK Mappings'!B515,"")</f>
        <v/>
      </c>
      <c r="B519" s="27" t="str">
        <f>IF(OR(OR(OR(OR(OR(ISNUMBER(SEARCH(IF(B$1&lt;&gt;"",B$1,"NA"),'MITRE ATT&amp;CK Mappings'!$E515)),ISNUMBER(SEARCH(IF(B$1&lt;&gt;"",B$1,"NA"),'MITRE ATT&amp;CK Mappings'!$F515))),ISNUMBER(SEARCH(IF(B$2&lt;&gt;"",B$2,"NA"),'MITRE ATT&amp;CK Mappings'!$G515))),ISNUMBER(SEARCH(IF(B$2&lt;&gt;"",B$2,"NA"),'MITRE ATT&amp;CK Mappings'!$H515))),ISNUMBER(SEARCH(IF(B$3&lt;&gt;"",B$3,"NA"),'MITRE ATT&amp;CK Mappings'!$I515))),ISNUMBER(SEARCH(IF(B$3&lt;&gt;"",B$3,"NA"),'MITRE ATT&amp;CK Mappings'!$J515))), 'MITRE ATT&amp;CK Mappings'!$B515,"")</f>
        <v/>
      </c>
      <c r="C519" s="27" t="str">
        <f>IF(OR(OR(OR(OR(OR(ISNUMBER(SEARCH(IF(C$1&lt;&gt;"",C$1,"NA"),'MITRE ATT&amp;CK Mappings'!$E515)),ISNUMBER(SEARCH(IF(C$1&lt;&gt;"",C$1,"NA"),'MITRE ATT&amp;CK Mappings'!$F515))),ISNUMBER(SEARCH(IF(C$2&lt;&gt;"",C$2,"NA"),'MITRE ATT&amp;CK Mappings'!$G515))),ISNUMBER(SEARCH(IF(C$2&lt;&gt;"",C$2,"NA"),'MITRE ATT&amp;CK Mappings'!$H515))),ISNUMBER(SEARCH(IF(C$3&lt;&gt;"",C$3,"NA"),'MITRE ATT&amp;CK Mappings'!$I515))),ISNUMBER(SEARCH(IF(C$3&lt;&gt;"",C$3,"NA"),'MITRE ATT&amp;CK Mappings'!$J515))), 'MITRE ATT&amp;CK Mappings'!$B515,"")</f>
        <v/>
      </c>
      <c r="D519" s="27" t="str">
        <f>IF(OR(OR(OR(OR(OR(ISNUMBER(SEARCH(IF(D$1&lt;&gt;"",D$1,"NA"),'MITRE ATT&amp;CK Mappings'!$E515)),ISNUMBER(SEARCH(IF(D$1&lt;&gt;"",D$1,"NA"),'MITRE ATT&amp;CK Mappings'!$F515))),ISNUMBER(SEARCH(IF(D$2&lt;&gt;"",D$2,"NA"),'MITRE ATT&amp;CK Mappings'!$G515))),ISNUMBER(SEARCH(IF(D$2&lt;&gt;"",D$2,"NA"),'MITRE ATT&amp;CK Mappings'!$H515))),ISNUMBER(SEARCH(IF(D$3&lt;&gt;"",D$3,"NA"),'MITRE ATT&amp;CK Mappings'!$I515))),ISNUMBER(SEARCH(IF(D$3&lt;&gt;"",D$3,"NA"),'MITRE ATT&amp;CK Mappings'!$J515))), 'MITRE ATT&amp;CK Mappings'!$B515,"")</f>
        <v/>
      </c>
      <c r="E519" s="27" t="str">
        <f>IF(OR(OR(OR(OR(OR(ISNUMBER(SEARCH(IF(E$1&lt;&gt;"",E$1,"NA"),'MITRE ATT&amp;CK Mappings'!$E515)),ISNUMBER(SEARCH(IF(E$1&lt;&gt;"",E$1,"NA"),'MITRE ATT&amp;CK Mappings'!$F515))),ISNUMBER(SEARCH(IF(E$2&lt;&gt;"",E$2,"NA"),'MITRE ATT&amp;CK Mappings'!$G515))),ISNUMBER(SEARCH(IF(E$2&lt;&gt;"",E$2,"NA"),'MITRE ATT&amp;CK Mappings'!$H515))),ISNUMBER(SEARCH(IF(E$3&lt;&gt;"",E$3,"NA"),'MITRE ATT&amp;CK Mappings'!$I515))),ISNUMBER(SEARCH(IF(E$3&lt;&gt;"",E$3,"NA"),'MITRE ATT&amp;CK Mappings'!$J515))), 'MITRE ATT&amp;CK Mappings'!$B515,"")</f>
        <v/>
      </c>
      <c r="F519" s="27" t="str">
        <f>IF(OR(OR(OR(OR(OR(ISNUMBER(SEARCH(IF(F$1&lt;&gt;"",F$1,"NA"),'MITRE ATT&amp;CK Mappings'!$E515)),ISNUMBER(SEARCH(IF(F$1&lt;&gt;"",F$1,"NA"),'MITRE ATT&amp;CK Mappings'!$F515))),ISNUMBER(SEARCH(IF(F$2&lt;&gt;"",F$2,"NA"),'MITRE ATT&amp;CK Mappings'!$G515))),ISNUMBER(SEARCH(IF(F$2&lt;&gt;"",F$2,"NA"),'MITRE ATT&amp;CK Mappings'!$H515))),ISNUMBER(SEARCH(IF(F$3&lt;&gt;"",F$3,"NA"),'MITRE ATT&amp;CK Mappings'!$I515))),ISNUMBER(SEARCH(IF(F$3&lt;&gt;"",F$3,"NA"),'MITRE ATT&amp;CK Mappings'!$J515))), 'MITRE ATT&amp;CK Mappings'!$B515,"")</f>
        <v/>
      </c>
      <c r="G519" s="27" t="str">
        <f>IF(OR(OR(OR(OR(OR(ISNUMBER(SEARCH(IF(G$1&lt;&gt;"",G$1,"NA"),'MITRE ATT&amp;CK Mappings'!$E515)),ISNUMBER(SEARCH(IF(G$1&lt;&gt;"",G$1,"NA"),'MITRE ATT&amp;CK Mappings'!$F515))),ISNUMBER(SEARCH(IF(G$2&lt;&gt;"",G$2,"NA"),'MITRE ATT&amp;CK Mappings'!$G515))),ISNUMBER(SEARCH(IF(G$2&lt;&gt;"",G$2,"NA"),'MITRE ATT&amp;CK Mappings'!$H515))),ISNUMBER(SEARCH(IF(G$3&lt;&gt;"",G$3,"NA"),'MITRE ATT&amp;CK Mappings'!$I515))),ISNUMBER(SEARCH(IF(G$3&lt;&gt;"",G$3,"NA"),'MITRE ATT&amp;CK Mappings'!$J515))), 'MITRE ATT&amp;CK Mappings'!$B515,"")</f>
        <v/>
      </c>
      <c r="H519" s="27" t="str">
        <f>IF(OR(OR(OR(OR(OR(ISNUMBER(SEARCH(IF(H$1&lt;&gt;"",H$1,"NA"),'MITRE ATT&amp;CK Mappings'!$E515)),ISNUMBER(SEARCH(IF(H$1&lt;&gt;"",H$1,"NA"),'MITRE ATT&amp;CK Mappings'!$F515))),ISNUMBER(SEARCH(IF(H$2&lt;&gt;"",H$2,"NA"),'MITRE ATT&amp;CK Mappings'!$G515))),ISNUMBER(SEARCH(IF(H$2&lt;&gt;"",H$2,"NA"),'MITRE ATT&amp;CK Mappings'!$H515))),ISNUMBER(SEARCH(IF(H$3&lt;&gt;"",H$3,"NA"),'MITRE ATT&amp;CK Mappings'!$I515))),ISNUMBER(SEARCH(IF(H$3&lt;&gt;"",H$3,"NA"),'MITRE ATT&amp;CK Mappings'!$J515))), 'MITRE ATT&amp;CK Mappings'!$B515,"")</f>
        <v/>
      </c>
      <c r="I519" s="27" t="str">
        <f>IF(OR(OR(OR(OR(OR(ISNUMBER(SEARCH(IF(I$1&lt;&gt;"",I$1,"NA"),'MITRE ATT&amp;CK Mappings'!$E515)),ISNUMBER(SEARCH(IF(I$1&lt;&gt;"",I$1,"NA"),'MITRE ATT&amp;CK Mappings'!$F515))),ISNUMBER(SEARCH(IF(I$2&lt;&gt;"",I$2,"NA"),'MITRE ATT&amp;CK Mappings'!$G515))),ISNUMBER(SEARCH(IF(I$2&lt;&gt;"",I$2,"NA"),'MITRE ATT&amp;CK Mappings'!$H515))),ISNUMBER(SEARCH(IF(I$3&lt;&gt;"",I$3,"NA"),'MITRE ATT&amp;CK Mappings'!$I515))),ISNUMBER(SEARCH(IF(I$3&lt;&gt;"",I$3,"NA"),'MITRE ATT&amp;CK Mappings'!$J515))), 'MITRE ATT&amp;CK Mappings'!$B515,"")</f>
        <v/>
      </c>
      <c r="J519" s="27" t="str">
        <f>IF(OR(OR(OR(OR(OR(ISNUMBER(SEARCH(IF(J$1&lt;&gt;"",J$1,"NA"),'MITRE ATT&amp;CK Mappings'!$E515)),ISNUMBER(SEARCH(IF(J$1&lt;&gt;"",J$1,"NA"),'MITRE ATT&amp;CK Mappings'!$F515))),ISNUMBER(SEARCH(IF(J$2&lt;&gt;"",J$2,"NA"),'MITRE ATT&amp;CK Mappings'!$G515))),ISNUMBER(SEARCH(IF(J$2&lt;&gt;"",J$2,"NA"),'MITRE ATT&amp;CK Mappings'!$H515))),ISNUMBER(SEARCH(IF(J$3&lt;&gt;"",J$3,"NA"),'MITRE ATT&amp;CK Mappings'!$I515))),ISNUMBER(SEARCH(IF(J$3&lt;&gt;"",J$3,"NA"),'MITRE ATT&amp;CK Mappings'!$J515))), 'MITRE ATT&amp;CK Mappings'!$B515,"")</f>
        <v/>
      </c>
      <c r="K519" s="27" t="str">
        <f>IF(OR(OR(OR(OR(OR(ISNUMBER(SEARCH(IF(K$1&lt;&gt;"",K$1,"NA"),'MITRE ATT&amp;CK Mappings'!$E515)),ISNUMBER(SEARCH(IF(K$1&lt;&gt;"",K$1,"NA"),'MITRE ATT&amp;CK Mappings'!$F515))),ISNUMBER(SEARCH(IF(K$2&lt;&gt;"",K$2,"NA"),'MITRE ATT&amp;CK Mappings'!$G515))),ISNUMBER(SEARCH(IF(K$2&lt;&gt;"",K$2,"NA"),'MITRE ATT&amp;CK Mappings'!$H515))),ISNUMBER(SEARCH(IF(K$3&lt;&gt;"",K$3,"NA"),'MITRE ATT&amp;CK Mappings'!$I515))),ISNUMBER(SEARCH(IF(K$3&lt;&gt;"",K$3,"NA"),'MITRE ATT&amp;CK Mappings'!$J515))), 'MITRE ATT&amp;CK Mappings'!$B515,"")</f>
        <v/>
      </c>
      <c r="L519" s="27" t="str">
        <f>IF('MITRE ATT&amp;CK Mappings'!D515 &lt;&gt;"",'MITRE ATT&amp;CK Mappings'!D515,"" )</f>
        <v/>
      </c>
    </row>
    <row r="520" spans="1:12" x14ac:dyDescent="0.25">
      <c r="A520" s="26" t="str">
        <f>IF(COUNTIF(B520:K520,"="&amp;'MITRE ATT&amp;CK Mappings'!B516)&gt;0,'MITRE ATT&amp;CK Mappings'!B516,"")</f>
        <v/>
      </c>
      <c r="B520" s="26" t="str">
        <f>IF(OR(OR(OR(OR(OR(ISNUMBER(SEARCH(IF(B$1&lt;&gt;"",B$1,"NA"),'MITRE ATT&amp;CK Mappings'!$E516)),ISNUMBER(SEARCH(IF(B$1&lt;&gt;"",B$1,"NA"),'MITRE ATT&amp;CK Mappings'!$F516))),ISNUMBER(SEARCH(IF(B$2&lt;&gt;"",B$2,"NA"),'MITRE ATT&amp;CK Mappings'!$G516))),ISNUMBER(SEARCH(IF(B$2&lt;&gt;"",B$2,"NA"),'MITRE ATT&amp;CK Mappings'!$H516))),ISNUMBER(SEARCH(IF(B$3&lt;&gt;"",B$3,"NA"),'MITRE ATT&amp;CK Mappings'!$I516))),ISNUMBER(SEARCH(IF(B$3&lt;&gt;"",B$3,"NA"),'MITRE ATT&amp;CK Mappings'!$J516))), 'MITRE ATT&amp;CK Mappings'!$B516,"")</f>
        <v/>
      </c>
      <c r="C520" s="26" t="str">
        <f>IF(OR(OR(OR(OR(OR(ISNUMBER(SEARCH(IF(C$1&lt;&gt;"",C$1,"NA"),'MITRE ATT&amp;CK Mappings'!$E516)),ISNUMBER(SEARCH(IF(C$1&lt;&gt;"",C$1,"NA"),'MITRE ATT&amp;CK Mappings'!$F516))),ISNUMBER(SEARCH(IF(C$2&lt;&gt;"",C$2,"NA"),'MITRE ATT&amp;CK Mappings'!$G516))),ISNUMBER(SEARCH(IF(C$2&lt;&gt;"",C$2,"NA"),'MITRE ATT&amp;CK Mappings'!$H516))),ISNUMBER(SEARCH(IF(C$3&lt;&gt;"",C$3,"NA"),'MITRE ATT&amp;CK Mappings'!$I516))),ISNUMBER(SEARCH(IF(C$3&lt;&gt;"",C$3,"NA"),'MITRE ATT&amp;CK Mappings'!$J516))), 'MITRE ATT&amp;CK Mappings'!$B516,"")</f>
        <v/>
      </c>
      <c r="D520" s="26" t="str">
        <f>IF(OR(OR(OR(OR(OR(ISNUMBER(SEARCH(IF(D$1&lt;&gt;"",D$1,"NA"),'MITRE ATT&amp;CK Mappings'!$E516)),ISNUMBER(SEARCH(IF(D$1&lt;&gt;"",D$1,"NA"),'MITRE ATT&amp;CK Mappings'!$F516))),ISNUMBER(SEARCH(IF(D$2&lt;&gt;"",D$2,"NA"),'MITRE ATT&amp;CK Mappings'!$G516))),ISNUMBER(SEARCH(IF(D$2&lt;&gt;"",D$2,"NA"),'MITRE ATT&amp;CK Mappings'!$H516))),ISNUMBER(SEARCH(IF(D$3&lt;&gt;"",D$3,"NA"),'MITRE ATT&amp;CK Mappings'!$I516))),ISNUMBER(SEARCH(IF(D$3&lt;&gt;"",D$3,"NA"),'MITRE ATT&amp;CK Mappings'!$J516))), 'MITRE ATT&amp;CK Mappings'!$B516,"")</f>
        <v/>
      </c>
      <c r="E520" s="26" t="str">
        <f>IF(OR(OR(OR(OR(OR(ISNUMBER(SEARCH(IF(E$1&lt;&gt;"",E$1,"NA"),'MITRE ATT&amp;CK Mappings'!$E516)),ISNUMBER(SEARCH(IF(E$1&lt;&gt;"",E$1,"NA"),'MITRE ATT&amp;CK Mappings'!$F516))),ISNUMBER(SEARCH(IF(E$2&lt;&gt;"",E$2,"NA"),'MITRE ATT&amp;CK Mappings'!$G516))),ISNUMBER(SEARCH(IF(E$2&lt;&gt;"",E$2,"NA"),'MITRE ATT&amp;CK Mappings'!$H516))),ISNUMBER(SEARCH(IF(E$3&lt;&gt;"",E$3,"NA"),'MITRE ATT&amp;CK Mappings'!$I516))),ISNUMBER(SEARCH(IF(E$3&lt;&gt;"",E$3,"NA"),'MITRE ATT&amp;CK Mappings'!$J516))), 'MITRE ATT&amp;CK Mappings'!$B516,"")</f>
        <v/>
      </c>
      <c r="F520" s="26" t="str">
        <f>IF(OR(OR(OR(OR(OR(ISNUMBER(SEARCH(IF(F$1&lt;&gt;"",F$1,"NA"),'MITRE ATT&amp;CK Mappings'!$E516)),ISNUMBER(SEARCH(IF(F$1&lt;&gt;"",F$1,"NA"),'MITRE ATT&amp;CK Mappings'!$F516))),ISNUMBER(SEARCH(IF(F$2&lt;&gt;"",F$2,"NA"),'MITRE ATT&amp;CK Mappings'!$G516))),ISNUMBER(SEARCH(IF(F$2&lt;&gt;"",F$2,"NA"),'MITRE ATT&amp;CK Mappings'!$H516))),ISNUMBER(SEARCH(IF(F$3&lt;&gt;"",F$3,"NA"),'MITRE ATT&amp;CK Mappings'!$I516))),ISNUMBER(SEARCH(IF(F$3&lt;&gt;"",F$3,"NA"),'MITRE ATT&amp;CK Mappings'!$J516))), 'MITRE ATT&amp;CK Mappings'!$B516,"")</f>
        <v/>
      </c>
      <c r="G520" s="26" t="str">
        <f>IF(OR(OR(OR(OR(OR(ISNUMBER(SEARCH(IF(G$1&lt;&gt;"",G$1,"NA"),'MITRE ATT&amp;CK Mappings'!$E516)),ISNUMBER(SEARCH(IF(G$1&lt;&gt;"",G$1,"NA"),'MITRE ATT&amp;CK Mappings'!$F516))),ISNUMBER(SEARCH(IF(G$2&lt;&gt;"",G$2,"NA"),'MITRE ATT&amp;CK Mappings'!$G516))),ISNUMBER(SEARCH(IF(G$2&lt;&gt;"",G$2,"NA"),'MITRE ATT&amp;CK Mappings'!$H516))),ISNUMBER(SEARCH(IF(G$3&lt;&gt;"",G$3,"NA"),'MITRE ATT&amp;CK Mappings'!$I516))),ISNUMBER(SEARCH(IF(G$3&lt;&gt;"",G$3,"NA"),'MITRE ATT&amp;CK Mappings'!$J516))), 'MITRE ATT&amp;CK Mappings'!$B516,"")</f>
        <v/>
      </c>
      <c r="H520" s="26" t="str">
        <f>IF(OR(OR(OR(OR(OR(ISNUMBER(SEARCH(IF(H$1&lt;&gt;"",H$1,"NA"),'MITRE ATT&amp;CK Mappings'!$E516)),ISNUMBER(SEARCH(IF(H$1&lt;&gt;"",H$1,"NA"),'MITRE ATT&amp;CK Mappings'!$F516))),ISNUMBER(SEARCH(IF(H$2&lt;&gt;"",H$2,"NA"),'MITRE ATT&amp;CK Mappings'!$G516))),ISNUMBER(SEARCH(IF(H$2&lt;&gt;"",H$2,"NA"),'MITRE ATT&amp;CK Mappings'!$H516))),ISNUMBER(SEARCH(IF(H$3&lt;&gt;"",H$3,"NA"),'MITRE ATT&amp;CK Mappings'!$I516))),ISNUMBER(SEARCH(IF(H$3&lt;&gt;"",H$3,"NA"),'MITRE ATT&amp;CK Mappings'!$J516))), 'MITRE ATT&amp;CK Mappings'!$B516,"")</f>
        <v/>
      </c>
      <c r="I520" s="26" t="str">
        <f>IF(OR(OR(OR(OR(OR(ISNUMBER(SEARCH(IF(I$1&lt;&gt;"",I$1,"NA"),'MITRE ATT&amp;CK Mappings'!$E516)),ISNUMBER(SEARCH(IF(I$1&lt;&gt;"",I$1,"NA"),'MITRE ATT&amp;CK Mappings'!$F516))),ISNUMBER(SEARCH(IF(I$2&lt;&gt;"",I$2,"NA"),'MITRE ATT&amp;CK Mappings'!$G516))),ISNUMBER(SEARCH(IF(I$2&lt;&gt;"",I$2,"NA"),'MITRE ATT&amp;CK Mappings'!$H516))),ISNUMBER(SEARCH(IF(I$3&lt;&gt;"",I$3,"NA"),'MITRE ATT&amp;CK Mappings'!$I516))),ISNUMBER(SEARCH(IF(I$3&lt;&gt;"",I$3,"NA"),'MITRE ATT&amp;CK Mappings'!$J516))), 'MITRE ATT&amp;CK Mappings'!$B516,"")</f>
        <v/>
      </c>
      <c r="J520" s="26" t="str">
        <f>IF(OR(OR(OR(OR(OR(ISNUMBER(SEARCH(IF(J$1&lt;&gt;"",J$1,"NA"),'MITRE ATT&amp;CK Mappings'!$E516)),ISNUMBER(SEARCH(IF(J$1&lt;&gt;"",J$1,"NA"),'MITRE ATT&amp;CK Mappings'!$F516))),ISNUMBER(SEARCH(IF(J$2&lt;&gt;"",J$2,"NA"),'MITRE ATT&amp;CK Mappings'!$G516))),ISNUMBER(SEARCH(IF(J$2&lt;&gt;"",J$2,"NA"),'MITRE ATT&amp;CK Mappings'!$H516))),ISNUMBER(SEARCH(IF(J$3&lt;&gt;"",J$3,"NA"),'MITRE ATT&amp;CK Mappings'!$I516))),ISNUMBER(SEARCH(IF(J$3&lt;&gt;"",J$3,"NA"),'MITRE ATT&amp;CK Mappings'!$J516))), 'MITRE ATT&amp;CK Mappings'!$B516,"")</f>
        <v/>
      </c>
      <c r="K520" s="26" t="str">
        <f>IF(OR(OR(OR(OR(OR(ISNUMBER(SEARCH(IF(K$1&lt;&gt;"",K$1,"NA"),'MITRE ATT&amp;CK Mappings'!$E516)),ISNUMBER(SEARCH(IF(K$1&lt;&gt;"",K$1,"NA"),'MITRE ATT&amp;CK Mappings'!$F516))),ISNUMBER(SEARCH(IF(K$2&lt;&gt;"",K$2,"NA"),'MITRE ATT&amp;CK Mappings'!$G516))),ISNUMBER(SEARCH(IF(K$2&lt;&gt;"",K$2,"NA"),'MITRE ATT&amp;CK Mappings'!$H516))),ISNUMBER(SEARCH(IF(K$3&lt;&gt;"",K$3,"NA"),'MITRE ATT&amp;CK Mappings'!$I516))),ISNUMBER(SEARCH(IF(K$3&lt;&gt;"",K$3,"NA"),'MITRE ATT&amp;CK Mappings'!$J516))), 'MITRE ATT&amp;CK Mappings'!$B516,"")</f>
        <v/>
      </c>
      <c r="L520" s="26" t="str">
        <f>IF('MITRE ATT&amp;CK Mappings'!D516 &lt;&gt;"",'MITRE ATT&amp;CK Mappings'!D516,"" )</f>
        <v/>
      </c>
    </row>
    <row r="521" spans="1:12" x14ac:dyDescent="0.25">
      <c r="A521" s="27" t="str">
        <f>IF(COUNTIF(B521:K521,"="&amp;'MITRE ATT&amp;CK Mappings'!B517)&gt;0,'MITRE ATT&amp;CK Mappings'!B517,"")</f>
        <v/>
      </c>
      <c r="B521" s="27" t="str">
        <f>IF(OR(OR(OR(OR(OR(ISNUMBER(SEARCH(IF(B$1&lt;&gt;"",B$1,"NA"),'MITRE ATT&amp;CK Mappings'!$E517)),ISNUMBER(SEARCH(IF(B$1&lt;&gt;"",B$1,"NA"),'MITRE ATT&amp;CK Mappings'!$F517))),ISNUMBER(SEARCH(IF(B$2&lt;&gt;"",B$2,"NA"),'MITRE ATT&amp;CK Mappings'!$G517))),ISNUMBER(SEARCH(IF(B$2&lt;&gt;"",B$2,"NA"),'MITRE ATT&amp;CK Mappings'!$H517))),ISNUMBER(SEARCH(IF(B$3&lt;&gt;"",B$3,"NA"),'MITRE ATT&amp;CK Mappings'!$I517))),ISNUMBER(SEARCH(IF(B$3&lt;&gt;"",B$3,"NA"),'MITRE ATT&amp;CK Mappings'!$J517))), 'MITRE ATT&amp;CK Mappings'!$B517,"")</f>
        <v/>
      </c>
      <c r="C521" s="27" t="str">
        <f>IF(OR(OR(OR(OR(OR(ISNUMBER(SEARCH(IF(C$1&lt;&gt;"",C$1,"NA"),'MITRE ATT&amp;CK Mappings'!$E517)),ISNUMBER(SEARCH(IF(C$1&lt;&gt;"",C$1,"NA"),'MITRE ATT&amp;CK Mappings'!$F517))),ISNUMBER(SEARCH(IF(C$2&lt;&gt;"",C$2,"NA"),'MITRE ATT&amp;CK Mappings'!$G517))),ISNUMBER(SEARCH(IF(C$2&lt;&gt;"",C$2,"NA"),'MITRE ATT&amp;CK Mappings'!$H517))),ISNUMBER(SEARCH(IF(C$3&lt;&gt;"",C$3,"NA"),'MITRE ATT&amp;CK Mappings'!$I517))),ISNUMBER(SEARCH(IF(C$3&lt;&gt;"",C$3,"NA"),'MITRE ATT&amp;CK Mappings'!$J517))), 'MITRE ATT&amp;CK Mappings'!$B517,"")</f>
        <v/>
      </c>
      <c r="D521" s="27" t="str">
        <f>IF(OR(OR(OR(OR(OR(ISNUMBER(SEARCH(IF(D$1&lt;&gt;"",D$1,"NA"),'MITRE ATT&amp;CK Mappings'!$E517)),ISNUMBER(SEARCH(IF(D$1&lt;&gt;"",D$1,"NA"),'MITRE ATT&amp;CK Mappings'!$F517))),ISNUMBER(SEARCH(IF(D$2&lt;&gt;"",D$2,"NA"),'MITRE ATT&amp;CK Mappings'!$G517))),ISNUMBER(SEARCH(IF(D$2&lt;&gt;"",D$2,"NA"),'MITRE ATT&amp;CK Mappings'!$H517))),ISNUMBER(SEARCH(IF(D$3&lt;&gt;"",D$3,"NA"),'MITRE ATT&amp;CK Mappings'!$I517))),ISNUMBER(SEARCH(IF(D$3&lt;&gt;"",D$3,"NA"),'MITRE ATT&amp;CK Mappings'!$J517))), 'MITRE ATT&amp;CK Mappings'!$B517,"")</f>
        <v/>
      </c>
      <c r="E521" s="27" t="str">
        <f>IF(OR(OR(OR(OR(OR(ISNUMBER(SEARCH(IF(E$1&lt;&gt;"",E$1,"NA"),'MITRE ATT&amp;CK Mappings'!$E517)),ISNUMBER(SEARCH(IF(E$1&lt;&gt;"",E$1,"NA"),'MITRE ATT&amp;CK Mappings'!$F517))),ISNUMBER(SEARCH(IF(E$2&lt;&gt;"",E$2,"NA"),'MITRE ATT&amp;CK Mappings'!$G517))),ISNUMBER(SEARCH(IF(E$2&lt;&gt;"",E$2,"NA"),'MITRE ATT&amp;CK Mappings'!$H517))),ISNUMBER(SEARCH(IF(E$3&lt;&gt;"",E$3,"NA"),'MITRE ATT&amp;CK Mappings'!$I517))),ISNUMBER(SEARCH(IF(E$3&lt;&gt;"",E$3,"NA"),'MITRE ATT&amp;CK Mappings'!$J517))), 'MITRE ATT&amp;CK Mappings'!$B517,"")</f>
        <v/>
      </c>
      <c r="F521" s="27" t="str">
        <f>IF(OR(OR(OR(OR(OR(ISNUMBER(SEARCH(IF(F$1&lt;&gt;"",F$1,"NA"),'MITRE ATT&amp;CK Mappings'!$E517)),ISNUMBER(SEARCH(IF(F$1&lt;&gt;"",F$1,"NA"),'MITRE ATT&amp;CK Mappings'!$F517))),ISNUMBER(SEARCH(IF(F$2&lt;&gt;"",F$2,"NA"),'MITRE ATT&amp;CK Mappings'!$G517))),ISNUMBER(SEARCH(IF(F$2&lt;&gt;"",F$2,"NA"),'MITRE ATT&amp;CK Mappings'!$H517))),ISNUMBER(SEARCH(IF(F$3&lt;&gt;"",F$3,"NA"),'MITRE ATT&amp;CK Mappings'!$I517))),ISNUMBER(SEARCH(IF(F$3&lt;&gt;"",F$3,"NA"),'MITRE ATT&amp;CK Mappings'!$J517))), 'MITRE ATT&amp;CK Mappings'!$B517,"")</f>
        <v/>
      </c>
      <c r="G521" s="27" t="str">
        <f>IF(OR(OR(OR(OR(OR(ISNUMBER(SEARCH(IF(G$1&lt;&gt;"",G$1,"NA"),'MITRE ATT&amp;CK Mappings'!$E517)),ISNUMBER(SEARCH(IF(G$1&lt;&gt;"",G$1,"NA"),'MITRE ATT&amp;CK Mappings'!$F517))),ISNUMBER(SEARCH(IF(G$2&lt;&gt;"",G$2,"NA"),'MITRE ATT&amp;CK Mappings'!$G517))),ISNUMBER(SEARCH(IF(G$2&lt;&gt;"",G$2,"NA"),'MITRE ATT&amp;CK Mappings'!$H517))),ISNUMBER(SEARCH(IF(G$3&lt;&gt;"",G$3,"NA"),'MITRE ATT&amp;CK Mappings'!$I517))),ISNUMBER(SEARCH(IF(G$3&lt;&gt;"",G$3,"NA"),'MITRE ATT&amp;CK Mappings'!$J517))), 'MITRE ATT&amp;CK Mappings'!$B517,"")</f>
        <v/>
      </c>
      <c r="H521" s="27" t="str">
        <f>IF(OR(OR(OR(OR(OR(ISNUMBER(SEARCH(IF(H$1&lt;&gt;"",H$1,"NA"),'MITRE ATT&amp;CK Mappings'!$E517)),ISNUMBER(SEARCH(IF(H$1&lt;&gt;"",H$1,"NA"),'MITRE ATT&amp;CK Mappings'!$F517))),ISNUMBER(SEARCH(IF(H$2&lt;&gt;"",H$2,"NA"),'MITRE ATT&amp;CK Mappings'!$G517))),ISNUMBER(SEARCH(IF(H$2&lt;&gt;"",H$2,"NA"),'MITRE ATT&amp;CK Mappings'!$H517))),ISNUMBER(SEARCH(IF(H$3&lt;&gt;"",H$3,"NA"),'MITRE ATT&amp;CK Mappings'!$I517))),ISNUMBER(SEARCH(IF(H$3&lt;&gt;"",H$3,"NA"),'MITRE ATT&amp;CK Mappings'!$J517))), 'MITRE ATT&amp;CK Mappings'!$B517,"")</f>
        <v/>
      </c>
      <c r="I521" s="27" t="str">
        <f>IF(OR(OR(OR(OR(OR(ISNUMBER(SEARCH(IF(I$1&lt;&gt;"",I$1,"NA"),'MITRE ATT&amp;CK Mappings'!$E517)),ISNUMBER(SEARCH(IF(I$1&lt;&gt;"",I$1,"NA"),'MITRE ATT&amp;CK Mappings'!$F517))),ISNUMBER(SEARCH(IF(I$2&lt;&gt;"",I$2,"NA"),'MITRE ATT&amp;CK Mappings'!$G517))),ISNUMBER(SEARCH(IF(I$2&lt;&gt;"",I$2,"NA"),'MITRE ATT&amp;CK Mappings'!$H517))),ISNUMBER(SEARCH(IF(I$3&lt;&gt;"",I$3,"NA"),'MITRE ATT&amp;CK Mappings'!$I517))),ISNUMBER(SEARCH(IF(I$3&lt;&gt;"",I$3,"NA"),'MITRE ATT&amp;CK Mappings'!$J517))), 'MITRE ATT&amp;CK Mappings'!$B517,"")</f>
        <v/>
      </c>
      <c r="J521" s="27" t="str">
        <f>IF(OR(OR(OR(OR(OR(ISNUMBER(SEARCH(IF(J$1&lt;&gt;"",J$1,"NA"),'MITRE ATT&amp;CK Mappings'!$E517)),ISNUMBER(SEARCH(IF(J$1&lt;&gt;"",J$1,"NA"),'MITRE ATT&amp;CK Mappings'!$F517))),ISNUMBER(SEARCH(IF(J$2&lt;&gt;"",J$2,"NA"),'MITRE ATT&amp;CK Mappings'!$G517))),ISNUMBER(SEARCH(IF(J$2&lt;&gt;"",J$2,"NA"),'MITRE ATT&amp;CK Mappings'!$H517))),ISNUMBER(SEARCH(IF(J$3&lt;&gt;"",J$3,"NA"),'MITRE ATT&amp;CK Mappings'!$I517))),ISNUMBER(SEARCH(IF(J$3&lt;&gt;"",J$3,"NA"),'MITRE ATT&amp;CK Mappings'!$J517))), 'MITRE ATT&amp;CK Mappings'!$B517,"")</f>
        <v/>
      </c>
      <c r="K521" s="27" t="str">
        <f>IF(OR(OR(OR(OR(OR(ISNUMBER(SEARCH(IF(K$1&lt;&gt;"",K$1,"NA"),'MITRE ATT&amp;CK Mappings'!$E517)),ISNUMBER(SEARCH(IF(K$1&lt;&gt;"",K$1,"NA"),'MITRE ATT&amp;CK Mappings'!$F517))),ISNUMBER(SEARCH(IF(K$2&lt;&gt;"",K$2,"NA"),'MITRE ATT&amp;CK Mappings'!$G517))),ISNUMBER(SEARCH(IF(K$2&lt;&gt;"",K$2,"NA"),'MITRE ATT&amp;CK Mappings'!$H517))),ISNUMBER(SEARCH(IF(K$3&lt;&gt;"",K$3,"NA"),'MITRE ATT&amp;CK Mappings'!$I517))),ISNUMBER(SEARCH(IF(K$3&lt;&gt;"",K$3,"NA"),'MITRE ATT&amp;CK Mappings'!$J517))), 'MITRE ATT&amp;CK Mappings'!$B517,"")</f>
        <v/>
      </c>
      <c r="L521" s="27" t="str">
        <f>IF('MITRE ATT&amp;CK Mappings'!D517 &lt;&gt;"",'MITRE ATT&amp;CK Mappings'!D517,"" )</f>
        <v/>
      </c>
    </row>
    <row r="522" spans="1:12" x14ac:dyDescent="0.25">
      <c r="A522" s="26" t="str">
        <f>IF(COUNTIF(B522:K522,"="&amp;'MITRE ATT&amp;CK Mappings'!B518)&gt;0,'MITRE ATT&amp;CK Mappings'!B518,"")</f>
        <v/>
      </c>
      <c r="B522" s="26" t="str">
        <f>IF(OR(OR(OR(OR(OR(ISNUMBER(SEARCH(IF(B$1&lt;&gt;"",B$1,"NA"),'MITRE ATT&amp;CK Mappings'!$E518)),ISNUMBER(SEARCH(IF(B$1&lt;&gt;"",B$1,"NA"),'MITRE ATT&amp;CK Mappings'!$F518))),ISNUMBER(SEARCH(IF(B$2&lt;&gt;"",B$2,"NA"),'MITRE ATT&amp;CK Mappings'!$G518))),ISNUMBER(SEARCH(IF(B$2&lt;&gt;"",B$2,"NA"),'MITRE ATT&amp;CK Mappings'!$H518))),ISNUMBER(SEARCH(IF(B$3&lt;&gt;"",B$3,"NA"),'MITRE ATT&amp;CK Mappings'!$I518))),ISNUMBER(SEARCH(IF(B$3&lt;&gt;"",B$3,"NA"),'MITRE ATT&amp;CK Mappings'!$J518))), 'MITRE ATT&amp;CK Mappings'!$B518,"")</f>
        <v/>
      </c>
      <c r="C522" s="26" t="str">
        <f>IF(OR(OR(OR(OR(OR(ISNUMBER(SEARCH(IF(C$1&lt;&gt;"",C$1,"NA"),'MITRE ATT&amp;CK Mappings'!$E518)),ISNUMBER(SEARCH(IF(C$1&lt;&gt;"",C$1,"NA"),'MITRE ATT&amp;CK Mappings'!$F518))),ISNUMBER(SEARCH(IF(C$2&lt;&gt;"",C$2,"NA"),'MITRE ATT&amp;CK Mappings'!$G518))),ISNUMBER(SEARCH(IF(C$2&lt;&gt;"",C$2,"NA"),'MITRE ATT&amp;CK Mappings'!$H518))),ISNUMBER(SEARCH(IF(C$3&lt;&gt;"",C$3,"NA"),'MITRE ATT&amp;CK Mappings'!$I518))),ISNUMBER(SEARCH(IF(C$3&lt;&gt;"",C$3,"NA"),'MITRE ATT&amp;CK Mappings'!$J518))), 'MITRE ATT&amp;CK Mappings'!$B518,"")</f>
        <v/>
      </c>
      <c r="D522" s="26" t="str">
        <f>IF(OR(OR(OR(OR(OR(ISNUMBER(SEARCH(IF(D$1&lt;&gt;"",D$1,"NA"),'MITRE ATT&amp;CK Mappings'!$E518)),ISNUMBER(SEARCH(IF(D$1&lt;&gt;"",D$1,"NA"),'MITRE ATT&amp;CK Mappings'!$F518))),ISNUMBER(SEARCH(IF(D$2&lt;&gt;"",D$2,"NA"),'MITRE ATT&amp;CK Mappings'!$G518))),ISNUMBER(SEARCH(IF(D$2&lt;&gt;"",D$2,"NA"),'MITRE ATT&amp;CK Mappings'!$H518))),ISNUMBER(SEARCH(IF(D$3&lt;&gt;"",D$3,"NA"),'MITRE ATT&amp;CK Mappings'!$I518))),ISNUMBER(SEARCH(IF(D$3&lt;&gt;"",D$3,"NA"),'MITRE ATT&amp;CK Mappings'!$J518))), 'MITRE ATT&amp;CK Mappings'!$B518,"")</f>
        <v/>
      </c>
      <c r="E522" s="26" t="str">
        <f>IF(OR(OR(OR(OR(OR(ISNUMBER(SEARCH(IF(E$1&lt;&gt;"",E$1,"NA"),'MITRE ATT&amp;CK Mappings'!$E518)),ISNUMBER(SEARCH(IF(E$1&lt;&gt;"",E$1,"NA"),'MITRE ATT&amp;CK Mappings'!$F518))),ISNUMBER(SEARCH(IF(E$2&lt;&gt;"",E$2,"NA"),'MITRE ATT&amp;CK Mappings'!$G518))),ISNUMBER(SEARCH(IF(E$2&lt;&gt;"",E$2,"NA"),'MITRE ATT&amp;CK Mappings'!$H518))),ISNUMBER(SEARCH(IF(E$3&lt;&gt;"",E$3,"NA"),'MITRE ATT&amp;CK Mappings'!$I518))),ISNUMBER(SEARCH(IF(E$3&lt;&gt;"",E$3,"NA"),'MITRE ATT&amp;CK Mappings'!$J518))), 'MITRE ATT&amp;CK Mappings'!$B518,"")</f>
        <v/>
      </c>
      <c r="F522" s="26" t="str">
        <f>IF(OR(OR(OR(OR(OR(ISNUMBER(SEARCH(IF(F$1&lt;&gt;"",F$1,"NA"),'MITRE ATT&amp;CK Mappings'!$E518)),ISNUMBER(SEARCH(IF(F$1&lt;&gt;"",F$1,"NA"),'MITRE ATT&amp;CK Mappings'!$F518))),ISNUMBER(SEARCH(IF(F$2&lt;&gt;"",F$2,"NA"),'MITRE ATT&amp;CK Mappings'!$G518))),ISNUMBER(SEARCH(IF(F$2&lt;&gt;"",F$2,"NA"),'MITRE ATT&amp;CK Mappings'!$H518))),ISNUMBER(SEARCH(IF(F$3&lt;&gt;"",F$3,"NA"),'MITRE ATT&amp;CK Mappings'!$I518))),ISNUMBER(SEARCH(IF(F$3&lt;&gt;"",F$3,"NA"),'MITRE ATT&amp;CK Mappings'!$J518))), 'MITRE ATT&amp;CK Mappings'!$B518,"")</f>
        <v/>
      </c>
      <c r="G522" s="26" t="str">
        <f>IF(OR(OR(OR(OR(OR(ISNUMBER(SEARCH(IF(G$1&lt;&gt;"",G$1,"NA"),'MITRE ATT&amp;CK Mappings'!$E518)),ISNUMBER(SEARCH(IF(G$1&lt;&gt;"",G$1,"NA"),'MITRE ATT&amp;CK Mappings'!$F518))),ISNUMBER(SEARCH(IF(G$2&lt;&gt;"",G$2,"NA"),'MITRE ATT&amp;CK Mappings'!$G518))),ISNUMBER(SEARCH(IF(G$2&lt;&gt;"",G$2,"NA"),'MITRE ATT&amp;CK Mappings'!$H518))),ISNUMBER(SEARCH(IF(G$3&lt;&gt;"",G$3,"NA"),'MITRE ATT&amp;CK Mappings'!$I518))),ISNUMBER(SEARCH(IF(G$3&lt;&gt;"",G$3,"NA"),'MITRE ATT&amp;CK Mappings'!$J518))), 'MITRE ATT&amp;CK Mappings'!$B518,"")</f>
        <v/>
      </c>
      <c r="H522" s="26" t="str">
        <f>IF(OR(OR(OR(OR(OR(ISNUMBER(SEARCH(IF(H$1&lt;&gt;"",H$1,"NA"),'MITRE ATT&amp;CK Mappings'!$E518)),ISNUMBER(SEARCH(IF(H$1&lt;&gt;"",H$1,"NA"),'MITRE ATT&amp;CK Mappings'!$F518))),ISNUMBER(SEARCH(IF(H$2&lt;&gt;"",H$2,"NA"),'MITRE ATT&amp;CK Mappings'!$G518))),ISNUMBER(SEARCH(IF(H$2&lt;&gt;"",H$2,"NA"),'MITRE ATT&amp;CK Mappings'!$H518))),ISNUMBER(SEARCH(IF(H$3&lt;&gt;"",H$3,"NA"),'MITRE ATT&amp;CK Mappings'!$I518))),ISNUMBER(SEARCH(IF(H$3&lt;&gt;"",H$3,"NA"),'MITRE ATT&amp;CK Mappings'!$J518))), 'MITRE ATT&amp;CK Mappings'!$B518,"")</f>
        <v/>
      </c>
      <c r="I522" s="26" t="str">
        <f>IF(OR(OR(OR(OR(OR(ISNUMBER(SEARCH(IF(I$1&lt;&gt;"",I$1,"NA"),'MITRE ATT&amp;CK Mappings'!$E518)),ISNUMBER(SEARCH(IF(I$1&lt;&gt;"",I$1,"NA"),'MITRE ATT&amp;CK Mappings'!$F518))),ISNUMBER(SEARCH(IF(I$2&lt;&gt;"",I$2,"NA"),'MITRE ATT&amp;CK Mappings'!$G518))),ISNUMBER(SEARCH(IF(I$2&lt;&gt;"",I$2,"NA"),'MITRE ATT&amp;CK Mappings'!$H518))),ISNUMBER(SEARCH(IF(I$3&lt;&gt;"",I$3,"NA"),'MITRE ATT&amp;CK Mappings'!$I518))),ISNUMBER(SEARCH(IF(I$3&lt;&gt;"",I$3,"NA"),'MITRE ATT&amp;CK Mappings'!$J518))), 'MITRE ATT&amp;CK Mappings'!$B518,"")</f>
        <v/>
      </c>
      <c r="J522" s="26" t="str">
        <f>IF(OR(OR(OR(OR(OR(ISNUMBER(SEARCH(IF(J$1&lt;&gt;"",J$1,"NA"),'MITRE ATT&amp;CK Mappings'!$E518)),ISNUMBER(SEARCH(IF(J$1&lt;&gt;"",J$1,"NA"),'MITRE ATT&amp;CK Mappings'!$F518))),ISNUMBER(SEARCH(IF(J$2&lt;&gt;"",J$2,"NA"),'MITRE ATT&amp;CK Mappings'!$G518))),ISNUMBER(SEARCH(IF(J$2&lt;&gt;"",J$2,"NA"),'MITRE ATT&amp;CK Mappings'!$H518))),ISNUMBER(SEARCH(IF(J$3&lt;&gt;"",J$3,"NA"),'MITRE ATT&amp;CK Mappings'!$I518))),ISNUMBER(SEARCH(IF(J$3&lt;&gt;"",J$3,"NA"),'MITRE ATT&amp;CK Mappings'!$J518))), 'MITRE ATT&amp;CK Mappings'!$B518,"")</f>
        <v/>
      </c>
      <c r="K522" s="26" t="str">
        <f>IF(OR(OR(OR(OR(OR(ISNUMBER(SEARCH(IF(K$1&lt;&gt;"",K$1,"NA"),'MITRE ATT&amp;CK Mappings'!$E518)),ISNUMBER(SEARCH(IF(K$1&lt;&gt;"",K$1,"NA"),'MITRE ATT&amp;CK Mappings'!$F518))),ISNUMBER(SEARCH(IF(K$2&lt;&gt;"",K$2,"NA"),'MITRE ATT&amp;CK Mappings'!$G518))),ISNUMBER(SEARCH(IF(K$2&lt;&gt;"",K$2,"NA"),'MITRE ATT&amp;CK Mappings'!$H518))),ISNUMBER(SEARCH(IF(K$3&lt;&gt;"",K$3,"NA"),'MITRE ATT&amp;CK Mappings'!$I518))),ISNUMBER(SEARCH(IF(K$3&lt;&gt;"",K$3,"NA"),'MITRE ATT&amp;CK Mappings'!$J518))), 'MITRE ATT&amp;CK Mappings'!$B518,"")</f>
        <v/>
      </c>
      <c r="L522" s="26" t="str">
        <f>IF('MITRE ATT&amp;CK Mappings'!D518 &lt;&gt;"",'MITRE ATT&amp;CK Mappings'!D518,"" )</f>
        <v/>
      </c>
    </row>
    <row r="523" spans="1:12" x14ac:dyDescent="0.25">
      <c r="A523" s="27" t="str">
        <f>IF(COUNTIF(B523:K523,"="&amp;'MITRE ATT&amp;CK Mappings'!B519)&gt;0,'MITRE ATT&amp;CK Mappings'!B519,"")</f>
        <v/>
      </c>
      <c r="B523" s="27" t="str">
        <f>IF(OR(OR(OR(OR(OR(ISNUMBER(SEARCH(IF(B$1&lt;&gt;"",B$1,"NA"),'MITRE ATT&amp;CK Mappings'!$E519)),ISNUMBER(SEARCH(IF(B$1&lt;&gt;"",B$1,"NA"),'MITRE ATT&amp;CK Mappings'!$F519))),ISNUMBER(SEARCH(IF(B$2&lt;&gt;"",B$2,"NA"),'MITRE ATT&amp;CK Mappings'!$G519))),ISNUMBER(SEARCH(IF(B$2&lt;&gt;"",B$2,"NA"),'MITRE ATT&amp;CK Mappings'!$H519))),ISNUMBER(SEARCH(IF(B$3&lt;&gt;"",B$3,"NA"),'MITRE ATT&amp;CK Mappings'!$I519))),ISNUMBER(SEARCH(IF(B$3&lt;&gt;"",B$3,"NA"),'MITRE ATT&amp;CK Mappings'!$J519))), 'MITRE ATT&amp;CK Mappings'!$B519,"")</f>
        <v/>
      </c>
      <c r="C523" s="27" t="str">
        <f>IF(OR(OR(OR(OR(OR(ISNUMBER(SEARCH(IF(C$1&lt;&gt;"",C$1,"NA"),'MITRE ATT&amp;CK Mappings'!$E519)),ISNUMBER(SEARCH(IF(C$1&lt;&gt;"",C$1,"NA"),'MITRE ATT&amp;CK Mappings'!$F519))),ISNUMBER(SEARCH(IF(C$2&lt;&gt;"",C$2,"NA"),'MITRE ATT&amp;CK Mappings'!$G519))),ISNUMBER(SEARCH(IF(C$2&lt;&gt;"",C$2,"NA"),'MITRE ATT&amp;CK Mappings'!$H519))),ISNUMBER(SEARCH(IF(C$3&lt;&gt;"",C$3,"NA"),'MITRE ATT&amp;CK Mappings'!$I519))),ISNUMBER(SEARCH(IF(C$3&lt;&gt;"",C$3,"NA"),'MITRE ATT&amp;CK Mappings'!$J519))), 'MITRE ATT&amp;CK Mappings'!$B519,"")</f>
        <v/>
      </c>
      <c r="D523" s="27" t="str">
        <f>IF(OR(OR(OR(OR(OR(ISNUMBER(SEARCH(IF(D$1&lt;&gt;"",D$1,"NA"),'MITRE ATT&amp;CK Mappings'!$E519)),ISNUMBER(SEARCH(IF(D$1&lt;&gt;"",D$1,"NA"),'MITRE ATT&amp;CK Mappings'!$F519))),ISNUMBER(SEARCH(IF(D$2&lt;&gt;"",D$2,"NA"),'MITRE ATT&amp;CK Mappings'!$G519))),ISNUMBER(SEARCH(IF(D$2&lt;&gt;"",D$2,"NA"),'MITRE ATT&amp;CK Mappings'!$H519))),ISNUMBER(SEARCH(IF(D$3&lt;&gt;"",D$3,"NA"),'MITRE ATT&amp;CK Mappings'!$I519))),ISNUMBER(SEARCH(IF(D$3&lt;&gt;"",D$3,"NA"),'MITRE ATT&amp;CK Mappings'!$J519))), 'MITRE ATT&amp;CK Mappings'!$B519,"")</f>
        <v/>
      </c>
      <c r="E523" s="27" t="str">
        <f>IF(OR(OR(OR(OR(OR(ISNUMBER(SEARCH(IF(E$1&lt;&gt;"",E$1,"NA"),'MITRE ATT&amp;CK Mappings'!$E519)),ISNUMBER(SEARCH(IF(E$1&lt;&gt;"",E$1,"NA"),'MITRE ATT&amp;CK Mappings'!$F519))),ISNUMBER(SEARCH(IF(E$2&lt;&gt;"",E$2,"NA"),'MITRE ATT&amp;CK Mappings'!$G519))),ISNUMBER(SEARCH(IF(E$2&lt;&gt;"",E$2,"NA"),'MITRE ATT&amp;CK Mappings'!$H519))),ISNUMBER(SEARCH(IF(E$3&lt;&gt;"",E$3,"NA"),'MITRE ATT&amp;CK Mappings'!$I519))),ISNUMBER(SEARCH(IF(E$3&lt;&gt;"",E$3,"NA"),'MITRE ATT&amp;CK Mappings'!$J519))), 'MITRE ATT&amp;CK Mappings'!$B519,"")</f>
        <v/>
      </c>
      <c r="F523" s="27" t="str">
        <f>IF(OR(OR(OR(OR(OR(ISNUMBER(SEARCH(IF(F$1&lt;&gt;"",F$1,"NA"),'MITRE ATT&amp;CK Mappings'!$E519)),ISNUMBER(SEARCH(IF(F$1&lt;&gt;"",F$1,"NA"),'MITRE ATT&amp;CK Mappings'!$F519))),ISNUMBER(SEARCH(IF(F$2&lt;&gt;"",F$2,"NA"),'MITRE ATT&amp;CK Mappings'!$G519))),ISNUMBER(SEARCH(IF(F$2&lt;&gt;"",F$2,"NA"),'MITRE ATT&amp;CK Mappings'!$H519))),ISNUMBER(SEARCH(IF(F$3&lt;&gt;"",F$3,"NA"),'MITRE ATT&amp;CK Mappings'!$I519))),ISNUMBER(SEARCH(IF(F$3&lt;&gt;"",F$3,"NA"),'MITRE ATT&amp;CK Mappings'!$J519))), 'MITRE ATT&amp;CK Mappings'!$B519,"")</f>
        <v/>
      </c>
      <c r="G523" s="27" t="str">
        <f>IF(OR(OR(OR(OR(OR(ISNUMBER(SEARCH(IF(G$1&lt;&gt;"",G$1,"NA"),'MITRE ATT&amp;CK Mappings'!$E519)),ISNUMBER(SEARCH(IF(G$1&lt;&gt;"",G$1,"NA"),'MITRE ATT&amp;CK Mappings'!$F519))),ISNUMBER(SEARCH(IF(G$2&lt;&gt;"",G$2,"NA"),'MITRE ATT&amp;CK Mappings'!$G519))),ISNUMBER(SEARCH(IF(G$2&lt;&gt;"",G$2,"NA"),'MITRE ATT&amp;CK Mappings'!$H519))),ISNUMBER(SEARCH(IF(G$3&lt;&gt;"",G$3,"NA"),'MITRE ATT&amp;CK Mappings'!$I519))),ISNUMBER(SEARCH(IF(G$3&lt;&gt;"",G$3,"NA"),'MITRE ATT&amp;CK Mappings'!$J519))), 'MITRE ATT&amp;CK Mappings'!$B519,"")</f>
        <v/>
      </c>
      <c r="H523" s="27" t="str">
        <f>IF(OR(OR(OR(OR(OR(ISNUMBER(SEARCH(IF(H$1&lt;&gt;"",H$1,"NA"),'MITRE ATT&amp;CK Mappings'!$E519)),ISNUMBER(SEARCH(IF(H$1&lt;&gt;"",H$1,"NA"),'MITRE ATT&amp;CK Mappings'!$F519))),ISNUMBER(SEARCH(IF(H$2&lt;&gt;"",H$2,"NA"),'MITRE ATT&amp;CK Mappings'!$G519))),ISNUMBER(SEARCH(IF(H$2&lt;&gt;"",H$2,"NA"),'MITRE ATT&amp;CK Mappings'!$H519))),ISNUMBER(SEARCH(IF(H$3&lt;&gt;"",H$3,"NA"),'MITRE ATT&amp;CK Mappings'!$I519))),ISNUMBER(SEARCH(IF(H$3&lt;&gt;"",H$3,"NA"),'MITRE ATT&amp;CK Mappings'!$J519))), 'MITRE ATT&amp;CK Mappings'!$B519,"")</f>
        <v/>
      </c>
      <c r="I523" s="27" t="str">
        <f>IF(OR(OR(OR(OR(OR(ISNUMBER(SEARCH(IF(I$1&lt;&gt;"",I$1,"NA"),'MITRE ATT&amp;CK Mappings'!$E519)),ISNUMBER(SEARCH(IF(I$1&lt;&gt;"",I$1,"NA"),'MITRE ATT&amp;CK Mappings'!$F519))),ISNUMBER(SEARCH(IF(I$2&lt;&gt;"",I$2,"NA"),'MITRE ATT&amp;CK Mappings'!$G519))),ISNUMBER(SEARCH(IF(I$2&lt;&gt;"",I$2,"NA"),'MITRE ATT&amp;CK Mappings'!$H519))),ISNUMBER(SEARCH(IF(I$3&lt;&gt;"",I$3,"NA"),'MITRE ATT&amp;CK Mappings'!$I519))),ISNUMBER(SEARCH(IF(I$3&lt;&gt;"",I$3,"NA"),'MITRE ATT&amp;CK Mappings'!$J519))), 'MITRE ATT&amp;CK Mappings'!$B519,"")</f>
        <v/>
      </c>
      <c r="J523" s="27" t="str">
        <f>IF(OR(OR(OR(OR(OR(ISNUMBER(SEARCH(IF(J$1&lt;&gt;"",J$1,"NA"),'MITRE ATT&amp;CK Mappings'!$E519)),ISNUMBER(SEARCH(IF(J$1&lt;&gt;"",J$1,"NA"),'MITRE ATT&amp;CK Mappings'!$F519))),ISNUMBER(SEARCH(IF(J$2&lt;&gt;"",J$2,"NA"),'MITRE ATT&amp;CK Mappings'!$G519))),ISNUMBER(SEARCH(IF(J$2&lt;&gt;"",J$2,"NA"),'MITRE ATT&amp;CK Mappings'!$H519))),ISNUMBER(SEARCH(IF(J$3&lt;&gt;"",J$3,"NA"),'MITRE ATT&amp;CK Mappings'!$I519))),ISNUMBER(SEARCH(IF(J$3&lt;&gt;"",J$3,"NA"),'MITRE ATT&amp;CK Mappings'!$J519))), 'MITRE ATT&amp;CK Mappings'!$B519,"")</f>
        <v/>
      </c>
      <c r="K523" s="27" t="str">
        <f>IF(OR(OR(OR(OR(OR(ISNUMBER(SEARCH(IF(K$1&lt;&gt;"",K$1,"NA"),'MITRE ATT&amp;CK Mappings'!$E519)),ISNUMBER(SEARCH(IF(K$1&lt;&gt;"",K$1,"NA"),'MITRE ATT&amp;CK Mappings'!$F519))),ISNUMBER(SEARCH(IF(K$2&lt;&gt;"",K$2,"NA"),'MITRE ATT&amp;CK Mappings'!$G519))),ISNUMBER(SEARCH(IF(K$2&lt;&gt;"",K$2,"NA"),'MITRE ATT&amp;CK Mappings'!$H519))),ISNUMBER(SEARCH(IF(K$3&lt;&gt;"",K$3,"NA"),'MITRE ATT&amp;CK Mappings'!$I519))),ISNUMBER(SEARCH(IF(K$3&lt;&gt;"",K$3,"NA"),'MITRE ATT&amp;CK Mappings'!$J519))), 'MITRE ATT&amp;CK Mappings'!$B519,"")</f>
        <v/>
      </c>
      <c r="L523" s="27" t="str">
        <f>IF('MITRE ATT&amp;CK Mappings'!D519 &lt;&gt;"",'MITRE ATT&amp;CK Mappings'!D519,"" )</f>
        <v/>
      </c>
    </row>
    <row r="524" spans="1:12" x14ac:dyDescent="0.25">
      <c r="A524" s="26" t="str">
        <f>IF(COUNTIF(B524:K524,"="&amp;'MITRE ATT&amp;CK Mappings'!B520)&gt;0,'MITRE ATT&amp;CK Mappings'!B520,"")</f>
        <v/>
      </c>
      <c r="B524" s="26" t="str">
        <f>IF(OR(OR(OR(OR(OR(ISNUMBER(SEARCH(IF(B$1&lt;&gt;"",B$1,"NA"),'MITRE ATT&amp;CK Mappings'!$E520)),ISNUMBER(SEARCH(IF(B$1&lt;&gt;"",B$1,"NA"),'MITRE ATT&amp;CK Mappings'!$F520))),ISNUMBER(SEARCH(IF(B$2&lt;&gt;"",B$2,"NA"),'MITRE ATT&amp;CK Mappings'!$G520))),ISNUMBER(SEARCH(IF(B$2&lt;&gt;"",B$2,"NA"),'MITRE ATT&amp;CK Mappings'!$H520))),ISNUMBER(SEARCH(IF(B$3&lt;&gt;"",B$3,"NA"),'MITRE ATT&amp;CK Mappings'!$I520))),ISNUMBER(SEARCH(IF(B$3&lt;&gt;"",B$3,"NA"),'MITRE ATT&amp;CK Mappings'!$J520))), 'MITRE ATT&amp;CK Mappings'!$B520,"")</f>
        <v/>
      </c>
      <c r="C524" s="26" t="str">
        <f>IF(OR(OR(OR(OR(OR(ISNUMBER(SEARCH(IF(C$1&lt;&gt;"",C$1,"NA"),'MITRE ATT&amp;CK Mappings'!$E520)),ISNUMBER(SEARCH(IF(C$1&lt;&gt;"",C$1,"NA"),'MITRE ATT&amp;CK Mappings'!$F520))),ISNUMBER(SEARCH(IF(C$2&lt;&gt;"",C$2,"NA"),'MITRE ATT&amp;CK Mappings'!$G520))),ISNUMBER(SEARCH(IF(C$2&lt;&gt;"",C$2,"NA"),'MITRE ATT&amp;CK Mappings'!$H520))),ISNUMBER(SEARCH(IF(C$3&lt;&gt;"",C$3,"NA"),'MITRE ATT&amp;CK Mappings'!$I520))),ISNUMBER(SEARCH(IF(C$3&lt;&gt;"",C$3,"NA"),'MITRE ATT&amp;CK Mappings'!$J520))), 'MITRE ATT&amp;CK Mappings'!$B520,"")</f>
        <v/>
      </c>
      <c r="D524" s="26" t="str">
        <f>IF(OR(OR(OR(OR(OR(ISNUMBER(SEARCH(IF(D$1&lt;&gt;"",D$1,"NA"),'MITRE ATT&amp;CK Mappings'!$E520)),ISNUMBER(SEARCH(IF(D$1&lt;&gt;"",D$1,"NA"),'MITRE ATT&amp;CK Mappings'!$F520))),ISNUMBER(SEARCH(IF(D$2&lt;&gt;"",D$2,"NA"),'MITRE ATT&amp;CK Mappings'!$G520))),ISNUMBER(SEARCH(IF(D$2&lt;&gt;"",D$2,"NA"),'MITRE ATT&amp;CK Mappings'!$H520))),ISNUMBER(SEARCH(IF(D$3&lt;&gt;"",D$3,"NA"),'MITRE ATT&amp;CK Mappings'!$I520))),ISNUMBER(SEARCH(IF(D$3&lt;&gt;"",D$3,"NA"),'MITRE ATT&amp;CK Mappings'!$J520))), 'MITRE ATT&amp;CK Mappings'!$B520,"")</f>
        <v/>
      </c>
      <c r="E524" s="26" t="str">
        <f>IF(OR(OR(OR(OR(OR(ISNUMBER(SEARCH(IF(E$1&lt;&gt;"",E$1,"NA"),'MITRE ATT&amp;CK Mappings'!$E520)),ISNUMBER(SEARCH(IF(E$1&lt;&gt;"",E$1,"NA"),'MITRE ATT&amp;CK Mappings'!$F520))),ISNUMBER(SEARCH(IF(E$2&lt;&gt;"",E$2,"NA"),'MITRE ATT&amp;CK Mappings'!$G520))),ISNUMBER(SEARCH(IF(E$2&lt;&gt;"",E$2,"NA"),'MITRE ATT&amp;CK Mappings'!$H520))),ISNUMBER(SEARCH(IF(E$3&lt;&gt;"",E$3,"NA"),'MITRE ATT&amp;CK Mappings'!$I520))),ISNUMBER(SEARCH(IF(E$3&lt;&gt;"",E$3,"NA"),'MITRE ATT&amp;CK Mappings'!$J520))), 'MITRE ATT&amp;CK Mappings'!$B520,"")</f>
        <v/>
      </c>
      <c r="F524" s="26" t="str">
        <f>IF(OR(OR(OR(OR(OR(ISNUMBER(SEARCH(IF(F$1&lt;&gt;"",F$1,"NA"),'MITRE ATT&amp;CK Mappings'!$E520)),ISNUMBER(SEARCH(IF(F$1&lt;&gt;"",F$1,"NA"),'MITRE ATT&amp;CK Mappings'!$F520))),ISNUMBER(SEARCH(IF(F$2&lt;&gt;"",F$2,"NA"),'MITRE ATT&amp;CK Mappings'!$G520))),ISNUMBER(SEARCH(IF(F$2&lt;&gt;"",F$2,"NA"),'MITRE ATT&amp;CK Mappings'!$H520))),ISNUMBER(SEARCH(IF(F$3&lt;&gt;"",F$3,"NA"),'MITRE ATT&amp;CK Mappings'!$I520))),ISNUMBER(SEARCH(IF(F$3&lt;&gt;"",F$3,"NA"),'MITRE ATT&amp;CK Mappings'!$J520))), 'MITRE ATT&amp;CK Mappings'!$B520,"")</f>
        <v/>
      </c>
      <c r="G524" s="26" t="str">
        <f>IF(OR(OR(OR(OR(OR(ISNUMBER(SEARCH(IF(G$1&lt;&gt;"",G$1,"NA"),'MITRE ATT&amp;CK Mappings'!$E520)),ISNUMBER(SEARCH(IF(G$1&lt;&gt;"",G$1,"NA"),'MITRE ATT&amp;CK Mappings'!$F520))),ISNUMBER(SEARCH(IF(G$2&lt;&gt;"",G$2,"NA"),'MITRE ATT&amp;CK Mappings'!$G520))),ISNUMBER(SEARCH(IF(G$2&lt;&gt;"",G$2,"NA"),'MITRE ATT&amp;CK Mappings'!$H520))),ISNUMBER(SEARCH(IF(G$3&lt;&gt;"",G$3,"NA"),'MITRE ATT&amp;CK Mappings'!$I520))),ISNUMBER(SEARCH(IF(G$3&lt;&gt;"",G$3,"NA"),'MITRE ATT&amp;CK Mappings'!$J520))), 'MITRE ATT&amp;CK Mappings'!$B520,"")</f>
        <v/>
      </c>
      <c r="H524" s="26" t="str">
        <f>IF(OR(OR(OR(OR(OR(ISNUMBER(SEARCH(IF(H$1&lt;&gt;"",H$1,"NA"),'MITRE ATT&amp;CK Mappings'!$E520)),ISNUMBER(SEARCH(IF(H$1&lt;&gt;"",H$1,"NA"),'MITRE ATT&amp;CK Mappings'!$F520))),ISNUMBER(SEARCH(IF(H$2&lt;&gt;"",H$2,"NA"),'MITRE ATT&amp;CK Mappings'!$G520))),ISNUMBER(SEARCH(IF(H$2&lt;&gt;"",H$2,"NA"),'MITRE ATT&amp;CK Mappings'!$H520))),ISNUMBER(SEARCH(IF(H$3&lt;&gt;"",H$3,"NA"),'MITRE ATT&amp;CK Mappings'!$I520))),ISNUMBER(SEARCH(IF(H$3&lt;&gt;"",H$3,"NA"),'MITRE ATT&amp;CK Mappings'!$J520))), 'MITRE ATT&amp;CK Mappings'!$B520,"")</f>
        <v/>
      </c>
      <c r="I524" s="26" t="str">
        <f>IF(OR(OR(OR(OR(OR(ISNUMBER(SEARCH(IF(I$1&lt;&gt;"",I$1,"NA"),'MITRE ATT&amp;CK Mappings'!$E520)),ISNUMBER(SEARCH(IF(I$1&lt;&gt;"",I$1,"NA"),'MITRE ATT&amp;CK Mappings'!$F520))),ISNUMBER(SEARCH(IF(I$2&lt;&gt;"",I$2,"NA"),'MITRE ATT&amp;CK Mappings'!$G520))),ISNUMBER(SEARCH(IF(I$2&lt;&gt;"",I$2,"NA"),'MITRE ATT&amp;CK Mappings'!$H520))),ISNUMBER(SEARCH(IF(I$3&lt;&gt;"",I$3,"NA"),'MITRE ATT&amp;CK Mappings'!$I520))),ISNUMBER(SEARCH(IF(I$3&lt;&gt;"",I$3,"NA"),'MITRE ATT&amp;CK Mappings'!$J520))), 'MITRE ATT&amp;CK Mappings'!$B520,"")</f>
        <v/>
      </c>
      <c r="J524" s="26" t="str">
        <f>IF(OR(OR(OR(OR(OR(ISNUMBER(SEARCH(IF(J$1&lt;&gt;"",J$1,"NA"),'MITRE ATT&amp;CK Mappings'!$E520)),ISNUMBER(SEARCH(IF(J$1&lt;&gt;"",J$1,"NA"),'MITRE ATT&amp;CK Mappings'!$F520))),ISNUMBER(SEARCH(IF(J$2&lt;&gt;"",J$2,"NA"),'MITRE ATT&amp;CK Mappings'!$G520))),ISNUMBER(SEARCH(IF(J$2&lt;&gt;"",J$2,"NA"),'MITRE ATT&amp;CK Mappings'!$H520))),ISNUMBER(SEARCH(IF(J$3&lt;&gt;"",J$3,"NA"),'MITRE ATT&amp;CK Mappings'!$I520))),ISNUMBER(SEARCH(IF(J$3&lt;&gt;"",J$3,"NA"),'MITRE ATT&amp;CK Mappings'!$J520))), 'MITRE ATT&amp;CK Mappings'!$B520,"")</f>
        <v/>
      </c>
      <c r="K524" s="26" t="str">
        <f>IF(OR(OR(OR(OR(OR(ISNUMBER(SEARCH(IF(K$1&lt;&gt;"",K$1,"NA"),'MITRE ATT&amp;CK Mappings'!$E520)),ISNUMBER(SEARCH(IF(K$1&lt;&gt;"",K$1,"NA"),'MITRE ATT&amp;CK Mappings'!$F520))),ISNUMBER(SEARCH(IF(K$2&lt;&gt;"",K$2,"NA"),'MITRE ATT&amp;CK Mappings'!$G520))),ISNUMBER(SEARCH(IF(K$2&lt;&gt;"",K$2,"NA"),'MITRE ATT&amp;CK Mappings'!$H520))),ISNUMBER(SEARCH(IF(K$3&lt;&gt;"",K$3,"NA"),'MITRE ATT&amp;CK Mappings'!$I520))),ISNUMBER(SEARCH(IF(K$3&lt;&gt;"",K$3,"NA"),'MITRE ATT&amp;CK Mappings'!$J520))), 'MITRE ATT&amp;CK Mappings'!$B520,"")</f>
        <v/>
      </c>
      <c r="L524" s="26" t="str">
        <f>IF('MITRE ATT&amp;CK Mappings'!D520 &lt;&gt;"",'MITRE ATT&amp;CK Mappings'!D520,"" )</f>
        <v/>
      </c>
    </row>
    <row r="525" spans="1:12" x14ac:dyDescent="0.25">
      <c r="A525" s="27" t="str">
        <f>IF(COUNTIF(B525:K525,"="&amp;'MITRE ATT&amp;CK Mappings'!B521)&gt;0,'MITRE ATT&amp;CK Mappings'!B521,"")</f>
        <v/>
      </c>
      <c r="B525" s="27" t="str">
        <f>IF(OR(OR(OR(OR(OR(ISNUMBER(SEARCH(IF(B$1&lt;&gt;"",B$1,"NA"),'MITRE ATT&amp;CK Mappings'!$E521)),ISNUMBER(SEARCH(IF(B$1&lt;&gt;"",B$1,"NA"),'MITRE ATT&amp;CK Mappings'!$F521))),ISNUMBER(SEARCH(IF(B$2&lt;&gt;"",B$2,"NA"),'MITRE ATT&amp;CK Mappings'!$G521))),ISNUMBER(SEARCH(IF(B$2&lt;&gt;"",B$2,"NA"),'MITRE ATT&amp;CK Mappings'!$H521))),ISNUMBER(SEARCH(IF(B$3&lt;&gt;"",B$3,"NA"),'MITRE ATT&amp;CK Mappings'!$I521))),ISNUMBER(SEARCH(IF(B$3&lt;&gt;"",B$3,"NA"),'MITRE ATT&amp;CK Mappings'!$J521))), 'MITRE ATT&amp;CK Mappings'!$B521,"")</f>
        <v/>
      </c>
      <c r="C525" s="27" t="str">
        <f>IF(OR(OR(OR(OR(OR(ISNUMBER(SEARCH(IF(C$1&lt;&gt;"",C$1,"NA"),'MITRE ATT&amp;CK Mappings'!$E521)),ISNUMBER(SEARCH(IF(C$1&lt;&gt;"",C$1,"NA"),'MITRE ATT&amp;CK Mappings'!$F521))),ISNUMBER(SEARCH(IF(C$2&lt;&gt;"",C$2,"NA"),'MITRE ATT&amp;CK Mappings'!$G521))),ISNUMBER(SEARCH(IF(C$2&lt;&gt;"",C$2,"NA"),'MITRE ATT&amp;CK Mappings'!$H521))),ISNUMBER(SEARCH(IF(C$3&lt;&gt;"",C$3,"NA"),'MITRE ATT&amp;CK Mappings'!$I521))),ISNUMBER(SEARCH(IF(C$3&lt;&gt;"",C$3,"NA"),'MITRE ATT&amp;CK Mappings'!$J521))), 'MITRE ATT&amp;CK Mappings'!$B521,"")</f>
        <v/>
      </c>
      <c r="D525" s="27" t="str">
        <f>IF(OR(OR(OR(OR(OR(ISNUMBER(SEARCH(IF(D$1&lt;&gt;"",D$1,"NA"),'MITRE ATT&amp;CK Mappings'!$E521)),ISNUMBER(SEARCH(IF(D$1&lt;&gt;"",D$1,"NA"),'MITRE ATT&amp;CK Mappings'!$F521))),ISNUMBER(SEARCH(IF(D$2&lt;&gt;"",D$2,"NA"),'MITRE ATT&amp;CK Mappings'!$G521))),ISNUMBER(SEARCH(IF(D$2&lt;&gt;"",D$2,"NA"),'MITRE ATT&amp;CK Mappings'!$H521))),ISNUMBER(SEARCH(IF(D$3&lt;&gt;"",D$3,"NA"),'MITRE ATT&amp;CK Mappings'!$I521))),ISNUMBER(SEARCH(IF(D$3&lt;&gt;"",D$3,"NA"),'MITRE ATT&amp;CK Mappings'!$J521))), 'MITRE ATT&amp;CK Mappings'!$B521,"")</f>
        <v/>
      </c>
      <c r="E525" s="27" t="str">
        <f>IF(OR(OR(OR(OR(OR(ISNUMBER(SEARCH(IF(E$1&lt;&gt;"",E$1,"NA"),'MITRE ATT&amp;CK Mappings'!$E521)),ISNUMBER(SEARCH(IF(E$1&lt;&gt;"",E$1,"NA"),'MITRE ATT&amp;CK Mappings'!$F521))),ISNUMBER(SEARCH(IF(E$2&lt;&gt;"",E$2,"NA"),'MITRE ATT&amp;CK Mappings'!$G521))),ISNUMBER(SEARCH(IF(E$2&lt;&gt;"",E$2,"NA"),'MITRE ATT&amp;CK Mappings'!$H521))),ISNUMBER(SEARCH(IF(E$3&lt;&gt;"",E$3,"NA"),'MITRE ATT&amp;CK Mappings'!$I521))),ISNUMBER(SEARCH(IF(E$3&lt;&gt;"",E$3,"NA"),'MITRE ATT&amp;CK Mappings'!$J521))), 'MITRE ATT&amp;CK Mappings'!$B521,"")</f>
        <v/>
      </c>
      <c r="F525" s="27" t="str">
        <f>IF(OR(OR(OR(OR(OR(ISNUMBER(SEARCH(IF(F$1&lt;&gt;"",F$1,"NA"),'MITRE ATT&amp;CK Mappings'!$E521)),ISNUMBER(SEARCH(IF(F$1&lt;&gt;"",F$1,"NA"),'MITRE ATT&amp;CK Mappings'!$F521))),ISNUMBER(SEARCH(IF(F$2&lt;&gt;"",F$2,"NA"),'MITRE ATT&amp;CK Mappings'!$G521))),ISNUMBER(SEARCH(IF(F$2&lt;&gt;"",F$2,"NA"),'MITRE ATT&amp;CK Mappings'!$H521))),ISNUMBER(SEARCH(IF(F$3&lt;&gt;"",F$3,"NA"),'MITRE ATT&amp;CK Mappings'!$I521))),ISNUMBER(SEARCH(IF(F$3&lt;&gt;"",F$3,"NA"),'MITRE ATT&amp;CK Mappings'!$J521))), 'MITRE ATT&amp;CK Mappings'!$B521,"")</f>
        <v/>
      </c>
      <c r="G525" s="27" t="str">
        <f>IF(OR(OR(OR(OR(OR(ISNUMBER(SEARCH(IF(G$1&lt;&gt;"",G$1,"NA"),'MITRE ATT&amp;CK Mappings'!$E521)),ISNUMBER(SEARCH(IF(G$1&lt;&gt;"",G$1,"NA"),'MITRE ATT&amp;CK Mappings'!$F521))),ISNUMBER(SEARCH(IF(G$2&lt;&gt;"",G$2,"NA"),'MITRE ATT&amp;CK Mappings'!$G521))),ISNUMBER(SEARCH(IF(G$2&lt;&gt;"",G$2,"NA"),'MITRE ATT&amp;CK Mappings'!$H521))),ISNUMBER(SEARCH(IF(G$3&lt;&gt;"",G$3,"NA"),'MITRE ATT&amp;CK Mappings'!$I521))),ISNUMBER(SEARCH(IF(G$3&lt;&gt;"",G$3,"NA"),'MITRE ATT&amp;CK Mappings'!$J521))), 'MITRE ATT&amp;CK Mappings'!$B521,"")</f>
        <v/>
      </c>
      <c r="H525" s="27" t="str">
        <f>IF(OR(OR(OR(OR(OR(ISNUMBER(SEARCH(IF(H$1&lt;&gt;"",H$1,"NA"),'MITRE ATT&amp;CK Mappings'!$E521)),ISNUMBER(SEARCH(IF(H$1&lt;&gt;"",H$1,"NA"),'MITRE ATT&amp;CK Mappings'!$F521))),ISNUMBER(SEARCH(IF(H$2&lt;&gt;"",H$2,"NA"),'MITRE ATT&amp;CK Mappings'!$G521))),ISNUMBER(SEARCH(IF(H$2&lt;&gt;"",H$2,"NA"),'MITRE ATT&amp;CK Mappings'!$H521))),ISNUMBER(SEARCH(IF(H$3&lt;&gt;"",H$3,"NA"),'MITRE ATT&amp;CK Mappings'!$I521))),ISNUMBER(SEARCH(IF(H$3&lt;&gt;"",H$3,"NA"),'MITRE ATT&amp;CK Mappings'!$J521))), 'MITRE ATT&amp;CK Mappings'!$B521,"")</f>
        <v/>
      </c>
      <c r="I525" s="27" t="str">
        <f>IF(OR(OR(OR(OR(OR(ISNUMBER(SEARCH(IF(I$1&lt;&gt;"",I$1,"NA"),'MITRE ATT&amp;CK Mappings'!$E521)),ISNUMBER(SEARCH(IF(I$1&lt;&gt;"",I$1,"NA"),'MITRE ATT&amp;CK Mappings'!$F521))),ISNUMBER(SEARCH(IF(I$2&lt;&gt;"",I$2,"NA"),'MITRE ATT&amp;CK Mappings'!$G521))),ISNUMBER(SEARCH(IF(I$2&lt;&gt;"",I$2,"NA"),'MITRE ATT&amp;CK Mappings'!$H521))),ISNUMBER(SEARCH(IF(I$3&lt;&gt;"",I$3,"NA"),'MITRE ATT&amp;CK Mappings'!$I521))),ISNUMBER(SEARCH(IF(I$3&lt;&gt;"",I$3,"NA"),'MITRE ATT&amp;CK Mappings'!$J521))), 'MITRE ATT&amp;CK Mappings'!$B521,"")</f>
        <v/>
      </c>
      <c r="J525" s="27" t="str">
        <f>IF(OR(OR(OR(OR(OR(ISNUMBER(SEARCH(IF(J$1&lt;&gt;"",J$1,"NA"),'MITRE ATT&amp;CK Mappings'!$E521)),ISNUMBER(SEARCH(IF(J$1&lt;&gt;"",J$1,"NA"),'MITRE ATT&amp;CK Mappings'!$F521))),ISNUMBER(SEARCH(IF(J$2&lt;&gt;"",J$2,"NA"),'MITRE ATT&amp;CK Mappings'!$G521))),ISNUMBER(SEARCH(IF(J$2&lt;&gt;"",J$2,"NA"),'MITRE ATT&amp;CK Mappings'!$H521))),ISNUMBER(SEARCH(IF(J$3&lt;&gt;"",J$3,"NA"),'MITRE ATT&amp;CK Mappings'!$I521))),ISNUMBER(SEARCH(IF(J$3&lt;&gt;"",J$3,"NA"),'MITRE ATT&amp;CK Mappings'!$J521))), 'MITRE ATT&amp;CK Mappings'!$B521,"")</f>
        <v/>
      </c>
      <c r="K525" s="27" t="str">
        <f>IF(OR(OR(OR(OR(OR(ISNUMBER(SEARCH(IF(K$1&lt;&gt;"",K$1,"NA"),'MITRE ATT&amp;CK Mappings'!$E521)),ISNUMBER(SEARCH(IF(K$1&lt;&gt;"",K$1,"NA"),'MITRE ATT&amp;CK Mappings'!$F521))),ISNUMBER(SEARCH(IF(K$2&lt;&gt;"",K$2,"NA"),'MITRE ATT&amp;CK Mappings'!$G521))),ISNUMBER(SEARCH(IF(K$2&lt;&gt;"",K$2,"NA"),'MITRE ATT&amp;CK Mappings'!$H521))),ISNUMBER(SEARCH(IF(K$3&lt;&gt;"",K$3,"NA"),'MITRE ATT&amp;CK Mappings'!$I521))),ISNUMBER(SEARCH(IF(K$3&lt;&gt;"",K$3,"NA"),'MITRE ATT&amp;CK Mappings'!$J521))), 'MITRE ATT&amp;CK Mappings'!$B521,"")</f>
        <v/>
      </c>
      <c r="L525" s="27" t="str">
        <f>IF('MITRE ATT&amp;CK Mappings'!D521 &lt;&gt;"",'MITRE ATT&amp;CK Mappings'!D521,"" )</f>
        <v/>
      </c>
    </row>
    <row r="526" spans="1:12" x14ac:dyDescent="0.25">
      <c r="A526" s="26" t="str">
        <f>IF(COUNTIF(B526:K526,"="&amp;'MITRE ATT&amp;CK Mappings'!B522)&gt;0,'MITRE ATT&amp;CK Mappings'!B522,"")</f>
        <v/>
      </c>
      <c r="B526" s="26" t="str">
        <f>IF(OR(OR(OR(OR(OR(ISNUMBER(SEARCH(IF(B$1&lt;&gt;"",B$1,"NA"),'MITRE ATT&amp;CK Mappings'!$E522)),ISNUMBER(SEARCH(IF(B$1&lt;&gt;"",B$1,"NA"),'MITRE ATT&amp;CK Mappings'!$F522))),ISNUMBER(SEARCH(IF(B$2&lt;&gt;"",B$2,"NA"),'MITRE ATT&amp;CK Mappings'!$G522))),ISNUMBER(SEARCH(IF(B$2&lt;&gt;"",B$2,"NA"),'MITRE ATT&amp;CK Mappings'!$H522))),ISNUMBER(SEARCH(IF(B$3&lt;&gt;"",B$3,"NA"),'MITRE ATT&amp;CK Mappings'!$I522))),ISNUMBER(SEARCH(IF(B$3&lt;&gt;"",B$3,"NA"),'MITRE ATT&amp;CK Mappings'!$J522))), 'MITRE ATT&amp;CK Mappings'!$B522,"")</f>
        <v/>
      </c>
      <c r="C526" s="26" t="str">
        <f>IF(OR(OR(OR(OR(OR(ISNUMBER(SEARCH(IF(C$1&lt;&gt;"",C$1,"NA"),'MITRE ATT&amp;CK Mappings'!$E522)),ISNUMBER(SEARCH(IF(C$1&lt;&gt;"",C$1,"NA"),'MITRE ATT&amp;CK Mappings'!$F522))),ISNUMBER(SEARCH(IF(C$2&lt;&gt;"",C$2,"NA"),'MITRE ATT&amp;CK Mappings'!$G522))),ISNUMBER(SEARCH(IF(C$2&lt;&gt;"",C$2,"NA"),'MITRE ATT&amp;CK Mappings'!$H522))),ISNUMBER(SEARCH(IF(C$3&lt;&gt;"",C$3,"NA"),'MITRE ATT&amp;CK Mappings'!$I522))),ISNUMBER(SEARCH(IF(C$3&lt;&gt;"",C$3,"NA"),'MITRE ATT&amp;CK Mappings'!$J522))), 'MITRE ATT&amp;CK Mappings'!$B522,"")</f>
        <v/>
      </c>
      <c r="D526" s="26" t="str">
        <f>IF(OR(OR(OR(OR(OR(ISNUMBER(SEARCH(IF(D$1&lt;&gt;"",D$1,"NA"),'MITRE ATT&amp;CK Mappings'!$E522)),ISNUMBER(SEARCH(IF(D$1&lt;&gt;"",D$1,"NA"),'MITRE ATT&amp;CK Mappings'!$F522))),ISNUMBER(SEARCH(IF(D$2&lt;&gt;"",D$2,"NA"),'MITRE ATT&amp;CK Mappings'!$G522))),ISNUMBER(SEARCH(IF(D$2&lt;&gt;"",D$2,"NA"),'MITRE ATT&amp;CK Mappings'!$H522))),ISNUMBER(SEARCH(IF(D$3&lt;&gt;"",D$3,"NA"),'MITRE ATT&amp;CK Mappings'!$I522))),ISNUMBER(SEARCH(IF(D$3&lt;&gt;"",D$3,"NA"),'MITRE ATT&amp;CK Mappings'!$J522))), 'MITRE ATT&amp;CK Mappings'!$B522,"")</f>
        <v/>
      </c>
      <c r="E526" s="26" t="str">
        <f>IF(OR(OR(OR(OR(OR(ISNUMBER(SEARCH(IF(E$1&lt;&gt;"",E$1,"NA"),'MITRE ATT&amp;CK Mappings'!$E522)),ISNUMBER(SEARCH(IF(E$1&lt;&gt;"",E$1,"NA"),'MITRE ATT&amp;CK Mappings'!$F522))),ISNUMBER(SEARCH(IF(E$2&lt;&gt;"",E$2,"NA"),'MITRE ATT&amp;CK Mappings'!$G522))),ISNUMBER(SEARCH(IF(E$2&lt;&gt;"",E$2,"NA"),'MITRE ATT&amp;CK Mappings'!$H522))),ISNUMBER(SEARCH(IF(E$3&lt;&gt;"",E$3,"NA"),'MITRE ATT&amp;CK Mappings'!$I522))),ISNUMBER(SEARCH(IF(E$3&lt;&gt;"",E$3,"NA"),'MITRE ATT&amp;CK Mappings'!$J522))), 'MITRE ATT&amp;CK Mappings'!$B522,"")</f>
        <v/>
      </c>
      <c r="F526" s="26" t="str">
        <f>IF(OR(OR(OR(OR(OR(ISNUMBER(SEARCH(IF(F$1&lt;&gt;"",F$1,"NA"),'MITRE ATT&amp;CK Mappings'!$E522)),ISNUMBER(SEARCH(IF(F$1&lt;&gt;"",F$1,"NA"),'MITRE ATT&amp;CK Mappings'!$F522))),ISNUMBER(SEARCH(IF(F$2&lt;&gt;"",F$2,"NA"),'MITRE ATT&amp;CK Mappings'!$G522))),ISNUMBER(SEARCH(IF(F$2&lt;&gt;"",F$2,"NA"),'MITRE ATT&amp;CK Mappings'!$H522))),ISNUMBER(SEARCH(IF(F$3&lt;&gt;"",F$3,"NA"),'MITRE ATT&amp;CK Mappings'!$I522))),ISNUMBER(SEARCH(IF(F$3&lt;&gt;"",F$3,"NA"),'MITRE ATT&amp;CK Mappings'!$J522))), 'MITRE ATT&amp;CK Mappings'!$B522,"")</f>
        <v/>
      </c>
      <c r="G526" s="26" t="str">
        <f>IF(OR(OR(OR(OR(OR(ISNUMBER(SEARCH(IF(G$1&lt;&gt;"",G$1,"NA"),'MITRE ATT&amp;CK Mappings'!$E522)),ISNUMBER(SEARCH(IF(G$1&lt;&gt;"",G$1,"NA"),'MITRE ATT&amp;CK Mappings'!$F522))),ISNUMBER(SEARCH(IF(G$2&lt;&gt;"",G$2,"NA"),'MITRE ATT&amp;CK Mappings'!$G522))),ISNUMBER(SEARCH(IF(G$2&lt;&gt;"",G$2,"NA"),'MITRE ATT&amp;CK Mappings'!$H522))),ISNUMBER(SEARCH(IF(G$3&lt;&gt;"",G$3,"NA"),'MITRE ATT&amp;CK Mappings'!$I522))),ISNUMBER(SEARCH(IF(G$3&lt;&gt;"",G$3,"NA"),'MITRE ATT&amp;CK Mappings'!$J522))), 'MITRE ATT&amp;CK Mappings'!$B522,"")</f>
        <v/>
      </c>
      <c r="H526" s="26" t="str">
        <f>IF(OR(OR(OR(OR(OR(ISNUMBER(SEARCH(IF(H$1&lt;&gt;"",H$1,"NA"),'MITRE ATT&amp;CK Mappings'!$E522)),ISNUMBER(SEARCH(IF(H$1&lt;&gt;"",H$1,"NA"),'MITRE ATT&amp;CK Mappings'!$F522))),ISNUMBER(SEARCH(IF(H$2&lt;&gt;"",H$2,"NA"),'MITRE ATT&amp;CK Mappings'!$G522))),ISNUMBER(SEARCH(IF(H$2&lt;&gt;"",H$2,"NA"),'MITRE ATT&amp;CK Mappings'!$H522))),ISNUMBER(SEARCH(IF(H$3&lt;&gt;"",H$3,"NA"),'MITRE ATT&amp;CK Mappings'!$I522))),ISNUMBER(SEARCH(IF(H$3&lt;&gt;"",H$3,"NA"),'MITRE ATT&amp;CK Mappings'!$J522))), 'MITRE ATT&amp;CK Mappings'!$B522,"")</f>
        <v/>
      </c>
      <c r="I526" s="26" t="str">
        <f>IF(OR(OR(OR(OR(OR(ISNUMBER(SEARCH(IF(I$1&lt;&gt;"",I$1,"NA"),'MITRE ATT&amp;CK Mappings'!$E522)),ISNUMBER(SEARCH(IF(I$1&lt;&gt;"",I$1,"NA"),'MITRE ATT&amp;CK Mappings'!$F522))),ISNUMBER(SEARCH(IF(I$2&lt;&gt;"",I$2,"NA"),'MITRE ATT&amp;CK Mappings'!$G522))),ISNUMBER(SEARCH(IF(I$2&lt;&gt;"",I$2,"NA"),'MITRE ATT&amp;CK Mappings'!$H522))),ISNUMBER(SEARCH(IF(I$3&lt;&gt;"",I$3,"NA"),'MITRE ATT&amp;CK Mappings'!$I522))),ISNUMBER(SEARCH(IF(I$3&lt;&gt;"",I$3,"NA"),'MITRE ATT&amp;CK Mappings'!$J522))), 'MITRE ATT&amp;CK Mappings'!$B522,"")</f>
        <v/>
      </c>
      <c r="J526" s="26" t="str">
        <f>IF(OR(OR(OR(OR(OR(ISNUMBER(SEARCH(IF(J$1&lt;&gt;"",J$1,"NA"),'MITRE ATT&amp;CK Mappings'!$E522)),ISNUMBER(SEARCH(IF(J$1&lt;&gt;"",J$1,"NA"),'MITRE ATT&amp;CK Mappings'!$F522))),ISNUMBER(SEARCH(IF(J$2&lt;&gt;"",J$2,"NA"),'MITRE ATT&amp;CK Mappings'!$G522))),ISNUMBER(SEARCH(IF(J$2&lt;&gt;"",J$2,"NA"),'MITRE ATT&amp;CK Mappings'!$H522))),ISNUMBER(SEARCH(IF(J$3&lt;&gt;"",J$3,"NA"),'MITRE ATT&amp;CK Mappings'!$I522))),ISNUMBER(SEARCH(IF(J$3&lt;&gt;"",J$3,"NA"),'MITRE ATT&amp;CK Mappings'!$J522))), 'MITRE ATT&amp;CK Mappings'!$B522,"")</f>
        <v/>
      </c>
      <c r="K526" s="26" t="str">
        <f>IF(OR(OR(OR(OR(OR(ISNUMBER(SEARCH(IF(K$1&lt;&gt;"",K$1,"NA"),'MITRE ATT&amp;CK Mappings'!$E522)),ISNUMBER(SEARCH(IF(K$1&lt;&gt;"",K$1,"NA"),'MITRE ATT&amp;CK Mappings'!$F522))),ISNUMBER(SEARCH(IF(K$2&lt;&gt;"",K$2,"NA"),'MITRE ATT&amp;CK Mappings'!$G522))),ISNUMBER(SEARCH(IF(K$2&lt;&gt;"",K$2,"NA"),'MITRE ATT&amp;CK Mappings'!$H522))),ISNUMBER(SEARCH(IF(K$3&lt;&gt;"",K$3,"NA"),'MITRE ATT&amp;CK Mappings'!$I522))),ISNUMBER(SEARCH(IF(K$3&lt;&gt;"",K$3,"NA"),'MITRE ATT&amp;CK Mappings'!$J522))), 'MITRE ATT&amp;CK Mappings'!$B522,"")</f>
        <v/>
      </c>
      <c r="L526" s="26" t="str">
        <f>IF('MITRE ATT&amp;CK Mappings'!D522 &lt;&gt;"",'MITRE ATT&amp;CK Mappings'!D522,"" )</f>
        <v/>
      </c>
    </row>
    <row r="527" spans="1:12" x14ac:dyDescent="0.25">
      <c r="A527" s="27" t="str">
        <f>IF(COUNTIF(B527:K527,"="&amp;'MITRE ATT&amp;CK Mappings'!B523)&gt;0,'MITRE ATT&amp;CK Mappings'!B523,"")</f>
        <v/>
      </c>
      <c r="B527" s="27" t="str">
        <f>IF(OR(OR(OR(OR(OR(ISNUMBER(SEARCH(IF(B$1&lt;&gt;"",B$1,"NA"),'MITRE ATT&amp;CK Mappings'!$E523)),ISNUMBER(SEARCH(IF(B$1&lt;&gt;"",B$1,"NA"),'MITRE ATT&amp;CK Mappings'!$F523))),ISNUMBER(SEARCH(IF(B$2&lt;&gt;"",B$2,"NA"),'MITRE ATT&amp;CK Mappings'!$G523))),ISNUMBER(SEARCH(IF(B$2&lt;&gt;"",B$2,"NA"),'MITRE ATT&amp;CK Mappings'!$H523))),ISNUMBER(SEARCH(IF(B$3&lt;&gt;"",B$3,"NA"),'MITRE ATT&amp;CK Mappings'!$I523))),ISNUMBER(SEARCH(IF(B$3&lt;&gt;"",B$3,"NA"),'MITRE ATT&amp;CK Mappings'!$J523))), 'MITRE ATT&amp;CK Mappings'!$B523,"")</f>
        <v/>
      </c>
      <c r="C527" s="27" t="str">
        <f>IF(OR(OR(OR(OR(OR(ISNUMBER(SEARCH(IF(C$1&lt;&gt;"",C$1,"NA"),'MITRE ATT&amp;CK Mappings'!$E523)),ISNUMBER(SEARCH(IF(C$1&lt;&gt;"",C$1,"NA"),'MITRE ATT&amp;CK Mappings'!$F523))),ISNUMBER(SEARCH(IF(C$2&lt;&gt;"",C$2,"NA"),'MITRE ATT&amp;CK Mappings'!$G523))),ISNUMBER(SEARCH(IF(C$2&lt;&gt;"",C$2,"NA"),'MITRE ATT&amp;CK Mappings'!$H523))),ISNUMBER(SEARCH(IF(C$3&lt;&gt;"",C$3,"NA"),'MITRE ATT&amp;CK Mappings'!$I523))),ISNUMBER(SEARCH(IF(C$3&lt;&gt;"",C$3,"NA"),'MITRE ATT&amp;CK Mappings'!$J523))), 'MITRE ATT&amp;CK Mappings'!$B523,"")</f>
        <v/>
      </c>
      <c r="D527" s="27" t="str">
        <f>IF(OR(OR(OR(OR(OR(ISNUMBER(SEARCH(IF(D$1&lt;&gt;"",D$1,"NA"),'MITRE ATT&amp;CK Mappings'!$E523)),ISNUMBER(SEARCH(IF(D$1&lt;&gt;"",D$1,"NA"),'MITRE ATT&amp;CK Mappings'!$F523))),ISNUMBER(SEARCH(IF(D$2&lt;&gt;"",D$2,"NA"),'MITRE ATT&amp;CK Mappings'!$G523))),ISNUMBER(SEARCH(IF(D$2&lt;&gt;"",D$2,"NA"),'MITRE ATT&amp;CK Mappings'!$H523))),ISNUMBER(SEARCH(IF(D$3&lt;&gt;"",D$3,"NA"),'MITRE ATT&amp;CK Mappings'!$I523))),ISNUMBER(SEARCH(IF(D$3&lt;&gt;"",D$3,"NA"),'MITRE ATT&amp;CK Mappings'!$J523))), 'MITRE ATT&amp;CK Mappings'!$B523,"")</f>
        <v/>
      </c>
      <c r="E527" s="27" t="str">
        <f>IF(OR(OR(OR(OR(OR(ISNUMBER(SEARCH(IF(E$1&lt;&gt;"",E$1,"NA"),'MITRE ATT&amp;CK Mappings'!$E523)),ISNUMBER(SEARCH(IF(E$1&lt;&gt;"",E$1,"NA"),'MITRE ATT&amp;CK Mappings'!$F523))),ISNUMBER(SEARCH(IF(E$2&lt;&gt;"",E$2,"NA"),'MITRE ATT&amp;CK Mappings'!$G523))),ISNUMBER(SEARCH(IF(E$2&lt;&gt;"",E$2,"NA"),'MITRE ATT&amp;CK Mappings'!$H523))),ISNUMBER(SEARCH(IF(E$3&lt;&gt;"",E$3,"NA"),'MITRE ATT&amp;CK Mappings'!$I523))),ISNUMBER(SEARCH(IF(E$3&lt;&gt;"",E$3,"NA"),'MITRE ATT&amp;CK Mappings'!$J523))), 'MITRE ATT&amp;CK Mappings'!$B523,"")</f>
        <v/>
      </c>
      <c r="F527" s="27" t="str">
        <f>IF(OR(OR(OR(OR(OR(ISNUMBER(SEARCH(IF(F$1&lt;&gt;"",F$1,"NA"),'MITRE ATT&amp;CK Mappings'!$E523)),ISNUMBER(SEARCH(IF(F$1&lt;&gt;"",F$1,"NA"),'MITRE ATT&amp;CK Mappings'!$F523))),ISNUMBER(SEARCH(IF(F$2&lt;&gt;"",F$2,"NA"),'MITRE ATT&amp;CK Mappings'!$G523))),ISNUMBER(SEARCH(IF(F$2&lt;&gt;"",F$2,"NA"),'MITRE ATT&amp;CK Mappings'!$H523))),ISNUMBER(SEARCH(IF(F$3&lt;&gt;"",F$3,"NA"),'MITRE ATT&amp;CK Mappings'!$I523))),ISNUMBER(SEARCH(IF(F$3&lt;&gt;"",F$3,"NA"),'MITRE ATT&amp;CK Mappings'!$J523))), 'MITRE ATT&amp;CK Mappings'!$B523,"")</f>
        <v/>
      </c>
      <c r="G527" s="27" t="str">
        <f>IF(OR(OR(OR(OR(OR(ISNUMBER(SEARCH(IF(G$1&lt;&gt;"",G$1,"NA"),'MITRE ATT&amp;CK Mappings'!$E523)),ISNUMBER(SEARCH(IF(G$1&lt;&gt;"",G$1,"NA"),'MITRE ATT&amp;CK Mappings'!$F523))),ISNUMBER(SEARCH(IF(G$2&lt;&gt;"",G$2,"NA"),'MITRE ATT&amp;CK Mappings'!$G523))),ISNUMBER(SEARCH(IF(G$2&lt;&gt;"",G$2,"NA"),'MITRE ATT&amp;CK Mappings'!$H523))),ISNUMBER(SEARCH(IF(G$3&lt;&gt;"",G$3,"NA"),'MITRE ATT&amp;CK Mappings'!$I523))),ISNUMBER(SEARCH(IF(G$3&lt;&gt;"",G$3,"NA"),'MITRE ATT&amp;CK Mappings'!$J523))), 'MITRE ATT&amp;CK Mappings'!$B523,"")</f>
        <v/>
      </c>
      <c r="H527" s="27" t="str">
        <f>IF(OR(OR(OR(OR(OR(ISNUMBER(SEARCH(IF(H$1&lt;&gt;"",H$1,"NA"),'MITRE ATT&amp;CK Mappings'!$E523)),ISNUMBER(SEARCH(IF(H$1&lt;&gt;"",H$1,"NA"),'MITRE ATT&amp;CK Mappings'!$F523))),ISNUMBER(SEARCH(IF(H$2&lt;&gt;"",H$2,"NA"),'MITRE ATT&amp;CK Mappings'!$G523))),ISNUMBER(SEARCH(IF(H$2&lt;&gt;"",H$2,"NA"),'MITRE ATT&amp;CK Mappings'!$H523))),ISNUMBER(SEARCH(IF(H$3&lt;&gt;"",H$3,"NA"),'MITRE ATT&amp;CK Mappings'!$I523))),ISNUMBER(SEARCH(IF(H$3&lt;&gt;"",H$3,"NA"),'MITRE ATT&amp;CK Mappings'!$J523))), 'MITRE ATT&amp;CK Mappings'!$B523,"")</f>
        <v/>
      </c>
      <c r="I527" s="27" t="str">
        <f>IF(OR(OR(OR(OR(OR(ISNUMBER(SEARCH(IF(I$1&lt;&gt;"",I$1,"NA"),'MITRE ATT&amp;CK Mappings'!$E523)),ISNUMBER(SEARCH(IF(I$1&lt;&gt;"",I$1,"NA"),'MITRE ATT&amp;CK Mappings'!$F523))),ISNUMBER(SEARCH(IF(I$2&lt;&gt;"",I$2,"NA"),'MITRE ATT&amp;CK Mappings'!$G523))),ISNUMBER(SEARCH(IF(I$2&lt;&gt;"",I$2,"NA"),'MITRE ATT&amp;CK Mappings'!$H523))),ISNUMBER(SEARCH(IF(I$3&lt;&gt;"",I$3,"NA"),'MITRE ATT&amp;CK Mappings'!$I523))),ISNUMBER(SEARCH(IF(I$3&lt;&gt;"",I$3,"NA"),'MITRE ATT&amp;CK Mappings'!$J523))), 'MITRE ATT&amp;CK Mappings'!$B523,"")</f>
        <v/>
      </c>
      <c r="J527" s="27" t="str">
        <f>IF(OR(OR(OR(OR(OR(ISNUMBER(SEARCH(IF(J$1&lt;&gt;"",J$1,"NA"),'MITRE ATT&amp;CK Mappings'!$E523)),ISNUMBER(SEARCH(IF(J$1&lt;&gt;"",J$1,"NA"),'MITRE ATT&amp;CK Mappings'!$F523))),ISNUMBER(SEARCH(IF(J$2&lt;&gt;"",J$2,"NA"),'MITRE ATT&amp;CK Mappings'!$G523))),ISNUMBER(SEARCH(IF(J$2&lt;&gt;"",J$2,"NA"),'MITRE ATT&amp;CK Mappings'!$H523))),ISNUMBER(SEARCH(IF(J$3&lt;&gt;"",J$3,"NA"),'MITRE ATT&amp;CK Mappings'!$I523))),ISNUMBER(SEARCH(IF(J$3&lt;&gt;"",J$3,"NA"),'MITRE ATT&amp;CK Mappings'!$J523))), 'MITRE ATT&amp;CK Mappings'!$B523,"")</f>
        <v/>
      </c>
      <c r="K527" s="27" t="str">
        <f>IF(OR(OR(OR(OR(OR(ISNUMBER(SEARCH(IF(K$1&lt;&gt;"",K$1,"NA"),'MITRE ATT&amp;CK Mappings'!$E523)),ISNUMBER(SEARCH(IF(K$1&lt;&gt;"",K$1,"NA"),'MITRE ATT&amp;CK Mappings'!$F523))),ISNUMBER(SEARCH(IF(K$2&lt;&gt;"",K$2,"NA"),'MITRE ATT&amp;CK Mappings'!$G523))),ISNUMBER(SEARCH(IF(K$2&lt;&gt;"",K$2,"NA"),'MITRE ATT&amp;CK Mappings'!$H523))),ISNUMBER(SEARCH(IF(K$3&lt;&gt;"",K$3,"NA"),'MITRE ATT&amp;CK Mappings'!$I523))),ISNUMBER(SEARCH(IF(K$3&lt;&gt;"",K$3,"NA"),'MITRE ATT&amp;CK Mappings'!$J523))), 'MITRE ATT&amp;CK Mappings'!$B523,"")</f>
        <v/>
      </c>
      <c r="L527" s="27" t="str">
        <f>IF('MITRE ATT&amp;CK Mappings'!D523 &lt;&gt;"",'MITRE ATT&amp;CK Mappings'!D523,"" )</f>
        <v/>
      </c>
    </row>
    <row r="528" spans="1:12" x14ac:dyDescent="0.25">
      <c r="A528" s="26" t="str">
        <f>IF(COUNTIF(B528:K528,"="&amp;'MITRE ATT&amp;CK Mappings'!B524)&gt;0,'MITRE ATT&amp;CK Mappings'!B524,"")</f>
        <v/>
      </c>
      <c r="B528" s="26" t="str">
        <f>IF(OR(OR(OR(OR(OR(ISNUMBER(SEARCH(IF(B$1&lt;&gt;"",B$1,"NA"),'MITRE ATT&amp;CK Mappings'!$E524)),ISNUMBER(SEARCH(IF(B$1&lt;&gt;"",B$1,"NA"),'MITRE ATT&amp;CK Mappings'!$F524))),ISNUMBER(SEARCH(IF(B$2&lt;&gt;"",B$2,"NA"),'MITRE ATT&amp;CK Mappings'!$G524))),ISNUMBER(SEARCH(IF(B$2&lt;&gt;"",B$2,"NA"),'MITRE ATT&amp;CK Mappings'!$H524))),ISNUMBER(SEARCH(IF(B$3&lt;&gt;"",B$3,"NA"),'MITRE ATT&amp;CK Mappings'!$I524))),ISNUMBER(SEARCH(IF(B$3&lt;&gt;"",B$3,"NA"),'MITRE ATT&amp;CK Mappings'!$J524))), 'MITRE ATT&amp;CK Mappings'!$B524,"")</f>
        <v/>
      </c>
      <c r="C528" s="26" t="str">
        <f>IF(OR(OR(OR(OR(OR(ISNUMBER(SEARCH(IF(C$1&lt;&gt;"",C$1,"NA"),'MITRE ATT&amp;CK Mappings'!$E524)),ISNUMBER(SEARCH(IF(C$1&lt;&gt;"",C$1,"NA"),'MITRE ATT&amp;CK Mappings'!$F524))),ISNUMBER(SEARCH(IF(C$2&lt;&gt;"",C$2,"NA"),'MITRE ATT&amp;CK Mappings'!$G524))),ISNUMBER(SEARCH(IF(C$2&lt;&gt;"",C$2,"NA"),'MITRE ATT&amp;CK Mappings'!$H524))),ISNUMBER(SEARCH(IF(C$3&lt;&gt;"",C$3,"NA"),'MITRE ATT&amp;CK Mappings'!$I524))),ISNUMBER(SEARCH(IF(C$3&lt;&gt;"",C$3,"NA"),'MITRE ATT&amp;CK Mappings'!$J524))), 'MITRE ATT&amp;CK Mappings'!$B524,"")</f>
        <v/>
      </c>
      <c r="D528" s="26" t="str">
        <f>IF(OR(OR(OR(OR(OR(ISNUMBER(SEARCH(IF(D$1&lt;&gt;"",D$1,"NA"),'MITRE ATT&amp;CK Mappings'!$E524)),ISNUMBER(SEARCH(IF(D$1&lt;&gt;"",D$1,"NA"),'MITRE ATT&amp;CK Mappings'!$F524))),ISNUMBER(SEARCH(IF(D$2&lt;&gt;"",D$2,"NA"),'MITRE ATT&amp;CK Mappings'!$G524))),ISNUMBER(SEARCH(IF(D$2&lt;&gt;"",D$2,"NA"),'MITRE ATT&amp;CK Mappings'!$H524))),ISNUMBER(SEARCH(IF(D$3&lt;&gt;"",D$3,"NA"),'MITRE ATT&amp;CK Mappings'!$I524))),ISNUMBER(SEARCH(IF(D$3&lt;&gt;"",D$3,"NA"),'MITRE ATT&amp;CK Mappings'!$J524))), 'MITRE ATT&amp;CK Mappings'!$B524,"")</f>
        <v/>
      </c>
      <c r="E528" s="26" t="str">
        <f>IF(OR(OR(OR(OR(OR(ISNUMBER(SEARCH(IF(E$1&lt;&gt;"",E$1,"NA"),'MITRE ATT&amp;CK Mappings'!$E524)),ISNUMBER(SEARCH(IF(E$1&lt;&gt;"",E$1,"NA"),'MITRE ATT&amp;CK Mappings'!$F524))),ISNUMBER(SEARCH(IF(E$2&lt;&gt;"",E$2,"NA"),'MITRE ATT&amp;CK Mappings'!$G524))),ISNUMBER(SEARCH(IF(E$2&lt;&gt;"",E$2,"NA"),'MITRE ATT&amp;CK Mappings'!$H524))),ISNUMBER(SEARCH(IF(E$3&lt;&gt;"",E$3,"NA"),'MITRE ATT&amp;CK Mappings'!$I524))),ISNUMBER(SEARCH(IF(E$3&lt;&gt;"",E$3,"NA"),'MITRE ATT&amp;CK Mappings'!$J524))), 'MITRE ATT&amp;CK Mappings'!$B524,"")</f>
        <v/>
      </c>
      <c r="F528" s="26" t="str">
        <f>IF(OR(OR(OR(OR(OR(ISNUMBER(SEARCH(IF(F$1&lt;&gt;"",F$1,"NA"),'MITRE ATT&amp;CK Mappings'!$E524)),ISNUMBER(SEARCH(IF(F$1&lt;&gt;"",F$1,"NA"),'MITRE ATT&amp;CK Mappings'!$F524))),ISNUMBER(SEARCH(IF(F$2&lt;&gt;"",F$2,"NA"),'MITRE ATT&amp;CK Mappings'!$G524))),ISNUMBER(SEARCH(IF(F$2&lt;&gt;"",F$2,"NA"),'MITRE ATT&amp;CK Mappings'!$H524))),ISNUMBER(SEARCH(IF(F$3&lt;&gt;"",F$3,"NA"),'MITRE ATT&amp;CK Mappings'!$I524))),ISNUMBER(SEARCH(IF(F$3&lt;&gt;"",F$3,"NA"),'MITRE ATT&amp;CK Mappings'!$J524))), 'MITRE ATT&amp;CK Mappings'!$B524,"")</f>
        <v/>
      </c>
      <c r="G528" s="26" t="str">
        <f>IF(OR(OR(OR(OR(OR(ISNUMBER(SEARCH(IF(G$1&lt;&gt;"",G$1,"NA"),'MITRE ATT&amp;CK Mappings'!$E524)),ISNUMBER(SEARCH(IF(G$1&lt;&gt;"",G$1,"NA"),'MITRE ATT&amp;CK Mappings'!$F524))),ISNUMBER(SEARCH(IF(G$2&lt;&gt;"",G$2,"NA"),'MITRE ATT&amp;CK Mappings'!$G524))),ISNUMBER(SEARCH(IF(G$2&lt;&gt;"",G$2,"NA"),'MITRE ATT&amp;CK Mappings'!$H524))),ISNUMBER(SEARCH(IF(G$3&lt;&gt;"",G$3,"NA"),'MITRE ATT&amp;CK Mappings'!$I524))),ISNUMBER(SEARCH(IF(G$3&lt;&gt;"",G$3,"NA"),'MITRE ATT&amp;CK Mappings'!$J524))), 'MITRE ATT&amp;CK Mappings'!$B524,"")</f>
        <v/>
      </c>
      <c r="H528" s="26" t="str">
        <f>IF(OR(OR(OR(OR(OR(ISNUMBER(SEARCH(IF(H$1&lt;&gt;"",H$1,"NA"),'MITRE ATT&amp;CK Mappings'!$E524)),ISNUMBER(SEARCH(IF(H$1&lt;&gt;"",H$1,"NA"),'MITRE ATT&amp;CK Mappings'!$F524))),ISNUMBER(SEARCH(IF(H$2&lt;&gt;"",H$2,"NA"),'MITRE ATT&amp;CK Mappings'!$G524))),ISNUMBER(SEARCH(IF(H$2&lt;&gt;"",H$2,"NA"),'MITRE ATT&amp;CK Mappings'!$H524))),ISNUMBER(SEARCH(IF(H$3&lt;&gt;"",H$3,"NA"),'MITRE ATT&amp;CK Mappings'!$I524))),ISNUMBER(SEARCH(IF(H$3&lt;&gt;"",H$3,"NA"),'MITRE ATT&amp;CK Mappings'!$J524))), 'MITRE ATT&amp;CK Mappings'!$B524,"")</f>
        <v/>
      </c>
      <c r="I528" s="26" t="str">
        <f>IF(OR(OR(OR(OR(OR(ISNUMBER(SEARCH(IF(I$1&lt;&gt;"",I$1,"NA"),'MITRE ATT&amp;CK Mappings'!$E524)),ISNUMBER(SEARCH(IF(I$1&lt;&gt;"",I$1,"NA"),'MITRE ATT&amp;CK Mappings'!$F524))),ISNUMBER(SEARCH(IF(I$2&lt;&gt;"",I$2,"NA"),'MITRE ATT&amp;CK Mappings'!$G524))),ISNUMBER(SEARCH(IF(I$2&lt;&gt;"",I$2,"NA"),'MITRE ATT&amp;CK Mappings'!$H524))),ISNUMBER(SEARCH(IF(I$3&lt;&gt;"",I$3,"NA"),'MITRE ATT&amp;CK Mappings'!$I524))),ISNUMBER(SEARCH(IF(I$3&lt;&gt;"",I$3,"NA"),'MITRE ATT&amp;CK Mappings'!$J524))), 'MITRE ATT&amp;CK Mappings'!$B524,"")</f>
        <v/>
      </c>
      <c r="J528" s="26" t="str">
        <f>IF(OR(OR(OR(OR(OR(ISNUMBER(SEARCH(IF(J$1&lt;&gt;"",J$1,"NA"),'MITRE ATT&amp;CK Mappings'!$E524)),ISNUMBER(SEARCH(IF(J$1&lt;&gt;"",J$1,"NA"),'MITRE ATT&amp;CK Mappings'!$F524))),ISNUMBER(SEARCH(IF(J$2&lt;&gt;"",J$2,"NA"),'MITRE ATT&amp;CK Mappings'!$G524))),ISNUMBER(SEARCH(IF(J$2&lt;&gt;"",J$2,"NA"),'MITRE ATT&amp;CK Mappings'!$H524))),ISNUMBER(SEARCH(IF(J$3&lt;&gt;"",J$3,"NA"),'MITRE ATT&amp;CK Mappings'!$I524))),ISNUMBER(SEARCH(IF(J$3&lt;&gt;"",J$3,"NA"),'MITRE ATT&amp;CK Mappings'!$J524))), 'MITRE ATT&amp;CK Mappings'!$B524,"")</f>
        <v/>
      </c>
      <c r="K528" s="26" t="str">
        <f>IF(OR(OR(OR(OR(OR(ISNUMBER(SEARCH(IF(K$1&lt;&gt;"",K$1,"NA"),'MITRE ATT&amp;CK Mappings'!$E524)),ISNUMBER(SEARCH(IF(K$1&lt;&gt;"",K$1,"NA"),'MITRE ATT&amp;CK Mappings'!$F524))),ISNUMBER(SEARCH(IF(K$2&lt;&gt;"",K$2,"NA"),'MITRE ATT&amp;CK Mappings'!$G524))),ISNUMBER(SEARCH(IF(K$2&lt;&gt;"",K$2,"NA"),'MITRE ATT&amp;CK Mappings'!$H524))),ISNUMBER(SEARCH(IF(K$3&lt;&gt;"",K$3,"NA"),'MITRE ATT&amp;CK Mappings'!$I524))),ISNUMBER(SEARCH(IF(K$3&lt;&gt;"",K$3,"NA"),'MITRE ATT&amp;CK Mappings'!$J524))), 'MITRE ATT&amp;CK Mappings'!$B524,"")</f>
        <v/>
      </c>
      <c r="L528" s="26" t="str">
        <f>IF('MITRE ATT&amp;CK Mappings'!D524 &lt;&gt;"",'MITRE ATT&amp;CK Mappings'!D524,"" )</f>
        <v/>
      </c>
    </row>
    <row r="529" spans="1:12" x14ac:dyDescent="0.25">
      <c r="A529" s="27" t="str">
        <f>IF(COUNTIF(B529:K529,"="&amp;'MITRE ATT&amp;CK Mappings'!B525)&gt;0,'MITRE ATT&amp;CK Mappings'!B525,"")</f>
        <v/>
      </c>
      <c r="B529" s="27" t="str">
        <f>IF(OR(OR(OR(OR(OR(ISNUMBER(SEARCH(IF(B$1&lt;&gt;"",B$1,"NA"),'MITRE ATT&amp;CK Mappings'!$E525)),ISNUMBER(SEARCH(IF(B$1&lt;&gt;"",B$1,"NA"),'MITRE ATT&amp;CK Mappings'!$F525))),ISNUMBER(SEARCH(IF(B$2&lt;&gt;"",B$2,"NA"),'MITRE ATT&amp;CK Mappings'!$G525))),ISNUMBER(SEARCH(IF(B$2&lt;&gt;"",B$2,"NA"),'MITRE ATT&amp;CK Mappings'!$H525))),ISNUMBER(SEARCH(IF(B$3&lt;&gt;"",B$3,"NA"),'MITRE ATT&amp;CK Mappings'!$I525))),ISNUMBER(SEARCH(IF(B$3&lt;&gt;"",B$3,"NA"),'MITRE ATT&amp;CK Mappings'!$J525))), 'MITRE ATT&amp;CK Mappings'!$B525,"")</f>
        <v/>
      </c>
      <c r="C529" s="27" t="str">
        <f>IF(OR(OR(OR(OR(OR(ISNUMBER(SEARCH(IF(C$1&lt;&gt;"",C$1,"NA"),'MITRE ATT&amp;CK Mappings'!$E525)),ISNUMBER(SEARCH(IF(C$1&lt;&gt;"",C$1,"NA"),'MITRE ATT&amp;CK Mappings'!$F525))),ISNUMBER(SEARCH(IF(C$2&lt;&gt;"",C$2,"NA"),'MITRE ATT&amp;CK Mappings'!$G525))),ISNUMBER(SEARCH(IF(C$2&lt;&gt;"",C$2,"NA"),'MITRE ATT&amp;CK Mappings'!$H525))),ISNUMBER(SEARCH(IF(C$3&lt;&gt;"",C$3,"NA"),'MITRE ATT&amp;CK Mappings'!$I525))),ISNUMBER(SEARCH(IF(C$3&lt;&gt;"",C$3,"NA"),'MITRE ATT&amp;CK Mappings'!$J525))), 'MITRE ATT&amp;CK Mappings'!$B525,"")</f>
        <v/>
      </c>
      <c r="D529" s="27" t="str">
        <f>IF(OR(OR(OR(OR(OR(ISNUMBER(SEARCH(IF(D$1&lt;&gt;"",D$1,"NA"),'MITRE ATT&amp;CK Mappings'!$E525)),ISNUMBER(SEARCH(IF(D$1&lt;&gt;"",D$1,"NA"),'MITRE ATT&amp;CK Mappings'!$F525))),ISNUMBER(SEARCH(IF(D$2&lt;&gt;"",D$2,"NA"),'MITRE ATT&amp;CK Mappings'!$G525))),ISNUMBER(SEARCH(IF(D$2&lt;&gt;"",D$2,"NA"),'MITRE ATT&amp;CK Mappings'!$H525))),ISNUMBER(SEARCH(IF(D$3&lt;&gt;"",D$3,"NA"),'MITRE ATT&amp;CK Mappings'!$I525))),ISNUMBER(SEARCH(IF(D$3&lt;&gt;"",D$3,"NA"),'MITRE ATT&amp;CK Mappings'!$J525))), 'MITRE ATT&amp;CK Mappings'!$B525,"")</f>
        <v/>
      </c>
      <c r="E529" s="27" t="str">
        <f>IF(OR(OR(OR(OR(OR(ISNUMBER(SEARCH(IF(E$1&lt;&gt;"",E$1,"NA"),'MITRE ATT&amp;CK Mappings'!$E525)),ISNUMBER(SEARCH(IF(E$1&lt;&gt;"",E$1,"NA"),'MITRE ATT&amp;CK Mappings'!$F525))),ISNUMBER(SEARCH(IF(E$2&lt;&gt;"",E$2,"NA"),'MITRE ATT&amp;CK Mappings'!$G525))),ISNUMBER(SEARCH(IF(E$2&lt;&gt;"",E$2,"NA"),'MITRE ATT&amp;CK Mappings'!$H525))),ISNUMBER(SEARCH(IF(E$3&lt;&gt;"",E$3,"NA"),'MITRE ATT&amp;CK Mappings'!$I525))),ISNUMBER(SEARCH(IF(E$3&lt;&gt;"",E$3,"NA"),'MITRE ATT&amp;CK Mappings'!$J525))), 'MITRE ATT&amp;CK Mappings'!$B525,"")</f>
        <v/>
      </c>
      <c r="F529" s="27" t="str">
        <f>IF(OR(OR(OR(OR(OR(ISNUMBER(SEARCH(IF(F$1&lt;&gt;"",F$1,"NA"),'MITRE ATT&amp;CK Mappings'!$E525)),ISNUMBER(SEARCH(IF(F$1&lt;&gt;"",F$1,"NA"),'MITRE ATT&amp;CK Mappings'!$F525))),ISNUMBER(SEARCH(IF(F$2&lt;&gt;"",F$2,"NA"),'MITRE ATT&amp;CK Mappings'!$G525))),ISNUMBER(SEARCH(IF(F$2&lt;&gt;"",F$2,"NA"),'MITRE ATT&amp;CK Mappings'!$H525))),ISNUMBER(SEARCH(IF(F$3&lt;&gt;"",F$3,"NA"),'MITRE ATT&amp;CK Mappings'!$I525))),ISNUMBER(SEARCH(IF(F$3&lt;&gt;"",F$3,"NA"),'MITRE ATT&amp;CK Mappings'!$J525))), 'MITRE ATT&amp;CK Mappings'!$B525,"")</f>
        <v/>
      </c>
      <c r="G529" s="27" t="str">
        <f>IF(OR(OR(OR(OR(OR(ISNUMBER(SEARCH(IF(G$1&lt;&gt;"",G$1,"NA"),'MITRE ATT&amp;CK Mappings'!$E525)),ISNUMBER(SEARCH(IF(G$1&lt;&gt;"",G$1,"NA"),'MITRE ATT&amp;CK Mappings'!$F525))),ISNUMBER(SEARCH(IF(G$2&lt;&gt;"",G$2,"NA"),'MITRE ATT&amp;CK Mappings'!$G525))),ISNUMBER(SEARCH(IF(G$2&lt;&gt;"",G$2,"NA"),'MITRE ATT&amp;CK Mappings'!$H525))),ISNUMBER(SEARCH(IF(G$3&lt;&gt;"",G$3,"NA"),'MITRE ATT&amp;CK Mappings'!$I525))),ISNUMBER(SEARCH(IF(G$3&lt;&gt;"",G$3,"NA"),'MITRE ATT&amp;CK Mappings'!$J525))), 'MITRE ATT&amp;CK Mappings'!$B525,"")</f>
        <v/>
      </c>
      <c r="H529" s="27" t="str">
        <f>IF(OR(OR(OR(OR(OR(ISNUMBER(SEARCH(IF(H$1&lt;&gt;"",H$1,"NA"),'MITRE ATT&amp;CK Mappings'!$E525)),ISNUMBER(SEARCH(IF(H$1&lt;&gt;"",H$1,"NA"),'MITRE ATT&amp;CK Mappings'!$F525))),ISNUMBER(SEARCH(IF(H$2&lt;&gt;"",H$2,"NA"),'MITRE ATT&amp;CK Mappings'!$G525))),ISNUMBER(SEARCH(IF(H$2&lt;&gt;"",H$2,"NA"),'MITRE ATT&amp;CK Mappings'!$H525))),ISNUMBER(SEARCH(IF(H$3&lt;&gt;"",H$3,"NA"),'MITRE ATT&amp;CK Mappings'!$I525))),ISNUMBER(SEARCH(IF(H$3&lt;&gt;"",H$3,"NA"),'MITRE ATT&amp;CK Mappings'!$J525))), 'MITRE ATT&amp;CK Mappings'!$B525,"")</f>
        <v/>
      </c>
      <c r="I529" s="27" t="str">
        <f>IF(OR(OR(OR(OR(OR(ISNUMBER(SEARCH(IF(I$1&lt;&gt;"",I$1,"NA"),'MITRE ATT&amp;CK Mappings'!$E525)),ISNUMBER(SEARCH(IF(I$1&lt;&gt;"",I$1,"NA"),'MITRE ATT&amp;CK Mappings'!$F525))),ISNUMBER(SEARCH(IF(I$2&lt;&gt;"",I$2,"NA"),'MITRE ATT&amp;CK Mappings'!$G525))),ISNUMBER(SEARCH(IF(I$2&lt;&gt;"",I$2,"NA"),'MITRE ATT&amp;CK Mappings'!$H525))),ISNUMBER(SEARCH(IF(I$3&lt;&gt;"",I$3,"NA"),'MITRE ATT&amp;CK Mappings'!$I525))),ISNUMBER(SEARCH(IF(I$3&lt;&gt;"",I$3,"NA"),'MITRE ATT&amp;CK Mappings'!$J525))), 'MITRE ATT&amp;CK Mappings'!$B525,"")</f>
        <v/>
      </c>
      <c r="J529" s="27" t="str">
        <f>IF(OR(OR(OR(OR(OR(ISNUMBER(SEARCH(IF(J$1&lt;&gt;"",J$1,"NA"),'MITRE ATT&amp;CK Mappings'!$E525)),ISNUMBER(SEARCH(IF(J$1&lt;&gt;"",J$1,"NA"),'MITRE ATT&amp;CK Mappings'!$F525))),ISNUMBER(SEARCH(IF(J$2&lt;&gt;"",J$2,"NA"),'MITRE ATT&amp;CK Mappings'!$G525))),ISNUMBER(SEARCH(IF(J$2&lt;&gt;"",J$2,"NA"),'MITRE ATT&amp;CK Mappings'!$H525))),ISNUMBER(SEARCH(IF(J$3&lt;&gt;"",J$3,"NA"),'MITRE ATT&amp;CK Mappings'!$I525))),ISNUMBER(SEARCH(IF(J$3&lt;&gt;"",J$3,"NA"),'MITRE ATT&amp;CK Mappings'!$J525))), 'MITRE ATT&amp;CK Mappings'!$B525,"")</f>
        <v/>
      </c>
      <c r="K529" s="27" t="str">
        <f>IF(OR(OR(OR(OR(OR(ISNUMBER(SEARCH(IF(K$1&lt;&gt;"",K$1,"NA"),'MITRE ATT&amp;CK Mappings'!$E525)),ISNUMBER(SEARCH(IF(K$1&lt;&gt;"",K$1,"NA"),'MITRE ATT&amp;CK Mappings'!$F525))),ISNUMBER(SEARCH(IF(K$2&lt;&gt;"",K$2,"NA"),'MITRE ATT&amp;CK Mappings'!$G525))),ISNUMBER(SEARCH(IF(K$2&lt;&gt;"",K$2,"NA"),'MITRE ATT&amp;CK Mappings'!$H525))),ISNUMBER(SEARCH(IF(K$3&lt;&gt;"",K$3,"NA"),'MITRE ATT&amp;CK Mappings'!$I525))),ISNUMBER(SEARCH(IF(K$3&lt;&gt;"",K$3,"NA"),'MITRE ATT&amp;CK Mappings'!$J525))), 'MITRE ATT&amp;CK Mappings'!$B525,"")</f>
        <v/>
      </c>
      <c r="L529" s="27" t="str">
        <f>IF('MITRE ATT&amp;CK Mappings'!D525 &lt;&gt;"",'MITRE ATT&amp;CK Mappings'!D525,"" )</f>
        <v/>
      </c>
    </row>
    <row r="530" spans="1:12" x14ac:dyDescent="0.25">
      <c r="A530" s="26" t="str">
        <f>IF(COUNTIF(B530:K530,"="&amp;'MITRE ATT&amp;CK Mappings'!B526)&gt;0,'MITRE ATT&amp;CK Mappings'!B526,"")</f>
        <v/>
      </c>
      <c r="B530" s="26" t="str">
        <f>IF(OR(OR(OR(OR(OR(ISNUMBER(SEARCH(IF(B$1&lt;&gt;"",B$1,"NA"),'MITRE ATT&amp;CK Mappings'!$E526)),ISNUMBER(SEARCH(IF(B$1&lt;&gt;"",B$1,"NA"),'MITRE ATT&amp;CK Mappings'!$F526))),ISNUMBER(SEARCH(IF(B$2&lt;&gt;"",B$2,"NA"),'MITRE ATT&amp;CK Mappings'!$G526))),ISNUMBER(SEARCH(IF(B$2&lt;&gt;"",B$2,"NA"),'MITRE ATT&amp;CK Mappings'!$H526))),ISNUMBER(SEARCH(IF(B$3&lt;&gt;"",B$3,"NA"),'MITRE ATT&amp;CK Mappings'!$I526))),ISNUMBER(SEARCH(IF(B$3&lt;&gt;"",B$3,"NA"),'MITRE ATT&amp;CK Mappings'!$J526))), 'MITRE ATT&amp;CK Mappings'!$B526,"")</f>
        <v/>
      </c>
      <c r="C530" s="26" t="str">
        <f>IF(OR(OR(OR(OR(OR(ISNUMBER(SEARCH(IF(C$1&lt;&gt;"",C$1,"NA"),'MITRE ATT&amp;CK Mappings'!$E526)),ISNUMBER(SEARCH(IF(C$1&lt;&gt;"",C$1,"NA"),'MITRE ATT&amp;CK Mappings'!$F526))),ISNUMBER(SEARCH(IF(C$2&lt;&gt;"",C$2,"NA"),'MITRE ATT&amp;CK Mappings'!$G526))),ISNUMBER(SEARCH(IF(C$2&lt;&gt;"",C$2,"NA"),'MITRE ATT&amp;CK Mappings'!$H526))),ISNUMBER(SEARCH(IF(C$3&lt;&gt;"",C$3,"NA"),'MITRE ATT&amp;CK Mappings'!$I526))),ISNUMBER(SEARCH(IF(C$3&lt;&gt;"",C$3,"NA"),'MITRE ATT&amp;CK Mappings'!$J526))), 'MITRE ATT&amp;CK Mappings'!$B526,"")</f>
        <v/>
      </c>
      <c r="D530" s="26" t="str">
        <f>IF(OR(OR(OR(OR(OR(ISNUMBER(SEARCH(IF(D$1&lt;&gt;"",D$1,"NA"),'MITRE ATT&amp;CK Mappings'!$E526)),ISNUMBER(SEARCH(IF(D$1&lt;&gt;"",D$1,"NA"),'MITRE ATT&amp;CK Mappings'!$F526))),ISNUMBER(SEARCH(IF(D$2&lt;&gt;"",D$2,"NA"),'MITRE ATT&amp;CK Mappings'!$G526))),ISNUMBER(SEARCH(IF(D$2&lt;&gt;"",D$2,"NA"),'MITRE ATT&amp;CK Mappings'!$H526))),ISNUMBER(SEARCH(IF(D$3&lt;&gt;"",D$3,"NA"),'MITRE ATT&amp;CK Mappings'!$I526))),ISNUMBER(SEARCH(IF(D$3&lt;&gt;"",D$3,"NA"),'MITRE ATT&amp;CK Mappings'!$J526))), 'MITRE ATT&amp;CK Mappings'!$B526,"")</f>
        <v/>
      </c>
      <c r="E530" s="26" t="str">
        <f>IF(OR(OR(OR(OR(OR(ISNUMBER(SEARCH(IF(E$1&lt;&gt;"",E$1,"NA"),'MITRE ATT&amp;CK Mappings'!$E526)),ISNUMBER(SEARCH(IF(E$1&lt;&gt;"",E$1,"NA"),'MITRE ATT&amp;CK Mappings'!$F526))),ISNUMBER(SEARCH(IF(E$2&lt;&gt;"",E$2,"NA"),'MITRE ATT&amp;CK Mappings'!$G526))),ISNUMBER(SEARCH(IF(E$2&lt;&gt;"",E$2,"NA"),'MITRE ATT&amp;CK Mappings'!$H526))),ISNUMBER(SEARCH(IF(E$3&lt;&gt;"",E$3,"NA"),'MITRE ATT&amp;CK Mappings'!$I526))),ISNUMBER(SEARCH(IF(E$3&lt;&gt;"",E$3,"NA"),'MITRE ATT&amp;CK Mappings'!$J526))), 'MITRE ATT&amp;CK Mappings'!$B526,"")</f>
        <v/>
      </c>
      <c r="F530" s="26" t="str">
        <f>IF(OR(OR(OR(OR(OR(ISNUMBER(SEARCH(IF(F$1&lt;&gt;"",F$1,"NA"),'MITRE ATT&amp;CK Mappings'!$E526)),ISNUMBER(SEARCH(IF(F$1&lt;&gt;"",F$1,"NA"),'MITRE ATT&amp;CK Mappings'!$F526))),ISNUMBER(SEARCH(IF(F$2&lt;&gt;"",F$2,"NA"),'MITRE ATT&amp;CK Mappings'!$G526))),ISNUMBER(SEARCH(IF(F$2&lt;&gt;"",F$2,"NA"),'MITRE ATT&amp;CK Mappings'!$H526))),ISNUMBER(SEARCH(IF(F$3&lt;&gt;"",F$3,"NA"),'MITRE ATT&amp;CK Mappings'!$I526))),ISNUMBER(SEARCH(IF(F$3&lt;&gt;"",F$3,"NA"),'MITRE ATT&amp;CK Mappings'!$J526))), 'MITRE ATT&amp;CK Mappings'!$B526,"")</f>
        <v/>
      </c>
      <c r="G530" s="26" t="str">
        <f>IF(OR(OR(OR(OR(OR(ISNUMBER(SEARCH(IF(G$1&lt;&gt;"",G$1,"NA"),'MITRE ATT&amp;CK Mappings'!$E526)),ISNUMBER(SEARCH(IF(G$1&lt;&gt;"",G$1,"NA"),'MITRE ATT&amp;CK Mappings'!$F526))),ISNUMBER(SEARCH(IF(G$2&lt;&gt;"",G$2,"NA"),'MITRE ATT&amp;CK Mappings'!$G526))),ISNUMBER(SEARCH(IF(G$2&lt;&gt;"",G$2,"NA"),'MITRE ATT&amp;CK Mappings'!$H526))),ISNUMBER(SEARCH(IF(G$3&lt;&gt;"",G$3,"NA"),'MITRE ATT&amp;CK Mappings'!$I526))),ISNUMBER(SEARCH(IF(G$3&lt;&gt;"",G$3,"NA"),'MITRE ATT&amp;CK Mappings'!$J526))), 'MITRE ATT&amp;CK Mappings'!$B526,"")</f>
        <v/>
      </c>
      <c r="H530" s="26" t="str">
        <f>IF(OR(OR(OR(OR(OR(ISNUMBER(SEARCH(IF(H$1&lt;&gt;"",H$1,"NA"),'MITRE ATT&amp;CK Mappings'!$E526)),ISNUMBER(SEARCH(IF(H$1&lt;&gt;"",H$1,"NA"),'MITRE ATT&amp;CK Mappings'!$F526))),ISNUMBER(SEARCH(IF(H$2&lt;&gt;"",H$2,"NA"),'MITRE ATT&amp;CK Mappings'!$G526))),ISNUMBER(SEARCH(IF(H$2&lt;&gt;"",H$2,"NA"),'MITRE ATT&amp;CK Mappings'!$H526))),ISNUMBER(SEARCH(IF(H$3&lt;&gt;"",H$3,"NA"),'MITRE ATT&amp;CK Mappings'!$I526))),ISNUMBER(SEARCH(IF(H$3&lt;&gt;"",H$3,"NA"),'MITRE ATT&amp;CK Mappings'!$J526))), 'MITRE ATT&amp;CK Mappings'!$B526,"")</f>
        <v/>
      </c>
      <c r="I530" s="26" t="str">
        <f>IF(OR(OR(OR(OR(OR(ISNUMBER(SEARCH(IF(I$1&lt;&gt;"",I$1,"NA"),'MITRE ATT&amp;CK Mappings'!$E526)),ISNUMBER(SEARCH(IF(I$1&lt;&gt;"",I$1,"NA"),'MITRE ATT&amp;CK Mappings'!$F526))),ISNUMBER(SEARCH(IF(I$2&lt;&gt;"",I$2,"NA"),'MITRE ATT&amp;CK Mappings'!$G526))),ISNUMBER(SEARCH(IF(I$2&lt;&gt;"",I$2,"NA"),'MITRE ATT&amp;CK Mappings'!$H526))),ISNUMBER(SEARCH(IF(I$3&lt;&gt;"",I$3,"NA"),'MITRE ATT&amp;CK Mappings'!$I526))),ISNUMBER(SEARCH(IF(I$3&lt;&gt;"",I$3,"NA"),'MITRE ATT&amp;CK Mappings'!$J526))), 'MITRE ATT&amp;CK Mappings'!$B526,"")</f>
        <v/>
      </c>
      <c r="J530" s="26" t="str">
        <f>IF(OR(OR(OR(OR(OR(ISNUMBER(SEARCH(IF(J$1&lt;&gt;"",J$1,"NA"),'MITRE ATT&amp;CK Mappings'!$E526)),ISNUMBER(SEARCH(IF(J$1&lt;&gt;"",J$1,"NA"),'MITRE ATT&amp;CK Mappings'!$F526))),ISNUMBER(SEARCH(IF(J$2&lt;&gt;"",J$2,"NA"),'MITRE ATT&amp;CK Mappings'!$G526))),ISNUMBER(SEARCH(IF(J$2&lt;&gt;"",J$2,"NA"),'MITRE ATT&amp;CK Mappings'!$H526))),ISNUMBER(SEARCH(IF(J$3&lt;&gt;"",J$3,"NA"),'MITRE ATT&amp;CK Mappings'!$I526))),ISNUMBER(SEARCH(IF(J$3&lt;&gt;"",J$3,"NA"),'MITRE ATT&amp;CK Mappings'!$J526))), 'MITRE ATT&amp;CK Mappings'!$B526,"")</f>
        <v/>
      </c>
      <c r="K530" s="26" t="str">
        <f>IF(OR(OR(OR(OR(OR(ISNUMBER(SEARCH(IF(K$1&lt;&gt;"",K$1,"NA"),'MITRE ATT&amp;CK Mappings'!$E526)),ISNUMBER(SEARCH(IF(K$1&lt;&gt;"",K$1,"NA"),'MITRE ATT&amp;CK Mappings'!$F526))),ISNUMBER(SEARCH(IF(K$2&lt;&gt;"",K$2,"NA"),'MITRE ATT&amp;CK Mappings'!$G526))),ISNUMBER(SEARCH(IF(K$2&lt;&gt;"",K$2,"NA"),'MITRE ATT&amp;CK Mappings'!$H526))),ISNUMBER(SEARCH(IF(K$3&lt;&gt;"",K$3,"NA"),'MITRE ATT&amp;CK Mappings'!$I526))),ISNUMBER(SEARCH(IF(K$3&lt;&gt;"",K$3,"NA"),'MITRE ATT&amp;CK Mappings'!$J526))), 'MITRE ATT&amp;CK Mappings'!$B526,"")</f>
        <v/>
      </c>
      <c r="L530" s="26" t="str">
        <f>IF('MITRE ATT&amp;CK Mappings'!D526 &lt;&gt;"",'MITRE ATT&amp;CK Mappings'!D526,"" )</f>
        <v/>
      </c>
    </row>
    <row r="531" spans="1:12" x14ac:dyDescent="0.25">
      <c r="A531" s="27" t="str">
        <f>IF(COUNTIF(B531:K531,"="&amp;'MITRE ATT&amp;CK Mappings'!B527)&gt;0,'MITRE ATT&amp;CK Mappings'!B527,"")</f>
        <v/>
      </c>
      <c r="B531" s="27" t="str">
        <f>IF(OR(OR(OR(OR(OR(ISNUMBER(SEARCH(IF(B$1&lt;&gt;"",B$1,"NA"),'MITRE ATT&amp;CK Mappings'!$E527)),ISNUMBER(SEARCH(IF(B$1&lt;&gt;"",B$1,"NA"),'MITRE ATT&amp;CK Mappings'!$F527))),ISNUMBER(SEARCH(IF(B$2&lt;&gt;"",B$2,"NA"),'MITRE ATT&amp;CK Mappings'!$G527))),ISNUMBER(SEARCH(IF(B$2&lt;&gt;"",B$2,"NA"),'MITRE ATT&amp;CK Mappings'!$H527))),ISNUMBER(SEARCH(IF(B$3&lt;&gt;"",B$3,"NA"),'MITRE ATT&amp;CK Mappings'!$I527))),ISNUMBER(SEARCH(IF(B$3&lt;&gt;"",B$3,"NA"),'MITRE ATT&amp;CK Mappings'!$J527))), 'MITRE ATT&amp;CK Mappings'!$B527,"")</f>
        <v/>
      </c>
      <c r="C531" s="27" t="str">
        <f>IF(OR(OR(OR(OR(OR(ISNUMBER(SEARCH(IF(C$1&lt;&gt;"",C$1,"NA"),'MITRE ATT&amp;CK Mappings'!$E527)),ISNUMBER(SEARCH(IF(C$1&lt;&gt;"",C$1,"NA"),'MITRE ATT&amp;CK Mappings'!$F527))),ISNUMBER(SEARCH(IF(C$2&lt;&gt;"",C$2,"NA"),'MITRE ATT&amp;CK Mappings'!$G527))),ISNUMBER(SEARCH(IF(C$2&lt;&gt;"",C$2,"NA"),'MITRE ATT&amp;CK Mappings'!$H527))),ISNUMBER(SEARCH(IF(C$3&lt;&gt;"",C$3,"NA"),'MITRE ATT&amp;CK Mappings'!$I527))),ISNUMBER(SEARCH(IF(C$3&lt;&gt;"",C$3,"NA"),'MITRE ATT&amp;CK Mappings'!$J527))), 'MITRE ATT&amp;CK Mappings'!$B527,"")</f>
        <v/>
      </c>
      <c r="D531" s="27" t="str">
        <f>IF(OR(OR(OR(OR(OR(ISNUMBER(SEARCH(IF(D$1&lt;&gt;"",D$1,"NA"),'MITRE ATT&amp;CK Mappings'!$E527)),ISNUMBER(SEARCH(IF(D$1&lt;&gt;"",D$1,"NA"),'MITRE ATT&amp;CK Mappings'!$F527))),ISNUMBER(SEARCH(IF(D$2&lt;&gt;"",D$2,"NA"),'MITRE ATT&amp;CK Mappings'!$G527))),ISNUMBER(SEARCH(IF(D$2&lt;&gt;"",D$2,"NA"),'MITRE ATT&amp;CK Mappings'!$H527))),ISNUMBER(SEARCH(IF(D$3&lt;&gt;"",D$3,"NA"),'MITRE ATT&amp;CK Mappings'!$I527))),ISNUMBER(SEARCH(IF(D$3&lt;&gt;"",D$3,"NA"),'MITRE ATT&amp;CK Mappings'!$J527))), 'MITRE ATT&amp;CK Mappings'!$B527,"")</f>
        <v/>
      </c>
      <c r="E531" s="27" t="str">
        <f>IF(OR(OR(OR(OR(OR(ISNUMBER(SEARCH(IF(E$1&lt;&gt;"",E$1,"NA"),'MITRE ATT&amp;CK Mappings'!$E527)),ISNUMBER(SEARCH(IF(E$1&lt;&gt;"",E$1,"NA"),'MITRE ATT&amp;CK Mappings'!$F527))),ISNUMBER(SEARCH(IF(E$2&lt;&gt;"",E$2,"NA"),'MITRE ATT&amp;CK Mappings'!$G527))),ISNUMBER(SEARCH(IF(E$2&lt;&gt;"",E$2,"NA"),'MITRE ATT&amp;CK Mappings'!$H527))),ISNUMBER(SEARCH(IF(E$3&lt;&gt;"",E$3,"NA"),'MITRE ATT&amp;CK Mappings'!$I527))),ISNUMBER(SEARCH(IF(E$3&lt;&gt;"",E$3,"NA"),'MITRE ATT&amp;CK Mappings'!$J527))), 'MITRE ATT&amp;CK Mappings'!$B527,"")</f>
        <v/>
      </c>
      <c r="F531" s="27" t="str">
        <f>IF(OR(OR(OR(OR(OR(ISNUMBER(SEARCH(IF(F$1&lt;&gt;"",F$1,"NA"),'MITRE ATT&amp;CK Mappings'!$E527)),ISNUMBER(SEARCH(IF(F$1&lt;&gt;"",F$1,"NA"),'MITRE ATT&amp;CK Mappings'!$F527))),ISNUMBER(SEARCH(IF(F$2&lt;&gt;"",F$2,"NA"),'MITRE ATT&amp;CK Mappings'!$G527))),ISNUMBER(SEARCH(IF(F$2&lt;&gt;"",F$2,"NA"),'MITRE ATT&amp;CK Mappings'!$H527))),ISNUMBER(SEARCH(IF(F$3&lt;&gt;"",F$3,"NA"),'MITRE ATT&amp;CK Mappings'!$I527))),ISNUMBER(SEARCH(IF(F$3&lt;&gt;"",F$3,"NA"),'MITRE ATT&amp;CK Mappings'!$J527))), 'MITRE ATT&amp;CK Mappings'!$B527,"")</f>
        <v/>
      </c>
      <c r="G531" s="27" t="str">
        <f>IF(OR(OR(OR(OR(OR(ISNUMBER(SEARCH(IF(G$1&lt;&gt;"",G$1,"NA"),'MITRE ATT&amp;CK Mappings'!$E527)),ISNUMBER(SEARCH(IF(G$1&lt;&gt;"",G$1,"NA"),'MITRE ATT&amp;CK Mappings'!$F527))),ISNUMBER(SEARCH(IF(G$2&lt;&gt;"",G$2,"NA"),'MITRE ATT&amp;CK Mappings'!$G527))),ISNUMBER(SEARCH(IF(G$2&lt;&gt;"",G$2,"NA"),'MITRE ATT&amp;CK Mappings'!$H527))),ISNUMBER(SEARCH(IF(G$3&lt;&gt;"",G$3,"NA"),'MITRE ATT&amp;CK Mappings'!$I527))),ISNUMBER(SEARCH(IF(G$3&lt;&gt;"",G$3,"NA"),'MITRE ATT&amp;CK Mappings'!$J527))), 'MITRE ATT&amp;CK Mappings'!$B527,"")</f>
        <v/>
      </c>
      <c r="H531" s="27" t="str">
        <f>IF(OR(OR(OR(OR(OR(ISNUMBER(SEARCH(IF(H$1&lt;&gt;"",H$1,"NA"),'MITRE ATT&amp;CK Mappings'!$E527)),ISNUMBER(SEARCH(IF(H$1&lt;&gt;"",H$1,"NA"),'MITRE ATT&amp;CK Mappings'!$F527))),ISNUMBER(SEARCH(IF(H$2&lt;&gt;"",H$2,"NA"),'MITRE ATT&amp;CK Mappings'!$G527))),ISNUMBER(SEARCH(IF(H$2&lt;&gt;"",H$2,"NA"),'MITRE ATT&amp;CK Mappings'!$H527))),ISNUMBER(SEARCH(IF(H$3&lt;&gt;"",H$3,"NA"),'MITRE ATT&amp;CK Mappings'!$I527))),ISNUMBER(SEARCH(IF(H$3&lt;&gt;"",H$3,"NA"),'MITRE ATT&amp;CK Mappings'!$J527))), 'MITRE ATT&amp;CK Mappings'!$B527,"")</f>
        <v/>
      </c>
      <c r="I531" s="27" t="str">
        <f>IF(OR(OR(OR(OR(OR(ISNUMBER(SEARCH(IF(I$1&lt;&gt;"",I$1,"NA"),'MITRE ATT&amp;CK Mappings'!$E527)),ISNUMBER(SEARCH(IF(I$1&lt;&gt;"",I$1,"NA"),'MITRE ATT&amp;CK Mappings'!$F527))),ISNUMBER(SEARCH(IF(I$2&lt;&gt;"",I$2,"NA"),'MITRE ATT&amp;CK Mappings'!$G527))),ISNUMBER(SEARCH(IF(I$2&lt;&gt;"",I$2,"NA"),'MITRE ATT&amp;CK Mappings'!$H527))),ISNUMBER(SEARCH(IF(I$3&lt;&gt;"",I$3,"NA"),'MITRE ATT&amp;CK Mappings'!$I527))),ISNUMBER(SEARCH(IF(I$3&lt;&gt;"",I$3,"NA"),'MITRE ATT&amp;CK Mappings'!$J527))), 'MITRE ATT&amp;CK Mappings'!$B527,"")</f>
        <v/>
      </c>
      <c r="J531" s="27" t="str">
        <f>IF(OR(OR(OR(OR(OR(ISNUMBER(SEARCH(IF(J$1&lt;&gt;"",J$1,"NA"),'MITRE ATT&amp;CK Mappings'!$E527)),ISNUMBER(SEARCH(IF(J$1&lt;&gt;"",J$1,"NA"),'MITRE ATT&amp;CK Mappings'!$F527))),ISNUMBER(SEARCH(IF(J$2&lt;&gt;"",J$2,"NA"),'MITRE ATT&amp;CK Mappings'!$G527))),ISNUMBER(SEARCH(IF(J$2&lt;&gt;"",J$2,"NA"),'MITRE ATT&amp;CK Mappings'!$H527))),ISNUMBER(SEARCH(IF(J$3&lt;&gt;"",J$3,"NA"),'MITRE ATT&amp;CK Mappings'!$I527))),ISNUMBER(SEARCH(IF(J$3&lt;&gt;"",J$3,"NA"),'MITRE ATT&amp;CK Mappings'!$J527))), 'MITRE ATT&amp;CK Mappings'!$B527,"")</f>
        <v/>
      </c>
      <c r="K531" s="27" t="str">
        <f>IF(OR(OR(OR(OR(OR(ISNUMBER(SEARCH(IF(K$1&lt;&gt;"",K$1,"NA"),'MITRE ATT&amp;CK Mappings'!$E527)),ISNUMBER(SEARCH(IF(K$1&lt;&gt;"",K$1,"NA"),'MITRE ATT&amp;CK Mappings'!$F527))),ISNUMBER(SEARCH(IF(K$2&lt;&gt;"",K$2,"NA"),'MITRE ATT&amp;CK Mappings'!$G527))),ISNUMBER(SEARCH(IF(K$2&lt;&gt;"",K$2,"NA"),'MITRE ATT&amp;CK Mappings'!$H527))),ISNUMBER(SEARCH(IF(K$3&lt;&gt;"",K$3,"NA"),'MITRE ATT&amp;CK Mappings'!$I527))),ISNUMBER(SEARCH(IF(K$3&lt;&gt;"",K$3,"NA"),'MITRE ATT&amp;CK Mappings'!$J527))), 'MITRE ATT&amp;CK Mappings'!$B527,"")</f>
        <v/>
      </c>
      <c r="L531" s="27" t="str">
        <f>IF('MITRE ATT&amp;CK Mappings'!D527 &lt;&gt;"",'MITRE ATT&amp;CK Mappings'!D527,"" )</f>
        <v/>
      </c>
    </row>
    <row r="532" spans="1:12" x14ac:dyDescent="0.25">
      <c r="A532" s="26" t="str">
        <f>IF(COUNTIF(B532:K532,"="&amp;'MITRE ATT&amp;CK Mappings'!B528)&gt;0,'MITRE ATT&amp;CK Mappings'!B528,"")</f>
        <v/>
      </c>
      <c r="B532" s="26" t="str">
        <f>IF(OR(OR(OR(OR(OR(ISNUMBER(SEARCH(IF(B$1&lt;&gt;"",B$1,"NA"),'MITRE ATT&amp;CK Mappings'!$E528)),ISNUMBER(SEARCH(IF(B$1&lt;&gt;"",B$1,"NA"),'MITRE ATT&amp;CK Mappings'!$F528))),ISNUMBER(SEARCH(IF(B$2&lt;&gt;"",B$2,"NA"),'MITRE ATT&amp;CK Mappings'!$G528))),ISNUMBER(SEARCH(IF(B$2&lt;&gt;"",B$2,"NA"),'MITRE ATT&amp;CK Mappings'!$H528))),ISNUMBER(SEARCH(IF(B$3&lt;&gt;"",B$3,"NA"),'MITRE ATT&amp;CK Mappings'!$I528))),ISNUMBER(SEARCH(IF(B$3&lt;&gt;"",B$3,"NA"),'MITRE ATT&amp;CK Mappings'!$J528))), 'MITRE ATT&amp;CK Mappings'!$B528,"")</f>
        <v/>
      </c>
      <c r="C532" s="26" t="str">
        <f>IF(OR(OR(OR(OR(OR(ISNUMBER(SEARCH(IF(C$1&lt;&gt;"",C$1,"NA"),'MITRE ATT&amp;CK Mappings'!$E528)),ISNUMBER(SEARCH(IF(C$1&lt;&gt;"",C$1,"NA"),'MITRE ATT&amp;CK Mappings'!$F528))),ISNUMBER(SEARCH(IF(C$2&lt;&gt;"",C$2,"NA"),'MITRE ATT&amp;CK Mappings'!$G528))),ISNUMBER(SEARCH(IF(C$2&lt;&gt;"",C$2,"NA"),'MITRE ATT&amp;CK Mappings'!$H528))),ISNUMBER(SEARCH(IF(C$3&lt;&gt;"",C$3,"NA"),'MITRE ATT&amp;CK Mappings'!$I528))),ISNUMBER(SEARCH(IF(C$3&lt;&gt;"",C$3,"NA"),'MITRE ATT&amp;CK Mappings'!$J528))), 'MITRE ATT&amp;CK Mappings'!$B528,"")</f>
        <v/>
      </c>
      <c r="D532" s="26" t="str">
        <f>IF(OR(OR(OR(OR(OR(ISNUMBER(SEARCH(IF(D$1&lt;&gt;"",D$1,"NA"),'MITRE ATT&amp;CK Mappings'!$E528)),ISNUMBER(SEARCH(IF(D$1&lt;&gt;"",D$1,"NA"),'MITRE ATT&amp;CK Mappings'!$F528))),ISNUMBER(SEARCH(IF(D$2&lt;&gt;"",D$2,"NA"),'MITRE ATT&amp;CK Mappings'!$G528))),ISNUMBER(SEARCH(IF(D$2&lt;&gt;"",D$2,"NA"),'MITRE ATT&amp;CK Mappings'!$H528))),ISNUMBER(SEARCH(IF(D$3&lt;&gt;"",D$3,"NA"),'MITRE ATT&amp;CK Mappings'!$I528))),ISNUMBER(SEARCH(IF(D$3&lt;&gt;"",D$3,"NA"),'MITRE ATT&amp;CK Mappings'!$J528))), 'MITRE ATT&amp;CK Mappings'!$B528,"")</f>
        <v/>
      </c>
      <c r="E532" s="26" t="str">
        <f>IF(OR(OR(OR(OR(OR(ISNUMBER(SEARCH(IF(E$1&lt;&gt;"",E$1,"NA"),'MITRE ATT&amp;CK Mappings'!$E528)),ISNUMBER(SEARCH(IF(E$1&lt;&gt;"",E$1,"NA"),'MITRE ATT&amp;CK Mappings'!$F528))),ISNUMBER(SEARCH(IF(E$2&lt;&gt;"",E$2,"NA"),'MITRE ATT&amp;CK Mappings'!$G528))),ISNUMBER(SEARCH(IF(E$2&lt;&gt;"",E$2,"NA"),'MITRE ATT&amp;CK Mappings'!$H528))),ISNUMBER(SEARCH(IF(E$3&lt;&gt;"",E$3,"NA"),'MITRE ATT&amp;CK Mappings'!$I528))),ISNUMBER(SEARCH(IF(E$3&lt;&gt;"",E$3,"NA"),'MITRE ATT&amp;CK Mappings'!$J528))), 'MITRE ATT&amp;CK Mappings'!$B528,"")</f>
        <v/>
      </c>
      <c r="F532" s="26" t="str">
        <f>IF(OR(OR(OR(OR(OR(ISNUMBER(SEARCH(IF(F$1&lt;&gt;"",F$1,"NA"),'MITRE ATT&amp;CK Mappings'!$E528)),ISNUMBER(SEARCH(IF(F$1&lt;&gt;"",F$1,"NA"),'MITRE ATT&amp;CK Mappings'!$F528))),ISNUMBER(SEARCH(IF(F$2&lt;&gt;"",F$2,"NA"),'MITRE ATT&amp;CK Mappings'!$G528))),ISNUMBER(SEARCH(IF(F$2&lt;&gt;"",F$2,"NA"),'MITRE ATT&amp;CK Mappings'!$H528))),ISNUMBER(SEARCH(IF(F$3&lt;&gt;"",F$3,"NA"),'MITRE ATT&amp;CK Mappings'!$I528))),ISNUMBER(SEARCH(IF(F$3&lt;&gt;"",F$3,"NA"),'MITRE ATT&amp;CK Mappings'!$J528))), 'MITRE ATT&amp;CK Mappings'!$B528,"")</f>
        <v/>
      </c>
      <c r="G532" s="26" t="str">
        <f>IF(OR(OR(OR(OR(OR(ISNUMBER(SEARCH(IF(G$1&lt;&gt;"",G$1,"NA"),'MITRE ATT&amp;CK Mappings'!$E528)),ISNUMBER(SEARCH(IF(G$1&lt;&gt;"",G$1,"NA"),'MITRE ATT&amp;CK Mappings'!$F528))),ISNUMBER(SEARCH(IF(G$2&lt;&gt;"",G$2,"NA"),'MITRE ATT&amp;CK Mappings'!$G528))),ISNUMBER(SEARCH(IF(G$2&lt;&gt;"",G$2,"NA"),'MITRE ATT&amp;CK Mappings'!$H528))),ISNUMBER(SEARCH(IF(G$3&lt;&gt;"",G$3,"NA"),'MITRE ATT&amp;CK Mappings'!$I528))),ISNUMBER(SEARCH(IF(G$3&lt;&gt;"",G$3,"NA"),'MITRE ATT&amp;CK Mappings'!$J528))), 'MITRE ATT&amp;CK Mappings'!$B528,"")</f>
        <v/>
      </c>
      <c r="H532" s="26" t="str">
        <f>IF(OR(OR(OR(OR(OR(ISNUMBER(SEARCH(IF(H$1&lt;&gt;"",H$1,"NA"),'MITRE ATT&amp;CK Mappings'!$E528)),ISNUMBER(SEARCH(IF(H$1&lt;&gt;"",H$1,"NA"),'MITRE ATT&amp;CK Mappings'!$F528))),ISNUMBER(SEARCH(IF(H$2&lt;&gt;"",H$2,"NA"),'MITRE ATT&amp;CK Mappings'!$G528))),ISNUMBER(SEARCH(IF(H$2&lt;&gt;"",H$2,"NA"),'MITRE ATT&amp;CK Mappings'!$H528))),ISNUMBER(SEARCH(IF(H$3&lt;&gt;"",H$3,"NA"),'MITRE ATT&amp;CK Mappings'!$I528))),ISNUMBER(SEARCH(IF(H$3&lt;&gt;"",H$3,"NA"),'MITRE ATT&amp;CK Mappings'!$J528))), 'MITRE ATT&amp;CK Mappings'!$B528,"")</f>
        <v/>
      </c>
      <c r="I532" s="26" t="str">
        <f>IF(OR(OR(OR(OR(OR(ISNUMBER(SEARCH(IF(I$1&lt;&gt;"",I$1,"NA"),'MITRE ATT&amp;CK Mappings'!$E528)),ISNUMBER(SEARCH(IF(I$1&lt;&gt;"",I$1,"NA"),'MITRE ATT&amp;CK Mappings'!$F528))),ISNUMBER(SEARCH(IF(I$2&lt;&gt;"",I$2,"NA"),'MITRE ATT&amp;CK Mappings'!$G528))),ISNUMBER(SEARCH(IF(I$2&lt;&gt;"",I$2,"NA"),'MITRE ATT&amp;CK Mappings'!$H528))),ISNUMBER(SEARCH(IF(I$3&lt;&gt;"",I$3,"NA"),'MITRE ATT&amp;CK Mappings'!$I528))),ISNUMBER(SEARCH(IF(I$3&lt;&gt;"",I$3,"NA"),'MITRE ATT&amp;CK Mappings'!$J528))), 'MITRE ATT&amp;CK Mappings'!$B528,"")</f>
        <v/>
      </c>
      <c r="J532" s="26" t="str">
        <f>IF(OR(OR(OR(OR(OR(ISNUMBER(SEARCH(IF(J$1&lt;&gt;"",J$1,"NA"),'MITRE ATT&amp;CK Mappings'!$E528)),ISNUMBER(SEARCH(IF(J$1&lt;&gt;"",J$1,"NA"),'MITRE ATT&amp;CK Mappings'!$F528))),ISNUMBER(SEARCH(IF(J$2&lt;&gt;"",J$2,"NA"),'MITRE ATT&amp;CK Mappings'!$G528))),ISNUMBER(SEARCH(IF(J$2&lt;&gt;"",J$2,"NA"),'MITRE ATT&amp;CK Mappings'!$H528))),ISNUMBER(SEARCH(IF(J$3&lt;&gt;"",J$3,"NA"),'MITRE ATT&amp;CK Mappings'!$I528))),ISNUMBER(SEARCH(IF(J$3&lt;&gt;"",J$3,"NA"),'MITRE ATT&amp;CK Mappings'!$J528))), 'MITRE ATT&amp;CK Mappings'!$B528,"")</f>
        <v/>
      </c>
      <c r="K532" s="26" t="str">
        <f>IF(OR(OR(OR(OR(OR(ISNUMBER(SEARCH(IF(K$1&lt;&gt;"",K$1,"NA"),'MITRE ATT&amp;CK Mappings'!$E528)),ISNUMBER(SEARCH(IF(K$1&lt;&gt;"",K$1,"NA"),'MITRE ATT&amp;CK Mappings'!$F528))),ISNUMBER(SEARCH(IF(K$2&lt;&gt;"",K$2,"NA"),'MITRE ATT&amp;CK Mappings'!$G528))),ISNUMBER(SEARCH(IF(K$2&lt;&gt;"",K$2,"NA"),'MITRE ATT&amp;CK Mappings'!$H528))),ISNUMBER(SEARCH(IF(K$3&lt;&gt;"",K$3,"NA"),'MITRE ATT&amp;CK Mappings'!$I528))),ISNUMBER(SEARCH(IF(K$3&lt;&gt;"",K$3,"NA"),'MITRE ATT&amp;CK Mappings'!$J528))), 'MITRE ATT&amp;CK Mappings'!$B528,"")</f>
        <v/>
      </c>
      <c r="L532" s="26" t="str">
        <f>IF('MITRE ATT&amp;CK Mappings'!D528 &lt;&gt;"",'MITRE ATT&amp;CK Mappings'!D528,"" )</f>
        <v/>
      </c>
    </row>
    <row r="533" spans="1:12" x14ac:dyDescent="0.25">
      <c r="A533" s="27" t="str">
        <f>IF(COUNTIF(B533:K533,"="&amp;'MITRE ATT&amp;CK Mappings'!B529)&gt;0,'MITRE ATT&amp;CK Mappings'!B529,"")</f>
        <v/>
      </c>
      <c r="B533" s="27" t="str">
        <f>IF(OR(OR(OR(OR(OR(ISNUMBER(SEARCH(IF(B$1&lt;&gt;"",B$1,"NA"),'MITRE ATT&amp;CK Mappings'!$E529)),ISNUMBER(SEARCH(IF(B$1&lt;&gt;"",B$1,"NA"),'MITRE ATT&amp;CK Mappings'!$F529))),ISNUMBER(SEARCH(IF(B$2&lt;&gt;"",B$2,"NA"),'MITRE ATT&amp;CK Mappings'!$G529))),ISNUMBER(SEARCH(IF(B$2&lt;&gt;"",B$2,"NA"),'MITRE ATT&amp;CK Mappings'!$H529))),ISNUMBER(SEARCH(IF(B$3&lt;&gt;"",B$3,"NA"),'MITRE ATT&amp;CK Mappings'!$I529))),ISNUMBER(SEARCH(IF(B$3&lt;&gt;"",B$3,"NA"),'MITRE ATT&amp;CK Mappings'!$J529))), 'MITRE ATT&amp;CK Mappings'!$B529,"")</f>
        <v/>
      </c>
      <c r="C533" s="27" t="str">
        <f>IF(OR(OR(OR(OR(OR(ISNUMBER(SEARCH(IF(C$1&lt;&gt;"",C$1,"NA"),'MITRE ATT&amp;CK Mappings'!$E529)),ISNUMBER(SEARCH(IF(C$1&lt;&gt;"",C$1,"NA"),'MITRE ATT&amp;CK Mappings'!$F529))),ISNUMBER(SEARCH(IF(C$2&lt;&gt;"",C$2,"NA"),'MITRE ATT&amp;CK Mappings'!$G529))),ISNUMBER(SEARCH(IF(C$2&lt;&gt;"",C$2,"NA"),'MITRE ATT&amp;CK Mappings'!$H529))),ISNUMBER(SEARCH(IF(C$3&lt;&gt;"",C$3,"NA"),'MITRE ATT&amp;CK Mappings'!$I529))),ISNUMBER(SEARCH(IF(C$3&lt;&gt;"",C$3,"NA"),'MITRE ATT&amp;CK Mappings'!$J529))), 'MITRE ATT&amp;CK Mappings'!$B529,"")</f>
        <v/>
      </c>
      <c r="D533" s="27" t="str">
        <f>IF(OR(OR(OR(OR(OR(ISNUMBER(SEARCH(IF(D$1&lt;&gt;"",D$1,"NA"),'MITRE ATT&amp;CK Mappings'!$E529)),ISNUMBER(SEARCH(IF(D$1&lt;&gt;"",D$1,"NA"),'MITRE ATT&amp;CK Mappings'!$F529))),ISNUMBER(SEARCH(IF(D$2&lt;&gt;"",D$2,"NA"),'MITRE ATT&amp;CK Mappings'!$G529))),ISNUMBER(SEARCH(IF(D$2&lt;&gt;"",D$2,"NA"),'MITRE ATT&amp;CK Mappings'!$H529))),ISNUMBER(SEARCH(IF(D$3&lt;&gt;"",D$3,"NA"),'MITRE ATT&amp;CK Mappings'!$I529))),ISNUMBER(SEARCH(IF(D$3&lt;&gt;"",D$3,"NA"),'MITRE ATT&amp;CK Mappings'!$J529))), 'MITRE ATT&amp;CK Mappings'!$B529,"")</f>
        <v/>
      </c>
      <c r="E533" s="27" t="str">
        <f>IF(OR(OR(OR(OR(OR(ISNUMBER(SEARCH(IF(E$1&lt;&gt;"",E$1,"NA"),'MITRE ATT&amp;CK Mappings'!$E529)),ISNUMBER(SEARCH(IF(E$1&lt;&gt;"",E$1,"NA"),'MITRE ATT&amp;CK Mappings'!$F529))),ISNUMBER(SEARCH(IF(E$2&lt;&gt;"",E$2,"NA"),'MITRE ATT&amp;CK Mappings'!$G529))),ISNUMBER(SEARCH(IF(E$2&lt;&gt;"",E$2,"NA"),'MITRE ATT&amp;CK Mappings'!$H529))),ISNUMBER(SEARCH(IF(E$3&lt;&gt;"",E$3,"NA"),'MITRE ATT&amp;CK Mappings'!$I529))),ISNUMBER(SEARCH(IF(E$3&lt;&gt;"",E$3,"NA"),'MITRE ATT&amp;CK Mappings'!$J529))), 'MITRE ATT&amp;CK Mappings'!$B529,"")</f>
        <v/>
      </c>
      <c r="F533" s="27" t="str">
        <f>IF(OR(OR(OR(OR(OR(ISNUMBER(SEARCH(IF(F$1&lt;&gt;"",F$1,"NA"),'MITRE ATT&amp;CK Mappings'!$E529)),ISNUMBER(SEARCH(IF(F$1&lt;&gt;"",F$1,"NA"),'MITRE ATT&amp;CK Mappings'!$F529))),ISNUMBER(SEARCH(IF(F$2&lt;&gt;"",F$2,"NA"),'MITRE ATT&amp;CK Mappings'!$G529))),ISNUMBER(SEARCH(IF(F$2&lt;&gt;"",F$2,"NA"),'MITRE ATT&amp;CK Mappings'!$H529))),ISNUMBER(SEARCH(IF(F$3&lt;&gt;"",F$3,"NA"),'MITRE ATT&amp;CK Mappings'!$I529))),ISNUMBER(SEARCH(IF(F$3&lt;&gt;"",F$3,"NA"),'MITRE ATT&amp;CK Mappings'!$J529))), 'MITRE ATT&amp;CK Mappings'!$B529,"")</f>
        <v/>
      </c>
      <c r="G533" s="27" t="str">
        <f>IF(OR(OR(OR(OR(OR(ISNUMBER(SEARCH(IF(G$1&lt;&gt;"",G$1,"NA"),'MITRE ATT&amp;CK Mappings'!$E529)),ISNUMBER(SEARCH(IF(G$1&lt;&gt;"",G$1,"NA"),'MITRE ATT&amp;CK Mappings'!$F529))),ISNUMBER(SEARCH(IF(G$2&lt;&gt;"",G$2,"NA"),'MITRE ATT&amp;CK Mappings'!$G529))),ISNUMBER(SEARCH(IF(G$2&lt;&gt;"",G$2,"NA"),'MITRE ATT&amp;CK Mappings'!$H529))),ISNUMBER(SEARCH(IF(G$3&lt;&gt;"",G$3,"NA"),'MITRE ATT&amp;CK Mappings'!$I529))),ISNUMBER(SEARCH(IF(G$3&lt;&gt;"",G$3,"NA"),'MITRE ATT&amp;CK Mappings'!$J529))), 'MITRE ATT&amp;CK Mappings'!$B529,"")</f>
        <v/>
      </c>
      <c r="H533" s="27" t="str">
        <f>IF(OR(OR(OR(OR(OR(ISNUMBER(SEARCH(IF(H$1&lt;&gt;"",H$1,"NA"),'MITRE ATT&amp;CK Mappings'!$E529)),ISNUMBER(SEARCH(IF(H$1&lt;&gt;"",H$1,"NA"),'MITRE ATT&amp;CK Mappings'!$F529))),ISNUMBER(SEARCH(IF(H$2&lt;&gt;"",H$2,"NA"),'MITRE ATT&amp;CK Mappings'!$G529))),ISNUMBER(SEARCH(IF(H$2&lt;&gt;"",H$2,"NA"),'MITRE ATT&amp;CK Mappings'!$H529))),ISNUMBER(SEARCH(IF(H$3&lt;&gt;"",H$3,"NA"),'MITRE ATT&amp;CK Mappings'!$I529))),ISNUMBER(SEARCH(IF(H$3&lt;&gt;"",H$3,"NA"),'MITRE ATT&amp;CK Mappings'!$J529))), 'MITRE ATT&amp;CK Mappings'!$B529,"")</f>
        <v/>
      </c>
      <c r="I533" s="27" t="str">
        <f>IF(OR(OR(OR(OR(OR(ISNUMBER(SEARCH(IF(I$1&lt;&gt;"",I$1,"NA"),'MITRE ATT&amp;CK Mappings'!$E529)),ISNUMBER(SEARCH(IF(I$1&lt;&gt;"",I$1,"NA"),'MITRE ATT&amp;CK Mappings'!$F529))),ISNUMBER(SEARCH(IF(I$2&lt;&gt;"",I$2,"NA"),'MITRE ATT&amp;CK Mappings'!$G529))),ISNUMBER(SEARCH(IF(I$2&lt;&gt;"",I$2,"NA"),'MITRE ATT&amp;CK Mappings'!$H529))),ISNUMBER(SEARCH(IF(I$3&lt;&gt;"",I$3,"NA"),'MITRE ATT&amp;CK Mappings'!$I529))),ISNUMBER(SEARCH(IF(I$3&lt;&gt;"",I$3,"NA"),'MITRE ATT&amp;CK Mappings'!$J529))), 'MITRE ATT&amp;CK Mappings'!$B529,"")</f>
        <v/>
      </c>
      <c r="J533" s="27" t="str">
        <f>IF(OR(OR(OR(OR(OR(ISNUMBER(SEARCH(IF(J$1&lt;&gt;"",J$1,"NA"),'MITRE ATT&amp;CK Mappings'!$E529)),ISNUMBER(SEARCH(IF(J$1&lt;&gt;"",J$1,"NA"),'MITRE ATT&amp;CK Mappings'!$F529))),ISNUMBER(SEARCH(IF(J$2&lt;&gt;"",J$2,"NA"),'MITRE ATT&amp;CK Mappings'!$G529))),ISNUMBER(SEARCH(IF(J$2&lt;&gt;"",J$2,"NA"),'MITRE ATT&amp;CK Mappings'!$H529))),ISNUMBER(SEARCH(IF(J$3&lt;&gt;"",J$3,"NA"),'MITRE ATT&amp;CK Mappings'!$I529))),ISNUMBER(SEARCH(IF(J$3&lt;&gt;"",J$3,"NA"),'MITRE ATT&amp;CK Mappings'!$J529))), 'MITRE ATT&amp;CK Mappings'!$B529,"")</f>
        <v/>
      </c>
      <c r="K533" s="27" t="str">
        <f>IF(OR(OR(OR(OR(OR(ISNUMBER(SEARCH(IF(K$1&lt;&gt;"",K$1,"NA"),'MITRE ATT&amp;CK Mappings'!$E529)),ISNUMBER(SEARCH(IF(K$1&lt;&gt;"",K$1,"NA"),'MITRE ATT&amp;CK Mappings'!$F529))),ISNUMBER(SEARCH(IF(K$2&lt;&gt;"",K$2,"NA"),'MITRE ATT&amp;CK Mappings'!$G529))),ISNUMBER(SEARCH(IF(K$2&lt;&gt;"",K$2,"NA"),'MITRE ATT&amp;CK Mappings'!$H529))),ISNUMBER(SEARCH(IF(K$3&lt;&gt;"",K$3,"NA"),'MITRE ATT&amp;CK Mappings'!$I529))),ISNUMBER(SEARCH(IF(K$3&lt;&gt;"",K$3,"NA"),'MITRE ATT&amp;CK Mappings'!$J529))), 'MITRE ATT&amp;CK Mappings'!$B529,"")</f>
        <v/>
      </c>
      <c r="L533" s="27" t="str">
        <f>IF('MITRE ATT&amp;CK Mappings'!D529 &lt;&gt;"",'MITRE ATT&amp;CK Mappings'!D529,"" )</f>
        <v/>
      </c>
    </row>
    <row r="534" spans="1:12" x14ac:dyDescent="0.25">
      <c r="A534" s="26" t="str">
        <f>IF(COUNTIF(B534:K534,"="&amp;'MITRE ATT&amp;CK Mappings'!B530)&gt;0,'MITRE ATT&amp;CK Mappings'!B530,"")</f>
        <v/>
      </c>
      <c r="B534" s="26" t="str">
        <f>IF(OR(OR(OR(OR(OR(ISNUMBER(SEARCH(IF(B$1&lt;&gt;"",B$1,"NA"),'MITRE ATT&amp;CK Mappings'!$E530)),ISNUMBER(SEARCH(IF(B$1&lt;&gt;"",B$1,"NA"),'MITRE ATT&amp;CK Mappings'!$F530))),ISNUMBER(SEARCH(IF(B$2&lt;&gt;"",B$2,"NA"),'MITRE ATT&amp;CK Mappings'!$G530))),ISNUMBER(SEARCH(IF(B$2&lt;&gt;"",B$2,"NA"),'MITRE ATT&amp;CK Mappings'!$H530))),ISNUMBER(SEARCH(IF(B$3&lt;&gt;"",B$3,"NA"),'MITRE ATT&amp;CK Mappings'!$I530))),ISNUMBER(SEARCH(IF(B$3&lt;&gt;"",B$3,"NA"),'MITRE ATT&amp;CK Mappings'!$J530))), 'MITRE ATT&amp;CK Mappings'!$B530,"")</f>
        <v/>
      </c>
      <c r="C534" s="26" t="str">
        <f>IF(OR(OR(OR(OR(OR(ISNUMBER(SEARCH(IF(C$1&lt;&gt;"",C$1,"NA"),'MITRE ATT&amp;CK Mappings'!$E530)),ISNUMBER(SEARCH(IF(C$1&lt;&gt;"",C$1,"NA"),'MITRE ATT&amp;CK Mappings'!$F530))),ISNUMBER(SEARCH(IF(C$2&lt;&gt;"",C$2,"NA"),'MITRE ATT&amp;CK Mappings'!$G530))),ISNUMBER(SEARCH(IF(C$2&lt;&gt;"",C$2,"NA"),'MITRE ATT&amp;CK Mappings'!$H530))),ISNUMBER(SEARCH(IF(C$3&lt;&gt;"",C$3,"NA"),'MITRE ATT&amp;CK Mappings'!$I530))),ISNUMBER(SEARCH(IF(C$3&lt;&gt;"",C$3,"NA"),'MITRE ATT&amp;CK Mappings'!$J530))), 'MITRE ATT&amp;CK Mappings'!$B530,"")</f>
        <v/>
      </c>
      <c r="D534" s="26" t="str">
        <f>IF(OR(OR(OR(OR(OR(ISNUMBER(SEARCH(IF(D$1&lt;&gt;"",D$1,"NA"),'MITRE ATT&amp;CK Mappings'!$E530)),ISNUMBER(SEARCH(IF(D$1&lt;&gt;"",D$1,"NA"),'MITRE ATT&amp;CK Mappings'!$F530))),ISNUMBER(SEARCH(IF(D$2&lt;&gt;"",D$2,"NA"),'MITRE ATT&amp;CK Mappings'!$G530))),ISNUMBER(SEARCH(IF(D$2&lt;&gt;"",D$2,"NA"),'MITRE ATT&amp;CK Mappings'!$H530))),ISNUMBER(SEARCH(IF(D$3&lt;&gt;"",D$3,"NA"),'MITRE ATT&amp;CK Mappings'!$I530))),ISNUMBER(SEARCH(IF(D$3&lt;&gt;"",D$3,"NA"),'MITRE ATT&amp;CK Mappings'!$J530))), 'MITRE ATT&amp;CK Mappings'!$B530,"")</f>
        <v/>
      </c>
      <c r="E534" s="26" t="str">
        <f>IF(OR(OR(OR(OR(OR(ISNUMBER(SEARCH(IF(E$1&lt;&gt;"",E$1,"NA"),'MITRE ATT&amp;CK Mappings'!$E530)),ISNUMBER(SEARCH(IF(E$1&lt;&gt;"",E$1,"NA"),'MITRE ATT&amp;CK Mappings'!$F530))),ISNUMBER(SEARCH(IF(E$2&lt;&gt;"",E$2,"NA"),'MITRE ATT&amp;CK Mappings'!$G530))),ISNUMBER(SEARCH(IF(E$2&lt;&gt;"",E$2,"NA"),'MITRE ATT&amp;CK Mappings'!$H530))),ISNUMBER(SEARCH(IF(E$3&lt;&gt;"",E$3,"NA"),'MITRE ATT&amp;CK Mappings'!$I530))),ISNUMBER(SEARCH(IF(E$3&lt;&gt;"",E$3,"NA"),'MITRE ATT&amp;CK Mappings'!$J530))), 'MITRE ATT&amp;CK Mappings'!$B530,"")</f>
        <v/>
      </c>
      <c r="F534" s="26" t="str">
        <f>IF(OR(OR(OR(OR(OR(ISNUMBER(SEARCH(IF(F$1&lt;&gt;"",F$1,"NA"),'MITRE ATT&amp;CK Mappings'!$E530)),ISNUMBER(SEARCH(IF(F$1&lt;&gt;"",F$1,"NA"),'MITRE ATT&amp;CK Mappings'!$F530))),ISNUMBER(SEARCH(IF(F$2&lt;&gt;"",F$2,"NA"),'MITRE ATT&amp;CK Mappings'!$G530))),ISNUMBER(SEARCH(IF(F$2&lt;&gt;"",F$2,"NA"),'MITRE ATT&amp;CK Mappings'!$H530))),ISNUMBER(SEARCH(IF(F$3&lt;&gt;"",F$3,"NA"),'MITRE ATT&amp;CK Mappings'!$I530))),ISNUMBER(SEARCH(IF(F$3&lt;&gt;"",F$3,"NA"),'MITRE ATT&amp;CK Mappings'!$J530))), 'MITRE ATT&amp;CK Mappings'!$B530,"")</f>
        <v/>
      </c>
      <c r="G534" s="26" t="str">
        <f>IF(OR(OR(OR(OR(OR(ISNUMBER(SEARCH(IF(G$1&lt;&gt;"",G$1,"NA"),'MITRE ATT&amp;CK Mappings'!$E530)),ISNUMBER(SEARCH(IF(G$1&lt;&gt;"",G$1,"NA"),'MITRE ATT&amp;CK Mappings'!$F530))),ISNUMBER(SEARCH(IF(G$2&lt;&gt;"",G$2,"NA"),'MITRE ATT&amp;CK Mappings'!$G530))),ISNUMBER(SEARCH(IF(G$2&lt;&gt;"",G$2,"NA"),'MITRE ATT&amp;CK Mappings'!$H530))),ISNUMBER(SEARCH(IF(G$3&lt;&gt;"",G$3,"NA"),'MITRE ATT&amp;CK Mappings'!$I530))),ISNUMBER(SEARCH(IF(G$3&lt;&gt;"",G$3,"NA"),'MITRE ATT&amp;CK Mappings'!$J530))), 'MITRE ATT&amp;CK Mappings'!$B530,"")</f>
        <v/>
      </c>
      <c r="H534" s="26" t="str">
        <f>IF(OR(OR(OR(OR(OR(ISNUMBER(SEARCH(IF(H$1&lt;&gt;"",H$1,"NA"),'MITRE ATT&amp;CK Mappings'!$E530)),ISNUMBER(SEARCH(IF(H$1&lt;&gt;"",H$1,"NA"),'MITRE ATT&amp;CK Mappings'!$F530))),ISNUMBER(SEARCH(IF(H$2&lt;&gt;"",H$2,"NA"),'MITRE ATT&amp;CK Mappings'!$G530))),ISNUMBER(SEARCH(IF(H$2&lt;&gt;"",H$2,"NA"),'MITRE ATT&amp;CK Mappings'!$H530))),ISNUMBER(SEARCH(IF(H$3&lt;&gt;"",H$3,"NA"),'MITRE ATT&amp;CK Mappings'!$I530))),ISNUMBER(SEARCH(IF(H$3&lt;&gt;"",H$3,"NA"),'MITRE ATT&amp;CK Mappings'!$J530))), 'MITRE ATT&amp;CK Mappings'!$B530,"")</f>
        <v/>
      </c>
      <c r="I534" s="26" t="str">
        <f>IF(OR(OR(OR(OR(OR(ISNUMBER(SEARCH(IF(I$1&lt;&gt;"",I$1,"NA"),'MITRE ATT&amp;CK Mappings'!$E530)),ISNUMBER(SEARCH(IF(I$1&lt;&gt;"",I$1,"NA"),'MITRE ATT&amp;CK Mappings'!$F530))),ISNUMBER(SEARCH(IF(I$2&lt;&gt;"",I$2,"NA"),'MITRE ATT&amp;CK Mappings'!$G530))),ISNUMBER(SEARCH(IF(I$2&lt;&gt;"",I$2,"NA"),'MITRE ATT&amp;CK Mappings'!$H530))),ISNUMBER(SEARCH(IF(I$3&lt;&gt;"",I$3,"NA"),'MITRE ATT&amp;CK Mappings'!$I530))),ISNUMBER(SEARCH(IF(I$3&lt;&gt;"",I$3,"NA"),'MITRE ATT&amp;CK Mappings'!$J530))), 'MITRE ATT&amp;CK Mappings'!$B530,"")</f>
        <v/>
      </c>
      <c r="J534" s="26" t="str">
        <f>IF(OR(OR(OR(OR(OR(ISNUMBER(SEARCH(IF(J$1&lt;&gt;"",J$1,"NA"),'MITRE ATT&amp;CK Mappings'!$E530)),ISNUMBER(SEARCH(IF(J$1&lt;&gt;"",J$1,"NA"),'MITRE ATT&amp;CK Mappings'!$F530))),ISNUMBER(SEARCH(IF(J$2&lt;&gt;"",J$2,"NA"),'MITRE ATT&amp;CK Mappings'!$G530))),ISNUMBER(SEARCH(IF(J$2&lt;&gt;"",J$2,"NA"),'MITRE ATT&amp;CK Mappings'!$H530))),ISNUMBER(SEARCH(IF(J$3&lt;&gt;"",J$3,"NA"),'MITRE ATT&amp;CK Mappings'!$I530))),ISNUMBER(SEARCH(IF(J$3&lt;&gt;"",J$3,"NA"),'MITRE ATT&amp;CK Mappings'!$J530))), 'MITRE ATT&amp;CK Mappings'!$B530,"")</f>
        <v/>
      </c>
      <c r="K534" s="26" t="str">
        <f>IF(OR(OR(OR(OR(OR(ISNUMBER(SEARCH(IF(K$1&lt;&gt;"",K$1,"NA"),'MITRE ATT&amp;CK Mappings'!$E530)),ISNUMBER(SEARCH(IF(K$1&lt;&gt;"",K$1,"NA"),'MITRE ATT&amp;CK Mappings'!$F530))),ISNUMBER(SEARCH(IF(K$2&lt;&gt;"",K$2,"NA"),'MITRE ATT&amp;CK Mappings'!$G530))),ISNUMBER(SEARCH(IF(K$2&lt;&gt;"",K$2,"NA"),'MITRE ATT&amp;CK Mappings'!$H530))),ISNUMBER(SEARCH(IF(K$3&lt;&gt;"",K$3,"NA"),'MITRE ATT&amp;CK Mappings'!$I530))),ISNUMBER(SEARCH(IF(K$3&lt;&gt;"",K$3,"NA"),'MITRE ATT&amp;CK Mappings'!$J530))), 'MITRE ATT&amp;CK Mappings'!$B530,"")</f>
        <v/>
      </c>
      <c r="L534" s="26" t="str">
        <f>IF('MITRE ATT&amp;CK Mappings'!D530 &lt;&gt;"",'MITRE ATT&amp;CK Mappings'!D530,"" )</f>
        <v/>
      </c>
    </row>
    <row r="535" spans="1:12" x14ac:dyDescent="0.25">
      <c r="A535" s="27" t="str">
        <f>IF(COUNTIF(B535:K535,"="&amp;'MITRE ATT&amp;CK Mappings'!B531)&gt;0,'MITRE ATT&amp;CK Mappings'!B531,"")</f>
        <v/>
      </c>
      <c r="B535" s="27" t="str">
        <f>IF(OR(OR(OR(OR(OR(ISNUMBER(SEARCH(IF(B$1&lt;&gt;"",B$1,"NA"),'MITRE ATT&amp;CK Mappings'!$E531)),ISNUMBER(SEARCH(IF(B$1&lt;&gt;"",B$1,"NA"),'MITRE ATT&amp;CK Mappings'!$F531))),ISNUMBER(SEARCH(IF(B$2&lt;&gt;"",B$2,"NA"),'MITRE ATT&amp;CK Mappings'!$G531))),ISNUMBER(SEARCH(IF(B$2&lt;&gt;"",B$2,"NA"),'MITRE ATT&amp;CK Mappings'!$H531))),ISNUMBER(SEARCH(IF(B$3&lt;&gt;"",B$3,"NA"),'MITRE ATT&amp;CK Mappings'!$I531))),ISNUMBER(SEARCH(IF(B$3&lt;&gt;"",B$3,"NA"),'MITRE ATT&amp;CK Mappings'!$J531))), 'MITRE ATT&amp;CK Mappings'!$B531,"")</f>
        <v/>
      </c>
      <c r="C535" s="27" t="str">
        <f>IF(OR(OR(OR(OR(OR(ISNUMBER(SEARCH(IF(C$1&lt;&gt;"",C$1,"NA"),'MITRE ATT&amp;CK Mappings'!$E531)),ISNUMBER(SEARCH(IF(C$1&lt;&gt;"",C$1,"NA"),'MITRE ATT&amp;CK Mappings'!$F531))),ISNUMBER(SEARCH(IF(C$2&lt;&gt;"",C$2,"NA"),'MITRE ATT&amp;CK Mappings'!$G531))),ISNUMBER(SEARCH(IF(C$2&lt;&gt;"",C$2,"NA"),'MITRE ATT&amp;CK Mappings'!$H531))),ISNUMBER(SEARCH(IF(C$3&lt;&gt;"",C$3,"NA"),'MITRE ATT&amp;CK Mappings'!$I531))),ISNUMBER(SEARCH(IF(C$3&lt;&gt;"",C$3,"NA"),'MITRE ATT&amp;CK Mappings'!$J531))), 'MITRE ATT&amp;CK Mappings'!$B531,"")</f>
        <v/>
      </c>
      <c r="D535" s="27" t="str">
        <f>IF(OR(OR(OR(OR(OR(ISNUMBER(SEARCH(IF(D$1&lt;&gt;"",D$1,"NA"),'MITRE ATT&amp;CK Mappings'!$E531)),ISNUMBER(SEARCH(IF(D$1&lt;&gt;"",D$1,"NA"),'MITRE ATT&amp;CK Mappings'!$F531))),ISNUMBER(SEARCH(IF(D$2&lt;&gt;"",D$2,"NA"),'MITRE ATT&amp;CK Mappings'!$G531))),ISNUMBER(SEARCH(IF(D$2&lt;&gt;"",D$2,"NA"),'MITRE ATT&amp;CK Mappings'!$H531))),ISNUMBER(SEARCH(IF(D$3&lt;&gt;"",D$3,"NA"),'MITRE ATT&amp;CK Mappings'!$I531))),ISNUMBER(SEARCH(IF(D$3&lt;&gt;"",D$3,"NA"),'MITRE ATT&amp;CK Mappings'!$J531))), 'MITRE ATT&amp;CK Mappings'!$B531,"")</f>
        <v/>
      </c>
      <c r="E535" s="27" t="str">
        <f>IF(OR(OR(OR(OR(OR(ISNUMBER(SEARCH(IF(E$1&lt;&gt;"",E$1,"NA"),'MITRE ATT&amp;CK Mappings'!$E531)),ISNUMBER(SEARCH(IF(E$1&lt;&gt;"",E$1,"NA"),'MITRE ATT&amp;CK Mappings'!$F531))),ISNUMBER(SEARCH(IF(E$2&lt;&gt;"",E$2,"NA"),'MITRE ATT&amp;CK Mappings'!$G531))),ISNUMBER(SEARCH(IF(E$2&lt;&gt;"",E$2,"NA"),'MITRE ATT&amp;CK Mappings'!$H531))),ISNUMBER(SEARCH(IF(E$3&lt;&gt;"",E$3,"NA"),'MITRE ATT&amp;CK Mappings'!$I531))),ISNUMBER(SEARCH(IF(E$3&lt;&gt;"",E$3,"NA"),'MITRE ATT&amp;CK Mappings'!$J531))), 'MITRE ATT&amp;CK Mappings'!$B531,"")</f>
        <v/>
      </c>
      <c r="F535" s="27" t="str">
        <f>IF(OR(OR(OR(OR(OR(ISNUMBER(SEARCH(IF(F$1&lt;&gt;"",F$1,"NA"),'MITRE ATT&amp;CK Mappings'!$E531)),ISNUMBER(SEARCH(IF(F$1&lt;&gt;"",F$1,"NA"),'MITRE ATT&amp;CK Mappings'!$F531))),ISNUMBER(SEARCH(IF(F$2&lt;&gt;"",F$2,"NA"),'MITRE ATT&amp;CK Mappings'!$G531))),ISNUMBER(SEARCH(IF(F$2&lt;&gt;"",F$2,"NA"),'MITRE ATT&amp;CK Mappings'!$H531))),ISNUMBER(SEARCH(IF(F$3&lt;&gt;"",F$3,"NA"),'MITRE ATT&amp;CK Mappings'!$I531))),ISNUMBER(SEARCH(IF(F$3&lt;&gt;"",F$3,"NA"),'MITRE ATT&amp;CK Mappings'!$J531))), 'MITRE ATT&amp;CK Mappings'!$B531,"")</f>
        <v/>
      </c>
      <c r="G535" s="27" t="str">
        <f>IF(OR(OR(OR(OR(OR(ISNUMBER(SEARCH(IF(G$1&lt;&gt;"",G$1,"NA"),'MITRE ATT&amp;CK Mappings'!$E531)),ISNUMBER(SEARCH(IF(G$1&lt;&gt;"",G$1,"NA"),'MITRE ATT&amp;CK Mappings'!$F531))),ISNUMBER(SEARCH(IF(G$2&lt;&gt;"",G$2,"NA"),'MITRE ATT&amp;CK Mappings'!$G531))),ISNUMBER(SEARCH(IF(G$2&lt;&gt;"",G$2,"NA"),'MITRE ATT&amp;CK Mappings'!$H531))),ISNUMBER(SEARCH(IF(G$3&lt;&gt;"",G$3,"NA"),'MITRE ATT&amp;CK Mappings'!$I531))),ISNUMBER(SEARCH(IF(G$3&lt;&gt;"",G$3,"NA"),'MITRE ATT&amp;CK Mappings'!$J531))), 'MITRE ATT&amp;CK Mappings'!$B531,"")</f>
        <v/>
      </c>
      <c r="H535" s="27" t="str">
        <f>IF(OR(OR(OR(OR(OR(ISNUMBER(SEARCH(IF(H$1&lt;&gt;"",H$1,"NA"),'MITRE ATT&amp;CK Mappings'!$E531)),ISNUMBER(SEARCH(IF(H$1&lt;&gt;"",H$1,"NA"),'MITRE ATT&amp;CK Mappings'!$F531))),ISNUMBER(SEARCH(IF(H$2&lt;&gt;"",H$2,"NA"),'MITRE ATT&amp;CK Mappings'!$G531))),ISNUMBER(SEARCH(IF(H$2&lt;&gt;"",H$2,"NA"),'MITRE ATT&amp;CK Mappings'!$H531))),ISNUMBER(SEARCH(IF(H$3&lt;&gt;"",H$3,"NA"),'MITRE ATT&amp;CK Mappings'!$I531))),ISNUMBER(SEARCH(IF(H$3&lt;&gt;"",H$3,"NA"),'MITRE ATT&amp;CK Mappings'!$J531))), 'MITRE ATT&amp;CK Mappings'!$B531,"")</f>
        <v/>
      </c>
      <c r="I535" s="27" t="str">
        <f>IF(OR(OR(OR(OR(OR(ISNUMBER(SEARCH(IF(I$1&lt;&gt;"",I$1,"NA"),'MITRE ATT&amp;CK Mappings'!$E531)),ISNUMBER(SEARCH(IF(I$1&lt;&gt;"",I$1,"NA"),'MITRE ATT&amp;CK Mappings'!$F531))),ISNUMBER(SEARCH(IF(I$2&lt;&gt;"",I$2,"NA"),'MITRE ATT&amp;CK Mappings'!$G531))),ISNUMBER(SEARCH(IF(I$2&lt;&gt;"",I$2,"NA"),'MITRE ATT&amp;CK Mappings'!$H531))),ISNUMBER(SEARCH(IF(I$3&lt;&gt;"",I$3,"NA"),'MITRE ATT&amp;CK Mappings'!$I531))),ISNUMBER(SEARCH(IF(I$3&lt;&gt;"",I$3,"NA"),'MITRE ATT&amp;CK Mappings'!$J531))), 'MITRE ATT&amp;CK Mappings'!$B531,"")</f>
        <v/>
      </c>
      <c r="J535" s="27" t="str">
        <f>IF(OR(OR(OR(OR(OR(ISNUMBER(SEARCH(IF(J$1&lt;&gt;"",J$1,"NA"),'MITRE ATT&amp;CK Mappings'!$E531)),ISNUMBER(SEARCH(IF(J$1&lt;&gt;"",J$1,"NA"),'MITRE ATT&amp;CK Mappings'!$F531))),ISNUMBER(SEARCH(IF(J$2&lt;&gt;"",J$2,"NA"),'MITRE ATT&amp;CK Mappings'!$G531))),ISNUMBER(SEARCH(IF(J$2&lt;&gt;"",J$2,"NA"),'MITRE ATT&amp;CK Mappings'!$H531))),ISNUMBER(SEARCH(IF(J$3&lt;&gt;"",J$3,"NA"),'MITRE ATT&amp;CK Mappings'!$I531))),ISNUMBER(SEARCH(IF(J$3&lt;&gt;"",J$3,"NA"),'MITRE ATT&amp;CK Mappings'!$J531))), 'MITRE ATT&amp;CK Mappings'!$B531,"")</f>
        <v/>
      </c>
      <c r="K535" s="27" t="str">
        <f>IF(OR(OR(OR(OR(OR(ISNUMBER(SEARCH(IF(K$1&lt;&gt;"",K$1,"NA"),'MITRE ATT&amp;CK Mappings'!$E531)),ISNUMBER(SEARCH(IF(K$1&lt;&gt;"",K$1,"NA"),'MITRE ATT&amp;CK Mappings'!$F531))),ISNUMBER(SEARCH(IF(K$2&lt;&gt;"",K$2,"NA"),'MITRE ATT&amp;CK Mappings'!$G531))),ISNUMBER(SEARCH(IF(K$2&lt;&gt;"",K$2,"NA"),'MITRE ATT&amp;CK Mappings'!$H531))),ISNUMBER(SEARCH(IF(K$3&lt;&gt;"",K$3,"NA"),'MITRE ATT&amp;CK Mappings'!$I531))),ISNUMBER(SEARCH(IF(K$3&lt;&gt;"",K$3,"NA"),'MITRE ATT&amp;CK Mappings'!$J531))), 'MITRE ATT&amp;CK Mappings'!$B531,"")</f>
        <v/>
      </c>
      <c r="L535" s="27" t="str">
        <f>IF('MITRE ATT&amp;CK Mappings'!D531 &lt;&gt;"",'MITRE ATT&amp;CK Mappings'!D531,"" )</f>
        <v/>
      </c>
    </row>
    <row r="536" spans="1:12" x14ac:dyDescent="0.25">
      <c r="A536" s="26" t="str">
        <f>IF(COUNTIF(B536:K536,"="&amp;'MITRE ATT&amp;CK Mappings'!B532)&gt;0,'MITRE ATT&amp;CK Mappings'!B532,"")</f>
        <v/>
      </c>
      <c r="B536" s="26" t="str">
        <f>IF(OR(OR(OR(OR(OR(ISNUMBER(SEARCH(IF(B$1&lt;&gt;"",B$1,"NA"),'MITRE ATT&amp;CK Mappings'!$E532)),ISNUMBER(SEARCH(IF(B$1&lt;&gt;"",B$1,"NA"),'MITRE ATT&amp;CK Mappings'!$F532))),ISNUMBER(SEARCH(IF(B$2&lt;&gt;"",B$2,"NA"),'MITRE ATT&amp;CK Mappings'!$G532))),ISNUMBER(SEARCH(IF(B$2&lt;&gt;"",B$2,"NA"),'MITRE ATT&amp;CK Mappings'!$H532))),ISNUMBER(SEARCH(IF(B$3&lt;&gt;"",B$3,"NA"),'MITRE ATT&amp;CK Mappings'!$I532))),ISNUMBER(SEARCH(IF(B$3&lt;&gt;"",B$3,"NA"),'MITRE ATT&amp;CK Mappings'!$J532))), 'MITRE ATT&amp;CK Mappings'!$B532,"")</f>
        <v/>
      </c>
      <c r="C536" s="26" t="str">
        <f>IF(OR(OR(OR(OR(OR(ISNUMBER(SEARCH(IF(C$1&lt;&gt;"",C$1,"NA"),'MITRE ATT&amp;CK Mappings'!$E532)),ISNUMBER(SEARCH(IF(C$1&lt;&gt;"",C$1,"NA"),'MITRE ATT&amp;CK Mappings'!$F532))),ISNUMBER(SEARCH(IF(C$2&lt;&gt;"",C$2,"NA"),'MITRE ATT&amp;CK Mappings'!$G532))),ISNUMBER(SEARCH(IF(C$2&lt;&gt;"",C$2,"NA"),'MITRE ATT&amp;CK Mappings'!$H532))),ISNUMBER(SEARCH(IF(C$3&lt;&gt;"",C$3,"NA"),'MITRE ATT&amp;CK Mappings'!$I532))),ISNUMBER(SEARCH(IF(C$3&lt;&gt;"",C$3,"NA"),'MITRE ATT&amp;CK Mappings'!$J532))), 'MITRE ATT&amp;CK Mappings'!$B532,"")</f>
        <v/>
      </c>
      <c r="D536" s="26" t="str">
        <f>IF(OR(OR(OR(OR(OR(ISNUMBER(SEARCH(IF(D$1&lt;&gt;"",D$1,"NA"),'MITRE ATT&amp;CK Mappings'!$E532)),ISNUMBER(SEARCH(IF(D$1&lt;&gt;"",D$1,"NA"),'MITRE ATT&amp;CK Mappings'!$F532))),ISNUMBER(SEARCH(IF(D$2&lt;&gt;"",D$2,"NA"),'MITRE ATT&amp;CK Mappings'!$G532))),ISNUMBER(SEARCH(IF(D$2&lt;&gt;"",D$2,"NA"),'MITRE ATT&amp;CK Mappings'!$H532))),ISNUMBER(SEARCH(IF(D$3&lt;&gt;"",D$3,"NA"),'MITRE ATT&amp;CK Mappings'!$I532))),ISNUMBER(SEARCH(IF(D$3&lt;&gt;"",D$3,"NA"),'MITRE ATT&amp;CK Mappings'!$J532))), 'MITRE ATT&amp;CK Mappings'!$B532,"")</f>
        <v/>
      </c>
      <c r="E536" s="26" t="str">
        <f>IF(OR(OR(OR(OR(OR(ISNUMBER(SEARCH(IF(E$1&lt;&gt;"",E$1,"NA"),'MITRE ATT&amp;CK Mappings'!$E532)),ISNUMBER(SEARCH(IF(E$1&lt;&gt;"",E$1,"NA"),'MITRE ATT&amp;CK Mappings'!$F532))),ISNUMBER(SEARCH(IF(E$2&lt;&gt;"",E$2,"NA"),'MITRE ATT&amp;CK Mappings'!$G532))),ISNUMBER(SEARCH(IF(E$2&lt;&gt;"",E$2,"NA"),'MITRE ATT&amp;CK Mappings'!$H532))),ISNUMBER(SEARCH(IF(E$3&lt;&gt;"",E$3,"NA"),'MITRE ATT&amp;CK Mappings'!$I532))),ISNUMBER(SEARCH(IF(E$3&lt;&gt;"",E$3,"NA"),'MITRE ATT&amp;CK Mappings'!$J532))), 'MITRE ATT&amp;CK Mappings'!$B532,"")</f>
        <v/>
      </c>
      <c r="F536" s="26" t="str">
        <f>IF(OR(OR(OR(OR(OR(ISNUMBER(SEARCH(IF(F$1&lt;&gt;"",F$1,"NA"),'MITRE ATT&amp;CK Mappings'!$E532)),ISNUMBER(SEARCH(IF(F$1&lt;&gt;"",F$1,"NA"),'MITRE ATT&amp;CK Mappings'!$F532))),ISNUMBER(SEARCH(IF(F$2&lt;&gt;"",F$2,"NA"),'MITRE ATT&amp;CK Mappings'!$G532))),ISNUMBER(SEARCH(IF(F$2&lt;&gt;"",F$2,"NA"),'MITRE ATT&amp;CK Mappings'!$H532))),ISNUMBER(SEARCH(IF(F$3&lt;&gt;"",F$3,"NA"),'MITRE ATT&amp;CK Mappings'!$I532))),ISNUMBER(SEARCH(IF(F$3&lt;&gt;"",F$3,"NA"),'MITRE ATT&amp;CK Mappings'!$J532))), 'MITRE ATT&amp;CK Mappings'!$B532,"")</f>
        <v/>
      </c>
      <c r="G536" s="26" t="str">
        <f>IF(OR(OR(OR(OR(OR(ISNUMBER(SEARCH(IF(G$1&lt;&gt;"",G$1,"NA"),'MITRE ATT&amp;CK Mappings'!$E532)),ISNUMBER(SEARCH(IF(G$1&lt;&gt;"",G$1,"NA"),'MITRE ATT&amp;CK Mappings'!$F532))),ISNUMBER(SEARCH(IF(G$2&lt;&gt;"",G$2,"NA"),'MITRE ATT&amp;CK Mappings'!$G532))),ISNUMBER(SEARCH(IF(G$2&lt;&gt;"",G$2,"NA"),'MITRE ATT&amp;CK Mappings'!$H532))),ISNUMBER(SEARCH(IF(G$3&lt;&gt;"",G$3,"NA"),'MITRE ATT&amp;CK Mappings'!$I532))),ISNUMBER(SEARCH(IF(G$3&lt;&gt;"",G$3,"NA"),'MITRE ATT&amp;CK Mappings'!$J532))), 'MITRE ATT&amp;CK Mappings'!$B532,"")</f>
        <v/>
      </c>
      <c r="H536" s="26" t="str">
        <f>IF(OR(OR(OR(OR(OR(ISNUMBER(SEARCH(IF(H$1&lt;&gt;"",H$1,"NA"),'MITRE ATT&amp;CK Mappings'!$E532)),ISNUMBER(SEARCH(IF(H$1&lt;&gt;"",H$1,"NA"),'MITRE ATT&amp;CK Mappings'!$F532))),ISNUMBER(SEARCH(IF(H$2&lt;&gt;"",H$2,"NA"),'MITRE ATT&amp;CK Mappings'!$G532))),ISNUMBER(SEARCH(IF(H$2&lt;&gt;"",H$2,"NA"),'MITRE ATT&amp;CK Mappings'!$H532))),ISNUMBER(SEARCH(IF(H$3&lt;&gt;"",H$3,"NA"),'MITRE ATT&amp;CK Mappings'!$I532))),ISNUMBER(SEARCH(IF(H$3&lt;&gt;"",H$3,"NA"),'MITRE ATT&amp;CK Mappings'!$J532))), 'MITRE ATT&amp;CK Mappings'!$B532,"")</f>
        <v/>
      </c>
      <c r="I536" s="26" t="str">
        <f>IF(OR(OR(OR(OR(OR(ISNUMBER(SEARCH(IF(I$1&lt;&gt;"",I$1,"NA"),'MITRE ATT&amp;CK Mappings'!$E532)),ISNUMBER(SEARCH(IF(I$1&lt;&gt;"",I$1,"NA"),'MITRE ATT&amp;CK Mappings'!$F532))),ISNUMBER(SEARCH(IF(I$2&lt;&gt;"",I$2,"NA"),'MITRE ATT&amp;CK Mappings'!$G532))),ISNUMBER(SEARCH(IF(I$2&lt;&gt;"",I$2,"NA"),'MITRE ATT&amp;CK Mappings'!$H532))),ISNUMBER(SEARCH(IF(I$3&lt;&gt;"",I$3,"NA"),'MITRE ATT&amp;CK Mappings'!$I532))),ISNUMBER(SEARCH(IF(I$3&lt;&gt;"",I$3,"NA"),'MITRE ATT&amp;CK Mappings'!$J532))), 'MITRE ATT&amp;CK Mappings'!$B532,"")</f>
        <v/>
      </c>
      <c r="J536" s="26" t="str">
        <f>IF(OR(OR(OR(OR(OR(ISNUMBER(SEARCH(IF(J$1&lt;&gt;"",J$1,"NA"),'MITRE ATT&amp;CK Mappings'!$E532)),ISNUMBER(SEARCH(IF(J$1&lt;&gt;"",J$1,"NA"),'MITRE ATT&amp;CK Mappings'!$F532))),ISNUMBER(SEARCH(IF(J$2&lt;&gt;"",J$2,"NA"),'MITRE ATT&amp;CK Mappings'!$G532))),ISNUMBER(SEARCH(IF(J$2&lt;&gt;"",J$2,"NA"),'MITRE ATT&amp;CK Mappings'!$H532))),ISNUMBER(SEARCH(IF(J$3&lt;&gt;"",J$3,"NA"),'MITRE ATT&amp;CK Mappings'!$I532))),ISNUMBER(SEARCH(IF(J$3&lt;&gt;"",J$3,"NA"),'MITRE ATT&amp;CK Mappings'!$J532))), 'MITRE ATT&amp;CK Mappings'!$B532,"")</f>
        <v/>
      </c>
      <c r="K536" s="26" t="str">
        <f>IF(OR(OR(OR(OR(OR(ISNUMBER(SEARCH(IF(K$1&lt;&gt;"",K$1,"NA"),'MITRE ATT&amp;CK Mappings'!$E532)),ISNUMBER(SEARCH(IF(K$1&lt;&gt;"",K$1,"NA"),'MITRE ATT&amp;CK Mappings'!$F532))),ISNUMBER(SEARCH(IF(K$2&lt;&gt;"",K$2,"NA"),'MITRE ATT&amp;CK Mappings'!$G532))),ISNUMBER(SEARCH(IF(K$2&lt;&gt;"",K$2,"NA"),'MITRE ATT&amp;CK Mappings'!$H532))),ISNUMBER(SEARCH(IF(K$3&lt;&gt;"",K$3,"NA"),'MITRE ATT&amp;CK Mappings'!$I532))),ISNUMBER(SEARCH(IF(K$3&lt;&gt;"",K$3,"NA"),'MITRE ATT&amp;CK Mappings'!$J532))), 'MITRE ATT&amp;CK Mappings'!$B532,"")</f>
        <v/>
      </c>
      <c r="L536" s="26" t="str">
        <f>IF('MITRE ATT&amp;CK Mappings'!D532 &lt;&gt;"",'MITRE ATT&amp;CK Mappings'!D532,"" )</f>
        <v/>
      </c>
    </row>
    <row r="537" spans="1:12" x14ac:dyDescent="0.25">
      <c r="A537" s="27" t="str">
        <f>IF(COUNTIF(B537:K537,"="&amp;'MITRE ATT&amp;CK Mappings'!B533)&gt;0,'MITRE ATT&amp;CK Mappings'!B533,"")</f>
        <v/>
      </c>
      <c r="B537" s="27" t="str">
        <f>IF(OR(OR(OR(OR(OR(ISNUMBER(SEARCH(IF(B$1&lt;&gt;"",B$1,"NA"),'MITRE ATT&amp;CK Mappings'!$E533)),ISNUMBER(SEARCH(IF(B$1&lt;&gt;"",B$1,"NA"),'MITRE ATT&amp;CK Mappings'!$F533))),ISNUMBER(SEARCH(IF(B$2&lt;&gt;"",B$2,"NA"),'MITRE ATT&amp;CK Mappings'!$G533))),ISNUMBER(SEARCH(IF(B$2&lt;&gt;"",B$2,"NA"),'MITRE ATT&amp;CK Mappings'!$H533))),ISNUMBER(SEARCH(IF(B$3&lt;&gt;"",B$3,"NA"),'MITRE ATT&amp;CK Mappings'!$I533))),ISNUMBER(SEARCH(IF(B$3&lt;&gt;"",B$3,"NA"),'MITRE ATT&amp;CK Mappings'!$J533))), 'MITRE ATT&amp;CK Mappings'!$B533,"")</f>
        <v/>
      </c>
      <c r="C537" s="27" t="str">
        <f>IF(OR(OR(OR(OR(OR(ISNUMBER(SEARCH(IF(C$1&lt;&gt;"",C$1,"NA"),'MITRE ATT&amp;CK Mappings'!$E533)),ISNUMBER(SEARCH(IF(C$1&lt;&gt;"",C$1,"NA"),'MITRE ATT&amp;CK Mappings'!$F533))),ISNUMBER(SEARCH(IF(C$2&lt;&gt;"",C$2,"NA"),'MITRE ATT&amp;CK Mappings'!$G533))),ISNUMBER(SEARCH(IF(C$2&lt;&gt;"",C$2,"NA"),'MITRE ATT&amp;CK Mappings'!$H533))),ISNUMBER(SEARCH(IF(C$3&lt;&gt;"",C$3,"NA"),'MITRE ATT&amp;CK Mappings'!$I533))),ISNUMBER(SEARCH(IF(C$3&lt;&gt;"",C$3,"NA"),'MITRE ATT&amp;CK Mappings'!$J533))), 'MITRE ATT&amp;CK Mappings'!$B533,"")</f>
        <v/>
      </c>
      <c r="D537" s="27" t="str">
        <f>IF(OR(OR(OR(OR(OR(ISNUMBER(SEARCH(IF(D$1&lt;&gt;"",D$1,"NA"),'MITRE ATT&amp;CK Mappings'!$E533)),ISNUMBER(SEARCH(IF(D$1&lt;&gt;"",D$1,"NA"),'MITRE ATT&amp;CK Mappings'!$F533))),ISNUMBER(SEARCH(IF(D$2&lt;&gt;"",D$2,"NA"),'MITRE ATT&amp;CK Mappings'!$G533))),ISNUMBER(SEARCH(IF(D$2&lt;&gt;"",D$2,"NA"),'MITRE ATT&amp;CK Mappings'!$H533))),ISNUMBER(SEARCH(IF(D$3&lt;&gt;"",D$3,"NA"),'MITRE ATT&amp;CK Mappings'!$I533))),ISNUMBER(SEARCH(IF(D$3&lt;&gt;"",D$3,"NA"),'MITRE ATT&amp;CK Mappings'!$J533))), 'MITRE ATT&amp;CK Mappings'!$B533,"")</f>
        <v/>
      </c>
      <c r="E537" s="27" t="str">
        <f>IF(OR(OR(OR(OR(OR(ISNUMBER(SEARCH(IF(E$1&lt;&gt;"",E$1,"NA"),'MITRE ATT&amp;CK Mappings'!$E533)),ISNUMBER(SEARCH(IF(E$1&lt;&gt;"",E$1,"NA"),'MITRE ATT&amp;CK Mappings'!$F533))),ISNUMBER(SEARCH(IF(E$2&lt;&gt;"",E$2,"NA"),'MITRE ATT&amp;CK Mappings'!$G533))),ISNUMBER(SEARCH(IF(E$2&lt;&gt;"",E$2,"NA"),'MITRE ATT&amp;CK Mappings'!$H533))),ISNUMBER(SEARCH(IF(E$3&lt;&gt;"",E$3,"NA"),'MITRE ATT&amp;CK Mappings'!$I533))),ISNUMBER(SEARCH(IF(E$3&lt;&gt;"",E$3,"NA"),'MITRE ATT&amp;CK Mappings'!$J533))), 'MITRE ATT&amp;CK Mappings'!$B533,"")</f>
        <v/>
      </c>
      <c r="F537" s="27" t="str">
        <f>IF(OR(OR(OR(OR(OR(ISNUMBER(SEARCH(IF(F$1&lt;&gt;"",F$1,"NA"),'MITRE ATT&amp;CK Mappings'!$E533)),ISNUMBER(SEARCH(IF(F$1&lt;&gt;"",F$1,"NA"),'MITRE ATT&amp;CK Mappings'!$F533))),ISNUMBER(SEARCH(IF(F$2&lt;&gt;"",F$2,"NA"),'MITRE ATT&amp;CK Mappings'!$G533))),ISNUMBER(SEARCH(IF(F$2&lt;&gt;"",F$2,"NA"),'MITRE ATT&amp;CK Mappings'!$H533))),ISNUMBER(SEARCH(IF(F$3&lt;&gt;"",F$3,"NA"),'MITRE ATT&amp;CK Mappings'!$I533))),ISNUMBER(SEARCH(IF(F$3&lt;&gt;"",F$3,"NA"),'MITRE ATT&amp;CK Mappings'!$J533))), 'MITRE ATT&amp;CK Mappings'!$B533,"")</f>
        <v/>
      </c>
      <c r="G537" s="27" t="str">
        <f>IF(OR(OR(OR(OR(OR(ISNUMBER(SEARCH(IF(G$1&lt;&gt;"",G$1,"NA"),'MITRE ATT&amp;CK Mappings'!$E533)),ISNUMBER(SEARCH(IF(G$1&lt;&gt;"",G$1,"NA"),'MITRE ATT&amp;CK Mappings'!$F533))),ISNUMBER(SEARCH(IF(G$2&lt;&gt;"",G$2,"NA"),'MITRE ATT&amp;CK Mappings'!$G533))),ISNUMBER(SEARCH(IF(G$2&lt;&gt;"",G$2,"NA"),'MITRE ATT&amp;CK Mappings'!$H533))),ISNUMBER(SEARCH(IF(G$3&lt;&gt;"",G$3,"NA"),'MITRE ATT&amp;CK Mappings'!$I533))),ISNUMBER(SEARCH(IF(G$3&lt;&gt;"",G$3,"NA"),'MITRE ATT&amp;CK Mappings'!$J533))), 'MITRE ATT&amp;CK Mappings'!$B533,"")</f>
        <v/>
      </c>
      <c r="H537" s="27" t="str">
        <f>IF(OR(OR(OR(OR(OR(ISNUMBER(SEARCH(IF(H$1&lt;&gt;"",H$1,"NA"),'MITRE ATT&amp;CK Mappings'!$E533)),ISNUMBER(SEARCH(IF(H$1&lt;&gt;"",H$1,"NA"),'MITRE ATT&amp;CK Mappings'!$F533))),ISNUMBER(SEARCH(IF(H$2&lt;&gt;"",H$2,"NA"),'MITRE ATT&amp;CK Mappings'!$G533))),ISNUMBER(SEARCH(IF(H$2&lt;&gt;"",H$2,"NA"),'MITRE ATT&amp;CK Mappings'!$H533))),ISNUMBER(SEARCH(IF(H$3&lt;&gt;"",H$3,"NA"),'MITRE ATT&amp;CK Mappings'!$I533))),ISNUMBER(SEARCH(IF(H$3&lt;&gt;"",H$3,"NA"),'MITRE ATT&amp;CK Mappings'!$J533))), 'MITRE ATT&amp;CK Mappings'!$B533,"")</f>
        <v/>
      </c>
      <c r="I537" s="27" t="str">
        <f>IF(OR(OR(OR(OR(OR(ISNUMBER(SEARCH(IF(I$1&lt;&gt;"",I$1,"NA"),'MITRE ATT&amp;CK Mappings'!$E533)),ISNUMBER(SEARCH(IF(I$1&lt;&gt;"",I$1,"NA"),'MITRE ATT&amp;CK Mappings'!$F533))),ISNUMBER(SEARCH(IF(I$2&lt;&gt;"",I$2,"NA"),'MITRE ATT&amp;CK Mappings'!$G533))),ISNUMBER(SEARCH(IF(I$2&lt;&gt;"",I$2,"NA"),'MITRE ATT&amp;CK Mappings'!$H533))),ISNUMBER(SEARCH(IF(I$3&lt;&gt;"",I$3,"NA"),'MITRE ATT&amp;CK Mappings'!$I533))),ISNUMBER(SEARCH(IF(I$3&lt;&gt;"",I$3,"NA"),'MITRE ATT&amp;CK Mappings'!$J533))), 'MITRE ATT&amp;CK Mappings'!$B533,"")</f>
        <v/>
      </c>
      <c r="J537" s="27" t="str">
        <f>IF(OR(OR(OR(OR(OR(ISNUMBER(SEARCH(IF(J$1&lt;&gt;"",J$1,"NA"),'MITRE ATT&amp;CK Mappings'!$E533)),ISNUMBER(SEARCH(IF(J$1&lt;&gt;"",J$1,"NA"),'MITRE ATT&amp;CK Mappings'!$F533))),ISNUMBER(SEARCH(IF(J$2&lt;&gt;"",J$2,"NA"),'MITRE ATT&amp;CK Mappings'!$G533))),ISNUMBER(SEARCH(IF(J$2&lt;&gt;"",J$2,"NA"),'MITRE ATT&amp;CK Mappings'!$H533))),ISNUMBER(SEARCH(IF(J$3&lt;&gt;"",J$3,"NA"),'MITRE ATT&amp;CK Mappings'!$I533))),ISNUMBER(SEARCH(IF(J$3&lt;&gt;"",J$3,"NA"),'MITRE ATT&amp;CK Mappings'!$J533))), 'MITRE ATT&amp;CK Mappings'!$B533,"")</f>
        <v/>
      </c>
      <c r="K537" s="27" t="str">
        <f>IF(OR(OR(OR(OR(OR(ISNUMBER(SEARCH(IF(K$1&lt;&gt;"",K$1,"NA"),'MITRE ATT&amp;CK Mappings'!$E533)),ISNUMBER(SEARCH(IF(K$1&lt;&gt;"",K$1,"NA"),'MITRE ATT&amp;CK Mappings'!$F533))),ISNUMBER(SEARCH(IF(K$2&lt;&gt;"",K$2,"NA"),'MITRE ATT&amp;CK Mappings'!$G533))),ISNUMBER(SEARCH(IF(K$2&lt;&gt;"",K$2,"NA"),'MITRE ATT&amp;CK Mappings'!$H533))),ISNUMBER(SEARCH(IF(K$3&lt;&gt;"",K$3,"NA"),'MITRE ATT&amp;CK Mappings'!$I533))),ISNUMBER(SEARCH(IF(K$3&lt;&gt;"",K$3,"NA"),'MITRE ATT&amp;CK Mappings'!$J533))), 'MITRE ATT&amp;CK Mappings'!$B533,"")</f>
        <v/>
      </c>
      <c r="L537" s="27" t="str">
        <f>IF('MITRE ATT&amp;CK Mappings'!D533 &lt;&gt;"",'MITRE ATT&amp;CK Mappings'!D533,"" )</f>
        <v/>
      </c>
    </row>
    <row r="538" spans="1:12" x14ac:dyDescent="0.25">
      <c r="A538" s="26" t="str">
        <f>IF(COUNTIF(B538:K538,"="&amp;'MITRE ATT&amp;CK Mappings'!B534)&gt;0,'MITRE ATT&amp;CK Mappings'!B534,"")</f>
        <v/>
      </c>
      <c r="B538" s="26" t="str">
        <f>IF(OR(OR(OR(OR(OR(ISNUMBER(SEARCH(IF(B$1&lt;&gt;"",B$1,"NA"),'MITRE ATT&amp;CK Mappings'!$E534)),ISNUMBER(SEARCH(IF(B$1&lt;&gt;"",B$1,"NA"),'MITRE ATT&amp;CK Mappings'!$F534))),ISNUMBER(SEARCH(IF(B$2&lt;&gt;"",B$2,"NA"),'MITRE ATT&amp;CK Mappings'!$G534))),ISNUMBER(SEARCH(IF(B$2&lt;&gt;"",B$2,"NA"),'MITRE ATT&amp;CK Mappings'!$H534))),ISNUMBER(SEARCH(IF(B$3&lt;&gt;"",B$3,"NA"),'MITRE ATT&amp;CK Mappings'!$I534))),ISNUMBER(SEARCH(IF(B$3&lt;&gt;"",B$3,"NA"),'MITRE ATT&amp;CK Mappings'!$J534))), 'MITRE ATT&amp;CK Mappings'!$B534,"")</f>
        <v/>
      </c>
      <c r="C538" s="26" t="str">
        <f>IF(OR(OR(OR(OR(OR(ISNUMBER(SEARCH(IF(C$1&lt;&gt;"",C$1,"NA"),'MITRE ATT&amp;CK Mappings'!$E534)),ISNUMBER(SEARCH(IF(C$1&lt;&gt;"",C$1,"NA"),'MITRE ATT&amp;CK Mappings'!$F534))),ISNUMBER(SEARCH(IF(C$2&lt;&gt;"",C$2,"NA"),'MITRE ATT&amp;CK Mappings'!$G534))),ISNUMBER(SEARCH(IF(C$2&lt;&gt;"",C$2,"NA"),'MITRE ATT&amp;CK Mappings'!$H534))),ISNUMBER(SEARCH(IF(C$3&lt;&gt;"",C$3,"NA"),'MITRE ATT&amp;CK Mappings'!$I534))),ISNUMBER(SEARCH(IF(C$3&lt;&gt;"",C$3,"NA"),'MITRE ATT&amp;CK Mappings'!$J534))), 'MITRE ATT&amp;CK Mappings'!$B534,"")</f>
        <v/>
      </c>
      <c r="D538" s="26" t="str">
        <f>IF(OR(OR(OR(OR(OR(ISNUMBER(SEARCH(IF(D$1&lt;&gt;"",D$1,"NA"),'MITRE ATT&amp;CK Mappings'!$E534)),ISNUMBER(SEARCH(IF(D$1&lt;&gt;"",D$1,"NA"),'MITRE ATT&amp;CK Mappings'!$F534))),ISNUMBER(SEARCH(IF(D$2&lt;&gt;"",D$2,"NA"),'MITRE ATT&amp;CK Mappings'!$G534))),ISNUMBER(SEARCH(IF(D$2&lt;&gt;"",D$2,"NA"),'MITRE ATT&amp;CK Mappings'!$H534))),ISNUMBER(SEARCH(IF(D$3&lt;&gt;"",D$3,"NA"),'MITRE ATT&amp;CK Mappings'!$I534))),ISNUMBER(SEARCH(IF(D$3&lt;&gt;"",D$3,"NA"),'MITRE ATT&amp;CK Mappings'!$J534))), 'MITRE ATT&amp;CK Mappings'!$B534,"")</f>
        <v/>
      </c>
      <c r="E538" s="26" t="str">
        <f>IF(OR(OR(OR(OR(OR(ISNUMBER(SEARCH(IF(E$1&lt;&gt;"",E$1,"NA"),'MITRE ATT&amp;CK Mappings'!$E534)),ISNUMBER(SEARCH(IF(E$1&lt;&gt;"",E$1,"NA"),'MITRE ATT&amp;CK Mappings'!$F534))),ISNUMBER(SEARCH(IF(E$2&lt;&gt;"",E$2,"NA"),'MITRE ATT&amp;CK Mappings'!$G534))),ISNUMBER(SEARCH(IF(E$2&lt;&gt;"",E$2,"NA"),'MITRE ATT&amp;CK Mappings'!$H534))),ISNUMBER(SEARCH(IF(E$3&lt;&gt;"",E$3,"NA"),'MITRE ATT&amp;CK Mappings'!$I534))),ISNUMBER(SEARCH(IF(E$3&lt;&gt;"",E$3,"NA"),'MITRE ATT&amp;CK Mappings'!$J534))), 'MITRE ATT&amp;CK Mappings'!$B534,"")</f>
        <v/>
      </c>
      <c r="F538" s="26" t="str">
        <f>IF(OR(OR(OR(OR(OR(ISNUMBER(SEARCH(IF(F$1&lt;&gt;"",F$1,"NA"),'MITRE ATT&amp;CK Mappings'!$E534)),ISNUMBER(SEARCH(IF(F$1&lt;&gt;"",F$1,"NA"),'MITRE ATT&amp;CK Mappings'!$F534))),ISNUMBER(SEARCH(IF(F$2&lt;&gt;"",F$2,"NA"),'MITRE ATT&amp;CK Mappings'!$G534))),ISNUMBER(SEARCH(IF(F$2&lt;&gt;"",F$2,"NA"),'MITRE ATT&amp;CK Mappings'!$H534))),ISNUMBER(SEARCH(IF(F$3&lt;&gt;"",F$3,"NA"),'MITRE ATT&amp;CK Mappings'!$I534))),ISNUMBER(SEARCH(IF(F$3&lt;&gt;"",F$3,"NA"),'MITRE ATT&amp;CK Mappings'!$J534))), 'MITRE ATT&amp;CK Mappings'!$B534,"")</f>
        <v/>
      </c>
      <c r="G538" s="26" t="str">
        <f>IF(OR(OR(OR(OR(OR(ISNUMBER(SEARCH(IF(G$1&lt;&gt;"",G$1,"NA"),'MITRE ATT&amp;CK Mappings'!$E534)),ISNUMBER(SEARCH(IF(G$1&lt;&gt;"",G$1,"NA"),'MITRE ATT&amp;CK Mappings'!$F534))),ISNUMBER(SEARCH(IF(G$2&lt;&gt;"",G$2,"NA"),'MITRE ATT&amp;CK Mappings'!$G534))),ISNUMBER(SEARCH(IF(G$2&lt;&gt;"",G$2,"NA"),'MITRE ATT&amp;CK Mappings'!$H534))),ISNUMBER(SEARCH(IF(G$3&lt;&gt;"",G$3,"NA"),'MITRE ATT&amp;CK Mappings'!$I534))),ISNUMBER(SEARCH(IF(G$3&lt;&gt;"",G$3,"NA"),'MITRE ATT&amp;CK Mappings'!$J534))), 'MITRE ATT&amp;CK Mappings'!$B534,"")</f>
        <v/>
      </c>
      <c r="H538" s="26" t="str">
        <f>IF(OR(OR(OR(OR(OR(ISNUMBER(SEARCH(IF(H$1&lt;&gt;"",H$1,"NA"),'MITRE ATT&amp;CK Mappings'!$E534)),ISNUMBER(SEARCH(IF(H$1&lt;&gt;"",H$1,"NA"),'MITRE ATT&amp;CK Mappings'!$F534))),ISNUMBER(SEARCH(IF(H$2&lt;&gt;"",H$2,"NA"),'MITRE ATT&amp;CK Mappings'!$G534))),ISNUMBER(SEARCH(IF(H$2&lt;&gt;"",H$2,"NA"),'MITRE ATT&amp;CK Mappings'!$H534))),ISNUMBER(SEARCH(IF(H$3&lt;&gt;"",H$3,"NA"),'MITRE ATT&amp;CK Mappings'!$I534))),ISNUMBER(SEARCH(IF(H$3&lt;&gt;"",H$3,"NA"),'MITRE ATT&amp;CK Mappings'!$J534))), 'MITRE ATT&amp;CK Mappings'!$B534,"")</f>
        <v/>
      </c>
      <c r="I538" s="26" t="str">
        <f>IF(OR(OR(OR(OR(OR(ISNUMBER(SEARCH(IF(I$1&lt;&gt;"",I$1,"NA"),'MITRE ATT&amp;CK Mappings'!$E534)),ISNUMBER(SEARCH(IF(I$1&lt;&gt;"",I$1,"NA"),'MITRE ATT&amp;CK Mappings'!$F534))),ISNUMBER(SEARCH(IF(I$2&lt;&gt;"",I$2,"NA"),'MITRE ATT&amp;CK Mappings'!$G534))),ISNUMBER(SEARCH(IF(I$2&lt;&gt;"",I$2,"NA"),'MITRE ATT&amp;CK Mappings'!$H534))),ISNUMBER(SEARCH(IF(I$3&lt;&gt;"",I$3,"NA"),'MITRE ATT&amp;CK Mappings'!$I534))),ISNUMBER(SEARCH(IF(I$3&lt;&gt;"",I$3,"NA"),'MITRE ATT&amp;CK Mappings'!$J534))), 'MITRE ATT&amp;CK Mappings'!$B534,"")</f>
        <v/>
      </c>
      <c r="J538" s="26" t="str">
        <f>IF(OR(OR(OR(OR(OR(ISNUMBER(SEARCH(IF(J$1&lt;&gt;"",J$1,"NA"),'MITRE ATT&amp;CK Mappings'!$E534)),ISNUMBER(SEARCH(IF(J$1&lt;&gt;"",J$1,"NA"),'MITRE ATT&amp;CK Mappings'!$F534))),ISNUMBER(SEARCH(IF(J$2&lt;&gt;"",J$2,"NA"),'MITRE ATT&amp;CK Mappings'!$G534))),ISNUMBER(SEARCH(IF(J$2&lt;&gt;"",J$2,"NA"),'MITRE ATT&amp;CK Mappings'!$H534))),ISNUMBER(SEARCH(IF(J$3&lt;&gt;"",J$3,"NA"),'MITRE ATT&amp;CK Mappings'!$I534))),ISNUMBER(SEARCH(IF(J$3&lt;&gt;"",J$3,"NA"),'MITRE ATT&amp;CK Mappings'!$J534))), 'MITRE ATT&amp;CK Mappings'!$B534,"")</f>
        <v/>
      </c>
      <c r="K538" s="26" t="str">
        <f>IF(OR(OR(OR(OR(OR(ISNUMBER(SEARCH(IF(K$1&lt;&gt;"",K$1,"NA"),'MITRE ATT&amp;CK Mappings'!$E534)),ISNUMBER(SEARCH(IF(K$1&lt;&gt;"",K$1,"NA"),'MITRE ATT&amp;CK Mappings'!$F534))),ISNUMBER(SEARCH(IF(K$2&lt;&gt;"",K$2,"NA"),'MITRE ATT&amp;CK Mappings'!$G534))),ISNUMBER(SEARCH(IF(K$2&lt;&gt;"",K$2,"NA"),'MITRE ATT&amp;CK Mappings'!$H534))),ISNUMBER(SEARCH(IF(K$3&lt;&gt;"",K$3,"NA"),'MITRE ATT&amp;CK Mappings'!$I534))),ISNUMBER(SEARCH(IF(K$3&lt;&gt;"",K$3,"NA"),'MITRE ATT&amp;CK Mappings'!$J534))), 'MITRE ATT&amp;CK Mappings'!$B534,"")</f>
        <v/>
      </c>
      <c r="L538" s="26" t="str">
        <f>IF('MITRE ATT&amp;CK Mappings'!D534 &lt;&gt;"",'MITRE ATT&amp;CK Mappings'!D534,"" )</f>
        <v/>
      </c>
    </row>
    <row r="539" spans="1:12" x14ac:dyDescent="0.25">
      <c r="A539" s="27" t="str">
        <f>IF(COUNTIF(B539:K539,"="&amp;'MITRE ATT&amp;CK Mappings'!B535)&gt;0,'MITRE ATT&amp;CK Mappings'!B535,"")</f>
        <v/>
      </c>
      <c r="B539" s="27" t="str">
        <f>IF(OR(OR(OR(OR(OR(ISNUMBER(SEARCH(IF(B$1&lt;&gt;"",B$1,"NA"),'MITRE ATT&amp;CK Mappings'!$E535)),ISNUMBER(SEARCH(IF(B$1&lt;&gt;"",B$1,"NA"),'MITRE ATT&amp;CK Mappings'!$F535))),ISNUMBER(SEARCH(IF(B$2&lt;&gt;"",B$2,"NA"),'MITRE ATT&amp;CK Mappings'!$G535))),ISNUMBER(SEARCH(IF(B$2&lt;&gt;"",B$2,"NA"),'MITRE ATT&amp;CK Mappings'!$H535))),ISNUMBER(SEARCH(IF(B$3&lt;&gt;"",B$3,"NA"),'MITRE ATT&amp;CK Mappings'!$I535))),ISNUMBER(SEARCH(IF(B$3&lt;&gt;"",B$3,"NA"),'MITRE ATT&amp;CK Mappings'!$J535))), 'MITRE ATT&amp;CK Mappings'!$B535,"")</f>
        <v/>
      </c>
      <c r="C539" s="27" t="str">
        <f>IF(OR(OR(OR(OR(OR(ISNUMBER(SEARCH(IF(C$1&lt;&gt;"",C$1,"NA"),'MITRE ATT&amp;CK Mappings'!$E535)),ISNUMBER(SEARCH(IF(C$1&lt;&gt;"",C$1,"NA"),'MITRE ATT&amp;CK Mappings'!$F535))),ISNUMBER(SEARCH(IF(C$2&lt;&gt;"",C$2,"NA"),'MITRE ATT&amp;CK Mappings'!$G535))),ISNUMBER(SEARCH(IF(C$2&lt;&gt;"",C$2,"NA"),'MITRE ATT&amp;CK Mappings'!$H535))),ISNUMBER(SEARCH(IF(C$3&lt;&gt;"",C$3,"NA"),'MITRE ATT&amp;CK Mappings'!$I535))),ISNUMBER(SEARCH(IF(C$3&lt;&gt;"",C$3,"NA"),'MITRE ATT&amp;CK Mappings'!$J535))), 'MITRE ATT&amp;CK Mappings'!$B535,"")</f>
        <v/>
      </c>
      <c r="D539" s="27" t="str">
        <f>IF(OR(OR(OR(OR(OR(ISNUMBER(SEARCH(IF(D$1&lt;&gt;"",D$1,"NA"),'MITRE ATT&amp;CK Mappings'!$E535)),ISNUMBER(SEARCH(IF(D$1&lt;&gt;"",D$1,"NA"),'MITRE ATT&amp;CK Mappings'!$F535))),ISNUMBER(SEARCH(IF(D$2&lt;&gt;"",D$2,"NA"),'MITRE ATT&amp;CK Mappings'!$G535))),ISNUMBER(SEARCH(IF(D$2&lt;&gt;"",D$2,"NA"),'MITRE ATT&amp;CK Mappings'!$H535))),ISNUMBER(SEARCH(IF(D$3&lt;&gt;"",D$3,"NA"),'MITRE ATT&amp;CK Mappings'!$I535))),ISNUMBER(SEARCH(IF(D$3&lt;&gt;"",D$3,"NA"),'MITRE ATT&amp;CK Mappings'!$J535))), 'MITRE ATT&amp;CK Mappings'!$B535,"")</f>
        <v/>
      </c>
      <c r="E539" s="27" t="str">
        <f>IF(OR(OR(OR(OR(OR(ISNUMBER(SEARCH(IF(E$1&lt;&gt;"",E$1,"NA"),'MITRE ATT&amp;CK Mappings'!$E535)),ISNUMBER(SEARCH(IF(E$1&lt;&gt;"",E$1,"NA"),'MITRE ATT&amp;CK Mappings'!$F535))),ISNUMBER(SEARCH(IF(E$2&lt;&gt;"",E$2,"NA"),'MITRE ATT&amp;CK Mappings'!$G535))),ISNUMBER(SEARCH(IF(E$2&lt;&gt;"",E$2,"NA"),'MITRE ATT&amp;CK Mappings'!$H535))),ISNUMBER(SEARCH(IF(E$3&lt;&gt;"",E$3,"NA"),'MITRE ATT&amp;CK Mappings'!$I535))),ISNUMBER(SEARCH(IF(E$3&lt;&gt;"",E$3,"NA"),'MITRE ATT&amp;CK Mappings'!$J535))), 'MITRE ATT&amp;CK Mappings'!$B535,"")</f>
        <v/>
      </c>
      <c r="F539" s="27" t="str">
        <f>IF(OR(OR(OR(OR(OR(ISNUMBER(SEARCH(IF(F$1&lt;&gt;"",F$1,"NA"),'MITRE ATT&amp;CK Mappings'!$E535)),ISNUMBER(SEARCH(IF(F$1&lt;&gt;"",F$1,"NA"),'MITRE ATT&amp;CK Mappings'!$F535))),ISNUMBER(SEARCH(IF(F$2&lt;&gt;"",F$2,"NA"),'MITRE ATT&amp;CK Mappings'!$G535))),ISNUMBER(SEARCH(IF(F$2&lt;&gt;"",F$2,"NA"),'MITRE ATT&amp;CK Mappings'!$H535))),ISNUMBER(SEARCH(IF(F$3&lt;&gt;"",F$3,"NA"),'MITRE ATT&amp;CK Mappings'!$I535))),ISNUMBER(SEARCH(IF(F$3&lt;&gt;"",F$3,"NA"),'MITRE ATT&amp;CK Mappings'!$J535))), 'MITRE ATT&amp;CK Mappings'!$B535,"")</f>
        <v/>
      </c>
      <c r="G539" s="27" t="str">
        <f>IF(OR(OR(OR(OR(OR(ISNUMBER(SEARCH(IF(G$1&lt;&gt;"",G$1,"NA"),'MITRE ATT&amp;CK Mappings'!$E535)),ISNUMBER(SEARCH(IF(G$1&lt;&gt;"",G$1,"NA"),'MITRE ATT&amp;CK Mappings'!$F535))),ISNUMBER(SEARCH(IF(G$2&lt;&gt;"",G$2,"NA"),'MITRE ATT&amp;CK Mappings'!$G535))),ISNUMBER(SEARCH(IF(G$2&lt;&gt;"",G$2,"NA"),'MITRE ATT&amp;CK Mappings'!$H535))),ISNUMBER(SEARCH(IF(G$3&lt;&gt;"",G$3,"NA"),'MITRE ATT&amp;CK Mappings'!$I535))),ISNUMBER(SEARCH(IF(G$3&lt;&gt;"",G$3,"NA"),'MITRE ATT&amp;CK Mappings'!$J535))), 'MITRE ATT&amp;CK Mappings'!$B535,"")</f>
        <v/>
      </c>
      <c r="H539" s="27" t="str">
        <f>IF(OR(OR(OR(OR(OR(ISNUMBER(SEARCH(IF(H$1&lt;&gt;"",H$1,"NA"),'MITRE ATT&amp;CK Mappings'!$E535)),ISNUMBER(SEARCH(IF(H$1&lt;&gt;"",H$1,"NA"),'MITRE ATT&amp;CK Mappings'!$F535))),ISNUMBER(SEARCH(IF(H$2&lt;&gt;"",H$2,"NA"),'MITRE ATT&amp;CK Mappings'!$G535))),ISNUMBER(SEARCH(IF(H$2&lt;&gt;"",H$2,"NA"),'MITRE ATT&amp;CK Mappings'!$H535))),ISNUMBER(SEARCH(IF(H$3&lt;&gt;"",H$3,"NA"),'MITRE ATT&amp;CK Mappings'!$I535))),ISNUMBER(SEARCH(IF(H$3&lt;&gt;"",H$3,"NA"),'MITRE ATT&amp;CK Mappings'!$J535))), 'MITRE ATT&amp;CK Mappings'!$B535,"")</f>
        <v/>
      </c>
      <c r="I539" s="27" t="str">
        <f>IF(OR(OR(OR(OR(OR(ISNUMBER(SEARCH(IF(I$1&lt;&gt;"",I$1,"NA"),'MITRE ATT&amp;CK Mappings'!$E535)),ISNUMBER(SEARCH(IF(I$1&lt;&gt;"",I$1,"NA"),'MITRE ATT&amp;CK Mappings'!$F535))),ISNUMBER(SEARCH(IF(I$2&lt;&gt;"",I$2,"NA"),'MITRE ATT&amp;CK Mappings'!$G535))),ISNUMBER(SEARCH(IF(I$2&lt;&gt;"",I$2,"NA"),'MITRE ATT&amp;CK Mappings'!$H535))),ISNUMBER(SEARCH(IF(I$3&lt;&gt;"",I$3,"NA"),'MITRE ATT&amp;CK Mappings'!$I535))),ISNUMBER(SEARCH(IF(I$3&lt;&gt;"",I$3,"NA"),'MITRE ATT&amp;CK Mappings'!$J535))), 'MITRE ATT&amp;CK Mappings'!$B535,"")</f>
        <v/>
      </c>
      <c r="J539" s="27" t="str">
        <f>IF(OR(OR(OR(OR(OR(ISNUMBER(SEARCH(IF(J$1&lt;&gt;"",J$1,"NA"),'MITRE ATT&amp;CK Mappings'!$E535)),ISNUMBER(SEARCH(IF(J$1&lt;&gt;"",J$1,"NA"),'MITRE ATT&amp;CK Mappings'!$F535))),ISNUMBER(SEARCH(IF(J$2&lt;&gt;"",J$2,"NA"),'MITRE ATT&amp;CK Mappings'!$G535))),ISNUMBER(SEARCH(IF(J$2&lt;&gt;"",J$2,"NA"),'MITRE ATT&amp;CK Mappings'!$H535))),ISNUMBER(SEARCH(IF(J$3&lt;&gt;"",J$3,"NA"),'MITRE ATT&amp;CK Mappings'!$I535))),ISNUMBER(SEARCH(IF(J$3&lt;&gt;"",J$3,"NA"),'MITRE ATT&amp;CK Mappings'!$J535))), 'MITRE ATT&amp;CK Mappings'!$B535,"")</f>
        <v/>
      </c>
      <c r="K539" s="27" t="str">
        <f>IF(OR(OR(OR(OR(OR(ISNUMBER(SEARCH(IF(K$1&lt;&gt;"",K$1,"NA"),'MITRE ATT&amp;CK Mappings'!$E535)),ISNUMBER(SEARCH(IF(K$1&lt;&gt;"",K$1,"NA"),'MITRE ATT&amp;CK Mappings'!$F535))),ISNUMBER(SEARCH(IF(K$2&lt;&gt;"",K$2,"NA"),'MITRE ATT&amp;CK Mappings'!$G535))),ISNUMBER(SEARCH(IF(K$2&lt;&gt;"",K$2,"NA"),'MITRE ATT&amp;CK Mappings'!$H535))),ISNUMBER(SEARCH(IF(K$3&lt;&gt;"",K$3,"NA"),'MITRE ATT&amp;CK Mappings'!$I535))),ISNUMBER(SEARCH(IF(K$3&lt;&gt;"",K$3,"NA"),'MITRE ATT&amp;CK Mappings'!$J535))), 'MITRE ATT&amp;CK Mappings'!$B535,"")</f>
        <v/>
      </c>
      <c r="L539" s="27" t="str">
        <f>IF('MITRE ATT&amp;CK Mappings'!D535 &lt;&gt;"",'MITRE ATT&amp;CK Mappings'!D535,"" )</f>
        <v/>
      </c>
    </row>
    <row r="540" spans="1:12" x14ac:dyDescent="0.25">
      <c r="A540" s="26" t="str">
        <f>IF(COUNTIF(B540:K540,"="&amp;'MITRE ATT&amp;CK Mappings'!B536)&gt;0,'MITRE ATT&amp;CK Mappings'!B536,"")</f>
        <v/>
      </c>
      <c r="B540" s="26" t="str">
        <f>IF(OR(OR(OR(OR(OR(ISNUMBER(SEARCH(IF(B$1&lt;&gt;"",B$1,"NA"),'MITRE ATT&amp;CK Mappings'!$E536)),ISNUMBER(SEARCH(IF(B$1&lt;&gt;"",B$1,"NA"),'MITRE ATT&amp;CK Mappings'!$F536))),ISNUMBER(SEARCH(IF(B$2&lt;&gt;"",B$2,"NA"),'MITRE ATT&amp;CK Mappings'!$G536))),ISNUMBER(SEARCH(IF(B$2&lt;&gt;"",B$2,"NA"),'MITRE ATT&amp;CK Mappings'!$H536))),ISNUMBER(SEARCH(IF(B$3&lt;&gt;"",B$3,"NA"),'MITRE ATT&amp;CK Mappings'!$I536))),ISNUMBER(SEARCH(IF(B$3&lt;&gt;"",B$3,"NA"),'MITRE ATT&amp;CK Mappings'!$J536))), 'MITRE ATT&amp;CK Mappings'!$B536,"")</f>
        <v/>
      </c>
      <c r="C540" s="26" t="str">
        <f>IF(OR(OR(OR(OR(OR(ISNUMBER(SEARCH(IF(C$1&lt;&gt;"",C$1,"NA"),'MITRE ATT&amp;CK Mappings'!$E536)),ISNUMBER(SEARCH(IF(C$1&lt;&gt;"",C$1,"NA"),'MITRE ATT&amp;CK Mappings'!$F536))),ISNUMBER(SEARCH(IF(C$2&lt;&gt;"",C$2,"NA"),'MITRE ATT&amp;CK Mappings'!$G536))),ISNUMBER(SEARCH(IF(C$2&lt;&gt;"",C$2,"NA"),'MITRE ATT&amp;CK Mappings'!$H536))),ISNUMBER(SEARCH(IF(C$3&lt;&gt;"",C$3,"NA"),'MITRE ATT&amp;CK Mappings'!$I536))),ISNUMBER(SEARCH(IF(C$3&lt;&gt;"",C$3,"NA"),'MITRE ATT&amp;CK Mappings'!$J536))), 'MITRE ATT&amp;CK Mappings'!$B536,"")</f>
        <v/>
      </c>
      <c r="D540" s="26" t="str">
        <f>IF(OR(OR(OR(OR(OR(ISNUMBER(SEARCH(IF(D$1&lt;&gt;"",D$1,"NA"),'MITRE ATT&amp;CK Mappings'!$E536)),ISNUMBER(SEARCH(IF(D$1&lt;&gt;"",D$1,"NA"),'MITRE ATT&amp;CK Mappings'!$F536))),ISNUMBER(SEARCH(IF(D$2&lt;&gt;"",D$2,"NA"),'MITRE ATT&amp;CK Mappings'!$G536))),ISNUMBER(SEARCH(IF(D$2&lt;&gt;"",D$2,"NA"),'MITRE ATT&amp;CK Mappings'!$H536))),ISNUMBER(SEARCH(IF(D$3&lt;&gt;"",D$3,"NA"),'MITRE ATT&amp;CK Mappings'!$I536))),ISNUMBER(SEARCH(IF(D$3&lt;&gt;"",D$3,"NA"),'MITRE ATT&amp;CK Mappings'!$J536))), 'MITRE ATT&amp;CK Mappings'!$B536,"")</f>
        <v/>
      </c>
      <c r="E540" s="26" t="str">
        <f>IF(OR(OR(OR(OR(OR(ISNUMBER(SEARCH(IF(E$1&lt;&gt;"",E$1,"NA"),'MITRE ATT&amp;CK Mappings'!$E536)),ISNUMBER(SEARCH(IF(E$1&lt;&gt;"",E$1,"NA"),'MITRE ATT&amp;CK Mappings'!$F536))),ISNUMBER(SEARCH(IF(E$2&lt;&gt;"",E$2,"NA"),'MITRE ATT&amp;CK Mappings'!$G536))),ISNUMBER(SEARCH(IF(E$2&lt;&gt;"",E$2,"NA"),'MITRE ATT&amp;CK Mappings'!$H536))),ISNUMBER(SEARCH(IF(E$3&lt;&gt;"",E$3,"NA"),'MITRE ATT&amp;CK Mappings'!$I536))),ISNUMBER(SEARCH(IF(E$3&lt;&gt;"",E$3,"NA"),'MITRE ATT&amp;CK Mappings'!$J536))), 'MITRE ATT&amp;CK Mappings'!$B536,"")</f>
        <v/>
      </c>
      <c r="F540" s="26" t="str">
        <f>IF(OR(OR(OR(OR(OR(ISNUMBER(SEARCH(IF(F$1&lt;&gt;"",F$1,"NA"),'MITRE ATT&amp;CK Mappings'!$E536)),ISNUMBER(SEARCH(IF(F$1&lt;&gt;"",F$1,"NA"),'MITRE ATT&amp;CK Mappings'!$F536))),ISNUMBER(SEARCH(IF(F$2&lt;&gt;"",F$2,"NA"),'MITRE ATT&amp;CK Mappings'!$G536))),ISNUMBER(SEARCH(IF(F$2&lt;&gt;"",F$2,"NA"),'MITRE ATT&amp;CK Mappings'!$H536))),ISNUMBER(SEARCH(IF(F$3&lt;&gt;"",F$3,"NA"),'MITRE ATT&amp;CK Mappings'!$I536))),ISNUMBER(SEARCH(IF(F$3&lt;&gt;"",F$3,"NA"),'MITRE ATT&amp;CK Mappings'!$J536))), 'MITRE ATT&amp;CK Mappings'!$B536,"")</f>
        <v/>
      </c>
      <c r="G540" s="26" t="str">
        <f>IF(OR(OR(OR(OR(OR(ISNUMBER(SEARCH(IF(G$1&lt;&gt;"",G$1,"NA"),'MITRE ATT&amp;CK Mappings'!$E536)),ISNUMBER(SEARCH(IF(G$1&lt;&gt;"",G$1,"NA"),'MITRE ATT&amp;CK Mappings'!$F536))),ISNUMBER(SEARCH(IF(G$2&lt;&gt;"",G$2,"NA"),'MITRE ATT&amp;CK Mappings'!$G536))),ISNUMBER(SEARCH(IF(G$2&lt;&gt;"",G$2,"NA"),'MITRE ATT&amp;CK Mappings'!$H536))),ISNUMBER(SEARCH(IF(G$3&lt;&gt;"",G$3,"NA"),'MITRE ATT&amp;CK Mappings'!$I536))),ISNUMBER(SEARCH(IF(G$3&lt;&gt;"",G$3,"NA"),'MITRE ATT&amp;CK Mappings'!$J536))), 'MITRE ATT&amp;CK Mappings'!$B536,"")</f>
        <v/>
      </c>
      <c r="H540" s="26" t="str">
        <f>IF(OR(OR(OR(OR(OR(ISNUMBER(SEARCH(IF(H$1&lt;&gt;"",H$1,"NA"),'MITRE ATT&amp;CK Mappings'!$E536)),ISNUMBER(SEARCH(IF(H$1&lt;&gt;"",H$1,"NA"),'MITRE ATT&amp;CK Mappings'!$F536))),ISNUMBER(SEARCH(IF(H$2&lt;&gt;"",H$2,"NA"),'MITRE ATT&amp;CK Mappings'!$G536))),ISNUMBER(SEARCH(IF(H$2&lt;&gt;"",H$2,"NA"),'MITRE ATT&amp;CK Mappings'!$H536))),ISNUMBER(SEARCH(IF(H$3&lt;&gt;"",H$3,"NA"),'MITRE ATT&amp;CK Mappings'!$I536))),ISNUMBER(SEARCH(IF(H$3&lt;&gt;"",H$3,"NA"),'MITRE ATT&amp;CK Mappings'!$J536))), 'MITRE ATT&amp;CK Mappings'!$B536,"")</f>
        <v/>
      </c>
      <c r="I540" s="26" t="str">
        <f>IF(OR(OR(OR(OR(OR(ISNUMBER(SEARCH(IF(I$1&lt;&gt;"",I$1,"NA"),'MITRE ATT&amp;CK Mappings'!$E536)),ISNUMBER(SEARCH(IF(I$1&lt;&gt;"",I$1,"NA"),'MITRE ATT&amp;CK Mappings'!$F536))),ISNUMBER(SEARCH(IF(I$2&lt;&gt;"",I$2,"NA"),'MITRE ATT&amp;CK Mappings'!$G536))),ISNUMBER(SEARCH(IF(I$2&lt;&gt;"",I$2,"NA"),'MITRE ATT&amp;CK Mappings'!$H536))),ISNUMBER(SEARCH(IF(I$3&lt;&gt;"",I$3,"NA"),'MITRE ATT&amp;CK Mappings'!$I536))),ISNUMBER(SEARCH(IF(I$3&lt;&gt;"",I$3,"NA"),'MITRE ATT&amp;CK Mappings'!$J536))), 'MITRE ATT&amp;CK Mappings'!$B536,"")</f>
        <v/>
      </c>
      <c r="J540" s="26" t="str">
        <f>IF(OR(OR(OR(OR(OR(ISNUMBER(SEARCH(IF(J$1&lt;&gt;"",J$1,"NA"),'MITRE ATT&amp;CK Mappings'!$E536)),ISNUMBER(SEARCH(IF(J$1&lt;&gt;"",J$1,"NA"),'MITRE ATT&amp;CK Mappings'!$F536))),ISNUMBER(SEARCH(IF(J$2&lt;&gt;"",J$2,"NA"),'MITRE ATT&amp;CK Mappings'!$G536))),ISNUMBER(SEARCH(IF(J$2&lt;&gt;"",J$2,"NA"),'MITRE ATT&amp;CK Mappings'!$H536))),ISNUMBER(SEARCH(IF(J$3&lt;&gt;"",J$3,"NA"),'MITRE ATT&amp;CK Mappings'!$I536))),ISNUMBER(SEARCH(IF(J$3&lt;&gt;"",J$3,"NA"),'MITRE ATT&amp;CK Mappings'!$J536))), 'MITRE ATT&amp;CK Mappings'!$B536,"")</f>
        <v/>
      </c>
      <c r="K540" s="26" t="str">
        <f>IF(OR(OR(OR(OR(OR(ISNUMBER(SEARCH(IF(K$1&lt;&gt;"",K$1,"NA"),'MITRE ATT&amp;CK Mappings'!$E536)),ISNUMBER(SEARCH(IF(K$1&lt;&gt;"",K$1,"NA"),'MITRE ATT&amp;CK Mappings'!$F536))),ISNUMBER(SEARCH(IF(K$2&lt;&gt;"",K$2,"NA"),'MITRE ATT&amp;CK Mappings'!$G536))),ISNUMBER(SEARCH(IF(K$2&lt;&gt;"",K$2,"NA"),'MITRE ATT&amp;CK Mappings'!$H536))),ISNUMBER(SEARCH(IF(K$3&lt;&gt;"",K$3,"NA"),'MITRE ATT&amp;CK Mappings'!$I536))),ISNUMBER(SEARCH(IF(K$3&lt;&gt;"",K$3,"NA"),'MITRE ATT&amp;CK Mappings'!$J536))), 'MITRE ATT&amp;CK Mappings'!$B536,"")</f>
        <v/>
      </c>
      <c r="L540" s="26" t="str">
        <f>IF('MITRE ATT&amp;CK Mappings'!D536 &lt;&gt;"",'MITRE ATT&amp;CK Mappings'!D536,"" )</f>
        <v/>
      </c>
    </row>
    <row r="541" spans="1:12" x14ac:dyDescent="0.25">
      <c r="A541" s="27" t="str">
        <f>IF(COUNTIF(B541:K541,"="&amp;'MITRE ATT&amp;CK Mappings'!B537)&gt;0,'MITRE ATT&amp;CK Mappings'!B537,"")</f>
        <v/>
      </c>
      <c r="B541" s="27" t="str">
        <f>IF(OR(OR(OR(OR(OR(ISNUMBER(SEARCH(IF(B$1&lt;&gt;"",B$1,"NA"),'MITRE ATT&amp;CK Mappings'!$E537)),ISNUMBER(SEARCH(IF(B$1&lt;&gt;"",B$1,"NA"),'MITRE ATT&amp;CK Mappings'!$F537))),ISNUMBER(SEARCH(IF(B$2&lt;&gt;"",B$2,"NA"),'MITRE ATT&amp;CK Mappings'!$G537))),ISNUMBER(SEARCH(IF(B$2&lt;&gt;"",B$2,"NA"),'MITRE ATT&amp;CK Mappings'!$H537))),ISNUMBER(SEARCH(IF(B$3&lt;&gt;"",B$3,"NA"),'MITRE ATT&amp;CK Mappings'!$I537))),ISNUMBER(SEARCH(IF(B$3&lt;&gt;"",B$3,"NA"),'MITRE ATT&amp;CK Mappings'!$J537))), 'MITRE ATT&amp;CK Mappings'!$B537,"")</f>
        <v/>
      </c>
      <c r="C541" s="27" t="str">
        <f>IF(OR(OR(OR(OR(OR(ISNUMBER(SEARCH(IF(C$1&lt;&gt;"",C$1,"NA"),'MITRE ATT&amp;CK Mappings'!$E537)),ISNUMBER(SEARCH(IF(C$1&lt;&gt;"",C$1,"NA"),'MITRE ATT&amp;CK Mappings'!$F537))),ISNUMBER(SEARCH(IF(C$2&lt;&gt;"",C$2,"NA"),'MITRE ATT&amp;CK Mappings'!$G537))),ISNUMBER(SEARCH(IF(C$2&lt;&gt;"",C$2,"NA"),'MITRE ATT&amp;CK Mappings'!$H537))),ISNUMBER(SEARCH(IF(C$3&lt;&gt;"",C$3,"NA"),'MITRE ATT&amp;CK Mappings'!$I537))),ISNUMBER(SEARCH(IF(C$3&lt;&gt;"",C$3,"NA"),'MITRE ATT&amp;CK Mappings'!$J537))), 'MITRE ATT&amp;CK Mappings'!$B537,"")</f>
        <v/>
      </c>
      <c r="D541" s="27" t="str">
        <f>IF(OR(OR(OR(OR(OR(ISNUMBER(SEARCH(IF(D$1&lt;&gt;"",D$1,"NA"),'MITRE ATT&amp;CK Mappings'!$E537)),ISNUMBER(SEARCH(IF(D$1&lt;&gt;"",D$1,"NA"),'MITRE ATT&amp;CK Mappings'!$F537))),ISNUMBER(SEARCH(IF(D$2&lt;&gt;"",D$2,"NA"),'MITRE ATT&amp;CK Mappings'!$G537))),ISNUMBER(SEARCH(IF(D$2&lt;&gt;"",D$2,"NA"),'MITRE ATT&amp;CK Mappings'!$H537))),ISNUMBER(SEARCH(IF(D$3&lt;&gt;"",D$3,"NA"),'MITRE ATT&amp;CK Mappings'!$I537))),ISNUMBER(SEARCH(IF(D$3&lt;&gt;"",D$3,"NA"),'MITRE ATT&amp;CK Mappings'!$J537))), 'MITRE ATT&amp;CK Mappings'!$B537,"")</f>
        <v/>
      </c>
      <c r="E541" s="27" t="str">
        <f>IF(OR(OR(OR(OR(OR(ISNUMBER(SEARCH(IF(E$1&lt;&gt;"",E$1,"NA"),'MITRE ATT&amp;CK Mappings'!$E537)),ISNUMBER(SEARCH(IF(E$1&lt;&gt;"",E$1,"NA"),'MITRE ATT&amp;CK Mappings'!$F537))),ISNUMBER(SEARCH(IF(E$2&lt;&gt;"",E$2,"NA"),'MITRE ATT&amp;CK Mappings'!$G537))),ISNUMBER(SEARCH(IF(E$2&lt;&gt;"",E$2,"NA"),'MITRE ATT&amp;CK Mappings'!$H537))),ISNUMBER(SEARCH(IF(E$3&lt;&gt;"",E$3,"NA"),'MITRE ATT&amp;CK Mappings'!$I537))),ISNUMBER(SEARCH(IF(E$3&lt;&gt;"",E$3,"NA"),'MITRE ATT&amp;CK Mappings'!$J537))), 'MITRE ATT&amp;CK Mappings'!$B537,"")</f>
        <v/>
      </c>
      <c r="F541" s="27" t="str">
        <f>IF(OR(OR(OR(OR(OR(ISNUMBER(SEARCH(IF(F$1&lt;&gt;"",F$1,"NA"),'MITRE ATT&amp;CK Mappings'!$E537)),ISNUMBER(SEARCH(IF(F$1&lt;&gt;"",F$1,"NA"),'MITRE ATT&amp;CK Mappings'!$F537))),ISNUMBER(SEARCH(IF(F$2&lt;&gt;"",F$2,"NA"),'MITRE ATT&amp;CK Mappings'!$G537))),ISNUMBER(SEARCH(IF(F$2&lt;&gt;"",F$2,"NA"),'MITRE ATT&amp;CK Mappings'!$H537))),ISNUMBER(SEARCH(IF(F$3&lt;&gt;"",F$3,"NA"),'MITRE ATT&amp;CK Mappings'!$I537))),ISNUMBER(SEARCH(IF(F$3&lt;&gt;"",F$3,"NA"),'MITRE ATT&amp;CK Mappings'!$J537))), 'MITRE ATT&amp;CK Mappings'!$B537,"")</f>
        <v/>
      </c>
      <c r="G541" s="27" t="str">
        <f>IF(OR(OR(OR(OR(OR(ISNUMBER(SEARCH(IF(G$1&lt;&gt;"",G$1,"NA"),'MITRE ATT&amp;CK Mappings'!$E537)),ISNUMBER(SEARCH(IF(G$1&lt;&gt;"",G$1,"NA"),'MITRE ATT&amp;CK Mappings'!$F537))),ISNUMBER(SEARCH(IF(G$2&lt;&gt;"",G$2,"NA"),'MITRE ATT&amp;CK Mappings'!$G537))),ISNUMBER(SEARCH(IF(G$2&lt;&gt;"",G$2,"NA"),'MITRE ATT&amp;CK Mappings'!$H537))),ISNUMBER(SEARCH(IF(G$3&lt;&gt;"",G$3,"NA"),'MITRE ATT&amp;CK Mappings'!$I537))),ISNUMBER(SEARCH(IF(G$3&lt;&gt;"",G$3,"NA"),'MITRE ATT&amp;CK Mappings'!$J537))), 'MITRE ATT&amp;CK Mappings'!$B537,"")</f>
        <v/>
      </c>
      <c r="H541" s="27" t="str">
        <f>IF(OR(OR(OR(OR(OR(ISNUMBER(SEARCH(IF(H$1&lt;&gt;"",H$1,"NA"),'MITRE ATT&amp;CK Mappings'!$E537)),ISNUMBER(SEARCH(IF(H$1&lt;&gt;"",H$1,"NA"),'MITRE ATT&amp;CK Mappings'!$F537))),ISNUMBER(SEARCH(IF(H$2&lt;&gt;"",H$2,"NA"),'MITRE ATT&amp;CK Mappings'!$G537))),ISNUMBER(SEARCH(IF(H$2&lt;&gt;"",H$2,"NA"),'MITRE ATT&amp;CK Mappings'!$H537))),ISNUMBER(SEARCH(IF(H$3&lt;&gt;"",H$3,"NA"),'MITRE ATT&amp;CK Mappings'!$I537))),ISNUMBER(SEARCH(IF(H$3&lt;&gt;"",H$3,"NA"),'MITRE ATT&amp;CK Mappings'!$J537))), 'MITRE ATT&amp;CK Mappings'!$B537,"")</f>
        <v/>
      </c>
      <c r="I541" s="27" t="str">
        <f>IF(OR(OR(OR(OR(OR(ISNUMBER(SEARCH(IF(I$1&lt;&gt;"",I$1,"NA"),'MITRE ATT&amp;CK Mappings'!$E537)),ISNUMBER(SEARCH(IF(I$1&lt;&gt;"",I$1,"NA"),'MITRE ATT&amp;CK Mappings'!$F537))),ISNUMBER(SEARCH(IF(I$2&lt;&gt;"",I$2,"NA"),'MITRE ATT&amp;CK Mappings'!$G537))),ISNUMBER(SEARCH(IF(I$2&lt;&gt;"",I$2,"NA"),'MITRE ATT&amp;CK Mappings'!$H537))),ISNUMBER(SEARCH(IF(I$3&lt;&gt;"",I$3,"NA"),'MITRE ATT&amp;CK Mappings'!$I537))),ISNUMBER(SEARCH(IF(I$3&lt;&gt;"",I$3,"NA"),'MITRE ATT&amp;CK Mappings'!$J537))), 'MITRE ATT&amp;CK Mappings'!$B537,"")</f>
        <v/>
      </c>
      <c r="J541" s="27" t="str">
        <f>IF(OR(OR(OR(OR(OR(ISNUMBER(SEARCH(IF(J$1&lt;&gt;"",J$1,"NA"),'MITRE ATT&amp;CK Mappings'!$E537)),ISNUMBER(SEARCH(IF(J$1&lt;&gt;"",J$1,"NA"),'MITRE ATT&amp;CK Mappings'!$F537))),ISNUMBER(SEARCH(IF(J$2&lt;&gt;"",J$2,"NA"),'MITRE ATT&amp;CK Mappings'!$G537))),ISNUMBER(SEARCH(IF(J$2&lt;&gt;"",J$2,"NA"),'MITRE ATT&amp;CK Mappings'!$H537))),ISNUMBER(SEARCH(IF(J$3&lt;&gt;"",J$3,"NA"),'MITRE ATT&amp;CK Mappings'!$I537))),ISNUMBER(SEARCH(IF(J$3&lt;&gt;"",J$3,"NA"),'MITRE ATT&amp;CK Mappings'!$J537))), 'MITRE ATT&amp;CK Mappings'!$B537,"")</f>
        <v/>
      </c>
      <c r="K541" s="27" t="str">
        <f>IF(OR(OR(OR(OR(OR(ISNUMBER(SEARCH(IF(K$1&lt;&gt;"",K$1,"NA"),'MITRE ATT&amp;CK Mappings'!$E537)),ISNUMBER(SEARCH(IF(K$1&lt;&gt;"",K$1,"NA"),'MITRE ATT&amp;CK Mappings'!$F537))),ISNUMBER(SEARCH(IF(K$2&lt;&gt;"",K$2,"NA"),'MITRE ATT&amp;CK Mappings'!$G537))),ISNUMBER(SEARCH(IF(K$2&lt;&gt;"",K$2,"NA"),'MITRE ATT&amp;CK Mappings'!$H537))),ISNUMBER(SEARCH(IF(K$3&lt;&gt;"",K$3,"NA"),'MITRE ATT&amp;CK Mappings'!$I537))),ISNUMBER(SEARCH(IF(K$3&lt;&gt;"",K$3,"NA"),'MITRE ATT&amp;CK Mappings'!$J537))), 'MITRE ATT&amp;CK Mappings'!$B537,"")</f>
        <v/>
      </c>
      <c r="L541" s="27" t="str">
        <f>IF('MITRE ATT&amp;CK Mappings'!D537 &lt;&gt;"",'MITRE ATT&amp;CK Mappings'!D537,"" )</f>
        <v/>
      </c>
    </row>
    <row r="542" spans="1:12" x14ac:dyDescent="0.25">
      <c r="A542" s="26" t="str">
        <f>IF(COUNTIF(B542:K542,"="&amp;'MITRE ATT&amp;CK Mappings'!B538)&gt;0,'MITRE ATT&amp;CK Mappings'!B538,"")</f>
        <v/>
      </c>
      <c r="B542" s="26" t="str">
        <f>IF(OR(OR(OR(OR(OR(ISNUMBER(SEARCH(IF(B$1&lt;&gt;"",B$1,"NA"),'MITRE ATT&amp;CK Mappings'!$E538)),ISNUMBER(SEARCH(IF(B$1&lt;&gt;"",B$1,"NA"),'MITRE ATT&amp;CK Mappings'!$F538))),ISNUMBER(SEARCH(IF(B$2&lt;&gt;"",B$2,"NA"),'MITRE ATT&amp;CK Mappings'!$G538))),ISNUMBER(SEARCH(IF(B$2&lt;&gt;"",B$2,"NA"),'MITRE ATT&amp;CK Mappings'!$H538))),ISNUMBER(SEARCH(IF(B$3&lt;&gt;"",B$3,"NA"),'MITRE ATT&amp;CK Mappings'!$I538))),ISNUMBER(SEARCH(IF(B$3&lt;&gt;"",B$3,"NA"),'MITRE ATT&amp;CK Mappings'!$J538))), 'MITRE ATT&amp;CK Mappings'!$B538,"")</f>
        <v/>
      </c>
      <c r="C542" s="26" t="str">
        <f>IF(OR(OR(OR(OR(OR(ISNUMBER(SEARCH(IF(C$1&lt;&gt;"",C$1,"NA"),'MITRE ATT&amp;CK Mappings'!$E538)),ISNUMBER(SEARCH(IF(C$1&lt;&gt;"",C$1,"NA"),'MITRE ATT&amp;CK Mappings'!$F538))),ISNUMBER(SEARCH(IF(C$2&lt;&gt;"",C$2,"NA"),'MITRE ATT&amp;CK Mappings'!$G538))),ISNUMBER(SEARCH(IF(C$2&lt;&gt;"",C$2,"NA"),'MITRE ATT&amp;CK Mappings'!$H538))),ISNUMBER(SEARCH(IF(C$3&lt;&gt;"",C$3,"NA"),'MITRE ATT&amp;CK Mappings'!$I538))),ISNUMBER(SEARCH(IF(C$3&lt;&gt;"",C$3,"NA"),'MITRE ATT&amp;CK Mappings'!$J538))), 'MITRE ATT&amp;CK Mappings'!$B538,"")</f>
        <v/>
      </c>
      <c r="D542" s="26" t="str">
        <f>IF(OR(OR(OR(OR(OR(ISNUMBER(SEARCH(IF(D$1&lt;&gt;"",D$1,"NA"),'MITRE ATT&amp;CK Mappings'!$E538)),ISNUMBER(SEARCH(IF(D$1&lt;&gt;"",D$1,"NA"),'MITRE ATT&amp;CK Mappings'!$F538))),ISNUMBER(SEARCH(IF(D$2&lt;&gt;"",D$2,"NA"),'MITRE ATT&amp;CK Mappings'!$G538))),ISNUMBER(SEARCH(IF(D$2&lt;&gt;"",D$2,"NA"),'MITRE ATT&amp;CK Mappings'!$H538))),ISNUMBER(SEARCH(IF(D$3&lt;&gt;"",D$3,"NA"),'MITRE ATT&amp;CK Mappings'!$I538))),ISNUMBER(SEARCH(IF(D$3&lt;&gt;"",D$3,"NA"),'MITRE ATT&amp;CK Mappings'!$J538))), 'MITRE ATT&amp;CK Mappings'!$B538,"")</f>
        <v/>
      </c>
      <c r="E542" s="26" t="str">
        <f>IF(OR(OR(OR(OR(OR(ISNUMBER(SEARCH(IF(E$1&lt;&gt;"",E$1,"NA"),'MITRE ATT&amp;CK Mappings'!$E538)),ISNUMBER(SEARCH(IF(E$1&lt;&gt;"",E$1,"NA"),'MITRE ATT&amp;CK Mappings'!$F538))),ISNUMBER(SEARCH(IF(E$2&lt;&gt;"",E$2,"NA"),'MITRE ATT&amp;CK Mappings'!$G538))),ISNUMBER(SEARCH(IF(E$2&lt;&gt;"",E$2,"NA"),'MITRE ATT&amp;CK Mappings'!$H538))),ISNUMBER(SEARCH(IF(E$3&lt;&gt;"",E$3,"NA"),'MITRE ATT&amp;CK Mappings'!$I538))),ISNUMBER(SEARCH(IF(E$3&lt;&gt;"",E$3,"NA"),'MITRE ATT&amp;CK Mappings'!$J538))), 'MITRE ATT&amp;CK Mappings'!$B538,"")</f>
        <v/>
      </c>
      <c r="F542" s="26" t="str">
        <f>IF(OR(OR(OR(OR(OR(ISNUMBER(SEARCH(IF(F$1&lt;&gt;"",F$1,"NA"),'MITRE ATT&amp;CK Mappings'!$E538)),ISNUMBER(SEARCH(IF(F$1&lt;&gt;"",F$1,"NA"),'MITRE ATT&amp;CK Mappings'!$F538))),ISNUMBER(SEARCH(IF(F$2&lt;&gt;"",F$2,"NA"),'MITRE ATT&amp;CK Mappings'!$G538))),ISNUMBER(SEARCH(IF(F$2&lt;&gt;"",F$2,"NA"),'MITRE ATT&amp;CK Mappings'!$H538))),ISNUMBER(SEARCH(IF(F$3&lt;&gt;"",F$3,"NA"),'MITRE ATT&amp;CK Mappings'!$I538))),ISNUMBER(SEARCH(IF(F$3&lt;&gt;"",F$3,"NA"),'MITRE ATT&amp;CK Mappings'!$J538))), 'MITRE ATT&amp;CK Mappings'!$B538,"")</f>
        <v/>
      </c>
      <c r="G542" s="26" t="str">
        <f>IF(OR(OR(OR(OR(OR(ISNUMBER(SEARCH(IF(G$1&lt;&gt;"",G$1,"NA"),'MITRE ATT&amp;CK Mappings'!$E538)),ISNUMBER(SEARCH(IF(G$1&lt;&gt;"",G$1,"NA"),'MITRE ATT&amp;CK Mappings'!$F538))),ISNUMBER(SEARCH(IF(G$2&lt;&gt;"",G$2,"NA"),'MITRE ATT&amp;CK Mappings'!$G538))),ISNUMBER(SEARCH(IF(G$2&lt;&gt;"",G$2,"NA"),'MITRE ATT&amp;CK Mappings'!$H538))),ISNUMBER(SEARCH(IF(G$3&lt;&gt;"",G$3,"NA"),'MITRE ATT&amp;CK Mappings'!$I538))),ISNUMBER(SEARCH(IF(G$3&lt;&gt;"",G$3,"NA"),'MITRE ATT&amp;CK Mappings'!$J538))), 'MITRE ATT&amp;CK Mappings'!$B538,"")</f>
        <v/>
      </c>
      <c r="H542" s="26" t="str">
        <f>IF(OR(OR(OR(OR(OR(ISNUMBER(SEARCH(IF(H$1&lt;&gt;"",H$1,"NA"),'MITRE ATT&amp;CK Mappings'!$E538)),ISNUMBER(SEARCH(IF(H$1&lt;&gt;"",H$1,"NA"),'MITRE ATT&amp;CK Mappings'!$F538))),ISNUMBER(SEARCH(IF(H$2&lt;&gt;"",H$2,"NA"),'MITRE ATT&amp;CK Mappings'!$G538))),ISNUMBER(SEARCH(IF(H$2&lt;&gt;"",H$2,"NA"),'MITRE ATT&amp;CK Mappings'!$H538))),ISNUMBER(SEARCH(IF(H$3&lt;&gt;"",H$3,"NA"),'MITRE ATT&amp;CK Mappings'!$I538))),ISNUMBER(SEARCH(IF(H$3&lt;&gt;"",H$3,"NA"),'MITRE ATT&amp;CK Mappings'!$J538))), 'MITRE ATT&amp;CK Mappings'!$B538,"")</f>
        <v/>
      </c>
      <c r="I542" s="26" t="str">
        <f>IF(OR(OR(OR(OR(OR(ISNUMBER(SEARCH(IF(I$1&lt;&gt;"",I$1,"NA"),'MITRE ATT&amp;CK Mappings'!$E538)),ISNUMBER(SEARCH(IF(I$1&lt;&gt;"",I$1,"NA"),'MITRE ATT&amp;CK Mappings'!$F538))),ISNUMBER(SEARCH(IF(I$2&lt;&gt;"",I$2,"NA"),'MITRE ATT&amp;CK Mappings'!$G538))),ISNUMBER(SEARCH(IF(I$2&lt;&gt;"",I$2,"NA"),'MITRE ATT&amp;CK Mappings'!$H538))),ISNUMBER(SEARCH(IF(I$3&lt;&gt;"",I$3,"NA"),'MITRE ATT&amp;CK Mappings'!$I538))),ISNUMBER(SEARCH(IF(I$3&lt;&gt;"",I$3,"NA"),'MITRE ATT&amp;CK Mappings'!$J538))), 'MITRE ATT&amp;CK Mappings'!$B538,"")</f>
        <v/>
      </c>
      <c r="J542" s="26" t="str">
        <f>IF(OR(OR(OR(OR(OR(ISNUMBER(SEARCH(IF(J$1&lt;&gt;"",J$1,"NA"),'MITRE ATT&amp;CK Mappings'!$E538)),ISNUMBER(SEARCH(IF(J$1&lt;&gt;"",J$1,"NA"),'MITRE ATT&amp;CK Mappings'!$F538))),ISNUMBER(SEARCH(IF(J$2&lt;&gt;"",J$2,"NA"),'MITRE ATT&amp;CK Mappings'!$G538))),ISNUMBER(SEARCH(IF(J$2&lt;&gt;"",J$2,"NA"),'MITRE ATT&amp;CK Mappings'!$H538))),ISNUMBER(SEARCH(IF(J$3&lt;&gt;"",J$3,"NA"),'MITRE ATT&amp;CK Mappings'!$I538))),ISNUMBER(SEARCH(IF(J$3&lt;&gt;"",J$3,"NA"),'MITRE ATT&amp;CK Mappings'!$J538))), 'MITRE ATT&amp;CK Mappings'!$B538,"")</f>
        <v/>
      </c>
      <c r="K542" s="26" t="str">
        <f>IF(OR(OR(OR(OR(OR(ISNUMBER(SEARCH(IF(K$1&lt;&gt;"",K$1,"NA"),'MITRE ATT&amp;CK Mappings'!$E538)),ISNUMBER(SEARCH(IF(K$1&lt;&gt;"",K$1,"NA"),'MITRE ATT&amp;CK Mappings'!$F538))),ISNUMBER(SEARCH(IF(K$2&lt;&gt;"",K$2,"NA"),'MITRE ATT&amp;CK Mappings'!$G538))),ISNUMBER(SEARCH(IF(K$2&lt;&gt;"",K$2,"NA"),'MITRE ATT&amp;CK Mappings'!$H538))),ISNUMBER(SEARCH(IF(K$3&lt;&gt;"",K$3,"NA"),'MITRE ATT&amp;CK Mappings'!$I538))),ISNUMBER(SEARCH(IF(K$3&lt;&gt;"",K$3,"NA"),'MITRE ATT&amp;CK Mappings'!$J538))), 'MITRE ATT&amp;CK Mappings'!$B538,"")</f>
        <v/>
      </c>
      <c r="L542" s="26" t="str">
        <f>IF('MITRE ATT&amp;CK Mappings'!D538 &lt;&gt;"",'MITRE ATT&amp;CK Mappings'!D538,"" )</f>
        <v/>
      </c>
    </row>
    <row r="543" spans="1:12" x14ac:dyDescent="0.25">
      <c r="A543" s="27" t="str">
        <f>IF(COUNTIF(B543:K543,"="&amp;'MITRE ATT&amp;CK Mappings'!B539)&gt;0,'MITRE ATT&amp;CK Mappings'!B539,"")</f>
        <v/>
      </c>
      <c r="B543" s="27" t="str">
        <f>IF(OR(OR(OR(OR(OR(ISNUMBER(SEARCH(IF(B$1&lt;&gt;"",B$1,"NA"),'MITRE ATT&amp;CK Mappings'!$E539)),ISNUMBER(SEARCH(IF(B$1&lt;&gt;"",B$1,"NA"),'MITRE ATT&amp;CK Mappings'!$F539))),ISNUMBER(SEARCH(IF(B$2&lt;&gt;"",B$2,"NA"),'MITRE ATT&amp;CK Mappings'!$G539))),ISNUMBER(SEARCH(IF(B$2&lt;&gt;"",B$2,"NA"),'MITRE ATT&amp;CK Mappings'!$H539))),ISNUMBER(SEARCH(IF(B$3&lt;&gt;"",B$3,"NA"),'MITRE ATT&amp;CK Mappings'!$I539))),ISNUMBER(SEARCH(IF(B$3&lt;&gt;"",B$3,"NA"),'MITRE ATT&amp;CK Mappings'!$J539))), 'MITRE ATT&amp;CK Mappings'!$B539,"")</f>
        <v/>
      </c>
      <c r="C543" s="27" t="str">
        <f>IF(OR(OR(OR(OR(OR(ISNUMBER(SEARCH(IF(C$1&lt;&gt;"",C$1,"NA"),'MITRE ATT&amp;CK Mappings'!$E539)),ISNUMBER(SEARCH(IF(C$1&lt;&gt;"",C$1,"NA"),'MITRE ATT&amp;CK Mappings'!$F539))),ISNUMBER(SEARCH(IF(C$2&lt;&gt;"",C$2,"NA"),'MITRE ATT&amp;CK Mappings'!$G539))),ISNUMBER(SEARCH(IF(C$2&lt;&gt;"",C$2,"NA"),'MITRE ATT&amp;CK Mappings'!$H539))),ISNUMBER(SEARCH(IF(C$3&lt;&gt;"",C$3,"NA"),'MITRE ATT&amp;CK Mappings'!$I539))),ISNUMBER(SEARCH(IF(C$3&lt;&gt;"",C$3,"NA"),'MITRE ATT&amp;CK Mappings'!$J539))), 'MITRE ATT&amp;CK Mappings'!$B539,"")</f>
        <v/>
      </c>
      <c r="D543" s="27" t="str">
        <f>IF(OR(OR(OR(OR(OR(ISNUMBER(SEARCH(IF(D$1&lt;&gt;"",D$1,"NA"),'MITRE ATT&amp;CK Mappings'!$E539)),ISNUMBER(SEARCH(IF(D$1&lt;&gt;"",D$1,"NA"),'MITRE ATT&amp;CK Mappings'!$F539))),ISNUMBER(SEARCH(IF(D$2&lt;&gt;"",D$2,"NA"),'MITRE ATT&amp;CK Mappings'!$G539))),ISNUMBER(SEARCH(IF(D$2&lt;&gt;"",D$2,"NA"),'MITRE ATT&amp;CK Mappings'!$H539))),ISNUMBER(SEARCH(IF(D$3&lt;&gt;"",D$3,"NA"),'MITRE ATT&amp;CK Mappings'!$I539))),ISNUMBER(SEARCH(IF(D$3&lt;&gt;"",D$3,"NA"),'MITRE ATT&amp;CK Mappings'!$J539))), 'MITRE ATT&amp;CK Mappings'!$B539,"")</f>
        <v/>
      </c>
      <c r="E543" s="27" t="str">
        <f>IF(OR(OR(OR(OR(OR(ISNUMBER(SEARCH(IF(E$1&lt;&gt;"",E$1,"NA"),'MITRE ATT&amp;CK Mappings'!$E539)),ISNUMBER(SEARCH(IF(E$1&lt;&gt;"",E$1,"NA"),'MITRE ATT&amp;CK Mappings'!$F539))),ISNUMBER(SEARCH(IF(E$2&lt;&gt;"",E$2,"NA"),'MITRE ATT&amp;CK Mappings'!$G539))),ISNUMBER(SEARCH(IF(E$2&lt;&gt;"",E$2,"NA"),'MITRE ATT&amp;CK Mappings'!$H539))),ISNUMBER(SEARCH(IF(E$3&lt;&gt;"",E$3,"NA"),'MITRE ATT&amp;CK Mappings'!$I539))),ISNUMBER(SEARCH(IF(E$3&lt;&gt;"",E$3,"NA"),'MITRE ATT&amp;CK Mappings'!$J539))), 'MITRE ATT&amp;CK Mappings'!$B539,"")</f>
        <v/>
      </c>
      <c r="F543" s="27" t="str">
        <f>IF(OR(OR(OR(OR(OR(ISNUMBER(SEARCH(IF(F$1&lt;&gt;"",F$1,"NA"),'MITRE ATT&amp;CK Mappings'!$E539)),ISNUMBER(SEARCH(IF(F$1&lt;&gt;"",F$1,"NA"),'MITRE ATT&amp;CK Mappings'!$F539))),ISNUMBER(SEARCH(IF(F$2&lt;&gt;"",F$2,"NA"),'MITRE ATT&amp;CK Mappings'!$G539))),ISNUMBER(SEARCH(IF(F$2&lt;&gt;"",F$2,"NA"),'MITRE ATT&amp;CK Mappings'!$H539))),ISNUMBER(SEARCH(IF(F$3&lt;&gt;"",F$3,"NA"),'MITRE ATT&amp;CK Mappings'!$I539))),ISNUMBER(SEARCH(IF(F$3&lt;&gt;"",F$3,"NA"),'MITRE ATT&amp;CK Mappings'!$J539))), 'MITRE ATT&amp;CK Mappings'!$B539,"")</f>
        <v/>
      </c>
      <c r="G543" s="27" t="str">
        <f>IF(OR(OR(OR(OR(OR(ISNUMBER(SEARCH(IF(G$1&lt;&gt;"",G$1,"NA"),'MITRE ATT&amp;CK Mappings'!$E539)),ISNUMBER(SEARCH(IF(G$1&lt;&gt;"",G$1,"NA"),'MITRE ATT&amp;CK Mappings'!$F539))),ISNUMBER(SEARCH(IF(G$2&lt;&gt;"",G$2,"NA"),'MITRE ATT&amp;CK Mappings'!$G539))),ISNUMBER(SEARCH(IF(G$2&lt;&gt;"",G$2,"NA"),'MITRE ATT&amp;CK Mappings'!$H539))),ISNUMBER(SEARCH(IF(G$3&lt;&gt;"",G$3,"NA"),'MITRE ATT&amp;CK Mappings'!$I539))),ISNUMBER(SEARCH(IF(G$3&lt;&gt;"",G$3,"NA"),'MITRE ATT&amp;CK Mappings'!$J539))), 'MITRE ATT&amp;CK Mappings'!$B539,"")</f>
        <v/>
      </c>
      <c r="H543" s="27" t="str">
        <f>IF(OR(OR(OR(OR(OR(ISNUMBER(SEARCH(IF(H$1&lt;&gt;"",H$1,"NA"),'MITRE ATT&amp;CK Mappings'!$E539)),ISNUMBER(SEARCH(IF(H$1&lt;&gt;"",H$1,"NA"),'MITRE ATT&amp;CK Mappings'!$F539))),ISNUMBER(SEARCH(IF(H$2&lt;&gt;"",H$2,"NA"),'MITRE ATT&amp;CK Mappings'!$G539))),ISNUMBER(SEARCH(IF(H$2&lt;&gt;"",H$2,"NA"),'MITRE ATT&amp;CK Mappings'!$H539))),ISNUMBER(SEARCH(IF(H$3&lt;&gt;"",H$3,"NA"),'MITRE ATT&amp;CK Mappings'!$I539))),ISNUMBER(SEARCH(IF(H$3&lt;&gt;"",H$3,"NA"),'MITRE ATT&amp;CK Mappings'!$J539))), 'MITRE ATT&amp;CK Mappings'!$B539,"")</f>
        <v/>
      </c>
      <c r="I543" s="27" t="str">
        <f>IF(OR(OR(OR(OR(OR(ISNUMBER(SEARCH(IF(I$1&lt;&gt;"",I$1,"NA"),'MITRE ATT&amp;CK Mappings'!$E539)),ISNUMBER(SEARCH(IF(I$1&lt;&gt;"",I$1,"NA"),'MITRE ATT&amp;CK Mappings'!$F539))),ISNUMBER(SEARCH(IF(I$2&lt;&gt;"",I$2,"NA"),'MITRE ATT&amp;CK Mappings'!$G539))),ISNUMBER(SEARCH(IF(I$2&lt;&gt;"",I$2,"NA"),'MITRE ATT&amp;CK Mappings'!$H539))),ISNUMBER(SEARCH(IF(I$3&lt;&gt;"",I$3,"NA"),'MITRE ATT&amp;CK Mappings'!$I539))),ISNUMBER(SEARCH(IF(I$3&lt;&gt;"",I$3,"NA"),'MITRE ATT&amp;CK Mappings'!$J539))), 'MITRE ATT&amp;CK Mappings'!$B539,"")</f>
        <v/>
      </c>
      <c r="J543" s="27" t="str">
        <f>IF(OR(OR(OR(OR(OR(ISNUMBER(SEARCH(IF(J$1&lt;&gt;"",J$1,"NA"),'MITRE ATT&amp;CK Mappings'!$E539)),ISNUMBER(SEARCH(IF(J$1&lt;&gt;"",J$1,"NA"),'MITRE ATT&amp;CK Mappings'!$F539))),ISNUMBER(SEARCH(IF(J$2&lt;&gt;"",J$2,"NA"),'MITRE ATT&amp;CK Mappings'!$G539))),ISNUMBER(SEARCH(IF(J$2&lt;&gt;"",J$2,"NA"),'MITRE ATT&amp;CK Mappings'!$H539))),ISNUMBER(SEARCH(IF(J$3&lt;&gt;"",J$3,"NA"),'MITRE ATT&amp;CK Mappings'!$I539))),ISNUMBER(SEARCH(IF(J$3&lt;&gt;"",J$3,"NA"),'MITRE ATT&amp;CK Mappings'!$J539))), 'MITRE ATT&amp;CK Mappings'!$B539,"")</f>
        <v/>
      </c>
      <c r="K543" s="27" t="str">
        <f>IF(OR(OR(OR(OR(OR(ISNUMBER(SEARCH(IF(K$1&lt;&gt;"",K$1,"NA"),'MITRE ATT&amp;CK Mappings'!$E539)),ISNUMBER(SEARCH(IF(K$1&lt;&gt;"",K$1,"NA"),'MITRE ATT&amp;CK Mappings'!$F539))),ISNUMBER(SEARCH(IF(K$2&lt;&gt;"",K$2,"NA"),'MITRE ATT&amp;CK Mappings'!$G539))),ISNUMBER(SEARCH(IF(K$2&lt;&gt;"",K$2,"NA"),'MITRE ATT&amp;CK Mappings'!$H539))),ISNUMBER(SEARCH(IF(K$3&lt;&gt;"",K$3,"NA"),'MITRE ATT&amp;CK Mappings'!$I539))),ISNUMBER(SEARCH(IF(K$3&lt;&gt;"",K$3,"NA"),'MITRE ATT&amp;CK Mappings'!$J539))), 'MITRE ATT&amp;CK Mappings'!$B539,"")</f>
        <v/>
      </c>
      <c r="L543" s="27" t="str">
        <f>IF('MITRE ATT&amp;CK Mappings'!D539 &lt;&gt;"",'MITRE ATT&amp;CK Mappings'!D539,"" )</f>
        <v/>
      </c>
    </row>
    <row r="544" spans="1:12" x14ac:dyDescent="0.25">
      <c r="A544" s="26" t="str">
        <f>IF(COUNTIF(B544:K544,"="&amp;'MITRE ATT&amp;CK Mappings'!B540)&gt;0,'MITRE ATT&amp;CK Mappings'!B540,"")</f>
        <v/>
      </c>
      <c r="B544" s="26" t="str">
        <f>IF(OR(OR(OR(OR(OR(ISNUMBER(SEARCH(IF(B$1&lt;&gt;"",B$1,"NA"),'MITRE ATT&amp;CK Mappings'!$E540)),ISNUMBER(SEARCH(IF(B$1&lt;&gt;"",B$1,"NA"),'MITRE ATT&amp;CK Mappings'!$F540))),ISNUMBER(SEARCH(IF(B$2&lt;&gt;"",B$2,"NA"),'MITRE ATT&amp;CK Mappings'!$G540))),ISNUMBER(SEARCH(IF(B$2&lt;&gt;"",B$2,"NA"),'MITRE ATT&amp;CK Mappings'!$H540))),ISNUMBER(SEARCH(IF(B$3&lt;&gt;"",B$3,"NA"),'MITRE ATT&amp;CK Mappings'!$I540))),ISNUMBER(SEARCH(IF(B$3&lt;&gt;"",B$3,"NA"),'MITRE ATT&amp;CK Mappings'!$J540))), 'MITRE ATT&amp;CK Mappings'!$B540,"")</f>
        <v/>
      </c>
      <c r="C544" s="26" t="str">
        <f>IF(OR(OR(OR(OR(OR(ISNUMBER(SEARCH(IF(C$1&lt;&gt;"",C$1,"NA"),'MITRE ATT&amp;CK Mappings'!$E540)),ISNUMBER(SEARCH(IF(C$1&lt;&gt;"",C$1,"NA"),'MITRE ATT&amp;CK Mappings'!$F540))),ISNUMBER(SEARCH(IF(C$2&lt;&gt;"",C$2,"NA"),'MITRE ATT&amp;CK Mappings'!$G540))),ISNUMBER(SEARCH(IF(C$2&lt;&gt;"",C$2,"NA"),'MITRE ATT&amp;CK Mappings'!$H540))),ISNUMBER(SEARCH(IF(C$3&lt;&gt;"",C$3,"NA"),'MITRE ATT&amp;CK Mappings'!$I540))),ISNUMBER(SEARCH(IF(C$3&lt;&gt;"",C$3,"NA"),'MITRE ATT&amp;CK Mappings'!$J540))), 'MITRE ATT&amp;CK Mappings'!$B540,"")</f>
        <v/>
      </c>
      <c r="D544" s="26" t="str">
        <f>IF(OR(OR(OR(OR(OR(ISNUMBER(SEARCH(IF(D$1&lt;&gt;"",D$1,"NA"),'MITRE ATT&amp;CK Mappings'!$E540)),ISNUMBER(SEARCH(IF(D$1&lt;&gt;"",D$1,"NA"),'MITRE ATT&amp;CK Mappings'!$F540))),ISNUMBER(SEARCH(IF(D$2&lt;&gt;"",D$2,"NA"),'MITRE ATT&amp;CK Mappings'!$G540))),ISNUMBER(SEARCH(IF(D$2&lt;&gt;"",D$2,"NA"),'MITRE ATT&amp;CK Mappings'!$H540))),ISNUMBER(SEARCH(IF(D$3&lt;&gt;"",D$3,"NA"),'MITRE ATT&amp;CK Mappings'!$I540))),ISNUMBER(SEARCH(IF(D$3&lt;&gt;"",D$3,"NA"),'MITRE ATT&amp;CK Mappings'!$J540))), 'MITRE ATT&amp;CK Mappings'!$B540,"")</f>
        <v/>
      </c>
      <c r="E544" s="26" t="str">
        <f>IF(OR(OR(OR(OR(OR(ISNUMBER(SEARCH(IF(E$1&lt;&gt;"",E$1,"NA"),'MITRE ATT&amp;CK Mappings'!$E540)),ISNUMBER(SEARCH(IF(E$1&lt;&gt;"",E$1,"NA"),'MITRE ATT&amp;CK Mappings'!$F540))),ISNUMBER(SEARCH(IF(E$2&lt;&gt;"",E$2,"NA"),'MITRE ATT&amp;CK Mappings'!$G540))),ISNUMBER(SEARCH(IF(E$2&lt;&gt;"",E$2,"NA"),'MITRE ATT&amp;CK Mappings'!$H540))),ISNUMBER(SEARCH(IF(E$3&lt;&gt;"",E$3,"NA"),'MITRE ATT&amp;CK Mappings'!$I540))),ISNUMBER(SEARCH(IF(E$3&lt;&gt;"",E$3,"NA"),'MITRE ATT&amp;CK Mappings'!$J540))), 'MITRE ATT&amp;CK Mappings'!$B540,"")</f>
        <v/>
      </c>
      <c r="F544" s="26" t="str">
        <f>IF(OR(OR(OR(OR(OR(ISNUMBER(SEARCH(IF(F$1&lt;&gt;"",F$1,"NA"),'MITRE ATT&amp;CK Mappings'!$E540)),ISNUMBER(SEARCH(IF(F$1&lt;&gt;"",F$1,"NA"),'MITRE ATT&amp;CK Mappings'!$F540))),ISNUMBER(SEARCH(IF(F$2&lt;&gt;"",F$2,"NA"),'MITRE ATT&amp;CK Mappings'!$G540))),ISNUMBER(SEARCH(IF(F$2&lt;&gt;"",F$2,"NA"),'MITRE ATT&amp;CK Mappings'!$H540))),ISNUMBER(SEARCH(IF(F$3&lt;&gt;"",F$3,"NA"),'MITRE ATT&amp;CK Mappings'!$I540))),ISNUMBER(SEARCH(IF(F$3&lt;&gt;"",F$3,"NA"),'MITRE ATT&amp;CK Mappings'!$J540))), 'MITRE ATT&amp;CK Mappings'!$B540,"")</f>
        <v/>
      </c>
      <c r="G544" s="26" t="str">
        <f>IF(OR(OR(OR(OR(OR(ISNUMBER(SEARCH(IF(G$1&lt;&gt;"",G$1,"NA"),'MITRE ATT&amp;CK Mappings'!$E540)),ISNUMBER(SEARCH(IF(G$1&lt;&gt;"",G$1,"NA"),'MITRE ATT&amp;CK Mappings'!$F540))),ISNUMBER(SEARCH(IF(G$2&lt;&gt;"",G$2,"NA"),'MITRE ATT&amp;CK Mappings'!$G540))),ISNUMBER(SEARCH(IF(G$2&lt;&gt;"",G$2,"NA"),'MITRE ATT&amp;CK Mappings'!$H540))),ISNUMBER(SEARCH(IF(G$3&lt;&gt;"",G$3,"NA"),'MITRE ATT&amp;CK Mappings'!$I540))),ISNUMBER(SEARCH(IF(G$3&lt;&gt;"",G$3,"NA"),'MITRE ATT&amp;CK Mappings'!$J540))), 'MITRE ATT&amp;CK Mappings'!$B540,"")</f>
        <v/>
      </c>
      <c r="H544" s="26" t="str">
        <f>IF(OR(OR(OR(OR(OR(ISNUMBER(SEARCH(IF(H$1&lt;&gt;"",H$1,"NA"),'MITRE ATT&amp;CK Mappings'!$E540)),ISNUMBER(SEARCH(IF(H$1&lt;&gt;"",H$1,"NA"),'MITRE ATT&amp;CK Mappings'!$F540))),ISNUMBER(SEARCH(IF(H$2&lt;&gt;"",H$2,"NA"),'MITRE ATT&amp;CK Mappings'!$G540))),ISNUMBER(SEARCH(IF(H$2&lt;&gt;"",H$2,"NA"),'MITRE ATT&amp;CK Mappings'!$H540))),ISNUMBER(SEARCH(IF(H$3&lt;&gt;"",H$3,"NA"),'MITRE ATT&amp;CK Mappings'!$I540))),ISNUMBER(SEARCH(IF(H$3&lt;&gt;"",H$3,"NA"),'MITRE ATT&amp;CK Mappings'!$J540))), 'MITRE ATT&amp;CK Mappings'!$B540,"")</f>
        <v/>
      </c>
      <c r="I544" s="26" t="str">
        <f>IF(OR(OR(OR(OR(OR(ISNUMBER(SEARCH(IF(I$1&lt;&gt;"",I$1,"NA"),'MITRE ATT&amp;CK Mappings'!$E540)),ISNUMBER(SEARCH(IF(I$1&lt;&gt;"",I$1,"NA"),'MITRE ATT&amp;CK Mappings'!$F540))),ISNUMBER(SEARCH(IF(I$2&lt;&gt;"",I$2,"NA"),'MITRE ATT&amp;CK Mappings'!$G540))),ISNUMBER(SEARCH(IF(I$2&lt;&gt;"",I$2,"NA"),'MITRE ATT&amp;CK Mappings'!$H540))),ISNUMBER(SEARCH(IF(I$3&lt;&gt;"",I$3,"NA"),'MITRE ATT&amp;CK Mappings'!$I540))),ISNUMBER(SEARCH(IF(I$3&lt;&gt;"",I$3,"NA"),'MITRE ATT&amp;CK Mappings'!$J540))), 'MITRE ATT&amp;CK Mappings'!$B540,"")</f>
        <v/>
      </c>
      <c r="J544" s="26" t="str">
        <f>IF(OR(OR(OR(OR(OR(ISNUMBER(SEARCH(IF(J$1&lt;&gt;"",J$1,"NA"),'MITRE ATT&amp;CK Mappings'!$E540)),ISNUMBER(SEARCH(IF(J$1&lt;&gt;"",J$1,"NA"),'MITRE ATT&amp;CK Mappings'!$F540))),ISNUMBER(SEARCH(IF(J$2&lt;&gt;"",J$2,"NA"),'MITRE ATT&amp;CK Mappings'!$G540))),ISNUMBER(SEARCH(IF(J$2&lt;&gt;"",J$2,"NA"),'MITRE ATT&amp;CK Mappings'!$H540))),ISNUMBER(SEARCH(IF(J$3&lt;&gt;"",J$3,"NA"),'MITRE ATT&amp;CK Mappings'!$I540))),ISNUMBER(SEARCH(IF(J$3&lt;&gt;"",J$3,"NA"),'MITRE ATT&amp;CK Mappings'!$J540))), 'MITRE ATT&amp;CK Mappings'!$B540,"")</f>
        <v/>
      </c>
      <c r="K544" s="26" t="str">
        <f>IF(OR(OR(OR(OR(OR(ISNUMBER(SEARCH(IF(K$1&lt;&gt;"",K$1,"NA"),'MITRE ATT&amp;CK Mappings'!$E540)),ISNUMBER(SEARCH(IF(K$1&lt;&gt;"",K$1,"NA"),'MITRE ATT&amp;CK Mappings'!$F540))),ISNUMBER(SEARCH(IF(K$2&lt;&gt;"",K$2,"NA"),'MITRE ATT&amp;CK Mappings'!$G540))),ISNUMBER(SEARCH(IF(K$2&lt;&gt;"",K$2,"NA"),'MITRE ATT&amp;CK Mappings'!$H540))),ISNUMBER(SEARCH(IF(K$3&lt;&gt;"",K$3,"NA"),'MITRE ATT&amp;CK Mappings'!$I540))),ISNUMBER(SEARCH(IF(K$3&lt;&gt;"",K$3,"NA"),'MITRE ATT&amp;CK Mappings'!$J540))), 'MITRE ATT&amp;CK Mappings'!$B540,"")</f>
        <v/>
      </c>
      <c r="L544" s="26" t="str">
        <f>IF('MITRE ATT&amp;CK Mappings'!D540 &lt;&gt;"",'MITRE ATT&amp;CK Mappings'!D540,"" )</f>
        <v/>
      </c>
    </row>
    <row r="545" spans="1:12" x14ac:dyDescent="0.25">
      <c r="A545" s="27" t="str">
        <f>IF(COUNTIF(B545:K545,"="&amp;'MITRE ATT&amp;CK Mappings'!B541)&gt;0,'MITRE ATT&amp;CK Mappings'!B541,"")</f>
        <v/>
      </c>
      <c r="B545" s="27" t="str">
        <f>IF(OR(OR(OR(OR(OR(ISNUMBER(SEARCH(IF(B$1&lt;&gt;"",B$1,"NA"),'MITRE ATT&amp;CK Mappings'!$E541)),ISNUMBER(SEARCH(IF(B$1&lt;&gt;"",B$1,"NA"),'MITRE ATT&amp;CK Mappings'!$F541))),ISNUMBER(SEARCH(IF(B$2&lt;&gt;"",B$2,"NA"),'MITRE ATT&amp;CK Mappings'!$G541))),ISNUMBER(SEARCH(IF(B$2&lt;&gt;"",B$2,"NA"),'MITRE ATT&amp;CK Mappings'!$H541))),ISNUMBER(SEARCH(IF(B$3&lt;&gt;"",B$3,"NA"),'MITRE ATT&amp;CK Mappings'!$I541))),ISNUMBER(SEARCH(IF(B$3&lt;&gt;"",B$3,"NA"),'MITRE ATT&amp;CK Mappings'!$J541))), 'MITRE ATT&amp;CK Mappings'!$B541,"")</f>
        <v/>
      </c>
      <c r="C545" s="27" t="str">
        <f>IF(OR(OR(OR(OR(OR(ISNUMBER(SEARCH(IF(C$1&lt;&gt;"",C$1,"NA"),'MITRE ATT&amp;CK Mappings'!$E541)),ISNUMBER(SEARCH(IF(C$1&lt;&gt;"",C$1,"NA"),'MITRE ATT&amp;CK Mappings'!$F541))),ISNUMBER(SEARCH(IF(C$2&lt;&gt;"",C$2,"NA"),'MITRE ATT&amp;CK Mappings'!$G541))),ISNUMBER(SEARCH(IF(C$2&lt;&gt;"",C$2,"NA"),'MITRE ATT&amp;CK Mappings'!$H541))),ISNUMBER(SEARCH(IF(C$3&lt;&gt;"",C$3,"NA"),'MITRE ATT&amp;CK Mappings'!$I541))),ISNUMBER(SEARCH(IF(C$3&lt;&gt;"",C$3,"NA"),'MITRE ATT&amp;CK Mappings'!$J541))), 'MITRE ATT&amp;CK Mappings'!$B541,"")</f>
        <v/>
      </c>
      <c r="D545" s="27" t="str">
        <f>IF(OR(OR(OR(OR(OR(ISNUMBER(SEARCH(IF(D$1&lt;&gt;"",D$1,"NA"),'MITRE ATT&amp;CK Mappings'!$E541)),ISNUMBER(SEARCH(IF(D$1&lt;&gt;"",D$1,"NA"),'MITRE ATT&amp;CK Mappings'!$F541))),ISNUMBER(SEARCH(IF(D$2&lt;&gt;"",D$2,"NA"),'MITRE ATT&amp;CK Mappings'!$G541))),ISNUMBER(SEARCH(IF(D$2&lt;&gt;"",D$2,"NA"),'MITRE ATT&amp;CK Mappings'!$H541))),ISNUMBER(SEARCH(IF(D$3&lt;&gt;"",D$3,"NA"),'MITRE ATT&amp;CK Mappings'!$I541))),ISNUMBER(SEARCH(IF(D$3&lt;&gt;"",D$3,"NA"),'MITRE ATT&amp;CK Mappings'!$J541))), 'MITRE ATT&amp;CK Mappings'!$B541,"")</f>
        <v/>
      </c>
      <c r="E545" s="27" t="str">
        <f>IF(OR(OR(OR(OR(OR(ISNUMBER(SEARCH(IF(E$1&lt;&gt;"",E$1,"NA"),'MITRE ATT&amp;CK Mappings'!$E541)),ISNUMBER(SEARCH(IF(E$1&lt;&gt;"",E$1,"NA"),'MITRE ATT&amp;CK Mappings'!$F541))),ISNUMBER(SEARCH(IF(E$2&lt;&gt;"",E$2,"NA"),'MITRE ATT&amp;CK Mappings'!$G541))),ISNUMBER(SEARCH(IF(E$2&lt;&gt;"",E$2,"NA"),'MITRE ATT&amp;CK Mappings'!$H541))),ISNUMBER(SEARCH(IF(E$3&lt;&gt;"",E$3,"NA"),'MITRE ATT&amp;CK Mappings'!$I541))),ISNUMBER(SEARCH(IF(E$3&lt;&gt;"",E$3,"NA"),'MITRE ATT&amp;CK Mappings'!$J541))), 'MITRE ATT&amp;CK Mappings'!$B541,"")</f>
        <v/>
      </c>
      <c r="F545" s="27" t="str">
        <f>IF(OR(OR(OR(OR(OR(ISNUMBER(SEARCH(IF(F$1&lt;&gt;"",F$1,"NA"),'MITRE ATT&amp;CK Mappings'!$E541)),ISNUMBER(SEARCH(IF(F$1&lt;&gt;"",F$1,"NA"),'MITRE ATT&amp;CK Mappings'!$F541))),ISNUMBER(SEARCH(IF(F$2&lt;&gt;"",F$2,"NA"),'MITRE ATT&amp;CK Mappings'!$G541))),ISNUMBER(SEARCH(IF(F$2&lt;&gt;"",F$2,"NA"),'MITRE ATT&amp;CK Mappings'!$H541))),ISNUMBER(SEARCH(IF(F$3&lt;&gt;"",F$3,"NA"),'MITRE ATT&amp;CK Mappings'!$I541))),ISNUMBER(SEARCH(IF(F$3&lt;&gt;"",F$3,"NA"),'MITRE ATT&amp;CK Mappings'!$J541))), 'MITRE ATT&amp;CK Mappings'!$B541,"")</f>
        <v/>
      </c>
      <c r="G545" s="27" t="str">
        <f>IF(OR(OR(OR(OR(OR(ISNUMBER(SEARCH(IF(G$1&lt;&gt;"",G$1,"NA"),'MITRE ATT&amp;CK Mappings'!$E541)),ISNUMBER(SEARCH(IF(G$1&lt;&gt;"",G$1,"NA"),'MITRE ATT&amp;CK Mappings'!$F541))),ISNUMBER(SEARCH(IF(G$2&lt;&gt;"",G$2,"NA"),'MITRE ATT&amp;CK Mappings'!$G541))),ISNUMBER(SEARCH(IF(G$2&lt;&gt;"",G$2,"NA"),'MITRE ATT&amp;CK Mappings'!$H541))),ISNUMBER(SEARCH(IF(G$3&lt;&gt;"",G$3,"NA"),'MITRE ATT&amp;CK Mappings'!$I541))),ISNUMBER(SEARCH(IF(G$3&lt;&gt;"",G$3,"NA"),'MITRE ATT&amp;CK Mappings'!$J541))), 'MITRE ATT&amp;CK Mappings'!$B541,"")</f>
        <v/>
      </c>
      <c r="H545" s="27" t="str">
        <f>IF(OR(OR(OR(OR(OR(ISNUMBER(SEARCH(IF(H$1&lt;&gt;"",H$1,"NA"),'MITRE ATT&amp;CK Mappings'!$E541)),ISNUMBER(SEARCH(IF(H$1&lt;&gt;"",H$1,"NA"),'MITRE ATT&amp;CK Mappings'!$F541))),ISNUMBER(SEARCH(IF(H$2&lt;&gt;"",H$2,"NA"),'MITRE ATT&amp;CK Mappings'!$G541))),ISNUMBER(SEARCH(IF(H$2&lt;&gt;"",H$2,"NA"),'MITRE ATT&amp;CK Mappings'!$H541))),ISNUMBER(SEARCH(IF(H$3&lt;&gt;"",H$3,"NA"),'MITRE ATT&amp;CK Mappings'!$I541))),ISNUMBER(SEARCH(IF(H$3&lt;&gt;"",H$3,"NA"),'MITRE ATT&amp;CK Mappings'!$J541))), 'MITRE ATT&amp;CK Mappings'!$B541,"")</f>
        <v/>
      </c>
      <c r="I545" s="27" t="str">
        <f>IF(OR(OR(OR(OR(OR(ISNUMBER(SEARCH(IF(I$1&lt;&gt;"",I$1,"NA"),'MITRE ATT&amp;CK Mappings'!$E541)),ISNUMBER(SEARCH(IF(I$1&lt;&gt;"",I$1,"NA"),'MITRE ATT&amp;CK Mappings'!$F541))),ISNUMBER(SEARCH(IF(I$2&lt;&gt;"",I$2,"NA"),'MITRE ATT&amp;CK Mappings'!$G541))),ISNUMBER(SEARCH(IF(I$2&lt;&gt;"",I$2,"NA"),'MITRE ATT&amp;CK Mappings'!$H541))),ISNUMBER(SEARCH(IF(I$3&lt;&gt;"",I$3,"NA"),'MITRE ATT&amp;CK Mappings'!$I541))),ISNUMBER(SEARCH(IF(I$3&lt;&gt;"",I$3,"NA"),'MITRE ATT&amp;CK Mappings'!$J541))), 'MITRE ATT&amp;CK Mappings'!$B541,"")</f>
        <v/>
      </c>
      <c r="J545" s="27" t="str">
        <f>IF(OR(OR(OR(OR(OR(ISNUMBER(SEARCH(IF(J$1&lt;&gt;"",J$1,"NA"),'MITRE ATT&amp;CK Mappings'!$E541)),ISNUMBER(SEARCH(IF(J$1&lt;&gt;"",J$1,"NA"),'MITRE ATT&amp;CK Mappings'!$F541))),ISNUMBER(SEARCH(IF(J$2&lt;&gt;"",J$2,"NA"),'MITRE ATT&amp;CK Mappings'!$G541))),ISNUMBER(SEARCH(IF(J$2&lt;&gt;"",J$2,"NA"),'MITRE ATT&amp;CK Mappings'!$H541))),ISNUMBER(SEARCH(IF(J$3&lt;&gt;"",J$3,"NA"),'MITRE ATT&amp;CK Mappings'!$I541))),ISNUMBER(SEARCH(IF(J$3&lt;&gt;"",J$3,"NA"),'MITRE ATT&amp;CK Mappings'!$J541))), 'MITRE ATT&amp;CK Mappings'!$B541,"")</f>
        <v/>
      </c>
      <c r="K545" s="27" t="str">
        <f>IF(OR(OR(OR(OR(OR(ISNUMBER(SEARCH(IF(K$1&lt;&gt;"",K$1,"NA"),'MITRE ATT&amp;CK Mappings'!$E541)),ISNUMBER(SEARCH(IF(K$1&lt;&gt;"",K$1,"NA"),'MITRE ATT&amp;CK Mappings'!$F541))),ISNUMBER(SEARCH(IF(K$2&lt;&gt;"",K$2,"NA"),'MITRE ATT&amp;CK Mappings'!$G541))),ISNUMBER(SEARCH(IF(K$2&lt;&gt;"",K$2,"NA"),'MITRE ATT&amp;CK Mappings'!$H541))),ISNUMBER(SEARCH(IF(K$3&lt;&gt;"",K$3,"NA"),'MITRE ATT&amp;CK Mappings'!$I541))),ISNUMBER(SEARCH(IF(K$3&lt;&gt;"",K$3,"NA"),'MITRE ATT&amp;CK Mappings'!$J541))), 'MITRE ATT&amp;CK Mappings'!$B541,"")</f>
        <v/>
      </c>
      <c r="L545" s="27" t="str">
        <f>IF('MITRE ATT&amp;CK Mappings'!D541 &lt;&gt;"",'MITRE ATT&amp;CK Mappings'!D541,"" )</f>
        <v/>
      </c>
    </row>
    <row r="546" spans="1:12" x14ac:dyDescent="0.25">
      <c r="A546" s="26" t="str">
        <f>IF(COUNTIF(B546:K546,"="&amp;'MITRE ATT&amp;CK Mappings'!B542)&gt;0,'MITRE ATT&amp;CK Mappings'!B542,"")</f>
        <v/>
      </c>
      <c r="B546" s="26" t="str">
        <f>IF(OR(OR(OR(OR(OR(ISNUMBER(SEARCH(IF(B$1&lt;&gt;"",B$1,"NA"),'MITRE ATT&amp;CK Mappings'!$E542)),ISNUMBER(SEARCH(IF(B$1&lt;&gt;"",B$1,"NA"),'MITRE ATT&amp;CK Mappings'!$F542))),ISNUMBER(SEARCH(IF(B$2&lt;&gt;"",B$2,"NA"),'MITRE ATT&amp;CK Mappings'!$G542))),ISNUMBER(SEARCH(IF(B$2&lt;&gt;"",B$2,"NA"),'MITRE ATT&amp;CK Mappings'!$H542))),ISNUMBER(SEARCH(IF(B$3&lt;&gt;"",B$3,"NA"),'MITRE ATT&amp;CK Mappings'!$I542))),ISNUMBER(SEARCH(IF(B$3&lt;&gt;"",B$3,"NA"),'MITRE ATT&amp;CK Mappings'!$J542))), 'MITRE ATT&amp;CK Mappings'!$B542,"")</f>
        <v/>
      </c>
      <c r="C546" s="26" t="str">
        <f>IF(OR(OR(OR(OR(OR(ISNUMBER(SEARCH(IF(C$1&lt;&gt;"",C$1,"NA"),'MITRE ATT&amp;CK Mappings'!$E542)),ISNUMBER(SEARCH(IF(C$1&lt;&gt;"",C$1,"NA"),'MITRE ATT&amp;CK Mappings'!$F542))),ISNUMBER(SEARCH(IF(C$2&lt;&gt;"",C$2,"NA"),'MITRE ATT&amp;CK Mappings'!$G542))),ISNUMBER(SEARCH(IF(C$2&lt;&gt;"",C$2,"NA"),'MITRE ATT&amp;CK Mappings'!$H542))),ISNUMBER(SEARCH(IF(C$3&lt;&gt;"",C$3,"NA"),'MITRE ATT&amp;CK Mappings'!$I542))),ISNUMBER(SEARCH(IF(C$3&lt;&gt;"",C$3,"NA"),'MITRE ATT&amp;CK Mappings'!$J542))), 'MITRE ATT&amp;CK Mappings'!$B542,"")</f>
        <v/>
      </c>
      <c r="D546" s="26" t="str">
        <f>IF(OR(OR(OR(OR(OR(ISNUMBER(SEARCH(IF(D$1&lt;&gt;"",D$1,"NA"),'MITRE ATT&amp;CK Mappings'!$E542)),ISNUMBER(SEARCH(IF(D$1&lt;&gt;"",D$1,"NA"),'MITRE ATT&amp;CK Mappings'!$F542))),ISNUMBER(SEARCH(IF(D$2&lt;&gt;"",D$2,"NA"),'MITRE ATT&amp;CK Mappings'!$G542))),ISNUMBER(SEARCH(IF(D$2&lt;&gt;"",D$2,"NA"),'MITRE ATT&amp;CK Mappings'!$H542))),ISNUMBER(SEARCH(IF(D$3&lt;&gt;"",D$3,"NA"),'MITRE ATT&amp;CK Mappings'!$I542))),ISNUMBER(SEARCH(IF(D$3&lt;&gt;"",D$3,"NA"),'MITRE ATT&amp;CK Mappings'!$J542))), 'MITRE ATT&amp;CK Mappings'!$B542,"")</f>
        <v/>
      </c>
      <c r="E546" s="26" t="str">
        <f>IF(OR(OR(OR(OR(OR(ISNUMBER(SEARCH(IF(E$1&lt;&gt;"",E$1,"NA"),'MITRE ATT&amp;CK Mappings'!$E542)),ISNUMBER(SEARCH(IF(E$1&lt;&gt;"",E$1,"NA"),'MITRE ATT&amp;CK Mappings'!$F542))),ISNUMBER(SEARCH(IF(E$2&lt;&gt;"",E$2,"NA"),'MITRE ATT&amp;CK Mappings'!$G542))),ISNUMBER(SEARCH(IF(E$2&lt;&gt;"",E$2,"NA"),'MITRE ATT&amp;CK Mappings'!$H542))),ISNUMBER(SEARCH(IF(E$3&lt;&gt;"",E$3,"NA"),'MITRE ATT&amp;CK Mappings'!$I542))),ISNUMBER(SEARCH(IF(E$3&lt;&gt;"",E$3,"NA"),'MITRE ATT&amp;CK Mappings'!$J542))), 'MITRE ATT&amp;CK Mappings'!$B542,"")</f>
        <v/>
      </c>
      <c r="F546" s="26" t="str">
        <f>IF(OR(OR(OR(OR(OR(ISNUMBER(SEARCH(IF(F$1&lt;&gt;"",F$1,"NA"),'MITRE ATT&amp;CK Mappings'!$E542)),ISNUMBER(SEARCH(IF(F$1&lt;&gt;"",F$1,"NA"),'MITRE ATT&amp;CK Mappings'!$F542))),ISNUMBER(SEARCH(IF(F$2&lt;&gt;"",F$2,"NA"),'MITRE ATT&amp;CK Mappings'!$G542))),ISNUMBER(SEARCH(IF(F$2&lt;&gt;"",F$2,"NA"),'MITRE ATT&amp;CK Mappings'!$H542))),ISNUMBER(SEARCH(IF(F$3&lt;&gt;"",F$3,"NA"),'MITRE ATT&amp;CK Mappings'!$I542))),ISNUMBER(SEARCH(IF(F$3&lt;&gt;"",F$3,"NA"),'MITRE ATT&amp;CK Mappings'!$J542))), 'MITRE ATT&amp;CK Mappings'!$B542,"")</f>
        <v/>
      </c>
      <c r="G546" s="26" t="str">
        <f>IF(OR(OR(OR(OR(OR(ISNUMBER(SEARCH(IF(G$1&lt;&gt;"",G$1,"NA"),'MITRE ATT&amp;CK Mappings'!$E542)),ISNUMBER(SEARCH(IF(G$1&lt;&gt;"",G$1,"NA"),'MITRE ATT&amp;CK Mappings'!$F542))),ISNUMBER(SEARCH(IF(G$2&lt;&gt;"",G$2,"NA"),'MITRE ATT&amp;CK Mappings'!$G542))),ISNUMBER(SEARCH(IF(G$2&lt;&gt;"",G$2,"NA"),'MITRE ATT&amp;CK Mappings'!$H542))),ISNUMBER(SEARCH(IF(G$3&lt;&gt;"",G$3,"NA"),'MITRE ATT&amp;CK Mappings'!$I542))),ISNUMBER(SEARCH(IF(G$3&lt;&gt;"",G$3,"NA"),'MITRE ATT&amp;CK Mappings'!$J542))), 'MITRE ATT&amp;CK Mappings'!$B542,"")</f>
        <v/>
      </c>
      <c r="H546" s="26" t="str">
        <f>IF(OR(OR(OR(OR(OR(ISNUMBER(SEARCH(IF(H$1&lt;&gt;"",H$1,"NA"),'MITRE ATT&amp;CK Mappings'!$E542)),ISNUMBER(SEARCH(IF(H$1&lt;&gt;"",H$1,"NA"),'MITRE ATT&amp;CK Mappings'!$F542))),ISNUMBER(SEARCH(IF(H$2&lt;&gt;"",H$2,"NA"),'MITRE ATT&amp;CK Mappings'!$G542))),ISNUMBER(SEARCH(IF(H$2&lt;&gt;"",H$2,"NA"),'MITRE ATT&amp;CK Mappings'!$H542))),ISNUMBER(SEARCH(IF(H$3&lt;&gt;"",H$3,"NA"),'MITRE ATT&amp;CK Mappings'!$I542))),ISNUMBER(SEARCH(IF(H$3&lt;&gt;"",H$3,"NA"),'MITRE ATT&amp;CK Mappings'!$J542))), 'MITRE ATT&amp;CK Mappings'!$B542,"")</f>
        <v/>
      </c>
      <c r="I546" s="26" t="str">
        <f>IF(OR(OR(OR(OR(OR(ISNUMBER(SEARCH(IF(I$1&lt;&gt;"",I$1,"NA"),'MITRE ATT&amp;CK Mappings'!$E542)),ISNUMBER(SEARCH(IF(I$1&lt;&gt;"",I$1,"NA"),'MITRE ATT&amp;CK Mappings'!$F542))),ISNUMBER(SEARCH(IF(I$2&lt;&gt;"",I$2,"NA"),'MITRE ATT&amp;CK Mappings'!$G542))),ISNUMBER(SEARCH(IF(I$2&lt;&gt;"",I$2,"NA"),'MITRE ATT&amp;CK Mappings'!$H542))),ISNUMBER(SEARCH(IF(I$3&lt;&gt;"",I$3,"NA"),'MITRE ATT&amp;CK Mappings'!$I542))),ISNUMBER(SEARCH(IF(I$3&lt;&gt;"",I$3,"NA"),'MITRE ATT&amp;CK Mappings'!$J542))), 'MITRE ATT&amp;CK Mappings'!$B542,"")</f>
        <v/>
      </c>
      <c r="J546" s="26" t="str">
        <f>IF(OR(OR(OR(OR(OR(ISNUMBER(SEARCH(IF(J$1&lt;&gt;"",J$1,"NA"),'MITRE ATT&amp;CK Mappings'!$E542)),ISNUMBER(SEARCH(IF(J$1&lt;&gt;"",J$1,"NA"),'MITRE ATT&amp;CK Mappings'!$F542))),ISNUMBER(SEARCH(IF(J$2&lt;&gt;"",J$2,"NA"),'MITRE ATT&amp;CK Mappings'!$G542))),ISNUMBER(SEARCH(IF(J$2&lt;&gt;"",J$2,"NA"),'MITRE ATT&amp;CK Mappings'!$H542))),ISNUMBER(SEARCH(IF(J$3&lt;&gt;"",J$3,"NA"),'MITRE ATT&amp;CK Mappings'!$I542))),ISNUMBER(SEARCH(IF(J$3&lt;&gt;"",J$3,"NA"),'MITRE ATT&amp;CK Mappings'!$J542))), 'MITRE ATT&amp;CK Mappings'!$B542,"")</f>
        <v/>
      </c>
      <c r="K546" s="26" t="str">
        <f>IF(OR(OR(OR(OR(OR(ISNUMBER(SEARCH(IF(K$1&lt;&gt;"",K$1,"NA"),'MITRE ATT&amp;CK Mappings'!$E542)),ISNUMBER(SEARCH(IF(K$1&lt;&gt;"",K$1,"NA"),'MITRE ATT&amp;CK Mappings'!$F542))),ISNUMBER(SEARCH(IF(K$2&lt;&gt;"",K$2,"NA"),'MITRE ATT&amp;CK Mappings'!$G542))),ISNUMBER(SEARCH(IF(K$2&lt;&gt;"",K$2,"NA"),'MITRE ATT&amp;CK Mappings'!$H542))),ISNUMBER(SEARCH(IF(K$3&lt;&gt;"",K$3,"NA"),'MITRE ATT&amp;CK Mappings'!$I542))),ISNUMBER(SEARCH(IF(K$3&lt;&gt;"",K$3,"NA"),'MITRE ATT&amp;CK Mappings'!$J542))), 'MITRE ATT&amp;CK Mappings'!$B542,"")</f>
        <v/>
      </c>
      <c r="L546" s="26" t="str">
        <f>IF('MITRE ATT&amp;CK Mappings'!D542 &lt;&gt;"",'MITRE ATT&amp;CK Mappings'!D542,"" )</f>
        <v/>
      </c>
    </row>
    <row r="547" spans="1:12" x14ac:dyDescent="0.25">
      <c r="A547" s="27" t="str">
        <f>IF(COUNTIF(B547:K547,"="&amp;'MITRE ATT&amp;CK Mappings'!B543)&gt;0,'MITRE ATT&amp;CK Mappings'!B543,"")</f>
        <v/>
      </c>
      <c r="B547" s="27" t="str">
        <f>IF(OR(OR(OR(OR(OR(ISNUMBER(SEARCH(IF(B$1&lt;&gt;"",B$1,"NA"),'MITRE ATT&amp;CK Mappings'!$E543)),ISNUMBER(SEARCH(IF(B$1&lt;&gt;"",B$1,"NA"),'MITRE ATT&amp;CK Mappings'!$F543))),ISNUMBER(SEARCH(IF(B$2&lt;&gt;"",B$2,"NA"),'MITRE ATT&amp;CK Mappings'!$G543))),ISNUMBER(SEARCH(IF(B$2&lt;&gt;"",B$2,"NA"),'MITRE ATT&amp;CK Mappings'!$H543))),ISNUMBER(SEARCH(IF(B$3&lt;&gt;"",B$3,"NA"),'MITRE ATT&amp;CK Mappings'!$I543))),ISNUMBER(SEARCH(IF(B$3&lt;&gt;"",B$3,"NA"),'MITRE ATT&amp;CK Mappings'!$J543))), 'MITRE ATT&amp;CK Mappings'!$B543,"")</f>
        <v/>
      </c>
      <c r="C547" s="27" t="str">
        <f>IF(OR(OR(OR(OR(OR(ISNUMBER(SEARCH(IF(C$1&lt;&gt;"",C$1,"NA"),'MITRE ATT&amp;CK Mappings'!$E543)),ISNUMBER(SEARCH(IF(C$1&lt;&gt;"",C$1,"NA"),'MITRE ATT&amp;CK Mappings'!$F543))),ISNUMBER(SEARCH(IF(C$2&lt;&gt;"",C$2,"NA"),'MITRE ATT&amp;CK Mappings'!$G543))),ISNUMBER(SEARCH(IF(C$2&lt;&gt;"",C$2,"NA"),'MITRE ATT&amp;CK Mappings'!$H543))),ISNUMBER(SEARCH(IF(C$3&lt;&gt;"",C$3,"NA"),'MITRE ATT&amp;CK Mappings'!$I543))),ISNUMBER(SEARCH(IF(C$3&lt;&gt;"",C$3,"NA"),'MITRE ATT&amp;CK Mappings'!$J543))), 'MITRE ATT&amp;CK Mappings'!$B543,"")</f>
        <v/>
      </c>
      <c r="D547" s="27" t="str">
        <f>IF(OR(OR(OR(OR(OR(ISNUMBER(SEARCH(IF(D$1&lt;&gt;"",D$1,"NA"),'MITRE ATT&amp;CK Mappings'!$E543)),ISNUMBER(SEARCH(IF(D$1&lt;&gt;"",D$1,"NA"),'MITRE ATT&amp;CK Mappings'!$F543))),ISNUMBER(SEARCH(IF(D$2&lt;&gt;"",D$2,"NA"),'MITRE ATT&amp;CK Mappings'!$G543))),ISNUMBER(SEARCH(IF(D$2&lt;&gt;"",D$2,"NA"),'MITRE ATT&amp;CK Mappings'!$H543))),ISNUMBER(SEARCH(IF(D$3&lt;&gt;"",D$3,"NA"),'MITRE ATT&amp;CK Mappings'!$I543))),ISNUMBER(SEARCH(IF(D$3&lt;&gt;"",D$3,"NA"),'MITRE ATT&amp;CK Mappings'!$J543))), 'MITRE ATT&amp;CK Mappings'!$B543,"")</f>
        <v/>
      </c>
      <c r="E547" s="27" t="str">
        <f>IF(OR(OR(OR(OR(OR(ISNUMBER(SEARCH(IF(E$1&lt;&gt;"",E$1,"NA"),'MITRE ATT&amp;CK Mappings'!$E543)),ISNUMBER(SEARCH(IF(E$1&lt;&gt;"",E$1,"NA"),'MITRE ATT&amp;CK Mappings'!$F543))),ISNUMBER(SEARCH(IF(E$2&lt;&gt;"",E$2,"NA"),'MITRE ATT&amp;CK Mappings'!$G543))),ISNUMBER(SEARCH(IF(E$2&lt;&gt;"",E$2,"NA"),'MITRE ATT&amp;CK Mappings'!$H543))),ISNUMBER(SEARCH(IF(E$3&lt;&gt;"",E$3,"NA"),'MITRE ATT&amp;CK Mappings'!$I543))),ISNUMBER(SEARCH(IF(E$3&lt;&gt;"",E$3,"NA"),'MITRE ATT&amp;CK Mappings'!$J543))), 'MITRE ATT&amp;CK Mappings'!$B543,"")</f>
        <v/>
      </c>
      <c r="F547" s="27" t="str">
        <f>IF(OR(OR(OR(OR(OR(ISNUMBER(SEARCH(IF(F$1&lt;&gt;"",F$1,"NA"),'MITRE ATT&amp;CK Mappings'!$E543)),ISNUMBER(SEARCH(IF(F$1&lt;&gt;"",F$1,"NA"),'MITRE ATT&amp;CK Mappings'!$F543))),ISNUMBER(SEARCH(IF(F$2&lt;&gt;"",F$2,"NA"),'MITRE ATT&amp;CK Mappings'!$G543))),ISNUMBER(SEARCH(IF(F$2&lt;&gt;"",F$2,"NA"),'MITRE ATT&amp;CK Mappings'!$H543))),ISNUMBER(SEARCH(IF(F$3&lt;&gt;"",F$3,"NA"),'MITRE ATT&amp;CK Mappings'!$I543))),ISNUMBER(SEARCH(IF(F$3&lt;&gt;"",F$3,"NA"),'MITRE ATT&amp;CK Mappings'!$J543))), 'MITRE ATT&amp;CK Mappings'!$B543,"")</f>
        <v/>
      </c>
      <c r="G547" s="27" t="str">
        <f>IF(OR(OR(OR(OR(OR(ISNUMBER(SEARCH(IF(G$1&lt;&gt;"",G$1,"NA"),'MITRE ATT&amp;CK Mappings'!$E543)),ISNUMBER(SEARCH(IF(G$1&lt;&gt;"",G$1,"NA"),'MITRE ATT&amp;CK Mappings'!$F543))),ISNUMBER(SEARCH(IF(G$2&lt;&gt;"",G$2,"NA"),'MITRE ATT&amp;CK Mappings'!$G543))),ISNUMBER(SEARCH(IF(G$2&lt;&gt;"",G$2,"NA"),'MITRE ATT&amp;CK Mappings'!$H543))),ISNUMBER(SEARCH(IF(G$3&lt;&gt;"",G$3,"NA"),'MITRE ATT&amp;CK Mappings'!$I543))),ISNUMBER(SEARCH(IF(G$3&lt;&gt;"",G$3,"NA"),'MITRE ATT&amp;CK Mappings'!$J543))), 'MITRE ATT&amp;CK Mappings'!$B543,"")</f>
        <v/>
      </c>
      <c r="H547" s="27" t="str">
        <f>IF(OR(OR(OR(OR(OR(ISNUMBER(SEARCH(IF(H$1&lt;&gt;"",H$1,"NA"),'MITRE ATT&amp;CK Mappings'!$E543)),ISNUMBER(SEARCH(IF(H$1&lt;&gt;"",H$1,"NA"),'MITRE ATT&amp;CK Mappings'!$F543))),ISNUMBER(SEARCH(IF(H$2&lt;&gt;"",H$2,"NA"),'MITRE ATT&amp;CK Mappings'!$G543))),ISNUMBER(SEARCH(IF(H$2&lt;&gt;"",H$2,"NA"),'MITRE ATT&amp;CK Mappings'!$H543))),ISNUMBER(SEARCH(IF(H$3&lt;&gt;"",H$3,"NA"),'MITRE ATT&amp;CK Mappings'!$I543))),ISNUMBER(SEARCH(IF(H$3&lt;&gt;"",H$3,"NA"),'MITRE ATT&amp;CK Mappings'!$J543))), 'MITRE ATT&amp;CK Mappings'!$B543,"")</f>
        <v/>
      </c>
      <c r="I547" s="27" t="str">
        <f>IF(OR(OR(OR(OR(OR(ISNUMBER(SEARCH(IF(I$1&lt;&gt;"",I$1,"NA"),'MITRE ATT&amp;CK Mappings'!$E543)),ISNUMBER(SEARCH(IF(I$1&lt;&gt;"",I$1,"NA"),'MITRE ATT&amp;CK Mappings'!$F543))),ISNUMBER(SEARCH(IF(I$2&lt;&gt;"",I$2,"NA"),'MITRE ATT&amp;CK Mappings'!$G543))),ISNUMBER(SEARCH(IF(I$2&lt;&gt;"",I$2,"NA"),'MITRE ATT&amp;CK Mappings'!$H543))),ISNUMBER(SEARCH(IF(I$3&lt;&gt;"",I$3,"NA"),'MITRE ATT&amp;CK Mappings'!$I543))),ISNUMBER(SEARCH(IF(I$3&lt;&gt;"",I$3,"NA"),'MITRE ATT&amp;CK Mappings'!$J543))), 'MITRE ATT&amp;CK Mappings'!$B543,"")</f>
        <v/>
      </c>
      <c r="J547" s="27" t="str">
        <f>IF(OR(OR(OR(OR(OR(ISNUMBER(SEARCH(IF(J$1&lt;&gt;"",J$1,"NA"),'MITRE ATT&amp;CK Mappings'!$E543)),ISNUMBER(SEARCH(IF(J$1&lt;&gt;"",J$1,"NA"),'MITRE ATT&amp;CK Mappings'!$F543))),ISNUMBER(SEARCH(IF(J$2&lt;&gt;"",J$2,"NA"),'MITRE ATT&amp;CK Mappings'!$G543))),ISNUMBER(SEARCH(IF(J$2&lt;&gt;"",J$2,"NA"),'MITRE ATT&amp;CK Mappings'!$H543))),ISNUMBER(SEARCH(IF(J$3&lt;&gt;"",J$3,"NA"),'MITRE ATT&amp;CK Mappings'!$I543))),ISNUMBER(SEARCH(IF(J$3&lt;&gt;"",J$3,"NA"),'MITRE ATT&amp;CK Mappings'!$J543))), 'MITRE ATT&amp;CK Mappings'!$B543,"")</f>
        <v/>
      </c>
      <c r="K547" s="27" t="str">
        <f>IF(OR(OR(OR(OR(OR(ISNUMBER(SEARCH(IF(K$1&lt;&gt;"",K$1,"NA"),'MITRE ATT&amp;CK Mappings'!$E543)),ISNUMBER(SEARCH(IF(K$1&lt;&gt;"",K$1,"NA"),'MITRE ATT&amp;CK Mappings'!$F543))),ISNUMBER(SEARCH(IF(K$2&lt;&gt;"",K$2,"NA"),'MITRE ATT&amp;CK Mappings'!$G543))),ISNUMBER(SEARCH(IF(K$2&lt;&gt;"",K$2,"NA"),'MITRE ATT&amp;CK Mappings'!$H543))),ISNUMBER(SEARCH(IF(K$3&lt;&gt;"",K$3,"NA"),'MITRE ATT&amp;CK Mappings'!$I543))),ISNUMBER(SEARCH(IF(K$3&lt;&gt;"",K$3,"NA"),'MITRE ATT&amp;CK Mappings'!$J543))), 'MITRE ATT&amp;CK Mappings'!$B543,"")</f>
        <v/>
      </c>
      <c r="L547" s="27" t="str">
        <f>IF('MITRE ATT&amp;CK Mappings'!D543 &lt;&gt;"",'MITRE ATT&amp;CK Mappings'!D543,"" )</f>
        <v/>
      </c>
    </row>
    <row r="548" spans="1:12" x14ac:dyDescent="0.25">
      <c r="A548" s="26" t="str">
        <f>IF(COUNTIF(B548:K548,"="&amp;'MITRE ATT&amp;CK Mappings'!B544)&gt;0,'MITRE ATT&amp;CK Mappings'!B544,"")</f>
        <v/>
      </c>
      <c r="B548" s="26" t="str">
        <f>IF(OR(OR(OR(OR(OR(ISNUMBER(SEARCH(IF(B$1&lt;&gt;"",B$1,"NA"),'MITRE ATT&amp;CK Mappings'!$E544)),ISNUMBER(SEARCH(IF(B$1&lt;&gt;"",B$1,"NA"),'MITRE ATT&amp;CK Mappings'!$F544))),ISNUMBER(SEARCH(IF(B$2&lt;&gt;"",B$2,"NA"),'MITRE ATT&amp;CK Mappings'!$G544))),ISNUMBER(SEARCH(IF(B$2&lt;&gt;"",B$2,"NA"),'MITRE ATT&amp;CK Mappings'!$H544))),ISNUMBER(SEARCH(IF(B$3&lt;&gt;"",B$3,"NA"),'MITRE ATT&amp;CK Mappings'!$I544))),ISNUMBER(SEARCH(IF(B$3&lt;&gt;"",B$3,"NA"),'MITRE ATT&amp;CK Mappings'!$J544))), 'MITRE ATT&amp;CK Mappings'!$B544,"")</f>
        <v/>
      </c>
      <c r="C548" s="26" t="str">
        <f>IF(OR(OR(OR(OR(OR(ISNUMBER(SEARCH(IF(C$1&lt;&gt;"",C$1,"NA"),'MITRE ATT&amp;CK Mappings'!$E544)),ISNUMBER(SEARCH(IF(C$1&lt;&gt;"",C$1,"NA"),'MITRE ATT&amp;CK Mappings'!$F544))),ISNUMBER(SEARCH(IF(C$2&lt;&gt;"",C$2,"NA"),'MITRE ATT&amp;CK Mappings'!$G544))),ISNUMBER(SEARCH(IF(C$2&lt;&gt;"",C$2,"NA"),'MITRE ATT&amp;CK Mappings'!$H544))),ISNUMBER(SEARCH(IF(C$3&lt;&gt;"",C$3,"NA"),'MITRE ATT&amp;CK Mappings'!$I544))),ISNUMBER(SEARCH(IF(C$3&lt;&gt;"",C$3,"NA"),'MITRE ATT&amp;CK Mappings'!$J544))), 'MITRE ATT&amp;CK Mappings'!$B544,"")</f>
        <v/>
      </c>
      <c r="D548" s="26" t="str">
        <f>IF(OR(OR(OR(OR(OR(ISNUMBER(SEARCH(IF(D$1&lt;&gt;"",D$1,"NA"),'MITRE ATT&amp;CK Mappings'!$E544)),ISNUMBER(SEARCH(IF(D$1&lt;&gt;"",D$1,"NA"),'MITRE ATT&amp;CK Mappings'!$F544))),ISNUMBER(SEARCH(IF(D$2&lt;&gt;"",D$2,"NA"),'MITRE ATT&amp;CK Mappings'!$G544))),ISNUMBER(SEARCH(IF(D$2&lt;&gt;"",D$2,"NA"),'MITRE ATT&amp;CK Mappings'!$H544))),ISNUMBER(SEARCH(IF(D$3&lt;&gt;"",D$3,"NA"),'MITRE ATT&amp;CK Mappings'!$I544))),ISNUMBER(SEARCH(IF(D$3&lt;&gt;"",D$3,"NA"),'MITRE ATT&amp;CK Mappings'!$J544))), 'MITRE ATT&amp;CK Mappings'!$B544,"")</f>
        <v/>
      </c>
      <c r="E548" s="26" t="str">
        <f>IF(OR(OR(OR(OR(OR(ISNUMBER(SEARCH(IF(E$1&lt;&gt;"",E$1,"NA"),'MITRE ATT&amp;CK Mappings'!$E544)),ISNUMBER(SEARCH(IF(E$1&lt;&gt;"",E$1,"NA"),'MITRE ATT&amp;CK Mappings'!$F544))),ISNUMBER(SEARCH(IF(E$2&lt;&gt;"",E$2,"NA"),'MITRE ATT&amp;CK Mappings'!$G544))),ISNUMBER(SEARCH(IF(E$2&lt;&gt;"",E$2,"NA"),'MITRE ATT&amp;CK Mappings'!$H544))),ISNUMBER(SEARCH(IF(E$3&lt;&gt;"",E$3,"NA"),'MITRE ATT&amp;CK Mappings'!$I544))),ISNUMBER(SEARCH(IF(E$3&lt;&gt;"",E$3,"NA"),'MITRE ATT&amp;CK Mappings'!$J544))), 'MITRE ATT&amp;CK Mappings'!$B544,"")</f>
        <v/>
      </c>
      <c r="F548" s="26" t="str">
        <f>IF(OR(OR(OR(OR(OR(ISNUMBER(SEARCH(IF(F$1&lt;&gt;"",F$1,"NA"),'MITRE ATT&amp;CK Mappings'!$E544)),ISNUMBER(SEARCH(IF(F$1&lt;&gt;"",F$1,"NA"),'MITRE ATT&amp;CK Mappings'!$F544))),ISNUMBER(SEARCH(IF(F$2&lt;&gt;"",F$2,"NA"),'MITRE ATT&amp;CK Mappings'!$G544))),ISNUMBER(SEARCH(IF(F$2&lt;&gt;"",F$2,"NA"),'MITRE ATT&amp;CK Mappings'!$H544))),ISNUMBER(SEARCH(IF(F$3&lt;&gt;"",F$3,"NA"),'MITRE ATT&amp;CK Mappings'!$I544))),ISNUMBER(SEARCH(IF(F$3&lt;&gt;"",F$3,"NA"),'MITRE ATT&amp;CK Mappings'!$J544))), 'MITRE ATT&amp;CK Mappings'!$B544,"")</f>
        <v/>
      </c>
      <c r="G548" s="26" t="str">
        <f>IF(OR(OR(OR(OR(OR(ISNUMBER(SEARCH(IF(G$1&lt;&gt;"",G$1,"NA"),'MITRE ATT&amp;CK Mappings'!$E544)),ISNUMBER(SEARCH(IF(G$1&lt;&gt;"",G$1,"NA"),'MITRE ATT&amp;CK Mappings'!$F544))),ISNUMBER(SEARCH(IF(G$2&lt;&gt;"",G$2,"NA"),'MITRE ATT&amp;CK Mappings'!$G544))),ISNUMBER(SEARCH(IF(G$2&lt;&gt;"",G$2,"NA"),'MITRE ATT&amp;CK Mappings'!$H544))),ISNUMBER(SEARCH(IF(G$3&lt;&gt;"",G$3,"NA"),'MITRE ATT&amp;CK Mappings'!$I544))),ISNUMBER(SEARCH(IF(G$3&lt;&gt;"",G$3,"NA"),'MITRE ATT&amp;CK Mappings'!$J544))), 'MITRE ATT&amp;CK Mappings'!$B544,"")</f>
        <v/>
      </c>
      <c r="H548" s="26" t="str">
        <f>IF(OR(OR(OR(OR(OR(ISNUMBER(SEARCH(IF(H$1&lt;&gt;"",H$1,"NA"),'MITRE ATT&amp;CK Mappings'!$E544)),ISNUMBER(SEARCH(IF(H$1&lt;&gt;"",H$1,"NA"),'MITRE ATT&amp;CK Mappings'!$F544))),ISNUMBER(SEARCH(IF(H$2&lt;&gt;"",H$2,"NA"),'MITRE ATT&amp;CK Mappings'!$G544))),ISNUMBER(SEARCH(IF(H$2&lt;&gt;"",H$2,"NA"),'MITRE ATT&amp;CK Mappings'!$H544))),ISNUMBER(SEARCH(IF(H$3&lt;&gt;"",H$3,"NA"),'MITRE ATT&amp;CK Mappings'!$I544))),ISNUMBER(SEARCH(IF(H$3&lt;&gt;"",H$3,"NA"),'MITRE ATT&amp;CK Mappings'!$J544))), 'MITRE ATT&amp;CK Mappings'!$B544,"")</f>
        <v/>
      </c>
      <c r="I548" s="26" t="str">
        <f>IF(OR(OR(OR(OR(OR(ISNUMBER(SEARCH(IF(I$1&lt;&gt;"",I$1,"NA"),'MITRE ATT&amp;CK Mappings'!$E544)),ISNUMBER(SEARCH(IF(I$1&lt;&gt;"",I$1,"NA"),'MITRE ATT&amp;CK Mappings'!$F544))),ISNUMBER(SEARCH(IF(I$2&lt;&gt;"",I$2,"NA"),'MITRE ATT&amp;CK Mappings'!$G544))),ISNUMBER(SEARCH(IF(I$2&lt;&gt;"",I$2,"NA"),'MITRE ATT&amp;CK Mappings'!$H544))),ISNUMBER(SEARCH(IF(I$3&lt;&gt;"",I$3,"NA"),'MITRE ATT&amp;CK Mappings'!$I544))),ISNUMBER(SEARCH(IF(I$3&lt;&gt;"",I$3,"NA"),'MITRE ATT&amp;CK Mappings'!$J544))), 'MITRE ATT&amp;CK Mappings'!$B544,"")</f>
        <v/>
      </c>
      <c r="J548" s="26" t="str">
        <f>IF(OR(OR(OR(OR(OR(ISNUMBER(SEARCH(IF(J$1&lt;&gt;"",J$1,"NA"),'MITRE ATT&amp;CK Mappings'!$E544)),ISNUMBER(SEARCH(IF(J$1&lt;&gt;"",J$1,"NA"),'MITRE ATT&amp;CK Mappings'!$F544))),ISNUMBER(SEARCH(IF(J$2&lt;&gt;"",J$2,"NA"),'MITRE ATT&amp;CK Mappings'!$G544))),ISNUMBER(SEARCH(IF(J$2&lt;&gt;"",J$2,"NA"),'MITRE ATT&amp;CK Mappings'!$H544))),ISNUMBER(SEARCH(IF(J$3&lt;&gt;"",J$3,"NA"),'MITRE ATT&amp;CK Mappings'!$I544))),ISNUMBER(SEARCH(IF(J$3&lt;&gt;"",J$3,"NA"),'MITRE ATT&amp;CK Mappings'!$J544))), 'MITRE ATT&amp;CK Mappings'!$B544,"")</f>
        <v/>
      </c>
      <c r="K548" s="26" t="str">
        <f>IF(OR(OR(OR(OR(OR(ISNUMBER(SEARCH(IF(K$1&lt;&gt;"",K$1,"NA"),'MITRE ATT&amp;CK Mappings'!$E544)),ISNUMBER(SEARCH(IF(K$1&lt;&gt;"",K$1,"NA"),'MITRE ATT&amp;CK Mappings'!$F544))),ISNUMBER(SEARCH(IF(K$2&lt;&gt;"",K$2,"NA"),'MITRE ATT&amp;CK Mappings'!$G544))),ISNUMBER(SEARCH(IF(K$2&lt;&gt;"",K$2,"NA"),'MITRE ATT&amp;CK Mappings'!$H544))),ISNUMBER(SEARCH(IF(K$3&lt;&gt;"",K$3,"NA"),'MITRE ATT&amp;CK Mappings'!$I544))),ISNUMBER(SEARCH(IF(K$3&lt;&gt;"",K$3,"NA"),'MITRE ATT&amp;CK Mappings'!$J544))), 'MITRE ATT&amp;CK Mappings'!$B544,"")</f>
        <v/>
      </c>
      <c r="L548" s="26" t="str">
        <f>IF('MITRE ATT&amp;CK Mappings'!D544 &lt;&gt;"",'MITRE ATT&amp;CK Mappings'!D544,"" )</f>
        <v/>
      </c>
    </row>
    <row r="549" spans="1:12" x14ac:dyDescent="0.25">
      <c r="A549" s="27" t="str">
        <f>IF(COUNTIF(B549:K549,"="&amp;'MITRE ATT&amp;CK Mappings'!B545)&gt;0,'MITRE ATT&amp;CK Mappings'!B545,"")</f>
        <v/>
      </c>
      <c r="B549" s="27" t="str">
        <f>IF(OR(OR(OR(OR(OR(ISNUMBER(SEARCH(IF(B$1&lt;&gt;"",B$1,"NA"),'MITRE ATT&amp;CK Mappings'!$E545)),ISNUMBER(SEARCH(IF(B$1&lt;&gt;"",B$1,"NA"),'MITRE ATT&amp;CK Mappings'!$F545))),ISNUMBER(SEARCH(IF(B$2&lt;&gt;"",B$2,"NA"),'MITRE ATT&amp;CK Mappings'!$G545))),ISNUMBER(SEARCH(IF(B$2&lt;&gt;"",B$2,"NA"),'MITRE ATT&amp;CK Mappings'!$H545))),ISNUMBER(SEARCH(IF(B$3&lt;&gt;"",B$3,"NA"),'MITRE ATT&amp;CK Mappings'!$I545))),ISNUMBER(SEARCH(IF(B$3&lt;&gt;"",B$3,"NA"),'MITRE ATT&amp;CK Mappings'!$J545))), 'MITRE ATT&amp;CK Mappings'!$B545,"")</f>
        <v/>
      </c>
      <c r="C549" s="27" t="str">
        <f>IF(OR(OR(OR(OR(OR(ISNUMBER(SEARCH(IF(C$1&lt;&gt;"",C$1,"NA"),'MITRE ATT&amp;CK Mappings'!$E545)),ISNUMBER(SEARCH(IF(C$1&lt;&gt;"",C$1,"NA"),'MITRE ATT&amp;CK Mappings'!$F545))),ISNUMBER(SEARCH(IF(C$2&lt;&gt;"",C$2,"NA"),'MITRE ATT&amp;CK Mappings'!$G545))),ISNUMBER(SEARCH(IF(C$2&lt;&gt;"",C$2,"NA"),'MITRE ATT&amp;CK Mappings'!$H545))),ISNUMBER(SEARCH(IF(C$3&lt;&gt;"",C$3,"NA"),'MITRE ATT&amp;CK Mappings'!$I545))),ISNUMBER(SEARCH(IF(C$3&lt;&gt;"",C$3,"NA"),'MITRE ATT&amp;CK Mappings'!$J545))), 'MITRE ATT&amp;CK Mappings'!$B545,"")</f>
        <v/>
      </c>
      <c r="D549" s="27" t="str">
        <f>IF(OR(OR(OR(OR(OR(ISNUMBER(SEARCH(IF(D$1&lt;&gt;"",D$1,"NA"),'MITRE ATT&amp;CK Mappings'!$E545)),ISNUMBER(SEARCH(IF(D$1&lt;&gt;"",D$1,"NA"),'MITRE ATT&amp;CK Mappings'!$F545))),ISNUMBER(SEARCH(IF(D$2&lt;&gt;"",D$2,"NA"),'MITRE ATT&amp;CK Mappings'!$G545))),ISNUMBER(SEARCH(IF(D$2&lt;&gt;"",D$2,"NA"),'MITRE ATT&amp;CK Mappings'!$H545))),ISNUMBER(SEARCH(IF(D$3&lt;&gt;"",D$3,"NA"),'MITRE ATT&amp;CK Mappings'!$I545))),ISNUMBER(SEARCH(IF(D$3&lt;&gt;"",D$3,"NA"),'MITRE ATT&amp;CK Mappings'!$J545))), 'MITRE ATT&amp;CK Mappings'!$B545,"")</f>
        <v/>
      </c>
      <c r="E549" s="27" t="str">
        <f>IF(OR(OR(OR(OR(OR(ISNUMBER(SEARCH(IF(E$1&lt;&gt;"",E$1,"NA"),'MITRE ATT&amp;CK Mappings'!$E545)),ISNUMBER(SEARCH(IF(E$1&lt;&gt;"",E$1,"NA"),'MITRE ATT&amp;CK Mappings'!$F545))),ISNUMBER(SEARCH(IF(E$2&lt;&gt;"",E$2,"NA"),'MITRE ATT&amp;CK Mappings'!$G545))),ISNUMBER(SEARCH(IF(E$2&lt;&gt;"",E$2,"NA"),'MITRE ATT&amp;CK Mappings'!$H545))),ISNUMBER(SEARCH(IF(E$3&lt;&gt;"",E$3,"NA"),'MITRE ATT&amp;CK Mappings'!$I545))),ISNUMBER(SEARCH(IF(E$3&lt;&gt;"",E$3,"NA"),'MITRE ATT&amp;CK Mappings'!$J545))), 'MITRE ATT&amp;CK Mappings'!$B545,"")</f>
        <v/>
      </c>
      <c r="F549" s="27" t="str">
        <f>IF(OR(OR(OR(OR(OR(ISNUMBER(SEARCH(IF(F$1&lt;&gt;"",F$1,"NA"),'MITRE ATT&amp;CK Mappings'!$E545)),ISNUMBER(SEARCH(IF(F$1&lt;&gt;"",F$1,"NA"),'MITRE ATT&amp;CK Mappings'!$F545))),ISNUMBER(SEARCH(IF(F$2&lt;&gt;"",F$2,"NA"),'MITRE ATT&amp;CK Mappings'!$G545))),ISNUMBER(SEARCH(IF(F$2&lt;&gt;"",F$2,"NA"),'MITRE ATT&amp;CK Mappings'!$H545))),ISNUMBER(SEARCH(IF(F$3&lt;&gt;"",F$3,"NA"),'MITRE ATT&amp;CK Mappings'!$I545))),ISNUMBER(SEARCH(IF(F$3&lt;&gt;"",F$3,"NA"),'MITRE ATT&amp;CK Mappings'!$J545))), 'MITRE ATT&amp;CK Mappings'!$B545,"")</f>
        <v/>
      </c>
      <c r="G549" s="27" t="str">
        <f>IF(OR(OR(OR(OR(OR(ISNUMBER(SEARCH(IF(G$1&lt;&gt;"",G$1,"NA"),'MITRE ATT&amp;CK Mappings'!$E545)),ISNUMBER(SEARCH(IF(G$1&lt;&gt;"",G$1,"NA"),'MITRE ATT&amp;CK Mappings'!$F545))),ISNUMBER(SEARCH(IF(G$2&lt;&gt;"",G$2,"NA"),'MITRE ATT&amp;CK Mappings'!$G545))),ISNUMBER(SEARCH(IF(G$2&lt;&gt;"",G$2,"NA"),'MITRE ATT&amp;CK Mappings'!$H545))),ISNUMBER(SEARCH(IF(G$3&lt;&gt;"",G$3,"NA"),'MITRE ATT&amp;CK Mappings'!$I545))),ISNUMBER(SEARCH(IF(G$3&lt;&gt;"",G$3,"NA"),'MITRE ATT&amp;CK Mappings'!$J545))), 'MITRE ATT&amp;CK Mappings'!$B545,"")</f>
        <v/>
      </c>
      <c r="H549" s="27" t="str">
        <f>IF(OR(OR(OR(OR(OR(ISNUMBER(SEARCH(IF(H$1&lt;&gt;"",H$1,"NA"),'MITRE ATT&amp;CK Mappings'!$E545)),ISNUMBER(SEARCH(IF(H$1&lt;&gt;"",H$1,"NA"),'MITRE ATT&amp;CK Mappings'!$F545))),ISNUMBER(SEARCH(IF(H$2&lt;&gt;"",H$2,"NA"),'MITRE ATT&amp;CK Mappings'!$G545))),ISNUMBER(SEARCH(IF(H$2&lt;&gt;"",H$2,"NA"),'MITRE ATT&amp;CK Mappings'!$H545))),ISNUMBER(SEARCH(IF(H$3&lt;&gt;"",H$3,"NA"),'MITRE ATT&amp;CK Mappings'!$I545))),ISNUMBER(SEARCH(IF(H$3&lt;&gt;"",H$3,"NA"),'MITRE ATT&amp;CK Mappings'!$J545))), 'MITRE ATT&amp;CK Mappings'!$B545,"")</f>
        <v/>
      </c>
      <c r="I549" s="27" t="str">
        <f>IF(OR(OR(OR(OR(OR(ISNUMBER(SEARCH(IF(I$1&lt;&gt;"",I$1,"NA"),'MITRE ATT&amp;CK Mappings'!$E545)),ISNUMBER(SEARCH(IF(I$1&lt;&gt;"",I$1,"NA"),'MITRE ATT&amp;CK Mappings'!$F545))),ISNUMBER(SEARCH(IF(I$2&lt;&gt;"",I$2,"NA"),'MITRE ATT&amp;CK Mappings'!$G545))),ISNUMBER(SEARCH(IF(I$2&lt;&gt;"",I$2,"NA"),'MITRE ATT&amp;CK Mappings'!$H545))),ISNUMBER(SEARCH(IF(I$3&lt;&gt;"",I$3,"NA"),'MITRE ATT&amp;CK Mappings'!$I545))),ISNUMBER(SEARCH(IF(I$3&lt;&gt;"",I$3,"NA"),'MITRE ATT&amp;CK Mappings'!$J545))), 'MITRE ATT&amp;CK Mappings'!$B545,"")</f>
        <v/>
      </c>
      <c r="J549" s="27" t="str">
        <f>IF(OR(OR(OR(OR(OR(ISNUMBER(SEARCH(IF(J$1&lt;&gt;"",J$1,"NA"),'MITRE ATT&amp;CK Mappings'!$E545)),ISNUMBER(SEARCH(IF(J$1&lt;&gt;"",J$1,"NA"),'MITRE ATT&amp;CK Mappings'!$F545))),ISNUMBER(SEARCH(IF(J$2&lt;&gt;"",J$2,"NA"),'MITRE ATT&amp;CK Mappings'!$G545))),ISNUMBER(SEARCH(IF(J$2&lt;&gt;"",J$2,"NA"),'MITRE ATT&amp;CK Mappings'!$H545))),ISNUMBER(SEARCH(IF(J$3&lt;&gt;"",J$3,"NA"),'MITRE ATT&amp;CK Mappings'!$I545))),ISNUMBER(SEARCH(IF(J$3&lt;&gt;"",J$3,"NA"),'MITRE ATT&amp;CK Mappings'!$J545))), 'MITRE ATT&amp;CK Mappings'!$B545,"")</f>
        <v/>
      </c>
      <c r="K549" s="27" t="str">
        <f>IF(OR(OR(OR(OR(OR(ISNUMBER(SEARCH(IF(K$1&lt;&gt;"",K$1,"NA"),'MITRE ATT&amp;CK Mappings'!$E545)),ISNUMBER(SEARCH(IF(K$1&lt;&gt;"",K$1,"NA"),'MITRE ATT&amp;CK Mappings'!$F545))),ISNUMBER(SEARCH(IF(K$2&lt;&gt;"",K$2,"NA"),'MITRE ATT&amp;CK Mappings'!$G545))),ISNUMBER(SEARCH(IF(K$2&lt;&gt;"",K$2,"NA"),'MITRE ATT&amp;CK Mappings'!$H545))),ISNUMBER(SEARCH(IF(K$3&lt;&gt;"",K$3,"NA"),'MITRE ATT&amp;CK Mappings'!$I545))),ISNUMBER(SEARCH(IF(K$3&lt;&gt;"",K$3,"NA"),'MITRE ATT&amp;CK Mappings'!$J545))), 'MITRE ATT&amp;CK Mappings'!$B545,"")</f>
        <v/>
      </c>
      <c r="L549" s="27" t="str">
        <f>IF('MITRE ATT&amp;CK Mappings'!D545 &lt;&gt;"",'MITRE ATT&amp;CK Mappings'!D545,"" )</f>
        <v/>
      </c>
    </row>
    <row r="550" spans="1:12" x14ac:dyDescent="0.25">
      <c r="A550" s="26" t="str">
        <f>IF(COUNTIF(B550:K550,"="&amp;'MITRE ATT&amp;CK Mappings'!B546)&gt;0,'MITRE ATT&amp;CK Mappings'!B546,"")</f>
        <v/>
      </c>
      <c r="B550" s="26" t="str">
        <f>IF(OR(OR(OR(OR(OR(ISNUMBER(SEARCH(IF(B$1&lt;&gt;"",B$1,"NA"),'MITRE ATT&amp;CK Mappings'!$E546)),ISNUMBER(SEARCH(IF(B$1&lt;&gt;"",B$1,"NA"),'MITRE ATT&amp;CK Mappings'!$F546))),ISNUMBER(SEARCH(IF(B$2&lt;&gt;"",B$2,"NA"),'MITRE ATT&amp;CK Mappings'!$G546))),ISNUMBER(SEARCH(IF(B$2&lt;&gt;"",B$2,"NA"),'MITRE ATT&amp;CK Mappings'!$H546))),ISNUMBER(SEARCH(IF(B$3&lt;&gt;"",B$3,"NA"),'MITRE ATT&amp;CK Mappings'!$I546))),ISNUMBER(SEARCH(IF(B$3&lt;&gt;"",B$3,"NA"),'MITRE ATT&amp;CK Mappings'!$J546))), 'MITRE ATT&amp;CK Mappings'!$B546,"")</f>
        <v/>
      </c>
      <c r="C550" s="26" t="str">
        <f>IF(OR(OR(OR(OR(OR(ISNUMBER(SEARCH(IF(C$1&lt;&gt;"",C$1,"NA"),'MITRE ATT&amp;CK Mappings'!$E546)),ISNUMBER(SEARCH(IF(C$1&lt;&gt;"",C$1,"NA"),'MITRE ATT&amp;CK Mappings'!$F546))),ISNUMBER(SEARCH(IF(C$2&lt;&gt;"",C$2,"NA"),'MITRE ATT&amp;CK Mappings'!$G546))),ISNUMBER(SEARCH(IF(C$2&lt;&gt;"",C$2,"NA"),'MITRE ATT&amp;CK Mappings'!$H546))),ISNUMBER(SEARCH(IF(C$3&lt;&gt;"",C$3,"NA"),'MITRE ATT&amp;CK Mappings'!$I546))),ISNUMBER(SEARCH(IF(C$3&lt;&gt;"",C$3,"NA"),'MITRE ATT&amp;CK Mappings'!$J546))), 'MITRE ATT&amp;CK Mappings'!$B546,"")</f>
        <v/>
      </c>
      <c r="D550" s="26" t="str">
        <f>IF(OR(OR(OR(OR(OR(ISNUMBER(SEARCH(IF(D$1&lt;&gt;"",D$1,"NA"),'MITRE ATT&amp;CK Mappings'!$E546)),ISNUMBER(SEARCH(IF(D$1&lt;&gt;"",D$1,"NA"),'MITRE ATT&amp;CK Mappings'!$F546))),ISNUMBER(SEARCH(IF(D$2&lt;&gt;"",D$2,"NA"),'MITRE ATT&amp;CK Mappings'!$G546))),ISNUMBER(SEARCH(IF(D$2&lt;&gt;"",D$2,"NA"),'MITRE ATT&amp;CK Mappings'!$H546))),ISNUMBER(SEARCH(IF(D$3&lt;&gt;"",D$3,"NA"),'MITRE ATT&amp;CK Mappings'!$I546))),ISNUMBER(SEARCH(IF(D$3&lt;&gt;"",D$3,"NA"),'MITRE ATT&amp;CK Mappings'!$J546))), 'MITRE ATT&amp;CK Mappings'!$B546,"")</f>
        <v/>
      </c>
      <c r="E550" s="26" t="str">
        <f>IF(OR(OR(OR(OR(OR(ISNUMBER(SEARCH(IF(E$1&lt;&gt;"",E$1,"NA"),'MITRE ATT&amp;CK Mappings'!$E546)),ISNUMBER(SEARCH(IF(E$1&lt;&gt;"",E$1,"NA"),'MITRE ATT&amp;CK Mappings'!$F546))),ISNUMBER(SEARCH(IF(E$2&lt;&gt;"",E$2,"NA"),'MITRE ATT&amp;CK Mappings'!$G546))),ISNUMBER(SEARCH(IF(E$2&lt;&gt;"",E$2,"NA"),'MITRE ATT&amp;CK Mappings'!$H546))),ISNUMBER(SEARCH(IF(E$3&lt;&gt;"",E$3,"NA"),'MITRE ATT&amp;CK Mappings'!$I546))),ISNUMBER(SEARCH(IF(E$3&lt;&gt;"",E$3,"NA"),'MITRE ATT&amp;CK Mappings'!$J546))), 'MITRE ATT&amp;CK Mappings'!$B546,"")</f>
        <v/>
      </c>
      <c r="F550" s="26" t="str">
        <f>IF(OR(OR(OR(OR(OR(ISNUMBER(SEARCH(IF(F$1&lt;&gt;"",F$1,"NA"),'MITRE ATT&amp;CK Mappings'!$E546)),ISNUMBER(SEARCH(IF(F$1&lt;&gt;"",F$1,"NA"),'MITRE ATT&amp;CK Mappings'!$F546))),ISNUMBER(SEARCH(IF(F$2&lt;&gt;"",F$2,"NA"),'MITRE ATT&amp;CK Mappings'!$G546))),ISNUMBER(SEARCH(IF(F$2&lt;&gt;"",F$2,"NA"),'MITRE ATT&amp;CK Mappings'!$H546))),ISNUMBER(SEARCH(IF(F$3&lt;&gt;"",F$3,"NA"),'MITRE ATT&amp;CK Mappings'!$I546))),ISNUMBER(SEARCH(IF(F$3&lt;&gt;"",F$3,"NA"),'MITRE ATT&amp;CK Mappings'!$J546))), 'MITRE ATT&amp;CK Mappings'!$B546,"")</f>
        <v/>
      </c>
      <c r="G550" s="26" t="str">
        <f>IF(OR(OR(OR(OR(OR(ISNUMBER(SEARCH(IF(G$1&lt;&gt;"",G$1,"NA"),'MITRE ATT&amp;CK Mappings'!$E546)),ISNUMBER(SEARCH(IF(G$1&lt;&gt;"",G$1,"NA"),'MITRE ATT&amp;CK Mappings'!$F546))),ISNUMBER(SEARCH(IF(G$2&lt;&gt;"",G$2,"NA"),'MITRE ATT&amp;CK Mappings'!$G546))),ISNUMBER(SEARCH(IF(G$2&lt;&gt;"",G$2,"NA"),'MITRE ATT&amp;CK Mappings'!$H546))),ISNUMBER(SEARCH(IF(G$3&lt;&gt;"",G$3,"NA"),'MITRE ATT&amp;CK Mappings'!$I546))),ISNUMBER(SEARCH(IF(G$3&lt;&gt;"",G$3,"NA"),'MITRE ATT&amp;CK Mappings'!$J546))), 'MITRE ATT&amp;CK Mappings'!$B546,"")</f>
        <v/>
      </c>
      <c r="H550" s="26" t="str">
        <f>IF(OR(OR(OR(OR(OR(ISNUMBER(SEARCH(IF(H$1&lt;&gt;"",H$1,"NA"),'MITRE ATT&amp;CK Mappings'!$E546)),ISNUMBER(SEARCH(IF(H$1&lt;&gt;"",H$1,"NA"),'MITRE ATT&amp;CK Mappings'!$F546))),ISNUMBER(SEARCH(IF(H$2&lt;&gt;"",H$2,"NA"),'MITRE ATT&amp;CK Mappings'!$G546))),ISNUMBER(SEARCH(IF(H$2&lt;&gt;"",H$2,"NA"),'MITRE ATT&amp;CK Mappings'!$H546))),ISNUMBER(SEARCH(IF(H$3&lt;&gt;"",H$3,"NA"),'MITRE ATT&amp;CK Mappings'!$I546))),ISNUMBER(SEARCH(IF(H$3&lt;&gt;"",H$3,"NA"),'MITRE ATT&amp;CK Mappings'!$J546))), 'MITRE ATT&amp;CK Mappings'!$B546,"")</f>
        <v/>
      </c>
      <c r="I550" s="26" t="str">
        <f>IF(OR(OR(OR(OR(OR(ISNUMBER(SEARCH(IF(I$1&lt;&gt;"",I$1,"NA"),'MITRE ATT&amp;CK Mappings'!$E546)),ISNUMBER(SEARCH(IF(I$1&lt;&gt;"",I$1,"NA"),'MITRE ATT&amp;CK Mappings'!$F546))),ISNUMBER(SEARCH(IF(I$2&lt;&gt;"",I$2,"NA"),'MITRE ATT&amp;CK Mappings'!$G546))),ISNUMBER(SEARCH(IF(I$2&lt;&gt;"",I$2,"NA"),'MITRE ATT&amp;CK Mappings'!$H546))),ISNUMBER(SEARCH(IF(I$3&lt;&gt;"",I$3,"NA"),'MITRE ATT&amp;CK Mappings'!$I546))),ISNUMBER(SEARCH(IF(I$3&lt;&gt;"",I$3,"NA"),'MITRE ATT&amp;CK Mappings'!$J546))), 'MITRE ATT&amp;CK Mappings'!$B546,"")</f>
        <v/>
      </c>
      <c r="J550" s="26" t="str">
        <f>IF(OR(OR(OR(OR(OR(ISNUMBER(SEARCH(IF(J$1&lt;&gt;"",J$1,"NA"),'MITRE ATT&amp;CK Mappings'!$E546)),ISNUMBER(SEARCH(IF(J$1&lt;&gt;"",J$1,"NA"),'MITRE ATT&amp;CK Mappings'!$F546))),ISNUMBER(SEARCH(IF(J$2&lt;&gt;"",J$2,"NA"),'MITRE ATT&amp;CK Mappings'!$G546))),ISNUMBER(SEARCH(IF(J$2&lt;&gt;"",J$2,"NA"),'MITRE ATT&amp;CK Mappings'!$H546))),ISNUMBER(SEARCH(IF(J$3&lt;&gt;"",J$3,"NA"),'MITRE ATT&amp;CK Mappings'!$I546))),ISNUMBER(SEARCH(IF(J$3&lt;&gt;"",J$3,"NA"),'MITRE ATT&amp;CK Mappings'!$J546))), 'MITRE ATT&amp;CK Mappings'!$B546,"")</f>
        <v/>
      </c>
      <c r="K550" s="26" t="str">
        <f>IF(OR(OR(OR(OR(OR(ISNUMBER(SEARCH(IF(K$1&lt;&gt;"",K$1,"NA"),'MITRE ATT&amp;CK Mappings'!$E546)),ISNUMBER(SEARCH(IF(K$1&lt;&gt;"",K$1,"NA"),'MITRE ATT&amp;CK Mappings'!$F546))),ISNUMBER(SEARCH(IF(K$2&lt;&gt;"",K$2,"NA"),'MITRE ATT&amp;CK Mappings'!$G546))),ISNUMBER(SEARCH(IF(K$2&lt;&gt;"",K$2,"NA"),'MITRE ATT&amp;CK Mappings'!$H546))),ISNUMBER(SEARCH(IF(K$3&lt;&gt;"",K$3,"NA"),'MITRE ATT&amp;CK Mappings'!$I546))),ISNUMBER(SEARCH(IF(K$3&lt;&gt;"",K$3,"NA"),'MITRE ATT&amp;CK Mappings'!$J546))), 'MITRE ATT&amp;CK Mappings'!$B546,"")</f>
        <v/>
      </c>
      <c r="L550" s="26" t="str">
        <f>IF('MITRE ATT&amp;CK Mappings'!D546 &lt;&gt;"",'MITRE ATT&amp;CK Mappings'!D546,"" )</f>
        <v/>
      </c>
    </row>
    <row r="551" spans="1:12" x14ac:dyDescent="0.25">
      <c r="A551" s="27" t="str">
        <f>IF(COUNTIF(B551:K551,"="&amp;'MITRE ATT&amp;CK Mappings'!B547)&gt;0,'MITRE ATT&amp;CK Mappings'!B547,"")</f>
        <v/>
      </c>
      <c r="B551" s="27" t="str">
        <f>IF(OR(OR(OR(OR(OR(ISNUMBER(SEARCH(IF(B$1&lt;&gt;"",B$1,"NA"),'MITRE ATT&amp;CK Mappings'!$E547)),ISNUMBER(SEARCH(IF(B$1&lt;&gt;"",B$1,"NA"),'MITRE ATT&amp;CK Mappings'!$F547))),ISNUMBER(SEARCH(IF(B$2&lt;&gt;"",B$2,"NA"),'MITRE ATT&amp;CK Mappings'!$G547))),ISNUMBER(SEARCH(IF(B$2&lt;&gt;"",B$2,"NA"),'MITRE ATT&amp;CK Mappings'!$H547))),ISNUMBER(SEARCH(IF(B$3&lt;&gt;"",B$3,"NA"),'MITRE ATT&amp;CK Mappings'!$I547))),ISNUMBER(SEARCH(IF(B$3&lt;&gt;"",B$3,"NA"),'MITRE ATT&amp;CK Mappings'!$J547))), 'MITRE ATT&amp;CK Mappings'!$B547,"")</f>
        <v/>
      </c>
      <c r="C551" s="27" t="str">
        <f>IF(OR(OR(OR(OR(OR(ISNUMBER(SEARCH(IF(C$1&lt;&gt;"",C$1,"NA"),'MITRE ATT&amp;CK Mappings'!$E547)),ISNUMBER(SEARCH(IF(C$1&lt;&gt;"",C$1,"NA"),'MITRE ATT&amp;CK Mappings'!$F547))),ISNUMBER(SEARCH(IF(C$2&lt;&gt;"",C$2,"NA"),'MITRE ATT&amp;CK Mappings'!$G547))),ISNUMBER(SEARCH(IF(C$2&lt;&gt;"",C$2,"NA"),'MITRE ATT&amp;CK Mappings'!$H547))),ISNUMBER(SEARCH(IF(C$3&lt;&gt;"",C$3,"NA"),'MITRE ATT&amp;CK Mappings'!$I547))),ISNUMBER(SEARCH(IF(C$3&lt;&gt;"",C$3,"NA"),'MITRE ATT&amp;CK Mappings'!$J547))), 'MITRE ATT&amp;CK Mappings'!$B547,"")</f>
        <v/>
      </c>
      <c r="D551" s="27" t="str">
        <f>IF(OR(OR(OR(OR(OR(ISNUMBER(SEARCH(IF(D$1&lt;&gt;"",D$1,"NA"),'MITRE ATT&amp;CK Mappings'!$E547)),ISNUMBER(SEARCH(IF(D$1&lt;&gt;"",D$1,"NA"),'MITRE ATT&amp;CK Mappings'!$F547))),ISNUMBER(SEARCH(IF(D$2&lt;&gt;"",D$2,"NA"),'MITRE ATT&amp;CK Mappings'!$G547))),ISNUMBER(SEARCH(IF(D$2&lt;&gt;"",D$2,"NA"),'MITRE ATT&amp;CK Mappings'!$H547))),ISNUMBER(SEARCH(IF(D$3&lt;&gt;"",D$3,"NA"),'MITRE ATT&amp;CK Mappings'!$I547))),ISNUMBER(SEARCH(IF(D$3&lt;&gt;"",D$3,"NA"),'MITRE ATT&amp;CK Mappings'!$J547))), 'MITRE ATT&amp;CK Mappings'!$B547,"")</f>
        <v/>
      </c>
      <c r="E551" s="27" t="str">
        <f>IF(OR(OR(OR(OR(OR(ISNUMBER(SEARCH(IF(E$1&lt;&gt;"",E$1,"NA"),'MITRE ATT&amp;CK Mappings'!$E547)),ISNUMBER(SEARCH(IF(E$1&lt;&gt;"",E$1,"NA"),'MITRE ATT&amp;CK Mappings'!$F547))),ISNUMBER(SEARCH(IF(E$2&lt;&gt;"",E$2,"NA"),'MITRE ATT&amp;CK Mappings'!$G547))),ISNUMBER(SEARCH(IF(E$2&lt;&gt;"",E$2,"NA"),'MITRE ATT&amp;CK Mappings'!$H547))),ISNUMBER(SEARCH(IF(E$3&lt;&gt;"",E$3,"NA"),'MITRE ATT&amp;CK Mappings'!$I547))),ISNUMBER(SEARCH(IF(E$3&lt;&gt;"",E$3,"NA"),'MITRE ATT&amp;CK Mappings'!$J547))), 'MITRE ATT&amp;CK Mappings'!$B547,"")</f>
        <v/>
      </c>
      <c r="F551" s="27" t="str">
        <f>IF(OR(OR(OR(OR(OR(ISNUMBER(SEARCH(IF(F$1&lt;&gt;"",F$1,"NA"),'MITRE ATT&amp;CK Mappings'!$E547)),ISNUMBER(SEARCH(IF(F$1&lt;&gt;"",F$1,"NA"),'MITRE ATT&amp;CK Mappings'!$F547))),ISNUMBER(SEARCH(IF(F$2&lt;&gt;"",F$2,"NA"),'MITRE ATT&amp;CK Mappings'!$G547))),ISNUMBER(SEARCH(IF(F$2&lt;&gt;"",F$2,"NA"),'MITRE ATT&amp;CK Mappings'!$H547))),ISNUMBER(SEARCH(IF(F$3&lt;&gt;"",F$3,"NA"),'MITRE ATT&amp;CK Mappings'!$I547))),ISNUMBER(SEARCH(IF(F$3&lt;&gt;"",F$3,"NA"),'MITRE ATT&amp;CK Mappings'!$J547))), 'MITRE ATT&amp;CK Mappings'!$B547,"")</f>
        <v/>
      </c>
      <c r="G551" s="27" t="str">
        <f>IF(OR(OR(OR(OR(OR(ISNUMBER(SEARCH(IF(G$1&lt;&gt;"",G$1,"NA"),'MITRE ATT&amp;CK Mappings'!$E547)),ISNUMBER(SEARCH(IF(G$1&lt;&gt;"",G$1,"NA"),'MITRE ATT&amp;CK Mappings'!$F547))),ISNUMBER(SEARCH(IF(G$2&lt;&gt;"",G$2,"NA"),'MITRE ATT&amp;CK Mappings'!$G547))),ISNUMBER(SEARCH(IF(G$2&lt;&gt;"",G$2,"NA"),'MITRE ATT&amp;CK Mappings'!$H547))),ISNUMBER(SEARCH(IF(G$3&lt;&gt;"",G$3,"NA"),'MITRE ATT&amp;CK Mappings'!$I547))),ISNUMBER(SEARCH(IF(G$3&lt;&gt;"",G$3,"NA"),'MITRE ATT&amp;CK Mappings'!$J547))), 'MITRE ATT&amp;CK Mappings'!$B547,"")</f>
        <v/>
      </c>
      <c r="H551" s="27" t="str">
        <f>IF(OR(OR(OR(OR(OR(ISNUMBER(SEARCH(IF(H$1&lt;&gt;"",H$1,"NA"),'MITRE ATT&amp;CK Mappings'!$E547)),ISNUMBER(SEARCH(IF(H$1&lt;&gt;"",H$1,"NA"),'MITRE ATT&amp;CK Mappings'!$F547))),ISNUMBER(SEARCH(IF(H$2&lt;&gt;"",H$2,"NA"),'MITRE ATT&amp;CK Mappings'!$G547))),ISNUMBER(SEARCH(IF(H$2&lt;&gt;"",H$2,"NA"),'MITRE ATT&amp;CK Mappings'!$H547))),ISNUMBER(SEARCH(IF(H$3&lt;&gt;"",H$3,"NA"),'MITRE ATT&amp;CK Mappings'!$I547))),ISNUMBER(SEARCH(IF(H$3&lt;&gt;"",H$3,"NA"),'MITRE ATT&amp;CK Mappings'!$J547))), 'MITRE ATT&amp;CK Mappings'!$B547,"")</f>
        <v/>
      </c>
      <c r="I551" s="27" t="str">
        <f>IF(OR(OR(OR(OR(OR(ISNUMBER(SEARCH(IF(I$1&lt;&gt;"",I$1,"NA"),'MITRE ATT&amp;CK Mappings'!$E547)),ISNUMBER(SEARCH(IF(I$1&lt;&gt;"",I$1,"NA"),'MITRE ATT&amp;CK Mappings'!$F547))),ISNUMBER(SEARCH(IF(I$2&lt;&gt;"",I$2,"NA"),'MITRE ATT&amp;CK Mappings'!$G547))),ISNUMBER(SEARCH(IF(I$2&lt;&gt;"",I$2,"NA"),'MITRE ATT&amp;CK Mappings'!$H547))),ISNUMBER(SEARCH(IF(I$3&lt;&gt;"",I$3,"NA"),'MITRE ATT&amp;CK Mappings'!$I547))),ISNUMBER(SEARCH(IF(I$3&lt;&gt;"",I$3,"NA"),'MITRE ATT&amp;CK Mappings'!$J547))), 'MITRE ATT&amp;CK Mappings'!$B547,"")</f>
        <v/>
      </c>
      <c r="J551" s="27" t="str">
        <f>IF(OR(OR(OR(OR(OR(ISNUMBER(SEARCH(IF(J$1&lt;&gt;"",J$1,"NA"),'MITRE ATT&amp;CK Mappings'!$E547)),ISNUMBER(SEARCH(IF(J$1&lt;&gt;"",J$1,"NA"),'MITRE ATT&amp;CK Mappings'!$F547))),ISNUMBER(SEARCH(IF(J$2&lt;&gt;"",J$2,"NA"),'MITRE ATT&amp;CK Mappings'!$G547))),ISNUMBER(SEARCH(IF(J$2&lt;&gt;"",J$2,"NA"),'MITRE ATT&amp;CK Mappings'!$H547))),ISNUMBER(SEARCH(IF(J$3&lt;&gt;"",J$3,"NA"),'MITRE ATT&amp;CK Mappings'!$I547))),ISNUMBER(SEARCH(IF(J$3&lt;&gt;"",J$3,"NA"),'MITRE ATT&amp;CK Mappings'!$J547))), 'MITRE ATT&amp;CK Mappings'!$B547,"")</f>
        <v/>
      </c>
      <c r="K551" s="27" t="str">
        <f>IF(OR(OR(OR(OR(OR(ISNUMBER(SEARCH(IF(K$1&lt;&gt;"",K$1,"NA"),'MITRE ATT&amp;CK Mappings'!$E547)),ISNUMBER(SEARCH(IF(K$1&lt;&gt;"",K$1,"NA"),'MITRE ATT&amp;CK Mappings'!$F547))),ISNUMBER(SEARCH(IF(K$2&lt;&gt;"",K$2,"NA"),'MITRE ATT&amp;CK Mappings'!$G547))),ISNUMBER(SEARCH(IF(K$2&lt;&gt;"",K$2,"NA"),'MITRE ATT&amp;CK Mappings'!$H547))),ISNUMBER(SEARCH(IF(K$3&lt;&gt;"",K$3,"NA"),'MITRE ATT&amp;CK Mappings'!$I547))),ISNUMBER(SEARCH(IF(K$3&lt;&gt;"",K$3,"NA"),'MITRE ATT&amp;CK Mappings'!$J547))), 'MITRE ATT&amp;CK Mappings'!$B547,"")</f>
        <v/>
      </c>
      <c r="L551" s="27" t="str">
        <f>IF('MITRE ATT&amp;CK Mappings'!D547 &lt;&gt;"",'MITRE ATT&amp;CK Mappings'!D547,"" )</f>
        <v/>
      </c>
    </row>
    <row r="552" spans="1:12" x14ac:dyDescent="0.25">
      <c r="A552" s="26" t="str">
        <f>IF(COUNTIF(B552:K552,"="&amp;'MITRE ATT&amp;CK Mappings'!B548)&gt;0,'MITRE ATT&amp;CK Mappings'!B548,"")</f>
        <v/>
      </c>
      <c r="B552" s="26" t="str">
        <f>IF(OR(OR(OR(OR(OR(ISNUMBER(SEARCH(IF(B$1&lt;&gt;"",B$1,"NA"),'MITRE ATT&amp;CK Mappings'!$E548)),ISNUMBER(SEARCH(IF(B$1&lt;&gt;"",B$1,"NA"),'MITRE ATT&amp;CK Mappings'!$F548))),ISNUMBER(SEARCH(IF(B$2&lt;&gt;"",B$2,"NA"),'MITRE ATT&amp;CK Mappings'!$G548))),ISNUMBER(SEARCH(IF(B$2&lt;&gt;"",B$2,"NA"),'MITRE ATT&amp;CK Mappings'!$H548))),ISNUMBER(SEARCH(IF(B$3&lt;&gt;"",B$3,"NA"),'MITRE ATT&amp;CK Mappings'!$I548))),ISNUMBER(SEARCH(IF(B$3&lt;&gt;"",B$3,"NA"),'MITRE ATT&amp;CK Mappings'!$J548))), 'MITRE ATT&amp;CK Mappings'!$B548,"")</f>
        <v/>
      </c>
      <c r="C552" s="26" t="str">
        <f>IF(OR(OR(OR(OR(OR(ISNUMBER(SEARCH(IF(C$1&lt;&gt;"",C$1,"NA"),'MITRE ATT&amp;CK Mappings'!$E548)),ISNUMBER(SEARCH(IF(C$1&lt;&gt;"",C$1,"NA"),'MITRE ATT&amp;CK Mappings'!$F548))),ISNUMBER(SEARCH(IF(C$2&lt;&gt;"",C$2,"NA"),'MITRE ATT&amp;CK Mappings'!$G548))),ISNUMBER(SEARCH(IF(C$2&lt;&gt;"",C$2,"NA"),'MITRE ATT&amp;CK Mappings'!$H548))),ISNUMBER(SEARCH(IF(C$3&lt;&gt;"",C$3,"NA"),'MITRE ATT&amp;CK Mappings'!$I548))),ISNUMBER(SEARCH(IF(C$3&lt;&gt;"",C$3,"NA"),'MITRE ATT&amp;CK Mappings'!$J548))), 'MITRE ATT&amp;CK Mappings'!$B548,"")</f>
        <v/>
      </c>
      <c r="D552" s="26" t="str">
        <f>IF(OR(OR(OR(OR(OR(ISNUMBER(SEARCH(IF(D$1&lt;&gt;"",D$1,"NA"),'MITRE ATT&amp;CK Mappings'!$E548)),ISNUMBER(SEARCH(IF(D$1&lt;&gt;"",D$1,"NA"),'MITRE ATT&amp;CK Mappings'!$F548))),ISNUMBER(SEARCH(IF(D$2&lt;&gt;"",D$2,"NA"),'MITRE ATT&amp;CK Mappings'!$G548))),ISNUMBER(SEARCH(IF(D$2&lt;&gt;"",D$2,"NA"),'MITRE ATT&amp;CK Mappings'!$H548))),ISNUMBER(SEARCH(IF(D$3&lt;&gt;"",D$3,"NA"),'MITRE ATT&amp;CK Mappings'!$I548))),ISNUMBER(SEARCH(IF(D$3&lt;&gt;"",D$3,"NA"),'MITRE ATT&amp;CK Mappings'!$J548))), 'MITRE ATT&amp;CK Mappings'!$B548,"")</f>
        <v/>
      </c>
      <c r="E552" s="26" t="str">
        <f>IF(OR(OR(OR(OR(OR(ISNUMBER(SEARCH(IF(E$1&lt;&gt;"",E$1,"NA"),'MITRE ATT&amp;CK Mappings'!$E548)),ISNUMBER(SEARCH(IF(E$1&lt;&gt;"",E$1,"NA"),'MITRE ATT&amp;CK Mappings'!$F548))),ISNUMBER(SEARCH(IF(E$2&lt;&gt;"",E$2,"NA"),'MITRE ATT&amp;CK Mappings'!$G548))),ISNUMBER(SEARCH(IF(E$2&lt;&gt;"",E$2,"NA"),'MITRE ATT&amp;CK Mappings'!$H548))),ISNUMBER(SEARCH(IF(E$3&lt;&gt;"",E$3,"NA"),'MITRE ATT&amp;CK Mappings'!$I548))),ISNUMBER(SEARCH(IF(E$3&lt;&gt;"",E$3,"NA"),'MITRE ATT&amp;CK Mappings'!$J548))), 'MITRE ATT&amp;CK Mappings'!$B548,"")</f>
        <v/>
      </c>
      <c r="F552" s="26" t="str">
        <f>IF(OR(OR(OR(OR(OR(ISNUMBER(SEARCH(IF(F$1&lt;&gt;"",F$1,"NA"),'MITRE ATT&amp;CK Mappings'!$E548)),ISNUMBER(SEARCH(IF(F$1&lt;&gt;"",F$1,"NA"),'MITRE ATT&amp;CK Mappings'!$F548))),ISNUMBER(SEARCH(IF(F$2&lt;&gt;"",F$2,"NA"),'MITRE ATT&amp;CK Mappings'!$G548))),ISNUMBER(SEARCH(IF(F$2&lt;&gt;"",F$2,"NA"),'MITRE ATT&amp;CK Mappings'!$H548))),ISNUMBER(SEARCH(IF(F$3&lt;&gt;"",F$3,"NA"),'MITRE ATT&amp;CK Mappings'!$I548))),ISNUMBER(SEARCH(IF(F$3&lt;&gt;"",F$3,"NA"),'MITRE ATT&amp;CK Mappings'!$J548))), 'MITRE ATT&amp;CK Mappings'!$B548,"")</f>
        <v/>
      </c>
      <c r="G552" s="26" t="str">
        <f>IF(OR(OR(OR(OR(OR(ISNUMBER(SEARCH(IF(G$1&lt;&gt;"",G$1,"NA"),'MITRE ATT&amp;CK Mappings'!$E548)),ISNUMBER(SEARCH(IF(G$1&lt;&gt;"",G$1,"NA"),'MITRE ATT&amp;CK Mappings'!$F548))),ISNUMBER(SEARCH(IF(G$2&lt;&gt;"",G$2,"NA"),'MITRE ATT&amp;CK Mappings'!$G548))),ISNUMBER(SEARCH(IF(G$2&lt;&gt;"",G$2,"NA"),'MITRE ATT&amp;CK Mappings'!$H548))),ISNUMBER(SEARCH(IF(G$3&lt;&gt;"",G$3,"NA"),'MITRE ATT&amp;CK Mappings'!$I548))),ISNUMBER(SEARCH(IF(G$3&lt;&gt;"",G$3,"NA"),'MITRE ATT&amp;CK Mappings'!$J548))), 'MITRE ATT&amp;CK Mappings'!$B548,"")</f>
        <v/>
      </c>
      <c r="H552" s="26" t="str">
        <f>IF(OR(OR(OR(OR(OR(ISNUMBER(SEARCH(IF(H$1&lt;&gt;"",H$1,"NA"),'MITRE ATT&amp;CK Mappings'!$E548)),ISNUMBER(SEARCH(IF(H$1&lt;&gt;"",H$1,"NA"),'MITRE ATT&amp;CK Mappings'!$F548))),ISNUMBER(SEARCH(IF(H$2&lt;&gt;"",H$2,"NA"),'MITRE ATT&amp;CK Mappings'!$G548))),ISNUMBER(SEARCH(IF(H$2&lt;&gt;"",H$2,"NA"),'MITRE ATT&amp;CK Mappings'!$H548))),ISNUMBER(SEARCH(IF(H$3&lt;&gt;"",H$3,"NA"),'MITRE ATT&amp;CK Mappings'!$I548))),ISNUMBER(SEARCH(IF(H$3&lt;&gt;"",H$3,"NA"),'MITRE ATT&amp;CK Mappings'!$J548))), 'MITRE ATT&amp;CK Mappings'!$B548,"")</f>
        <v/>
      </c>
      <c r="I552" s="26" t="str">
        <f>IF(OR(OR(OR(OR(OR(ISNUMBER(SEARCH(IF(I$1&lt;&gt;"",I$1,"NA"),'MITRE ATT&amp;CK Mappings'!$E548)),ISNUMBER(SEARCH(IF(I$1&lt;&gt;"",I$1,"NA"),'MITRE ATT&amp;CK Mappings'!$F548))),ISNUMBER(SEARCH(IF(I$2&lt;&gt;"",I$2,"NA"),'MITRE ATT&amp;CK Mappings'!$G548))),ISNUMBER(SEARCH(IF(I$2&lt;&gt;"",I$2,"NA"),'MITRE ATT&amp;CK Mappings'!$H548))),ISNUMBER(SEARCH(IF(I$3&lt;&gt;"",I$3,"NA"),'MITRE ATT&amp;CK Mappings'!$I548))),ISNUMBER(SEARCH(IF(I$3&lt;&gt;"",I$3,"NA"),'MITRE ATT&amp;CK Mappings'!$J548))), 'MITRE ATT&amp;CK Mappings'!$B548,"")</f>
        <v/>
      </c>
      <c r="J552" s="26" t="str">
        <f>IF(OR(OR(OR(OR(OR(ISNUMBER(SEARCH(IF(J$1&lt;&gt;"",J$1,"NA"),'MITRE ATT&amp;CK Mappings'!$E548)),ISNUMBER(SEARCH(IF(J$1&lt;&gt;"",J$1,"NA"),'MITRE ATT&amp;CK Mappings'!$F548))),ISNUMBER(SEARCH(IF(J$2&lt;&gt;"",J$2,"NA"),'MITRE ATT&amp;CK Mappings'!$G548))),ISNUMBER(SEARCH(IF(J$2&lt;&gt;"",J$2,"NA"),'MITRE ATT&amp;CK Mappings'!$H548))),ISNUMBER(SEARCH(IF(J$3&lt;&gt;"",J$3,"NA"),'MITRE ATT&amp;CK Mappings'!$I548))),ISNUMBER(SEARCH(IF(J$3&lt;&gt;"",J$3,"NA"),'MITRE ATT&amp;CK Mappings'!$J548))), 'MITRE ATT&amp;CK Mappings'!$B548,"")</f>
        <v/>
      </c>
      <c r="K552" s="26" t="str">
        <f>IF(OR(OR(OR(OR(OR(ISNUMBER(SEARCH(IF(K$1&lt;&gt;"",K$1,"NA"),'MITRE ATT&amp;CK Mappings'!$E548)),ISNUMBER(SEARCH(IF(K$1&lt;&gt;"",K$1,"NA"),'MITRE ATT&amp;CK Mappings'!$F548))),ISNUMBER(SEARCH(IF(K$2&lt;&gt;"",K$2,"NA"),'MITRE ATT&amp;CK Mappings'!$G548))),ISNUMBER(SEARCH(IF(K$2&lt;&gt;"",K$2,"NA"),'MITRE ATT&amp;CK Mappings'!$H548))),ISNUMBER(SEARCH(IF(K$3&lt;&gt;"",K$3,"NA"),'MITRE ATT&amp;CK Mappings'!$I548))),ISNUMBER(SEARCH(IF(K$3&lt;&gt;"",K$3,"NA"),'MITRE ATT&amp;CK Mappings'!$J548))), 'MITRE ATT&amp;CK Mappings'!$B548,"")</f>
        <v/>
      </c>
      <c r="L552" s="26" t="str">
        <f>IF('MITRE ATT&amp;CK Mappings'!D548 &lt;&gt;"",'MITRE ATT&amp;CK Mappings'!D548,"" )</f>
        <v/>
      </c>
    </row>
    <row r="553" spans="1:12" x14ac:dyDescent="0.25">
      <c r="A553" s="27" t="str">
        <f>IF(COUNTIF(B553:K553,"="&amp;'MITRE ATT&amp;CK Mappings'!B549)&gt;0,'MITRE ATT&amp;CK Mappings'!B549,"")</f>
        <v/>
      </c>
      <c r="B553" s="27" t="str">
        <f>IF(OR(OR(OR(OR(OR(ISNUMBER(SEARCH(IF(B$1&lt;&gt;"",B$1,"NA"),'MITRE ATT&amp;CK Mappings'!$E549)),ISNUMBER(SEARCH(IF(B$1&lt;&gt;"",B$1,"NA"),'MITRE ATT&amp;CK Mappings'!$F549))),ISNUMBER(SEARCH(IF(B$2&lt;&gt;"",B$2,"NA"),'MITRE ATT&amp;CK Mappings'!$G549))),ISNUMBER(SEARCH(IF(B$2&lt;&gt;"",B$2,"NA"),'MITRE ATT&amp;CK Mappings'!$H549))),ISNUMBER(SEARCH(IF(B$3&lt;&gt;"",B$3,"NA"),'MITRE ATT&amp;CK Mappings'!$I549))),ISNUMBER(SEARCH(IF(B$3&lt;&gt;"",B$3,"NA"),'MITRE ATT&amp;CK Mappings'!$J549))), 'MITRE ATT&amp;CK Mappings'!$B549,"")</f>
        <v/>
      </c>
      <c r="C553" s="27" t="str">
        <f>IF(OR(OR(OR(OR(OR(ISNUMBER(SEARCH(IF(C$1&lt;&gt;"",C$1,"NA"),'MITRE ATT&amp;CK Mappings'!$E549)),ISNUMBER(SEARCH(IF(C$1&lt;&gt;"",C$1,"NA"),'MITRE ATT&amp;CK Mappings'!$F549))),ISNUMBER(SEARCH(IF(C$2&lt;&gt;"",C$2,"NA"),'MITRE ATT&amp;CK Mappings'!$G549))),ISNUMBER(SEARCH(IF(C$2&lt;&gt;"",C$2,"NA"),'MITRE ATT&amp;CK Mappings'!$H549))),ISNUMBER(SEARCH(IF(C$3&lt;&gt;"",C$3,"NA"),'MITRE ATT&amp;CK Mappings'!$I549))),ISNUMBER(SEARCH(IF(C$3&lt;&gt;"",C$3,"NA"),'MITRE ATT&amp;CK Mappings'!$J549))), 'MITRE ATT&amp;CK Mappings'!$B549,"")</f>
        <v/>
      </c>
      <c r="D553" s="27" t="str">
        <f>IF(OR(OR(OR(OR(OR(ISNUMBER(SEARCH(IF(D$1&lt;&gt;"",D$1,"NA"),'MITRE ATT&amp;CK Mappings'!$E549)),ISNUMBER(SEARCH(IF(D$1&lt;&gt;"",D$1,"NA"),'MITRE ATT&amp;CK Mappings'!$F549))),ISNUMBER(SEARCH(IF(D$2&lt;&gt;"",D$2,"NA"),'MITRE ATT&amp;CK Mappings'!$G549))),ISNUMBER(SEARCH(IF(D$2&lt;&gt;"",D$2,"NA"),'MITRE ATT&amp;CK Mappings'!$H549))),ISNUMBER(SEARCH(IF(D$3&lt;&gt;"",D$3,"NA"),'MITRE ATT&amp;CK Mappings'!$I549))),ISNUMBER(SEARCH(IF(D$3&lt;&gt;"",D$3,"NA"),'MITRE ATT&amp;CK Mappings'!$J549))), 'MITRE ATT&amp;CK Mappings'!$B549,"")</f>
        <v/>
      </c>
      <c r="E553" s="27" t="str">
        <f>IF(OR(OR(OR(OR(OR(ISNUMBER(SEARCH(IF(E$1&lt;&gt;"",E$1,"NA"),'MITRE ATT&amp;CK Mappings'!$E549)),ISNUMBER(SEARCH(IF(E$1&lt;&gt;"",E$1,"NA"),'MITRE ATT&amp;CK Mappings'!$F549))),ISNUMBER(SEARCH(IF(E$2&lt;&gt;"",E$2,"NA"),'MITRE ATT&amp;CK Mappings'!$G549))),ISNUMBER(SEARCH(IF(E$2&lt;&gt;"",E$2,"NA"),'MITRE ATT&amp;CK Mappings'!$H549))),ISNUMBER(SEARCH(IF(E$3&lt;&gt;"",E$3,"NA"),'MITRE ATT&amp;CK Mappings'!$I549))),ISNUMBER(SEARCH(IF(E$3&lt;&gt;"",E$3,"NA"),'MITRE ATT&amp;CK Mappings'!$J549))), 'MITRE ATT&amp;CK Mappings'!$B549,"")</f>
        <v/>
      </c>
      <c r="F553" s="27" t="str">
        <f>IF(OR(OR(OR(OR(OR(ISNUMBER(SEARCH(IF(F$1&lt;&gt;"",F$1,"NA"),'MITRE ATT&amp;CK Mappings'!$E549)),ISNUMBER(SEARCH(IF(F$1&lt;&gt;"",F$1,"NA"),'MITRE ATT&amp;CK Mappings'!$F549))),ISNUMBER(SEARCH(IF(F$2&lt;&gt;"",F$2,"NA"),'MITRE ATT&amp;CK Mappings'!$G549))),ISNUMBER(SEARCH(IF(F$2&lt;&gt;"",F$2,"NA"),'MITRE ATT&amp;CK Mappings'!$H549))),ISNUMBER(SEARCH(IF(F$3&lt;&gt;"",F$3,"NA"),'MITRE ATT&amp;CK Mappings'!$I549))),ISNUMBER(SEARCH(IF(F$3&lt;&gt;"",F$3,"NA"),'MITRE ATT&amp;CK Mappings'!$J549))), 'MITRE ATT&amp;CK Mappings'!$B549,"")</f>
        <v/>
      </c>
      <c r="G553" s="27" t="str">
        <f>IF(OR(OR(OR(OR(OR(ISNUMBER(SEARCH(IF(G$1&lt;&gt;"",G$1,"NA"),'MITRE ATT&amp;CK Mappings'!$E549)),ISNUMBER(SEARCH(IF(G$1&lt;&gt;"",G$1,"NA"),'MITRE ATT&amp;CK Mappings'!$F549))),ISNUMBER(SEARCH(IF(G$2&lt;&gt;"",G$2,"NA"),'MITRE ATT&amp;CK Mappings'!$G549))),ISNUMBER(SEARCH(IF(G$2&lt;&gt;"",G$2,"NA"),'MITRE ATT&amp;CK Mappings'!$H549))),ISNUMBER(SEARCH(IF(G$3&lt;&gt;"",G$3,"NA"),'MITRE ATT&amp;CK Mappings'!$I549))),ISNUMBER(SEARCH(IF(G$3&lt;&gt;"",G$3,"NA"),'MITRE ATT&amp;CK Mappings'!$J549))), 'MITRE ATT&amp;CK Mappings'!$B549,"")</f>
        <v/>
      </c>
      <c r="H553" s="27" t="str">
        <f>IF(OR(OR(OR(OR(OR(ISNUMBER(SEARCH(IF(H$1&lt;&gt;"",H$1,"NA"),'MITRE ATT&amp;CK Mappings'!$E549)),ISNUMBER(SEARCH(IF(H$1&lt;&gt;"",H$1,"NA"),'MITRE ATT&amp;CK Mappings'!$F549))),ISNUMBER(SEARCH(IF(H$2&lt;&gt;"",H$2,"NA"),'MITRE ATT&amp;CK Mappings'!$G549))),ISNUMBER(SEARCH(IF(H$2&lt;&gt;"",H$2,"NA"),'MITRE ATT&amp;CK Mappings'!$H549))),ISNUMBER(SEARCH(IF(H$3&lt;&gt;"",H$3,"NA"),'MITRE ATT&amp;CK Mappings'!$I549))),ISNUMBER(SEARCH(IF(H$3&lt;&gt;"",H$3,"NA"),'MITRE ATT&amp;CK Mappings'!$J549))), 'MITRE ATT&amp;CK Mappings'!$B549,"")</f>
        <v/>
      </c>
      <c r="I553" s="27" t="str">
        <f>IF(OR(OR(OR(OR(OR(ISNUMBER(SEARCH(IF(I$1&lt;&gt;"",I$1,"NA"),'MITRE ATT&amp;CK Mappings'!$E549)),ISNUMBER(SEARCH(IF(I$1&lt;&gt;"",I$1,"NA"),'MITRE ATT&amp;CK Mappings'!$F549))),ISNUMBER(SEARCH(IF(I$2&lt;&gt;"",I$2,"NA"),'MITRE ATT&amp;CK Mappings'!$G549))),ISNUMBER(SEARCH(IF(I$2&lt;&gt;"",I$2,"NA"),'MITRE ATT&amp;CK Mappings'!$H549))),ISNUMBER(SEARCH(IF(I$3&lt;&gt;"",I$3,"NA"),'MITRE ATT&amp;CK Mappings'!$I549))),ISNUMBER(SEARCH(IF(I$3&lt;&gt;"",I$3,"NA"),'MITRE ATT&amp;CK Mappings'!$J549))), 'MITRE ATT&amp;CK Mappings'!$B549,"")</f>
        <v/>
      </c>
      <c r="J553" s="27" t="str">
        <f>IF(OR(OR(OR(OR(OR(ISNUMBER(SEARCH(IF(J$1&lt;&gt;"",J$1,"NA"),'MITRE ATT&amp;CK Mappings'!$E549)),ISNUMBER(SEARCH(IF(J$1&lt;&gt;"",J$1,"NA"),'MITRE ATT&amp;CK Mappings'!$F549))),ISNUMBER(SEARCH(IF(J$2&lt;&gt;"",J$2,"NA"),'MITRE ATT&amp;CK Mappings'!$G549))),ISNUMBER(SEARCH(IF(J$2&lt;&gt;"",J$2,"NA"),'MITRE ATT&amp;CK Mappings'!$H549))),ISNUMBER(SEARCH(IF(J$3&lt;&gt;"",J$3,"NA"),'MITRE ATT&amp;CK Mappings'!$I549))),ISNUMBER(SEARCH(IF(J$3&lt;&gt;"",J$3,"NA"),'MITRE ATT&amp;CK Mappings'!$J549))), 'MITRE ATT&amp;CK Mappings'!$B549,"")</f>
        <v/>
      </c>
      <c r="K553" s="27" t="str">
        <f>IF(OR(OR(OR(OR(OR(ISNUMBER(SEARCH(IF(K$1&lt;&gt;"",K$1,"NA"),'MITRE ATT&amp;CK Mappings'!$E549)),ISNUMBER(SEARCH(IF(K$1&lt;&gt;"",K$1,"NA"),'MITRE ATT&amp;CK Mappings'!$F549))),ISNUMBER(SEARCH(IF(K$2&lt;&gt;"",K$2,"NA"),'MITRE ATT&amp;CK Mappings'!$G549))),ISNUMBER(SEARCH(IF(K$2&lt;&gt;"",K$2,"NA"),'MITRE ATT&amp;CK Mappings'!$H549))),ISNUMBER(SEARCH(IF(K$3&lt;&gt;"",K$3,"NA"),'MITRE ATT&amp;CK Mappings'!$I549))),ISNUMBER(SEARCH(IF(K$3&lt;&gt;"",K$3,"NA"),'MITRE ATT&amp;CK Mappings'!$J549))), 'MITRE ATT&amp;CK Mappings'!$B549,"")</f>
        <v/>
      </c>
      <c r="L553" s="27" t="str">
        <f>IF('MITRE ATT&amp;CK Mappings'!D549 &lt;&gt;"",'MITRE ATT&amp;CK Mappings'!D549,"" )</f>
        <v/>
      </c>
    </row>
    <row r="554" spans="1:12" x14ac:dyDescent="0.25">
      <c r="A554" s="26" t="str">
        <f>IF(COUNTIF(B554:K554,"="&amp;'MITRE ATT&amp;CK Mappings'!B550)&gt;0,'MITRE ATT&amp;CK Mappings'!B550,"")</f>
        <v/>
      </c>
      <c r="B554" s="26" t="str">
        <f>IF(OR(OR(OR(OR(OR(ISNUMBER(SEARCH(IF(B$1&lt;&gt;"",B$1,"NA"),'MITRE ATT&amp;CK Mappings'!$E550)),ISNUMBER(SEARCH(IF(B$1&lt;&gt;"",B$1,"NA"),'MITRE ATT&amp;CK Mappings'!$F550))),ISNUMBER(SEARCH(IF(B$2&lt;&gt;"",B$2,"NA"),'MITRE ATT&amp;CK Mappings'!$G550))),ISNUMBER(SEARCH(IF(B$2&lt;&gt;"",B$2,"NA"),'MITRE ATT&amp;CK Mappings'!$H550))),ISNUMBER(SEARCH(IF(B$3&lt;&gt;"",B$3,"NA"),'MITRE ATT&amp;CK Mappings'!$I550))),ISNUMBER(SEARCH(IF(B$3&lt;&gt;"",B$3,"NA"),'MITRE ATT&amp;CK Mappings'!$J550))), 'MITRE ATT&amp;CK Mappings'!$B550,"")</f>
        <v/>
      </c>
      <c r="C554" s="26" t="str">
        <f>IF(OR(OR(OR(OR(OR(ISNUMBER(SEARCH(IF(C$1&lt;&gt;"",C$1,"NA"),'MITRE ATT&amp;CK Mappings'!$E550)),ISNUMBER(SEARCH(IF(C$1&lt;&gt;"",C$1,"NA"),'MITRE ATT&amp;CK Mappings'!$F550))),ISNUMBER(SEARCH(IF(C$2&lt;&gt;"",C$2,"NA"),'MITRE ATT&amp;CK Mappings'!$G550))),ISNUMBER(SEARCH(IF(C$2&lt;&gt;"",C$2,"NA"),'MITRE ATT&amp;CK Mappings'!$H550))),ISNUMBER(SEARCH(IF(C$3&lt;&gt;"",C$3,"NA"),'MITRE ATT&amp;CK Mappings'!$I550))),ISNUMBER(SEARCH(IF(C$3&lt;&gt;"",C$3,"NA"),'MITRE ATT&amp;CK Mappings'!$J550))), 'MITRE ATT&amp;CK Mappings'!$B550,"")</f>
        <v/>
      </c>
      <c r="D554" s="26" t="str">
        <f>IF(OR(OR(OR(OR(OR(ISNUMBER(SEARCH(IF(D$1&lt;&gt;"",D$1,"NA"),'MITRE ATT&amp;CK Mappings'!$E550)),ISNUMBER(SEARCH(IF(D$1&lt;&gt;"",D$1,"NA"),'MITRE ATT&amp;CK Mappings'!$F550))),ISNUMBER(SEARCH(IF(D$2&lt;&gt;"",D$2,"NA"),'MITRE ATT&amp;CK Mappings'!$G550))),ISNUMBER(SEARCH(IF(D$2&lt;&gt;"",D$2,"NA"),'MITRE ATT&amp;CK Mappings'!$H550))),ISNUMBER(SEARCH(IF(D$3&lt;&gt;"",D$3,"NA"),'MITRE ATT&amp;CK Mappings'!$I550))),ISNUMBER(SEARCH(IF(D$3&lt;&gt;"",D$3,"NA"),'MITRE ATT&amp;CK Mappings'!$J550))), 'MITRE ATT&amp;CK Mappings'!$B550,"")</f>
        <v/>
      </c>
      <c r="E554" s="26" t="str">
        <f>IF(OR(OR(OR(OR(OR(ISNUMBER(SEARCH(IF(E$1&lt;&gt;"",E$1,"NA"),'MITRE ATT&amp;CK Mappings'!$E550)),ISNUMBER(SEARCH(IF(E$1&lt;&gt;"",E$1,"NA"),'MITRE ATT&amp;CK Mappings'!$F550))),ISNUMBER(SEARCH(IF(E$2&lt;&gt;"",E$2,"NA"),'MITRE ATT&amp;CK Mappings'!$G550))),ISNUMBER(SEARCH(IF(E$2&lt;&gt;"",E$2,"NA"),'MITRE ATT&amp;CK Mappings'!$H550))),ISNUMBER(SEARCH(IF(E$3&lt;&gt;"",E$3,"NA"),'MITRE ATT&amp;CK Mappings'!$I550))),ISNUMBER(SEARCH(IF(E$3&lt;&gt;"",E$3,"NA"),'MITRE ATT&amp;CK Mappings'!$J550))), 'MITRE ATT&amp;CK Mappings'!$B550,"")</f>
        <v/>
      </c>
      <c r="F554" s="26" t="str">
        <f>IF(OR(OR(OR(OR(OR(ISNUMBER(SEARCH(IF(F$1&lt;&gt;"",F$1,"NA"),'MITRE ATT&amp;CK Mappings'!$E550)),ISNUMBER(SEARCH(IF(F$1&lt;&gt;"",F$1,"NA"),'MITRE ATT&amp;CK Mappings'!$F550))),ISNUMBER(SEARCH(IF(F$2&lt;&gt;"",F$2,"NA"),'MITRE ATT&amp;CK Mappings'!$G550))),ISNUMBER(SEARCH(IF(F$2&lt;&gt;"",F$2,"NA"),'MITRE ATT&amp;CK Mappings'!$H550))),ISNUMBER(SEARCH(IF(F$3&lt;&gt;"",F$3,"NA"),'MITRE ATT&amp;CK Mappings'!$I550))),ISNUMBER(SEARCH(IF(F$3&lt;&gt;"",F$3,"NA"),'MITRE ATT&amp;CK Mappings'!$J550))), 'MITRE ATT&amp;CK Mappings'!$B550,"")</f>
        <v/>
      </c>
      <c r="G554" s="26" t="str">
        <f>IF(OR(OR(OR(OR(OR(ISNUMBER(SEARCH(IF(G$1&lt;&gt;"",G$1,"NA"),'MITRE ATT&amp;CK Mappings'!$E550)),ISNUMBER(SEARCH(IF(G$1&lt;&gt;"",G$1,"NA"),'MITRE ATT&amp;CK Mappings'!$F550))),ISNUMBER(SEARCH(IF(G$2&lt;&gt;"",G$2,"NA"),'MITRE ATT&amp;CK Mappings'!$G550))),ISNUMBER(SEARCH(IF(G$2&lt;&gt;"",G$2,"NA"),'MITRE ATT&amp;CK Mappings'!$H550))),ISNUMBER(SEARCH(IF(G$3&lt;&gt;"",G$3,"NA"),'MITRE ATT&amp;CK Mappings'!$I550))),ISNUMBER(SEARCH(IF(G$3&lt;&gt;"",G$3,"NA"),'MITRE ATT&amp;CK Mappings'!$J550))), 'MITRE ATT&amp;CK Mappings'!$B550,"")</f>
        <v/>
      </c>
      <c r="H554" s="26" t="str">
        <f>IF(OR(OR(OR(OR(OR(ISNUMBER(SEARCH(IF(H$1&lt;&gt;"",H$1,"NA"),'MITRE ATT&amp;CK Mappings'!$E550)),ISNUMBER(SEARCH(IF(H$1&lt;&gt;"",H$1,"NA"),'MITRE ATT&amp;CK Mappings'!$F550))),ISNUMBER(SEARCH(IF(H$2&lt;&gt;"",H$2,"NA"),'MITRE ATT&amp;CK Mappings'!$G550))),ISNUMBER(SEARCH(IF(H$2&lt;&gt;"",H$2,"NA"),'MITRE ATT&amp;CK Mappings'!$H550))),ISNUMBER(SEARCH(IF(H$3&lt;&gt;"",H$3,"NA"),'MITRE ATT&amp;CK Mappings'!$I550))),ISNUMBER(SEARCH(IF(H$3&lt;&gt;"",H$3,"NA"),'MITRE ATT&amp;CK Mappings'!$J550))), 'MITRE ATT&amp;CK Mappings'!$B550,"")</f>
        <v/>
      </c>
      <c r="I554" s="26" t="str">
        <f>IF(OR(OR(OR(OR(OR(ISNUMBER(SEARCH(IF(I$1&lt;&gt;"",I$1,"NA"),'MITRE ATT&amp;CK Mappings'!$E550)),ISNUMBER(SEARCH(IF(I$1&lt;&gt;"",I$1,"NA"),'MITRE ATT&amp;CK Mappings'!$F550))),ISNUMBER(SEARCH(IF(I$2&lt;&gt;"",I$2,"NA"),'MITRE ATT&amp;CK Mappings'!$G550))),ISNUMBER(SEARCH(IF(I$2&lt;&gt;"",I$2,"NA"),'MITRE ATT&amp;CK Mappings'!$H550))),ISNUMBER(SEARCH(IF(I$3&lt;&gt;"",I$3,"NA"),'MITRE ATT&amp;CK Mappings'!$I550))),ISNUMBER(SEARCH(IF(I$3&lt;&gt;"",I$3,"NA"),'MITRE ATT&amp;CK Mappings'!$J550))), 'MITRE ATT&amp;CK Mappings'!$B550,"")</f>
        <v/>
      </c>
      <c r="J554" s="26" t="str">
        <f>IF(OR(OR(OR(OR(OR(ISNUMBER(SEARCH(IF(J$1&lt;&gt;"",J$1,"NA"),'MITRE ATT&amp;CK Mappings'!$E550)),ISNUMBER(SEARCH(IF(J$1&lt;&gt;"",J$1,"NA"),'MITRE ATT&amp;CK Mappings'!$F550))),ISNUMBER(SEARCH(IF(J$2&lt;&gt;"",J$2,"NA"),'MITRE ATT&amp;CK Mappings'!$G550))),ISNUMBER(SEARCH(IF(J$2&lt;&gt;"",J$2,"NA"),'MITRE ATT&amp;CK Mappings'!$H550))),ISNUMBER(SEARCH(IF(J$3&lt;&gt;"",J$3,"NA"),'MITRE ATT&amp;CK Mappings'!$I550))),ISNUMBER(SEARCH(IF(J$3&lt;&gt;"",J$3,"NA"),'MITRE ATT&amp;CK Mappings'!$J550))), 'MITRE ATT&amp;CK Mappings'!$B550,"")</f>
        <v/>
      </c>
      <c r="K554" s="26" t="str">
        <f>IF(OR(OR(OR(OR(OR(ISNUMBER(SEARCH(IF(K$1&lt;&gt;"",K$1,"NA"),'MITRE ATT&amp;CK Mappings'!$E550)),ISNUMBER(SEARCH(IF(K$1&lt;&gt;"",K$1,"NA"),'MITRE ATT&amp;CK Mappings'!$F550))),ISNUMBER(SEARCH(IF(K$2&lt;&gt;"",K$2,"NA"),'MITRE ATT&amp;CK Mappings'!$G550))),ISNUMBER(SEARCH(IF(K$2&lt;&gt;"",K$2,"NA"),'MITRE ATT&amp;CK Mappings'!$H550))),ISNUMBER(SEARCH(IF(K$3&lt;&gt;"",K$3,"NA"),'MITRE ATT&amp;CK Mappings'!$I550))),ISNUMBER(SEARCH(IF(K$3&lt;&gt;"",K$3,"NA"),'MITRE ATT&amp;CK Mappings'!$J550))), 'MITRE ATT&amp;CK Mappings'!$B550,"")</f>
        <v/>
      </c>
      <c r="L554" s="26" t="str">
        <f>IF('MITRE ATT&amp;CK Mappings'!D550 &lt;&gt;"",'MITRE ATT&amp;CK Mappings'!D550,"" )</f>
        <v/>
      </c>
    </row>
    <row r="555" spans="1:12" x14ac:dyDescent="0.25">
      <c r="A555" s="27" t="str">
        <f>IF(COUNTIF(B555:K555,"="&amp;'MITRE ATT&amp;CK Mappings'!B551)&gt;0,'MITRE ATT&amp;CK Mappings'!B551,"")</f>
        <v/>
      </c>
      <c r="B555" s="27" t="str">
        <f>IF(OR(OR(OR(OR(OR(ISNUMBER(SEARCH(IF(B$1&lt;&gt;"",B$1,"NA"),'MITRE ATT&amp;CK Mappings'!$E551)),ISNUMBER(SEARCH(IF(B$1&lt;&gt;"",B$1,"NA"),'MITRE ATT&amp;CK Mappings'!$F551))),ISNUMBER(SEARCH(IF(B$2&lt;&gt;"",B$2,"NA"),'MITRE ATT&amp;CK Mappings'!$G551))),ISNUMBER(SEARCH(IF(B$2&lt;&gt;"",B$2,"NA"),'MITRE ATT&amp;CK Mappings'!$H551))),ISNUMBER(SEARCH(IF(B$3&lt;&gt;"",B$3,"NA"),'MITRE ATT&amp;CK Mappings'!$I551))),ISNUMBER(SEARCH(IF(B$3&lt;&gt;"",B$3,"NA"),'MITRE ATT&amp;CK Mappings'!$J551))), 'MITRE ATT&amp;CK Mappings'!$B551,"")</f>
        <v/>
      </c>
      <c r="C555" s="27" t="str">
        <f>IF(OR(OR(OR(OR(OR(ISNUMBER(SEARCH(IF(C$1&lt;&gt;"",C$1,"NA"),'MITRE ATT&amp;CK Mappings'!$E551)),ISNUMBER(SEARCH(IF(C$1&lt;&gt;"",C$1,"NA"),'MITRE ATT&amp;CK Mappings'!$F551))),ISNUMBER(SEARCH(IF(C$2&lt;&gt;"",C$2,"NA"),'MITRE ATT&amp;CK Mappings'!$G551))),ISNUMBER(SEARCH(IF(C$2&lt;&gt;"",C$2,"NA"),'MITRE ATT&amp;CK Mappings'!$H551))),ISNUMBER(SEARCH(IF(C$3&lt;&gt;"",C$3,"NA"),'MITRE ATT&amp;CK Mappings'!$I551))),ISNUMBER(SEARCH(IF(C$3&lt;&gt;"",C$3,"NA"),'MITRE ATT&amp;CK Mappings'!$J551))), 'MITRE ATT&amp;CK Mappings'!$B551,"")</f>
        <v/>
      </c>
      <c r="D555" s="27" t="str">
        <f>IF(OR(OR(OR(OR(OR(ISNUMBER(SEARCH(IF(D$1&lt;&gt;"",D$1,"NA"),'MITRE ATT&amp;CK Mappings'!$E551)),ISNUMBER(SEARCH(IF(D$1&lt;&gt;"",D$1,"NA"),'MITRE ATT&amp;CK Mappings'!$F551))),ISNUMBER(SEARCH(IF(D$2&lt;&gt;"",D$2,"NA"),'MITRE ATT&amp;CK Mappings'!$G551))),ISNUMBER(SEARCH(IF(D$2&lt;&gt;"",D$2,"NA"),'MITRE ATT&amp;CK Mappings'!$H551))),ISNUMBER(SEARCH(IF(D$3&lt;&gt;"",D$3,"NA"),'MITRE ATT&amp;CK Mappings'!$I551))),ISNUMBER(SEARCH(IF(D$3&lt;&gt;"",D$3,"NA"),'MITRE ATT&amp;CK Mappings'!$J551))), 'MITRE ATT&amp;CK Mappings'!$B551,"")</f>
        <v/>
      </c>
      <c r="E555" s="27" t="str">
        <f>IF(OR(OR(OR(OR(OR(ISNUMBER(SEARCH(IF(E$1&lt;&gt;"",E$1,"NA"),'MITRE ATT&amp;CK Mappings'!$E551)),ISNUMBER(SEARCH(IF(E$1&lt;&gt;"",E$1,"NA"),'MITRE ATT&amp;CK Mappings'!$F551))),ISNUMBER(SEARCH(IF(E$2&lt;&gt;"",E$2,"NA"),'MITRE ATT&amp;CK Mappings'!$G551))),ISNUMBER(SEARCH(IF(E$2&lt;&gt;"",E$2,"NA"),'MITRE ATT&amp;CK Mappings'!$H551))),ISNUMBER(SEARCH(IF(E$3&lt;&gt;"",E$3,"NA"),'MITRE ATT&amp;CK Mappings'!$I551))),ISNUMBER(SEARCH(IF(E$3&lt;&gt;"",E$3,"NA"),'MITRE ATT&amp;CK Mappings'!$J551))), 'MITRE ATT&amp;CK Mappings'!$B551,"")</f>
        <v/>
      </c>
      <c r="F555" s="27" t="str">
        <f>IF(OR(OR(OR(OR(OR(ISNUMBER(SEARCH(IF(F$1&lt;&gt;"",F$1,"NA"),'MITRE ATT&amp;CK Mappings'!$E551)),ISNUMBER(SEARCH(IF(F$1&lt;&gt;"",F$1,"NA"),'MITRE ATT&amp;CK Mappings'!$F551))),ISNUMBER(SEARCH(IF(F$2&lt;&gt;"",F$2,"NA"),'MITRE ATT&amp;CK Mappings'!$G551))),ISNUMBER(SEARCH(IF(F$2&lt;&gt;"",F$2,"NA"),'MITRE ATT&amp;CK Mappings'!$H551))),ISNUMBER(SEARCH(IF(F$3&lt;&gt;"",F$3,"NA"),'MITRE ATT&amp;CK Mappings'!$I551))),ISNUMBER(SEARCH(IF(F$3&lt;&gt;"",F$3,"NA"),'MITRE ATT&amp;CK Mappings'!$J551))), 'MITRE ATT&amp;CK Mappings'!$B551,"")</f>
        <v/>
      </c>
      <c r="G555" s="27" t="str">
        <f>IF(OR(OR(OR(OR(OR(ISNUMBER(SEARCH(IF(G$1&lt;&gt;"",G$1,"NA"),'MITRE ATT&amp;CK Mappings'!$E551)),ISNUMBER(SEARCH(IF(G$1&lt;&gt;"",G$1,"NA"),'MITRE ATT&amp;CK Mappings'!$F551))),ISNUMBER(SEARCH(IF(G$2&lt;&gt;"",G$2,"NA"),'MITRE ATT&amp;CK Mappings'!$G551))),ISNUMBER(SEARCH(IF(G$2&lt;&gt;"",G$2,"NA"),'MITRE ATT&amp;CK Mappings'!$H551))),ISNUMBER(SEARCH(IF(G$3&lt;&gt;"",G$3,"NA"),'MITRE ATT&amp;CK Mappings'!$I551))),ISNUMBER(SEARCH(IF(G$3&lt;&gt;"",G$3,"NA"),'MITRE ATT&amp;CK Mappings'!$J551))), 'MITRE ATT&amp;CK Mappings'!$B551,"")</f>
        <v/>
      </c>
      <c r="H555" s="27" t="str">
        <f>IF(OR(OR(OR(OR(OR(ISNUMBER(SEARCH(IF(H$1&lt;&gt;"",H$1,"NA"),'MITRE ATT&amp;CK Mappings'!$E551)),ISNUMBER(SEARCH(IF(H$1&lt;&gt;"",H$1,"NA"),'MITRE ATT&amp;CK Mappings'!$F551))),ISNUMBER(SEARCH(IF(H$2&lt;&gt;"",H$2,"NA"),'MITRE ATT&amp;CK Mappings'!$G551))),ISNUMBER(SEARCH(IF(H$2&lt;&gt;"",H$2,"NA"),'MITRE ATT&amp;CK Mappings'!$H551))),ISNUMBER(SEARCH(IF(H$3&lt;&gt;"",H$3,"NA"),'MITRE ATT&amp;CK Mappings'!$I551))),ISNUMBER(SEARCH(IF(H$3&lt;&gt;"",H$3,"NA"),'MITRE ATT&amp;CK Mappings'!$J551))), 'MITRE ATT&amp;CK Mappings'!$B551,"")</f>
        <v/>
      </c>
      <c r="I555" s="27" t="str">
        <f>IF(OR(OR(OR(OR(OR(ISNUMBER(SEARCH(IF(I$1&lt;&gt;"",I$1,"NA"),'MITRE ATT&amp;CK Mappings'!$E551)),ISNUMBER(SEARCH(IF(I$1&lt;&gt;"",I$1,"NA"),'MITRE ATT&amp;CK Mappings'!$F551))),ISNUMBER(SEARCH(IF(I$2&lt;&gt;"",I$2,"NA"),'MITRE ATT&amp;CK Mappings'!$G551))),ISNUMBER(SEARCH(IF(I$2&lt;&gt;"",I$2,"NA"),'MITRE ATT&amp;CK Mappings'!$H551))),ISNUMBER(SEARCH(IF(I$3&lt;&gt;"",I$3,"NA"),'MITRE ATT&amp;CK Mappings'!$I551))),ISNUMBER(SEARCH(IF(I$3&lt;&gt;"",I$3,"NA"),'MITRE ATT&amp;CK Mappings'!$J551))), 'MITRE ATT&amp;CK Mappings'!$B551,"")</f>
        <v/>
      </c>
      <c r="J555" s="27" t="str">
        <f>IF(OR(OR(OR(OR(OR(ISNUMBER(SEARCH(IF(J$1&lt;&gt;"",J$1,"NA"),'MITRE ATT&amp;CK Mappings'!$E551)),ISNUMBER(SEARCH(IF(J$1&lt;&gt;"",J$1,"NA"),'MITRE ATT&amp;CK Mappings'!$F551))),ISNUMBER(SEARCH(IF(J$2&lt;&gt;"",J$2,"NA"),'MITRE ATT&amp;CK Mappings'!$G551))),ISNUMBER(SEARCH(IF(J$2&lt;&gt;"",J$2,"NA"),'MITRE ATT&amp;CK Mappings'!$H551))),ISNUMBER(SEARCH(IF(J$3&lt;&gt;"",J$3,"NA"),'MITRE ATT&amp;CK Mappings'!$I551))),ISNUMBER(SEARCH(IF(J$3&lt;&gt;"",J$3,"NA"),'MITRE ATT&amp;CK Mappings'!$J551))), 'MITRE ATT&amp;CK Mappings'!$B551,"")</f>
        <v/>
      </c>
      <c r="K555" s="27" t="str">
        <f>IF(OR(OR(OR(OR(OR(ISNUMBER(SEARCH(IF(K$1&lt;&gt;"",K$1,"NA"),'MITRE ATT&amp;CK Mappings'!$E551)),ISNUMBER(SEARCH(IF(K$1&lt;&gt;"",K$1,"NA"),'MITRE ATT&amp;CK Mappings'!$F551))),ISNUMBER(SEARCH(IF(K$2&lt;&gt;"",K$2,"NA"),'MITRE ATT&amp;CK Mappings'!$G551))),ISNUMBER(SEARCH(IF(K$2&lt;&gt;"",K$2,"NA"),'MITRE ATT&amp;CK Mappings'!$H551))),ISNUMBER(SEARCH(IF(K$3&lt;&gt;"",K$3,"NA"),'MITRE ATT&amp;CK Mappings'!$I551))),ISNUMBER(SEARCH(IF(K$3&lt;&gt;"",K$3,"NA"),'MITRE ATT&amp;CK Mappings'!$J551))), 'MITRE ATT&amp;CK Mappings'!$B551,"")</f>
        <v/>
      </c>
      <c r="L555" s="27" t="str">
        <f>IF('MITRE ATT&amp;CK Mappings'!D551 &lt;&gt;"",'MITRE ATT&amp;CK Mappings'!D551,"" )</f>
        <v/>
      </c>
    </row>
    <row r="556" spans="1:12" x14ac:dyDescent="0.25">
      <c r="A556" s="26" t="str">
        <f>IF(COUNTIF(B556:K556,"="&amp;'MITRE ATT&amp;CK Mappings'!B552)&gt;0,'MITRE ATT&amp;CK Mappings'!B552,"")</f>
        <v/>
      </c>
      <c r="B556" s="26" t="str">
        <f>IF(OR(OR(OR(OR(OR(ISNUMBER(SEARCH(IF(B$1&lt;&gt;"",B$1,"NA"),'MITRE ATT&amp;CK Mappings'!$E552)),ISNUMBER(SEARCH(IF(B$1&lt;&gt;"",B$1,"NA"),'MITRE ATT&amp;CK Mappings'!$F552))),ISNUMBER(SEARCH(IF(B$2&lt;&gt;"",B$2,"NA"),'MITRE ATT&amp;CK Mappings'!$G552))),ISNUMBER(SEARCH(IF(B$2&lt;&gt;"",B$2,"NA"),'MITRE ATT&amp;CK Mappings'!$H552))),ISNUMBER(SEARCH(IF(B$3&lt;&gt;"",B$3,"NA"),'MITRE ATT&amp;CK Mappings'!$I552))),ISNUMBER(SEARCH(IF(B$3&lt;&gt;"",B$3,"NA"),'MITRE ATT&amp;CK Mappings'!$J552))), 'MITRE ATT&amp;CK Mappings'!$B552,"")</f>
        <v/>
      </c>
      <c r="C556" s="26" t="str">
        <f>IF(OR(OR(OR(OR(OR(ISNUMBER(SEARCH(IF(C$1&lt;&gt;"",C$1,"NA"),'MITRE ATT&amp;CK Mappings'!$E552)),ISNUMBER(SEARCH(IF(C$1&lt;&gt;"",C$1,"NA"),'MITRE ATT&amp;CK Mappings'!$F552))),ISNUMBER(SEARCH(IF(C$2&lt;&gt;"",C$2,"NA"),'MITRE ATT&amp;CK Mappings'!$G552))),ISNUMBER(SEARCH(IF(C$2&lt;&gt;"",C$2,"NA"),'MITRE ATT&amp;CK Mappings'!$H552))),ISNUMBER(SEARCH(IF(C$3&lt;&gt;"",C$3,"NA"),'MITRE ATT&amp;CK Mappings'!$I552))),ISNUMBER(SEARCH(IF(C$3&lt;&gt;"",C$3,"NA"),'MITRE ATT&amp;CK Mappings'!$J552))), 'MITRE ATT&amp;CK Mappings'!$B552,"")</f>
        <v/>
      </c>
      <c r="D556" s="26" t="str">
        <f>IF(OR(OR(OR(OR(OR(ISNUMBER(SEARCH(IF(D$1&lt;&gt;"",D$1,"NA"),'MITRE ATT&amp;CK Mappings'!$E552)),ISNUMBER(SEARCH(IF(D$1&lt;&gt;"",D$1,"NA"),'MITRE ATT&amp;CK Mappings'!$F552))),ISNUMBER(SEARCH(IF(D$2&lt;&gt;"",D$2,"NA"),'MITRE ATT&amp;CK Mappings'!$G552))),ISNUMBER(SEARCH(IF(D$2&lt;&gt;"",D$2,"NA"),'MITRE ATT&amp;CK Mappings'!$H552))),ISNUMBER(SEARCH(IF(D$3&lt;&gt;"",D$3,"NA"),'MITRE ATT&amp;CK Mappings'!$I552))),ISNUMBER(SEARCH(IF(D$3&lt;&gt;"",D$3,"NA"),'MITRE ATT&amp;CK Mappings'!$J552))), 'MITRE ATT&amp;CK Mappings'!$B552,"")</f>
        <v/>
      </c>
      <c r="E556" s="26" t="str">
        <f>IF(OR(OR(OR(OR(OR(ISNUMBER(SEARCH(IF(E$1&lt;&gt;"",E$1,"NA"),'MITRE ATT&amp;CK Mappings'!$E552)),ISNUMBER(SEARCH(IF(E$1&lt;&gt;"",E$1,"NA"),'MITRE ATT&amp;CK Mappings'!$F552))),ISNUMBER(SEARCH(IF(E$2&lt;&gt;"",E$2,"NA"),'MITRE ATT&amp;CK Mappings'!$G552))),ISNUMBER(SEARCH(IF(E$2&lt;&gt;"",E$2,"NA"),'MITRE ATT&amp;CK Mappings'!$H552))),ISNUMBER(SEARCH(IF(E$3&lt;&gt;"",E$3,"NA"),'MITRE ATT&amp;CK Mappings'!$I552))),ISNUMBER(SEARCH(IF(E$3&lt;&gt;"",E$3,"NA"),'MITRE ATT&amp;CK Mappings'!$J552))), 'MITRE ATT&amp;CK Mappings'!$B552,"")</f>
        <v/>
      </c>
      <c r="F556" s="26" t="str">
        <f>IF(OR(OR(OR(OR(OR(ISNUMBER(SEARCH(IF(F$1&lt;&gt;"",F$1,"NA"),'MITRE ATT&amp;CK Mappings'!$E552)),ISNUMBER(SEARCH(IF(F$1&lt;&gt;"",F$1,"NA"),'MITRE ATT&amp;CK Mappings'!$F552))),ISNUMBER(SEARCH(IF(F$2&lt;&gt;"",F$2,"NA"),'MITRE ATT&amp;CK Mappings'!$G552))),ISNUMBER(SEARCH(IF(F$2&lt;&gt;"",F$2,"NA"),'MITRE ATT&amp;CK Mappings'!$H552))),ISNUMBER(SEARCH(IF(F$3&lt;&gt;"",F$3,"NA"),'MITRE ATT&amp;CK Mappings'!$I552))),ISNUMBER(SEARCH(IF(F$3&lt;&gt;"",F$3,"NA"),'MITRE ATT&amp;CK Mappings'!$J552))), 'MITRE ATT&amp;CK Mappings'!$B552,"")</f>
        <v/>
      </c>
      <c r="G556" s="26" t="str">
        <f>IF(OR(OR(OR(OR(OR(ISNUMBER(SEARCH(IF(G$1&lt;&gt;"",G$1,"NA"),'MITRE ATT&amp;CK Mappings'!$E552)),ISNUMBER(SEARCH(IF(G$1&lt;&gt;"",G$1,"NA"),'MITRE ATT&amp;CK Mappings'!$F552))),ISNUMBER(SEARCH(IF(G$2&lt;&gt;"",G$2,"NA"),'MITRE ATT&amp;CK Mappings'!$G552))),ISNUMBER(SEARCH(IF(G$2&lt;&gt;"",G$2,"NA"),'MITRE ATT&amp;CK Mappings'!$H552))),ISNUMBER(SEARCH(IF(G$3&lt;&gt;"",G$3,"NA"),'MITRE ATT&amp;CK Mappings'!$I552))),ISNUMBER(SEARCH(IF(G$3&lt;&gt;"",G$3,"NA"),'MITRE ATT&amp;CK Mappings'!$J552))), 'MITRE ATT&amp;CK Mappings'!$B552,"")</f>
        <v/>
      </c>
      <c r="H556" s="26" t="str">
        <f>IF(OR(OR(OR(OR(OR(ISNUMBER(SEARCH(IF(H$1&lt;&gt;"",H$1,"NA"),'MITRE ATT&amp;CK Mappings'!$E552)),ISNUMBER(SEARCH(IF(H$1&lt;&gt;"",H$1,"NA"),'MITRE ATT&amp;CK Mappings'!$F552))),ISNUMBER(SEARCH(IF(H$2&lt;&gt;"",H$2,"NA"),'MITRE ATT&amp;CK Mappings'!$G552))),ISNUMBER(SEARCH(IF(H$2&lt;&gt;"",H$2,"NA"),'MITRE ATT&amp;CK Mappings'!$H552))),ISNUMBER(SEARCH(IF(H$3&lt;&gt;"",H$3,"NA"),'MITRE ATT&amp;CK Mappings'!$I552))),ISNUMBER(SEARCH(IF(H$3&lt;&gt;"",H$3,"NA"),'MITRE ATT&amp;CK Mappings'!$J552))), 'MITRE ATT&amp;CK Mappings'!$B552,"")</f>
        <v/>
      </c>
      <c r="I556" s="26" t="str">
        <f>IF(OR(OR(OR(OR(OR(ISNUMBER(SEARCH(IF(I$1&lt;&gt;"",I$1,"NA"),'MITRE ATT&amp;CK Mappings'!$E552)),ISNUMBER(SEARCH(IF(I$1&lt;&gt;"",I$1,"NA"),'MITRE ATT&amp;CK Mappings'!$F552))),ISNUMBER(SEARCH(IF(I$2&lt;&gt;"",I$2,"NA"),'MITRE ATT&amp;CK Mappings'!$G552))),ISNUMBER(SEARCH(IF(I$2&lt;&gt;"",I$2,"NA"),'MITRE ATT&amp;CK Mappings'!$H552))),ISNUMBER(SEARCH(IF(I$3&lt;&gt;"",I$3,"NA"),'MITRE ATT&amp;CK Mappings'!$I552))),ISNUMBER(SEARCH(IF(I$3&lt;&gt;"",I$3,"NA"),'MITRE ATT&amp;CK Mappings'!$J552))), 'MITRE ATT&amp;CK Mappings'!$B552,"")</f>
        <v/>
      </c>
      <c r="J556" s="26" t="str">
        <f>IF(OR(OR(OR(OR(OR(ISNUMBER(SEARCH(IF(J$1&lt;&gt;"",J$1,"NA"),'MITRE ATT&amp;CK Mappings'!$E552)),ISNUMBER(SEARCH(IF(J$1&lt;&gt;"",J$1,"NA"),'MITRE ATT&amp;CK Mappings'!$F552))),ISNUMBER(SEARCH(IF(J$2&lt;&gt;"",J$2,"NA"),'MITRE ATT&amp;CK Mappings'!$G552))),ISNUMBER(SEARCH(IF(J$2&lt;&gt;"",J$2,"NA"),'MITRE ATT&amp;CK Mappings'!$H552))),ISNUMBER(SEARCH(IF(J$3&lt;&gt;"",J$3,"NA"),'MITRE ATT&amp;CK Mappings'!$I552))),ISNUMBER(SEARCH(IF(J$3&lt;&gt;"",J$3,"NA"),'MITRE ATT&amp;CK Mappings'!$J552))), 'MITRE ATT&amp;CK Mappings'!$B552,"")</f>
        <v/>
      </c>
      <c r="K556" s="26" t="str">
        <f>IF(OR(OR(OR(OR(OR(ISNUMBER(SEARCH(IF(K$1&lt;&gt;"",K$1,"NA"),'MITRE ATT&amp;CK Mappings'!$E552)),ISNUMBER(SEARCH(IF(K$1&lt;&gt;"",K$1,"NA"),'MITRE ATT&amp;CK Mappings'!$F552))),ISNUMBER(SEARCH(IF(K$2&lt;&gt;"",K$2,"NA"),'MITRE ATT&amp;CK Mappings'!$G552))),ISNUMBER(SEARCH(IF(K$2&lt;&gt;"",K$2,"NA"),'MITRE ATT&amp;CK Mappings'!$H552))),ISNUMBER(SEARCH(IF(K$3&lt;&gt;"",K$3,"NA"),'MITRE ATT&amp;CK Mappings'!$I552))),ISNUMBER(SEARCH(IF(K$3&lt;&gt;"",K$3,"NA"),'MITRE ATT&amp;CK Mappings'!$J552))), 'MITRE ATT&amp;CK Mappings'!$B552,"")</f>
        <v/>
      </c>
      <c r="L556" s="26" t="str">
        <f>IF('MITRE ATT&amp;CK Mappings'!D552 &lt;&gt;"",'MITRE ATT&amp;CK Mappings'!D552,"" )</f>
        <v/>
      </c>
    </row>
    <row r="557" spans="1:12" x14ac:dyDescent="0.25">
      <c r="A557" s="27" t="str">
        <f>IF(COUNTIF(B557:K557,"="&amp;'MITRE ATT&amp;CK Mappings'!B553)&gt;0,'MITRE ATT&amp;CK Mappings'!B553,"")</f>
        <v/>
      </c>
      <c r="B557" s="27" t="str">
        <f>IF(OR(OR(OR(OR(OR(ISNUMBER(SEARCH(IF(B$1&lt;&gt;"",B$1,"NA"),'MITRE ATT&amp;CK Mappings'!$E553)),ISNUMBER(SEARCH(IF(B$1&lt;&gt;"",B$1,"NA"),'MITRE ATT&amp;CK Mappings'!$F553))),ISNUMBER(SEARCH(IF(B$2&lt;&gt;"",B$2,"NA"),'MITRE ATT&amp;CK Mappings'!$G553))),ISNUMBER(SEARCH(IF(B$2&lt;&gt;"",B$2,"NA"),'MITRE ATT&amp;CK Mappings'!$H553))),ISNUMBER(SEARCH(IF(B$3&lt;&gt;"",B$3,"NA"),'MITRE ATT&amp;CK Mappings'!$I553))),ISNUMBER(SEARCH(IF(B$3&lt;&gt;"",B$3,"NA"),'MITRE ATT&amp;CK Mappings'!$J553))), 'MITRE ATT&amp;CK Mappings'!$B553,"")</f>
        <v/>
      </c>
      <c r="C557" s="27" t="str">
        <f>IF(OR(OR(OR(OR(OR(ISNUMBER(SEARCH(IF(C$1&lt;&gt;"",C$1,"NA"),'MITRE ATT&amp;CK Mappings'!$E553)),ISNUMBER(SEARCH(IF(C$1&lt;&gt;"",C$1,"NA"),'MITRE ATT&amp;CK Mappings'!$F553))),ISNUMBER(SEARCH(IF(C$2&lt;&gt;"",C$2,"NA"),'MITRE ATT&amp;CK Mappings'!$G553))),ISNUMBER(SEARCH(IF(C$2&lt;&gt;"",C$2,"NA"),'MITRE ATT&amp;CK Mappings'!$H553))),ISNUMBER(SEARCH(IF(C$3&lt;&gt;"",C$3,"NA"),'MITRE ATT&amp;CK Mappings'!$I553))),ISNUMBER(SEARCH(IF(C$3&lt;&gt;"",C$3,"NA"),'MITRE ATT&amp;CK Mappings'!$J553))), 'MITRE ATT&amp;CK Mappings'!$B553,"")</f>
        <v/>
      </c>
      <c r="D557" s="27" t="str">
        <f>IF(OR(OR(OR(OR(OR(ISNUMBER(SEARCH(IF(D$1&lt;&gt;"",D$1,"NA"),'MITRE ATT&amp;CK Mappings'!$E553)),ISNUMBER(SEARCH(IF(D$1&lt;&gt;"",D$1,"NA"),'MITRE ATT&amp;CK Mappings'!$F553))),ISNUMBER(SEARCH(IF(D$2&lt;&gt;"",D$2,"NA"),'MITRE ATT&amp;CK Mappings'!$G553))),ISNUMBER(SEARCH(IF(D$2&lt;&gt;"",D$2,"NA"),'MITRE ATT&amp;CK Mappings'!$H553))),ISNUMBER(SEARCH(IF(D$3&lt;&gt;"",D$3,"NA"),'MITRE ATT&amp;CK Mappings'!$I553))),ISNUMBER(SEARCH(IF(D$3&lt;&gt;"",D$3,"NA"),'MITRE ATT&amp;CK Mappings'!$J553))), 'MITRE ATT&amp;CK Mappings'!$B553,"")</f>
        <v/>
      </c>
      <c r="E557" s="27" t="str">
        <f>IF(OR(OR(OR(OR(OR(ISNUMBER(SEARCH(IF(E$1&lt;&gt;"",E$1,"NA"),'MITRE ATT&amp;CK Mappings'!$E553)),ISNUMBER(SEARCH(IF(E$1&lt;&gt;"",E$1,"NA"),'MITRE ATT&amp;CK Mappings'!$F553))),ISNUMBER(SEARCH(IF(E$2&lt;&gt;"",E$2,"NA"),'MITRE ATT&amp;CK Mappings'!$G553))),ISNUMBER(SEARCH(IF(E$2&lt;&gt;"",E$2,"NA"),'MITRE ATT&amp;CK Mappings'!$H553))),ISNUMBER(SEARCH(IF(E$3&lt;&gt;"",E$3,"NA"),'MITRE ATT&amp;CK Mappings'!$I553))),ISNUMBER(SEARCH(IF(E$3&lt;&gt;"",E$3,"NA"),'MITRE ATT&amp;CK Mappings'!$J553))), 'MITRE ATT&amp;CK Mappings'!$B553,"")</f>
        <v/>
      </c>
      <c r="F557" s="27" t="str">
        <f>IF(OR(OR(OR(OR(OR(ISNUMBER(SEARCH(IF(F$1&lt;&gt;"",F$1,"NA"),'MITRE ATT&amp;CK Mappings'!$E553)),ISNUMBER(SEARCH(IF(F$1&lt;&gt;"",F$1,"NA"),'MITRE ATT&amp;CK Mappings'!$F553))),ISNUMBER(SEARCH(IF(F$2&lt;&gt;"",F$2,"NA"),'MITRE ATT&amp;CK Mappings'!$G553))),ISNUMBER(SEARCH(IF(F$2&lt;&gt;"",F$2,"NA"),'MITRE ATT&amp;CK Mappings'!$H553))),ISNUMBER(SEARCH(IF(F$3&lt;&gt;"",F$3,"NA"),'MITRE ATT&amp;CK Mappings'!$I553))),ISNUMBER(SEARCH(IF(F$3&lt;&gt;"",F$3,"NA"),'MITRE ATT&amp;CK Mappings'!$J553))), 'MITRE ATT&amp;CK Mappings'!$B553,"")</f>
        <v/>
      </c>
      <c r="G557" s="27" t="str">
        <f>IF(OR(OR(OR(OR(OR(ISNUMBER(SEARCH(IF(G$1&lt;&gt;"",G$1,"NA"),'MITRE ATT&amp;CK Mappings'!$E553)),ISNUMBER(SEARCH(IF(G$1&lt;&gt;"",G$1,"NA"),'MITRE ATT&amp;CK Mappings'!$F553))),ISNUMBER(SEARCH(IF(G$2&lt;&gt;"",G$2,"NA"),'MITRE ATT&amp;CK Mappings'!$G553))),ISNUMBER(SEARCH(IF(G$2&lt;&gt;"",G$2,"NA"),'MITRE ATT&amp;CK Mappings'!$H553))),ISNUMBER(SEARCH(IF(G$3&lt;&gt;"",G$3,"NA"),'MITRE ATT&amp;CK Mappings'!$I553))),ISNUMBER(SEARCH(IF(G$3&lt;&gt;"",G$3,"NA"),'MITRE ATT&amp;CK Mappings'!$J553))), 'MITRE ATT&amp;CK Mappings'!$B553,"")</f>
        <v/>
      </c>
      <c r="H557" s="27" t="str">
        <f>IF(OR(OR(OR(OR(OR(ISNUMBER(SEARCH(IF(H$1&lt;&gt;"",H$1,"NA"),'MITRE ATT&amp;CK Mappings'!$E553)),ISNUMBER(SEARCH(IF(H$1&lt;&gt;"",H$1,"NA"),'MITRE ATT&amp;CK Mappings'!$F553))),ISNUMBER(SEARCH(IF(H$2&lt;&gt;"",H$2,"NA"),'MITRE ATT&amp;CK Mappings'!$G553))),ISNUMBER(SEARCH(IF(H$2&lt;&gt;"",H$2,"NA"),'MITRE ATT&amp;CK Mappings'!$H553))),ISNUMBER(SEARCH(IF(H$3&lt;&gt;"",H$3,"NA"),'MITRE ATT&amp;CK Mappings'!$I553))),ISNUMBER(SEARCH(IF(H$3&lt;&gt;"",H$3,"NA"),'MITRE ATT&amp;CK Mappings'!$J553))), 'MITRE ATT&amp;CK Mappings'!$B553,"")</f>
        <v/>
      </c>
      <c r="I557" s="27" t="str">
        <f>IF(OR(OR(OR(OR(OR(ISNUMBER(SEARCH(IF(I$1&lt;&gt;"",I$1,"NA"),'MITRE ATT&amp;CK Mappings'!$E553)),ISNUMBER(SEARCH(IF(I$1&lt;&gt;"",I$1,"NA"),'MITRE ATT&amp;CK Mappings'!$F553))),ISNUMBER(SEARCH(IF(I$2&lt;&gt;"",I$2,"NA"),'MITRE ATT&amp;CK Mappings'!$G553))),ISNUMBER(SEARCH(IF(I$2&lt;&gt;"",I$2,"NA"),'MITRE ATT&amp;CK Mappings'!$H553))),ISNUMBER(SEARCH(IF(I$3&lt;&gt;"",I$3,"NA"),'MITRE ATT&amp;CK Mappings'!$I553))),ISNUMBER(SEARCH(IF(I$3&lt;&gt;"",I$3,"NA"),'MITRE ATT&amp;CK Mappings'!$J553))), 'MITRE ATT&amp;CK Mappings'!$B553,"")</f>
        <v/>
      </c>
      <c r="J557" s="27" t="str">
        <f>IF(OR(OR(OR(OR(OR(ISNUMBER(SEARCH(IF(J$1&lt;&gt;"",J$1,"NA"),'MITRE ATT&amp;CK Mappings'!$E553)),ISNUMBER(SEARCH(IF(J$1&lt;&gt;"",J$1,"NA"),'MITRE ATT&amp;CK Mappings'!$F553))),ISNUMBER(SEARCH(IF(J$2&lt;&gt;"",J$2,"NA"),'MITRE ATT&amp;CK Mappings'!$G553))),ISNUMBER(SEARCH(IF(J$2&lt;&gt;"",J$2,"NA"),'MITRE ATT&amp;CK Mappings'!$H553))),ISNUMBER(SEARCH(IF(J$3&lt;&gt;"",J$3,"NA"),'MITRE ATT&amp;CK Mappings'!$I553))),ISNUMBER(SEARCH(IF(J$3&lt;&gt;"",J$3,"NA"),'MITRE ATT&amp;CK Mappings'!$J553))), 'MITRE ATT&amp;CK Mappings'!$B553,"")</f>
        <v/>
      </c>
      <c r="K557" s="27" t="str">
        <f>IF(OR(OR(OR(OR(OR(ISNUMBER(SEARCH(IF(K$1&lt;&gt;"",K$1,"NA"),'MITRE ATT&amp;CK Mappings'!$E553)),ISNUMBER(SEARCH(IF(K$1&lt;&gt;"",K$1,"NA"),'MITRE ATT&amp;CK Mappings'!$F553))),ISNUMBER(SEARCH(IF(K$2&lt;&gt;"",K$2,"NA"),'MITRE ATT&amp;CK Mappings'!$G553))),ISNUMBER(SEARCH(IF(K$2&lt;&gt;"",K$2,"NA"),'MITRE ATT&amp;CK Mappings'!$H553))),ISNUMBER(SEARCH(IF(K$3&lt;&gt;"",K$3,"NA"),'MITRE ATT&amp;CK Mappings'!$I553))),ISNUMBER(SEARCH(IF(K$3&lt;&gt;"",K$3,"NA"),'MITRE ATT&amp;CK Mappings'!$J553))), 'MITRE ATT&amp;CK Mappings'!$B553,"")</f>
        <v/>
      </c>
      <c r="L557" s="27" t="str">
        <f>IF('MITRE ATT&amp;CK Mappings'!D553 &lt;&gt;"",'MITRE ATT&amp;CK Mappings'!D553,"" )</f>
        <v/>
      </c>
    </row>
    <row r="558" spans="1:12" x14ac:dyDescent="0.25">
      <c r="A558" s="26" t="str">
        <f>IF(COUNTIF(B558:K558,"="&amp;'MITRE ATT&amp;CK Mappings'!B554)&gt;0,'MITRE ATT&amp;CK Mappings'!B554,"")</f>
        <v/>
      </c>
      <c r="B558" s="26" t="str">
        <f>IF(OR(OR(OR(OR(OR(ISNUMBER(SEARCH(IF(B$1&lt;&gt;"",B$1,"NA"),'MITRE ATT&amp;CK Mappings'!$E554)),ISNUMBER(SEARCH(IF(B$1&lt;&gt;"",B$1,"NA"),'MITRE ATT&amp;CK Mappings'!$F554))),ISNUMBER(SEARCH(IF(B$2&lt;&gt;"",B$2,"NA"),'MITRE ATT&amp;CK Mappings'!$G554))),ISNUMBER(SEARCH(IF(B$2&lt;&gt;"",B$2,"NA"),'MITRE ATT&amp;CK Mappings'!$H554))),ISNUMBER(SEARCH(IF(B$3&lt;&gt;"",B$3,"NA"),'MITRE ATT&amp;CK Mappings'!$I554))),ISNUMBER(SEARCH(IF(B$3&lt;&gt;"",B$3,"NA"),'MITRE ATT&amp;CK Mappings'!$J554))), 'MITRE ATT&amp;CK Mappings'!$B554,"")</f>
        <v/>
      </c>
      <c r="C558" s="26" t="str">
        <f>IF(OR(OR(OR(OR(OR(ISNUMBER(SEARCH(IF(C$1&lt;&gt;"",C$1,"NA"),'MITRE ATT&amp;CK Mappings'!$E554)),ISNUMBER(SEARCH(IF(C$1&lt;&gt;"",C$1,"NA"),'MITRE ATT&amp;CK Mappings'!$F554))),ISNUMBER(SEARCH(IF(C$2&lt;&gt;"",C$2,"NA"),'MITRE ATT&amp;CK Mappings'!$G554))),ISNUMBER(SEARCH(IF(C$2&lt;&gt;"",C$2,"NA"),'MITRE ATT&amp;CK Mappings'!$H554))),ISNUMBER(SEARCH(IF(C$3&lt;&gt;"",C$3,"NA"),'MITRE ATT&amp;CK Mappings'!$I554))),ISNUMBER(SEARCH(IF(C$3&lt;&gt;"",C$3,"NA"),'MITRE ATT&amp;CK Mappings'!$J554))), 'MITRE ATT&amp;CK Mappings'!$B554,"")</f>
        <v/>
      </c>
      <c r="D558" s="26" t="str">
        <f>IF(OR(OR(OR(OR(OR(ISNUMBER(SEARCH(IF(D$1&lt;&gt;"",D$1,"NA"),'MITRE ATT&amp;CK Mappings'!$E554)),ISNUMBER(SEARCH(IF(D$1&lt;&gt;"",D$1,"NA"),'MITRE ATT&amp;CK Mappings'!$F554))),ISNUMBER(SEARCH(IF(D$2&lt;&gt;"",D$2,"NA"),'MITRE ATT&amp;CK Mappings'!$G554))),ISNUMBER(SEARCH(IF(D$2&lt;&gt;"",D$2,"NA"),'MITRE ATT&amp;CK Mappings'!$H554))),ISNUMBER(SEARCH(IF(D$3&lt;&gt;"",D$3,"NA"),'MITRE ATT&amp;CK Mappings'!$I554))),ISNUMBER(SEARCH(IF(D$3&lt;&gt;"",D$3,"NA"),'MITRE ATT&amp;CK Mappings'!$J554))), 'MITRE ATT&amp;CK Mappings'!$B554,"")</f>
        <v/>
      </c>
      <c r="E558" s="26" t="str">
        <f>IF(OR(OR(OR(OR(OR(ISNUMBER(SEARCH(IF(E$1&lt;&gt;"",E$1,"NA"),'MITRE ATT&amp;CK Mappings'!$E554)),ISNUMBER(SEARCH(IF(E$1&lt;&gt;"",E$1,"NA"),'MITRE ATT&amp;CK Mappings'!$F554))),ISNUMBER(SEARCH(IF(E$2&lt;&gt;"",E$2,"NA"),'MITRE ATT&amp;CK Mappings'!$G554))),ISNUMBER(SEARCH(IF(E$2&lt;&gt;"",E$2,"NA"),'MITRE ATT&amp;CK Mappings'!$H554))),ISNUMBER(SEARCH(IF(E$3&lt;&gt;"",E$3,"NA"),'MITRE ATT&amp;CK Mappings'!$I554))),ISNUMBER(SEARCH(IF(E$3&lt;&gt;"",E$3,"NA"),'MITRE ATT&amp;CK Mappings'!$J554))), 'MITRE ATT&amp;CK Mappings'!$B554,"")</f>
        <v/>
      </c>
      <c r="F558" s="26" t="str">
        <f>IF(OR(OR(OR(OR(OR(ISNUMBER(SEARCH(IF(F$1&lt;&gt;"",F$1,"NA"),'MITRE ATT&amp;CK Mappings'!$E554)),ISNUMBER(SEARCH(IF(F$1&lt;&gt;"",F$1,"NA"),'MITRE ATT&amp;CK Mappings'!$F554))),ISNUMBER(SEARCH(IF(F$2&lt;&gt;"",F$2,"NA"),'MITRE ATT&amp;CK Mappings'!$G554))),ISNUMBER(SEARCH(IF(F$2&lt;&gt;"",F$2,"NA"),'MITRE ATT&amp;CK Mappings'!$H554))),ISNUMBER(SEARCH(IF(F$3&lt;&gt;"",F$3,"NA"),'MITRE ATT&amp;CK Mappings'!$I554))),ISNUMBER(SEARCH(IF(F$3&lt;&gt;"",F$3,"NA"),'MITRE ATT&amp;CK Mappings'!$J554))), 'MITRE ATT&amp;CK Mappings'!$B554,"")</f>
        <v/>
      </c>
      <c r="G558" s="26" t="str">
        <f>IF(OR(OR(OR(OR(OR(ISNUMBER(SEARCH(IF(G$1&lt;&gt;"",G$1,"NA"),'MITRE ATT&amp;CK Mappings'!$E554)),ISNUMBER(SEARCH(IF(G$1&lt;&gt;"",G$1,"NA"),'MITRE ATT&amp;CK Mappings'!$F554))),ISNUMBER(SEARCH(IF(G$2&lt;&gt;"",G$2,"NA"),'MITRE ATT&amp;CK Mappings'!$G554))),ISNUMBER(SEARCH(IF(G$2&lt;&gt;"",G$2,"NA"),'MITRE ATT&amp;CK Mappings'!$H554))),ISNUMBER(SEARCH(IF(G$3&lt;&gt;"",G$3,"NA"),'MITRE ATT&amp;CK Mappings'!$I554))),ISNUMBER(SEARCH(IF(G$3&lt;&gt;"",G$3,"NA"),'MITRE ATT&amp;CK Mappings'!$J554))), 'MITRE ATT&amp;CK Mappings'!$B554,"")</f>
        <v/>
      </c>
      <c r="H558" s="26" t="str">
        <f>IF(OR(OR(OR(OR(OR(ISNUMBER(SEARCH(IF(H$1&lt;&gt;"",H$1,"NA"),'MITRE ATT&amp;CK Mappings'!$E554)),ISNUMBER(SEARCH(IF(H$1&lt;&gt;"",H$1,"NA"),'MITRE ATT&amp;CK Mappings'!$F554))),ISNUMBER(SEARCH(IF(H$2&lt;&gt;"",H$2,"NA"),'MITRE ATT&amp;CK Mappings'!$G554))),ISNUMBER(SEARCH(IF(H$2&lt;&gt;"",H$2,"NA"),'MITRE ATT&amp;CK Mappings'!$H554))),ISNUMBER(SEARCH(IF(H$3&lt;&gt;"",H$3,"NA"),'MITRE ATT&amp;CK Mappings'!$I554))),ISNUMBER(SEARCH(IF(H$3&lt;&gt;"",H$3,"NA"),'MITRE ATT&amp;CK Mappings'!$J554))), 'MITRE ATT&amp;CK Mappings'!$B554,"")</f>
        <v/>
      </c>
      <c r="I558" s="26" t="str">
        <f>IF(OR(OR(OR(OR(OR(ISNUMBER(SEARCH(IF(I$1&lt;&gt;"",I$1,"NA"),'MITRE ATT&amp;CK Mappings'!$E554)),ISNUMBER(SEARCH(IF(I$1&lt;&gt;"",I$1,"NA"),'MITRE ATT&amp;CK Mappings'!$F554))),ISNUMBER(SEARCH(IF(I$2&lt;&gt;"",I$2,"NA"),'MITRE ATT&amp;CK Mappings'!$G554))),ISNUMBER(SEARCH(IF(I$2&lt;&gt;"",I$2,"NA"),'MITRE ATT&amp;CK Mappings'!$H554))),ISNUMBER(SEARCH(IF(I$3&lt;&gt;"",I$3,"NA"),'MITRE ATT&amp;CK Mappings'!$I554))),ISNUMBER(SEARCH(IF(I$3&lt;&gt;"",I$3,"NA"),'MITRE ATT&amp;CK Mappings'!$J554))), 'MITRE ATT&amp;CK Mappings'!$B554,"")</f>
        <v/>
      </c>
      <c r="J558" s="26" t="str">
        <f>IF(OR(OR(OR(OR(OR(ISNUMBER(SEARCH(IF(J$1&lt;&gt;"",J$1,"NA"),'MITRE ATT&amp;CK Mappings'!$E554)),ISNUMBER(SEARCH(IF(J$1&lt;&gt;"",J$1,"NA"),'MITRE ATT&amp;CK Mappings'!$F554))),ISNUMBER(SEARCH(IF(J$2&lt;&gt;"",J$2,"NA"),'MITRE ATT&amp;CK Mappings'!$G554))),ISNUMBER(SEARCH(IF(J$2&lt;&gt;"",J$2,"NA"),'MITRE ATT&amp;CK Mappings'!$H554))),ISNUMBER(SEARCH(IF(J$3&lt;&gt;"",J$3,"NA"),'MITRE ATT&amp;CK Mappings'!$I554))),ISNUMBER(SEARCH(IF(J$3&lt;&gt;"",J$3,"NA"),'MITRE ATT&amp;CK Mappings'!$J554))), 'MITRE ATT&amp;CK Mappings'!$B554,"")</f>
        <v/>
      </c>
      <c r="K558" s="26" t="str">
        <f>IF(OR(OR(OR(OR(OR(ISNUMBER(SEARCH(IF(K$1&lt;&gt;"",K$1,"NA"),'MITRE ATT&amp;CK Mappings'!$E554)),ISNUMBER(SEARCH(IF(K$1&lt;&gt;"",K$1,"NA"),'MITRE ATT&amp;CK Mappings'!$F554))),ISNUMBER(SEARCH(IF(K$2&lt;&gt;"",K$2,"NA"),'MITRE ATT&amp;CK Mappings'!$G554))),ISNUMBER(SEARCH(IF(K$2&lt;&gt;"",K$2,"NA"),'MITRE ATT&amp;CK Mappings'!$H554))),ISNUMBER(SEARCH(IF(K$3&lt;&gt;"",K$3,"NA"),'MITRE ATT&amp;CK Mappings'!$I554))),ISNUMBER(SEARCH(IF(K$3&lt;&gt;"",K$3,"NA"),'MITRE ATT&amp;CK Mappings'!$J554))), 'MITRE ATT&amp;CK Mappings'!$B554,"")</f>
        <v/>
      </c>
      <c r="L558" s="26" t="str">
        <f>IF('MITRE ATT&amp;CK Mappings'!D554 &lt;&gt;"",'MITRE ATT&amp;CK Mappings'!D554,"" )</f>
        <v/>
      </c>
    </row>
    <row r="559" spans="1:12" x14ac:dyDescent="0.25">
      <c r="A559" s="27" t="str">
        <f>IF(COUNTIF(B559:K559,"="&amp;'MITRE ATT&amp;CK Mappings'!B555)&gt;0,'MITRE ATT&amp;CK Mappings'!B555,"")</f>
        <v/>
      </c>
      <c r="B559" s="27" t="str">
        <f>IF(OR(OR(OR(OR(OR(ISNUMBER(SEARCH(IF(B$1&lt;&gt;"",B$1,"NA"),'MITRE ATT&amp;CK Mappings'!$E555)),ISNUMBER(SEARCH(IF(B$1&lt;&gt;"",B$1,"NA"),'MITRE ATT&amp;CK Mappings'!$F555))),ISNUMBER(SEARCH(IF(B$2&lt;&gt;"",B$2,"NA"),'MITRE ATT&amp;CK Mappings'!$G555))),ISNUMBER(SEARCH(IF(B$2&lt;&gt;"",B$2,"NA"),'MITRE ATT&amp;CK Mappings'!$H555))),ISNUMBER(SEARCH(IF(B$3&lt;&gt;"",B$3,"NA"),'MITRE ATT&amp;CK Mappings'!$I555))),ISNUMBER(SEARCH(IF(B$3&lt;&gt;"",B$3,"NA"),'MITRE ATT&amp;CK Mappings'!$J555))), 'MITRE ATT&amp;CK Mappings'!$B555,"")</f>
        <v/>
      </c>
      <c r="C559" s="27" t="str">
        <f>IF(OR(OR(OR(OR(OR(ISNUMBER(SEARCH(IF(C$1&lt;&gt;"",C$1,"NA"),'MITRE ATT&amp;CK Mappings'!$E555)),ISNUMBER(SEARCH(IF(C$1&lt;&gt;"",C$1,"NA"),'MITRE ATT&amp;CK Mappings'!$F555))),ISNUMBER(SEARCH(IF(C$2&lt;&gt;"",C$2,"NA"),'MITRE ATT&amp;CK Mappings'!$G555))),ISNUMBER(SEARCH(IF(C$2&lt;&gt;"",C$2,"NA"),'MITRE ATT&amp;CK Mappings'!$H555))),ISNUMBER(SEARCH(IF(C$3&lt;&gt;"",C$3,"NA"),'MITRE ATT&amp;CK Mappings'!$I555))),ISNUMBER(SEARCH(IF(C$3&lt;&gt;"",C$3,"NA"),'MITRE ATT&amp;CK Mappings'!$J555))), 'MITRE ATT&amp;CK Mappings'!$B555,"")</f>
        <v/>
      </c>
      <c r="D559" s="27" t="str">
        <f>IF(OR(OR(OR(OR(OR(ISNUMBER(SEARCH(IF(D$1&lt;&gt;"",D$1,"NA"),'MITRE ATT&amp;CK Mappings'!$E555)),ISNUMBER(SEARCH(IF(D$1&lt;&gt;"",D$1,"NA"),'MITRE ATT&amp;CK Mappings'!$F555))),ISNUMBER(SEARCH(IF(D$2&lt;&gt;"",D$2,"NA"),'MITRE ATT&amp;CK Mappings'!$G555))),ISNUMBER(SEARCH(IF(D$2&lt;&gt;"",D$2,"NA"),'MITRE ATT&amp;CK Mappings'!$H555))),ISNUMBER(SEARCH(IF(D$3&lt;&gt;"",D$3,"NA"),'MITRE ATT&amp;CK Mappings'!$I555))),ISNUMBER(SEARCH(IF(D$3&lt;&gt;"",D$3,"NA"),'MITRE ATT&amp;CK Mappings'!$J555))), 'MITRE ATT&amp;CK Mappings'!$B555,"")</f>
        <v/>
      </c>
      <c r="E559" s="27" t="str">
        <f>IF(OR(OR(OR(OR(OR(ISNUMBER(SEARCH(IF(E$1&lt;&gt;"",E$1,"NA"),'MITRE ATT&amp;CK Mappings'!$E555)),ISNUMBER(SEARCH(IF(E$1&lt;&gt;"",E$1,"NA"),'MITRE ATT&amp;CK Mappings'!$F555))),ISNUMBER(SEARCH(IF(E$2&lt;&gt;"",E$2,"NA"),'MITRE ATT&amp;CK Mappings'!$G555))),ISNUMBER(SEARCH(IF(E$2&lt;&gt;"",E$2,"NA"),'MITRE ATT&amp;CK Mappings'!$H555))),ISNUMBER(SEARCH(IF(E$3&lt;&gt;"",E$3,"NA"),'MITRE ATT&amp;CK Mappings'!$I555))),ISNUMBER(SEARCH(IF(E$3&lt;&gt;"",E$3,"NA"),'MITRE ATT&amp;CK Mappings'!$J555))), 'MITRE ATT&amp;CK Mappings'!$B555,"")</f>
        <v/>
      </c>
      <c r="F559" s="27" t="str">
        <f>IF(OR(OR(OR(OR(OR(ISNUMBER(SEARCH(IF(F$1&lt;&gt;"",F$1,"NA"),'MITRE ATT&amp;CK Mappings'!$E555)),ISNUMBER(SEARCH(IF(F$1&lt;&gt;"",F$1,"NA"),'MITRE ATT&amp;CK Mappings'!$F555))),ISNUMBER(SEARCH(IF(F$2&lt;&gt;"",F$2,"NA"),'MITRE ATT&amp;CK Mappings'!$G555))),ISNUMBER(SEARCH(IF(F$2&lt;&gt;"",F$2,"NA"),'MITRE ATT&amp;CK Mappings'!$H555))),ISNUMBER(SEARCH(IF(F$3&lt;&gt;"",F$3,"NA"),'MITRE ATT&amp;CK Mappings'!$I555))),ISNUMBER(SEARCH(IF(F$3&lt;&gt;"",F$3,"NA"),'MITRE ATT&amp;CK Mappings'!$J555))), 'MITRE ATT&amp;CK Mappings'!$B555,"")</f>
        <v/>
      </c>
      <c r="G559" s="27" t="str">
        <f>IF(OR(OR(OR(OR(OR(ISNUMBER(SEARCH(IF(G$1&lt;&gt;"",G$1,"NA"),'MITRE ATT&amp;CK Mappings'!$E555)),ISNUMBER(SEARCH(IF(G$1&lt;&gt;"",G$1,"NA"),'MITRE ATT&amp;CK Mappings'!$F555))),ISNUMBER(SEARCH(IF(G$2&lt;&gt;"",G$2,"NA"),'MITRE ATT&amp;CK Mappings'!$G555))),ISNUMBER(SEARCH(IF(G$2&lt;&gt;"",G$2,"NA"),'MITRE ATT&amp;CK Mappings'!$H555))),ISNUMBER(SEARCH(IF(G$3&lt;&gt;"",G$3,"NA"),'MITRE ATT&amp;CK Mappings'!$I555))),ISNUMBER(SEARCH(IF(G$3&lt;&gt;"",G$3,"NA"),'MITRE ATT&amp;CK Mappings'!$J555))), 'MITRE ATT&amp;CK Mappings'!$B555,"")</f>
        <v/>
      </c>
      <c r="H559" s="27" t="str">
        <f>IF(OR(OR(OR(OR(OR(ISNUMBER(SEARCH(IF(H$1&lt;&gt;"",H$1,"NA"),'MITRE ATT&amp;CK Mappings'!$E555)),ISNUMBER(SEARCH(IF(H$1&lt;&gt;"",H$1,"NA"),'MITRE ATT&amp;CK Mappings'!$F555))),ISNUMBER(SEARCH(IF(H$2&lt;&gt;"",H$2,"NA"),'MITRE ATT&amp;CK Mappings'!$G555))),ISNUMBER(SEARCH(IF(H$2&lt;&gt;"",H$2,"NA"),'MITRE ATT&amp;CK Mappings'!$H555))),ISNUMBER(SEARCH(IF(H$3&lt;&gt;"",H$3,"NA"),'MITRE ATT&amp;CK Mappings'!$I555))),ISNUMBER(SEARCH(IF(H$3&lt;&gt;"",H$3,"NA"),'MITRE ATT&amp;CK Mappings'!$J555))), 'MITRE ATT&amp;CK Mappings'!$B555,"")</f>
        <v/>
      </c>
      <c r="I559" s="27" t="str">
        <f>IF(OR(OR(OR(OR(OR(ISNUMBER(SEARCH(IF(I$1&lt;&gt;"",I$1,"NA"),'MITRE ATT&amp;CK Mappings'!$E555)),ISNUMBER(SEARCH(IF(I$1&lt;&gt;"",I$1,"NA"),'MITRE ATT&amp;CK Mappings'!$F555))),ISNUMBER(SEARCH(IF(I$2&lt;&gt;"",I$2,"NA"),'MITRE ATT&amp;CK Mappings'!$G555))),ISNUMBER(SEARCH(IF(I$2&lt;&gt;"",I$2,"NA"),'MITRE ATT&amp;CK Mappings'!$H555))),ISNUMBER(SEARCH(IF(I$3&lt;&gt;"",I$3,"NA"),'MITRE ATT&amp;CK Mappings'!$I555))),ISNUMBER(SEARCH(IF(I$3&lt;&gt;"",I$3,"NA"),'MITRE ATT&amp;CK Mappings'!$J555))), 'MITRE ATT&amp;CK Mappings'!$B555,"")</f>
        <v/>
      </c>
      <c r="J559" s="27" t="str">
        <f>IF(OR(OR(OR(OR(OR(ISNUMBER(SEARCH(IF(J$1&lt;&gt;"",J$1,"NA"),'MITRE ATT&amp;CK Mappings'!$E555)),ISNUMBER(SEARCH(IF(J$1&lt;&gt;"",J$1,"NA"),'MITRE ATT&amp;CK Mappings'!$F555))),ISNUMBER(SEARCH(IF(J$2&lt;&gt;"",J$2,"NA"),'MITRE ATT&amp;CK Mappings'!$G555))),ISNUMBER(SEARCH(IF(J$2&lt;&gt;"",J$2,"NA"),'MITRE ATT&amp;CK Mappings'!$H555))),ISNUMBER(SEARCH(IF(J$3&lt;&gt;"",J$3,"NA"),'MITRE ATT&amp;CK Mappings'!$I555))),ISNUMBER(SEARCH(IF(J$3&lt;&gt;"",J$3,"NA"),'MITRE ATT&amp;CK Mappings'!$J555))), 'MITRE ATT&amp;CK Mappings'!$B555,"")</f>
        <v/>
      </c>
      <c r="K559" s="27" t="str">
        <f>IF(OR(OR(OR(OR(OR(ISNUMBER(SEARCH(IF(K$1&lt;&gt;"",K$1,"NA"),'MITRE ATT&amp;CK Mappings'!$E555)),ISNUMBER(SEARCH(IF(K$1&lt;&gt;"",K$1,"NA"),'MITRE ATT&amp;CK Mappings'!$F555))),ISNUMBER(SEARCH(IF(K$2&lt;&gt;"",K$2,"NA"),'MITRE ATT&amp;CK Mappings'!$G555))),ISNUMBER(SEARCH(IF(K$2&lt;&gt;"",K$2,"NA"),'MITRE ATT&amp;CK Mappings'!$H555))),ISNUMBER(SEARCH(IF(K$3&lt;&gt;"",K$3,"NA"),'MITRE ATT&amp;CK Mappings'!$I555))),ISNUMBER(SEARCH(IF(K$3&lt;&gt;"",K$3,"NA"),'MITRE ATT&amp;CK Mappings'!$J555))), 'MITRE ATT&amp;CK Mappings'!$B555,"")</f>
        <v/>
      </c>
      <c r="L559" s="27" t="str">
        <f>IF('MITRE ATT&amp;CK Mappings'!D555 &lt;&gt;"",'MITRE ATT&amp;CK Mappings'!D555,"" )</f>
        <v/>
      </c>
    </row>
    <row r="560" spans="1:12" x14ac:dyDescent="0.25">
      <c r="A560" s="26" t="str">
        <f>IF(COUNTIF(B560:K560,"="&amp;'MITRE ATT&amp;CK Mappings'!B556)&gt;0,'MITRE ATT&amp;CK Mappings'!B556,"")</f>
        <v/>
      </c>
      <c r="B560" s="26" t="str">
        <f>IF(OR(OR(OR(OR(OR(ISNUMBER(SEARCH(IF(B$1&lt;&gt;"",B$1,"NA"),'MITRE ATT&amp;CK Mappings'!$E556)),ISNUMBER(SEARCH(IF(B$1&lt;&gt;"",B$1,"NA"),'MITRE ATT&amp;CK Mappings'!$F556))),ISNUMBER(SEARCH(IF(B$2&lt;&gt;"",B$2,"NA"),'MITRE ATT&amp;CK Mappings'!$G556))),ISNUMBER(SEARCH(IF(B$2&lt;&gt;"",B$2,"NA"),'MITRE ATT&amp;CK Mappings'!$H556))),ISNUMBER(SEARCH(IF(B$3&lt;&gt;"",B$3,"NA"),'MITRE ATT&amp;CK Mappings'!$I556))),ISNUMBER(SEARCH(IF(B$3&lt;&gt;"",B$3,"NA"),'MITRE ATT&amp;CK Mappings'!$J556))), 'MITRE ATT&amp;CK Mappings'!$B556,"")</f>
        <v/>
      </c>
      <c r="C560" s="26" t="str">
        <f>IF(OR(OR(OR(OR(OR(ISNUMBER(SEARCH(IF(C$1&lt;&gt;"",C$1,"NA"),'MITRE ATT&amp;CK Mappings'!$E556)),ISNUMBER(SEARCH(IF(C$1&lt;&gt;"",C$1,"NA"),'MITRE ATT&amp;CK Mappings'!$F556))),ISNUMBER(SEARCH(IF(C$2&lt;&gt;"",C$2,"NA"),'MITRE ATT&amp;CK Mappings'!$G556))),ISNUMBER(SEARCH(IF(C$2&lt;&gt;"",C$2,"NA"),'MITRE ATT&amp;CK Mappings'!$H556))),ISNUMBER(SEARCH(IF(C$3&lt;&gt;"",C$3,"NA"),'MITRE ATT&amp;CK Mappings'!$I556))),ISNUMBER(SEARCH(IF(C$3&lt;&gt;"",C$3,"NA"),'MITRE ATT&amp;CK Mappings'!$J556))), 'MITRE ATT&amp;CK Mappings'!$B556,"")</f>
        <v/>
      </c>
      <c r="D560" s="26" t="str">
        <f>IF(OR(OR(OR(OR(OR(ISNUMBER(SEARCH(IF(D$1&lt;&gt;"",D$1,"NA"),'MITRE ATT&amp;CK Mappings'!$E556)),ISNUMBER(SEARCH(IF(D$1&lt;&gt;"",D$1,"NA"),'MITRE ATT&amp;CK Mappings'!$F556))),ISNUMBER(SEARCH(IF(D$2&lt;&gt;"",D$2,"NA"),'MITRE ATT&amp;CK Mappings'!$G556))),ISNUMBER(SEARCH(IF(D$2&lt;&gt;"",D$2,"NA"),'MITRE ATT&amp;CK Mappings'!$H556))),ISNUMBER(SEARCH(IF(D$3&lt;&gt;"",D$3,"NA"),'MITRE ATT&amp;CK Mappings'!$I556))),ISNUMBER(SEARCH(IF(D$3&lt;&gt;"",D$3,"NA"),'MITRE ATT&amp;CK Mappings'!$J556))), 'MITRE ATT&amp;CK Mappings'!$B556,"")</f>
        <v/>
      </c>
      <c r="E560" s="26" t="str">
        <f>IF(OR(OR(OR(OR(OR(ISNUMBER(SEARCH(IF(E$1&lt;&gt;"",E$1,"NA"),'MITRE ATT&amp;CK Mappings'!$E556)),ISNUMBER(SEARCH(IF(E$1&lt;&gt;"",E$1,"NA"),'MITRE ATT&amp;CK Mappings'!$F556))),ISNUMBER(SEARCH(IF(E$2&lt;&gt;"",E$2,"NA"),'MITRE ATT&amp;CK Mappings'!$G556))),ISNUMBER(SEARCH(IF(E$2&lt;&gt;"",E$2,"NA"),'MITRE ATT&amp;CK Mappings'!$H556))),ISNUMBER(SEARCH(IF(E$3&lt;&gt;"",E$3,"NA"),'MITRE ATT&amp;CK Mappings'!$I556))),ISNUMBER(SEARCH(IF(E$3&lt;&gt;"",E$3,"NA"),'MITRE ATT&amp;CK Mappings'!$J556))), 'MITRE ATT&amp;CK Mappings'!$B556,"")</f>
        <v/>
      </c>
      <c r="F560" s="26" t="str">
        <f>IF(OR(OR(OR(OR(OR(ISNUMBER(SEARCH(IF(F$1&lt;&gt;"",F$1,"NA"),'MITRE ATT&amp;CK Mappings'!$E556)),ISNUMBER(SEARCH(IF(F$1&lt;&gt;"",F$1,"NA"),'MITRE ATT&amp;CK Mappings'!$F556))),ISNUMBER(SEARCH(IF(F$2&lt;&gt;"",F$2,"NA"),'MITRE ATT&amp;CK Mappings'!$G556))),ISNUMBER(SEARCH(IF(F$2&lt;&gt;"",F$2,"NA"),'MITRE ATT&amp;CK Mappings'!$H556))),ISNUMBER(SEARCH(IF(F$3&lt;&gt;"",F$3,"NA"),'MITRE ATT&amp;CK Mappings'!$I556))),ISNUMBER(SEARCH(IF(F$3&lt;&gt;"",F$3,"NA"),'MITRE ATT&amp;CK Mappings'!$J556))), 'MITRE ATT&amp;CK Mappings'!$B556,"")</f>
        <v/>
      </c>
      <c r="G560" s="26" t="str">
        <f>IF(OR(OR(OR(OR(OR(ISNUMBER(SEARCH(IF(G$1&lt;&gt;"",G$1,"NA"),'MITRE ATT&amp;CK Mappings'!$E556)),ISNUMBER(SEARCH(IF(G$1&lt;&gt;"",G$1,"NA"),'MITRE ATT&amp;CK Mappings'!$F556))),ISNUMBER(SEARCH(IF(G$2&lt;&gt;"",G$2,"NA"),'MITRE ATT&amp;CK Mappings'!$G556))),ISNUMBER(SEARCH(IF(G$2&lt;&gt;"",G$2,"NA"),'MITRE ATT&amp;CK Mappings'!$H556))),ISNUMBER(SEARCH(IF(G$3&lt;&gt;"",G$3,"NA"),'MITRE ATT&amp;CK Mappings'!$I556))),ISNUMBER(SEARCH(IF(G$3&lt;&gt;"",G$3,"NA"),'MITRE ATT&amp;CK Mappings'!$J556))), 'MITRE ATT&amp;CK Mappings'!$B556,"")</f>
        <v/>
      </c>
      <c r="H560" s="26" t="str">
        <f>IF(OR(OR(OR(OR(OR(ISNUMBER(SEARCH(IF(H$1&lt;&gt;"",H$1,"NA"),'MITRE ATT&amp;CK Mappings'!$E556)),ISNUMBER(SEARCH(IF(H$1&lt;&gt;"",H$1,"NA"),'MITRE ATT&amp;CK Mappings'!$F556))),ISNUMBER(SEARCH(IF(H$2&lt;&gt;"",H$2,"NA"),'MITRE ATT&amp;CK Mappings'!$G556))),ISNUMBER(SEARCH(IF(H$2&lt;&gt;"",H$2,"NA"),'MITRE ATT&amp;CK Mappings'!$H556))),ISNUMBER(SEARCH(IF(H$3&lt;&gt;"",H$3,"NA"),'MITRE ATT&amp;CK Mappings'!$I556))),ISNUMBER(SEARCH(IF(H$3&lt;&gt;"",H$3,"NA"),'MITRE ATT&amp;CK Mappings'!$J556))), 'MITRE ATT&amp;CK Mappings'!$B556,"")</f>
        <v/>
      </c>
      <c r="I560" s="26" t="str">
        <f>IF(OR(OR(OR(OR(OR(ISNUMBER(SEARCH(IF(I$1&lt;&gt;"",I$1,"NA"),'MITRE ATT&amp;CK Mappings'!$E556)),ISNUMBER(SEARCH(IF(I$1&lt;&gt;"",I$1,"NA"),'MITRE ATT&amp;CK Mappings'!$F556))),ISNUMBER(SEARCH(IF(I$2&lt;&gt;"",I$2,"NA"),'MITRE ATT&amp;CK Mappings'!$G556))),ISNUMBER(SEARCH(IF(I$2&lt;&gt;"",I$2,"NA"),'MITRE ATT&amp;CK Mappings'!$H556))),ISNUMBER(SEARCH(IF(I$3&lt;&gt;"",I$3,"NA"),'MITRE ATT&amp;CK Mappings'!$I556))),ISNUMBER(SEARCH(IF(I$3&lt;&gt;"",I$3,"NA"),'MITRE ATT&amp;CK Mappings'!$J556))), 'MITRE ATT&amp;CK Mappings'!$B556,"")</f>
        <v/>
      </c>
      <c r="J560" s="26" t="str">
        <f>IF(OR(OR(OR(OR(OR(ISNUMBER(SEARCH(IF(J$1&lt;&gt;"",J$1,"NA"),'MITRE ATT&amp;CK Mappings'!$E556)),ISNUMBER(SEARCH(IF(J$1&lt;&gt;"",J$1,"NA"),'MITRE ATT&amp;CK Mappings'!$F556))),ISNUMBER(SEARCH(IF(J$2&lt;&gt;"",J$2,"NA"),'MITRE ATT&amp;CK Mappings'!$G556))),ISNUMBER(SEARCH(IF(J$2&lt;&gt;"",J$2,"NA"),'MITRE ATT&amp;CK Mappings'!$H556))),ISNUMBER(SEARCH(IF(J$3&lt;&gt;"",J$3,"NA"),'MITRE ATT&amp;CK Mappings'!$I556))),ISNUMBER(SEARCH(IF(J$3&lt;&gt;"",J$3,"NA"),'MITRE ATT&amp;CK Mappings'!$J556))), 'MITRE ATT&amp;CK Mappings'!$B556,"")</f>
        <v/>
      </c>
      <c r="K560" s="26" t="str">
        <f>IF(OR(OR(OR(OR(OR(ISNUMBER(SEARCH(IF(K$1&lt;&gt;"",K$1,"NA"),'MITRE ATT&amp;CK Mappings'!$E556)),ISNUMBER(SEARCH(IF(K$1&lt;&gt;"",K$1,"NA"),'MITRE ATT&amp;CK Mappings'!$F556))),ISNUMBER(SEARCH(IF(K$2&lt;&gt;"",K$2,"NA"),'MITRE ATT&amp;CK Mappings'!$G556))),ISNUMBER(SEARCH(IF(K$2&lt;&gt;"",K$2,"NA"),'MITRE ATT&amp;CK Mappings'!$H556))),ISNUMBER(SEARCH(IF(K$3&lt;&gt;"",K$3,"NA"),'MITRE ATT&amp;CK Mappings'!$I556))),ISNUMBER(SEARCH(IF(K$3&lt;&gt;"",K$3,"NA"),'MITRE ATT&amp;CK Mappings'!$J556))), 'MITRE ATT&amp;CK Mappings'!$B556,"")</f>
        <v/>
      </c>
      <c r="L560" s="26" t="str">
        <f>IF('MITRE ATT&amp;CK Mappings'!D556 &lt;&gt;"",'MITRE ATT&amp;CK Mappings'!D556,"" )</f>
        <v/>
      </c>
    </row>
    <row r="561" spans="1:12" x14ac:dyDescent="0.25">
      <c r="A561" s="27" t="str">
        <f>IF(COUNTIF(B561:K561,"="&amp;'MITRE ATT&amp;CK Mappings'!B557)&gt;0,'MITRE ATT&amp;CK Mappings'!B557,"")</f>
        <v/>
      </c>
      <c r="B561" s="27" t="str">
        <f>IF(OR(OR(OR(OR(OR(ISNUMBER(SEARCH(IF(B$1&lt;&gt;"",B$1,"NA"),'MITRE ATT&amp;CK Mappings'!$E557)),ISNUMBER(SEARCH(IF(B$1&lt;&gt;"",B$1,"NA"),'MITRE ATT&amp;CK Mappings'!$F557))),ISNUMBER(SEARCH(IF(B$2&lt;&gt;"",B$2,"NA"),'MITRE ATT&amp;CK Mappings'!$G557))),ISNUMBER(SEARCH(IF(B$2&lt;&gt;"",B$2,"NA"),'MITRE ATT&amp;CK Mappings'!$H557))),ISNUMBER(SEARCH(IF(B$3&lt;&gt;"",B$3,"NA"),'MITRE ATT&amp;CK Mappings'!$I557))),ISNUMBER(SEARCH(IF(B$3&lt;&gt;"",B$3,"NA"),'MITRE ATT&amp;CK Mappings'!$J557))), 'MITRE ATT&amp;CK Mappings'!$B557,"")</f>
        <v/>
      </c>
      <c r="C561" s="27" t="str">
        <f>IF(OR(OR(OR(OR(OR(ISNUMBER(SEARCH(IF(C$1&lt;&gt;"",C$1,"NA"),'MITRE ATT&amp;CK Mappings'!$E557)),ISNUMBER(SEARCH(IF(C$1&lt;&gt;"",C$1,"NA"),'MITRE ATT&amp;CK Mappings'!$F557))),ISNUMBER(SEARCH(IF(C$2&lt;&gt;"",C$2,"NA"),'MITRE ATT&amp;CK Mappings'!$G557))),ISNUMBER(SEARCH(IF(C$2&lt;&gt;"",C$2,"NA"),'MITRE ATT&amp;CK Mappings'!$H557))),ISNUMBER(SEARCH(IF(C$3&lt;&gt;"",C$3,"NA"),'MITRE ATT&amp;CK Mappings'!$I557))),ISNUMBER(SEARCH(IF(C$3&lt;&gt;"",C$3,"NA"),'MITRE ATT&amp;CK Mappings'!$J557))), 'MITRE ATT&amp;CK Mappings'!$B557,"")</f>
        <v/>
      </c>
      <c r="D561" s="27" t="str">
        <f>IF(OR(OR(OR(OR(OR(ISNUMBER(SEARCH(IF(D$1&lt;&gt;"",D$1,"NA"),'MITRE ATT&amp;CK Mappings'!$E557)),ISNUMBER(SEARCH(IF(D$1&lt;&gt;"",D$1,"NA"),'MITRE ATT&amp;CK Mappings'!$F557))),ISNUMBER(SEARCH(IF(D$2&lt;&gt;"",D$2,"NA"),'MITRE ATT&amp;CK Mappings'!$G557))),ISNUMBER(SEARCH(IF(D$2&lt;&gt;"",D$2,"NA"),'MITRE ATT&amp;CK Mappings'!$H557))),ISNUMBER(SEARCH(IF(D$3&lt;&gt;"",D$3,"NA"),'MITRE ATT&amp;CK Mappings'!$I557))),ISNUMBER(SEARCH(IF(D$3&lt;&gt;"",D$3,"NA"),'MITRE ATT&amp;CK Mappings'!$J557))), 'MITRE ATT&amp;CK Mappings'!$B557,"")</f>
        <v/>
      </c>
      <c r="E561" s="27" t="str">
        <f>IF(OR(OR(OR(OR(OR(ISNUMBER(SEARCH(IF(E$1&lt;&gt;"",E$1,"NA"),'MITRE ATT&amp;CK Mappings'!$E557)),ISNUMBER(SEARCH(IF(E$1&lt;&gt;"",E$1,"NA"),'MITRE ATT&amp;CK Mappings'!$F557))),ISNUMBER(SEARCH(IF(E$2&lt;&gt;"",E$2,"NA"),'MITRE ATT&amp;CK Mappings'!$G557))),ISNUMBER(SEARCH(IF(E$2&lt;&gt;"",E$2,"NA"),'MITRE ATT&amp;CK Mappings'!$H557))),ISNUMBER(SEARCH(IF(E$3&lt;&gt;"",E$3,"NA"),'MITRE ATT&amp;CK Mappings'!$I557))),ISNUMBER(SEARCH(IF(E$3&lt;&gt;"",E$3,"NA"),'MITRE ATT&amp;CK Mappings'!$J557))), 'MITRE ATT&amp;CK Mappings'!$B557,"")</f>
        <v/>
      </c>
      <c r="F561" s="27" t="str">
        <f>IF(OR(OR(OR(OR(OR(ISNUMBER(SEARCH(IF(F$1&lt;&gt;"",F$1,"NA"),'MITRE ATT&amp;CK Mappings'!$E557)),ISNUMBER(SEARCH(IF(F$1&lt;&gt;"",F$1,"NA"),'MITRE ATT&amp;CK Mappings'!$F557))),ISNUMBER(SEARCH(IF(F$2&lt;&gt;"",F$2,"NA"),'MITRE ATT&amp;CK Mappings'!$G557))),ISNUMBER(SEARCH(IF(F$2&lt;&gt;"",F$2,"NA"),'MITRE ATT&amp;CK Mappings'!$H557))),ISNUMBER(SEARCH(IF(F$3&lt;&gt;"",F$3,"NA"),'MITRE ATT&amp;CK Mappings'!$I557))),ISNUMBER(SEARCH(IF(F$3&lt;&gt;"",F$3,"NA"),'MITRE ATT&amp;CK Mappings'!$J557))), 'MITRE ATT&amp;CK Mappings'!$B557,"")</f>
        <v/>
      </c>
      <c r="G561" s="27" t="str">
        <f>IF(OR(OR(OR(OR(OR(ISNUMBER(SEARCH(IF(G$1&lt;&gt;"",G$1,"NA"),'MITRE ATT&amp;CK Mappings'!$E557)),ISNUMBER(SEARCH(IF(G$1&lt;&gt;"",G$1,"NA"),'MITRE ATT&amp;CK Mappings'!$F557))),ISNUMBER(SEARCH(IF(G$2&lt;&gt;"",G$2,"NA"),'MITRE ATT&amp;CK Mappings'!$G557))),ISNUMBER(SEARCH(IF(G$2&lt;&gt;"",G$2,"NA"),'MITRE ATT&amp;CK Mappings'!$H557))),ISNUMBER(SEARCH(IF(G$3&lt;&gt;"",G$3,"NA"),'MITRE ATT&amp;CK Mappings'!$I557))),ISNUMBER(SEARCH(IF(G$3&lt;&gt;"",G$3,"NA"),'MITRE ATT&amp;CK Mappings'!$J557))), 'MITRE ATT&amp;CK Mappings'!$B557,"")</f>
        <v/>
      </c>
      <c r="H561" s="27" t="str">
        <f>IF(OR(OR(OR(OR(OR(ISNUMBER(SEARCH(IF(H$1&lt;&gt;"",H$1,"NA"),'MITRE ATT&amp;CK Mappings'!$E557)),ISNUMBER(SEARCH(IF(H$1&lt;&gt;"",H$1,"NA"),'MITRE ATT&amp;CK Mappings'!$F557))),ISNUMBER(SEARCH(IF(H$2&lt;&gt;"",H$2,"NA"),'MITRE ATT&amp;CK Mappings'!$G557))),ISNUMBER(SEARCH(IF(H$2&lt;&gt;"",H$2,"NA"),'MITRE ATT&amp;CK Mappings'!$H557))),ISNUMBER(SEARCH(IF(H$3&lt;&gt;"",H$3,"NA"),'MITRE ATT&amp;CK Mappings'!$I557))),ISNUMBER(SEARCH(IF(H$3&lt;&gt;"",H$3,"NA"),'MITRE ATT&amp;CK Mappings'!$J557))), 'MITRE ATT&amp;CK Mappings'!$B557,"")</f>
        <v/>
      </c>
      <c r="I561" s="27" t="str">
        <f>IF(OR(OR(OR(OR(OR(ISNUMBER(SEARCH(IF(I$1&lt;&gt;"",I$1,"NA"),'MITRE ATT&amp;CK Mappings'!$E557)),ISNUMBER(SEARCH(IF(I$1&lt;&gt;"",I$1,"NA"),'MITRE ATT&amp;CK Mappings'!$F557))),ISNUMBER(SEARCH(IF(I$2&lt;&gt;"",I$2,"NA"),'MITRE ATT&amp;CK Mappings'!$G557))),ISNUMBER(SEARCH(IF(I$2&lt;&gt;"",I$2,"NA"),'MITRE ATT&amp;CK Mappings'!$H557))),ISNUMBER(SEARCH(IF(I$3&lt;&gt;"",I$3,"NA"),'MITRE ATT&amp;CK Mappings'!$I557))),ISNUMBER(SEARCH(IF(I$3&lt;&gt;"",I$3,"NA"),'MITRE ATT&amp;CK Mappings'!$J557))), 'MITRE ATT&amp;CK Mappings'!$B557,"")</f>
        <v/>
      </c>
      <c r="J561" s="27" t="str">
        <f>IF(OR(OR(OR(OR(OR(ISNUMBER(SEARCH(IF(J$1&lt;&gt;"",J$1,"NA"),'MITRE ATT&amp;CK Mappings'!$E557)),ISNUMBER(SEARCH(IF(J$1&lt;&gt;"",J$1,"NA"),'MITRE ATT&amp;CK Mappings'!$F557))),ISNUMBER(SEARCH(IF(J$2&lt;&gt;"",J$2,"NA"),'MITRE ATT&amp;CK Mappings'!$G557))),ISNUMBER(SEARCH(IF(J$2&lt;&gt;"",J$2,"NA"),'MITRE ATT&amp;CK Mappings'!$H557))),ISNUMBER(SEARCH(IF(J$3&lt;&gt;"",J$3,"NA"),'MITRE ATT&amp;CK Mappings'!$I557))),ISNUMBER(SEARCH(IF(J$3&lt;&gt;"",J$3,"NA"),'MITRE ATT&amp;CK Mappings'!$J557))), 'MITRE ATT&amp;CK Mappings'!$B557,"")</f>
        <v/>
      </c>
      <c r="K561" s="27" t="str">
        <f>IF(OR(OR(OR(OR(OR(ISNUMBER(SEARCH(IF(K$1&lt;&gt;"",K$1,"NA"),'MITRE ATT&amp;CK Mappings'!$E557)),ISNUMBER(SEARCH(IF(K$1&lt;&gt;"",K$1,"NA"),'MITRE ATT&amp;CK Mappings'!$F557))),ISNUMBER(SEARCH(IF(K$2&lt;&gt;"",K$2,"NA"),'MITRE ATT&amp;CK Mappings'!$G557))),ISNUMBER(SEARCH(IF(K$2&lt;&gt;"",K$2,"NA"),'MITRE ATT&amp;CK Mappings'!$H557))),ISNUMBER(SEARCH(IF(K$3&lt;&gt;"",K$3,"NA"),'MITRE ATT&amp;CK Mappings'!$I557))),ISNUMBER(SEARCH(IF(K$3&lt;&gt;"",K$3,"NA"),'MITRE ATT&amp;CK Mappings'!$J557))), 'MITRE ATT&amp;CK Mappings'!$B557,"")</f>
        <v/>
      </c>
      <c r="L561" s="27" t="str">
        <f>IF('MITRE ATT&amp;CK Mappings'!D557 &lt;&gt;"",'MITRE ATT&amp;CK Mappings'!D557,"" )</f>
        <v/>
      </c>
    </row>
    <row r="562" spans="1:12" x14ac:dyDescent="0.25">
      <c r="A562" s="26" t="str">
        <f>IF(COUNTIF(B562:K562,"="&amp;'MITRE ATT&amp;CK Mappings'!B558)&gt;0,'MITRE ATT&amp;CK Mappings'!B558,"")</f>
        <v/>
      </c>
      <c r="B562" s="26" t="str">
        <f>IF(OR(OR(OR(OR(OR(ISNUMBER(SEARCH(IF(B$1&lt;&gt;"",B$1,"NA"),'MITRE ATT&amp;CK Mappings'!$E558)),ISNUMBER(SEARCH(IF(B$1&lt;&gt;"",B$1,"NA"),'MITRE ATT&amp;CK Mappings'!$F558))),ISNUMBER(SEARCH(IF(B$2&lt;&gt;"",B$2,"NA"),'MITRE ATT&amp;CK Mappings'!$G558))),ISNUMBER(SEARCH(IF(B$2&lt;&gt;"",B$2,"NA"),'MITRE ATT&amp;CK Mappings'!$H558))),ISNUMBER(SEARCH(IF(B$3&lt;&gt;"",B$3,"NA"),'MITRE ATT&amp;CK Mappings'!$I558))),ISNUMBER(SEARCH(IF(B$3&lt;&gt;"",B$3,"NA"),'MITRE ATT&amp;CK Mappings'!$J558))), 'MITRE ATT&amp;CK Mappings'!$B558,"")</f>
        <v/>
      </c>
      <c r="C562" s="26" t="str">
        <f>IF(OR(OR(OR(OR(OR(ISNUMBER(SEARCH(IF(C$1&lt;&gt;"",C$1,"NA"),'MITRE ATT&amp;CK Mappings'!$E558)),ISNUMBER(SEARCH(IF(C$1&lt;&gt;"",C$1,"NA"),'MITRE ATT&amp;CK Mappings'!$F558))),ISNUMBER(SEARCH(IF(C$2&lt;&gt;"",C$2,"NA"),'MITRE ATT&amp;CK Mappings'!$G558))),ISNUMBER(SEARCH(IF(C$2&lt;&gt;"",C$2,"NA"),'MITRE ATT&amp;CK Mappings'!$H558))),ISNUMBER(SEARCH(IF(C$3&lt;&gt;"",C$3,"NA"),'MITRE ATT&amp;CK Mappings'!$I558))),ISNUMBER(SEARCH(IF(C$3&lt;&gt;"",C$3,"NA"),'MITRE ATT&amp;CK Mappings'!$J558))), 'MITRE ATT&amp;CK Mappings'!$B558,"")</f>
        <v/>
      </c>
      <c r="D562" s="26" t="str">
        <f>IF(OR(OR(OR(OR(OR(ISNUMBER(SEARCH(IF(D$1&lt;&gt;"",D$1,"NA"),'MITRE ATT&amp;CK Mappings'!$E558)),ISNUMBER(SEARCH(IF(D$1&lt;&gt;"",D$1,"NA"),'MITRE ATT&amp;CK Mappings'!$F558))),ISNUMBER(SEARCH(IF(D$2&lt;&gt;"",D$2,"NA"),'MITRE ATT&amp;CK Mappings'!$G558))),ISNUMBER(SEARCH(IF(D$2&lt;&gt;"",D$2,"NA"),'MITRE ATT&amp;CK Mappings'!$H558))),ISNUMBER(SEARCH(IF(D$3&lt;&gt;"",D$3,"NA"),'MITRE ATT&amp;CK Mappings'!$I558))),ISNUMBER(SEARCH(IF(D$3&lt;&gt;"",D$3,"NA"),'MITRE ATT&amp;CK Mappings'!$J558))), 'MITRE ATT&amp;CK Mappings'!$B558,"")</f>
        <v/>
      </c>
      <c r="E562" s="26" t="str">
        <f>IF(OR(OR(OR(OR(OR(ISNUMBER(SEARCH(IF(E$1&lt;&gt;"",E$1,"NA"),'MITRE ATT&amp;CK Mappings'!$E558)),ISNUMBER(SEARCH(IF(E$1&lt;&gt;"",E$1,"NA"),'MITRE ATT&amp;CK Mappings'!$F558))),ISNUMBER(SEARCH(IF(E$2&lt;&gt;"",E$2,"NA"),'MITRE ATT&amp;CK Mappings'!$G558))),ISNUMBER(SEARCH(IF(E$2&lt;&gt;"",E$2,"NA"),'MITRE ATT&amp;CK Mappings'!$H558))),ISNUMBER(SEARCH(IF(E$3&lt;&gt;"",E$3,"NA"),'MITRE ATT&amp;CK Mappings'!$I558))),ISNUMBER(SEARCH(IF(E$3&lt;&gt;"",E$3,"NA"),'MITRE ATT&amp;CK Mappings'!$J558))), 'MITRE ATT&amp;CK Mappings'!$B558,"")</f>
        <v/>
      </c>
      <c r="F562" s="26" t="str">
        <f>IF(OR(OR(OR(OR(OR(ISNUMBER(SEARCH(IF(F$1&lt;&gt;"",F$1,"NA"),'MITRE ATT&amp;CK Mappings'!$E558)),ISNUMBER(SEARCH(IF(F$1&lt;&gt;"",F$1,"NA"),'MITRE ATT&amp;CK Mappings'!$F558))),ISNUMBER(SEARCH(IF(F$2&lt;&gt;"",F$2,"NA"),'MITRE ATT&amp;CK Mappings'!$G558))),ISNUMBER(SEARCH(IF(F$2&lt;&gt;"",F$2,"NA"),'MITRE ATT&amp;CK Mappings'!$H558))),ISNUMBER(SEARCH(IF(F$3&lt;&gt;"",F$3,"NA"),'MITRE ATT&amp;CK Mappings'!$I558))),ISNUMBER(SEARCH(IF(F$3&lt;&gt;"",F$3,"NA"),'MITRE ATT&amp;CK Mappings'!$J558))), 'MITRE ATT&amp;CK Mappings'!$B558,"")</f>
        <v/>
      </c>
      <c r="G562" s="26" t="str">
        <f>IF(OR(OR(OR(OR(OR(ISNUMBER(SEARCH(IF(G$1&lt;&gt;"",G$1,"NA"),'MITRE ATT&amp;CK Mappings'!$E558)),ISNUMBER(SEARCH(IF(G$1&lt;&gt;"",G$1,"NA"),'MITRE ATT&amp;CK Mappings'!$F558))),ISNUMBER(SEARCH(IF(G$2&lt;&gt;"",G$2,"NA"),'MITRE ATT&amp;CK Mappings'!$G558))),ISNUMBER(SEARCH(IF(G$2&lt;&gt;"",G$2,"NA"),'MITRE ATT&amp;CK Mappings'!$H558))),ISNUMBER(SEARCH(IF(G$3&lt;&gt;"",G$3,"NA"),'MITRE ATT&amp;CK Mappings'!$I558))),ISNUMBER(SEARCH(IF(G$3&lt;&gt;"",G$3,"NA"),'MITRE ATT&amp;CK Mappings'!$J558))), 'MITRE ATT&amp;CK Mappings'!$B558,"")</f>
        <v/>
      </c>
      <c r="H562" s="26" t="str">
        <f>IF(OR(OR(OR(OR(OR(ISNUMBER(SEARCH(IF(H$1&lt;&gt;"",H$1,"NA"),'MITRE ATT&amp;CK Mappings'!$E558)),ISNUMBER(SEARCH(IF(H$1&lt;&gt;"",H$1,"NA"),'MITRE ATT&amp;CK Mappings'!$F558))),ISNUMBER(SEARCH(IF(H$2&lt;&gt;"",H$2,"NA"),'MITRE ATT&amp;CK Mappings'!$G558))),ISNUMBER(SEARCH(IF(H$2&lt;&gt;"",H$2,"NA"),'MITRE ATT&amp;CK Mappings'!$H558))),ISNUMBER(SEARCH(IF(H$3&lt;&gt;"",H$3,"NA"),'MITRE ATT&amp;CK Mappings'!$I558))),ISNUMBER(SEARCH(IF(H$3&lt;&gt;"",H$3,"NA"),'MITRE ATT&amp;CK Mappings'!$J558))), 'MITRE ATT&amp;CK Mappings'!$B558,"")</f>
        <v/>
      </c>
      <c r="I562" s="26" t="str">
        <f>IF(OR(OR(OR(OR(OR(ISNUMBER(SEARCH(IF(I$1&lt;&gt;"",I$1,"NA"),'MITRE ATT&amp;CK Mappings'!$E558)),ISNUMBER(SEARCH(IF(I$1&lt;&gt;"",I$1,"NA"),'MITRE ATT&amp;CK Mappings'!$F558))),ISNUMBER(SEARCH(IF(I$2&lt;&gt;"",I$2,"NA"),'MITRE ATT&amp;CK Mappings'!$G558))),ISNUMBER(SEARCH(IF(I$2&lt;&gt;"",I$2,"NA"),'MITRE ATT&amp;CK Mappings'!$H558))),ISNUMBER(SEARCH(IF(I$3&lt;&gt;"",I$3,"NA"),'MITRE ATT&amp;CK Mappings'!$I558))),ISNUMBER(SEARCH(IF(I$3&lt;&gt;"",I$3,"NA"),'MITRE ATT&amp;CK Mappings'!$J558))), 'MITRE ATT&amp;CK Mappings'!$B558,"")</f>
        <v/>
      </c>
      <c r="J562" s="26" t="str">
        <f>IF(OR(OR(OR(OR(OR(ISNUMBER(SEARCH(IF(J$1&lt;&gt;"",J$1,"NA"),'MITRE ATT&amp;CK Mappings'!$E558)),ISNUMBER(SEARCH(IF(J$1&lt;&gt;"",J$1,"NA"),'MITRE ATT&amp;CK Mappings'!$F558))),ISNUMBER(SEARCH(IF(J$2&lt;&gt;"",J$2,"NA"),'MITRE ATT&amp;CK Mappings'!$G558))),ISNUMBER(SEARCH(IF(J$2&lt;&gt;"",J$2,"NA"),'MITRE ATT&amp;CK Mappings'!$H558))),ISNUMBER(SEARCH(IF(J$3&lt;&gt;"",J$3,"NA"),'MITRE ATT&amp;CK Mappings'!$I558))),ISNUMBER(SEARCH(IF(J$3&lt;&gt;"",J$3,"NA"),'MITRE ATT&amp;CK Mappings'!$J558))), 'MITRE ATT&amp;CK Mappings'!$B558,"")</f>
        <v/>
      </c>
      <c r="K562" s="26" t="str">
        <f>IF(OR(OR(OR(OR(OR(ISNUMBER(SEARCH(IF(K$1&lt;&gt;"",K$1,"NA"),'MITRE ATT&amp;CK Mappings'!$E558)),ISNUMBER(SEARCH(IF(K$1&lt;&gt;"",K$1,"NA"),'MITRE ATT&amp;CK Mappings'!$F558))),ISNUMBER(SEARCH(IF(K$2&lt;&gt;"",K$2,"NA"),'MITRE ATT&amp;CK Mappings'!$G558))),ISNUMBER(SEARCH(IF(K$2&lt;&gt;"",K$2,"NA"),'MITRE ATT&amp;CK Mappings'!$H558))),ISNUMBER(SEARCH(IF(K$3&lt;&gt;"",K$3,"NA"),'MITRE ATT&amp;CK Mappings'!$I558))),ISNUMBER(SEARCH(IF(K$3&lt;&gt;"",K$3,"NA"),'MITRE ATT&amp;CK Mappings'!$J558))), 'MITRE ATT&amp;CK Mappings'!$B558,"")</f>
        <v/>
      </c>
      <c r="L562" s="26" t="str">
        <f>IF('MITRE ATT&amp;CK Mappings'!D558 &lt;&gt;"",'MITRE ATT&amp;CK Mappings'!D558,"" )</f>
        <v/>
      </c>
    </row>
    <row r="563" spans="1:12" x14ac:dyDescent="0.25">
      <c r="A563" s="27" t="str">
        <f>IF(COUNTIF(B563:K563,"="&amp;'MITRE ATT&amp;CK Mappings'!B559)&gt;0,'MITRE ATT&amp;CK Mappings'!B559,"")</f>
        <v/>
      </c>
      <c r="B563" s="27" t="str">
        <f>IF(OR(OR(OR(OR(OR(ISNUMBER(SEARCH(IF(B$1&lt;&gt;"",B$1,"NA"),'MITRE ATT&amp;CK Mappings'!$E559)),ISNUMBER(SEARCH(IF(B$1&lt;&gt;"",B$1,"NA"),'MITRE ATT&amp;CK Mappings'!$F559))),ISNUMBER(SEARCH(IF(B$2&lt;&gt;"",B$2,"NA"),'MITRE ATT&amp;CK Mappings'!$G559))),ISNUMBER(SEARCH(IF(B$2&lt;&gt;"",B$2,"NA"),'MITRE ATT&amp;CK Mappings'!$H559))),ISNUMBER(SEARCH(IF(B$3&lt;&gt;"",B$3,"NA"),'MITRE ATT&amp;CK Mappings'!$I559))),ISNUMBER(SEARCH(IF(B$3&lt;&gt;"",B$3,"NA"),'MITRE ATT&amp;CK Mappings'!$J559))), 'MITRE ATT&amp;CK Mappings'!$B559,"")</f>
        <v/>
      </c>
      <c r="C563" s="27" t="str">
        <f>IF(OR(OR(OR(OR(OR(ISNUMBER(SEARCH(IF(C$1&lt;&gt;"",C$1,"NA"),'MITRE ATT&amp;CK Mappings'!$E559)),ISNUMBER(SEARCH(IF(C$1&lt;&gt;"",C$1,"NA"),'MITRE ATT&amp;CK Mappings'!$F559))),ISNUMBER(SEARCH(IF(C$2&lt;&gt;"",C$2,"NA"),'MITRE ATT&amp;CK Mappings'!$G559))),ISNUMBER(SEARCH(IF(C$2&lt;&gt;"",C$2,"NA"),'MITRE ATT&amp;CK Mappings'!$H559))),ISNUMBER(SEARCH(IF(C$3&lt;&gt;"",C$3,"NA"),'MITRE ATT&amp;CK Mappings'!$I559))),ISNUMBER(SEARCH(IF(C$3&lt;&gt;"",C$3,"NA"),'MITRE ATT&amp;CK Mappings'!$J559))), 'MITRE ATT&amp;CK Mappings'!$B559,"")</f>
        <v/>
      </c>
      <c r="D563" s="27" t="str">
        <f>IF(OR(OR(OR(OR(OR(ISNUMBER(SEARCH(IF(D$1&lt;&gt;"",D$1,"NA"),'MITRE ATT&amp;CK Mappings'!$E559)),ISNUMBER(SEARCH(IF(D$1&lt;&gt;"",D$1,"NA"),'MITRE ATT&amp;CK Mappings'!$F559))),ISNUMBER(SEARCH(IF(D$2&lt;&gt;"",D$2,"NA"),'MITRE ATT&amp;CK Mappings'!$G559))),ISNUMBER(SEARCH(IF(D$2&lt;&gt;"",D$2,"NA"),'MITRE ATT&amp;CK Mappings'!$H559))),ISNUMBER(SEARCH(IF(D$3&lt;&gt;"",D$3,"NA"),'MITRE ATT&amp;CK Mappings'!$I559))),ISNUMBER(SEARCH(IF(D$3&lt;&gt;"",D$3,"NA"),'MITRE ATT&amp;CK Mappings'!$J559))), 'MITRE ATT&amp;CK Mappings'!$B559,"")</f>
        <v/>
      </c>
      <c r="E563" s="27" t="str">
        <f>IF(OR(OR(OR(OR(OR(ISNUMBER(SEARCH(IF(E$1&lt;&gt;"",E$1,"NA"),'MITRE ATT&amp;CK Mappings'!$E559)),ISNUMBER(SEARCH(IF(E$1&lt;&gt;"",E$1,"NA"),'MITRE ATT&amp;CK Mappings'!$F559))),ISNUMBER(SEARCH(IF(E$2&lt;&gt;"",E$2,"NA"),'MITRE ATT&amp;CK Mappings'!$G559))),ISNUMBER(SEARCH(IF(E$2&lt;&gt;"",E$2,"NA"),'MITRE ATT&amp;CK Mappings'!$H559))),ISNUMBER(SEARCH(IF(E$3&lt;&gt;"",E$3,"NA"),'MITRE ATT&amp;CK Mappings'!$I559))),ISNUMBER(SEARCH(IF(E$3&lt;&gt;"",E$3,"NA"),'MITRE ATT&amp;CK Mappings'!$J559))), 'MITRE ATT&amp;CK Mappings'!$B559,"")</f>
        <v/>
      </c>
      <c r="F563" s="27" t="str">
        <f>IF(OR(OR(OR(OR(OR(ISNUMBER(SEARCH(IF(F$1&lt;&gt;"",F$1,"NA"),'MITRE ATT&amp;CK Mappings'!$E559)),ISNUMBER(SEARCH(IF(F$1&lt;&gt;"",F$1,"NA"),'MITRE ATT&amp;CK Mappings'!$F559))),ISNUMBER(SEARCH(IF(F$2&lt;&gt;"",F$2,"NA"),'MITRE ATT&amp;CK Mappings'!$G559))),ISNUMBER(SEARCH(IF(F$2&lt;&gt;"",F$2,"NA"),'MITRE ATT&amp;CK Mappings'!$H559))),ISNUMBER(SEARCH(IF(F$3&lt;&gt;"",F$3,"NA"),'MITRE ATT&amp;CK Mappings'!$I559))),ISNUMBER(SEARCH(IF(F$3&lt;&gt;"",F$3,"NA"),'MITRE ATT&amp;CK Mappings'!$J559))), 'MITRE ATT&amp;CK Mappings'!$B559,"")</f>
        <v/>
      </c>
      <c r="G563" s="27" t="str">
        <f>IF(OR(OR(OR(OR(OR(ISNUMBER(SEARCH(IF(G$1&lt;&gt;"",G$1,"NA"),'MITRE ATT&amp;CK Mappings'!$E559)),ISNUMBER(SEARCH(IF(G$1&lt;&gt;"",G$1,"NA"),'MITRE ATT&amp;CK Mappings'!$F559))),ISNUMBER(SEARCH(IF(G$2&lt;&gt;"",G$2,"NA"),'MITRE ATT&amp;CK Mappings'!$G559))),ISNUMBER(SEARCH(IF(G$2&lt;&gt;"",G$2,"NA"),'MITRE ATT&amp;CK Mappings'!$H559))),ISNUMBER(SEARCH(IF(G$3&lt;&gt;"",G$3,"NA"),'MITRE ATT&amp;CK Mappings'!$I559))),ISNUMBER(SEARCH(IF(G$3&lt;&gt;"",G$3,"NA"),'MITRE ATT&amp;CK Mappings'!$J559))), 'MITRE ATT&amp;CK Mappings'!$B559,"")</f>
        <v/>
      </c>
      <c r="H563" s="27" t="str">
        <f>IF(OR(OR(OR(OR(OR(ISNUMBER(SEARCH(IF(H$1&lt;&gt;"",H$1,"NA"),'MITRE ATT&amp;CK Mappings'!$E559)),ISNUMBER(SEARCH(IF(H$1&lt;&gt;"",H$1,"NA"),'MITRE ATT&amp;CK Mappings'!$F559))),ISNUMBER(SEARCH(IF(H$2&lt;&gt;"",H$2,"NA"),'MITRE ATT&amp;CK Mappings'!$G559))),ISNUMBER(SEARCH(IF(H$2&lt;&gt;"",H$2,"NA"),'MITRE ATT&amp;CK Mappings'!$H559))),ISNUMBER(SEARCH(IF(H$3&lt;&gt;"",H$3,"NA"),'MITRE ATT&amp;CK Mappings'!$I559))),ISNUMBER(SEARCH(IF(H$3&lt;&gt;"",H$3,"NA"),'MITRE ATT&amp;CK Mappings'!$J559))), 'MITRE ATT&amp;CK Mappings'!$B559,"")</f>
        <v/>
      </c>
      <c r="I563" s="27" t="str">
        <f>IF(OR(OR(OR(OR(OR(ISNUMBER(SEARCH(IF(I$1&lt;&gt;"",I$1,"NA"),'MITRE ATT&amp;CK Mappings'!$E559)),ISNUMBER(SEARCH(IF(I$1&lt;&gt;"",I$1,"NA"),'MITRE ATT&amp;CK Mappings'!$F559))),ISNUMBER(SEARCH(IF(I$2&lt;&gt;"",I$2,"NA"),'MITRE ATT&amp;CK Mappings'!$G559))),ISNUMBER(SEARCH(IF(I$2&lt;&gt;"",I$2,"NA"),'MITRE ATT&amp;CK Mappings'!$H559))),ISNUMBER(SEARCH(IF(I$3&lt;&gt;"",I$3,"NA"),'MITRE ATT&amp;CK Mappings'!$I559))),ISNUMBER(SEARCH(IF(I$3&lt;&gt;"",I$3,"NA"),'MITRE ATT&amp;CK Mappings'!$J559))), 'MITRE ATT&amp;CK Mappings'!$B559,"")</f>
        <v/>
      </c>
      <c r="J563" s="27" t="str">
        <f>IF(OR(OR(OR(OR(OR(ISNUMBER(SEARCH(IF(J$1&lt;&gt;"",J$1,"NA"),'MITRE ATT&amp;CK Mappings'!$E559)),ISNUMBER(SEARCH(IF(J$1&lt;&gt;"",J$1,"NA"),'MITRE ATT&amp;CK Mappings'!$F559))),ISNUMBER(SEARCH(IF(J$2&lt;&gt;"",J$2,"NA"),'MITRE ATT&amp;CK Mappings'!$G559))),ISNUMBER(SEARCH(IF(J$2&lt;&gt;"",J$2,"NA"),'MITRE ATT&amp;CK Mappings'!$H559))),ISNUMBER(SEARCH(IF(J$3&lt;&gt;"",J$3,"NA"),'MITRE ATT&amp;CK Mappings'!$I559))),ISNUMBER(SEARCH(IF(J$3&lt;&gt;"",J$3,"NA"),'MITRE ATT&amp;CK Mappings'!$J559))), 'MITRE ATT&amp;CK Mappings'!$B559,"")</f>
        <v/>
      </c>
      <c r="K563" s="27" t="str">
        <f>IF(OR(OR(OR(OR(OR(ISNUMBER(SEARCH(IF(K$1&lt;&gt;"",K$1,"NA"),'MITRE ATT&amp;CK Mappings'!$E559)),ISNUMBER(SEARCH(IF(K$1&lt;&gt;"",K$1,"NA"),'MITRE ATT&amp;CK Mappings'!$F559))),ISNUMBER(SEARCH(IF(K$2&lt;&gt;"",K$2,"NA"),'MITRE ATT&amp;CK Mappings'!$G559))),ISNUMBER(SEARCH(IF(K$2&lt;&gt;"",K$2,"NA"),'MITRE ATT&amp;CK Mappings'!$H559))),ISNUMBER(SEARCH(IF(K$3&lt;&gt;"",K$3,"NA"),'MITRE ATT&amp;CK Mappings'!$I559))),ISNUMBER(SEARCH(IF(K$3&lt;&gt;"",K$3,"NA"),'MITRE ATT&amp;CK Mappings'!$J559))), 'MITRE ATT&amp;CK Mappings'!$B559,"")</f>
        <v/>
      </c>
      <c r="L563" s="27" t="str">
        <f>IF('MITRE ATT&amp;CK Mappings'!D559 &lt;&gt;"",'MITRE ATT&amp;CK Mappings'!D559,"" )</f>
        <v/>
      </c>
    </row>
    <row r="564" spans="1:12" x14ac:dyDescent="0.25">
      <c r="A564" s="26" t="str">
        <f>IF(COUNTIF(B564:K564,"="&amp;'MITRE ATT&amp;CK Mappings'!B560)&gt;0,'MITRE ATT&amp;CK Mappings'!B560,"")</f>
        <v/>
      </c>
      <c r="B564" s="26" t="str">
        <f>IF(OR(OR(OR(OR(OR(ISNUMBER(SEARCH(IF(B$1&lt;&gt;"",B$1,"NA"),'MITRE ATT&amp;CK Mappings'!$E560)),ISNUMBER(SEARCH(IF(B$1&lt;&gt;"",B$1,"NA"),'MITRE ATT&amp;CK Mappings'!$F560))),ISNUMBER(SEARCH(IF(B$2&lt;&gt;"",B$2,"NA"),'MITRE ATT&amp;CK Mappings'!$G560))),ISNUMBER(SEARCH(IF(B$2&lt;&gt;"",B$2,"NA"),'MITRE ATT&amp;CK Mappings'!$H560))),ISNUMBER(SEARCH(IF(B$3&lt;&gt;"",B$3,"NA"),'MITRE ATT&amp;CK Mappings'!$I560))),ISNUMBER(SEARCH(IF(B$3&lt;&gt;"",B$3,"NA"),'MITRE ATT&amp;CK Mappings'!$J560))), 'MITRE ATT&amp;CK Mappings'!$B560,"")</f>
        <v/>
      </c>
      <c r="C564" s="26" t="str">
        <f>IF(OR(OR(OR(OR(OR(ISNUMBER(SEARCH(IF(C$1&lt;&gt;"",C$1,"NA"),'MITRE ATT&amp;CK Mappings'!$E560)),ISNUMBER(SEARCH(IF(C$1&lt;&gt;"",C$1,"NA"),'MITRE ATT&amp;CK Mappings'!$F560))),ISNUMBER(SEARCH(IF(C$2&lt;&gt;"",C$2,"NA"),'MITRE ATT&amp;CK Mappings'!$G560))),ISNUMBER(SEARCH(IF(C$2&lt;&gt;"",C$2,"NA"),'MITRE ATT&amp;CK Mappings'!$H560))),ISNUMBER(SEARCH(IF(C$3&lt;&gt;"",C$3,"NA"),'MITRE ATT&amp;CK Mappings'!$I560))),ISNUMBER(SEARCH(IF(C$3&lt;&gt;"",C$3,"NA"),'MITRE ATT&amp;CK Mappings'!$J560))), 'MITRE ATT&amp;CK Mappings'!$B560,"")</f>
        <v/>
      </c>
      <c r="D564" s="26" t="str">
        <f>IF(OR(OR(OR(OR(OR(ISNUMBER(SEARCH(IF(D$1&lt;&gt;"",D$1,"NA"),'MITRE ATT&amp;CK Mappings'!$E560)),ISNUMBER(SEARCH(IF(D$1&lt;&gt;"",D$1,"NA"),'MITRE ATT&amp;CK Mappings'!$F560))),ISNUMBER(SEARCH(IF(D$2&lt;&gt;"",D$2,"NA"),'MITRE ATT&amp;CK Mappings'!$G560))),ISNUMBER(SEARCH(IF(D$2&lt;&gt;"",D$2,"NA"),'MITRE ATT&amp;CK Mappings'!$H560))),ISNUMBER(SEARCH(IF(D$3&lt;&gt;"",D$3,"NA"),'MITRE ATT&amp;CK Mappings'!$I560))),ISNUMBER(SEARCH(IF(D$3&lt;&gt;"",D$3,"NA"),'MITRE ATT&amp;CK Mappings'!$J560))), 'MITRE ATT&amp;CK Mappings'!$B560,"")</f>
        <v/>
      </c>
      <c r="E564" s="26" t="str">
        <f>IF(OR(OR(OR(OR(OR(ISNUMBER(SEARCH(IF(E$1&lt;&gt;"",E$1,"NA"),'MITRE ATT&amp;CK Mappings'!$E560)),ISNUMBER(SEARCH(IF(E$1&lt;&gt;"",E$1,"NA"),'MITRE ATT&amp;CK Mappings'!$F560))),ISNUMBER(SEARCH(IF(E$2&lt;&gt;"",E$2,"NA"),'MITRE ATT&amp;CK Mappings'!$G560))),ISNUMBER(SEARCH(IF(E$2&lt;&gt;"",E$2,"NA"),'MITRE ATT&amp;CK Mappings'!$H560))),ISNUMBER(SEARCH(IF(E$3&lt;&gt;"",E$3,"NA"),'MITRE ATT&amp;CK Mappings'!$I560))),ISNUMBER(SEARCH(IF(E$3&lt;&gt;"",E$3,"NA"),'MITRE ATT&amp;CK Mappings'!$J560))), 'MITRE ATT&amp;CK Mappings'!$B560,"")</f>
        <v/>
      </c>
      <c r="F564" s="26" t="str">
        <f>IF(OR(OR(OR(OR(OR(ISNUMBER(SEARCH(IF(F$1&lt;&gt;"",F$1,"NA"),'MITRE ATT&amp;CK Mappings'!$E560)),ISNUMBER(SEARCH(IF(F$1&lt;&gt;"",F$1,"NA"),'MITRE ATT&amp;CK Mappings'!$F560))),ISNUMBER(SEARCH(IF(F$2&lt;&gt;"",F$2,"NA"),'MITRE ATT&amp;CK Mappings'!$G560))),ISNUMBER(SEARCH(IF(F$2&lt;&gt;"",F$2,"NA"),'MITRE ATT&amp;CK Mappings'!$H560))),ISNUMBER(SEARCH(IF(F$3&lt;&gt;"",F$3,"NA"),'MITRE ATT&amp;CK Mappings'!$I560))),ISNUMBER(SEARCH(IF(F$3&lt;&gt;"",F$3,"NA"),'MITRE ATT&amp;CK Mappings'!$J560))), 'MITRE ATT&amp;CK Mappings'!$B560,"")</f>
        <v/>
      </c>
      <c r="G564" s="26" t="str">
        <f>IF(OR(OR(OR(OR(OR(ISNUMBER(SEARCH(IF(G$1&lt;&gt;"",G$1,"NA"),'MITRE ATT&amp;CK Mappings'!$E560)),ISNUMBER(SEARCH(IF(G$1&lt;&gt;"",G$1,"NA"),'MITRE ATT&amp;CK Mappings'!$F560))),ISNUMBER(SEARCH(IF(G$2&lt;&gt;"",G$2,"NA"),'MITRE ATT&amp;CK Mappings'!$G560))),ISNUMBER(SEARCH(IF(G$2&lt;&gt;"",G$2,"NA"),'MITRE ATT&amp;CK Mappings'!$H560))),ISNUMBER(SEARCH(IF(G$3&lt;&gt;"",G$3,"NA"),'MITRE ATT&amp;CK Mappings'!$I560))),ISNUMBER(SEARCH(IF(G$3&lt;&gt;"",G$3,"NA"),'MITRE ATT&amp;CK Mappings'!$J560))), 'MITRE ATT&amp;CK Mappings'!$B560,"")</f>
        <v/>
      </c>
      <c r="H564" s="26" t="str">
        <f>IF(OR(OR(OR(OR(OR(ISNUMBER(SEARCH(IF(H$1&lt;&gt;"",H$1,"NA"),'MITRE ATT&amp;CK Mappings'!$E560)),ISNUMBER(SEARCH(IF(H$1&lt;&gt;"",H$1,"NA"),'MITRE ATT&amp;CK Mappings'!$F560))),ISNUMBER(SEARCH(IF(H$2&lt;&gt;"",H$2,"NA"),'MITRE ATT&amp;CK Mappings'!$G560))),ISNUMBER(SEARCH(IF(H$2&lt;&gt;"",H$2,"NA"),'MITRE ATT&amp;CK Mappings'!$H560))),ISNUMBER(SEARCH(IF(H$3&lt;&gt;"",H$3,"NA"),'MITRE ATT&amp;CK Mappings'!$I560))),ISNUMBER(SEARCH(IF(H$3&lt;&gt;"",H$3,"NA"),'MITRE ATT&amp;CK Mappings'!$J560))), 'MITRE ATT&amp;CK Mappings'!$B560,"")</f>
        <v/>
      </c>
      <c r="I564" s="26" t="str">
        <f>IF(OR(OR(OR(OR(OR(ISNUMBER(SEARCH(IF(I$1&lt;&gt;"",I$1,"NA"),'MITRE ATT&amp;CK Mappings'!$E560)),ISNUMBER(SEARCH(IF(I$1&lt;&gt;"",I$1,"NA"),'MITRE ATT&amp;CK Mappings'!$F560))),ISNUMBER(SEARCH(IF(I$2&lt;&gt;"",I$2,"NA"),'MITRE ATT&amp;CK Mappings'!$G560))),ISNUMBER(SEARCH(IF(I$2&lt;&gt;"",I$2,"NA"),'MITRE ATT&amp;CK Mappings'!$H560))),ISNUMBER(SEARCH(IF(I$3&lt;&gt;"",I$3,"NA"),'MITRE ATT&amp;CK Mappings'!$I560))),ISNUMBER(SEARCH(IF(I$3&lt;&gt;"",I$3,"NA"),'MITRE ATT&amp;CK Mappings'!$J560))), 'MITRE ATT&amp;CK Mappings'!$B560,"")</f>
        <v/>
      </c>
      <c r="J564" s="26" t="str">
        <f>IF(OR(OR(OR(OR(OR(ISNUMBER(SEARCH(IF(J$1&lt;&gt;"",J$1,"NA"),'MITRE ATT&amp;CK Mappings'!$E560)),ISNUMBER(SEARCH(IF(J$1&lt;&gt;"",J$1,"NA"),'MITRE ATT&amp;CK Mappings'!$F560))),ISNUMBER(SEARCH(IF(J$2&lt;&gt;"",J$2,"NA"),'MITRE ATT&amp;CK Mappings'!$G560))),ISNUMBER(SEARCH(IF(J$2&lt;&gt;"",J$2,"NA"),'MITRE ATT&amp;CK Mappings'!$H560))),ISNUMBER(SEARCH(IF(J$3&lt;&gt;"",J$3,"NA"),'MITRE ATT&amp;CK Mappings'!$I560))),ISNUMBER(SEARCH(IF(J$3&lt;&gt;"",J$3,"NA"),'MITRE ATT&amp;CK Mappings'!$J560))), 'MITRE ATT&amp;CK Mappings'!$B560,"")</f>
        <v/>
      </c>
      <c r="K564" s="26" t="str">
        <f>IF(OR(OR(OR(OR(OR(ISNUMBER(SEARCH(IF(K$1&lt;&gt;"",K$1,"NA"),'MITRE ATT&amp;CK Mappings'!$E560)),ISNUMBER(SEARCH(IF(K$1&lt;&gt;"",K$1,"NA"),'MITRE ATT&amp;CK Mappings'!$F560))),ISNUMBER(SEARCH(IF(K$2&lt;&gt;"",K$2,"NA"),'MITRE ATT&amp;CK Mappings'!$G560))),ISNUMBER(SEARCH(IF(K$2&lt;&gt;"",K$2,"NA"),'MITRE ATT&amp;CK Mappings'!$H560))),ISNUMBER(SEARCH(IF(K$3&lt;&gt;"",K$3,"NA"),'MITRE ATT&amp;CK Mappings'!$I560))),ISNUMBER(SEARCH(IF(K$3&lt;&gt;"",K$3,"NA"),'MITRE ATT&amp;CK Mappings'!$J560))), 'MITRE ATT&amp;CK Mappings'!$B560,"")</f>
        <v/>
      </c>
      <c r="L564" s="26" t="str">
        <f>IF('MITRE ATT&amp;CK Mappings'!D560 &lt;&gt;"",'MITRE ATT&amp;CK Mappings'!D560,"" )</f>
        <v/>
      </c>
    </row>
    <row r="565" spans="1:12" x14ac:dyDescent="0.25">
      <c r="A565" s="27" t="str">
        <f>IF(COUNTIF(B565:K565,"="&amp;'MITRE ATT&amp;CK Mappings'!B561)&gt;0,'MITRE ATT&amp;CK Mappings'!B561,"")</f>
        <v/>
      </c>
      <c r="B565" s="27" t="str">
        <f>IF(OR(OR(OR(OR(OR(ISNUMBER(SEARCH(IF(B$1&lt;&gt;"",B$1,"NA"),'MITRE ATT&amp;CK Mappings'!$E561)),ISNUMBER(SEARCH(IF(B$1&lt;&gt;"",B$1,"NA"),'MITRE ATT&amp;CK Mappings'!$F561))),ISNUMBER(SEARCH(IF(B$2&lt;&gt;"",B$2,"NA"),'MITRE ATT&amp;CK Mappings'!$G561))),ISNUMBER(SEARCH(IF(B$2&lt;&gt;"",B$2,"NA"),'MITRE ATT&amp;CK Mappings'!$H561))),ISNUMBER(SEARCH(IF(B$3&lt;&gt;"",B$3,"NA"),'MITRE ATT&amp;CK Mappings'!$I561))),ISNUMBER(SEARCH(IF(B$3&lt;&gt;"",B$3,"NA"),'MITRE ATT&amp;CK Mappings'!$J561))), 'MITRE ATT&amp;CK Mappings'!$B561,"")</f>
        <v/>
      </c>
      <c r="C565" s="27" t="str">
        <f>IF(OR(OR(OR(OR(OR(ISNUMBER(SEARCH(IF(C$1&lt;&gt;"",C$1,"NA"),'MITRE ATT&amp;CK Mappings'!$E561)),ISNUMBER(SEARCH(IF(C$1&lt;&gt;"",C$1,"NA"),'MITRE ATT&amp;CK Mappings'!$F561))),ISNUMBER(SEARCH(IF(C$2&lt;&gt;"",C$2,"NA"),'MITRE ATT&amp;CK Mappings'!$G561))),ISNUMBER(SEARCH(IF(C$2&lt;&gt;"",C$2,"NA"),'MITRE ATT&amp;CK Mappings'!$H561))),ISNUMBER(SEARCH(IF(C$3&lt;&gt;"",C$3,"NA"),'MITRE ATT&amp;CK Mappings'!$I561))),ISNUMBER(SEARCH(IF(C$3&lt;&gt;"",C$3,"NA"),'MITRE ATT&amp;CK Mappings'!$J561))), 'MITRE ATT&amp;CK Mappings'!$B561,"")</f>
        <v/>
      </c>
      <c r="D565" s="27" t="str">
        <f>IF(OR(OR(OR(OR(OR(ISNUMBER(SEARCH(IF(D$1&lt;&gt;"",D$1,"NA"),'MITRE ATT&amp;CK Mappings'!$E561)),ISNUMBER(SEARCH(IF(D$1&lt;&gt;"",D$1,"NA"),'MITRE ATT&amp;CK Mappings'!$F561))),ISNUMBER(SEARCH(IF(D$2&lt;&gt;"",D$2,"NA"),'MITRE ATT&amp;CK Mappings'!$G561))),ISNUMBER(SEARCH(IF(D$2&lt;&gt;"",D$2,"NA"),'MITRE ATT&amp;CK Mappings'!$H561))),ISNUMBER(SEARCH(IF(D$3&lt;&gt;"",D$3,"NA"),'MITRE ATT&amp;CK Mappings'!$I561))),ISNUMBER(SEARCH(IF(D$3&lt;&gt;"",D$3,"NA"),'MITRE ATT&amp;CK Mappings'!$J561))), 'MITRE ATT&amp;CK Mappings'!$B561,"")</f>
        <v/>
      </c>
      <c r="E565" s="27" t="str">
        <f>IF(OR(OR(OR(OR(OR(ISNUMBER(SEARCH(IF(E$1&lt;&gt;"",E$1,"NA"),'MITRE ATT&amp;CK Mappings'!$E561)),ISNUMBER(SEARCH(IF(E$1&lt;&gt;"",E$1,"NA"),'MITRE ATT&amp;CK Mappings'!$F561))),ISNUMBER(SEARCH(IF(E$2&lt;&gt;"",E$2,"NA"),'MITRE ATT&amp;CK Mappings'!$G561))),ISNUMBER(SEARCH(IF(E$2&lt;&gt;"",E$2,"NA"),'MITRE ATT&amp;CK Mappings'!$H561))),ISNUMBER(SEARCH(IF(E$3&lt;&gt;"",E$3,"NA"),'MITRE ATT&amp;CK Mappings'!$I561))),ISNUMBER(SEARCH(IF(E$3&lt;&gt;"",E$3,"NA"),'MITRE ATT&amp;CK Mappings'!$J561))), 'MITRE ATT&amp;CK Mappings'!$B561,"")</f>
        <v/>
      </c>
      <c r="F565" s="27" t="str">
        <f>IF(OR(OR(OR(OR(OR(ISNUMBER(SEARCH(IF(F$1&lt;&gt;"",F$1,"NA"),'MITRE ATT&amp;CK Mappings'!$E561)),ISNUMBER(SEARCH(IF(F$1&lt;&gt;"",F$1,"NA"),'MITRE ATT&amp;CK Mappings'!$F561))),ISNUMBER(SEARCH(IF(F$2&lt;&gt;"",F$2,"NA"),'MITRE ATT&amp;CK Mappings'!$G561))),ISNUMBER(SEARCH(IF(F$2&lt;&gt;"",F$2,"NA"),'MITRE ATT&amp;CK Mappings'!$H561))),ISNUMBER(SEARCH(IF(F$3&lt;&gt;"",F$3,"NA"),'MITRE ATT&amp;CK Mappings'!$I561))),ISNUMBER(SEARCH(IF(F$3&lt;&gt;"",F$3,"NA"),'MITRE ATT&amp;CK Mappings'!$J561))), 'MITRE ATT&amp;CK Mappings'!$B561,"")</f>
        <v/>
      </c>
      <c r="G565" s="27" t="str">
        <f>IF(OR(OR(OR(OR(OR(ISNUMBER(SEARCH(IF(G$1&lt;&gt;"",G$1,"NA"),'MITRE ATT&amp;CK Mappings'!$E561)),ISNUMBER(SEARCH(IF(G$1&lt;&gt;"",G$1,"NA"),'MITRE ATT&amp;CK Mappings'!$F561))),ISNUMBER(SEARCH(IF(G$2&lt;&gt;"",G$2,"NA"),'MITRE ATT&amp;CK Mappings'!$G561))),ISNUMBER(SEARCH(IF(G$2&lt;&gt;"",G$2,"NA"),'MITRE ATT&amp;CK Mappings'!$H561))),ISNUMBER(SEARCH(IF(G$3&lt;&gt;"",G$3,"NA"),'MITRE ATT&amp;CK Mappings'!$I561))),ISNUMBER(SEARCH(IF(G$3&lt;&gt;"",G$3,"NA"),'MITRE ATT&amp;CK Mappings'!$J561))), 'MITRE ATT&amp;CK Mappings'!$B561,"")</f>
        <v/>
      </c>
      <c r="H565" s="27" t="str">
        <f>IF(OR(OR(OR(OR(OR(ISNUMBER(SEARCH(IF(H$1&lt;&gt;"",H$1,"NA"),'MITRE ATT&amp;CK Mappings'!$E561)),ISNUMBER(SEARCH(IF(H$1&lt;&gt;"",H$1,"NA"),'MITRE ATT&amp;CK Mappings'!$F561))),ISNUMBER(SEARCH(IF(H$2&lt;&gt;"",H$2,"NA"),'MITRE ATT&amp;CK Mappings'!$G561))),ISNUMBER(SEARCH(IF(H$2&lt;&gt;"",H$2,"NA"),'MITRE ATT&amp;CK Mappings'!$H561))),ISNUMBER(SEARCH(IF(H$3&lt;&gt;"",H$3,"NA"),'MITRE ATT&amp;CK Mappings'!$I561))),ISNUMBER(SEARCH(IF(H$3&lt;&gt;"",H$3,"NA"),'MITRE ATT&amp;CK Mappings'!$J561))), 'MITRE ATT&amp;CK Mappings'!$B561,"")</f>
        <v/>
      </c>
      <c r="I565" s="27" t="str">
        <f>IF(OR(OR(OR(OR(OR(ISNUMBER(SEARCH(IF(I$1&lt;&gt;"",I$1,"NA"),'MITRE ATT&amp;CK Mappings'!$E561)),ISNUMBER(SEARCH(IF(I$1&lt;&gt;"",I$1,"NA"),'MITRE ATT&amp;CK Mappings'!$F561))),ISNUMBER(SEARCH(IF(I$2&lt;&gt;"",I$2,"NA"),'MITRE ATT&amp;CK Mappings'!$G561))),ISNUMBER(SEARCH(IF(I$2&lt;&gt;"",I$2,"NA"),'MITRE ATT&amp;CK Mappings'!$H561))),ISNUMBER(SEARCH(IF(I$3&lt;&gt;"",I$3,"NA"),'MITRE ATT&amp;CK Mappings'!$I561))),ISNUMBER(SEARCH(IF(I$3&lt;&gt;"",I$3,"NA"),'MITRE ATT&amp;CK Mappings'!$J561))), 'MITRE ATT&amp;CK Mappings'!$B561,"")</f>
        <v/>
      </c>
      <c r="J565" s="27" t="str">
        <f>IF(OR(OR(OR(OR(OR(ISNUMBER(SEARCH(IF(J$1&lt;&gt;"",J$1,"NA"),'MITRE ATT&amp;CK Mappings'!$E561)),ISNUMBER(SEARCH(IF(J$1&lt;&gt;"",J$1,"NA"),'MITRE ATT&amp;CK Mappings'!$F561))),ISNUMBER(SEARCH(IF(J$2&lt;&gt;"",J$2,"NA"),'MITRE ATT&amp;CK Mappings'!$G561))),ISNUMBER(SEARCH(IF(J$2&lt;&gt;"",J$2,"NA"),'MITRE ATT&amp;CK Mappings'!$H561))),ISNUMBER(SEARCH(IF(J$3&lt;&gt;"",J$3,"NA"),'MITRE ATT&amp;CK Mappings'!$I561))),ISNUMBER(SEARCH(IF(J$3&lt;&gt;"",J$3,"NA"),'MITRE ATT&amp;CK Mappings'!$J561))), 'MITRE ATT&amp;CK Mappings'!$B561,"")</f>
        <v/>
      </c>
      <c r="K565" s="27" t="str">
        <f>IF(OR(OR(OR(OR(OR(ISNUMBER(SEARCH(IF(K$1&lt;&gt;"",K$1,"NA"),'MITRE ATT&amp;CK Mappings'!$E561)),ISNUMBER(SEARCH(IF(K$1&lt;&gt;"",K$1,"NA"),'MITRE ATT&amp;CK Mappings'!$F561))),ISNUMBER(SEARCH(IF(K$2&lt;&gt;"",K$2,"NA"),'MITRE ATT&amp;CK Mappings'!$G561))),ISNUMBER(SEARCH(IF(K$2&lt;&gt;"",K$2,"NA"),'MITRE ATT&amp;CK Mappings'!$H561))),ISNUMBER(SEARCH(IF(K$3&lt;&gt;"",K$3,"NA"),'MITRE ATT&amp;CK Mappings'!$I561))),ISNUMBER(SEARCH(IF(K$3&lt;&gt;"",K$3,"NA"),'MITRE ATT&amp;CK Mappings'!$J561))), 'MITRE ATT&amp;CK Mappings'!$B561,"")</f>
        <v/>
      </c>
      <c r="L565" s="27" t="str">
        <f>IF('MITRE ATT&amp;CK Mappings'!D561 &lt;&gt;"",'MITRE ATT&amp;CK Mappings'!D561,"" )</f>
        <v/>
      </c>
    </row>
    <row r="566" spans="1:12" x14ac:dyDescent="0.25">
      <c r="A566" s="26" t="str">
        <f>IF(COUNTIF(B566:K566,"="&amp;'MITRE ATT&amp;CK Mappings'!B562)&gt;0,'MITRE ATT&amp;CK Mappings'!B562,"")</f>
        <v/>
      </c>
      <c r="B566" s="26" t="str">
        <f>IF(OR(OR(OR(OR(OR(ISNUMBER(SEARCH(IF(B$1&lt;&gt;"",B$1,"NA"),'MITRE ATT&amp;CK Mappings'!$E562)),ISNUMBER(SEARCH(IF(B$1&lt;&gt;"",B$1,"NA"),'MITRE ATT&amp;CK Mappings'!$F562))),ISNUMBER(SEARCH(IF(B$2&lt;&gt;"",B$2,"NA"),'MITRE ATT&amp;CK Mappings'!$G562))),ISNUMBER(SEARCH(IF(B$2&lt;&gt;"",B$2,"NA"),'MITRE ATT&amp;CK Mappings'!$H562))),ISNUMBER(SEARCH(IF(B$3&lt;&gt;"",B$3,"NA"),'MITRE ATT&amp;CK Mappings'!$I562))),ISNUMBER(SEARCH(IF(B$3&lt;&gt;"",B$3,"NA"),'MITRE ATT&amp;CK Mappings'!$J562))), 'MITRE ATT&amp;CK Mappings'!$B562,"")</f>
        <v/>
      </c>
      <c r="C566" s="26" t="str">
        <f>IF(OR(OR(OR(OR(OR(ISNUMBER(SEARCH(IF(C$1&lt;&gt;"",C$1,"NA"),'MITRE ATT&amp;CK Mappings'!$E562)),ISNUMBER(SEARCH(IF(C$1&lt;&gt;"",C$1,"NA"),'MITRE ATT&amp;CK Mappings'!$F562))),ISNUMBER(SEARCH(IF(C$2&lt;&gt;"",C$2,"NA"),'MITRE ATT&amp;CK Mappings'!$G562))),ISNUMBER(SEARCH(IF(C$2&lt;&gt;"",C$2,"NA"),'MITRE ATT&amp;CK Mappings'!$H562))),ISNUMBER(SEARCH(IF(C$3&lt;&gt;"",C$3,"NA"),'MITRE ATT&amp;CK Mappings'!$I562))),ISNUMBER(SEARCH(IF(C$3&lt;&gt;"",C$3,"NA"),'MITRE ATT&amp;CK Mappings'!$J562))), 'MITRE ATT&amp;CK Mappings'!$B562,"")</f>
        <v/>
      </c>
      <c r="D566" s="26" t="str">
        <f>IF(OR(OR(OR(OR(OR(ISNUMBER(SEARCH(IF(D$1&lt;&gt;"",D$1,"NA"),'MITRE ATT&amp;CK Mappings'!$E562)),ISNUMBER(SEARCH(IF(D$1&lt;&gt;"",D$1,"NA"),'MITRE ATT&amp;CK Mappings'!$F562))),ISNUMBER(SEARCH(IF(D$2&lt;&gt;"",D$2,"NA"),'MITRE ATT&amp;CK Mappings'!$G562))),ISNUMBER(SEARCH(IF(D$2&lt;&gt;"",D$2,"NA"),'MITRE ATT&amp;CK Mappings'!$H562))),ISNUMBER(SEARCH(IF(D$3&lt;&gt;"",D$3,"NA"),'MITRE ATT&amp;CK Mappings'!$I562))),ISNUMBER(SEARCH(IF(D$3&lt;&gt;"",D$3,"NA"),'MITRE ATT&amp;CK Mappings'!$J562))), 'MITRE ATT&amp;CK Mappings'!$B562,"")</f>
        <v/>
      </c>
      <c r="E566" s="26" t="str">
        <f>IF(OR(OR(OR(OR(OR(ISNUMBER(SEARCH(IF(E$1&lt;&gt;"",E$1,"NA"),'MITRE ATT&amp;CK Mappings'!$E562)),ISNUMBER(SEARCH(IF(E$1&lt;&gt;"",E$1,"NA"),'MITRE ATT&amp;CK Mappings'!$F562))),ISNUMBER(SEARCH(IF(E$2&lt;&gt;"",E$2,"NA"),'MITRE ATT&amp;CK Mappings'!$G562))),ISNUMBER(SEARCH(IF(E$2&lt;&gt;"",E$2,"NA"),'MITRE ATT&amp;CK Mappings'!$H562))),ISNUMBER(SEARCH(IF(E$3&lt;&gt;"",E$3,"NA"),'MITRE ATT&amp;CK Mappings'!$I562))),ISNUMBER(SEARCH(IF(E$3&lt;&gt;"",E$3,"NA"),'MITRE ATT&amp;CK Mappings'!$J562))), 'MITRE ATT&amp;CK Mappings'!$B562,"")</f>
        <v/>
      </c>
      <c r="F566" s="26" t="str">
        <f>IF(OR(OR(OR(OR(OR(ISNUMBER(SEARCH(IF(F$1&lt;&gt;"",F$1,"NA"),'MITRE ATT&amp;CK Mappings'!$E562)),ISNUMBER(SEARCH(IF(F$1&lt;&gt;"",F$1,"NA"),'MITRE ATT&amp;CK Mappings'!$F562))),ISNUMBER(SEARCH(IF(F$2&lt;&gt;"",F$2,"NA"),'MITRE ATT&amp;CK Mappings'!$G562))),ISNUMBER(SEARCH(IF(F$2&lt;&gt;"",F$2,"NA"),'MITRE ATT&amp;CK Mappings'!$H562))),ISNUMBER(SEARCH(IF(F$3&lt;&gt;"",F$3,"NA"),'MITRE ATT&amp;CK Mappings'!$I562))),ISNUMBER(SEARCH(IF(F$3&lt;&gt;"",F$3,"NA"),'MITRE ATT&amp;CK Mappings'!$J562))), 'MITRE ATT&amp;CK Mappings'!$B562,"")</f>
        <v/>
      </c>
      <c r="G566" s="26" t="str">
        <f>IF(OR(OR(OR(OR(OR(ISNUMBER(SEARCH(IF(G$1&lt;&gt;"",G$1,"NA"),'MITRE ATT&amp;CK Mappings'!$E562)),ISNUMBER(SEARCH(IF(G$1&lt;&gt;"",G$1,"NA"),'MITRE ATT&amp;CK Mappings'!$F562))),ISNUMBER(SEARCH(IF(G$2&lt;&gt;"",G$2,"NA"),'MITRE ATT&amp;CK Mappings'!$G562))),ISNUMBER(SEARCH(IF(G$2&lt;&gt;"",G$2,"NA"),'MITRE ATT&amp;CK Mappings'!$H562))),ISNUMBER(SEARCH(IF(G$3&lt;&gt;"",G$3,"NA"),'MITRE ATT&amp;CK Mappings'!$I562))),ISNUMBER(SEARCH(IF(G$3&lt;&gt;"",G$3,"NA"),'MITRE ATT&amp;CK Mappings'!$J562))), 'MITRE ATT&amp;CK Mappings'!$B562,"")</f>
        <v/>
      </c>
      <c r="H566" s="26" t="str">
        <f>IF(OR(OR(OR(OR(OR(ISNUMBER(SEARCH(IF(H$1&lt;&gt;"",H$1,"NA"),'MITRE ATT&amp;CK Mappings'!$E562)),ISNUMBER(SEARCH(IF(H$1&lt;&gt;"",H$1,"NA"),'MITRE ATT&amp;CK Mappings'!$F562))),ISNUMBER(SEARCH(IF(H$2&lt;&gt;"",H$2,"NA"),'MITRE ATT&amp;CK Mappings'!$G562))),ISNUMBER(SEARCH(IF(H$2&lt;&gt;"",H$2,"NA"),'MITRE ATT&amp;CK Mappings'!$H562))),ISNUMBER(SEARCH(IF(H$3&lt;&gt;"",H$3,"NA"),'MITRE ATT&amp;CK Mappings'!$I562))),ISNUMBER(SEARCH(IF(H$3&lt;&gt;"",H$3,"NA"),'MITRE ATT&amp;CK Mappings'!$J562))), 'MITRE ATT&amp;CK Mappings'!$B562,"")</f>
        <v/>
      </c>
      <c r="I566" s="26" t="str">
        <f>IF(OR(OR(OR(OR(OR(ISNUMBER(SEARCH(IF(I$1&lt;&gt;"",I$1,"NA"),'MITRE ATT&amp;CK Mappings'!$E562)),ISNUMBER(SEARCH(IF(I$1&lt;&gt;"",I$1,"NA"),'MITRE ATT&amp;CK Mappings'!$F562))),ISNUMBER(SEARCH(IF(I$2&lt;&gt;"",I$2,"NA"),'MITRE ATT&amp;CK Mappings'!$G562))),ISNUMBER(SEARCH(IF(I$2&lt;&gt;"",I$2,"NA"),'MITRE ATT&amp;CK Mappings'!$H562))),ISNUMBER(SEARCH(IF(I$3&lt;&gt;"",I$3,"NA"),'MITRE ATT&amp;CK Mappings'!$I562))),ISNUMBER(SEARCH(IF(I$3&lt;&gt;"",I$3,"NA"),'MITRE ATT&amp;CK Mappings'!$J562))), 'MITRE ATT&amp;CK Mappings'!$B562,"")</f>
        <v/>
      </c>
      <c r="J566" s="26" t="str">
        <f>IF(OR(OR(OR(OR(OR(ISNUMBER(SEARCH(IF(J$1&lt;&gt;"",J$1,"NA"),'MITRE ATT&amp;CK Mappings'!$E562)),ISNUMBER(SEARCH(IF(J$1&lt;&gt;"",J$1,"NA"),'MITRE ATT&amp;CK Mappings'!$F562))),ISNUMBER(SEARCH(IF(J$2&lt;&gt;"",J$2,"NA"),'MITRE ATT&amp;CK Mappings'!$G562))),ISNUMBER(SEARCH(IF(J$2&lt;&gt;"",J$2,"NA"),'MITRE ATT&amp;CK Mappings'!$H562))),ISNUMBER(SEARCH(IF(J$3&lt;&gt;"",J$3,"NA"),'MITRE ATT&amp;CK Mappings'!$I562))),ISNUMBER(SEARCH(IF(J$3&lt;&gt;"",J$3,"NA"),'MITRE ATT&amp;CK Mappings'!$J562))), 'MITRE ATT&amp;CK Mappings'!$B562,"")</f>
        <v/>
      </c>
      <c r="K566" s="26" t="str">
        <f>IF(OR(OR(OR(OR(OR(ISNUMBER(SEARCH(IF(K$1&lt;&gt;"",K$1,"NA"),'MITRE ATT&amp;CK Mappings'!$E562)),ISNUMBER(SEARCH(IF(K$1&lt;&gt;"",K$1,"NA"),'MITRE ATT&amp;CK Mappings'!$F562))),ISNUMBER(SEARCH(IF(K$2&lt;&gt;"",K$2,"NA"),'MITRE ATT&amp;CK Mappings'!$G562))),ISNUMBER(SEARCH(IF(K$2&lt;&gt;"",K$2,"NA"),'MITRE ATT&amp;CK Mappings'!$H562))),ISNUMBER(SEARCH(IF(K$3&lt;&gt;"",K$3,"NA"),'MITRE ATT&amp;CK Mappings'!$I562))),ISNUMBER(SEARCH(IF(K$3&lt;&gt;"",K$3,"NA"),'MITRE ATT&amp;CK Mappings'!$J562))), 'MITRE ATT&amp;CK Mappings'!$B562,"")</f>
        <v/>
      </c>
      <c r="L566" s="26" t="str">
        <f>IF('MITRE ATT&amp;CK Mappings'!D562 &lt;&gt;"",'MITRE ATT&amp;CK Mappings'!D562,"" )</f>
        <v/>
      </c>
    </row>
    <row r="567" spans="1:12" x14ac:dyDescent="0.25">
      <c r="A567" s="27" t="str">
        <f>IF(COUNTIF(B567:K567,"="&amp;'MITRE ATT&amp;CK Mappings'!B563)&gt;0,'MITRE ATT&amp;CK Mappings'!B563,"")</f>
        <v/>
      </c>
      <c r="B567" s="27" t="str">
        <f>IF(OR(OR(OR(OR(OR(ISNUMBER(SEARCH(IF(B$1&lt;&gt;"",B$1,"NA"),'MITRE ATT&amp;CK Mappings'!$E563)),ISNUMBER(SEARCH(IF(B$1&lt;&gt;"",B$1,"NA"),'MITRE ATT&amp;CK Mappings'!$F563))),ISNUMBER(SEARCH(IF(B$2&lt;&gt;"",B$2,"NA"),'MITRE ATT&amp;CK Mappings'!$G563))),ISNUMBER(SEARCH(IF(B$2&lt;&gt;"",B$2,"NA"),'MITRE ATT&amp;CK Mappings'!$H563))),ISNUMBER(SEARCH(IF(B$3&lt;&gt;"",B$3,"NA"),'MITRE ATT&amp;CK Mappings'!$I563))),ISNUMBER(SEARCH(IF(B$3&lt;&gt;"",B$3,"NA"),'MITRE ATT&amp;CK Mappings'!$J563))), 'MITRE ATT&amp;CK Mappings'!$B563,"")</f>
        <v/>
      </c>
      <c r="C567" s="27" t="str">
        <f>IF(OR(OR(OR(OR(OR(ISNUMBER(SEARCH(IF(C$1&lt;&gt;"",C$1,"NA"),'MITRE ATT&amp;CK Mappings'!$E563)),ISNUMBER(SEARCH(IF(C$1&lt;&gt;"",C$1,"NA"),'MITRE ATT&amp;CK Mappings'!$F563))),ISNUMBER(SEARCH(IF(C$2&lt;&gt;"",C$2,"NA"),'MITRE ATT&amp;CK Mappings'!$G563))),ISNUMBER(SEARCH(IF(C$2&lt;&gt;"",C$2,"NA"),'MITRE ATT&amp;CK Mappings'!$H563))),ISNUMBER(SEARCH(IF(C$3&lt;&gt;"",C$3,"NA"),'MITRE ATT&amp;CK Mappings'!$I563))),ISNUMBER(SEARCH(IF(C$3&lt;&gt;"",C$3,"NA"),'MITRE ATT&amp;CK Mappings'!$J563))), 'MITRE ATT&amp;CK Mappings'!$B563,"")</f>
        <v/>
      </c>
      <c r="D567" s="27" t="str">
        <f>IF(OR(OR(OR(OR(OR(ISNUMBER(SEARCH(IF(D$1&lt;&gt;"",D$1,"NA"),'MITRE ATT&amp;CK Mappings'!$E563)),ISNUMBER(SEARCH(IF(D$1&lt;&gt;"",D$1,"NA"),'MITRE ATT&amp;CK Mappings'!$F563))),ISNUMBER(SEARCH(IF(D$2&lt;&gt;"",D$2,"NA"),'MITRE ATT&amp;CK Mappings'!$G563))),ISNUMBER(SEARCH(IF(D$2&lt;&gt;"",D$2,"NA"),'MITRE ATT&amp;CK Mappings'!$H563))),ISNUMBER(SEARCH(IF(D$3&lt;&gt;"",D$3,"NA"),'MITRE ATT&amp;CK Mappings'!$I563))),ISNUMBER(SEARCH(IF(D$3&lt;&gt;"",D$3,"NA"),'MITRE ATT&amp;CK Mappings'!$J563))), 'MITRE ATT&amp;CK Mappings'!$B563,"")</f>
        <v/>
      </c>
      <c r="E567" s="27" t="str">
        <f>IF(OR(OR(OR(OR(OR(ISNUMBER(SEARCH(IF(E$1&lt;&gt;"",E$1,"NA"),'MITRE ATT&amp;CK Mappings'!$E563)),ISNUMBER(SEARCH(IF(E$1&lt;&gt;"",E$1,"NA"),'MITRE ATT&amp;CK Mappings'!$F563))),ISNUMBER(SEARCH(IF(E$2&lt;&gt;"",E$2,"NA"),'MITRE ATT&amp;CK Mappings'!$G563))),ISNUMBER(SEARCH(IF(E$2&lt;&gt;"",E$2,"NA"),'MITRE ATT&amp;CK Mappings'!$H563))),ISNUMBER(SEARCH(IF(E$3&lt;&gt;"",E$3,"NA"),'MITRE ATT&amp;CK Mappings'!$I563))),ISNUMBER(SEARCH(IF(E$3&lt;&gt;"",E$3,"NA"),'MITRE ATT&amp;CK Mappings'!$J563))), 'MITRE ATT&amp;CK Mappings'!$B563,"")</f>
        <v/>
      </c>
      <c r="F567" s="27" t="str">
        <f>IF(OR(OR(OR(OR(OR(ISNUMBER(SEARCH(IF(F$1&lt;&gt;"",F$1,"NA"),'MITRE ATT&amp;CK Mappings'!$E563)),ISNUMBER(SEARCH(IF(F$1&lt;&gt;"",F$1,"NA"),'MITRE ATT&amp;CK Mappings'!$F563))),ISNUMBER(SEARCH(IF(F$2&lt;&gt;"",F$2,"NA"),'MITRE ATT&amp;CK Mappings'!$G563))),ISNUMBER(SEARCH(IF(F$2&lt;&gt;"",F$2,"NA"),'MITRE ATT&amp;CK Mappings'!$H563))),ISNUMBER(SEARCH(IF(F$3&lt;&gt;"",F$3,"NA"),'MITRE ATT&amp;CK Mappings'!$I563))),ISNUMBER(SEARCH(IF(F$3&lt;&gt;"",F$3,"NA"),'MITRE ATT&amp;CK Mappings'!$J563))), 'MITRE ATT&amp;CK Mappings'!$B563,"")</f>
        <v/>
      </c>
      <c r="G567" s="27" t="str">
        <f>IF(OR(OR(OR(OR(OR(ISNUMBER(SEARCH(IF(G$1&lt;&gt;"",G$1,"NA"),'MITRE ATT&amp;CK Mappings'!$E563)),ISNUMBER(SEARCH(IF(G$1&lt;&gt;"",G$1,"NA"),'MITRE ATT&amp;CK Mappings'!$F563))),ISNUMBER(SEARCH(IF(G$2&lt;&gt;"",G$2,"NA"),'MITRE ATT&amp;CK Mappings'!$G563))),ISNUMBER(SEARCH(IF(G$2&lt;&gt;"",G$2,"NA"),'MITRE ATT&amp;CK Mappings'!$H563))),ISNUMBER(SEARCH(IF(G$3&lt;&gt;"",G$3,"NA"),'MITRE ATT&amp;CK Mappings'!$I563))),ISNUMBER(SEARCH(IF(G$3&lt;&gt;"",G$3,"NA"),'MITRE ATT&amp;CK Mappings'!$J563))), 'MITRE ATT&amp;CK Mappings'!$B563,"")</f>
        <v/>
      </c>
      <c r="H567" s="27" t="str">
        <f>IF(OR(OR(OR(OR(OR(ISNUMBER(SEARCH(IF(H$1&lt;&gt;"",H$1,"NA"),'MITRE ATT&amp;CK Mappings'!$E563)),ISNUMBER(SEARCH(IF(H$1&lt;&gt;"",H$1,"NA"),'MITRE ATT&amp;CK Mappings'!$F563))),ISNUMBER(SEARCH(IF(H$2&lt;&gt;"",H$2,"NA"),'MITRE ATT&amp;CK Mappings'!$G563))),ISNUMBER(SEARCH(IF(H$2&lt;&gt;"",H$2,"NA"),'MITRE ATT&amp;CK Mappings'!$H563))),ISNUMBER(SEARCH(IF(H$3&lt;&gt;"",H$3,"NA"),'MITRE ATT&amp;CK Mappings'!$I563))),ISNUMBER(SEARCH(IF(H$3&lt;&gt;"",H$3,"NA"),'MITRE ATT&amp;CK Mappings'!$J563))), 'MITRE ATT&amp;CK Mappings'!$B563,"")</f>
        <v/>
      </c>
      <c r="I567" s="27" t="str">
        <f>IF(OR(OR(OR(OR(OR(ISNUMBER(SEARCH(IF(I$1&lt;&gt;"",I$1,"NA"),'MITRE ATT&amp;CK Mappings'!$E563)),ISNUMBER(SEARCH(IF(I$1&lt;&gt;"",I$1,"NA"),'MITRE ATT&amp;CK Mappings'!$F563))),ISNUMBER(SEARCH(IF(I$2&lt;&gt;"",I$2,"NA"),'MITRE ATT&amp;CK Mappings'!$G563))),ISNUMBER(SEARCH(IF(I$2&lt;&gt;"",I$2,"NA"),'MITRE ATT&amp;CK Mappings'!$H563))),ISNUMBER(SEARCH(IF(I$3&lt;&gt;"",I$3,"NA"),'MITRE ATT&amp;CK Mappings'!$I563))),ISNUMBER(SEARCH(IF(I$3&lt;&gt;"",I$3,"NA"),'MITRE ATT&amp;CK Mappings'!$J563))), 'MITRE ATT&amp;CK Mappings'!$B563,"")</f>
        <v/>
      </c>
      <c r="J567" s="27" t="str">
        <f>IF(OR(OR(OR(OR(OR(ISNUMBER(SEARCH(IF(J$1&lt;&gt;"",J$1,"NA"),'MITRE ATT&amp;CK Mappings'!$E563)),ISNUMBER(SEARCH(IF(J$1&lt;&gt;"",J$1,"NA"),'MITRE ATT&amp;CK Mappings'!$F563))),ISNUMBER(SEARCH(IF(J$2&lt;&gt;"",J$2,"NA"),'MITRE ATT&amp;CK Mappings'!$G563))),ISNUMBER(SEARCH(IF(J$2&lt;&gt;"",J$2,"NA"),'MITRE ATT&amp;CK Mappings'!$H563))),ISNUMBER(SEARCH(IF(J$3&lt;&gt;"",J$3,"NA"),'MITRE ATT&amp;CK Mappings'!$I563))),ISNUMBER(SEARCH(IF(J$3&lt;&gt;"",J$3,"NA"),'MITRE ATT&amp;CK Mappings'!$J563))), 'MITRE ATT&amp;CK Mappings'!$B563,"")</f>
        <v/>
      </c>
      <c r="K567" s="27" t="str">
        <f>IF(OR(OR(OR(OR(OR(ISNUMBER(SEARCH(IF(K$1&lt;&gt;"",K$1,"NA"),'MITRE ATT&amp;CK Mappings'!$E563)),ISNUMBER(SEARCH(IF(K$1&lt;&gt;"",K$1,"NA"),'MITRE ATT&amp;CK Mappings'!$F563))),ISNUMBER(SEARCH(IF(K$2&lt;&gt;"",K$2,"NA"),'MITRE ATT&amp;CK Mappings'!$G563))),ISNUMBER(SEARCH(IF(K$2&lt;&gt;"",K$2,"NA"),'MITRE ATT&amp;CK Mappings'!$H563))),ISNUMBER(SEARCH(IF(K$3&lt;&gt;"",K$3,"NA"),'MITRE ATT&amp;CK Mappings'!$I563))),ISNUMBER(SEARCH(IF(K$3&lt;&gt;"",K$3,"NA"),'MITRE ATT&amp;CK Mappings'!$J563))), 'MITRE ATT&amp;CK Mappings'!$B563,"")</f>
        <v/>
      </c>
      <c r="L567" s="27" t="str">
        <f>IF('MITRE ATT&amp;CK Mappings'!D563 &lt;&gt;"",'MITRE ATT&amp;CK Mappings'!D563,"" )</f>
        <v/>
      </c>
    </row>
    <row r="568" spans="1:12" x14ac:dyDescent="0.25">
      <c r="A568" s="26" t="str">
        <f>IF(COUNTIF(B568:K568,"="&amp;'MITRE ATT&amp;CK Mappings'!B564)&gt;0,'MITRE ATT&amp;CK Mappings'!B564,"")</f>
        <v/>
      </c>
      <c r="B568" s="26" t="str">
        <f>IF(OR(OR(OR(OR(OR(ISNUMBER(SEARCH(IF(B$1&lt;&gt;"",B$1,"NA"),'MITRE ATT&amp;CK Mappings'!$E564)),ISNUMBER(SEARCH(IF(B$1&lt;&gt;"",B$1,"NA"),'MITRE ATT&amp;CK Mappings'!$F564))),ISNUMBER(SEARCH(IF(B$2&lt;&gt;"",B$2,"NA"),'MITRE ATT&amp;CK Mappings'!$G564))),ISNUMBER(SEARCH(IF(B$2&lt;&gt;"",B$2,"NA"),'MITRE ATT&amp;CK Mappings'!$H564))),ISNUMBER(SEARCH(IF(B$3&lt;&gt;"",B$3,"NA"),'MITRE ATT&amp;CK Mappings'!$I564))),ISNUMBER(SEARCH(IF(B$3&lt;&gt;"",B$3,"NA"),'MITRE ATT&amp;CK Mappings'!$J564))), 'MITRE ATT&amp;CK Mappings'!$B564,"")</f>
        <v/>
      </c>
      <c r="C568" s="26" t="str">
        <f>IF(OR(OR(OR(OR(OR(ISNUMBER(SEARCH(IF(C$1&lt;&gt;"",C$1,"NA"),'MITRE ATT&amp;CK Mappings'!$E564)),ISNUMBER(SEARCH(IF(C$1&lt;&gt;"",C$1,"NA"),'MITRE ATT&amp;CK Mappings'!$F564))),ISNUMBER(SEARCH(IF(C$2&lt;&gt;"",C$2,"NA"),'MITRE ATT&amp;CK Mappings'!$G564))),ISNUMBER(SEARCH(IF(C$2&lt;&gt;"",C$2,"NA"),'MITRE ATT&amp;CK Mappings'!$H564))),ISNUMBER(SEARCH(IF(C$3&lt;&gt;"",C$3,"NA"),'MITRE ATT&amp;CK Mappings'!$I564))),ISNUMBER(SEARCH(IF(C$3&lt;&gt;"",C$3,"NA"),'MITRE ATT&amp;CK Mappings'!$J564))), 'MITRE ATT&amp;CK Mappings'!$B564,"")</f>
        <v/>
      </c>
      <c r="D568" s="26" t="str">
        <f>IF(OR(OR(OR(OR(OR(ISNUMBER(SEARCH(IF(D$1&lt;&gt;"",D$1,"NA"),'MITRE ATT&amp;CK Mappings'!$E564)),ISNUMBER(SEARCH(IF(D$1&lt;&gt;"",D$1,"NA"),'MITRE ATT&amp;CK Mappings'!$F564))),ISNUMBER(SEARCH(IF(D$2&lt;&gt;"",D$2,"NA"),'MITRE ATT&amp;CK Mappings'!$G564))),ISNUMBER(SEARCH(IF(D$2&lt;&gt;"",D$2,"NA"),'MITRE ATT&amp;CK Mappings'!$H564))),ISNUMBER(SEARCH(IF(D$3&lt;&gt;"",D$3,"NA"),'MITRE ATT&amp;CK Mappings'!$I564))),ISNUMBER(SEARCH(IF(D$3&lt;&gt;"",D$3,"NA"),'MITRE ATT&amp;CK Mappings'!$J564))), 'MITRE ATT&amp;CK Mappings'!$B564,"")</f>
        <v/>
      </c>
      <c r="E568" s="26" t="str">
        <f>IF(OR(OR(OR(OR(OR(ISNUMBER(SEARCH(IF(E$1&lt;&gt;"",E$1,"NA"),'MITRE ATT&amp;CK Mappings'!$E564)),ISNUMBER(SEARCH(IF(E$1&lt;&gt;"",E$1,"NA"),'MITRE ATT&amp;CK Mappings'!$F564))),ISNUMBER(SEARCH(IF(E$2&lt;&gt;"",E$2,"NA"),'MITRE ATT&amp;CK Mappings'!$G564))),ISNUMBER(SEARCH(IF(E$2&lt;&gt;"",E$2,"NA"),'MITRE ATT&amp;CK Mappings'!$H564))),ISNUMBER(SEARCH(IF(E$3&lt;&gt;"",E$3,"NA"),'MITRE ATT&amp;CK Mappings'!$I564))),ISNUMBER(SEARCH(IF(E$3&lt;&gt;"",E$3,"NA"),'MITRE ATT&amp;CK Mappings'!$J564))), 'MITRE ATT&amp;CK Mappings'!$B564,"")</f>
        <v/>
      </c>
      <c r="F568" s="26" t="str">
        <f>IF(OR(OR(OR(OR(OR(ISNUMBER(SEARCH(IF(F$1&lt;&gt;"",F$1,"NA"),'MITRE ATT&amp;CK Mappings'!$E564)),ISNUMBER(SEARCH(IF(F$1&lt;&gt;"",F$1,"NA"),'MITRE ATT&amp;CK Mappings'!$F564))),ISNUMBER(SEARCH(IF(F$2&lt;&gt;"",F$2,"NA"),'MITRE ATT&amp;CK Mappings'!$G564))),ISNUMBER(SEARCH(IF(F$2&lt;&gt;"",F$2,"NA"),'MITRE ATT&amp;CK Mappings'!$H564))),ISNUMBER(SEARCH(IF(F$3&lt;&gt;"",F$3,"NA"),'MITRE ATT&amp;CK Mappings'!$I564))),ISNUMBER(SEARCH(IF(F$3&lt;&gt;"",F$3,"NA"),'MITRE ATT&amp;CK Mappings'!$J564))), 'MITRE ATT&amp;CK Mappings'!$B564,"")</f>
        <v/>
      </c>
      <c r="G568" s="26" t="str">
        <f>IF(OR(OR(OR(OR(OR(ISNUMBER(SEARCH(IF(G$1&lt;&gt;"",G$1,"NA"),'MITRE ATT&amp;CK Mappings'!$E564)),ISNUMBER(SEARCH(IF(G$1&lt;&gt;"",G$1,"NA"),'MITRE ATT&amp;CK Mappings'!$F564))),ISNUMBER(SEARCH(IF(G$2&lt;&gt;"",G$2,"NA"),'MITRE ATT&amp;CK Mappings'!$G564))),ISNUMBER(SEARCH(IF(G$2&lt;&gt;"",G$2,"NA"),'MITRE ATT&amp;CK Mappings'!$H564))),ISNUMBER(SEARCH(IF(G$3&lt;&gt;"",G$3,"NA"),'MITRE ATT&amp;CK Mappings'!$I564))),ISNUMBER(SEARCH(IF(G$3&lt;&gt;"",G$3,"NA"),'MITRE ATT&amp;CK Mappings'!$J564))), 'MITRE ATT&amp;CK Mappings'!$B564,"")</f>
        <v/>
      </c>
      <c r="H568" s="26" t="str">
        <f>IF(OR(OR(OR(OR(OR(ISNUMBER(SEARCH(IF(H$1&lt;&gt;"",H$1,"NA"),'MITRE ATT&amp;CK Mappings'!$E564)),ISNUMBER(SEARCH(IF(H$1&lt;&gt;"",H$1,"NA"),'MITRE ATT&amp;CK Mappings'!$F564))),ISNUMBER(SEARCH(IF(H$2&lt;&gt;"",H$2,"NA"),'MITRE ATT&amp;CK Mappings'!$G564))),ISNUMBER(SEARCH(IF(H$2&lt;&gt;"",H$2,"NA"),'MITRE ATT&amp;CK Mappings'!$H564))),ISNUMBER(SEARCH(IF(H$3&lt;&gt;"",H$3,"NA"),'MITRE ATT&amp;CK Mappings'!$I564))),ISNUMBER(SEARCH(IF(H$3&lt;&gt;"",H$3,"NA"),'MITRE ATT&amp;CK Mappings'!$J564))), 'MITRE ATT&amp;CK Mappings'!$B564,"")</f>
        <v/>
      </c>
      <c r="I568" s="26" t="str">
        <f>IF(OR(OR(OR(OR(OR(ISNUMBER(SEARCH(IF(I$1&lt;&gt;"",I$1,"NA"),'MITRE ATT&amp;CK Mappings'!$E564)),ISNUMBER(SEARCH(IF(I$1&lt;&gt;"",I$1,"NA"),'MITRE ATT&amp;CK Mappings'!$F564))),ISNUMBER(SEARCH(IF(I$2&lt;&gt;"",I$2,"NA"),'MITRE ATT&amp;CK Mappings'!$G564))),ISNUMBER(SEARCH(IF(I$2&lt;&gt;"",I$2,"NA"),'MITRE ATT&amp;CK Mappings'!$H564))),ISNUMBER(SEARCH(IF(I$3&lt;&gt;"",I$3,"NA"),'MITRE ATT&amp;CK Mappings'!$I564))),ISNUMBER(SEARCH(IF(I$3&lt;&gt;"",I$3,"NA"),'MITRE ATT&amp;CK Mappings'!$J564))), 'MITRE ATT&amp;CK Mappings'!$B564,"")</f>
        <v/>
      </c>
      <c r="J568" s="26" t="str">
        <f>IF(OR(OR(OR(OR(OR(ISNUMBER(SEARCH(IF(J$1&lt;&gt;"",J$1,"NA"),'MITRE ATT&amp;CK Mappings'!$E564)),ISNUMBER(SEARCH(IF(J$1&lt;&gt;"",J$1,"NA"),'MITRE ATT&amp;CK Mappings'!$F564))),ISNUMBER(SEARCH(IF(J$2&lt;&gt;"",J$2,"NA"),'MITRE ATT&amp;CK Mappings'!$G564))),ISNUMBER(SEARCH(IF(J$2&lt;&gt;"",J$2,"NA"),'MITRE ATT&amp;CK Mappings'!$H564))),ISNUMBER(SEARCH(IF(J$3&lt;&gt;"",J$3,"NA"),'MITRE ATT&amp;CK Mappings'!$I564))),ISNUMBER(SEARCH(IF(J$3&lt;&gt;"",J$3,"NA"),'MITRE ATT&amp;CK Mappings'!$J564))), 'MITRE ATT&amp;CK Mappings'!$B564,"")</f>
        <v/>
      </c>
      <c r="K568" s="26" t="str">
        <f>IF(OR(OR(OR(OR(OR(ISNUMBER(SEARCH(IF(K$1&lt;&gt;"",K$1,"NA"),'MITRE ATT&amp;CK Mappings'!$E564)),ISNUMBER(SEARCH(IF(K$1&lt;&gt;"",K$1,"NA"),'MITRE ATT&amp;CK Mappings'!$F564))),ISNUMBER(SEARCH(IF(K$2&lt;&gt;"",K$2,"NA"),'MITRE ATT&amp;CK Mappings'!$G564))),ISNUMBER(SEARCH(IF(K$2&lt;&gt;"",K$2,"NA"),'MITRE ATT&amp;CK Mappings'!$H564))),ISNUMBER(SEARCH(IF(K$3&lt;&gt;"",K$3,"NA"),'MITRE ATT&amp;CK Mappings'!$I564))),ISNUMBER(SEARCH(IF(K$3&lt;&gt;"",K$3,"NA"),'MITRE ATT&amp;CK Mappings'!$J564))), 'MITRE ATT&amp;CK Mappings'!$B564,"")</f>
        <v/>
      </c>
      <c r="L568" s="26" t="str">
        <f>IF('MITRE ATT&amp;CK Mappings'!D564 &lt;&gt;"",'MITRE ATT&amp;CK Mappings'!D564,"" )</f>
        <v/>
      </c>
    </row>
    <row r="569" spans="1:12" x14ac:dyDescent="0.25">
      <c r="A569" s="27" t="str">
        <f>IF(COUNTIF(B569:K569,"="&amp;'MITRE ATT&amp;CK Mappings'!B565)&gt;0,'MITRE ATT&amp;CK Mappings'!B565,"")</f>
        <v/>
      </c>
      <c r="B569" s="27" t="str">
        <f>IF(OR(OR(OR(OR(OR(ISNUMBER(SEARCH(IF(B$1&lt;&gt;"",B$1,"NA"),'MITRE ATT&amp;CK Mappings'!$E565)),ISNUMBER(SEARCH(IF(B$1&lt;&gt;"",B$1,"NA"),'MITRE ATT&amp;CK Mappings'!$F565))),ISNUMBER(SEARCH(IF(B$2&lt;&gt;"",B$2,"NA"),'MITRE ATT&amp;CK Mappings'!$G565))),ISNUMBER(SEARCH(IF(B$2&lt;&gt;"",B$2,"NA"),'MITRE ATT&amp;CK Mappings'!$H565))),ISNUMBER(SEARCH(IF(B$3&lt;&gt;"",B$3,"NA"),'MITRE ATT&amp;CK Mappings'!$I565))),ISNUMBER(SEARCH(IF(B$3&lt;&gt;"",B$3,"NA"),'MITRE ATT&amp;CK Mappings'!$J565))), 'MITRE ATT&amp;CK Mappings'!$B565,"")</f>
        <v/>
      </c>
      <c r="C569" s="27" t="str">
        <f>IF(OR(OR(OR(OR(OR(ISNUMBER(SEARCH(IF(C$1&lt;&gt;"",C$1,"NA"),'MITRE ATT&amp;CK Mappings'!$E565)),ISNUMBER(SEARCH(IF(C$1&lt;&gt;"",C$1,"NA"),'MITRE ATT&amp;CK Mappings'!$F565))),ISNUMBER(SEARCH(IF(C$2&lt;&gt;"",C$2,"NA"),'MITRE ATT&amp;CK Mappings'!$G565))),ISNUMBER(SEARCH(IF(C$2&lt;&gt;"",C$2,"NA"),'MITRE ATT&amp;CK Mappings'!$H565))),ISNUMBER(SEARCH(IF(C$3&lt;&gt;"",C$3,"NA"),'MITRE ATT&amp;CK Mappings'!$I565))),ISNUMBER(SEARCH(IF(C$3&lt;&gt;"",C$3,"NA"),'MITRE ATT&amp;CK Mappings'!$J565))), 'MITRE ATT&amp;CK Mappings'!$B565,"")</f>
        <v/>
      </c>
      <c r="D569" s="27" t="str">
        <f>IF(OR(OR(OR(OR(OR(ISNUMBER(SEARCH(IF(D$1&lt;&gt;"",D$1,"NA"),'MITRE ATT&amp;CK Mappings'!$E565)),ISNUMBER(SEARCH(IF(D$1&lt;&gt;"",D$1,"NA"),'MITRE ATT&amp;CK Mappings'!$F565))),ISNUMBER(SEARCH(IF(D$2&lt;&gt;"",D$2,"NA"),'MITRE ATT&amp;CK Mappings'!$G565))),ISNUMBER(SEARCH(IF(D$2&lt;&gt;"",D$2,"NA"),'MITRE ATT&amp;CK Mappings'!$H565))),ISNUMBER(SEARCH(IF(D$3&lt;&gt;"",D$3,"NA"),'MITRE ATT&amp;CK Mappings'!$I565))),ISNUMBER(SEARCH(IF(D$3&lt;&gt;"",D$3,"NA"),'MITRE ATT&amp;CK Mappings'!$J565))), 'MITRE ATT&amp;CK Mappings'!$B565,"")</f>
        <v/>
      </c>
      <c r="E569" s="27" t="str">
        <f>IF(OR(OR(OR(OR(OR(ISNUMBER(SEARCH(IF(E$1&lt;&gt;"",E$1,"NA"),'MITRE ATT&amp;CK Mappings'!$E565)),ISNUMBER(SEARCH(IF(E$1&lt;&gt;"",E$1,"NA"),'MITRE ATT&amp;CK Mappings'!$F565))),ISNUMBER(SEARCH(IF(E$2&lt;&gt;"",E$2,"NA"),'MITRE ATT&amp;CK Mappings'!$G565))),ISNUMBER(SEARCH(IF(E$2&lt;&gt;"",E$2,"NA"),'MITRE ATT&amp;CK Mappings'!$H565))),ISNUMBER(SEARCH(IF(E$3&lt;&gt;"",E$3,"NA"),'MITRE ATT&amp;CK Mappings'!$I565))),ISNUMBER(SEARCH(IF(E$3&lt;&gt;"",E$3,"NA"),'MITRE ATT&amp;CK Mappings'!$J565))), 'MITRE ATT&amp;CK Mappings'!$B565,"")</f>
        <v/>
      </c>
      <c r="F569" s="27" t="str">
        <f>IF(OR(OR(OR(OR(OR(ISNUMBER(SEARCH(IF(F$1&lt;&gt;"",F$1,"NA"),'MITRE ATT&amp;CK Mappings'!$E565)),ISNUMBER(SEARCH(IF(F$1&lt;&gt;"",F$1,"NA"),'MITRE ATT&amp;CK Mappings'!$F565))),ISNUMBER(SEARCH(IF(F$2&lt;&gt;"",F$2,"NA"),'MITRE ATT&amp;CK Mappings'!$G565))),ISNUMBER(SEARCH(IF(F$2&lt;&gt;"",F$2,"NA"),'MITRE ATT&amp;CK Mappings'!$H565))),ISNUMBER(SEARCH(IF(F$3&lt;&gt;"",F$3,"NA"),'MITRE ATT&amp;CK Mappings'!$I565))),ISNUMBER(SEARCH(IF(F$3&lt;&gt;"",F$3,"NA"),'MITRE ATT&amp;CK Mappings'!$J565))), 'MITRE ATT&amp;CK Mappings'!$B565,"")</f>
        <v/>
      </c>
      <c r="G569" s="27" t="str">
        <f>IF(OR(OR(OR(OR(OR(ISNUMBER(SEARCH(IF(G$1&lt;&gt;"",G$1,"NA"),'MITRE ATT&amp;CK Mappings'!$E565)),ISNUMBER(SEARCH(IF(G$1&lt;&gt;"",G$1,"NA"),'MITRE ATT&amp;CK Mappings'!$F565))),ISNUMBER(SEARCH(IF(G$2&lt;&gt;"",G$2,"NA"),'MITRE ATT&amp;CK Mappings'!$G565))),ISNUMBER(SEARCH(IF(G$2&lt;&gt;"",G$2,"NA"),'MITRE ATT&amp;CK Mappings'!$H565))),ISNUMBER(SEARCH(IF(G$3&lt;&gt;"",G$3,"NA"),'MITRE ATT&amp;CK Mappings'!$I565))),ISNUMBER(SEARCH(IF(G$3&lt;&gt;"",G$3,"NA"),'MITRE ATT&amp;CK Mappings'!$J565))), 'MITRE ATT&amp;CK Mappings'!$B565,"")</f>
        <v/>
      </c>
      <c r="H569" s="27" t="str">
        <f>IF(OR(OR(OR(OR(OR(ISNUMBER(SEARCH(IF(H$1&lt;&gt;"",H$1,"NA"),'MITRE ATT&amp;CK Mappings'!$E565)),ISNUMBER(SEARCH(IF(H$1&lt;&gt;"",H$1,"NA"),'MITRE ATT&amp;CK Mappings'!$F565))),ISNUMBER(SEARCH(IF(H$2&lt;&gt;"",H$2,"NA"),'MITRE ATT&amp;CK Mappings'!$G565))),ISNUMBER(SEARCH(IF(H$2&lt;&gt;"",H$2,"NA"),'MITRE ATT&amp;CK Mappings'!$H565))),ISNUMBER(SEARCH(IF(H$3&lt;&gt;"",H$3,"NA"),'MITRE ATT&amp;CK Mappings'!$I565))),ISNUMBER(SEARCH(IF(H$3&lt;&gt;"",H$3,"NA"),'MITRE ATT&amp;CK Mappings'!$J565))), 'MITRE ATT&amp;CK Mappings'!$B565,"")</f>
        <v/>
      </c>
      <c r="I569" s="27" t="str">
        <f>IF(OR(OR(OR(OR(OR(ISNUMBER(SEARCH(IF(I$1&lt;&gt;"",I$1,"NA"),'MITRE ATT&amp;CK Mappings'!$E565)),ISNUMBER(SEARCH(IF(I$1&lt;&gt;"",I$1,"NA"),'MITRE ATT&amp;CK Mappings'!$F565))),ISNUMBER(SEARCH(IF(I$2&lt;&gt;"",I$2,"NA"),'MITRE ATT&amp;CK Mappings'!$G565))),ISNUMBER(SEARCH(IF(I$2&lt;&gt;"",I$2,"NA"),'MITRE ATT&amp;CK Mappings'!$H565))),ISNUMBER(SEARCH(IF(I$3&lt;&gt;"",I$3,"NA"),'MITRE ATT&amp;CK Mappings'!$I565))),ISNUMBER(SEARCH(IF(I$3&lt;&gt;"",I$3,"NA"),'MITRE ATT&amp;CK Mappings'!$J565))), 'MITRE ATT&amp;CK Mappings'!$B565,"")</f>
        <v/>
      </c>
      <c r="J569" s="27" t="str">
        <f>IF(OR(OR(OR(OR(OR(ISNUMBER(SEARCH(IF(J$1&lt;&gt;"",J$1,"NA"),'MITRE ATT&amp;CK Mappings'!$E565)),ISNUMBER(SEARCH(IF(J$1&lt;&gt;"",J$1,"NA"),'MITRE ATT&amp;CK Mappings'!$F565))),ISNUMBER(SEARCH(IF(J$2&lt;&gt;"",J$2,"NA"),'MITRE ATT&amp;CK Mappings'!$G565))),ISNUMBER(SEARCH(IF(J$2&lt;&gt;"",J$2,"NA"),'MITRE ATT&amp;CK Mappings'!$H565))),ISNUMBER(SEARCH(IF(J$3&lt;&gt;"",J$3,"NA"),'MITRE ATT&amp;CK Mappings'!$I565))),ISNUMBER(SEARCH(IF(J$3&lt;&gt;"",J$3,"NA"),'MITRE ATT&amp;CK Mappings'!$J565))), 'MITRE ATT&amp;CK Mappings'!$B565,"")</f>
        <v/>
      </c>
      <c r="K569" s="27" t="str">
        <f>IF(OR(OR(OR(OR(OR(ISNUMBER(SEARCH(IF(K$1&lt;&gt;"",K$1,"NA"),'MITRE ATT&amp;CK Mappings'!$E565)),ISNUMBER(SEARCH(IF(K$1&lt;&gt;"",K$1,"NA"),'MITRE ATT&amp;CK Mappings'!$F565))),ISNUMBER(SEARCH(IF(K$2&lt;&gt;"",K$2,"NA"),'MITRE ATT&amp;CK Mappings'!$G565))),ISNUMBER(SEARCH(IF(K$2&lt;&gt;"",K$2,"NA"),'MITRE ATT&amp;CK Mappings'!$H565))),ISNUMBER(SEARCH(IF(K$3&lt;&gt;"",K$3,"NA"),'MITRE ATT&amp;CK Mappings'!$I565))),ISNUMBER(SEARCH(IF(K$3&lt;&gt;"",K$3,"NA"),'MITRE ATT&amp;CK Mappings'!$J565))), 'MITRE ATT&amp;CK Mappings'!$B565,"")</f>
        <v/>
      </c>
      <c r="L569" s="27" t="str">
        <f>IF('MITRE ATT&amp;CK Mappings'!D565 &lt;&gt;"",'MITRE ATT&amp;CK Mappings'!D565,"" )</f>
        <v/>
      </c>
    </row>
    <row r="570" spans="1:12" x14ac:dyDescent="0.25">
      <c r="A570" s="26" t="str">
        <f>IF(COUNTIF(B570:K570,"="&amp;'MITRE ATT&amp;CK Mappings'!B566)&gt;0,'MITRE ATT&amp;CK Mappings'!B566,"")</f>
        <v/>
      </c>
      <c r="B570" s="26" t="str">
        <f>IF(OR(OR(OR(OR(OR(ISNUMBER(SEARCH(IF(B$1&lt;&gt;"",B$1,"NA"),'MITRE ATT&amp;CK Mappings'!$E566)),ISNUMBER(SEARCH(IF(B$1&lt;&gt;"",B$1,"NA"),'MITRE ATT&amp;CK Mappings'!$F566))),ISNUMBER(SEARCH(IF(B$2&lt;&gt;"",B$2,"NA"),'MITRE ATT&amp;CK Mappings'!$G566))),ISNUMBER(SEARCH(IF(B$2&lt;&gt;"",B$2,"NA"),'MITRE ATT&amp;CK Mappings'!$H566))),ISNUMBER(SEARCH(IF(B$3&lt;&gt;"",B$3,"NA"),'MITRE ATT&amp;CK Mappings'!$I566))),ISNUMBER(SEARCH(IF(B$3&lt;&gt;"",B$3,"NA"),'MITRE ATT&amp;CK Mappings'!$J566))), 'MITRE ATT&amp;CK Mappings'!$B566,"")</f>
        <v/>
      </c>
      <c r="C570" s="26" t="str">
        <f>IF(OR(OR(OR(OR(OR(ISNUMBER(SEARCH(IF(C$1&lt;&gt;"",C$1,"NA"),'MITRE ATT&amp;CK Mappings'!$E566)),ISNUMBER(SEARCH(IF(C$1&lt;&gt;"",C$1,"NA"),'MITRE ATT&amp;CK Mappings'!$F566))),ISNUMBER(SEARCH(IF(C$2&lt;&gt;"",C$2,"NA"),'MITRE ATT&amp;CK Mappings'!$G566))),ISNUMBER(SEARCH(IF(C$2&lt;&gt;"",C$2,"NA"),'MITRE ATT&amp;CK Mappings'!$H566))),ISNUMBER(SEARCH(IF(C$3&lt;&gt;"",C$3,"NA"),'MITRE ATT&amp;CK Mappings'!$I566))),ISNUMBER(SEARCH(IF(C$3&lt;&gt;"",C$3,"NA"),'MITRE ATT&amp;CK Mappings'!$J566))), 'MITRE ATT&amp;CK Mappings'!$B566,"")</f>
        <v/>
      </c>
      <c r="D570" s="26" t="str">
        <f>IF(OR(OR(OR(OR(OR(ISNUMBER(SEARCH(IF(D$1&lt;&gt;"",D$1,"NA"),'MITRE ATT&amp;CK Mappings'!$E566)),ISNUMBER(SEARCH(IF(D$1&lt;&gt;"",D$1,"NA"),'MITRE ATT&amp;CK Mappings'!$F566))),ISNUMBER(SEARCH(IF(D$2&lt;&gt;"",D$2,"NA"),'MITRE ATT&amp;CK Mappings'!$G566))),ISNUMBER(SEARCH(IF(D$2&lt;&gt;"",D$2,"NA"),'MITRE ATT&amp;CK Mappings'!$H566))),ISNUMBER(SEARCH(IF(D$3&lt;&gt;"",D$3,"NA"),'MITRE ATT&amp;CK Mappings'!$I566))),ISNUMBER(SEARCH(IF(D$3&lt;&gt;"",D$3,"NA"),'MITRE ATT&amp;CK Mappings'!$J566))), 'MITRE ATT&amp;CK Mappings'!$B566,"")</f>
        <v/>
      </c>
      <c r="E570" s="26" t="str">
        <f>IF(OR(OR(OR(OR(OR(ISNUMBER(SEARCH(IF(E$1&lt;&gt;"",E$1,"NA"),'MITRE ATT&amp;CK Mappings'!$E566)),ISNUMBER(SEARCH(IF(E$1&lt;&gt;"",E$1,"NA"),'MITRE ATT&amp;CK Mappings'!$F566))),ISNUMBER(SEARCH(IF(E$2&lt;&gt;"",E$2,"NA"),'MITRE ATT&amp;CK Mappings'!$G566))),ISNUMBER(SEARCH(IF(E$2&lt;&gt;"",E$2,"NA"),'MITRE ATT&amp;CK Mappings'!$H566))),ISNUMBER(SEARCH(IF(E$3&lt;&gt;"",E$3,"NA"),'MITRE ATT&amp;CK Mappings'!$I566))),ISNUMBER(SEARCH(IF(E$3&lt;&gt;"",E$3,"NA"),'MITRE ATT&amp;CK Mappings'!$J566))), 'MITRE ATT&amp;CK Mappings'!$B566,"")</f>
        <v/>
      </c>
      <c r="F570" s="26" t="str">
        <f>IF(OR(OR(OR(OR(OR(ISNUMBER(SEARCH(IF(F$1&lt;&gt;"",F$1,"NA"),'MITRE ATT&amp;CK Mappings'!$E566)),ISNUMBER(SEARCH(IF(F$1&lt;&gt;"",F$1,"NA"),'MITRE ATT&amp;CK Mappings'!$F566))),ISNUMBER(SEARCH(IF(F$2&lt;&gt;"",F$2,"NA"),'MITRE ATT&amp;CK Mappings'!$G566))),ISNUMBER(SEARCH(IF(F$2&lt;&gt;"",F$2,"NA"),'MITRE ATT&amp;CK Mappings'!$H566))),ISNUMBER(SEARCH(IF(F$3&lt;&gt;"",F$3,"NA"),'MITRE ATT&amp;CK Mappings'!$I566))),ISNUMBER(SEARCH(IF(F$3&lt;&gt;"",F$3,"NA"),'MITRE ATT&amp;CK Mappings'!$J566))), 'MITRE ATT&amp;CK Mappings'!$B566,"")</f>
        <v/>
      </c>
      <c r="G570" s="26" t="str">
        <f>IF(OR(OR(OR(OR(OR(ISNUMBER(SEARCH(IF(G$1&lt;&gt;"",G$1,"NA"),'MITRE ATT&amp;CK Mappings'!$E566)),ISNUMBER(SEARCH(IF(G$1&lt;&gt;"",G$1,"NA"),'MITRE ATT&amp;CK Mappings'!$F566))),ISNUMBER(SEARCH(IF(G$2&lt;&gt;"",G$2,"NA"),'MITRE ATT&amp;CK Mappings'!$G566))),ISNUMBER(SEARCH(IF(G$2&lt;&gt;"",G$2,"NA"),'MITRE ATT&amp;CK Mappings'!$H566))),ISNUMBER(SEARCH(IF(G$3&lt;&gt;"",G$3,"NA"),'MITRE ATT&amp;CK Mappings'!$I566))),ISNUMBER(SEARCH(IF(G$3&lt;&gt;"",G$3,"NA"),'MITRE ATT&amp;CK Mappings'!$J566))), 'MITRE ATT&amp;CK Mappings'!$B566,"")</f>
        <v/>
      </c>
      <c r="H570" s="26" t="str">
        <f>IF(OR(OR(OR(OR(OR(ISNUMBER(SEARCH(IF(H$1&lt;&gt;"",H$1,"NA"),'MITRE ATT&amp;CK Mappings'!$E566)),ISNUMBER(SEARCH(IF(H$1&lt;&gt;"",H$1,"NA"),'MITRE ATT&amp;CK Mappings'!$F566))),ISNUMBER(SEARCH(IF(H$2&lt;&gt;"",H$2,"NA"),'MITRE ATT&amp;CK Mappings'!$G566))),ISNUMBER(SEARCH(IF(H$2&lt;&gt;"",H$2,"NA"),'MITRE ATT&amp;CK Mappings'!$H566))),ISNUMBER(SEARCH(IF(H$3&lt;&gt;"",H$3,"NA"),'MITRE ATT&amp;CK Mappings'!$I566))),ISNUMBER(SEARCH(IF(H$3&lt;&gt;"",H$3,"NA"),'MITRE ATT&amp;CK Mappings'!$J566))), 'MITRE ATT&amp;CK Mappings'!$B566,"")</f>
        <v/>
      </c>
      <c r="I570" s="26" t="str">
        <f>IF(OR(OR(OR(OR(OR(ISNUMBER(SEARCH(IF(I$1&lt;&gt;"",I$1,"NA"),'MITRE ATT&amp;CK Mappings'!$E566)),ISNUMBER(SEARCH(IF(I$1&lt;&gt;"",I$1,"NA"),'MITRE ATT&amp;CK Mappings'!$F566))),ISNUMBER(SEARCH(IF(I$2&lt;&gt;"",I$2,"NA"),'MITRE ATT&amp;CK Mappings'!$G566))),ISNUMBER(SEARCH(IF(I$2&lt;&gt;"",I$2,"NA"),'MITRE ATT&amp;CK Mappings'!$H566))),ISNUMBER(SEARCH(IF(I$3&lt;&gt;"",I$3,"NA"),'MITRE ATT&amp;CK Mappings'!$I566))),ISNUMBER(SEARCH(IF(I$3&lt;&gt;"",I$3,"NA"),'MITRE ATT&amp;CK Mappings'!$J566))), 'MITRE ATT&amp;CK Mappings'!$B566,"")</f>
        <v/>
      </c>
      <c r="J570" s="26" t="str">
        <f>IF(OR(OR(OR(OR(OR(ISNUMBER(SEARCH(IF(J$1&lt;&gt;"",J$1,"NA"),'MITRE ATT&amp;CK Mappings'!$E566)),ISNUMBER(SEARCH(IF(J$1&lt;&gt;"",J$1,"NA"),'MITRE ATT&amp;CK Mappings'!$F566))),ISNUMBER(SEARCH(IF(J$2&lt;&gt;"",J$2,"NA"),'MITRE ATT&amp;CK Mappings'!$G566))),ISNUMBER(SEARCH(IF(J$2&lt;&gt;"",J$2,"NA"),'MITRE ATT&amp;CK Mappings'!$H566))),ISNUMBER(SEARCH(IF(J$3&lt;&gt;"",J$3,"NA"),'MITRE ATT&amp;CK Mappings'!$I566))),ISNUMBER(SEARCH(IF(J$3&lt;&gt;"",J$3,"NA"),'MITRE ATT&amp;CK Mappings'!$J566))), 'MITRE ATT&amp;CK Mappings'!$B566,"")</f>
        <v/>
      </c>
      <c r="K570" s="26" t="str">
        <f>IF(OR(OR(OR(OR(OR(ISNUMBER(SEARCH(IF(K$1&lt;&gt;"",K$1,"NA"),'MITRE ATT&amp;CK Mappings'!$E566)),ISNUMBER(SEARCH(IF(K$1&lt;&gt;"",K$1,"NA"),'MITRE ATT&amp;CK Mappings'!$F566))),ISNUMBER(SEARCH(IF(K$2&lt;&gt;"",K$2,"NA"),'MITRE ATT&amp;CK Mappings'!$G566))),ISNUMBER(SEARCH(IF(K$2&lt;&gt;"",K$2,"NA"),'MITRE ATT&amp;CK Mappings'!$H566))),ISNUMBER(SEARCH(IF(K$3&lt;&gt;"",K$3,"NA"),'MITRE ATT&amp;CK Mappings'!$I566))),ISNUMBER(SEARCH(IF(K$3&lt;&gt;"",K$3,"NA"),'MITRE ATT&amp;CK Mappings'!$J566))), 'MITRE ATT&amp;CK Mappings'!$B566,"")</f>
        <v/>
      </c>
      <c r="L570" s="26" t="str">
        <f>IF('MITRE ATT&amp;CK Mappings'!D566 &lt;&gt;"",'MITRE ATT&amp;CK Mappings'!D566,"" )</f>
        <v/>
      </c>
    </row>
    <row r="571" spans="1:12" x14ac:dyDescent="0.25">
      <c r="A571" s="27" t="str">
        <f>IF(COUNTIF(B571:K571,"="&amp;'MITRE ATT&amp;CK Mappings'!B567)&gt;0,'MITRE ATT&amp;CK Mappings'!B567,"")</f>
        <v/>
      </c>
      <c r="B571" s="27" t="str">
        <f>IF(OR(OR(OR(OR(OR(ISNUMBER(SEARCH(IF(B$1&lt;&gt;"",B$1,"NA"),'MITRE ATT&amp;CK Mappings'!$E567)),ISNUMBER(SEARCH(IF(B$1&lt;&gt;"",B$1,"NA"),'MITRE ATT&amp;CK Mappings'!$F567))),ISNUMBER(SEARCH(IF(B$2&lt;&gt;"",B$2,"NA"),'MITRE ATT&amp;CK Mappings'!$G567))),ISNUMBER(SEARCH(IF(B$2&lt;&gt;"",B$2,"NA"),'MITRE ATT&amp;CK Mappings'!$H567))),ISNUMBER(SEARCH(IF(B$3&lt;&gt;"",B$3,"NA"),'MITRE ATT&amp;CK Mappings'!$I567))),ISNUMBER(SEARCH(IF(B$3&lt;&gt;"",B$3,"NA"),'MITRE ATT&amp;CK Mappings'!$J567))), 'MITRE ATT&amp;CK Mappings'!$B567,"")</f>
        <v/>
      </c>
      <c r="C571" s="27" t="str">
        <f>IF(OR(OR(OR(OR(OR(ISNUMBER(SEARCH(IF(C$1&lt;&gt;"",C$1,"NA"),'MITRE ATT&amp;CK Mappings'!$E567)),ISNUMBER(SEARCH(IF(C$1&lt;&gt;"",C$1,"NA"),'MITRE ATT&amp;CK Mappings'!$F567))),ISNUMBER(SEARCH(IF(C$2&lt;&gt;"",C$2,"NA"),'MITRE ATT&amp;CK Mappings'!$G567))),ISNUMBER(SEARCH(IF(C$2&lt;&gt;"",C$2,"NA"),'MITRE ATT&amp;CK Mappings'!$H567))),ISNUMBER(SEARCH(IF(C$3&lt;&gt;"",C$3,"NA"),'MITRE ATT&amp;CK Mappings'!$I567))),ISNUMBER(SEARCH(IF(C$3&lt;&gt;"",C$3,"NA"),'MITRE ATT&amp;CK Mappings'!$J567))), 'MITRE ATT&amp;CK Mappings'!$B567,"")</f>
        <v/>
      </c>
      <c r="D571" s="27" t="str">
        <f>IF(OR(OR(OR(OR(OR(ISNUMBER(SEARCH(IF(D$1&lt;&gt;"",D$1,"NA"),'MITRE ATT&amp;CK Mappings'!$E567)),ISNUMBER(SEARCH(IF(D$1&lt;&gt;"",D$1,"NA"),'MITRE ATT&amp;CK Mappings'!$F567))),ISNUMBER(SEARCH(IF(D$2&lt;&gt;"",D$2,"NA"),'MITRE ATT&amp;CK Mappings'!$G567))),ISNUMBER(SEARCH(IF(D$2&lt;&gt;"",D$2,"NA"),'MITRE ATT&amp;CK Mappings'!$H567))),ISNUMBER(SEARCH(IF(D$3&lt;&gt;"",D$3,"NA"),'MITRE ATT&amp;CK Mappings'!$I567))),ISNUMBER(SEARCH(IF(D$3&lt;&gt;"",D$3,"NA"),'MITRE ATT&amp;CK Mappings'!$J567))), 'MITRE ATT&amp;CK Mappings'!$B567,"")</f>
        <v/>
      </c>
      <c r="E571" s="27" t="str">
        <f>IF(OR(OR(OR(OR(OR(ISNUMBER(SEARCH(IF(E$1&lt;&gt;"",E$1,"NA"),'MITRE ATT&amp;CK Mappings'!$E567)),ISNUMBER(SEARCH(IF(E$1&lt;&gt;"",E$1,"NA"),'MITRE ATT&amp;CK Mappings'!$F567))),ISNUMBER(SEARCH(IF(E$2&lt;&gt;"",E$2,"NA"),'MITRE ATT&amp;CK Mappings'!$G567))),ISNUMBER(SEARCH(IF(E$2&lt;&gt;"",E$2,"NA"),'MITRE ATT&amp;CK Mappings'!$H567))),ISNUMBER(SEARCH(IF(E$3&lt;&gt;"",E$3,"NA"),'MITRE ATT&amp;CK Mappings'!$I567))),ISNUMBER(SEARCH(IF(E$3&lt;&gt;"",E$3,"NA"),'MITRE ATT&amp;CK Mappings'!$J567))), 'MITRE ATT&amp;CK Mappings'!$B567,"")</f>
        <v/>
      </c>
      <c r="F571" s="27" t="str">
        <f>IF(OR(OR(OR(OR(OR(ISNUMBER(SEARCH(IF(F$1&lt;&gt;"",F$1,"NA"),'MITRE ATT&amp;CK Mappings'!$E567)),ISNUMBER(SEARCH(IF(F$1&lt;&gt;"",F$1,"NA"),'MITRE ATT&amp;CK Mappings'!$F567))),ISNUMBER(SEARCH(IF(F$2&lt;&gt;"",F$2,"NA"),'MITRE ATT&amp;CK Mappings'!$G567))),ISNUMBER(SEARCH(IF(F$2&lt;&gt;"",F$2,"NA"),'MITRE ATT&amp;CK Mappings'!$H567))),ISNUMBER(SEARCH(IF(F$3&lt;&gt;"",F$3,"NA"),'MITRE ATT&amp;CK Mappings'!$I567))),ISNUMBER(SEARCH(IF(F$3&lt;&gt;"",F$3,"NA"),'MITRE ATT&amp;CK Mappings'!$J567))), 'MITRE ATT&amp;CK Mappings'!$B567,"")</f>
        <v/>
      </c>
      <c r="G571" s="27" t="str">
        <f>IF(OR(OR(OR(OR(OR(ISNUMBER(SEARCH(IF(G$1&lt;&gt;"",G$1,"NA"),'MITRE ATT&amp;CK Mappings'!$E567)),ISNUMBER(SEARCH(IF(G$1&lt;&gt;"",G$1,"NA"),'MITRE ATT&amp;CK Mappings'!$F567))),ISNUMBER(SEARCH(IF(G$2&lt;&gt;"",G$2,"NA"),'MITRE ATT&amp;CK Mappings'!$G567))),ISNUMBER(SEARCH(IF(G$2&lt;&gt;"",G$2,"NA"),'MITRE ATT&amp;CK Mappings'!$H567))),ISNUMBER(SEARCH(IF(G$3&lt;&gt;"",G$3,"NA"),'MITRE ATT&amp;CK Mappings'!$I567))),ISNUMBER(SEARCH(IF(G$3&lt;&gt;"",G$3,"NA"),'MITRE ATT&amp;CK Mappings'!$J567))), 'MITRE ATT&amp;CK Mappings'!$B567,"")</f>
        <v/>
      </c>
      <c r="H571" s="27" t="str">
        <f>IF(OR(OR(OR(OR(OR(ISNUMBER(SEARCH(IF(H$1&lt;&gt;"",H$1,"NA"),'MITRE ATT&amp;CK Mappings'!$E567)),ISNUMBER(SEARCH(IF(H$1&lt;&gt;"",H$1,"NA"),'MITRE ATT&amp;CK Mappings'!$F567))),ISNUMBER(SEARCH(IF(H$2&lt;&gt;"",H$2,"NA"),'MITRE ATT&amp;CK Mappings'!$G567))),ISNUMBER(SEARCH(IF(H$2&lt;&gt;"",H$2,"NA"),'MITRE ATT&amp;CK Mappings'!$H567))),ISNUMBER(SEARCH(IF(H$3&lt;&gt;"",H$3,"NA"),'MITRE ATT&amp;CK Mappings'!$I567))),ISNUMBER(SEARCH(IF(H$3&lt;&gt;"",H$3,"NA"),'MITRE ATT&amp;CK Mappings'!$J567))), 'MITRE ATT&amp;CK Mappings'!$B567,"")</f>
        <v/>
      </c>
      <c r="I571" s="27" t="str">
        <f>IF(OR(OR(OR(OR(OR(ISNUMBER(SEARCH(IF(I$1&lt;&gt;"",I$1,"NA"),'MITRE ATT&amp;CK Mappings'!$E567)),ISNUMBER(SEARCH(IF(I$1&lt;&gt;"",I$1,"NA"),'MITRE ATT&amp;CK Mappings'!$F567))),ISNUMBER(SEARCH(IF(I$2&lt;&gt;"",I$2,"NA"),'MITRE ATT&amp;CK Mappings'!$G567))),ISNUMBER(SEARCH(IF(I$2&lt;&gt;"",I$2,"NA"),'MITRE ATT&amp;CK Mappings'!$H567))),ISNUMBER(SEARCH(IF(I$3&lt;&gt;"",I$3,"NA"),'MITRE ATT&amp;CK Mappings'!$I567))),ISNUMBER(SEARCH(IF(I$3&lt;&gt;"",I$3,"NA"),'MITRE ATT&amp;CK Mappings'!$J567))), 'MITRE ATT&amp;CK Mappings'!$B567,"")</f>
        <v/>
      </c>
      <c r="J571" s="27" t="str">
        <f>IF(OR(OR(OR(OR(OR(ISNUMBER(SEARCH(IF(J$1&lt;&gt;"",J$1,"NA"),'MITRE ATT&amp;CK Mappings'!$E567)),ISNUMBER(SEARCH(IF(J$1&lt;&gt;"",J$1,"NA"),'MITRE ATT&amp;CK Mappings'!$F567))),ISNUMBER(SEARCH(IF(J$2&lt;&gt;"",J$2,"NA"),'MITRE ATT&amp;CK Mappings'!$G567))),ISNUMBER(SEARCH(IF(J$2&lt;&gt;"",J$2,"NA"),'MITRE ATT&amp;CK Mappings'!$H567))),ISNUMBER(SEARCH(IF(J$3&lt;&gt;"",J$3,"NA"),'MITRE ATT&amp;CK Mappings'!$I567))),ISNUMBER(SEARCH(IF(J$3&lt;&gt;"",J$3,"NA"),'MITRE ATT&amp;CK Mappings'!$J567))), 'MITRE ATT&amp;CK Mappings'!$B567,"")</f>
        <v/>
      </c>
      <c r="K571" s="27" t="str">
        <f>IF(OR(OR(OR(OR(OR(ISNUMBER(SEARCH(IF(K$1&lt;&gt;"",K$1,"NA"),'MITRE ATT&amp;CK Mappings'!$E567)),ISNUMBER(SEARCH(IF(K$1&lt;&gt;"",K$1,"NA"),'MITRE ATT&amp;CK Mappings'!$F567))),ISNUMBER(SEARCH(IF(K$2&lt;&gt;"",K$2,"NA"),'MITRE ATT&amp;CK Mappings'!$G567))),ISNUMBER(SEARCH(IF(K$2&lt;&gt;"",K$2,"NA"),'MITRE ATT&amp;CK Mappings'!$H567))),ISNUMBER(SEARCH(IF(K$3&lt;&gt;"",K$3,"NA"),'MITRE ATT&amp;CK Mappings'!$I567))),ISNUMBER(SEARCH(IF(K$3&lt;&gt;"",K$3,"NA"),'MITRE ATT&amp;CK Mappings'!$J567))), 'MITRE ATT&amp;CK Mappings'!$B567,"")</f>
        <v/>
      </c>
      <c r="L571" s="27" t="str">
        <f>IF('MITRE ATT&amp;CK Mappings'!D567 &lt;&gt;"",'MITRE ATT&amp;CK Mappings'!D567,"" )</f>
        <v/>
      </c>
    </row>
    <row r="572" spans="1:12" x14ac:dyDescent="0.25">
      <c r="A572" s="26" t="str">
        <f>IF(COUNTIF(B572:K572,"="&amp;'MITRE ATT&amp;CK Mappings'!B568)&gt;0,'MITRE ATT&amp;CK Mappings'!B568,"")</f>
        <v/>
      </c>
      <c r="B572" s="26" t="str">
        <f>IF(OR(OR(OR(OR(OR(ISNUMBER(SEARCH(IF(B$1&lt;&gt;"",B$1,"NA"),'MITRE ATT&amp;CK Mappings'!$E568)),ISNUMBER(SEARCH(IF(B$1&lt;&gt;"",B$1,"NA"),'MITRE ATT&amp;CK Mappings'!$F568))),ISNUMBER(SEARCH(IF(B$2&lt;&gt;"",B$2,"NA"),'MITRE ATT&amp;CK Mappings'!$G568))),ISNUMBER(SEARCH(IF(B$2&lt;&gt;"",B$2,"NA"),'MITRE ATT&amp;CK Mappings'!$H568))),ISNUMBER(SEARCH(IF(B$3&lt;&gt;"",B$3,"NA"),'MITRE ATT&amp;CK Mappings'!$I568))),ISNUMBER(SEARCH(IF(B$3&lt;&gt;"",B$3,"NA"),'MITRE ATT&amp;CK Mappings'!$J568))), 'MITRE ATT&amp;CK Mappings'!$B568,"")</f>
        <v/>
      </c>
      <c r="C572" s="26" t="str">
        <f>IF(OR(OR(OR(OR(OR(ISNUMBER(SEARCH(IF(C$1&lt;&gt;"",C$1,"NA"),'MITRE ATT&amp;CK Mappings'!$E568)),ISNUMBER(SEARCH(IF(C$1&lt;&gt;"",C$1,"NA"),'MITRE ATT&amp;CK Mappings'!$F568))),ISNUMBER(SEARCH(IF(C$2&lt;&gt;"",C$2,"NA"),'MITRE ATT&amp;CK Mappings'!$G568))),ISNUMBER(SEARCH(IF(C$2&lt;&gt;"",C$2,"NA"),'MITRE ATT&amp;CK Mappings'!$H568))),ISNUMBER(SEARCH(IF(C$3&lt;&gt;"",C$3,"NA"),'MITRE ATT&amp;CK Mappings'!$I568))),ISNUMBER(SEARCH(IF(C$3&lt;&gt;"",C$3,"NA"),'MITRE ATT&amp;CK Mappings'!$J568))), 'MITRE ATT&amp;CK Mappings'!$B568,"")</f>
        <v/>
      </c>
      <c r="D572" s="26" t="str">
        <f>IF(OR(OR(OR(OR(OR(ISNUMBER(SEARCH(IF(D$1&lt;&gt;"",D$1,"NA"),'MITRE ATT&amp;CK Mappings'!$E568)),ISNUMBER(SEARCH(IF(D$1&lt;&gt;"",D$1,"NA"),'MITRE ATT&amp;CK Mappings'!$F568))),ISNUMBER(SEARCH(IF(D$2&lt;&gt;"",D$2,"NA"),'MITRE ATT&amp;CK Mappings'!$G568))),ISNUMBER(SEARCH(IF(D$2&lt;&gt;"",D$2,"NA"),'MITRE ATT&amp;CK Mappings'!$H568))),ISNUMBER(SEARCH(IF(D$3&lt;&gt;"",D$3,"NA"),'MITRE ATT&amp;CK Mappings'!$I568))),ISNUMBER(SEARCH(IF(D$3&lt;&gt;"",D$3,"NA"),'MITRE ATT&amp;CK Mappings'!$J568))), 'MITRE ATT&amp;CK Mappings'!$B568,"")</f>
        <v/>
      </c>
      <c r="E572" s="26" t="str">
        <f>IF(OR(OR(OR(OR(OR(ISNUMBER(SEARCH(IF(E$1&lt;&gt;"",E$1,"NA"),'MITRE ATT&amp;CK Mappings'!$E568)),ISNUMBER(SEARCH(IF(E$1&lt;&gt;"",E$1,"NA"),'MITRE ATT&amp;CK Mappings'!$F568))),ISNUMBER(SEARCH(IF(E$2&lt;&gt;"",E$2,"NA"),'MITRE ATT&amp;CK Mappings'!$G568))),ISNUMBER(SEARCH(IF(E$2&lt;&gt;"",E$2,"NA"),'MITRE ATT&amp;CK Mappings'!$H568))),ISNUMBER(SEARCH(IF(E$3&lt;&gt;"",E$3,"NA"),'MITRE ATT&amp;CK Mappings'!$I568))),ISNUMBER(SEARCH(IF(E$3&lt;&gt;"",E$3,"NA"),'MITRE ATT&amp;CK Mappings'!$J568))), 'MITRE ATT&amp;CK Mappings'!$B568,"")</f>
        <v/>
      </c>
      <c r="F572" s="26" t="str">
        <f>IF(OR(OR(OR(OR(OR(ISNUMBER(SEARCH(IF(F$1&lt;&gt;"",F$1,"NA"),'MITRE ATT&amp;CK Mappings'!$E568)),ISNUMBER(SEARCH(IF(F$1&lt;&gt;"",F$1,"NA"),'MITRE ATT&amp;CK Mappings'!$F568))),ISNUMBER(SEARCH(IF(F$2&lt;&gt;"",F$2,"NA"),'MITRE ATT&amp;CK Mappings'!$G568))),ISNUMBER(SEARCH(IF(F$2&lt;&gt;"",F$2,"NA"),'MITRE ATT&amp;CK Mappings'!$H568))),ISNUMBER(SEARCH(IF(F$3&lt;&gt;"",F$3,"NA"),'MITRE ATT&amp;CK Mappings'!$I568))),ISNUMBER(SEARCH(IF(F$3&lt;&gt;"",F$3,"NA"),'MITRE ATT&amp;CK Mappings'!$J568))), 'MITRE ATT&amp;CK Mappings'!$B568,"")</f>
        <v/>
      </c>
      <c r="G572" s="26" t="str">
        <f>IF(OR(OR(OR(OR(OR(ISNUMBER(SEARCH(IF(G$1&lt;&gt;"",G$1,"NA"),'MITRE ATT&amp;CK Mappings'!$E568)),ISNUMBER(SEARCH(IF(G$1&lt;&gt;"",G$1,"NA"),'MITRE ATT&amp;CK Mappings'!$F568))),ISNUMBER(SEARCH(IF(G$2&lt;&gt;"",G$2,"NA"),'MITRE ATT&amp;CK Mappings'!$G568))),ISNUMBER(SEARCH(IF(G$2&lt;&gt;"",G$2,"NA"),'MITRE ATT&amp;CK Mappings'!$H568))),ISNUMBER(SEARCH(IF(G$3&lt;&gt;"",G$3,"NA"),'MITRE ATT&amp;CK Mappings'!$I568))),ISNUMBER(SEARCH(IF(G$3&lt;&gt;"",G$3,"NA"),'MITRE ATT&amp;CK Mappings'!$J568))), 'MITRE ATT&amp;CK Mappings'!$B568,"")</f>
        <v/>
      </c>
      <c r="H572" s="26" t="str">
        <f>IF(OR(OR(OR(OR(OR(ISNUMBER(SEARCH(IF(H$1&lt;&gt;"",H$1,"NA"),'MITRE ATT&amp;CK Mappings'!$E568)),ISNUMBER(SEARCH(IF(H$1&lt;&gt;"",H$1,"NA"),'MITRE ATT&amp;CK Mappings'!$F568))),ISNUMBER(SEARCH(IF(H$2&lt;&gt;"",H$2,"NA"),'MITRE ATT&amp;CK Mappings'!$G568))),ISNUMBER(SEARCH(IF(H$2&lt;&gt;"",H$2,"NA"),'MITRE ATT&amp;CK Mappings'!$H568))),ISNUMBER(SEARCH(IF(H$3&lt;&gt;"",H$3,"NA"),'MITRE ATT&amp;CK Mappings'!$I568))),ISNUMBER(SEARCH(IF(H$3&lt;&gt;"",H$3,"NA"),'MITRE ATT&amp;CK Mappings'!$J568))), 'MITRE ATT&amp;CK Mappings'!$B568,"")</f>
        <v/>
      </c>
      <c r="I572" s="26" t="str">
        <f>IF(OR(OR(OR(OR(OR(ISNUMBER(SEARCH(IF(I$1&lt;&gt;"",I$1,"NA"),'MITRE ATT&amp;CK Mappings'!$E568)),ISNUMBER(SEARCH(IF(I$1&lt;&gt;"",I$1,"NA"),'MITRE ATT&amp;CK Mappings'!$F568))),ISNUMBER(SEARCH(IF(I$2&lt;&gt;"",I$2,"NA"),'MITRE ATT&amp;CK Mappings'!$G568))),ISNUMBER(SEARCH(IF(I$2&lt;&gt;"",I$2,"NA"),'MITRE ATT&amp;CK Mappings'!$H568))),ISNUMBER(SEARCH(IF(I$3&lt;&gt;"",I$3,"NA"),'MITRE ATT&amp;CK Mappings'!$I568))),ISNUMBER(SEARCH(IF(I$3&lt;&gt;"",I$3,"NA"),'MITRE ATT&amp;CK Mappings'!$J568))), 'MITRE ATT&amp;CK Mappings'!$B568,"")</f>
        <v/>
      </c>
      <c r="J572" s="26" t="str">
        <f>IF(OR(OR(OR(OR(OR(ISNUMBER(SEARCH(IF(J$1&lt;&gt;"",J$1,"NA"),'MITRE ATT&amp;CK Mappings'!$E568)),ISNUMBER(SEARCH(IF(J$1&lt;&gt;"",J$1,"NA"),'MITRE ATT&amp;CK Mappings'!$F568))),ISNUMBER(SEARCH(IF(J$2&lt;&gt;"",J$2,"NA"),'MITRE ATT&amp;CK Mappings'!$G568))),ISNUMBER(SEARCH(IF(J$2&lt;&gt;"",J$2,"NA"),'MITRE ATT&amp;CK Mappings'!$H568))),ISNUMBER(SEARCH(IF(J$3&lt;&gt;"",J$3,"NA"),'MITRE ATT&amp;CK Mappings'!$I568))),ISNUMBER(SEARCH(IF(J$3&lt;&gt;"",J$3,"NA"),'MITRE ATT&amp;CK Mappings'!$J568))), 'MITRE ATT&amp;CK Mappings'!$B568,"")</f>
        <v/>
      </c>
      <c r="K572" s="26" t="str">
        <f>IF(OR(OR(OR(OR(OR(ISNUMBER(SEARCH(IF(K$1&lt;&gt;"",K$1,"NA"),'MITRE ATT&amp;CK Mappings'!$E568)),ISNUMBER(SEARCH(IF(K$1&lt;&gt;"",K$1,"NA"),'MITRE ATT&amp;CK Mappings'!$F568))),ISNUMBER(SEARCH(IF(K$2&lt;&gt;"",K$2,"NA"),'MITRE ATT&amp;CK Mappings'!$G568))),ISNUMBER(SEARCH(IF(K$2&lt;&gt;"",K$2,"NA"),'MITRE ATT&amp;CK Mappings'!$H568))),ISNUMBER(SEARCH(IF(K$3&lt;&gt;"",K$3,"NA"),'MITRE ATT&amp;CK Mappings'!$I568))),ISNUMBER(SEARCH(IF(K$3&lt;&gt;"",K$3,"NA"),'MITRE ATT&amp;CK Mappings'!$J568))), 'MITRE ATT&amp;CK Mappings'!$B568,"")</f>
        <v/>
      </c>
      <c r="L572" s="26" t="str">
        <f>IF('MITRE ATT&amp;CK Mappings'!D568 &lt;&gt;"",'MITRE ATT&amp;CK Mappings'!D568,"" )</f>
        <v/>
      </c>
    </row>
    <row r="573" spans="1:12" x14ac:dyDescent="0.25">
      <c r="A573" s="27" t="str">
        <f>IF(COUNTIF(B573:K573,"="&amp;'MITRE ATT&amp;CK Mappings'!B569)&gt;0,'MITRE ATT&amp;CK Mappings'!B569,"")</f>
        <v/>
      </c>
      <c r="B573" s="27" t="str">
        <f>IF(OR(OR(OR(OR(OR(ISNUMBER(SEARCH(IF(B$1&lt;&gt;"",B$1,"NA"),'MITRE ATT&amp;CK Mappings'!$E569)),ISNUMBER(SEARCH(IF(B$1&lt;&gt;"",B$1,"NA"),'MITRE ATT&amp;CK Mappings'!$F569))),ISNUMBER(SEARCH(IF(B$2&lt;&gt;"",B$2,"NA"),'MITRE ATT&amp;CK Mappings'!$G569))),ISNUMBER(SEARCH(IF(B$2&lt;&gt;"",B$2,"NA"),'MITRE ATT&amp;CK Mappings'!$H569))),ISNUMBER(SEARCH(IF(B$3&lt;&gt;"",B$3,"NA"),'MITRE ATT&amp;CK Mappings'!$I569))),ISNUMBER(SEARCH(IF(B$3&lt;&gt;"",B$3,"NA"),'MITRE ATT&amp;CK Mappings'!$J569))), 'MITRE ATT&amp;CK Mappings'!$B569,"")</f>
        <v/>
      </c>
      <c r="C573" s="27" t="str">
        <f>IF(OR(OR(OR(OR(OR(ISNUMBER(SEARCH(IF(C$1&lt;&gt;"",C$1,"NA"),'MITRE ATT&amp;CK Mappings'!$E569)),ISNUMBER(SEARCH(IF(C$1&lt;&gt;"",C$1,"NA"),'MITRE ATT&amp;CK Mappings'!$F569))),ISNUMBER(SEARCH(IF(C$2&lt;&gt;"",C$2,"NA"),'MITRE ATT&amp;CK Mappings'!$G569))),ISNUMBER(SEARCH(IF(C$2&lt;&gt;"",C$2,"NA"),'MITRE ATT&amp;CK Mappings'!$H569))),ISNUMBER(SEARCH(IF(C$3&lt;&gt;"",C$3,"NA"),'MITRE ATT&amp;CK Mappings'!$I569))),ISNUMBER(SEARCH(IF(C$3&lt;&gt;"",C$3,"NA"),'MITRE ATT&amp;CK Mappings'!$J569))), 'MITRE ATT&amp;CK Mappings'!$B569,"")</f>
        <v/>
      </c>
      <c r="D573" s="27" t="str">
        <f>IF(OR(OR(OR(OR(OR(ISNUMBER(SEARCH(IF(D$1&lt;&gt;"",D$1,"NA"),'MITRE ATT&amp;CK Mappings'!$E569)),ISNUMBER(SEARCH(IF(D$1&lt;&gt;"",D$1,"NA"),'MITRE ATT&amp;CK Mappings'!$F569))),ISNUMBER(SEARCH(IF(D$2&lt;&gt;"",D$2,"NA"),'MITRE ATT&amp;CK Mappings'!$G569))),ISNUMBER(SEARCH(IF(D$2&lt;&gt;"",D$2,"NA"),'MITRE ATT&amp;CK Mappings'!$H569))),ISNUMBER(SEARCH(IF(D$3&lt;&gt;"",D$3,"NA"),'MITRE ATT&amp;CK Mappings'!$I569))),ISNUMBER(SEARCH(IF(D$3&lt;&gt;"",D$3,"NA"),'MITRE ATT&amp;CK Mappings'!$J569))), 'MITRE ATT&amp;CK Mappings'!$B569,"")</f>
        <v/>
      </c>
      <c r="E573" s="27" t="str">
        <f>IF(OR(OR(OR(OR(OR(ISNUMBER(SEARCH(IF(E$1&lt;&gt;"",E$1,"NA"),'MITRE ATT&amp;CK Mappings'!$E569)),ISNUMBER(SEARCH(IF(E$1&lt;&gt;"",E$1,"NA"),'MITRE ATT&amp;CK Mappings'!$F569))),ISNUMBER(SEARCH(IF(E$2&lt;&gt;"",E$2,"NA"),'MITRE ATT&amp;CK Mappings'!$G569))),ISNUMBER(SEARCH(IF(E$2&lt;&gt;"",E$2,"NA"),'MITRE ATT&amp;CK Mappings'!$H569))),ISNUMBER(SEARCH(IF(E$3&lt;&gt;"",E$3,"NA"),'MITRE ATT&amp;CK Mappings'!$I569))),ISNUMBER(SEARCH(IF(E$3&lt;&gt;"",E$3,"NA"),'MITRE ATT&amp;CK Mappings'!$J569))), 'MITRE ATT&amp;CK Mappings'!$B569,"")</f>
        <v/>
      </c>
      <c r="F573" s="27" t="str">
        <f>IF(OR(OR(OR(OR(OR(ISNUMBER(SEARCH(IF(F$1&lt;&gt;"",F$1,"NA"),'MITRE ATT&amp;CK Mappings'!$E569)),ISNUMBER(SEARCH(IF(F$1&lt;&gt;"",F$1,"NA"),'MITRE ATT&amp;CK Mappings'!$F569))),ISNUMBER(SEARCH(IF(F$2&lt;&gt;"",F$2,"NA"),'MITRE ATT&amp;CK Mappings'!$G569))),ISNUMBER(SEARCH(IF(F$2&lt;&gt;"",F$2,"NA"),'MITRE ATT&amp;CK Mappings'!$H569))),ISNUMBER(SEARCH(IF(F$3&lt;&gt;"",F$3,"NA"),'MITRE ATT&amp;CK Mappings'!$I569))),ISNUMBER(SEARCH(IF(F$3&lt;&gt;"",F$3,"NA"),'MITRE ATT&amp;CK Mappings'!$J569))), 'MITRE ATT&amp;CK Mappings'!$B569,"")</f>
        <v/>
      </c>
      <c r="G573" s="27" t="str">
        <f>IF(OR(OR(OR(OR(OR(ISNUMBER(SEARCH(IF(G$1&lt;&gt;"",G$1,"NA"),'MITRE ATT&amp;CK Mappings'!$E569)),ISNUMBER(SEARCH(IF(G$1&lt;&gt;"",G$1,"NA"),'MITRE ATT&amp;CK Mappings'!$F569))),ISNUMBER(SEARCH(IF(G$2&lt;&gt;"",G$2,"NA"),'MITRE ATT&amp;CK Mappings'!$G569))),ISNUMBER(SEARCH(IF(G$2&lt;&gt;"",G$2,"NA"),'MITRE ATT&amp;CK Mappings'!$H569))),ISNUMBER(SEARCH(IF(G$3&lt;&gt;"",G$3,"NA"),'MITRE ATT&amp;CK Mappings'!$I569))),ISNUMBER(SEARCH(IF(G$3&lt;&gt;"",G$3,"NA"),'MITRE ATT&amp;CK Mappings'!$J569))), 'MITRE ATT&amp;CK Mappings'!$B569,"")</f>
        <v/>
      </c>
      <c r="H573" s="27" t="str">
        <f>IF(OR(OR(OR(OR(OR(ISNUMBER(SEARCH(IF(H$1&lt;&gt;"",H$1,"NA"),'MITRE ATT&amp;CK Mappings'!$E569)),ISNUMBER(SEARCH(IF(H$1&lt;&gt;"",H$1,"NA"),'MITRE ATT&amp;CK Mappings'!$F569))),ISNUMBER(SEARCH(IF(H$2&lt;&gt;"",H$2,"NA"),'MITRE ATT&amp;CK Mappings'!$G569))),ISNUMBER(SEARCH(IF(H$2&lt;&gt;"",H$2,"NA"),'MITRE ATT&amp;CK Mappings'!$H569))),ISNUMBER(SEARCH(IF(H$3&lt;&gt;"",H$3,"NA"),'MITRE ATT&amp;CK Mappings'!$I569))),ISNUMBER(SEARCH(IF(H$3&lt;&gt;"",H$3,"NA"),'MITRE ATT&amp;CK Mappings'!$J569))), 'MITRE ATT&amp;CK Mappings'!$B569,"")</f>
        <v/>
      </c>
      <c r="I573" s="27" t="str">
        <f>IF(OR(OR(OR(OR(OR(ISNUMBER(SEARCH(IF(I$1&lt;&gt;"",I$1,"NA"),'MITRE ATT&amp;CK Mappings'!$E569)),ISNUMBER(SEARCH(IF(I$1&lt;&gt;"",I$1,"NA"),'MITRE ATT&amp;CK Mappings'!$F569))),ISNUMBER(SEARCH(IF(I$2&lt;&gt;"",I$2,"NA"),'MITRE ATT&amp;CK Mappings'!$G569))),ISNUMBER(SEARCH(IF(I$2&lt;&gt;"",I$2,"NA"),'MITRE ATT&amp;CK Mappings'!$H569))),ISNUMBER(SEARCH(IF(I$3&lt;&gt;"",I$3,"NA"),'MITRE ATT&amp;CK Mappings'!$I569))),ISNUMBER(SEARCH(IF(I$3&lt;&gt;"",I$3,"NA"),'MITRE ATT&amp;CK Mappings'!$J569))), 'MITRE ATT&amp;CK Mappings'!$B569,"")</f>
        <v/>
      </c>
      <c r="J573" s="27" t="str">
        <f>IF(OR(OR(OR(OR(OR(ISNUMBER(SEARCH(IF(J$1&lt;&gt;"",J$1,"NA"),'MITRE ATT&amp;CK Mappings'!$E569)),ISNUMBER(SEARCH(IF(J$1&lt;&gt;"",J$1,"NA"),'MITRE ATT&amp;CK Mappings'!$F569))),ISNUMBER(SEARCH(IF(J$2&lt;&gt;"",J$2,"NA"),'MITRE ATT&amp;CK Mappings'!$G569))),ISNUMBER(SEARCH(IF(J$2&lt;&gt;"",J$2,"NA"),'MITRE ATT&amp;CK Mappings'!$H569))),ISNUMBER(SEARCH(IF(J$3&lt;&gt;"",J$3,"NA"),'MITRE ATT&amp;CK Mappings'!$I569))),ISNUMBER(SEARCH(IF(J$3&lt;&gt;"",J$3,"NA"),'MITRE ATT&amp;CK Mappings'!$J569))), 'MITRE ATT&amp;CK Mappings'!$B569,"")</f>
        <v/>
      </c>
      <c r="K573" s="27" t="str">
        <f>IF(OR(OR(OR(OR(OR(ISNUMBER(SEARCH(IF(K$1&lt;&gt;"",K$1,"NA"),'MITRE ATT&amp;CK Mappings'!$E569)),ISNUMBER(SEARCH(IF(K$1&lt;&gt;"",K$1,"NA"),'MITRE ATT&amp;CK Mappings'!$F569))),ISNUMBER(SEARCH(IF(K$2&lt;&gt;"",K$2,"NA"),'MITRE ATT&amp;CK Mappings'!$G569))),ISNUMBER(SEARCH(IF(K$2&lt;&gt;"",K$2,"NA"),'MITRE ATT&amp;CK Mappings'!$H569))),ISNUMBER(SEARCH(IF(K$3&lt;&gt;"",K$3,"NA"),'MITRE ATT&amp;CK Mappings'!$I569))),ISNUMBER(SEARCH(IF(K$3&lt;&gt;"",K$3,"NA"),'MITRE ATT&amp;CK Mappings'!$J569))), 'MITRE ATT&amp;CK Mappings'!$B569,"")</f>
        <v/>
      </c>
      <c r="L573" s="27" t="str">
        <f>IF('MITRE ATT&amp;CK Mappings'!D569 &lt;&gt;"",'MITRE ATT&amp;CK Mappings'!D569,"" )</f>
        <v/>
      </c>
    </row>
    <row r="574" spans="1:12" x14ac:dyDescent="0.25">
      <c r="A574" s="26" t="str">
        <f>IF(COUNTIF(B574:K574,"="&amp;'MITRE ATT&amp;CK Mappings'!B570)&gt;0,'MITRE ATT&amp;CK Mappings'!B570,"")</f>
        <v/>
      </c>
      <c r="B574" s="26" t="str">
        <f>IF(OR(OR(OR(OR(OR(ISNUMBER(SEARCH(IF(B$1&lt;&gt;"",B$1,"NA"),'MITRE ATT&amp;CK Mappings'!$E570)),ISNUMBER(SEARCH(IF(B$1&lt;&gt;"",B$1,"NA"),'MITRE ATT&amp;CK Mappings'!$F570))),ISNUMBER(SEARCH(IF(B$2&lt;&gt;"",B$2,"NA"),'MITRE ATT&amp;CK Mappings'!$G570))),ISNUMBER(SEARCH(IF(B$2&lt;&gt;"",B$2,"NA"),'MITRE ATT&amp;CK Mappings'!$H570))),ISNUMBER(SEARCH(IF(B$3&lt;&gt;"",B$3,"NA"),'MITRE ATT&amp;CK Mappings'!$I570))),ISNUMBER(SEARCH(IF(B$3&lt;&gt;"",B$3,"NA"),'MITRE ATT&amp;CK Mappings'!$J570))), 'MITRE ATT&amp;CK Mappings'!$B570,"")</f>
        <v/>
      </c>
      <c r="C574" s="26" t="str">
        <f>IF(OR(OR(OR(OR(OR(ISNUMBER(SEARCH(IF(C$1&lt;&gt;"",C$1,"NA"),'MITRE ATT&amp;CK Mappings'!$E570)),ISNUMBER(SEARCH(IF(C$1&lt;&gt;"",C$1,"NA"),'MITRE ATT&amp;CK Mappings'!$F570))),ISNUMBER(SEARCH(IF(C$2&lt;&gt;"",C$2,"NA"),'MITRE ATT&amp;CK Mappings'!$G570))),ISNUMBER(SEARCH(IF(C$2&lt;&gt;"",C$2,"NA"),'MITRE ATT&amp;CK Mappings'!$H570))),ISNUMBER(SEARCH(IF(C$3&lt;&gt;"",C$3,"NA"),'MITRE ATT&amp;CK Mappings'!$I570))),ISNUMBER(SEARCH(IF(C$3&lt;&gt;"",C$3,"NA"),'MITRE ATT&amp;CK Mappings'!$J570))), 'MITRE ATT&amp;CK Mappings'!$B570,"")</f>
        <v/>
      </c>
      <c r="D574" s="26" t="str">
        <f>IF(OR(OR(OR(OR(OR(ISNUMBER(SEARCH(IF(D$1&lt;&gt;"",D$1,"NA"),'MITRE ATT&amp;CK Mappings'!$E570)),ISNUMBER(SEARCH(IF(D$1&lt;&gt;"",D$1,"NA"),'MITRE ATT&amp;CK Mappings'!$F570))),ISNUMBER(SEARCH(IF(D$2&lt;&gt;"",D$2,"NA"),'MITRE ATT&amp;CK Mappings'!$G570))),ISNUMBER(SEARCH(IF(D$2&lt;&gt;"",D$2,"NA"),'MITRE ATT&amp;CK Mappings'!$H570))),ISNUMBER(SEARCH(IF(D$3&lt;&gt;"",D$3,"NA"),'MITRE ATT&amp;CK Mappings'!$I570))),ISNUMBER(SEARCH(IF(D$3&lt;&gt;"",D$3,"NA"),'MITRE ATT&amp;CK Mappings'!$J570))), 'MITRE ATT&amp;CK Mappings'!$B570,"")</f>
        <v/>
      </c>
      <c r="E574" s="26" t="str">
        <f>IF(OR(OR(OR(OR(OR(ISNUMBER(SEARCH(IF(E$1&lt;&gt;"",E$1,"NA"),'MITRE ATT&amp;CK Mappings'!$E570)),ISNUMBER(SEARCH(IF(E$1&lt;&gt;"",E$1,"NA"),'MITRE ATT&amp;CK Mappings'!$F570))),ISNUMBER(SEARCH(IF(E$2&lt;&gt;"",E$2,"NA"),'MITRE ATT&amp;CK Mappings'!$G570))),ISNUMBER(SEARCH(IF(E$2&lt;&gt;"",E$2,"NA"),'MITRE ATT&amp;CK Mappings'!$H570))),ISNUMBER(SEARCH(IF(E$3&lt;&gt;"",E$3,"NA"),'MITRE ATT&amp;CK Mappings'!$I570))),ISNUMBER(SEARCH(IF(E$3&lt;&gt;"",E$3,"NA"),'MITRE ATT&amp;CK Mappings'!$J570))), 'MITRE ATT&amp;CK Mappings'!$B570,"")</f>
        <v/>
      </c>
      <c r="F574" s="26" t="str">
        <f>IF(OR(OR(OR(OR(OR(ISNUMBER(SEARCH(IF(F$1&lt;&gt;"",F$1,"NA"),'MITRE ATT&amp;CK Mappings'!$E570)),ISNUMBER(SEARCH(IF(F$1&lt;&gt;"",F$1,"NA"),'MITRE ATT&amp;CK Mappings'!$F570))),ISNUMBER(SEARCH(IF(F$2&lt;&gt;"",F$2,"NA"),'MITRE ATT&amp;CK Mappings'!$G570))),ISNUMBER(SEARCH(IF(F$2&lt;&gt;"",F$2,"NA"),'MITRE ATT&amp;CK Mappings'!$H570))),ISNUMBER(SEARCH(IF(F$3&lt;&gt;"",F$3,"NA"),'MITRE ATT&amp;CK Mappings'!$I570))),ISNUMBER(SEARCH(IF(F$3&lt;&gt;"",F$3,"NA"),'MITRE ATT&amp;CK Mappings'!$J570))), 'MITRE ATT&amp;CK Mappings'!$B570,"")</f>
        <v/>
      </c>
      <c r="G574" s="26" t="str">
        <f>IF(OR(OR(OR(OR(OR(ISNUMBER(SEARCH(IF(G$1&lt;&gt;"",G$1,"NA"),'MITRE ATT&amp;CK Mappings'!$E570)),ISNUMBER(SEARCH(IF(G$1&lt;&gt;"",G$1,"NA"),'MITRE ATT&amp;CK Mappings'!$F570))),ISNUMBER(SEARCH(IF(G$2&lt;&gt;"",G$2,"NA"),'MITRE ATT&amp;CK Mappings'!$G570))),ISNUMBER(SEARCH(IF(G$2&lt;&gt;"",G$2,"NA"),'MITRE ATT&amp;CK Mappings'!$H570))),ISNUMBER(SEARCH(IF(G$3&lt;&gt;"",G$3,"NA"),'MITRE ATT&amp;CK Mappings'!$I570))),ISNUMBER(SEARCH(IF(G$3&lt;&gt;"",G$3,"NA"),'MITRE ATT&amp;CK Mappings'!$J570))), 'MITRE ATT&amp;CK Mappings'!$B570,"")</f>
        <v/>
      </c>
      <c r="H574" s="26" t="str">
        <f>IF(OR(OR(OR(OR(OR(ISNUMBER(SEARCH(IF(H$1&lt;&gt;"",H$1,"NA"),'MITRE ATT&amp;CK Mappings'!$E570)),ISNUMBER(SEARCH(IF(H$1&lt;&gt;"",H$1,"NA"),'MITRE ATT&amp;CK Mappings'!$F570))),ISNUMBER(SEARCH(IF(H$2&lt;&gt;"",H$2,"NA"),'MITRE ATT&amp;CK Mappings'!$G570))),ISNUMBER(SEARCH(IF(H$2&lt;&gt;"",H$2,"NA"),'MITRE ATT&amp;CK Mappings'!$H570))),ISNUMBER(SEARCH(IF(H$3&lt;&gt;"",H$3,"NA"),'MITRE ATT&amp;CK Mappings'!$I570))),ISNUMBER(SEARCH(IF(H$3&lt;&gt;"",H$3,"NA"),'MITRE ATT&amp;CK Mappings'!$J570))), 'MITRE ATT&amp;CK Mappings'!$B570,"")</f>
        <v/>
      </c>
      <c r="I574" s="26" t="str">
        <f>IF(OR(OR(OR(OR(OR(ISNUMBER(SEARCH(IF(I$1&lt;&gt;"",I$1,"NA"),'MITRE ATT&amp;CK Mappings'!$E570)),ISNUMBER(SEARCH(IF(I$1&lt;&gt;"",I$1,"NA"),'MITRE ATT&amp;CK Mappings'!$F570))),ISNUMBER(SEARCH(IF(I$2&lt;&gt;"",I$2,"NA"),'MITRE ATT&amp;CK Mappings'!$G570))),ISNUMBER(SEARCH(IF(I$2&lt;&gt;"",I$2,"NA"),'MITRE ATT&amp;CK Mappings'!$H570))),ISNUMBER(SEARCH(IF(I$3&lt;&gt;"",I$3,"NA"),'MITRE ATT&amp;CK Mappings'!$I570))),ISNUMBER(SEARCH(IF(I$3&lt;&gt;"",I$3,"NA"),'MITRE ATT&amp;CK Mappings'!$J570))), 'MITRE ATT&amp;CK Mappings'!$B570,"")</f>
        <v/>
      </c>
      <c r="J574" s="26" t="str">
        <f>IF(OR(OR(OR(OR(OR(ISNUMBER(SEARCH(IF(J$1&lt;&gt;"",J$1,"NA"),'MITRE ATT&amp;CK Mappings'!$E570)),ISNUMBER(SEARCH(IF(J$1&lt;&gt;"",J$1,"NA"),'MITRE ATT&amp;CK Mappings'!$F570))),ISNUMBER(SEARCH(IF(J$2&lt;&gt;"",J$2,"NA"),'MITRE ATT&amp;CK Mappings'!$G570))),ISNUMBER(SEARCH(IF(J$2&lt;&gt;"",J$2,"NA"),'MITRE ATT&amp;CK Mappings'!$H570))),ISNUMBER(SEARCH(IF(J$3&lt;&gt;"",J$3,"NA"),'MITRE ATT&amp;CK Mappings'!$I570))),ISNUMBER(SEARCH(IF(J$3&lt;&gt;"",J$3,"NA"),'MITRE ATT&amp;CK Mappings'!$J570))), 'MITRE ATT&amp;CK Mappings'!$B570,"")</f>
        <v/>
      </c>
      <c r="K574" s="26" t="str">
        <f>IF(OR(OR(OR(OR(OR(ISNUMBER(SEARCH(IF(K$1&lt;&gt;"",K$1,"NA"),'MITRE ATT&amp;CK Mappings'!$E570)),ISNUMBER(SEARCH(IF(K$1&lt;&gt;"",K$1,"NA"),'MITRE ATT&amp;CK Mappings'!$F570))),ISNUMBER(SEARCH(IF(K$2&lt;&gt;"",K$2,"NA"),'MITRE ATT&amp;CK Mappings'!$G570))),ISNUMBER(SEARCH(IF(K$2&lt;&gt;"",K$2,"NA"),'MITRE ATT&amp;CK Mappings'!$H570))),ISNUMBER(SEARCH(IF(K$3&lt;&gt;"",K$3,"NA"),'MITRE ATT&amp;CK Mappings'!$I570))),ISNUMBER(SEARCH(IF(K$3&lt;&gt;"",K$3,"NA"),'MITRE ATT&amp;CK Mappings'!$J570))), 'MITRE ATT&amp;CK Mappings'!$B570,"")</f>
        <v/>
      </c>
      <c r="L574" s="26" t="str">
        <f>IF('MITRE ATT&amp;CK Mappings'!D570 &lt;&gt;"",'MITRE ATT&amp;CK Mappings'!D570,"" )</f>
        <v/>
      </c>
    </row>
    <row r="575" spans="1:12" x14ac:dyDescent="0.25">
      <c r="A575" s="27" t="str">
        <f>IF(COUNTIF(B575:K575,"="&amp;'MITRE ATT&amp;CK Mappings'!B571)&gt;0,'MITRE ATT&amp;CK Mappings'!B571,"")</f>
        <v/>
      </c>
      <c r="B575" s="27" t="str">
        <f>IF(OR(OR(OR(OR(OR(ISNUMBER(SEARCH(IF(B$1&lt;&gt;"",B$1,"NA"),'MITRE ATT&amp;CK Mappings'!$E571)),ISNUMBER(SEARCH(IF(B$1&lt;&gt;"",B$1,"NA"),'MITRE ATT&amp;CK Mappings'!$F571))),ISNUMBER(SEARCH(IF(B$2&lt;&gt;"",B$2,"NA"),'MITRE ATT&amp;CK Mappings'!$G571))),ISNUMBER(SEARCH(IF(B$2&lt;&gt;"",B$2,"NA"),'MITRE ATT&amp;CK Mappings'!$H571))),ISNUMBER(SEARCH(IF(B$3&lt;&gt;"",B$3,"NA"),'MITRE ATT&amp;CK Mappings'!$I571))),ISNUMBER(SEARCH(IF(B$3&lt;&gt;"",B$3,"NA"),'MITRE ATT&amp;CK Mappings'!$J571))), 'MITRE ATT&amp;CK Mappings'!$B571,"")</f>
        <v/>
      </c>
      <c r="C575" s="27" t="str">
        <f>IF(OR(OR(OR(OR(OR(ISNUMBER(SEARCH(IF(C$1&lt;&gt;"",C$1,"NA"),'MITRE ATT&amp;CK Mappings'!$E571)),ISNUMBER(SEARCH(IF(C$1&lt;&gt;"",C$1,"NA"),'MITRE ATT&amp;CK Mappings'!$F571))),ISNUMBER(SEARCH(IF(C$2&lt;&gt;"",C$2,"NA"),'MITRE ATT&amp;CK Mappings'!$G571))),ISNUMBER(SEARCH(IF(C$2&lt;&gt;"",C$2,"NA"),'MITRE ATT&amp;CK Mappings'!$H571))),ISNUMBER(SEARCH(IF(C$3&lt;&gt;"",C$3,"NA"),'MITRE ATT&amp;CK Mappings'!$I571))),ISNUMBER(SEARCH(IF(C$3&lt;&gt;"",C$3,"NA"),'MITRE ATT&amp;CK Mappings'!$J571))), 'MITRE ATT&amp;CK Mappings'!$B571,"")</f>
        <v/>
      </c>
      <c r="D575" s="27" t="str">
        <f>IF(OR(OR(OR(OR(OR(ISNUMBER(SEARCH(IF(D$1&lt;&gt;"",D$1,"NA"),'MITRE ATT&amp;CK Mappings'!$E571)),ISNUMBER(SEARCH(IF(D$1&lt;&gt;"",D$1,"NA"),'MITRE ATT&amp;CK Mappings'!$F571))),ISNUMBER(SEARCH(IF(D$2&lt;&gt;"",D$2,"NA"),'MITRE ATT&amp;CK Mappings'!$G571))),ISNUMBER(SEARCH(IF(D$2&lt;&gt;"",D$2,"NA"),'MITRE ATT&amp;CK Mappings'!$H571))),ISNUMBER(SEARCH(IF(D$3&lt;&gt;"",D$3,"NA"),'MITRE ATT&amp;CK Mappings'!$I571))),ISNUMBER(SEARCH(IF(D$3&lt;&gt;"",D$3,"NA"),'MITRE ATT&amp;CK Mappings'!$J571))), 'MITRE ATT&amp;CK Mappings'!$B571,"")</f>
        <v/>
      </c>
      <c r="E575" s="27" t="str">
        <f>IF(OR(OR(OR(OR(OR(ISNUMBER(SEARCH(IF(E$1&lt;&gt;"",E$1,"NA"),'MITRE ATT&amp;CK Mappings'!$E571)),ISNUMBER(SEARCH(IF(E$1&lt;&gt;"",E$1,"NA"),'MITRE ATT&amp;CK Mappings'!$F571))),ISNUMBER(SEARCH(IF(E$2&lt;&gt;"",E$2,"NA"),'MITRE ATT&amp;CK Mappings'!$G571))),ISNUMBER(SEARCH(IF(E$2&lt;&gt;"",E$2,"NA"),'MITRE ATT&amp;CK Mappings'!$H571))),ISNUMBER(SEARCH(IF(E$3&lt;&gt;"",E$3,"NA"),'MITRE ATT&amp;CK Mappings'!$I571))),ISNUMBER(SEARCH(IF(E$3&lt;&gt;"",E$3,"NA"),'MITRE ATT&amp;CK Mappings'!$J571))), 'MITRE ATT&amp;CK Mappings'!$B571,"")</f>
        <v/>
      </c>
      <c r="F575" s="27" t="str">
        <f>IF(OR(OR(OR(OR(OR(ISNUMBER(SEARCH(IF(F$1&lt;&gt;"",F$1,"NA"),'MITRE ATT&amp;CK Mappings'!$E571)),ISNUMBER(SEARCH(IF(F$1&lt;&gt;"",F$1,"NA"),'MITRE ATT&amp;CK Mappings'!$F571))),ISNUMBER(SEARCH(IF(F$2&lt;&gt;"",F$2,"NA"),'MITRE ATT&amp;CK Mappings'!$G571))),ISNUMBER(SEARCH(IF(F$2&lt;&gt;"",F$2,"NA"),'MITRE ATT&amp;CK Mappings'!$H571))),ISNUMBER(SEARCH(IF(F$3&lt;&gt;"",F$3,"NA"),'MITRE ATT&amp;CK Mappings'!$I571))),ISNUMBER(SEARCH(IF(F$3&lt;&gt;"",F$3,"NA"),'MITRE ATT&amp;CK Mappings'!$J571))), 'MITRE ATT&amp;CK Mappings'!$B571,"")</f>
        <v/>
      </c>
      <c r="G575" s="27" t="str">
        <f>IF(OR(OR(OR(OR(OR(ISNUMBER(SEARCH(IF(G$1&lt;&gt;"",G$1,"NA"),'MITRE ATT&amp;CK Mappings'!$E571)),ISNUMBER(SEARCH(IF(G$1&lt;&gt;"",G$1,"NA"),'MITRE ATT&amp;CK Mappings'!$F571))),ISNUMBER(SEARCH(IF(G$2&lt;&gt;"",G$2,"NA"),'MITRE ATT&amp;CK Mappings'!$G571))),ISNUMBER(SEARCH(IF(G$2&lt;&gt;"",G$2,"NA"),'MITRE ATT&amp;CK Mappings'!$H571))),ISNUMBER(SEARCH(IF(G$3&lt;&gt;"",G$3,"NA"),'MITRE ATT&amp;CK Mappings'!$I571))),ISNUMBER(SEARCH(IF(G$3&lt;&gt;"",G$3,"NA"),'MITRE ATT&amp;CK Mappings'!$J571))), 'MITRE ATT&amp;CK Mappings'!$B571,"")</f>
        <v/>
      </c>
      <c r="H575" s="27" t="str">
        <f>IF(OR(OR(OR(OR(OR(ISNUMBER(SEARCH(IF(H$1&lt;&gt;"",H$1,"NA"),'MITRE ATT&amp;CK Mappings'!$E571)),ISNUMBER(SEARCH(IF(H$1&lt;&gt;"",H$1,"NA"),'MITRE ATT&amp;CK Mappings'!$F571))),ISNUMBER(SEARCH(IF(H$2&lt;&gt;"",H$2,"NA"),'MITRE ATT&amp;CK Mappings'!$G571))),ISNUMBER(SEARCH(IF(H$2&lt;&gt;"",H$2,"NA"),'MITRE ATT&amp;CK Mappings'!$H571))),ISNUMBER(SEARCH(IF(H$3&lt;&gt;"",H$3,"NA"),'MITRE ATT&amp;CK Mappings'!$I571))),ISNUMBER(SEARCH(IF(H$3&lt;&gt;"",H$3,"NA"),'MITRE ATT&amp;CK Mappings'!$J571))), 'MITRE ATT&amp;CK Mappings'!$B571,"")</f>
        <v/>
      </c>
      <c r="I575" s="27" t="str">
        <f>IF(OR(OR(OR(OR(OR(ISNUMBER(SEARCH(IF(I$1&lt;&gt;"",I$1,"NA"),'MITRE ATT&amp;CK Mappings'!$E571)),ISNUMBER(SEARCH(IF(I$1&lt;&gt;"",I$1,"NA"),'MITRE ATT&amp;CK Mappings'!$F571))),ISNUMBER(SEARCH(IF(I$2&lt;&gt;"",I$2,"NA"),'MITRE ATT&amp;CK Mappings'!$G571))),ISNUMBER(SEARCH(IF(I$2&lt;&gt;"",I$2,"NA"),'MITRE ATT&amp;CK Mappings'!$H571))),ISNUMBER(SEARCH(IF(I$3&lt;&gt;"",I$3,"NA"),'MITRE ATT&amp;CK Mappings'!$I571))),ISNUMBER(SEARCH(IF(I$3&lt;&gt;"",I$3,"NA"),'MITRE ATT&amp;CK Mappings'!$J571))), 'MITRE ATT&amp;CK Mappings'!$B571,"")</f>
        <v/>
      </c>
      <c r="J575" s="27" t="str">
        <f>IF(OR(OR(OR(OR(OR(ISNUMBER(SEARCH(IF(J$1&lt;&gt;"",J$1,"NA"),'MITRE ATT&amp;CK Mappings'!$E571)),ISNUMBER(SEARCH(IF(J$1&lt;&gt;"",J$1,"NA"),'MITRE ATT&amp;CK Mappings'!$F571))),ISNUMBER(SEARCH(IF(J$2&lt;&gt;"",J$2,"NA"),'MITRE ATT&amp;CK Mappings'!$G571))),ISNUMBER(SEARCH(IF(J$2&lt;&gt;"",J$2,"NA"),'MITRE ATT&amp;CK Mappings'!$H571))),ISNUMBER(SEARCH(IF(J$3&lt;&gt;"",J$3,"NA"),'MITRE ATT&amp;CK Mappings'!$I571))),ISNUMBER(SEARCH(IF(J$3&lt;&gt;"",J$3,"NA"),'MITRE ATT&amp;CK Mappings'!$J571))), 'MITRE ATT&amp;CK Mappings'!$B571,"")</f>
        <v/>
      </c>
      <c r="K575" s="27" t="str">
        <f>IF(OR(OR(OR(OR(OR(ISNUMBER(SEARCH(IF(K$1&lt;&gt;"",K$1,"NA"),'MITRE ATT&amp;CK Mappings'!$E571)),ISNUMBER(SEARCH(IF(K$1&lt;&gt;"",K$1,"NA"),'MITRE ATT&amp;CK Mappings'!$F571))),ISNUMBER(SEARCH(IF(K$2&lt;&gt;"",K$2,"NA"),'MITRE ATT&amp;CK Mappings'!$G571))),ISNUMBER(SEARCH(IF(K$2&lt;&gt;"",K$2,"NA"),'MITRE ATT&amp;CK Mappings'!$H571))),ISNUMBER(SEARCH(IF(K$3&lt;&gt;"",K$3,"NA"),'MITRE ATT&amp;CK Mappings'!$I571))),ISNUMBER(SEARCH(IF(K$3&lt;&gt;"",K$3,"NA"),'MITRE ATT&amp;CK Mappings'!$J571))), 'MITRE ATT&amp;CK Mappings'!$B571,"")</f>
        <v/>
      </c>
      <c r="L575" s="27" t="str">
        <f>IF('MITRE ATT&amp;CK Mappings'!D571 &lt;&gt;"",'MITRE ATT&amp;CK Mappings'!D571,"" )</f>
        <v/>
      </c>
    </row>
    <row r="576" spans="1:12" x14ac:dyDescent="0.25">
      <c r="A576" s="26" t="str">
        <f>IF(COUNTIF(B576:K576,"="&amp;'MITRE ATT&amp;CK Mappings'!B572)&gt;0,'MITRE ATT&amp;CK Mappings'!B572,"")</f>
        <v/>
      </c>
      <c r="B576" s="26" t="str">
        <f>IF(OR(OR(OR(OR(OR(ISNUMBER(SEARCH(IF(B$1&lt;&gt;"",B$1,"NA"),'MITRE ATT&amp;CK Mappings'!$E572)),ISNUMBER(SEARCH(IF(B$1&lt;&gt;"",B$1,"NA"),'MITRE ATT&amp;CK Mappings'!$F572))),ISNUMBER(SEARCH(IF(B$2&lt;&gt;"",B$2,"NA"),'MITRE ATT&amp;CK Mappings'!$G572))),ISNUMBER(SEARCH(IF(B$2&lt;&gt;"",B$2,"NA"),'MITRE ATT&amp;CK Mappings'!$H572))),ISNUMBER(SEARCH(IF(B$3&lt;&gt;"",B$3,"NA"),'MITRE ATT&amp;CK Mappings'!$I572))),ISNUMBER(SEARCH(IF(B$3&lt;&gt;"",B$3,"NA"),'MITRE ATT&amp;CK Mappings'!$J572))), 'MITRE ATT&amp;CK Mappings'!$B572,"")</f>
        <v/>
      </c>
      <c r="C576" s="26" t="str">
        <f>IF(OR(OR(OR(OR(OR(ISNUMBER(SEARCH(IF(C$1&lt;&gt;"",C$1,"NA"),'MITRE ATT&amp;CK Mappings'!$E572)),ISNUMBER(SEARCH(IF(C$1&lt;&gt;"",C$1,"NA"),'MITRE ATT&amp;CK Mappings'!$F572))),ISNUMBER(SEARCH(IF(C$2&lt;&gt;"",C$2,"NA"),'MITRE ATT&amp;CK Mappings'!$G572))),ISNUMBER(SEARCH(IF(C$2&lt;&gt;"",C$2,"NA"),'MITRE ATT&amp;CK Mappings'!$H572))),ISNUMBER(SEARCH(IF(C$3&lt;&gt;"",C$3,"NA"),'MITRE ATT&amp;CK Mappings'!$I572))),ISNUMBER(SEARCH(IF(C$3&lt;&gt;"",C$3,"NA"),'MITRE ATT&amp;CK Mappings'!$J572))), 'MITRE ATT&amp;CK Mappings'!$B572,"")</f>
        <v/>
      </c>
      <c r="D576" s="26" t="str">
        <f>IF(OR(OR(OR(OR(OR(ISNUMBER(SEARCH(IF(D$1&lt;&gt;"",D$1,"NA"),'MITRE ATT&amp;CK Mappings'!$E572)),ISNUMBER(SEARCH(IF(D$1&lt;&gt;"",D$1,"NA"),'MITRE ATT&amp;CK Mappings'!$F572))),ISNUMBER(SEARCH(IF(D$2&lt;&gt;"",D$2,"NA"),'MITRE ATT&amp;CK Mappings'!$G572))),ISNUMBER(SEARCH(IF(D$2&lt;&gt;"",D$2,"NA"),'MITRE ATT&amp;CK Mappings'!$H572))),ISNUMBER(SEARCH(IF(D$3&lt;&gt;"",D$3,"NA"),'MITRE ATT&amp;CK Mappings'!$I572))),ISNUMBER(SEARCH(IF(D$3&lt;&gt;"",D$3,"NA"),'MITRE ATT&amp;CK Mappings'!$J572))), 'MITRE ATT&amp;CK Mappings'!$B572,"")</f>
        <v/>
      </c>
      <c r="E576" s="26" t="str">
        <f>IF(OR(OR(OR(OR(OR(ISNUMBER(SEARCH(IF(E$1&lt;&gt;"",E$1,"NA"),'MITRE ATT&amp;CK Mappings'!$E572)),ISNUMBER(SEARCH(IF(E$1&lt;&gt;"",E$1,"NA"),'MITRE ATT&amp;CK Mappings'!$F572))),ISNUMBER(SEARCH(IF(E$2&lt;&gt;"",E$2,"NA"),'MITRE ATT&amp;CK Mappings'!$G572))),ISNUMBER(SEARCH(IF(E$2&lt;&gt;"",E$2,"NA"),'MITRE ATT&amp;CK Mappings'!$H572))),ISNUMBER(SEARCH(IF(E$3&lt;&gt;"",E$3,"NA"),'MITRE ATT&amp;CK Mappings'!$I572))),ISNUMBER(SEARCH(IF(E$3&lt;&gt;"",E$3,"NA"),'MITRE ATT&amp;CK Mappings'!$J572))), 'MITRE ATT&amp;CK Mappings'!$B572,"")</f>
        <v/>
      </c>
      <c r="F576" s="26" t="str">
        <f>IF(OR(OR(OR(OR(OR(ISNUMBER(SEARCH(IF(F$1&lt;&gt;"",F$1,"NA"),'MITRE ATT&amp;CK Mappings'!$E572)),ISNUMBER(SEARCH(IF(F$1&lt;&gt;"",F$1,"NA"),'MITRE ATT&amp;CK Mappings'!$F572))),ISNUMBER(SEARCH(IF(F$2&lt;&gt;"",F$2,"NA"),'MITRE ATT&amp;CK Mappings'!$G572))),ISNUMBER(SEARCH(IF(F$2&lt;&gt;"",F$2,"NA"),'MITRE ATT&amp;CK Mappings'!$H572))),ISNUMBER(SEARCH(IF(F$3&lt;&gt;"",F$3,"NA"),'MITRE ATT&amp;CK Mappings'!$I572))),ISNUMBER(SEARCH(IF(F$3&lt;&gt;"",F$3,"NA"),'MITRE ATT&amp;CK Mappings'!$J572))), 'MITRE ATT&amp;CK Mappings'!$B572,"")</f>
        <v/>
      </c>
      <c r="G576" s="26" t="str">
        <f>IF(OR(OR(OR(OR(OR(ISNUMBER(SEARCH(IF(G$1&lt;&gt;"",G$1,"NA"),'MITRE ATT&amp;CK Mappings'!$E572)),ISNUMBER(SEARCH(IF(G$1&lt;&gt;"",G$1,"NA"),'MITRE ATT&amp;CK Mappings'!$F572))),ISNUMBER(SEARCH(IF(G$2&lt;&gt;"",G$2,"NA"),'MITRE ATT&amp;CK Mappings'!$G572))),ISNUMBER(SEARCH(IF(G$2&lt;&gt;"",G$2,"NA"),'MITRE ATT&amp;CK Mappings'!$H572))),ISNUMBER(SEARCH(IF(G$3&lt;&gt;"",G$3,"NA"),'MITRE ATT&amp;CK Mappings'!$I572))),ISNUMBER(SEARCH(IF(G$3&lt;&gt;"",G$3,"NA"),'MITRE ATT&amp;CK Mappings'!$J572))), 'MITRE ATT&amp;CK Mappings'!$B572,"")</f>
        <v/>
      </c>
      <c r="H576" s="26" t="str">
        <f>IF(OR(OR(OR(OR(OR(ISNUMBER(SEARCH(IF(H$1&lt;&gt;"",H$1,"NA"),'MITRE ATT&amp;CK Mappings'!$E572)),ISNUMBER(SEARCH(IF(H$1&lt;&gt;"",H$1,"NA"),'MITRE ATT&amp;CK Mappings'!$F572))),ISNUMBER(SEARCH(IF(H$2&lt;&gt;"",H$2,"NA"),'MITRE ATT&amp;CK Mappings'!$G572))),ISNUMBER(SEARCH(IF(H$2&lt;&gt;"",H$2,"NA"),'MITRE ATT&amp;CK Mappings'!$H572))),ISNUMBER(SEARCH(IF(H$3&lt;&gt;"",H$3,"NA"),'MITRE ATT&amp;CK Mappings'!$I572))),ISNUMBER(SEARCH(IF(H$3&lt;&gt;"",H$3,"NA"),'MITRE ATT&amp;CK Mappings'!$J572))), 'MITRE ATT&amp;CK Mappings'!$B572,"")</f>
        <v/>
      </c>
      <c r="I576" s="26" t="str">
        <f>IF(OR(OR(OR(OR(OR(ISNUMBER(SEARCH(IF(I$1&lt;&gt;"",I$1,"NA"),'MITRE ATT&amp;CK Mappings'!$E572)),ISNUMBER(SEARCH(IF(I$1&lt;&gt;"",I$1,"NA"),'MITRE ATT&amp;CK Mappings'!$F572))),ISNUMBER(SEARCH(IF(I$2&lt;&gt;"",I$2,"NA"),'MITRE ATT&amp;CK Mappings'!$G572))),ISNUMBER(SEARCH(IF(I$2&lt;&gt;"",I$2,"NA"),'MITRE ATT&amp;CK Mappings'!$H572))),ISNUMBER(SEARCH(IF(I$3&lt;&gt;"",I$3,"NA"),'MITRE ATT&amp;CK Mappings'!$I572))),ISNUMBER(SEARCH(IF(I$3&lt;&gt;"",I$3,"NA"),'MITRE ATT&amp;CK Mappings'!$J572))), 'MITRE ATT&amp;CK Mappings'!$B572,"")</f>
        <v/>
      </c>
      <c r="J576" s="26" t="str">
        <f>IF(OR(OR(OR(OR(OR(ISNUMBER(SEARCH(IF(J$1&lt;&gt;"",J$1,"NA"),'MITRE ATT&amp;CK Mappings'!$E572)),ISNUMBER(SEARCH(IF(J$1&lt;&gt;"",J$1,"NA"),'MITRE ATT&amp;CK Mappings'!$F572))),ISNUMBER(SEARCH(IF(J$2&lt;&gt;"",J$2,"NA"),'MITRE ATT&amp;CK Mappings'!$G572))),ISNUMBER(SEARCH(IF(J$2&lt;&gt;"",J$2,"NA"),'MITRE ATT&amp;CK Mappings'!$H572))),ISNUMBER(SEARCH(IF(J$3&lt;&gt;"",J$3,"NA"),'MITRE ATT&amp;CK Mappings'!$I572))),ISNUMBER(SEARCH(IF(J$3&lt;&gt;"",J$3,"NA"),'MITRE ATT&amp;CK Mappings'!$J572))), 'MITRE ATT&amp;CK Mappings'!$B572,"")</f>
        <v/>
      </c>
      <c r="K576" s="26" t="str">
        <f>IF(OR(OR(OR(OR(OR(ISNUMBER(SEARCH(IF(K$1&lt;&gt;"",K$1,"NA"),'MITRE ATT&amp;CK Mappings'!$E572)),ISNUMBER(SEARCH(IF(K$1&lt;&gt;"",K$1,"NA"),'MITRE ATT&amp;CK Mappings'!$F572))),ISNUMBER(SEARCH(IF(K$2&lt;&gt;"",K$2,"NA"),'MITRE ATT&amp;CK Mappings'!$G572))),ISNUMBER(SEARCH(IF(K$2&lt;&gt;"",K$2,"NA"),'MITRE ATT&amp;CK Mappings'!$H572))),ISNUMBER(SEARCH(IF(K$3&lt;&gt;"",K$3,"NA"),'MITRE ATT&amp;CK Mappings'!$I572))),ISNUMBER(SEARCH(IF(K$3&lt;&gt;"",K$3,"NA"),'MITRE ATT&amp;CK Mappings'!$J572))), 'MITRE ATT&amp;CK Mappings'!$B572,"")</f>
        <v/>
      </c>
      <c r="L576" s="26" t="str">
        <f>IF('MITRE ATT&amp;CK Mappings'!D572 &lt;&gt;"",'MITRE ATT&amp;CK Mappings'!D572,"" )</f>
        <v/>
      </c>
    </row>
    <row r="577" spans="1:12" x14ac:dyDescent="0.25">
      <c r="A577" s="27" t="str">
        <f>IF(COUNTIF(B577:K577,"="&amp;'MITRE ATT&amp;CK Mappings'!B573)&gt;0,'MITRE ATT&amp;CK Mappings'!B573,"")</f>
        <v/>
      </c>
      <c r="B577" s="27" t="str">
        <f>IF(OR(OR(OR(OR(OR(ISNUMBER(SEARCH(IF(B$1&lt;&gt;"",B$1,"NA"),'MITRE ATT&amp;CK Mappings'!$E573)),ISNUMBER(SEARCH(IF(B$1&lt;&gt;"",B$1,"NA"),'MITRE ATT&amp;CK Mappings'!$F573))),ISNUMBER(SEARCH(IF(B$2&lt;&gt;"",B$2,"NA"),'MITRE ATT&amp;CK Mappings'!$G573))),ISNUMBER(SEARCH(IF(B$2&lt;&gt;"",B$2,"NA"),'MITRE ATT&amp;CK Mappings'!$H573))),ISNUMBER(SEARCH(IF(B$3&lt;&gt;"",B$3,"NA"),'MITRE ATT&amp;CK Mappings'!$I573))),ISNUMBER(SEARCH(IF(B$3&lt;&gt;"",B$3,"NA"),'MITRE ATT&amp;CK Mappings'!$J573))), 'MITRE ATT&amp;CK Mappings'!$B573,"")</f>
        <v/>
      </c>
      <c r="C577" s="27" t="str">
        <f>IF(OR(OR(OR(OR(OR(ISNUMBER(SEARCH(IF(C$1&lt;&gt;"",C$1,"NA"),'MITRE ATT&amp;CK Mappings'!$E573)),ISNUMBER(SEARCH(IF(C$1&lt;&gt;"",C$1,"NA"),'MITRE ATT&amp;CK Mappings'!$F573))),ISNUMBER(SEARCH(IF(C$2&lt;&gt;"",C$2,"NA"),'MITRE ATT&amp;CK Mappings'!$G573))),ISNUMBER(SEARCH(IF(C$2&lt;&gt;"",C$2,"NA"),'MITRE ATT&amp;CK Mappings'!$H573))),ISNUMBER(SEARCH(IF(C$3&lt;&gt;"",C$3,"NA"),'MITRE ATT&amp;CK Mappings'!$I573))),ISNUMBER(SEARCH(IF(C$3&lt;&gt;"",C$3,"NA"),'MITRE ATT&amp;CK Mappings'!$J573))), 'MITRE ATT&amp;CK Mappings'!$B573,"")</f>
        <v/>
      </c>
      <c r="D577" s="27" t="str">
        <f>IF(OR(OR(OR(OR(OR(ISNUMBER(SEARCH(IF(D$1&lt;&gt;"",D$1,"NA"),'MITRE ATT&amp;CK Mappings'!$E573)),ISNUMBER(SEARCH(IF(D$1&lt;&gt;"",D$1,"NA"),'MITRE ATT&amp;CK Mappings'!$F573))),ISNUMBER(SEARCH(IF(D$2&lt;&gt;"",D$2,"NA"),'MITRE ATT&amp;CK Mappings'!$G573))),ISNUMBER(SEARCH(IF(D$2&lt;&gt;"",D$2,"NA"),'MITRE ATT&amp;CK Mappings'!$H573))),ISNUMBER(SEARCH(IF(D$3&lt;&gt;"",D$3,"NA"),'MITRE ATT&amp;CK Mappings'!$I573))),ISNUMBER(SEARCH(IF(D$3&lt;&gt;"",D$3,"NA"),'MITRE ATT&amp;CK Mappings'!$J573))), 'MITRE ATT&amp;CK Mappings'!$B573,"")</f>
        <v/>
      </c>
      <c r="E577" s="27" t="str">
        <f>IF(OR(OR(OR(OR(OR(ISNUMBER(SEARCH(IF(E$1&lt;&gt;"",E$1,"NA"),'MITRE ATT&amp;CK Mappings'!$E573)),ISNUMBER(SEARCH(IF(E$1&lt;&gt;"",E$1,"NA"),'MITRE ATT&amp;CK Mappings'!$F573))),ISNUMBER(SEARCH(IF(E$2&lt;&gt;"",E$2,"NA"),'MITRE ATT&amp;CK Mappings'!$G573))),ISNUMBER(SEARCH(IF(E$2&lt;&gt;"",E$2,"NA"),'MITRE ATT&amp;CK Mappings'!$H573))),ISNUMBER(SEARCH(IF(E$3&lt;&gt;"",E$3,"NA"),'MITRE ATT&amp;CK Mappings'!$I573))),ISNUMBER(SEARCH(IF(E$3&lt;&gt;"",E$3,"NA"),'MITRE ATT&amp;CK Mappings'!$J573))), 'MITRE ATT&amp;CK Mappings'!$B573,"")</f>
        <v/>
      </c>
      <c r="F577" s="27" t="str">
        <f>IF(OR(OR(OR(OR(OR(ISNUMBER(SEARCH(IF(F$1&lt;&gt;"",F$1,"NA"),'MITRE ATT&amp;CK Mappings'!$E573)),ISNUMBER(SEARCH(IF(F$1&lt;&gt;"",F$1,"NA"),'MITRE ATT&amp;CK Mappings'!$F573))),ISNUMBER(SEARCH(IF(F$2&lt;&gt;"",F$2,"NA"),'MITRE ATT&amp;CK Mappings'!$G573))),ISNUMBER(SEARCH(IF(F$2&lt;&gt;"",F$2,"NA"),'MITRE ATT&amp;CK Mappings'!$H573))),ISNUMBER(SEARCH(IF(F$3&lt;&gt;"",F$3,"NA"),'MITRE ATT&amp;CK Mappings'!$I573))),ISNUMBER(SEARCH(IF(F$3&lt;&gt;"",F$3,"NA"),'MITRE ATT&amp;CK Mappings'!$J573))), 'MITRE ATT&amp;CK Mappings'!$B573,"")</f>
        <v/>
      </c>
      <c r="G577" s="27" t="str">
        <f>IF(OR(OR(OR(OR(OR(ISNUMBER(SEARCH(IF(G$1&lt;&gt;"",G$1,"NA"),'MITRE ATT&amp;CK Mappings'!$E573)),ISNUMBER(SEARCH(IF(G$1&lt;&gt;"",G$1,"NA"),'MITRE ATT&amp;CK Mappings'!$F573))),ISNUMBER(SEARCH(IF(G$2&lt;&gt;"",G$2,"NA"),'MITRE ATT&amp;CK Mappings'!$G573))),ISNUMBER(SEARCH(IF(G$2&lt;&gt;"",G$2,"NA"),'MITRE ATT&amp;CK Mappings'!$H573))),ISNUMBER(SEARCH(IF(G$3&lt;&gt;"",G$3,"NA"),'MITRE ATT&amp;CK Mappings'!$I573))),ISNUMBER(SEARCH(IF(G$3&lt;&gt;"",G$3,"NA"),'MITRE ATT&amp;CK Mappings'!$J573))), 'MITRE ATT&amp;CK Mappings'!$B573,"")</f>
        <v/>
      </c>
      <c r="H577" s="27" t="str">
        <f>IF(OR(OR(OR(OR(OR(ISNUMBER(SEARCH(IF(H$1&lt;&gt;"",H$1,"NA"),'MITRE ATT&amp;CK Mappings'!$E573)),ISNUMBER(SEARCH(IF(H$1&lt;&gt;"",H$1,"NA"),'MITRE ATT&amp;CK Mappings'!$F573))),ISNUMBER(SEARCH(IF(H$2&lt;&gt;"",H$2,"NA"),'MITRE ATT&amp;CK Mappings'!$G573))),ISNUMBER(SEARCH(IF(H$2&lt;&gt;"",H$2,"NA"),'MITRE ATT&amp;CK Mappings'!$H573))),ISNUMBER(SEARCH(IF(H$3&lt;&gt;"",H$3,"NA"),'MITRE ATT&amp;CK Mappings'!$I573))),ISNUMBER(SEARCH(IF(H$3&lt;&gt;"",H$3,"NA"),'MITRE ATT&amp;CK Mappings'!$J573))), 'MITRE ATT&amp;CK Mappings'!$B573,"")</f>
        <v/>
      </c>
      <c r="I577" s="27" t="str">
        <f>IF(OR(OR(OR(OR(OR(ISNUMBER(SEARCH(IF(I$1&lt;&gt;"",I$1,"NA"),'MITRE ATT&amp;CK Mappings'!$E573)),ISNUMBER(SEARCH(IF(I$1&lt;&gt;"",I$1,"NA"),'MITRE ATT&amp;CK Mappings'!$F573))),ISNUMBER(SEARCH(IF(I$2&lt;&gt;"",I$2,"NA"),'MITRE ATT&amp;CK Mappings'!$G573))),ISNUMBER(SEARCH(IF(I$2&lt;&gt;"",I$2,"NA"),'MITRE ATT&amp;CK Mappings'!$H573))),ISNUMBER(SEARCH(IF(I$3&lt;&gt;"",I$3,"NA"),'MITRE ATT&amp;CK Mappings'!$I573))),ISNUMBER(SEARCH(IF(I$3&lt;&gt;"",I$3,"NA"),'MITRE ATT&amp;CK Mappings'!$J573))), 'MITRE ATT&amp;CK Mappings'!$B573,"")</f>
        <v/>
      </c>
      <c r="J577" s="27" t="str">
        <f>IF(OR(OR(OR(OR(OR(ISNUMBER(SEARCH(IF(J$1&lt;&gt;"",J$1,"NA"),'MITRE ATT&amp;CK Mappings'!$E573)),ISNUMBER(SEARCH(IF(J$1&lt;&gt;"",J$1,"NA"),'MITRE ATT&amp;CK Mappings'!$F573))),ISNUMBER(SEARCH(IF(J$2&lt;&gt;"",J$2,"NA"),'MITRE ATT&amp;CK Mappings'!$G573))),ISNUMBER(SEARCH(IF(J$2&lt;&gt;"",J$2,"NA"),'MITRE ATT&amp;CK Mappings'!$H573))),ISNUMBER(SEARCH(IF(J$3&lt;&gt;"",J$3,"NA"),'MITRE ATT&amp;CK Mappings'!$I573))),ISNUMBER(SEARCH(IF(J$3&lt;&gt;"",J$3,"NA"),'MITRE ATT&amp;CK Mappings'!$J573))), 'MITRE ATT&amp;CK Mappings'!$B573,"")</f>
        <v/>
      </c>
      <c r="K577" s="27" t="str">
        <f>IF(OR(OR(OR(OR(OR(ISNUMBER(SEARCH(IF(K$1&lt;&gt;"",K$1,"NA"),'MITRE ATT&amp;CK Mappings'!$E573)),ISNUMBER(SEARCH(IF(K$1&lt;&gt;"",K$1,"NA"),'MITRE ATT&amp;CK Mappings'!$F573))),ISNUMBER(SEARCH(IF(K$2&lt;&gt;"",K$2,"NA"),'MITRE ATT&amp;CK Mappings'!$G573))),ISNUMBER(SEARCH(IF(K$2&lt;&gt;"",K$2,"NA"),'MITRE ATT&amp;CK Mappings'!$H573))),ISNUMBER(SEARCH(IF(K$3&lt;&gt;"",K$3,"NA"),'MITRE ATT&amp;CK Mappings'!$I573))),ISNUMBER(SEARCH(IF(K$3&lt;&gt;"",K$3,"NA"),'MITRE ATT&amp;CK Mappings'!$J573))), 'MITRE ATT&amp;CK Mappings'!$B573,"")</f>
        <v/>
      </c>
      <c r="L577" s="27" t="str">
        <f>IF('MITRE ATT&amp;CK Mappings'!D573 &lt;&gt;"",'MITRE ATT&amp;CK Mappings'!D573,"" )</f>
        <v/>
      </c>
    </row>
    <row r="578" spans="1:12" x14ac:dyDescent="0.25">
      <c r="A578" s="26" t="str">
        <f>IF(COUNTIF(B578:K578,"="&amp;'MITRE ATT&amp;CK Mappings'!B574)&gt;0,'MITRE ATT&amp;CK Mappings'!B574,"")</f>
        <v/>
      </c>
      <c r="B578" s="26" t="str">
        <f>IF(OR(OR(OR(OR(OR(ISNUMBER(SEARCH(IF(B$1&lt;&gt;"",B$1,"NA"),'MITRE ATT&amp;CK Mappings'!$E574)),ISNUMBER(SEARCH(IF(B$1&lt;&gt;"",B$1,"NA"),'MITRE ATT&amp;CK Mappings'!$F574))),ISNUMBER(SEARCH(IF(B$2&lt;&gt;"",B$2,"NA"),'MITRE ATT&amp;CK Mappings'!$G574))),ISNUMBER(SEARCH(IF(B$2&lt;&gt;"",B$2,"NA"),'MITRE ATT&amp;CK Mappings'!$H574))),ISNUMBER(SEARCH(IF(B$3&lt;&gt;"",B$3,"NA"),'MITRE ATT&amp;CK Mappings'!$I574))),ISNUMBER(SEARCH(IF(B$3&lt;&gt;"",B$3,"NA"),'MITRE ATT&amp;CK Mappings'!$J574))), 'MITRE ATT&amp;CK Mappings'!$B574,"")</f>
        <v/>
      </c>
      <c r="C578" s="26" t="str">
        <f>IF(OR(OR(OR(OR(OR(ISNUMBER(SEARCH(IF(C$1&lt;&gt;"",C$1,"NA"),'MITRE ATT&amp;CK Mappings'!$E574)),ISNUMBER(SEARCH(IF(C$1&lt;&gt;"",C$1,"NA"),'MITRE ATT&amp;CK Mappings'!$F574))),ISNUMBER(SEARCH(IF(C$2&lt;&gt;"",C$2,"NA"),'MITRE ATT&amp;CK Mappings'!$G574))),ISNUMBER(SEARCH(IF(C$2&lt;&gt;"",C$2,"NA"),'MITRE ATT&amp;CK Mappings'!$H574))),ISNUMBER(SEARCH(IF(C$3&lt;&gt;"",C$3,"NA"),'MITRE ATT&amp;CK Mappings'!$I574))),ISNUMBER(SEARCH(IF(C$3&lt;&gt;"",C$3,"NA"),'MITRE ATT&amp;CK Mappings'!$J574))), 'MITRE ATT&amp;CK Mappings'!$B574,"")</f>
        <v/>
      </c>
      <c r="D578" s="26" t="str">
        <f>IF(OR(OR(OR(OR(OR(ISNUMBER(SEARCH(IF(D$1&lt;&gt;"",D$1,"NA"),'MITRE ATT&amp;CK Mappings'!$E574)),ISNUMBER(SEARCH(IF(D$1&lt;&gt;"",D$1,"NA"),'MITRE ATT&amp;CK Mappings'!$F574))),ISNUMBER(SEARCH(IF(D$2&lt;&gt;"",D$2,"NA"),'MITRE ATT&amp;CK Mappings'!$G574))),ISNUMBER(SEARCH(IF(D$2&lt;&gt;"",D$2,"NA"),'MITRE ATT&amp;CK Mappings'!$H574))),ISNUMBER(SEARCH(IF(D$3&lt;&gt;"",D$3,"NA"),'MITRE ATT&amp;CK Mappings'!$I574))),ISNUMBER(SEARCH(IF(D$3&lt;&gt;"",D$3,"NA"),'MITRE ATT&amp;CK Mappings'!$J574))), 'MITRE ATT&amp;CK Mappings'!$B574,"")</f>
        <v/>
      </c>
      <c r="E578" s="26" t="str">
        <f>IF(OR(OR(OR(OR(OR(ISNUMBER(SEARCH(IF(E$1&lt;&gt;"",E$1,"NA"),'MITRE ATT&amp;CK Mappings'!$E574)),ISNUMBER(SEARCH(IF(E$1&lt;&gt;"",E$1,"NA"),'MITRE ATT&amp;CK Mappings'!$F574))),ISNUMBER(SEARCH(IF(E$2&lt;&gt;"",E$2,"NA"),'MITRE ATT&amp;CK Mappings'!$G574))),ISNUMBER(SEARCH(IF(E$2&lt;&gt;"",E$2,"NA"),'MITRE ATT&amp;CK Mappings'!$H574))),ISNUMBER(SEARCH(IF(E$3&lt;&gt;"",E$3,"NA"),'MITRE ATT&amp;CK Mappings'!$I574))),ISNUMBER(SEARCH(IF(E$3&lt;&gt;"",E$3,"NA"),'MITRE ATT&amp;CK Mappings'!$J574))), 'MITRE ATT&amp;CK Mappings'!$B574,"")</f>
        <v/>
      </c>
      <c r="F578" s="26" t="str">
        <f>IF(OR(OR(OR(OR(OR(ISNUMBER(SEARCH(IF(F$1&lt;&gt;"",F$1,"NA"),'MITRE ATT&amp;CK Mappings'!$E574)),ISNUMBER(SEARCH(IF(F$1&lt;&gt;"",F$1,"NA"),'MITRE ATT&amp;CK Mappings'!$F574))),ISNUMBER(SEARCH(IF(F$2&lt;&gt;"",F$2,"NA"),'MITRE ATT&amp;CK Mappings'!$G574))),ISNUMBER(SEARCH(IF(F$2&lt;&gt;"",F$2,"NA"),'MITRE ATT&amp;CK Mappings'!$H574))),ISNUMBER(SEARCH(IF(F$3&lt;&gt;"",F$3,"NA"),'MITRE ATT&amp;CK Mappings'!$I574))),ISNUMBER(SEARCH(IF(F$3&lt;&gt;"",F$3,"NA"),'MITRE ATT&amp;CK Mappings'!$J574))), 'MITRE ATT&amp;CK Mappings'!$B574,"")</f>
        <v/>
      </c>
      <c r="G578" s="26" t="str">
        <f>IF(OR(OR(OR(OR(OR(ISNUMBER(SEARCH(IF(G$1&lt;&gt;"",G$1,"NA"),'MITRE ATT&amp;CK Mappings'!$E574)),ISNUMBER(SEARCH(IF(G$1&lt;&gt;"",G$1,"NA"),'MITRE ATT&amp;CK Mappings'!$F574))),ISNUMBER(SEARCH(IF(G$2&lt;&gt;"",G$2,"NA"),'MITRE ATT&amp;CK Mappings'!$G574))),ISNUMBER(SEARCH(IF(G$2&lt;&gt;"",G$2,"NA"),'MITRE ATT&amp;CK Mappings'!$H574))),ISNUMBER(SEARCH(IF(G$3&lt;&gt;"",G$3,"NA"),'MITRE ATT&amp;CK Mappings'!$I574))),ISNUMBER(SEARCH(IF(G$3&lt;&gt;"",G$3,"NA"),'MITRE ATT&amp;CK Mappings'!$J574))), 'MITRE ATT&amp;CK Mappings'!$B574,"")</f>
        <v/>
      </c>
      <c r="H578" s="26" t="str">
        <f>IF(OR(OR(OR(OR(OR(ISNUMBER(SEARCH(IF(H$1&lt;&gt;"",H$1,"NA"),'MITRE ATT&amp;CK Mappings'!$E574)),ISNUMBER(SEARCH(IF(H$1&lt;&gt;"",H$1,"NA"),'MITRE ATT&amp;CK Mappings'!$F574))),ISNUMBER(SEARCH(IF(H$2&lt;&gt;"",H$2,"NA"),'MITRE ATT&amp;CK Mappings'!$G574))),ISNUMBER(SEARCH(IF(H$2&lt;&gt;"",H$2,"NA"),'MITRE ATT&amp;CK Mappings'!$H574))),ISNUMBER(SEARCH(IF(H$3&lt;&gt;"",H$3,"NA"),'MITRE ATT&amp;CK Mappings'!$I574))),ISNUMBER(SEARCH(IF(H$3&lt;&gt;"",H$3,"NA"),'MITRE ATT&amp;CK Mappings'!$J574))), 'MITRE ATT&amp;CK Mappings'!$B574,"")</f>
        <v/>
      </c>
      <c r="I578" s="26" t="str">
        <f>IF(OR(OR(OR(OR(OR(ISNUMBER(SEARCH(IF(I$1&lt;&gt;"",I$1,"NA"),'MITRE ATT&amp;CK Mappings'!$E574)),ISNUMBER(SEARCH(IF(I$1&lt;&gt;"",I$1,"NA"),'MITRE ATT&amp;CK Mappings'!$F574))),ISNUMBER(SEARCH(IF(I$2&lt;&gt;"",I$2,"NA"),'MITRE ATT&amp;CK Mappings'!$G574))),ISNUMBER(SEARCH(IF(I$2&lt;&gt;"",I$2,"NA"),'MITRE ATT&amp;CK Mappings'!$H574))),ISNUMBER(SEARCH(IF(I$3&lt;&gt;"",I$3,"NA"),'MITRE ATT&amp;CK Mappings'!$I574))),ISNUMBER(SEARCH(IF(I$3&lt;&gt;"",I$3,"NA"),'MITRE ATT&amp;CK Mappings'!$J574))), 'MITRE ATT&amp;CK Mappings'!$B574,"")</f>
        <v/>
      </c>
      <c r="J578" s="26" t="str">
        <f>IF(OR(OR(OR(OR(OR(ISNUMBER(SEARCH(IF(J$1&lt;&gt;"",J$1,"NA"),'MITRE ATT&amp;CK Mappings'!$E574)),ISNUMBER(SEARCH(IF(J$1&lt;&gt;"",J$1,"NA"),'MITRE ATT&amp;CK Mappings'!$F574))),ISNUMBER(SEARCH(IF(J$2&lt;&gt;"",J$2,"NA"),'MITRE ATT&amp;CK Mappings'!$G574))),ISNUMBER(SEARCH(IF(J$2&lt;&gt;"",J$2,"NA"),'MITRE ATT&amp;CK Mappings'!$H574))),ISNUMBER(SEARCH(IF(J$3&lt;&gt;"",J$3,"NA"),'MITRE ATT&amp;CK Mappings'!$I574))),ISNUMBER(SEARCH(IF(J$3&lt;&gt;"",J$3,"NA"),'MITRE ATT&amp;CK Mappings'!$J574))), 'MITRE ATT&amp;CK Mappings'!$B574,"")</f>
        <v/>
      </c>
      <c r="K578" s="26" t="str">
        <f>IF(OR(OR(OR(OR(OR(ISNUMBER(SEARCH(IF(K$1&lt;&gt;"",K$1,"NA"),'MITRE ATT&amp;CK Mappings'!$E574)),ISNUMBER(SEARCH(IF(K$1&lt;&gt;"",K$1,"NA"),'MITRE ATT&amp;CK Mappings'!$F574))),ISNUMBER(SEARCH(IF(K$2&lt;&gt;"",K$2,"NA"),'MITRE ATT&amp;CK Mappings'!$G574))),ISNUMBER(SEARCH(IF(K$2&lt;&gt;"",K$2,"NA"),'MITRE ATT&amp;CK Mappings'!$H574))),ISNUMBER(SEARCH(IF(K$3&lt;&gt;"",K$3,"NA"),'MITRE ATT&amp;CK Mappings'!$I574))),ISNUMBER(SEARCH(IF(K$3&lt;&gt;"",K$3,"NA"),'MITRE ATT&amp;CK Mappings'!$J574))), 'MITRE ATT&amp;CK Mappings'!$B574,"")</f>
        <v/>
      </c>
      <c r="L578" s="26" t="str">
        <f>IF('MITRE ATT&amp;CK Mappings'!D574 &lt;&gt;"",'MITRE ATT&amp;CK Mappings'!D574,"" )</f>
        <v/>
      </c>
    </row>
    <row r="579" spans="1:12" x14ac:dyDescent="0.25">
      <c r="A579" s="27" t="str">
        <f>IF(COUNTIF(B579:K579,"="&amp;'MITRE ATT&amp;CK Mappings'!B575)&gt;0,'MITRE ATT&amp;CK Mappings'!B575,"")</f>
        <v/>
      </c>
      <c r="B579" s="27" t="str">
        <f>IF(OR(OR(OR(OR(OR(ISNUMBER(SEARCH(IF(B$1&lt;&gt;"",B$1,"NA"),'MITRE ATT&amp;CK Mappings'!$E575)),ISNUMBER(SEARCH(IF(B$1&lt;&gt;"",B$1,"NA"),'MITRE ATT&amp;CK Mappings'!$F575))),ISNUMBER(SEARCH(IF(B$2&lt;&gt;"",B$2,"NA"),'MITRE ATT&amp;CK Mappings'!$G575))),ISNUMBER(SEARCH(IF(B$2&lt;&gt;"",B$2,"NA"),'MITRE ATT&amp;CK Mappings'!$H575))),ISNUMBER(SEARCH(IF(B$3&lt;&gt;"",B$3,"NA"),'MITRE ATT&amp;CK Mappings'!$I575))),ISNUMBER(SEARCH(IF(B$3&lt;&gt;"",B$3,"NA"),'MITRE ATT&amp;CK Mappings'!$J575))), 'MITRE ATT&amp;CK Mappings'!$B575,"")</f>
        <v/>
      </c>
      <c r="C579" s="27" t="str">
        <f>IF(OR(OR(OR(OR(OR(ISNUMBER(SEARCH(IF(C$1&lt;&gt;"",C$1,"NA"),'MITRE ATT&amp;CK Mappings'!$E575)),ISNUMBER(SEARCH(IF(C$1&lt;&gt;"",C$1,"NA"),'MITRE ATT&amp;CK Mappings'!$F575))),ISNUMBER(SEARCH(IF(C$2&lt;&gt;"",C$2,"NA"),'MITRE ATT&amp;CK Mappings'!$G575))),ISNUMBER(SEARCH(IF(C$2&lt;&gt;"",C$2,"NA"),'MITRE ATT&amp;CK Mappings'!$H575))),ISNUMBER(SEARCH(IF(C$3&lt;&gt;"",C$3,"NA"),'MITRE ATT&amp;CK Mappings'!$I575))),ISNUMBER(SEARCH(IF(C$3&lt;&gt;"",C$3,"NA"),'MITRE ATT&amp;CK Mappings'!$J575))), 'MITRE ATT&amp;CK Mappings'!$B575,"")</f>
        <v/>
      </c>
      <c r="D579" s="27" t="str">
        <f>IF(OR(OR(OR(OR(OR(ISNUMBER(SEARCH(IF(D$1&lt;&gt;"",D$1,"NA"),'MITRE ATT&amp;CK Mappings'!$E575)),ISNUMBER(SEARCH(IF(D$1&lt;&gt;"",D$1,"NA"),'MITRE ATT&amp;CK Mappings'!$F575))),ISNUMBER(SEARCH(IF(D$2&lt;&gt;"",D$2,"NA"),'MITRE ATT&amp;CK Mappings'!$G575))),ISNUMBER(SEARCH(IF(D$2&lt;&gt;"",D$2,"NA"),'MITRE ATT&amp;CK Mappings'!$H575))),ISNUMBER(SEARCH(IF(D$3&lt;&gt;"",D$3,"NA"),'MITRE ATT&amp;CK Mappings'!$I575))),ISNUMBER(SEARCH(IF(D$3&lt;&gt;"",D$3,"NA"),'MITRE ATT&amp;CK Mappings'!$J575))), 'MITRE ATT&amp;CK Mappings'!$B575,"")</f>
        <v/>
      </c>
      <c r="E579" s="27" t="str">
        <f>IF(OR(OR(OR(OR(OR(ISNUMBER(SEARCH(IF(E$1&lt;&gt;"",E$1,"NA"),'MITRE ATT&amp;CK Mappings'!$E575)),ISNUMBER(SEARCH(IF(E$1&lt;&gt;"",E$1,"NA"),'MITRE ATT&amp;CK Mappings'!$F575))),ISNUMBER(SEARCH(IF(E$2&lt;&gt;"",E$2,"NA"),'MITRE ATT&amp;CK Mappings'!$G575))),ISNUMBER(SEARCH(IF(E$2&lt;&gt;"",E$2,"NA"),'MITRE ATT&amp;CK Mappings'!$H575))),ISNUMBER(SEARCH(IF(E$3&lt;&gt;"",E$3,"NA"),'MITRE ATT&amp;CK Mappings'!$I575))),ISNUMBER(SEARCH(IF(E$3&lt;&gt;"",E$3,"NA"),'MITRE ATT&amp;CK Mappings'!$J575))), 'MITRE ATT&amp;CK Mappings'!$B575,"")</f>
        <v/>
      </c>
      <c r="F579" s="27" t="str">
        <f>IF(OR(OR(OR(OR(OR(ISNUMBER(SEARCH(IF(F$1&lt;&gt;"",F$1,"NA"),'MITRE ATT&amp;CK Mappings'!$E575)),ISNUMBER(SEARCH(IF(F$1&lt;&gt;"",F$1,"NA"),'MITRE ATT&amp;CK Mappings'!$F575))),ISNUMBER(SEARCH(IF(F$2&lt;&gt;"",F$2,"NA"),'MITRE ATT&amp;CK Mappings'!$G575))),ISNUMBER(SEARCH(IF(F$2&lt;&gt;"",F$2,"NA"),'MITRE ATT&amp;CK Mappings'!$H575))),ISNUMBER(SEARCH(IF(F$3&lt;&gt;"",F$3,"NA"),'MITRE ATT&amp;CK Mappings'!$I575))),ISNUMBER(SEARCH(IF(F$3&lt;&gt;"",F$3,"NA"),'MITRE ATT&amp;CK Mappings'!$J575))), 'MITRE ATT&amp;CK Mappings'!$B575,"")</f>
        <v/>
      </c>
      <c r="G579" s="27" t="str">
        <f>IF(OR(OR(OR(OR(OR(ISNUMBER(SEARCH(IF(G$1&lt;&gt;"",G$1,"NA"),'MITRE ATT&amp;CK Mappings'!$E575)),ISNUMBER(SEARCH(IF(G$1&lt;&gt;"",G$1,"NA"),'MITRE ATT&amp;CK Mappings'!$F575))),ISNUMBER(SEARCH(IF(G$2&lt;&gt;"",G$2,"NA"),'MITRE ATT&amp;CK Mappings'!$G575))),ISNUMBER(SEARCH(IF(G$2&lt;&gt;"",G$2,"NA"),'MITRE ATT&amp;CK Mappings'!$H575))),ISNUMBER(SEARCH(IF(G$3&lt;&gt;"",G$3,"NA"),'MITRE ATT&amp;CK Mappings'!$I575))),ISNUMBER(SEARCH(IF(G$3&lt;&gt;"",G$3,"NA"),'MITRE ATT&amp;CK Mappings'!$J575))), 'MITRE ATT&amp;CK Mappings'!$B575,"")</f>
        <v/>
      </c>
      <c r="H579" s="27" t="str">
        <f>IF(OR(OR(OR(OR(OR(ISNUMBER(SEARCH(IF(H$1&lt;&gt;"",H$1,"NA"),'MITRE ATT&amp;CK Mappings'!$E575)),ISNUMBER(SEARCH(IF(H$1&lt;&gt;"",H$1,"NA"),'MITRE ATT&amp;CK Mappings'!$F575))),ISNUMBER(SEARCH(IF(H$2&lt;&gt;"",H$2,"NA"),'MITRE ATT&amp;CK Mappings'!$G575))),ISNUMBER(SEARCH(IF(H$2&lt;&gt;"",H$2,"NA"),'MITRE ATT&amp;CK Mappings'!$H575))),ISNUMBER(SEARCH(IF(H$3&lt;&gt;"",H$3,"NA"),'MITRE ATT&amp;CK Mappings'!$I575))),ISNUMBER(SEARCH(IF(H$3&lt;&gt;"",H$3,"NA"),'MITRE ATT&amp;CK Mappings'!$J575))), 'MITRE ATT&amp;CK Mappings'!$B575,"")</f>
        <v/>
      </c>
      <c r="I579" s="27" t="str">
        <f>IF(OR(OR(OR(OR(OR(ISNUMBER(SEARCH(IF(I$1&lt;&gt;"",I$1,"NA"),'MITRE ATT&amp;CK Mappings'!$E575)),ISNUMBER(SEARCH(IF(I$1&lt;&gt;"",I$1,"NA"),'MITRE ATT&amp;CK Mappings'!$F575))),ISNUMBER(SEARCH(IF(I$2&lt;&gt;"",I$2,"NA"),'MITRE ATT&amp;CK Mappings'!$G575))),ISNUMBER(SEARCH(IF(I$2&lt;&gt;"",I$2,"NA"),'MITRE ATT&amp;CK Mappings'!$H575))),ISNUMBER(SEARCH(IF(I$3&lt;&gt;"",I$3,"NA"),'MITRE ATT&amp;CK Mappings'!$I575))),ISNUMBER(SEARCH(IF(I$3&lt;&gt;"",I$3,"NA"),'MITRE ATT&amp;CK Mappings'!$J575))), 'MITRE ATT&amp;CK Mappings'!$B575,"")</f>
        <v/>
      </c>
      <c r="J579" s="27" t="str">
        <f>IF(OR(OR(OR(OR(OR(ISNUMBER(SEARCH(IF(J$1&lt;&gt;"",J$1,"NA"),'MITRE ATT&amp;CK Mappings'!$E575)),ISNUMBER(SEARCH(IF(J$1&lt;&gt;"",J$1,"NA"),'MITRE ATT&amp;CK Mappings'!$F575))),ISNUMBER(SEARCH(IF(J$2&lt;&gt;"",J$2,"NA"),'MITRE ATT&amp;CK Mappings'!$G575))),ISNUMBER(SEARCH(IF(J$2&lt;&gt;"",J$2,"NA"),'MITRE ATT&amp;CK Mappings'!$H575))),ISNUMBER(SEARCH(IF(J$3&lt;&gt;"",J$3,"NA"),'MITRE ATT&amp;CK Mappings'!$I575))),ISNUMBER(SEARCH(IF(J$3&lt;&gt;"",J$3,"NA"),'MITRE ATT&amp;CK Mappings'!$J575))), 'MITRE ATT&amp;CK Mappings'!$B575,"")</f>
        <v/>
      </c>
      <c r="K579" s="27" t="str">
        <f>IF(OR(OR(OR(OR(OR(ISNUMBER(SEARCH(IF(K$1&lt;&gt;"",K$1,"NA"),'MITRE ATT&amp;CK Mappings'!$E575)),ISNUMBER(SEARCH(IF(K$1&lt;&gt;"",K$1,"NA"),'MITRE ATT&amp;CK Mappings'!$F575))),ISNUMBER(SEARCH(IF(K$2&lt;&gt;"",K$2,"NA"),'MITRE ATT&amp;CK Mappings'!$G575))),ISNUMBER(SEARCH(IF(K$2&lt;&gt;"",K$2,"NA"),'MITRE ATT&amp;CK Mappings'!$H575))),ISNUMBER(SEARCH(IF(K$3&lt;&gt;"",K$3,"NA"),'MITRE ATT&amp;CK Mappings'!$I575))),ISNUMBER(SEARCH(IF(K$3&lt;&gt;"",K$3,"NA"),'MITRE ATT&amp;CK Mappings'!$J575))), 'MITRE ATT&amp;CK Mappings'!$B575,"")</f>
        <v/>
      </c>
      <c r="L579" s="27" t="str">
        <f>IF('MITRE ATT&amp;CK Mappings'!D575 &lt;&gt;"",'MITRE ATT&amp;CK Mappings'!D575,"" )</f>
        <v/>
      </c>
    </row>
    <row r="580" spans="1:12" x14ac:dyDescent="0.25">
      <c r="A580" s="26" t="str">
        <f>IF(COUNTIF(B580:K580,"="&amp;'MITRE ATT&amp;CK Mappings'!B576)&gt;0,'MITRE ATT&amp;CK Mappings'!B576,"")</f>
        <v/>
      </c>
      <c r="B580" s="26" t="str">
        <f>IF(OR(OR(OR(OR(OR(ISNUMBER(SEARCH(IF(B$1&lt;&gt;"",B$1,"NA"),'MITRE ATT&amp;CK Mappings'!$E576)),ISNUMBER(SEARCH(IF(B$1&lt;&gt;"",B$1,"NA"),'MITRE ATT&amp;CK Mappings'!$F576))),ISNUMBER(SEARCH(IF(B$2&lt;&gt;"",B$2,"NA"),'MITRE ATT&amp;CK Mappings'!$G576))),ISNUMBER(SEARCH(IF(B$2&lt;&gt;"",B$2,"NA"),'MITRE ATT&amp;CK Mappings'!$H576))),ISNUMBER(SEARCH(IF(B$3&lt;&gt;"",B$3,"NA"),'MITRE ATT&amp;CK Mappings'!$I576))),ISNUMBER(SEARCH(IF(B$3&lt;&gt;"",B$3,"NA"),'MITRE ATT&amp;CK Mappings'!$J576))), 'MITRE ATT&amp;CK Mappings'!$B576,"")</f>
        <v/>
      </c>
      <c r="C580" s="26" t="str">
        <f>IF(OR(OR(OR(OR(OR(ISNUMBER(SEARCH(IF(C$1&lt;&gt;"",C$1,"NA"),'MITRE ATT&amp;CK Mappings'!$E576)),ISNUMBER(SEARCH(IF(C$1&lt;&gt;"",C$1,"NA"),'MITRE ATT&amp;CK Mappings'!$F576))),ISNUMBER(SEARCH(IF(C$2&lt;&gt;"",C$2,"NA"),'MITRE ATT&amp;CK Mappings'!$G576))),ISNUMBER(SEARCH(IF(C$2&lt;&gt;"",C$2,"NA"),'MITRE ATT&amp;CK Mappings'!$H576))),ISNUMBER(SEARCH(IF(C$3&lt;&gt;"",C$3,"NA"),'MITRE ATT&amp;CK Mappings'!$I576))),ISNUMBER(SEARCH(IF(C$3&lt;&gt;"",C$3,"NA"),'MITRE ATT&amp;CK Mappings'!$J576))), 'MITRE ATT&amp;CK Mappings'!$B576,"")</f>
        <v/>
      </c>
      <c r="D580" s="26" t="str">
        <f>IF(OR(OR(OR(OR(OR(ISNUMBER(SEARCH(IF(D$1&lt;&gt;"",D$1,"NA"),'MITRE ATT&amp;CK Mappings'!$E576)),ISNUMBER(SEARCH(IF(D$1&lt;&gt;"",D$1,"NA"),'MITRE ATT&amp;CK Mappings'!$F576))),ISNUMBER(SEARCH(IF(D$2&lt;&gt;"",D$2,"NA"),'MITRE ATT&amp;CK Mappings'!$G576))),ISNUMBER(SEARCH(IF(D$2&lt;&gt;"",D$2,"NA"),'MITRE ATT&amp;CK Mappings'!$H576))),ISNUMBER(SEARCH(IF(D$3&lt;&gt;"",D$3,"NA"),'MITRE ATT&amp;CK Mappings'!$I576))),ISNUMBER(SEARCH(IF(D$3&lt;&gt;"",D$3,"NA"),'MITRE ATT&amp;CK Mappings'!$J576))), 'MITRE ATT&amp;CK Mappings'!$B576,"")</f>
        <v/>
      </c>
      <c r="E580" s="26" t="str">
        <f>IF(OR(OR(OR(OR(OR(ISNUMBER(SEARCH(IF(E$1&lt;&gt;"",E$1,"NA"),'MITRE ATT&amp;CK Mappings'!$E576)),ISNUMBER(SEARCH(IF(E$1&lt;&gt;"",E$1,"NA"),'MITRE ATT&amp;CK Mappings'!$F576))),ISNUMBER(SEARCH(IF(E$2&lt;&gt;"",E$2,"NA"),'MITRE ATT&amp;CK Mappings'!$G576))),ISNUMBER(SEARCH(IF(E$2&lt;&gt;"",E$2,"NA"),'MITRE ATT&amp;CK Mappings'!$H576))),ISNUMBER(SEARCH(IF(E$3&lt;&gt;"",E$3,"NA"),'MITRE ATT&amp;CK Mappings'!$I576))),ISNUMBER(SEARCH(IF(E$3&lt;&gt;"",E$3,"NA"),'MITRE ATT&amp;CK Mappings'!$J576))), 'MITRE ATT&amp;CK Mappings'!$B576,"")</f>
        <v/>
      </c>
      <c r="F580" s="26" t="str">
        <f>IF(OR(OR(OR(OR(OR(ISNUMBER(SEARCH(IF(F$1&lt;&gt;"",F$1,"NA"),'MITRE ATT&amp;CK Mappings'!$E576)),ISNUMBER(SEARCH(IF(F$1&lt;&gt;"",F$1,"NA"),'MITRE ATT&amp;CK Mappings'!$F576))),ISNUMBER(SEARCH(IF(F$2&lt;&gt;"",F$2,"NA"),'MITRE ATT&amp;CK Mappings'!$G576))),ISNUMBER(SEARCH(IF(F$2&lt;&gt;"",F$2,"NA"),'MITRE ATT&amp;CK Mappings'!$H576))),ISNUMBER(SEARCH(IF(F$3&lt;&gt;"",F$3,"NA"),'MITRE ATT&amp;CK Mappings'!$I576))),ISNUMBER(SEARCH(IF(F$3&lt;&gt;"",F$3,"NA"),'MITRE ATT&amp;CK Mappings'!$J576))), 'MITRE ATT&amp;CK Mappings'!$B576,"")</f>
        <v/>
      </c>
      <c r="G580" s="26" t="str">
        <f>IF(OR(OR(OR(OR(OR(ISNUMBER(SEARCH(IF(G$1&lt;&gt;"",G$1,"NA"),'MITRE ATT&amp;CK Mappings'!$E576)),ISNUMBER(SEARCH(IF(G$1&lt;&gt;"",G$1,"NA"),'MITRE ATT&amp;CK Mappings'!$F576))),ISNUMBER(SEARCH(IF(G$2&lt;&gt;"",G$2,"NA"),'MITRE ATT&amp;CK Mappings'!$G576))),ISNUMBER(SEARCH(IF(G$2&lt;&gt;"",G$2,"NA"),'MITRE ATT&amp;CK Mappings'!$H576))),ISNUMBER(SEARCH(IF(G$3&lt;&gt;"",G$3,"NA"),'MITRE ATT&amp;CK Mappings'!$I576))),ISNUMBER(SEARCH(IF(G$3&lt;&gt;"",G$3,"NA"),'MITRE ATT&amp;CK Mappings'!$J576))), 'MITRE ATT&amp;CK Mappings'!$B576,"")</f>
        <v/>
      </c>
      <c r="H580" s="26" t="str">
        <f>IF(OR(OR(OR(OR(OR(ISNUMBER(SEARCH(IF(H$1&lt;&gt;"",H$1,"NA"),'MITRE ATT&amp;CK Mappings'!$E576)),ISNUMBER(SEARCH(IF(H$1&lt;&gt;"",H$1,"NA"),'MITRE ATT&amp;CK Mappings'!$F576))),ISNUMBER(SEARCH(IF(H$2&lt;&gt;"",H$2,"NA"),'MITRE ATT&amp;CK Mappings'!$G576))),ISNUMBER(SEARCH(IF(H$2&lt;&gt;"",H$2,"NA"),'MITRE ATT&amp;CK Mappings'!$H576))),ISNUMBER(SEARCH(IF(H$3&lt;&gt;"",H$3,"NA"),'MITRE ATT&amp;CK Mappings'!$I576))),ISNUMBER(SEARCH(IF(H$3&lt;&gt;"",H$3,"NA"),'MITRE ATT&amp;CK Mappings'!$J576))), 'MITRE ATT&amp;CK Mappings'!$B576,"")</f>
        <v/>
      </c>
      <c r="I580" s="26" t="str">
        <f>IF(OR(OR(OR(OR(OR(ISNUMBER(SEARCH(IF(I$1&lt;&gt;"",I$1,"NA"),'MITRE ATT&amp;CK Mappings'!$E576)),ISNUMBER(SEARCH(IF(I$1&lt;&gt;"",I$1,"NA"),'MITRE ATT&amp;CK Mappings'!$F576))),ISNUMBER(SEARCH(IF(I$2&lt;&gt;"",I$2,"NA"),'MITRE ATT&amp;CK Mappings'!$G576))),ISNUMBER(SEARCH(IF(I$2&lt;&gt;"",I$2,"NA"),'MITRE ATT&amp;CK Mappings'!$H576))),ISNUMBER(SEARCH(IF(I$3&lt;&gt;"",I$3,"NA"),'MITRE ATT&amp;CK Mappings'!$I576))),ISNUMBER(SEARCH(IF(I$3&lt;&gt;"",I$3,"NA"),'MITRE ATT&amp;CK Mappings'!$J576))), 'MITRE ATT&amp;CK Mappings'!$B576,"")</f>
        <v/>
      </c>
      <c r="J580" s="26" t="str">
        <f>IF(OR(OR(OR(OR(OR(ISNUMBER(SEARCH(IF(J$1&lt;&gt;"",J$1,"NA"),'MITRE ATT&amp;CK Mappings'!$E576)),ISNUMBER(SEARCH(IF(J$1&lt;&gt;"",J$1,"NA"),'MITRE ATT&amp;CK Mappings'!$F576))),ISNUMBER(SEARCH(IF(J$2&lt;&gt;"",J$2,"NA"),'MITRE ATT&amp;CK Mappings'!$G576))),ISNUMBER(SEARCH(IF(J$2&lt;&gt;"",J$2,"NA"),'MITRE ATT&amp;CK Mappings'!$H576))),ISNUMBER(SEARCH(IF(J$3&lt;&gt;"",J$3,"NA"),'MITRE ATT&amp;CK Mappings'!$I576))),ISNUMBER(SEARCH(IF(J$3&lt;&gt;"",J$3,"NA"),'MITRE ATT&amp;CK Mappings'!$J576))), 'MITRE ATT&amp;CK Mappings'!$B576,"")</f>
        <v/>
      </c>
      <c r="K580" s="26" t="str">
        <f>IF(OR(OR(OR(OR(OR(ISNUMBER(SEARCH(IF(K$1&lt;&gt;"",K$1,"NA"),'MITRE ATT&amp;CK Mappings'!$E576)),ISNUMBER(SEARCH(IF(K$1&lt;&gt;"",K$1,"NA"),'MITRE ATT&amp;CK Mappings'!$F576))),ISNUMBER(SEARCH(IF(K$2&lt;&gt;"",K$2,"NA"),'MITRE ATT&amp;CK Mappings'!$G576))),ISNUMBER(SEARCH(IF(K$2&lt;&gt;"",K$2,"NA"),'MITRE ATT&amp;CK Mappings'!$H576))),ISNUMBER(SEARCH(IF(K$3&lt;&gt;"",K$3,"NA"),'MITRE ATT&amp;CK Mappings'!$I576))),ISNUMBER(SEARCH(IF(K$3&lt;&gt;"",K$3,"NA"),'MITRE ATT&amp;CK Mappings'!$J576))), 'MITRE ATT&amp;CK Mappings'!$B576,"")</f>
        <v/>
      </c>
      <c r="L580" s="26" t="str">
        <f>IF('MITRE ATT&amp;CK Mappings'!D576 &lt;&gt;"",'MITRE ATT&amp;CK Mappings'!D576,"" )</f>
        <v/>
      </c>
    </row>
    <row r="581" spans="1:12" x14ac:dyDescent="0.25">
      <c r="A581" s="27" t="str">
        <f>IF(COUNTIF(B581:K581,"="&amp;'MITRE ATT&amp;CK Mappings'!B577)&gt;0,'MITRE ATT&amp;CK Mappings'!B577,"")</f>
        <v/>
      </c>
      <c r="B581" s="27" t="str">
        <f>IF(OR(OR(OR(OR(OR(ISNUMBER(SEARCH(IF(B$1&lt;&gt;"",B$1,"NA"),'MITRE ATT&amp;CK Mappings'!$E577)),ISNUMBER(SEARCH(IF(B$1&lt;&gt;"",B$1,"NA"),'MITRE ATT&amp;CK Mappings'!$F577))),ISNUMBER(SEARCH(IF(B$2&lt;&gt;"",B$2,"NA"),'MITRE ATT&amp;CK Mappings'!$G577))),ISNUMBER(SEARCH(IF(B$2&lt;&gt;"",B$2,"NA"),'MITRE ATT&amp;CK Mappings'!$H577))),ISNUMBER(SEARCH(IF(B$3&lt;&gt;"",B$3,"NA"),'MITRE ATT&amp;CK Mappings'!$I577))),ISNUMBER(SEARCH(IF(B$3&lt;&gt;"",B$3,"NA"),'MITRE ATT&amp;CK Mappings'!$J577))), 'MITRE ATT&amp;CK Mappings'!$B577,"")</f>
        <v/>
      </c>
      <c r="C581" s="27" t="str">
        <f>IF(OR(OR(OR(OR(OR(ISNUMBER(SEARCH(IF(C$1&lt;&gt;"",C$1,"NA"),'MITRE ATT&amp;CK Mappings'!$E577)),ISNUMBER(SEARCH(IF(C$1&lt;&gt;"",C$1,"NA"),'MITRE ATT&amp;CK Mappings'!$F577))),ISNUMBER(SEARCH(IF(C$2&lt;&gt;"",C$2,"NA"),'MITRE ATT&amp;CK Mappings'!$G577))),ISNUMBER(SEARCH(IF(C$2&lt;&gt;"",C$2,"NA"),'MITRE ATT&amp;CK Mappings'!$H577))),ISNUMBER(SEARCH(IF(C$3&lt;&gt;"",C$3,"NA"),'MITRE ATT&amp;CK Mappings'!$I577))),ISNUMBER(SEARCH(IF(C$3&lt;&gt;"",C$3,"NA"),'MITRE ATT&amp;CK Mappings'!$J577))), 'MITRE ATT&amp;CK Mappings'!$B577,"")</f>
        <v/>
      </c>
      <c r="D581" s="27" t="str">
        <f>IF(OR(OR(OR(OR(OR(ISNUMBER(SEARCH(IF(D$1&lt;&gt;"",D$1,"NA"),'MITRE ATT&amp;CK Mappings'!$E577)),ISNUMBER(SEARCH(IF(D$1&lt;&gt;"",D$1,"NA"),'MITRE ATT&amp;CK Mappings'!$F577))),ISNUMBER(SEARCH(IF(D$2&lt;&gt;"",D$2,"NA"),'MITRE ATT&amp;CK Mappings'!$G577))),ISNUMBER(SEARCH(IF(D$2&lt;&gt;"",D$2,"NA"),'MITRE ATT&amp;CK Mappings'!$H577))),ISNUMBER(SEARCH(IF(D$3&lt;&gt;"",D$3,"NA"),'MITRE ATT&amp;CK Mappings'!$I577))),ISNUMBER(SEARCH(IF(D$3&lt;&gt;"",D$3,"NA"),'MITRE ATT&amp;CK Mappings'!$J577))), 'MITRE ATT&amp;CK Mappings'!$B577,"")</f>
        <v/>
      </c>
      <c r="E581" s="27" t="str">
        <f>IF(OR(OR(OR(OR(OR(ISNUMBER(SEARCH(IF(E$1&lt;&gt;"",E$1,"NA"),'MITRE ATT&amp;CK Mappings'!$E577)),ISNUMBER(SEARCH(IF(E$1&lt;&gt;"",E$1,"NA"),'MITRE ATT&amp;CK Mappings'!$F577))),ISNUMBER(SEARCH(IF(E$2&lt;&gt;"",E$2,"NA"),'MITRE ATT&amp;CK Mappings'!$G577))),ISNUMBER(SEARCH(IF(E$2&lt;&gt;"",E$2,"NA"),'MITRE ATT&amp;CK Mappings'!$H577))),ISNUMBER(SEARCH(IF(E$3&lt;&gt;"",E$3,"NA"),'MITRE ATT&amp;CK Mappings'!$I577))),ISNUMBER(SEARCH(IF(E$3&lt;&gt;"",E$3,"NA"),'MITRE ATT&amp;CK Mappings'!$J577))), 'MITRE ATT&amp;CK Mappings'!$B577,"")</f>
        <v/>
      </c>
      <c r="F581" s="27" t="str">
        <f>IF(OR(OR(OR(OR(OR(ISNUMBER(SEARCH(IF(F$1&lt;&gt;"",F$1,"NA"),'MITRE ATT&amp;CK Mappings'!$E577)),ISNUMBER(SEARCH(IF(F$1&lt;&gt;"",F$1,"NA"),'MITRE ATT&amp;CK Mappings'!$F577))),ISNUMBER(SEARCH(IF(F$2&lt;&gt;"",F$2,"NA"),'MITRE ATT&amp;CK Mappings'!$G577))),ISNUMBER(SEARCH(IF(F$2&lt;&gt;"",F$2,"NA"),'MITRE ATT&amp;CK Mappings'!$H577))),ISNUMBER(SEARCH(IF(F$3&lt;&gt;"",F$3,"NA"),'MITRE ATT&amp;CK Mappings'!$I577))),ISNUMBER(SEARCH(IF(F$3&lt;&gt;"",F$3,"NA"),'MITRE ATT&amp;CK Mappings'!$J577))), 'MITRE ATT&amp;CK Mappings'!$B577,"")</f>
        <v/>
      </c>
      <c r="G581" s="27" t="str">
        <f>IF(OR(OR(OR(OR(OR(ISNUMBER(SEARCH(IF(G$1&lt;&gt;"",G$1,"NA"),'MITRE ATT&amp;CK Mappings'!$E577)),ISNUMBER(SEARCH(IF(G$1&lt;&gt;"",G$1,"NA"),'MITRE ATT&amp;CK Mappings'!$F577))),ISNUMBER(SEARCH(IF(G$2&lt;&gt;"",G$2,"NA"),'MITRE ATT&amp;CK Mappings'!$G577))),ISNUMBER(SEARCH(IF(G$2&lt;&gt;"",G$2,"NA"),'MITRE ATT&amp;CK Mappings'!$H577))),ISNUMBER(SEARCH(IF(G$3&lt;&gt;"",G$3,"NA"),'MITRE ATT&amp;CK Mappings'!$I577))),ISNUMBER(SEARCH(IF(G$3&lt;&gt;"",G$3,"NA"),'MITRE ATT&amp;CK Mappings'!$J577))), 'MITRE ATT&amp;CK Mappings'!$B577,"")</f>
        <v/>
      </c>
      <c r="H581" s="27" t="str">
        <f>IF(OR(OR(OR(OR(OR(ISNUMBER(SEARCH(IF(H$1&lt;&gt;"",H$1,"NA"),'MITRE ATT&amp;CK Mappings'!$E577)),ISNUMBER(SEARCH(IF(H$1&lt;&gt;"",H$1,"NA"),'MITRE ATT&amp;CK Mappings'!$F577))),ISNUMBER(SEARCH(IF(H$2&lt;&gt;"",H$2,"NA"),'MITRE ATT&amp;CK Mappings'!$G577))),ISNUMBER(SEARCH(IF(H$2&lt;&gt;"",H$2,"NA"),'MITRE ATT&amp;CK Mappings'!$H577))),ISNUMBER(SEARCH(IF(H$3&lt;&gt;"",H$3,"NA"),'MITRE ATT&amp;CK Mappings'!$I577))),ISNUMBER(SEARCH(IF(H$3&lt;&gt;"",H$3,"NA"),'MITRE ATT&amp;CK Mappings'!$J577))), 'MITRE ATT&amp;CK Mappings'!$B577,"")</f>
        <v/>
      </c>
      <c r="I581" s="27" t="str">
        <f>IF(OR(OR(OR(OR(OR(ISNUMBER(SEARCH(IF(I$1&lt;&gt;"",I$1,"NA"),'MITRE ATT&amp;CK Mappings'!$E577)),ISNUMBER(SEARCH(IF(I$1&lt;&gt;"",I$1,"NA"),'MITRE ATT&amp;CK Mappings'!$F577))),ISNUMBER(SEARCH(IF(I$2&lt;&gt;"",I$2,"NA"),'MITRE ATT&amp;CK Mappings'!$G577))),ISNUMBER(SEARCH(IF(I$2&lt;&gt;"",I$2,"NA"),'MITRE ATT&amp;CK Mappings'!$H577))),ISNUMBER(SEARCH(IF(I$3&lt;&gt;"",I$3,"NA"),'MITRE ATT&amp;CK Mappings'!$I577))),ISNUMBER(SEARCH(IF(I$3&lt;&gt;"",I$3,"NA"),'MITRE ATT&amp;CK Mappings'!$J577))), 'MITRE ATT&amp;CK Mappings'!$B577,"")</f>
        <v/>
      </c>
      <c r="J581" s="27" t="str">
        <f>IF(OR(OR(OR(OR(OR(ISNUMBER(SEARCH(IF(J$1&lt;&gt;"",J$1,"NA"),'MITRE ATT&amp;CK Mappings'!$E577)),ISNUMBER(SEARCH(IF(J$1&lt;&gt;"",J$1,"NA"),'MITRE ATT&amp;CK Mappings'!$F577))),ISNUMBER(SEARCH(IF(J$2&lt;&gt;"",J$2,"NA"),'MITRE ATT&amp;CK Mappings'!$G577))),ISNUMBER(SEARCH(IF(J$2&lt;&gt;"",J$2,"NA"),'MITRE ATT&amp;CK Mappings'!$H577))),ISNUMBER(SEARCH(IF(J$3&lt;&gt;"",J$3,"NA"),'MITRE ATT&amp;CK Mappings'!$I577))),ISNUMBER(SEARCH(IF(J$3&lt;&gt;"",J$3,"NA"),'MITRE ATT&amp;CK Mappings'!$J577))), 'MITRE ATT&amp;CK Mappings'!$B577,"")</f>
        <v/>
      </c>
      <c r="K581" s="27" t="str">
        <f>IF(OR(OR(OR(OR(OR(ISNUMBER(SEARCH(IF(K$1&lt;&gt;"",K$1,"NA"),'MITRE ATT&amp;CK Mappings'!$E577)),ISNUMBER(SEARCH(IF(K$1&lt;&gt;"",K$1,"NA"),'MITRE ATT&amp;CK Mappings'!$F577))),ISNUMBER(SEARCH(IF(K$2&lt;&gt;"",K$2,"NA"),'MITRE ATT&amp;CK Mappings'!$G577))),ISNUMBER(SEARCH(IF(K$2&lt;&gt;"",K$2,"NA"),'MITRE ATT&amp;CK Mappings'!$H577))),ISNUMBER(SEARCH(IF(K$3&lt;&gt;"",K$3,"NA"),'MITRE ATT&amp;CK Mappings'!$I577))),ISNUMBER(SEARCH(IF(K$3&lt;&gt;"",K$3,"NA"),'MITRE ATT&amp;CK Mappings'!$J577))), 'MITRE ATT&amp;CK Mappings'!$B577,"")</f>
        <v/>
      </c>
      <c r="L581" s="27" t="str">
        <f>IF('MITRE ATT&amp;CK Mappings'!D577 &lt;&gt;"",'MITRE ATT&amp;CK Mappings'!D577,"" )</f>
        <v/>
      </c>
    </row>
    <row r="582" spans="1:12" x14ac:dyDescent="0.25">
      <c r="A582" s="26" t="str">
        <f>IF(COUNTIF(B582:K582,"="&amp;'MITRE ATT&amp;CK Mappings'!B578)&gt;0,'MITRE ATT&amp;CK Mappings'!B578,"")</f>
        <v/>
      </c>
      <c r="B582" s="26" t="str">
        <f>IF(OR(OR(OR(OR(OR(ISNUMBER(SEARCH(IF(B$1&lt;&gt;"",B$1,"NA"),'MITRE ATT&amp;CK Mappings'!$E578)),ISNUMBER(SEARCH(IF(B$1&lt;&gt;"",B$1,"NA"),'MITRE ATT&amp;CK Mappings'!$F578))),ISNUMBER(SEARCH(IF(B$2&lt;&gt;"",B$2,"NA"),'MITRE ATT&amp;CK Mappings'!$G578))),ISNUMBER(SEARCH(IF(B$2&lt;&gt;"",B$2,"NA"),'MITRE ATT&amp;CK Mappings'!$H578))),ISNUMBER(SEARCH(IF(B$3&lt;&gt;"",B$3,"NA"),'MITRE ATT&amp;CK Mappings'!$I578))),ISNUMBER(SEARCH(IF(B$3&lt;&gt;"",B$3,"NA"),'MITRE ATT&amp;CK Mappings'!$J578))), 'MITRE ATT&amp;CK Mappings'!$B578,"")</f>
        <v/>
      </c>
      <c r="C582" s="26" t="str">
        <f>IF(OR(OR(OR(OR(OR(ISNUMBER(SEARCH(IF(C$1&lt;&gt;"",C$1,"NA"),'MITRE ATT&amp;CK Mappings'!$E578)),ISNUMBER(SEARCH(IF(C$1&lt;&gt;"",C$1,"NA"),'MITRE ATT&amp;CK Mappings'!$F578))),ISNUMBER(SEARCH(IF(C$2&lt;&gt;"",C$2,"NA"),'MITRE ATT&amp;CK Mappings'!$G578))),ISNUMBER(SEARCH(IF(C$2&lt;&gt;"",C$2,"NA"),'MITRE ATT&amp;CK Mappings'!$H578))),ISNUMBER(SEARCH(IF(C$3&lt;&gt;"",C$3,"NA"),'MITRE ATT&amp;CK Mappings'!$I578))),ISNUMBER(SEARCH(IF(C$3&lt;&gt;"",C$3,"NA"),'MITRE ATT&amp;CK Mappings'!$J578))), 'MITRE ATT&amp;CK Mappings'!$B578,"")</f>
        <v/>
      </c>
      <c r="D582" s="26" t="str">
        <f>IF(OR(OR(OR(OR(OR(ISNUMBER(SEARCH(IF(D$1&lt;&gt;"",D$1,"NA"),'MITRE ATT&amp;CK Mappings'!$E578)),ISNUMBER(SEARCH(IF(D$1&lt;&gt;"",D$1,"NA"),'MITRE ATT&amp;CK Mappings'!$F578))),ISNUMBER(SEARCH(IF(D$2&lt;&gt;"",D$2,"NA"),'MITRE ATT&amp;CK Mappings'!$G578))),ISNUMBER(SEARCH(IF(D$2&lt;&gt;"",D$2,"NA"),'MITRE ATT&amp;CK Mappings'!$H578))),ISNUMBER(SEARCH(IF(D$3&lt;&gt;"",D$3,"NA"),'MITRE ATT&amp;CK Mappings'!$I578))),ISNUMBER(SEARCH(IF(D$3&lt;&gt;"",D$3,"NA"),'MITRE ATT&amp;CK Mappings'!$J578))), 'MITRE ATT&amp;CK Mappings'!$B578,"")</f>
        <v/>
      </c>
      <c r="E582" s="26" t="str">
        <f>IF(OR(OR(OR(OR(OR(ISNUMBER(SEARCH(IF(E$1&lt;&gt;"",E$1,"NA"),'MITRE ATT&amp;CK Mappings'!$E578)),ISNUMBER(SEARCH(IF(E$1&lt;&gt;"",E$1,"NA"),'MITRE ATT&amp;CK Mappings'!$F578))),ISNUMBER(SEARCH(IF(E$2&lt;&gt;"",E$2,"NA"),'MITRE ATT&amp;CK Mappings'!$G578))),ISNUMBER(SEARCH(IF(E$2&lt;&gt;"",E$2,"NA"),'MITRE ATT&amp;CK Mappings'!$H578))),ISNUMBER(SEARCH(IF(E$3&lt;&gt;"",E$3,"NA"),'MITRE ATT&amp;CK Mappings'!$I578))),ISNUMBER(SEARCH(IF(E$3&lt;&gt;"",E$3,"NA"),'MITRE ATT&amp;CK Mappings'!$J578))), 'MITRE ATT&amp;CK Mappings'!$B578,"")</f>
        <v/>
      </c>
      <c r="F582" s="26" t="str">
        <f>IF(OR(OR(OR(OR(OR(ISNUMBER(SEARCH(IF(F$1&lt;&gt;"",F$1,"NA"),'MITRE ATT&amp;CK Mappings'!$E578)),ISNUMBER(SEARCH(IF(F$1&lt;&gt;"",F$1,"NA"),'MITRE ATT&amp;CK Mappings'!$F578))),ISNUMBER(SEARCH(IF(F$2&lt;&gt;"",F$2,"NA"),'MITRE ATT&amp;CK Mappings'!$G578))),ISNUMBER(SEARCH(IF(F$2&lt;&gt;"",F$2,"NA"),'MITRE ATT&amp;CK Mappings'!$H578))),ISNUMBER(SEARCH(IF(F$3&lt;&gt;"",F$3,"NA"),'MITRE ATT&amp;CK Mappings'!$I578))),ISNUMBER(SEARCH(IF(F$3&lt;&gt;"",F$3,"NA"),'MITRE ATT&amp;CK Mappings'!$J578))), 'MITRE ATT&amp;CK Mappings'!$B578,"")</f>
        <v/>
      </c>
      <c r="G582" s="26" t="str">
        <f>IF(OR(OR(OR(OR(OR(ISNUMBER(SEARCH(IF(G$1&lt;&gt;"",G$1,"NA"),'MITRE ATT&amp;CK Mappings'!$E578)),ISNUMBER(SEARCH(IF(G$1&lt;&gt;"",G$1,"NA"),'MITRE ATT&amp;CK Mappings'!$F578))),ISNUMBER(SEARCH(IF(G$2&lt;&gt;"",G$2,"NA"),'MITRE ATT&amp;CK Mappings'!$G578))),ISNUMBER(SEARCH(IF(G$2&lt;&gt;"",G$2,"NA"),'MITRE ATT&amp;CK Mappings'!$H578))),ISNUMBER(SEARCH(IF(G$3&lt;&gt;"",G$3,"NA"),'MITRE ATT&amp;CK Mappings'!$I578))),ISNUMBER(SEARCH(IF(G$3&lt;&gt;"",G$3,"NA"),'MITRE ATT&amp;CK Mappings'!$J578))), 'MITRE ATT&amp;CK Mappings'!$B578,"")</f>
        <v/>
      </c>
      <c r="H582" s="26" t="str">
        <f>IF(OR(OR(OR(OR(OR(ISNUMBER(SEARCH(IF(H$1&lt;&gt;"",H$1,"NA"),'MITRE ATT&amp;CK Mappings'!$E578)),ISNUMBER(SEARCH(IF(H$1&lt;&gt;"",H$1,"NA"),'MITRE ATT&amp;CK Mappings'!$F578))),ISNUMBER(SEARCH(IF(H$2&lt;&gt;"",H$2,"NA"),'MITRE ATT&amp;CK Mappings'!$G578))),ISNUMBER(SEARCH(IF(H$2&lt;&gt;"",H$2,"NA"),'MITRE ATT&amp;CK Mappings'!$H578))),ISNUMBER(SEARCH(IF(H$3&lt;&gt;"",H$3,"NA"),'MITRE ATT&amp;CK Mappings'!$I578))),ISNUMBER(SEARCH(IF(H$3&lt;&gt;"",H$3,"NA"),'MITRE ATT&amp;CK Mappings'!$J578))), 'MITRE ATT&amp;CK Mappings'!$B578,"")</f>
        <v/>
      </c>
      <c r="I582" s="26" t="str">
        <f>IF(OR(OR(OR(OR(OR(ISNUMBER(SEARCH(IF(I$1&lt;&gt;"",I$1,"NA"),'MITRE ATT&amp;CK Mappings'!$E578)),ISNUMBER(SEARCH(IF(I$1&lt;&gt;"",I$1,"NA"),'MITRE ATT&amp;CK Mappings'!$F578))),ISNUMBER(SEARCH(IF(I$2&lt;&gt;"",I$2,"NA"),'MITRE ATT&amp;CK Mappings'!$G578))),ISNUMBER(SEARCH(IF(I$2&lt;&gt;"",I$2,"NA"),'MITRE ATT&amp;CK Mappings'!$H578))),ISNUMBER(SEARCH(IF(I$3&lt;&gt;"",I$3,"NA"),'MITRE ATT&amp;CK Mappings'!$I578))),ISNUMBER(SEARCH(IF(I$3&lt;&gt;"",I$3,"NA"),'MITRE ATT&amp;CK Mappings'!$J578))), 'MITRE ATT&amp;CK Mappings'!$B578,"")</f>
        <v/>
      </c>
      <c r="J582" s="26" t="str">
        <f>IF(OR(OR(OR(OR(OR(ISNUMBER(SEARCH(IF(J$1&lt;&gt;"",J$1,"NA"),'MITRE ATT&amp;CK Mappings'!$E578)),ISNUMBER(SEARCH(IF(J$1&lt;&gt;"",J$1,"NA"),'MITRE ATT&amp;CK Mappings'!$F578))),ISNUMBER(SEARCH(IF(J$2&lt;&gt;"",J$2,"NA"),'MITRE ATT&amp;CK Mappings'!$G578))),ISNUMBER(SEARCH(IF(J$2&lt;&gt;"",J$2,"NA"),'MITRE ATT&amp;CK Mappings'!$H578))),ISNUMBER(SEARCH(IF(J$3&lt;&gt;"",J$3,"NA"),'MITRE ATT&amp;CK Mappings'!$I578))),ISNUMBER(SEARCH(IF(J$3&lt;&gt;"",J$3,"NA"),'MITRE ATT&amp;CK Mappings'!$J578))), 'MITRE ATT&amp;CK Mappings'!$B578,"")</f>
        <v/>
      </c>
      <c r="K582" s="26" t="str">
        <f>IF(OR(OR(OR(OR(OR(ISNUMBER(SEARCH(IF(K$1&lt;&gt;"",K$1,"NA"),'MITRE ATT&amp;CK Mappings'!$E578)),ISNUMBER(SEARCH(IF(K$1&lt;&gt;"",K$1,"NA"),'MITRE ATT&amp;CK Mappings'!$F578))),ISNUMBER(SEARCH(IF(K$2&lt;&gt;"",K$2,"NA"),'MITRE ATT&amp;CK Mappings'!$G578))),ISNUMBER(SEARCH(IF(K$2&lt;&gt;"",K$2,"NA"),'MITRE ATT&amp;CK Mappings'!$H578))),ISNUMBER(SEARCH(IF(K$3&lt;&gt;"",K$3,"NA"),'MITRE ATT&amp;CK Mappings'!$I578))),ISNUMBER(SEARCH(IF(K$3&lt;&gt;"",K$3,"NA"),'MITRE ATT&amp;CK Mappings'!$J578))), 'MITRE ATT&amp;CK Mappings'!$B578,"")</f>
        <v/>
      </c>
      <c r="L582" s="26" t="str">
        <f>IF('MITRE ATT&amp;CK Mappings'!D578 &lt;&gt;"",'MITRE ATT&amp;CK Mappings'!D578,"" )</f>
        <v/>
      </c>
    </row>
    <row r="583" spans="1:12" x14ac:dyDescent="0.25">
      <c r="A583" s="27" t="str">
        <f>IF(COUNTIF(B583:K583,"="&amp;'MITRE ATT&amp;CK Mappings'!B579)&gt;0,'MITRE ATT&amp;CK Mappings'!B579,"")</f>
        <v/>
      </c>
      <c r="B583" s="27" t="str">
        <f>IF(OR(OR(OR(OR(OR(ISNUMBER(SEARCH(IF(B$1&lt;&gt;"",B$1,"NA"),'MITRE ATT&amp;CK Mappings'!$E579)),ISNUMBER(SEARCH(IF(B$1&lt;&gt;"",B$1,"NA"),'MITRE ATT&amp;CK Mappings'!$F579))),ISNUMBER(SEARCH(IF(B$2&lt;&gt;"",B$2,"NA"),'MITRE ATT&amp;CK Mappings'!$G579))),ISNUMBER(SEARCH(IF(B$2&lt;&gt;"",B$2,"NA"),'MITRE ATT&amp;CK Mappings'!$H579))),ISNUMBER(SEARCH(IF(B$3&lt;&gt;"",B$3,"NA"),'MITRE ATT&amp;CK Mappings'!$I579))),ISNUMBER(SEARCH(IF(B$3&lt;&gt;"",B$3,"NA"),'MITRE ATT&amp;CK Mappings'!$J579))), 'MITRE ATT&amp;CK Mappings'!$B579,"")</f>
        <v/>
      </c>
      <c r="C583" s="27" t="str">
        <f>IF(OR(OR(OR(OR(OR(ISNUMBER(SEARCH(IF(C$1&lt;&gt;"",C$1,"NA"),'MITRE ATT&amp;CK Mappings'!$E579)),ISNUMBER(SEARCH(IF(C$1&lt;&gt;"",C$1,"NA"),'MITRE ATT&amp;CK Mappings'!$F579))),ISNUMBER(SEARCH(IF(C$2&lt;&gt;"",C$2,"NA"),'MITRE ATT&amp;CK Mappings'!$G579))),ISNUMBER(SEARCH(IF(C$2&lt;&gt;"",C$2,"NA"),'MITRE ATT&amp;CK Mappings'!$H579))),ISNUMBER(SEARCH(IF(C$3&lt;&gt;"",C$3,"NA"),'MITRE ATT&amp;CK Mappings'!$I579))),ISNUMBER(SEARCH(IF(C$3&lt;&gt;"",C$3,"NA"),'MITRE ATT&amp;CK Mappings'!$J579))), 'MITRE ATT&amp;CK Mappings'!$B579,"")</f>
        <v/>
      </c>
      <c r="D583" s="27" t="str">
        <f>IF(OR(OR(OR(OR(OR(ISNUMBER(SEARCH(IF(D$1&lt;&gt;"",D$1,"NA"),'MITRE ATT&amp;CK Mappings'!$E579)),ISNUMBER(SEARCH(IF(D$1&lt;&gt;"",D$1,"NA"),'MITRE ATT&amp;CK Mappings'!$F579))),ISNUMBER(SEARCH(IF(D$2&lt;&gt;"",D$2,"NA"),'MITRE ATT&amp;CK Mappings'!$G579))),ISNUMBER(SEARCH(IF(D$2&lt;&gt;"",D$2,"NA"),'MITRE ATT&amp;CK Mappings'!$H579))),ISNUMBER(SEARCH(IF(D$3&lt;&gt;"",D$3,"NA"),'MITRE ATT&amp;CK Mappings'!$I579))),ISNUMBER(SEARCH(IF(D$3&lt;&gt;"",D$3,"NA"),'MITRE ATT&amp;CK Mappings'!$J579))), 'MITRE ATT&amp;CK Mappings'!$B579,"")</f>
        <v/>
      </c>
      <c r="E583" s="27" t="str">
        <f>IF(OR(OR(OR(OR(OR(ISNUMBER(SEARCH(IF(E$1&lt;&gt;"",E$1,"NA"),'MITRE ATT&amp;CK Mappings'!$E579)),ISNUMBER(SEARCH(IF(E$1&lt;&gt;"",E$1,"NA"),'MITRE ATT&amp;CK Mappings'!$F579))),ISNUMBER(SEARCH(IF(E$2&lt;&gt;"",E$2,"NA"),'MITRE ATT&amp;CK Mappings'!$G579))),ISNUMBER(SEARCH(IF(E$2&lt;&gt;"",E$2,"NA"),'MITRE ATT&amp;CK Mappings'!$H579))),ISNUMBER(SEARCH(IF(E$3&lt;&gt;"",E$3,"NA"),'MITRE ATT&amp;CK Mappings'!$I579))),ISNUMBER(SEARCH(IF(E$3&lt;&gt;"",E$3,"NA"),'MITRE ATT&amp;CK Mappings'!$J579))), 'MITRE ATT&amp;CK Mappings'!$B579,"")</f>
        <v/>
      </c>
      <c r="F583" s="27" t="str">
        <f>IF(OR(OR(OR(OR(OR(ISNUMBER(SEARCH(IF(F$1&lt;&gt;"",F$1,"NA"),'MITRE ATT&amp;CK Mappings'!$E579)),ISNUMBER(SEARCH(IF(F$1&lt;&gt;"",F$1,"NA"),'MITRE ATT&amp;CK Mappings'!$F579))),ISNUMBER(SEARCH(IF(F$2&lt;&gt;"",F$2,"NA"),'MITRE ATT&amp;CK Mappings'!$G579))),ISNUMBER(SEARCH(IF(F$2&lt;&gt;"",F$2,"NA"),'MITRE ATT&amp;CK Mappings'!$H579))),ISNUMBER(SEARCH(IF(F$3&lt;&gt;"",F$3,"NA"),'MITRE ATT&amp;CK Mappings'!$I579))),ISNUMBER(SEARCH(IF(F$3&lt;&gt;"",F$3,"NA"),'MITRE ATT&amp;CK Mappings'!$J579))), 'MITRE ATT&amp;CK Mappings'!$B579,"")</f>
        <v/>
      </c>
      <c r="G583" s="27" t="str">
        <f>IF(OR(OR(OR(OR(OR(ISNUMBER(SEARCH(IF(G$1&lt;&gt;"",G$1,"NA"),'MITRE ATT&amp;CK Mappings'!$E579)),ISNUMBER(SEARCH(IF(G$1&lt;&gt;"",G$1,"NA"),'MITRE ATT&amp;CK Mappings'!$F579))),ISNUMBER(SEARCH(IF(G$2&lt;&gt;"",G$2,"NA"),'MITRE ATT&amp;CK Mappings'!$G579))),ISNUMBER(SEARCH(IF(G$2&lt;&gt;"",G$2,"NA"),'MITRE ATT&amp;CK Mappings'!$H579))),ISNUMBER(SEARCH(IF(G$3&lt;&gt;"",G$3,"NA"),'MITRE ATT&amp;CK Mappings'!$I579))),ISNUMBER(SEARCH(IF(G$3&lt;&gt;"",G$3,"NA"),'MITRE ATT&amp;CK Mappings'!$J579))), 'MITRE ATT&amp;CK Mappings'!$B579,"")</f>
        <v/>
      </c>
      <c r="H583" s="27" t="str">
        <f>IF(OR(OR(OR(OR(OR(ISNUMBER(SEARCH(IF(H$1&lt;&gt;"",H$1,"NA"),'MITRE ATT&amp;CK Mappings'!$E579)),ISNUMBER(SEARCH(IF(H$1&lt;&gt;"",H$1,"NA"),'MITRE ATT&amp;CK Mappings'!$F579))),ISNUMBER(SEARCH(IF(H$2&lt;&gt;"",H$2,"NA"),'MITRE ATT&amp;CK Mappings'!$G579))),ISNUMBER(SEARCH(IF(H$2&lt;&gt;"",H$2,"NA"),'MITRE ATT&amp;CK Mappings'!$H579))),ISNUMBER(SEARCH(IF(H$3&lt;&gt;"",H$3,"NA"),'MITRE ATT&amp;CK Mappings'!$I579))),ISNUMBER(SEARCH(IF(H$3&lt;&gt;"",H$3,"NA"),'MITRE ATT&amp;CK Mappings'!$J579))), 'MITRE ATT&amp;CK Mappings'!$B579,"")</f>
        <v/>
      </c>
      <c r="I583" s="27" t="str">
        <f>IF(OR(OR(OR(OR(OR(ISNUMBER(SEARCH(IF(I$1&lt;&gt;"",I$1,"NA"),'MITRE ATT&amp;CK Mappings'!$E579)),ISNUMBER(SEARCH(IF(I$1&lt;&gt;"",I$1,"NA"),'MITRE ATT&amp;CK Mappings'!$F579))),ISNUMBER(SEARCH(IF(I$2&lt;&gt;"",I$2,"NA"),'MITRE ATT&amp;CK Mappings'!$G579))),ISNUMBER(SEARCH(IF(I$2&lt;&gt;"",I$2,"NA"),'MITRE ATT&amp;CK Mappings'!$H579))),ISNUMBER(SEARCH(IF(I$3&lt;&gt;"",I$3,"NA"),'MITRE ATT&amp;CK Mappings'!$I579))),ISNUMBER(SEARCH(IF(I$3&lt;&gt;"",I$3,"NA"),'MITRE ATT&amp;CK Mappings'!$J579))), 'MITRE ATT&amp;CK Mappings'!$B579,"")</f>
        <v/>
      </c>
      <c r="J583" s="27" t="str">
        <f>IF(OR(OR(OR(OR(OR(ISNUMBER(SEARCH(IF(J$1&lt;&gt;"",J$1,"NA"),'MITRE ATT&amp;CK Mappings'!$E579)),ISNUMBER(SEARCH(IF(J$1&lt;&gt;"",J$1,"NA"),'MITRE ATT&amp;CK Mappings'!$F579))),ISNUMBER(SEARCH(IF(J$2&lt;&gt;"",J$2,"NA"),'MITRE ATT&amp;CK Mappings'!$G579))),ISNUMBER(SEARCH(IF(J$2&lt;&gt;"",J$2,"NA"),'MITRE ATT&amp;CK Mappings'!$H579))),ISNUMBER(SEARCH(IF(J$3&lt;&gt;"",J$3,"NA"),'MITRE ATT&amp;CK Mappings'!$I579))),ISNUMBER(SEARCH(IF(J$3&lt;&gt;"",J$3,"NA"),'MITRE ATT&amp;CK Mappings'!$J579))), 'MITRE ATT&amp;CK Mappings'!$B579,"")</f>
        <v/>
      </c>
      <c r="K583" s="27" t="str">
        <f>IF(OR(OR(OR(OR(OR(ISNUMBER(SEARCH(IF(K$1&lt;&gt;"",K$1,"NA"),'MITRE ATT&amp;CK Mappings'!$E579)),ISNUMBER(SEARCH(IF(K$1&lt;&gt;"",K$1,"NA"),'MITRE ATT&amp;CK Mappings'!$F579))),ISNUMBER(SEARCH(IF(K$2&lt;&gt;"",K$2,"NA"),'MITRE ATT&amp;CK Mappings'!$G579))),ISNUMBER(SEARCH(IF(K$2&lt;&gt;"",K$2,"NA"),'MITRE ATT&amp;CK Mappings'!$H579))),ISNUMBER(SEARCH(IF(K$3&lt;&gt;"",K$3,"NA"),'MITRE ATT&amp;CK Mappings'!$I579))),ISNUMBER(SEARCH(IF(K$3&lt;&gt;"",K$3,"NA"),'MITRE ATT&amp;CK Mappings'!$J579))), 'MITRE ATT&amp;CK Mappings'!$B579,"")</f>
        <v/>
      </c>
      <c r="L583" s="27" t="str">
        <f>IF('MITRE ATT&amp;CK Mappings'!D579 &lt;&gt;"",'MITRE ATT&amp;CK Mappings'!D579,"" )</f>
        <v/>
      </c>
    </row>
    <row r="584" spans="1:12" x14ac:dyDescent="0.25">
      <c r="A584" s="26" t="str">
        <f>IF(COUNTIF(B584:K584,"="&amp;'MITRE ATT&amp;CK Mappings'!B580)&gt;0,'MITRE ATT&amp;CK Mappings'!B580,"")</f>
        <v/>
      </c>
      <c r="B584" s="26" t="str">
        <f>IF(OR(OR(OR(OR(OR(ISNUMBER(SEARCH(IF(B$1&lt;&gt;"",B$1,"NA"),'MITRE ATT&amp;CK Mappings'!$E580)),ISNUMBER(SEARCH(IF(B$1&lt;&gt;"",B$1,"NA"),'MITRE ATT&amp;CK Mappings'!$F580))),ISNUMBER(SEARCH(IF(B$2&lt;&gt;"",B$2,"NA"),'MITRE ATT&amp;CK Mappings'!$G580))),ISNUMBER(SEARCH(IF(B$2&lt;&gt;"",B$2,"NA"),'MITRE ATT&amp;CK Mappings'!$H580))),ISNUMBER(SEARCH(IF(B$3&lt;&gt;"",B$3,"NA"),'MITRE ATT&amp;CK Mappings'!$I580))),ISNUMBER(SEARCH(IF(B$3&lt;&gt;"",B$3,"NA"),'MITRE ATT&amp;CK Mappings'!$J580))), 'MITRE ATT&amp;CK Mappings'!$B580,"")</f>
        <v/>
      </c>
      <c r="C584" s="26" t="str">
        <f>IF(OR(OR(OR(OR(OR(ISNUMBER(SEARCH(IF(C$1&lt;&gt;"",C$1,"NA"),'MITRE ATT&amp;CK Mappings'!$E580)),ISNUMBER(SEARCH(IF(C$1&lt;&gt;"",C$1,"NA"),'MITRE ATT&amp;CK Mappings'!$F580))),ISNUMBER(SEARCH(IF(C$2&lt;&gt;"",C$2,"NA"),'MITRE ATT&amp;CK Mappings'!$G580))),ISNUMBER(SEARCH(IF(C$2&lt;&gt;"",C$2,"NA"),'MITRE ATT&amp;CK Mappings'!$H580))),ISNUMBER(SEARCH(IF(C$3&lt;&gt;"",C$3,"NA"),'MITRE ATT&amp;CK Mappings'!$I580))),ISNUMBER(SEARCH(IF(C$3&lt;&gt;"",C$3,"NA"),'MITRE ATT&amp;CK Mappings'!$J580))), 'MITRE ATT&amp;CK Mappings'!$B580,"")</f>
        <v/>
      </c>
      <c r="D584" s="26" t="str">
        <f>IF(OR(OR(OR(OR(OR(ISNUMBER(SEARCH(IF(D$1&lt;&gt;"",D$1,"NA"),'MITRE ATT&amp;CK Mappings'!$E580)),ISNUMBER(SEARCH(IF(D$1&lt;&gt;"",D$1,"NA"),'MITRE ATT&amp;CK Mappings'!$F580))),ISNUMBER(SEARCH(IF(D$2&lt;&gt;"",D$2,"NA"),'MITRE ATT&amp;CK Mappings'!$G580))),ISNUMBER(SEARCH(IF(D$2&lt;&gt;"",D$2,"NA"),'MITRE ATT&amp;CK Mappings'!$H580))),ISNUMBER(SEARCH(IF(D$3&lt;&gt;"",D$3,"NA"),'MITRE ATT&amp;CK Mappings'!$I580))),ISNUMBER(SEARCH(IF(D$3&lt;&gt;"",D$3,"NA"),'MITRE ATT&amp;CK Mappings'!$J580))), 'MITRE ATT&amp;CK Mappings'!$B580,"")</f>
        <v/>
      </c>
      <c r="E584" s="26" t="str">
        <f>IF(OR(OR(OR(OR(OR(ISNUMBER(SEARCH(IF(E$1&lt;&gt;"",E$1,"NA"),'MITRE ATT&amp;CK Mappings'!$E580)),ISNUMBER(SEARCH(IF(E$1&lt;&gt;"",E$1,"NA"),'MITRE ATT&amp;CK Mappings'!$F580))),ISNUMBER(SEARCH(IF(E$2&lt;&gt;"",E$2,"NA"),'MITRE ATT&amp;CK Mappings'!$G580))),ISNUMBER(SEARCH(IF(E$2&lt;&gt;"",E$2,"NA"),'MITRE ATT&amp;CK Mappings'!$H580))),ISNUMBER(SEARCH(IF(E$3&lt;&gt;"",E$3,"NA"),'MITRE ATT&amp;CK Mappings'!$I580))),ISNUMBER(SEARCH(IF(E$3&lt;&gt;"",E$3,"NA"),'MITRE ATT&amp;CK Mappings'!$J580))), 'MITRE ATT&amp;CK Mappings'!$B580,"")</f>
        <v/>
      </c>
      <c r="F584" s="26" t="str">
        <f>IF(OR(OR(OR(OR(OR(ISNUMBER(SEARCH(IF(F$1&lt;&gt;"",F$1,"NA"),'MITRE ATT&amp;CK Mappings'!$E580)),ISNUMBER(SEARCH(IF(F$1&lt;&gt;"",F$1,"NA"),'MITRE ATT&amp;CK Mappings'!$F580))),ISNUMBER(SEARCH(IF(F$2&lt;&gt;"",F$2,"NA"),'MITRE ATT&amp;CK Mappings'!$G580))),ISNUMBER(SEARCH(IF(F$2&lt;&gt;"",F$2,"NA"),'MITRE ATT&amp;CK Mappings'!$H580))),ISNUMBER(SEARCH(IF(F$3&lt;&gt;"",F$3,"NA"),'MITRE ATT&amp;CK Mappings'!$I580))),ISNUMBER(SEARCH(IF(F$3&lt;&gt;"",F$3,"NA"),'MITRE ATT&amp;CK Mappings'!$J580))), 'MITRE ATT&amp;CK Mappings'!$B580,"")</f>
        <v/>
      </c>
      <c r="G584" s="26" t="str">
        <f>IF(OR(OR(OR(OR(OR(ISNUMBER(SEARCH(IF(G$1&lt;&gt;"",G$1,"NA"),'MITRE ATT&amp;CK Mappings'!$E580)),ISNUMBER(SEARCH(IF(G$1&lt;&gt;"",G$1,"NA"),'MITRE ATT&amp;CK Mappings'!$F580))),ISNUMBER(SEARCH(IF(G$2&lt;&gt;"",G$2,"NA"),'MITRE ATT&amp;CK Mappings'!$G580))),ISNUMBER(SEARCH(IF(G$2&lt;&gt;"",G$2,"NA"),'MITRE ATT&amp;CK Mappings'!$H580))),ISNUMBER(SEARCH(IF(G$3&lt;&gt;"",G$3,"NA"),'MITRE ATT&amp;CK Mappings'!$I580))),ISNUMBER(SEARCH(IF(G$3&lt;&gt;"",G$3,"NA"),'MITRE ATT&amp;CK Mappings'!$J580))), 'MITRE ATT&amp;CK Mappings'!$B580,"")</f>
        <v/>
      </c>
      <c r="H584" s="26" t="str">
        <f>IF(OR(OR(OR(OR(OR(ISNUMBER(SEARCH(IF(H$1&lt;&gt;"",H$1,"NA"),'MITRE ATT&amp;CK Mappings'!$E580)),ISNUMBER(SEARCH(IF(H$1&lt;&gt;"",H$1,"NA"),'MITRE ATT&amp;CK Mappings'!$F580))),ISNUMBER(SEARCH(IF(H$2&lt;&gt;"",H$2,"NA"),'MITRE ATT&amp;CK Mappings'!$G580))),ISNUMBER(SEARCH(IF(H$2&lt;&gt;"",H$2,"NA"),'MITRE ATT&amp;CK Mappings'!$H580))),ISNUMBER(SEARCH(IF(H$3&lt;&gt;"",H$3,"NA"),'MITRE ATT&amp;CK Mappings'!$I580))),ISNUMBER(SEARCH(IF(H$3&lt;&gt;"",H$3,"NA"),'MITRE ATT&amp;CK Mappings'!$J580))), 'MITRE ATT&amp;CK Mappings'!$B580,"")</f>
        <v/>
      </c>
      <c r="I584" s="26" t="str">
        <f>IF(OR(OR(OR(OR(OR(ISNUMBER(SEARCH(IF(I$1&lt;&gt;"",I$1,"NA"),'MITRE ATT&amp;CK Mappings'!$E580)),ISNUMBER(SEARCH(IF(I$1&lt;&gt;"",I$1,"NA"),'MITRE ATT&amp;CK Mappings'!$F580))),ISNUMBER(SEARCH(IF(I$2&lt;&gt;"",I$2,"NA"),'MITRE ATT&amp;CK Mappings'!$G580))),ISNUMBER(SEARCH(IF(I$2&lt;&gt;"",I$2,"NA"),'MITRE ATT&amp;CK Mappings'!$H580))),ISNUMBER(SEARCH(IF(I$3&lt;&gt;"",I$3,"NA"),'MITRE ATT&amp;CK Mappings'!$I580))),ISNUMBER(SEARCH(IF(I$3&lt;&gt;"",I$3,"NA"),'MITRE ATT&amp;CK Mappings'!$J580))), 'MITRE ATT&amp;CK Mappings'!$B580,"")</f>
        <v/>
      </c>
      <c r="J584" s="26" t="str">
        <f>IF(OR(OR(OR(OR(OR(ISNUMBER(SEARCH(IF(J$1&lt;&gt;"",J$1,"NA"),'MITRE ATT&amp;CK Mappings'!$E580)),ISNUMBER(SEARCH(IF(J$1&lt;&gt;"",J$1,"NA"),'MITRE ATT&amp;CK Mappings'!$F580))),ISNUMBER(SEARCH(IF(J$2&lt;&gt;"",J$2,"NA"),'MITRE ATT&amp;CK Mappings'!$G580))),ISNUMBER(SEARCH(IF(J$2&lt;&gt;"",J$2,"NA"),'MITRE ATT&amp;CK Mappings'!$H580))),ISNUMBER(SEARCH(IF(J$3&lt;&gt;"",J$3,"NA"),'MITRE ATT&amp;CK Mappings'!$I580))),ISNUMBER(SEARCH(IF(J$3&lt;&gt;"",J$3,"NA"),'MITRE ATT&amp;CK Mappings'!$J580))), 'MITRE ATT&amp;CK Mappings'!$B580,"")</f>
        <v/>
      </c>
      <c r="K584" s="26" t="str">
        <f>IF(OR(OR(OR(OR(OR(ISNUMBER(SEARCH(IF(K$1&lt;&gt;"",K$1,"NA"),'MITRE ATT&amp;CK Mappings'!$E580)),ISNUMBER(SEARCH(IF(K$1&lt;&gt;"",K$1,"NA"),'MITRE ATT&amp;CK Mappings'!$F580))),ISNUMBER(SEARCH(IF(K$2&lt;&gt;"",K$2,"NA"),'MITRE ATT&amp;CK Mappings'!$G580))),ISNUMBER(SEARCH(IF(K$2&lt;&gt;"",K$2,"NA"),'MITRE ATT&amp;CK Mappings'!$H580))),ISNUMBER(SEARCH(IF(K$3&lt;&gt;"",K$3,"NA"),'MITRE ATT&amp;CK Mappings'!$I580))),ISNUMBER(SEARCH(IF(K$3&lt;&gt;"",K$3,"NA"),'MITRE ATT&amp;CK Mappings'!$J580))), 'MITRE ATT&amp;CK Mappings'!$B580,"")</f>
        <v/>
      </c>
      <c r="L584" s="26" t="str">
        <f>IF('MITRE ATT&amp;CK Mappings'!D580 &lt;&gt;"",'MITRE ATT&amp;CK Mappings'!D580,"" )</f>
        <v/>
      </c>
    </row>
    <row r="585" spans="1:12" x14ac:dyDescent="0.25">
      <c r="A585" s="27" t="str">
        <f>IF(COUNTIF(B585:K585,"="&amp;'MITRE ATT&amp;CK Mappings'!B581)&gt;0,'MITRE ATT&amp;CK Mappings'!B581,"")</f>
        <v/>
      </c>
      <c r="B585" s="27" t="str">
        <f>IF(OR(OR(OR(OR(OR(ISNUMBER(SEARCH(IF(B$1&lt;&gt;"",B$1,"NA"),'MITRE ATT&amp;CK Mappings'!$E581)),ISNUMBER(SEARCH(IF(B$1&lt;&gt;"",B$1,"NA"),'MITRE ATT&amp;CK Mappings'!$F581))),ISNUMBER(SEARCH(IF(B$2&lt;&gt;"",B$2,"NA"),'MITRE ATT&amp;CK Mappings'!$G581))),ISNUMBER(SEARCH(IF(B$2&lt;&gt;"",B$2,"NA"),'MITRE ATT&amp;CK Mappings'!$H581))),ISNUMBER(SEARCH(IF(B$3&lt;&gt;"",B$3,"NA"),'MITRE ATT&amp;CK Mappings'!$I581))),ISNUMBER(SEARCH(IF(B$3&lt;&gt;"",B$3,"NA"),'MITRE ATT&amp;CK Mappings'!$J581))), 'MITRE ATT&amp;CK Mappings'!$B581,"")</f>
        <v/>
      </c>
      <c r="C585" s="27" t="str">
        <f>IF(OR(OR(OR(OR(OR(ISNUMBER(SEARCH(IF(C$1&lt;&gt;"",C$1,"NA"),'MITRE ATT&amp;CK Mappings'!$E581)),ISNUMBER(SEARCH(IF(C$1&lt;&gt;"",C$1,"NA"),'MITRE ATT&amp;CK Mappings'!$F581))),ISNUMBER(SEARCH(IF(C$2&lt;&gt;"",C$2,"NA"),'MITRE ATT&amp;CK Mappings'!$G581))),ISNUMBER(SEARCH(IF(C$2&lt;&gt;"",C$2,"NA"),'MITRE ATT&amp;CK Mappings'!$H581))),ISNUMBER(SEARCH(IF(C$3&lt;&gt;"",C$3,"NA"),'MITRE ATT&amp;CK Mappings'!$I581))),ISNUMBER(SEARCH(IF(C$3&lt;&gt;"",C$3,"NA"),'MITRE ATT&amp;CK Mappings'!$J581))), 'MITRE ATT&amp;CK Mappings'!$B581,"")</f>
        <v/>
      </c>
      <c r="D585" s="27" t="str">
        <f>IF(OR(OR(OR(OR(OR(ISNUMBER(SEARCH(IF(D$1&lt;&gt;"",D$1,"NA"),'MITRE ATT&amp;CK Mappings'!$E581)),ISNUMBER(SEARCH(IF(D$1&lt;&gt;"",D$1,"NA"),'MITRE ATT&amp;CK Mappings'!$F581))),ISNUMBER(SEARCH(IF(D$2&lt;&gt;"",D$2,"NA"),'MITRE ATT&amp;CK Mappings'!$G581))),ISNUMBER(SEARCH(IF(D$2&lt;&gt;"",D$2,"NA"),'MITRE ATT&amp;CK Mappings'!$H581))),ISNUMBER(SEARCH(IF(D$3&lt;&gt;"",D$3,"NA"),'MITRE ATT&amp;CK Mappings'!$I581))),ISNUMBER(SEARCH(IF(D$3&lt;&gt;"",D$3,"NA"),'MITRE ATT&amp;CK Mappings'!$J581))), 'MITRE ATT&amp;CK Mappings'!$B581,"")</f>
        <v/>
      </c>
      <c r="E585" s="27" t="str">
        <f>IF(OR(OR(OR(OR(OR(ISNUMBER(SEARCH(IF(E$1&lt;&gt;"",E$1,"NA"),'MITRE ATT&amp;CK Mappings'!$E581)),ISNUMBER(SEARCH(IF(E$1&lt;&gt;"",E$1,"NA"),'MITRE ATT&amp;CK Mappings'!$F581))),ISNUMBER(SEARCH(IF(E$2&lt;&gt;"",E$2,"NA"),'MITRE ATT&amp;CK Mappings'!$G581))),ISNUMBER(SEARCH(IF(E$2&lt;&gt;"",E$2,"NA"),'MITRE ATT&amp;CK Mappings'!$H581))),ISNUMBER(SEARCH(IF(E$3&lt;&gt;"",E$3,"NA"),'MITRE ATT&amp;CK Mappings'!$I581))),ISNUMBER(SEARCH(IF(E$3&lt;&gt;"",E$3,"NA"),'MITRE ATT&amp;CK Mappings'!$J581))), 'MITRE ATT&amp;CK Mappings'!$B581,"")</f>
        <v/>
      </c>
      <c r="F585" s="27" t="str">
        <f>IF(OR(OR(OR(OR(OR(ISNUMBER(SEARCH(IF(F$1&lt;&gt;"",F$1,"NA"),'MITRE ATT&amp;CK Mappings'!$E581)),ISNUMBER(SEARCH(IF(F$1&lt;&gt;"",F$1,"NA"),'MITRE ATT&amp;CK Mappings'!$F581))),ISNUMBER(SEARCH(IF(F$2&lt;&gt;"",F$2,"NA"),'MITRE ATT&amp;CK Mappings'!$G581))),ISNUMBER(SEARCH(IF(F$2&lt;&gt;"",F$2,"NA"),'MITRE ATT&amp;CK Mappings'!$H581))),ISNUMBER(SEARCH(IF(F$3&lt;&gt;"",F$3,"NA"),'MITRE ATT&amp;CK Mappings'!$I581))),ISNUMBER(SEARCH(IF(F$3&lt;&gt;"",F$3,"NA"),'MITRE ATT&amp;CK Mappings'!$J581))), 'MITRE ATT&amp;CK Mappings'!$B581,"")</f>
        <v/>
      </c>
      <c r="G585" s="27" t="str">
        <f>IF(OR(OR(OR(OR(OR(ISNUMBER(SEARCH(IF(G$1&lt;&gt;"",G$1,"NA"),'MITRE ATT&amp;CK Mappings'!$E581)),ISNUMBER(SEARCH(IF(G$1&lt;&gt;"",G$1,"NA"),'MITRE ATT&amp;CK Mappings'!$F581))),ISNUMBER(SEARCH(IF(G$2&lt;&gt;"",G$2,"NA"),'MITRE ATT&amp;CK Mappings'!$G581))),ISNUMBER(SEARCH(IF(G$2&lt;&gt;"",G$2,"NA"),'MITRE ATT&amp;CK Mappings'!$H581))),ISNUMBER(SEARCH(IF(G$3&lt;&gt;"",G$3,"NA"),'MITRE ATT&amp;CK Mappings'!$I581))),ISNUMBER(SEARCH(IF(G$3&lt;&gt;"",G$3,"NA"),'MITRE ATT&amp;CK Mappings'!$J581))), 'MITRE ATT&amp;CK Mappings'!$B581,"")</f>
        <v/>
      </c>
      <c r="H585" s="27" t="str">
        <f>IF(OR(OR(OR(OR(OR(ISNUMBER(SEARCH(IF(H$1&lt;&gt;"",H$1,"NA"),'MITRE ATT&amp;CK Mappings'!$E581)),ISNUMBER(SEARCH(IF(H$1&lt;&gt;"",H$1,"NA"),'MITRE ATT&amp;CK Mappings'!$F581))),ISNUMBER(SEARCH(IF(H$2&lt;&gt;"",H$2,"NA"),'MITRE ATT&amp;CK Mappings'!$G581))),ISNUMBER(SEARCH(IF(H$2&lt;&gt;"",H$2,"NA"),'MITRE ATT&amp;CK Mappings'!$H581))),ISNUMBER(SEARCH(IF(H$3&lt;&gt;"",H$3,"NA"),'MITRE ATT&amp;CK Mappings'!$I581))),ISNUMBER(SEARCH(IF(H$3&lt;&gt;"",H$3,"NA"),'MITRE ATT&amp;CK Mappings'!$J581))), 'MITRE ATT&amp;CK Mappings'!$B581,"")</f>
        <v/>
      </c>
      <c r="I585" s="27" t="str">
        <f>IF(OR(OR(OR(OR(OR(ISNUMBER(SEARCH(IF(I$1&lt;&gt;"",I$1,"NA"),'MITRE ATT&amp;CK Mappings'!$E581)),ISNUMBER(SEARCH(IF(I$1&lt;&gt;"",I$1,"NA"),'MITRE ATT&amp;CK Mappings'!$F581))),ISNUMBER(SEARCH(IF(I$2&lt;&gt;"",I$2,"NA"),'MITRE ATT&amp;CK Mappings'!$G581))),ISNUMBER(SEARCH(IF(I$2&lt;&gt;"",I$2,"NA"),'MITRE ATT&amp;CK Mappings'!$H581))),ISNUMBER(SEARCH(IF(I$3&lt;&gt;"",I$3,"NA"),'MITRE ATT&amp;CK Mappings'!$I581))),ISNUMBER(SEARCH(IF(I$3&lt;&gt;"",I$3,"NA"),'MITRE ATT&amp;CK Mappings'!$J581))), 'MITRE ATT&amp;CK Mappings'!$B581,"")</f>
        <v/>
      </c>
      <c r="J585" s="27" t="str">
        <f>IF(OR(OR(OR(OR(OR(ISNUMBER(SEARCH(IF(J$1&lt;&gt;"",J$1,"NA"),'MITRE ATT&amp;CK Mappings'!$E581)),ISNUMBER(SEARCH(IF(J$1&lt;&gt;"",J$1,"NA"),'MITRE ATT&amp;CK Mappings'!$F581))),ISNUMBER(SEARCH(IF(J$2&lt;&gt;"",J$2,"NA"),'MITRE ATT&amp;CK Mappings'!$G581))),ISNUMBER(SEARCH(IF(J$2&lt;&gt;"",J$2,"NA"),'MITRE ATT&amp;CK Mappings'!$H581))),ISNUMBER(SEARCH(IF(J$3&lt;&gt;"",J$3,"NA"),'MITRE ATT&amp;CK Mappings'!$I581))),ISNUMBER(SEARCH(IF(J$3&lt;&gt;"",J$3,"NA"),'MITRE ATT&amp;CK Mappings'!$J581))), 'MITRE ATT&amp;CK Mappings'!$B581,"")</f>
        <v/>
      </c>
      <c r="K585" s="27" t="str">
        <f>IF(OR(OR(OR(OR(OR(ISNUMBER(SEARCH(IF(K$1&lt;&gt;"",K$1,"NA"),'MITRE ATT&amp;CK Mappings'!$E581)),ISNUMBER(SEARCH(IF(K$1&lt;&gt;"",K$1,"NA"),'MITRE ATT&amp;CK Mappings'!$F581))),ISNUMBER(SEARCH(IF(K$2&lt;&gt;"",K$2,"NA"),'MITRE ATT&amp;CK Mappings'!$G581))),ISNUMBER(SEARCH(IF(K$2&lt;&gt;"",K$2,"NA"),'MITRE ATT&amp;CK Mappings'!$H581))),ISNUMBER(SEARCH(IF(K$3&lt;&gt;"",K$3,"NA"),'MITRE ATT&amp;CK Mappings'!$I581))),ISNUMBER(SEARCH(IF(K$3&lt;&gt;"",K$3,"NA"),'MITRE ATT&amp;CK Mappings'!$J581))), 'MITRE ATT&amp;CK Mappings'!$B581,"")</f>
        <v/>
      </c>
      <c r="L585" s="27" t="str">
        <f>IF('MITRE ATT&amp;CK Mappings'!D581 &lt;&gt;"",'MITRE ATT&amp;CK Mappings'!D581,"" )</f>
        <v/>
      </c>
    </row>
    <row r="586" spans="1:12" x14ac:dyDescent="0.25">
      <c r="A586" s="26" t="str">
        <f>IF(COUNTIF(B586:K586,"="&amp;'MITRE ATT&amp;CK Mappings'!B582)&gt;0,'MITRE ATT&amp;CK Mappings'!B582,"")</f>
        <v/>
      </c>
      <c r="B586" s="26" t="str">
        <f>IF(OR(OR(OR(OR(OR(ISNUMBER(SEARCH(IF(B$1&lt;&gt;"",B$1,"NA"),'MITRE ATT&amp;CK Mappings'!$E582)),ISNUMBER(SEARCH(IF(B$1&lt;&gt;"",B$1,"NA"),'MITRE ATT&amp;CK Mappings'!$F582))),ISNUMBER(SEARCH(IF(B$2&lt;&gt;"",B$2,"NA"),'MITRE ATT&amp;CK Mappings'!$G582))),ISNUMBER(SEARCH(IF(B$2&lt;&gt;"",B$2,"NA"),'MITRE ATT&amp;CK Mappings'!$H582))),ISNUMBER(SEARCH(IF(B$3&lt;&gt;"",B$3,"NA"),'MITRE ATT&amp;CK Mappings'!$I582))),ISNUMBER(SEARCH(IF(B$3&lt;&gt;"",B$3,"NA"),'MITRE ATT&amp;CK Mappings'!$J582))), 'MITRE ATT&amp;CK Mappings'!$B582,"")</f>
        <v/>
      </c>
      <c r="C586" s="26" t="str">
        <f>IF(OR(OR(OR(OR(OR(ISNUMBER(SEARCH(IF(C$1&lt;&gt;"",C$1,"NA"),'MITRE ATT&amp;CK Mappings'!$E582)),ISNUMBER(SEARCH(IF(C$1&lt;&gt;"",C$1,"NA"),'MITRE ATT&amp;CK Mappings'!$F582))),ISNUMBER(SEARCH(IF(C$2&lt;&gt;"",C$2,"NA"),'MITRE ATT&amp;CK Mappings'!$G582))),ISNUMBER(SEARCH(IF(C$2&lt;&gt;"",C$2,"NA"),'MITRE ATT&amp;CK Mappings'!$H582))),ISNUMBER(SEARCH(IF(C$3&lt;&gt;"",C$3,"NA"),'MITRE ATT&amp;CK Mappings'!$I582))),ISNUMBER(SEARCH(IF(C$3&lt;&gt;"",C$3,"NA"),'MITRE ATT&amp;CK Mappings'!$J582))), 'MITRE ATT&amp;CK Mappings'!$B582,"")</f>
        <v/>
      </c>
      <c r="D586" s="26" t="str">
        <f>IF(OR(OR(OR(OR(OR(ISNUMBER(SEARCH(IF(D$1&lt;&gt;"",D$1,"NA"),'MITRE ATT&amp;CK Mappings'!$E582)),ISNUMBER(SEARCH(IF(D$1&lt;&gt;"",D$1,"NA"),'MITRE ATT&amp;CK Mappings'!$F582))),ISNUMBER(SEARCH(IF(D$2&lt;&gt;"",D$2,"NA"),'MITRE ATT&amp;CK Mappings'!$G582))),ISNUMBER(SEARCH(IF(D$2&lt;&gt;"",D$2,"NA"),'MITRE ATT&amp;CK Mappings'!$H582))),ISNUMBER(SEARCH(IF(D$3&lt;&gt;"",D$3,"NA"),'MITRE ATT&amp;CK Mappings'!$I582))),ISNUMBER(SEARCH(IF(D$3&lt;&gt;"",D$3,"NA"),'MITRE ATT&amp;CK Mappings'!$J582))), 'MITRE ATT&amp;CK Mappings'!$B582,"")</f>
        <v/>
      </c>
      <c r="E586" s="26" t="str">
        <f>IF(OR(OR(OR(OR(OR(ISNUMBER(SEARCH(IF(E$1&lt;&gt;"",E$1,"NA"),'MITRE ATT&amp;CK Mappings'!$E582)),ISNUMBER(SEARCH(IF(E$1&lt;&gt;"",E$1,"NA"),'MITRE ATT&amp;CK Mappings'!$F582))),ISNUMBER(SEARCH(IF(E$2&lt;&gt;"",E$2,"NA"),'MITRE ATT&amp;CK Mappings'!$G582))),ISNUMBER(SEARCH(IF(E$2&lt;&gt;"",E$2,"NA"),'MITRE ATT&amp;CK Mappings'!$H582))),ISNUMBER(SEARCH(IF(E$3&lt;&gt;"",E$3,"NA"),'MITRE ATT&amp;CK Mappings'!$I582))),ISNUMBER(SEARCH(IF(E$3&lt;&gt;"",E$3,"NA"),'MITRE ATT&amp;CK Mappings'!$J582))), 'MITRE ATT&amp;CK Mappings'!$B582,"")</f>
        <v/>
      </c>
      <c r="F586" s="26" t="str">
        <f>IF(OR(OR(OR(OR(OR(ISNUMBER(SEARCH(IF(F$1&lt;&gt;"",F$1,"NA"),'MITRE ATT&amp;CK Mappings'!$E582)),ISNUMBER(SEARCH(IF(F$1&lt;&gt;"",F$1,"NA"),'MITRE ATT&amp;CK Mappings'!$F582))),ISNUMBER(SEARCH(IF(F$2&lt;&gt;"",F$2,"NA"),'MITRE ATT&amp;CK Mappings'!$G582))),ISNUMBER(SEARCH(IF(F$2&lt;&gt;"",F$2,"NA"),'MITRE ATT&amp;CK Mappings'!$H582))),ISNUMBER(SEARCH(IF(F$3&lt;&gt;"",F$3,"NA"),'MITRE ATT&amp;CK Mappings'!$I582))),ISNUMBER(SEARCH(IF(F$3&lt;&gt;"",F$3,"NA"),'MITRE ATT&amp;CK Mappings'!$J582))), 'MITRE ATT&amp;CK Mappings'!$B582,"")</f>
        <v/>
      </c>
      <c r="G586" s="26" t="str">
        <f>IF(OR(OR(OR(OR(OR(ISNUMBER(SEARCH(IF(G$1&lt;&gt;"",G$1,"NA"),'MITRE ATT&amp;CK Mappings'!$E582)),ISNUMBER(SEARCH(IF(G$1&lt;&gt;"",G$1,"NA"),'MITRE ATT&amp;CK Mappings'!$F582))),ISNUMBER(SEARCH(IF(G$2&lt;&gt;"",G$2,"NA"),'MITRE ATT&amp;CK Mappings'!$G582))),ISNUMBER(SEARCH(IF(G$2&lt;&gt;"",G$2,"NA"),'MITRE ATT&amp;CK Mappings'!$H582))),ISNUMBER(SEARCH(IF(G$3&lt;&gt;"",G$3,"NA"),'MITRE ATT&amp;CK Mappings'!$I582))),ISNUMBER(SEARCH(IF(G$3&lt;&gt;"",G$3,"NA"),'MITRE ATT&amp;CK Mappings'!$J582))), 'MITRE ATT&amp;CK Mappings'!$B582,"")</f>
        <v/>
      </c>
      <c r="H586" s="26" t="str">
        <f>IF(OR(OR(OR(OR(OR(ISNUMBER(SEARCH(IF(H$1&lt;&gt;"",H$1,"NA"),'MITRE ATT&amp;CK Mappings'!$E582)),ISNUMBER(SEARCH(IF(H$1&lt;&gt;"",H$1,"NA"),'MITRE ATT&amp;CK Mappings'!$F582))),ISNUMBER(SEARCH(IF(H$2&lt;&gt;"",H$2,"NA"),'MITRE ATT&amp;CK Mappings'!$G582))),ISNUMBER(SEARCH(IF(H$2&lt;&gt;"",H$2,"NA"),'MITRE ATT&amp;CK Mappings'!$H582))),ISNUMBER(SEARCH(IF(H$3&lt;&gt;"",H$3,"NA"),'MITRE ATT&amp;CK Mappings'!$I582))),ISNUMBER(SEARCH(IF(H$3&lt;&gt;"",H$3,"NA"),'MITRE ATT&amp;CK Mappings'!$J582))), 'MITRE ATT&amp;CK Mappings'!$B582,"")</f>
        <v/>
      </c>
      <c r="I586" s="26" t="str">
        <f>IF(OR(OR(OR(OR(OR(ISNUMBER(SEARCH(IF(I$1&lt;&gt;"",I$1,"NA"),'MITRE ATT&amp;CK Mappings'!$E582)),ISNUMBER(SEARCH(IF(I$1&lt;&gt;"",I$1,"NA"),'MITRE ATT&amp;CK Mappings'!$F582))),ISNUMBER(SEARCH(IF(I$2&lt;&gt;"",I$2,"NA"),'MITRE ATT&amp;CK Mappings'!$G582))),ISNUMBER(SEARCH(IF(I$2&lt;&gt;"",I$2,"NA"),'MITRE ATT&amp;CK Mappings'!$H582))),ISNUMBER(SEARCH(IF(I$3&lt;&gt;"",I$3,"NA"),'MITRE ATT&amp;CK Mappings'!$I582))),ISNUMBER(SEARCH(IF(I$3&lt;&gt;"",I$3,"NA"),'MITRE ATT&amp;CK Mappings'!$J582))), 'MITRE ATT&amp;CK Mappings'!$B582,"")</f>
        <v/>
      </c>
      <c r="J586" s="26" t="str">
        <f>IF(OR(OR(OR(OR(OR(ISNUMBER(SEARCH(IF(J$1&lt;&gt;"",J$1,"NA"),'MITRE ATT&amp;CK Mappings'!$E582)),ISNUMBER(SEARCH(IF(J$1&lt;&gt;"",J$1,"NA"),'MITRE ATT&amp;CK Mappings'!$F582))),ISNUMBER(SEARCH(IF(J$2&lt;&gt;"",J$2,"NA"),'MITRE ATT&amp;CK Mappings'!$G582))),ISNUMBER(SEARCH(IF(J$2&lt;&gt;"",J$2,"NA"),'MITRE ATT&amp;CK Mappings'!$H582))),ISNUMBER(SEARCH(IF(J$3&lt;&gt;"",J$3,"NA"),'MITRE ATT&amp;CK Mappings'!$I582))),ISNUMBER(SEARCH(IF(J$3&lt;&gt;"",J$3,"NA"),'MITRE ATT&amp;CK Mappings'!$J582))), 'MITRE ATT&amp;CK Mappings'!$B582,"")</f>
        <v/>
      </c>
      <c r="K586" s="26" t="str">
        <f>IF(OR(OR(OR(OR(OR(ISNUMBER(SEARCH(IF(K$1&lt;&gt;"",K$1,"NA"),'MITRE ATT&amp;CK Mappings'!$E582)),ISNUMBER(SEARCH(IF(K$1&lt;&gt;"",K$1,"NA"),'MITRE ATT&amp;CK Mappings'!$F582))),ISNUMBER(SEARCH(IF(K$2&lt;&gt;"",K$2,"NA"),'MITRE ATT&amp;CK Mappings'!$G582))),ISNUMBER(SEARCH(IF(K$2&lt;&gt;"",K$2,"NA"),'MITRE ATT&amp;CK Mappings'!$H582))),ISNUMBER(SEARCH(IF(K$3&lt;&gt;"",K$3,"NA"),'MITRE ATT&amp;CK Mappings'!$I582))),ISNUMBER(SEARCH(IF(K$3&lt;&gt;"",K$3,"NA"),'MITRE ATT&amp;CK Mappings'!$J582))), 'MITRE ATT&amp;CK Mappings'!$B582,"")</f>
        <v/>
      </c>
      <c r="L586" s="26" t="str">
        <f>IF('MITRE ATT&amp;CK Mappings'!D582 &lt;&gt;"",'MITRE ATT&amp;CK Mappings'!D582,"" )</f>
        <v/>
      </c>
    </row>
    <row r="587" spans="1:12" x14ac:dyDescent="0.25">
      <c r="A587" s="27" t="str">
        <f>IF(COUNTIF(B587:K587,"="&amp;'MITRE ATT&amp;CK Mappings'!B583)&gt;0,'MITRE ATT&amp;CK Mappings'!B583,"")</f>
        <v/>
      </c>
      <c r="B587" s="27" t="str">
        <f>IF(OR(OR(OR(OR(OR(ISNUMBER(SEARCH(IF(B$1&lt;&gt;"",B$1,"NA"),'MITRE ATT&amp;CK Mappings'!$E583)),ISNUMBER(SEARCH(IF(B$1&lt;&gt;"",B$1,"NA"),'MITRE ATT&amp;CK Mappings'!$F583))),ISNUMBER(SEARCH(IF(B$2&lt;&gt;"",B$2,"NA"),'MITRE ATT&amp;CK Mappings'!$G583))),ISNUMBER(SEARCH(IF(B$2&lt;&gt;"",B$2,"NA"),'MITRE ATT&amp;CK Mappings'!$H583))),ISNUMBER(SEARCH(IF(B$3&lt;&gt;"",B$3,"NA"),'MITRE ATT&amp;CK Mappings'!$I583))),ISNUMBER(SEARCH(IF(B$3&lt;&gt;"",B$3,"NA"),'MITRE ATT&amp;CK Mappings'!$J583))), 'MITRE ATT&amp;CK Mappings'!$B583,"")</f>
        <v/>
      </c>
      <c r="C587" s="27" t="str">
        <f>IF(OR(OR(OR(OR(OR(ISNUMBER(SEARCH(IF(C$1&lt;&gt;"",C$1,"NA"),'MITRE ATT&amp;CK Mappings'!$E583)),ISNUMBER(SEARCH(IF(C$1&lt;&gt;"",C$1,"NA"),'MITRE ATT&amp;CK Mappings'!$F583))),ISNUMBER(SEARCH(IF(C$2&lt;&gt;"",C$2,"NA"),'MITRE ATT&amp;CK Mappings'!$G583))),ISNUMBER(SEARCH(IF(C$2&lt;&gt;"",C$2,"NA"),'MITRE ATT&amp;CK Mappings'!$H583))),ISNUMBER(SEARCH(IF(C$3&lt;&gt;"",C$3,"NA"),'MITRE ATT&amp;CK Mappings'!$I583))),ISNUMBER(SEARCH(IF(C$3&lt;&gt;"",C$3,"NA"),'MITRE ATT&amp;CK Mappings'!$J583))), 'MITRE ATT&amp;CK Mappings'!$B583,"")</f>
        <v/>
      </c>
      <c r="D587" s="27" t="str">
        <f>IF(OR(OR(OR(OR(OR(ISNUMBER(SEARCH(IF(D$1&lt;&gt;"",D$1,"NA"),'MITRE ATT&amp;CK Mappings'!$E583)),ISNUMBER(SEARCH(IF(D$1&lt;&gt;"",D$1,"NA"),'MITRE ATT&amp;CK Mappings'!$F583))),ISNUMBER(SEARCH(IF(D$2&lt;&gt;"",D$2,"NA"),'MITRE ATT&amp;CK Mappings'!$G583))),ISNUMBER(SEARCH(IF(D$2&lt;&gt;"",D$2,"NA"),'MITRE ATT&amp;CK Mappings'!$H583))),ISNUMBER(SEARCH(IF(D$3&lt;&gt;"",D$3,"NA"),'MITRE ATT&amp;CK Mappings'!$I583))),ISNUMBER(SEARCH(IF(D$3&lt;&gt;"",D$3,"NA"),'MITRE ATT&amp;CK Mappings'!$J583))), 'MITRE ATT&amp;CK Mappings'!$B583,"")</f>
        <v/>
      </c>
      <c r="E587" s="27" t="str">
        <f>IF(OR(OR(OR(OR(OR(ISNUMBER(SEARCH(IF(E$1&lt;&gt;"",E$1,"NA"),'MITRE ATT&amp;CK Mappings'!$E583)),ISNUMBER(SEARCH(IF(E$1&lt;&gt;"",E$1,"NA"),'MITRE ATT&amp;CK Mappings'!$F583))),ISNUMBER(SEARCH(IF(E$2&lt;&gt;"",E$2,"NA"),'MITRE ATT&amp;CK Mappings'!$G583))),ISNUMBER(SEARCH(IF(E$2&lt;&gt;"",E$2,"NA"),'MITRE ATT&amp;CK Mappings'!$H583))),ISNUMBER(SEARCH(IF(E$3&lt;&gt;"",E$3,"NA"),'MITRE ATT&amp;CK Mappings'!$I583))),ISNUMBER(SEARCH(IF(E$3&lt;&gt;"",E$3,"NA"),'MITRE ATT&amp;CK Mappings'!$J583))), 'MITRE ATT&amp;CK Mappings'!$B583,"")</f>
        <v/>
      </c>
      <c r="F587" s="27" t="str">
        <f>IF(OR(OR(OR(OR(OR(ISNUMBER(SEARCH(IF(F$1&lt;&gt;"",F$1,"NA"),'MITRE ATT&amp;CK Mappings'!$E583)),ISNUMBER(SEARCH(IF(F$1&lt;&gt;"",F$1,"NA"),'MITRE ATT&amp;CK Mappings'!$F583))),ISNUMBER(SEARCH(IF(F$2&lt;&gt;"",F$2,"NA"),'MITRE ATT&amp;CK Mappings'!$G583))),ISNUMBER(SEARCH(IF(F$2&lt;&gt;"",F$2,"NA"),'MITRE ATT&amp;CK Mappings'!$H583))),ISNUMBER(SEARCH(IF(F$3&lt;&gt;"",F$3,"NA"),'MITRE ATT&amp;CK Mappings'!$I583))),ISNUMBER(SEARCH(IF(F$3&lt;&gt;"",F$3,"NA"),'MITRE ATT&amp;CK Mappings'!$J583))), 'MITRE ATT&amp;CK Mappings'!$B583,"")</f>
        <v/>
      </c>
      <c r="G587" s="27" t="str">
        <f>IF(OR(OR(OR(OR(OR(ISNUMBER(SEARCH(IF(G$1&lt;&gt;"",G$1,"NA"),'MITRE ATT&amp;CK Mappings'!$E583)),ISNUMBER(SEARCH(IF(G$1&lt;&gt;"",G$1,"NA"),'MITRE ATT&amp;CK Mappings'!$F583))),ISNUMBER(SEARCH(IF(G$2&lt;&gt;"",G$2,"NA"),'MITRE ATT&amp;CK Mappings'!$G583))),ISNUMBER(SEARCH(IF(G$2&lt;&gt;"",G$2,"NA"),'MITRE ATT&amp;CK Mappings'!$H583))),ISNUMBER(SEARCH(IF(G$3&lt;&gt;"",G$3,"NA"),'MITRE ATT&amp;CK Mappings'!$I583))),ISNUMBER(SEARCH(IF(G$3&lt;&gt;"",G$3,"NA"),'MITRE ATT&amp;CK Mappings'!$J583))), 'MITRE ATT&amp;CK Mappings'!$B583,"")</f>
        <v/>
      </c>
      <c r="H587" s="27" t="str">
        <f>IF(OR(OR(OR(OR(OR(ISNUMBER(SEARCH(IF(H$1&lt;&gt;"",H$1,"NA"),'MITRE ATT&amp;CK Mappings'!$E583)),ISNUMBER(SEARCH(IF(H$1&lt;&gt;"",H$1,"NA"),'MITRE ATT&amp;CK Mappings'!$F583))),ISNUMBER(SEARCH(IF(H$2&lt;&gt;"",H$2,"NA"),'MITRE ATT&amp;CK Mappings'!$G583))),ISNUMBER(SEARCH(IF(H$2&lt;&gt;"",H$2,"NA"),'MITRE ATT&amp;CK Mappings'!$H583))),ISNUMBER(SEARCH(IF(H$3&lt;&gt;"",H$3,"NA"),'MITRE ATT&amp;CK Mappings'!$I583))),ISNUMBER(SEARCH(IF(H$3&lt;&gt;"",H$3,"NA"),'MITRE ATT&amp;CK Mappings'!$J583))), 'MITRE ATT&amp;CK Mappings'!$B583,"")</f>
        <v/>
      </c>
      <c r="I587" s="27" t="str">
        <f>IF(OR(OR(OR(OR(OR(ISNUMBER(SEARCH(IF(I$1&lt;&gt;"",I$1,"NA"),'MITRE ATT&amp;CK Mappings'!$E583)),ISNUMBER(SEARCH(IF(I$1&lt;&gt;"",I$1,"NA"),'MITRE ATT&amp;CK Mappings'!$F583))),ISNUMBER(SEARCH(IF(I$2&lt;&gt;"",I$2,"NA"),'MITRE ATT&amp;CK Mappings'!$G583))),ISNUMBER(SEARCH(IF(I$2&lt;&gt;"",I$2,"NA"),'MITRE ATT&amp;CK Mappings'!$H583))),ISNUMBER(SEARCH(IF(I$3&lt;&gt;"",I$3,"NA"),'MITRE ATT&amp;CK Mappings'!$I583))),ISNUMBER(SEARCH(IF(I$3&lt;&gt;"",I$3,"NA"),'MITRE ATT&amp;CK Mappings'!$J583))), 'MITRE ATT&amp;CK Mappings'!$B583,"")</f>
        <v/>
      </c>
      <c r="J587" s="27" t="str">
        <f>IF(OR(OR(OR(OR(OR(ISNUMBER(SEARCH(IF(J$1&lt;&gt;"",J$1,"NA"),'MITRE ATT&amp;CK Mappings'!$E583)),ISNUMBER(SEARCH(IF(J$1&lt;&gt;"",J$1,"NA"),'MITRE ATT&amp;CK Mappings'!$F583))),ISNUMBER(SEARCH(IF(J$2&lt;&gt;"",J$2,"NA"),'MITRE ATT&amp;CK Mappings'!$G583))),ISNUMBER(SEARCH(IF(J$2&lt;&gt;"",J$2,"NA"),'MITRE ATT&amp;CK Mappings'!$H583))),ISNUMBER(SEARCH(IF(J$3&lt;&gt;"",J$3,"NA"),'MITRE ATT&amp;CK Mappings'!$I583))),ISNUMBER(SEARCH(IF(J$3&lt;&gt;"",J$3,"NA"),'MITRE ATT&amp;CK Mappings'!$J583))), 'MITRE ATT&amp;CK Mappings'!$B583,"")</f>
        <v/>
      </c>
      <c r="K587" s="27" t="str">
        <f>IF(OR(OR(OR(OR(OR(ISNUMBER(SEARCH(IF(K$1&lt;&gt;"",K$1,"NA"),'MITRE ATT&amp;CK Mappings'!$E583)),ISNUMBER(SEARCH(IF(K$1&lt;&gt;"",K$1,"NA"),'MITRE ATT&amp;CK Mappings'!$F583))),ISNUMBER(SEARCH(IF(K$2&lt;&gt;"",K$2,"NA"),'MITRE ATT&amp;CK Mappings'!$G583))),ISNUMBER(SEARCH(IF(K$2&lt;&gt;"",K$2,"NA"),'MITRE ATT&amp;CK Mappings'!$H583))),ISNUMBER(SEARCH(IF(K$3&lt;&gt;"",K$3,"NA"),'MITRE ATT&amp;CK Mappings'!$I583))),ISNUMBER(SEARCH(IF(K$3&lt;&gt;"",K$3,"NA"),'MITRE ATT&amp;CK Mappings'!$J583))), 'MITRE ATT&amp;CK Mappings'!$B583,"")</f>
        <v/>
      </c>
      <c r="L587" s="27" t="str">
        <f>IF('MITRE ATT&amp;CK Mappings'!D583 &lt;&gt;"",'MITRE ATT&amp;CK Mappings'!D583,"" )</f>
        <v/>
      </c>
    </row>
    <row r="588" spans="1:12" x14ac:dyDescent="0.25">
      <c r="A588" s="26" t="str">
        <f>IF(COUNTIF(B588:K588,"="&amp;'MITRE ATT&amp;CK Mappings'!B584)&gt;0,'MITRE ATT&amp;CK Mappings'!B584,"")</f>
        <v/>
      </c>
      <c r="B588" s="26" t="str">
        <f>IF(OR(OR(OR(OR(OR(ISNUMBER(SEARCH(IF(B$1&lt;&gt;"",B$1,"NA"),'MITRE ATT&amp;CK Mappings'!$E584)),ISNUMBER(SEARCH(IF(B$1&lt;&gt;"",B$1,"NA"),'MITRE ATT&amp;CK Mappings'!$F584))),ISNUMBER(SEARCH(IF(B$2&lt;&gt;"",B$2,"NA"),'MITRE ATT&amp;CK Mappings'!$G584))),ISNUMBER(SEARCH(IF(B$2&lt;&gt;"",B$2,"NA"),'MITRE ATT&amp;CK Mappings'!$H584))),ISNUMBER(SEARCH(IF(B$3&lt;&gt;"",B$3,"NA"),'MITRE ATT&amp;CK Mappings'!$I584))),ISNUMBER(SEARCH(IF(B$3&lt;&gt;"",B$3,"NA"),'MITRE ATT&amp;CK Mappings'!$J584))), 'MITRE ATT&amp;CK Mappings'!$B584,"")</f>
        <v/>
      </c>
      <c r="C588" s="26" t="str">
        <f>IF(OR(OR(OR(OR(OR(ISNUMBER(SEARCH(IF(C$1&lt;&gt;"",C$1,"NA"),'MITRE ATT&amp;CK Mappings'!$E584)),ISNUMBER(SEARCH(IF(C$1&lt;&gt;"",C$1,"NA"),'MITRE ATT&amp;CK Mappings'!$F584))),ISNUMBER(SEARCH(IF(C$2&lt;&gt;"",C$2,"NA"),'MITRE ATT&amp;CK Mappings'!$G584))),ISNUMBER(SEARCH(IF(C$2&lt;&gt;"",C$2,"NA"),'MITRE ATT&amp;CK Mappings'!$H584))),ISNUMBER(SEARCH(IF(C$3&lt;&gt;"",C$3,"NA"),'MITRE ATT&amp;CK Mappings'!$I584))),ISNUMBER(SEARCH(IF(C$3&lt;&gt;"",C$3,"NA"),'MITRE ATT&amp;CK Mappings'!$J584))), 'MITRE ATT&amp;CK Mappings'!$B584,"")</f>
        <v/>
      </c>
      <c r="D588" s="26" t="str">
        <f>IF(OR(OR(OR(OR(OR(ISNUMBER(SEARCH(IF(D$1&lt;&gt;"",D$1,"NA"),'MITRE ATT&amp;CK Mappings'!$E584)),ISNUMBER(SEARCH(IF(D$1&lt;&gt;"",D$1,"NA"),'MITRE ATT&amp;CK Mappings'!$F584))),ISNUMBER(SEARCH(IF(D$2&lt;&gt;"",D$2,"NA"),'MITRE ATT&amp;CK Mappings'!$G584))),ISNUMBER(SEARCH(IF(D$2&lt;&gt;"",D$2,"NA"),'MITRE ATT&amp;CK Mappings'!$H584))),ISNUMBER(SEARCH(IF(D$3&lt;&gt;"",D$3,"NA"),'MITRE ATT&amp;CK Mappings'!$I584))),ISNUMBER(SEARCH(IF(D$3&lt;&gt;"",D$3,"NA"),'MITRE ATT&amp;CK Mappings'!$J584))), 'MITRE ATT&amp;CK Mappings'!$B584,"")</f>
        <v/>
      </c>
      <c r="E588" s="26" t="str">
        <f>IF(OR(OR(OR(OR(OR(ISNUMBER(SEARCH(IF(E$1&lt;&gt;"",E$1,"NA"),'MITRE ATT&amp;CK Mappings'!$E584)),ISNUMBER(SEARCH(IF(E$1&lt;&gt;"",E$1,"NA"),'MITRE ATT&amp;CK Mappings'!$F584))),ISNUMBER(SEARCH(IF(E$2&lt;&gt;"",E$2,"NA"),'MITRE ATT&amp;CK Mappings'!$G584))),ISNUMBER(SEARCH(IF(E$2&lt;&gt;"",E$2,"NA"),'MITRE ATT&amp;CK Mappings'!$H584))),ISNUMBER(SEARCH(IF(E$3&lt;&gt;"",E$3,"NA"),'MITRE ATT&amp;CK Mappings'!$I584))),ISNUMBER(SEARCH(IF(E$3&lt;&gt;"",E$3,"NA"),'MITRE ATT&amp;CK Mappings'!$J584))), 'MITRE ATT&amp;CK Mappings'!$B584,"")</f>
        <v/>
      </c>
      <c r="F588" s="26" t="str">
        <f>IF(OR(OR(OR(OR(OR(ISNUMBER(SEARCH(IF(F$1&lt;&gt;"",F$1,"NA"),'MITRE ATT&amp;CK Mappings'!$E584)),ISNUMBER(SEARCH(IF(F$1&lt;&gt;"",F$1,"NA"),'MITRE ATT&amp;CK Mappings'!$F584))),ISNUMBER(SEARCH(IF(F$2&lt;&gt;"",F$2,"NA"),'MITRE ATT&amp;CK Mappings'!$G584))),ISNUMBER(SEARCH(IF(F$2&lt;&gt;"",F$2,"NA"),'MITRE ATT&amp;CK Mappings'!$H584))),ISNUMBER(SEARCH(IF(F$3&lt;&gt;"",F$3,"NA"),'MITRE ATT&amp;CK Mappings'!$I584))),ISNUMBER(SEARCH(IF(F$3&lt;&gt;"",F$3,"NA"),'MITRE ATT&amp;CK Mappings'!$J584))), 'MITRE ATT&amp;CK Mappings'!$B584,"")</f>
        <v/>
      </c>
      <c r="G588" s="26" t="str">
        <f>IF(OR(OR(OR(OR(OR(ISNUMBER(SEARCH(IF(G$1&lt;&gt;"",G$1,"NA"),'MITRE ATT&amp;CK Mappings'!$E584)),ISNUMBER(SEARCH(IF(G$1&lt;&gt;"",G$1,"NA"),'MITRE ATT&amp;CK Mappings'!$F584))),ISNUMBER(SEARCH(IF(G$2&lt;&gt;"",G$2,"NA"),'MITRE ATT&amp;CK Mappings'!$G584))),ISNUMBER(SEARCH(IF(G$2&lt;&gt;"",G$2,"NA"),'MITRE ATT&amp;CK Mappings'!$H584))),ISNUMBER(SEARCH(IF(G$3&lt;&gt;"",G$3,"NA"),'MITRE ATT&amp;CK Mappings'!$I584))),ISNUMBER(SEARCH(IF(G$3&lt;&gt;"",G$3,"NA"),'MITRE ATT&amp;CK Mappings'!$J584))), 'MITRE ATT&amp;CK Mappings'!$B584,"")</f>
        <v/>
      </c>
      <c r="H588" s="26" t="str">
        <f>IF(OR(OR(OR(OR(OR(ISNUMBER(SEARCH(IF(H$1&lt;&gt;"",H$1,"NA"),'MITRE ATT&amp;CK Mappings'!$E584)),ISNUMBER(SEARCH(IF(H$1&lt;&gt;"",H$1,"NA"),'MITRE ATT&amp;CK Mappings'!$F584))),ISNUMBER(SEARCH(IF(H$2&lt;&gt;"",H$2,"NA"),'MITRE ATT&amp;CK Mappings'!$G584))),ISNUMBER(SEARCH(IF(H$2&lt;&gt;"",H$2,"NA"),'MITRE ATT&amp;CK Mappings'!$H584))),ISNUMBER(SEARCH(IF(H$3&lt;&gt;"",H$3,"NA"),'MITRE ATT&amp;CK Mappings'!$I584))),ISNUMBER(SEARCH(IF(H$3&lt;&gt;"",H$3,"NA"),'MITRE ATT&amp;CK Mappings'!$J584))), 'MITRE ATT&amp;CK Mappings'!$B584,"")</f>
        <v/>
      </c>
      <c r="I588" s="26" t="str">
        <f>IF(OR(OR(OR(OR(OR(ISNUMBER(SEARCH(IF(I$1&lt;&gt;"",I$1,"NA"),'MITRE ATT&amp;CK Mappings'!$E584)),ISNUMBER(SEARCH(IF(I$1&lt;&gt;"",I$1,"NA"),'MITRE ATT&amp;CK Mappings'!$F584))),ISNUMBER(SEARCH(IF(I$2&lt;&gt;"",I$2,"NA"),'MITRE ATT&amp;CK Mappings'!$G584))),ISNUMBER(SEARCH(IF(I$2&lt;&gt;"",I$2,"NA"),'MITRE ATT&amp;CK Mappings'!$H584))),ISNUMBER(SEARCH(IF(I$3&lt;&gt;"",I$3,"NA"),'MITRE ATT&amp;CK Mappings'!$I584))),ISNUMBER(SEARCH(IF(I$3&lt;&gt;"",I$3,"NA"),'MITRE ATT&amp;CK Mappings'!$J584))), 'MITRE ATT&amp;CK Mappings'!$B584,"")</f>
        <v/>
      </c>
      <c r="J588" s="26" t="str">
        <f>IF(OR(OR(OR(OR(OR(ISNUMBER(SEARCH(IF(J$1&lt;&gt;"",J$1,"NA"),'MITRE ATT&amp;CK Mappings'!$E584)),ISNUMBER(SEARCH(IF(J$1&lt;&gt;"",J$1,"NA"),'MITRE ATT&amp;CK Mappings'!$F584))),ISNUMBER(SEARCH(IF(J$2&lt;&gt;"",J$2,"NA"),'MITRE ATT&amp;CK Mappings'!$G584))),ISNUMBER(SEARCH(IF(J$2&lt;&gt;"",J$2,"NA"),'MITRE ATT&amp;CK Mappings'!$H584))),ISNUMBER(SEARCH(IF(J$3&lt;&gt;"",J$3,"NA"),'MITRE ATT&amp;CK Mappings'!$I584))),ISNUMBER(SEARCH(IF(J$3&lt;&gt;"",J$3,"NA"),'MITRE ATT&amp;CK Mappings'!$J584))), 'MITRE ATT&amp;CK Mappings'!$B584,"")</f>
        <v/>
      </c>
      <c r="K588" s="26" t="str">
        <f>IF(OR(OR(OR(OR(OR(ISNUMBER(SEARCH(IF(K$1&lt;&gt;"",K$1,"NA"),'MITRE ATT&amp;CK Mappings'!$E584)),ISNUMBER(SEARCH(IF(K$1&lt;&gt;"",K$1,"NA"),'MITRE ATT&amp;CK Mappings'!$F584))),ISNUMBER(SEARCH(IF(K$2&lt;&gt;"",K$2,"NA"),'MITRE ATT&amp;CK Mappings'!$G584))),ISNUMBER(SEARCH(IF(K$2&lt;&gt;"",K$2,"NA"),'MITRE ATT&amp;CK Mappings'!$H584))),ISNUMBER(SEARCH(IF(K$3&lt;&gt;"",K$3,"NA"),'MITRE ATT&amp;CK Mappings'!$I584))),ISNUMBER(SEARCH(IF(K$3&lt;&gt;"",K$3,"NA"),'MITRE ATT&amp;CK Mappings'!$J584))), 'MITRE ATT&amp;CK Mappings'!$B584,"")</f>
        <v/>
      </c>
      <c r="L588" s="26" t="str">
        <f>IF('MITRE ATT&amp;CK Mappings'!D584 &lt;&gt;"",'MITRE ATT&amp;CK Mappings'!D584,"" )</f>
        <v/>
      </c>
    </row>
    <row r="589" spans="1:12" x14ac:dyDescent="0.25">
      <c r="A589" s="27" t="str">
        <f>IF(COUNTIF(B589:K589,"="&amp;'MITRE ATT&amp;CK Mappings'!B585)&gt;0,'MITRE ATT&amp;CK Mappings'!B585,"")</f>
        <v/>
      </c>
      <c r="B589" s="27" t="str">
        <f>IF(OR(OR(OR(OR(OR(ISNUMBER(SEARCH(IF(B$1&lt;&gt;"",B$1,"NA"),'MITRE ATT&amp;CK Mappings'!$E585)),ISNUMBER(SEARCH(IF(B$1&lt;&gt;"",B$1,"NA"),'MITRE ATT&amp;CK Mappings'!$F585))),ISNUMBER(SEARCH(IF(B$2&lt;&gt;"",B$2,"NA"),'MITRE ATT&amp;CK Mappings'!$G585))),ISNUMBER(SEARCH(IF(B$2&lt;&gt;"",B$2,"NA"),'MITRE ATT&amp;CK Mappings'!$H585))),ISNUMBER(SEARCH(IF(B$3&lt;&gt;"",B$3,"NA"),'MITRE ATT&amp;CK Mappings'!$I585))),ISNUMBER(SEARCH(IF(B$3&lt;&gt;"",B$3,"NA"),'MITRE ATT&amp;CK Mappings'!$J585))), 'MITRE ATT&amp;CK Mappings'!$B585,"")</f>
        <v/>
      </c>
      <c r="C589" s="27" t="str">
        <f>IF(OR(OR(OR(OR(OR(ISNUMBER(SEARCH(IF(C$1&lt;&gt;"",C$1,"NA"),'MITRE ATT&amp;CK Mappings'!$E585)),ISNUMBER(SEARCH(IF(C$1&lt;&gt;"",C$1,"NA"),'MITRE ATT&amp;CK Mappings'!$F585))),ISNUMBER(SEARCH(IF(C$2&lt;&gt;"",C$2,"NA"),'MITRE ATT&amp;CK Mappings'!$G585))),ISNUMBER(SEARCH(IF(C$2&lt;&gt;"",C$2,"NA"),'MITRE ATT&amp;CK Mappings'!$H585))),ISNUMBER(SEARCH(IF(C$3&lt;&gt;"",C$3,"NA"),'MITRE ATT&amp;CK Mappings'!$I585))),ISNUMBER(SEARCH(IF(C$3&lt;&gt;"",C$3,"NA"),'MITRE ATT&amp;CK Mappings'!$J585))), 'MITRE ATT&amp;CK Mappings'!$B585,"")</f>
        <v/>
      </c>
      <c r="D589" s="27" t="str">
        <f>IF(OR(OR(OR(OR(OR(ISNUMBER(SEARCH(IF(D$1&lt;&gt;"",D$1,"NA"),'MITRE ATT&amp;CK Mappings'!$E585)),ISNUMBER(SEARCH(IF(D$1&lt;&gt;"",D$1,"NA"),'MITRE ATT&amp;CK Mappings'!$F585))),ISNUMBER(SEARCH(IF(D$2&lt;&gt;"",D$2,"NA"),'MITRE ATT&amp;CK Mappings'!$G585))),ISNUMBER(SEARCH(IF(D$2&lt;&gt;"",D$2,"NA"),'MITRE ATT&amp;CK Mappings'!$H585))),ISNUMBER(SEARCH(IF(D$3&lt;&gt;"",D$3,"NA"),'MITRE ATT&amp;CK Mappings'!$I585))),ISNUMBER(SEARCH(IF(D$3&lt;&gt;"",D$3,"NA"),'MITRE ATT&amp;CK Mappings'!$J585))), 'MITRE ATT&amp;CK Mappings'!$B585,"")</f>
        <v/>
      </c>
      <c r="E589" s="27" t="str">
        <f>IF(OR(OR(OR(OR(OR(ISNUMBER(SEARCH(IF(E$1&lt;&gt;"",E$1,"NA"),'MITRE ATT&amp;CK Mappings'!$E585)),ISNUMBER(SEARCH(IF(E$1&lt;&gt;"",E$1,"NA"),'MITRE ATT&amp;CK Mappings'!$F585))),ISNUMBER(SEARCH(IF(E$2&lt;&gt;"",E$2,"NA"),'MITRE ATT&amp;CK Mappings'!$G585))),ISNUMBER(SEARCH(IF(E$2&lt;&gt;"",E$2,"NA"),'MITRE ATT&amp;CK Mappings'!$H585))),ISNUMBER(SEARCH(IF(E$3&lt;&gt;"",E$3,"NA"),'MITRE ATT&amp;CK Mappings'!$I585))),ISNUMBER(SEARCH(IF(E$3&lt;&gt;"",E$3,"NA"),'MITRE ATT&amp;CK Mappings'!$J585))), 'MITRE ATT&amp;CK Mappings'!$B585,"")</f>
        <v/>
      </c>
      <c r="F589" s="27" t="str">
        <f>IF(OR(OR(OR(OR(OR(ISNUMBER(SEARCH(IF(F$1&lt;&gt;"",F$1,"NA"),'MITRE ATT&amp;CK Mappings'!$E585)),ISNUMBER(SEARCH(IF(F$1&lt;&gt;"",F$1,"NA"),'MITRE ATT&amp;CK Mappings'!$F585))),ISNUMBER(SEARCH(IF(F$2&lt;&gt;"",F$2,"NA"),'MITRE ATT&amp;CK Mappings'!$G585))),ISNUMBER(SEARCH(IF(F$2&lt;&gt;"",F$2,"NA"),'MITRE ATT&amp;CK Mappings'!$H585))),ISNUMBER(SEARCH(IF(F$3&lt;&gt;"",F$3,"NA"),'MITRE ATT&amp;CK Mappings'!$I585))),ISNUMBER(SEARCH(IF(F$3&lt;&gt;"",F$3,"NA"),'MITRE ATT&amp;CK Mappings'!$J585))), 'MITRE ATT&amp;CK Mappings'!$B585,"")</f>
        <v/>
      </c>
      <c r="G589" s="27" t="str">
        <f>IF(OR(OR(OR(OR(OR(ISNUMBER(SEARCH(IF(G$1&lt;&gt;"",G$1,"NA"),'MITRE ATT&amp;CK Mappings'!$E585)),ISNUMBER(SEARCH(IF(G$1&lt;&gt;"",G$1,"NA"),'MITRE ATT&amp;CK Mappings'!$F585))),ISNUMBER(SEARCH(IF(G$2&lt;&gt;"",G$2,"NA"),'MITRE ATT&amp;CK Mappings'!$G585))),ISNUMBER(SEARCH(IF(G$2&lt;&gt;"",G$2,"NA"),'MITRE ATT&amp;CK Mappings'!$H585))),ISNUMBER(SEARCH(IF(G$3&lt;&gt;"",G$3,"NA"),'MITRE ATT&amp;CK Mappings'!$I585))),ISNUMBER(SEARCH(IF(G$3&lt;&gt;"",G$3,"NA"),'MITRE ATT&amp;CK Mappings'!$J585))), 'MITRE ATT&amp;CK Mappings'!$B585,"")</f>
        <v/>
      </c>
      <c r="H589" s="27" t="str">
        <f>IF(OR(OR(OR(OR(OR(ISNUMBER(SEARCH(IF(H$1&lt;&gt;"",H$1,"NA"),'MITRE ATT&amp;CK Mappings'!$E585)),ISNUMBER(SEARCH(IF(H$1&lt;&gt;"",H$1,"NA"),'MITRE ATT&amp;CK Mappings'!$F585))),ISNUMBER(SEARCH(IF(H$2&lt;&gt;"",H$2,"NA"),'MITRE ATT&amp;CK Mappings'!$G585))),ISNUMBER(SEARCH(IF(H$2&lt;&gt;"",H$2,"NA"),'MITRE ATT&amp;CK Mappings'!$H585))),ISNUMBER(SEARCH(IF(H$3&lt;&gt;"",H$3,"NA"),'MITRE ATT&amp;CK Mappings'!$I585))),ISNUMBER(SEARCH(IF(H$3&lt;&gt;"",H$3,"NA"),'MITRE ATT&amp;CK Mappings'!$J585))), 'MITRE ATT&amp;CK Mappings'!$B585,"")</f>
        <v/>
      </c>
      <c r="I589" s="27" t="str">
        <f>IF(OR(OR(OR(OR(OR(ISNUMBER(SEARCH(IF(I$1&lt;&gt;"",I$1,"NA"),'MITRE ATT&amp;CK Mappings'!$E585)),ISNUMBER(SEARCH(IF(I$1&lt;&gt;"",I$1,"NA"),'MITRE ATT&amp;CK Mappings'!$F585))),ISNUMBER(SEARCH(IF(I$2&lt;&gt;"",I$2,"NA"),'MITRE ATT&amp;CK Mappings'!$G585))),ISNUMBER(SEARCH(IF(I$2&lt;&gt;"",I$2,"NA"),'MITRE ATT&amp;CK Mappings'!$H585))),ISNUMBER(SEARCH(IF(I$3&lt;&gt;"",I$3,"NA"),'MITRE ATT&amp;CK Mappings'!$I585))),ISNUMBER(SEARCH(IF(I$3&lt;&gt;"",I$3,"NA"),'MITRE ATT&amp;CK Mappings'!$J585))), 'MITRE ATT&amp;CK Mappings'!$B585,"")</f>
        <v/>
      </c>
      <c r="J589" s="27" t="str">
        <f>IF(OR(OR(OR(OR(OR(ISNUMBER(SEARCH(IF(J$1&lt;&gt;"",J$1,"NA"),'MITRE ATT&amp;CK Mappings'!$E585)),ISNUMBER(SEARCH(IF(J$1&lt;&gt;"",J$1,"NA"),'MITRE ATT&amp;CK Mappings'!$F585))),ISNUMBER(SEARCH(IF(J$2&lt;&gt;"",J$2,"NA"),'MITRE ATT&amp;CK Mappings'!$G585))),ISNUMBER(SEARCH(IF(J$2&lt;&gt;"",J$2,"NA"),'MITRE ATT&amp;CK Mappings'!$H585))),ISNUMBER(SEARCH(IF(J$3&lt;&gt;"",J$3,"NA"),'MITRE ATT&amp;CK Mappings'!$I585))),ISNUMBER(SEARCH(IF(J$3&lt;&gt;"",J$3,"NA"),'MITRE ATT&amp;CK Mappings'!$J585))), 'MITRE ATT&amp;CK Mappings'!$B585,"")</f>
        <v/>
      </c>
      <c r="K589" s="27" t="str">
        <f>IF(OR(OR(OR(OR(OR(ISNUMBER(SEARCH(IF(K$1&lt;&gt;"",K$1,"NA"),'MITRE ATT&amp;CK Mappings'!$E585)),ISNUMBER(SEARCH(IF(K$1&lt;&gt;"",K$1,"NA"),'MITRE ATT&amp;CK Mappings'!$F585))),ISNUMBER(SEARCH(IF(K$2&lt;&gt;"",K$2,"NA"),'MITRE ATT&amp;CK Mappings'!$G585))),ISNUMBER(SEARCH(IF(K$2&lt;&gt;"",K$2,"NA"),'MITRE ATT&amp;CK Mappings'!$H585))),ISNUMBER(SEARCH(IF(K$3&lt;&gt;"",K$3,"NA"),'MITRE ATT&amp;CK Mappings'!$I585))),ISNUMBER(SEARCH(IF(K$3&lt;&gt;"",K$3,"NA"),'MITRE ATT&amp;CK Mappings'!$J585))), 'MITRE ATT&amp;CK Mappings'!$B585,"")</f>
        <v/>
      </c>
      <c r="L589" s="27" t="str">
        <f>IF('MITRE ATT&amp;CK Mappings'!D585 &lt;&gt;"",'MITRE ATT&amp;CK Mappings'!D585,"" )</f>
        <v/>
      </c>
    </row>
    <row r="590" spans="1:12" x14ac:dyDescent="0.25">
      <c r="A590" s="26" t="str">
        <f>IF(COUNTIF(B590:K590,"="&amp;'MITRE ATT&amp;CK Mappings'!B586)&gt;0,'MITRE ATT&amp;CK Mappings'!B586,"")</f>
        <v/>
      </c>
      <c r="B590" s="26" t="str">
        <f>IF(OR(OR(OR(OR(OR(ISNUMBER(SEARCH(IF(B$1&lt;&gt;"",B$1,"NA"),'MITRE ATT&amp;CK Mappings'!$E586)),ISNUMBER(SEARCH(IF(B$1&lt;&gt;"",B$1,"NA"),'MITRE ATT&amp;CK Mappings'!$F586))),ISNUMBER(SEARCH(IF(B$2&lt;&gt;"",B$2,"NA"),'MITRE ATT&amp;CK Mappings'!$G586))),ISNUMBER(SEARCH(IF(B$2&lt;&gt;"",B$2,"NA"),'MITRE ATT&amp;CK Mappings'!$H586))),ISNUMBER(SEARCH(IF(B$3&lt;&gt;"",B$3,"NA"),'MITRE ATT&amp;CK Mappings'!$I586))),ISNUMBER(SEARCH(IF(B$3&lt;&gt;"",B$3,"NA"),'MITRE ATT&amp;CK Mappings'!$J586))), 'MITRE ATT&amp;CK Mappings'!$B586,"")</f>
        <v/>
      </c>
      <c r="C590" s="26" t="str">
        <f>IF(OR(OR(OR(OR(OR(ISNUMBER(SEARCH(IF(C$1&lt;&gt;"",C$1,"NA"),'MITRE ATT&amp;CK Mappings'!$E586)),ISNUMBER(SEARCH(IF(C$1&lt;&gt;"",C$1,"NA"),'MITRE ATT&amp;CK Mappings'!$F586))),ISNUMBER(SEARCH(IF(C$2&lt;&gt;"",C$2,"NA"),'MITRE ATT&amp;CK Mappings'!$G586))),ISNUMBER(SEARCH(IF(C$2&lt;&gt;"",C$2,"NA"),'MITRE ATT&amp;CK Mappings'!$H586))),ISNUMBER(SEARCH(IF(C$3&lt;&gt;"",C$3,"NA"),'MITRE ATT&amp;CK Mappings'!$I586))),ISNUMBER(SEARCH(IF(C$3&lt;&gt;"",C$3,"NA"),'MITRE ATT&amp;CK Mappings'!$J586))), 'MITRE ATT&amp;CK Mappings'!$B586,"")</f>
        <v/>
      </c>
      <c r="D590" s="26" t="str">
        <f>IF(OR(OR(OR(OR(OR(ISNUMBER(SEARCH(IF(D$1&lt;&gt;"",D$1,"NA"),'MITRE ATT&amp;CK Mappings'!$E586)),ISNUMBER(SEARCH(IF(D$1&lt;&gt;"",D$1,"NA"),'MITRE ATT&amp;CK Mappings'!$F586))),ISNUMBER(SEARCH(IF(D$2&lt;&gt;"",D$2,"NA"),'MITRE ATT&amp;CK Mappings'!$G586))),ISNUMBER(SEARCH(IF(D$2&lt;&gt;"",D$2,"NA"),'MITRE ATT&amp;CK Mappings'!$H586))),ISNUMBER(SEARCH(IF(D$3&lt;&gt;"",D$3,"NA"),'MITRE ATT&amp;CK Mappings'!$I586))),ISNUMBER(SEARCH(IF(D$3&lt;&gt;"",D$3,"NA"),'MITRE ATT&amp;CK Mappings'!$J586))), 'MITRE ATT&amp;CK Mappings'!$B586,"")</f>
        <v/>
      </c>
      <c r="E590" s="26" t="str">
        <f>IF(OR(OR(OR(OR(OR(ISNUMBER(SEARCH(IF(E$1&lt;&gt;"",E$1,"NA"),'MITRE ATT&amp;CK Mappings'!$E586)),ISNUMBER(SEARCH(IF(E$1&lt;&gt;"",E$1,"NA"),'MITRE ATT&amp;CK Mappings'!$F586))),ISNUMBER(SEARCH(IF(E$2&lt;&gt;"",E$2,"NA"),'MITRE ATT&amp;CK Mappings'!$G586))),ISNUMBER(SEARCH(IF(E$2&lt;&gt;"",E$2,"NA"),'MITRE ATT&amp;CK Mappings'!$H586))),ISNUMBER(SEARCH(IF(E$3&lt;&gt;"",E$3,"NA"),'MITRE ATT&amp;CK Mappings'!$I586))),ISNUMBER(SEARCH(IF(E$3&lt;&gt;"",E$3,"NA"),'MITRE ATT&amp;CK Mappings'!$J586))), 'MITRE ATT&amp;CK Mappings'!$B586,"")</f>
        <v/>
      </c>
      <c r="F590" s="26" t="str">
        <f>IF(OR(OR(OR(OR(OR(ISNUMBER(SEARCH(IF(F$1&lt;&gt;"",F$1,"NA"),'MITRE ATT&amp;CK Mappings'!$E586)),ISNUMBER(SEARCH(IF(F$1&lt;&gt;"",F$1,"NA"),'MITRE ATT&amp;CK Mappings'!$F586))),ISNUMBER(SEARCH(IF(F$2&lt;&gt;"",F$2,"NA"),'MITRE ATT&amp;CK Mappings'!$G586))),ISNUMBER(SEARCH(IF(F$2&lt;&gt;"",F$2,"NA"),'MITRE ATT&amp;CK Mappings'!$H586))),ISNUMBER(SEARCH(IF(F$3&lt;&gt;"",F$3,"NA"),'MITRE ATT&amp;CK Mappings'!$I586))),ISNUMBER(SEARCH(IF(F$3&lt;&gt;"",F$3,"NA"),'MITRE ATT&amp;CK Mappings'!$J586))), 'MITRE ATT&amp;CK Mappings'!$B586,"")</f>
        <v/>
      </c>
      <c r="G590" s="26" t="str">
        <f>IF(OR(OR(OR(OR(OR(ISNUMBER(SEARCH(IF(G$1&lt;&gt;"",G$1,"NA"),'MITRE ATT&amp;CK Mappings'!$E586)),ISNUMBER(SEARCH(IF(G$1&lt;&gt;"",G$1,"NA"),'MITRE ATT&amp;CK Mappings'!$F586))),ISNUMBER(SEARCH(IF(G$2&lt;&gt;"",G$2,"NA"),'MITRE ATT&amp;CK Mappings'!$G586))),ISNUMBER(SEARCH(IF(G$2&lt;&gt;"",G$2,"NA"),'MITRE ATT&amp;CK Mappings'!$H586))),ISNUMBER(SEARCH(IF(G$3&lt;&gt;"",G$3,"NA"),'MITRE ATT&amp;CK Mappings'!$I586))),ISNUMBER(SEARCH(IF(G$3&lt;&gt;"",G$3,"NA"),'MITRE ATT&amp;CK Mappings'!$J586))), 'MITRE ATT&amp;CK Mappings'!$B586,"")</f>
        <v/>
      </c>
      <c r="H590" s="26" t="str">
        <f>IF(OR(OR(OR(OR(OR(ISNUMBER(SEARCH(IF(H$1&lt;&gt;"",H$1,"NA"),'MITRE ATT&amp;CK Mappings'!$E586)),ISNUMBER(SEARCH(IF(H$1&lt;&gt;"",H$1,"NA"),'MITRE ATT&amp;CK Mappings'!$F586))),ISNUMBER(SEARCH(IF(H$2&lt;&gt;"",H$2,"NA"),'MITRE ATT&amp;CK Mappings'!$G586))),ISNUMBER(SEARCH(IF(H$2&lt;&gt;"",H$2,"NA"),'MITRE ATT&amp;CK Mappings'!$H586))),ISNUMBER(SEARCH(IF(H$3&lt;&gt;"",H$3,"NA"),'MITRE ATT&amp;CK Mappings'!$I586))),ISNUMBER(SEARCH(IF(H$3&lt;&gt;"",H$3,"NA"),'MITRE ATT&amp;CK Mappings'!$J586))), 'MITRE ATT&amp;CK Mappings'!$B586,"")</f>
        <v/>
      </c>
      <c r="I590" s="26" t="str">
        <f>IF(OR(OR(OR(OR(OR(ISNUMBER(SEARCH(IF(I$1&lt;&gt;"",I$1,"NA"),'MITRE ATT&amp;CK Mappings'!$E586)),ISNUMBER(SEARCH(IF(I$1&lt;&gt;"",I$1,"NA"),'MITRE ATT&amp;CK Mappings'!$F586))),ISNUMBER(SEARCH(IF(I$2&lt;&gt;"",I$2,"NA"),'MITRE ATT&amp;CK Mappings'!$G586))),ISNUMBER(SEARCH(IF(I$2&lt;&gt;"",I$2,"NA"),'MITRE ATT&amp;CK Mappings'!$H586))),ISNUMBER(SEARCH(IF(I$3&lt;&gt;"",I$3,"NA"),'MITRE ATT&amp;CK Mappings'!$I586))),ISNUMBER(SEARCH(IF(I$3&lt;&gt;"",I$3,"NA"),'MITRE ATT&amp;CK Mappings'!$J586))), 'MITRE ATT&amp;CK Mappings'!$B586,"")</f>
        <v/>
      </c>
      <c r="J590" s="26" t="str">
        <f>IF(OR(OR(OR(OR(OR(ISNUMBER(SEARCH(IF(J$1&lt;&gt;"",J$1,"NA"),'MITRE ATT&amp;CK Mappings'!$E586)),ISNUMBER(SEARCH(IF(J$1&lt;&gt;"",J$1,"NA"),'MITRE ATT&amp;CK Mappings'!$F586))),ISNUMBER(SEARCH(IF(J$2&lt;&gt;"",J$2,"NA"),'MITRE ATT&amp;CK Mappings'!$G586))),ISNUMBER(SEARCH(IF(J$2&lt;&gt;"",J$2,"NA"),'MITRE ATT&amp;CK Mappings'!$H586))),ISNUMBER(SEARCH(IF(J$3&lt;&gt;"",J$3,"NA"),'MITRE ATT&amp;CK Mappings'!$I586))),ISNUMBER(SEARCH(IF(J$3&lt;&gt;"",J$3,"NA"),'MITRE ATT&amp;CK Mappings'!$J586))), 'MITRE ATT&amp;CK Mappings'!$B586,"")</f>
        <v/>
      </c>
      <c r="K590" s="26" t="str">
        <f>IF(OR(OR(OR(OR(OR(ISNUMBER(SEARCH(IF(K$1&lt;&gt;"",K$1,"NA"),'MITRE ATT&amp;CK Mappings'!$E586)),ISNUMBER(SEARCH(IF(K$1&lt;&gt;"",K$1,"NA"),'MITRE ATT&amp;CK Mappings'!$F586))),ISNUMBER(SEARCH(IF(K$2&lt;&gt;"",K$2,"NA"),'MITRE ATT&amp;CK Mappings'!$G586))),ISNUMBER(SEARCH(IF(K$2&lt;&gt;"",K$2,"NA"),'MITRE ATT&amp;CK Mappings'!$H586))),ISNUMBER(SEARCH(IF(K$3&lt;&gt;"",K$3,"NA"),'MITRE ATT&amp;CK Mappings'!$I586))),ISNUMBER(SEARCH(IF(K$3&lt;&gt;"",K$3,"NA"),'MITRE ATT&amp;CK Mappings'!$J586))), 'MITRE ATT&amp;CK Mappings'!$B586,"")</f>
        <v/>
      </c>
      <c r="L590" s="26" t="str">
        <f>IF('MITRE ATT&amp;CK Mappings'!D586 &lt;&gt;"",'MITRE ATT&amp;CK Mappings'!D586,"" )</f>
        <v/>
      </c>
    </row>
    <row r="591" spans="1:12" x14ac:dyDescent="0.25">
      <c r="A591" s="27" t="str">
        <f>IF(COUNTIF(B591:K591,"="&amp;'MITRE ATT&amp;CK Mappings'!B587)&gt;0,'MITRE ATT&amp;CK Mappings'!B587,"")</f>
        <v/>
      </c>
      <c r="B591" s="27" t="str">
        <f>IF(OR(OR(OR(OR(OR(ISNUMBER(SEARCH(IF(B$1&lt;&gt;"",B$1,"NA"),'MITRE ATT&amp;CK Mappings'!$E587)),ISNUMBER(SEARCH(IF(B$1&lt;&gt;"",B$1,"NA"),'MITRE ATT&amp;CK Mappings'!$F587))),ISNUMBER(SEARCH(IF(B$2&lt;&gt;"",B$2,"NA"),'MITRE ATT&amp;CK Mappings'!$G587))),ISNUMBER(SEARCH(IF(B$2&lt;&gt;"",B$2,"NA"),'MITRE ATT&amp;CK Mappings'!$H587))),ISNUMBER(SEARCH(IF(B$3&lt;&gt;"",B$3,"NA"),'MITRE ATT&amp;CK Mappings'!$I587))),ISNUMBER(SEARCH(IF(B$3&lt;&gt;"",B$3,"NA"),'MITRE ATT&amp;CK Mappings'!$J587))), 'MITRE ATT&amp;CK Mappings'!$B587,"")</f>
        <v/>
      </c>
      <c r="C591" s="27" t="str">
        <f>IF(OR(OR(OR(OR(OR(ISNUMBER(SEARCH(IF(C$1&lt;&gt;"",C$1,"NA"),'MITRE ATT&amp;CK Mappings'!$E587)),ISNUMBER(SEARCH(IF(C$1&lt;&gt;"",C$1,"NA"),'MITRE ATT&amp;CK Mappings'!$F587))),ISNUMBER(SEARCH(IF(C$2&lt;&gt;"",C$2,"NA"),'MITRE ATT&amp;CK Mappings'!$G587))),ISNUMBER(SEARCH(IF(C$2&lt;&gt;"",C$2,"NA"),'MITRE ATT&amp;CK Mappings'!$H587))),ISNUMBER(SEARCH(IF(C$3&lt;&gt;"",C$3,"NA"),'MITRE ATT&amp;CK Mappings'!$I587))),ISNUMBER(SEARCH(IF(C$3&lt;&gt;"",C$3,"NA"),'MITRE ATT&amp;CK Mappings'!$J587))), 'MITRE ATT&amp;CK Mappings'!$B587,"")</f>
        <v/>
      </c>
      <c r="D591" s="27" t="str">
        <f>IF(OR(OR(OR(OR(OR(ISNUMBER(SEARCH(IF(D$1&lt;&gt;"",D$1,"NA"),'MITRE ATT&amp;CK Mappings'!$E587)),ISNUMBER(SEARCH(IF(D$1&lt;&gt;"",D$1,"NA"),'MITRE ATT&amp;CK Mappings'!$F587))),ISNUMBER(SEARCH(IF(D$2&lt;&gt;"",D$2,"NA"),'MITRE ATT&amp;CK Mappings'!$G587))),ISNUMBER(SEARCH(IF(D$2&lt;&gt;"",D$2,"NA"),'MITRE ATT&amp;CK Mappings'!$H587))),ISNUMBER(SEARCH(IF(D$3&lt;&gt;"",D$3,"NA"),'MITRE ATT&amp;CK Mappings'!$I587))),ISNUMBER(SEARCH(IF(D$3&lt;&gt;"",D$3,"NA"),'MITRE ATT&amp;CK Mappings'!$J587))), 'MITRE ATT&amp;CK Mappings'!$B587,"")</f>
        <v/>
      </c>
      <c r="E591" s="27" t="str">
        <f>IF(OR(OR(OR(OR(OR(ISNUMBER(SEARCH(IF(E$1&lt;&gt;"",E$1,"NA"),'MITRE ATT&amp;CK Mappings'!$E587)),ISNUMBER(SEARCH(IF(E$1&lt;&gt;"",E$1,"NA"),'MITRE ATT&amp;CK Mappings'!$F587))),ISNUMBER(SEARCH(IF(E$2&lt;&gt;"",E$2,"NA"),'MITRE ATT&amp;CK Mappings'!$G587))),ISNUMBER(SEARCH(IF(E$2&lt;&gt;"",E$2,"NA"),'MITRE ATT&amp;CK Mappings'!$H587))),ISNUMBER(SEARCH(IF(E$3&lt;&gt;"",E$3,"NA"),'MITRE ATT&amp;CK Mappings'!$I587))),ISNUMBER(SEARCH(IF(E$3&lt;&gt;"",E$3,"NA"),'MITRE ATT&amp;CK Mappings'!$J587))), 'MITRE ATT&amp;CK Mappings'!$B587,"")</f>
        <v/>
      </c>
      <c r="F591" s="27" t="str">
        <f>IF(OR(OR(OR(OR(OR(ISNUMBER(SEARCH(IF(F$1&lt;&gt;"",F$1,"NA"),'MITRE ATT&amp;CK Mappings'!$E587)),ISNUMBER(SEARCH(IF(F$1&lt;&gt;"",F$1,"NA"),'MITRE ATT&amp;CK Mappings'!$F587))),ISNUMBER(SEARCH(IF(F$2&lt;&gt;"",F$2,"NA"),'MITRE ATT&amp;CK Mappings'!$G587))),ISNUMBER(SEARCH(IF(F$2&lt;&gt;"",F$2,"NA"),'MITRE ATT&amp;CK Mappings'!$H587))),ISNUMBER(SEARCH(IF(F$3&lt;&gt;"",F$3,"NA"),'MITRE ATT&amp;CK Mappings'!$I587))),ISNUMBER(SEARCH(IF(F$3&lt;&gt;"",F$3,"NA"),'MITRE ATT&amp;CK Mappings'!$J587))), 'MITRE ATT&amp;CK Mappings'!$B587,"")</f>
        <v/>
      </c>
      <c r="G591" s="27" t="str">
        <f>IF(OR(OR(OR(OR(OR(ISNUMBER(SEARCH(IF(G$1&lt;&gt;"",G$1,"NA"),'MITRE ATT&amp;CK Mappings'!$E587)),ISNUMBER(SEARCH(IF(G$1&lt;&gt;"",G$1,"NA"),'MITRE ATT&amp;CK Mappings'!$F587))),ISNUMBER(SEARCH(IF(G$2&lt;&gt;"",G$2,"NA"),'MITRE ATT&amp;CK Mappings'!$G587))),ISNUMBER(SEARCH(IF(G$2&lt;&gt;"",G$2,"NA"),'MITRE ATT&amp;CK Mappings'!$H587))),ISNUMBER(SEARCH(IF(G$3&lt;&gt;"",G$3,"NA"),'MITRE ATT&amp;CK Mappings'!$I587))),ISNUMBER(SEARCH(IF(G$3&lt;&gt;"",G$3,"NA"),'MITRE ATT&amp;CK Mappings'!$J587))), 'MITRE ATT&amp;CK Mappings'!$B587,"")</f>
        <v/>
      </c>
      <c r="H591" s="27" t="str">
        <f>IF(OR(OR(OR(OR(OR(ISNUMBER(SEARCH(IF(H$1&lt;&gt;"",H$1,"NA"),'MITRE ATT&amp;CK Mappings'!$E587)),ISNUMBER(SEARCH(IF(H$1&lt;&gt;"",H$1,"NA"),'MITRE ATT&amp;CK Mappings'!$F587))),ISNUMBER(SEARCH(IF(H$2&lt;&gt;"",H$2,"NA"),'MITRE ATT&amp;CK Mappings'!$G587))),ISNUMBER(SEARCH(IF(H$2&lt;&gt;"",H$2,"NA"),'MITRE ATT&amp;CK Mappings'!$H587))),ISNUMBER(SEARCH(IF(H$3&lt;&gt;"",H$3,"NA"),'MITRE ATT&amp;CK Mappings'!$I587))),ISNUMBER(SEARCH(IF(H$3&lt;&gt;"",H$3,"NA"),'MITRE ATT&amp;CK Mappings'!$J587))), 'MITRE ATT&amp;CK Mappings'!$B587,"")</f>
        <v/>
      </c>
      <c r="I591" s="27" t="str">
        <f>IF(OR(OR(OR(OR(OR(ISNUMBER(SEARCH(IF(I$1&lt;&gt;"",I$1,"NA"),'MITRE ATT&amp;CK Mappings'!$E587)),ISNUMBER(SEARCH(IF(I$1&lt;&gt;"",I$1,"NA"),'MITRE ATT&amp;CK Mappings'!$F587))),ISNUMBER(SEARCH(IF(I$2&lt;&gt;"",I$2,"NA"),'MITRE ATT&amp;CK Mappings'!$G587))),ISNUMBER(SEARCH(IF(I$2&lt;&gt;"",I$2,"NA"),'MITRE ATT&amp;CK Mappings'!$H587))),ISNUMBER(SEARCH(IF(I$3&lt;&gt;"",I$3,"NA"),'MITRE ATT&amp;CK Mappings'!$I587))),ISNUMBER(SEARCH(IF(I$3&lt;&gt;"",I$3,"NA"),'MITRE ATT&amp;CK Mappings'!$J587))), 'MITRE ATT&amp;CK Mappings'!$B587,"")</f>
        <v/>
      </c>
      <c r="J591" s="27" t="str">
        <f>IF(OR(OR(OR(OR(OR(ISNUMBER(SEARCH(IF(J$1&lt;&gt;"",J$1,"NA"),'MITRE ATT&amp;CK Mappings'!$E587)),ISNUMBER(SEARCH(IF(J$1&lt;&gt;"",J$1,"NA"),'MITRE ATT&amp;CK Mappings'!$F587))),ISNUMBER(SEARCH(IF(J$2&lt;&gt;"",J$2,"NA"),'MITRE ATT&amp;CK Mappings'!$G587))),ISNUMBER(SEARCH(IF(J$2&lt;&gt;"",J$2,"NA"),'MITRE ATT&amp;CK Mappings'!$H587))),ISNUMBER(SEARCH(IF(J$3&lt;&gt;"",J$3,"NA"),'MITRE ATT&amp;CK Mappings'!$I587))),ISNUMBER(SEARCH(IF(J$3&lt;&gt;"",J$3,"NA"),'MITRE ATT&amp;CK Mappings'!$J587))), 'MITRE ATT&amp;CK Mappings'!$B587,"")</f>
        <v/>
      </c>
      <c r="K591" s="27" t="str">
        <f>IF(OR(OR(OR(OR(OR(ISNUMBER(SEARCH(IF(K$1&lt;&gt;"",K$1,"NA"),'MITRE ATT&amp;CK Mappings'!$E587)),ISNUMBER(SEARCH(IF(K$1&lt;&gt;"",K$1,"NA"),'MITRE ATT&amp;CK Mappings'!$F587))),ISNUMBER(SEARCH(IF(K$2&lt;&gt;"",K$2,"NA"),'MITRE ATT&amp;CK Mappings'!$G587))),ISNUMBER(SEARCH(IF(K$2&lt;&gt;"",K$2,"NA"),'MITRE ATT&amp;CK Mappings'!$H587))),ISNUMBER(SEARCH(IF(K$3&lt;&gt;"",K$3,"NA"),'MITRE ATT&amp;CK Mappings'!$I587))),ISNUMBER(SEARCH(IF(K$3&lt;&gt;"",K$3,"NA"),'MITRE ATT&amp;CK Mappings'!$J587))), 'MITRE ATT&amp;CK Mappings'!$B587,"")</f>
        <v/>
      </c>
      <c r="L591" s="27" t="str">
        <f>IF('MITRE ATT&amp;CK Mappings'!D587 &lt;&gt;"",'MITRE ATT&amp;CK Mappings'!D587,"" )</f>
        <v/>
      </c>
    </row>
    <row r="592" spans="1:12" x14ac:dyDescent="0.25">
      <c r="A592" s="26" t="str">
        <f>IF(COUNTIF(B592:K592,"="&amp;'MITRE ATT&amp;CK Mappings'!B588)&gt;0,'MITRE ATT&amp;CK Mappings'!B588,"")</f>
        <v/>
      </c>
      <c r="B592" s="26" t="str">
        <f>IF(OR(OR(OR(OR(OR(ISNUMBER(SEARCH(IF(B$1&lt;&gt;"",B$1,"NA"),'MITRE ATT&amp;CK Mappings'!$E588)),ISNUMBER(SEARCH(IF(B$1&lt;&gt;"",B$1,"NA"),'MITRE ATT&amp;CK Mappings'!$F588))),ISNUMBER(SEARCH(IF(B$2&lt;&gt;"",B$2,"NA"),'MITRE ATT&amp;CK Mappings'!$G588))),ISNUMBER(SEARCH(IF(B$2&lt;&gt;"",B$2,"NA"),'MITRE ATT&amp;CK Mappings'!$H588))),ISNUMBER(SEARCH(IF(B$3&lt;&gt;"",B$3,"NA"),'MITRE ATT&amp;CK Mappings'!$I588))),ISNUMBER(SEARCH(IF(B$3&lt;&gt;"",B$3,"NA"),'MITRE ATT&amp;CK Mappings'!$J588))), 'MITRE ATT&amp;CK Mappings'!$B588,"")</f>
        <v/>
      </c>
      <c r="C592" s="26" t="str">
        <f>IF(OR(OR(OR(OR(OR(ISNUMBER(SEARCH(IF(C$1&lt;&gt;"",C$1,"NA"),'MITRE ATT&amp;CK Mappings'!$E588)),ISNUMBER(SEARCH(IF(C$1&lt;&gt;"",C$1,"NA"),'MITRE ATT&amp;CK Mappings'!$F588))),ISNUMBER(SEARCH(IF(C$2&lt;&gt;"",C$2,"NA"),'MITRE ATT&amp;CK Mappings'!$G588))),ISNUMBER(SEARCH(IF(C$2&lt;&gt;"",C$2,"NA"),'MITRE ATT&amp;CK Mappings'!$H588))),ISNUMBER(SEARCH(IF(C$3&lt;&gt;"",C$3,"NA"),'MITRE ATT&amp;CK Mappings'!$I588))),ISNUMBER(SEARCH(IF(C$3&lt;&gt;"",C$3,"NA"),'MITRE ATT&amp;CK Mappings'!$J588))), 'MITRE ATT&amp;CK Mappings'!$B588,"")</f>
        <v/>
      </c>
      <c r="D592" s="26" t="str">
        <f>IF(OR(OR(OR(OR(OR(ISNUMBER(SEARCH(IF(D$1&lt;&gt;"",D$1,"NA"),'MITRE ATT&amp;CK Mappings'!$E588)),ISNUMBER(SEARCH(IF(D$1&lt;&gt;"",D$1,"NA"),'MITRE ATT&amp;CK Mappings'!$F588))),ISNUMBER(SEARCH(IF(D$2&lt;&gt;"",D$2,"NA"),'MITRE ATT&amp;CK Mappings'!$G588))),ISNUMBER(SEARCH(IF(D$2&lt;&gt;"",D$2,"NA"),'MITRE ATT&amp;CK Mappings'!$H588))),ISNUMBER(SEARCH(IF(D$3&lt;&gt;"",D$3,"NA"),'MITRE ATT&amp;CK Mappings'!$I588))),ISNUMBER(SEARCH(IF(D$3&lt;&gt;"",D$3,"NA"),'MITRE ATT&amp;CK Mappings'!$J588))), 'MITRE ATT&amp;CK Mappings'!$B588,"")</f>
        <v/>
      </c>
      <c r="E592" s="26" t="str">
        <f>IF(OR(OR(OR(OR(OR(ISNUMBER(SEARCH(IF(E$1&lt;&gt;"",E$1,"NA"),'MITRE ATT&amp;CK Mappings'!$E588)),ISNUMBER(SEARCH(IF(E$1&lt;&gt;"",E$1,"NA"),'MITRE ATT&amp;CK Mappings'!$F588))),ISNUMBER(SEARCH(IF(E$2&lt;&gt;"",E$2,"NA"),'MITRE ATT&amp;CK Mappings'!$G588))),ISNUMBER(SEARCH(IF(E$2&lt;&gt;"",E$2,"NA"),'MITRE ATT&amp;CK Mappings'!$H588))),ISNUMBER(SEARCH(IF(E$3&lt;&gt;"",E$3,"NA"),'MITRE ATT&amp;CK Mappings'!$I588))),ISNUMBER(SEARCH(IF(E$3&lt;&gt;"",E$3,"NA"),'MITRE ATT&amp;CK Mappings'!$J588))), 'MITRE ATT&amp;CK Mappings'!$B588,"")</f>
        <v/>
      </c>
      <c r="F592" s="26" t="str">
        <f>IF(OR(OR(OR(OR(OR(ISNUMBER(SEARCH(IF(F$1&lt;&gt;"",F$1,"NA"),'MITRE ATT&amp;CK Mappings'!$E588)),ISNUMBER(SEARCH(IF(F$1&lt;&gt;"",F$1,"NA"),'MITRE ATT&amp;CK Mappings'!$F588))),ISNUMBER(SEARCH(IF(F$2&lt;&gt;"",F$2,"NA"),'MITRE ATT&amp;CK Mappings'!$G588))),ISNUMBER(SEARCH(IF(F$2&lt;&gt;"",F$2,"NA"),'MITRE ATT&amp;CK Mappings'!$H588))),ISNUMBER(SEARCH(IF(F$3&lt;&gt;"",F$3,"NA"),'MITRE ATT&amp;CK Mappings'!$I588))),ISNUMBER(SEARCH(IF(F$3&lt;&gt;"",F$3,"NA"),'MITRE ATT&amp;CK Mappings'!$J588))), 'MITRE ATT&amp;CK Mappings'!$B588,"")</f>
        <v/>
      </c>
      <c r="G592" s="26" t="str">
        <f>IF(OR(OR(OR(OR(OR(ISNUMBER(SEARCH(IF(G$1&lt;&gt;"",G$1,"NA"),'MITRE ATT&amp;CK Mappings'!$E588)),ISNUMBER(SEARCH(IF(G$1&lt;&gt;"",G$1,"NA"),'MITRE ATT&amp;CK Mappings'!$F588))),ISNUMBER(SEARCH(IF(G$2&lt;&gt;"",G$2,"NA"),'MITRE ATT&amp;CK Mappings'!$G588))),ISNUMBER(SEARCH(IF(G$2&lt;&gt;"",G$2,"NA"),'MITRE ATT&amp;CK Mappings'!$H588))),ISNUMBER(SEARCH(IF(G$3&lt;&gt;"",G$3,"NA"),'MITRE ATT&amp;CK Mappings'!$I588))),ISNUMBER(SEARCH(IF(G$3&lt;&gt;"",G$3,"NA"),'MITRE ATT&amp;CK Mappings'!$J588))), 'MITRE ATT&amp;CK Mappings'!$B588,"")</f>
        <v/>
      </c>
      <c r="H592" s="26" t="str">
        <f>IF(OR(OR(OR(OR(OR(ISNUMBER(SEARCH(IF(H$1&lt;&gt;"",H$1,"NA"),'MITRE ATT&amp;CK Mappings'!$E588)),ISNUMBER(SEARCH(IF(H$1&lt;&gt;"",H$1,"NA"),'MITRE ATT&amp;CK Mappings'!$F588))),ISNUMBER(SEARCH(IF(H$2&lt;&gt;"",H$2,"NA"),'MITRE ATT&amp;CK Mappings'!$G588))),ISNUMBER(SEARCH(IF(H$2&lt;&gt;"",H$2,"NA"),'MITRE ATT&amp;CK Mappings'!$H588))),ISNUMBER(SEARCH(IF(H$3&lt;&gt;"",H$3,"NA"),'MITRE ATT&amp;CK Mappings'!$I588))),ISNUMBER(SEARCH(IF(H$3&lt;&gt;"",H$3,"NA"),'MITRE ATT&amp;CK Mappings'!$J588))), 'MITRE ATT&amp;CK Mappings'!$B588,"")</f>
        <v/>
      </c>
      <c r="I592" s="26" t="str">
        <f>IF(OR(OR(OR(OR(OR(ISNUMBER(SEARCH(IF(I$1&lt;&gt;"",I$1,"NA"),'MITRE ATT&amp;CK Mappings'!$E588)),ISNUMBER(SEARCH(IF(I$1&lt;&gt;"",I$1,"NA"),'MITRE ATT&amp;CK Mappings'!$F588))),ISNUMBER(SEARCH(IF(I$2&lt;&gt;"",I$2,"NA"),'MITRE ATT&amp;CK Mappings'!$G588))),ISNUMBER(SEARCH(IF(I$2&lt;&gt;"",I$2,"NA"),'MITRE ATT&amp;CK Mappings'!$H588))),ISNUMBER(SEARCH(IF(I$3&lt;&gt;"",I$3,"NA"),'MITRE ATT&amp;CK Mappings'!$I588))),ISNUMBER(SEARCH(IF(I$3&lt;&gt;"",I$3,"NA"),'MITRE ATT&amp;CK Mappings'!$J588))), 'MITRE ATT&amp;CK Mappings'!$B588,"")</f>
        <v/>
      </c>
      <c r="J592" s="26" t="str">
        <f>IF(OR(OR(OR(OR(OR(ISNUMBER(SEARCH(IF(J$1&lt;&gt;"",J$1,"NA"),'MITRE ATT&amp;CK Mappings'!$E588)),ISNUMBER(SEARCH(IF(J$1&lt;&gt;"",J$1,"NA"),'MITRE ATT&amp;CK Mappings'!$F588))),ISNUMBER(SEARCH(IF(J$2&lt;&gt;"",J$2,"NA"),'MITRE ATT&amp;CK Mappings'!$G588))),ISNUMBER(SEARCH(IF(J$2&lt;&gt;"",J$2,"NA"),'MITRE ATT&amp;CK Mappings'!$H588))),ISNUMBER(SEARCH(IF(J$3&lt;&gt;"",J$3,"NA"),'MITRE ATT&amp;CK Mappings'!$I588))),ISNUMBER(SEARCH(IF(J$3&lt;&gt;"",J$3,"NA"),'MITRE ATT&amp;CK Mappings'!$J588))), 'MITRE ATT&amp;CK Mappings'!$B588,"")</f>
        <v/>
      </c>
      <c r="K592" s="26" t="str">
        <f>IF(OR(OR(OR(OR(OR(ISNUMBER(SEARCH(IF(K$1&lt;&gt;"",K$1,"NA"),'MITRE ATT&amp;CK Mappings'!$E588)),ISNUMBER(SEARCH(IF(K$1&lt;&gt;"",K$1,"NA"),'MITRE ATT&amp;CK Mappings'!$F588))),ISNUMBER(SEARCH(IF(K$2&lt;&gt;"",K$2,"NA"),'MITRE ATT&amp;CK Mappings'!$G588))),ISNUMBER(SEARCH(IF(K$2&lt;&gt;"",K$2,"NA"),'MITRE ATT&amp;CK Mappings'!$H588))),ISNUMBER(SEARCH(IF(K$3&lt;&gt;"",K$3,"NA"),'MITRE ATT&amp;CK Mappings'!$I588))),ISNUMBER(SEARCH(IF(K$3&lt;&gt;"",K$3,"NA"),'MITRE ATT&amp;CK Mappings'!$J588))), 'MITRE ATT&amp;CK Mappings'!$B588,"")</f>
        <v/>
      </c>
      <c r="L592" s="26" t="str">
        <f>IF('MITRE ATT&amp;CK Mappings'!D588 &lt;&gt;"",'MITRE ATT&amp;CK Mappings'!D588,"" )</f>
        <v/>
      </c>
    </row>
    <row r="593" spans="1:12" x14ac:dyDescent="0.25">
      <c r="A593" s="27" t="str">
        <f>IF(COUNTIF(B593:K593,"="&amp;'MITRE ATT&amp;CK Mappings'!B589)&gt;0,'MITRE ATT&amp;CK Mappings'!B589,"")</f>
        <v/>
      </c>
      <c r="B593" s="27" t="str">
        <f>IF(OR(OR(OR(OR(OR(ISNUMBER(SEARCH(IF(B$1&lt;&gt;"",B$1,"NA"),'MITRE ATT&amp;CK Mappings'!$E589)),ISNUMBER(SEARCH(IF(B$1&lt;&gt;"",B$1,"NA"),'MITRE ATT&amp;CK Mappings'!$F589))),ISNUMBER(SEARCH(IF(B$2&lt;&gt;"",B$2,"NA"),'MITRE ATT&amp;CK Mappings'!$G589))),ISNUMBER(SEARCH(IF(B$2&lt;&gt;"",B$2,"NA"),'MITRE ATT&amp;CK Mappings'!$H589))),ISNUMBER(SEARCH(IF(B$3&lt;&gt;"",B$3,"NA"),'MITRE ATT&amp;CK Mappings'!$I589))),ISNUMBER(SEARCH(IF(B$3&lt;&gt;"",B$3,"NA"),'MITRE ATT&amp;CK Mappings'!$J589))), 'MITRE ATT&amp;CK Mappings'!$B589,"")</f>
        <v/>
      </c>
      <c r="C593" s="27" t="str">
        <f>IF(OR(OR(OR(OR(OR(ISNUMBER(SEARCH(IF(C$1&lt;&gt;"",C$1,"NA"),'MITRE ATT&amp;CK Mappings'!$E589)),ISNUMBER(SEARCH(IF(C$1&lt;&gt;"",C$1,"NA"),'MITRE ATT&amp;CK Mappings'!$F589))),ISNUMBER(SEARCH(IF(C$2&lt;&gt;"",C$2,"NA"),'MITRE ATT&amp;CK Mappings'!$G589))),ISNUMBER(SEARCH(IF(C$2&lt;&gt;"",C$2,"NA"),'MITRE ATT&amp;CK Mappings'!$H589))),ISNUMBER(SEARCH(IF(C$3&lt;&gt;"",C$3,"NA"),'MITRE ATT&amp;CK Mappings'!$I589))),ISNUMBER(SEARCH(IF(C$3&lt;&gt;"",C$3,"NA"),'MITRE ATT&amp;CK Mappings'!$J589))), 'MITRE ATT&amp;CK Mappings'!$B589,"")</f>
        <v/>
      </c>
      <c r="D593" s="27" t="str">
        <f>IF(OR(OR(OR(OR(OR(ISNUMBER(SEARCH(IF(D$1&lt;&gt;"",D$1,"NA"),'MITRE ATT&amp;CK Mappings'!$E589)),ISNUMBER(SEARCH(IF(D$1&lt;&gt;"",D$1,"NA"),'MITRE ATT&amp;CK Mappings'!$F589))),ISNUMBER(SEARCH(IF(D$2&lt;&gt;"",D$2,"NA"),'MITRE ATT&amp;CK Mappings'!$G589))),ISNUMBER(SEARCH(IF(D$2&lt;&gt;"",D$2,"NA"),'MITRE ATT&amp;CK Mappings'!$H589))),ISNUMBER(SEARCH(IF(D$3&lt;&gt;"",D$3,"NA"),'MITRE ATT&amp;CK Mappings'!$I589))),ISNUMBER(SEARCH(IF(D$3&lt;&gt;"",D$3,"NA"),'MITRE ATT&amp;CK Mappings'!$J589))), 'MITRE ATT&amp;CK Mappings'!$B589,"")</f>
        <v/>
      </c>
      <c r="E593" s="27" t="str">
        <f>IF(OR(OR(OR(OR(OR(ISNUMBER(SEARCH(IF(E$1&lt;&gt;"",E$1,"NA"),'MITRE ATT&amp;CK Mappings'!$E589)),ISNUMBER(SEARCH(IF(E$1&lt;&gt;"",E$1,"NA"),'MITRE ATT&amp;CK Mappings'!$F589))),ISNUMBER(SEARCH(IF(E$2&lt;&gt;"",E$2,"NA"),'MITRE ATT&amp;CK Mappings'!$G589))),ISNUMBER(SEARCH(IF(E$2&lt;&gt;"",E$2,"NA"),'MITRE ATT&amp;CK Mappings'!$H589))),ISNUMBER(SEARCH(IF(E$3&lt;&gt;"",E$3,"NA"),'MITRE ATT&amp;CK Mappings'!$I589))),ISNUMBER(SEARCH(IF(E$3&lt;&gt;"",E$3,"NA"),'MITRE ATT&amp;CK Mappings'!$J589))), 'MITRE ATT&amp;CK Mappings'!$B589,"")</f>
        <v/>
      </c>
      <c r="F593" s="27" t="str">
        <f>IF(OR(OR(OR(OR(OR(ISNUMBER(SEARCH(IF(F$1&lt;&gt;"",F$1,"NA"),'MITRE ATT&amp;CK Mappings'!$E589)),ISNUMBER(SEARCH(IF(F$1&lt;&gt;"",F$1,"NA"),'MITRE ATT&amp;CK Mappings'!$F589))),ISNUMBER(SEARCH(IF(F$2&lt;&gt;"",F$2,"NA"),'MITRE ATT&amp;CK Mappings'!$G589))),ISNUMBER(SEARCH(IF(F$2&lt;&gt;"",F$2,"NA"),'MITRE ATT&amp;CK Mappings'!$H589))),ISNUMBER(SEARCH(IF(F$3&lt;&gt;"",F$3,"NA"),'MITRE ATT&amp;CK Mappings'!$I589))),ISNUMBER(SEARCH(IF(F$3&lt;&gt;"",F$3,"NA"),'MITRE ATT&amp;CK Mappings'!$J589))), 'MITRE ATT&amp;CK Mappings'!$B589,"")</f>
        <v/>
      </c>
      <c r="G593" s="27" t="str">
        <f>IF(OR(OR(OR(OR(OR(ISNUMBER(SEARCH(IF(G$1&lt;&gt;"",G$1,"NA"),'MITRE ATT&amp;CK Mappings'!$E589)),ISNUMBER(SEARCH(IF(G$1&lt;&gt;"",G$1,"NA"),'MITRE ATT&amp;CK Mappings'!$F589))),ISNUMBER(SEARCH(IF(G$2&lt;&gt;"",G$2,"NA"),'MITRE ATT&amp;CK Mappings'!$G589))),ISNUMBER(SEARCH(IF(G$2&lt;&gt;"",G$2,"NA"),'MITRE ATT&amp;CK Mappings'!$H589))),ISNUMBER(SEARCH(IF(G$3&lt;&gt;"",G$3,"NA"),'MITRE ATT&amp;CK Mappings'!$I589))),ISNUMBER(SEARCH(IF(G$3&lt;&gt;"",G$3,"NA"),'MITRE ATT&amp;CK Mappings'!$J589))), 'MITRE ATT&amp;CK Mappings'!$B589,"")</f>
        <v/>
      </c>
      <c r="H593" s="27" t="str">
        <f>IF(OR(OR(OR(OR(OR(ISNUMBER(SEARCH(IF(H$1&lt;&gt;"",H$1,"NA"),'MITRE ATT&amp;CK Mappings'!$E589)),ISNUMBER(SEARCH(IF(H$1&lt;&gt;"",H$1,"NA"),'MITRE ATT&amp;CK Mappings'!$F589))),ISNUMBER(SEARCH(IF(H$2&lt;&gt;"",H$2,"NA"),'MITRE ATT&amp;CK Mappings'!$G589))),ISNUMBER(SEARCH(IF(H$2&lt;&gt;"",H$2,"NA"),'MITRE ATT&amp;CK Mappings'!$H589))),ISNUMBER(SEARCH(IF(H$3&lt;&gt;"",H$3,"NA"),'MITRE ATT&amp;CK Mappings'!$I589))),ISNUMBER(SEARCH(IF(H$3&lt;&gt;"",H$3,"NA"),'MITRE ATT&amp;CK Mappings'!$J589))), 'MITRE ATT&amp;CK Mappings'!$B589,"")</f>
        <v/>
      </c>
      <c r="I593" s="27" t="str">
        <f>IF(OR(OR(OR(OR(OR(ISNUMBER(SEARCH(IF(I$1&lt;&gt;"",I$1,"NA"),'MITRE ATT&amp;CK Mappings'!$E589)),ISNUMBER(SEARCH(IF(I$1&lt;&gt;"",I$1,"NA"),'MITRE ATT&amp;CK Mappings'!$F589))),ISNUMBER(SEARCH(IF(I$2&lt;&gt;"",I$2,"NA"),'MITRE ATT&amp;CK Mappings'!$G589))),ISNUMBER(SEARCH(IF(I$2&lt;&gt;"",I$2,"NA"),'MITRE ATT&amp;CK Mappings'!$H589))),ISNUMBER(SEARCH(IF(I$3&lt;&gt;"",I$3,"NA"),'MITRE ATT&amp;CK Mappings'!$I589))),ISNUMBER(SEARCH(IF(I$3&lt;&gt;"",I$3,"NA"),'MITRE ATT&amp;CK Mappings'!$J589))), 'MITRE ATT&amp;CK Mappings'!$B589,"")</f>
        <v/>
      </c>
      <c r="J593" s="27" t="str">
        <f>IF(OR(OR(OR(OR(OR(ISNUMBER(SEARCH(IF(J$1&lt;&gt;"",J$1,"NA"),'MITRE ATT&amp;CK Mappings'!$E589)),ISNUMBER(SEARCH(IF(J$1&lt;&gt;"",J$1,"NA"),'MITRE ATT&amp;CK Mappings'!$F589))),ISNUMBER(SEARCH(IF(J$2&lt;&gt;"",J$2,"NA"),'MITRE ATT&amp;CK Mappings'!$G589))),ISNUMBER(SEARCH(IF(J$2&lt;&gt;"",J$2,"NA"),'MITRE ATT&amp;CK Mappings'!$H589))),ISNUMBER(SEARCH(IF(J$3&lt;&gt;"",J$3,"NA"),'MITRE ATT&amp;CK Mappings'!$I589))),ISNUMBER(SEARCH(IF(J$3&lt;&gt;"",J$3,"NA"),'MITRE ATT&amp;CK Mappings'!$J589))), 'MITRE ATT&amp;CK Mappings'!$B589,"")</f>
        <v/>
      </c>
      <c r="K593" s="27" t="str">
        <f>IF(OR(OR(OR(OR(OR(ISNUMBER(SEARCH(IF(K$1&lt;&gt;"",K$1,"NA"),'MITRE ATT&amp;CK Mappings'!$E589)),ISNUMBER(SEARCH(IF(K$1&lt;&gt;"",K$1,"NA"),'MITRE ATT&amp;CK Mappings'!$F589))),ISNUMBER(SEARCH(IF(K$2&lt;&gt;"",K$2,"NA"),'MITRE ATT&amp;CK Mappings'!$G589))),ISNUMBER(SEARCH(IF(K$2&lt;&gt;"",K$2,"NA"),'MITRE ATT&amp;CK Mappings'!$H589))),ISNUMBER(SEARCH(IF(K$3&lt;&gt;"",K$3,"NA"),'MITRE ATT&amp;CK Mappings'!$I589))),ISNUMBER(SEARCH(IF(K$3&lt;&gt;"",K$3,"NA"),'MITRE ATT&amp;CK Mappings'!$J589))), 'MITRE ATT&amp;CK Mappings'!$B589,"")</f>
        <v/>
      </c>
      <c r="L593" s="27" t="str">
        <f>IF('MITRE ATT&amp;CK Mappings'!D589 &lt;&gt;"",'MITRE ATT&amp;CK Mappings'!D589,"" )</f>
        <v/>
      </c>
    </row>
    <row r="594" spans="1:12" x14ac:dyDescent="0.25">
      <c r="A594" s="26" t="str">
        <f>IF(COUNTIF(B594:K594,"="&amp;'MITRE ATT&amp;CK Mappings'!B590)&gt;0,'MITRE ATT&amp;CK Mappings'!B590,"")</f>
        <v/>
      </c>
      <c r="B594" s="26" t="str">
        <f>IF(OR(OR(OR(OR(OR(ISNUMBER(SEARCH(IF(B$1&lt;&gt;"",B$1,"NA"),'MITRE ATT&amp;CK Mappings'!$E590)),ISNUMBER(SEARCH(IF(B$1&lt;&gt;"",B$1,"NA"),'MITRE ATT&amp;CK Mappings'!$F590))),ISNUMBER(SEARCH(IF(B$2&lt;&gt;"",B$2,"NA"),'MITRE ATT&amp;CK Mappings'!$G590))),ISNUMBER(SEARCH(IF(B$2&lt;&gt;"",B$2,"NA"),'MITRE ATT&amp;CK Mappings'!$H590))),ISNUMBER(SEARCH(IF(B$3&lt;&gt;"",B$3,"NA"),'MITRE ATT&amp;CK Mappings'!$I590))),ISNUMBER(SEARCH(IF(B$3&lt;&gt;"",B$3,"NA"),'MITRE ATT&amp;CK Mappings'!$J590))), 'MITRE ATT&amp;CK Mappings'!$B590,"")</f>
        <v/>
      </c>
      <c r="C594" s="26" t="str">
        <f>IF(OR(OR(OR(OR(OR(ISNUMBER(SEARCH(IF(C$1&lt;&gt;"",C$1,"NA"),'MITRE ATT&amp;CK Mappings'!$E590)),ISNUMBER(SEARCH(IF(C$1&lt;&gt;"",C$1,"NA"),'MITRE ATT&amp;CK Mappings'!$F590))),ISNUMBER(SEARCH(IF(C$2&lt;&gt;"",C$2,"NA"),'MITRE ATT&amp;CK Mappings'!$G590))),ISNUMBER(SEARCH(IF(C$2&lt;&gt;"",C$2,"NA"),'MITRE ATT&amp;CK Mappings'!$H590))),ISNUMBER(SEARCH(IF(C$3&lt;&gt;"",C$3,"NA"),'MITRE ATT&amp;CK Mappings'!$I590))),ISNUMBER(SEARCH(IF(C$3&lt;&gt;"",C$3,"NA"),'MITRE ATT&amp;CK Mappings'!$J590))), 'MITRE ATT&amp;CK Mappings'!$B590,"")</f>
        <v/>
      </c>
      <c r="D594" s="26" t="str">
        <f>IF(OR(OR(OR(OR(OR(ISNUMBER(SEARCH(IF(D$1&lt;&gt;"",D$1,"NA"),'MITRE ATT&amp;CK Mappings'!$E590)),ISNUMBER(SEARCH(IF(D$1&lt;&gt;"",D$1,"NA"),'MITRE ATT&amp;CK Mappings'!$F590))),ISNUMBER(SEARCH(IF(D$2&lt;&gt;"",D$2,"NA"),'MITRE ATT&amp;CK Mappings'!$G590))),ISNUMBER(SEARCH(IF(D$2&lt;&gt;"",D$2,"NA"),'MITRE ATT&amp;CK Mappings'!$H590))),ISNUMBER(SEARCH(IF(D$3&lt;&gt;"",D$3,"NA"),'MITRE ATT&amp;CK Mappings'!$I590))),ISNUMBER(SEARCH(IF(D$3&lt;&gt;"",D$3,"NA"),'MITRE ATT&amp;CK Mappings'!$J590))), 'MITRE ATT&amp;CK Mappings'!$B590,"")</f>
        <v/>
      </c>
      <c r="E594" s="26" t="str">
        <f>IF(OR(OR(OR(OR(OR(ISNUMBER(SEARCH(IF(E$1&lt;&gt;"",E$1,"NA"),'MITRE ATT&amp;CK Mappings'!$E590)),ISNUMBER(SEARCH(IF(E$1&lt;&gt;"",E$1,"NA"),'MITRE ATT&amp;CK Mappings'!$F590))),ISNUMBER(SEARCH(IF(E$2&lt;&gt;"",E$2,"NA"),'MITRE ATT&amp;CK Mappings'!$G590))),ISNUMBER(SEARCH(IF(E$2&lt;&gt;"",E$2,"NA"),'MITRE ATT&amp;CK Mappings'!$H590))),ISNUMBER(SEARCH(IF(E$3&lt;&gt;"",E$3,"NA"),'MITRE ATT&amp;CK Mappings'!$I590))),ISNUMBER(SEARCH(IF(E$3&lt;&gt;"",E$3,"NA"),'MITRE ATT&amp;CK Mappings'!$J590))), 'MITRE ATT&amp;CK Mappings'!$B590,"")</f>
        <v/>
      </c>
      <c r="F594" s="26" t="str">
        <f>IF(OR(OR(OR(OR(OR(ISNUMBER(SEARCH(IF(F$1&lt;&gt;"",F$1,"NA"),'MITRE ATT&amp;CK Mappings'!$E590)),ISNUMBER(SEARCH(IF(F$1&lt;&gt;"",F$1,"NA"),'MITRE ATT&amp;CK Mappings'!$F590))),ISNUMBER(SEARCH(IF(F$2&lt;&gt;"",F$2,"NA"),'MITRE ATT&amp;CK Mappings'!$G590))),ISNUMBER(SEARCH(IF(F$2&lt;&gt;"",F$2,"NA"),'MITRE ATT&amp;CK Mappings'!$H590))),ISNUMBER(SEARCH(IF(F$3&lt;&gt;"",F$3,"NA"),'MITRE ATT&amp;CK Mappings'!$I590))),ISNUMBER(SEARCH(IF(F$3&lt;&gt;"",F$3,"NA"),'MITRE ATT&amp;CK Mappings'!$J590))), 'MITRE ATT&amp;CK Mappings'!$B590,"")</f>
        <v/>
      </c>
      <c r="G594" s="26" t="str">
        <f>IF(OR(OR(OR(OR(OR(ISNUMBER(SEARCH(IF(G$1&lt;&gt;"",G$1,"NA"),'MITRE ATT&amp;CK Mappings'!$E590)),ISNUMBER(SEARCH(IF(G$1&lt;&gt;"",G$1,"NA"),'MITRE ATT&amp;CK Mappings'!$F590))),ISNUMBER(SEARCH(IF(G$2&lt;&gt;"",G$2,"NA"),'MITRE ATT&amp;CK Mappings'!$G590))),ISNUMBER(SEARCH(IF(G$2&lt;&gt;"",G$2,"NA"),'MITRE ATT&amp;CK Mappings'!$H590))),ISNUMBER(SEARCH(IF(G$3&lt;&gt;"",G$3,"NA"),'MITRE ATT&amp;CK Mappings'!$I590))),ISNUMBER(SEARCH(IF(G$3&lt;&gt;"",G$3,"NA"),'MITRE ATT&amp;CK Mappings'!$J590))), 'MITRE ATT&amp;CK Mappings'!$B590,"")</f>
        <v/>
      </c>
      <c r="H594" s="26" t="str">
        <f>IF(OR(OR(OR(OR(OR(ISNUMBER(SEARCH(IF(H$1&lt;&gt;"",H$1,"NA"),'MITRE ATT&amp;CK Mappings'!$E590)),ISNUMBER(SEARCH(IF(H$1&lt;&gt;"",H$1,"NA"),'MITRE ATT&amp;CK Mappings'!$F590))),ISNUMBER(SEARCH(IF(H$2&lt;&gt;"",H$2,"NA"),'MITRE ATT&amp;CK Mappings'!$G590))),ISNUMBER(SEARCH(IF(H$2&lt;&gt;"",H$2,"NA"),'MITRE ATT&amp;CK Mappings'!$H590))),ISNUMBER(SEARCH(IF(H$3&lt;&gt;"",H$3,"NA"),'MITRE ATT&amp;CK Mappings'!$I590))),ISNUMBER(SEARCH(IF(H$3&lt;&gt;"",H$3,"NA"),'MITRE ATT&amp;CK Mappings'!$J590))), 'MITRE ATT&amp;CK Mappings'!$B590,"")</f>
        <v/>
      </c>
      <c r="I594" s="26" t="str">
        <f>IF(OR(OR(OR(OR(OR(ISNUMBER(SEARCH(IF(I$1&lt;&gt;"",I$1,"NA"),'MITRE ATT&amp;CK Mappings'!$E590)),ISNUMBER(SEARCH(IF(I$1&lt;&gt;"",I$1,"NA"),'MITRE ATT&amp;CK Mappings'!$F590))),ISNUMBER(SEARCH(IF(I$2&lt;&gt;"",I$2,"NA"),'MITRE ATT&amp;CK Mappings'!$G590))),ISNUMBER(SEARCH(IF(I$2&lt;&gt;"",I$2,"NA"),'MITRE ATT&amp;CK Mappings'!$H590))),ISNUMBER(SEARCH(IF(I$3&lt;&gt;"",I$3,"NA"),'MITRE ATT&amp;CK Mappings'!$I590))),ISNUMBER(SEARCH(IF(I$3&lt;&gt;"",I$3,"NA"),'MITRE ATT&amp;CK Mappings'!$J590))), 'MITRE ATT&amp;CK Mappings'!$B590,"")</f>
        <v/>
      </c>
      <c r="J594" s="26" t="str">
        <f>IF(OR(OR(OR(OR(OR(ISNUMBER(SEARCH(IF(J$1&lt;&gt;"",J$1,"NA"),'MITRE ATT&amp;CK Mappings'!$E590)),ISNUMBER(SEARCH(IF(J$1&lt;&gt;"",J$1,"NA"),'MITRE ATT&amp;CK Mappings'!$F590))),ISNUMBER(SEARCH(IF(J$2&lt;&gt;"",J$2,"NA"),'MITRE ATT&amp;CK Mappings'!$G590))),ISNUMBER(SEARCH(IF(J$2&lt;&gt;"",J$2,"NA"),'MITRE ATT&amp;CK Mappings'!$H590))),ISNUMBER(SEARCH(IF(J$3&lt;&gt;"",J$3,"NA"),'MITRE ATT&amp;CK Mappings'!$I590))),ISNUMBER(SEARCH(IF(J$3&lt;&gt;"",J$3,"NA"),'MITRE ATT&amp;CK Mappings'!$J590))), 'MITRE ATT&amp;CK Mappings'!$B590,"")</f>
        <v/>
      </c>
      <c r="K594" s="26" t="str">
        <f>IF(OR(OR(OR(OR(OR(ISNUMBER(SEARCH(IF(K$1&lt;&gt;"",K$1,"NA"),'MITRE ATT&amp;CK Mappings'!$E590)),ISNUMBER(SEARCH(IF(K$1&lt;&gt;"",K$1,"NA"),'MITRE ATT&amp;CK Mappings'!$F590))),ISNUMBER(SEARCH(IF(K$2&lt;&gt;"",K$2,"NA"),'MITRE ATT&amp;CK Mappings'!$G590))),ISNUMBER(SEARCH(IF(K$2&lt;&gt;"",K$2,"NA"),'MITRE ATT&amp;CK Mappings'!$H590))),ISNUMBER(SEARCH(IF(K$3&lt;&gt;"",K$3,"NA"),'MITRE ATT&amp;CK Mappings'!$I590))),ISNUMBER(SEARCH(IF(K$3&lt;&gt;"",K$3,"NA"),'MITRE ATT&amp;CK Mappings'!$J590))), 'MITRE ATT&amp;CK Mappings'!$B590,"")</f>
        <v/>
      </c>
      <c r="L594" s="26" t="str">
        <f>IF('MITRE ATT&amp;CK Mappings'!D590 &lt;&gt;"",'MITRE ATT&amp;CK Mappings'!D590,"" )</f>
        <v/>
      </c>
    </row>
    <row r="595" spans="1:12" x14ac:dyDescent="0.25">
      <c r="A595" s="27" t="str">
        <f>IF(COUNTIF(B595:K595,"="&amp;'MITRE ATT&amp;CK Mappings'!B591)&gt;0,'MITRE ATT&amp;CK Mappings'!B591,"")</f>
        <v/>
      </c>
      <c r="B595" s="27" t="str">
        <f>IF(OR(OR(OR(OR(OR(ISNUMBER(SEARCH(IF(B$1&lt;&gt;"",B$1,"NA"),'MITRE ATT&amp;CK Mappings'!$E591)),ISNUMBER(SEARCH(IF(B$1&lt;&gt;"",B$1,"NA"),'MITRE ATT&amp;CK Mappings'!$F591))),ISNUMBER(SEARCH(IF(B$2&lt;&gt;"",B$2,"NA"),'MITRE ATT&amp;CK Mappings'!$G591))),ISNUMBER(SEARCH(IF(B$2&lt;&gt;"",B$2,"NA"),'MITRE ATT&amp;CK Mappings'!$H591))),ISNUMBER(SEARCH(IF(B$3&lt;&gt;"",B$3,"NA"),'MITRE ATT&amp;CK Mappings'!$I591))),ISNUMBER(SEARCH(IF(B$3&lt;&gt;"",B$3,"NA"),'MITRE ATT&amp;CK Mappings'!$J591))), 'MITRE ATT&amp;CK Mappings'!$B591,"")</f>
        <v/>
      </c>
      <c r="C595" s="27" t="str">
        <f>IF(OR(OR(OR(OR(OR(ISNUMBER(SEARCH(IF(C$1&lt;&gt;"",C$1,"NA"),'MITRE ATT&amp;CK Mappings'!$E591)),ISNUMBER(SEARCH(IF(C$1&lt;&gt;"",C$1,"NA"),'MITRE ATT&amp;CK Mappings'!$F591))),ISNUMBER(SEARCH(IF(C$2&lt;&gt;"",C$2,"NA"),'MITRE ATT&amp;CK Mappings'!$G591))),ISNUMBER(SEARCH(IF(C$2&lt;&gt;"",C$2,"NA"),'MITRE ATT&amp;CK Mappings'!$H591))),ISNUMBER(SEARCH(IF(C$3&lt;&gt;"",C$3,"NA"),'MITRE ATT&amp;CK Mappings'!$I591))),ISNUMBER(SEARCH(IF(C$3&lt;&gt;"",C$3,"NA"),'MITRE ATT&amp;CK Mappings'!$J591))), 'MITRE ATT&amp;CK Mappings'!$B591,"")</f>
        <v/>
      </c>
      <c r="D595" s="27" t="str">
        <f>IF(OR(OR(OR(OR(OR(ISNUMBER(SEARCH(IF(D$1&lt;&gt;"",D$1,"NA"),'MITRE ATT&amp;CK Mappings'!$E591)),ISNUMBER(SEARCH(IF(D$1&lt;&gt;"",D$1,"NA"),'MITRE ATT&amp;CK Mappings'!$F591))),ISNUMBER(SEARCH(IF(D$2&lt;&gt;"",D$2,"NA"),'MITRE ATT&amp;CK Mappings'!$G591))),ISNUMBER(SEARCH(IF(D$2&lt;&gt;"",D$2,"NA"),'MITRE ATT&amp;CK Mappings'!$H591))),ISNUMBER(SEARCH(IF(D$3&lt;&gt;"",D$3,"NA"),'MITRE ATT&amp;CK Mappings'!$I591))),ISNUMBER(SEARCH(IF(D$3&lt;&gt;"",D$3,"NA"),'MITRE ATT&amp;CK Mappings'!$J591))), 'MITRE ATT&amp;CK Mappings'!$B591,"")</f>
        <v/>
      </c>
      <c r="E595" s="27" t="str">
        <f>IF(OR(OR(OR(OR(OR(ISNUMBER(SEARCH(IF(E$1&lt;&gt;"",E$1,"NA"),'MITRE ATT&amp;CK Mappings'!$E591)),ISNUMBER(SEARCH(IF(E$1&lt;&gt;"",E$1,"NA"),'MITRE ATT&amp;CK Mappings'!$F591))),ISNUMBER(SEARCH(IF(E$2&lt;&gt;"",E$2,"NA"),'MITRE ATT&amp;CK Mappings'!$G591))),ISNUMBER(SEARCH(IF(E$2&lt;&gt;"",E$2,"NA"),'MITRE ATT&amp;CK Mappings'!$H591))),ISNUMBER(SEARCH(IF(E$3&lt;&gt;"",E$3,"NA"),'MITRE ATT&amp;CK Mappings'!$I591))),ISNUMBER(SEARCH(IF(E$3&lt;&gt;"",E$3,"NA"),'MITRE ATT&amp;CK Mappings'!$J591))), 'MITRE ATT&amp;CK Mappings'!$B591,"")</f>
        <v/>
      </c>
      <c r="F595" s="27" t="str">
        <f>IF(OR(OR(OR(OR(OR(ISNUMBER(SEARCH(IF(F$1&lt;&gt;"",F$1,"NA"),'MITRE ATT&amp;CK Mappings'!$E591)),ISNUMBER(SEARCH(IF(F$1&lt;&gt;"",F$1,"NA"),'MITRE ATT&amp;CK Mappings'!$F591))),ISNUMBER(SEARCH(IF(F$2&lt;&gt;"",F$2,"NA"),'MITRE ATT&amp;CK Mappings'!$G591))),ISNUMBER(SEARCH(IF(F$2&lt;&gt;"",F$2,"NA"),'MITRE ATT&amp;CK Mappings'!$H591))),ISNUMBER(SEARCH(IF(F$3&lt;&gt;"",F$3,"NA"),'MITRE ATT&amp;CK Mappings'!$I591))),ISNUMBER(SEARCH(IF(F$3&lt;&gt;"",F$3,"NA"),'MITRE ATT&amp;CK Mappings'!$J591))), 'MITRE ATT&amp;CK Mappings'!$B591,"")</f>
        <v/>
      </c>
      <c r="G595" s="27" t="str">
        <f>IF(OR(OR(OR(OR(OR(ISNUMBER(SEARCH(IF(G$1&lt;&gt;"",G$1,"NA"),'MITRE ATT&amp;CK Mappings'!$E591)),ISNUMBER(SEARCH(IF(G$1&lt;&gt;"",G$1,"NA"),'MITRE ATT&amp;CK Mappings'!$F591))),ISNUMBER(SEARCH(IF(G$2&lt;&gt;"",G$2,"NA"),'MITRE ATT&amp;CK Mappings'!$G591))),ISNUMBER(SEARCH(IF(G$2&lt;&gt;"",G$2,"NA"),'MITRE ATT&amp;CK Mappings'!$H591))),ISNUMBER(SEARCH(IF(G$3&lt;&gt;"",G$3,"NA"),'MITRE ATT&amp;CK Mappings'!$I591))),ISNUMBER(SEARCH(IF(G$3&lt;&gt;"",G$3,"NA"),'MITRE ATT&amp;CK Mappings'!$J591))), 'MITRE ATT&amp;CK Mappings'!$B591,"")</f>
        <v/>
      </c>
      <c r="H595" s="27" t="str">
        <f>IF(OR(OR(OR(OR(OR(ISNUMBER(SEARCH(IF(H$1&lt;&gt;"",H$1,"NA"),'MITRE ATT&amp;CK Mappings'!$E591)),ISNUMBER(SEARCH(IF(H$1&lt;&gt;"",H$1,"NA"),'MITRE ATT&amp;CK Mappings'!$F591))),ISNUMBER(SEARCH(IF(H$2&lt;&gt;"",H$2,"NA"),'MITRE ATT&amp;CK Mappings'!$G591))),ISNUMBER(SEARCH(IF(H$2&lt;&gt;"",H$2,"NA"),'MITRE ATT&amp;CK Mappings'!$H591))),ISNUMBER(SEARCH(IF(H$3&lt;&gt;"",H$3,"NA"),'MITRE ATT&amp;CK Mappings'!$I591))),ISNUMBER(SEARCH(IF(H$3&lt;&gt;"",H$3,"NA"),'MITRE ATT&amp;CK Mappings'!$J591))), 'MITRE ATT&amp;CK Mappings'!$B591,"")</f>
        <v/>
      </c>
      <c r="I595" s="27" t="str">
        <f>IF(OR(OR(OR(OR(OR(ISNUMBER(SEARCH(IF(I$1&lt;&gt;"",I$1,"NA"),'MITRE ATT&amp;CK Mappings'!$E591)),ISNUMBER(SEARCH(IF(I$1&lt;&gt;"",I$1,"NA"),'MITRE ATT&amp;CK Mappings'!$F591))),ISNUMBER(SEARCH(IF(I$2&lt;&gt;"",I$2,"NA"),'MITRE ATT&amp;CK Mappings'!$G591))),ISNUMBER(SEARCH(IF(I$2&lt;&gt;"",I$2,"NA"),'MITRE ATT&amp;CK Mappings'!$H591))),ISNUMBER(SEARCH(IF(I$3&lt;&gt;"",I$3,"NA"),'MITRE ATT&amp;CK Mappings'!$I591))),ISNUMBER(SEARCH(IF(I$3&lt;&gt;"",I$3,"NA"),'MITRE ATT&amp;CK Mappings'!$J591))), 'MITRE ATT&amp;CK Mappings'!$B591,"")</f>
        <v/>
      </c>
      <c r="J595" s="27" t="str">
        <f>IF(OR(OR(OR(OR(OR(ISNUMBER(SEARCH(IF(J$1&lt;&gt;"",J$1,"NA"),'MITRE ATT&amp;CK Mappings'!$E591)),ISNUMBER(SEARCH(IF(J$1&lt;&gt;"",J$1,"NA"),'MITRE ATT&amp;CK Mappings'!$F591))),ISNUMBER(SEARCH(IF(J$2&lt;&gt;"",J$2,"NA"),'MITRE ATT&amp;CK Mappings'!$G591))),ISNUMBER(SEARCH(IF(J$2&lt;&gt;"",J$2,"NA"),'MITRE ATT&amp;CK Mappings'!$H591))),ISNUMBER(SEARCH(IF(J$3&lt;&gt;"",J$3,"NA"),'MITRE ATT&amp;CK Mappings'!$I591))),ISNUMBER(SEARCH(IF(J$3&lt;&gt;"",J$3,"NA"),'MITRE ATT&amp;CK Mappings'!$J591))), 'MITRE ATT&amp;CK Mappings'!$B591,"")</f>
        <v/>
      </c>
      <c r="K595" s="27" t="str">
        <f>IF(OR(OR(OR(OR(OR(ISNUMBER(SEARCH(IF(K$1&lt;&gt;"",K$1,"NA"),'MITRE ATT&amp;CK Mappings'!$E591)),ISNUMBER(SEARCH(IF(K$1&lt;&gt;"",K$1,"NA"),'MITRE ATT&amp;CK Mappings'!$F591))),ISNUMBER(SEARCH(IF(K$2&lt;&gt;"",K$2,"NA"),'MITRE ATT&amp;CK Mappings'!$G591))),ISNUMBER(SEARCH(IF(K$2&lt;&gt;"",K$2,"NA"),'MITRE ATT&amp;CK Mappings'!$H591))),ISNUMBER(SEARCH(IF(K$3&lt;&gt;"",K$3,"NA"),'MITRE ATT&amp;CK Mappings'!$I591))),ISNUMBER(SEARCH(IF(K$3&lt;&gt;"",K$3,"NA"),'MITRE ATT&amp;CK Mappings'!$J591))), 'MITRE ATT&amp;CK Mappings'!$B591,"")</f>
        <v/>
      </c>
      <c r="L595" s="27" t="str">
        <f>IF('MITRE ATT&amp;CK Mappings'!D591 &lt;&gt;"",'MITRE ATT&amp;CK Mappings'!D591,"" )</f>
        <v/>
      </c>
    </row>
    <row r="596" spans="1:12" x14ac:dyDescent="0.25">
      <c r="A596" s="26" t="str">
        <f>IF(COUNTIF(B596:K596,"="&amp;'MITRE ATT&amp;CK Mappings'!B592)&gt;0,'MITRE ATT&amp;CK Mappings'!B592,"")</f>
        <v/>
      </c>
      <c r="B596" s="26" t="str">
        <f>IF(OR(OR(OR(OR(OR(ISNUMBER(SEARCH(IF(B$1&lt;&gt;"",B$1,"NA"),'MITRE ATT&amp;CK Mappings'!$E592)),ISNUMBER(SEARCH(IF(B$1&lt;&gt;"",B$1,"NA"),'MITRE ATT&amp;CK Mappings'!$F592))),ISNUMBER(SEARCH(IF(B$2&lt;&gt;"",B$2,"NA"),'MITRE ATT&amp;CK Mappings'!$G592))),ISNUMBER(SEARCH(IF(B$2&lt;&gt;"",B$2,"NA"),'MITRE ATT&amp;CK Mappings'!$H592))),ISNUMBER(SEARCH(IF(B$3&lt;&gt;"",B$3,"NA"),'MITRE ATT&amp;CK Mappings'!$I592))),ISNUMBER(SEARCH(IF(B$3&lt;&gt;"",B$3,"NA"),'MITRE ATT&amp;CK Mappings'!$J592))), 'MITRE ATT&amp;CK Mappings'!$B592,"")</f>
        <v/>
      </c>
      <c r="C596" s="26" t="str">
        <f>IF(OR(OR(OR(OR(OR(ISNUMBER(SEARCH(IF(C$1&lt;&gt;"",C$1,"NA"),'MITRE ATT&amp;CK Mappings'!$E592)),ISNUMBER(SEARCH(IF(C$1&lt;&gt;"",C$1,"NA"),'MITRE ATT&amp;CK Mappings'!$F592))),ISNUMBER(SEARCH(IF(C$2&lt;&gt;"",C$2,"NA"),'MITRE ATT&amp;CK Mappings'!$G592))),ISNUMBER(SEARCH(IF(C$2&lt;&gt;"",C$2,"NA"),'MITRE ATT&amp;CK Mappings'!$H592))),ISNUMBER(SEARCH(IF(C$3&lt;&gt;"",C$3,"NA"),'MITRE ATT&amp;CK Mappings'!$I592))),ISNUMBER(SEARCH(IF(C$3&lt;&gt;"",C$3,"NA"),'MITRE ATT&amp;CK Mappings'!$J592))), 'MITRE ATT&amp;CK Mappings'!$B592,"")</f>
        <v/>
      </c>
      <c r="D596" s="26" t="str">
        <f>IF(OR(OR(OR(OR(OR(ISNUMBER(SEARCH(IF(D$1&lt;&gt;"",D$1,"NA"),'MITRE ATT&amp;CK Mappings'!$E592)),ISNUMBER(SEARCH(IF(D$1&lt;&gt;"",D$1,"NA"),'MITRE ATT&amp;CK Mappings'!$F592))),ISNUMBER(SEARCH(IF(D$2&lt;&gt;"",D$2,"NA"),'MITRE ATT&amp;CK Mappings'!$G592))),ISNUMBER(SEARCH(IF(D$2&lt;&gt;"",D$2,"NA"),'MITRE ATT&amp;CK Mappings'!$H592))),ISNUMBER(SEARCH(IF(D$3&lt;&gt;"",D$3,"NA"),'MITRE ATT&amp;CK Mappings'!$I592))),ISNUMBER(SEARCH(IF(D$3&lt;&gt;"",D$3,"NA"),'MITRE ATT&amp;CK Mappings'!$J592))), 'MITRE ATT&amp;CK Mappings'!$B592,"")</f>
        <v/>
      </c>
      <c r="E596" s="26" t="str">
        <f>IF(OR(OR(OR(OR(OR(ISNUMBER(SEARCH(IF(E$1&lt;&gt;"",E$1,"NA"),'MITRE ATT&amp;CK Mappings'!$E592)),ISNUMBER(SEARCH(IF(E$1&lt;&gt;"",E$1,"NA"),'MITRE ATT&amp;CK Mappings'!$F592))),ISNUMBER(SEARCH(IF(E$2&lt;&gt;"",E$2,"NA"),'MITRE ATT&amp;CK Mappings'!$G592))),ISNUMBER(SEARCH(IF(E$2&lt;&gt;"",E$2,"NA"),'MITRE ATT&amp;CK Mappings'!$H592))),ISNUMBER(SEARCH(IF(E$3&lt;&gt;"",E$3,"NA"),'MITRE ATT&amp;CK Mappings'!$I592))),ISNUMBER(SEARCH(IF(E$3&lt;&gt;"",E$3,"NA"),'MITRE ATT&amp;CK Mappings'!$J592))), 'MITRE ATT&amp;CK Mappings'!$B592,"")</f>
        <v/>
      </c>
      <c r="F596" s="26" t="str">
        <f>IF(OR(OR(OR(OR(OR(ISNUMBER(SEARCH(IF(F$1&lt;&gt;"",F$1,"NA"),'MITRE ATT&amp;CK Mappings'!$E592)),ISNUMBER(SEARCH(IF(F$1&lt;&gt;"",F$1,"NA"),'MITRE ATT&amp;CK Mappings'!$F592))),ISNUMBER(SEARCH(IF(F$2&lt;&gt;"",F$2,"NA"),'MITRE ATT&amp;CK Mappings'!$G592))),ISNUMBER(SEARCH(IF(F$2&lt;&gt;"",F$2,"NA"),'MITRE ATT&amp;CK Mappings'!$H592))),ISNUMBER(SEARCH(IF(F$3&lt;&gt;"",F$3,"NA"),'MITRE ATT&amp;CK Mappings'!$I592))),ISNUMBER(SEARCH(IF(F$3&lt;&gt;"",F$3,"NA"),'MITRE ATT&amp;CK Mappings'!$J592))), 'MITRE ATT&amp;CK Mappings'!$B592,"")</f>
        <v/>
      </c>
      <c r="G596" s="26" t="str">
        <f>IF(OR(OR(OR(OR(OR(ISNUMBER(SEARCH(IF(G$1&lt;&gt;"",G$1,"NA"),'MITRE ATT&amp;CK Mappings'!$E592)),ISNUMBER(SEARCH(IF(G$1&lt;&gt;"",G$1,"NA"),'MITRE ATT&amp;CK Mappings'!$F592))),ISNUMBER(SEARCH(IF(G$2&lt;&gt;"",G$2,"NA"),'MITRE ATT&amp;CK Mappings'!$G592))),ISNUMBER(SEARCH(IF(G$2&lt;&gt;"",G$2,"NA"),'MITRE ATT&amp;CK Mappings'!$H592))),ISNUMBER(SEARCH(IF(G$3&lt;&gt;"",G$3,"NA"),'MITRE ATT&amp;CK Mappings'!$I592))),ISNUMBER(SEARCH(IF(G$3&lt;&gt;"",G$3,"NA"),'MITRE ATT&amp;CK Mappings'!$J592))), 'MITRE ATT&amp;CK Mappings'!$B592,"")</f>
        <v/>
      </c>
      <c r="H596" s="26" t="str">
        <f>IF(OR(OR(OR(OR(OR(ISNUMBER(SEARCH(IF(H$1&lt;&gt;"",H$1,"NA"),'MITRE ATT&amp;CK Mappings'!$E592)),ISNUMBER(SEARCH(IF(H$1&lt;&gt;"",H$1,"NA"),'MITRE ATT&amp;CK Mappings'!$F592))),ISNUMBER(SEARCH(IF(H$2&lt;&gt;"",H$2,"NA"),'MITRE ATT&amp;CK Mappings'!$G592))),ISNUMBER(SEARCH(IF(H$2&lt;&gt;"",H$2,"NA"),'MITRE ATT&amp;CK Mappings'!$H592))),ISNUMBER(SEARCH(IF(H$3&lt;&gt;"",H$3,"NA"),'MITRE ATT&amp;CK Mappings'!$I592))),ISNUMBER(SEARCH(IF(H$3&lt;&gt;"",H$3,"NA"),'MITRE ATT&amp;CK Mappings'!$J592))), 'MITRE ATT&amp;CK Mappings'!$B592,"")</f>
        <v/>
      </c>
      <c r="I596" s="26" t="str">
        <f>IF(OR(OR(OR(OR(OR(ISNUMBER(SEARCH(IF(I$1&lt;&gt;"",I$1,"NA"),'MITRE ATT&amp;CK Mappings'!$E592)),ISNUMBER(SEARCH(IF(I$1&lt;&gt;"",I$1,"NA"),'MITRE ATT&amp;CK Mappings'!$F592))),ISNUMBER(SEARCH(IF(I$2&lt;&gt;"",I$2,"NA"),'MITRE ATT&amp;CK Mappings'!$G592))),ISNUMBER(SEARCH(IF(I$2&lt;&gt;"",I$2,"NA"),'MITRE ATT&amp;CK Mappings'!$H592))),ISNUMBER(SEARCH(IF(I$3&lt;&gt;"",I$3,"NA"),'MITRE ATT&amp;CK Mappings'!$I592))),ISNUMBER(SEARCH(IF(I$3&lt;&gt;"",I$3,"NA"),'MITRE ATT&amp;CK Mappings'!$J592))), 'MITRE ATT&amp;CK Mappings'!$B592,"")</f>
        <v/>
      </c>
      <c r="J596" s="26" t="str">
        <f>IF(OR(OR(OR(OR(OR(ISNUMBER(SEARCH(IF(J$1&lt;&gt;"",J$1,"NA"),'MITRE ATT&amp;CK Mappings'!$E592)),ISNUMBER(SEARCH(IF(J$1&lt;&gt;"",J$1,"NA"),'MITRE ATT&amp;CK Mappings'!$F592))),ISNUMBER(SEARCH(IF(J$2&lt;&gt;"",J$2,"NA"),'MITRE ATT&amp;CK Mappings'!$G592))),ISNUMBER(SEARCH(IF(J$2&lt;&gt;"",J$2,"NA"),'MITRE ATT&amp;CK Mappings'!$H592))),ISNUMBER(SEARCH(IF(J$3&lt;&gt;"",J$3,"NA"),'MITRE ATT&amp;CK Mappings'!$I592))),ISNUMBER(SEARCH(IF(J$3&lt;&gt;"",J$3,"NA"),'MITRE ATT&amp;CK Mappings'!$J592))), 'MITRE ATT&amp;CK Mappings'!$B592,"")</f>
        <v/>
      </c>
      <c r="K596" s="26" t="str">
        <f>IF(OR(OR(OR(OR(OR(ISNUMBER(SEARCH(IF(K$1&lt;&gt;"",K$1,"NA"),'MITRE ATT&amp;CK Mappings'!$E592)),ISNUMBER(SEARCH(IF(K$1&lt;&gt;"",K$1,"NA"),'MITRE ATT&amp;CK Mappings'!$F592))),ISNUMBER(SEARCH(IF(K$2&lt;&gt;"",K$2,"NA"),'MITRE ATT&amp;CK Mappings'!$G592))),ISNUMBER(SEARCH(IF(K$2&lt;&gt;"",K$2,"NA"),'MITRE ATT&amp;CK Mappings'!$H592))),ISNUMBER(SEARCH(IF(K$3&lt;&gt;"",K$3,"NA"),'MITRE ATT&amp;CK Mappings'!$I592))),ISNUMBER(SEARCH(IF(K$3&lt;&gt;"",K$3,"NA"),'MITRE ATT&amp;CK Mappings'!$J592))), 'MITRE ATT&amp;CK Mappings'!$B592,"")</f>
        <v/>
      </c>
      <c r="L596" s="26" t="str">
        <f>IF('MITRE ATT&amp;CK Mappings'!D592 &lt;&gt;"",'MITRE ATT&amp;CK Mappings'!D592,"" )</f>
        <v/>
      </c>
    </row>
    <row r="597" spans="1:12" x14ac:dyDescent="0.25">
      <c r="A597" s="27" t="str">
        <f>IF(COUNTIF(B597:K597,"="&amp;'MITRE ATT&amp;CK Mappings'!B593)&gt;0,'MITRE ATT&amp;CK Mappings'!B593,"")</f>
        <v/>
      </c>
      <c r="B597" s="27" t="str">
        <f>IF(OR(OR(OR(OR(OR(ISNUMBER(SEARCH(IF(B$1&lt;&gt;"",B$1,"NA"),'MITRE ATT&amp;CK Mappings'!$E593)),ISNUMBER(SEARCH(IF(B$1&lt;&gt;"",B$1,"NA"),'MITRE ATT&amp;CK Mappings'!$F593))),ISNUMBER(SEARCH(IF(B$2&lt;&gt;"",B$2,"NA"),'MITRE ATT&amp;CK Mappings'!$G593))),ISNUMBER(SEARCH(IF(B$2&lt;&gt;"",B$2,"NA"),'MITRE ATT&amp;CK Mappings'!$H593))),ISNUMBER(SEARCH(IF(B$3&lt;&gt;"",B$3,"NA"),'MITRE ATT&amp;CK Mappings'!$I593))),ISNUMBER(SEARCH(IF(B$3&lt;&gt;"",B$3,"NA"),'MITRE ATT&amp;CK Mappings'!$J593))), 'MITRE ATT&amp;CK Mappings'!$B593,"")</f>
        <v/>
      </c>
      <c r="C597" s="27" t="str">
        <f>IF(OR(OR(OR(OR(OR(ISNUMBER(SEARCH(IF(C$1&lt;&gt;"",C$1,"NA"),'MITRE ATT&amp;CK Mappings'!$E593)),ISNUMBER(SEARCH(IF(C$1&lt;&gt;"",C$1,"NA"),'MITRE ATT&amp;CK Mappings'!$F593))),ISNUMBER(SEARCH(IF(C$2&lt;&gt;"",C$2,"NA"),'MITRE ATT&amp;CK Mappings'!$G593))),ISNUMBER(SEARCH(IF(C$2&lt;&gt;"",C$2,"NA"),'MITRE ATT&amp;CK Mappings'!$H593))),ISNUMBER(SEARCH(IF(C$3&lt;&gt;"",C$3,"NA"),'MITRE ATT&amp;CK Mappings'!$I593))),ISNUMBER(SEARCH(IF(C$3&lt;&gt;"",C$3,"NA"),'MITRE ATT&amp;CK Mappings'!$J593))), 'MITRE ATT&amp;CK Mappings'!$B593,"")</f>
        <v/>
      </c>
      <c r="D597" s="27" t="str">
        <f>IF(OR(OR(OR(OR(OR(ISNUMBER(SEARCH(IF(D$1&lt;&gt;"",D$1,"NA"),'MITRE ATT&amp;CK Mappings'!$E593)),ISNUMBER(SEARCH(IF(D$1&lt;&gt;"",D$1,"NA"),'MITRE ATT&amp;CK Mappings'!$F593))),ISNUMBER(SEARCH(IF(D$2&lt;&gt;"",D$2,"NA"),'MITRE ATT&amp;CK Mappings'!$G593))),ISNUMBER(SEARCH(IF(D$2&lt;&gt;"",D$2,"NA"),'MITRE ATT&amp;CK Mappings'!$H593))),ISNUMBER(SEARCH(IF(D$3&lt;&gt;"",D$3,"NA"),'MITRE ATT&amp;CK Mappings'!$I593))),ISNUMBER(SEARCH(IF(D$3&lt;&gt;"",D$3,"NA"),'MITRE ATT&amp;CK Mappings'!$J593))), 'MITRE ATT&amp;CK Mappings'!$B593,"")</f>
        <v/>
      </c>
      <c r="E597" s="27" t="str">
        <f>IF(OR(OR(OR(OR(OR(ISNUMBER(SEARCH(IF(E$1&lt;&gt;"",E$1,"NA"),'MITRE ATT&amp;CK Mappings'!$E593)),ISNUMBER(SEARCH(IF(E$1&lt;&gt;"",E$1,"NA"),'MITRE ATT&amp;CK Mappings'!$F593))),ISNUMBER(SEARCH(IF(E$2&lt;&gt;"",E$2,"NA"),'MITRE ATT&amp;CK Mappings'!$G593))),ISNUMBER(SEARCH(IF(E$2&lt;&gt;"",E$2,"NA"),'MITRE ATT&amp;CK Mappings'!$H593))),ISNUMBER(SEARCH(IF(E$3&lt;&gt;"",E$3,"NA"),'MITRE ATT&amp;CK Mappings'!$I593))),ISNUMBER(SEARCH(IF(E$3&lt;&gt;"",E$3,"NA"),'MITRE ATT&amp;CK Mappings'!$J593))), 'MITRE ATT&amp;CK Mappings'!$B593,"")</f>
        <v/>
      </c>
      <c r="F597" s="27" t="str">
        <f>IF(OR(OR(OR(OR(OR(ISNUMBER(SEARCH(IF(F$1&lt;&gt;"",F$1,"NA"),'MITRE ATT&amp;CK Mappings'!$E593)),ISNUMBER(SEARCH(IF(F$1&lt;&gt;"",F$1,"NA"),'MITRE ATT&amp;CK Mappings'!$F593))),ISNUMBER(SEARCH(IF(F$2&lt;&gt;"",F$2,"NA"),'MITRE ATT&amp;CK Mappings'!$G593))),ISNUMBER(SEARCH(IF(F$2&lt;&gt;"",F$2,"NA"),'MITRE ATT&amp;CK Mappings'!$H593))),ISNUMBER(SEARCH(IF(F$3&lt;&gt;"",F$3,"NA"),'MITRE ATT&amp;CK Mappings'!$I593))),ISNUMBER(SEARCH(IF(F$3&lt;&gt;"",F$3,"NA"),'MITRE ATT&amp;CK Mappings'!$J593))), 'MITRE ATT&amp;CK Mappings'!$B593,"")</f>
        <v/>
      </c>
      <c r="G597" s="27" t="str">
        <f>IF(OR(OR(OR(OR(OR(ISNUMBER(SEARCH(IF(G$1&lt;&gt;"",G$1,"NA"),'MITRE ATT&amp;CK Mappings'!$E593)),ISNUMBER(SEARCH(IF(G$1&lt;&gt;"",G$1,"NA"),'MITRE ATT&amp;CK Mappings'!$F593))),ISNUMBER(SEARCH(IF(G$2&lt;&gt;"",G$2,"NA"),'MITRE ATT&amp;CK Mappings'!$G593))),ISNUMBER(SEARCH(IF(G$2&lt;&gt;"",G$2,"NA"),'MITRE ATT&amp;CK Mappings'!$H593))),ISNUMBER(SEARCH(IF(G$3&lt;&gt;"",G$3,"NA"),'MITRE ATT&amp;CK Mappings'!$I593))),ISNUMBER(SEARCH(IF(G$3&lt;&gt;"",G$3,"NA"),'MITRE ATT&amp;CK Mappings'!$J593))), 'MITRE ATT&amp;CK Mappings'!$B593,"")</f>
        <v/>
      </c>
      <c r="H597" s="27" t="str">
        <f>IF(OR(OR(OR(OR(OR(ISNUMBER(SEARCH(IF(H$1&lt;&gt;"",H$1,"NA"),'MITRE ATT&amp;CK Mappings'!$E593)),ISNUMBER(SEARCH(IF(H$1&lt;&gt;"",H$1,"NA"),'MITRE ATT&amp;CK Mappings'!$F593))),ISNUMBER(SEARCH(IF(H$2&lt;&gt;"",H$2,"NA"),'MITRE ATT&amp;CK Mappings'!$G593))),ISNUMBER(SEARCH(IF(H$2&lt;&gt;"",H$2,"NA"),'MITRE ATT&amp;CK Mappings'!$H593))),ISNUMBER(SEARCH(IF(H$3&lt;&gt;"",H$3,"NA"),'MITRE ATT&amp;CK Mappings'!$I593))),ISNUMBER(SEARCH(IF(H$3&lt;&gt;"",H$3,"NA"),'MITRE ATT&amp;CK Mappings'!$J593))), 'MITRE ATT&amp;CK Mappings'!$B593,"")</f>
        <v/>
      </c>
      <c r="I597" s="27" t="str">
        <f>IF(OR(OR(OR(OR(OR(ISNUMBER(SEARCH(IF(I$1&lt;&gt;"",I$1,"NA"),'MITRE ATT&amp;CK Mappings'!$E593)),ISNUMBER(SEARCH(IF(I$1&lt;&gt;"",I$1,"NA"),'MITRE ATT&amp;CK Mappings'!$F593))),ISNUMBER(SEARCH(IF(I$2&lt;&gt;"",I$2,"NA"),'MITRE ATT&amp;CK Mappings'!$G593))),ISNUMBER(SEARCH(IF(I$2&lt;&gt;"",I$2,"NA"),'MITRE ATT&amp;CK Mappings'!$H593))),ISNUMBER(SEARCH(IF(I$3&lt;&gt;"",I$3,"NA"),'MITRE ATT&amp;CK Mappings'!$I593))),ISNUMBER(SEARCH(IF(I$3&lt;&gt;"",I$3,"NA"),'MITRE ATT&amp;CK Mappings'!$J593))), 'MITRE ATT&amp;CK Mappings'!$B593,"")</f>
        <v/>
      </c>
      <c r="J597" s="27" t="str">
        <f>IF(OR(OR(OR(OR(OR(ISNUMBER(SEARCH(IF(J$1&lt;&gt;"",J$1,"NA"),'MITRE ATT&amp;CK Mappings'!$E593)),ISNUMBER(SEARCH(IF(J$1&lt;&gt;"",J$1,"NA"),'MITRE ATT&amp;CK Mappings'!$F593))),ISNUMBER(SEARCH(IF(J$2&lt;&gt;"",J$2,"NA"),'MITRE ATT&amp;CK Mappings'!$G593))),ISNUMBER(SEARCH(IF(J$2&lt;&gt;"",J$2,"NA"),'MITRE ATT&amp;CK Mappings'!$H593))),ISNUMBER(SEARCH(IF(J$3&lt;&gt;"",J$3,"NA"),'MITRE ATT&amp;CK Mappings'!$I593))),ISNUMBER(SEARCH(IF(J$3&lt;&gt;"",J$3,"NA"),'MITRE ATT&amp;CK Mappings'!$J593))), 'MITRE ATT&amp;CK Mappings'!$B593,"")</f>
        <v/>
      </c>
      <c r="K597" s="27" t="str">
        <f>IF(OR(OR(OR(OR(OR(ISNUMBER(SEARCH(IF(K$1&lt;&gt;"",K$1,"NA"),'MITRE ATT&amp;CK Mappings'!$E593)),ISNUMBER(SEARCH(IF(K$1&lt;&gt;"",K$1,"NA"),'MITRE ATT&amp;CK Mappings'!$F593))),ISNUMBER(SEARCH(IF(K$2&lt;&gt;"",K$2,"NA"),'MITRE ATT&amp;CK Mappings'!$G593))),ISNUMBER(SEARCH(IF(K$2&lt;&gt;"",K$2,"NA"),'MITRE ATT&amp;CK Mappings'!$H593))),ISNUMBER(SEARCH(IF(K$3&lt;&gt;"",K$3,"NA"),'MITRE ATT&amp;CK Mappings'!$I593))),ISNUMBER(SEARCH(IF(K$3&lt;&gt;"",K$3,"NA"),'MITRE ATT&amp;CK Mappings'!$J593))), 'MITRE ATT&amp;CK Mappings'!$B593,"")</f>
        <v/>
      </c>
      <c r="L597" s="27" t="str">
        <f>IF('MITRE ATT&amp;CK Mappings'!D593 &lt;&gt;"",'MITRE ATT&amp;CK Mappings'!D593,"" )</f>
        <v/>
      </c>
    </row>
    <row r="598" spans="1:12" x14ac:dyDescent="0.25">
      <c r="A598" s="26" t="str">
        <f>IF(COUNTIF(B598:K598,"="&amp;'MITRE ATT&amp;CK Mappings'!B594)&gt;0,'MITRE ATT&amp;CK Mappings'!B594,"")</f>
        <v/>
      </c>
      <c r="B598" s="26" t="str">
        <f>IF(OR(OR(OR(OR(OR(ISNUMBER(SEARCH(IF(B$1&lt;&gt;"",B$1,"NA"),'MITRE ATT&amp;CK Mappings'!$E594)),ISNUMBER(SEARCH(IF(B$1&lt;&gt;"",B$1,"NA"),'MITRE ATT&amp;CK Mappings'!$F594))),ISNUMBER(SEARCH(IF(B$2&lt;&gt;"",B$2,"NA"),'MITRE ATT&amp;CK Mappings'!$G594))),ISNUMBER(SEARCH(IF(B$2&lt;&gt;"",B$2,"NA"),'MITRE ATT&amp;CK Mappings'!$H594))),ISNUMBER(SEARCH(IF(B$3&lt;&gt;"",B$3,"NA"),'MITRE ATT&amp;CK Mappings'!$I594))),ISNUMBER(SEARCH(IF(B$3&lt;&gt;"",B$3,"NA"),'MITRE ATT&amp;CK Mappings'!$J594))), 'MITRE ATT&amp;CK Mappings'!$B594,"")</f>
        <v/>
      </c>
      <c r="C598" s="26" t="str">
        <f>IF(OR(OR(OR(OR(OR(ISNUMBER(SEARCH(IF(C$1&lt;&gt;"",C$1,"NA"),'MITRE ATT&amp;CK Mappings'!$E594)),ISNUMBER(SEARCH(IF(C$1&lt;&gt;"",C$1,"NA"),'MITRE ATT&amp;CK Mappings'!$F594))),ISNUMBER(SEARCH(IF(C$2&lt;&gt;"",C$2,"NA"),'MITRE ATT&amp;CK Mappings'!$G594))),ISNUMBER(SEARCH(IF(C$2&lt;&gt;"",C$2,"NA"),'MITRE ATT&amp;CK Mappings'!$H594))),ISNUMBER(SEARCH(IF(C$3&lt;&gt;"",C$3,"NA"),'MITRE ATT&amp;CK Mappings'!$I594))),ISNUMBER(SEARCH(IF(C$3&lt;&gt;"",C$3,"NA"),'MITRE ATT&amp;CK Mappings'!$J594))), 'MITRE ATT&amp;CK Mappings'!$B594,"")</f>
        <v/>
      </c>
      <c r="D598" s="26" t="str">
        <f>IF(OR(OR(OR(OR(OR(ISNUMBER(SEARCH(IF(D$1&lt;&gt;"",D$1,"NA"),'MITRE ATT&amp;CK Mappings'!$E594)),ISNUMBER(SEARCH(IF(D$1&lt;&gt;"",D$1,"NA"),'MITRE ATT&amp;CK Mappings'!$F594))),ISNUMBER(SEARCH(IF(D$2&lt;&gt;"",D$2,"NA"),'MITRE ATT&amp;CK Mappings'!$G594))),ISNUMBER(SEARCH(IF(D$2&lt;&gt;"",D$2,"NA"),'MITRE ATT&amp;CK Mappings'!$H594))),ISNUMBER(SEARCH(IF(D$3&lt;&gt;"",D$3,"NA"),'MITRE ATT&amp;CK Mappings'!$I594))),ISNUMBER(SEARCH(IF(D$3&lt;&gt;"",D$3,"NA"),'MITRE ATT&amp;CK Mappings'!$J594))), 'MITRE ATT&amp;CK Mappings'!$B594,"")</f>
        <v/>
      </c>
      <c r="E598" s="26" t="str">
        <f>IF(OR(OR(OR(OR(OR(ISNUMBER(SEARCH(IF(E$1&lt;&gt;"",E$1,"NA"),'MITRE ATT&amp;CK Mappings'!$E594)),ISNUMBER(SEARCH(IF(E$1&lt;&gt;"",E$1,"NA"),'MITRE ATT&amp;CK Mappings'!$F594))),ISNUMBER(SEARCH(IF(E$2&lt;&gt;"",E$2,"NA"),'MITRE ATT&amp;CK Mappings'!$G594))),ISNUMBER(SEARCH(IF(E$2&lt;&gt;"",E$2,"NA"),'MITRE ATT&amp;CK Mappings'!$H594))),ISNUMBER(SEARCH(IF(E$3&lt;&gt;"",E$3,"NA"),'MITRE ATT&amp;CK Mappings'!$I594))),ISNUMBER(SEARCH(IF(E$3&lt;&gt;"",E$3,"NA"),'MITRE ATT&amp;CK Mappings'!$J594))), 'MITRE ATT&amp;CK Mappings'!$B594,"")</f>
        <v/>
      </c>
      <c r="F598" s="26" t="str">
        <f>IF(OR(OR(OR(OR(OR(ISNUMBER(SEARCH(IF(F$1&lt;&gt;"",F$1,"NA"),'MITRE ATT&amp;CK Mappings'!$E594)),ISNUMBER(SEARCH(IF(F$1&lt;&gt;"",F$1,"NA"),'MITRE ATT&amp;CK Mappings'!$F594))),ISNUMBER(SEARCH(IF(F$2&lt;&gt;"",F$2,"NA"),'MITRE ATT&amp;CK Mappings'!$G594))),ISNUMBER(SEARCH(IF(F$2&lt;&gt;"",F$2,"NA"),'MITRE ATT&amp;CK Mappings'!$H594))),ISNUMBER(SEARCH(IF(F$3&lt;&gt;"",F$3,"NA"),'MITRE ATT&amp;CK Mappings'!$I594))),ISNUMBER(SEARCH(IF(F$3&lt;&gt;"",F$3,"NA"),'MITRE ATT&amp;CK Mappings'!$J594))), 'MITRE ATT&amp;CK Mappings'!$B594,"")</f>
        <v/>
      </c>
      <c r="G598" s="26" t="str">
        <f>IF(OR(OR(OR(OR(OR(ISNUMBER(SEARCH(IF(G$1&lt;&gt;"",G$1,"NA"),'MITRE ATT&amp;CK Mappings'!$E594)),ISNUMBER(SEARCH(IF(G$1&lt;&gt;"",G$1,"NA"),'MITRE ATT&amp;CK Mappings'!$F594))),ISNUMBER(SEARCH(IF(G$2&lt;&gt;"",G$2,"NA"),'MITRE ATT&amp;CK Mappings'!$G594))),ISNUMBER(SEARCH(IF(G$2&lt;&gt;"",G$2,"NA"),'MITRE ATT&amp;CK Mappings'!$H594))),ISNUMBER(SEARCH(IF(G$3&lt;&gt;"",G$3,"NA"),'MITRE ATT&amp;CK Mappings'!$I594))),ISNUMBER(SEARCH(IF(G$3&lt;&gt;"",G$3,"NA"),'MITRE ATT&amp;CK Mappings'!$J594))), 'MITRE ATT&amp;CK Mappings'!$B594,"")</f>
        <v/>
      </c>
      <c r="H598" s="26" t="str">
        <f>IF(OR(OR(OR(OR(OR(ISNUMBER(SEARCH(IF(H$1&lt;&gt;"",H$1,"NA"),'MITRE ATT&amp;CK Mappings'!$E594)),ISNUMBER(SEARCH(IF(H$1&lt;&gt;"",H$1,"NA"),'MITRE ATT&amp;CK Mappings'!$F594))),ISNUMBER(SEARCH(IF(H$2&lt;&gt;"",H$2,"NA"),'MITRE ATT&amp;CK Mappings'!$G594))),ISNUMBER(SEARCH(IF(H$2&lt;&gt;"",H$2,"NA"),'MITRE ATT&amp;CK Mappings'!$H594))),ISNUMBER(SEARCH(IF(H$3&lt;&gt;"",H$3,"NA"),'MITRE ATT&amp;CK Mappings'!$I594))),ISNUMBER(SEARCH(IF(H$3&lt;&gt;"",H$3,"NA"),'MITRE ATT&amp;CK Mappings'!$J594))), 'MITRE ATT&amp;CK Mappings'!$B594,"")</f>
        <v/>
      </c>
      <c r="I598" s="26" t="str">
        <f>IF(OR(OR(OR(OR(OR(ISNUMBER(SEARCH(IF(I$1&lt;&gt;"",I$1,"NA"),'MITRE ATT&amp;CK Mappings'!$E594)),ISNUMBER(SEARCH(IF(I$1&lt;&gt;"",I$1,"NA"),'MITRE ATT&amp;CK Mappings'!$F594))),ISNUMBER(SEARCH(IF(I$2&lt;&gt;"",I$2,"NA"),'MITRE ATT&amp;CK Mappings'!$G594))),ISNUMBER(SEARCH(IF(I$2&lt;&gt;"",I$2,"NA"),'MITRE ATT&amp;CK Mappings'!$H594))),ISNUMBER(SEARCH(IF(I$3&lt;&gt;"",I$3,"NA"),'MITRE ATT&amp;CK Mappings'!$I594))),ISNUMBER(SEARCH(IF(I$3&lt;&gt;"",I$3,"NA"),'MITRE ATT&amp;CK Mappings'!$J594))), 'MITRE ATT&amp;CK Mappings'!$B594,"")</f>
        <v/>
      </c>
      <c r="J598" s="26" t="str">
        <f>IF(OR(OR(OR(OR(OR(ISNUMBER(SEARCH(IF(J$1&lt;&gt;"",J$1,"NA"),'MITRE ATT&amp;CK Mappings'!$E594)),ISNUMBER(SEARCH(IF(J$1&lt;&gt;"",J$1,"NA"),'MITRE ATT&amp;CK Mappings'!$F594))),ISNUMBER(SEARCH(IF(J$2&lt;&gt;"",J$2,"NA"),'MITRE ATT&amp;CK Mappings'!$G594))),ISNUMBER(SEARCH(IF(J$2&lt;&gt;"",J$2,"NA"),'MITRE ATT&amp;CK Mappings'!$H594))),ISNUMBER(SEARCH(IF(J$3&lt;&gt;"",J$3,"NA"),'MITRE ATT&amp;CK Mappings'!$I594))),ISNUMBER(SEARCH(IF(J$3&lt;&gt;"",J$3,"NA"),'MITRE ATT&amp;CK Mappings'!$J594))), 'MITRE ATT&amp;CK Mappings'!$B594,"")</f>
        <v/>
      </c>
      <c r="K598" s="26" t="str">
        <f>IF(OR(OR(OR(OR(OR(ISNUMBER(SEARCH(IF(K$1&lt;&gt;"",K$1,"NA"),'MITRE ATT&amp;CK Mappings'!$E594)),ISNUMBER(SEARCH(IF(K$1&lt;&gt;"",K$1,"NA"),'MITRE ATT&amp;CK Mappings'!$F594))),ISNUMBER(SEARCH(IF(K$2&lt;&gt;"",K$2,"NA"),'MITRE ATT&amp;CK Mappings'!$G594))),ISNUMBER(SEARCH(IF(K$2&lt;&gt;"",K$2,"NA"),'MITRE ATT&amp;CK Mappings'!$H594))),ISNUMBER(SEARCH(IF(K$3&lt;&gt;"",K$3,"NA"),'MITRE ATT&amp;CK Mappings'!$I594))),ISNUMBER(SEARCH(IF(K$3&lt;&gt;"",K$3,"NA"),'MITRE ATT&amp;CK Mappings'!$J594))), 'MITRE ATT&amp;CK Mappings'!$B594,"")</f>
        <v/>
      </c>
      <c r="L598" s="26" t="str">
        <f>IF('MITRE ATT&amp;CK Mappings'!D594 &lt;&gt;"",'MITRE ATT&amp;CK Mappings'!D594,"" )</f>
        <v/>
      </c>
    </row>
    <row r="599" spans="1:12" x14ac:dyDescent="0.25">
      <c r="A599" s="27" t="str">
        <f>IF(COUNTIF(B599:K599,"="&amp;'MITRE ATT&amp;CK Mappings'!B595)&gt;0,'MITRE ATT&amp;CK Mappings'!B595,"")</f>
        <v/>
      </c>
      <c r="B599" s="27" t="str">
        <f>IF(OR(OR(OR(OR(OR(ISNUMBER(SEARCH(IF(B$1&lt;&gt;"",B$1,"NA"),'MITRE ATT&amp;CK Mappings'!$E595)),ISNUMBER(SEARCH(IF(B$1&lt;&gt;"",B$1,"NA"),'MITRE ATT&amp;CK Mappings'!$F595))),ISNUMBER(SEARCH(IF(B$2&lt;&gt;"",B$2,"NA"),'MITRE ATT&amp;CK Mappings'!$G595))),ISNUMBER(SEARCH(IF(B$2&lt;&gt;"",B$2,"NA"),'MITRE ATT&amp;CK Mappings'!$H595))),ISNUMBER(SEARCH(IF(B$3&lt;&gt;"",B$3,"NA"),'MITRE ATT&amp;CK Mappings'!$I595))),ISNUMBER(SEARCH(IF(B$3&lt;&gt;"",B$3,"NA"),'MITRE ATT&amp;CK Mappings'!$J595))), 'MITRE ATT&amp;CK Mappings'!$B595,"")</f>
        <v/>
      </c>
      <c r="C599" s="27" t="str">
        <f>IF(OR(OR(OR(OR(OR(ISNUMBER(SEARCH(IF(C$1&lt;&gt;"",C$1,"NA"),'MITRE ATT&amp;CK Mappings'!$E595)),ISNUMBER(SEARCH(IF(C$1&lt;&gt;"",C$1,"NA"),'MITRE ATT&amp;CK Mappings'!$F595))),ISNUMBER(SEARCH(IF(C$2&lt;&gt;"",C$2,"NA"),'MITRE ATT&amp;CK Mappings'!$G595))),ISNUMBER(SEARCH(IF(C$2&lt;&gt;"",C$2,"NA"),'MITRE ATT&amp;CK Mappings'!$H595))),ISNUMBER(SEARCH(IF(C$3&lt;&gt;"",C$3,"NA"),'MITRE ATT&amp;CK Mappings'!$I595))),ISNUMBER(SEARCH(IF(C$3&lt;&gt;"",C$3,"NA"),'MITRE ATT&amp;CK Mappings'!$J595))), 'MITRE ATT&amp;CK Mappings'!$B595,"")</f>
        <v/>
      </c>
      <c r="D599" s="27" t="str">
        <f>IF(OR(OR(OR(OR(OR(ISNUMBER(SEARCH(IF(D$1&lt;&gt;"",D$1,"NA"),'MITRE ATT&amp;CK Mappings'!$E595)),ISNUMBER(SEARCH(IF(D$1&lt;&gt;"",D$1,"NA"),'MITRE ATT&amp;CK Mappings'!$F595))),ISNUMBER(SEARCH(IF(D$2&lt;&gt;"",D$2,"NA"),'MITRE ATT&amp;CK Mappings'!$G595))),ISNUMBER(SEARCH(IF(D$2&lt;&gt;"",D$2,"NA"),'MITRE ATT&amp;CK Mappings'!$H595))),ISNUMBER(SEARCH(IF(D$3&lt;&gt;"",D$3,"NA"),'MITRE ATT&amp;CK Mappings'!$I595))),ISNUMBER(SEARCH(IF(D$3&lt;&gt;"",D$3,"NA"),'MITRE ATT&amp;CK Mappings'!$J595))), 'MITRE ATT&amp;CK Mappings'!$B595,"")</f>
        <v/>
      </c>
      <c r="E599" s="27" t="str">
        <f>IF(OR(OR(OR(OR(OR(ISNUMBER(SEARCH(IF(E$1&lt;&gt;"",E$1,"NA"),'MITRE ATT&amp;CK Mappings'!$E595)),ISNUMBER(SEARCH(IF(E$1&lt;&gt;"",E$1,"NA"),'MITRE ATT&amp;CK Mappings'!$F595))),ISNUMBER(SEARCH(IF(E$2&lt;&gt;"",E$2,"NA"),'MITRE ATT&amp;CK Mappings'!$G595))),ISNUMBER(SEARCH(IF(E$2&lt;&gt;"",E$2,"NA"),'MITRE ATT&amp;CK Mappings'!$H595))),ISNUMBER(SEARCH(IF(E$3&lt;&gt;"",E$3,"NA"),'MITRE ATT&amp;CK Mappings'!$I595))),ISNUMBER(SEARCH(IF(E$3&lt;&gt;"",E$3,"NA"),'MITRE ATT&amp;CK Mappings'!$J595))), 'MITRE ATT&amp;CK Mappings'!$B595,"")</f>
        <v/>
      </c>
      <c r="F599" s="27" t="str">
        <f>IF(OR(OR(OR(OR(OR(ISNUMBER(SEARCH(IF(F$1&lt;&gt;"",F$1,"NA"),'MITRE ATT&amp;CK Mappings'!$E595)),ISNUMBER(SEARCH(IF(F$1&lt;&gt;"",F$1,"NA"),'MITRE ATT&amp;CK Mappings'!$F595))),ISNUMBER(SEARCH(IF(F$2&lt;&gt;"",F$2,"NA"),'MITRE ATT&amp;CK Mappings'!$G595))),ISNUMBER(SEARCH(IF(F$2&lt;&gt;"",F$2,"NA"),'MITRE ATT&amp;CK Mappings'!$H595))),ISNUMBER(SEARCH(IF(F$3&lt;&gt;"",F$3,"NA"),'MITRE ATT&amp;CK Mappings'!$I595))),ISNUMBER(SEARCH(IF(F$3&lt;&gt;"",F$3,"NA"),'MITRE ATT&amp;CK Mappings'!$J595))), 'MITRE ATT&amp;CK Mappings'!$B595,"")</f>
        <v/>
      </c>
      <c r="G599" s="27" t="str">
        <f>IF(OR(OR(OR(OR(OR(ISNUMBER(SEARCH(IF(G$1&lt;&gt;"",G$1,"NA"),'MITRE ATT&amp;CK Mappings'!$E595)),ISNUMBER(SEARCH(IF(G$1&lt;&gt;"",G$1,"NA"),'MITRE ATT&amp;CK Mappings'!$F595))),ISNUMBER(SEARCH(IF(G$2&lt;&gt;"",G$2,"NA"),'MITRE ATT&amp;CK Mappings'!$G595))),ISNUMBER(SEARCH(IF(G$2&lt;&gt;"",G$2,"NA"),'MITRE ATT&amp;CK Mappings'!$H595))),ISNUMBER(SEARCH(IF(G$3&lt;&gt;"",G$3,"NA"),'MITRE ATT&amp;CK Mappings'!$I595))),ISNUMBER(SEARCH(IF(G$3&lt;&gt;"",G$3,"NA"),'MITRE ATT&amp;CK Mappings'!$J595))), 'MITRE ATT&amp;CK Mappings'!$B595,"")</f>
        <v/>
      </c>
      <c r="H599" s="27" t="str">
        <f>IF(OR(OR(OR(OR(OR(ISNUMBER(SEARCH(IF(H$1&lt;&gt;"",H$1,"NA"),'MITRE ATT&amp;CK Mappings'!$E595)),ISNUMBER(SEARCH(IF(H$1&lt;&gt;"",H$1,"NA"),'MITRE ATT&amp;CK Mappings'!$F595))),ISNUMBER(SEARCH(IF(H$2&lt;&gt;"",H$2,"NA"),'MITRE ATT&amp;CK Mappings'!$G595))),ISNUMBER(SEARCH(IF(H$2&lt;&gt;"",H$2,"NA"),'MITRE ATT&amp;CK Mappings'!$H595))),ISNUMBER(SEARCH(IF(H$3&lt;&gt;"",H$3,"NA"),'MITRE ATT&amp;CK Mappings'!$I595))),ISNUMBER(SEARCH(IF(H$3&lt;&gt;"",H$3,"NA"),'MITRE ATT&amp;CK Mappings'!$J595))), 'MITRE ATT&amp;CK Mappings'!$B595,"")</f>
        <v/>
      </c>
      <c r="I599" s="27" t="str">
        <f>IF(OR(OR(OR(OR(OR(ISNUMBER(SEARCH(IF(I$1&lt;&gt;"",I$1,"NA"),'MITRE ATT&amp;CK Mappings'!$E595)),ISNUMBER(SEARCH(IF(I$1&lt;&gt;"",I$1,"NA"),'MITRE ATT&amp;CK Mappings'!$F595))),ISNUMBER(SEARCH(IF(I$2&lt;&gt;"",I$2,"NA"),'MITRE ATT&amp;CK Mappings'!$G595))),ISNUMBER(SEARCH(IF(I$2&lt;&gt;"",I$2,"NA"),'MITRE ATT&amp;CK Mappings'!$H595))),ISNUMBER(SEARCH(IF(I$3&lt;&gt;"",I$3,"NA"),'MITRE ATT&amp;CK Mappings'!$I595))),ISNUMBER(SEARCH(IF(I$3&lt;&gt;"",I$3,"NA"),'MITRE ATT&amp;CK Mappings'!$J595))), 'MITRE ATT&amp;CK Mappings'!$B595,"")</f>
        <v/>
      </c>
      <c r="J599" s="27" t="str">
        <f>IF(OR(OR(OR(OR(OR(ISNUMBER(SEARCH(IF(J$1&lt;&gt;"",J$1,"NA"),'MITRE ATT&amp;CK Mappings'!$E595)),ISNUMBER(SEARCH(IF(J$1&lt;&gt;"",J$1,"NA"),'MITRE ATT&amp;CK Mappings'!$F595))),ISNUMBER(SEARCH(IF(J$2&lt;&gt;"",J$2,"NA"),'MITRE ATT&amp;CK Mappings'!$G595))),ISNUMBER(SEARCH(IF(J$2&lt;&gt;"",J$2,"NA"),'MITRE ATT&amp;CK Mappings'!$H595))),ISNUMBER(SEARCH(IF(J$3&lt;&gt;"",J$3,"NA"),'MITRE ATT&amp;CK Mappings'!$I595))),ISNUMBER(SEARCH(IF(J$3&lt;&gt;"",J$3,"NA"),'MITRE ATT&amp;CK Mappings'!$J595))), 'MITRE ATT&amp;CK Mappings'!$B595,"")</f>
        <v/>
      </c>
      <c r="K599" s="27" t="str">
        <f>IF(OR(OR(OR(OR(OR(ISNUMBER(SEARCH(IF(K$1&lt;&gt;"",K$1,"NA"),'MITRE ATT&amp;CK Mappings'!$E595)),ISNUMBER(SEARCH(IF(K$1&lt;&gt;"",K$1,"NA"),'MITRE ATT&amp;CK Mappings'!$F595))),ISNUMBER(SEARCH(IF(K$2&lt;&gt;"",K$2,"NA"),'MITRE ATT&amp;CK Mappings'!$G595))),ISNUMBER(SEARCH(IF(K$2&lt;&gt;"",K$2,"NA"),'MITRE ATT&amp;CK Mappings'!$H595))),ISNUMBER(SEARCH(IF(K$3&lt;&gt;"",K$3,"NA"),'MITRE ATT&amp;CK Mappings'!$I595))),ISNUMBER(SEARCH(IF(K$3&lt;&gt;"",K$3,"NA"),'MITRE ATT&amp;CK Mappings'!$J595))), 'MITRE ATT&amp;CK Mappings'!$B595,"")</f>
        <v/>
      </c>
      <c r="L599" s="27" t="str">
        <f>IF('MITRE ATT&amp;CK Mappings'!D595 &lt;&gt;"",'MITRE ATT&amp;CK Mappings'!D595,"" )</f>
        <v/>
      </c>
    </row>
    <row r="600" spans="1:12" x14ac:dyDescent="0.25">
      <c r="A600" s="26" t="str">
        <f>IF(COUNTIF(B600:K600,"="&amp;'MITRE ATT&amp;CK Mappings'!B596)&gt;0,'MITRE ATT&amp;CK Mappings'!B596,"")</f>
        <v/>
      </c>
      <c r="B600" s="26" t="str">
        <f>IF(OR(OR(OR(OR(OR(ISNUMBER(SEARCH(IF(B$1&lt;&gt;"",B$1,"NA"),'MITRE ATT&amp;CK Mappings'!$E596)),ISNUMBER(SEARCH(IF(B$1&lt;&gt;"",B$1,"NA"),'MITRE ATT&amp;CK Mappings'!$F596))),ISNUMBER(SEARCH(IF(B$2&lt;&gt;"",B$2,"NA"),'MITRE ATT&amp;CK Mappings'!$G596))),ISNUMBER(SEARCH(IF(B$2&lt;&gt;"",B$2,"NA"),'MITRE ATT&amp;CK Mappings'!$H596))),ISNUMBER(SEARCH(IF(B$3&lt;&gt;"",B$3,"NA"),'MITRE ATT&amp;CK Mappings'!$I596))),ISNUMBER(SEARCH(IF(B$3&lt;&gt;"",B$3,"NA"),'MITRE ATT&amp;CK Mappings'!$J596))), 'MITRE ATT&amp;CK Mappings'!$B596,"")</f>
        <v/>
      </c>
      <c r="C600" s="26" t="str">
        <f>IF(OR(OR(OR(OR(OR(ISNUMBER(SEARCH(IF(C$1&lt;&gt;"",C$1,"NA"),'MITRE ATT&amp;CK Mappings'!$E596)),ISNUMBER(SEARCH(IF(C$1&lt;&gt;"",C$1,"NA"),'MITRE ATT&amp;CK Mappings'!$F596))),ISNUMBER(SEARCH(IF(C$2&lt;&gt;"",C$2,"NA"),'MITRE ATT&amp;CK Mappings'!$G596))),ISNUMBER(SEARCH(IF(C$2&lt;&gt;"",C$2,"NA"),'MITRE ATT&amp;CK Mappings'!$H596))),ISNUMBER(SEARCH(IF(C$3&lt;&gt;"",C$3,"NA"),'MITRE ATT&amp;CK Mappings'!$I596))),ISNUMBER(SEARCH(IF(C$3&lt;&gt;"",C$3,"NA"),'MITRE ATT&amp;CK Mappings'!$J596))), 'MITRE ATT&amp;CK Mappings'!$B596,"")</f>
        <v/>
      </c>
      <c r="D600" s="26" t="str">
        <f>IF(OR(OR(OR(OR(OR(ISNUMBER(SEARCH(IF(D$1&lt;&gt;"",D$1,"NA"),'MITRE ATT&amp;CK Mappings'!$E596)),ISNUMBER(SEARCH(IF(D$1&lt;&gt;"",D$1,"NA"),'MITRE ATT&amp;CK Mappings'!$F596))),ISNUMBER(SEARCH(IF(D$2&lt;&gt;"",D$2,"NA"),'MITRE ATT&amp;CK Mappings'!$G596))),ISNUMBER(SEARCH(IF(D$2&lt;&gt;"",D$2,"NA"),'MITRE ATT&amp;CK Mappings'!$H596))),ISNUMBER(SEARCH(IF(D$3&lt;&gt;"",D$3,"NA"),'MITRE ATT&amp;CK Mappings'!$I596))),ISNUMBER(SEARCH(IF(D$3&lt;&gt;"",D$3,"NA"),'MITRE ATT&amp;CK Mappings'!$J596))), 'MITRE ATT&amp;CK Mappings'!$B596,"")</f>
        <v/>
      </c>
      <c r="E600" s="26" t="str">
        <f>IF(OR(OR(OR(OR(OR(ISNUMBER(SEARCH(IF(E$1&lt;&gt;"",E$1,"NA"),'MITRE ATT&amp;CK Mappings'!$E596)),ISNUMBER(SEARCH(IF(E$1&lt;&gt;"",E$1,"NA"),'MITRE ATT&amp;CK Mappings'!$F596))),ISNUMBER(SEARCH(IF(E$2&lt;&gt;"",E$2,"NA"),'MITRE ATT&amp;CK Mappings'!$G596))),ISNUMBER(SEARCH(IF(E$2&lt;&gt;"",E$2,"NA"),'MITRE ATT&amp;CK Mappings'!$H596))),ISNUMBER(SEARCH(IF(E$3&lt;&gt;"",E$3,"NA"),'MITRE ATT&amp;CK Mappings'!$I596))),ISNUMBER(SEARCH(IF(E$3&lt;&gt;"",E$3,"NA"),'MITRE ATT&amp;CK Mappings'!$J596))), 'MITRE ATT&amp;CK Mappings'!$B596,"")</f>
        <v/>
      </c>
      <c r="F600" s="26" t="str">
        <f>IF(OR(OR(OR(OR(OR(ISNUMBER(SEARCH(IF(F$1&lt;&gt;"",F$1,"NA"),'MITRE ATT&amp;CK Mappings'!$E596)),ISNUMBER(SEARCH(IF(F$1&lt;&gt;"",F$1,"NA"),'MITRE ATT&amp;CK Mappings'!$F596))),ISNUMBER(SEARCH(IF(F$2&lt;&gt;"",F$2,"NA"),'MITRE ATT&amp;CK Mappings'!$G596))),ISNUMBER(SEARCH(IF(F$2&lt;&gt;"",F$2,"NA"),'MITRE ATT&amp;CK Mappings'!$H596))),ISNUMBER(SEARCH(IF(F$3&lt;&gt;"",F$3,"NA"),'MITRE ATT&amp;CK Mappings'!$I596))),ISNUMBER(SEARCH(IF(F$3&lt;&gt;"",F$3,"NA"),'MITRE ATT&amp;CK Mappings'!$J596))), 'MITRE ATT&amp;CK Mappings'!$B596,"")</f>
        <v/>
      </c>
      <c r="G600" s="26" t="str">
        <f>IF(OR(OR(OR(OR(OR(ISNUMBER(SEARCH(IF(G$1&lt;&gt;"",G$1,"NA"),'MITRE ATT&amp;CK Mappings'!$E596)),ISNUMBER(SEARCH(IF(G$1&lt;&gt;"",G$1,"NA"),'MITRE ATT&amp;CK Mappings'!$F596))),ISNUMBER(SEARCH(IF(G$2&lt;&gt;"",G$2,"NA"),'MITRE ATT&amp;CK Mappings'!$G596))),ISNUMBER(SEARCH(IF(G$2&lt;&gt;"",G$2,"NA"),'MITRE ATT&amp;CK Mappings'!$H596))),ISNUMBER(SEARCH(IF(G$3&lt;&gt;"",G$3,"NA"),'MITRE ATT&amp;CK Mappings'!$I596))),ISNUMBER(SEARCH(IF(G$3&lt;&gt;"",G$3,"NA"),'MITRE ATT&amp;CK Mappings'!$J596))), 'MITRE ATT&amp;CK Mappings'!$B596,"")</f>
        <v/>
      </c>
      <c r="H600" s="26" t="str">
        <f>IF(OR(OR(OR(OR(OR(ISNUMBER(SEARCH(IF(H$1&lt;&gt;"",H$1,"NA"),'MITRE ATT&amp;CK Mappings'!$E596)),ISNUMBER(SEARCH(IF(H$1&lt;&gt;"",H$1,"NA"),'MITRE ATT&amp;CK Mappings'!$F596))),ISNUMBER(SEARCH(IF(H$2&lt;&gt;"",H$2,"NA"),'MITRE ATT&amp;CK Mappings'!$G596))),ISNUMBER(SEARCH(IF(H$2&lt;&gt;"",H$2,"NA"),'MITRE ATT&amp;CK Mappings'!$H596))),ISNUMBER(SEARCH(IF(H$3&lt;&gt;"",H$3,"NA"),'MITRE ATT&amp;CK Mappings'!$I596))),ISNUMBER(SEARCH(IF(H$3&lt;&gt;"",H$3,"NA"),'MITRE ATT&amp;CK Mappings'!$J596))), 'MITRE ATT&amp;CK Mappings'!$B596,"")</f>
        <v/>
      </c>
      <c r="I600" s="26" t="str">
        <f>IF(OR(OR(OR(OR(OR(ISNUMBER(SEARCH(IF(I$1&lt;&gt;"",I$1,"NA"),'MITRE ATT&amp;CK Mappings'!$E596)),ISNUMBER(SEARCH(IF(I$1&lt;&gt;"",I$1,"NA"),'MITRE ATT&amp;CK Mappings'!$F596))),ISNUMBER(SEARCH(IF(I$2&lt;&gt;"",I$2,"NA"),'MITRE ATT&amp;CK Mappings'!$G596))),ISNUMBER(SEARCH(IF(I$2&lt;&gt;"",I$2,"NA"),'MITRE ATT&amp;CK Mappings'!$H596))),ISNUMBER(SEARCH(IF(I$3&lt;&gt;"",I$3,"NA"),'MITRE ATT&amp;CK Mappings'!$I596))),ISNUMBER(SEARCH(IF(I$3&lt;&gt;"",I$3,"NA"),'MITRE ATT&amp;CK Mappings'!$J596))), 'MITRE ATT&amp;CK Mappings'!$B596,"")</f>
        <v/>
      </c>
      <c r="J600" s="26" t="str">
        <f>IF(OR(OR(OR(OR(OR(ISNUMBER(SEARCH(IF(J$1&lt;&gt;"",J$1,"NA"),'MITRE ATT&amp;CK Mappings'!$E596)),ISNUMBER(SEARCH(IF(J$1&lt;&gt;"",J$1,"NA"),'MITRE ATT&amp;CK Mappings'!$F596))),ISNUMBER(SEARCH(IF(J$2&lt;&gt;"",J$2,"NA"),'MITRE ATT&amp;CK Mappings'!$G596))),ISNUMBER(SEARCH(IF(J$2&lt;&gt;"",J$2,"NA"),'MITRE ATT&amp;CK Mappings'!$H596))),ISNUMBER(SEARCH(IF(J$3&lt;&gt;"",J$3,"NA"),'MITRE ATT&amp;CK Mappings'!$I596))),ISNUMBER(SEARCH(IF(J$3&lt;&gt;"",J$3,"NA"),'MITRE ATT&amp;CK Mappings'!$J596))), 'MITRE ATT&amp;CK Mappings'!$B596,"")</f>
        <v/>
      </c>
      <c r="K600" s="26" t="str">
        <f>IF(OR(OR(OR(OR(OR(ISNUMBER(SEARCH(IF(K$1&lt;&gt;"",K$1,"NA"),'MITRE ATT&amp;CK Mappings'!$E596)),ISNUMBER(SEARCH(IF(K$1&lt;&gt;"",K$1,"NA"),'MITRE ATT&amp;CK Mappings'!$F596))),ISNUMBER(SEARCH(IF(K$2&lt;&gt;"",K$2,"NA"),'MITRE ATT&amp;CK Mappings'!$G596))),ISNUMBER(SEARCH(IF(K$2&lt;&gt;"",K$2,"NA"),'MITRE ATT&amp;CK Mappings'!$H596))),ISNUMBER(SEARCH(IF(K$3&lt;&gt;"",K$3,"NA"),'MITRE ATT&amp;CK Mappings'!$I596))),ISNUMBER(SEARCH(IF(K$3&lt;&gt;"",K$3,"NA"),'MITRE ATT&amp;CK Mappings'!$J596))), 'MITRE ATT&amp;CK Mappings'!$B596,"")</f>
        <v/>
      </c>
      <c r="L600" s="26" t="str">
        <f>IF('MITRE ATT&amp;CK Mappings'!D596 &lt;&gt;"",'MITRE ATT&amp;CK Mappings'!D596,"" )</f>
        <v/>
      </c>
    </row>
    <row r="601" spans="1:12" x14ac:dyDescent="0.25">
      <c r="A601" s="27" t="str">
        <f>IF(COUNTIF(B601:K601,"="&amp;'MITRE ATT&amp;CK Mappings'!B597)&gt;0,'MITRE ATT&amp;CK Mappings'!B597,"")</f>
        <v/>
      </c>
      <c r="B601" s="27" t="str">
        <f>IF(OR(OR(OR(OR(OR(ISNUMBER(SEARCH(IF(B$1&lt;&gt;"",B$1,"NA"),'MITRE ATT&amp;CK Mappings'!$E597)),ISNUMBER(SEARCH(IF(B$1&lt;&gt;"",B$1,"NA"),'MITRE ATT&amp;CK Mappings'!$F597))),ISNUMBER(SEARCH(IF(B$2&lt;&gt;"",B$2,"NA"),'MITRE ATT&amp;CK Mappings'!$G597))),ISNUMBER(SEARCH(IF(B$2&lt;&gt;"",B$2,"NA"),'MITRE ATT&amp;CK Mappings'!$H597))),ISNUMBER(SEARCH(IF(B$3&lt;&gt;"",B$3,"NA"),'MITRE ATT&amp;CK Mappings'!$I597))),ISNUMBER(SEARCH(IF(B$3&lt;&gt;"",B$3,"NA"),'MITRE ATT&amp;CK Mappings'!$J597))), 'MITRE ATT&amp;CK Mappings'!$B597,"")</f>
        <v/>
      </c>
      <c r="C601" s="27" t="str">
        <f>IF(OR(OR(OR(OR(OR(ISNUMBER(SEARCH(IF(C$1&lt;&gt;"",C$1,"NA"),'MITRE ATT&amp;CK Mappings'!$E597)),ISNUMBER(SEARCH(IF(C$1&lt;&gt;"",C$1,"NA"),'MITRE ATT&amp;CK Mappings'!$F597))),ISNUMBER(SEARCH(IF(C$2&lt;&gt;"",C$2,"NA"),'MITRE ATT&amp;CK Mappings'!$G597))),ISNUMBER(SEARCH(IF(C$2&lt;&gt;"",C$2,"NA"),'MITRE ATT&amp;CK Mappings'!$H597))),ISNUMBER(SEARCH(IF(C$3&lt;&gt;"",C$3,"NA"),'MITRE ATT&amp;CK Mappings'!$I597))),ISNUMBER(SEARCH(IF(C$3&lt;&gt;"",C$3,"NA"),'MITRE ATT&amp;CK Mappings'!$J597))), 'MITRE ATT&amp;CK Mappings'!$B597,"")</f>
        <v/>
      </c>
      <c r="D601" s="27" t="str">
        <f>IF(OR(OR(OR(OR(OR(ISNUMBER(SEARCH(IF(D$1&lt;&gt;"",D$1,"NA"),'MITRE ATT&amp;CK Mappings'!$E597)),ISNUMBER(SEARCH(IF(D$1&lt;&gt;"",D$1,"NA"),'MITRE ATT&amp;CK Mappings'!$F597))),ISNUMBER(SEARCH(IF(D$2&lt;&gt;"",D$2,"NA"),'MITRE ATT&amp;CK Mappings'!$G597))),ISNUMBER(SEARCH(IF(D$2&lt;&gt;"",D$2,"NA"),'MITRE ATT&amp;CK Mappings'!$H597))),ISNUMBER(SEARCH(IF(D$3&lt;&gt;"",D$3,"NA"),'MITRE ATT&amp;CK Mappings'!$I597))),ISNUMBER(SEARCH(IF(D$3&lt;&gt;"",D$3,"NA"),'MITRE ATT&amp;CK Mappings'!$J597))), 'MITRE ATT&amp;CK Mappings'!$B597,"")</f>
        <v/>
      </c>
      <c r="E601" s="27" t="str">
        <f>IF(OR(OR(OR(OR(OR(ISNUMBER(SEARCH(IF(E$1&lt;&gt;"",E$1,"NA"),'MITRE ATT&amp;CK Mappings'!$E597)),ISNUMBER(SEARCH(IF(E$1&lt;&gt;"",E$1,"NA"),'MITRE ATT&amp;CK Mappings'!$F597))),ISNUMBER(SEARCH(IF(E$2&lt;&gt;"",E$2,"NA"),'MITRE ATT&amp;CK Mappings'!$G597))),ISNUMBER(SEARCH(IF(E$2&lt;&gt;"",E$2,"NA"),'MITRE ATT&amp;CK Mappings'!$H597))),ISNUMBER(SEARCH(IF(E$3&lt;&gt;"",E$3,"NA"),'MITRE ATT&amp;CK Mappings'!$I597))),ISNUMBER(SEARCH(IF(E$3&lt;&gt;"",E$3,"NA"),'MITRE ATT&amp;CK Mappings'!$J597))), 'MITRE ATT&amp;CK Mappings'!$B597,"")</f>
        <v/>
      </c>
      <c r="F601" s="27" t="str">
        <f>IF(OR(OR(OR(OR(OR(ISNUMBER(SEARCH(IF(F$1&lt;&gt;"",F$1,"NA"),'MITRE ATT&amp;CK Mappings'!$E597)),ISNUMBER(SEARCH(IF(F$1&lt;&gt;"",F$1,"NA"),'MITRE ATT&amp;CK Mappings'!$F597))),ISNUMBER(SEARCH(IF(F$2&lt;&gt;"",F$2,"NA"),'MITRE ATT&amp;CK Mappings'!$G597))),ISNUMBER(SEARCH(IF(F$2&lt;&gt;"",F$2,"NA"),'MITRE ATT&amp;CK Mappings'!$H597))),ISNUMBER(SEARCH(IF(F$3&lt;&gt;"",F$3,"NA"),'MITRE ATT&amp;CK Mappings'!$I597))),ISNUMBER(SEARCH(IF(F$3&lt;&gt;"",F$3,"NA"),'MITRE ATT&amp;CK Mappings'!$J597))), 'MITRE ATT&amp;CK Mappings'!$B597,"")</f>
        <v/>
      </c>
      <c r="G601" s="27" t="str">
        <f>IF(OR(OR(OR(OR(OR(ISNUMBER(SEARCH(IF(G$1&lt;&gt;"",G$1,"NA"),'MITRE ATT&amp;CK Mappings'!$E597)),ISNUMBER(SEARCH(IF(G$1&lt;&gt;"",G$1,"NA"),'MITRE ATT&amp;CK Mappings'!$F597))),ISNUMBER(SEARCH(IF(G$2&lt;&gt;"",G$2,"NA"),'MITRE ATT&amp;CK Mappings'!$G597))),ISNUMBER(SEARCH(IF(G$2&lt;&gt;"",G$2,"NA"),'MITRE ATT&amp;CK Mappings'!$H597))),ISNUMBER(SEARCH(IF(G$3&lt;&gt;"",G$3,"NA"),'MITRE ATT&amp;CK Mappings'!$I597))),ISNUMBER(SEARCH(IF(G$3&lt;&gt;"",G$3,"NA"),'MITRE ATT&amp;CK Mappings'!$J597))), 'MITRE ATT&amp;CK Mappings'!$B597,"")</f>
        <v/>
      </c>
      <c r="H601" s="27" t="str">
        <f>IF(OR(OR(OR(OR(OR(ISNUMBER(SEARCH(IF(H$1&lt;&gt;"",H$1,"NA"),'MITRE ATT&amp;CK Mappings'!$E597)),ISNUMBER(SEARCH(IF(H$1&lt;&gt;"",H$1,"NA"),'MITRE ATT&amp;CK Mappings'!$F597))),ISNUMBER(SEARCH(IF(H$2&lt;&gt;"",H$2,"NA"),'MITRE ATT&amp;CK Mappings'!$G597))),ISNUMBER(SEARCH(IF(H$2&lt;&gt;"",H$2,"NA"),'MITRE ATT&amp;CK Mappings'!$H597))),ISNUMBER(SEARCH(IF(H$3&lt;&gt;"",H$3,"NA"),'MITRE ATT&amp;CK Mappings'!$I597))),ISNUMBER(SEARCH(IF(H$3&lt;&gt;"",H$3,"NA"),'MITRE ATT&amp;CK Mappings'!$J597))), 'MITRE ATT&amp;CK Mappings'!$B597,"")</f>
        <v/>
      </c>
      <c r="I601" s="27" t="str">
        <f>IF(OR(OR(OR(OR(OR(ISNUMBER(SEARCH(IF(I$1&lt;&gt;"",I$1,"NA"),'MITRE ATT&amp;CK Mappings'!$E597)),ISNUMBER(SEARCH(IF(I$1&lt;&gt;"",I$1,"NA"),'MITRE ATT&amp;CK Mappings'!$F597))),ISNUMBER(SEARCH(IF(I$2&lt;&gt;"",I$2,"NA"),'MITRE ATT&amp;CK Mappings'!$G597))),ISNUMBER(SEARCH(IF(I$2&lt;&gt;"",I$2,"NA"),'MITRE ATT&amp;CK Mappings'!$H597))),ISNUMBER(SEARCH(IF(I$3&lt;&gt;"",I$3,"NA"),'MITRE ATT&amp;CK Mappings'!$I597))),ISNUMBER(SEARCH(IF(I$3&lt;&gt;"",I$3,"NA"),'MITRE ATT&amp;CK Mappings'!$J597))), 'MITRE ATT&amp;CK Mappings'!$B597,"")</f>
        <v/>
      </c>
      <c r="J601" s="27" t="str">
        <f>IF(OR(OR(OR(OR(OR(ISNUMBER(SEARCH(IF(J$1&lt;&gt;"",J$1,"NA"),'MITRE ATT&amp;CK Mappings'!$E597)),ISNUMBER(SEARCH(IF(J$1&lt;&gt;"",J$1,"NA"),'MITRE ATT&amp;CK Mappings'!$F597))),ISNUMBER(SEARCH(IF(J$2&lt;&gt;"",J$2,"NA"),'MITRE ATT&amp;CK Mappings'!$G597))),ISNUMBER(SEARCH(IF(J$2&lt;&gt;"",J$2,"NA"),'MITRE ATT&amp;CK Mappings'!$H597))),ISNUMBER(SEARCH(IF(J$3&lt;&gt;"",J$3,"NA"),'MITRE ATT&amp;CK Mappings'!$I597))),ISNUMBER(SEARCH(IF(J$3&lt;&gt;"",J$3,"NA"),'MITRE ATT&amp;CK Mappings'!$J597))), 'MITRE ATT&amp;CK Mappings'!$B597,"")</f>
        <v/>
      </c>
      <c r="K601" s="27" t="str">
        <f>IF(OR(OR(OR(OR(OR(ISNUMBER(SEARCH(IF(K$1&lt;&gt;"",K$1,"NA"),'MITRE ATT&amp;CK Mappings'!$E597)),ISNUMBER(SEARCH(IF(K$1&lt;&gt;"",K$1,"NA"),'MITRE ATT&amp;CK Mappings'!$F597))),ISNUMBER(SEARCH(IF(K$2&lt;&gt;"",K$2,"NA"),'MITRE ATT&amp;CK Mappings'!$G597))),ISNUMBER(SEARCH(IF(K$2&lt;&gt;"",K$2,"NA"),'MITRE ATT&amp;CK Mappings'!$H597))),ISNUMBER(SEARCH(IF(K$3&lt;&gt;"",K$3,"NA"),'MITRE ATT&amp;CK Mappings'!$I597))),ISNUMBER(SEARCH(IF(K$3&lt;&gt;"",K$3,"NA"),'MITRE ATT&amp;CK Mappings'!$J597))), 'MITRE ATT&amp;CK Mappings'!$B597,"")</f>
        <v/>
      </c>
      <c r="L601" s="27" t="str">
        <f>IF('MITRE ATT&amp;CK Mappings'!D597 &lt;&gt;"",'MITRE ATT&amp;CK Mappings'!D597,"" )</f>
        <v/>
      </c>
    </row>
    <row r="602" spans="1:12" x14ac:dyDescent="0.25">
      <c r="A602" s="26" t="str">
        <f>IF(COUNTIF(B602:K602,"="&amp;'MITRE ATT&amp;CK Mappings'!B598)&gt;0,'MITRE ATT&amp;CK Mappings'!B598,"")</f>
        <v/>
      </c>
      <c r="B602" s="26" t="str">
        <f>IF(OR(OR(OR(OR(OR(ISNUMBER(SEARCH(IF(B$1&lt;&gt;"",B$1,"NA"),'MITRE ATT&amp;CK Mappings'!$E598)),ISNUMBER(SEARCH(IF(B$1&lt;&gt;"",B$1,"NA"),'MITRE ATT&amp;CK Mappings'!$F598))),ISNUMBER(SEARCH(IF(B$2&lt;&gt;"",B$2,"NA"),'MITRE ATT&amp;CK Mappings'!$G598))),ISNUMBER(SEARCH(IF(B$2&lt;&gt;"",B$2,"NA"),'MITRE ATT&amp;CK Mappings'!$H598))),ISNUMBER(SEARCH(IF(B$3&lt;&gt;"",B$3,"NA"),'MITRE ATT&amp;CK Mappings'!$I598))),ISNUMBER(SEARCH(IF(B$3&lt;&gt;"",B$3,"NA"),'MITRE ATT&amp;CK Mappings'!$J598))), 'MITRE ATT&amp;CK Mappings'!$B598,"")</f>
        <v/>
      </c>
      <c r="C602" s="26" t="str">
        <f>IF(OR(OR(OR(OR(OR(ISNUMBER(SEARCH(IF(C$1&lt;&gt;"",C$1,"NA"),'MITRE ATT&amp;CK Mappings'!$E598)),ISNUMBER(SEARCH(IF(C$1&lt;&gt;"",C$1,"NA"),'MITRE ATT&amp;CK Mappings'!$F598))),ISNUMBER(SEARCH(IF(C$2&lt;&gt;"",C$2,"NA"),'MITRE ATT&amp;CK Mappings'!$G598))),ISNUMBER(SEARCH(IF(C$2&lt;&gt;"",C$2,"NA"),'MITRE ATT&amp;CK Mappings'!$H598))),ISNUMBER(SEARCH(IF(C$3&lt;&gt;"",C$3,"NA"),'MITRE ATT&amp;CK Mappings'!$I598))),ISNUMBER(SEARCH(IF(C$3&lt;&gt;"",C$3,"NA"),'MITRE ATT&amp;CK Mappings'!$J598))), 'MITRE ATT&amp;CK Mappings'!$B598,"")</f>
        <v/>
      </c>
      <c r="D602" s="26" t="str">
        <f>IF(OR(OR(OR(OR(OR(ISNUMBER(SEARCH(IF(D$1&lt;&gt;"",D$1,"NA"),'MITRE ATT&amp;CK Mappings'!$E598)),ISNUMBER(SEARCH(IF(D$1&lt;&gt;"",D$1,"NA"),'MITRE ATT&amp;CK Mappings'!$F598))),ISNUMBER(SEARCH(IF(D$2&lt;&gt;"",D$2,"NA"),'MITRE ATT&amp;CK Mappings'!$G598))),ISNUMBER(SEARCH(IF(D$2&lt;&gt;"",D$2,"NA"),'MITRE ATT&amp;CK Mappings'!$H598))),ISNUMBER(SEARCH(IF(D$3&lt;&gt;"",D$3,"NA"),'MITRE ATT&amp;CK Mappings'!$I598))),ISNUMBER(SEARCH(IF(D$3&lt;&gt;"",D$3,"NA"),'MITRE ATT&amp;CK Mappings'!$J598))), 'MITRE ATT&amp;CK Mappings'!$B598,"")</f>
        <v/>
      </c>
      <c r="E602" s="26" t="str">
        <f>IF(OR(OR(OR(OR(OR(ISNUMBER(SEARCH(IF(E$1&lt;&gt;"",E$1,"NA"),'MITRE ATT&amp;CK Mappings'!$E598)),ISNUMBER(SEARCH(IF(E$1&lt;&gt;"",E$1,"NA"),'MITRE ATT&amp;CK Mappings'!$F598))),ISNUMBER(SEARCH(IF(E$2&lt;&gt;"",E$2,"NA"),'MITRE ATT&amp;CK Mappings'!$G598))),ISNUMBER(SEARCH(IF(E$2&lt;&gt;"",E$2,"NA"),'MITRE ATT&amp;CK Mappings'!$H598))),ISNUMBER(SEARCH(IF(E$3&lt;&gt;"",E$3,"NA"),'MITRE ATT&amp;CK Mappings'!$I598))),ISNUMBER(SEARCH(IF(E$3&lt;&gt;"",E$3,"NA"),'MITRE ATT&amp;CK Mappings'!$J598))), 'MITRE ATT&amp;CK Mappings'!$B598,"")</f>
        <v/>
      </c>
      <c r="F602" s="26" t="str">
        <f>IF(OR(OR(OR(OR(OR(ISNUMBER(SEARCH(IF(F$1&lt;&gt;"",F$1,"NA"),'MITRE ATT&amp;CK Mappings'!$E598)),ISNUMBER(SEARCH(IF(F$1&lt;&gt;"",F$1,"NA"),'MITRE ATT&amp;CK Mappings'!$F598))),ISNUMBER(SEARCH(IF(F$2&lt;&gt;"",F$2,"NA"),'MITRE ATT&amp;CK Mappings'!$G598))),ISNUMBER(SEARCH(IF(F$2&lt;&gt;"",F$2,"NA"),'MITRE ATT&amp;CK Mappings'!$H598))),ISNUMBER(SEARCH(IF(F$3&lt;&gt;"",F$3,"NA"),'MITRE ATT&amp;CK Mappings'!$I598))),ISNUMBER(SEARCH(IF(F$3&lt;&gt;"",F$3,"NA"),'MITRE ATT&amp;CK Mappings'!$J598))), 'MITRE ATT&amp;CK Mappings'!$B598,"")</f>
        <v/>
      </c>
      <c r="G602" s="26" t="str">
        <f>IF(OR(OR(OR(OR(OR(ISNUMBER(SEARCH(IF(G$1&lt;&gt;"",G$1,"NA"),'MITRE ATT&amp;CK Mappings'!$E598)),ISNUMBER(SEARCH(IF(G$1&lt;&gt;"",G$1,"NA"),'MITRE ATT&amp;CK Mappings'!$F598))),ISNUMBER(SEARCH(IF(G$2&lt;&gt;"",G$2,"NA"),'MITRE ATT&amp;CK Mappings'!$G598))),ISNUMBER(SEARCH(IF(G$2&lt;&gt;"",G$2,"NA"),'MITRE ATT&amp;CK Mappings'!$H598))),ISNUMBER(SEARCH(IF(G$3&lt;&gt;"",G$3,"NA"),'MITRE ATT&amp;CK Mappings'!$I598))),ISNUMBER(SEARCH(IF(G$3&lt;&gt;"",G$3,"NA"),'MITRE ATT&amp;CK Mappings'!$J598))), 'MITRE ATT&amp;CK Mappings'!$B598,"")</f>
        <v/>
      </c>
      <c r="H602" s="26" t="str">
        <f>IF(OR(OR(OR(OR(OR(ISNUMBER(SEARCH(IF(H$1&lt;&gt;"",H$1,"NA"),'MITRE ATT&amp;CK Mappings'!$E598)),ISNUMBER(SEARCH(IF(H$1&lt;&gt;"",H$1,"NA"),'MITRE ATT&amp;CK Mappings'!$F598))),ISNUMBER(SEARCH(IF(H$2&lt;&gt;"",H$2,"NA"),'MITRE ATT&amp;CK Mappings'!$G598))),ISNUMBER(SEARCH(IF(H$2&lt;&gt;"",H$2,"NA"),'MITRE ATT&amp;CK Mappings'!$H598))),ISNUMBER(SEARCH(IF(H$3&lt;&gt;"",H$3,"NA"),'MITRE ATT&amp;CK Mappings'!$I598))),ISNUMBER(SEARCH(IF(H$3&lt;&gt;"",H$3,"NA"),'MITRE ATT&amp;CK Mappings'!$J598))), 'MITRE ATT&amp;CK Mappings'!$B598,"")</f>
        <v/>
      </c>
      <c r="I602" s="26" t="str">
        <f>IF(OR(OR(OR(OR(OR(ISNUMBER(SEARCH(IF(I$1&lt;&gt;"",I$1,"NA"),'MITRE ATT&amp;CK Mappings'!$E598)),ISNUMBER(SEARCH(IF(I$1&lt;&gt;"",I$1,"NA"),'MITRE ATT&amp;CK Mappings'!$F598))),ISNUMBER(SEARCH(IF(I$2&lt;&gt;"",I$2,"NA"),'MITRE ATT&amp;CK Mappings'!$G598))),ISNUMBER(SEARCH(IF(I$2&lt;&gt;"",I$2,"NA"),'MITRE ATT&amp;CK Mappings'!$H598))),ISNUMBER(SEARCH(IF(I$3&lt;&gt;"",I$3,"NA"),'MITRE ATT&amp;CK Mappings'!$I598))),ISNUMBER(SEARCH(IF(I$3&lt;&gt;"",I$3,"NA"),'MITRE ATT&amp;CK Mappings'!$J598))), 'MITRE ATT&amp;CK Mappings'!$B598,"")</f>
        <v/>
      </c>
      <c r="J602" s="26" t="str">
        <f>IF(OR(OR(OR(OR(OR(ISNUMBER(SEARCH(IF(J$1&lt;&gt;"",J$1,"NA"),'MITRE ATT&amp;CK Mappings'!$E598)),ISNUMBER(SEARCH(IF(J$1&lt;&gt;"",J$1,"NA"),'MITRE ATT&amp;CK Mappings'!$F598))),ISNUMBER(SEARCH(IF(J$2&lt;&gt;"",J$2,"NA"),'MITRE ATT&amp;CK Mappings'!$G598))),ISNUMBER(SEARCH(IF(J$2&lt;&gt;"",J$2,"NA"),'MITRE ATT&amp;CK Mappings'!$H598))),ISNUMBER(SEARCH(IF(J$3&lt;&gt;"",J$3,"NA"),'MITRE ATT&amp;CK Mappings'!$I598))),ISNUMBER(SEARCH(IF(J$3&lt;&gt;"",J$3,"NA"),'MITRE ATT&amp;CK Mappings'!$J598))), 'MITRE ATT&amp;CK Mappings'!$B598,"")</f>
        <v/>
      </c>
      <c r="K602" s="26" t="str">
        <f>IF(OR(OR(OR(OR(OR(ISNUMBER(SEARCH(IF(K$1&lt;&gt;"",K$1,"NA"),'MITRE ATT&amp;CK Mappings'!$E598)),ISNUMBER(SEARCH(IF(K$1&lt;&gt;"",K$1,"NA"),'MITRE ATT&amp;CK Mappings'!$F598))),ISNUMBER(SEARCH(IF(K$2&lt;&gt;"",K$2,"NA"),'MITRE ATT&amp;CK Mappings'!$G598))),ISNUMBER(SEARCH(IF(K$2&lt;&gt;"",K$2,"NA"),'MITRE ATT&amp;CK Mappings'!$H598))),ISNUMBER(SEARCH(IF(K$3&lt;&gt;"",K$3,"NA"),'MITRE ATT&amp;CK Mappings'!$I598))),ISNUMBER(SEARCH(IF(K$3&lt;&gt;"",K$3,"NA"),'MITRE ATT&amp;CK Mappings'!$J598))), 'MITRE ATT&amp;CK Mappings'!$B598,"")</f>
        <v/>
      </c>
      <c r="L602" s="26" t="str">
        <f>IF('MITRE ATT&amp;CK Mappings'!D598 &lt;&gt;"",'MITRE ATT&amp;CK Mappings'!D598,"" )</f>
        <v/>
      </c>
    </row>
    <row r="603" spans="1:12" x14ac:dyDescent="0.25">
      <c r="A603" s="27" t="str">
        <f>IF(COUNTIF(B603:K603,"="&amp;'MITRE ATT&amp;CK Mappings'!B599)&gt;0,'MITRE ATT&amp;CK Mappings'!B599,"")</f>
        <v/>
      </c>
      <c r="B603" s="27" t="str">
        <f>IF(OR(OR(OR(OR(OR(ISNUMBER(SEARCH(IF(B$1&lt;&gt;"",B$1,"NA"),'MITRE ATT&amp;CK Mappings'!$E599)),ISNUMBER(SEARCH(IF(B$1&lt;&gt;"",B$1,"NA"),'MITRE ATT&amp;CK Mappings'!$F599))),ISNUMBER(SEARCH(IF(B$2&lt;&gt;"",B$2,"NA"),'MITRE ATT&amp;CK Mappings'!$G599))),ISNUMBER(SEARCH(IF(B$2&lt;&gt;"",B$2,"NA"),'MITRE ATT&amp;CK Mappings'!$H599))),ISNUMBER(SEARCH(IF(B$3&lt;&gt;"",B$3,"NA"),'MITRE ATT&amp;CK Mappings'!$I599))),ISNUMBER(SEARCH(IF(B$3&lt;&gt;"",B$3,"NA"),'MITRE ATT&amp;CK Mappings'!$J599))), 'MITRE ATT&amp;CK Mappings'!$B599,"")</f>
        <v/>
      </c>
      <c r="C603" s="27" t="str">
        <f>IF(OR(OR(OR(OR(OR(ISNUMBER(SEARCH(IF(C$1&lt;&gt;"",C$1,"NA"),'MITRE ATT&amp;CK Mappings'!$E599)),ISNUMBER(SEARCH(IF(C$1&lt;&gt;"",C$1,"NA"),'MITRE ATT&amp;CK Mappings'!$F599))),ISNUMBER(SEARCH(IF(C$2&lt;&gt;"",C$2,"NA"),'MITRE ATT&amp;CK Mappings'!$G599))),ISNUMBER(SEARCH(IF(C$2&lt;&gt;"",C$2,"NA"),'MITRE ATT&amp;CK Mappings'!$H599))),ISNUMBER(SEARCH(IF(C$3&lt;&gt;"",C$3,"NA"),'MITRE ATT&amp;CK Mappings'!$I599))),ISNUMBER(SEARCH(IF(C$3&lt;&gt;"",C$3,"NA"),'MITRE ATT&amp;CK Mappings'!$J599))), 'MITRE ATT&amp;CK Mappings'!$B599,"")</f>
        <v/>
      </c>
      <c r="D603" s="27" t="str">
        <f>IF(OR(OR(OR(OR(OR(ISNUMBER(SEARCH(IF(D$1&lt;&gt;"",D$1,"NA"),'MITRE ATT&amp;CK Mappings'!$E599)),ISNUMBER(SEARCH(IF(D$1&lt;&gt;"",D$1,"NA"),'MITRE ATT&amp;CK Mappings'!$F599))),ISNUMBER(SEARCH(IF(D$2&lt;&gt;"",D$2,"NA"),'MITRE ATT&amp;CK Mappings'!$G599))),ISNUMBER(SEARCH(IF(D$2&lt;&gt;"",D$2,"NA"),'MITRE ATT&amp;CK Mappings'!$H599))),ISNUMBER(SEARCH(IF(D$3&lt;&gt;"",D$3,"NA"),'MITRE ATT&amp;CK Mappings'!$I599))),ISNUMBER(SEARCH(IF(D$3&lt;&gt;"",D$3,"NA"),'MITRE ATT&amp;CK Mappings'!$J599))), 'MITRE ATT&amp;CK Mappings'!$B599,"")</f>
        <v/>
      </c>
      <c r="E603" s="27" t="str">
        <f>IF(OR(OR(OR(OR(OR(ISNUMBER(SEARCH(IF(E$1&lt;&gt;"",E$1,"NA"),'MITRE ATT&amp;CK Mappings'!$E599)),ISNUMBER(SEARCH(IF(E$1&lt;&gt;"",E$1,"NA"),'MITRE ATT&amp;CK Mappings'!$F599))),ISNUMBER(SEARCH(IF(E$2&lt;&gt;"",E$2,"NA"),'MITRE ATT&amp;CK Mappings'!$G599))),ISNUMBER(SEARCH(IF(E$2&lt;&gt;"",E$2,"NA"),'MITRE ATT&amp;CK Mappings'!$H599))),ISNUMBER(SEARCH(IF(E$3&lt;&gt;"",E$3,"NA"),'MITRE ATT&amp;CK Mappings'!$I599))),ISNUMBER(SEARCH(IF(E$3&lt;&gt;"",E$3,"NA"),'MITRE ATT&amp;CK Mappings'!$J599))), 'MITRE ATT&amp;CK Mappings'!$B599,"")</f>
        <v/>
      </c>
      <c r="F603" s="27" t="str">
        <f>IF(OR(OR(OR(OR(OR(ISNUMBER(SEARCH(IF(F$1&lt;&gt;"",F$1,"NA"),'MITRE ATT&amp;CK Mappings'!$E599)),ISNUMBER(SEARCH(IF(F$1&lt;&gt;"",F$1,"NA"),'MITRE ATT&amp;CK Mappings'!$F599))),ISNUMBER(SEARCH(IF(F$2&lt;&gt;"",F$2,"NA"),'MITRE ATT&amp;CK Mappings'!$G599))),ISNUMBER(SEARCH(IF(F$2&lt;&gt;"",F$2,"NA"),'MITRE ATT&amp;CK Mappings'!$H599))),ISNUMBER(SEARCH(IF(F$3&lt;&gt;"",F$3,"NA"),'MITRE ATT&amp;CK Mappings'!$I599))),ISNUMBER(SEARCH(IF(F$3&lt;&gt;"",F$3,"NA"),'MITRE ATT&amp;CK Mappings'!$J599))), 'MITRE ATT&amp;CK Mappings'!$B599,"")</f>
        <v/>
      </c>
      <c r="G603" s="27" t="str">
        <f>IF(OR(OR(OR(OR(OR(ISNUMBER(SEARCH(IF(G$1&lt;&gt;"",G$1,"NA"),'MITRE ATT&amp;CK Mappings'!$E599)),ISNUMBER(SEARCH(IF(G$1&lt;&gt;"",G$1,"NA"),'MITRE ATT&amp;CK Mappings'!$F599))),ISNUMBER(SEARCH(IF(G$2&lt;&gt;"",G$2,"NA"),'MITRE ATT&amp;CK Mappings'!$G599))),ISNUMBER(SEARCH(IF(G$2&lt;&gt;"",G$2,"NA"),'MITRE ATT&amp;CK Mappings'!$H599))),ISNUMBER(SEARCH(IF(G$3&lt;&gt;"",G$3,"NA"),'MITRE ATT&amp;CK Mappings'!$I599))),ISNUMBER(SEARCH(IF(G$3&lt;&gt;"",G$3,"NA"),'MITRE ATT&amp;CK Mappings'!$J599))), 'MITRE ATT&amp;CK Mappings'!$B599,"")</f>
        <v/>
      </c>
      <c r="H603" s="27" t="str">
        <f>IF(OR(OR(OR(OR(OR(ISNUMBER(SEARCH(IF(H$1&lt;&gt;"",H$1,"NA"),'MITRE ATT&amp;CK Mappings'!$E599)),ISNUMBER(SEARCH(IF(H$1&lt;&gt;"",H$1,"NA"),'MITRE ATT&amp;CK Mappings'!$F599))),ISNUMBER(SEARCH(IF(H$2&lt;&gt;"",H$2,"NA"),'MITRE ATT&amp;CK Mappings'!$G599))),ISNUMBER(SEARCH(IF(H$2&lt;&gt;"",H$2,"NA"),'MITRE ATT&amp;CK Mappings'!$H599))),ISNUMBER(SEARCH(IF(H$3&lt;&gt;"",H$3,"NA"),'MITRE ATT&amp;CK Mappings'!$I599))),ISNUMBER(SEARCH(IF(H$3&lt;&gt;"",H$3,"NA"),'MITRE ATT&amp;CK Mappings'!$J599))), 'MITRE ATT&amp;CK Mappings'!$B599,"")</f>
        <v/>
      </c>
      <c r="I603" s="27" t="str">
        <f>IF(OR(OR(OR(OR(OR(ISNUMBER(SEARCH(IF(I$1&lt;&gt;"",I$1,"NA"),'MITRE ATT&amp;CK Mappings'!$E599)),ISNUMBER(SEARCH(IF(I$1&lt;&gt;"",I$1,"NA"),'MITRE ATT&amp;CK Mappings'!$F599))),ISNUMBER(SEARCH(IF(I$2&lt;&gt;"",I$2,"NA"),'MITRE ATT&amp;CK Mappings'!$G599))),ISNUMBER(SEARCH(IF(I$2&lt;&gt;"",I$2,"NA"),'MITRE ATT&amp;CK Mappings'!$H599))),ISNUMBER(SEARCH(IF(I$3&lt;&gt;"",I$3,"NA"),'MITRE ATT&amp;CK Mappings'!$I599))),ISNUMBER(SEARCH(IF(I$3&lt;&gt;"",I$3,"NA"),'MITRE ATT&amp;CK Mappings'!$J599))), 'MITRE ATT&amp;CK Mappings'!$B599,"")</f>
        <v/>
      </c>
      <c r="J603" s="27" t="str">
        <f>IF(OR(OR(OR(OR(OR(ISNUMBER(SEARCH(IF(J$1&lt;&gt;"",J$1,"NA"),'MITRE ATT&amp;CK Mappings'!$E599)),ISNUMBER(SEARCH(IF(J$1&lt;&gt;"",J$1,"NA"),'MITRE ATT&amp;CK Mappings'!$F599))),ISNUMBER(SEARCH(IF(J$2&lt;&gt;"",J$2,"NA"),'MITRE ATT&amp;CK Mappings'!$G599))),ISNUMBER(SEARCH(IF(J$2&lt;&gt;"",J$2,"NA"),'MITRE ATT&amp;CK Mappings'!$H599))),ISNUMBER(SEARCH(IF(J$3&lt;&gt;"",J$3,"NA"),'MITRE ATT&amp;CK Mappings'!$I599))),ISNUMBER(SEARCH(IF(J$3&lt;&gt;"",J$3,"NA"),'MITRE ATT&amp;CK Mappings'!$J599))), 'MITRE ATT&amp;CK Mappings'!$B599,"")</f>
        <v/>
      </c>
      <c r="K603" s="27" t="str">
        <f>IF(OR(OR(OR(OR(OR(ISNUMBER(SEARCH(IF(K$1&lt;&gt;"",K$1,"NA"),'MITRE ATT&amp;CK Mappings'!$E599)),ISNUMBER(SEARCH(IF(K$1&lt;&gt;"",K$1,"NA"),'MITRE ATT&amp;CK Mappings'!$F599))),ISNUMBER(SEARCH(IF(K$2&lt;&gt;"",K$2,"NA"),'MITRE ATT&amp;CK Mappings'!$G599))),ISNUMBER(SEARCH(IF(K$2&lt;&gt;"",K$2,"NA"),'MITRE ATT&amp;CK Mappings'!$H599))),ISNUMBER(SEARCH(IF(K$3&lt;&gt;"",K$3,"NA"),'MITRE ATT&amp;CK Mappings'!$I599))),ISNUMBER(SEARCH(IF(K$3&lt;&gt;"",K$3,"NA"),'MITRE ATT&amp;CK Mappings'!$J599))), 'MITRE ATT&amp;CK Mappings'!$B599,"")</f>
        <v/>
      </c>
      <c r="L603" s="27" t="str">
        <f>IF('MITRE ATT&amp;CK Mappings'!D599 &lt;&gt;"",'MITRE ATT&amp;CK Mappings'!D599,"" )</f>
        <v/>
      </c>
    </row>
    <row r="604" spans="1:12" x14ac:dyDescent="0.25">
      <c r="A604" s="26" t="str">
        <f>IF(COUNTIF(B604:K604,"="&amp;'MITRE ATT&amp;CK Mappings'!B600)&gt;0,'MITRE ATT&amp;CK Mappings'!B600,"")</f>
        <v/>
      </c>
      <c r="B604" s="26" t="str">
        <f>IF(OR(OR(OR(OR(OR(ISNUMBER(SEARCH(IF(B$1&lt;&gt;"",B$1,"NA"),'MITRE ATT&amp;CK Mappings'!$E600)),ISNUMBER(SEARCH(IF(B$1&lt;&gt;"",B$1,"NA"),'MITRE ATT&amp;CK Mappings'!$F600))),ISNUMBER(SEARCH(IF(B$2&lt;&gt;"",B$2,"NA"),'MITRE ATT&amp;CK Mappings'!$G600))),ISNUMBER(SEARCH(IF(B$2&lt;&gt;"",B$2,"NA"),'MITRE ATT&amp;CK Mappings'!$H600))),ISNUMBER(SEARCH(IF(B$3&lt;&gt;"",B$3,"NA"),'MITRE ATT&amp;CK Mappings'!$I600))),ISNUMBER(SEARCH(IF(B$3&lt;&gt;"",B$3,"NA"),'MITRE ATT&amp;CK Mappings'!$J600))), 'MITRE ATT&amp;CK Mappings'!$B600,"")</f>
        <v/>
      </c>
      <c r="C604" s="26" t="str">
        <f>IF(OR(OR(OR(OR(OR(ISNUMBER(SEARCH(IF(C$1&lt;&gt;"",C$1,"NA"),'MITRE ATT&amp;CK Mappings'!$E600)),ISNUMBER(SEARCH(IF(C$1&lt;&gt;"",C$1,"NA"),'MITRE ATT&amp;CK Mappings'!$F600))),ISNUMBER(SEARCH(IF(C$2&lt;&gt;"",C$2,"NA"),'MITRE ATT&amp;CK Mappings'!$G600))),ISNUMBER(SEARCH(IF(C$2&lt;&gt;"",C$2,"NA"),'MITRE ATT&amp;CK Mappings'!$H600))),ISNUMBER(SEARCH(IF(C$3&lt;&gt;"",C$3,"NA"),'MITRE ATT&amp;CK Mappings'!$I600))),ISNUMBER(SEARCH(IF(C$3&lt;&gt;"",C$3,"NA"),'MITRE ATT&amp;CK Mappings'!$J600))), 'MITRE ATT&amp;CK Mappings'!$B600,"")</f>
        <v/>
      </c>
      <c r="D604" s="26" t="str">
        <f>IF(OR(OR(OR(OR(OR(ISNUMBER(SEARCH(IF(D$1&lt;&gt;"",D$1,"NA"),'MITRE ATT&amp;CK Mappings'!$E600)),ISNUMBER(SEARCH(IF(D$1&lt;&gt;"",D$1,"NA"),'MITRE ATT&amp;CK Mappings'!$F600))),ISNUMBER(SEARCH(IF(D$2&lt;&gt;"",D$2,"NA"),'MITRE ATT&amp;CK Mappings'!$G600))),ISNUMBER(SEARCH(IF(D$2&lt;&gt;"",D$2,"NA"),'MITRE ATT&amp;CK Mappings'!$H600))),ISNUMBER(SEARCH(IF(D$3&lt;&gt;"",D$3,"NA"),'MITRE ATT&amp;CK Mappings'!$I600))),ISNUMBER(SEARCH(IF(D$3&lt;&gt;"",D$3,"NA"),'MITRE ATT&amp;CK Mappings'!$J600))), 'MITRE ATT&amp;CK Mappings'!$B600,"")</f>
        <v/>
      </c>
      <c r="E604" s="26" t="str">
        <f>IF(OR(OR(OR(OR(OR(ISNUMBER(SEARCH(IF(E$1&lt;&gt;"",E$1,"NA"),'MITRE ATT&amp;CK Mappings'!$E600)),ISNUMBER(SEARCH(IF(E$1&lt;&gt;"",E$1,"NA"),'MITRE ATT&amp;CK Mappings'!$F600))),ISNUMBER(SEARCH(IF(E$2&lt;&gt;"",E$2,"NA"),'MITRE ATT&amp;CK Mappings'!$G600))),ISNUMBER(SEARCH(IF(E$2&lt;&gt;"",E$2,"NA"),'MITRE ATT&amp;CK Mappings'!$H600))),ISNUMBER(SEARCH(IF(E$3&lt;&gt;"",E$3,"NA"),'MITRE ATT&amp;CK Mappings'!$I600))),ISNUMBER(SEARCH(IF(E$3&lt;&gt;"",E$3,"NA"),'MITRE ATT&amp;CK Mappings'!$J600))), 'MITRE ATT&amp;CK Mappings'!$B600,"")</f>
        <v/>
      </c>
      <c r="F604" s="26" t="str">
        <f>IF(OR(OR(OR(OR(OR(ISNUMBER(SEARCH(IF(F$1&lt;&gt;"",F$1,"NA"),'MITRE ATT&amp;CK Mappings'!$E600)),ISNUMBER(SEARCH(IF(F$1&lt;&gt;"",F$1,"NA"),'MITRE ATT&amp;CK Mappings'!$F600))),ISNUMBER(SEARCH(IF(F$2&lt;&gt;"",F$2,"NA"),'MITRE ATT&amp;CK Mappings'!$G600))),ISNUMBER(SEARCH(IF(F$2&lt;&gt;"",F$2,"NA"),'MITRE ATT&amp;CK Mappings'!$H600))),ISNUMBER(SEARCH(IF(F$3&lt;&gt;"",F$3,"NA"),'MITRE ATT&amp;CK Mappings'!$I600))),ISNUMBER(SEARCH(IF(F$3&lt;&gt;"",F$3,"NA"),'MITRE ATT&amp;CK Mappings'!$J600))), 'MITRE ATT&amp;CK Mappings'!$B600,"")</f>
        <v/>
      </c>
      <c r="G604" s="26" t="str">
        <f>IF(OR(OR(OR(OR(OR(ISNUMBER(SEARCH(IF(G$1&lt;&gt;"",G$1,"NA"),'MITRE ATT&amp;CK Mappings'!$E600)),ISNUMBER(SEARCH(IF(G$1&lt;&gt;"",G$1,"NA"),'MITRE ATT&amp;CK Mappings'!$F600))),ISNUMBER(SEARCH(IF(G$2&lt;&gt;"",G$2,"NA"),'MITRE ATT&amp;CK Mappings'!$G600))),ISNUMBER(SEARCH(IF(G$2&lt;&gt;"",G$2,"NA"),'MITRE ATT&amp;CK Mappings'!$H600))),ISNUMBER(SEARCH(IF(G$3&lt;&gt;"",G$3,"NA"),'MITRE ATT&amp;CK Mappings'!$I600))),ISNUMBER(SEARCH(IF(G$3&lt;&gt;"",G$3,"NA"),'MITRE ATT&amp;CK Mappings'!$J600))), 'MITRE ATT&amp;CK Mappings'!$B600,"")</f>
        <v/>
      </c>
      <c r="H604" s="26" t="str">
        <f>IF(OR(OR(OR(OR(OR(ISNUMBER(SEARCH(IF(H$1&lt;&gt;"",H$1,"NA"),'MITRE ATT&amp;CK Mappings'!$E600)),ISNUMBER(SEARCH(IF(H$1&lt;&gt;"",H$1,"NA"),'MITRE ATT&amp;CK Mappings'!$F600))),ISNUMBER(SEARCH(IF(H$2&lt;&gt;"",H$2,"NA"),'MITRE ATT&amp;CK Mappings'!$G600))),ISNUMBER(SEARCH(IF(H$2&lt;&gt;"",H$2,"NA"),'MITRE ATT&amp;CK Mappings'!$H600))),ISNUMBER(SEARCH(IF(H$3&lt;&gt;"",H$3,"NA"),'MITRE ATT&amp;CK Mappings'!$I600))),ISNUMBER(SEARCH(IF(H$3&lt;&gt;"",H$3,"NA"),'MITRE ATT&amp;CK Mappings'!$J600))), 'MITRE ATT&amp;CK Mappings'!$B600,"")</f>
        <v/>
      </c>
      <c r="I604" s="26" t="str">
        <f>IF(OR(OR(OR(OR(OR(ISNUMBER(SEARCH(IF(I$1&lt;&gt;"",I$1,"NA"),'MITRE ATT&amp;CK Mappings'!$E600)),ISNUMBER(SEARCH(IF(I$1&lt;&gt;"",I$1,"NA"),'MITRE ATT&amp;CK Mappings'!$F600))),ISNUMBER(SEARCH(IF(I$2&lt;&gt;"",I$2,"NA"),'MITRE ATT&amp;CK Mappings'!$G600))),ISNUMBER(SEARCH(IF(I$2&lt;&gt;"",I$2,"NA"),'MITRE ATT&amp;CK Mappings'!$H600))),ISNUMBER(SEARCH(IF(I$3&lt;&gt;"",I$3,"NA"),'MITRE ATT&amp;CK Mappings'!$I600))),ISNUMBER(SEARCH(IF(I$3&lt;&gt;"",I$3,"NA"),'MITRE ATT&amp;CK Mappings'!$J600))), 'MITRE ATT&amp;CK Mappings'!$B600,"")</f>
        <v/>
      </c>
      <c r="J604" s="26" t="str">
        <f>IF(OR(OR(OR(OR(OR(ISNUMBER(SEARCH(IF(J$1&lt;&gt;"",J$1,"NA"),'MITRE ATT&amp;CK Mappings'!$E600)),ISNUMBER(SEARCH(IF(J$1&lt;&gt;"",J$1,"NA"),'MITRE ATT&amp;CK Mappings'!$F600))),ISNUMBER(SEARCH(IF(J$2&lt;&gt;"",J$2,"NA"),'MITRE ATT&amp;CK Mappings'!$G600))),ISNUMBER(SEARCH(IF(J$2&lt;&gt;"",J$2,"NA"),'MITRE ATT&amp;CK Mappings'!$H600))),ISNUMBER(SEARCH(IF(J$3&lt;&gt;"",J$3,"NA"),'MITRE ATT&amp;CK Mappings'!$I600))),ISNUMBER(SEARCH(IF(J$3&lt;&gt;"",J$3,"NA"),'MITRE ATT&amp;CK Mappings'!$J600))), 'MITRE ATT&amp;CK Mappings'!$B600,"")</f>
        <v/>
      </c>
      <c r="K604" s="26" t="str">
        <f>IF(OR(OR(OR(OR(OR(ISNUMBER(SEARCH(IF(K$1&lt;&gt;"",K$1,"NA"),'MITRE ATT&amp;CK Mappings'!$E600)),ISNUMBER(SEARCH(IF(K$1&lt;&gt;"",K$1,"NA"),'MITRE ATT&amp;CK Mappings'!$F600))),ISNUMBER(SEARCH(IF(K$2&lt;&gt;"",K$2,"NA"),'MITRE ATT&amp;CK Mappings'!$G600))),ISNUMBER(SEARCH(IF(K$2&lt;&gt;"",K$2,"NA"),'MITRE ATT&amp;CK Mappings'!$H600))),ISNUMBER(SEARCH(IF(K$3&lt;&gt;"",K$3,"NA"),'MITRE ATT&amp;CK Mappings'!$I600))),ISNUMBER(SEARCH(IF(K$3&lt;&gt;"",K$3,"NA"),'MITRE ATT&amp;CK Mappings'!$J600))), 'MITRE ATT&amp;CK Mappings'!$B600,"")</f>
        <v/>
      </c>
      <c r="L604" s="26" t="str">
        <f>IF('MITRE ATT&amp;CK Mappings'!D600 &lt;&gt;"",'MITRE ATT&amp;CK Mappings'!D600,"" )</f>
        <v/>
      </c>
    </row>
    <row r="605" spans="1:12" x14ac:dyDescent="0.25">
      <c r="A605" s="27" t="str">
        <f>IF(COUNTIF(B605:K605,"="&amp;'MITRE ATT&amp;CK Mappings'!B601)&gt;0,'MITRE ATT&amp;CK Mappings'!B601,"")</f>
        <v/>
      </c>
      <c r="B605" s="27" t="str">
        <f>IF(OR(OR(OR(OR(OR(ISNUMBER(SEARCH(IF(B$1&lt;&gt;"",B$1,"NA"),'MITRE ATT&amp;CK Mappings'!$E601)),ISNUMBER(SEARCH(IF(B$1&lt;&gt;"",B$1,"NA"),'MITRE ATT&amp;CK Mappings'!$F601))),ISNUMBER(SEARCH(IF(B$2&lt;&gt;"",B$2,"NA"),'MITRE ATT&amp;CK Mappings'!$G601))),ISNUMBER(SEARCH(IF(B$2&lt;&gt;"",B$2,"NA"),'MITRE ATT&amp;CK Mappings'!$H601))),ISNUMBER(SEARCH(IF(B$3&lt;&gt;"",B$3,"NA"),'MITRE ATT&amp;CK Mappings'!$I601))),ISNUMBER(SEARCH(IF(B$3&lt;&gt;"",B$3,"NA"),'MITRE ATT&amp;CK Mappings'!$J601))), 'MITRE ATT&amp;CK Mappings'!$B601,"")</f>
        <v/>
      </c>
      <c r="C605" s="27" t="str">
        <f>IF(OR(OR(OR(OR(OR(ISNUMBER(SEARCH(IF(C$1&lt;&gt;"",C$1,"NA"),'MITRE ATT&amp;CK Mappings'!$E601)),ISNUMBER(SEARCH(IF(C$1&lt;&gt;"",C$1,"NA"),'MITRE ATT&amp;CK Mappings'!$F601))),ISNUMBER(SEARCH(IF(C$2&lt;&gt;"",C$2,"NA"),'MITRE ATT&amp;CK Mappings'!$G601))),ISNUMBER(SEARCH(IF(C$2&lt;&gt;"",C$2,"NA"),'MITRE ATT&amp;CK Mappings'!$H601))),ISNUMBER(SEARCH(IF(C$3&lt;&gt;"",C$3,"NA"),'MITRE ATT&amp;CK Mappings'!$I601))),ISNUMBER(SEARCH(IF(C$3&lt;&gt;"",C$3,"NA"),'MITRE ATT&amp;CK Mappings'!$J601))), 'MITRE ATT&amp;CK Mappings'!$B601,"")</f>
        <v/>
      </c>
      <c r="D605" s="27" t="str">
        <f>IF(OR(OR(OR(OR(OR(ISNUMBER(SEARCH(IF(D$1&lt;&gt;"",D$1,"NA"),'MITRE ATT&amp;CK Mappings'!$E601)),ISNUMBER(SEARCH(IF(D$1&lt;&gt;"",D$1,"NA"),'MITRE ATT&amp;CK Mappings'!$F601))),ISNUMBER(SEARCH(IF(D$2&lt;&gt;"",D$2,"NA"),'MITRE ATT&amp;CK Mappings'!$G601))),ISNUMBER(SEARCH(IF(D$2&lt;&gt;"",D$2,"NA"),'MITRE ATT&amp;CK Mappings'!$H601))),ISNUMBER(SEARCH(IF(D$3&lt;&gt;"",D$3,"NA"),'MITRE ATT&amp;CK Mappings'!$I601))),ISNUMBER(SEARCH(IF(D$3&lt;&gt;"",D$3,"NA"),'MITRE ATT&amp;CK Mappings'!$J601))), 'MITRE ATT&amp;CK Mappings'!$B601,"")</f>
        <v/>
      </c>
      <c r="E605" s="27" t="str">
        <f>IF(OR(OR(OR(OR(OR(ISNUMBER(SEARCH(IF(E$1&lt;&gt;"",E$1,"NA"),'MITRE ATT&amp;CK Mappings'!$E601)),ISNUMBER(SEARCH(IF(E$1&lt;&gt;"",E$1,"NA"),'MITRE ATT&amp;CK Mappings'!$F601))),ISNUMBER(SEARCH(IF(E$2&lt;&gt;"",E$2,"NA"),'MITRE ATT&amp;CK Mappings'!$G601))),ISNUMBER(SEARCH(IF(E$2&lt;&gt;"",E$2,"NA"),'MITRE ATT&amp;CK Mappings'!$H601))),ISNUMBER(SEARCH(IF(E$3&lt;&gt;"",E$3,"NA"),'MITRE ATT&amp;CK Mappings'!$I601))),ISNUMBER(SEARCH(IF(E$3&lt;&gt;"",E$3,"NA"),'MITRE ATT&amp;CK Mappings'!$J601))), 'MITRE ATT&amp;CK Mappings'!$B601,"")</f>
        <v/>
      </c>
      <c r="F605" s="27" t="str">
        <f>IF(OR(OR(OR(OR(OR(ISNUMBER(SEARCH(IF(F$1&lt;&gt;"",F$1,"NA"),'MITRE ATT&amp;CK Mappings'!$E601)),ISNUMBER(SEARCH(IF(F$1&lt;&gt;"",F$1,"NA"),'MITRE ATT&amp;CK Mappings'!$F601))),ISNUMBER(SEARCH(IF(F$2&lt;&gt;"",F$2,"NA"),'MITRE ATT&amp;CK Mappings'!$G601))),ISNUMBER(SEARCH(IF(F$2&lt;&gt;"",F$2,"NA"),'MITRE ATT&amp;CK Mappings'!$H601))),ISNUMBER(SEARCH(IF(F$3&lt;&gt;"",F$3,"NA"),'MITRE ATT&amp;CK Mappings'!$I601))),ISNUMBER(SEARCH(IF(F$3&lt;&gt;"",F$3,"NA"),'MITRE ATT&amp;CK Mappings'!$J601))), 'MITRE ATT&amp;CK Mappings'!$B601,"")</f>
        <v/>
      </c>
      <c r="G605" s="27" t="str">
        <f>IF(OR(OR(OR(OR(OR(ISNUMBER(SEARCH(IF(G$1&lt;&gt;"",G$1,"NA"),'MITRE ATT&amp;CK Mappings'!$E601)),ISNUMBER(SEARCH(IF(G$1&lt;&gt;"",G$1,"NA"),'MITRE ATT&amp;CK Mappings'!$F601))),ISNUMBER(SEARCH(IF(G$2&lt;&gt;"",G$2,"NA"),'MITRE ATT&amp;CK Mappings'!$G601))),ISNUMBER(SEARCH(IF(G$2&lt;&gt;"",G$2,"NA"),'MITRE ATT&amp;CK Mappings'!$H601))),ISNUMBER(SEARCH(IF(G$3&lt;&gt;"",G$3,"NA"),'MITRE ATT&amp;CK Mappings'!$I601))),ISNUMBER(SEARCH(IF(G$3&lt;&gt;"",G$3,"NA"),'MITRE ATT&amp;CK Mappings'!$J601))), 'MITRE ATT&amp;CK Mappings'!$B601,"")</f>
        <v/>
      </c>
      <c r="H605" s="27" t="str">
        <f>IF(OR(OR(OR(OR(OR(ISNUMBER(SEARCH(IF(H$1&lt;&gt;"",H$1,"NA"),'MITRE ATT&amp;CK Mappings'!$E601)),ISNUMBER(SEARCH(IF(H$1&lt;&gt;"",H$1,"NA"),'MITRE ATT&amp;CK Mappings'!$F601))),ISNUMBER(SEARCH(IF(H$2&lt;&gt;"",H$2,"NA"),'MITRE ATT&amp;CK Mappings'!$G601))),ISNUMBER(SEARCH(IF(H$2&lt;&gt;"",H$2,"NA"),'MITRE ATT&amp;CK Mappings'!$H601))),ISNUMBER(SEARCH(IF(H$3&lt;&gt;"",H$3,"NA"),'MITRE ATT&amp;CK Mappings'!$I601))),ISNUMBER(SEARCH(IF(H$3&lt;&gt;"",H$3,"NA"),'MITRE ATT&amp;CK Mappings'!$J601))), 'MITRE ATT&amp;CK Mappings'!$B601,"")</f>
        <v/>
      </c>
      <c r="I605" s="27" t="str">
        <f>IF(OR(OR(OR(OR(OR(ISNUMBER(SEARCH(IF(I$1&lt;&gt;"",I$1,"NA"),'MITRE ATT&amp;CK Mappings'!$E601)),ISNUMBER(SEARCH(IF(I$1&lt;&gt;"",I$1,"NA"),'MITRE ATT&amp;CK Mappings'!$F601))),ISNUMBER(SEARCH(IF(I$2&lt;&gt;"",I$2,"NA"),'MITRE ATT&amp;CK Mappings'!$G601))),ISNUMBER(SEARCH(IF(I$2&lt;&gt;"",I$2,"NA"),'MITRE ATT&amp;CK Mappings'!$H601))),ISNUMBER(SEARCH(IF(I$3&lt;&gt;"",I$3,"NA"),'MITRE ATT&amp;CK Mappings'!$I601))),ISNUMBER(SEARCH(IF(I$3&lt;&gt;"",I$3,"NA"),'MITRE ATT&amp;CK Mappings'!$J601))), 'MITRE ATT&amp;CK Mappings'!$B601,"")</f>
        <v/>
      </c>
      <c r="J605" s="27" t="str">
        <f>IF(OR(OR(OR(OR(OR(ISNUMBER(SEARCH(IF(J$1&lt;&gt;"",J$1,"NA"),'MITRE ATT&amp;CK Mappings'!$E601)),ISNUMBER(SEARCH(IF(J$1&lt;&gt;"",J$1,"NA"),'MITRE ATT&amp;CK Mappings'!$F601))),ISNUMBER(SEARCH(IF(J$2&lt;&gt;"",J$2,"NA"),'MITRE ATT&amp;CK Mappings'!$G601))),ISNUMBER(SEARCH(IF(J$2&lt;&gt;"",J$2,"NA"),'MITRE ATT&amp;CK Mappings'!$H601))),ISNUMBER(SEARCH(IF(J$3&lt;&gt;"",J$3,"NA"),'MITRE ATT&amp;CK Mappings'!$I601))),ISNUMBER(SEARCH(IF(J$3&lt;&gt;"",J$3,"NA"),'MITRE ATT&amp;CK Mappings'!$J601))), 'MITRE ATT&amp;CK Mappings'!$B601,"")</f>
        <v/>
      </c>
      <c r="K605" s="27" t="str">
        <f>IF(OR(OR(OR(OR(OR(ISNUMBER(SEARCH(IF(K$1&lt;&gt;"",K$1,"NA"),'MITRE ATT&amp;CK Mappings'!$E601)),ISNUMBER(SEARCH(IF(K$1&lt;&gt;"",K$1,"NA"),'MITRE ATT&amp;CK Mappings'!$F601))),ISNUMBER(SEARCH(IF(K$2&lt;&gt;"",K$2,"NA"),'MITRE ATT&amp;CK Mappings'!$G601))),ISNUMBER(SEARCH(IF(K$2&lt;&gt;"",K$2,"NA"),'MITRE ATT&amp;CK Mappings'!$H601))),ISNUMBER(SEARCH(IF(K$3&lt;&gt;"",K$3,"NA"),'MITRE ATT&amp;CK Mappings'!$I601))),ISNUMBER(SEARCH(IF(K$3&lt;&gt;"",K$3,"NA"),'MITRE ATT&amp;CK Mappings'!$J601))), 'MITRE ATT&amp;CK Mappings'!$B601,"")</f>
        <v/>
      </c>
      <c r="L605" s="27" t="str">
        <f>IF('MITRE ATT&amp;CK Mappings'!D601 &lt;&gt;"",'MITRE ATT&amp;CK Mappings'!D601,"" )</f>
        <v/>
      </c>
    </row>
    <row r="606" spans="1:12" x14ac:dyDescent="0.25">
      <c r="A606" s="26" t="str">
        <f>IF(COUNTIF(B606:K606,"="&amp;'MITRE ATT&amp;CK Mappings'!B602)&gt;0,'MITRE ATT&amp;CK Mappings'!B602,"")</f>
        <v/>
      </c>
      <c r="B606" s="26" t="str">
        <f>IF(OR(OR(OR(OR(OR(ISNUMBER(SEARCH(IF(B$1&lt;&gt;"",B$1,"NA"),'MITRE ATT&amp;CK Mappings'!$E602)),ISNUMBER(SEARCH(IF(B$1&lt;&gt;"",B$1,"NA"),'MITRE ATT&amp;CK Mappings'!$F602))),ISNUMBER(SEARCH(IF(B$2&lt;&gt;"",B$2,"NA"),'MITRE ATT&amp;CK Mappings'!$G602))),ISNUMBER(SEARCH(IF(B$2&lt;&gt;"",B$2,"NA"),'MITRE ATT&amp;CK Mappings'!$H602))),ISNUMBER(SEARCH(IF(B$3&lt;&gt;"",B$3,"NA"),'MITRE ATT&amp;CK Mappings'!$I602))),ISNUMBER(SEARCH(IF(B$3&lt;&gt;"",B$3,"NA"),'MITRE ATT&amp;CK Mappings'!$J602))), 'MITRE ATT&amp;CK Mappings'!$B602,"")</f>
        <v/>
      </c>
      <c r="C606" s="26" t="str">
        <f>IF(OR(OR(OR(OR(OR(ISNUMBER(SEARCH(IF(C$1&lt;&gt;"",C$1,"NA"),'MITRE ATT&amp;CK Mappings'!$E602)),ISNUMBER(SEARCH(IF(C$1&lt;&gt;"",C$1,"NA"),'MITRE ATT&amp;CK Mappings'!$F602))),ISNUMBER(SEARCH(IF(C$2&lt;&gt;"",C$2,"NA"),'MITRE ATT&amp;CK Mappings'!$G602))),ISNUMBER(SEARCH(IF(C$2&lt;&gt;"",C$2,"NA"),'MITRE ATT&amp;CK Mappings'!$H602))),ISNUMBER(SEARCH(IF(C$3&lt;&gt;"",C$3,"NA"),'MITRE ATT&amp;CK Mappings'!$I602))),ISNUMBER(SEARCH(IF(C$3&lt;&gt;"",C$3,"NA"),'MITRE ATT&amp;CK Mappings'!$J602))), 'MITRE ATT&amp;CK Mappings'!$B602,"")</f>
        <v/>
      </c>
      <c r="D606" s="26" t="str">
        <f>IF(OR(OR(OR(OR(OR(ISNUMBER(SEARCH(IF(D$1&lt;&gt;"",D$1,"NA"),'MITRE ATT&amp;CK Mappings'!$E602)),ISNUMBER(SEARCH(IF(D$1&lt;&gt;"",D$1,"NA"),'MITRE ATT&amp;CK Mappings'!$F602))),ISNUMBER(SEARCH(IF(D$2&lt;&gt;"",D$2,"NA"),'MITRE ATT&amp;CK Mappings'!$G602))),ISNUMBER(SEARCH(IF(D$2&lt;&gt;"",D$2,"NA"),'MITRE ATT&amp;CK Mappings'!$H602))),ISNUMBER(SEARCH(IF(D$3&lt;&gt;"",D$3,"NA"),'MITRE ATT&amp;CK Mappings'!$I602))),ISNUMBER(SEARCH(IF(D$3&lt;&gt;"",D$3,"NA"),'MITRE ATT&amp;CK Mappings'!$J602))), 'MITRE ATT&amp;CK Mappings'!$B602,"")</f>
        <v/>
      </c>
      <c r="E606" s="26" t="str">
        <f>IF(OR(OR(OR(OR(OR(ISNUMBER(SEARCH(IF(E$1&lt;&gt;"",E$1,"NA"),'MITRE ATT&amp;CK Mappings'!$E602)),ISNUMBER(SEARCH(IF(E$1&lt;&gt;"",E$1,"NA"),'MITRE ATT&amp;CK Mappings'!$F602))),ISNUMBER(SEARCH(IF(E$2&lt;&gt;"",E$2,"NA"),'MITRE ATT&amp;CK Mappings'!$G602))),ISNUMBER(SEARCH(IF(E$2&lt;&gt;"",E$2,"NA"),'MITRE ATT&amp;CK Mappings'!$H602))),ISNUMBER(SEARCH(IF(E$3&lt;&gt;"",E$3,"NA"),'MITRE ATT&amp;CK Mappings'!$I602))),ISNUMBER(SEARCH(IF(E$3&lt;&gt;"",E$3,"NA"),'MITRE ATT&amp;CK Mappings'!$J602))), 'MITRE ATT&amp;CK Mappings'!$B602,"")</f>
        <v/>
      </c>
      <c r="F606" s="26" t="str">
        <f>IF(OR(OR(OR(OR(OR(ISNUMBER(SEARCH(IF(F$1&lt;&gt;"",F$1,"NA"),'MITRE ATT&amp;CK Mappings'!$E602)),ISNUMBER(SEARCH(IF(F$1&lt;&gt;"",F$1,"NA"),'MITRE ATT&amp;CK Mappings'!$F602))),ISNUMBER(SEARCH(IF(F$2&lt;&gt;"",F$2,"NA"),'MITRE ATT&amp;CK Mappings'!$G602))),ISNUMBER(SEARCH(IF(F$2&lt;&gt;"",F$2,"NA"),'MITRE ATT&amp;CK Mappings'!$H602))),ISNUMBER(SEARCH(IF(F$3&lt;&gt;"",F$3,"NA"),'MITRE ATT&amp;CK Mappings'!$I602))),ISNUMBER(SEARCH(IF(F$3&lt;&gt;"",F$3,"NA"),'MITRE ATT&amp;CK Mappings'!$J602))), 'MITRE ATT&amp;CK Mappings'!$B602,"")</f>
        <v/>
      </c>
      <c r="G606" s="26" t="str">
        <f>IF(OR(OR(OR(OR(OR(ISNUMBER(SEARCH(IF(G$1&lt;&gt;"",G$1,"NA"),'MITRE ATT&amp;CK Mappings'!$E602)),ISNUMBER(SEARCH(IF(G$1&lt;&gt;"",G$1,"NA"),'MITRE ATT&amp;CK Mappings'!$F602))),ISNUMBER(SEARCH(IF(G$2&lt;&gt;"",G$2,"NA"),'MITRE ATT&amp;CK Mappings'!$G602))),ISNUMBER(SEARCH(IF(G$2&lt;&gt;"",G$2,"NA"),'MITRE ATT&amp;CK Mappings'!$H602))),ISNUMBER(SEARCH(IF(G$3&lt;&gt;"",G$3,"NA"),'MITRE ATT&amp;CK Mappings'!$I602))),ISNUMBER(SEARCH(IF(G$3&lt;&gt;"",G$3,"NA"),'MITRE ATT&amp;CK Mappings'!$J602))), 'MITRE ATT&amp;CK Mappings'!$B602,"")</f>
        <v/>
      </c>
      <c r="H606" s="26" t="str">
        <f>IF(OR(OR(OR(OR(OR(ISNUMBER(SEARCH(IF(H$1&lt;&gt;"",H$1,"NA"),'MITRE ATT&amp;CK Mappings'!$E602)),ISNUMBER(SEARCH(IF(H$1&lt;&gt;"",H$1,"NA"),'MITRE ATT&amp;CK Mappings'!$F602))),ISNUMBER(SEARCH(IF(H$2&lt;&gt;"",H$2,"NA"),'MITRE ATT&amp;CK Mappings'!$G602))),ISNUMBER(SEARCH(IF(H$2&lt;&gt;"",H$2,"NA"),'MITRE ATT&amp;CK Mappings'!$H602))),ISNUMBER(SEARCH(IF(H$3&lt;&gt;"",H$3,"NA"),'MITRE ATT&amp;CK Mappings'!$I602))),ISNUMBER(SEARCH(IF(H$3&lt;&gt;"",H$3,"NA"),'MITRE ATT&amp;CK Mappings'!$J602))), 'MITRE ATT&amp;CK Mappings'!$B602,"")</f>
        <v/>
      </c>
      <c r="I606" s="26" t="str">
        <f>IF(OR(OR(OR(OR(OR(ISNUMBER(SEARCH(IF(I$1&lt;&gt;"",I$1,"NA"),'MITRE ATT&amp;CK Mappings'!$E602)),ISNUMBER(SEARCH(IF(I$1&lt;&gt;"",I$1,"NA"),'MITRE ATT&amp;CK Mappings'!$F602))),ISNUMBER(SEARCH(IF(I$2&lt;&gt;"",I$2,"NA"),'MITRE ATT&amp;CK Mappings'!$G602))),ISNUMBER(SEARCH(IF(I$2&lt;&gt;"",I$2,"NA"),'MITRE ATT&amp;CK Mappings'!$H602))),ISNUMBER(SEARCH(IF(I$3&lt;&gt;"",I$3,"NA"),'MITRE ATT&amp;CK Mappings'!$I602))),ISNUMBER(SEARCH(IF(I$3&lt;&gt;"",I$3,"NA"),'MITRE ATT&amp;CK Mappings'!$J602))), 'MITRE ATT&amp;CK Mappings'!$B602,"")</f>
        <v/>
      </c>
      <c r="J606" s="26" t="str">
        <f>IF(OR(OR(OR(OR(OR(ISNUMBER(SEARCH(IF(J$1&lt;&gt;"",J$1,"NA"),'MITRE ATT&amp;CK Mappings'!$E602)),ISNUMBER(SEARCH(IF(J$1&lt;&gt;"",J$1,"NA"),'MITRE ATT&amp;CK Mappings'!$F602))),ISNUMBER(SEARCH(IF(J$2&lt;&gt;"",J$2,"NA"),'MITRE ATT&amp;CK Mappings'!$G602))),ISNUMBER(SEARCH(IF(J$2&lt;&gt;"",J$2,"NA"),'MITRE ATT&amp;CK Mappings'!$H602))),ISNUMBER(SEARCH(IF(J$3&lt;&gt;"",J$3,"NA"),'MITRE ATT&amp;CK Mappings'!$I602))),ISNUMBER(SEARCH(IF(J$3&lt;&gt;"",J$3,"NA"),'MITRE ATT&amp;CK Mappings'!$J602))), 'MITRE ATT&amp;CK Mappings'!$B602,"")</f>
        <v/>
      </c>
      <c r="K606" s="26" t="str">
        <f>IF(OR(OR(OR(OR(OR(ISNUMBER(SEARCH(IF(K$1&lt;&gt;"",K$1,"NA"),'MITRE ATT&amp;CK Mappings'!$E602)),ISNUMBER(SEARCH(IF(K$1&lt;&gt;"",K$1,"NA"),'MITRE ATT&amp;CK Mappings'!$F602))),ISNUMBER(SEARCH(IF(K$2&lt;&gt;"",K$2,"NA"),'MITRE ATT&amp;CK Mappings'!$G602))),ISNUMBER(SEARCH(IF(K$2&lt;&gt;"",K$2,"NA"),'MITRE ATT&amp;CK Mappings'!$H602))),ISNUMBER(SEARCH(IF(K$3&lt;&gt;"",K$3,"NA"),'MITRE ATT&amp;CK Mappings'!$I602))),ISNUMBER(SEARCH(IF(K$3&lt;&gt;"",K$3,"NA"),'MITRE ATT&amp;CK Mappings'!$J602))), 'MITRE ATT&amp;CK Mappings'!$B602,"")</f>
        <v/>
      </c>
      <c r="L606" s="26" t="str">
        <f>IF('MITRE ATT&amp;CK Mappings'!D602 &lt;&gt;"",'MITRE ATT&amp;CK Mappings'!D602,"" )</f>
        <v/>
      </c>
    </row>
    <row r="607" spans="1:12" x14ac:dyDescent="0.25">
      <c r="A607" s="27" t="str">
        <f>IF(COUNTIF(B607:K607,"="&amp;'MITRE ATT&amp;CK Mappings'!B603)&gt;0,'MITRE ATT&amp;CK Mappings'!B603,"")</f>
        <v/>
      </c>
      <c r="B607" s="27" t="str">
        <f>IF(OR(OR(OR(OR(OR(ISNUMBER(SEARCH(IF(B$1&lt;&gt;"",B$1,"NA"),'MITRE ATT&amp;CK Mappings'!$E603)),ISNUMBER(SEARCH(IF(B$1&lt;&gt;"",B$1,"NA"),'MITRE ATT&amp;CK Mappings'!$F603))),ISNUMBER(SEARCH(IF(B$2&lt;&gt;"",B$2,"NA"),'MITRE ATT&amp;CK Mappings'!$G603))),ISNUMBER(SEARCH(IF(B$2&lt;&gt;"",B$2,"NA"),'MITRE ATT&amp;CK Mappings'!$H603))),ISNUMBER(SEARCH(IF(B$3&lt;&gt;"",B$3,"NA"),'MITRE ATT&amp;CK Mappings'!$I603))),ISNUMBER(SEARCH(IF(B$3&lt;&gt;"",B$3,"NA"),'MITRE ATT&amp;CK Mappings'!$J603))), 'MITRE ATT&amp;CK Mappings'!$B603,"")</f>
        <v/>
      </c>
      <c r="C607" s="27" t="str">
        <f>IF(OR(OR(OR(OR(OR(ISNUMBER(SEARCH(IF(C$1&lt;&gt;"",C$1,"NA"),'MITRE ATT&amp;CK Mappings'!$E603)),ISNUMBER(SEARCH(IF(C$1&lt;&gt;"",C$1,"NA"),'MITRE ATT&amp;CK Mappings'!$F603))),ISNUMBER(SEARCH(IF(C$2&lt;&gt;"",C$2,"NA"),'MITRE ATT&amp;CK Mappings'!$G603))),ISNUMBER(SEARCH(IF(C$2&lt;&gt;"",C$2,"NA"),'MITRE ATT&amp;CK Mappings'!$H603))),ISNUMBER(SEARCH(IF(C$3&lt;&gt;"",C$3,"NA"),'MITRE ATT&amp;CK Mappings'!$I603))),ISNUMBER(SEARCH(IF(C$3&lt;&gt;"",C$3,"NA"),'MITRE ATT&amp;CK Mappings'!$J603))), 'MITRE ATT&amp;CK Mappings'!$B603,"")</f>
        <v/>
      </c>
      <c r="D607" s="27" t="str">
        <f>IF(OR(OR(OR(OR(OR(ISNUMBER(SEARCH(IF(D$1&lt;&gt;"",D$1,"NA"),'MITRE ATT&amp;CK Mappings'!$E603)),ISNUMBER(SEARCH(IF(D$1&lt;&gt;"",D$1,"NA"),'MITRE ATT&amp;CK Mappings'!$F603))),ISNUMBER(SEARCH(IF(D$2&lt;&gt;"",D$2,"NA"),'MITRE ATT&amp;CK Mappings'!$G603))),ISNUMBER(SEARCH(IF(D$2&lt;&gt;"",D$2,"NA"),'MITRE ATT&amp;CK Mappings'!$H603))),ISNUMBER(SEARCH(IF(D$3&lt;&gt;"",D$3,"NA"),'MITRE ATT&amp;CK Mappings'!$I603))),ISNUMBER(SEARCH(IF(D$3&lt;&gt;"",D$3,"NA"),'MITRE ATT&amp;CK Mappings'!$J603))), 'MITRE ATT&amp;CK Mappings'!$B603,"")</f>
        <v/>
      </c>
      <c r="E607" s="27" t="str">
        <f>IF(OR(OR(OR(OR(OR(ISNUMBER(SEARCH(IF(E$1&lt;&gt;"",E$1,"NA"),'MITRE ATT&amp;CK Mappings'!$E603)),ISNUMBER(SEARCH(IF(E$1&lt;&gt;"",E$1,"NA"),'MITRE ATT&amp;CK Mappings'!$F603))),ISNUMBER(SEARCH(IF(E$2&lt;&gt;"",E$2,"NA"),'MITRE ATT&amp;CK Mappings'!$G603))),ISNUMBER(SEARCH(IF(E$2&lt;&gt;"",E$2,"NA"),'MITRE ATT&amp;CK Mappings'!$H603))),ISNUMBER(SEARCH(IF(E$3&lt;&gt;"",E$3,"NA"),'MITRE ATT&amp;CK Mappings'!$I603))),ISNUMBER(SEARCH(IF(E$3&lt;&gt;"",E$3,"NA"),'MITRE ATT&amp;CK Mappings'!$J603))), 'MITRE ATT&amp;CK Mappings'!$B603,"")</f>
        <v/>
      </c>
      <c r="F607" s="27" t="str">
        <f>IF(OR(OR(OR(OR(OR(ISNUMBER(SEARCH(IF(F$1&lt;&gt;"",F$1,"NA"),'MITRE ATT&amp;CK Mappings'!$E603)),ISNUMBER(SEARCH(IF(F$1&lt;&gt;"",F$1,"NA"),'MITRE ATT&amp;CK Mappings'!$F603))),ISNUMBER(SEARCH(IF(F$2&lt;&gt;"",F$2,"NA"),'MITRE ATT&amp;CK Mappings'!$G603))),ISNUMBER(SEARCH(IF(F$2&lt;&gt;"",F$2,"NA"),'MITRE ATT&amp;CK Mappings'!$H603))),ISNUMBER(SEARCH(IF(F$3&lt;&gt;"",F$3,"NA"),'MITRE ATT&amp;CK Mappings'!$I603))),ISNUMBER(SEARCH(IF(F$3&lt;&gt;"",F$3,"NA"),'MITRE ATT&amp;CK Mappings'!$J603))), 'MITRE ATT&amp;CK Mappings'!$B603,"")</f>
        <v/>
      </c>
      <c r="G607" s="27" t="str">
        <f>IF(OR(OR(OR(OR(OR(ISNUMBER(SEARCH(IF(G$1&lt;&gt;"",G$1,"NA"),'MITRE ATT&amp;CK Mappings'!$E603)),ISNUMBER(SEARCH(IF(G$1&lt;&gt;"",G$1,"NA"),'MITRE ATT&amp;CK Mappings'!$F603))),ISNUMBER(SEARCH(IF(G$2&lt;&gt;"",G$2,"NA"),'MITRE ATT&amp;CK Mappings'!$G603))),ISNUMBER(SEARCH(IF(G$2&lt;&gt;"",G$2,"NA"),'MITRE ATT&amp;CK Mappings'!$H603))),ISNUMBER(SEARCH(IF(G$3&lt;&gt;"",G$3,"NA"),'MITRE ATT&amp;CK Mappings'!$I603))),ISNUMBER(SEARCH(IF(G$3&lt;&gt;"",G$3,"NA"),'MITRE ATT&amp;CK Mappings'!$J603))), 'MITRE ATT&amp;CK Mappings'!$B603,"")</f>
        <v/>
      </c>
      <c r="H607" s="27" t="str">
        <f>IF(OR(OR(OR(OR(OR(ISNUMBER(SEARCH(IF(H$1&lt;&gt;"",H$1,"NA"),'MITRE ATT&amp;CK Mappings'!$E603)),ISNUMBER(SEARCH(IF(H$1&lt;&gt;"",H$1,"NA"),'MITRE ATT&amp;CK Mappings'!$F603))),ISNUMBER(SEARCH(IF(H$2&lt;&gt;"",H$2,"NA"),'MITRE ATT&amp;CK Mappings'!$G603))),ISNUMBER(SEARCH(IF(H$2&lt;&gt;"",H$2,"NA"),'MITRE ATT&amp;CK Mappings'!$H603))),ISNUMBER(SEARCH(IF(H$3&lt;&gt;"",H$3,"NA"),'MITRE ATT&amp;CK Mappings'!$I603))),ISNUMBER(SEARCH(IF(H$3&lt;&gt;"",H$3,"NA"),'MITRE ATT&amp;CK Mappings'!$J603))), 'MITRE ATT&amp;CK Mappings'!$B603,"")</f>
        <v/>
      </c>
      <c r="I607" s="27" t="str">
        <f>IF(OR(OR(OR(OR(OR(ISNUMBER(SEARCH(IF(I$1&lt;&gt;"",I$1,"NA"),'MITRE ATT&amp;CK Mappings'!$E603)),ISNUMBER(SEARCH(IF(I$1&lt;&gt;"",I$1,"NA"),'MITRE ATT&amp;CK Mappings'!$F603))),ISNUMBER(SEARCH(IF(I$2&lt;&gt;"",I$2,"NA"),'MITRE ATT&amp;CK Mappings'!$G603))),ISNUMBER(SEARCH(IF(I$2&lt;&gt;"",I$2,"NA"),'MITRE ATT&amp;CK Mappings'!$H603))),ISNUMBER(SEARCH(IF(I$3&lt;&gt;"",I$3,"NA"),'MITRE ATT&amp;CK Mappings'!$I603))),ISNUMBER(SEARCH(IF(I$3&lt;&gt;"",I$3,"NA"),'MITRE ATT&amp;CK Mappings'!$J603))), 'MITRE ATT&amp;CK Mappings'!$B603,"")</f>
        <v/>
      </c>
      <c r="J607" s="27" t="str">
        <f>IF(OR(OR(OR(OR(OR(ISNUMBER(SEARCH(IF(J$1&lt;&gt;"",J$1,"NA"),'MITRE ATT&amp;CK Mappings'!$E603)),ISNUMBER(SEARCH(IF(J$1&lt;&gt;"",J$1,"NA"),'MITRE ATT&amp;CK Mappings'!$F603))),ISNUMBER(SEARCH(IF(J$2&lt;&gt;"",J$2,"NA"),'MITRE ATT&amp;CK Mappings'!$G603))),ISNUMBER(SEARCH(IF(J$2&lt;&gt;"",J$2,"NA"),'MITRE ATT&amp;CK Mappings'!$H603))),ISNUMBER(SEARCH(IF(J$3&lt;&gt;"",J$3,"NA"),'MITRE ATT&amp;CK Mappings'!$I603))),ISNUMBER(SEARCH(IF(J$3&lt;&gt;"",J$3,"NA"),'MITRE ATT&amp;CK Mappings'!$J603))), 'MITRE ATT&amp;CK Mappings'!$B603,"")</f>
        <v/>
      </c>
      <c r="K607" s="27" t="str">
        <f>IF(OR(OR(OR(OR(OR(ISNUMBER(SEARCH(IF(K$1&lt;&gt;"",K$1,"NA"),'MITRE ATT&amp;CK Mappings'!$E603)),ISNUMBER(SEARCH(IF(K$1&lt;&gt;"",K$1,"NA"),'MITRE ATT&amp;CK Mappings'!$F603))),ISNUMBER(SEARCH(IF(K$2&lt;&gt;"",K$2,"NA"),'MITRE ATT&amp;CK Mappings'!$G603))),ISNUMBER(SEARCH(IF(K$2&lt;&gt;"",K$2,"NA"),'MITRE ATT&amp;CK Mappings'!$H603))),ISNUMBER(SEARCH(IF(K$3&lt;&gt;"",K$3,"NA"),'MITRE ATT&amp;CK Mappings'!$I603))),ISNUMBER(SEARCH(IF(K$3&lt;&gt;"",K$3,"NA"),'MITRE ATT&amp;CK Mappings'!$J603))), 'MITRE ATT&amp;CK Mappings'!$B603,"")</f>
        <v/>
      </c>
      <c r="L607" s="27" t="str">
        <f>IF('MITRE ATT&amp;CK Mappings'!D603 &lt;&gt;"",'MITRE ATT&amp;CK Mappings'!D603,"" )</f>
        <v/>
      </c>
    </row>
    <row r="608" spans="1:12" x14ac:dyDescent="0.25">
      <c r="A608" s="26" t="str">
        <f>IF(COUNTIF(B608:K608,"="&amp;'MITRE ATT&amp;CK Mappings'!B604)&gt;0,'MITRE ATT&amp;CK Mappings'!B604,"")</f>
        <v/>
      </c>
      <c r="B608" s="26" t="str">
        <f>IF(OR(OR(OR(OR(OR(ISNUMBER(SEARCH(IF(B$1&lt;&gt;"",B$1,"NA"),'MITRE ATT&amp;CK Mappings'!$E604)),ISNUMBER(SEARCH(IF(B$1&lt;&gt;"",B$1,"NA"),'MITRE ATT&amp;CK Mappings'!$F604))),ISNUMBER(SEARCH(IF(B$2&lt;&gt;"",B$2,"NA"),'MITRE ATT&amp;CK Mappings'!$G604))),ISNUMBER(SEARCH(IF(B$2&lt;&gt;"",B$2,"NA"),'MITRE ATT&amp;CK Mappings'!$H604))),ISNUMBER(SEARCH(IF(B$3&lt;&gt;"",B$3,"NA"),'MITRE ATT&amp;CK Mappings'!$I604))),ISNUMBER(SEARCH(IF(B$3&lt;&gt;"",B$3,"NA"),'MITRE ATT&amp;CK Mappings'!$J604))), 'MITRE ATT&amp;CK Mappings'!$B604,"")</f>
        <v/>
      </c>
      <c r="C608" s="26" t="str">
        <f>IF(OR(OR(OR(OR(OR(ISNUMBER(SEARCH(IF(C$1&lt;&gt;"",C$1,"NA"),'MITRE ATT&amp;CK Mappings'!$E604)),ISNUMBER(SEARCH(IF(C$1&lt;&gt;"",C$1,"NA"),'MITRE ATT&amp;CK Mappings'!$F604))),ISNUMBER(SEARCH(IF(C$2&lt;&gt;"",C$2,"NA"),'MITRE ATT&amp;CK Mappings'!$G604))),ISNUMBER(SEARCH(IF(C$2&lt;&gt;"",C$2,"NA"),'MITRE ATT&amp;CK Mappings'!$H604))),ISNUMBER(SEARCH(IF(C$3&lt;&gt;"",C$3,"NA"),'MITRE ATT&amp;CK Mappings'!$I604))),ISNUMBER(SEARCH(IF(C$3&lt;&gt;"",C$3,"NA"),'MITRE ATT&amp;CK Mappings'!$J604))), 'MITRE ATT&amp;CK Mappings'!$B604,"")</f>
        <v/>
      </c>
      <c r="D608" s="26" t="str">
        <f>IF(OR(OR(OR(OR(OR(ISNUMBER(SEARCH(IF(D$1&lt;&gt;"",D$1,"NA"),'MITRE ATT&amp;CK Mappings'!$E604)),ISNUMBER(SEARCH(IF(D$1&lt;&gt;"",D$1,"NA"),'MITRE ATT&amp;CK Mappings'!$F604))),ISNUMBER(SEARCH(IF(D$2&lt;&gt;"",D$2,"NA"),'MITRE ATT&amp;CK Mappings'!$G604))),ISNUMBER(SEARCH(IF(D$2&lt;&gt;"",D$2,"NA"),'MITRE ATT&amp;CK Mappings'!$H604))),ISNUMBER(SEARCH(IF(D$3&lt;&gt;"",D$3,"NA"),'MITRE ATT&amp;CK Mappings'!$I604))),ISNUMBER(SEARCH(IF(D$3&lt;&gt;"",D$3,"NA"),'MITRE ATT&amp;CK Mappings'!$J604))), 'MITRE ATT&amp;CK Mappings'!$B604,"")</f>
        <v/>
      </c>
      <c r="E608" s="26" t="str">
        <f>IF(OR(OR(OR(OR(OR(ISNUMBER(SEARCH(IF(E$1&lt;&gt;"",E$1,"NA"),'MITRE ATT&amp;CK Mappings'!$E604)),ISNUMBER(SEARCH(IF(E$1&lt;&gt;"",E$1,"NA"),'MITRE ATT&amp;CK Mappings'!$F604))),ISNUMBER(SEARCH(IF(E$2&lt;&gt;"",E$2,"NA"),'MITRE ATT&amp;CK Mappings'!$G604))),ISNUMBER(SEARCH(IF(E$2&lt;&gt;"",E$2,"NA"),'MITRE ATT&amp;CK Mappings'!$H604))),ISNUMBER(SEARCH(IF(E$3&lt;&gt;"",E$3,"NA"),'MITRE ATT&amp;CK Mappings'!$I604))),ISNUMBER(SEARCH(IF(E$3&lt;&gt;"",E$3,"NA"),'MITRE ATT&amp;CK Mappings'!$J604))), 'MITRE ATT&amp;CK Mappings'!$B604,"")</f>
        <v/>
      </c>
      <c r="F608" s="26" t="str">
        <f>IF(OR(OR(OR(OR(OR(ISNUMBER(SEARCH(IF(F$1&lt;&gt;"",F$1,"NA"),'MITRE ATT&amp;CK Mappings'!$E604)),ISNUMBER(SEARCH(IF(F$1&lt;&gt;"",F$1,"NA"),'MITRE ATT&amp;CK Mappings'!$F604))),ISNUMBER(SEARCH(IF(F$2&lt;&gt;"",F$2,"NA"),'MITRE ATT&amp;CK Mappings'!$G604))),ISNUMBER(SEARCH(IF(F$2&lt;&gt;"",F$2,"NA"),'MITRE ATT&amp;CK Mappings'!$H604))),ISNUMBER(SEARCH(IF(F$3&lt;&gt;"",F$3,"NA"),'MITRE ATT&amp;CK Mappings'!$I604))),ISNUMBER(SEARCH(IF(F$3&lt;&gt;"",F$3,"NA"),'MITRE ATT&amp;CK Mappings'!$J604))), 'MITRE ATT&amp;CK Mappings'!$B604,"")</f>
        <v/>
      </c>
      <c r="G608" s="26" t="str">
        <f>IF(OR(OR(OR(OR(OR(ISNUMBER(SEARCH(IF(G$1&lt;&gt;"",G$1,"NA"),'MITRE ATT&amp;CK Mappings'!$E604)),ISNUMBER(SEARCH(IF(G$1&lt;&gt;"",G$1,"NA"),'MITRE ATT&amp;CK Mappings'!$F604))),ISNUMBER(SEARCH(IF(G$2&lt;&gt;"",G$2,"NA"),'MITRE ATT&amp;CK Mappings'!$G604))),ISNUMBER(SEARCH(IF(G$2&lt;&gt;"",G$2,"NA"),'MITRE ATT&amp;CK Mappings'!$H604))),ISNUMBER(SEARCH(IF(G$3&lt;&gt;"",G$3,"NA"),'MITRE ATT&amp;CK Mappings'!$I604))),ISNUMBER(SEARCH(IF(G$3&lt;&gt;"",G$3,"NA"),'MITRE ATT&amp;CK Mappings'!$J604))), 'MITRE ATT&amp;CK Mappings'!$B604,"")</f>
        <v/>
      </c>
      <c r="H608" s="26" t="str">
        <f>IF(OR(OR(OR(OR(OR(ISNUMBER(SEARCH(IF(H$1&lt;&gt;"",H$1,"NA"),'MITRE ATT&amp;CK Mappings'!$E604)),ISNUMBER(SEARCH(IF(H$1&lt;&gt;"",H$1,"NA"),'MITRE ATT&amp;CK Mappings'!$F604))),ISNUMBER(SEARCH(IF(H$2&lt;&gt;"",H$2,"NA"),'MITRE ATT&amp;CK Mappings'!$G604))),ISNUMBER(SEARCH(IF(H$2&lt;&gt;"",H$2,"NA"),'MITRE ATT&amp;CK Mappings'!$H604))),ISNUMBER(SEARCH(IF(H$3&lt;&gt;"",H$3,"NA"),'MITRE ATT&amp;CK Mappings'!$I604))),ISNUMBER(SEARCH(IF(H$3&lt;&gt;"",H$3,"NA"),'MITRE ATT&amp;CK Mappings'!$J604))), 'MITRE ATT&amp;CK Mappings'!$B604,"")</f>
        <v/>
      </c>
      <c r="I608" s="26" t="str">
        <f>IF(OR(OR(OR(OR(OR(ISNUMBER(SEARCH(IF(I$1&lt;&gt;"",I$1,"NA"),'MITRE ATT&amp;CK Mappings'!$E604)),ISNUMBER(SEARCH(IF(I$1&lt;&gt;"",I$1,"NA"),'MITRE ATT&amp;CK Mappings'!$F604))),ISNUMBER(SEARCH(IF(I$2&lt;&gt;"",I$2,"NA"),'MITRE ATT&amp;CK Mappings'!$G604))),ISNUMBER(SEARCH(IF(I$2&lt;&gt;"",I$2,"NA"),'MITRE ATT&amp;CK Mappings'!$H604))),ISNUMBER(SEARCH(IF(I$3&lt;&gt;"",I$3,"NA"),'MITRE ATT&amp;CK Mappings'!$I604))),ISNUMBER(SEARCH(IF(I$3&lt;&gt;"",I$3,"NA"),'MITRE ATT&amp;CK Mappings'!$J604))), 'MITRE ATT&amp;CK Mappings'!$B604,"")</f>
        <v/>
      </c>
      <c r="J608" s="26" t="str">
        <f>IF(OR(OR(OR(OR(OR(ISNUMBER(SEARCH(IF(J$1&lt;&gt;"",J$1,"NA"),'MITRE ATT&amp;CK Mappings'!$E604)),ISNUMBER(SEARCH(IF(J$1&lt;&gt;"",J$1,"NA"),'MITRE ATT&amp;CK Mappings'!$F604))),ISNUMBER(SEARCH(IF(J$2&lt;&gt;"",J$2,"NA"),'MITRE ATT&amp;CK Mappings'!$G604))),ISNUMBER(SEARCH(IF(J$2&lt;&gt;"",J$2,"NA"),'MITRE ATT&amp;CK Mappings'!$H604))),ISNUMBER(SEARCH(IF(J$3&lt;&gt;"",J$3,"NA"),'MITRE ATT&amp;CK Mappings'!$I604))),ISNUMBER(SEARCH(IF(J$3&lt;&gt;"",J$3,"NA"),'MITRE ATT&amp;CK Mappings'!$J604))), 'MITRE ATT&amp;CK Mappings'!$B604,"")</f>
        <v/>
      </c>
      <c r="K608" s="26" t="str">
        <f>IF(OR(OR(OR(OR(OR(ISNUMBER(SEARCH(IF(K$1&lt;&gt;"",K$1,"NA"),'MITRE ATT&amp;CK Mappings'!$E604)),ISNUMBER(SEARCH(IF(K$1&lt;&gt;"",K$1,"NA"),'MITRE ATT&amp;CK Mappings'!$F604))),ISNUMBER(SEARCH(IF(K$2&lt;&gt;"",K$2,"NA"),'MITRE ATT&amp;CK Mappings'!$G604))),ISNUMBER(SEARCH(IF(K$2&lt;&gt;"",K$2,"NA"),'MITRE ATT&amp;CK Mappings'!$H604))),ISNUMBER(SEARCH(IF(K$3&lt;&gt;"",K$3,"NA"),'MITRE ATT&amp;CK Mappings'!$I604))),ISNUMBER(SEARCH(IF(K$3&lt;&gt;"",K$3,"NA"),'MITRE ATT&amp;CK Mappings'!$J604))), 'MITRE ATT&amp;CK Mappings'!$B604,"")</f>
        <v/>
      </c>
      <c r="L608" s="26" t="str">
        <f>IF('MITRE ATT&amp;CK Mappings'!D604 &lt;&gt;"",'MITRE ATT&amp;CK Mappings'!D604,"" )</f>
        <v/>
      </c>
    </row>
    <row r="609" spans="1:12" x14ac:dyDescent="0.25">
      <c r="A609" s="27" t="str">
        <f>IF(COUNTIF(B609:K609,"="&amp;'MITRE ATT&amp;CK Mappings'!B605)&gt;0,'MITRE ATT&amp;CK Mappings'!B605,"")</f>
        <v/>
      </c>
      <c r="B609" s="27" t="str">
        <f>IF(OR(OR(OR(OR(OR(ISNUMBER(SEARCH(IF(B$1&lt;&gt;"",B$1,"NA"),'MITRE ATT&amp;CK Mappings'!$E605)),ISNUMBER(SEARCH(IF(B$1&lt;&gt;"",B$1,"NA"),'MITRE ATT&amp;CK Mappings'!$F605))),ISNUMBER(SEARCH(IF(B$2&lt;&gt;"",B$2,"NA"),'MITRE ATT&amp;CK Mappings'!$G605))),ISNUMBER(SEARCH(IF(B$2&lt;&gt;"",B$2,"NA"),'MITRE ATT&amp;CK Mappings'!$H605))),ISNUMBER(SEARCH(IF(B$3&lt;&gt;"",B$3,"NA"),'MITRE ATT&amp;CK Mappings'!$I605))),ISNUMBER(SEARCH(IF(B$3&lt;&gt;"",B$3,"NA"),'MITRE ATT&amp;CK Mappings'!$J605))), 'MITRE ATT&amp;CK Mappings'!$B605,"")</f>
        <v/>
      </c>
      <c r="C609" s="27" t="str">
        <f>IF(OR(OR(OR(OR(OR(ISNUMBER(SEARCH(IF(C$1&lt;&gt;"",C$1,"NA"),'MITRE ATT&amp;CK Mappings'!$E605)),ISNUMBER(SEARCH(IF(C$1&lt;&gt;"",C$1,"NA"),'MITRE ATT&amp;CK Mappings'!$F605))),ISNUMBER(SEARCH(IF(C$2&lt;&gt;"",C$2,"NA"),'MITRE ATT&amp;CK Mappings'!$G605))),ISNUMBER(SEARCH(IF(C$2&lt;&gt;"",C$2,"NA"),'MITRE ATT&amp;CK Mappings'!$H605))),ISNUMBER(SEARCH(IF(C$3&lt;&gt;"",C$3,"NA"),'MITRE ATT&amp;CK Mappings'!$I605))),ISNUMBER(SEARCH(IF(C$3&lt;&gt;"",C$3,"NA"),'MITRE ATT&amp;CK Mappings'!$J605))), 'MITRE ATT&amp;CK Mappings'!$B605,"")</f>
        <v/>
      </c>
      <c r="D609" s="27" t="str">
        <f>IF(OR(OR(OR(OR(OR(ISNUMBER(SEARCH(IF(D$1&lt;&gt;"",D$1,"NA"),'MITRE ATT&amp;CK Mappings'!$E605)),ISNUMBER(SEARCH(IF(D$1&lt;&gt;"",D$1,"NA"),'MITRE ATT&amp;CK Mappings'!$F605))),ISNUMBER(SEARCH(IF(D$2&lt;&gt;"",D$2,"NA"),'MITRE ATT&amp;CK Mappings'!$G605))),ISNUMBER(SEARCH(IF(D$2&lt;&gt;"",D$2,"NA"),'MITRE ATT&amp;CK Mappings'!$H605))),ISNUMBER(SEARCH(IF(D$3&lt;&gt;"",D$3,"NA"),'MITRE ATT&amp;CK Mappings'!$I605))),ISNUMBER(SEARCH(IF(D$3&lt;&gt;"",D$3,"NA"),'MITRE ATT&amp;CK Mappings'!$J605))), 'MITRE ATT&amp;CK Mappings'!$B605,"")</f>
        <v/>
      </c>
      <c r="E609" s="27" t="str">
        <f>IF(OR(OR(OR(OR(OR(ISNUMBER(SEARCH(IF(E$1&lt;&gt;"",E$1,"NA"),'MITRE ATT&amp;CK Mappings'!$E605)),ISNUMBER(SEARCH(IF(E$1&lt;&gt;"",E$1,"NA"),'MITRE ATT&amp;CK Mappings'!$F605))),ISNUMBER(SEARCH(IF(E$2&lt;&gt;"",E$2,"NA"),'MITRE ATT&amp;CK Mappings'!$G605))),ISNUMBER(SEARCH(IF(E$2&lt;&gt;"",E$2,"NA"),'MITRE ATT&amp;CK Mappings'!$H605))),ISNUMBER(SEARCH(IF(E$3&lt;&gt;"",E$3,"NA"),'MITRE ATT&amp;CK Mappings'!$I605))),ISNUMBER(SEARCH(IF(E$3&lt;&gt;"",E$3,"NA"),'MITRE ATT&amp;CK Mappings'!$J605))), 'MITRE ATT&amp;CK Mappings'!$B605,"")</f>
        <v/>
      </c>
      <c r="F609" s="27" t="str">
        <f>IF(OR(OR(OR(OR(OR(ISNUMBER(SEARCH(IF(F$1&lt;&gt;"",F$1,"NA"),'MITRE ATT&amp;CK Mappings'!$E605)),ISNUMBER(SEARCH(IF(F$1&lt;&gt;"",F$1,"NA"),'MITRE ATT&amp;CK Mappings'!$F605))),ISNUMBER(SEARCH(IF(F$2&lt;&gt;"",F$2,"NA"),'MITRE ATT&amp;CK Mappings'!$G605))),ISNUMBER(SEARCH(IF(F$2&lt;&gt;"",F$2,"NA"),'MITRE ATT&amp;CK Mappings'!$H605))),ISNUMBER(SEARCH(IF(F$3&lt;&gt;"",F$3,"NA"),'MITRE ATT&amp;CK Mappings'!$I605))),ISNUMBER(SEARCH(IF(F$3&lt;&gt;"",F$3,"NA"),'MITRE ATT&amp;CK Mappings'!$J605))), 'MITRE ATT&amp;CK Mappings'!$B605,"")</f>
        <v/>
      </c>
      <c r="G609" s="27" t="str">
        <f>IF(OR(OR(OR(OR(OR(ISNUMBER(SEARCH(IF(G$1&lt;&gt;"",G$1,"NA"),'MITRE ATT&amp;CK Mappings'!$E605)),ISNUMBER(SEARCH(IF(G$1&lt;&gt;"",G$1,"NA"),'MITRE ATT&amp;CK Mappings'!$F605))),ISNUMBER(SEARCH(IF(G$2&lt;&gt;"",G$2,"NA"),'MITRE ATT&amp;CK Mappings'!$G605))),ISNUMBER(SEARCH(IF(G$2&lt;&gt;"",G$2,"NA"),'MITRE ATT&amp;CK Mappings'!$H605))),ISNUMBER(SEARCH(IF(G$3&lt;&gt;"",G$3,"NA"),'MITRE ATT&amp;CK Mappings'!$I605))),ISNUMBER(SEARCH(IF(G$3&lt;&gt;"",G$3,"NA"),'MITRE ATT&amp;CK Mappings'!$J605))), 'MITRE ATT&amp;CK Mappings'!$B605,"")</f>
        <v/>
      </c>
      <c r="H609" s="27" t="str">
        <f>IF(OR(OR(OR(OR(OR(ISNUMBER(SEARCH(IF(H$1&lt;&gt;"",H$1,"NA"),'MITRE ATT&amp;CK Mappings'!$E605)),ISNUMBER(SEARCH(IF(H$1&lt;&gt;"",H$1,"NA"),'MITRE ATT&amp;CK Mappings'!$F605))),ISNUMBER(SEARCH(IF(H$2&lt;&gt;"",H$2,"NA"),'MITRE ATT&amp;CK Mappings'!$G605))),ISNUMBER(SEARCH(IF(H$2&lt;&gt;"",H$2,"NA"),'MITRE ATT&amp;CK Mappings'!$H605))),ISNUMBER(SEARCH(IF(H$3&lt;&gt;"",H$3,"NA"),'MITRE ATT&amp;CK Mappings'!$I605))),ISNUMBER(SEARCH(IF(H$3&lt;&gt;"",H$3,"NA"),'MITRE ATT&amp;CK Mappings'!$J605))), 'MITRE ATT&amp;CK Mappings'!$B605,"")</f>
        <v/>
      </c>
      <c r="I609" s="27" t="str">
        <f>IF(OR(OR(OR(OR(OR(ISNUMBER(SEARCH(IF(I$1&lt;&gt;"",I$1,"NA"),'MITRE ATT&amp;CK Mappings'!$E605)),ISNUMBER(SEARCH(IF(I$1&lt;&gt;"",I$1,"NA"),'MITRE ATT&amp;CK Mappings'!$F605))),ISNUMBER(SEARCH(IF(I$2&lt;&gt;"",I$2,"NA"),'MITRE ATT&amp;CK Mappings'!$G605))),ISNUMBER(SEARCH(IF(I$2&lt;&gt;"",I$2,"NA"),'MITRE ATT&amp;CK Mappings'!$H605))),ISNUMBER(SEARCH(IF(I$3&lt;&gt;"",I$3,"NA"),'MITRE ATT&amp;CK Mappings'!$I605))),ISNUMBER(SEARCH(IF(I$3&lt;&gt;"",I$3,"NA"),'MITRE ATT&amp;CK Mappings'!$J605))), 'MITRE ATT&amp;CK Mappings'!$B605,"")</f>
        <v/>
      </c>
      <c r="J609" s="27" t="str">
        <f>IF(OR(OR(OR(OR(OR(ISNUMBER(SEARCH(IF(J$1&lt;&gt;"",J$1,"NA"),'MITRE ATT&amp;CK Mappings'!$E605)),ISNUMBER(SEARCH(IF(J$1&lt;&gt;"",J$1,"NA"),'MITRE ATT&amp;CK Mappings'!$F605))),ISNUMBER(SEARCH(IF(J$2&lt;&gt;"",J$2,"NA"),'MITRE ATT&amp;CK Mappings'!$G605))),ISNUMBER(SEARCH(IF(J$2&lt;&gt;"",J$2,"NA"),'MITRE ATT&amp;CK Mappings'!$H605))),ISNUMBER(SEARCH(IF(J$3&lt;&gt;"",J$3,"NA"),'MITRE ATT&amp;CK Mappings'!$I605))),ISNUMBER(SEARCH(IF(J$3&lt;&gt;"",J$3,"NA"),'MITRE ATT&amp;CK Mappings'!$J605))), 'MITRE ATT&amp;CK Mappings'!$B605,"")</f>
        <v/>
      </c>
      <c r="K609" s="27" t="str">
        <f>IF(OR(OR(OR(OR(OR(ISNUMBER(SEARCH(IF(K$1&lt;&gt;"",K$1,"NA"),'MITRE ATT&amp;CK Mappings'!$E605)),ISNUMBER(SEARCH(IF(K$1&lt;&gt;"",K$1,"NA"),'MITRE ATT&amp;CK Mappings'!$F605))),ISNUMBER(SEARCH(IF(K$2&lt;&gt;"",K$2,"NA"),'MITRE ATT&amp;CK Mappings'!$G605))),ISNUMBER(SEARCH(IF(K$2&lt;&gt;"",K$2,"NA"),'MITRE ATT&amp;CK Mappings'!$H605))),ISNUMBER(SEARCH(IF(K$3&lt;&gt;"",K$3,"NA"),'MITRE ATT&amp;CK Mappings'!$I605))),ISNUMBER(SEARCH(IF(K$3&lt;&gt;"",K$3,"NA"),'MITRE ATT&amp;CK Mappings'!$J605))), 'MITRE ATT&amp;CK Mappings'!$B605,"")</f>
        <v/>
      </c>
      <c r="L609" s="27" t="str">
        <f>IF('MITRE ATT&amp;CK Mappings'!D605 &lt;&gt;"",'MITRE ATT&amp;CK Mappings'!D605,"" )</f>
        <v/>
      </c>
    </row>
    <row r="610" spans="1:12" x14ac:dyDescent="0.25">
      <c r="A610" s="26" t="str">
        <f>IF(COUNTIF(B610:K610,"="&amp;'MITRE ATT&amp;CK Mappings'!B606)&gt;0,'MITRE ATT&amp;CK Mappings'!B606,"")</f>
        <v/>
      </c>
      <c r="B610" s="26" t="str">
        <f>IF(OR(OR(OR(OR(OR(ISNUMBER(SEARCH(IF(B$1&lt;&gt;"",B$1,"NA"),'MITRE ATT&amp;CK Mappings'!$E606)),ISNUMBER(SEARCH(IF(B$1&lt;&gt;"",B$1,"NA"),'MITRE ATT&amp;CK Mappings'!$F606))),ISNUMBER(SEARCH(IF(B$2&lt;&gt;"",B$2,"NA"),'MITRE ATT&amp;CK Mappings'!$G606))),ISNUMBER(SEARCH(IF(B$2&lt;&gt;"",B$2,"NA"),'MITRE ATT&amp;CK Mappings'!$H606))),ISNUMBER(SEARCH(IF(B$3&lt;&gt;"",B$3,"NA"),'MITRE ATT&amp;CK Mappings'!$I606))),ISNUMBER(SEARCH(IF(B$3&lt;&gt;"",B$3,"NA"),'MITRE ATT&amp;CK Mappings'!$J606))), 'MITRE ATT&amp;CK Mappings'!$B606,"")</f>
        <v/>
      </c>
      <c r="C610" s="26" t="str">
        <f>IF(OR(OR(OR(OR(OR(ISNUMBER(SEARCH(IF(C$1&lt;&gt;"",C$1,"NA"),'MITRE ATT&amp;CK Mappings'!$E606)),ISNUMBER(SEARCH(IF(C$1&lt;&gt;"",C$1,"NA"),'MITRE ATT&amp;CK Mappings'!$F606))),ISNUMBER(SEARCH(IF(C$2&lt;&gt;"",C$2,"NA"),'MITRE ATT&amp;CK Mappings'!$G606))),ISNUMBER(SEARCH(IF(C$2&lt;&gt;"",C$2,"NA"),'MITRE ATT&amp;CK Mappings'!$H606))),ISNUMBER(SEARCH(IF(C$3&lt;&gt;"",C$3,"NA"),'MITRE ATT&amp;CK Mappings'!$I606))),ISNUMBER(SEARCH(IF(C$3&lt;&gt;"",C$3,"NA"),'MITRE ATT&amp;CK Mappings'!$J606))), 'MITRE ATT&amp;CK Mappings'!$B606,"")</f>
        <v/>
      </c>
      <c r="D610" s="26" t="str">
        <f>IF(OR(OR(OR(OR(OR(ISNUMBER(SEARCH(IF(D$1&lt;&gt;"",D$1,"NA"),'MITRE ATT&amp;CK Mappings'!$E606)),ISNUMBER(SEARCH(IF(D$1&lt;&gt;"",D$1,"NA"),'MITRE ATT&amp;CK Mappings'!$F606))),ISNUMBER(SEARCH(IF(D$2&lt;&gt;"",D$2,"NA"),'MITRE ATT&amp;CK Mappings'!$G606))),ISNUMBER(SEARCH(IF(D$2&lt;&gt;"",D$2,"NA"),'MITRE ATT&amp;CK Mappings'!$H606))),ISNUMBER(SEARCH(IF(D$3&lt;&gt;"",D$3,"NA"),'MITRE ATT&amp;CK Mappings'!$I606))),ISNUMBER(SEARCH(IF(D$3&lt;&gt;"",D$3,"NA"),'MITRE ATT&amp;CK Mappings'!$J606))), 'MITRE ATT&amp;CK Mappings'!$B606,"")</f>
        <v/>
      </c>
      <c r="E610" s="26" t="str">
        <f>IF(OR(OR(OR(OR(OR(ISNUMBER(SEARCH(IF(E$1&lt;&gt;"",E$1,"NA"),'MITRE ATT&amp;CK Mappings'!$E606)),ISNUMBER(SEARCH(IF(E$1&lt;&gt;"",E$1,"NA"),'MITRE ATT&amp;CK Mappings'!$F606))),ISNUMBER(SEARCH(IF(E$2&lt;&gt;"",E$2,"NA"),'MITRE ATT&amp;CK Mappings'!$G606))),ISNUMBER(SEARCH(IF(E$2&lt;&gt;"",E$2,"NA"),'MITRE ATT&amp;CK Mappings'!$H606))),ISNUMBER(SEARCH(IF(E$3&lt;&gt;"",E$3,"NA"),'MITRE ATT&amp;CK Mappings'!$I606))),ISNUMBER(SEARCH(IF(E$3&lt;&gt;"",E$3,"NA"),'MITRE ATT&amp;CK Mappings'!$J606))), 'MITRE ATT&amp;CK Mappings'!$B606,"")</f>
        <v/>
      </c>
      <c r="F610" s="26" t="str">
        <f>IF(OR(OR(OR(OR(OR(ISNUMBER(SEARCH(IF(F$1&lt;&gt;"",F$1,"NA"),'MITRE ATT&amp;CK Mappings'!$E606)),ISNUMBER(SEARCH(IF(F$1&lt;&gt;"",F$1,"NA"),'MITRE ATT&amp;CK Mappings'!$F606))),ISNUMBER(SEARCH(IF(F$2&lt;&gt;"",F$2,"NA"),'MITRE ATT&amp;CK Mappings'!$G606))),ISNUMBER(SEARCH(IF(F$2&lt;&gt;"",F$2,"NA"),'MITRE ATT&amp;CK Mappings'!$H606))),ISNUMBER(SEARCH(IF(F$3&lt;&gt;"",F$3,"NA"),'MITRE ATT&amp;CK Mappings'!$I606))),ISNUMBER(SEARCH(IF(F$3&lt;&gt;"",F$3,"NA"),'MITRE ATT&amp;CK Mappings'!$J606))), 'MITRE ATT&amp;CK Mappings'!$B606,"")</f>
        <v/>
      </c>
      <c r="G610" s="26" t="str">
        <f>IF(OR(OR(OR(OR(OR(ISNUMBER(SEARCH(IF(G$1&lt;&gt;"",G$1,"NA"),'MITRE ATT&amp;CK Mappings'!$E606)),ISNUMBER(SEARCH(IF(G$1&lt;&gt;"",G$1,"NA"),'MITRE ATT&amp;CK Mappings'!$F606))),ISNUMBER(SEARCH(IF(G$2&lt;&gt;"",G$2,"NA"),'MITRE ATT&amp;CK Mappings'!$G606))),ISNUMBER(SEARCH(IF(G$2&lt;&gt;"",G$2,"NA"),'MITRE ATT&amp;CK Mappings'!$H606))),ISNUMBER(SEARCH(IF(G$3&lt;&gt;"",G$3,"NA"),'MITRE ATT&amp;CK Mappings'!$I606))),ISNUMBER(SEARCH(IF(G$3&lt;&gt;"",G$3,"NA"),'MITRE ATT&amp;CK Mappings'!$J606))), 'MITRE ATT&amp;CK Mappings'!$B606,"")</f>
        <v/>
      </c>
      <c r="H610" s="26" t="str">
        <f>IF(OR(OR(OR(OR(OR(ISNUMBER(SEARCH(IF(H$1&lt;&gt;"",H$1,"NA"),'MITRE ATT&amp;CK Mappings'!$E606)),ISNUMBER(SEARCH(IF(H$1&lt;&gt;"",H$1,"NA"),'MITRE ATT&amp;CK Mappings'!$F606))),ISNUMBER(SEARCH(IF(H$2&lt;&gt;"",H$2,"NA"),'MITRE ATT&amp;CK Mappings'!$G606))),ISNUMBER(SEARCH(IF(H$2&lt;&gt;"",H$2,"NA"),'MITRE ATT&amp;CK Mappings'!$H606))),ISNUMBER(SEARCH(IF(H$3&lt;&gt;"",H$3,"NA"),'MITRE ATT&amp;CK Mappings'!$I606))),ISNUMBER(SEARCH(IF(H$3&lt;&gt;"",H$3,"NA"),'MITRE ATT&amp;CK Mappings'!$J606))), 'MITRE ATT&amp;CK Mappings'!$B606,"")</f>
        <v/>
      </c>
      <c r="I610" s="26" t="str">
        <f>IF(OR(OR(OR(OR(OR(ISNUMBER(SEARCH(IF(I$1&lt;&gt;"",I$1,"NA"),'MITRE ATT&amp;CK Mappings'!$E606)),ISNUMBER(SEARCH(IF(I$1&lt;&gt;"",I$1,"NA"),'MITRE ATT&amp;CK Mappings'!$F606))),ISNUMBER(SEARCH(IF(I$2&lt;&gt;"",I$2,"NA"),'MITRE ATT&amp;CK Mappings'!$G606))),ISNUMBER(SEARCH(IF(I$2&lt;&gt;"",I$2,"NA"),'MITRE ATT&amp;CK Mappings'!$H606))),ISNUMBER(SEARCH(IF(I$3&lt;&gt;"",I$3,"NA"),'MITRE ATT&amp;CK Mappings'!$I606))),ISNUMBER(SEARCH(IF(I$3&lt;&gt;"",I$3,"NA"),'MITRE ATT&amp;CK Mappings'!$J606))), 'MITRE ATT&amp;CK Mappings'!$B606,"")</f>
        <v/>
      </c>
      <c r="J610" s="26" t="str">
        <f>IF(OR(OR(OR(OR(OR(ISNUMBER(SEARCH(IF(J$1&lt;&gt;"",J$1,"NA"),'MITRE ATT&amp;CK Mappings'!$E606)),ISNUMBER(SEARCH(IF(J$1&lt;&gt;"",J$1,"NA"),'MITRE ATT&amp;CK Mappings'!$F606))),ISNUMBER(SEARCH(IF(J$2&lt;&gt;"",J$2,"NA"),'MITRE ATT&amp;CK Mappings'!$G606))),ISNUMBER(SEARCH(IF(J$2&lt;&gt;"",J$2,"NA"),'MITRE ATT&amp;CK Mappings'!$H606))),ISNUMBER(SEARCH(IF(J$3&lt;&gt;"",J$3,"NA"),'MITRE ATT&amp;CK Mappings'!$I606))),ISNUMBER(SEARCH(IF(J$3&lt;&gt;"",J$3,"NA"),'MITRE ATT&amp;CK Mappings'!$J606))), 'MITRE ATT&amp;CK Mappings'!$B606,"")</f>
        <v/>
      </c>
      <c r="K610" s="26" t="str">
        <f>IF(OR(OR(OR(OR(OR(ISNUMBER(SEARCH(IF(K$1&lt;&gt;"",K$1,"NA"),'MITRE ATT&amp;CK Mappings'!$E606)),ISNUMBER(SEARCH(IF(K$1&lt;&gt;"",K$1,"NA"),'MITRE ATT&amp;CK Mappings'!$F606))),ISNUMBER(SEARCH(IF(K$2&lt;&gt;"",K$2,"NA"),'MITRE ATT&amp;CK Mappings'!$G606))),ISNUMBER(SEARCH(IF(K$2&lt;&gt;"",K$2,"NA"),'MITRE ATT&amp;CK Mappings'!$H606))),ISNUMBER(SEARCH(IF(K$3&lt;&gt;"",K$3,"NA"),'MITRE ATT&amp;CK Mappings'!$I606))),ISNUMBER(SEARCH(IF(K$3&lt;&gt;"",K$3,"NA"),'MITRE ATT&amp;CK Mappings'!$J606))), 'MITRE ATT&amp;CK Mappings'!$B606,"")</f>
        <v/>
      </c>
      <c r="L610" s="26" t="str">
        <f>IF('MITRE ATT&amp;CK Mappings'!D606 &lt;&gt;"",'MITRE ATT&amp;CK Mappings'!D606,"" )</f>
        <v/>
      </c>
    </row>
    <row r="611" spans="1:12" x14ac:dyDescent="0.25">
      <c r="A611" s="27" t="str">
        <f>IF(COUNTIF(B611:K611,"="&amp;'MITRE ATT&amp;CK Mappings'!B607)&gt;0,'MITRE ATT&amp;CK Mappings'!B607,"")</f>
        <v/>
      </c>
      <c r="B611" s="27" t="str">
        <f>IF(OR(OR(OR(OR(OR(ISNUMBER(SEARCH(IF(B$1&lt;&gt;"",B$1,"NA"),'MITRE ATT&amp;CK Mappings'!$E607)),ISNUMBER(SEARCH(IF(B$1&lt;&gt;"",B$1,"NA"),'MITRE ATT&amp;CK Mappings'!$F607))),ISNUMBER(SEARCH(IF(B$2&lt;&gt;"",B$2,"NA"),'MITRE ATT&amp;CK Mappings'!$G607))),ISNUMBER(SEARCH(IF(B$2&lt;&gt;"",B$2,"NA"),'MITRE ATT&amp;CK Mappings'!$H607))),ISNUMBER(SEARCH(IF(B$3&lt;&gt;"",B$3,"NA"),'MITRE ATT&amp;CK Mappings'!$I607))),ISNUMBER(SEARCH(IF(B$3&lt;&gt;"",B$3,"NA"),'MITRE ATT&amp;CK Mappings'!$J607))), 'MITRE ATT&amp;CK Mappings'!$B607,"")</f>
        <v/>
      </c>
      <c r="C611" s="27" t="str">
        <f>IF(OR(OR(OR(OR(OR(ISNUMBER(SEARCH(IF(C$1&lt;&gt;"",C$1,"NA"),'MITRE ATT&amp;CK Mappings'!$E607)),ISNUMBER(SEARCH(IF(C$1&lt;&gt;"",C$1,"NA"),'MITRE ATT&amp;CK Mappings'!$F607))),ISNUMBER(SEARCH(IF(C$2&lt;&gt;"",C$2,"NA"),'MITRE ATT&amp;CK Mappings'!$G607))),ISNUMBER(SEARCH(IF(C$2&lt;&gt;"",C$2,"NA"),'MITRE ATT&amp;CK Mappings'!$H607))),ISNUMBER(SEARCH(IF(C$3&lt;&gt;"",C$3,"NA"),'MITRE ATT&amp;CK Mappings'!$I607))),ISNUMBER(SEARCH(IF(C$3&lt;&gt;"",C$3,"NA"),'MITRE ATT&amp;CK Mappings'!$J607))), 'MITRE ATT&amp;CK Mappings'!$B607,"")</f>
        <v/>
      </c>
      <c r="D611" s="27" t="str">
        <f>IF(OR(OR(OR(OR(OR(ISNUMBER(SEARCH(IF(D$1&lt;&gt;"",D$1,"NA"),'MITRE ATT&amp;CK Mappings'!$E607)),ISNUMBER(SEARCH(IF(D$1&lt;&gt;"",D$1,"NA"),'MITRE ATT&amp;CK Mappings'!$F607))),ISNUMBER(SEARCH(IF(D$2&lt;&gt;"",D$2,"NA"),'MITRE ATT&amp;CK Mappings'!$G607))),ISNUMBER(SEARCH(IF(D$2&lt;&gt;"",D$2,"NA"),'MITRE ATT&amp;CK Mappings'!$H607))),ISNUMBER(SEARCH(IF(D$3&lt;&gt;"",D$3,"NA"),'MITRE ATT&amp;CK Mappings'!$I607))),ISNUMBER(SEARCH(IF(D$3&lt;&gt;"",D$3,"NA"),'MITRE ATT&amp;CK Mappings'!$J607))), 'MITRE ATT&amp;CK Mappings'!$B607,"")</f>
        <v/>
      </c>
      <c r="E611" s="27" t="str">
        <f>IF(OR(OR(OR(OR(OR(ISNUMBER(SEARCH(IF(E$1&lt;&gt;"",E$1,"NA"),'MITRE ATT&amp;CK Mappings'!$E607)),ISNUMBER(SEARCH(IF(E$1&lt;&gt;"",E$1,"NA"),'MITRE ATT&amp;CK Mappings'!$F607))),ISNUMBER(SEARCH(IF(E$2&lt;&gt;"",E$2,"NA"),'MITRE ATT&amp;CK Mappings'!$G607))),ISNUMBER(SEARCH(IF(E$2&lt;&gt;"",E$2,"NA"),'MITRE ATT&amp;CK Mappings'!$H607))),ISNUMBER(SEARCH(IF(E$3&lt;&gt;"",E$3,"NA"),'MITRE ATT&amp;CK Mappings'!$I607))),ISNUMBER(SEARCH(IF(E$3&lt;&gt;"",E$3,"NA"),'MITRE ATT&amp;CK Mappings'!$J607))), 'MITRE ATT&amp;CK Mappings'!$B607,"")</f>
        <v/>
      </c>
      <c r="F611" s="27" t="str">
        <f>IF(OR(OR(OR(OR(OR(ISNUMBER(SEARCH(IF(F$1&lt;&gt;"",F$1,"NA"),'MITRE ATT&amp;CK Mappings'!$E607)),ISNUMBER(SEARCH(IF(F$1&lt;&gt;"",F$1,"NA"),'MITRE ATT&amp;CK Mappings'!$F607))),ISNUMBER(SEARCH(IF(F$2&lt;&gt;"",F$2,"NA"),'MITRE ATT&amp;CK Mappings'!$G607))),ISNUMBER(SEARCH(IF(F$2&lt;&gt;"",F$2,"NA"),'MITRE ATT&amp;CK Mappings'!$H607))),ISNUMBER(SEARCH(IF(F$3&lt;&gt;"",F$3,"NA"),'MITRE ATT&amp;CK Mappings'!$I607))),ISNUMBER(SEARCH(IF(F$3&lt;&gt;"",F$3,"NA"),'MITRE ATT&amp;CK Mappings'!$J607))), 'MITRE ATT&amp;CK Mappings'!$B607,"")</f>
        <v/>
      </c>
      <c r="G611" s="27" t="str">
        <f>IF(OR(OR(OR(OR(OR(ISNUMBER(SEARCH(IF(G$1&lt;&gt;"",G$1,"NA"),'MITRE ATT&amp;CK Mappings'!$E607)),ISNUMBER(SEARCH(IF(G$1&lt;&gt;"",G$1,"NA"),'MITRE ATT&amp;CK Mappings'!$F607))),ISNUMBER(SEARCH(IF(G$2&lt;&gt;"",G$2,"NA"),'MITRE ATT&amp;CK Mappings'!$G607))),ISNUMBER(SEARCH(IF(G$2&lt;&gt;"",G$2,"NA"),'MITRE ATT&amp;CK Mappings'!$H607))),ISNUMBER(SEARCH(IF(G$3&lt;&gt;"",G$3,"NA"),'MITRE ATT&amp;CK Mappings'!$I607))),ISNUMBER(SEARCH(IF(G$3&lt;&gt;"",G$3,"NA"),'MITRE ATT&amp;CK Mappings'!$J607))), 'MITRE ATT&amp;CK Mappings'!$B607,"")</f>
        <v/>
      </c>
      <c r="H611" s="27" t="str">
        <f>IF(OR(OR(OR(OR(OR(ISNUMBER(SEARCH(IF(H$1&lt;&gt;"",H$1,"NA"),'MITRE ATT&amp;CK Mappings'!$E607)),ISNUMBER(SEARCH(IF(H$1&lt;&gt;"",H$1,"NA"),'MITRE ATT&amp;CK Mappings'!$F607))),ISNUMBER(SEARCH(IF(H$2&lt;&gt;"",H$2,"NA"),'MITRE ATT&amp;CK Mappings'!$G607))),ISNUMBER(SEARCH(IF(H$2&lt;&gt;"",H$2,"NA"),'MITRE ATT&amp;CK Mappings'!$H607))),ISNUMBER(SEARCH(IF(H$3&lt;&gt;"",H$3,"NA"),'MITRE ATT&amp;CK Mappings'!$I607))),ISNUMBER(SEARCH(IF(H$3&lt;&gt;"",H$3,"NA"),'MITRE ATT&amp;CK Mappings'!$J607))), 'MITRE ATT&amp;CK Mappings'!$B607,"")</f>
        <v/>
      </c>
      <c r="I611" s="27" t="str">
        <f>IF(OR(OR(OR(OR(OR(ISNUMBER(SEARCH(IF(I$1&lt;&gt;"",I$1,"NA"),'MITRE ATT&amp;CK Mappings'!$E607)),ISNUMBER(SEARCH(IF(I$1&lt;&gt;"",I$1,"NA"),'MITRE ATT&amp;CK Mappings'!$F607))),ISNUMBER(SEARCH(IF(I$2&lt;&gt;"",I$2,"NA"),'MITRE ATT&amp;CK Mappings'!$G607))),ISNUMBER(SEARCH(IF(I$2&lt;&gt;"",I$2,"NA"),'MITRE ATT&amp;CK Mappings'!$H607))),ISNUMBER(SEARCH(IF(I$3&lt;&gt;"",I$3,"NA"),'MITRE ATT&amp;CK Mappings'!$I607))),ISNUMBER(SEARCH(IF(I$3&lt;&gt;"",I$3,"NA"),'MITRE ATT&amp;CK Mappings'!$J607))), 'MITRE ATT&amp;CK Mappings'!$B607,"")</f>
        <v/>
      </c>
      <c r="J611" s="27" t="str">
        <f>IF(OR(OR(OR(OR(OR(ISNUMBER(SEARCH(IF(J$1&lt;&gt;"",J$1,"NA"),'MITRE ATT&amp;CK Mappings'!$E607)),ISNUMBER(SEARCH(IF(J$1&lt;&gt;"",J$1,"NA"),'MITRE ATT&amp;CK Mappings'!$F607))),ISNUMBER(SEARCH(IF(J$2&lt;&gt;"",J$2,"NA"),'MITRE ATT&amp;CK Mappings'!$G607))),ISNUMBER(SEARCH(IF(J$2&lt;&gt;"",J$2,"NA"),'MITRE ATT&amp;CK Mappings'!$H607))),ISNUMBER(SEARCH(IF(J$3&lt;&gt;"",J$3,"NA"),'MITRE ATT&amp;CK Mappings'!$I607))),ISNUMBER(SEARCH(IF(J$3&lt;&gt;"",J$3,"NA"),'MITRE ATT&amp;CK Mappings'!$J607))), 'MITRE ATT&amp;CK Mappings'!$B607,"")</f>
        <v/>
      </c>
      <c r="K611" s="27" t="str">
        <f>IF(OR(OR(OR(OR(OR(ISNUMBER(SEARCH(IF(K$1&lt;&gt;"",K$1,"NA"),'MITRE ATT&amp;CK Mappings'!$E607)),ISNUMBER(SEARCH(IF(K$1&lt;&gt;"",K$1,"NA"),'MITRE ATT&amp;CK Mappings'!$F607))),ISNUMBER(SEARCH(IF(K$2&lt;&gt;"",K$2,"NA"),'MITRE ATT&amp;CK Mappings'!$G607))),ISNUMBER(SEARCH(IF(K$2&lt;&gt;"",K$2,"NA"),'MITRE ATT&amp;CK Mappings'!$H607))),ISNUMBER(SEARCH(IF(K$3&lt;&gt;"",K$3,"NA"),'MITRE ATT&amp;CK Mappings'!$I607))),ISNUMBER(SEARCH(IF(K$3&lt;&gt;"",K$3,"NA"),'MITRE ATT&amp;CK Mappings'!$J607))), 'MITRE ATT&amp;CK Mappings'!$B607,"")</f>
        <v/>
      </c>
      <c r="L611" s="27" t="str">
        <f>IF('MITRE ATT&amp;CK Mappings'!D607 &lt;&gt;"",'MITRE ATT&amp;CK Mappings'!D607,"" )</f>
        <v/>
      </c>
    </row>
    <row r="612" spans="1:12" x14ac:dyDescent="0.25">
      <c r="A612" s="26" t="str">
        <f>IF(COUNTIF(B612:K612,"="&amp;'MITRE ATT&amp;CK Mappings'!B608)&gt;0,'MITRE ATT&amp;CK Mappings'!B608,"")</f>
        <v/>
      </c>
      <c r="B612" s="26" t="str">
        <f>IF(OR(OR(OR(OR(OR(ISNUMBER(SEARCH(IF(B$1&lt;&gt;"",B$1,"NA"),'MITRE ATT&amp;CK Mappings'!$E608)),ISNUMBER(SEARCH(IF(B$1&lt;&gt;"",B$1,"NA"),'MITRE ATT&amp;CK Mappings'!$F608))),ISNUMBER(SEARCH(IF(B$2&lt;&gt;"",B$2,"NA"),'MITRE ATT&amp;CK Mappings'!$G608))),ISNUMBER(SEARCH(IF(B$2&lt;&gt;"",B$2,"NA"),'MITRE ATT&amp;CK Mappings'!$H608))),ISNUMBER(SEARCH(IF(B$3&lt;&gt;"",B$3,"NA"),'MITRE ATT&amp;CK Mappings'!$I608))),ISNUMBER(SEARCH(IF(B$3&lt;&gt;"",B$3,"NA"),'MITRE ATT&amp;CK Mappings'!$J608))), 'MITRE ATT&amp;CK Mappings'!$B608,"")</f>
        <v/>
      </c>
      <c r="C612" s="26" t="str">
        <f>IF(OR(OR(OR(OR(OR(ISNUMBER(SEARCH(IF(C$1&lt;&gt;"",C$1,"NA"),'MITRE ATT&amp;CK Mappings'!$E608)),ISNUMBER(SEARCH(IF(C$1&lt;&gt;"",C$1,"NA"),'MITRE ATT&amp;CK Mappings'!$F608))),ISNUMBER(SEARCH(IF(C$2&lt;&gt;"",C$2,"NA"),'MITRE ATT&amp;CK Mappings'!$G608))),ISNUMBER(SEARCH(IF(C$2&lt;&gt;"",C$2,"NA"),'MITRE ATT&amp;CK Mappings'!$H608))),ISNUMBER(SEARCH(IF(C$3&lt;&gt;"",C$3,"NA"),'MITRE ATT&amp;CK Mappings'!$I608))),ISNUMBER(SEARCH(IF(C$3&lt;&gt;"",C$3,"NA"),'MITRE ATT&amp;CK Mappings'!$J608))), 'MITRE ATT&amp;CK Mappings'!$B608,"")</f>
        <v/>
      </c>
      <c r="D612" s="26" t="str">
        <f>IF(OR(OR(OR(OR(OR(ISNUMBER(SEARCH(IF(D$1&lt;&gt;"",D$1,"NA"),'MITRE ATT&amp;CK Mappings'!$E608)),ISNUMBER(SEARCH(IF(D$1&lt;&gt;"",D$1,"NA"),'MITRE ATT&amp;CK Mappings'!$F608))),ISNUMBER(SEARCH(IF(D$2&lt;&gt;"",D$2,"NA"),'MITRE ATT&amp;CK Mappings'!$G608))),ISNUMBER(SEARCH(IF(D$2&lt;&gt;"",D$2,"NA"),'MITRE ATT&amp;CK Mappings'!$H608))),ISNUMBER(SEARCH(IF(D$3&lt;&gt;"",D$3,"NA"),'MITRE ATT&amp;CK Mappings'!$I608))),ISNUMBER(SEARCH(IF(D$3&lt;&gt;"",D$3,"NA"),'MITRE ATT&amp;CK Mappings'!$J608))), 'MITRE ATT&amp;CK Mappings'!$B608,"")</f>
        <v/>
      </c>
      <c r="E612" s="26" t="str">
        <f>IF(OR(OR(OR(OR(OR(ISNUMBER(SEARCH(IF(E$1&lt;&gt;"",E$1,"NA"),'MITRE ATT&amp;CK Mappings'!$E608)),ISNUMBER(SEARCH(IF(E$1&lt;&gt;"",E$1,"NA"),'MITRE ATT&amp;CK Mappings'!$F608))),ISNUMBER(SEARCH(IF(E$2&lt;&gt;"",E$2,"NA"),'MITRE ATT&amp;CK Mappings'!$G608))),ISNUMBER(SEARCH(IF(E$2&lt;&gt;"",E$2,"NA"),'MITRE ATT&amp;CK Mappings'!$H608))),ISNUMBER(SEARCH(IF(E$3&lt;&gt;"",E$3,"NA"),'MITRE ATT&amp;CK Mappings'!$I608))),ISNUMBER(SEARCH(IF(E$3&lt;&gt;"",E$3,"NA"),'MITRE ATT&amp;CK Mappings'!$J608))), 'MITRE ATT&amp;CK Mappings'!$B608,"")</f>
        <v/>
      </c>
      <c r="F612" s="26" t="str">
        <f>IF(OR(OR(OR(OR(OR(ISNUMBER(SEARCH(IF(F$1&lt;&gt;"",F$1,"NA"),'MITRE ATT&amp;CK Mappings'!$E608)),ISNUMBER(SEARCH(IF(F$1&lt;&gt;"",F$1,"NA"),'MITRE ATT&amp;CK Mappings'!$F608))),ISNUMBER(SEARCH(IF(F$2&lt;&gt;"",F$2,"NA"),'MITRE ATT&amp;CK Mappings'!$G608))),ISNUMBER(SEARCH(IF(F$2&lt;&gt;"",F$2,"NA"),'MITRE ATT&amp;CK Mappings'!$H608))),ISNUMBER(SEARCH(IF(F$3&lt;&gt;"",F$3,"NA"),'MITRE ATT&amp;CK Mappings'!$I608))),ISNUMBER(SEARCH(IF(F$3&lt;&gt;"",F$3,"NA"),'MITRE ATT&amp;CK Mappings'!$J608))), 'MITRE ATT&amp;CK Mappings'!$B608,"")</f>
        <v/>
      </c>
      <c r="G612" s="26" t="str">
        <f>IF(OR(OR(OR(OR(OR(ISNUMBER(SEARCH(IF(G$1&lt;&gt;"",G$1,"NA"),'MITRE ATT&amp;CK Mappings'!$E608)),ISNUMBER(SEARCH(IF(G$1&lt;&gt;"",G$1,"NA"),'MITRE ATT&amp;CK Mappings'!$F608))),ISNUMBER(SEARCH(IF(G$2&lt;&gt;"",G$2,"NA"),'MITRE ATT&amp;CK Mappings'!$G608))),ISNUMBER(SEARCH(IF(G$2&lt;&gt;"",G$2,"NA"),'MITRE ATT&amp;CK Mappings'!$H608))),ISNUMBER(SEARCH(IF(G$3&lt;&gt;"",G$3,"NA"),'MITRE ATT&amp;CK Mappings'!$I608))),ISNUMBER(SEARCH(IF(G$3&lt;&gt;"",G$3,"NA"),'MITRE ATT&amp;CK Mappings'!$J608))), 'MITRE ATT&amp;CK Mappings'!$B608,"")</f>
        <v/>
      </c>
      <c r="H612" s="26" t="str">
        <f>IF(OR(OR(OR(OR(OR(ISNUMBER(SEARCH(IF(H$1&lt;&gt;"",H$1,"NA"),'MITRE ATT&amp;CK Mappings'!$E608)),ISNUMBER(SEARCH(IF(H$1&lt;&gt;"",H$1,"NA"),'MITRE ATT&amp;CK Mappings'!$F608))),ISNUMBER(SEARCH(IF(H$2&lt;&gt;"",H$2,"NA"),'MITRE ATT&amp;CK Mappings'!$G608))),ISNUMBER(SEARCH(IF(H$2&lt;&gt;"",H$2,"NA"),'MITRE ATT&amp;CK Mappings'!$H608))),ISNUMBER(SEARCH(IF(H$3&lt;&gt;"",H$3,"NA"),'MITRE ATT&amp;CK Mappings'!$I608))),ISNUMBER(SEARCH(IF(H$3&lt;&gt;"",H$3,"NA"),'MITRE ATT&amp;CK Mappings'!$J608))), 'MITRE ATT&amp;CK Mappings'!$B608,"")</f>
        <v/>
      </c>
      <c r="I612" s="26" t="str">
        <f>IF(OR(OR(OR(OR(OR(ISNUMBER(SEARCH(IF(I$1&lt;&gt;"",I$1,"NA"),'MITRE ATT&amp;CK Mappings'!$E608)),ISNUMBER(SEARCH(IF(I$1&lt;&gt;"",I$1,"NA"),'MITRE ATT&amp;CK Mappings'!$F608))),ISNUMBER(SEARCH(IF(I$2&lt;&gt;"",I$2,"NA"),'MITRE ATT&amp;CK Mappings'!$G608))),ISNUMBER(SEARCH(IF(I$2&lt;&gt;"",I$2,"NA"),'MITRE ATT&amp;CK Mappings'!$H608))),ISNUMBER(SEARCH(IF(I$3&lt;&gt;"",I$3,"NA"),'MITRE ATT&amp;CK Mappings'!$I608))),ISNUMBER(SEARCH(IF(I$3&lt;&gt;"",I$3,"NA"),'MITRE ATT&amp;CK Mappings'!$J608))), 'MITRE ATT&amp;CK Mappings'!$B608,"")</f>
        <v/>
      </c>
      <c r="J612" s="26" t="str">
        <f>IF(OR(OR(OR(OR(OR(ISNUMBER(SEARCH(IF(J$1&lt;&gt;"",J$1,"NA"),'MITRE ATT&amp;CK Mappings'!$E608)),ISNUMBER(SEARCH(IF(J$1&lt;&gt;"",J$1,"NA"),'MITRE ATT&amp;CK Mappings'!$F608))),ISNUMBER(SEARCH(IF(J$2&lt;&gt;"",J$2,"NA"),'MITRE ATT&amp;CK Mappings'!$G608))),ISNUMBER(SEARCH(IF(J$2&lt;&gt;"",J$2,"NA"),'MITRE ATT&amp;CK Mappings'!$H608))),ISNUMBER(SEARCH(IF(J$3&lt;&gt;"",J$3,"NA"),'MITRE ATT&amp;CK Mappings'!$I608))),ISNUMBER(SEARCH(IF(J$3&lt;&gt;"",J$3,"NA"),'MITRE ATT&amp;CK Mappings'!$J608))), 'MITRE ATT&amp;CK Mappings'!$B608,"")</f>
        <v/>
      </c>
      <c r="K612" s="26" t="str">
        <f>IF(OR(OR(OR(OR(OR(ISNUMBER(SEARCH(IF(K$1&lt;&gt;"",K$1,"NA"),'MITRE ATT&amp;CK Mappings'!$E608)),ISNUMBER(SEARCH(IF(K$1&lt;&gt;"",K$1,"NA"),'MITRE ATT&amp;CK Mappings'!$F608))),ISNUMBER(SEARCH(IF(K$2&lt;&gt;"",K$2,"NA"),'MITRE ATT&amp;CK Mappings'!$G608))),ISNUMBER(SEARCH(IF(K$2&lt;&gt;"",K$2,"NA"),'MITRE ATT&amp;CK Mappings'!$H608))),ISNUMBER(SEARCH(IF(K$3&lt;&gt;"",K$3,"NA"),'MITRE ATT&amp;CK Mappings'!$I608))),ISNUMBER(SEARCH(IF(K$3&lt;&gt;"",K$3,"NA"),'MITRE ATT&amp;CK Mappings'!$J608))), 'MITRE ATT&amp;CK Mappings'!$B608,"")</f>
        <v/>
      </c>
      <c r="L612" s="26" t="str">
        <f>IF('MITRE ATT&amp;CK Mappings'!D608 &lt;&gt;"",'MITRE ATT&amp;CK Mappings'!D608,"" )</f>
        <v/>
      </c>
    </row>
    <row r="613" spans="1:12" x14ac:dyDescent="0.25">
      <c r="A613" s="27" t="str">
        <f>IF(COUNTIF(B613:K613,"="&amp;'MITRE ATT&amp;CK Mappings'!B609)&gt;0,'MITRE ATT&amp;CK Mappings'!B609,"")</f>
        <v/>
      </c>
      <c r="B613" s="27" t="str">
        <f>IF(OR(OR(OR(OR(OR(ISNUMBER(SEARCH(IF(B$1&lt;&gt;"",B$1,"NA"),'MITRE ATT&amp;CK Mappings'!$E609)),ISNUMBER(SEARCH(IF(B$1&lt;&gt;"",B$1,"NA"),'MITRE ATT&amp;CK Mappings'!$F609))),ISNUMBER(SEARCH(IF(B$2&lt;&gt;"",B$2,"NA"),'MITRE ATT&amp;CK Mappings'!$G609))),ISNUMBER(SEARCH(IF(B$2&lt;&gt;"",B$2,"NA"),'MITRE ATT&amp;CK Mappings'!$H609))),ISNUMBER(SEARCH(IF(B$3&lt;&gt;"",B$3,"NA"),'MITRE ATT&amp;CK Mappings'!$I609))),ISNUMBER(SEARCH(IF(B$3&lt;&gt;"",B$3,"NA"),'MITRE ATT&amp;CK Mappings'!$J609))), 'MITRE ATT&amp;CK Mappings'!$B609,"")</f>
        <v/>
      </c>
      <c r="C613" s="27" t="str">
        <f>IF(OR(OR(OR(OR(OR(ISNUMBER(SEARCH(IF(C$1&lt;&gt;"",C$1,"NA"),'MITRE ATT&amp;CK Mappings'!$E609)),ISNUMBER(SEARCH(IF(C$1&lt;&gt;"",C$1,"NA"),'MITRE ATT&amp;CK Mappings'!$F609))),ISNUMBER(SEARCH(IF(C$2&lt;&gt;"",C$2,"NA"),'MITRE ATT&amp;CK Mappings'!$G609))),ISNUMBER(SEARCH(IF(C$2&lt;&gt;"",C$2,"NA"),'MITRE ATT&amp;CK Mappings'!$H609))),ISNUMBER(SEARCH(IF(C$3&lt;&gt;"",C$3,"NA"),'MITRE ATT&amp;CK Mappings'!$I609))),ISNUMBER(SEARCH(IF(C$3&lt;&gt;"",C$3,"NA"),'MITRE ATT&amp;CK Mappings'!$J609))), 'MITRE ATT&amp;CK Mappings'!$B609,"")</f>
        <v/>
      </c>
      <c r="D613" s="27" t="str">
        <f>IF(OR(OR(OR(OR(OR(ISNUMBER(SEARCH(IF(D$1&lt;&gt;"",D$1,"NA"),'MITRE ATT&amp;CK Mappings'!$E609)),ISNUMBER(SEARCH(IF(D$1&lt;&gt;"",D$1,"NA"),'MITRE ATT&amp;CK Mappings'!$F609))),ISNUMBER(SEARCH(IF(D$2&lt;&gt;"",D$2,"NA"),'MITRE ATT&amp;CK Mappings'!$G609))),ISNUMBER(SEARCH(IF(D$2&lt;&gt;"",D$2,"NA"),'MITRE ATT&amp;CK Mappings'!$H609))),ISNUMBER(SEARCH(IF(D$3&lt;&gt;"",D$3,"NA"),'MITRE ATT&amp;CK Mappings'!$I609))),ISNUMBER(SEARCH(IF(D$3&lt;&gt;"",D$3,"NA"),'MITRE ATT&amp;CK Mappings'!$J609))), 'MITRE ATT&amp;CK Mappings'!$B609,"")</f>
        <v/>
      </c>
      <c r="E613" s="27" t="str">
        <f>IF(OR(OR(OR(OR(OR(ISNUMBER(SEARCH(IF(E$1&lt;&gt;"",E$1,"NA"),'MITRE ATT&amp;CK Mappings'!$E609)),ISNUMBER(SEARCH(IF(E$1&lt;&gt;"",E$1,"NA"),'MITRE ATT&amp;CK Mappings'!$F609))),ISNUMBER(SEARCH(IF(E$2&lt;&gt;"",E$2,"NA"),'MITRE ATT&amp;CK Mappings'!$G609))),ISNUMBER(SEARCH(IF(E$2&lt;&gt;"",E$2,"NA"),'MITRE ATT&amp;CK Mappings'!$H609))),ISNUMBER(SEARCH(IF(E$3&lt;&gt;"",E$3,"NA"),'MITRE ATT&amp;CK Mappings'!$I609))),ISNUMBER(SEARCH(IF(E$3&lt;&gt;"",E$3,"NA"),'MITRE ATT&amp;CK Mappings'!$J609))), 'MITRE ATT&amp;CK Mappings'!$B609,"")</f>
        <v/>
      </c>
      <c r="F613" s="27" t="str">
        <f>IF(OR(OR(OR(OR(OR(ISNUMBER(SEARCH(IF(F$1&lt;&gt;"",F$1,"NA"),'MITRE ATT&amp;CK Mappings'!$E609)),ISNUMBER(SEARCH(IF(F$1&lt;&gt;"",F$1,"NA"),'MITRE ATT&amp;CK Mappings'!$F609))),ISNUMBER(SEARCH(IF(F$2&lt;&gt;"",F$2,"NA"),'MITRE ATT&amp;CK Mappings'!$G609))),ISNUMBER(SEARCH(IF(F$2&lt;&gt;"",F$2,"NA"),'MITRE ATT&amp;CK Mappings'!$H609))),ISNUMBER(SEARCH(IF(F$3&lt;&gt;"",F$3,"NA"),'MITRE ATT&amp;CK Mappings'!$I609))),ISNUMBER(SEARCH(IF(F$3&lt;&gt;"",F$3,"NA"),'MITRE ATT&amp;CK Mappings'!$J609))), 'MITRE ATT&amp;CK Mappings'!$B609,"")</f>
        <v/>
      </c>
      <c r="G613" s="27" t="str">
        <f>IF(OR(OR(OR(OR(OR(ISNUMBER(SEARCH(IF(G$1&lt;&gt;"",G$1,"NA"),'MITRE ATT&amp;CK Mappings'!$E609)),ISNUMBER(SEARCH(IF(G$1&lt;&gt;"",G$1,"NA"),'MITRE ATT&amp;CK Mappings'!$F609))),ISNUMBER(SEARCH(IF(G$2&lt;&gt;"",G$2,"NA"),'MITRE ATT&amp;CK Mappings'!$G609))),ISNUMBER(SEARCH(IF(G$2&lt;&gt;"",G$2,"NA"),'MITRE ATT&amp;CK Mappings'!$H609))),ISNUMBER(SEARCH(IF(G$3&lt;&gt;"",G$3,"NA"),'MITRE ATT&amp;CK Mappings'!$I609))),ISNUMBER(SEARCH(IF(G$3&lt;&gt;"",G$3,"NA"),'MITRE ATT&amp;CK Mappings'!$J609))), 'MITRE ATT&amp;CK Mappings'!$B609,"")</f>
        <v/>
      </c>
      <c r="H613" s="27" t="str">
        <f>IF(OR(OR(OR(OR(OR(ISNUMBER(SEARCH(IF(H$1&lt;&gt;"",H$1,"NA"),'MITRE ATT&amp;CK Mappings'!$E609)),ISNUMBER(SEARCH(IF(H$1&lt;&gt;"",H$1,"NA"),'MITRE ATT&amp;CK Mappings'!$F609))),ISNUMBER(SEARCH(IF(H$2&lt;&gt;"",H$2,"NA"),'MITRE ATT&amp;CK Mappings'!$G609))),ISNUMBER(SEARCH(IF(H$2&lt;&gt;"",H$2,"NA"),'MITRE ATT&amp;CK Mappings'!$H609))),ISNUMBER(SEARCH(IF(H$3&lt;&gt;"",H$3,"NA"),'MITRE ATT&amp;CK Mappings'!$I609))),ISNUMBER(SEARCH(IF(H$3&lt;&gt;"",H$3,"NA"),'MITRE ATT&amp;CK Mappings'!$J609))), 'MITRE ATT&amp;CK Mappings'!$B609,"")</f>
        <v/>
      </c>
      <c r="I613" s="27" t="str">
        <f>IF(OR(OR(OR(OR(OR(ISNUMBER(SEARCH(IF(I$1&lt;&gt;"",I$1,"NA"),'MITRE ATT&amp;CK Mappings'!$E609)),ISNUMBER(SEARCH(IF(I$1&lt;&gt;"",I$1,"NA"),'MITRE ATT&amp;CK Mappings'!$F609))),ISNUMBER(SEARCH(IF(I$2&lt;&gt;"",I$2,"NA"),'MITRE ATT&amp;CK Mappings'!$G609))),ISNUMBER(SEARCH(IF(I$2&lt;&gt;"",I$2,"NA"),'MITRE ATT&amp;CK Mappings'!$H609))),ISNUMBER(SEARCH(IF(I$3&lt;&gt;"",I$3,"NA"),'MITRE ATT&amp;CK Mappings'!$I609))),ISNUMBER(SEARCH(IF(I$3&lt;&gt;"",I$3,"NA"),'MITRE ATT&amp;CK Mappings'!$J609))), 'MITRE ATT&amp;CK Mappings'!$B609,"")</f>
        <v/>
      </c>
      <c r="J613" s="27" t="str">
        <f>IF(OR(OR(OR(OR(OR(ISNUMBER(SEARCH(IF(J$1&lt;&gt;"",J$1,"NA"),'MITRE ATT&amp;CK Mappings'!$E609)),ISNUMBER(SEARCH(IF(J$1&lt;&gt;"",J$1,"NA"),'MITRE ATT&amp;CK Mappings'!$F609))),ISNUMBER(SEARCH(IF(J$2&lt;&gt;"",J$2,"NA"),'MITRE ATT&amp;CK Mappings'!$G609))),ISNUMBER(SEARCH(IF(J$2&lt;&gt;"",J$2,"NA"),'MITRE ATT&amp;CK Mappings'!$H609))),ISNUMBER(SEARCH(IF(J$3&lt;&gt;"",J$3,"NA"),'MITRE ATT&amp;CK Mappings'!$I609))),ISNUMBER(SEARCH(IF(J$3&lt;&gt;"",J$3,"NA"),'MITRE ATT&amp;CK Mappings'!$J609))), 'MITRE ATT&amp;CK Mappings'!$B609,"")</f>
        <v/>
      </c>
      <c r="K613" s="27" t="str">
        <f>IF(OR(OR(OR(OR(OR(ISNUMBER(SEARCH(IF(K$1&lt;&gt;"",K$1,"NA"),'MITRE ATT&amp;CK Mappings'!$E609)),ISNUMBER(SEARCH(IF(K$1&lt;&gt;"",K$1,"NA"),'MITRE ATT&amp;CK Mappings'!$F609))),ISNUMBER(SEARCH(IF(K$2&lt;&gt;"",K$2,"NA"),'MITRE ATT&amp;CK Mappings'!$G609))),ISNUMBER(SEARCH(IF(K$2&lt;&gt;"",K$2,"NA"),'MITRE ATT&amp;CK Mappings'!$H609))),ISNUMBER(SEARCH(IF(K$3&lt;&gt;"",K$3,"NA"),'MITRE ATT&amp;CK Mappings'!$I609))),ISNUMBER(SEARCH(IF(K$3&lt;&gt;"",K$3,"NA"),'MITRE ATT&amp;CK Mappings'!$J609))), 'MITRE ATT&amp;CK Mappings'!$B609,"")</f>
        <v/>
      </c>
      <c r="L613" s="27" t="str">
        <f>IF('MITRE ATT&amp;CK Mappings'!D609 &lt;&gt;"",'MITRE ATT&amp;CK Mappings'!D609,"" )</f>
        <v/>
      </c>
    </row>
    <row r="614" spans="1:12" x14ac:dyDescent="0.25">
      <c r="A614" s="26" t="str">
        <f>IF(COUNTIF(B614:K614,"="&amp;'MITRE ATT&amp;CK Mappings'!B610)&gt;0,'MITRE ATT&amp;CK Mappings'!B610,"")</f>
        <v/>
      </c>
      <c r="B614" s="26" t="str">
        <f>IF(OR(OR(OR(OR(OR(ISNUMBER(SEARCH(IF(B$1&lt;&gt;"",B$1,"NA"),'MITRE ATT&amp;CK Mappings'!$E610)),ISNUMBER(SEARCH(IF(B$1&lt;&gt;"",B$1,"NA"),'MITRE ATT&amp;CK Mappings'!$F610))),ISNUMBER(SEARCH(IF(B$2&lt;&gt;"",B$2,"NA"),'MITRE ATT&amp;CK Mappings'!$G610))),ISNUMBER(SEARCH(IF(B$2&lt;&gt;"",B$2,"NA"),'MITRE ATT&amp;CK Mappings'!$H610))),ISNUMBER(SEARCH(IF(B$3&lt;&gt;"",B$3,"NA"),'MITRE ATT&amp;CK Mappings'!$I610))),ISNUMBER(SEARCH(IF(B$3&lt;&gt;"",B$3,"NA"),'MITRE ATT&amp;CK Mappings'!$J610))), 'MITRE ATT&amp;CK Mappings'!$B610,"")</f>
        <v/>
      </c>
      <c r="C614" s="26" t="str">
        <f>IF(OR(OR(OR(OR(OR(ISNUMBER(SEARCH(IF(C$1&lt;&gt;"",C$1,"NA"),'MITRE ATT&amp;CK Mappings'!$E610)),ISNUMBER(SEARCH(IF(C$1&lt;&gt;"",C$1,"NA"),'MITRE ATT&amp;CK Mappings'!$F610))),ISNUMBER(SEARCH(IF(C$2&lt;&gt;"",C$2,"NA"),'MITRE ATT&amp;CK Mappings'!$G610))),ISNUMBER(SEARCH(IF(C$2&lt;&gt;"",C$2,"NA"),'MITRE ATT&amp;CK Mappings'!$H610))),ISNUMBER(SEARCH(IF(C$3&lt;&gt;"",C$3,"NA"),'MITRE ATT&amp;CK Mappings'!$I610))),ISNUMBER(SEARCH(IF(C$3&lt;&gt;"",C$3,"NA"),'MITRE ATT&amp;CK Mappings'!$J610))), 'MITRE ATT&amp;CK Mappings'!$B610,"")</f>
        <v/>
      </c>
      <c r="D614" s="26" t="str">
        <f>IF(OR(OR(OR(OR(OR(ISNUMBER(SEARCH(IF(D$1&lt;&gt;"",D$1,"NA"),'MITRE ATT&amp;CK Mappings'!$E610)),ISNUMBER(SEARCH(IF(D$1&lt;&gt;"",D$1,"NA"),'MITRE ATT&amp;CK Mappings'!$F610))),ISNUMBER(SEARCH(IF(D$2&lt;&gt;"",D$2,"NA"),'MITRE ATT&amp;CK Mappings'!$G610))),ISNUMBER(SEARCH(IF(D$2&lt;&gt;"",D$2,"NA"),'MITRE ATT&amp;CK Mappings'!$H610))),ISNUMBER(SEARCH(IF(D$3&lt;&gt;"",D$3,"NA"),'MITRE ATT&amp;CK Mappings'!$I610))),ISNUMBER(SEARCH(IF(D$3&lt;&gt;"",D$3,"NA"),'MITRE ATT&amp;CK Mappings'!$J610))), 'MITRE ATT&amp;CK Mappings'!$B610,"")</f>
        <v/>
      </c>
      <c r="E614" s="26" t="str">
        <f>IF(OR(OR(OR(OR(OR(ISNUMBER(SEARCH(IF(E$1&lt;&gt;"",E$1,"NA"),'MITRE ATT&amp;CK Mappings'!$E610)),ISNUMBER(SEARCH(IF(E$1&lt;&gt;"",E$1,"NA"),'MITRE ATT&amp;CK Mappings'!$F610))),ISNUMBER(SEARCH(IF(E$2&lt;&gt;"",E$2,"NA"),'MITRE ATT&amp;CK Mappings'!$G610))),ISNUMBER(SEARCH(IF(E$2&lt;&gt;"",E$2,"NA"),'MITRE ATT&amp;CK Mappings'!$H610))),ISNUMBER(SEARCH(IF(E$3&lt;&gt;"",E$3,"NA"),'MITRE ATT&amp;CK Mappings'!$I610))),ISNUMBER(SEARCH(IF(E$3&lt;&gt;"",E$3,"NA"),'MITRE ATT&amp;CK Mappings'!$J610))), 'MITRE ATT&amp;CK Mappings'!$B610,"")</f>
        <v/>
      </c>
      <c r="F614" s="26" t="str">
        <f>IF(OR(OR(OR(OR(OR(ISNUMBER(SEARCH(IF(F$1&lt;&gt;"",F$1,"NA"),'MITRE ATT&amp;CK Mappings'!$E610)),ISNUMBER(SEARCH(IF(F$1&lt;&gt;"",F$1,"NA"),'MITRE ATT&amp;CK Mappings'!$F610))),ISNUMBER(SEARCH(IF(F$2&lt;&gt;"",F$2,"NA"),'MITRE ATT&amp;CK Mappings'!$G610))),ISNUMBER(SEARCH(IF(F$2&lt;&gt;"",F$2,"NA"),'MITRE ATT&amp;CK Mappings'!$H610))),ISNUMBER(SEARCH(IF(F$3&lt;&gt;"",F$3,"NA"),'MITRE ATT&amp;CK Mappings'!$I610))),ISNUMBER(SEARCH(IF(F$3&lt;&gt;"",F$3,"NA"),'MITRE ATT&amp;CK Mappings'!$J610))), 'MITRE ATT&amp;CK Mappings'!$B610,"")</f>
        <v/>
      </c>
      <c r="G614" s="26" t="str">
        <f>IF(OR(OR(OR(OR(OR(ISNUMBER(SEARCH(IF(G$1&lt;&gt;"",G$1,"NA"),'MITRE ATT&amp;CK Mappings'!$E610)),ISNUMBER(SEARCH(IF(G$1&lt;&gt;"",G$1,"NA"),'MITRE ATT&amp;CK Mappings'!$F610))),ISNUMBER(SEARCH(IF(G$2&lt;&gt;"",G$2,"NA"),'MITRE ATT&amp;CK Mappings'!$G610))),ISNUMBER(SEARCH(IF(G$2&lt;&gt;"",G$2,"NA"),'MITRE ATT&amp;CK Mappings'!$H610))),ISNUMBER(SEARCH(IF(G$3&lt;&gt;"",G$3,"NA"),'MITRE ATT&amp;CK Mappings'!$I610))),ISNUMBER(SEARCH(IF(G$3&lt;&gt;"",G$3,"NA"),'MITRE ATT&amp;CK Mappings'!$J610))), 'MITRE ATT&amp;CK Mappings'!$B610,"")</f>
        <v/>
      </c>
      <c r="H614" s="26" t="str">
        <f>IF(OR(OR(OR(OR(OR(ISNUMBER(SEARCH(IF(H$1&lt;&gt;"",H$1,"NA"),'MITRE ATT&amp;CK Mappings'!$E610)),ISNUMBER(SEARCH(IF(H$1&lt;&gt;"",H$1,"NA"),'MITRE ATT&amp;CK Mappings'!$F610))),ISNUMBER(SEARCH(IF(H$2&lt;&gt;"",H$2,"NA"),'MITRE ATT&amp;CK Mappings'!$G610))),ISNUMBER(SEARCH(IF(H$2&lt;&gt;"",H$2,"NA"),'MITRE ATT&amp;CK Mappings'!$H610))),ISNUMBER(SEARCH(IF(H$3&lt;&gt;"",H$3,"NA"),'MITRE ATT&amp;CK Mappings'!$I610))),ISNUMBER(SEARCH(IF(H$3&lt;&gt;"",H$3,"NA"),'MITRE ATT&amp;CK Mappings'!$J610))), 'MITRE ATT&amp;CK Mappings'!$B610,"")</f>
        <v/>
      </c>
      <c r="I614" s="26" t="str">
        <f>IF(OR(OR(OR(OR(OR(ISNUMBER(SEARCH(IF(I$1&lt;&gt;"",I$1,"NA"),'MITRE ATT&amp;CK Mappings'!$E610)),ISNUMBER(SEARCH(IF(I$1&lt;&gt;"",I$1,"NA"),'MITRE ATT&amp;CK Mappings'!$F610))),ISNUMBER(SEARCH(IF(I$2&lt;&gt;"",I$2,"NA"),'MITRE ATT&amp;CK Mappings'!$G610))),ISNUMBER(SEARCH(IF(I$2&lt;&gt;"",I$2,"NA"),'MITRE ATT&amp;CK Mappings'!$H610))),ISNUMBER(SEARCH(IF(I$3&lt;&gt;"",I$3,"NA"),'MITRE ATT&amp;CK Mappings'!$I610))),ISNUMBER(SEARCH(IF(I$3&lt;&gt;"",I$3,"NA"),'MITRE ATT&amp;CK Mappings'!$J610))), 'MITRE ATT&amp;CK Mappings'!$B610,"")</f>
        <v/>
      </c>
      <c r="J614" s="26" t="str">
        <f>IF(OR(OR(OR(OR(OR(ISNUMBER(SEARCH(IF(J$1&lt;&gt;"",J$1,"NA"),'MITRE ATT&amp;CK Mappings'!$E610)),ISNUMBER(SEARCH(IF(J$1&lt;&gt;"",J$1,"NA"),'MITRE ATT&amp;CK Mappings'!$F610))),ISNUMBER(SEARCH(IF(J$2&lt;&gt;"",J$2,"NA"),'MITRE ATT&amp;CK Mappings'!$G610))),ISNUMBER(SEARCH(IF(J$2&lt;&gt;"",J$2,"NA"),'MITRE ATT&amp;CK Mappings'!$H610))),ISNUMBER(SEARCH(IF(J$3&lt;&gt;"",J$3,"NA"),'MITRE ATT&amp;CK Mappings'!$I610))),ISNUMBER(SEARCH(IF(J$3&lt;&gt;"",J$3,"NA"),'MITRE ATT&amp;CK Mappings'!$J610))), 'MITRE ATT&amp;CK Mappings'!$B610,"")</f>
        <v/>
      </c>
      <c r="K614" s="26" t="str">
        <f>IF(OR(OR(OR(OR(OR(ISNUMBER(SEARCH(IF(K$1&lt;&gt;"",K$1,"NA"),'MITRE ATT&amp;CK Mappings'!$E610)),ISNUMBER(SEARCH(IF(K$1&lt;&gt;"",K$1,"NA"),'MITRE ATT&amp;CK Mappings'!$F610))),ISNUMBER(SEARCH(IF(K$2&lt;&gt;"",K$2,"NA"),'MITRE ATT&amp;CK Mappings'!$G610))),ISNUMBER(SEARCH(IF(K$2&lt;&gt;"",K$2,"NA"),'MITRE ATT&amp;CK Mappings'!$H610))),ISNUMBER(SEARCH(IF(K$3&lt;&gt;"",K$3,"NA"),'MITRE ATT&amp;CK Mappings'!$I610))),ISNUMBER(SEARCH(IF(K$3&lt;&gt;"",K$3,"NA"),'MITRE ATT&amp;CK Mappings'!$J610))), 'MITRE ATT&amp;CK Mappings'!$B610,"")</f>
        <v/>
      </c>
      <c r="L614" s="26" t="str">
        <f>IF('MITRE ATT&amp;CK Mappings'!D610 &lt;&gt;"",'MITRE ATT&amp;CK Mappings'!D610,"" )</f>
        <v/>
      </c>
    </row>
    <row r="615" spans="1:12" x14ac:dyDescent="0.25">
      <c r="A615" s="27" t="str">
        <f>IF(COUNTIF(B615:K615,"="&amp;'MITRE ATT&amp;CK Mappings'!B611)&gt;0,'MITRE ATT&amp;CK Mappings'!B611,"")</f>
        <v/>
      </c>
      <c r="B615" s="27" t="str">
        <f>IF(OR(OR(OR(OR(OR(ISNUMBER(SEARCH(IF(B$1&lt;&gt;"",B$1,"NA"),'MITRE ATT&amp;CK Mappings'!$E611)),ISNUMBER(SEARCH(IF(B$1&lt;&gt;"",B$1,"NA"),'MITRE ATT&amp;CK Mappings'!$F611))),ISNUMBER(SEARCH(IF(B$2&lt;&gt;"",B$2,"NA"),'MITRE ATT&amp;CK Mappings'!$G611))),ISNUMBER(SEARCH(IF(B$2&lt;&gt;"",B$2,"NA"),'MITRE ATT&amp;CK Mappings'!$H611))),ISNUMBER(SEARCH(IF(B$3&lt;&gt;"",B$3,"NA"),'MITRE ATT&amp;CK Mappings'!$I611))),ISNUMBER(SEARCH(IF(B$3&lt;&gt;"",B$3,"NA"),'MITRE ATT&amp;CK Mappings'!$J611))), 'MITRE ATT&amp;CK Mappings'!$B611,"")</f>
        <v/>
      </c>
      <c r="C615" s="27" t="str">
        <f>IF(OR(OR(OR(OR(OR(ISNUMBER(SEARCH(IF(C$1&lt;&gt;"",C$1,"NA"),'MITRE ATT&amp;CK Mappings'!$E611)),ISNUMBER(SEARCH(IF(C$1&lt;&gt;"",C$1,"NA"),'MITRE ATT&amp;CK Mappings'!$F611))),ISNUMBER(SEARCH(IF(C$2&lt;&gt;"",C$2,"NA"),'MITRE ATT&amp;CK Mappings'!$G611))),ISNUMBER(SEARCH(IF(C$2&lt;&gt;"",C$2,"NA"),'MITRE ATT&amp;CK Mappings'!$H611))),ISNUMBER(SEARCH(IF(C$3&lt;&gt;"",C$3,"NA"),'MITRE ATT&amp;CK Mappings'!$I611))),ISNUMBER(SEARCH(IF(C$3&lt;&gt;"",C$3,"NA"),'MITRE ATT&amp;CK Mappings'!$J611))), 'MITRE ATT&amp;CK Mappings'!$B611,"")</f>
        <v/>
      </c>
      <c r="D615" s="27" t="str">
        <f>IF(OR(OR(OR(OR(OR(ISNUMBER(SEARCH(IF(D$1&lt;&gt;"",D$1,"NA"),'MITRE ATT&amp;CK Mappings'!$E611)),ISNUMBER(SEARCH(IF(D$1&lt;&gt;"",D$1,"NA"),'MITRE ATT&amp;CK Mappings'!$F611))),ISNUMBER(SEARCH(IF(D$2&lt;&gt;"",D$2,"NA"),'MITRE ATT&amp;CK Mappings'!$G611))),ISNUMBER(SEARCH(IF(D$2&lt;&gt;"",D$2,"NA"),'MITRE ATT&amp;CK Mappings'!$H611))),ISNUMBER(SEARCH(IF(D$3&lt;&gt;"",D$3,"NA"),'MITRE ATT&amp;CK Mappings'!$I611))),ISNUMBER(SEARCH(IF(D$3&lt;&gt;"",D$3,"NA"),'MITRE ATT&amp;CK Mappings'!$J611))), 'MITRE ATT&amp;CK Mappings'!$B611,"")</f>
        <v/>
      </c>
      <c r="E615" s="27" t="str">
        <f>IF(OR(OR(OR(OR(OR(ISNUMBER(SEARCH(IF(E$1&lt;&gt;"",E$1,"NA"),'MITRE ATT&amp;CK Mappings'!$E611)),ISNUMBER(SEARCH(IF(E$1&lt;&gt;"",E$1,"NA"),'MITRE ATT&amp;CK Mappings'!$F611))),ISNUMBER(SEARCH(IF(E$2&lt;&gt;"",E$2,"NA"),'MITRE ATT&amp;CK Mappings'!$G611))),ISNUMBER(SEARCH(IF(E$2&lt;&gt;"",E$2,"NA"),'MITRE ATT&amp;CK Mappings'!$H611))),ISNUMBER(SEARCH(IF(E$3&lt;&gt;"",E$3,"NA"),'MITRE ATT&amp;CK Mappings'!$I611))),ISNUMBER(SEARCH(IF(E$3&lt;&gt;"",E$3,"NA"),'MITRE ATT&amp;CK Mappings'!$J611))), 'MITRE ATT&amp;CK Mappings'!$B611,"")</f>
        <v/>
      </c>
      <c r="F615" s="27" t="str">
        <f>IF(OR(OR(OR(OR(OR(ISNUMBER(SEARCH(IF(F$1&lt;&gt;"",F$1,"NA"),'MITRE ATT&amp;CK Mappings'!$E611)),ISNUMBER(SEARCH(IF(F$1&lt;&gt;"",F$1,"NA"),'MITRE ATT&amp;CK Mappings'!$F611))),ISNUMBER(SEARCH(IF(F$2&lt;&gt;"",F$2,"NA"),'MITRE ATT&amp;CK Mappings'!$G611))),ISNUMBER(SEARCH(IF(F$2&lt;&gt;"",F$2,"NA"),'MITRE ATT&amp;CK Mappings'!$H611))),ISNUMBER(SEARCH(IF(F$3&lt;&gt;"",F$3,"NA"),'MITRE ATT&amp;CK Mappings'!$I611))),ISNUMBER(SEARCH(IF(F$3&lt;&gt;"",F$3,"NA"),'MITRE ATT&amp;CK Mappings'!$J611))), 'MITRE ATT&amp;CK Mappings'!$B611,"")</f>
        <v/>
      </c>
      <c r="G615" s="27" t="str">
        <f>IF(OR(OR(OR(OR(OR(ISNUMBER(SEARCH(IF(G$1&lt;&gt;"",G$1,"NA"),'MITRE ATT&amp;CK Mappings'!$E611)),ISNUMBER(SEARCH(IF(G$1&lt;&gt;"",G$1,"NA"),'MITRE ATT&amp;CK Mappings'!$F611))),ISNUMBER(SEARCH(IF(G$2&lt;&gt;"",G$2,"NA"),'MITRE ATT&amp;CK Mappings'!$G611))),ISNUMBER(SEARCH(IF(G$2&lt;&gt;"",G$2,"NA"),'MITRE ATT&amp;CK Mappings'!$H611))),ISNUMBER(SEARCH(IF(G$3&lt;&gt;"",G$3,"NA"),'MITRE ATT&amp;CK Mappings'!$I611))),ISNUMBER(SEARCH(IF(G$3&lt;&gt;"",G$3,"NA"),'MITRE ATT&amp;CK Mappings'!$J611))), 'MITRE ATT&amp;CK Mappings'!$B611,"")</f>
        <v/>
      </c>
      <c r="H615" s="27" t="str">
        <f>IF(OR(OR(OR(OR(OR(ISNUMBER(SEARCH(IF(H$1&lt;&gt;"",H$1,"NA"),'MITRE ATT&amp;CK Mappings'!$E611)),ISNUMBER(SEARCH(IF(H$1&lt;&gt;"",H$1,"NA"),'MITRE ATT&amp;CK Mappings'!$F611))),ISNUMBER(SEARCH(IF(H$2&lt;&gt;"",H$2,"NA"),'MITRE ATT&amp;CK Mappings'!$G611))),ISNUMBER(SEARCH(IF(H$2&lt;&gt;"",H$2,"NA"),'MITRE ATT&amp;CK Mappings'!$H611))),ISNUMBER(SEARCH(IF(H$3&lt;&gt;"",H$3,"NA"),'MITRE ATT&amp;CK Mappings'!$I611))),ISNUMBER(SEARCH(IF(H$3&lt;&gt;"",H$3,"NA"),'MITRE ATT&amp;CK Mappings'!$J611))), 'MITRE ATT&amp;CK Mappings'!$B611,"")</f>
        <v/>
      </c>
      <c r="I615" s="27" t="str">
        <f>IF(OR(OR(OR(OR(OR(ISNUMBER(SEARCH(IF(I$1&lt;&gt;"",I$1,"NA"),'MITRE ATT&amp;CK Mappings'!$E611)),ISNUMBER(SEARCH(IF(I$1&lt;&gt;"",I$1,"NA"),'MITRE ATT&amp;CK Mappings'!$F611))),ISNUMBER(SEARCH(IF(I$2&lt;&gt;"",I$2,"NA"),'MITRE ATT&amp;CK Mappings'!$G611))),ISNUMBER(SEARCH(IF(I$2&lt;&gt;"",I$2,"NA"),'MITRE ATT&amp;CK Mappings'!$H611))),ISNUMBER(SEARCH(IF(I$3&lt;&gt;"",I$3,"NA"),'MITRE ATT&amp;CK Mappings'!$I611))),ISNUMBER(SEARCH(IF(I$3&lt;&gt;"",I$3,"NA"),'MITRE ATT&amp;CK Mappings'!$J611))), 'MITRE ATT&amp;CK Mappings'!$B611,"")</f>
        <v/>
      </c>
      <c r="J615" s="27" t="str">
        <f>IF(OR(OR(OR(OR(OR(ISNUMBER(SEARCH(IF(J$1&lt;&gt;"",J$1,"NA"),'MITRE ATT&amp;CK Mappings'!$E611)),ISNUMBER(SEARCH(IF(J$1&lt;&gt;"",J$1,"NA"),'MITRE ATT&amp;CK Mappings'!$F611))),ISNUMBER(SEARCH(IF(J$2&lt;&gt;"",J$2,"NA"),'MITRE ATT&amp;CK Mappings'!$G611))),ISNUMBER(SEARCH(IF(J$2&lt;&gt;"",J$2,"NA"),'MITRE ATT&amp;CK Mappings'!$H611))),ISNUMBER(SEARCH(IF(J$3&lt;&gt;"",J$3,"NA"),'MITRE ATT&amp;CK Mappings'!$I611))),ISNUMBER(SEARCH(IF(J$3&lt;&gt;"",J$3,"NA"),'MITRE ATT&amp;CK Mappings'!$J611))), 'MITRE ATT&amp;CK Mappings'!$B611,"")</f>
        <v/>
      </c>
      <c r="K615" s="27" t="str">
        <f>IF(OR(OR(OR(OR(OR(ISNUMBER(SEARCH(IF(K$1&lt;&gt;"",K$1,"NA"),'MITRE ATT&amp;CK Mappings'!$E611)),ISNUMBER(SEARCH(IF(K$1&lt;&gt;"",K$1,"NA"),'MITRE ATT&amp;CK Mappings'!$F611))),ISNUMBER(SEARCH(IF(K$2&lt;&gt;"",K$2,"NA"),'MITRE ATT&amp;CK Mappings'!$G611))),ISNUMBER(SEARCH(IF(K$2&lt;&gt;"",K$2,"NA"),'MITRE ATT&amp;CK Mappings'!$H611))),ISNUMBER(SEARCH(IF(K$3&lt;&gt;"",K$3,"NA"),'MITRE ATT&amp;CK Mappings'!$I611))),ISNUMBER(SEARCH(IF(K$3&lt;&gt;"",K$3,"NA"),'MITRE ATT&amp;CK Mappings'!$J611))), 'MITRE ATT&amp;CK Mappings'!$B611,"")</f>
        <v/>
      </c>
      <c r="L615" s="27" t="str">
        <f>IF('MITRE ATT&amp;CK Mappings'!D611 &lt;&gt;"",'MITRE ATT&amp;CK Mappings'!D611,"" )</f>
        <v/>
      </c>
    </row>
    <row r="616" spans="1:12" x14ac:dyDescent="0.25">
      <c r="A616" s="26" t="str">
        <f>IF(COUNTIF(B616:K616,"="&amp;'MITRE ATT&amp;CK Mappings'!B612)&gt;0,'MITRE ATT&amp;CK Mappings'!B612,"")</f>
        <v/>
      </c>
      <c r="B616" s="26" t="str">
        <f>IF(OR(OR(OR(OR(OR(ISNUMBER(SEARCH(IF(B$1&lt;&gt;"",B$1,"NA"),'MITRE ATT&amp;CK Mappings'!$E612)),ISNUMBER(SEARCH(IF(B$1&lt;&gt;"",B$1,"NA"),'MITRE ATT&amp;CK Mappings'!$F612))),ISNUMBER(SEARCH(IF(B$2&lt;&gt;"",B$2,"NA"),'MITRE ATT&amp;CK Mappings'!$G612))),ISNUMBER(SEARCH(IF(B$2&lt;&gt;"",B$2,"NA"),'MITRE ATT&amp;CK Mappings'!$H612))),ISNUMBER(SEARCH(IF(B$3&lt;&gt;"",B$3,"NA"),'MITRE ATT&amp;CK Mappings'!$I612))),ISNUMBER(SEARCH(IF(B$3&lt;&gt;"",B$3,"NA"),'MITRE ATT&amp;CK Mappings'!$J612))), 'MITRE ATT&amp;CK Mappings'!$B612,"")</f>
        <v/>
      </c>
      <c r="C616" s="26" t="str">
        <f>IF(OR(OR(OR(OR(OR(ISNUMBER(SEARCH(IF(C$1&lt;&gt;"",C$1,"NA"),'MITRE ATT&amp;CK Mappings'!$E612)),ISNUMBER(SEARCH(IF(C$1&lt;&gt;"",C$1,"NA"),'MITRE ATT&amp;CK Mappings'!$F612))),ISNUMBER(SEARCH(IF(C$2&lt;&gt;"",C$2,"NA"),'MITRE ATT&amp;CK Mappings'!$G612))),ISNUMBER(SEARCH(IF(C$2&lt;&gt;"",C$2,"NA"),'MITRE ATT&amp;CK Mappings'!$H612))),ISNUMBER(SEARCH(IF(C$3&lt;&gt;"",C$3,"NA"),'MITRE ATT&amp;CK Mappings'!$I612))),ISNUMBER(SEARCH(IF(C$3&lt;&gt;"",C$3,"NA"),'MITRE ATT&amp;CK Mappings'!$J612))), 'MITRE ATT&amp;CK Mappings'!$B612,"")</f>
        <v/>
      </c>
      <c r="D616" s="26" t="str">
        <f>IF(OR(OR(OR(OR(OR(ISNUMBER(SEARCH(IF(D$1&lt;&gt;"",D$1,"NA"),'MITRE ATT&amp;CK Mappings'!$E612)),ISNUMBER(SEARCH(IF(D$1&lt;&gt;"",D$1,"NA"),'MITRE ATT&amp;CK Mappings'!$F612))),ISNUMBER(SEARCH(IF(D$2&lt;&gt;"",D$2,"NA"),'MITRE ATT&amp;CK Mappings'!$G612))),ISNUMBER(SEARCH(IF(D$2&lt;&gt;"",D$2,"NA"),'MITRE ATT&amp;CK Mappings'!$H612))),ISNUMBER(SEARCH(IF(D$3&lt;&gt;"",D$3,"NA"),'MITRE ATT&amp;CK Mappings'!$I612))),ISNUMBER(SEARCH(IF(D$3&lt;&gt;"",D$3,"NA"),'MITRE ATT&amp;CK Mappings'!$J612))), 'MITRE ATT&amp;CK Mappings'!$B612,"")</f>
        <v/>
      </c>
      <c r="E616" s="26" t="str">
        <f>IF(OR(OR(OR(OR(OR(ISNUMBER(SEARCH(IF(E$1&lt;&gt;"",E$1,"NA"),'MITRE ATT&amp;CK Mappings'!$E612)),ISNUMBER(SEARCH(IF(E$1&lt;&gt;"",E$1,"NA"),'MITRE ATT&amp;CK Mappings'!$F612))),ISNUMBER(SEARCH(IF(E$2&lt;&gt;"",E$2,"NA"),'MITRE ATT&amp;CK Mappings'!$G612))),ISNUMBER(SEARCH(IF(E$2&lt;&gt;"",E$2,"NA"),'MITRE ATT&amp;CK Mappings'!$H612))),ISNUMBER(SEARCH(IF(E$3&lt;&gt;"",E$3,"NA"),'MITRE ATT&amp;CK Mappings'!$I612))),ISNUMBER(SEARCH(IF(E$3&lt;&gt;"",E$3,"NA"),'MITRE ATT&amp;CK Mappings'!$J612))), 'MITRE ATT&amp;CK Mappings'!$B612,"")</f>
        <v/>
      </c>
      <c r="F616" s="26" t="str">
        <f>IF(OR(OR(OR(OR(OR(ISNUMBER(SEARCH(IF(F$1&lt;&gt;"",F$1,"NA"),'MITRE ATT&amp;CK Mappings'!$E612)),ISNUMBER(SEARCH(IF(F$1&lt;&gt;"",F$1,"NA"),'MITRE ATT&amp;CK Mappings'!$F612))),ISNUMBER(SEARCH(IF(F$2&lt;&gt;"",F$2,"NA"),'MITRE ATT&amp;CK Mappings'!$G612))),ISNUMBER(SEARCH(IF(F$2&lt;&gt;"",F$2,"NA"),'MITRE ATT&amp;CK Mappings'!$H612))),ISNUMBER(SEARCH(IF(F$3&lt;&gt;"",F$3,"NA"),'MITRE ATT&amp;CK Mappings'!$I612))),ISNUMBER(SEARCH(IF(F$3&lt;&gt;"",F$3,"NA"),'MITRE ATT&amp;CK Mappings'!$J612))), 'MITRE ATT&amp;CK Mappings'!$B612,"")</f>
        <v/>
      </c>
      <c r="G616" s="26" t="str">
        <f>IF(OR(OR(OR(OR(OR(ISNUMBER(SEARCH(IF(G$1&lt;&gt;"",G$1,"NA"),'MITRE ATT&amp;CK Mappings'!$E612)),ISNUMBER(SEARCH(IF(G$1&lt;&gt;"",G$1,"NA"),'MITRE ATT&amp;CK Mappings'!$F612))),ISNUMBER(SEARCH(IF(G$2&lt;&gt;"",G$2,"NA"),'MITRE ATT&amp;CK Mappings'!$G612))),ISNUMBER(SEARCH(IF(G$2&lt;&gt;"",G$2,"NA"),'MITRE ATT&amp;CK Mappings'!$H612))),ISNUMBER(SEARCH(IF(G$3&lt;&gt;"",G$3,"NA"),'MITRE ATT&amp;CK Mappings'!$I612))),ISNUMBER(SEARCH(IF(G$3&lt;&gt;"",G$3,"NA"),'MITRE ATT&amp;CK Mappings'!$J612))), 'MITRE ATT&amp;CK Mappings'!$B612,"")</f>
        <v/>
      </c>
      <c r="H616" s="26" t="str">
        <f>IF(OR(OR(OR(OR(OR(ISNUMBER(SEARCH(IF(H$1&lt;&gt;"",H$1,"NA"),'MITRE ATT&amp;CK Mappings'!$E612)),ISNUMBER(SEARCH(IF(H$1&lt;&gt;"",H$1,"NA"),'MITRE ATT&amp;CK Mappings'!$F612))),ISNUMBER(SEARCH(IF(H$2&lt;&gt;"",H$2,"NA"),'MITRE ATT&amp;CK Mappings'!$G612))),ISNUMBER(SEARCH(IF(H$2&lt;&gt;"",H$2,"NA"),'MITRE ATT&amp;CK Mappings'!$H612))),ISNUMBER(SEARCH(IF(H$3&lt;&gt;"",H$3,"NA"),'MITRE ATT&amp;CK Mappings'!$I612))),ISNUMBER(SEARCH(IF(H$3&lt;&gt;"",H$3,"NA"),'MITRE ATT&amp;CK Mappings'!$J612))), 'MITRE ATT&amp;CK Mappings'!$B612,"")</f>
        <v/>
      </c>
      <c r="I616" s="26" t="str">
        <f>IF(OR(OR(OR(OR(OR(ISNUMBER(SEARCH(IF(I$1&lt;&gt;"",I$1,"NA"),'MITRE ATT&amp;CK Mappings'!$E612)),ISNUMBER(SEARCH(IF(I$1&lt;&gt;"",I$1,"NA"),'MITRE ATT&amp;CK Mappings'!$F612))),ISNUMBER(SEARCH(IF(I$2&lt;&gt;"",I$2,"NA"),'MITRE ATT&amp;CK Mappings'!$G612))),ISNUMBER(SEARCH(IF(I$2&lt;&gt;"",I$2,"NA"),'MITRE ATT&amp;CK Mappings'!$H612))),ISNUMBER(SEARCH(IF(I$3&lt;&gt;"",I$3,"NA"),'MITRE ATT&amp;CK Mappings'!$I612))),ISNUMBER(SEARCH(IF(I$3&lt;&gt;"",I$3,"NA"),'MITRE ATT&amp;CK Mappings'!$J612))), 'MITRE ATT&amp;CK Mappings'!$B612,"")</f>
        <v/>
      </c>
      <c r="J616" s="26" t="str">
        <f>IF(OR(OR(OR(OR(OR(ISNUMBER(SEARCH(IF(J$1&lt;&gt;"",J$1,"NA"),'MITRE ATT&amp;CK Mappings'!$E612)),ISNUMBER(SEARCH(IF(J$1&lt;&gt;"",J$1,"NA"),'MITRE ATT&amp;CK Mappings'!$F612))),ISNUMBER(SEARCH(IF(J$2&lt;&gt;"",J$2,"NA"),'MITRE ATT&amp;CK Mappings'!$G612))),ISNUMBER(SEARCH(IF(J$2&lt;&gt;"",J$2,"NA"),'MITRE ATT&amp;CK Mappings'!$H612))),ISNUMBER(SEARCH(IF(J$3&lt;&gt;"",J$3,"NA"),'MITRE ATT&amp;CK Mappings'!$I612))),ISNUMBER(SEARCH(IF(J$3&lt;&gt;"",J$3,"NA"),'MITRE ATT&amp;CK Mappings'!$J612))), 'MITRE ATT&amp;CK Mappings'!$B612,"")</f>
        <v/>
      </c>
      <c r="K616" s="26" t="str">
        <f>IF(OR(OR(OR(OR(OR(ISNUMBER(SEARCH(IF(K$1&lt;&gt;"",K$1,"NA"),'MITRE ATT&amp;CK Mappings'!$E612)),ISNUMBER(SEARCH(IF(K$1&lt;&gt;"",K$1,"NA"),'MITRE ATT&amp;CK Mappings'!$F612))),ISNUMBER(SEARCH(IF(K$2&lt;&gt;"",K$2,"NA"),'MITRE ATT&amp;CK Mappings'!$G612))),ISNUMBER(SEARCH(IF(K$2&lt;&gt;"",K$2,"NA"),'MITRE ATT&amp;CK Mappings'!$H612))),ISNUMBER(SEARCH(IF(K$3&lt;&gt;"",K$3,"NA"),'MITRE ATT&amp;CK Mappings'!$I612))),ISNUMBER(SEARCH(IF(K$3&lt;&gt;"",K$3,"NA"),'MITRE ATT&amp;CK Mappings'!$J612))), 'MITRE ATT&amp;CK Mappings'!$B612,"")</f>
        <v/>
      </c>
      <c r="L616" s="26" t="str">
        <f>IF('MITRE ATT&amp;CK Mappings'!D612 &lt;&gt;"",'MITRE ATT&amp;CK Mappings'!D612,"" )</f>
        <v/>
      </c>
    </row>
    <row r="617" spans="1:12" x14ac:dyDescent="0.25">
      <c r="A617" s="27" t="str">
        <f>IF(COUNTIF(B617:K617,"="&amp;'MITRE ATT&amp;CK Mappings'!B613)&gt;0,'MITRE ATT&amp;CK Mappings'!B613,"")</f>
        <v/>
      </c>
      <c r="B617" s="27" t="str">
        <f>IF(OR(OR(OR(OR(OR(ISNUMBER(SEARCH(IF(B$1&lt;&gt;"",B$1,"NA"),'MITRE ATT&amp;CK Mappings'!$E613)),ISNUMBER(SEARCH(IF(B$1&lt;&gt;"",B$1,"NA"),'MITRE ATT&amp;CK Mappings'!$F613))),ISNUMBER(SEARCH(IF(B$2&lt;&gt;"",B$2,"NA"),'MITRE ATT&amp;CK Mappings'!$G613))),ISNUMBER(SEARCH(IF(B$2&lt;&gt;"",B$2,"NA"),'MITRE ATT&amp;CK Mappings'!$H613))),ISNUMBER(SEARCH(IF(B$3&lt;&gt;"",B$3,"NA"),'MITRE ATT&amp;CK Mappings'!$I613))),ISNUMBER(SEARCH(IF(B$3&lt;&gt;"",B$3,"NA"),'MITRE ATT&amp;CK Mappings'!$J613))), 'MITRE ATT&amp;CK Mappings'!$B613,"")</f>
        <v/>
      </c>
      <c r="C617" s="27" t="str">
        <f>IF(OR(OR(OR(OR(OR(ISNUMBER(SEARCH(IF(C$1&lt;&gt;"",C$1,"NA"),'MITRE ATT&amp;CK Mappings'!$E613)),ISNUMBER(SEARCH(IF(C$1&lt;&gt;"",C$1,"NA"),'MITRE ATT&amp;CK Mappings'!$F613))),ISNUMBER(SEARCH(IF(C$2&lt;&gt;"",C$2,"NA"),'MITRE ATT&amp;CK Mappings'!$G613))),ISNUMBER(SEARCH(IF(C$2&lt;&gt;"",C$2,"NA"),'MITRE ATT&amp;CK Mappings'!$H613))),ISNUMBER(SEARCH(IF(C$3&lt;&gt;"",C$3,"NA"),'MITRE ATT&amp;CK Mappings'!$I613))),ISNUMBER(SEARCH(IF(C$3&lt;&gt;"",C$3,"NA"),'MITRE ATT&amp;CK Mappings'!$J613))), 'MITRE ATT&amp;CK Mappings'!$B613,"")</f>
        <v/>
      </c>
      <c r="D617" s="27" t="str">
        <f>IF(OR(OR(OR(OR(OR(ISNUMBER(SEARCH(IF(D$1&lt;&gt;"",D$1,"NA"),'MITRE ATT&amp;CK Mappings'!$E613)),ISNUMBER(SEARCH(IF(D$1&lt;&gt;"",D$1,"NA"),'MITRE ATT&amp;CK Mappings'!$F613))),ISNUMBER(SEARCH(IF(D$2&lt;&gt;"",D$2,"NA"),'MITRE ATT&amp;CK Mappings'!$G613))),ISNUMBER(SEARCH(IF(D$2&lt;&gt;"",D$2,"NA"),'MITRE ATT&amp;CK Mappings'!$H613))),ISNUMBER(SEARCH(IF(D$3&lt;&gt;"",D$3,"NA"),'MITRE ATT&amp;CK Mappings'!$I613))),ISNUMBER(SEARCH(IF(D$3&lt;&gt;"",D$3,"NA"),'MITRE ATT&amp;CK Mappings'!$J613))), 'MITRE ATT&amp;CK Mappings'!$B613,"")</f>
        <v/>
      </c>
      <c r="E617" s="27" t="str">
        <f>IF(OR(OR(OR(OR(OR(ISNUMBER(SEARCH(IF(E$1&lt;&gt;"",E$1,"NA"),'MITRE ATT&amp;CK Mappings'!$E613)),ISNUMBER(SEARCH(IF(E$1&lt;&gt;"",E$1,"NA"),'MITRE ATT&amp;CK Mappings'!$F613))),ISNUMBER(SEARCH(IF(E$2&lt;&gt;"",E$2,"NA"),'MITRE ATT&amp;CK Mappings'!$G613))),ISNUMBER(SEARCH(IF(E$2&lt;&gt;"",E$2,"NA"),'MITRE ATT&amp;CK Mappings'!$H613))),ISNUMBER(SEARCH(IF(E$3&lt;&gt;"",E$3,"NA"),'MITRE ATT&amp;CK Mappings'!$I613))),ISNUMBER(SEARCH(IF(E$3&lt;&gt;"",E$3,"NA"),'MITRE ATT&amp;CK Mappings'!$J613))), 'MITRE ATT&amp;CK Mappings'!$B613,"")</f>
        <v/>
      </c>
      <c r="F617" s="27" t="str">
        <f>IF(OR(OR(OR(OR(OR(ISNUMBER(SEARCH(IF(F$1&lt;&gt;"",F$1,"NA"),'MITRE ATT&amp;CK Mappings'!$E613)),ISNUMBER(SEARCH(IF(F$1&lt;&gt;"",F$1,"NA"),'MITRE ATT&amp;CK Mappings'!$F613))),ISNUMBER(SEARCH(IF(F$2&lt;&gt;"",F$2,"NA"),'MITRE ATT&amp;CK Mappings'!$G613))),ISNUMBER(SEARCH(IF(F$2&lt;&gt;"",F$2,"NA"),'MITRE ATT&amp;CK Mappings'!$H613))),ISNUMBER(SEARCH(IF(F$3&lt;&gt;"",F$3,"NA"),'MITRE ATT&amp;CK Mappings'!$I613))),ISNUMBER(SEARCH(IF(F$3&lt;&gt;"",F$3,"NA"),'MITRE ATT&amp;CK Mappings'!$J613))), 'MITRE ATT&amp;CK Mappings'!$B613,"")</f>
        <v/>
      </c>
      <c r="G617" s="27" t="str">
        <f>IF(OR(OR(OR(OR(OR(ISNUMBER(SEARCH(IF(G$1&lt;&gt;"",G$1,"NA"),'MITRE ATT&amp;CK Mappings'!$E613)),ISNUMBER(SEARCH(IF(G$1&lt;&gt;"",G$1,"NA"),'MITRE ATT&amp;CK Mappings'!$F613))),ISNUMBER(SEARCH(IF(G$2&lt;&gt;"",G$2,"NA"),'MITRE ATT&amp;CK Mappings'!$G613))),ISNUMBER(SEARCH(IF(G$2&lt;&gt;"",G$2,"NA"),'MITRE ATT&amp;CK Mappings'!$H613))),ISNUMBER(SEARCH(IF(G$3&lt;&gt;"",G$3,"NA"),'MITRE ATT&amp;CK Mappings'!$I613))),ISNUMBER(SEARCH(IF(G$3&lt;&gt;"",G$3,"NA"),'MITRE ATT&amp;CK Mappings'!$J613))), 'MITRE ATT&amp;CK Mappings'!$B613,"")</f>
        <v/>
      </c>
      <c r="H617" s="27" t="str">
        <f>IF(OR(OR(OR(OR(OR(ISNUMBER(SEARCH(IF(H$1&lt;&gt;"",H$1,"NA"),'MITRE ATT&amp;CK Mappings'!$E613)),ISNUMBER(SEARCH(IF(H$1&lt;&gt;"",H$1,"NA"),'MITRE ATT&amp;CK Mappings'!$F613))),ISNUMBER(SEARCH(IF(H$2&lt;&gt;"",H$2,"NA"),'MITRE ATT&amp;CK Mappings'!$G613))),ISNUMBER(SEARCH(IF(H$2&lt;&gt;"",H$2,"NA"),'MITRE ATT&amp;CK Mappings'!$H613))),ISNUMBER(SEARCH(IF(H$3&lt;&gt;"",H$3,"NA"),'MITRE ATT&amp;CK Mappings'!$I613))),ISNUMBER(SEARCH(IF(H$3&lt;&gt;"",H$3,"NA"),'MITRE ATT&amp;CK Mappings'!$J613))), 'MITRE ATT&amp;CK Mappings'!$B613,"")</f>
        <v/>
      </c>
      <c r="I617" s="27" t="str">
        <f>IF(OR(OR(OR(OR(OR(ISNUMBER(SEARCH(IF(I$1&lt;&gt;"",I$1,"NA"),'MITRE ATT&amp;CK Mappings'!$E613)),ISNUMBER(SEARCH(IF(I$1&lt;&gt;"",I$1,"NA"),'MITRE ATT&amp;CK Mappings'!$F613))),ISNUMBER(SEARCH(IF(I$2&lt;&gt;"",I$2,"NA"),'MITRE ATT&amp;CK Mappings'!$G613))),ISNUMBER(SEARCH(IF(I$2&lt;&gt;"",I$2,"NA"),'MITRE ATT&amp;CK Mappings'!$H613))),ISNUMBER(SEARCH(IF(I$3&lt;&gt;"",I$3,"NA"),'MITRE ATT&amp;CK Mappings'!$I613))),ISNUMBER(SEARCH(IF(I$3&lt;&gt;"",I$3,"NA"),'MITRE ATT&amp;CK Mappings'!$J613))), 'MITRE ATT&amp;CK Mappings'!$B613,"")</f>
        <v/>
      </c>
      <c r="J617" s="27" t="str">
        <f>IF(OR(OR(OR(OR(OR(ISNUMBER(SEARCH(IF(J$1&lt;&gt;"",J$1,"NA"),'MITRE ATT&amp;CK Mappings'!$E613)),ISNUMBER(SEARCH(IF(J$1&lt;&gt;"",J$1,"NA"),'MITRE ATT&amp;CK Mappings'!$F613))),ISNUMBER(SEARCH(IF(J$2&lt;&gt;"",J$2,"NA"),'MITRE ATT&amp;CK Mappings'!$G613))),ISNUMBER(SEARCH(IF(J$2&lt;&gt;"",J$2,"NA"),'MITRE ATT&amp;CK Mappings'!$H613))),ISNUMBER(SEARCH(IF(J$3&lt;&gt;"",J$3,"NA"),'MITRE ATT&amp;CK Mappings'!$I613))),ISNUMBER(SEARCH(IF(J$3&lt;&gt;"",J$3,"NA"),'MITRE ATT&amp;CK Mappings'!$J613))), 'MITRE ATT&amp;CK Mappings'!$B613,"")</f>
        <v/>
      </c>
      <c r="K617" s="27" t="str">
        <f>IF(OR(OR(OR(OR(OR(ISNUMBER(SEARCH(IF(K$1&lt;&gt;"",K$1,"NA"),'MITRE ATT&amp;CK Mappings'!$E613)),ISNUMBER(SEARCH(IF(K$1&lt;&gt;"",K$1,"NA"),'MITRE ATT&amp;CK Mappings'!$F613))),ISNUMBER(SEARCH(IF(K$2&lt;&gt;"",K$2,"NA"),'MITRE ATT&amp;CK Mappings'!$G613))),ISNUMBER(SEARCH(IF(K$2&lt;&gt;"",K$2,"NA"),'MITRE ATT&amp;CK Mappings'!$H613))),ISNUMBER(SEARCH(IF(K$3&lt;&gt;"",K$3,"NA"),'MITRE ATT&amp;CK Mappings'!$I613))),ISNUMBER(SEARCH(IF(K$3&lt;&gt;"",K$3,"NA"),'MITRE ATT&amp;CK Mappings'!$J613))), 'MITRE ATT&amp;CK Mappings'!$B613,"")</f>
        <v/>
      </c>
      <c r="L617" s="27" t="str">
        <f>IF('MITRE ATT&amp;CK Mappings'!D613 &lt;&gt;"",'MITRE ATT&amp;CK Mappings'!D613,"" )</f>
        <v/>
      </c>
    </row>
    <row r="618" spans="1:12" x14ac:dyDescent="0.25">
      <c r="A618" s="26" t="str">
        <f>IF(COUNTIF(B618:K618,"="&amp;'MITRE ATT&amp;CK Mappings'!B614)&gt;0,'MITRE ATT&amp;CK Mappings'!B614,"")</f>
        <v/>
      </c>
      <c r="B618" s="26" t="str">
        <f>IF(OR(OR(OR(OR(OR(ISNUMBER(SEARCH(IF(B$1&lt;&gt;"",B$1,"NA"),'MITRE ATT&amp;CK Mappings'!$E614)),ISNUMBER(SEARCH(IF(B$1&lt;&gt;"",B$1,"NA"),'MITRE ATT&amp;CK Mappings'!$F614))),ISNUMBER(SEARCH(IF(B$2&lt;&gt;"",B$2,"NA"),'MITRE ATT&amp;CK Mappings'!$G614))),ISNUMBER(SEARCH(IF(B$2&lt;&gt;"",B$2,"NA"),'MITRE ATT&amp;CK Mappings'!$H614))),ISNUMBER(SEARCH(IF(B$3&lt;&gt;"",B$3,"NA"),'MITRE ATT&amp;CK Mappings'!$I614))),ISNUMBER(SEARCH(IF(B$3&lt;&gt;"",B$3,"NA"),'MITRE ATT&amp;CK Mappings'!$J614))), 'MITRE ATT&amp;CK Mappings'!$B614,"")</f>
        <v/>
      </c>
      <c r="C618" s="26" t="str">
        <f>IF(OR(OR(OR(OR(OR(ISNUMBER(SEARCH(IF(C$1&lt;&gt;"",C$1,"NA"),'MITRE ATT&amp;CK Mappings'!$E614)),ISNUMBER(SEARCH(IF(C$1&lt;&gt;"",C$1,"NA"),'MITRE ATT&amp;CK Mappings'!$F614))),ISNUMBER(SEARCH(IF(C$2&lt;&gt;"",C$2,"NA"),'MITRE ATT&amp;CK Mappings'!$G614))),ISNUMBER(SEARCH(IF(C$2&lt;&gt;"",C$2,"NA"),'MITRE ATT&amp;CK Mappings'!$H614))),ISNUMBER(SEARCH(IF(C$3&lt;&gt;"",C$3,"NA"),'MITRE ATT&amp;CK Mappings'!$I614))),ISNUMBER(SEARCH(IF(C$3&lt;&gt;"",C$3,"NA"),'MITRE ATT&amp;CK Mappings'!$J614))), 'MITRE ATT&amp;CK Mappings'!$B614,"")</f>
        <v/>
      </c>
      <c r="D618" s="26" t="str">
        <f>IF(OR(OR(OR(OR(OR(ISNUMBER(SEARCH(IF(D$1&lt;&gt;"",D$1,"NA"),'MITRE ATT&amp;CK Mappings'!$E614)),ISNUMBER(SEARCH(IF(D$1&lt;&gt;"",D$1,"NA"),'MITRE ATT&amp;CK Mappings'!$F614))),ISNUMBER(SEARCH(IF(D$2&lt;&gt;"",D$2,"NA"),'MITRE ATT&amp;CK Mappings'!$G614))),ISNUMBER(SEARCH(IF(D$2&lt;&gt;"",D$2,"NA"),'MITRE ATT&amp;CK Mappings'!$H614))),ISNUMBER(SEARCH(IF(D$3&lt;&gt;"",D$3,"NA"),'MITRE ATT&amp;CK Mappings'!$I614))),ISNUMBER(SEARCH(IF(D$3&lt;&gt;"",D$3,"NA"),'MITRE ATT&amp;CK Mappings'!$J614))), 'MITRE ATT&amp;CK Mappings'!$B614,"")</f>
        <v/>
      </c>
      <c r="E618" s="26" t="str">
        <f>IF(OR(OR(OR(OR(OR(ISNUMBER(SEARCH(IF(E$1&lt;&gt;"",E$1,"NA"),'MITRE ATT&amp;CK Mappings'!$E614)),ISNUMBER(SEARCH(IF(E$1&lt;&gt;"",E$1,"NA"),'MITRE ATT&amp;CK Mappings'!$F614))),ISNUMBER(SEARCH(IF(E$2&lt;&gt;"",E$2,"NA"),'MITRE ATT&amp;CK Mappings'!$G614))),ISNUMBER(SEARCH(IF(E$2&lt;&gt;"",E$2,"NA"),'MITRE ATT&amp;CK Mappings'!$H614))),ISNUMBER(SEARCH(IF(E$3&lt;&gt;"",E$3,"NA"),'MITRE ATT&amp;CK Mappings'!$I614))),ISNUMBER(SEARCH(IF(E$3&lt;&gt;"",E$3,"NA"),'MITRE ATT&amp;CK Mappings'!$J614))), 'MITRE ATT&amp;CK Mappings'!$B614,"")</f>
        <v/>
      </c>
      <c r="F618" s="26" t="str">
        <f>IF(OR(OR(OR(OR(OR(ISNUMBER(SEARCH(IF(F$1&lt;&gt;"",F$1,"NA"),'MITRE ATT&amp;CK Mappings'!$E614)),ISNUMBER(SEARCH(IF(F$1&lt;&gt;"",F$1,"NA"),'MITRE ATT&amp;CK Mappings'!$F614))),ISNUMBER(SEARCH(IF(F$2&lt;&gt;"",F$2,"NA"),'MITRE ATT&amp;CK Mappings'!$G614))),ISNUMBER(SEARCH(IF(F$2&lt;&gt;"",F$2,"NA"),'MITRE ATT&amp;CK Mappings'!$H614))),ISNUMBER(SEARCH(IF(F$3&lt;&gt;"",F$3,"NA"),'MITRE ATT&amp;CK Mappings'!$I614))),ISNUMBER(SEARCH(IF(F$3&lt;&gt;"",F$3,"NA"),'MITRE ATT&amp;CK Mappings'!$J614))), 'MITRE ATT&amp;CK Mappings'!$B614,"")</f>
        <v/>
      </c>
      <c r="G618" s="26" t="str">
        <f>IF(OR(OR(OR(OR(OR(ISNUMBER(SEARCH(IF(G$1&lt;&gt;"",G$1,"NA"),'MITRE ATT&amp;CK Mappings'!$E614)),ISNUMBER(SEARCH(IF(G$1&lt;&gt;"",G$1,"NA"),'MITRE ATT&amp;CK Mappings'!$F614))),ISNUMBER(SEARCH(IF(G$2&lt;&gt;"",G$2,"NA"),'MITRE ATT&amp;CK Mappings'!$G614))),ISNUMBER(SEARCH(IF(G$2&lt;&gt;"",G$2,"NA"),'MITRE ATT&amp;CK Mappings'!$H614))),ISNUMBER(SEARCH(IF(G$3&lt;&gt;"",G$3,"NA"),'MITRE ATT&amp;CK Mappings'!$I614))),ISNUMBER(SEARCH(IF(G$3&lt;&gt;"",G$3,"NA"),'MITRE ATT&amp;CK Mappings'!$J614))), 'MITRE ATT&amp;CK Mappings'!$B614,"")</f>
        <v/>
      </c>
      <c r="H618" s="26" t="str">
        <f>IF(OR(OR(OR(OR(OR(ISNUMBER(SEARCH(IF(H$1&lt;&gt;"",H$1,"NA"),'MITRE ATT&amp;CK Mappings'!$E614)),ISNUMBER(SEARCH(IF(H$1&lt;&gt;"",H$1,"NA"),'MITRE ATT&amp;CK Mappings'!$F614))),ISNUMBER(SEARCH(IF(H$2&lt;&gt;"",H$2,"NA"),'MITRE ATT&amp;CK Mappings'!$G614))),ISNUMBER(SEARCH(IF(H$2&lt;&gt;"",H$2,"NA"),'MITRE ATT&amp;CK Mappings'!$H614))),ISNUMBER(SEARCH(IF(H$3&lt;&gt;"",H$3,"NA"),'MITRE ATT&amp;CK Mappings'!$I614))),ISNUMBER(SEARCH(IF(H$3&lt;&gt;"",H$3,"NA"),'MITRE ATT&amp;CK Mappings'!$J614))), 'MITRE ATT&amp;CK Mappings'!$B614,"")</f>
        <v/>
      </c>
      <c r="I618" s="26" t="str">
        <f>IF(OR(OR(OR(OR(OR(ISNUMBER(SEARCH(IF(I$1&lt;&gt;"",I$1,"NA"),'MITRE ATT&amp;CK Mappings'!$E614)),ISNUMBER(SEARCH(IF(I$1&lt;&gt;"",I$1,"NA"),'MITRE ATT&amp;CK Mappings'!$F614))),ISNUMBER(SEARCH(IF(I$2&lt;&gt;"",I$2,"NA"),'MITRE ATT&amp;CK Mappings'!$G614))),ISNUMBER(SEARCH(IF(I$2&lt;&gt;"",I$2,"NA"),'MITRE ATT&amp;CK Mappings'!$H614))),ISNUMBER(SEARCH(IF(I$3&lt;&gt;"",I$3,"NA"),'MITRE ATT&amp;CK Mappings'!$I614))),ISNUMBER(SEARCH(IF(I$3&lt;&gt;"",I$3,"NA"),'MITRE ATT&amp;CK Mappings'!$J614))), 'MITRE ATT&amp;CK Mappings'!$B614,"")</f>
        <v/>
      </c>
      <c r="J618" s="26" t="str">
        <f>IF(OR(OR(OR(OR(OR(ISNUMBER(SEARCH(IF(J$1&lt;&gt;"",J$1,"NA"),'MITRE ATT&amp;CK Mappings'!$E614)),ISNUMBER(SEARCH(IF(J$1&lt;&gt;"",J$1,"NA"),'MITRE ATT&amp;CK Mappings'!$F614))),ISNUMBER(SEARCH(IF(J$2&lt;&gt;"",J$2,"NA"),'MITRE ATT&amp;CK Mappings'!$G614))),ISNUMBER(SEARCH(IF(J$2&lt;&gt;"",J$2,"NA"),'MITRE ATT&amp;CK Mappings'!$H614))),ISNUMBER(SEARCH(IF(J$3&lt;&gt;"",J$3,"NA"),'MITRE ATT&amp;CK Mappings'!$I614))),ISNUMBER(SEARCH(IF(J$3&lt;&gt;"",J$3,"NA"),'MITRE ATT&amp;CK Mappings'!$J614))), 'MITRE ATT&amp;CK Mappings'!$B614,"")</f>
        <v/>
      </c>
      <c r="K618" s="26" t="str">
        <f>IF(OR(OR(OR(OR(OR(ISNUMBER(SEARCH(IF(K$1&lt;&gt;"",K$1,"NA"),'MITRE ATT&amp;CK Mappings'!$E614)),ISNUMBER(SEARCH(IF(K$1&lt;&gt;"",K$1,"NA"),'MITRE ATT&amp;CK Mappings'!$F614))),ISNUMBER(SEARCH(IF(K$2&lt;&gt;"",K$2,"NA"),'MITRE ATT&amp;CK Mappings'!$G614))),ISNUMBER(SEARCH(IF(K$2&lt;&gt;"",K$2,"NA"),'MITRE ATT&amp;CK Mappings'!$H614))),ISNUMBER(SEARCH(IF(K$3&lt;&gt;"",K$3,"NA"),'MITRE ATT&amp;CK Mappings'!$I614))),ISNUMBER(SEARCH(IF(K$3&lt;&gt;"",K$3,"NA"),'MITRE ATT&amp;CK Mappings'!$J614))), 'MITRE ATT&amp;CK Mappings'!$B614,"")</f>
        <v/>
      </c>
      <c r="L618" s="26" t="str">
        <f>IF('MITRE ATT&amp;CK Mappings'!D614 &lt;&gt;"",'MITRE ATT&amp;CK Mappings'!D614,"" )</f>
        <v/>
      </c>
    </row>
    <row r="619" spans="1:12" x14ac:dyDescent="0.25">
      <c r="A619" s="27" t="str">
        <f>IF(COUNTIF(B619:K619,"="&amp;'MITRE ATT&amp;CK Mappings'!B615)&gt;0,'MITRE ATT&amp;CK Mappings'!B615,"")</f>
        <v/>
      </c>
      <c r="B619" s="27" t="str">
        <f>IF(OR(OR(OR(OR(OR(ISNUMBER(SEARCH(IF(B$1&lt;&gt;"",B$1,"NA"),'MITRE ATT&amp;CK Mappings'!$E615)),ISNUMBER(SEARCH(IF(B$1&lt;&gt;"",B$1,"NA"),'MITRE ATT&amp;CK Mappings'!$F615))),ISNUMBER(SEARCH(IF(B$2&lt;&gt;"",B$2,"NA"),'MITRE ATT&amp;CK Mappings'!$G615))),ISNUMBER(SEARCH(IF(B$2&lt;&gt;"",B$2,"NA"),'MITRE ATT&amp;CK Mappings'!$H615))),ISNUMBER(SEARCH(IF(B$3&lt;&gt;"",B$3,"NA"),'MITRE ATT&amp;CK Mappings'!$I615))),ISNUMBER(SEARCH(IF(B$3&lt;&gt;"",B$3,"NA"),'MITRE ATT&amp;CK Mappings'!$J615))), 'MITRE ATT&amp;CK Mappings'!$B615,"")</f>
        <v/>
      </c>
      <c r="C619" s="27" t="str">
        <f>IF(OR(OR(OR(OR(OR(ISNUMBER(SEARCH(IF(C$1&lt;&gt;"",C$1,"NA"),'MITRE ATT&amp;CK Mappings'!$E615)),ISNUMBER(SEARCH(IF(C$1&lt;&gt;"",C$1,"NA"),'MITRE ATT&amp;CK Mappings'!$F615))),ISNUMBER(SEARCH(IF(C$2&lt;&gt;"",C$2,"NA"),'MITRE ATT&amp;CK Mappings'!$G615))),ISNUMBER(SEARCH(IF(C$2&lt;&gt;"",C$2,"NA"),'MITRE ATT&amp;CK Mappings'!$H615))),ISNUMBER(SEARCH(IF(C$3&lt;&gt;"",C$3,"NA"),'MITRE ATT&amp;CK Mappings'!$I615))),ISNUMBER(SEARCH(IF(C$3&lt;&gt;"",C$3,"NA"),'MITRE ATT&amp;CK Mappings'!$J615))), 'MITRE ATT&amp;CK Mappings'!$B615,"")</f>
        <v/>
      </c>
      <c r="D619" s="27" t="str">
        <f>IF(OR(OR(OR(OR(OR(ISNUMBER(SEARCH(IF(D$1&lt;&gt;"",D$1,"NA"),'MITRE ATT&amp;CK Mappings'!$E615)),ISNUMBER(SEARCH(IF(D$1&lt;&gt;"",D$1,"NA"),'MITRE ATT&amp;CK Mappings'!$F615))),ISNUMBER(SEARCH(IF(D$2&lt;&gt;"",D$2,"NA"),'MITRE ATT&amp;CK Mappings'!$G615))),ISNUMBER(SEARCH(IF(D$2&lt;&gt;"",D$2,"NA"),'MITRE ATT&amp;CK Mappings'!$H615))),ISNUMBER(SEARCH(IF(D$3&lt;&gt;"",D$3,"NA"),'MITRE ATT&amp;CK Mappings'!$I615))),ISNUMBER(SEARCH(IF(D$3&lt;&gt;"",D$3,"NA"),'MITRE ATT&amp;CK Mappings'!$J615))), 'MITRE ATT&amp;CK Mappings'!$B615,"")</f>
        <v/>
      </c>
      <c r="E619" s="27" t="str">
        <f>IF(OR(OR(OR(OR(OR(ISNUMBER(SEARCH(IF(E$1&lt;&gt;"",E$1,"NA"),'MITRE ATT&amp;CK Mappings'!$E615)),ISNUMBER(SEARCH(IF(E$1&lt;&gt;"",E$1,"NA"),'MITRE ATT&amp;CK Mappings'!$F615))),ISNUMBER(SEARCH(IF(E$2&lt;&gt;"",E$2,"NA"),'MITRE ATT&amp;CK Mappings'!$G615))),ISNUMBER(SEARCH(IF(E$2&lt;&gt;"",E$2,"NA"),'MITRE ATT&amp;CK Mappings'!$H615))),ISNUMBER(SEARCH(IF(E$3&lt;&gt;"",E$3,"NA"),'MITRE ATT&amp;CK Mappings'!$I615))),ISNUMBER(SEARCH(IF(E$3&lt;&gt;"",E$3,"NA"),'MITRE ATT&amp;CK Mappings'!$J615))), 'MITRE ATT&amp;CK Mappings'!$B615,"")</f>
        <v/>
      </c>
      <c r="F619" s="27" t="str">
        <f>IF(OR(OR(OR(OR(OR(ISNUMBER(SEARCH(IF(F$1&lt;&gt;"",F$1,"NA"),'MITRE ATT&amp;CK Mappings'!$E615)),ISNUMBER(SEARCH(IF(F$1&lt;&gt;"",F$1,"NA"),'MITRE ATT&amp;CK Mappings'!$F615))),ISNUMBER(SEARCH(IF(F$2&lt;&gt;"",F$2,"NA"),'MITRE ATT&amp;CK Mappings'!$G615))),ISNUMBER(SEARCH(IF(F$2&lt;&gt;"",F$2,"NA"),'MITRE ATT&amp;CK Mappings'!$H615))),ISNUMBER(SEARCH(IF(F$3&lt;&gt;"",F$3,"NA"),'MITRE ATT&amp;CK Mappings'!$I615))),ISNUMBER(SEARCH(IF(F$3&lt;&gt;"",F$3,"NA"),'MITRE ATT&amp;CK Mappings'!$J615))), 'MITRE ATT&amp;CK Mappings'!$B615,"")</f>
        <v/>
      </c>
      <c r="G619" s="27" t="str">
        <f>IF(OR(OR(OR(OR(OR(ISNUMBER(SEARCH(IF(G$1&lt;&gt;"",G$1,"NA"),'MITRE ATT&amp;CK Mappings'!$E615)),ISNUMBER(SEARCH(IF(G$1&lt;&gt;"",G$1,"NA"),'MITRE ATT&amp;CK Mappings'!$F615))),ISNUMBER(SEARCH(IF(G$2&lt;&gt;"",G$2,"NA"),'MITRE ATT&amp;CK Mappings'!$G615))),ISNUMBER(SEARCH(IF(G$2&lt;&gt;"",G$2,"NA"),'MITRE ATT&amp;CK Mappings'!$H615))),ISNUMBER(SEARCH(IF(G$3&lt;&gt;"",G$3,"NA"),'MITRE ATT&amp;CK Mappings'!$I615))),ISNUMBER(SEARCH(IF(G$3&lt;&gt;"",G$3,"NA"),'MITRE ATT&amp;CK Mappings'!$J615))), 'MITRE ATT&amp;CK Mappings'!$B615,"")</f>
        <v/>
      </c>
      <c r="H619" s="27" t="str">
        <f>IF(OR(OR(OR(OR(OR(ISNUMBER(SEARCH(IF(H$1&lt;&gt;"",H$1,"NA"),'MITRE ATT&amp;CK Mappings'!$E615)),ISNUMBER(SEARCH(IF(H$1&lt;&gt;"",H$1,"NA"),'MITRE ATT&amp;CK Mappings'!$F615))),ISNUMBER(SEARCH(IF(H$2&lt;&gt;"",H$2,"NA"),'MITRE ATT&amp;CK Mappings'!$G615))),ISNUMBER(SEARCH(IF(H$2&lt;&gt;"",H$2,"NA"),'MITRE ATT&amp;CK Mappings'!$H615))),ISNUMBER(SEARCH(IF(H$3&lt;&gt;"",H$3,"NA"),'MITRE ATT&amp;CK Mappings'!$I615))),ISNUMBER(SEARCH(IF(H$3&lt;&gt;"",H$3,"NA"),'MITRE ATT&amp;CK Mappings'!$J615))), 'MITRE ATT&amp;CK Mappings'!$B615,"")</f>
        <v/>
      </c>
      <c r="I619" s="27" t="str">
        <f>IF(OR(OR(OR(OR(OR(ISNUMBER(SEARCH(IF(I$1&lt;&gt;"",I$1,"NA"),'MITRE ATT&amp;CK Mappings'!$E615)),ISNUMBER(SEARCH(IF(I$1&lt;&gt;"",I$1,"NA"),'MITRE ATT&amp;CK Mappings'!$F615))),ISNUMBER(SEARCH(IF(I$2&lt;&gt;"",I$2,"NA"),'MITRE ATT&amp;CK Mappings'!$G615))),ISNUMBER(SEARCH(IF(I$2&lt;&gt;"",I$2,"NA"),'MITRE ATT&amp;CK Mappings'!$H615))),ISNUMBER(SEARCH(IF(I$3&lt;&gt;"",I$3,"NA"),'MITRE ATT&amp;CK Mappings'!$I615))),ISNUMBER(SEARCH(IF(I$3&lt;&gt;"",I$3,"NA"),'MITRE ATT&amp;CK Mappings'!$J615))), 'MITRE ATT&amp;CK Mappings'!$B615,"")</f>
        <v/>
      </c>
      <c r="J619" s="27" t="str">
        <f>IF(OR(OR(OR(OR(OR(ISNUMBER(SEARCH(IF(J$1&lt;&gt;"",J$1,"NA"),'MITRE ATT&amp;CK Mappings'!$E615)),ISNUMBER(SEARCH(IF(J$1&lt;&gt;"",J$1,"NA"),'MITRE ATT&amp;CK Mappings'!$F615))),ISNUMBER(SEARCH(IF(J$2&lt;&gt;"",J$2,"NA"),'MITRE ATT&amp;CK Mappings'!$G615))),ISNUMBER(SEARCH(IF(J$2&lt;&gt;"",J$2,"NA"),'MITRE ATT&amp;CK Mappings'!$H615))),ISNUMBER(SEARCH(IF(J$3&lt;&gt;"",J$3,"NA"),'MITRE ATT&amp;CK Mappings'!$I615))),ISNUMBER(SEARCH(IF(J$3&lt;&gt;"",J$3,"NA"),'MITRE ATT&amp;CK Mappings'!$J615))), 'MITRE ATT&amp;CK Mappings'!$B615,"")</f>
        <v/>
      </c>
      <c r="K619" s="27" t="str">
        <f>IF(OR(OR(OR(OR(OR(ISNUMBER(SEARCH(IF(K$1&lt;&gt;"",K$1,"NA"),'MITRE ATT&amp;CK Mappings'!$E615)),ISNUMBER(SEARCH(IF(K$1&lt;&gt;"",K$1,"NA"),'MITRE ATT&amp;CK Mappings'!$F615))),ISNUMBER(SEARCH(IF(K$2&lt;&gt;"",K$2,"NA"),'MITRE ATT&amp;CK Mappings'!$G615))),ISNUMBER(SEARCH(IF(K$2&lt;&gt;"",K$2,"NA"),'MITRE ATT&amp;CK Mappings'!$H615))),ISNUMBER(SEARCH(IF(K$3&lt;&gt;"",K$3,"NA"),'MITRE ATT&amp;CK Mappings'!$I615))),ISNUMBER(SEARCH(IF(K$3&lt;&gt;"",K$3,"NA"),'MITRE ATT&amp;CK Mappings'!$J615))), 'MITRE ATT&amp;CK Mappings'!$B615,"")</f>
        <v/>
      </c>
      <c r="L619" s="27" t="str">
        <f>IF('MITRE ATT&amp;CK Mappings'!D615 &lt;&gt;"",'MITRE ATT&amp;CK Mappings'!D615,"" )</f>
        <v/>
      </c>
    </row>
    <row r="620" spans="1:12" x14ac:dyDescent="0.25">
      <c r="A620" s="26" t="str">
        <f>IF(COUNTIF(B620:K620,"="&amp;'MITRE ATT&amp;CK Mappings'!B616)&gt;0,'MITRE ATT&amp;CK Mappings'!B616,"")</f>
        <v/>
      </c>
      <c r="B620" s="26" t="str">
        <f>IF(OR(OR(OR(OR(OR(ISNUMBER(SEARCH(IF(B$1&lt;&gt;"",B$1,"NA"),'MITRE ATT&amp;CK Mappings'!$E616)),ISNUMBER(SEARCH(IF(B$1&lt;&gt;"",B$1,"NA"),'MITRE ATT&amp;CK Mappings'!$F616))),ISNUMBER(SEARCH(IF(B$2&lt;&gt;"",B$2,"NA"),'MITRE ATT&amp;CK Mappings'!$G616))),ISNUMBER(SEARCH(IF(B$2&lt;&gt;"",B$2,"NA"),'MITRE ATT&amp;CK Mappings'!$H616))),ISNUMBER(SEARCH(IF(B$3&lt;&gt;"",B$3,"NA"),'MITRE ATT&amp;CK Mappings'!$I616))),ISNUMBER(SEARCH(IF(B$3&lt;&gt;"",B$3,"NA"),'MITRE ATT&amp;CK Mappings'!$J616))), 'MITRE ATT&amp;CK Mappings'!$B616,"")</f>
        <v/>
      </c>
      <c r="C620" s="26" t="str">
        <f>IF(OR(OR(OR(OR(OR(ISNUMBER(SEARCH(IF(C$1&lt;&gt;"",C$1,"NA"),'MITRE ATT&amp;CK Mappings'!$E616)),ISNUMBER(SEARCH(IF(C$1&lt;&gt;"",C$1,"NA"),'MITRE ATT&amp;CK Mappings'!$F616))),ISNUMBER(SEARCH(IF(C$2&lt;&gt;"",C$2,"NA"),'MITRE ATT&amp;CK Mappings'!$G616))),ISNUMBER(SEARCH(IF(C$2&lt;&gt;"",C$2,"NA"),'MITRE ATT&amp;CK Mappings'!$H616))),ISNUMBER(SEARCH(IF(C$3&lt;&gt;"",C$3,"NA"),'MITRE ATT&amp;CK Mappings'!$I616))),ISNUMBER(SEARCH(IF(C$3&lt;&gt;"",C$3,"NA"),'MITRE ATT&amp;CK Mappings'!$J616))), 'MITRE ATT&amp;CK Mappings'!$B616,"")</f>
        <v/>
      </c>
      <c r="D620" s="26" t="str">
        <f>IF(OR(OR(OR(OR(OR(ISNUMBER(SEARCH(IF(D$1&lt;&gt;"",D$1,"NA"),'MITRE ATT&amp;CK Mappings'!$E616)),ISNUMBER(SEARCH(IF(D$1&lt;&gt;"",D$1,"NA"),'MITRE ATT&amp;CK Mappings'!$F616))),ISNUMBER(SEARCH(IF(D$2&lt;&gt;"",D$2,"NA"),'MITRE ATT&amp;CK Mappings'!$G616))),ISNUMBER(SEARCH(IF(D$2&lt;&gt;"",D$2,"NA"),'MITRE ATT&amp;CK Mappings'!$H616))),ISNUMBER(SEARCH(IF(D$3&lt;&gt;"",D$3,"NA"),'MITRE ATT&amp;CK Mappings'!$I616))),ISNUMBER(SEARCH(IF(D$3&lt;&gt;"",D$3,"NA"),'MITRE ATT&amp;CK Mappings'!$J616))), 'MITRE ATT&amp;CK Mappings'!$B616,"")</f>
        <v/>
      </c>
      <c r="E620" s="26" t="str">
        <f>IF(OR(OR(OR(OR(OR(ISNUMBER(SEARCH(IF(E$1&lt;&gt;"",E$1,"NA"),'MITRE ATT&amp;CK Mappings'!$E616)),ISNUMBER(SEARCH(IF(E$1&lt;&gt;"",E$1,"NA"),'MITRE ATT&amp;CK Mappings'!$F616))),ISNUMBER(SEARCH(IF(E$2&lt;&gt;"",E$2,"NA"),'MITRE ATT&amp;CK Mappings'!$G616))),ISNUMBER(SEARCH(IF(E$2&lt;&gt;"",E$2,"NA"),'MITRE ATT&amp;CK Mappings'!$H616))),ISNUMBER(SEARCH(IF(E$3&lt;&gt;"",E$3,"NA"),'MITRE ATT&amp;CK Mappings'!$I616))),ISNUMBER(SEARCH(IF(E$3&lt;&gt;"",E$3,"NA"),'MITRE ATT&amp;CK Mappings'!$J616))), 'MITRE ATT&amp;CK Mappings'!$B616,"")</f>
        <v/>
      </c>
      <c r="F620" s="26" t="str">
        <f>IF(OR(OR(OR(OR(OR(ISNUMBER(SEARCH(IF(F$1&lt;&gt;"",F$1,"NA"),'MITRE ATT&amp;CK Mappings'!$E616)),ISNUMBER(SEARCH(IF(F$1&lt;&gt;"",F$1,"NA"),'MITRE ATT&amp;CK Mappings'!$F616))),ISNUMBER(SEARCH(IF(F$2&lt;&gt;"",F$2,"NA"),'MITRE ATT&amp;CK Mappings'!$G616))),ISNUMBER(SEARCH(IF(F$2&lt;&gt;"",F$2,"NA"),'MITRE ATT&amp;CK Mappings'!$H616))),ISNUMBER(SEARCH(IF(F$3&lt;&gt;"",F$3,"NA"),'MITRE ATT&amp;CK Mappings'!$I616))),ISNUMBER(SEARCH(IF(F$3&lt;&gt;"",F$3,"NA"),'MITRE ATT&amp;CK Mappings'!$J616))), 'MITRE ATT&amp;CK Mappings'!$B616,"")</f>
        <v/>
      </c>
      <c r="G620" s="26" t="str">
        <f>IF(OR(OR(OR(OR(OR(ISNUMBER(SEARCH(IF(G$1&lt;&gt;"",G$1,"NA"),'MITRE ATT&amp;CK Mappings'!$E616)),ISNUMBER(SEARCH(IF(G$1&lt;&gt;"",G$1,"NA"),'MITRE ATT&amp;CK Mappings'!$F616))),ISNUMBER(SEARCH(IF(G$2&lt;&gt;"",G$2,"NA"),'MITRE ATT&amp;CK Mappings'!$G616))),ISNUMBER(SEARCH(IF(G$2&lt;&gt;"",G$2,"NA"),'MITRE ATT&amp;CK Mappings'!$H616))),ISNUMBER(SEARCH(IF(G$3&lt;&gt;"",G$3,"NA"),'MITRE ATT&amp;CK Mappings'!$I616))),ISNUMBER(SEARCH(IF(G$3&lt;&gt;"",G$3,"NA"),'MITRE ATT&amp;CK Mappings'!$J616))), 'MITRE ATT&amp;CK Mappings'!$B616,"")</f>
        <v/>
      </c>
      <c r="H620" s="26" t="str">
        <f>IF(OR(OR(OR(OR(OR(ISNUMBER(SEARCH(IF(H$1&lt;&gt;"",H$1,"NA"),'MITRE ATT&amp;CK Mappings'!$E616)),ISNUMBER(SEARCH(IF(H$1&lt;&gt;"",H$1,"NA"),'MITRE ATT&amp;CK Mappings'!$F616))),ISNUMBER(SEARCH(IF(H$2&lt;&gt;"",H$2,"NA"),'MITRE ATT&amp;CK Mappings'!$G616))),ISNUMBER(SEARCH(IF(H$2&lt;&gt;"",H$2,"NA"),'MITRE ATT&amp;CK Mappings'!$H616))),ISNUMBER(SEARCH(IF(H$3&lt;&gt;"",H$3,"NA"),'MITRE ATT&amp;CK Mappings'!$I616))),ISNUMBER(SEARCH(IF(H$3&lt;&gt;"",H$3,"NA"),'MITRE ATT&amp;CK Mappings'!$J616))), 'MITRE ATT&amp;CK Mappings'!$B616,"")</f>
        <v/>
      </c>
      <c r="I620" s="26" t="str">
        <f>IF(OR(OR(OR(OR(OR(ISNUMBER(SEARCH(IF(I$1&lt;&gt;"",I$1,"NA"),'MITRE ATT&amp;CK Mappings'!$E616)),ISNUMBER(SEARCH(IF(I$1&lt;&gt;"",I$1,"NA"),'MITRE ATT&amp;CK Mappings'!$F616))),ISNUMBER(SEARCH(IF(I$2&lt;&gt;"",I$2,"NA"),'MITRE ATT&amp;CK Mappings'!$G616))),ISNUMBER(SEARCH(IF(I$2&lt;&gt;"",I$2,"NA"),'MITRE ATT&amp;CK Mappings'!$H616))),ISNUMBER(SEARCH(IF(I$3&lt;&gt;"",I$3,"NA"),'MITRE ATT&amp;CK Mappings'!$I616))),ISNUMBER(SEARCH(IF(I$3&lt;&gt;"",I$3,"NA"),'MITRE ATT&amp;CK Mappings'!$J616))), 'MITRE ATT&amp;CK Mappings'!$B616,"")</f>
        <v/>
      </c>
      <c r="J620" s="26" t="str">
        <f>IF(OR(OR(OR(OR(OR(ISNUMBER(SEARCH(IF(J$1&lt;&gt;"",J$1,"NA"),'MITRE ATT&amp;CK Mappings'!$E616)),ISNUMBER(SEARCH(IF(J$1&lt;&gt;"",J$1,"NA"),'MITRE ATT&amp;CK Mappings'!$F616))),ISNUMBER(SEARCH(IF(J$2&lt;&gt;"",J$2,"NA"),'MITRE ATT&amp;CK Mappings'!$G616))),ISNUMBER(SEARCH(IF(J$2&lt;&gt;"",J$2,"NA"),'MITRE ATT&amp;CK Mappings'!$H616))),ISNUMBER(SEARCH(IF(J$3&lt;&gt;"",J$3,"NA"),'MITRE ATT&amp;CK Mappings'!$I616))),ISNUMBER(SEARCH(IF(J$3&lt;&gt;"",J$3,"NA"),'MITRE ATT&amp;CK Mappings'!$J616))), 'MITRE ATT&amp;CK Mappings'!$B616,"")</f>
        <v/>
      </c>
      <c r="K620" s="26" t="str">
        <f>IF(OR(OR(OR(OR(OR(ISNUMBER(SEARCH(IF(K$1&lt;&gt;"",K$1,"NA"),'MITRE ATT&amp;CK Mappings'!$E616)),ISNUMBER(SEARCH(IF(K$1&lt;&gt;"",K$1,"NA"),'MITRE ATT&amp;CK Mappings'!$F616))),ISNUMBER(SEARCH(IF(K$2&lt;&gt;"",K$2,"NA"),'MITRE ATT&amp;CK Mappings'!$G616))),ISNUMBER(SEARCH(IF(K$2&lt;&gt;"",K$2,"NA"),'MITRE ATT&amp;CK Mappings'!$H616))),ISNUMBER(SEARCH(IF(K$3&lt;&gt;"",K$3,"NA"),'MITRE ATT&amp;CK Mappings'!$I616))),ISNUMBER(SEARCH(IF(K$3&lt;&gt;"",K$3,"NA"),'MITRE ATT&amp;CK Mappings'!$J616))), 'MITRE ATT&amp;CK Mappings'!$B616,"")</f>
        <v/>
      </c>
      <c r="L620" s="26" t="str">
        <f>IF('MITRE ATT&amp;CK Mappings'!D616 &lt;&gt;"",'MITRE ATT&amp;CK Mappings'!D616,"" )</f>
        <v/>
      </c>
    </row>
    <row r="621" spans="1:12" x14ac:dyDescent="0.25">
      <c r="A621" s="27" t="str">
        <f>IF(COUNTIF(B621:K621,"="&amp;'MITRE ATT&amp;CK Mappings'!B617)&gt;0,'MITRE ATT&amp;CK Mappings'!B617,"")</f>
        <v/>
      </c>
      <c r="B621" s="27" t="str">
        <f>IF(OR(OR(OR(OR(OR(ISNUMBER(SEARCH(IF(B$1&lt;&gt;"",B$1,"NA"),'MITRE ATT&amp;CK Mappings'!$E617)),ISNUMBER(SEARCH(IF(B$1&lt;&gt;"",B$1,"NA"),'MITRE ATT&amp;CK Mappings'!$F617))),ISNUMBER(SEARCH(IF(B$2&lt;&gt;"",B$2,"NA"),'MITRE ATT&amp;CK Mappings'!$G617))),ISNUMBER(SEARCH(IF(B$2&lt;&gt;"",B$2,"NA"),'MITRE ATT&amp;CK Mappings'!$H617))),ISNUMBER(SEARCH(IF(B$3&lt;&gt;"",B$3,"NA"),'MITRE ATT&amp;CK Mappings'!$I617))),ISNUMBER(SEARCH(IF(B$3&lt;&gt;"",B$3,"NA"),'MITRE ATT&amp;CK Mappings'!$J617))), 'MITRE ATT&amp;CK Mappings'!$B617,"")</f>
        <v/>
      </c>
      <c r="C621" s="27" t="str">
        <f>IF(OR(OR(OR(OR(OR(ISNUMBER(SEARCH(IF(C$1&lt;&gt;"",C$1,"NA"),'MITRE ATT&amp;CK Mappings'!$E617)),ISNUMBER(SEARCH(IF(C$1&lt;&gt;"",C$1,"NA"),'MITRE ATT&amp;CK Mappings'!$F617))),ISNUMBER(SEARCH(IF(C$2&lt;&gt;"",C$2,"NA"),'MITRE ATT&amp;CK Mappings'!$G617))),ISNUMBER(SEARCH(IF(C$2&lt;&gt;"",C$2,"NA"),'MITRE ATT&amp;CK Mappings'!$H617))),ISNUMBER(SEARCH(IF(C$3&lt;&gt;"",C$3,"NA"),'MITRE ATT&amp;CK Mappings'!$I617))),ISNUMBER(SEARCH(IF(C$3&lt;&gt;"",C$3,"NA"),'MITRE ATT&amp;CK Mappings'!$J617))), 'MITRE ATT&amp;CK Mappings'!$B617,"")</f>
        <v/>
      </c>
      <c r="D621" s="27" t="str">
        <f>IF(OR(OR(OR(OR(OR(ISNUMBER(SEARCH(IF(D$1&lt;&gt;"",D$1,"NA"),'MITRE ATT&amp;CK Mappings'!$E617)),ISNUMBER(SEARCH(IF(D$1&lt;&gt;"",D$1,"NA"),'MITRE ATT&amp;CK Mappings'!$F617))),ISNUMBER(SEARCH(IF(D$2&lt;&gt;"",D$2,"NA"),'MITRE ATT&amp;CK Mappings'!$G617))),ISNUMBER(SEARCH(IF(D$2&lt;&gt;"",D$2,"NA"),'MITRE ATT&amp;CK Mappings'!$H617))),ISNUMBER(SEARCH(IF(D$3&lt;&gt;"",D$3,"NA"),'MITRE ATT&amp;CK Mappings'!$I617))),ISNUMBER(SEARCH(IF(D$3&lt;&gt;"",D$3,"NA"),'MITRE ATT&amp;CK Mappings'!$J617))), 'MITRE ATT&amp;CK Mappings'!$B617,"")</f>
        <v/>
      </c>
      <c r="E621" s="27" t="str">
        <f>IF(OR(OR(OR(OR(OR(ISNUMBER(SEARCH(IF(E$1&lt;&gt;"",E$1,"NA"),'MITRE ATT&amp;CK Mappings'!$E617)),ISNUMBER(SEARCH(IF(E$1&lt;&gt;"",E$1,"NA"),'MITRE ATT&amp;CK Mappings'!$F617))),ISNUMBER(SEARCH(IF(E$2&lt;&gt;"",E$2,"NA"),'MITRE ATT&amp;CK Mappings'!$G617))),ISNUMBER(SEARCH(IF(E$2&lt;&gt;"",E$2,"NA"),'MITRE ATT&amp;CK Mappings'!$H617))),ISNUMBER(SEARCH(IF(E$3&lt;&gt;"",E$3,"NA"),'MITRE ATT&amp;CK Mappings'!$I617))),ISNUMBER(SEARCH(IF(E$3&lt;&gt;"",E$3,"NA"),'MITRE ATT&amp;CK Mappings'!$J617))), 'MITRE ATT&amp;CK Mappings'!$B617,"")</f>
        <v/>
      </c>
      <c r="F621" s="27" t="str">
        <f>IF(OR(OR(OR(OR(OR(ISNUMBER(SEARCH(IF(F$1&lt;&gt;"",F$1,"NA"),'MITRE ATT&amp;CK Mappings'!$E617)),ISNUMBER(SEARCH(IF(F$1&lt;&gt;"",F$1,"NA"),'MITRE ATT&amp;CK Mappings'!$F617))),ISNUMBER(SEARCH(IF(F$2&lt;&gt;"",F$2,"NA"),'MITRE ATT&amp;CK Mappings'!$G617))),ISNUMBER(SEARCH(IF(F$2&lt;&gt;"",F$2,"NA"),'MITRE ATT&amp;CK Mappings'!$H617))),ISNUMBER(SEARCH(IF(F$3&lt;&gt;"",F$3,"NA"),'MITRE ATT&amp;CK Mappings'!$I617))),ISNUMBER(SEARCH(IF(F$3&lt;&gt;"",F$3,"NA"),'MITRE ATT&amp;CK Mappings'!$J617))), 'MITRE ATT&amp;CK Mappings'!$B617,"")</f>
        <v/>
      </c>
      <c r="G621" s="27" t="str">
        <f>IF(OR(OR(OR(OR(OR(ISNUMBER(SEARCH(IF(G$1&lt;&gt;"",G$1,"NA"),'MITRE ATT&amp;CK Mappings'!$E617)),ISNUMBER(SEARCH(IF(G$1&lt;&gt;"",G$1,"NA"),'MITRE ATT&amp;CK Mappings'!$F617))),ISNUMBER(SEARCH(IF(G$2&lt;&gt;"",G$2,"NA"),'MITRE ATT&amp;CK Mappings'!$G617))),ISNUMBER(SEARCH(IF(G$2&lt;&gt;"",G$2,"NA"),'MITRE ATT&amp;CK Mappings'!$H617))),ISNUMBER(SEARCH(IF(G$3&lt;&gt;"",G$3,"NA"),'MITRE ATT&amp;CK Mappings'!$I617))),ISNUMBER(SEARCH(IF(G$3&lt;&gt;"",G$3,"NA"),'MITRE ATT&amp;CK Mappings'!$J617))), 'MITRE ATT&amp;CK Mappings'!$B617,"")</f>
        <v/>
      </c>
      <c r="H621" s="27" t="str">
        <f>IF(OR(OR(OR(OR(OR(ISNUMBER(SEARCH(IF(H$1&lt;&gt;"",H$1,"NA"),'MITRE ATT&amp;CK Mappings'!$E617)),ISNUMBER(SEARCH(IF(H$1&lt;&gt;"",H$1,"NA"),'MITRE ATT&amp;CK Mappings'!$F617))),ISNUMBER(SEARCH(IF(H$2&lt;&gt;"",H$2,"NA"),'MITRE ATT&amp;CK Mappings'!$G617))),ISNUMBER(SEARCH(IF(H$2&lt;&gt;"",H$2,"NA"),'MITRE ATT&amp;CK Mappings'!$H617))),ISNUMBER(SEARCH(IF(H$3&lt;&gt;"",H$3,"NA"),'MITRE ATT&amp;CK Mappings'!$I617))),ISNUMBER(SEARCH(IF(H$3&lt;&gt;"",H$3,"NA"),'MITRE ATT&amp;CK Mappings'!$J617))), 'MITRE ATT&amp;CK Mappings'!$B617,"")</f>
        <v/>
      </c>
      <c r="I621" s="27" t="str">
        <f>IF(OR(OR(OR(OR(OR(ISNUMBER(SEARCH(IF(I$1&lt;&gt;"",I$1,"NA"),'MITRE ATT&amp;CK Mappings'!$E617)),ISNUMBER(SEARCH(IF(I$1&lt;&gt;"",I$1,"NA"),'MITRE ATT&amp;CK Mappings'!$F617))),ISNUMBER(SEARCH(IF(I$2&lt;&gt;"",I$2,"NA"),'MITRE ATT&amp;CK Mappings'!$G617))),ISNUMBER(SEARCH(IF(I$2&lt;&gt;"",I$2,"NA"),'MITRE ATT&amp;CK Mappings'!$H617))),ISNUMBER(SEARCH(IF(I$3&lt;&gt;"",I$3,"NA"),'MITRE ATT&amp;CK Mappings'!$I617))),ISNUMBER(SEARCH(IF(I$3&lt;&gt;"",I$3,"NA"),'MITRE ATT&amp;CK Mappings'!$J617))), 'MITRE ATT&amp;CK Mappings'!$B617,"")</f>
        <v/>
      </c>
      <c r="J621" s="27" t="str">
        <f>IF(OR(OR(OR(OR(OR(ISNUMBER(SEARCH(IF(J$1&lt;&gt;"",J$1,"NA"),'MITRE ATT&amp;CK Mappings'!$E617)),ISNUMBER(SEARCH(IF(J$1&lt;&gt;"",J$1,"NA"),'MITRE ATT&amp;CK Mappings'!$F617))),ISNUMBER(SEARCH(IF(J$2&lt;&gt;"",J$2,"NA"),'MITRE ATT&amp;CK Mappings'!$G617))),ISNUMBER(SEARCH(IF(J$2&lt;&gt;"",J$2,"NA"),'MITRE ATT&amp;CK Mappings'!$H617))),ISNUMBER(SEARCH(IF(J$3&lt;&gt;"",J$3,"NA"),'MITRE ATT&amp;CK Mappings'!$I617))),ISNUMBER(SEARCH(IF(J$3&lt;&gt;"",J$3,"NA"),'MITRE ATT&amp;CK Mappings'!$J617))), 'MITRE ATT&amp;CK Mappings'!$B617,"")</f>
        <v/>
      </c>
      <c r="K621" s="27" t="str">
        <f>IF(OR(OR(OR(OR(OR(ISNUMBER(SEARCH(IF(K$1&lt;&gt;"",K$1,"NA"),'MITRE ATT&amp;CK Mappings'!$E617)),ISNUMBER(SEARCH(IF(K$1&lt;&gt;"",K$1,"NA"),'MITRE ATT&amp;CK Mappings'!$F617))),ISNUMBER(SEARCH(IF(K$2&lt;&gt;"",K$2,"NA"),'MITRE ATT&amp;CK Mappings'!$G617))),ISNUMBER(SEARCH(IF(K$2&lt;&gt;"",K$2,"NA"),'MITRE ATT&amp;CK Mappings'!$H617))),ISNUMBER(SEARCH(IF(K$3&lt;&gt;"",K$3,"NA"),'MITRE ATT&amp;CK Mappings'!$I617))),ISNUMBER(SEARCH(IF(K$3&lt;&gt;"",K$3,"NA"),'MITRE ATT&amp;CK Mappings'!$J617))), 'MITRE ATT&amp;CK Mappings'!$B617,"")</f>
        <v/>
      </c>
      <c r="L621" s="27" t="str">
        <f>IF('MITRE ATT&amp;CK Mappings'!D617 &lt;&gt;"",'MITRE ATT&amp;CK Mappings'!D617,"" )</f>
        <v/>
      </c>
    </row>
    <row r="622" spans="1:12" x14ac:dyDescent="0.25">
      <c r="A622" s="26" t="str">
        <f>IF(COUNTIF(B622:K622,"="&amp;'MITRE ATT&amp;CK Mappings'!B618)&gt;0,'MITRE ATT&amp;CK Mappings'!B618,"")</f>
        <v/>
      </c>
      <c r="B622" s="26" t="str">
        <f>IF(OR(OR(OR(OR(OR(ISNUMBER(SEARCH(IF(B$1&lt;&gt;"",B$1,"NA"),'MITRE ATT&amp;CK Mappings'!$E618)),ISNUMBER(SEARCH(IF(B$1&lt;&gt;"",B$1,"NA"),'MITRE ATT&amp;CK Mappings'!$F618))),ISNUMBER(SEARCH(IF(B$2&lt;&gt;"",B$2,"NA"),'MITRE ATT&amp;CK Mappings'!$G618))),ISNUMBER(SEARCH(IF(B$2&lt;&gt;"",B$2,"NA"),'MITRE ATT&amp;CK Mappings'!$H618))),ISNUMBER(SEARCH(IF(B$3&lt;&gt;"",B$3,"NA"),'MITRE ATT&amp;CK Mappings'!$I618))),ISNUMBER(SEARCH(IF(B$3&lt;&gt;"",B$3,"NA"),'MITRE ATT&amp;CK Mappings'!$J618))), 'MITRE ATT&amp;CK Mappings'!$B618,"")</f>
        <v/>
      </c>
      <c r="C622" s="26" t="str">
        <f>IF(OR(OR(OR(OR(OR(ISNUMBER(SEARCH(IF(C$1&lt;&gt;"",C$1,"NA"),'MITRE ATT&amp;CK Mappings'!$E618)),ISNUMBER(SEARCH(IF(C$1&lt;&gt;"",C$1,"NA"),'MITRE ATT&amp;CK Mappings'!$F618))),ISNUMBER(SEARCH(IF(C$2&lt;&gt;"",C$2,"NA"),'MITRE ATT&amp;CK Mappings'!$G618))),ISNUMBER(SEARCH(IF(C$2&lt;&gt;"",C$2,"NA"),'MITRE ATT&amp;CK Mappings'!$H618))),ISNUMBER(SEARCH(IF(C$3&lt;&gt;"",C$3,"NA"),'MITRE ATT&amp;CK Mappings'!$I618))),ISNUMBER(SEARCH(IF(C$3&lt;&gt;"",C$3,"NA"),'MITRE ATT&amp;CK Mappings'!$J618))), 'MITRE ATT&amp;CK Mappings'!$B618,"")</f>
        <v/>
      </c>
      <c r="D622" s="26" t="str">
        <f>IF(OR(OR(OR(OR(OR(ISNUMBER(SEARCH(IF(D$1&lt;&gt;"",D$1,"NA"),'MITRE ATT&amp;CK Mappings'!$E618)),ISNUMBER(SEARCH(IF(D$1&lt;&gt;"",D$1,"NA"),'MITRE ATT&amp;CK Mappings'!$F618))),ISNUMBER(SEARCH(IF(D$2&lt;&gt;"",D$2,"NA"),'MITRE ATT&amp;CK Mappings'!$G618))),ISNUMBER(SEARCH(IF(D$2&lt;&gt;"",D$2,"NA"),'MITRE ATT&amp;CK Mappings'!$H618))),ISNUMBER(SEARCH(IF(D$3&lt;&gt;"",D$3,"NA"),'MITRE ATT&amp;CK Mappings'!$I618))),ISNUMBER(SEARCH(IF(D$3&lt;&gt;"",D$3,"NA"),'MITRE ATT&amp;CK Mappings'!$J618))), 'MITRE ATT&amp;CK Mappings'!$B618,"")</f>
        <v/>
      </c>
      <c r="E622" s="26" t="str">
        <f>IF(OR(OR(OR(OR(OR(ISNUMBER(SEARCH(IF(E$1&lt;&gt;"",E$1,"NA"),'MITRE ATT&amp;CK Mappings'!$E618)),ISNUMBER(SEARCH(IF(E$1&lt;&gt;"",E$1,"NA"),'MITRE ATT&amp;CK Mappings'!$F618))),ISNUMBER(SEARCH(IF(E$2&lt;&gt;"",E$2,"NA"),'MITRE ATT&amp;CK Mappings'!$G618))),ISNUMBER(SEARCH(IF(E$2&lt;&gt;"",E$2,"NA"),'MITRE ATT&amp;CK Mappings'!$H618))),ISNUMBER(SEARCH(IF(E$3&lt;&gt;"",E$3,"NA"),'MITRE ATT&amp;CK Mappings'!$I618))),ISNUMBER(SEARCH(IF(E$3&lt;&gt;"",E$3,"NA"),'MITRE ATT&amp;CK Mappings'!$J618))), 'MITRE ATT&amp;CK Mappings'!$B618,"")</f>
        <v/>
      </c>
      <c r="F622" s="26" t="str">
        <f>IF(OR(OR(OR(OR(OR(ISNUMBER(SEARCH(IF(F$1&lt;&gt;"",F$1,"NA"),'MITRE ATT&amp;CK Mappings'!$E618)),ISNUMBER(SEARCH(IF(F$1&lt;&gt;"",F$1,"NA"),'MITRE ATT&amp;CK Mappings'!$F618))),ISNUMBER(SEARCH(IF(F$2&lt;&gt;"",F$2,"NA"),'MITRE ATT&amp;CK Mappings'!$G618))),ISNUMBER(SEARCH(IF(F$2&lt;&gt;"",F$2,"NA"),'MITRE ATT&amp;CK Mappings'!$H618))),ISNUMBER(SEARCH(IF(F$3&lt;&gt;"",F$3,"NA"),'MITRE ATT&amp;CK Mappings'!$I618))),ISNUMBER(SEARCH(IF(F$3&lt;&gt;"",F$3,"NA"),'MITRE ATT&amp;CK Mappings'!$J618))), 'MITRE ATT&amp;CK Mappings'!$B618,"")</f>
        <v/>
      </c>
      <c r="G622" s="26" t="str">
        <f>IF(OR(OR(OR(OR(OR(ISNUMBER(SEARCH(IF(G$1&lt;&gt;"",G$1,"NA"),'MITRE ATT&amp;CK Mappings'!$E618)),ISNUMBER(SEARCH(IF(G$1&lt;&gt;"",G$1,"NA"),'MITRE ATT&amp;CK Mappings'!$F618))),ISNUMBER(SEARCH(IF(G$2&lt;&gt;"",G$2,"NA"),'MITRE ATT&amp;CK Mappings'!$G618))),ISNUMBER(SEARCH(IF(G$2&lt;&gt;"",G$2,"NA"),'MITRE ATT&amp;CK Mappings'!$H618))),ISNUMBER(SEARCH(IF(G$3&lt;&gt;"",G$3,"NA"),'MITRE ATT&amp;CK Mappings'!$I618))),ISNUMBER(SEARCH(IF(G$3&lt;&gt;"",G$3,"NA"),'MITRE ATT&amp;CK Mappings'!$J618))), 'MITRE ATT&amp;CK Mappings'!$B618,"")</f>
        <v/>
      </c>
      <c r="H622" s="26" t="str">
        <f>IF(OR(OR(OR(OR(OR(ISNUMBER(SEARCH(IF(H$1&lt;&gt;"",H$1,"NA"),'MITRE ATT&amp;CK Mappings'!$E618)),ISNUMBER(SEARCH(IF(H$1&lt;&gt;"",H$1,"NA"),'MITRE ATT&amp;CK Mappings'!$F618))),ISNUMBER(SEARCH(IF(H$2&lt;&gt;"",H$2,"NA"),'MITRE ATT&amp;CK Mappings'!$G618))),ISNUMBER(SEARCH(IF(H$2&lt;&gt;"",H$2,"NA"),'MITRE ATT&amp;CK Mappings'!$H618))),ISNUMBER(SEARCH(IF(H$3&lt;&gt;"",H$3,"NA"),'MITRE ATT&amp;CK Mappings'!$I618))),ISNUMBER(SEARCH(IF(H$3&lt;&gt;"",H$3,"NA"),'MITRE ATT&amp;CK Mappings'!$J618))), 'MITRE ATT&amp;CK Mappings'!$B618,"")</f>
        <v/>
      </c>
      <c r="I622" s="26" t="str">
        <f>IF(OR(OR(OR(OR(OR(ISNUMBER(SEARCH(IF(I$1&lt;&gt;"",I$1,"NA"),'MITRE ATT&amp;CK Mappings'!$E618)),ISNUMBER(SEARCH(IF(I$1&lt;&gt;"",I$1,"NA"),'MITRE ATT&amp;CK Mappings'!$F618))),ISNUMBER(SEARCH(IF(I$2&lt;&gt;"",I$2,"NA"),'MITRE ATT&amp;CK Mappings'!$G618))),ISNUMBER(SEARCH(IF(I$2&lt;&gt;"",I$2,"NA"),'MITRE ATT&amp;CK Mappings'!$H618))),ISNUMBER(SEARCH(IF(I$3&lt;&gt;"",I$3,"NA"),'MITRE ATT&amp;CK Mappings'!$I618))),ISNUMBER(SEARCH(IF(I$3&lt;&gt;"",I$3,"NA"),'MITRE ATT&amp;CK Mappings'!$J618))), 'MITRE ATT&amp;CK Mappings'!$B618,"")</f>
        <v/>
      </c>
      <c r="J622" s="26" t="str">
        <f>IF(OR(OR(OR(OR(OR(ISNUMBER(SEARCH(IF(J$1&lt;&gt;"",J$1,"NA"),'MITRE ATT&amp;CK Mappings'!$E618)),ISNUMBER(SEARCH(IF(J$1&lt;&gt;"",J$1,"NA"),'MITRE ATT&amp;CK Mappings'!$F618))),ISNUMBER(SEARCH(IF(J$2&lt;&gt;"",J$2,"NA"),'MITRE ATT&amp;CK Mappings'!$G618))),ISNUMBER(SEARCH(IF(J$2&lt;&gt;"",J$2,"NA"),'MITRE ATT&amp;CK Mappings'!$H618))),ISNUMBER(SEARCH(IF(J$3&lt;&gt;"",J$3,"NA"),'MITRE ATT&amp;CK Mappings'!$I618))),ISNUMBER(SEARCH(IF(J$3&lt;&gt;"",J$3,"NA"),'MITRE ATT&amp;CK Mappings'!$J618))), 'MITRE ATT&amp;CK Mappings'!$B618,"")</f>
        <v/>
      </c>
      <c r="K622" s="26" t="str">
        <f>IF(OR(OR(OR(OR(OR(ISNUMBER(SEARCH(IF(K$1&lt;&gt;"",K$1,"NA"),'MITRE ATT&amp;CK Mappings'!$E618)),ISNUMBER(SEARCH(IF(K$1&lt;&gt;"",K$1,"NA"),'MITRE ATT&amp;CK Mappings'!$F618))),ISNUMBER(SEARCH(IF(K$2&lt;&gt;"",K$2,"NA"),'MITRE ATT&amp;CK Mappings'!$G618))),ISNUMBER(SEARCH(IF(K$2&lt;&gt;"",K$2,"NA"),'MITRE ATT&amp;CK Mappings'!$H618))),ISNUMBER(SEARCH(IF(K$3&lt;&gt;"",K$3,"NA"),'MITRE ATT&amp;CK Mappings'!$I618))),ISNUMBER(SEARCH(IF(K$3&lt;&gt;"",K$3,"NA"),'MITRE ATT&amp;CK Mappings'!$J618))), 'MITRE ATT&amp;CK Mappings'!$B618,"")</f>
        <v/>
      </c>
      <c r="L622" s="26" t="str">
        <f>IF('MITRE ATT&amp;CK Mappings'!D618 &lt;&gt;"",'MITRE ATT&amp;CK Mappings'!D618,"" )</f>
        <v/>
      </c>
    </row>
    <row r="623" spans="1:12" x14ac:dyDescent="0.25">
      <c r="A623" s="27" t="str">
        <f>IF(COUNTIF(B623:K623,"="&amp;'MITRE ATT&amp;CK Mappings'!B619)&gt;0,'MITRE ATT&amp;CK Mappings'!B619,"")</f>
        <v/>
      </c>
      <c r="B623" s="27" t="str">
        <f>IF(OR(OR(OR(OR(OR(ISNUMBER(SEARCH(IF(B$1&lt;&gt;"",B$1,"NA"),'MITRE ATT&amp;CK Mappings'!$E619)),ISNUMBER(SEARCH(IF(B$1&lt;&gt;"",B$1,"NA"),'MITRE ATT&amp;CK Mappings'!$F619))),ISNUMBER(SEARCH(IF(B$2&lt;&gt;"",B$2,"NA"),'MITRE ATT&amp;CK Mappings'!$G619))),ISNUMBER(SEARCH(IF(B$2&lt;&gt;"",B$2,"NA"),'MITRE ATT&amp;CK Mappings'!$H619))),ISNUMBER(SEARCH(IF(B$3&lt;&gt;"",B$3,"NA"),'MITRE ATT&amp;CK Mappings'!$I619))),ISNUMBER(SEARCH(IF(B$3&lt;&gt;"",B$3,"NA"),'MITRE ATT&amp;CK Mappings'!$J619))), 'MITRE ATT&amp;CK Mappings'!$B619,"")</f>
        <v/>
      </c>
      <c r="C623" s="27" t="str">
        <f>IF(OR(OR(OR(OR(OR(ISNUMBER(SEARCH(IF(C$1&lt;&gt;"",C$1,"NA"),'MITRE ATT&amp;CK Mappings'!$E619)),ISNUMBER(SEARCH(IF(C$1&lt;&gt;"",C$1,"NA"),'MITRE ATT&amp;CK Mappings'!$F619))),ISNUMBER(SEARCH(IF(C$2&lt;&gt;"",C$2,"NA"),'MITRE ATT&amp;CK Mappings'!$G619))),ISNUMBER(SEARCH(IF(C$2&lt;&gt;"",C$2,"NA"),'MITRE ATT&amp;CK Mappings'!$H619))),ISNUMBER(SEARCH(IF(C$3&lt;&gt;"",C$3,"NA"),'MITRE ATT&amp;CK Mappings'!$I619))),ISNUMBER(SEARCH(IF(C$3&lt;&gt;"",C$3,"NA"),'MITRE ATT&amp;CK Mappings'!$J619))), 'MITRE ATT&amp;CK Mappings'!$B619,"")</f>
        <v/>
      </c>
      <c r="D623" s="27" t="str">
        <f>IF(OR(OR(OR(OR(OR(ISNUMBER(SEARCH(IF(D$1&lt;&gt;"",D$1,"NA"),'MITRE ATT&amp;CK Mappings'!$E619)),ISNUMBER(SEARCH(IF(D$1&lt;&gt;"",D$1,"NA"),'MITRE ATT&amp;CK Mappings'!$F619))),ISNUMBER(SEARCH(IF(D$2&lt;&gt;"",D$2,"NA"),'MITRE ATT&amp;CK Mappings'!$G619))),ISNUMBER(SEARCH(IF(D$2&lt;&gt;"",D$2,"NA"),'MITRE ATT&amp;CK Mappings'!$H619))),ISNUMBER(SEARCH(IF(D$3&lt;&gt;"",D$3,"NA"),'MITRE ATT&amp;CK Mappings'!$I619))),ISNUMBER(SEARCH(IF(D$3&lt;&gt;"",D$3,"NA"),'MITRE ATT&amp;CK Mappings'!$J619))), 'MITRE ATT&amp;CK Mappings'!$B619,"")</f>
        <v/>
      </c>
      <c r="E623" s="27" t="str">
        <f>IF(OR(OR(OR(OR(OR(ISNUMBER(SEARCH(IF(E$1&lt;&gt;"",E$1,"NA"),'MITRE ATT&amp;CK Mappings'!$E619)),ISNUMBER(SEARCH(IF(E$1&lt;&gt;"",E$1,"NA"),'MITRE ATT&amp;CK Mappings'!$F619))),ISNUMBER(SEARCH(IF(E$2&lt;&gt;"",E$2,"NA"),'MITRE ATT&amp;CK Mappings'!$G619))),ISNUMBER(SEARCH(IF(E$2&lt;&gt;"",E$2,"NA"),'MITRE ATT&amp;CK Mappings'!$H619))),ISNUMBER(SEARCH(IF(E$3&lt;&gt;"",E$3,"NA"),'MITRE ATT&amp;CK Mappings'!$I619))),ISNUMBER(SEARCH(IF(E$3&lt;&gt;"",E$3,"NA"),'MITRE ATT&amp;CK Mappings'!$J619))), 'MITRE ATT&amp;CK Mappings'!$B619,"")</f>
        <v/>
      </c>
      <c r="F623" s="27" t="str">
        <f>IF(OR(OR(OR(OR(OR(ISNUMBER(SEARCH(IF(F$1&lt;&gt;"",F$1,"NA"),'MITRE ATT&amp;CK Mappings'!$E619)),ISNUMBER(SEARCH(IF(F$1&lt;&gt;"",F$1,"NA"),'MITRE ATT&amp;CK Mappings'!$F619))),ISNUMBER(SEARCH(IF(F$2&lt;&gt;"",F$2,"NA"),'MITRE ATT&amp;CK Mappings'!$G619))),ISNUMBER(SEARCH(IF(F$2&lt;&gt;"",F$2,"NA"),'MITRE ATT&amp;CK Mappings'!$H619))),ISNUMBER(SEARCH(IF(F$3&lt;&gt;"",F$3,"NA"),'MITRE ATT&amp;CK Mappings'!$I619))),ISNUMBER(SEARCH(IF(F$3&lt;&gt;"",F$3,"NA"),'MITRE ATT&amp;CK Mappings'!$J619))), 'MITRE ATT&amp;CK Mappings'!$B619,"")</f>
        <v/>
      </c>
      <c r="G623" s="27" t="str">
        <f>IF(OR(OR(OR(OR(OR(ISNUMBER(SEARCH(IF(G$1&lt;&gt;"",G$1,"NA"),'MITRE ATT&amp;CK Mappings'!$E619)),ISNUMBER(SEARCH(IF(G$1&lt;&gt;"",G$1,"NA"),'MITRE ATT&amp;CK Mappings'!$F619))),ISNUMBER(SEARCH(IF(G$2&lt;&gt;"",G$2,"NA"),'MITRE ATT&amp;CK Mappings'!$G619))),ISNUMBER(SEARCH(IF(G$2&lt;&gt;"",G$2,"NA"),'MITRE ATT&amp;CK Mappings'!$H619))),ISNUMBER(SEARCH(IF(G$3&lt;&gt;"",G$3,"NA"),'MITRE ATT&amp;CK Mappings'!$I619))),ISNUMBER(SEARCH(IF(G$3&lt;&gt;"",G$3,"NA"),'MITRE ATT&amp;CK Mappings'!$J619))), 'MITRE ATT&amp;CK Mappings'!$B619,"")</f>
        <v/>
      </c>
      <c r="H623" s="27" t="str">
        <f>IF(OR(OR(OR(OR(OR(ISNUMBER(SEARCH(IF(H$1&lt;&gt;"",H$1,"NA"),'MITRE ATT&amp;CK Mappings'!$E619)),ISNUMBER(SEARCH(IF(H$1&lt;&gt;"",H$1,"NA"),'MITRE ATT&amp;CK Mappings'!$F619))),ISNUMBER(SEARCH(IF(H$2&lt;&gt;"",H$2,"NA"),'MITRE ATT&amp;CK Mappings'!$G619))),ISNUMBER(SEARCH(IF(H$2&lt;&gt;"",H$2,"NA"),'MITRE ATT&amp;CK Mappings'!$H619))),ISNUMBER(SEARCH(IF(H$3&lt;&gt;"",H$3,"NA"),'MITRE ATT&amp;CK Mappings'!$I619))),ISNUMBER(SEARCH(IF(H$3&lt;&gt;"",H$3,"NA"),'MITRE ATT&amp;CK Mappings'!$J619))), 'MITRE ATT&amp;CK Mappings'!$B619,"")</f>
        <v/>
      </c>
      <c r="I623" s="27" t="str">
        <f>IF(OR(OR(OR(OR(OR(ISNUMBER(SEARCH(IF(I$1&lt;&gt;"",I$1,"NA"),'MITRE ATT&amp;CK Mappings'!$E619)),ISNUMBER(SEARCH(IF(I$1&lt;&gt;"",I$1,"NA"),'MITRE ATT&amp;CK Mappings'!$F619))),ISNUMBER(SEARCH(IF(I$2&lt;&gt;"",I$2,"NA"),'MITRE ATT&amp;CK Mappings'!$G619))),ISNUMBER(SEARCH(IF(I$2&lt;&gt;"",I$2,"NA"),'MITRE ATT&amp;CK Mappings'!$H619))),ISNUMBER(SEARCH(IF(I$3&lt;&gt;"",I$3,"NA"),'MITRE ATT&amp;CK Mappings'!$I619))),ISNUMBER(SEARCH(IF(I$3&lt;&gt;"",I$3,"NA"),'MITRE ATT&amp;CK Mappings'!$J619))), 'MITRE ATT&amp;CK Mappings'!$B619,"")</f>
        <v/>
      </c>
      <c r="J623" s="27" t="str">
        <f>IF(OR(OR(OR(OR(OR(ISNUMBER(SEARCH(IF(J$1&lt;&gt;"",J$1,"NA"),'MITRE ATT&amp;CK Mappings'!$E619)),ISNUMBER(SEARCH(IF(J$1&lt;&gt;"",J$1,"NA"),'MITRE ATT&amp;CK Mappings'!$F619))),ISNUMBER(SEARCH(IF(J$2&lt;&gt;"",J$2,"NA"),'MITRE ATT&amp;CK Mappings'!$G619))),ISNUMBER(SEARCH(IF(J$2&lt;&gt;"",J$2,"NA"),'MITRE ATT&amp;CK Mappings'!$H619))),ISNUMBER(SEARCH(IF(J$3&lt;&gt;"",J$3,"NA"),'MITRE ATT&amp;CK Mappings'!$I619))),ISNUMBER(SEARCH(IF(J$3&lt;&gt;"",J$3,"NA"),'MITRE ATT&amp;CK Mappings'!$J619))), 'MITRE ATT&amp;CK Mappings'!$B619,"")</f>
        <v/>
      </c>
      <c r="K623" s="27" t="str">
        <f>IF(OR(OR(OR(OR(OR(ISNUMBER(SEARCH(IF(K$1&lt;&gt;"",K$1,"NA"),'MITRE ATT&amp;CK Mappings'!$E619)),ISNUMBER(SEARCH(IF(K$1&lt;&gt;"",K$1,"NA"),'MITRE ATT&amp;CK Mappings'!$F619))),ISNUMBER(SEARCH(IF(K$2&lt;&gt;"",K$2,"NA"),'MITRE ATT&amp;CK Mappings'!$G619))),ISNUMBER(SEARCH(IF(K$2&lt;&gt;"",K$2,"NA"),'MITRE ATT&amp;CK Mappings'!$H619))),ISNUMBER(SEARCH(IF(K$3&lt;&gt;"",K$3,"NA"),'MITRE ATT&amp;CK Mappings'!$I619))),ISNUMBER(SEARCH(IF(K$3&lt;&gt;"",K$3,"NA"),'MITRE ATT&amp;CK Mappings'!$J619))), 'MITRE ATT&amp;CK Mappings'!$B619,"")</f>
        <v/>
      </c>
      <c r="L623" s="27" t="str">
        <f>IF('MITRE ATT&amp;CK Mappings'!D619 &lt;&gt;"",'MITRE ATT&amp;CK Mappings'!D619,"" )</f>
        <v/>
      </c>
    </row>
    <row r="624" spans="1:12" x14ac:dyDescent="0.25">
      <c r="A624" s="26" t="str">
        <f>IF(COUNTIF(B624:K624,"="&amp;'MITRE ATT&amp;CK Mappings'!B620)&gt;0,'MITRE ATT&amp;CK Mappings'!B620,"")</f>
        <v/>
      </c>
      <c r="B624" s="26" t="str">
        <f>IF(OR(OR(OR(OR(OR(ISNUMBER(SEARCH(IF(B$1&lt;&gt;"",B$1,"NA"),'MITRE ATT&amp;CK Mappings'!$E620)),ISNUMBER(SEARCH(IF(B$1&lt;&gt;"",B$1,"NA"),'MITRE ATT&amp;CK Mappings'!$F620))),ISNUMBER(SEARCH(IF(B$2&lt;&gt;"",B$2,"NA"),'MITRE ATT&amp;CK Mappings'!$G620))),ISNUMBER(SEARCH(IF(B$2&lt;&gt;"",B$2,"NA"),'MITRE ATT&amp;CK Mappings'!$H620))),ISNUMBER(SEARCH(IF(B$3&lt;&gt;"",B$3,"NA"),'MITRE ATT&amp;CK Mappings'!$I620))),ISNUMBER(SEARCH(IF(B$3&lt;&gt;"",B$3,"NA"),'MITRE ATT&amp;CK Mappings'!$J620))), 'MITRE ATT&amp;CK Mappings'!$B620,"")</f>
        <v/>
      </c>
      <c r="C624" s="26" t="str">
        <f>IF(OR(OR(OR(OR(OR(ISNUMBER(SEARCH(IF(C$1&lt;&gt;"",C$1,"NA"),'MITRE ATT&amp;CK Mappings'!$E620)),ISNUMBER(SEARCH(IF(C$1&lt;&gt;"",C$1,"NA"),'MITRE ATT&amp;CK Mappings'!$F620))),ISNUMBER(SEARCH(IF(C$2&lt;&gt;"",C$2,"NA"),'MITRE ATT&amp;CK Mappings'!$G620))),ISNUMBER(SEARCH(IF(C$2&lt;&gt;"",C$2,"NA"),'MITRE ATT&amp;CK Mappings'!$H620))),ISNUMBER(SEARCH(IF(C$3&lt;&gt;"",C$3,"NA"),'MITRE ATT&amp;CK Mappings'!$I620))),ISNUMBER(SEARCH(IF(C$3&lt;&gt;"",C$3,"NA"),'MITRE ATT&amp;CK Mappings'!$J620))), 'MITRE ATT&amp;CK Mappings'!$B620,"")</f>
        <v/>
      </c>
      <c r="D624" s="26" t="str">
        <f>IF(OR(OR(OR(OR(OR(ISNUMBER(SEARCH(IF(D$1&lt;&gt;"",D$1,"NA"),'MITRE ATT&amp;CK Mappings'!$E620)),ISNUMBER(SEARCH(IF(D$1&lt;&gt;"",D$1,"NA"),'MITRE ATT&amp;CK Mappings'!$F620))),ISNUMBER(SEARCH(IF(D$2&lt;&gt;"",D$2,"NA"),'MITRE ATT&amp;CK Mappings'!$G620))),ISNUMBER(SEARCH(IF(D$2&lt;&gt;"",D$2,"NA"),'MITRE ATT&amp;CK Mappings'!$H620))),ISNUMBER(SEARCH(IF(D$3&lt;&gt;"",D$3,"NA"),'MITRE ATT&amp;CK Mappings'!$I620))),ISNUMBER(SEARCH(IF(D$3&lt;&gt;"",D$3,"NA"),'MITRE ATT&amp;CK Mappings'!$J620))), 'MITRE ATT&amp;CK Mappings'!$B620,"")</f>
        <v/>
      </c>
      <c r="E624" s="26" t="str">
        <f>IF(OR(OR(OR(OR(OR(ISNUMBER(SEARCH(IF(E$1&lt;&gt;"",E$1,"NA"),'MITRE ATT&amp;CK Mappings'!$E620)),ISNUMBER(SEARCH(IF(E$1&lt;&gt;"",E$1,"NA"),'MITRE ATT&amp;CK Mappings'!$F620))),ISNUMBER(SEARCH(IF(E$2&lt;&gt;"",E$2,"NA"),'MITRE ATT&amp;CK Mappings'!$G620))),ISNUMBER(SEARCH(IF(E$2&lt;&gt;"",E$2,"NA"),'MITRE ATT&amp;CK Mappings'!$H620))),ISNUMBER(SEARCH(IF(E$3&lt;&gt;"",E$3,"NA"),'MITRE ATT&amp;CK Mappings'!$I620))),ISNUMBER(SEARCH(IF(E$3&lt;&gt;"",E$3,"NA"),'MITRE ATT&amp;CK Mappings'!$J620))), 'MITRE ATT&amp;CK Mappings'!$B620,"")</f>
        <v/>
      </c>
      <c r="F624" s="26" t="str">
        <f>IF(OR(OR(OR(OR(OR(ISNUMBER(SEARCH(IF(F$1&lt;&gt;"",F$1,"NA"),'MITRE ATT&amp;CK Mappings'!$E620)),ISNUMBER(SEARCH(IF(F$1&lt;&gt;"",F$1,"NA"),'MITRE ATT&amp;CK Mappings'!$F620))),ISNUMBER(SEARCH(IF(F$2&lt;&gt;"",F$2,"NA"),'MITRE ATT&amp;CK Mappings'!$G620))),ISNUMBER(SEARCH(IF(F$2&lt;&gt;"",F$2,"NA"),'MITRE ATT&amp;CK Mappings'!$H620))),ISNUMBER(SEARCH(IF(F$3&lt;&gt;"",F$3,"NA"),'MITRE ATT&amp;CK Mappings'!$I620))),ISNUMBER(SEARCH(IF(F$3&lt;&gt;"",F$3,"NA"),'MITRE ATT&amp;CK Mappings'!$J620))), 'MITRE ATT&amp;CK Mappings'!$B620,"")</f>
        <v/>
      </c>
      <c r="G624" s="26" t="str">
        <f>IF(OR(OR(OR(OR(OR(ISNUMBER(SEARCH(IF(G$1&lt;&gt;"",G$1,"NA"),'MITRE ATT&amp;CK Mappings'!$E620)),ISNUMBER(SEARCH(IF(G$1&lt;&gt;"",G$1,"NA"),'MITRE ATT&amp;CK Mappings'!$F620))),ISNUMBER(SEARCH(IF(G$2&lt;&gt;"",G$2,"NA"),'MITRE ATT&amp;CK Mappings'!$G620))),ISNUMBER(SEARCH(IF(G$2&lt;&gt;"",G$2,"NA"),'MITRE ATT&amp;CK Mappings'!$H620))),ISNUMBER(SEARCH(IF(G$3&lt;&gt;"",G$3,"NA"),'MITRE ATT&amp;CK Mappings'!$I620))),ISNUMBER(SEARCH(IF(G$3&lt;&gt;"",G$3,"NA"),'MITRE ATT&amp;CK Mappings'!$J620))), 'MITRE ATT&amp;CK Mappings'!$B620,"")</f>
        <v/>
      </c>
      <c r="H624" s="26" t="str">
        <f>IF(OR(OR(OR(OR(OR(ISNUMBER(SEARCH(IF(H$1&lt;&gt;"",H$1,"NA"),'MITRE ATT&amp;CK Mappings'!$E620)),ISNUMBER(SEARCH(IF(H$1&lt;&gt;"",H$1,"NA"),'MITRE ATT&amp;CK Mappings'!$F620))),ISNUMBER(SEARCH(IF(H$2&lt;&gt;"",H$2,"NA"),'MITRE ATT&amp;CK Mappings'!$G620))),ISNUMBER(SEARCH(IF(H$2&lt;&gt;"",H$2,"NA"),'MITRE ATT&amp;CK Mappings'!$H620))),ISNUMBER(SEARCH(IF(H$3&lt;&gt;"",H$3,"NA"),'MITRE ATT&amp;CK Mappings'!$I620))),ISNUMBER(SEARCH(IF(H$3&lt;&gt;"",H$3,"NA"),'MITRE ATT&amp;CK Mappings'!$J620))), 'MITRE ATT&amp;CK Mappings'!$B620,"")</f>
        <v/>
      </c>
      <c r="I624" s="26" t="str">
        <f>IF(OR(OR(OR(OR(OR(ISNUMBER(SEARCH(IF(I$1&lt;&gt;"",I$1,"NA"),'MITRE ATT&amp;CK Mappings'!$E620)),ISNUMBER(SEARCH(IF(I$1&lt;&gt;"",I$1,"NA"),'MITRE ATT&amp;CK Mappings'!$F620))),ISNUMBER(SEARCH(IF(I$2&lt;&gt;"",I$2,"NA"),'MITRE ATT&amp;CK Mappings'!$G620))),ISNUMBER(SEARCH(IF(I$2&lt;&gt;"",I$2,"NA"),'MITRE ATT&amp;CK Mappings'!$H620))),ISNUMBER(SEARCH(IF(I$3&lt;&gt;"",I$3,"NA"),'MITRE ATT&amp;CK Mappings'!$I620))),ISNUMBER(SEARCH(IF(I$3&lt;&gt;"",I$3,"NA"),'MITRE ATT&amp;CK Mappings'!$J620))), 'MITRE ATT&amp;CK Mappings'!$B620,"")</f>
        <v/>
      </c>
      <c r="J624" s="26" t="str">
        <f>IF(OR(OR(OR(OR(OR(ISNUMBER(SEARCH(IF(J$1&lt;&gt;"",J$1,"NA"),'MITRE ATT&amp;CK Mappings'!$E620)),ISNUMBER(SEARCH(IF(J$1&lt;&gt;"",J$1,"NA"),'MITRE ATT&amp;CK Mappings'!$F620))),ISNUMBER(SEARCH(IF(J$2&lt;&gt;"",J$2,"NA"),'MITRE ATT&amp;CK Mappings'!$G620))),ISNUMBER(SEARCH(IF(J$2&lt;&gt;"",J$2,"NA"),'MITRE ATT&amp;CK Mappings'!$H620))),ISNUMBER(SEARCH(IF(J$3&lt;&gt;"",J$3,"NA"),'MITRE ATT&amp;CK Mappings'!$I620))),ISNUMBER(SEARCH(IF(J$3&lt;&gt;"",J$3,"NA"),'MITRE ATT&amp;CK Mappings'!$J620))), 'MITRE ATT&amp;CK Mappings'!$B620,"")</f>
        <v/>
      </c>
      <c r="K624" s="26" t="str">
        <f>IF(OR(OR(OR(OR(OR(ISNUMBER(SEARCH(IF(K$1&lt;&gt;"",K$1,"NA"),'MITRE ATT&amp;CK Mappings'!$E620)),ISNUMBER(SEARCH(IF(K$1&lt;&gt;"",K$1,"NA"),'MITRE ATT&amp;CK Mappings'!$F620))),ISNUMBER(SEARCH(IF(K$2&lt;&gt;"",K$2,"NA"),'MITRE ATT&amp;CK Mappings'!$G620))),ISNUMBER(SEARCH(IF(K$2&lt;&gt;"",K$2,"NA"),'MITRE ATT&amp;CK Mappings'!$H620))),ISNUMBER(SEARCH(IF(K$3&lt;&gt;"",K$3,"NA"),'MITRE ATT&amp;CK Mappings'!$I620))),ISNUMBER(SEARCH(IF(K$3&lt;&gt;"",K$3,"NA"),'MITRE ATT&amp;CK Mappings'!$J620))), 'MITRE ATT&amp;CK Mappings'!$B620,"")</f>
        <v/>
      </c>
      <c r="L624" s="26" t="str">
        <f>IF('MITRE ATT&amp;CK Mappings'!D620 &lt;&gt;"",'MITRE ATT&amp;CK Mappings'!D620,"" )</f>
        <v/>
      </c>
    </row>
    <row r="625" spans="1:12" x14ac:dyDescent="0.25">
      <c r="A625" s="27" t="str">
        <f>IF(COUNTIF(B625:K625,"="&amp;'MITRE ATT&amp;CK Mappings'!B621)&gt;0,'MITRE ATT&amp;CK Mappings'!B621,"")</f>
        <v/>
      </c>
      <c r="B625" s="27" t="str">
        <f>IF(OR(OR(OR(OR(OR(ISNUMBER(SEARCH(IF(B$1&lt;&gt;"",B$1,"NA"),'MITRE ATT&amp;CK Mappings'!$E621)),ISNUMBER(SEARCH(IF(B$1&lt;&gt;"",B$1,"NA"),'MITRE ATT&amp;CK Mappings'!$F621))),ISNUMBER(SEARCH(IF(B$2&lt;&gt;"",B$2,"NA"),'MITRE ATT&amp;CK Mappings'!$G621))),ISNUMBER(SEARCH(IF(B$2&lt;&gt;"",B$2,"NA"),'MITRE ATT&amp;CK Mappings'!$H621))),ISNUMBER(SEARCH(IF(B$3&lt;&gt;"",B$3,"NA"),'MITRE ATT&amp;CK Mappings'!$I621))),ISNUMBER(SEARCH(IF(B$3&lt;&gt;"",B$3,"NA"),'MITRE ATT&amp;CK Mappings'!$J621))), 'MITRE ATT&amp;CK Mappings'!$B621,"")</f>
        <v/>
      </c>
      <c r="C625" s="27" t="str">
        <f>IF(OR(OR(OR(OR(OR(ISNUMBER(SEARCH(IF(C$1&lt;&gt;"",C$1,"NA"),'MITRE ATT&amp;CK Mappings'!$E621)),ISNUMBER(SEARCH(IF(C$1&lt;&gt;"",C$1,"NA"),'MITRE ATT&amp;CK Mappings'!$F621))),ISNUMBER(SEARCH(IF(C$2&lt;&gt;"",C$2,"NA"),'MITRE ATT&amp;CK Mappings'!$G621))),ISNUMBER(SEARCH(IF(C$2&lt;&gt;"",C$2,"NA"),'MITRE ATT&amp;CK Mappings'!$H621))),ISNUMBER(SEARCH(IF(C$3&lt;&gt;"",C$3,"NA"),'MITRE ATT&amp;CK Mappings'!$I621))),ISNUMBER(SEARCH(IF(C$3&lt;&gt;"",C$3,"NA"),'MITRE ATT&amp;CK Mappings'!$J621))), 'MITRE ATT&amp;CK Mappings'!$B621,"")</f>
        <v/>
      </c>
      <c r="D625" s="27" t="str">
        <f>IF(OR(OR(OR(OR(OR(ISNUMBER(SEARCH(IF(D$1&lt;&gt;"",D$1,"NA"),'MITRE ATT&amp;CK Mappings'!$E621)),ISNUMBER(SEARCH(IF(D$1&lt;&gt;"",D$1,"NA"),'MITRE ATT&amp;CK Mappings'!$F621))),ISNUMBER(SEARCH(IF(D$2&lt;&gt;"",D$2,"NA"),'MITRE ATT&amp;CK Mappings'!$G621))),ISNUMBER(SEARCH(IF(D$2&lt;&gt;"",D$2,"NA"),'MITRE ATT&amp;CK Mappings'!$H621))),ISNUMBER(SEARCH(IF(D$3&lt;&gt;"",D$3,"NA"),'MITRE ATT&amp;CK Mappings'!$I621))),ISNUMBER(SEARCH(IF(D$3&lt;&gt;"",D$3,"NA"),'MITRE ATT&amp;CK Mappings'!$J621))), 'MITRE ATT&amp;CK Mappings'!$B621,"")</f>
        <v/>
      </c>
      <c r="E625" s="27" t="str">
        <f>IF(OR(OR(OR(OR(OR(ISNUMBER(SEARCH(IF(E$1&lt;&gt;"",E$1,"NA"),'MITRE ATT&amp;CK Mappings'!$E621)),ISNUMBER(SEARCH(IF(E$1&lt;&gt;"",E$1,"NA"),'MITRE ATT&amp;CK Mappings'!$F621))),ISNUMBER(SEARCH(IF(E$2&lt;&gt;"",E$2,"NA"),'MITRE ATT&amp;CK Mappings'!$G621))),ISNUMBER(SEARCH(IF(E$2&lt;&gt;"",E$2,"NA"),'MITRE ATT&amp;CK Mappings'!$H621))),ISNUMBER(SEARCH(IF(E$3&lt;&gt;"",E$3,"NA"),'MITRE ATT&amp;CK Mappings'!$I621))),ISNUMBER(SEARCH(IF(E$3&lt;&gt;"",E$3,"NA"),'MITRE ATT&amp;CK Mappings'!$J621))), 'MITRE ATT&amp;CK Mappings'!$B621,"")</f>
        <v/>
      </c>
      <c r="F625" s="27" t="str">
        <f>IF(OR(OR(OR(OR(OR(ISNUMBER(SEARCH(IF(F$1&lt;&gt;"",F$1,"NA"),'MITRE ATT&amp;CK Mappings'!$E621)),ISNUMBER(SEARCH(IF(F$1&lt;&gt;"",F$1,"NA"),'MITRE ATT&amp;CK Mappings'!$F621))),ISNUMBER(SEARCH(IF(F$2&lt;&gt;"",F$2,"NA"),'MITRE ATT&amp;CK Mappings'!$G621))),ISNUMBER(SEARCH(IF(F$2&lt;&gt;"",F$2,"NA"),'MITRE ATT&amp;CK Mappings'!$H621))),ISNUMBER(SEARCH(IF(F$3&lt;&gt;"",F$3,"NA"),'MITRE ATT&amp;CK Mappings'!$I621))),ISNUMBER(SEARCH(IF(F$3&lt;&gt;"",F$3,"NA"),'MITRE ATT&amp;CK Mappings'!$J621))), 'MITRE ATT&amp;CK Mappings'!$B621,"")</f>
        <v/>
      </c>
      <c r="G625" s="27" t="str">
        <f>IF(OR(OR(OR(OR(OR(ISNUMBER(SEARCH(IF(G$1&lt;&gt;"",G$1,"NA"),'MITRE ATT&amp;CK Mappings'!$E621)),ISNUMBER(SEARCH(IF(G$1&lt;&gt;"",G$1,"NA"),'MITRE ATT&amp;CK Mappings'!$F621))),ISNUMBER(SEARCH(IF(G$2&lt;&gt;"",G$2,"NA"),'MITRE ATT&amp;CK Mappings'!$G621))),ISNUMBER(SEARCH(IF(G$2&lt;&gt;"",G$2,"NA"),'MITRE ATT&amp;CK Mappings'!$H621))),ISNUMBER(SEARCH(IF(G$3&lt;&gt;"",G$3,"NA"),'MITRE ATT&amp;CK Mappings'!$I621))),ISNUMBER(SEARCH(IF(G$3&lt;&gt;"",G$3,"NA"),'MITRE ATT&amp;CK Mappings'!$J621))), 'MITRE ATT&amp;CK Mappings'!$B621,"")</f>
        <v/>
      </c>
      <c r="H625" s="27" t="str">
        <f>IF(OR(OR(OR(OR(OR(ISNUMBER(SEARCH(IF(H$1&lt;&gt;"",H$1,"NA"),'MITRE ATT&amp;CK Mappings'!$E621)),ISNUMBER(SEARCH(IF(H$1&lt;&gt;"",H$1,"NA"),'MITRE ATT&amp;CK Mappings'!$F621))),ISNUMBER(SEARCH(IF(H$2&lt;&gt;"",H$2,"NA"),'MITRE ATT&amp;CK Mappings'!$G621))),ISNUMBER(SEARCH(IF(H$2&lt;&gt;"",H$2,"NA"),'MITRE ATT&amp;CK Mappings'!$H621))),ISNUMBER(SEARCH(IF(H$3&lt;&gt;"",H$3,"NA"),'MITRE ATT&amp;CK Mappings'!$I621))),ISNUMBER(SEARCH(IF(H$3&lt;&gt;"",H$3,"NA"),'MITRE ATT&amp;CK Mappings'!$J621))), 'MITRE ATT&amp;CK Mappings'!$B621,"")</f>
        <v/>
      </c>
      <c r="I625" s="27" t="str">
        <f>IF(OR(OR(OR(OR(OR(ISNUMBER(SEARCH(IF(I$1&lt;&gt;"",I$1,"NA"),'MITRE ATT&amp;CK Mappings'!$E621)),ISNUMBER(SEARCH(IF(I$1&lt;&gt;"",I$1,"NA"),'MITRE ATT&amp;CK Mappings'!$F621))),ISNUMBER(SEARCH(IF(I$2&lt;&gt;"",I$2,"NA"),'MITRE ATT&amp;CK Mappings'!$G621))),ISNUMBER(SEARCH(IF(I$2&lt;&gt;"",I$2,"NA"),'MITRE ATT&amp;CK Mappings'!$H621))),ISNUMBER(SEARCH(IF(I$3&lt;&gt;"",I$3,"NA"),'MITRE ATT&amp;CK Mappings'!$I621))),ISNUMBER(SEARCH(IF(I$3&lt;&gt;"",I$3,"NA"),'MITRE ATT&amp;CK Mappings'!$J621))), 'MITRE ATT&amp;CK Mappings'!$B621,"")</f>
        <v/>
      </c>
      <c r="J625" s="27" t="str">
        <f>IF(OR(OR(OR(OR(OR(ISNUMBER(SEARCH(IF(J$1&lt;&gt;"",J$1,"NA"),'MITRE ATT&amp;CK Mappings'!$E621)),ISNUMBER(SEARCH(IF(J$1&lt;&gt;"",J$1,"NA"),'MITRE ATT&amp;CK Mappings'!$F621))),ISNUMBER(SEARCH(IF(J$2&lt;&gt;"",J$2,"NA"),'MITRE ATT&amp;CK Mappings'!$G621))),ISNUMBER(SEARCH(IF(J$2&lt;&gt;"",J$2,"NA"),'MITRE ATT&amp;CK Mappings'!$H621))),ISNUMBER(SEARCH(IF(J$3&lt;&gt;"",J$3,"NA"),'MITRE ATT&amp;CK Mappings'!$I621))),ISNUMBER(SEARCH(IF(J$3&lt;&gt;"",J$3,"NA"),'MITRE ATT&amp;CK Mappings'!$J621))), 'MITRE ATT&amp;CK Mappings'!$B621,"")</f>
        <v/>
      </c>
      <c r="K625" s="27" t="str">
        <f>IF(OR(OR(OR(OR(OR(ISNUMBER(SEARCH(IF(K$1&lt;&gt;"",K$1,"NA"),'MITRE ATT&amp;CK Mappings'!$E621)),ISNUMBER(SEARCH(IF(K$1&lt;&gt;"",K$1,"NA"),'MITRE ATT&amp;CK Mappings'!$F621))),ISNUMBER(SEARCH(IF(K$2&lt;&gt;"",K$2,"NA"),'MITRE ATT&amp;CK Mappings'!$G621))),ISNUMBER(SEARCH(IF(K$2&lt;&gt;"",K$2,"NA"),'MITRE ATT&amp;CK Mappings'!$H621))),ISNUMBER(SEARCH(IF(K$3&lt;&gt;"",K$3,"NA"),'MITRE ATT&amp;CK Mappings'!$I621))),ISNUMBER(SEARCH(IF(K$3&lt;&gt;"",K$3,"NA"),'MITRE ATT&amp;CK Mappings'!$J621))), 'MITRE ATT&amp;CK Mappings'!$B621,"")</f>
        <v/>
      </c>
      <c r="L625" s="27" t="str">
        <f>IF('MITRE ATT&amp;CK Mappings'!D621 &lt;&gt;"",'MITRE ATT&amp;CK Mappings'!D621,"" )</f>
        <v/>
      </c>
    </row>
    <row r="626" spans="1:12" x14ac:dyDescent="0.25">
      <c r="A626" s="26" t="str">
        <f>IF(COUNTIF(B626:K626,"="&amp;'MITRE ATT&amp;CK Mappings'!B622)&gt;0,'MITRE ATT&amp;CK Mappings'!B622,"")</f>
        <v/>
      </c>
      <c r="B626" s="26" t="str">
        <f>IF(OR(OR(OR(OR(OR(ISNUMBER(SEARCH(IF(B$1&lt;&gt;"",B$1,"NA"),'MITRE ATT&amp;CK Mappings'!$E622)),ISNUMBER(SEARCH(IF(B$1&lt;&gt;"",B$1,"NA"),'MITRE ATT&amp;CK Mappings'!$F622))),ISNUMBER(SEARCH(IF(B$2&lt;&gt;"",B$2,"NA"),'MITRE ATT&amp;CK Mappings'!$G622))),ISNUMBER(SEARCH(IF(B$2&lt;&gt;"",B$2,"NA"),'MITRE ATT&amp;CK Mappings'!$H622))),ISNUMBER(SEARCH(IF(B$3&lt;&gt;"",B$3,"NA"),'MITRE ATT&amp;CK Mappings'!$I622))),ISNUMBER(SEARCH(IF(B$3&lt;&gt;"",B$3,"NA"),'MITRE ATT&amp;CK Mappings'!$J622))), 'MITRE ATT&amp;CK Mappings'!$B622,"")</f>
        <v/>
      </c>
      <c r="C626" s="26" t="str">
        <f>IF(OR(OR(OR(OR(OR(ISNUMBER(SEARCH(IF(C$1&lt;&gt;"",C$1,"NA"),'MITRE ATT&amp;CK Mappings'!$E622)),ISNUMBER(SEARCH(IF(C$1&lt;&gt;"",C$1,"NA"),'MITRE ATT&amp;CK Mappings'!$F622))),ISNUMBER(SEARCH(IF(C$2&lt;&gt;"",C$2,"NA"),'MITRE ATT&amp;CK Mappings'!$G622))),ISNUMBER(SEARCH(IF(C$2&lt;&gt;"",C$2,"NA"),'MITRE ATT&amp;CK Mappings'!$H622))),ISNUMBER(SEARCH(IF(C$3&lt;&gt;"",C$3,"NA"),'MITRE ATT&amp;CK Mappings'!$I622))),ISNUMBER(SEARCH(IF(C$3&lt;&gt;"",C$3,"NA"),'MITRE ATT&amp;CK Mappings'!$J622))), 'MITRE ATT&amp;CK Mappings'!$B622,"")</f>
        <v/>
      </c>
      <c r="D626" s="26" t="str">
        <f>IF(OR(OR(OR(OR(OR(ISNUMBER(SEARCH(IF(D$1&lt;&gt;"",D$1,"NA"),'MITRE ATT&amp;CK Mappings'!$E622)),ISNUMBER(SEARCH(IF(D$1&lt;&gt;"",D$1,"NA"),'MITRE ATT&amp;CK Mappings'!$F622))),ISNUMBER(SEARCH(IF(D$2&lt;&gt;"",D$2,"NA"),'MITRE ATT&amp;CK Mappings'!$G622))),ISNUMBER(SEARCH(IF(D$2&lt;&gt;"",D$2,"NA"),'MITRE ATT&amp;CK Mappings'!$H622))),ISNUMBER(SEARCH(IF(D$3&lt;&gt;"",D$3,"NA"),'MITRE ATT&amp;CK Mappings'!$I622))),ISNUMBER(SEARCH(IF(D$3&lt;&gt;"",D$3,"NA"),'MITRE ATT&amp;CK Mappings'!$J622))), 'MITRE ATT&amp;CK Mappings'!$B622,"")</f>
        <v/>
      </c>
      <c r="E626" s="26" t="str">
        <f>IF(OR(OR(OR(OR(OR(ISNUMBER(SEARCH(IF(E$1&lt;&gt;"",E$1,"NA"),'MITRE ATT&amp;CK Mappings'!$E622)),ISNUMBER(SEARCH(IF(E$1&lt;&gt;"",E$1,"NA"),'MITRE ATT&amp;CK Mappings'!$F622))),ISNUMBER(SEARCH(IF(E$2&lt;&gt;"",E$2,"NA"),'MITRE ATT&amp;CK Mappings'!$G622))),ISNUMBER(SEARCH(IF(E$2&lt;&gt;"",E$2,"NA"),'MITRE ATT&amp;CK Mappings'!$H622))),ISNUMBER(SEARCH(IF(E$3&lt;&gt;"",E$3,"NA"),'MITRE ATT&amp;CK Mappings'!$I622))),ISNUMBER(SEARCH(IF(E$3&lt;&gt;"",E$3,"NA"),'MITRE ATT&amp;CK Mappings'!$J622))), 'MITRE ATT&amp;CK Mappings'!$B622,"")</f>
        <v/>
      </c>
      <c r="F626" s="26" t="str">
        <f>IF(OR(OR(OR(OR(OR(ISNUMBER(SEARCH(IF(F$1&lt;&gt;"",F$1,"NA"),'MITRE ATT&amp;CK Mappings'!$E622)),ISNUMBER(SEARCH(IF(F$1&lt;&gt;"",F$1,"NA"),'MITRE ATT&amp;CK Mappings'!$F622))),ISNUMBER(SEARCH(IF(F$2&lt;&gt;"",F$2,"NA"),'MITRE ATT&amp;CK Mappings'!$G622))),ISNUMBER(SEARCH(IF(F$2&lt;&gt;"",F$2,"NA"),'MITRE ATT&amp;CK Mappings'!$H622))),ISNUMBER(SEARCH(IF(F$3&lt;&gt;"",F$3,"NA"),'MITRE ATT&amp;CK Mappings'!$I622))),ISNUMBER(SEARCH(IF(F$3&lt;&gt;"",F$3,"NA"),'MITRE ATT&amp;CK Mappings'!$J622))), 'MITRE ATT&amp;CK Mappings'!$B622,"")</f>
        <v/>
      </c>
      <c r="G626" s="26" t="str">
        <f>IF(OR(OR(OR(OR(OR(ISNUMBER(SEARCH(IF(G$1&lt;&gt;"",G$1,"NA"),'MITRE ATT&amp;CK Mappings'!$E622)),ISNUMBER(SEARCH(IF(G$1&lt;&gt;"",G$1,"NA"),'MITRE ATT&amp;CK Mappings'!$F622))),ISNUMBER(SEARCH(IF(G$2&lt;&gt;"",G$2,"NA"),'MITRE ATT&amp;CK Mappings'!$G622))),ISNUMBER(SEARCH(IF(G$2&lt;&gt;"",G$2,"NA"),'MITRE ATT&amp;CK Mappings'!$H622))),ISNUMBER(SEARCH(IF(G$3&lt;&gt;"",G$3,"NA"),'MITRE ATT&amp;CK Mappings'!$I622))),ISNUMBER(SEARCH(IF(G$3&lt;&gt;"",G$3,"NA"),'MITRE ATT&amp;CK Mappings'!$J622))), 'MITRE ATT&amp;CK Mappings'!$B622,"")</f>
        <v/>
      </c>
      <c r="H626" s="26" t="str">
        <f>IF(OR(OR(OR(OR(OR(ISNUMBER(SEARCH(IF(H$1&lt;&gt;"",H$1,"NA"),'MITRE ATT&amp;CK Mappings'!$E622)),ISNUMBER(SEARCH(IF(H$1&lt;&gt;"",H$1,"NA"),'MITRE ATT&amp;CK Mappings'!$F622))),ISNUMBER(SEARCH(IF(H$2&lt;&gt;"",H$2,"NA"),'MITRE ATT&amp;CK Mappings'!$G622))),ISNUMBER(SEARCH(IF(H$2&lt;&gt;"",H$2,"NA"),'MITRE ATT&amp;CK Mappings'!$H622))),ISNUMBER(SEARCH(IF(H$3&lt;&gt;"",H$3,"NA"),'MITRE ATT&amp;CK Mappings'!$I622))),ISNUMBER(SEARCH(IF(H$3&lt;&gt;"",H$3,"NA"),'MITRE ATT&amp;CK Mappings'!$J622))), 'MITRE ATT&amp;CK Mappings'!$B622,"")</f>
        <v/>
      </c>
      <c r="I626" s="26" t="str">
        <f>IF(OR(OR(OR(OR(OR(ISNUMBER(SEARCH(IF(I$1&lt;&gt;"",I$1,"NA"),'MITRE ATT&amp;CK Mappings'!$E622)),ISNUMBER(SEARCH(IF(I$1&lt;&gt;"",I$1,"NA"),'MITRE ATT&amp;CK Mappings'!$F622))),ISNUMBER(SEARCH(IF(I$2&lt;&gt;"",I$2,"NA"),'MITRE ATT&amp;CK Mappings'!$G622))),ISNUMBER(SEARCH(IF(I$2&lt;&gt;"",I$2,"NA"),'MITRE ATT&amp;CK Mappings'!$H622))),ISNUMBER(SEARCH(IF(I$3&lt;&gt;"",I$3,"NA"),'MITRE ATT&amp;CK Mappings'!$I622))),ISNUMBER(SEARCH(IF(I$3&lt;&gt;"",I$3,"NA"),'MITRE ATT&amp;CK Mappings'!$J622))), 'MITRE ATT&amp;CK Mappings'!$B622,"")</f>
        <v/>
      </c>
      <c r="J626" s="26" t="str">
        <f>IF(OR(OR(OR(OR(OR(ISNUMBER(SEARCH(IF(J$1&lt;&gt;"",J$1,"NA"),'MITRE ATT&amp;CK Mappings'!$E622)),ISNUMBER(SEARCH(IF(J$1&lt;&gt;"",J$1,"NA"),'MITRE ATT&amp;CK Mappings'!$F622))),ISNUMBER(SEARCH(IF(J$2&lt;&gt;"",J$2,"NA"),'MITRE ATT&amp;CK Mappings'!$G622))),ISNUMBER(SEARCH(IF(J$2&lt;&gt;"",J$2,"NA"),'MITRE ATT&amp;CK Mappings'!$H622))),ISNUMBER(SEARCH(IF(J$3&lt;&gt;"",J$3,"NA"),'MITRE ATT&amp;CK Mappings'!$I622))),ISNUMBER(SEARCH(IF(J$3&lt;&gt;"",J$3,"NA"),'MITRE ATT&amp;CK Mappings'!$J622))), 'MITRE ATT&amp;CK Mappings'!$B622,"")</f>
        <v/>
      </c>
      <c r="K626" s="26" t="str">
        <f>IF(OR(OR(OR(OR(OR(ISNUMBER(SEARCH(IF(K$1&lt;&gt;"",K$1,"NA"),'MITRE ATT&amp;CK Mappings'!$E622)),ISNUMBER(SEARCH(IF(K$1&lt;&gt;"",K$1,"NA"),'MITRE ATT&amp;CK Mappings'!$F622))),ISNUMBER(SEARCH(IF(K$2&lt;&gt;"",K$2,"NA"),'MITRE ATT&amp;CK Mappings'!$G622))),ISNUMBER(SEARCH(IF(K$2&lt;&gt;"",K$2,"NA"),'MITRE ATT&amp;CK Mappings'!$H622))),ISNUMBER(SEARCH(IF(K$3&lt;&gt;"",K$3,"NA"),'MITRE ATT&amp;CK Mappings'!$I622))),ISNUMBER(SEARCH(IF(K$3&lt;&gt;"",K$3,"NA"),'MITRE ATT&amp;CK Mappings'!$J622))), 'MITRE ATT&amp;CK Mappings'!$B622,"")</f>
        <v/>
      </c>
      <c r="L626" s="26" t="str">
        <f>IF('MITRE ATT&amp;CK Mappings'!D622 &lt;&gt;"",'MITRE ATT&amp;CK Mappings'!D622,"" )</f>
        <v/>
      </c>
    </row>
    <row r="627" spans="1:12" x14ac:dyDescent="0.25">
      <c r="A627" s="27" t="str">
        <f>IF(COUNTIF(B627:K627,"="&amp;'MITRE ATT&amp;CK Mappings'!B623)&gt;0,'MITRE ATT&amp;CK Mappings'!B623,"")</f>
        <v/>
      </c>
      <c r="B627" s="27" t="str">
        <f>IF(OR(OR(OR(OR(OR(ISNUMBER(SEARCH(IF(B$1&lt;&gt;"",B$1,"NA"),'MITRE ATT&amp;CK Mappings'!$E623)),ISNUMBER(SEARCH(IF(B$1&lt;&gt;"",B$1,"NA"),'MITRE ATT&amp;CK Mappings'!$F623))),ISNUMBER(SEARCH(IF(B$2&lt;&gt;"",B$2,"NA"),'MITRE ATT&amp;CK Mappings'!$G623))),ISNUMBER(SEARCH(IF(B$2&lt;&gt;"",B$2,"NA"),'MITRE ATT&amp;CK Mappings'!$H623))),ISNUMBER(SEARCH(IF(B$3&lt;&gt;"",B$3,"NA"),'MITRE ATT&amp;CK Mappings'!$I623))),ISNUMBER(SEARCH(IF(B$3&lt;&gt;"",B$3,"NA"),'MITRE ATT&amp;CK Mappings'!$J623))), 'MITRE ATT&amp;CK Mappings'!$B623,"")</f>
        <v/>
      </c>
      <c r="C627" s="27" t="str">
        <f>IF(OR(OR(OR(OR(OR(ISNUMBER(SEARCH(IF(C$1&lt;&gt;"",C$1,"NA"),'MITRE ATT&amp;CK Mappings'!$E623)),ISNUMBER(SEARCH(IF(C$1&lt;&gt;"",C$1,"NA"),'MITRE ATT&amp;CK Mappings'!$F623))),ISNUMBER(SEARCH(IF(C$2&lt;&gt;"",C$2,"NA"),'MITRE ATT&amp;CK Mappings'!$G623))),ISNUMBER(SEARCH(IF(C$2&lt;&gt;"",C$2,"NA"),'MITRE ATT&amp;CK Mappings'!$H623))),ISNUMBER(SEARCH(IF(C$3&lt;&gt;"",C$3,"NA"),'MITRE ATT&amp;CK Mappings'!$I623))),ISNUMBER(SEARCH(IF(C$3&lt;&gt;"",C$3,"NA"),'MITRE ATT&amp;CK Mappings'!$J623))), 'MITRE ATT&amp;CK Mappings'!$B623,"")</f>
        <v/>
      </c>
      <c r="D627" s="27" t="str">
        <f>IF(OR(OR(OR(OR(OR(ISNUMBER(SEARCH(IF(D$1&lt;&gt;"",D$1,"NA"),'MITRE ATT&amp;CK Mappings'!$E623)),ISNUMBER(SEARCH(IF(D$1&lt;&gt;"",D$1,"NA"),'MITRE ATT&amp;CK Mappings'!$F623))),ISNUMBER(SEARCH(IF(D$2&lt;&gt;"",D$2,"NA"),'MITRE ATT&amp;CK Mappings'!$G623))),ISNUMBER(SEARCH(IF(D$2&lt;&gt;"",D$2,"NA"),'MITRE ATT&amp;CK Mappings'!$H623))),ISNUMBER(SEARCH(IF(D$3&lt;&gt;"",D$3,"NA"),'MITRE ATT&amp;CK Mappings'!$I623))),ISNUMBER(SEARCH(IF(D$3&lt;&gt;"",D$3,"NA"),'MITRE ATT&amp;CK Mappings'!$J623))), 'MITRE ATT&amp;CK Mappings'!$B623,"")</f>
        <v/>
      </c>
      <c r="E627" s="27" t="str">
        <f>IF(OR(OR(OR(OR(OR(ISNUMBER(SEARCH(IF(E$1&lt;&gt;"",E$1,"NA"),'MITRE ATT&amp;CK Mappings'!$E623)),ISNUMBER(SEARCH(IF(E$1&lt;&gt;"",E$1,"NA"),'MITRE ATT&amp;CK Mappings'!$F623))),ISNUMBER(SEARCH(IF(E$2&lt;&gt;"",E$2,"NA"),'MITRE ATT&amp;CK Mappings'!$G623))),ISNUMBER(SEARCH(IF(E$2&lt;&gt;"",E$2,"NA"),'MITRE ATT&amp;CK Mappings'!$H623))),ISNUMBER(SEARCH(IF(E$3&lt;&gt;"",E$3,"NA"),'MITRE ATT&amp;CK Mappings'!$I623))),ISNUMBER(SEARCH(IF(E$3&lt;&gt;"",E$3,"NA"),'MITRE ATT&amp;CK Mappings'!$J623))), 'MITRE ATT&amp;CK Mappings'!$B623,"")</f>
        <v/>
      </c>
      <c r="F627" s="27" t="str">
        <f>IF(OR(OR(OR(OR(OR(ISNUMBER(SEARCH(IF(F$1&lt;&gt;"",F$1,"NA"),'MITRE ATT&amp;CK Mappings'!$E623)),ISNUMBER(SEARCH(IF(F$1&lt;&gt;"",F$1,"NA"),'MITRE ATT&amp;CK Mappings'!$F623))),ISNUMBER(SEARCH(IF(F$2&lt;&gt;"",F$2,"NA"),'MITRE ATT&amp;CK Mappings'!$G623))),ISNUMBER(SEARCH(IF(F$2&lt;&gt;"",F$2,"NA"),'MITRE ATT&amp;CK Mappings'!$H623))),ISNUMBER(SEARCH(IF(F$3&lt;&gt;"",F$3,"NA"),'MITRE ATT&amp;CK Mappings'!$I623))),ISNUMBER(SEARCH(IF(F$3&lt;&gt;"",F$3,"NA"),'MITRE ATT&amp;CK Mappings'!$J623))), 'MITRE ATT&amp;CK Mappings'!$B623,"")</f>
        <v/>
      </c>
      <c r="G627" s="27" t="str">
        <f>IF(OR(OR(OR(OR(OR(ISNUMBER(SEARCH(IF(G$1&lt;&gt;"",G$1,"NA"),'MITRE ATT&amp;CK Mappings'!$E623)),ISNUMBER(SEARCH(IF(G$1&lt;&gt;"",G$1,"NA"),'MITRE ATT&amp;CK Mappings'!$F623))),ISNUMBER(SEARCH(IF(G$2&lt;&gt;"",G$2,"NA"),'MITRE ATT&amp;CK Mappings'!$G623))),ISNUMBER(SEARCH(IF(G$2&lt;&gt;"",G$2,"NA"),'MITRE ATT&amp;CK Mappings'!$H623))),ISNUMBER(SEARCH(IF(G$3&lt;&gt;"",G$3,"NA"),'MITRE ATT&amp;CK Mappings'!$I623))),ISNUMBER(SEARCH(IF(G$3&lt;&gt;"",G$3,"NA"),'MITRE ATT&amp;CK Mappings'!$J623))), 'MITRE ATT&amp;CK Mappings'!$B623,"")</f>
        <v/>
      </c>
      <c r="H627" s="27" t="str">
        <f>IF(OR(OR(OR(OR(OR(ISNUMBER(SEARCH(IF(H$1&lt;&gt;"",H$1,"NA"),'MITRE ATT&amp;CK Mappings'!$E623)),ISNUMBER(SEARCH(IF(H$1&lt;&gt;"",H$1,"NA"),'MITRE ATT&amp;CK Mappings'!$F623))),ISNUMBER(SEARCH(IF(H$2&lt;&gt;"",H$2,"NA"),'MITRE ATT&amp;CK Mappings'!$G623))),ISNUMBER(SEARCH(IF(H$2&lt;&gt;"",H$2,"NA"),'MITRE ATT&amp;CK Mappings'!$H623))),ISNUMBER(SEARCH(IF(H$3&lt;&gt;"",H$3,"NA"),'MITRE ATT&amp;CK Mappings'!$I623))),ISNUMBER(SEARCH(IF(H$3&lt;&gt;"",H$3,"NA"),'MITRE ATT&amp;CK Mappings'!$J623))), 'MITRE ATT&amp;CK Mappings'!$B623,"")</f>
        <v/>
      </c>
      <c r="I627" s="27" t="str">
        <f>IF(OR(OR(OR(OR(OR(ISNUMBER(SEARCH(IF(I$1&lt;&gt;"",I$1,"NA"),'MITRE ATT&amp;CK Mappings'!$E623)),ISNUMBER(SEARCH(IF(I$1&lt;&gt;"",I$1,"NA"),'MITRE ATT&amp;CK Mappings'!$F623))),ISNUMBER(SEARCH(IF(I$2&lt;&gt;"",I$2,"NA"),'MITRE ATT&amp;CK Mappings'!$G623))),ISNUMBER(SEARCH(IF(I$2&lt;&gt;"",I$2,"NA"),'MITRE ATT&amp;CK Mappings'!$H623))),ISNUMBER(SEARCH(IF(I$3&lt;&gt;"",I$3,"NA"),'MITRE ATT&amp;CK Mappings'!$I623))),ISNUMBER(SEARCH(IF(I$3&lt;&gt;"",I$3,"NA"),'MITRE ATT&amp;CK Mappings'!$J623))), 'MITRE ATT&amp;CK Mappings'!$B623,"")</f>
        <v/>
      </c>
      <c r="J627" s="27" t="str">
        <f>IF(OR(OR(OR(OR(OR(ISNUMBER(SEARCH(IF(J$1&lt;&gt;"",J$1,"NA"),'MITRE ATT&amp;CK Mappings'!$E623)),ISNUMBER(SEARCH(IF(J$1&lt;&gt;"",J$1,"NA"),'MITRE ATT&amp;CK Mappings'!$F623))),ISNUMBER(SEARCH(IF(J$2&lt;&gt;"",J$2,"NA"),'MITRE ATT&amp;CK Mappings'!$G623))),ISNUMBER(SEARCH(IF(J$2&lt;&gt;"",J$2,"NA"),'MITRE ATT&amp;CK Mappings'!$H623))),ISNUMBER(SEARCH(IF(J$3&lt;&gt;"",J$3,"NA"),'MITRE ATT&amp;CK Mappings'!$I623))),ISNUMBER(SEARCH(IF(J$3&lt;&gt;"",J$3,"NA"),'MITRE ATT&amp;CK Mappings'!$J623))), 'MITRE ATT&amp;CK Mappings'!$B623,"")</f>
        <v/>
      </c>
      <c r="K627" s="27" t="str">
        <f>IF(OR(OR(OR(OR(OR(ISNUMBER(SEARCH(IF(K$1&lt;&gt;"",K$1,"NA"),'MITRE ATT&amp;CK Mappings'!$E623)),ISNUMBER(SEARCH(IF(K$1&lt;&gt;"",K$1,"NA"),'MITRE ATT&amp;CK Mappings'!$F623))),ISNUMBER(SEARCH(IF(K$2&lt;&gt;"",K$2,"NA"),'MITRE ATT&amp;CK Mappings'!$G623))),ISNUMBER(SEARCH(IF(K$2&lt;&gt;"",K$2,"NA"),'MITRE ATT&amp;CK Mappings'!$H623))),ISNUMBER(SEARCH(IF(K$3&lt;&gt;"",K$3,"NA"),'MITRE ATT&amp;CK Mappings'!$I623))),ISNUMBER(SEARCH(IF(K$3&lt;&gt;"",K$3,"NA"),'MITRE ATT&amp;CK Mappings'!$J623))), 'MITRE ATT&amp;CK Mappings'!$B623,"")</f>
        <v/>
      </c>
      <c r="L627" s="27" t="str">
        <f>IF('MITRE ATT&amp;CK Mappings'!D623 &lt;&gt;"",'MITRE ATT&amp;CK Mappings'!D623,"" )</f>
        <v/>
      </c>
    </row>
    <row r="628" spans="1:12" x14ac:dyDescent="0.25">
      <c r="A628" s="26" t="str">
        <f>IF(COUNTIF(B628:K628,"="&amp;'MITRE ATT&amp;CK Mappings'!B624)&gt;0,'MITRE ATT&amp;CK Mappings'!B624,"")</f>
        <v/>
      </c>
      <c r="B628" s="26" t="str">
        <f>IF(OR(OR(OR(OR(OR(ISNUMBER(SEARCH(IF(B$1&lt;&gt;"",B$1,"NA"),'MITRE ATT&amp;CK Mappings'!$E624)),ISNUMBER(SEARCH(IF(B$1&lt;&gt;"",B$1,"NA"),'MITRE ATT&amp;CK Mappings'!$F624))),ISNUMBER(SEARCH(IF(B$2&lt;&gt;"",B$2,"NA"),'MITRE ATT&amp;CK Mappings'!$G624))),ISNUMBER(SEARCH(IF(B$2&lt;&gt;"",B$2,"NA"),'MITRE ATT&amp;CK Mappings'!$H624))),ISNUMBER(SEARCH(IF(B$3&lt;&gt;"",B$3,"NA"),'MITRE ATT&amp;CK Mappings'!$I624))),ISNUMBER(SEARCH(IF(B$3&lt;&gt;"",B$3,"NA"),'MITRE ATT&amp;CK Mappings'!$J624))), 'MITRE ATT&amp;CK Mappings'!$B624,"")</f>
        <v/>
      </c>
      <c r="C628" s="26" t="str">
        <f>IF(OR(OR(OR(OR(OR(ISNUMBER(SEARCH(IF(C$1&lt;&gt;"",C$1,"NA"),'MITRE ATT&amp;CK Mappings'!$E624)),ISNUMBER(SEARCH(IF(C$1&lt;&gt;"",C$1,"NA"),'MITRE ATT&amp;CK Mappings'!$F624))),ISNUMBER(SEARCH(IF(C$2&lt;&gt;"",C$2,"NA"),'MITRE ATT&amp;CK Mappings'!$G624))),ISNUMBER(SEARCH(IF(C$2&lt;&gt;"",C$2,"NA"),'MITRE ATT&amp;CK Mappings'!$H624))),ISNUMBER(SEARCH(IF(C$3&lt;&gt;"",C$3,"NA"),'MITRE ATT&amp;CK Mappings'!$I624))),ISNUMBER(SEARCH(IF(C$3&lt;&gt;"",C$3,"NA"),'MITRE ATT&amp;CK Mappings'!$J624))), 'MITRE ATT&amp;CK Mappings'!$B624,"")</f>
        <v/>
      </c>
      <c r="D628" s="26" t="str">
        <f>IF(OR(OR(OR(OR(OR(ISNUMBER(SEARCH(IF(D$1&lt;&gt;"",D$1,"NA"),'MITRE ATT&amp;CK Mappings'!$E624)),ISNUMBER(SEARCH(IF(D$1&lt;&gt;"",D$1,"NA"),'MITRE ATT&amp;CK Mappings'!$F624))),ISNUMBER(SEARCH(IF(D$2&lt;&gt;"",D$2,"NA"),'MITRE ATT&amp;CK Mappings'!$G624))),ISNUMBER(SEARCH(IF(D$2&lt;&gt;"",D$2,"NA"),'MITRE ATT&amp;CK Mappings'!$H624))),ISNUMBER(SEARCH(IF(D$3&lt;&gt;"",D$3,"NA"),'MITRE ATT&amp;CK Mappings'!$I624))),ISNUMBER(SEARCH(IF(D$3&lt;&gt;"",D$3,"NA"),'MITRE ATT&amp;CK Mappings'!$J624))), 'MITRE ATT&amp;CK Mappings'!$B624,"")</f>
        <v/>
      </c>
      <c r="E628" s="26" t="str">
        <f>IF(OR(OR(OR(OR(OR(ISNUMBER(SEARCH(IF(E$1&lt;&gt;"",E$1,"NA"),'MITRE ATT&amp;CK Mappings'!$E624)),ISNUMBER(SEARCH(IF(E$1&lt;&gt;"",E$1,"NA"),'MITRE ATT&amp;CK Mappings'!$F624))),ISNUMBER(SEARCH(IF(E$2&lt;&gt;"",E$2,"NA"),'MITRE ATT&amp;CK Mappings'!$G624))),ISNUMBER(SEARCH(IF(E$2&lt;&gt;"",E$2,"NA"),'MITRE ATT&amp;CK Mappings'!$H624))),ISNUMBER(SEARCH(IF(E$3&lt;&gt;"",E$3,"NA"),'MITRE ATT&amp;CK Mappings'!$I624))),ISNUMBER(SEARCH(IF(E$3&lt;&gt;"",E$3,"NA"),'MITRE ATT&amp;CK Mappings'!$J624))), 'MITRE ATT&amp;CK Mappings'!$B624,"")</f>
        <v/>
      </c>
      <c r="F628" s="26" t="str">
        <f>IF(OR(OR(OR(OR(OR(ISNUMBER(SEARCH(IF(F$1&lt;&gt;"",F$1,"NA"),'MITRE ATT&amp;CK Mappings'!$E624)),ISNUMBER(SEARCH(IF(F$1&lt;&gt;"",F$1,"NA"),'MITRE ATT&amp;CK Mappings'!$F624))),ISNUMBER(SEARCH(IF(F$2&lt;&gt;"",F$2,"NA"),'MITRE ATT&amp;CK Mappings'!$G624))),ISNUMBER(SEARCH(IF(F$2&lt;&gt;"",F$2,"NA"),'MITRE ATT&amp;CK Mappings'!$H624))),ISNUMBER(SEARCH(IF(F$3&lt;&gt;"",F$3,"NA"),'MITRE ATT&amp;CK Mappings'!$I624))),ISNUMBER(SEARCH(IF(F$3&lt;&gt;"",F$3,"NA"),'MITRE ATT&amp;CK Mappings'!$J624))), 'MITRE ATT&amp;CK Mappings'!$B624,"")</f>
        <v/>
      </c>
      <c r="G628" s="26" t="str">
        <f>IF(OR(OR(OR(OR(OR(ISNUMBER(SEARCH(IF(G$1&lt;&gt;"",G$1,"NA"),'MITRE ATT&amp;CK Mappings'!$E624)),ISNUMBER(SEARCH(IF(G$1&lt;&gt;"",G$1,"NA"),'MITRE ATT&amp;CK Mappings'!$F624))),ISNUMBER(SEARCH(IF(G$2&lt;&gt;"",G$2,"NA"),'MITRE ATT&amp;CK Mappings'!$G624))),ISNUMBER(SEARCH(IF(G$2&lt;&gt;"",G$2,"NA"),'MITRE ATT&amp;CK Mappings'!$H624))),ISNUMBER(SEARCH(IF(G$3&lt;&gt;"",G$3,"NA"),'MITRE ATT&amp;CK Mappings'!$I624))),ISNUMBER(SEARCH(IF(G$3&lt;&gt;"",G$3,"NA"),'MITRE ATT&amp;CK Mappings'!$J624))), 'MITRE ATT&amp;CK Mappings'!$B624,"")</f>
        <v/>
      </c>
      <c r="H628" s="26" t="str">
        <f>IF(OR(OR(OR(OR(OR(ISNUMBER(SEARCH(IF(H$1&lt;&gt;"",H$1,"NA"),'MITRE ATT&amp;CK Mappings'!$E624)),ISNUMBER(SEARCH(IF(H$1&lt;&gt;"",H$1,"NA"),'MITRE ATT&amp;CK Mappings'!$F624))),ISNUMBER(SEARCH(IF(H$2&lt;&gt;"",H$2,"NA"),'MITRE ATT&amp;CK Mappings'!$G624))),ISNUMBER(SEARCH(IF(H$2&lt;&gt;"",H$2,"NA"),'MITRE ATT&amp;CK Mappings'!$H624))),ISNUMBER(SEARCH(IF(H$3&lt;&gt;"",H$3,"NA"),'MITRE ATT&amp;CK Mappings'!$I624))),ISNUMBER(SEARCH(IF(H$3&lt;&gt;"",H$3,"NA"),'MITRE ATT&amp;CK Mappings'!$J624))), 'MITRE ATT&amp;CK Mappings'!$B624,"")</f>
        <v/>
      </c>
      <c r="I628" s="26" t="str">
        <f>IF(OR(OR(OR(OR(OR(ISNUMBER(SEARCH(IF(I$1&lt;&gt;"",I$1,"NA"),'MITRE ATT&amp;CK Mappings'!$E624)),ISNUMBER(SEARCH(IF(I$1&lt;&gt;"",I$1,"NA"),'MITRE ATT&amp;CK Mappings'!$F624))),ISNUMBER(SEARCH(IF(I$2&lt;&gt;"",I$2,"NA"),'MITRE ATT&amp;CK Mappings'!$G624))),ISNUMBER(SEARCH(IF(I$2&lt;&gt;"",I$2,"NA"),'MITRE ATT&amp;CK Mappings'!$H624))),ISNUMBER(SEARCH(IF(I$3&lt;&gt;"",I$3,"NA"),'MITRE ATT&amp;CK Mappings'!$I624))),ISNUMBER(SEARCH(IF(I$3&lt;&gt;"",I$3,"NA"),'MITRE ATT&amp;CK Mappings'!$J624))), 'MITRE ATT&amp;CK Mappings'!$B624,"")</f>
        <v/>
      </c>
      <c r="J628" s="26" t="str">
        <f>IF(OR(OR(OR(OR(OR(ISNUMBER(SEARCH(IF(J$1&lt;&gt;"",J$1,"NA"),'MITRE ATT&amp;CK Mappings'!$E624)),ISNUMBER(SEARCH(IF(J$1&lt;&gt;"",J$1,"NA"),'MITRE ATT&amp;CK Mappings'!$F624))),ISNUMBER(SEARCH(IF(J$2&lt;&gt;"",J$2,"NA"),'MITRE ATT&amp;CK Mappings'!$G624))),ISNUMBER(SEARCH(IF(J$2&lt;&gt;"",J$2,"NA"),'MITRE ATT&amp;CK Mappings'!$H624))),ISNUMBER(SEARCH(IF(J$3&lt;&gt;"",J$3,"NA"),'MITRE ATT&amp;CK Mappings'!$I624))),ISNUMBER(SEARCH(IF(J$3&lt;&gt;"",J$3,"NA"),'MITRE ATT&amp;CK Mappings'!$J624))), 'MITRE ATT&amp;CK Mappings'!$B624,"")</f>
        <v/>
      </c>
      <c r="K628" s="26" t="str">
        <f>IF(OR(OR(OR(OR(OR(ISNUMBER(SEARCH(IF(K$1&lt;&gt;"",K$1,"NA"),'MITRE ATT&amp;CK Mappings'!$E624)),ISNUMBER(SEARCH(IF(K$1&lt;&gt;"",K$1,"NA"),'MITRE ATT&amp;CK Mappings'!$F624))),ISNUMBER(SEARCH(IF(K$2&lt;&gt;"",K$2,"NA"),'MITRE ATT&amp;CK Mappings'!$G624))),ISNUMBER(SEARCH(IF(K$2&lt;&gt;"",K$2,"NA"),'MITRE ATT&amp;CK Mappings'!$H624))),ISNUMBER(SEARCH(IF(K$3&lt;&gt;"",K$3,"NA"),'MITRE ATT&amp;CK Mappings'!$I624))),ISNUMBER(SEARCH(IF(K$3&lt;&gt;"",K$3,"NA"),'MITRE ATT&amp;CK Mappings'!$J624))), 'MITRE ATT&amp;CK Mappings'!$B624,"")</f>
        <v/>
      </c>
      <c r="L628" s="26" t="str">
        <f>IF('MITRE ATT&amp;CK Mappings'!D624 &lt;&gt;"",'MITRE ATT&amp;CK Mappings'!D624,"" )</f>
        <v/>
      </c>
    </row>
    <row r="629" spans="1:12" x14ac:dyDescent="0.25">
      <c r="A629" s="27" t="str">
        <f>IF(COUNTIF(B629:K629,"="&amp;'MITRE ATT&amp;CK Mappings'!B625)&gt;0,'MITRE ATT&amp;CK Mappings'!B625,"")</f>
        <v/>
      </c>
      <c r="B629" s="27" t="str">
        <f>IF(OR(OR(OR(OR(OR(ISNUMBER(SEARCH(IF(B$1&lt;&gt;"",B$1,"NA"),'MITRE ATT&amp;CK Mappings'!$E625)),ISNUMBER(SEARCH(IF(B$1&lt;&gt;"",B$1,"NA"),'MITRE ATT&amp;CK Mappings'!$F625))),ISNUMBER(SEARCH(IF(B$2&lt;&gt;"",B$2,"NA"),'MITRE ATT&amp;CK Mappings'!$G625))),ISNUMBER(SEARCH(IF(B$2&lt;&gt;"",B$2,"NA"),'MITRE ATT&amp;CK Mappings'!$H625))),ISNUMBER(SEARCH(IF(B$3&lt;&gt;"",B$3,"NA"),'MITRE ATT&amp;CK Mappings'!$I625))),ISNUMBER(SEARCH(IF(B$3&lt;&gt;"",B$3,"NA"),'MITRE ATT&amp;CK Mappings'!$J625))), 'MITRE ATT&amp;CK Mappings'!$B625,"")</f>
        <v/>
      </c>
      <c r="C629" s="27" t="str">
        <f>IF(OR(OR(OR(OR(OR(ISNUMBER(SEARCH(IF(C$1&lt;&gt;"",C$1,"NA"),'MITRE ATT&amp;CK Mappings'!$E625)),ISNUMBER(SEARCH(IF(C$1&lt;&gt;"",C$1,"NA"),'MITRE ATT&amp;CK Mappings'!$F625))),ISNUMBER(SEARCH(IF(C$2&lt;&gt;"",C$2,"NA"),'MITRE ATT&amp;CK Mappings'!$G625))),ISNUMBER(SEARCH(IF(C$2&lt;&gt;"",C$2,"NA"),'MITRE ATT&amp;CK Mappings'!$H625))),ISNUMBER(SEARCH(IF(C$3&lt;&gt;"",C$3,"NA"),'MITRE ATT&amp;CK Mappings'!$I625))),ISNUMBER(SEARCH(IF(C$3&lt;&gt;"",C$3,"NA"),'MITRE ATT&amp;CK Mappings'!$J625))), 'MITRE ATT&amp;CK Mappings'!$B625,"")</f>
        <v/>
      </c>
      <c r="D629" s="27" t="str">
        <f>IF(OR(OR(OR(OR(OR(ISNUMBER(SEARCH(IF(D$1&lt;&gt;"",D$1,"NA"),'MITRE ATT&amp;CK Mappings'!$E625)),ISNUMBER(SEARCH(IF(D$1&lt;&gt;"",D$1,"NA"),'MITRE ATT&amp;CK Mappings'!$F625))),ISNUMBER(SEARCH(IF(D$2&lt;&gt;"",D$2,"NA"),'MITRE ATT&amp;CK Mappings'!$G625))),ISNUMBER(SEARCH(IF(D$2&lt;&gt;"",D$2,"NA"),'MITRE ATT&amp;CK Mappings'!$H625))),ISNUMBER(SEARCH(IF(D$3&lt;&gt;"",D$3,"NA"),'MITRE ATT&amp;CK Mappings'!$I625))),ISNUMBER(SEARCH(IF(D$3&lt;&gt;"",D$3,"NA"),'MITRE ATT&amp;CK Mappings'!$J625))), 'MITRE ATT&amp;CK Mappings'!$B625,"")</f>
        <v/>
      </c>
      <c r="E629" s="27" t="str">
        <f>IF(OR(OR(OR(OR(OR(ISNUMBER(SEARCH(IF(E$1&lt;&gt;"",E$1,"NA"),'MITRE ATT&amp;CK Mappings'!$E625)),ISNUMBER(SEARCH(IF(E$1&lt;&gt;"",E$1,"NA"),'MITRE ATT&amp;CK Mappings'!$F625))),ISNUMBER(SEARCH(IF(E$2&lt;&gt;"",E$2,"NA"),'MITRE ATT&amp;CK Mappings'!$G625))),ISNUMBER(SEARCH(IF(E$2&lt;&gt;"",E$2,"NA"),'MITRE ATT&amp;CK Mappings'!$H625))),ISNUMBER(SEARCH(IF(E$3&lt;&gt;"",E$3,"NA"),'MITRE ATT&amp;CK Mappings'!$I625))),ISNUMBER(SEARCH(IF(E$3&lt;&gt;"",E$3,"NA"),'MITRE ATT&amp;CK Mappings'!$J625))), 'MITRE ATT&amp;CK Mappings'!$B625,"")</f>
        <v/>
      </c>
      <c r="F629" s="27" t="str">
        <f>IF(OR(OR(OR(OR(OR(ISNUMBER(SEARCH(IF(F$1&lt;&gt;"",F$1,"NA"),'MITRE ATT&amp;CK Mappings'!$E625)),ISNUMBER(SEARCH(IF(F$1&lt;&gt;"",F$1,"NA"),'MITRE ATT&amp;CK Mappings'!$F625))),ISNUMBER(SEARCH(IF(F$2&lt;&gt;"",F$2,"NA"),'MITRE ATT&amp;CK Mappings'!$G625))),ISNUMBER(SEARCH(IF(F$2&lt;&gt;"",F$2,"NA"),'MITRE ATT&amp;CK Mappings'!$H625))),ISNUMBER(SEARCH(IF(F$3&lt;&gt;"",F$3,"NA"),'MITRE ATT&amp;CK Mappings'!$I625))),ISNUMBER(SEARCH(IF(F$3&lt;&gt;"",F$3,"NA"),'MITRE ATT&amp;CK Mappings'!$J625))), 'MITRE ATT&amp;CK Mappings'!$B625,"")</f>
        <v/>
      </c>
      <c r="G629" s="27" t="str">
        <f>IF(OR(OR(OR(OR(OR(ISNUMBER(SEARCH(IF(G$1&lt;&gt;"",G$1,"NA"),'MITRE ATT&amp;CK Mappings'!$E625)),ISNUMBER(SEARCH(IF(G$1&lt;&gt;"",G$1,"NA"),'MITRE ATT&amp;CK Mappings'!$F625))),ISNUMBER(SEARCH(IF(G$2&lt;&gt;"",G$2,"NA"),'MITRE ATT&amp;CK Mappings'!$G625))),ISNUMBER(SEARCH(IF(G$2&lt;&gt;"",G$2,"NA"),'MITRE ATT&amp;CK Mappings'!$H625))),ISNUMBER(SEARCH(IF(G$3&lt;&gt;"",G$3,"NA"),'MITRE ATT&amp;CK Mappings'!$I625))),ISNUMBER(SEARCH(IF(G$3&lt;&gt;"",G$3,"NA"),'MITRE ATT&amp;CK Mappings'!$J625))), 'MITRE ATT&amp;CK Mappings'!$B625,"")</f>
        <v/>
      </c>
      <c r="H629" s="27" t="str">
        <f>IF(OR(OR(OR(OR(OR(ISNUMBER(SEARCH(IF(H$1&lt;&gt;"",H$1,"NA"),'MITRE ATT&amp;CK Mappings'!$E625)),ISNUMBER(SEARCH(IF(H$1&lt;&gt;"",H$1,"NA"),'MITRE ATT&amp;CK Mappings'!$F625))),ISNUMBER(SEARCH(IF(H$2&lt;&gt;"",H$2,"NA"),'MITRE ATT&amp;CK Mappings'!$G625))),ISNUMBER(SEARCH(IF(H$2&lt;&gt;"",H$2,"NA"),'MITRE ATT&amp;CK Mappings'!$H625))),ISNUMBER(SEARCH(IF(H$3&lt;&gt;"",H$3,"NA"),'MITRE ATT&amp;CK Mappings'!$I625))),ISNUMBER(SEARCH(IF(H$3&lt;&gt;"",H$3,"NA"),'MITRE ATT&amp;CK Mappings'!$J625))), 'MITRE ATT&amp;CK Mappings'!$B625,"")</f>
        <v/>
      </c>
      <c r="I629" s="27" t="str">
        <f>IF(OR(OR(OR(OR(OR(ISNUMBER(SEARCH(IF(I$1&lt;&gt;"",I$1,"NA"),'MITRE ATT&amp;CK Mappings'!$E625)),ISNUMBER(SEARCH(IF(I$1&lt;&gt;"",I$1,"NA"),'MITRE ATT&amp;CK Mappings'!$F625))),ISNUMBER(SEARCH(IF(I$2&lt;&gt;"",I$2,"NA"),'MITRE ATT&amp;CK Mappings'!$G625))),ISNUMBER(SEARCH(IF(I$2&lt;&gt;"",I$2,"NA"),'MITRE ATT&amp;CK Mappings'!$H625))),ISNUMBER(SEARCH(IF(I$3&lt;&gt;"",I$3,"NA"),'MITRE ATT&amp;CK Mappings'!$I625))),ISNUMBER(SEARCH(IF(I$3&lt;&gt;"",I$3,"NA"),'MITRE ATT&amp;CK Mappings'!$J625))), 'MITRE ATT&amp;CK Mappings'!$B625,"")</f>
        <v/>
      </c>
      <c r="J629" s="27" t="str">
        <f>IF(OR(OR(OR(OR(OR(ISNUMBER(SEARCH(IF(J$1&lt;&gt;"",J$1,"NA"),'MITRE ATT&amp;CK Mappings'!$E625)),ISNUMBER(SEARCH(IF(J$1&lt;&gt;"",J$1,"NA"),'MITRE ATT&amp;CK Mappings'!$F625))),ISNUMBER(SEARCH(IF(J$2&lt;&gt;"",J$2,"NA"),'MITRE ATT&amp;CK Mappings'!$G625))),ISNUMBER(SEARCH(IF(J$2&lt;&gt;"",J$2,"NA"),'MITRE ATT&amp;CK Mappings'!$H625))),ISNUMBER(SEARCH(IF(J$3&lt;&gt;"",J$3,"NA"),'MITRE ATT&amp;CK Mappings'!$I625))),ISNUMBER(SEARCH(IF(J$3&lt;&gt;"",J$3,"NA"),'MITRE ATT&amp;CK Mappings'!$J625))), 'MITRE ATT&amp;CK Mappings'!$B625,"")</f>
        <v/>
      </c>
      <c r="K629" s="27" t="str">
        <f>IF(OR(OR(OR(OR(OR(ISNUMBER(SEARCH(IF(K$1&lt;&gt;"",K$1,"NA"),'MITRE ATT&amp;CK Mappings'!$E625)),ISNUMBER(SEARCH(IF(K$1&lt;&gt;"",K$1,"NA"),'MITRE ATT&amp;CK Mappings'!$F625))),ISNUMBER(SEARCH(IF(K$2&lt;&gt;"",K$2,"NA"),'MITRE ATT&amp;CK Mappings'!$G625))),ISNUMBER(SEARCH(IF(K$2&lt;&gt;"",K$2,"NA"),'MITRE ATT&amp;CK Mappings'!$H625))),ISNUMBER(SEARCH(IF(K$3&lt;&gt;"",K$3,"NA"),'MITRE ATT&amp;CK Mappings'!$I625))),ISNUMBER(SEARCH(IF(K$3&lt;&gt;"",K$3,"NA"),'MITRE ATT&amp;CK Mappings'!$J625))), 'MITRE ATT&amp;CK Mappings'!$B625,"")</f>
        <v/>
      </c>
      <c r="L629" s="27" t="str">
        <f>IF('MITRE ATT&amp;CK Mappings'!D625 &lt;&gt;"",'MITRE ATT&amp;CK Mappings'!D625,"" )</f>
        <v/>
      </c>
    </row>
    <row r="630" spans="1:12" x14ac:dyDescent="0.25">
      <c r="A630" s="26" t="str">
        <f>IF(COUNTIF(B630:K630,"="&amp;'MITRE ATT&amp;CK Mappings'!B626)&gt;0,'MITRE ATT&amp;CK Mappings'!B626,"")</f>
        <v/>
      </c>
      <c r="B630" s="26" t="str">
        <f>IF(OR(OR(OR(OR(OR(ISNUMBER(SEARCH(IF(B$1&lt;&gt;"",B$1,"NA"),'MITRE ATT&amp;CK Mappings'!$E626)),ISNUMBER(SEARCH(IF(B$1&lt;&gt;"",B$1,"NA"),'MITRE ATT&amp;CK Mappings'!$F626))),ISNUMBER(SEARCH(IF(B$2&lt;&gt;"",B$2,"NA"),'MITRE ATT&amp;CK Mappings'!$G626))),ISNUMBER(SEARCH(IF(B$2&lt;&gt;"",B$2,"NA"),'MITRE ATT&amp;CK Mappings'!$H626))),ISNUMBER(SEARCH(IF(B$3&lt;&gt;"",B$3,"NA"),'MITRE ATT&amp;CK Mappings'!$I626))),ISNUMBER(SEARCH(IF(B$3&lt;&gt;"",B$3,"NA"),'MITRE ATT&amp;CK Mappings'!$J626))), 'MITRE ATT&amp;CK Mappings'!$B626,"")</f>
        <v/>
      </c>
      <c r="C630" s="26" t="str">
        <f>IF(OR(OR(OR(OR(OR(ISNUMBER(SEARCH(IF(C$1&lt;&gt;"",C$1,"NA"),'MITRE ATT&amp;CK Mappings'!$E626)),ISNUMBER(SEARCH(IF(C$1&lt;&gt;"",C$1,"NA"),'MITRE ATT&amp;CK Mappings'!$F626))),ISNUMBER(SEARCH(IF(C$2&lt;&gt;"",C$2,"NA"),'MITRE ATT&amp;CK Mappings'!$G626))),ISNUMBER(SEARCH(IF(C$2&lt;&gt;"",C$2,"NA"),'MITRE ATT&amp;CK Mappings'!$H626))),ISNUMBER(SEARCH(IF(C$3&lt;&gt;"",C$3,"NA"),'MITRE ATT&amp;CK Mappings'!$I626))),ISNUMBER(SEARCH(IF(C$3&lt;&gt;"",C$3,"NA"),'MITRE ATT&amp;CK Mappings'!$J626))), 'MITRE ATT&amp;CK Mappings'!$B626,"")</f>
        <v/>
      </c>
      <c r="D630" s="26" t="str">
        <f>IF(OR(OR(OR(OR(OR(ISNUMBER(SEARCH(IF(D$1&lt;&gt;"",D$1,"NA"),'MITRE ATT&amp;CK Mappings'!$E626)),ISNUMBER(SEARCH(IF(D$1&lt;&gt;"",D$1,"NA"),'MITRE ATT&amp;CK Mappings'!$F626))),ISNUMBER(SEARCH(IF(D$2&lt;&gt;"",D$2,"NA"),'MITRE ATT&amp;CK Mappings'!$G626))),ISNUMBER(SEARCH(IF(D$2&lt;&gt;"",D$2,"NA"),'MITRE ATT&amp;CK Mappings'!$H626))),ISNUMBER(SEARCH(IF(D$3&lt;&gt;"",D$3,"NA"),'MITRE ATT&amp;CK Mappings'!$I626))),ISNUMBER(SEARCH(IF(D$3&lt;&gt;"",D$3,"NA"),'MITRE ATT&amp;CK Mappings'!$J626))), 'MITRE ATT&amp;CK Mappings'!$B626,"")</f>
        <v/>
      </c>
      <c r="E630" s="26" t="str">
        <f>IF(OR(OR(OR(OR(OR(ISNUMBER(SEARCH(IF(E$1&lt;&gt;"",E$1,"NA"),'MITRE ATT&amp;CK Mappings'!$E626)),ISNUMBER(SEARCH(IF(E$1&lt;&gt;"",E$1,"NA"),'MITRE ATT&amp;CK Mappings'!$F626))),ISNUMBER(SEARCH(IF(E$2&lt;&gt;"",E$2,"NA"),'MITRE ATT&amp;CK Mappings'!$G626))),ISNUMBER(SEARCH(IF(E$2&lt;&gt;"",E$2,"NA"),'MITRE ATT&amp;CK Mappings'!$H626))),ISNUMBER(SEARCH(IF(E$3&lt;&gt;"",E$3,"NA"),'MITRE ATT&amp;CK Mappings'!$I626))),ISNUMBER(SEARCH(IF(E$3&lt;&gt;"",E$3,"NA"),'MITRE ATT&amp;CK Mappings'!$J626))), 'MITRE ATT&amp;CK Mappings'!$B626,"")</f>
        <v/>
      </c>
      <c r="F630" s="26" t="str">
        <f>IF(OR(OR(OR(OR(OR(ISNUMBER(SEARCH(IF(F$1&lt;&gt;"",F$1,"NA"),'MITRE ATT&amp;CK Mappings'!$E626)),ISNUMBER(SEARCH(IF(F$1&lt;&gt;"",F$1,"NA"),'MITRE ATT&amp;CK Mappings'!$F626))),ISNUMBER(SEARCH(IF(F$2&lt;&gt;"",F$2,"NA"),'MITRE ATT&amp;CK Mappings'!$G626))),ISNUMBER(SEARCH(IF(F$2&lt;&gt;"",F$2,"NA"),'MITRE ATT&amp;CK Mappings'!$H626))),ISNUMBER(SEARCH(IF(F$3&lt;&gt;"",F$3,"NA"),'MITRE ATT&amp;CK Mappings'!$I626))),ISNUMBER(SEARCH(IF(F$3&lt;&gt;"",F$3,"NA"),'MITRE ATT&amp;CK Mappings'!$J626))), 'MITRE ATT&amp;CK Mappings'!$B626,"")</f>
        <v/>
      </c>
      <c r="G630" s="26" t="str">
        <f>IF(OR(OR(OR(OR(OR(ISNUMBER(SEARCH(IF(G$1&lt;&gt;"",G$1,"NA"),'MITRE ATT&amp;CK Mappings'!$E626)),ISNUMBER(SEARCH(IF(G$1&lt;&gt;"",G$1,"NA"),'MITRE ATT&amp;CK Mappings'!$F626))),ISNUMBER(SEARCH(IF(G$2&lt;&gt;"",G$2,"NA"),'MITRE ATT&amp;CK Mappings'!$G626))),ISNUMBER(SEARCH(IF(G$2&lt;&gt;"",G$2,"NA"),'MITRE ATT&amp;CK Mappings'!$H626))),ISNUMBER(SEARCH(IF(G$3&lt;&gt;"",G$3,"NA"),'MITRE ATT&amp;CK Mappings'!$I626))),ISNUMBER(SEARCH(IF(G$3&lt;&gt;"",G$3,"NA"),'MITRE ATT&amp;CK Mappings'!$J626))), 'MITRE ATT&amp;CK Mappings'!$B626,"")</f>
        <v/>
      </c>
      <c r="H630" s="26" t="str">
        <f>IF(OR(OR(OR(OR(OR(ISNUMBER(SEARCH(IF(H$1&lt;&gt;"",H$1,"NA"),'MITRE ATT&amp;CK Mappings'!$E626)),ISNUMBER(SEARCH(IF(H$1&lt;&gt;"",H$1,"NA"),'MITRE ATT&amp;CK Mappings'!$F626))),ISNUMBER(SEARCH(IF(H$2&lt;&gt;"",H$2,"NA"),'MITRE ATT&amp;CK Mappings'!$G626))),ISNUMBER(SEARCH(IF(H$2&lt;&gt;"",H$2,"NA"),'MITRE ATT&amp;CK Mappings'!$H626))),ISNUMBER(SEARCH(IF(H$3&lt;&gt;"",H$3,"NA"),'MITRE ATT&amp;CK Mappings'!$I626))),ISNUMBER(SEARCH(IF(H$3&lt;&gt;"",H$3,"NA"),'MITRE ATT&amp;CK Mappings'!$J626))), 'MITRE ATT&amp;CK Mappings'!$B626,"")</f>
        <v/>
      </c>
      <c r="I630" s="26" t="str">
        <f>IF(OR(OR(OR(OR(OR(ISNUMBER(SEARCH(IF(I$1&lt;&gt;"",I$1,"NA"),'MITRE ATT&amp;CK Mappings'!$E626)),ISNUMBER(SEARCH(IF(I$1&lt;&gt;"",I$1,"NA"),'MITRE ATT&amp;CK Mappings'!$F626))),ISNUMBER(SEARCH(IF(I$2&lt;&gt;"",I$2,"NA"),'MITRE ATT&amp;CK Mappings'!$G626))),ISNUMBER(SEARCH(IF(I$2&lt;&gt;"",I$2,"NA"),'MITRE ATT&amp;CK Mappings'!$H626))),ISNUMBER(SEARCH(IF(I$3&lt;&gt;"",I$3,"NA"),'MITRE ATT&amp;CK Mappings'!$I626))),ISNUMBER(SEARCH(IF(I$3&lt;&gt;"",I$3,"NA"),'MITRE ATT&amp;CK Mappings'!$J626))), 'MITRE ATT&amp;CK Mappings'!$B626,"")</f>
        <v/>
      </c>
      <c r="J630" s="26" t="str">
        <f>IF(OR(OR(OR(OR(OR(ISNUMBER(SEARCH(IF(J$1&lt;&gt;"",J$1,"NA"),'MITRE ATT&amp;CK Mappings'!$E626)),ISNUMBER(SEARCH(IF(J$1&lt;&gt;"",J$1,"NA"),'MITRE ATT&amp;CK Mappings'!$F626))),ISNUMBER(SEARCH(IF(J$2&lt;&gt;"",J$2,"NA"),'MITRE ATT&amp;CK Mappings'!$G626))),ISNUMBER(SEARCH(IF(J$2&lt;&gt;"",J$2,"NA"),'MITRE ATT&amp;CK Mappings'!$H626))),ISNUMBER(SEARCH(IF(J$3&lt;&gt;"",J$3,"NA"),'MITRE ATT&amp;CK Mappings'!$I626))),ISNUMBER(SEARCH(IF(J$3&lt;&gt;"",J$3,"NA"),'MITRE ATT&amp;CK Mappings'!$J626))), 'MITRE ATT&amp;CK Mappings'!$B626,"")</f>
        <v/>
      </c>
      <c r="K630" s="26" t="str">
        <f>IF(OR(OR(OR(OR(OR(ISNUMBER(SEARCH(IF(K$1&lt;&gt;"",K$1,"NA"),'MITRE ATT&amp;CK Mappings'!$E626)),ISNUMBER(SEARCH(IF(K$1&lt;&gt;"",K$1,"NA"),'MITRE ATT&amp;CK Mappings'!$F626))),ISNUMBER(SEARCH(IF(K$2&lt;&gt;"",K$2,"NA"),'MITRE ATT&amp;CK Mappings'!$G626))),ISNUMBER(SEARCH(IF(K$2&lt;&gt;"",K$2,"NA"),'MITRE ATT&amp;CK Mappings'!$H626))),ISNUMBER(SEARCH(IF(K$3&lt;&gt;"",K$3,"NA"),'MITRE ATT&amp;CK Mappings'!$I626))),ISNUMBER(SEARCH(IF(K$3&lt;&gt;"",K$3,"NA"),'MITRE ATT&amp;CK Mappings'!$J626))), 'MITRE ATT&amp;CK Mappings'!$B626,"")</f>
        <v/>
      </c>
      <c r="L630" s="26" t="str">
        <f>IF('MITRE ATT&amp;CK Mappings'!D626 &lt;&gt;"",'MITRE ATT&amp;CK Mappings'!D626,"" )</f>
        <v/>
      </c>
    </row>
    <row r="631" spans="1:12" x14ac:dyDescent="0.25">
      <c r="A631" s="27" t="str">
        <f>IF(COUNTIF(B631:K631,"="&amp;'MITRE ATT&amp;CK Mappings'!B627)&gt;0,'MITRE ATT&amp;CK Mappings'!B627,"")</f>
        <v/>
      </c>
      <c r="B631" s="27" t="str">
        <f>IF(OR(OR(OR(OR(OR(ISNUMBER(SEARCH(IF(B$1&lt;&gt;"",B$1,"NA"),'MITRE ATT&amp;CK Mappings'!$E627)),ISNUMBER(SEARCH(IF(B$1&lt;&gt;"",B$1,"NA"),'MITRE ATT&amp;CK Mappings'!$F627))),ISNUMBER(SEARCH(IF(B$2&lt;&gt;"",B$2,"NA"),'MITRE ATT&amp;CK Mappings'!$G627))),ISNUMBER(SEARCH(IF(B$2&lt;&gt;"",B$2,"NA"),'MITRE ATT&amp;CK Mappings'!$H627))),ISNUMBER(SEARCH(IF(B$3&lt;&gt;"",B$3,"NA"),'MITRE ATT&amp;CK Mappings'!$I627))),ISNUMBER(SEARCH(IF(B$3&lt;&gt;"",B$3,"NA"),'MITRE ATT&amp;CK Mappings'!$J627))), 'MITRE ATT&amp;CK Mappings'!$B627,"")</f>
        <v/>
      </c>
      <c r="C631" s="27" t="str">
        <f>IF(OR(OR(OR(OR(OR(ISNUMBER(SEARCH(IF(C$1&lt;&gt;"",C$1,"NA"),'MITRE ATT&amp;CK Mappings'!$E627)),ISNUMBER(SEARCH(IF(C$1&lt;&gt;"",C$1,"NA"),'MITRE ATT&amp;CK Mappings'!$F627))),ISNUMBER(SEARCH(IF(C$2&lt;&gt;"",C$2,"NA"),'MITRE ATT&amp;CK Mappings'!$G627))),ISNUMBER(SEARCH(IF(C$2&lt;&gt;"",C$2,"NA"),'MITRE ATT&amp;CK Mappings'!$H627))),ISNUMBER(SEARCH(IF(C$3&lt;&gt;"",C$3,"NA"),'MITRE ATT&amp;CK Mappings'!$I627))),ISNUMBER(SEARCH(IF(C$3&lt;&gt;"",C$3,"NA"),'MITRE ATT&amp;CK Mappings'!$J627))), 'MITRE ATT&amp;CK Mappings'!$B627,"")</f>
        <v/>
      </c>
      <c r="D631" s="27" t="str">
        <f>IF(OR(OR(OR(OR(OR(ISNUMBER(SEARCH(IF(D$1&lt;&gt;"",D$1,"NA"),'MITRE ATT&amp;CK Mappings'!$E627)),ISNUMBER(SEARCH(IF(D$1&lt;&gt;"",D$1,"NA"),'MITRE ATT&amp;CK Mappings'!$F627))),ISNUMBER(SEARCH(IF(D$2&lt;&gt;"",D$2,"NA"),'MITRE ATT&amp;CK Mappings'!$G627))),ISNUMBER(SEARCH(IF(D$2&lt;&gt;"",D$2,"NA"),'MITRE ATT&amp;CK Mappings'!$H627))),ISNUMBER(SEARCH(IF(D$3&lt;&gt;"",D$3,"NA"),'MITRE ATT&amp;CK Mappings'!$I627))),ISNUMBER(SEARCH(IF(D$3&lt;&gt;"",D$3,"NA"),'MITRE ATT&amp;CK Mappings'!$J627))), 'MITRE ATT&amp;CK Mappings'!$B627,"")</f>
        <v/>
      </c>
      <c r="E631" s="27" t="str">
        <f>IF(OR(OR(OR(OR(OR(ISNUMBER(SEARCH(IF(E$1&lt;&gt;"",E$1,"NA"),'MITRE ATT&amp;CK Mappings'!$E627)),ISNUMBER(SEARCH(IF(E$1&lt;&gt;"",E$1,"NA"),'MITRE ATT&amp;CK Mappings'!$F627))),ISNUMBER(SEARCH(IF(E$2&lt;&gt;"",E$2,"NA"),'MITRE ATT&amp;CK Mappings'!$G627))),ISNUMBER(SEARCH(IF(E$2&lt;&gt;"",E$2,"NA"),'MITRE ATT&amp;CK Mappings'!$H627))),ISNUMBER(SEARCH(IF(E$3&lt;&gt;"",E$3,"NA"),'MITRE ATT&amp;CK Mappings'!$I627))),ISNUMBER(SEARCH(IF(E$3&lt;&gt;"",E$3,"NA"),'MITRE ATT&amp;CK Mappings'!$J627))), 'MITRE ATT&amp;CK Mappings'!$B627,"")</f>
        <v/>
      </c>
      <c r="F631" s="27" t="str">
        <f>IF(OR(OR(OR(OR(OR(ISNUMBER(SEARCH(IF(F$1&lt;&gt;"",F$1,"NA"),'MITRE ATT&amp;CK Mappings'!$E627)),ISNUMBER(SEARCH(IF(F$1&lt;&gt;"",F$1,"NA"),'MITRE ATT&amp;CK Mappings'!$F627))),ISNUMBER(SEARCH(IF(F$2&lt;&gt;"",F$2,"NA"),'MITRE ATT&amp;CK Mappings'!$G627))),ISNUMBER(SEARCH(IF(F$2&lt;&gt;"",F$2,"NA"),'MITRE ATT&amp;CK Mappings'!$H627))),ISNUMBER(SEARCH(IF(F$3&lt;&gt;"",F$3,"NA"),'MITRE ATT&amp;CK Mappings'!$I627))),ISNUMBER(SEARCH(IF(F$3&lt;&gt;"",F$3,"NA"),'MITRE ATT&amp;CK Mappings'!$J627))), 'MITRE ATT&amp;CK Mappings'!$B627,"")</f>
        <v/>
      </c>
      <c r="G631" s="27" t="str">
        <f>IF(OR(OR(OR(OR(OR(ISNUMBER(SEARCH(IF(G$1&lt;&gt;"",G$1,"NA"),'MITRE ATT&amp;CK Mappings'!$E627)),ISNUMBER(SEARCH(IF(G$1&lt;&gt;"",G$1,"NA"),'MITRE ATT&amp;CK Mappings'!$F627))),ISNUMBER(SEARCH(IF(G$2&lt;&gt;"",G$2,"NA"),'MITRE ATT&amp;CK Mappings'!$G627))),ISNUMBER(SEARCH(IF(G$2&lt;&gt;"",G$2,"NA"),'MITRE ATT&amp;CK Mappings'!$H627))),ISNUMBER(SEARCH(IF(G$3&lt;&gt;"",G$3,"NA"),'MITRE ATT&amp;CK Mappings'!$I627))),ISNUMBER(SEARCH(IF(G$3&lt;&gt;"",G$3,"NA"),'MITRE ATT&amp;CK Mappings'!$J627))), 'MITRE ATT&amp;CK Mappings'!$B627,"")</f>
        <v/>
      </c>
      <c r="H631" s="27" t="str">
        <f>IF(OR(OR(OR(OR(OR(ISNUMBER(SEARCH(IF(H$1&lt;&gt;"",H$1,"NA"),'MITRE ATT&amp;CK Mappings'!$E627)),ISNUMBER(SEARCH(IF(H$1&lt;&gt;"",H$1,"NA"),'MITRE ATT&amp;CK Mappings'!$F627))),ISNUMBER(SEARCH(IF(H$2&lt;&gt;"",H$2,"NA"),'MITRE ATT&amp;CK Mappings'!$G627))),ISNUMBER(SEARCH(IF(H$2&lt;&gt;"",H$2,"NA"),'MITRE ATT&amp;CK Mappings'!$H627))),ISNUMBER(SEARCH(IF(H$3&lt;&gt;"",H$3,"NA"),'MITRE ATT&amp;CK Mappings'!$I627))),ISNUMBER(SEARCH(IF(H$3&lt;&gt;"",H$3,"NA"),'MITRE ATT&amp;CK Mappings'!$J627))), 'MITRE ATT&amp;CK Mappings'!$B627,"")</f>
        <v/>
      </c>
      <c r="I631" s="27" t="str">
        <f>IF(OR(OR(OR(OR(OR(ISNUMBER(SEARCH(IF(I$1&lt;&gt;"",I$1,"NA"),'MITRE ATT&amp;CK Mappings'!$E627)),ISNUMBER(SEARCH(IF(I$1&lt;&gt;"",I$1,"NA"),'MITRE ATT&amp;CK Mappings'!$F627))),ISNUMBER(SEARCH(IF(I$2&lt;&gt;"",I$2,"NA"),'MITRE ATT&amp;CK Mappings'!$G627))),ISNUMBER(SEARCH(IF(I$2&lt;&gt;"",I$2,"NA"),'MITRE ATT&amp;CK Mappings'!$H627))),ISNUMBER(SEARCH(IF(I$3&lt;&gt;"",I$3,"NA"),'MITRE ATT&amp;CK Mappings'!$I627))),ISNUMBER(SEARCH(IF(I$3&lt;&gt;"",I$3,"NA"),'MITRE ATT&amp;CK Mappings'!$J627))), 'MITRE ATT&amp;CK Mappings'!$B627,"")</f>
        <v/>
      </c>
      <c r="J631" s="27" t="str">
        <f>IF(OR(OR(OR(OR(OR(ISNUMBER(SEARCH(IF(J$1&lt;&gt;"",J$1,"NA"),'MITRE ATT&amp;CK Mappings'!$E627)),ISNUMBER(SEARCH(IF(J$1&lt;&gt;"",J$1,"NA"),'MITRE ATT&amp;CK Mappings'!$F627))),ISNUMBER(SEARCH(IF(J$2&lt;&gt;"",J$2,"NA"),'MITRE ATT&amp;CK Mappings'!$G627))),ISNUMBER(SEARCH(IF(J$2&lt;&gt;"",J$2,"NA"),'MITRE ATT&amp;CK Mappings'!$H627))),ISNUMBER(SEARCH(IF(J$3&lt;&gt;"",J$3,"NA"),'MITRE ATT&amp;CK Mappings'!$I627))),ISNUMBER(SEARCH(IF(J$3&lt;&gt;"",J$3,"NA"),'MITRE ATT&amp;CK Mappings'!$J627))), 'MITRE ATT&amp;CK Mappings'!$B627,"")</f>
        <v/>
      </c>
      <c r="K631" s="27" t="str">
        <f>IF(OR(OR(OR(OR(OR(ISNUMBER(SEARCH(IF(K$1&lt;&gt;"",K$1,"NA"),'MITRE ATT&amp;CK Mappings'!$E627)),ISNUMBER(SEARCH(IF(K$1&lt;&gt;"",K$1,"NA"),'MITRE ATT&amp;CK Mappings'!$F627))),ISNUMBER(SEARCH(IF(K$2&lt;&gt;"",K$2,"NA"),'MITRE ATT&amp;CK Mappings'!$G627))),ISNUMBER(SEARCH(IF(K$2&lt;&gt;"",K$2,"NA"),'MITRE ATT&amp;CK Mappings'!$H627))),ISNUMBER(SEARCH(IF(K$3&lt;&gt;"",K$3,"NA"),'MITRE ATT&amp;CK Mappings'!$I627))),ISNUMBER(SEARCH(IF(K$3&lt;&gt;"",K$3,"NA"),'MITRE ATT&amp;CK Mappings'!$J627))), 'MITRE ATT&amp;CK Mappings'!$B627,"")</f>
        <v/>
      </c>
      <c r="L631" s="27" t="str">
        <f>IF('MITRE ATT&amp;CK Mappings'!D627 &lt;&gt;"",'MITRE ATT&amp;CK Mappings'!D627,"" )</f>
        <v/>
      </c>
    </row>
    <row r="632" spans="1:12" x14ac:dyDescent="0.25">
      <c r="A632" s="26" t="str">
        <f>IF(COUNTIF(B632:K632,"="&amp;'MITRE ATT&amp;CK Mappings'!B628)&gt;0,'MITRE ATT&amp;CK Mappings'!B628,"")</f>
        <v/>
      </c>
      <c r="B632" s="26" t="str">
        <f>IF(OR(OR(OR(OR(OR(ISNUMBER(SEARCH(IF(B$1&lt;&gt;"",B$1,"NA"),'MITRE ATT&amp;CK Mappings'!$E628)),ISNUMBER(SEARCH(IF(B$1&lt;&gt;"",B$1,"NA"),'MITRE ATT&amp;CK Mappings'!$F628))),ISNUMBER(SEARCH(IF(B$2&lt;&gt;"",B$2,"NA"),'MITRE ATT&amp;CK Mappings'!$G628))),ISNUMBER(SEARCH(IF(B$2&lt;&gt;"",B$2,"NA"),'MITRE ATT&amp;CK Mappings'!$H628))),ISNUMBER(SEARCH(IF(B$3&lt;&gt;"",B$3,"NA"),'MITRE ATT&amp;CK Mappings'!$I628))),ISNUMBER(SEARCH(IF(B$3&lt;&gt;"",B$3,"NA"),'MITRE ATT&amp;CK Mappings'!$J628))), 'MITRE ATT&amp;CK Mappings'!$B628,"")</f>
        <v/>
      </c>
      <c r="C632" s="26" t="str">
        <f>IF(OR(OR(OR(OR(OR(ISNUMBER(SEARCH(IF(C$1&lt;&gt;"",C$1,"NA"),'MITRE ATT&amp;CK Mappings'!$E628)),ISNUMBER(SEARCH(IF(C$1&lt;&gt;"",C$1,"NA"),'MITRE ATT&amp;CK Mappings'!$F628))),ISNUMBER(SEARCH(IF(C$2&lt;&gt;"",C$2,"NA"),'MITRE ATT&amp;CK Mappings'!$G628))),ISNUMBER(SEARCH(IF(C$2&lt;&gt;"",C$2,"NA"),'MITRE ATT&amp;CK Mappings'!$H628))),ISNUMBER(SEARCH(IF(C$3&lt;&gt;"",C$3,"NA"),'MITRE ATT&amp;CK Mappings'!$I628))),ISNUMBER(SEARCH(IF(C$3&lt;&gt;"",C$3,"NA"),'MITRE ATT&amp;CK Mappings'!$J628))), 'MITRE ATT&amp;CK Mappings'!$B628,"")</f>
        <v/>
      </c>
      <c r="D632" s="26" t="str">
        <f>IF(OR(OR(OR(OR(OR(ISNUMBER(SEARCH(IF(D$1&lt;&gt;"",D$1,"NA"),'MITRE ATT&amp;CK Mappings'!$E628)),ISNUMBER(SEARCH(IF(D$1&lt;&gt;"",D$1,"NA"),'MITRE ATT&amp;CK Mappings'!$F628))),ISNUMBER(SEARCH(IF(D$2&lt;&gt;"",D$2,"NA"),'MITRE ATT&amp;CK Mappings'!$G628))),ISNUMBER(SEARCH(IF(D$2&lt;&gt;"",D$2,"NA"),'MITRE ATT&amp;CK Mappings'!$H628))),ISNUMBER(SEARCH(IF(D$3&lt;&gt;"",D$3,"NA"),'MITRE ATT&amp;CK Mappings'!$I628))),ISNUMBER(SEARCH(IF(D$3&lt;&gt;"",D$3,"NA"),'MITRE ATT&amp;CK Mappings'!$J628))), 'MITRE ATT&amp;CK Mappings'!$B628,"")</f>
        <v/>
      </c>
      <c r="E632" s="26" t="str">
        <f>IF(OR(OR(OR(OR(OR(ISNUMBER(SEARCH(IF(E$1&lt;&gt;"",E$1,"NA"),'MITRE ATT&amp;CK Mappings'!$E628)),ISNUMBER(SEARCH(IF(E$1&lt;&gt;"",E$1,"NA"),'MITRE ATT&amp;CK Mappings'!$F628))),ISNUMBER(SEARCH(IF(E$2&lt;&gt;"",E$2,"NA"),'MITRE ATT&amp;CK Mappings'!$G628))),ISNUMBER(SEARCH(IF(E$2&lt;&gt;"",E$2,"NA"),'MITRE ATT&amp;CK Mappings'!$H628))),ISNUMBER(SEARCH(IF(E$3&lt;&gt;"",E$3,"NA"),'MITRE ATT&amp;CK Mappings'!$I628))),ISNUMBER(SEARCH(IF(E$3&lt;&gt;"",E$3,"NA"),'MITRE ATT&amp;CK Mappings'!$J628))), 'MITRE ATT&amp;CK Mappings'!$B628,"")</f>
        <v/>
      </c>
      <c r="F632" s="26" t="str">
        <f>IF(OR(OR(OR(OR(OR(ISNUMBER(SEARCH(IF(F$1&lt;&gt;"",F$1,"NA"),'MITRE ATT&amp;CK Mappings'!$E628)),ISNUMBER(SEARCH(IF(F$1&lt;&gt;"",F$1,"NA"),'MITRE ATT&amp;CK Mappings'!$F628))),ISNUMBER(SEARCH(IF(F$2&lt;&gt;"",F$2,"NA"),'MITRE ATT&amp;CK Mappings'!$G628))),ISNUMBER(SEARCH(IF(F$2&lt;&gt;"",F$2,"NA"),'MITRE ATT&amp;CK Mappings'!$H628))),ISNUMBER(SEARCH(IF(F$3&lt;&gt;"",F$3,"NA"),'MITRE ATT&amp;CK Mappings'!$I628))),ISNUMBER(SEARCH(IF(F$3&lt;&gt;"",F$3,"NA"),'MITRE ATT&amp;CK Mappings'!$J628))), 'MITRE ATT&amp;CK Mappings'!$B628,"")</f>
        <v/>
      </c>
      <c r="G632" s="26" t="str">
        <f>IF(OR(OR(OR(OR(OR(ISNUMBER(SEARCH(IF(G$1&lt;&gt;"",G$1,"NA"),'MITRE ATT&amp;CK Mappings'!$E628)),ISNUMBER(SEARCH(IF(G$1&lt;&gt;"",G$1,"NA"),'MITRE ATT&amp;CK Mappings'!$F628))),ISNUMBER(SEARCH(IF(G$2&lt;&gt;"",G$2,"NA"),'MITRE ATT&amp;CK Mappings'!$G628))),ISNUMBER(SEARCH(IF(G$2&lt;&gt;"",G$2,"NA"),'MITRE ATT&amp;CK Mappings'!$H628))),ISNUMBER(SEARCH(IF(G$3&lt;&gt;"",G$3,"NA"),'MITRE ATT&amp;CK Mappings'!$I628))),ISNUMBER(SEARCH(IF(G$3&lt;&gt;"",G$3,"NA"),'MITRE ATT&amp;CK Mappings'!$J628))), 'MITRE ATT&amp;CK Mappings'!$B628,"")</f>
        <v/>
      </c>
      <c r="H632" s="26" t="str">
        <f>IF(OR(OR(OR(OR(OR(ISNUMBER(SEARCH(IF(H$1&lt;&gt;"",H$1,"NA"),'MITRE ATT&amp;CK Mappings'!$E628)),ISNUMBER(SEARCH(IF(H$1&lt;&gt;"",H$1,"NA"),'MITRE ATT&amp;CK Mappings'!$F628))),ISNUMBER(SEARCH(IF(H$2&lt;&gt;"",H$2,"NA"),'MITRE ATT&amp;CK Mappings'!$G628))),ISNUMBER(SEARCH(IF(H$2&lt;&gt;"",H$2,"NA"),'MITRE ATT&amp;CK Mappings'!$H628))),ISNUMBER(SEARCH(IF(H$3&lt;&gt;"",H$3,"NA"),'MITRE ATT&amp;CK Mappings'!$I628))),ISNUMBER(SEARCH(IF(H$3&lt;&gt;"",H$3,"NA"),'MITRE ATT&amp;CK Mappings'!$J628))), 'MITRE ATT&amp;CK Mappings'!$B628,"")</f>
        <v/>
      </c>
      <c r="I632" s="26" t="str">
        <f>IF(OR(OR(OR(OR(OR(ISNUMBER(SEARCH(IF(I$1&lt;&gt;"",I$1,"NA"),'MITRE ATT&amp;CK Mappings'!$E628)),ISNUMBER(SEARCH(IF(I$1&lt;&gt;"",I$1,"NA"),'MITRE ATT&amp;CK Mappings'!$F628))),ISNUMBER(SEARCH(IF(I$2&lt;&gt;"",I$2,"NA"),'MITRE ATT&amp;CK Mappings'!$G628))),ISNUMBER(SEARCH(IF(I$2&lt;&gt;"",I$2,"NA"),'MITRE ATT&amp;CK Mappings'!$H628))),ISNUMBER(SEARCH(IF(I$3&lt;&gt;"",I$3,"NA"),'MITRE ATT&amp;CK Mappings'!$I628))),ISNUMBER(SEARCH(IF(I$3&lt;&gt;"",I$3,"NA"),'MITRE ATT&amp;CK Mappings'!$J628))), 'MITRE ATT&amp;CK Mappings'!$B628,"")</f>
        <v/>
      </c>
      <c r="J632" s="26" t="str">
        <f>IF(OR(OR(OR(OR(OR(ISNUMBER(SEARCH(IF(J$1&lt;&gt;"",J$1,"NA"),'MITRE ATT&amp;CK Mappings'!$E628)),ISNUMBER(SEARCH(IF(J$1&lt;&gt;"",J$1,"NA"),'MITRE ATT&amp;CK Mappings'!$F628))),ISNUMBER(SEARCH(IF(J$2&lt;&gt;"",J$2,"NA"),'MITRE ATT&amp;CK Mappings'!$G628))),ISNUMBER(SEARCH(IF(J$2&lt;&gt;"",J$2,"NA"),'MITRE ATT&amp;CK Mappings'!$H628))),ISNUMBER(SEARCH(IF(J$3&lt;&gt;"",J$3,"NA"),'MITRE ATT&amp;CK Mappings'!$I628))),ISNUMBER(SEARCH(IF(J$3&lt;&gt;"",J$3,"NA"),'MITRE ATT&amp;CK Mappings'!$J628))), 'MITRE ATT&amp;CK Mappings'!$B628,"")</f>
        <v/>
      </c>
      <c r="K632" s="26" t="str">
        <f>IF(OR(OR(OR(OR(OR(ISNUMBER(SEARCH(IF(K$1&lt;&gt;"",K$1,"NA"),'MITRE ATT&amp;CK Mappings'!$E628)),ISNUMBER(SEARCH(IF(K$1&lt;&gt;"",K$1,"NA"),'MITRE ATT&amp;CK Mappings'!$F628))),ISNUMBER(SEARCH(IF(K$2&lt;&gt;"",K$2,"NA"),'MITRE ATT&amp;CK Mappings'!$G628))),ISNUMBER(SEARCH(IF(K$2&lt;&gt;"",K$2,"NA"),'MITRE ATT&amp;CK Mappings'!$H628))),ISNUMBER(SEARCH(IF(K$3&lt;&gt;"",K$3,"NA"),'MITRE ATT&amp;CK Mappings'!$I628))),ISNUMBER(SEARCH(IF(K$3&lt;&gt;"",K$3,"NA"),'MITRE ATT&amp;CK Mappings'!$J628))), 'MITRE ATT&amp;CK Mappings'!$B628,"")</f>
        <v/>
      </c>
      <c r="L632" s="26" t="str">
        <f>IF('MITRE ATT&amp;CK Mappings'!D628 &lt;&gt;"",'MITRE ATT&amp;CK Mappings'!D628,"" )</f>
        <v/>
      </c>
    </row>
    <row r="633" spans="1:12" x14ac:dyDescent="0.25">
      <c r="A633" s="27" t="str">
        <f>IF(COUNTIF(B633:K633,"="&amp;'MITRE ATT&amp;CK Mappings'!B629)&gt;0,'MITRE ATT&amp;CK Mappings'!B629,"")</f>
        <v/>
      </c>
      <c r="B633" s="27" t="str">
        <f>IF(OR(OR(OR(OR(OR(ISNUMBER(SEARCH(IF(B$1&lt;&gt;"",B$1,"NA"),'MITRE ATT&amp;CK Mappings'!$E629)),ISNUMBER(SEARCH(IF(B$1&lt;&gt;"",B$1,"NA"),'MITRE ATT&amp;CK Mappings'!$F629))),ISNUMBER(SEARCH(IF(B$2&lt;&gt;"",B$2,"NA"),'MITRE ATT&amp;CK Mappings'!$G629))),ISNUMBER(SEARCH(IF(B$2&lt;&gt;"",B$2,"NA"),'MITRE ATT&amp;CK Mappings'!$H629))),ISNUMBER(SEARCH(IF(B$3&lt;&gt;"",B$3,"NA"),'MITRE ATT&amp;CK Mappings'!$I629))),ISNUMBER(SEARCH(IF(B$3&lt;&gt;"",B$3,"NA"),'MITRE ATT&amp;CK Mappings'!$J629))), 'MITRE ATT&amp;CK Mappings'!$B629,"")</f>
        <v/>
      </c>
      <c r="C633" s="27" t="str">
        <f>IF(OR(OR(OR(OR(OR(ISNUMBER(SEARCH(IF(C$1&lt;&gt;"",C$1,"NA"),'MITRE ATT&amp;CK Mappings'!$E629)),ISNUMBER(SEARCH(IF(C$1&lt;&gt;"",C$1,"NA"),'MITRE ATT&amp;CK Mappings'!$F629))),ISNUMBER(SEARCH(IF(C$2&lt;&gt;"",C$2,"NA"),'MITRE ATT&amp;CK Mappings'!$G629))),ISNUMBER(SEARCH(IF(C$2&lt;&gt;"",C$2,"NA"),'MITRE ATT&amp;CK Mappings'!$H629))),ISNUMBER(SEARCH(IF(C$3&lt;&gt;"",C$3,"NA"),'MITRE ATT&amp;CK Mappings'!$I629))),ISNUMBER(SEARCH(IF(C$3&lt;&gt;"",C$3,"NA"),'MITRE ATT&amp;CK Mappings'!$J629))), 'MITRE ATT&amp;CK Mappings'!$B629,"")</f>
        <v/>
      </c>
      <c r="D633" s="27" t="str">
        <f>IF(OR(OR(OR(OR(OR(ISNUMBER(SEARCH(IF(D$1&lt;&gt;"",D$1,"NA"),'MITRE ATT&amp;CK Mappings'!$E629)),ISNUMBER(SEARCH(IF(D$1&lt;&gt;"",D$1,"NA"),'MITRE ATT&amp;CK Mappings'!$F629))),ISNUMBER(SEARCH(IF(D$2&lt;&gt;"",D$2,"NA"),'MITRE ATT&amp;CK Mappings'!$G629))),ISNUMBER(SEARCH(IF(D$2&lt;&gt;"",D$2,"NA"),'MITRE ATT&amp;CK Mappings'!$H629))),ISNUMBER(SEARCH(IF(D$3&lt;&gt;"",D$3,"NA"),'MITRE ATT&amp;CK Mappings'!$I629))),ISNUMBER(SEARCH(IF(D$3&lt;&gt;"",D$3,"NA"),'MITRE ATT&amp;CK Mappings'!$J629))), 'MITRE ATT&amp;CK Mappings'!$B629,"")</f>
        <v/>
      </c>
      <c r="E633" s="27" t="str">
        <f>IF(OR(OR(OR(OR(OR(ISNUMBER(SEARCH(IF(E$1&lt;&gt;"",E$1,"NA"),'MITRE ATT&amp;CK Mappings'!$E629)),ISNUMBER(SEARCH(IF(E$1&lt;&gt;"",E$1,"NA"),'MITRE ATT&amp;CK Mappings'!$F629))),ISNUMBER(SEARCH(IF(E$2&lt;&gt;"",E$2,"NA"),'MITRE ATT&amp;CK Mappings'!$G629))),ISNUMBER(SEARCH(IF(E$2&lt;&gt;"",E$2,"NA"),'MITRE ATT&amp;CK Mappings'!$H629))),ISNUMBER(SEARCH(IF(E$3&lt;&gt;"",E$3,"NA"),'MITRE ATT&amp;CK Mappings'!$I629))),ISNUMBER(SEARCH(IF(E$3&lt;&gt;"",E$3,"NA"),'MITRE ATT&amp;CK Mappings'!$J629))), 'MITRE ATT&amp;CK Mappings'!$B629,"")</f>
        <v/>
      </c>
      <c r="F633" s="27" t="str">
        <f>IF(OR(OR(OR(OR(OR(ISNUMBER(SEARCH(IF(F$1&lt;&gt;"",F$1,"NA"),'MITRE ATT&amp;CK Mappings'!$E629)),ISNUMBER(SEARCH(IF(F$1&lt;&gt;"",F$1,"NA"),'MITRE ATT&amp;CK Mappings'!$F629))),ISNUMBER(SEARCH(IF(F$2&lt;&gt;"",F$2,"NA"),'MITRE ATT&amp;CK Mappings'!$G629))),ISNUMBER(SEARCH(IF(F$2&lt;&gt;"",F$2,"NA"),'MITRE ATT&amp;CK Mappings'!$H629))),ISNUMBER(SEARCH(IF(F$3&lt;&gt;"",F$3,"NA"),'MITRE ATT&amp;CK Mappings'!$I629))),ISNUMBER(SEARCH(IF(F$3&lt;&gt;"",F$3,"NA"),'MITRE ATT&amp;CK Mappings'!$J629))), 'MITRE ATT&amp;CK Mappings'!$B629,"")</f>
        <v/>
      </c>
      <c r="G633" s="27" t="str">
        <f>IF(OR(OR(OR(OR(OR(ISNUMBER(SEARCH(IF(G$1&lt;&gt;"",G$1,"NA"),'MITRE ATT&amp;CK Mappings'!$E629)),ISNUMBER(SEARCH(IF(G$1&lt;&gt;"",G$1,"NA"),'MITRE ATT&amp;CK Mappings'!$F629))),ISNUMBER(SEARCH(IF(G$2&lt;&gt;"",G$2,"NA"),'MITRE ATT&amp;CK Mappings'!$G629))),ISNUMBER(SEARCH(IF(G$2&lt;&gt;"",G$2,"NA"),'MITRE ATT&amp;CK Mappings'!$H629))),ISNUMBER(SEARCH(IF(G$3&lt;&gt;"",G$3,"NA"),'MITRE ATT&amp;CK Mappings'!$I629))),ISNUMBER(SEARCH(IF(G$3&lt;&gt;"",G$3,"NA"),'MITRE ATT&amp;CK Mappings'!$J629))), 'MITRE ATT&amp;CK Mappings'!$B629,"")</f>
        <v/>
      </c>
      <c r="H633" s="27" t="str">
        <f>IF(OR(OR(OR(OR(OR(ISNUMBER(SEARCH(IF(H$1&lt;&gt;"",H$1,"NA"),'MITRE ATT&amp;CK Mappings'!$E629)),ISNUMBER(SEARCH(IF(H$1&lt;&gt;"",H$1,"NA"),'MITRE ATT&amp;CK Mappings'!$F629))),ISNUMBER(SEARCH(IF(H$2&lt;&gt;"",H$2,"NA"),'MITRE ATT&amp;CK Mappings'!$G629))),ISNUMBER(SEARCH(IF(H$2&lt;&gt;"",H$2,"NA"),'MITRE ATT&amp;CK Mappings'!$H629))),ISNUMBER(SEARCH(IF(H$3&lt;&gt;"",H$3,"NA"),'MITRE ATT&amp;CK Mappings'!$I629))),ISNUMBER(SEARCH(IF(H$3&lt;&gt;"",H$3,"NA"),'MITRE ATT&amp;CK Mappings'!$J629))), 'MITRE ATT&amp;CK Mappings'!$B629,"")</f>
        <v/>
      </c>
      <c r="I633" s="27" t="str">
        <f>IF(OR(OR(OR(OR(OR(ISNUMBER(SEARCH(IF(I$1&lt;&gt;"",I$1,"NA"),'MITRE ATT&amp;CK Mappings'!$E629)),ISNUMBER(SEARCH(IF(I$1&lt;&gt;"",I$1,"NA"),'MITRE ATT&amp;CK Mappings'!$F629))),ISNUMBER(SEARCH(IF(I$2&lt;&gt;"",I$2,"NA"),'MITRE ATT&amp;CK Mappings'!$G629))),ISNUMBER(SEARCH(IF(I$2&lt;&gt;"",I$2,"NA"),'MITRE ATT&amp;CK Mappings'!$H629))),ISNUMBER(SEARCH(IF(I$3&lt;&gt;"",I$3,"NA"),'MITRE ATT&amp;CK Mappings'!$I629))),ISNUMBER(SEARCH(IF(I$3&lt;&gt;"",I$3,"NA"),'MITRE ATT&amp;CK Mappings'!$J629))), 'MITRE ATT&amp;CK Mappings'!$B629,"")</f>
        <v/>
      </c>
      <c r="J633" s="27" t="str">
        <f>IF(OR(OR(OR(OR(OR(ISNUMBER(SEARCH(IF(J$1&lt;&gt;"",J$1,"NA"),'MITRE ATT&amp;CK Mappings'!$E629)),ISNUMBER(SEARCH(IF(J$1&lt;&gt;"",J$1,"NA"),'MITRE ATT&amp;CK Mappings'!$F629))),ISNUMBER(SEARCH(IF(J$2&lt;&gt;"",J$2,"NA"),'MITRE ATT&amp;CK Mappings'!$G629))),ISNUMBER(SEARCH(IF(J$2&lt;&gt;"",J$2,"NA"),'MITRE ATT&amp;CK Mappings'!$H629))),ISNUMBER(SEARCH(IF(J$3&lt;&gt;"",J$3,"NA"),'MITRE ATT&amp;CK Mappings'!$I629))),ISNUMBER(SEARCH(IF(J$3&lt;&gt;"",J$3,"NA"),'MITRE ATT&amp;CK Mappings'!$J629))), 'MITRE ATT&amp;CK Mappings'!$B629,"")</f>
        <v/>
      </c>
      <c r="K633" s="27" t="str">
        <f>IF(OR(OR(OR(OR(OR(ISNUMBER(SEARCH(IF(K$1&lt;&gt;"",K$1,"NA"),'MITRE ATT&amp;CK Mappings'!$E629)),ISNUMBER(SEARCH(IF(K$1&lt;&gt;"",K$1,"NA"),'MITRE ATT&amp;CK Mappings'!$F629))),ISNUMBER(SEARCH(IF(K$2&lt;&gt;"",K$2,"NA"),'MITRE ATT&amp;CK Mappings'!$G629))),ISNUMBER(SEARCH(IF(K$2&lt;&gt;"",K$2,"NA"),'MITRE ATT&amp;CK Mappings'!$H629))),ISNUMBER(SEARCH(IF(K$3&lt;&gt;"",K$3,"NA"),'MITRE ATT&amp;CK Mappings'!$I629))),ISNUMBER(SEARCH(IF(K$3&lt;&gt;"",K$3,"NA"),'MITRE ATT&amp;CK Mappings'!$J629))), 'MITRE ATT&amp;CK Mappings'!$B629,"")</f>
        <v/>
      </c>
      <c r="L633" s="27" t="str">
        <f>IF('MITRE ATT&amp;CK Mappings'!D629 &lt;&gt;"",'MITRE ATT&amp;CK Mappings'!D629,"" )</f>
        <v/>
      </c>
    </row>
    <row r="634" spans="1:12" x14ac:dyDescent="0.25">
      <c r="A634" s="26" t="str">
        <f>IF(COUNTIF(B634:K634,"="&amp;'MITRE ATT&amp;CK Mappings'!B630)&gt;0,'MITRE ATT&amp;CK Mappings'!B630,"")</f>
        <v/>
      </c>
      <c r="B634" s="26" t="str">
        <f>IF(OR(OR(OR(OR(OR(ISNUMBER(SEARCH(IF(B$1&lt;&gt;"",B$1,"NA"),'MITRE ATT&amp;CK Mappings'!$E630)),ISNUMBER(SEARCH(IF(B$1&lt;&gt;"",B$1,"NA"),'MITRE ATT&amp;CK Mappings'!$F630))),ISNUMBER(SEARCH(IF(B$2&lt;&gt;"",B$2,"NA"),'MITRE ATT&amp;CK Mappings'!$G630))),ISNUMBER(SEARCH(IF(B$2&lt;&gt;"",B$2,"NA"),'MITRE ATT&amp;CK Mappings'!$H630))),ISNUMBER(SEARCH(IF(B$3&lt;&gt;"",B$3,"NA"),'MITRE ATT&amp;CK Mappings'!$I630))),ISNUMBER(SEARCH(IF(B$3&lt;&gt;"",B$3,"NA"),'MITRE ATT&amp;CK Mappings'!$J630))), 'MITRE ATT&amp;CK Mappings'!$B630,"")</f>
        <v/>
      </c>
      <c r="C634" s="26" t="str">
        <f>IF(OR(OR(OR(OR(OR(ISNUMBER(SEARCH(IF(C$1&lt;&gt;"",C$1,"NA"),'MITRE ATT&amp;CK Mappings'!$E630)),ISNUMBER(SEARCH(IF(C$1&lt;&gt;"",C$1,"NA"),'MITRE ATT&amp;CK Mappings'!$F630))),ISNUMBER(SEARCH(IF(C$2&lt;&gt;"",C$2,"NA"),'MITRE ATT&amp;CK Mappings'!$G630))),ISNUMBER(SEARCH(IF(C$2&lt;&gt;"",C$2,"NA"),'MITRE ATT&amp;CK Mappings'!$H630))),ISNUMBER(SEARCH(IF(C$3&lt;&gt;"",C$3,"NA"),'MITRE ATT&amp;CK Mappings'!$I630))),ISNUMBER(SEARCH(IF(C$3&lt;&gt;"",C$3,"NA"),'MITRE ATT&amp;CK Mappings'!$J630))), 'MITRE ATT&amp;CK Mappings'!$B630,"")</f>
        <v/>
      </c>
      <c r="D634" s="26" t="str">
        <f>IF(OR(OR(OR(OR(OR(ISNUMBER(SEARCH(IF(D$1&lt;&gt;"",D$1,"NA"),'MITRE ATT&amp;CK Mappings'!$E630)),ISNUMBER(SEARCH(IF(D$1&lt;&gt;"",D$1,"NA"),'MITRE ATT&amp;CK Mappings'!$F630))),ISNUMBER(SEARCH(IF(D$2&lt;&gt;"",D$2,"NA"),'MITRE ATT&amp;CK Mappings'!$G630))),ISNUMBER(SEARCH(IF(D$2&lt;&gt;"",D$2,"NA"),'MITRE ATT&amp;CK Mappings'!$H630))),ISNUMBER(SEARCH(IF(D$3&lt;&gt;"",D$3,"NA"),'MITRE ATT&amp;CK Mappings'!$I630))),ISNUMBER(SEARCH(IF(D$3&lt;&gt;"",D$3,"NA"),'MITRE ATT&amp;CK Mappings'!$J630))), 'MITRE ATT&amp;CK Mappings'!$B630,"")</f>
        <v/>
      </c>
      <c r="E634" s="26" t="str">
        <f>IF(OR(OR(OR(OR(OR(ISNUMBER(SEARCH(IF(E$1&lt;&gt;"",E$1,"NA"),'MITRE ATT&amp;CK Mappings'!$E630)),ISNUMBER(SEARCH(IF(E$1&lt;&gt;"",E$1,"NA"),'MITRE ATT&amp;CK Mappings'!$F630))),ISNUMBER(SEARCH(IF(E$2&lt;&gt;"",E$2,"NA"),'MITRE ATT&amp;CK Mappings'!$G630))),ISNUMBER(SEARCH(IF(E$2&lt;&gt;"",E$2,"NA"),'MITRE ATT&amp;CK Mappings'!$H630))),ISNUMBER(SEARCH(IF(E$3&lt;&gt;"",E$3,"NA"),'MITRE ATT&amp;CK Mappings'!$I630))),ISNUMBER(SEARCH(IF(E$3&lt;&gt;"",E$3,"NA"),'MITRE ATT&amp;CK Mappings'!$J630))), 'MITRE ATT&amp;CK Mappings'!$B630,"")</f>
        <v/>
      </c>
      <c r="F634" s="26" t="str">
        <f>IF(OR(OR(OR(OR(OR(ISNUMBER(SEARCH(IF(F$1&lt;&gt;"",F$1,"NA"),'MITRE ATT&amp;CK Mappings'!$E630)),ISNUMBER(SEARCH(IF(F$1&lt;&gt;"",F$1,"NA"),'MITRE ATT&amp;CK Mappings'!$F630))),ISNUMBER(SEARCH(IF(F$2&lt;&gt;"",F$2,"NA"),'MITRE ATT&amp;CK Mappings'!$G630))),ISNUMBER(SEARCH(IF(F$2&lt;&gt;"",F$2,"NA"),'MITRE ATT&amp;CK Mappings'!$H630))),ISNUMBER(SEARCH(IF(F$3&lt;&gt;"",F$3,"NA"),'MITRE ATT&amp;CK Mappings'!$I630))),ISNUMBER(SEARCH(IF(F$3&lt;&gt;"",F$3,"NA"),'MITRE ATT&amp;CK Mappings'!$J630))), 'MITRE ATT&amp;CK Mappings'!$B630,"")</f>
        <v/>
      </c>
      <c r="G634" s="26" t="str">
        <f>IF(OR(OR(OR(OR(OR(ISNUMBER(SEARCH(IF(G$1&lt;&gt;"",G$1,"NA"),'MITRE ATT&amp;CK Mappings'!$E630)),ISNUMBER(SEARCH(IF(G$1&lt;&gt;"",G$1,"NA"),'MITRE ATT&amp;CK Mappings'!$F630))),ISNUMBER(SEARCH(IF(G$2&lt;&gt;"",G$2,"NA"),'MITRE ATT&amp;CK Mappings'!$G630))),ISNUMBER(SEARCH(IF(G$2&lt;&gt;"",G$2,"NA"),'MITRE ATT&amp;CK Mappings'!$H630))),ISNUMBER(SEARCH(IF(G$3&lt;&gt;"",G$3,"NA"),'MITRE ATT&amp;CK Mappings'!$I630))),ISNUMBER(SEARCH(IF(G$3&lt;&gt;"",G$3,"NA"),'MITRE ATT&amp;CK Mappings'!$J630))), 'MITRE ATT&amp;CK Mappings'!$B630,"")</f>
        <v/>
      </c>
      <c r="H634" s="26" t="str">
        <f>IF(OR(OR(OR(OR(OR(ISNUMBER(SEARCH(IF(H$1&lt;&gt;"",H$1,"NA"),'MITRE ATT&amp;CK Mappings'!$E630)),ISNUMBER(SEARCH(IF(H$1&lt;&gt;"",H$1,"NA"),'MITRE ATT&amp;CK Mappings'!$F630))),ISNUMBER(SEARCH(IF(H$2&lt;&gt;"",H$2,"NA"),'MITRE ATT&amp;CK Mappings'!$G630))),ISNUMBER(SEARCH(IF(H$2&lt;&gt;"",H$2,"NA"),'MITRE ATT&amp;CK Mappings'!$H630))),ISNUMBER(SEARCH(IF(H$3&lt;&gt;"",H$3,"NA"),'MITRE ATT&amp;CK Mappings'!$I630))),ISNUMBER(SEARCH(IF(H$3&lt;&gt;"",H$3,"NA"),'MITRE ATT&amp;CK Mappings'!$J630))), 'MITRE ATT&amp;CK Mappings'!$B630,"")</f>
        <v/>
      </c>
      <c r="I634" s="26" t="str">
        <f>IF(OR(OR(OR(OR(OR(ISNUMBER(SEARCH(IF(I$1&lt;&gt;"",I$1,"NA"),'MITRE ATT&amp;CK Mappings'!$E630)),ISNUMBER(SEARCH(IF(I$1&lt;&gt;"",I$1,"NA"),'MITRE ATT&amp;CK Mappings'!$F630))),ISNUMBER(SEARCH(IF(I$2&lt;&gt;"",I$2,"NA"),'MITRE ATT&amp;CK Mappings'!$G630))),ISNUMBER(SEARCH(IF(I$2&lt;&gt;"",I$2,"NA"),'MITRE ATT&amp;CK Mappings'!$H630))),ISNUMBER(SEARCH(IF(I$3&lt;&gt;"",I$3,"NA"),'MITRE ATT&amp;CK Mappings'!$I630))),ISNUMBER(SEARCH(IF(I$3&lt;&gt;"",I$3,"NA"),'MITRE ATT&amp;CK Mappings'!$J630))), 'MITRE ATT&amp;CK Mappings'!$B630,"")</f>
        <v/>
      </c>
      <c r="J634" s="26" t="str">
        <f>IF(OR(OR(OR(OR(OR(ISNUMBER(SEARCH(IF(J$1&lt;&gt;"",J$1,"NA"),'MITRE ATT&amp;CK Mappings'!$E630)),ISNUMBER(SEARCH(IF(J$1&lt;&gt;"",J$1,"NA"),'MITRE ATT&amp;CK Mappings'!$F630))),ISNUMBER(SEARCH(IF(J$2&lt;&gt;"",J$2,"NA"),'MITRE ATT&amp;CK Mappings'!$G630))),ISNUMBER(SEARCH(IF(J$2&lt;&gt;"",J$2,"NA"),'MITRE ATT&amp;CK Mappings'!$H630))),ISNUMBER(SEARCH(IF(J$3&lt;&gt;"",J$3,"NA"),'MITRE ATT&amp;CK Mappings'!$I630))),ISNUMBER(SEARCH(IF(J$3&lt;&gt;"",J$3,"NA"),'MITRE ATT&amp;CK Mappings'!$J630))), 'MITRE ATT&amp;CK Mappings'!$B630,"")</f>
        <v/>
      </c>
      <c r="K634" s="26" t="str">
        <f>IF(OR(OR(OR(OR(OR(ISNUMBER(SEARCH(IF(K$1&lt;&gt;"",K$1,"NA"),'MITRE ATT&amp;CK Mappings'!$E630)),ISNUMBER(SEARCH(IF(K$1&lt;&gt;"",K$1,"NA"),'MITRE ATT&amp;CK Mappings'!$F630))),ISNUMBER(SEARCH(IF(K$2&lt;&gt;"",K$2,"NA"),'MITRE ATT&amp;CK Mappings'!$G630))),ISNUMBER(SEARCH(IF(K$2&lt;&gt;"",K$2,"NA"),'MITRE ATT&amp;CK Mappings'!$H630))),ISNUMBER(SEARCH(IF(K$3&lt;&gt;"",K$3,"NA"),'MITRE ATT&amp;CK Mappings'!$I630))),ISNUMBER(SEARCH(IF(K$3&lt;&gt;"",K$3,"NA"),'MITRE ATT&amp;CK Mappings'!$J630))), 'MITRE ATT&amp;CK Mappings'!$B630,"")</f>
        <v/>
      </c>
      <c r="L634" s="26" t="str">
        <f>IF('MITRE ATT&amp;CK Mappings'!D630 &lt;&gt;"",'MITRE ATT&amp;CK Mappings'!D630,"" )</f>
        <v/>
      </c>
    </row>
    <row r="635" spans="1:12" x14ac:dyDescent="0.25">
      <c r="A635" s="27" t="str">
        <f>IF(COUNTIF(B635:K635,"="&amp;'MITRE ATT&amp;CK Mappings'!B631)&gt;0,'MITRE ATT&amp;CK Mappings'!B631,"")</f>
        <v/>
      </c>
      <c r="B635" s="27" t="str">
        <f>IF(OR(OR(OR(OR(OR(ISNUMBER(SEARCH(IF(B$1&lt;&gt;"",B$1,"NA"),'MITRE ATT&amp;CK Mappings'!$E631)),ISNUMBER(SEARCH(IF(B$1&lt;&gt;"",B$1,"NA"),'MITRE ATT&amp;CK Mappings'!$F631))),ISNUMBER(SEARCH(IF(B$2&lt;&gt;"",B$2,"NA"),'MITRE ATT&amp;CK Mappings'!$G631))),ISNUMBER(SEARCH(IF(B$2&lt;&gt;"",B$2,"NA"),'MITRE ATT&amp;CK Mappings'!$H631))),ISNUMBER(SEARCH(IF(B$3&lt;&gt;"",B$3,"NA"),'MITRE ATT&amp;CK Mappings'!$I631))),ISNUMBER(SEARCH(IF(B$3&lt;&gt;"",B$3,"NA"),'MITRE ATT&amp;CK Mappings'!$J631))), 'MITRE ATT&amp;CK Mappings'!$B631,"")</f>
        <v/>
      </c>
      <c r="C635" s="27" t="str">
        <f>IF(OR(OR(OR(OR(OR(ISNUMBER(SEARCH(IF(C$1&lt;&gt;"",C$1,"NA"),'MITRE ATT&amp;CK Mappings'!$E631)),ISNUMBER(SEARCH(IF(C$1&lt;&gt;"",C$1,"NA"),'MITRE ATT&amp;CK Mappings'!$F631))),ISNUMBER(SEARCH(IF(C$2&lt;&gt;"",C$2,"NA"),'MITRE ATT&amp;CK Mappings'!$G631))),ISNUMBER(SEARCH(IF(C$2&lt;&gt;"",C$2,"NA"),'MITRE ATT&amp;CK Mappings'!$H631))),ISNUMBER(SEARCH(IF(C$3&lt;&gt;"",C$3,"NA"),'MITRE ATT&amp;CK Mappings'!$I631))),ISNUMBER(SEARCH(IF(C$3&lt;&gt;"",C$3,"NA"),'MITRE ATT&amp;CK Mappings'!$J631))), 'MITRE ATT&amp;CK Mappings'!$B631,"")</f>
        <v/>
      </c>
      <c r="D635" s="27" t="str">
        <f>IF(OR(OR(OR(OR(OR(ISNUMBER(SEARCH(IF(D$1&lt;&gt;"",D$1,"NA"),'MITRE ATT&amp;CK Mappings'!$E631)),ISNUMBER(SEARCH(IF(D$1&lt;&gt;"",D$1,"NA"),'MITRE ATT&amp;CK Mappings'!$F631))),ISNUMBER(SEARCH(IF(D$2&lt;&gt;"",D$2,"NA"),'MITRE ATT&amp;CK Mappings'!$G631))),ISNUMBER(SEARCH(IF(D$2&lt;&gt;"",D$2,"NA"),'MITRE ATT&amp;CK Mappings'!$H631))),ISNUMBER(SEARCH(IF(D$3&lt;&gt;"",D$3,"NA"),'MITRE ATT&amp;CK Mappings'!$I631))),ISNUMBER(SEARCH(IF(D$3&lt;&gt;"",D$3,"NA"),'MITRE ATT&amp;CK Mappings'!$J631))), 'MITRE ATT&amp;CK Mappings'!$B631,"")</f>
        <v/>
      </c>
      <c r="E635" s="27" t="str">
        <f>IF(OR(OR(OR(OR(OR(ISNUMBER(SEARCH(IF(E$1&lt;&gt;"",E$1,"NA"),'MITRE ATT&amp;CK Mappings'!$E631)),ISNUMBER(SEARCH(IF(E$1&lt;&gt;"",E$1,"NA"),'MITRE ATT&amp;CK Mappings'!$F631))),ISNUMBER(SEARCH(IF(E$2&lt;&gt;"",E$2,"NA"),'MITRE ATT&amp;CK Mappings'!$G631))),ISNUMBER(SEARCH(IF(E$2&lt;&gt;"",E$2,"NA"),'MITRE ATT&amp;CK Mappings'!$H631))),ISNUMBER(SEARCH(IF(E$3&lt;&gt;"",E$3,"NA"),'MITRE ATT&amp;CK Mappings'!$I631))),ISNUMBER(SEARCH(IF(E$3&lt;&gt;"",E$3,"NA"),'MITRE ATT&amp;CK Mappings'!$J631))), 'MITRE ATT&amp;CK Mappings'!$B631,"")</f>
        <v/>
      </c>
      <c r="F635" s="27" t="str">
        <f>IF(OR(OR(OR(OR(OR(ISNUMBER(SEARCH(IF(F$1&lt;&gt;"",F$1,"NA"),'MITRE ATT&amp;CK Mappings'!$E631)),ISNUMBER(SEARCH(IF(F$1&lt;&gt;"",F$1,"NA"),'MITRE ATT&amp;CK Mappings'!$F631))),ISNUMBER(SEARCH(IF(F$2&lt;&gt;"",F$2,"NA"),'MITRE ATT&amp;CK Mappings'!$G631))),ISNUMBER(SEARCH(IF(F$2&lt;&gt;"",F$2,"NA"),'MITRE ATT&amp;CK Mappings'!$H631))),ISNUMBER(SEARCH(IF(F$3&lt;&gt;"",F$3,"NA"),'MITRE ATT&amp;CK Mappings'!$I631))),ISNUMBER(SEARCH(IF(F$3&lt;&gt;"",F$3,"NA"),'MITRE ATT&amp;CK Mappings'!$J631))), 'MITRE ATT&amp;CK Mappings'!$B631,"")</f>
        <v/>
      </c>
      <c r="G635" s="27" t="str">
        <f>IF(OR(OR(OR(OR(OR(ISNUMBER(SEARCH(IF(G$1&lt;&gt;"",G$1,"NA"),'MITRE ATT&amp;CK Mappings'!$E631)),ISNUMBER(SEARCH(IF(G$1&lt;&gt;"",G$1,"NA"),'MITRE ATT&amp;CK Mappings'!$F631))),ISNUMBER(SEARCH(IF(G$2&lt;&gt;"",G$2,"NA"),'MITRE ATT&amp;CK Mappings'!$G631))),ISNUMBER(SEARCH(IF(G$2&lt;&gt;"",G$2,"NA"),'MITRE ATT&amp;CK Mappings'!$H631))),ISNUMBER(SEARCH(IF(G$3&lt;&gt;"",G$3,"NA"),'MITRE ATT&amp;CK Mappings'!$I631))),ISNUMBER(SEARCH(IF(G$3&lt;&gt;"",G$3,"NA"),'MITRE ATT&amp;CK Mappings'!$J631))), 'MITRE ATT&amp;CK Mappings'!$B631,"")</f>
        <v/>
      </c>
      <c r="H635" s="27" t="str">
        <f>IF(OR(OR(OR(OR(OR(ISNUMBER(SEARCH(IF(H$1&lt;&gt;"",H$1,"NA"),'MITRE ATT&amp;CK Mappings'!$E631)),ISNUMBER(SEARCH(IF(H$1&lt;&gt;"",H$1,"NA"),'MITRE ATT&amp;CK Mappings'!$F631))),ISNUMBER(SEARCH(IF(H$2&lt;&gt;"",H$2,"NA"),'MITRE ATT&amp;CK Mappings'!$G631))),ISNUMBER(SEARCH(IF(H$2&lt;&gt;"",H$2,"NA"),'MITRE ATT&amp;CK Mappings'!$H631))),ISNUMBER(SEARCH(IF(H$3&lt;&gt;"",H$3,"NA"),'MITRE ATT&amp;CK Mappings'!$I631))),ISNUMBER(SEARCH(IF(H$3&lt;&gt;"",H$3,"NA"),'MITRE ATT&amp;CK Mappings'!$J631))), 'MITRE ATT&amp;CK Mappings'!$B631,"")</f>
        <v/>
      </c>
      <c r="I635" s="27" t="str">
        <f>IF(OR(OR(OR(OR(OR(ISNUMBER(SEARCH(IF(I$1&lt;&gt;"",I$1,"NA"),'MITRE ATT&amp;CK Mappings'!$E631)),ISNUMBER(SEARCH(IF(I$1&lt;&gt;"",I$1,"NA"),'MITRE ATT&amp;CK Mappings'!$F631))),ISNUMBER(SEARCH(IF(I$2&lt;&gt;"",I$2,"NA"),'MITRE ATT&amp;CK Mappings'!$G631))),ISNUMBER(SEARCH(IF(I$2&lt;&gt;"",I$2,"NA"),'MITRE ATT&amp;CK Mappings'!$H631))),ISNUMBER(SEARCH(IF(I$3&lt;&gt;"",I$3,"NA"),'MITRE ATT&amp;CK Mappings'!$I631))),ISNUMBER(SEARCH(IF(I$3&lt;&gt;"",I$3,"NA"),'MITRE ATT&amp;CK Mappings'!$J631))), 'MITRE ATT&amp;CK Mappings'!$B631,"")</f>
        <v/>
      </c>
      <c r="J635" s="27" t="str">
        <f>IF(OR(OR(OR(OR(OR(ISNUMBER(SEARCH(IF(J$1&lt;&gt;"",J$1,"NA"),'MITRE ATT&amp;CK Mappings'!$E631)),ISNUMBER(SEARCH(IF(J$1&lt;&gt;"",J$1,"NA"),'MITRE ATT&amp;CK Mappings'!$F631))),ISNUMBER(SEARCH(IF(J$2&lt;&gt;"",J$2,"NA"),'MITRE ATT&amp;CK Mappings'!$G631))),ISNUMBER(SEARCH(IF(J$2&lt;&gt;"",J$2,"NA"),'MITRE ATT&amp;CK Mappings'!$H631))),ISNUMBER(SEARCH(IF(J$3&lt;&gt;"",J$3,"NA"),'MITRE ATT&amp;CK Mappings'!$I631))),ISNUMBER(SEARCH(IF(J$3&lt;&gt;"",J$3,"NA"),'MITRE ATT&amp;CK Mappings'!$J631))), 'MITRE ATT&amp;CK Mappings'!$B631,"")</f>
        <v/>
      </c>
      <c r="K635" s="27" t="str">
        <f>IF(OR(OR(OR(OR(OR(ISNUMBER(SEARCH(IF(K$1&lt;&gt;"",K$1,"NA"),'MITRE ATT&amp;CK Mappings'!$E631)),ISNUMBER(SEARCH(IF(K$1&lt;&gt;"",K$1,"NA"),'MITRE ATT&amp;CK Mappings'!$F631))),ISNUMBER(SEARCH(IF(K$2&lt;&gt;"",K$2,"NA"),'MITRE ATT&amp;CK Mappings'!$G631))),ISNUMBER(SEARCH(IF(K$2&lt;&gt;"",K$2,"NA"),'MITRE ATT&amp;CK Mappings'!$H631))),ISNUMBER(SEARCH(IF(K$3&lt;&gt;"",K$3,"NA"),'MITRE ATT&amp;CK Mappings'!$I631))),ISNUMBER(SEARCH(IF(K$3&lt;&gt;"",K$3,"NA"),'MITRE ATT&amp;CK Mappings'!$J631))), 'MITRE ATT&amp;CK Mappings'!$B631,"")</f>
        <v/>
      </c>
      <c r="L635" s="27" t="str">
        <f>IF('MITRE ATT&amp;CK Mappings'!D631 &lt;&gt;"",'MITRE ATT&amp;CK Mappings'!D631,"" )</f>
        <v/>
      </c>
    </row>
    <row r="636" spans="1:12" x14ac:dyDescent="0.25">
      <c r="A636" s="26" t="str">
        <f>IF(COUNTIF(B636:K636,"="&amp;'MITRE ATT&amp;CK Mappings'!B632)&gt;0,'MITRE ATT&amp;CK Mappings'!B632,"")</f>
        <v/>
      </c>
      <c r="B636" s="26" t="str">
        <f>IF(OR(OR(OR(OR(OR(ISNUMBER(SEARCH(IF(B$1&lt;&gt;"",B$1,"NA"),'MITRE ATT&amp;CK Mappings'!$E632)),ISNUMBER(SEARCH(IF(B$1&lt;&gt;"",B$1,"NA"),'MITRE ATT&amp;CK Mappings'!$F632))),ISNUMBER(SEARCH(IF(B$2&lt;&gt;"",B$2,"NA"),'MITRE ATT&amp;CK Mappings'!$G632))),ISNUMBER(SEARCH(IF(B$2&lt;&gt;"",B$2,"NA"),'MITRE ATT&amp;CK Mappings'!$H632))),ISNUMBER(SEARCH(IF(B$3&lt;&gt;"",B$3,"NA"),'MITRE ATT&amp;CK Mappings'!$I632))),ISNUMBER(SEARCH(IF(B$3&lt;&gt;"",B$3,"NA"),'MITRE ATT&amp;CK Mappings'!$J632))), 'MITRE ATT&amp;CK Mappings'!$B632,"")</f>
        <v/>
      </c>
      <c r="C636" s="26" t="str">
        <f>IF(OR(OR(OR(OR(OR(ISNUMBER(SEARCH(IF(C$1&lt;&gt;"",C$1,"NA"),'MITRE ATT&amp;CK Mappings'!$E632)),ISNUMBER(SEARCH(IF(C$1&lt;&gt;"",C$1,"NA"),'MITRE ATT&amp;CK Mappings'!$F632))),ISNUMBER(SEARCH(IF(C$2&lt;&gt;"",C$2,"NA"),'MITRE ATT&amp;CK Mappings'!$G632))),ISNUMBER(SEARCH(IF(C$2&lt;&gt;"",C$2,"NA"),'MITRE ATT&amp;CK Mappings'!$H632))),ISNUMBER(SEARCH(IF(C$3&lt;&gt;"",C$3,"NA"),'MITRE ATT&amp;CK Mappings'!$I632))),ISNUMBER(SEARCH(IF(C$3&lt;&gt;"",C$3,"NA"),'MITRE ATT&amp;CK Mappings'!$J632))), 'MITRE ATT&amp;CK Mappings'!$B632,"")</f>
        <v/>
      </c>
      <c r="D636" s="26" t="str">
        <f>IF(OR(OR(OR(OR(OR(ISNUMBER(SEARCH(IF(D$1&lt;&gt;"",D$1,"NA"),'MITRE ATT&amp;CK Mappings'!$E632)),ISNUMBER(SEARCH(IF(D$1&lt;&gt;"",D$1,"NA"),'MITRE ATT&amp;CK Mappings'!$F632))),ISNUMBER(SEARCH(IF(D$2&lt;&gt;"",D$2,"NA"),'MITRE ATT&amp;CK Mappings'!$G632))),ISNUMBER(SEARCH(IF(D$2&lt;&gt;"",D$2,"NA"),'MITRE ATT&amp;CK Mappings'!$H632))),ISNUMBER(SEARCH(IF(D$3&lt;&gt;"",D$3,"NA"),'MITRE ATT&amp;CK Mappings'!$I632))),ISNUMBER(SEARCH(IF(D$3&lt;&gt;"",D$3,"NA"),'MITRE ATT&amp;CK Mappings'!$J632))), 'MITRE ATT&amp;CK Mappings'!$B632,"")</f>
        <v/>
      </c>
      <c r="E636" s="26" t="str">
        <f>IF(OR(OR(OR(OR(OR(ISNUMBER(SEARCH(IF(E$1&lt;&gt;"",E$1,"NA"),'MITRE ATT&amp;CK Mappings'!$E632)),ISNUMBER(SEARCH(IF(E$1&lt;&gt;"",E$1,"NA"),'MITRE ATT&amp;CK Mappings'!$F632))),ISNUMBER(SEARCH(IF(E$2&lt;&gt;"",E$2,"NA"),'MITRE ATT&amp;CK Mappings'!$G632))),ISNUMBER(SEARCH(IF(E$2&lt;&gt;"",E$2,"NA"),'MITRE ATT&amp;CK Mappings'!$H632))),ISNUMBER(SEARCH(IF(E$3&lt;&gt;"",E$3,"NA"),'MITRE ATT&amp;CK Mappings'!$I632))),ISNUMBER(SEARCH(IF(E$3&lt;&gt;"",E$3,"NA"),'MITRE ATT&amp;CK Mappings'!$J632))), 'MITRE ATT&amp;CK Mappings'!$B632,"")</f>
        <v/>
      </c>
      <c r="F636" s="26" t="str">
        <f>IF(OR(OR(OR(OR(OR(ISNUMBER(SEARCH(IF(F$1&lt;&gt;"",F$1,"NA"),'MITRE ATT&amp;CK Mappings'!$E632)),ISNUMBER(SEARCH(IF(F$1&lt;&gt;"",F$1,"NA"),'MITRE ATT&amp;CK Mappings'!$F632))),ISNUMBER(SEARCH(IF(F$2&lt;&gt;"",F$2,"NA"),'MITRE ATT&amp;CK Mappings'!$G632))),ISNUMBER(SEARCH(IF(F$2&lt;&gt;"",F$2,"NA"),'MITRE ATT&amp;CK Mappings'!$H632))),ISNUMBER(SEARCH(IF(F$3&lt;&gt;"",F$3,"NA"),'MITRE ATT&amp;CK Mappings'!$I632))),ISNUMBER(SEARCH(IF(F$3&lt;&gt;"",F$3,"NA"),'MITRE ATT&amp;CK Mappings'!$J632))), 'MITRE ATT&amp;CK Mappings'!$B632,"")</f>
        <v/>
      </c>
      <c r="G636" s="26" t="str">
        <f>IF(OR(OR(OR(OR(OR(ISNUMBER(SEARCH(IF(G$1&lt;&gt;"",G$1,"NA"),'MITRE ATT&amp;CK Mappings'!$E632)),ISNUMBER(SEARCH(IF(G$1&lt;&gt;"",G$1,"NA"),'MITRE ATT&amp;CK Mappings'!$F632))),ISNUMBER(SEARCH(IF(G$2&lt;&gt;"",G$2,"NA"),'MITRE ATT&amp;CK Mappings'!$G632))),ISNUMBER(SEARCH(IF(G$2&lt;&gt;"",G$2,"NA"),'MITRE ATT&amp;CK Mappings'!$H632))),ISNUMBER(SEARCH(IF(G$3&lt;&gt;"",G$3,"NA"),'MITRE ATT&amp;CK Mappings'!$I632))),ISNUMBER(SEARCH(IF(G$3&lt;&gt;"",G$3,"NA"),'MITRE ATT&amp;CK Mappings'!$J632))), 'MITRE ATT&amp;CK Mappings'!$B632,"")</f>
        <v/>
      </c>
      <c r="H636" s="26" t="str">
        <f>IF(OR(OR(OR(OR(OR(ISNUMBER(SEARCH(IF(H$1&lt;&gt;"",H$1,"NA"),'MITRE ATT&amp;CK Mappings'!$E632)),ISNUMBER(SEARCH(IF(H$1&lt;&gt;"",H$1,"NA"),'MITRE ATT&amp;CK Mappings'!$F632))),ISNUMBER(SEARCH(IF(H$2&lt;&gt;"",H$2,"NA"),'MITRE ATT&amp;CK Mappings'!$G632))),ISNUMBER(SEARCH(IF(H$2&lt;&gt;"",H$2,"NA"),'MITRE ATT&amp;CK Mappings'!$H632))),ISNUMBER(SEARCH(IF(H$3&lt;&gt;"",H$3,"NA"),'MITRE ATT&amp;CK Mappings'!$I632))),ISNUMBER(SEARCH(IF(H$3&lt;&gt;"",H$3,"NA"),'MITRE ATT&amp;CK Mappings'!$J632))), 'MITRE ATT&amp;CK Mappings'!$B632,"")</f>
        <v/>
      </c>
      <c r="I636" s="26" t="str">
        <f>IF(OR(OR(OR(OR(OR(ISNUMBER(SEARCH(IF(I$1&lt;&gt;"",I$1,"NA"),'MITRE ATT&amp;CK Mappings'!$E632)),ISNUMBER(SEARCH(IF(I$1&lt;&gt;"",I$1,"NA"),'MITRE ATT&amp;CK Mappings'!$F632))),ISNUMBER(SEARCH(IF(I$2&lt;&gt;"",I$2,"NA"),'MITRE ATT&amp;CK Mappings'!$G632))),ISNUMBER(SEARCH(IF(I$2&lt;&gt;"",I$2,"NA"),'MITRE ATT&amp;CK Mappings'!$H632))),ISNUMBER(SEARCH(IF(I$3&lt;&gt;"",I$3,"NA"),'MITRE ATT&amp;CK Mappings'!$I632))),ISNUMBER(SEARCH(IF(I$3&lt;&gt;"",I$3,"NA"),'MITRE ATT&amp;CK Mappings'!$J632))), 'MITRE ATT&amp;CK Mappings'!$B632,"")</f>
        <v/>
      </c>
      <c r="J636" s="26" t="str">
        <f>IF(OR(OR(OR(OR(OR(ISNUMBER(SEARCH(IF(J$1&lt;&gt;"",J$1,"NA"),'MITRE ATT&amp;CK Mappings'!$E632)),ISNUMBER(SEARCH(IF(J$1&lt;&gt;"",J$1,"NA"),'MITRE ATT&amp;CK Mappings'!$F632))),ISNUMBER(SEARCH(IF(J$2&lt;&gt;"",J$2,"NA"),'MITRE ATT&amp;CK Mappings'!$G632))),ISNUMBER(SEARCH(IF(J$2&lt;&gt;"",J$2,"NA"),'MITRE ATT&amp;CK Mappings'!$H632))),ISNUMBER(SEARCH(IF(J$3&lt;&gt;"",J$3,"NA"),'MITRE ATT&amp;CK Mappings'!$I632))),ISNUMBER(SEARCH(IF(J$3&lt;&gt;"",J$3,"NA"),'MITRE ATT&amp;CK Mappings'!$J632))), 'MITRE ATT&amp;CK Mappings'!$B632,"")</f>
        <v/>
      </c>
      <c r="K636" s="26" t="str">
        <f>IF(OR(OR(OR(OR(OR(ISNUMBER(SEARCH(IF(K$1&lt;&gt;"",K$1,"NA"),'MITRE ATT&amp;CK Mappings'!$E632)),ISNUMBER(SEARCH(IF(K$1&lt;&gt;"",K$1,"NA"),'MITRE ATT&amp;CK Mappings'!$F632))),ISNUMBER(SEARCH(IF(K$2&lt;&gt;"",K$2,"NA"),'MITRE ATT&amp;CK Mappings'!$G632))),ISNUMBER(SEARCH(IF(K$2&lt;&gt;"",K$2,"NA"),'MITRE ATT&amp;CK Mappings'!$H632))),ISNUMBER(SEARCH(IF(K$3&lt;&gt;"",K$3,"NA"),'MITRE ATT&amp;CK Mappings'!$I632))),ISNUMBER(SEARCH(IF(K$3&lt;&gt;"",K$3,"NA"),'MITRE ATT&amp;CK Mappings'!$J632))), 'MITRE ATT&amp;CK Mappings'!$B632,"")</f>
        <v/>
      </c>
      <c r="L636" s="26" t="str">
        <f>IF('MITRE ATT&amp;CK Mappings'!D632 &lt;&gt;"",'MITRE ATT&amp;CK Mappings'!D632,"" )</f>
        <v/>
      </c>
    </row>
    <row r="637" spans="1:12" x14ac:dyDescent="0.25">
      <c r="A637" s="27" t="str">
        <f>IF(COUNTIF(B637:K637,"="&amp;'MITRE ATT&amp;CK Mappings'!B633)&gt;0,'MITRE ATT&amp;CK Mappings'!B633,"")</f>
        <v/>
      </c>
      <c r="B637" s="27" t="str">
        <f>IF(OR(OR(OR(OR(OR(ISNUMBER(SEARCH(IF(B$1&lt;&gt;"",B$1,"NA"),'MITRE ATT&amp;CK Mappings'!$E633)),ISNUMBER(SEARCH(IF(B$1&lt;&gt;"",B$1,"NA"),'MITRE ATT&amp;CK Mappings'!$F633))),ISNUMBER(SEARCH(IF(B$2&lt;&gt;"",B$2,"NA"),'MITRE ATT&amp;CK Mappings'!$G633))),ISNUMBER(SEARCH(IF(B$2&lt;&gt;"",B$2,"NA"),'MITRE ATT&amp;CK Mappings'!$H633))),ISNUMBER(SEARCH(IF(B$3&lt;&gt;"",B$3,"NA"),'MITRE ATT&amp;CK Mappings'!$I633))),ISNUMBER(SEARCH(IF(B$3&lt;&gt;"",B$3,"NA"),'MITRE ATT&amp;CK Mappings'!$J633))), 'MITRE ATT&amp;CK Mappings'!$B633,"")</f>
        <v/>
      </c>
      <c r="C637" s="27" t="str">
        <f>IF(OR(OR(OR(OR(OR(ISNUMBER(SEARCH(IF(C$1&lt;&gt;"",C$1,"NA"),'MITRE ATT&amp;CK Mappings'!$E633)),ISNUMBER(SEARCH(IF(C$1&lt;&gt;"",C$1,"NA"),'MITRE ATT&amp;CK Mappings'!$F633))),ISNUMBER(SEARCH(IF(C$2&lt;&gt;"",C$2,"NA"),'MITRE ATT&amp;CK Mappings'!$G633))),ISNUMBER(SEARCH(IF(C$2&lt;&gt;"",C$2,"NA"),'MITRE ATT&amp;CK Mappings'!$H633))),ISNUMBER(SEARCH(IF(C$3&lt;&gt;"",C$3,"NA"),'MITRE ATT&amp;CK Mappings'!$I633))),ISNUMBER(SEARCH(IF(C$3&lt;&gt;"",C$3,"NA"),'MITRE ATT&amp;CK Mappings'!$J633))), 'MITRE ATT&amp;CK Mappings'!$B633,"")</f>
        <v/>
      </c>
      <c r="D637" s="27" t="str">
        <f>IF(OR(OR(OR(OR(OR(ISNUMBER(SEARCH(IF(D$1&lt;&gt;"",D$1,"NA"),'MITRE ATT&amp;CK Mappings'!$E633)),ISNUMBER(SEARCH(IF(D$1&lt;&gt;"",D$1,"NA"),'MITRE ATT&amp;CK Mappings'!$F633))),ISNUMBER(SEARCH(IF(D$2&lt;&gt;"",D$2,"NA"),'MITRE ATT&amp;CK Mappings'!$G633))),ISNUMBER(SEARCH(IF(D$2&lt;&gt;"",D$2,"NA"),'MITRE ATT&amp;CK Mappings'!$H633))),ISNUMBER(SEARCH(IF(D$3&lt;&gt;"",D$3,"NA"),'MITRE ATT&amp;CK Mappings'!$I633))),ISNUMBER(SEARCH(IF(D$3&lt;&gt;"",D$3,"NA"),'MITRE ATT&amp;CK Mappings'!$J633))), 'MITRE ATT&amp;CK Mappings'!$B633,"")</f>
        <v/>
      </c>
      <c r="E637" s="27" t="str">
        <f>IF(OR(OR(OR(OR(OR(ISNUMBER(SEARCH(IF(E$1&lt;&gt;"",E$1,"NA"),'MITRE ATT&amp;CK Mappings'!$E633)),ISNUMBER(SEARCH(IF(E$1&lt;&gt;"",E$1,"NA"),'MITRE ATT&amp;CK Mappings'!$F633))),ISNUMBER(SEARCH(IF(E$2&lt;&gt;"",E$2,"NA"),'MITRE ATT&amp;CK Mappings'!$G633))),ISNUMBER(SEARCH(IF(E$2&lt;&gt;"",E$2,"NA"),'MITRE ATT&amp;CK Mappings'!$H633))),ISNUMBER(SEARCH(IF(E$3&lt;&gt;"",E$3,"NA"),'MITRE ATT&amp;CK Mappings'!$I633))),ISNUMBER(SEARCH(IF(E$3&lt;&gt;"",E$3,"NA"),'MITRE ATT&amp;CK Mappings'!$J633))), 'MITRE ATT&amp;CK Mappings'!$B633,"")</f>
        <v/>
      </c>
      <c r="F637" s="27" t="str">
        <f>IF(OR(OR(OR(OR(OR(ISNUMBER(SEARCH(IF(F$1&lt;&gt;"",F$1,"NA"),'MITRE ATT&amp;CK Mappings'!$E633)),ISNUMBER(SEARCH(IF(F$1&lt;&gt;"",F$1,"NA"),'MITRE ATT&amp;CK Mappings'!$F633))),ISNUMBER(SEARCH(IF(F$2&lt;&gt;"",F$2,"NA"),'MITRE ATT&amp;CK Mappings'!$G633))),ISNUMBER(SEARCH(IF(F$2&lt;&gt;"",F$2,"NA"),'MITRE ATT&amp;CK Mappings'!$H633))),ISNUMBER(SEARCH(IF(F$3&lt;&gt;"",F$3,"NA"),'MITRE ATT&amp;CK Mappings'!$I633))),ISNUMBER(SEARCH(IF(F$3&lt;&gt;"",F$3,"NA"),'MITRE ATT&amp;CK Mappings'!$J633))), 'MITRE ATT&amp;CK Mappings'!$B633,"")</f>
        <v/>
      </c>
      <c r="G637" s="27" t="str">
        <f>IF(OR(OR(OR(OR(OR(ISNUMBER(SEARCH(IF(G$1&lt;&gt;"",G$1,"NA"),'MITRE ATT&amp;CK Mappings'!$E633)),ISNUMBER(SEARCH(IF(G$1&lt;&gt;"",G$1,"NA"),'MITRE ATT&amp;CK Mappings'!$F633))),ISNUMBER(SEARCH(IF(G$2&lt;&gt;"",G$2,"NA"),'MITRE ATT&amp;CK Mappings'!$G633))),ISNUMBER(SEARCH(IF(G$2&lt;&gt;"",G$2,"NA"),'MITRE ATT&amp;CK Mappings'!$H633))),ISNUMBER(SEARCH(IF(G$3&lt;&gt;"",G$3,"NA"),'MITRE ATT&amp;CK Mappings'!$I633))),ISNUMBER(SEARCH(IF(G$3&lt;&gt;"",G$3,"NA"),'MITRE ATT&amp;CK Mappings'!$J633))), 'MITRE ATT&amp;CK Mappings'!$B633,"")</f>
        <v/>
      </c>
      <c r="H637" s="27" t="str">
        <f>IF(OR(OR(OR(OR(OR(ISNUMBER(SEARCH(IF(H$1&lt;&gt;"",H$1,"NA"),'MITRE ATT&amp;CK Mappings'!$E633)),ISNUMBER(SEARCH(IF(H$1&lt;&gt;"",H$1,"NA"),'MITRE ATT&amp;CK Mappings'!$F633))),ISNUMBER(SEARCH(IF(H$2&lt;&gt;"",H$2,"NA"),'MITRE ATT&amp;CK Mappings'!$G633))),ISNUMBER(SEARCH(IF(H$2&lt;&gt;"",H$2,"NA"),'MITRE ATT&amp;CK Mappings'!$H633))),ISNUMBER(SEARCH(IF(H$3&lt;&gt;"",H$3,"NA"),'MITRE ATT&amp;CK Mappings'!$I633))),ISNUMBER(SEARCH(IF(H$3&lt;&gt;"",H$3,"NA"),'MITRE ATT&amp;CK Mappings'!$J633))), 'MITRE ATT&amp;CK Mappings'!$B633,"")</f>
        <v/>
      </c>
      <c r="I637" s="27" t="str">
        <f>IF(OR(OR(OR(OR(OR(ISNUMBER(SEARCH(IF(I$1&lt;&gt;"",I$1,"NA"),'MITRE ATT&amp;CK Mappings'!$E633)),ISNUMBER(SEARCH(IF(I$1&lt;&gt;"",I$1,"NA"),'MITRE ATT&amp;CK Mappings'!$F633))),ISNUMBER(SEARCH(IF(I$2&lt;&gt;"",I$2,"NA"),'MITRE ATT&amp;CK Mappings'!$G633))),ISNUMBER(SEARCH(IF(I$2&lt;&gt;"",I$2,"NA"),'MITRE ATT&amp;CK Mappings'!$H633))),ISNUMBER(SEARCH(IF(I$3&lt;&gt;"",I$3,"NA"),'MITRE ATT&amp;CK Mappings'!$I633))),ISNUMBER(SEARCH(IF(I$3&lt;&gt;"",I$3,"NA"),'MITRE ATT&amp;CK Mappings'!$J633))), 'MITRE ATT&amp;CK Mappings'!$B633,"")</f>
        <v/>
      </c>
      <c r="J637" s="27" t="str">
        <f>IF(OR(OR(OR(OR(OR(ISNUMBER(SEARCH(IF(J$1&lt;&gt;"",J$1,"NA"),'MITRE ATT&amp;CK Mappings'!$E633)),ISNUMBER(SEARCH(IF(J$1&lt;&gt;"",J$1,"NA"),'MITRE ATT&amp;CK Mappings'!$F633))),ISNUMBER(SEARCH(IF(J$2&lt;&gt;"",J$2,"NA"),'MITRE ATT&amp;CK Mappings'!$G633))),ISNUMBER(SEARCH(IF(J$2&lt;&gt;"",J$2,"NA"),'MITRE ATT&amp;CK Mappings'!$H633))),ISNUMBER(SEARCH(IF(J$3&lt;&gt;"",J$3,"NA"),'MITRE ATT&amp;CK Mappings'!$I633))),ISNUMBER(SEARCH(IF(J$3&lt;&gt;"",J$3,"NA"),'MITRE ATT&amp;CK Mappings'!$J633))), 'MITRE ATT&amp;CK Mappings'!$B633,"")</f>
        <v/>
      </c>
      <c r="K637" s="27" t="str">
        <f>IF(OR(OR(OR(OR(OR(ISNUMBER(SEARCH(IF(K$1&lt;&gt;"",K$1,"NA"),'MITRE ATT&amp;CK Mappings'!$E633)),ISNUMBER(SEARCH(IF(K$1&lt;&gt;"",K$1,"NA"),'MITRE ATT&amp;CK Mappings'!$F633))),ISNUMBER(SEARCH(IF(K$2&lt;&gt;"",K$2,"NA"),'MITRE ATT&amp;CK Mappings'!$G633))),ISNUMBER(SEARCH(IF(K$2&lt;&gt;"",K$2,"NA"),'MITRE ATT&amp;CK Mappings'!$H633))),ISNUMBER(SEARCH(IF(K$3&lt;&gt;"",K$3,"NA"),'MITRE ATT&amp;CK Mappings'!$I633))),ISNUMBER(SEARCH(IF(K$3&lt;&gt;"",K$3,"NA"),'MITRE ATT&amp;CK Mappings'!$J633))), 'MITRE ATT&amp;CK Mappings'!$B633,"")</f>
        <v/>
      </c>
      <c r="L637" s="27" t="str">
        <f>IF('MITRE ATT&amp;CK Mappings'!D633 &lt;&gt;"",'MITRE ATT&amp;CK Mappings'!D633,"" )</f>
        <v/>
      </c>
    </row>
    <row r="638" spans="1:12" x14ac:dyDescent="0.25">
      <c r="A638" s="26" t="str">
        <f>IF(COUNTIF(B638:K638,"="&amp;'MITRE ATT&amp;CK Mappings'!B634)&gt;0,'MITRE ATT&amp;CK Mappings'!B634,"")</f>
        <v/>
      </c>
      <c r="B638" s="26" t="str">
        <f>IF(OR(OR(OR(OR(OR(ISNUMBER(SEARCH(IF(B$1&lt;&gt;"",B$1,"NA"),'MITRE ATT&amp;CK Mappings'!$E634)),ISNUMBER(SEARCH(IF(B$1&lt;&gt;"",B$1,"NA"),'MITRE ATT&amp;CK Mappings'!$F634))),ISNUMBER(SEARCH(IF(B$2&lt;&gt;"",B$2,"NA"),'MITRE ATT&amp;CK Mappings'!$G634))),ISNUMBER(SEARCH(IF(B$2&lt;&gt;"",B$2,"NA"),'MITRE ATT&amp;CK Mappings'!$H634))),ISNUMBER(SEARCH(IF(B$3&lt;&gt;"",B$3,"NA"),'MITRE ATT&amp;CK Mappings'!$I634))),ISNUMBER(SEARCH(IF(B$3&lt;&gt;"",B$3,"NA"),'MITRE ATT&amp;CK Mappings'!$J634))), 'MITRE ATT&amp;CK Mappings'!$B634,"")</f>
        <v/>
      </c>
      <c r="C638" s="26" t="str">
        <f>IF(OR(OR(OR(OR(OR(ISNUMBER(SEARCH(IF(C$1&lt;&gt;"",C$1,"NA"),'MITRE ATT&amp;CK Mappings'!$E634)),ISNUMBER(SEARCH(IF(C$1&lt;&gt;"",C$1,"NA"),'MITRE ATT&amp;CK Mappings'!$F634))),ISNUMBER(SEARCH(IF(C$2&lt;&gt;"",C$2,"NA"),'MITRE ATT&amp;CK Mappings'!$G634))),ISNUMBER(SEARCH(IF(C$2&lt;&gt;"",C$2,"NA"),'MITRE ATT&amp;CK Mappings'!$H634))),ISNUMBER(SEARCH(IF(C$3&lt;&gt;"",C$3,"NA"),'MITRE ATT&amp;CK Mappings'!$I634))),ISNUMBER(SEARCH(IF(C$3&lt;&gt;"",C$3,"NA"),'MITRE ATT&amp;CK Mappings'!$J634))), 'MITRE ATT&amp;CK Mappings'!$B634,"")</f>
        <v/>
      </c>
      <c r="D638" s="26" t="str">
        <f>IF(OR(OR(OR(OR(OR(ISNUMBER(SEARCH(IF(D$1&lt;&gt;"",D$1,"NA"),'MITRE ATT&amp;CK Mappings'!$E634)),ISNUMBER(SEARCH(IF(D$1&lt;&gt;"",D$1,"NA"),'MITRE ATT&amp;CK Mappings'!$F634))),ISNUMBER(SEARCH(IF(D$2&lt;&gt;"",D$2,"NA"),'MITRE ATT&amp;CK Mappings'!$G634))),ISNUMBER(SEARCH(IF(D$2&lt;&gt;"",D$2,"NA"),'MITRE ATT&amp;CK Mappings'!$H634))),ISNUMBER(SEARCH(IF(D$3&lt;&gt;"",D$3,"NA"),'MITRE ATT&amp;CK Mappings'!$I634))),ISNUMBER(SEARCH(IF(D$3&lt;&gt;"",D$3,"NA"),'MITRE ATT&amp;CK Mappings'!$J634))), 'MITRE ATT&amp;CK Mappings'!$B634,"")</f>
        <v/>
      </c>
      <c r="E638" s="26" t="str">
        <f>IF(OR(OR(OR(OR(OR(ISNUMBER(SEARCH(IF(E$1&lt;&gt;"",E$1,"NA"),'MITRE ATT&amp;CK Mappings'!$E634)),ISNUMBER(SEARCH(IF(E$1&lt;&gt;"",E$1,"NA"),'MITRE ATT&amp;CK Mappings'!$F634))),ISNUMBER(SEARCH(IF(E$2&lt;&gt;"",E$2,"NA"),'MITRE ATT&amp;CK Mappings'!$G634))),ISNUMBER(SEARCH(IF(E$2&lt;&gt;"",E$2,"NA"),'MITRE ATT&amp;CK Mappings'!$H634))),ISNUMBER(SEARCH(IF(E$3&lt;&gt;"",E$3,"NA"),'MITRE ATT&amp;CK Mappings'!$I634))),ISNUMBER(SEARCH(IF(E$3&lt;&gt;"",E$3,"NA"),'MITRE ATT&amp;CK Mappings'!$J634))), 'MITRE ATT&amp;CK Mappings'!$B634,"")</f>
        <v/>
      </c>
      <c r="F638" s="26" t="str">
        <f>IF(OR(OR(OR(OR(OR(ISNUMBER(SEARCH(IF(F$1&lt;&gt;"",F$1,"NA"),'MITRE ATT&amp;CK Mappings'!$E634)),ISNUMBER(SEARCH(IF(F$1&lt;&gt;"",F$1,"NA"),'MITRE ATT&amp;CK Mappings'!$F634))),ISNUMBER(SEARCH(IF(F$2&lt;&gt;"",F$2,"NA"),'MITRE ATT&amp;CK Mappings'!$G634))),ISNUMBER(SEARCH(IF(F$2&lt;&gt;"",F$2,"NA"),'MITRE ATT&amp;CK Mappings'!$H634))),ISNUMBER(SEARCH(IF(F$3&lt;&gt;"",F$3,"NA"),'MITRE ATT&amp;CK Mappings'!$I634))),ISNUMBER(SEARCH(IF(F$3&lt;&gt;"",F$3,"NA"),'MITRE ATT&amp;CK Mappings'!$J634))), 'MITRE ATT&amp;CK Mappings'!$B634,"")</f>
        <v/>
      </c>
      <c r="G638" s="26" t="str">
        <f>IF(OR(OR(OR(OR(OR(ISNUMBER(SEARCH(IF(G$1&lt;&gt;"",G$1,"NA"),'MITRE ATT&amp;CK Mappings'!$E634)),ISNUMBER(SEARCH(IF(G$1&lt;&gt;"",G$1,"NA"),'MITRE ATT&amp;CK Mappings'!$F634))),ISNUMBER(SEARCH(IF(G$2&lt;&gt;"",G$2,"NA"),'MITRE ATT&amp;CK Mappings'!$G634))),ISNUMBER(SEARCH(IF(G$2&lt;&gt;"",G$2,"NA"),'MITRE ATT&amp;CK Mappings'!$H634))),ISNUMBER(SEARCH(IF(G$3&lt;&gt;"",G$3,"NA"),'MITRE ATT&amp;CK Mappings'!$I634))),ISNUMBER(SEARCH(IF(G$3&lt;&gt;"",G$3,"NA"),'MITRE ATT&amp;CK Mappings'!$J634))), 'MITRE ATT&amp;CK Mappings'!$B634,"")</f>
        <v/>
      </c>
      <c r="H638" s="26" t="str">
        <f>IF(OR(OR(OR(OR(OR(ISNUMBER(SEARCH(IF(H$1&lt;&gt;"",H$1,"NA"),'MITRE ATT&amp;CK Mappings'!$E634)),ISNUMBER(SEARCH(IF(H$1&lt;&gt;"",H$1,"NA"),'MITRE ATT&amp;CK Mappings'!$F634))),ISNUMBER(SEARCH(IF(H$2&lt;&gt;"",H$2,"NA"),'MITRE ATT&amp;CK Mappings'!$G634))),ISNUMBER(SEARCH(IF(H$2&lt;&gt;"",H$2,"NA"),'MITRE ATT&amp;CK Mappings'!$H634))),ISNUMBER(SEARCH(IF(H$3&lt;&gt;"",H$3,"NA"),'MITRE ATT&amp;CK Mappings'!$I634))),ISNUMBER(SEARCH(IF(H$3&lt;&gt;"",H$3,"NA"),'MITRE ATT&amp;CK Mappings'!$J634))), 'MITRE ATT&amp;CK Mappings'!$B634,"")</f>
        <v/>
      </c>
      <c r="I638" s="26" t="str">
        <f>IF(OR(OR(OR(OR(OR(ISNUMBER(SEARCH(IF(I$1&lt;&gt;"",I$1,"NA"),'MITRE ATT&amp;CK Mappings'!$E634)),ISNUMBER(SEARCH(IF(I$1&lt;&gt;"",I$1,"NA"),'MITRE ATT&amp;CK Mappings'!$F634))),ISNUMBER(SEARCH(IF(I$2&lt;&gt;"",I$2,"NA"),'MITRE ATT&amp;CK Mappings'!$G634))),ISNUMBER(SEARCH(IF(I$2&lt;&gt;"",I$2,"NA"),'MITRE ATT&amp;CK Mappings'!$H634))),ISNUMBER(SEARCH(IF(I$3&lt;&gt;"",I$3,"NA"),'MITRE ATT&amp;CK Mappings'!$I634))),ISNUMBER(SEARCH(IF(I$3&lt;&gt;"",I$3,"NA"),'MITRE ATT&amp;CK Mappings'!$J634))), 'MITRE ATT&amp;CK Mappings'!$B634,"")</f>
        <v/>
      </c>
      <c r="J638" s="26" t="str">
        <f>IF(OR(OR(OR(OR(OR(ISNUMBER(SEARCH(IF(J$1&lt;&gt;"",J$1,"NA"),'MITRE ATT&amp;CK Mappings'!$E634)),ISNUMBER(SEARCH(IF(J$1&lt;&gt;"",J$1,"NA"),'MITRE ATT&amp;CK Mappings'!$F634))),ISNUMBER(SEARCH(IF(J$2&lt;&gt;"",J$2,"NA"),'MITRE ATT&amp;CK Mappings'!$G634))),ISNUMBER(SEARCH(IF(J$2&lt;&gt;"",J$2,"NA"),'MITRE ATT&amp;CK Mappings'!$H634))),ISNUMBER(SEARCH(IF(J$3&lt;&gt;"",J$3,"NA"),'MITRE ATT&amp;CK Mappings'!$I634))),ISNUMBER(SEARCH(IF(J$3&lt;&gt;"",J$3,"NA"),'MITRE ATT&amp;CK Mappings'!$J634))), 'MITRE ATT&amp;CK Mappings'!$B634,"")</f>
        <v/>
      </c>
      <c r="K638" s="26" t="str">
        <f>IF(OR(OR(OR(OR(OR(ISNUMBER(SEARCH(IF(K$1&lt;&gt;"",K$1,"NA"),'MITRE ATT&amp;CK Mappings'!$E634)),ISNUMBER(SEARCH(IF(K$1&lt;&gt;"",K$1,"NA"),'MITRE ATT&amp;CK Mappings'!$F634))),ISNUMBER(SEARCH(IF(K$2&lt;&gt;"",K$2,"NA"),'MITRE ATT&amp;CK Mappings'!$G634))),ISNUMBER(SEARCH(IF(K$2&lt;&gt;"",K$2,"NA"),'MITRE ATT&amp;CK Mappings'!$H634))),ISNUMBER(SEARCH(IF(K$3&lt;&gt;"",K$3,"NA"),'MITRE ATT&amp;CK Mappings'!$I634))),ISNUMBER(SEARCH(IF(K$3&lt;&gt;"",K$3,"NA"),'MITRE ATT&amp;CK Mappings'!$J634))), 'MITRE ATT&amp;CK Mappings'!$B634,"")</f>
        <v/>
      </c>
      <c r="L638" s="26" t="str">
        <f>IF('MITRE ATT&amp;CK Mappings'!D634 &lt;&gt;"",'MITRE ATT&amp;CK Mappings'!D634,"" )</f>
        <v/>
      </c>
    </row>
    <row r="639" spans="1:12" x14ac:dyDescent="0.25">
      <c r="A639" s="27" t="str">
        <f>IF(COUNTIF(B639:K639,"="&amp;'MITRE ATT&amp;CK Mappings'!B635)&gt;0,'MITRE ATT&amp;CK Mappings'!B635,"")</f>
        <v/>
      </c>
      <c r="B639" s="27" t="str">
        <f>IF(OR(OR(OR(OR(OR(ISNUMBER(SEARCH(IF(B$1&lt;&gt;"",B$1,"NA"),'MITRE ATT&amp;CK Mappings'!$E635)),ISNUMBER(SEARCH(IF(B$1&lt;&gt;"",B$1,"NA"),'MITRE ATT&amp;CK Mappings'!$F635))),ISNUMBER(SEARCH(IF(B$2&lt;&gt;"",B$2,"NA"),'MITRE ATT&amp;CK Mappings'!$G635))),ISNUMBER(SEARCH(IF(B$2&lt;&gt;"",B$2,"NA"),'MITRE ATT&amp;CK Mappings'!$H635))),ISNUMBER(SEARCH(IF(B$3&lt;&gt;"",B$3,"NA"),'MITRE ATT&amp;CK Mappings'!$I635))),ISNUMBER(SEARCH(IF(B$3&lt;&gt;"",B$3,"NA"),'MITRE ATT&amp;CK Mappings'!$J635))), 'MITRE ATT&amp;CK Mappings'!$B635,"")</f>
        <v/>
      </c>
      <c r="C639" s="27" t="str">
        <f>IF(OR(OR(OR(OR(OR(ISNUMBER(SEARCH(IF(C$1&lt;&gt;"",C$1,"NA"),'MITRE ATT&amp;CK Mappings'!$E635)),ISNUMBER(SEARCH(IF(C$1&lt;&gt;"",C$1,"NA"),'MITRE ATT&amp;CK Mappings'!$F635))),ISNUMBER(SEARCH(IF(C$2&lt;&gt;"",C$2,"NA"),'MITRE ATT&amp;CK Mappings'!$G635))),ISNUMBER(SEARCH(IF(C$2&lt;&gt;"",C$2,"NA"),'MITRE ATT&amp;CK Mappings'!$H635))),ISNUMBER(SEARCH(IF(C$3&lt;&gt;"",C$3,"NA"),'MITRE ATT&amp;CK Mappings'!$I635))),ISNUMBER(SEARCH(IF(C$3&lt;&gt;"",C$3,"NA"),'MITRE ATT&amp;CK Mappings'!$J635))), 'MITRE ATT&amp;CK Mappings'!$B635,"")</f>
        <v/>
      </c>
      <c r="D639" s="27" t="str">
        <f>IF(OR(OR(OR(OR(OR(ISNUMBER(SEARCH(IF(D$1&lt;&gt;"",D$1,"NA"),'MITRE ATT&amp;CK Mappings'!$E635)),ISNUMBER(SEARCH(IF(D$1&lt;&gt;"",D$1,"NA"),'MITRE ATT&amp;CK Mappings'!$F635))),ISNUMBER(SEARCH(IF(D$2&lt;&gt;"",D$2,"NA"),'MITRE ATT&amp;CK Mappings'!$G635))),ISNUMBER(SEARCH(IF(D$2&lt;&gt;"",D$2,"NA"),'MITRE ATT&amp;CK Mappings'!$H635))),ISNUMBER(SEARCH(IF(D$3&lt;&gt;"",D$3,"NA"),'MITRE ATT&amp;CK Mappings'!$I635))),ISNUMBER(SEARCH(IF(D$3&lt;&gt;"",D$3,"NA"),'MITRE ATT&amp;CK Mappings'!$J635))), 'MITRE ATT&amp;CK Mappings'!$B635,"")</f>
        <v/>
      </c>
      <c r="E639" s="27" t="str">
        <f>IF(OR(OR(OR(OR(OR(ISNUMBER(SEARCH(IF(E$1&lt;&gt;"",E$1,"NA"),'MITRE ATT&amp;CK Mappings'!$E635)),ISNUMBER(SEARCH(IF(E$1&lt;&gt;"",E$1,"NA"),'MITRE ATT&amp;CK Mappings'!$F635))),ISNUMBER(SEARCH(IF(E$2&lt;&gt;"",E$2,"NA"),'MITRE ATT&amp;CK Mappings'!$G635))),ISNUMBER(SEARCH(IF(E$2&lt;&gt;"",E$2,"NA"),'MITRE ATT&amp;CK Mappings'!$H635))),ISNUMBER(SEARCH(IF(E$3&lt;&gt;"",E$3,"NA"),'MITRE ATT&amp;CK Mappings'!$I635))),ISNUMBER(SEARCH(IF(E$3&lt;&gt;"",E$3,"NA"),'MITRE ATT&amp;CK Mappings'!$J635))), 'MITRE ATT&amp;CK Mappings'!$B635,"")</f>
        <v/>
      </c>
      <c r="F639" s="27" t="str">
        <f>IF(OR(OR(OR(OR(OR(ISNUMBER(SEARCH(IF(F$1&lt;&gt;"",F$1,"NA"),'MITRE ATT&amp;CK Mappings'!$E635)),ISNUMBER(SEARCH(IF(F$1&lt;&gt;"",F$1,"NA"),'MITRE ATT&amp;CK Mappings'!$F635))),ISNUMBER(SEARCH(IF(F$2&lt;&gt;"",F$2,"NA"),'MITRE ATT&amp;CK Mappings'!$G635))),ISNUMBER(SEARCH(IF(F$2&lt;&gt;"",F$2,"NA"),'MITRE ATT&amp;CK Mappings'!$H635))),ISNUMBER(SEARCH(IF(F$3&lt;&gt;"",F$3,"NA"),'MITRE ATT&amp;CK Mappings'!$I635))),ISNUMBER(SEARCH(IF(F$3&lt;&gt;"",F$3,"NA"),'MITRE ATT&amp;CK Mappings'!$J635))), 'MITRE ATT&amp;CK Mappings'!$B635,"")</f>
        <v/>
      </c>
      <c r="G639" s="27" t="str">
        <f>IF(OR(OR(OR(OR(OR(ISNUMBER(SEARCH(IF(G$1&lt;&gt;"",G$1,"NA"),'MITRE ATT&amp;CK Mappings'!$E635)),ISNUMBER(SEARCH(IF(G$1&lt;&gt;"",G$1,"NA"),'MITRE ATT&amp;CK Mappings'!$F635))),ISNUMBER(SEARCH(IF(G$2&lt;&gt;"",G$2,"NA"),'MITRE ATT&amp;CK Mappings'!$G635))),ISNUMBER(SEARCH(IF(G$2&lt;&gt;"",G$2,"NA"),'MITRE ATT&amp;CK Mappings'!$H635))),ISNUMBER(SEARCH(IF(G$3&lt;&gt;"",G$3,"NA"),'MITRE ATT&amp;CK Mappings'!$I635))),ISNUMBER(SEARCH(IF(G$3&lt;&gt;"",G$3,"NA"),'MITRE ATT&amp;CK Mappings'!$J635))), 'MITRE ATT&amp;CK Mappings'!$B635,"")</f>
        <v/>
      </c>
      <c r="H639" s="27" t="str">
        <f>IF(OR(OR(OR(OR(OR(ISNUMBER(SEARCH(IF(H$1&lt;&gt;"",H$1,"NA"),'MITRE ATT&amp;CK Mappings'!$E635)),ISNUMBER(SEARCH(IF(H$1&lt;&gt;"",H$1,"NA"),'MITRE ATT&amp;CK Mappings'!$F635))),ISNUMBER(SEARCH(IF(H$2&lt;&gt;"",H$2,"NA"),'MITRE ATT&amp;CK Mappings'!$G635))),ISNUMBER(SEARCH(IF(H$2&lt;&gt;"",H$2,"NA"),'MITRE ATT&amp;CK Mappings'!$H635))),ISNUMBER(SEARCH(IF(H$3&lt;&gt;"",H$3,"NA"),'MITRE ATT&amp;CK Mappings'!$I635))),ISNUMBER(SEARCH(IF(H$3&lt;&gt;"",H$3,"NA"),'MITRE ATT&amp;CK Mappings'!$J635))), 'MITRE ATT&amp;CK Mappings'!$B635,"")</f>
        <v/>
      </c>
      <c r="I639" s="27" t="str">
        <f>IF(OR(OR(OR(OR(OR(ISNUMBER(SEARCH(IF(I$1&lt;&gt;"",I$1,"NA"),'MITRE ATT&amp;CK Mappings'!$E635)),ISNUMBER(SEARCH(IF(I$1&lt;&gt;"",I$1,"NA"),'MITRE ATT&amp;CK Mappings'!$F635))),ISNUMBER(SEARCH(IF(I$2&lt;&gt;"",I$2,"NA"),'MITRE ATT&amp;CK Mappings'!$G635))),ISNUMBER(SEARCH(IF(I$2&lt;&gt;"",I$2,"NA"),'MITRE ATT&amp;CK Mappings'!$H635))),ISNUMBER(SEARCH(IF(I$3&lt;&gt;"",I$3,"NA"),'MITRE ATT&amp;CK Mappings'!$I635))),ISNUMBER(SEARCH(IF(I$3&lt;&gt;"",I$3,"NA"),'MITRE ATT&amp;CK Mappings'!$J635))), 'MITRE ATT&amp;CK Mappings'!$B635,"")</f>
        <v/>
      </c>
      <c r="J639" s="27" t="str">
        <f>IF(OR(OR(OR(OR(OR(ISNUMBER(SEARCH(IF(J$1&lt;&gt;"",J$1,"NA"),'MITRE ATT&amp;CK Mappings'!$E635)),ISNUMBER(SEARCH(IF(J$1&lt;&gt;"",J$1,"NA"),'MITRE ATT&amp;CK Mappings'!$F635))),ISNUMBER(SEARCH(IF(J$2&lt;&gt;"",J$2,"NA"),'MITRE ATT&amp;CK Mappings'!$G635))),ISNUMBER(SEARCH(IF(J$2&lt;&gt;"",J$2,"NA"),'MITRE ATT&amp;CK Mappings'!$H635))),ISNUMBER(SEARCH(IF(J$3&lt;&gt;"",J$3,"NA"),'MITRE ATT&amp;CK Mappings'!$I635))),ISNUMBER(SEARCH(IF(J$3&lt;&gt;"",J$3,"NA"),'MITRE ATT&amp;CK Mappings'!$J635))), 'MITRE ATT&amp;CK Mappings'!$B635,"")</f>
        <v/>
      </c>
      <c r="K639" s="27" t="str">
        <f>IF(OR(OR(OR(OR(OR(ISNUMBER(SEARCH(IF(K$1&lt;&gt;"",K$1,"NA"),'MITRE ATT&amp;CK Mappings'!$E635)),ISNUMBER(SEARCH(IF(K$1&lt;&gt;"",K$1,"NA"),'MITRE ATT&amp;CK Mappings'!$F635))),ISNUMBER(SEARCH(IF(K$2&lt;&gt;"",K$2,"NA"),'MITRE ATT&amp;CK Mappings'!$G635))),ISNUMBER(SEARCH(IF(K$2&lt;&gt;"",K$2,"NA"),'MITRE ATT&amp;CK Mappings'!$H635))),ISNUMBER(SEARCH(IF(K$3&lt;&gt;"",K$3,"NA"),'MITRE ATT&amp;CK Mappings'!$I635))),ISNUMBER(SEARCH(IF(K$3&lt;&gt;"",K$3,"NA"),'MITRE ATT&amp;CK Mappings'!$J635))), 'MITRE ATT&amp;CK Mappings'!$B635,"")</f>
        <v/>
      </c>
      <c r="L639" s="27" t="str">
        <f>IF('MITRE ATT&amp;CK Mappings'!D635 &lt;&gt;"",'MITRE ATT&amp;CK Mappings'!D635,"" )</f>
        <v/>
      </c>
    </row>
    <row r="640" spans="1:12" x14ac:dyDescent="0.25">
      <c r="A640" s="26" t="str">
        <f>IF(COUNTIF(B640:K640,"="&amp;'MITRE ATT&amp;CK Mappings'!B636)&gt;0,'MITRE ATT&amp;CK Mappings'!B636,"")</f>
        <v/>
      </c>
      <c r="B640" s="26" t="str">
        <f>IF(OR(OR(OR(OR(OR(ISNUMBER(SEARCH(IF(B$1&lt;&gt;"",B$1,"NA"),'MITRE ATT&amp;CK Mappings'!$E636)),ISNUMBER(SEARCH(IF(B$1&lt;&gt;"",B$1,"NA"),'MITRE ATT&amp;CK Mappings'!$F636))),ISNUMBER(SEARCH(IF(B$2&lt;&gt;"",B$2,"NA"),'MITRE ATT&amp;CK Mappings'!$G636))),ISNUMBER(SEARCH(IF(B$2&lt;&gt;"",B$2,"NA"),'MITRE ATT&amp;CK Mappings'!$H636))),ISNUMBER(SEARCH(IF(B$3&lt;&gt;"",B$3,"NA"),'MITRE ATT&amp;CK Mappings'!$I636))),ISNUMBER(SEARCH(IF(B$3&lt;&gt;"",B$3,"NA"),'MITRE ATT&amp;CK Mappings'!$J636))), 'MITRE ATT&amp;CK Mappings'!$B636,"")</f>
        <v/>
      </c>
      <c r="C640" s="26" t="str">
        <f>IF(OR(OR(OR(OR(OR(ISNUMBER(SEARCH(IF(C$1&lt;&gt;"",C$1,"NA"),'MITRE ATT&amp;CK Mappings'!$E636)),ISNUMBER(SEARCH(IF(C$1&lt;&gt;"",C$1,"NA"),'MITRE ATT&amp;CK Mappings'!$F636))),ISNUMBER(SEARCH(IF(C$2&lt;&gt;"",C$2,"NA"),'MITRE ATT&amp;CK Mappings'!$G636))),ISNUMBER(SEARCH(IF(C$2&lt;&gt;"",C$2,"NA"),'MITRE ATT&amp;CK Mappings'!$H636))),ISNUMBER(SEARCH(IF(C$3&lt;&gt;"",C$3,"NA"),'MITRE ATT&amp;CK Mappings'!$I636))),ISNUMBER(SEARCH(IF(C$3&lt;&gt;"",C$3,"NA"),'MITRE ATT&amp;CK Mappings'!$J636))), 'MITRE ATT&amp;CK Mappings'!$B636,"")</f>
        <v/>
      </c>
      <c r="D640" s="26" t="str">
        <f>IF(OR(OR(OR(OR(OR(ISNUMBER(SEARCH(IF(D$1&lt;&gt;"",D$1,"NA"),'MITRE ATT&amp;CK Mappings'!$E636)),ISNUMBER(SEARCH(IF(D$1&lt;&gt;"",D$1,"NA"),'MITRE ATT&amp;CK Mappings'!$F636))),ISNUMBER(SEARCH(IF(D$2&lt;&gt;"",D$2,"NA"),'MITRE ATT&amp;CK Mappings'!$G636))),ISNUMBER(SEARCH(IF(D$2&lt;&gt;"",D$2,"NA"),'MITRE ATT&amp;CK Mappings'!$H636))),ISNUMBER(SEARCH(IF(D$3&lt;&gt;"",D$3,"NA"),'MITRE ATT&amp;CK Mappings'!$I636))),ISNUMBER(SEARCH(IF(D$3&lt;&gt;"",D$3,"NA"),'MITRE ATT&amp;CK Mappings'!$J636))), 'MITRE ATT&amp;CK Mappings'!$B636,"")</f>
        <v/>
      </c>
      <c r="E640" s="26" t="str">
        <f>IF(OR(OR(OR(OR(OR(ISNUMBER(SEARCH(IF(E$1&lt;&gt;"",E$1,"NA"),'MITRE ATT&amp;CK Mappings'!$E636)),ISNUMBER(SEARCH(IF(E$1&lt;&gt;"",E$1,"NA"),'MITRE ATT&amp;CK Mappings'!$F636))),ISNUMBER(SEARCH(IF(E$2&lt;&gt;"",E$2,"NA"),'MITRE ATT&amp;CK Mappings'!$G636))),ISNUMBER(SEARCH(IF(E$2&lt;&gt;"",E$2,"NA"),'MITRE ATT&amp;CK Mappings'!$H636))),ISNUMBER(SEARCH(IF(E$3&lt;&gt;"",E$3,"NA"),'MITRE ATT&amp;CK Mappings'!$I636))),ISNUMBER(SEARCH(IF(E$3&lt;&gt;"",E$3,"NA"),'MITRE ATT&amp;CK Mappings'!$J636))), 'MITRE ATT&amp;CK Mappings'!$B636,"")</f>
        <v/>
      </c>
      <c r="F640" s="26" t="str">
        <f>IF(OR(OR(OR(OR(OR(ISNUMBER(SEARCH(IF(F$1&lt;&gt;"",F$1,"NA"),'MITRE ATT&amp;CK Mappings'!$E636)),ISNUMBER(SEARCH(IF(F$1&lt;&gt;"",F$1,"NA"),'MITRE ATT&amp;CK Mappings'!$F636))),ISNUMBER(SEARCH(IF(F$2&lt;&gt;"",F$2,"NA"),'MITRE ATT&amp;CK Mappings'!$G636))),ISNUMBER(SEARCH(IF(F$2&lt;&gt;"",F$2,"NA"),'MITRE ATT&amp;CK Mappings'!$H636))),ISNUMBER(SEARCH(IF(F$3&lt;&gt;"",F$3,"NA"),'MITRE ATT&amp;CK Mappings'!$I636))),ISNUMBER(SEARCH(IF(F$3&lt;&gt;"",F$3,"NA"),'MITRE ATT&amp;CK Mappings'!$J636))), 'MITRE ATT&amp;CK Mappings'!$B636,"")</f>
        <v/>
      </c>
      <c r="G640" s="26" t="str">
        <f>IF(OR(OR(OR(OR(OR(ISNUMBER(SEARCH(IF(G$1&lt;&gt;"",G$1,"NA"),'MITRE ATT&amp;CK Mappings'!$E636)),ISNUMBER(SEARCH(IF(G$1&lt;&gt;"",G$1,"NA"),'MITRE ATT&amp;CK Mappings'!$F636))),ISNUMBER(SEARCH(IF(G$2&lt;&gt;"",G$2,"NA"),'MITRE ATT&amp;CK Mappings'!$G636))),ISNUMBER(SEARCH(IF(G$2&lt;&gt;"",G$2,"NA"),'MITRE ATT&amp;CK Mappings'!$H636))),ISNUMBER(SEARCH(IF(G$3&lt;&gt;"",G$3,"NA"),'MITRE ATT&amp;CK Mappings'!$I636))),ISNUMBER(SEARCH(IF(G$3&lt;&gt;"",G$3,"NA"),'MITRE ATT&amp;CK Mappings'!$J636))), 'MITRE ATT&amp;CK Mappings'!$B636,"")</f>
        <v/>
      </c>
      <c r="H640" s="26" t="str">
        <f>IF(OR(OR(OR(OR(OR(ISNUMBER(SEARCH(IF(H$1&lt;&gt;"",H$1,"NA"),'MITRE ATT&amp;CK Mappings'!$E636)),ISNUMBER(SEARCH(IF(H$1&lt;&gt;"",H$1,"NA"),'MITRE ATT&amp;CK Mappings'!$F636))),ISNUMBER(SEARCH(IF(H$2&lt;&gt;"",H$2,"NA"),'MITRE ATT&amp;CK Mappings'!$G636))),ISNUMBER(SEARCH(IF(H$2&lt;&gt;"",H$2,"NA"),'MITRE ATT&amp;CK Mappings'!$H636))),ISNUMBER(SEARCH(IF(H$3&lt;&gt;"",H$3,"NA"),'MITRE ATT&amp;CK Mappings'!$I636))),ISNUMBER(SEARCH(IF(H$3&lt;&gt;"",H$3,"NA"),'MITRE ATT&amp;CK Mappings'!$J636))), 'MITRE ATT&amp;CK Mappings'!$B636,"")</f>
        <v/>
      </c>
      <c r="I640" s="26" t="str">
        <f>IF(OR(OR(OR(OR(OR(ISNUMBER(SEARCH(IF(I$1&lt;&gt;"",I$1,"NA"),'MITRE ATT&amp;CK Mappings'!$E636)),ISNUMBER(SEARCH(IF(I$1&lt;&gt;"",I$1,"NA"),'MITRE ATT&amp;CK Mappings'!$F636))),ISNUMBER(SEARCH(IF(I$2&lt;&gt;"",I$2,"NA"),'MITRE ATT&amp;CK Mappings'!$G636))),ISNUMBER(SEARCH(IF(I$2&lt;&gt;"",I$2,"NA"),'MITRE ATT&amp;CK Mappings'!$H636))),ISNUMBER(SEARCH(IF(I$3&lt;&gt;"",I$3,"NA"),'MITRE ATT&amp;CK Mappings'!$I636))),ISNUMBER(SEARCH(IF(I$3&lt;&gt;"",I$3,"NA"),'MITRE ATT&amp;CK Mappings'!$J636))), 'MITRE ATT&amp;CK Mappings'!$B636,"")</f>
        <v/>
      </c>
      <c r="J640" s="26" t="str">
        <f>IF(OR(OR(OR(OR(OR(ISNUMBER(SEARCH(IF(J$1&lt;&gt;"",J$1,"NA"),'MITRE ATT&amp;CK Mappings'!$E636)),ISNUMBER(SEARCH(IF(J$1&lt;&gt;"",J$1,"NA"),'MITRE ATT&amp;CK Mappings'!$F636))),ISNUMBER(SEARCH(IF(J$2&lt;&gt;"",J$2,"NA"),'MITRE ATT&amp;CK Mappings'!$G636))),ISNUMBER(SEARCH(IF(J$2&lt;&gt;"",J$2,"NA"),'MITRE ATT&amp;CK Mappings'!$H636))),ISNUMBER(SEARCH(IF(J$3&lt;&gt;"",J$3,"NA"),'MITRE ATT&amp;CK Mappings'!$I636))),ISNUMBER(SEARCH(IF(J$3&lt;&gt;"",J$3,"NA"),'MITRE ATT&amp;CK Mappings'!$J636))), 'MITRE ATT&amp;CK Mappings'!$B636,"")</f>
        <v/>
      </c>
      <c r="K640" s="26" t="str">
        <f>IF(OR(OR(OR(OR(OR(ISNUMBER(SEARCH(IF(K$1&lt;&gt;"",K$1,"NA"),'MITRE ATT&amp;CK Mappings'!$E636)),ISNUMBER(SEARCH(IF(K$1&lt;&gt;"",K$1,"NA"),'MITRE ATT&amp;CK Mappings'!$F636))),ISNUMBER(SEARCH(IF(K$2&lt;&gt;"",K$2,"NA"),'MITRE ATT&amp;CK Mappings'!$G636))),ISNUMBER(SEARCH(IF(K$2&lt;&gt;"",K$2,"NA"),'MITRE ATT&amp;CK Mappings'!$H636))),ISNUMBER(SEARCH(IF(K$3&lt;&gt;"",K$3,"NA"),'MITRE ATT&amp;CK Mappings'!$I636))),ISNUMBER(SEARCH(IF(K$3&lt;&gt;"",K$3,"NA"),'MITRE ATT&amp;CK Mappings'!$J636))), 'MITRE ATT&amp;CK Mappings'!$B636,"")</f>
        <v/>
      </c>
      <c r="L640" s="26" t="str">
        <f>IF('MITRE ATT&amp;CK Mappings'!D636 &lt;&gt;"",'MITRE ATT&amp;CK Mappings'!D636,"" )</f>
        <v/>
      </c>
    </row>
    <row r="641" spans="1:12" x14ac:dyDescent="0.25">
      <c r="A641" s="27" t="str">
        <f>IF(COUNTIF(B641:K641,"="&amp;'MITRE ATT&amp;CK Mappings'!B637)&gt;0,'MITRE ATT&amp;CK Mappings'!B637,"")</f>
        <v/>
      </c>
      <c r="B641" s="27" t="str">
        <f>IF(OR(OR(OR(OR(OR(ISNUMBER(SEARCH(IF(B$1&lt;&gt;"",B$1,"NA"),'MITRE ATT&amp;CK Mappings'!$E637)),ISNUMBER(SEARCH(IF(B$1&lt;&gt;"",B$1,"NA"),'MITRE ATT&amp;CK Mappings'!$F637))),ISNUMBER(SEARCH(IF(B$2&lt;&gt;"",B$2,"NA"),'MITRE ATT&amp;CK Mappings'!$G637))),ISNUMBER(SEARCH(IF(B$2&lt;&gt;"",B$2,"NA"),'MITRE ATT&amp;CK Mappings'!$H637))),ISNUMBER(SEARCH(IF(B$3&lt;&gt;"",B$3,"NA"),'MITRE ATT&amp;CK Mappings'!$I637))),ISNUMBER(SEARCH(IF(B$3&lt;&gt;"",B$3,"NA"),'MITRE ATT&amp;CK Mappings'!$J637))), 'MITRE ATT&amp;CK Mappings'!$B637,"")</f>
        <v/>
      </c>
      <c r="C641" s="27" t="str">
        <f>IF(OR(OR(OR(OR(OR(ISNUMBER(SEARCH(IF(C$1&lt;&gt;"",C$1,"NA"),'MITRE ATT&amp;CK Mappings'!$E637)),ISNUMBER(SEARCH(IF(C$1&lt;&gt;"",C$1,"NA"),'MITRE ATT&amp;CK Mappings'!$F637))),ISNUMBER(SEARCH(IF(C$2&lt;&gt;"",C$2,"NA"),'MITRE ATT&amp;CK Mappings'!$G637))),ISNUMBER(SEARCH(IF(C$2&lt;&gt;"",C$2,"NA"),'MITRE ATT&amp;CK Mappings'!$H637))),ISNUMBER(SEARCH(IF(C$3&lt;&gt;"",C$3,"NA"),'MITRE ATT&amp;CK Mappings'!$I637))),ISNUMBER(SEARCH(IF(C$3&lt;&gt;"",C$3,"NA"),'MITRE ATT&amp;CK Mappings'!$J637))), 'MITRE ATT&amp;CK Mappings'!$B637,"")</f>
        <v/>
      </c>
      <c r="D641" s="27" t="str">
        <f>IF(OR(OR(OR(OR(OR(ISNUMBER(SEARCH(IF(D$1&lt;&gt;"",D$1,"NA"),'MITRE ATT&amp;CK Mappings'!$E637)),ISNUMBER(SEARCH(IF(D$1&lt;&gt;"",D$1,"NA"),'MITRE ATT&amp;CK Mappings'!$F637))),ISNUMBER(SEARCH(IF(D$2&lt;&gt;"",D$2,"NA"),'MITRE ATT&amp;CK Mappings'!$G637))),ISNUMBER(SEARCH(IF(D$2&lt;&gt;"",D$2,"NA"),'MITRE ATT&amp;CK Mappings'!$H637))),ISNUMBER(SEARCH(IF(D$3&lt;&gt;"",D$3,"NA"),'MITRE ATT&amp;CK Mappings'!$I637))),ISNUMBER(SEARCH(IF(D$3&lt;&gt;"",D$3,"NA"),'MITRE ATT&amp;CK Mappings'!$J637))), 'MITRE ATT&amp;CK Mappings'!$B637,"")</f>
        <v/>
      </c>
      <c r="E641" s="27" t="str">
        <f>IF(OR(OR(OR(OR(OR(ISNUMBER(SEARCH(IF(E$1&lt;&gt;"",E$1,"NA"),'MITRE ATT&amp;CK Mappings'!$E637)),ISNUMBER(SEARCH(IF(E$1&lt;&gt;"",E$1,"NA"),'MITRE ATT&amp;CK Mappings'!$F637))),ISNUMBER(SEARCH(IF(E$2&lt;&gt;"",E$2,"NA"),'MITRE ATT&amp;CK Mappings'!$G637))),ISNUMBER(SEARCH(IF(E$2&lt;&gt;"",E$2,"NA"),'MITRE ATT&amp;CK Mappings'!$H637))),ISNUMBER(SEARCH(IF(E$3&lt;&gt;"",E$3,"NA"),'MITRE ATT&amp;CK Mappings'!$I637))),ISNUMBER(SEARCH(IF(E$3&lt;&gt;"",E$3,"NA"),'MITRE ATT&amp;CK Mappings'!$J637))), 'MITRE ATT&amp;CK Mappings'!$B637,"")</f>
        <v/>
      </c>
      <c r="F641" s="27" t="str">
        <f>IF(OR(OR(OR(OR(OR(ISNUMBER(SEARCH(IF(F$1&lt;&gt;"",F$1,"NA"),'MITRE ATT&amp;CK Mappings'!$E637)),ISNUMBER(SEARCH(IF(F$1&lt;&gt;"",F$1,"NA"),'MITRE ATT&amp;CK Mappings'!$F637))),ISNUMBER(SEARCH(IF(F$2&lt;&gt;"",F$2,"NA"),'MITRE ATT&amp;CK Mappings'!$G637))),ISNUMBER(SEARCH(IF(F$2&lt;&gt;"",F$2,"NA"),'MITRE ATT&amp;CK Mappings'!$H637))),ISNUMBER(SEARCH(IF(F$3&lt;&gt;"",F$3,"NA"),'MITRE ATT&amp;CK Mappings'!$I637))),ISNUMBER(SEARCH(IF(F$3&lt;&gt;"",F$3,"NA"),'MITRE ATT&amp;CK Mappings'!$J637))), 'MITRE ATT&amp;CK Mappings'!$B637,"")</f>
        <v/>
      </c>
      <c r="G641" s="27" t="str">
        <f>IF(OR(OR(OR(OR(OR(ISNUMBER(SEARCH(IF(G$1&lt;&gt;"",G$1,"NA"),'MITRE ATT&amp;CK Mappings'!$E637)),ISNUMBER(SEARCH(IF(G$1&lt;&gt;"",G$1,"NA"),'MITRE ATT&amp;CK Mappings'!$F637))),ISNUMBER(SEARCH(IF(G$2&lt;&gt;"",G$2,"NA"),'MITRE ATT&amp;CK Mappings'!$G637))),ISNUMBER(SEARCH(IF(G$2&lt;&gt;"",G$2,"NA"),'MITRE ATT&amp;CK Mappings'!$H637))),ISNUMBER(SEARCH(IF(G$3&lt;&gt;"",G$3,"NA"),'MITRE ATT&amp;CK Mappings'!$I637))),ISNUMBER(SEARCH(IF(G$3&lt;&gt;"",G$3,"NA"),'MITRE ATT&amp;CK Mappings'!$J637))), 'MITRE ATT&amp;CK Mappings'!$B637,"")</f>
        <v/>
      </c>
      <c r="H641" s="27" t="str">
        <f>IF(OR(OR(OR(OR(OR(ISNUMBER(SEARCH(IF(H$1&lt;&gt;"",H$1,"NA"),'MITRE ATT&amp;CK Mappings'!$E637)),ISNUMBER(SEARCH(IF(H$1&lt;&gt;"",H$1,"NA"),'MITRE ATT&amp;CK Mappings'!$F637))),ISNUMBER(SEARCH(IF(H$2&lt;&gt;"",H$2,"NA"),'MITRE ATT&amp;CK Mappings'!$G637))),ISNUMBER(SEARCH(IF(H$2&lt;&gt;"",H$2,"NA"),'MITRE ATT&amp;CK Mappings'!$H637))),ISNUMBER(SEARCH(IF(H$3&lt;&gt;"",H$3,"NA"),'MITRE ATT&amp;CK Mappings'!$I637))),ISNUMBER(SEARCH(IF(H$3&lt;&gt;"",H$3,"NA"),'MITRE ATT&amp;CK Mappings'!$J637))), 'MITRE ATT&amp;CK Mappings'!$B637,"")</f>
        <v/>
      </c>
      <c r="I641" s="27" t="str">
        <f>IF(OR(OR(OR(OR(OR(ISNUMBER(SEARCH(IF(I$1&lt;&gt;"",I$1,"NA"),'MITRE ATT&amp;CK Mappings'!$E637)),ISNUMBER(SEARCH(IF(I$1&lt;&gt;"",I$1,"NA"),'MITRE ATT&amp;CK Mappings'!$F637))),ISNUMBER(SEARCH(IF(I$2&lt;&gt;"",I$2,"NA"),'MITRE ATT&amp;CK Mappings'!$G637))),ISNUMBER(SEARCH(IF(I$2&lt;&gt;"",I$2,"NA"),'MITRE ATT&amp;CK Mappings'!$H637))),ISNUMBER(SEARCH(IF(I$3&lt;&gt;"",I$3,"NA"),'MITRE ATT&amp;CK Mappings'!$I637))),ISNUMBER(SEARCH(IF(I$3&lt;&gt;"",I$3,"NA"),'MITRE ATT&amp;CK Mappings'!$J637))), 'MITRE ATT&amp;CK Mappings'!$B637,"")</f>
        <v/>
      </c>
      <c r="J641" s="27" t="str">
        <f>IF(OR(OR(OR(OR(OR(ISNUMBER(SEARCH(IF(J$1&lt;&gt;"",J$1,"NA"),'MITRE ATT&amp;CK Mappings'!$E637)),ISNUMBER(SEARCH(IF(J$1&lt;&gt;"",J$1,"NA"),'MITRE ATT&amp;CK Mappings'!$F637))),ISNUMBER(SEARCH(IF(J$2&lt;&gt;"",J$2,"NA"),'MITRE ATT&amp;CK Mappings'!$G637))),ISNUMBER(SEARCH(IF(J$2&lt;&gt;"",J$2,"NA"),'MITRE ATT&amp;CK Mappings'!$H637))),ISNUMBER(SEARCH(IF(J$3&lt;&gt;"",J$3,"NA"),'MITRE ATT&amp;CK Mappings'!$I637))),ISNUMBER(SEARCH(IF(J$3&lt;&gt;"",J$3,"NA"),'MITRE ATT&amp;CK Mappings'!$J637))), 'MITRE ATT&amp;CK Mappings'!$B637,"")</f>
        <v/>
      </c>
      <c r="K641" s="27" t="str">
        <f>IF(OR(OR(OR(OR(OR(ISNUMBER(SEARCH(IF(K$1&lt;&gt;"",K$1,"NA"),'MITRE ATT&amp;CK Mappings'!$E637)),ISNUMBER(SEARCH(IF(K$1&lt;&gt;"",K$1,"NA"),'MITRE ATT&amp;CK Mappings'!$F637))),ISNUMBER(SEARCH(IF(K$2&lt;&gt;"",K$2,"NA"),'MITRE ATT&amp;CK Mappings'!$G637))),ISNUMBER(SEARCH(IF(K$2&lt;&gt;"",K$2,"NA"),'MITRE ATT&amp;CK Mappings'!$H637))),ISNUMBER(SEARCH(IF(K$3&lt;&gt;"",K$3,"NA"),'MITRE ATT&amp;CK Mappings'!$I637))),ISNUMBER(SEARCH(IF(K$3&lt;&gt;"",K$3,"NA"),'MITRE ATT&amp;CK Mappings'!$J637))), 'MITRE ATT&amp;CK Mappings'!$B637,"")</f>
        <v/>
      </c>
      <c r="L641" s="27" t="str">
        <f>IF('MITRE ATT&amp;CK Mappings'!D637 &lt;&gt;"",'MITRE ATT&amp;CK Mappings'!D637,"" )</f>
        <v/>
      </c>
    </row>
    <row r="642" spans="1:12" x14ac:dyDescent="0.25">
      <c r="A642" s="26" t="str">
        <f>IF(COUNTIF(B642:K642,"="&amp;'MITRE ATT&amp;CK Mappings'!B638)&gt;0,'MITRE ATT&amp;CK Mappings'!B638,"")</f>
        <v/>
      </c>
      <c r="B642" s="26" t="str">
        <f>IF(OR(OR(OR(OR(OR(ISNUMBER(SEARCH(IF(B$1&lt;&gt;"",B$1,"NA"),'MITRE ATT&amp;CK Mappings'!$E638)),ISNUMBER(SEARCH(IF(B$1&lt;&gt;"",B$1,"NA"),'MITRE ATT&amp;CK Mappings'!$F638))),ISNUMBER(SEARCH(IF(B$2&lt;&gt;"",B$2,"NA"),'MITRE ATT&amp;CK Mappings'!$G638))),ISNUMBER(SEARCH(IF(B$2&lt;&gt;"",B$2,"NA"),'MITRE ATT&amp;CK Mappings'!$H638))),ISNUMBER(SEARCH(IF(B$3&lt;&gt;"",B$3,"NA"),'MITRE ATT&amp;CK Mappings'!$I638))),ISNUMBER(SEARCH(IF(B$3&lt;&gt;"",B$3,"NA"),'MITRE ATT&amp;CK Mappings'!$J638))), 'MITRE ATT&amp;CK Mappings'!$B638,"")</f>
        <v/>
      </c>
      <c r="C642" s="26" t="str">
        <f>IF(OR(OR(OR(OR(OR(ISNUMBER(SEARCH(IF(C$1&lt;&gt;"",C$1,"NA"),'MITRE ATT&amp;CK Mappings'!$E638)),ISNUMBER(SEARCH(IF(C$1&lt;&gt;"",C$1,"NA"),'MITRE ATT&amp;CK Mappings'!$F638))),ISNUMBER(SEARCH(IF(C$2&lt;&gt;"",C$2,"NA"),'MITRE ATT&amp;CK Mappings'!$G638))),ISNUMBER(SEARCH(IF(C$2&lt;&gt;"",C$2,"NA"),'MITRE ATT&amp;CK Mappings'!$H638))),ISNUMBER(SEARCH(IF(C$3&lt;&gt;"",C$3,"NA"),'MITRE ATT&amp;CK Mappings'!$I638))),ISNUMBER(SEARCH(IF(C$3&lt;&gt;"",C$3,"NA"),'MITRE ATT&amp;CK Mappings'!$J638))), 'MITRE ATT&amp;CK Mappings'!$B638,"")</f>
        <v/>
      </c>
      <c r="D642" s="26" t="str">
        <f>IF(OR(OR(OR(OR(OR(ISNUMBER(SEARCH(IF(D$1&lt;&gt;"",D$1,"NA"),'MITRE ATT&amp;CK Mappings'!$E638)),ISNUMBER(SEARCH(IF(D$1&lt;&gt;"",D$1,"NA"),'MITRE ATT&amp;CK Mappings'!$F638))),ISNUMBER(SEARCH(IF(D$2&lt;&gt;"",D$2,"NA"),'MITRE ATT&amp;CK Mappings'!$G638))),ISNUMBER(SEARCH(IF(D$2&lt;&gt;"",D$2,"NA"),'MITRE ATT&amp;CK Mappings'!$H638))),ISNUMBER(SEARCH(IF(D$3&lt;&gt;"",D$3,"NA"),'MITRE ATT&amp;CK Mappings'!$I638))),ISNUMBER(SEARCH(IF(D$3&lt;&gt;"",D$3,"NA"),'MITRE ATT&amp;CK Mappings'!$J638))), 'MITRE ATT&amp;CK Mappings'!$B638,"")</f>
        <v/>
      </c>
      <c r="E642" s="26" t="str">
        <f>IF(OR(OR(OR(OR(OR(ISNUMBER(SEARCH(IF(E$1&lt;&gt;"",E$1,"NA"),'MITRE ATT&amp;CK Mappings'!$E638)),ISNUMBER(SEARCH(IF(E$1&lt;&gt;"",E$1,"NA"),'MITRE ATT&amp;CK Mappings'!$F638))),ISNUMBER(SEARCH(IF(E$2&lt;&gt;"",E$2,"NA"),'MITRE ATT&amp;CK Mappings'!$G638))),ISNUMBER(SEARCH(IF(E$2&lt;&gt;"",E$2,"NA"),'MITRE ATT&amp;CK Mappings'!$H638))),ISNUMBER(SEARCH(IF(E$3&lt;&gt;"",E$3,"NA"),'MITRE ATT&amp;CK Mappings'!$I638))),ISNUMBER(SEARCH(IF(E$3&lt;&gt;"",E$3,"NA"),'MITRE ATT&amp;CK Mappings'!$J638))), 'MITRE ATT&amp;CK Mappings'!$B638,"")</f>
        <v/>
      </c>
      <c r="F642" s="26" t="str">
        <f>IF(OR(OR(OR(OR(OR(ISNUMBER(SEARCH(IF(F$1&lt;&gt;"",F$1,"NA"),'MITRE ATT&amp;CK Mappings'!$E638)),ISNUMBER(SEARCH(IF(F$1&lt;&gt;"",F$1,"NA"),'MITRE ATT&amp;CK Mappings'!$F638))),ISNUMBER(SEARCH(IF(F$2&lt;&gt;"",F$2,"NA"),'MITRE ATT&amp;CK Mappings'!$G638))),ISNUMBER(SEARCH(IF(F$2&lt;&gt;"",F$2,"NA"),'MITRE ATT&amp;CK Mappings'!$H638))),ISNUMBER(SEARCH(IF(F$3&lt;&gt;"",F$3,"NA"),'MITRE ATT&amp;CK Mappings'!$I638))),ISNUMBER(SEARCH(IF(F$3&lt;&gt;"",F$3,"NA"),'MITRE ATT&amp;CK Mappings'!$J638))), 'MITRE ATT&amp;CK Mappings'!$B638,"")</f>
        <v/>
      </c>
      <c r="G642" s="26" t="str">
        <f>IF(OR(OR(OR(OR(OR(ISNUMBER(SEARCH(IF(G$1&lt;&gt;"",G$1,"NA"),'MITRE ATT&amp;CK Mappings'!$E638)),ISNUMBER(SEARCH(IF(G$1&lt;&gt;"",G$1,"NA"),'MITRE ATT&amp;CK Mappings'!$F638))),ISNUMBER(SEARCH(IF(G$2&lt;&gt;"",G$2,"NA"),'MITRE ATT&amp;CK Mappings'!$G638))),ISNUMBER(SEARCH(IF(G$2&lt;&gt;"",G$2,"NA"),'MITRE ATT&amp;CK Mappings'!$H638))),ISNUMBER(SEARCH(IF(G$3&lt;&gt;"",G$3,"NA"),'MITRE ATT&amp;CK Mappings'!$I638))),ISNUMBER(SEARCH(IF(G$3&lt;&gt;"",G$3,"NA"),'MITRE ATT&amp;CK Mappings'!$J638))), 'MITRE ATT&amp;CK Mappings'!$B638,"")</f>
        <v/>
      </c>
      <c r="H642" s="26" t="str">
        <f>IF(OR(OR(OR(OR(OR(ISNUMBER(SEARCH(IF(H$1&lt;&gt;"",H$1,"NA"),'MITRE ATT&amp;CK Mappings'!$E638)),ISNUMBER(SEARCH(IF(H$1&lt;&gt;"",H$1,"NA"),'MITRE ATT&amp;CK Mappings'!$F638))),ISNUMBER(SEARCH(IF(H$2&lt;&gt;"",H$2,"NA"),'MITRE ATT&amp;CK Mappings'!$G638))),ISNUMBER(SEARCH(IF(H$2&lt;&gt;"",H$2,"NA"),'MITRE ATT&amp;CK Mappings'!$H638))),ISNUMBER(SEARCH(IF(H$3&lt;&gt;"",H$3,"NA"),'MITRE ATT&amp;CK Mappings'!$I638))),ISNUMBER(SEARCH(IF(H$3&lt;&gt;"",H$3,"NA"),'MITRE ATT&amp;CK Mappings'!$J638))), 'MITRE ATT&amp;CK Mappings'!$B638,"")</f>
        <v/>
      </c>
      <c r="I642" s="26" t="str">
        <f>IF(OR(OR(OR(OR(OR(ISNUMBER(SEARCH(IF(I$1&lt;&gt;"",I$1,"NA"),'MITRE ATT&amp;CK Mappings'!$E638)),ISNUMBER(SEARCH(IF(I$1&lt;&gt;"",I$1,"NA"),'MITRE ATT&amp;CK Mappings'!$F638))),ISNUMBER(SEARCH(IF(I$2&lt;&gt;"",I$2,"NA"),'MITRE ATT&amp;CK Mappings'!$G638))),ISNUMBER(SEARCH(IF(I$2&lt;&gt;"",I$2,"NA"),'MITRE ATT&amp;CK Mappings'!$H638))),ISNUMBER(SEARCH(IF(I$3&lt;&gt;"",I$3,"NA"),'MITRE ATT&amp;CK Mappings'!$I638))),ISNUMBER(SEARCH(IF(I$3&lt;&gt;"",I$3,"NA"),'MITRE ATT&amp;CK Mappings'!$J638))), 'MITRE ATT&amp;CK Mappings'!$B638,"")</f>
        <v/>
      </c>
      <c r="J642" s="26" t="str">
        <f>IF(OR(OR(OR(OR(OR(ISNUMBER(SEARCH(IF(J$1&lt;&gt;"",J$1,"NA"),'MITRE ATT&amp;CK Mappings'!$E638)),ISNUMBER(SEARCH(IF(J$1&lt;&gt;"",J$1,"NA"),'MITRE ATT&amp;CK Mappings'!$F638))),ISNUMBER(SEARCH(IF(J$2&lt;&gt;"",J$2,"NA"),'MITRE ATT&amp;CK Mappings'!$G638))),ISNUMBER(SEARCH(IF(J$2&lt;&gt;"",J$2,"NA"),'MITRE ATT&amp;CK Mappings'!$H638))),ISNUMBER(SEARCH(IF(J$3&lt;&gt;"",J$3,"NA"),'MITRE ATT&amp;CK Mappings'!$I638))),ISNUMBER(SEARCH(IF(J$3&lt;&gt;"",J$3,"NA"),'MITRE ATT&amp;CK Mappings'!$J638))), 'MITRE ATT&amp;CK Mappings'!$B638,"")</f>
        <v/>
      </c>
      <c r="K642" s="26" t="str">
        <f>IF(OR(OR(OR(OR(OR(ISNUMBER(SEARCH(IF(K$1&lt;&gt;"",K$1,"NA"),'MITRE ATT&amp;CK Mappings'!$E638)),ISNUMBER(SEARCH(IF(K$1&lt;&gt;"",K$1,"NA"),'MITRE ATT&amp;CK Mappings'!$F638))),ISNUMBER(SEARCH(IF(K$2&lt;&gt;"",K$2,"NA"),'MITRE ATT&amp;CK Mappings'!$G638))),ISNUMBER(SEARCH(IF(K$2&lt;&gt;"",K$2,"NA"),'MITRE ATT&amp;CK Mappings'!$H638))),ISNUMBER(SEARCH(IF(K$3&lt;&gt;"",K$3,"NA"),'MITRE ATT&amp;CK Mappings'!$I638))),ISNUMBER(SEARCH(IF(K$3&lt;&gt;"",K$3,"NA"),'MITRE ATT&amp;CK Mappings'!$J638))), 'MITRE ATT&amp;CK Mappings'!$B638,"")</f>
        <v/>
      </c>
      <c r="L642" s="26" t="str">
        <f>IF('MITRE ATT&amp;CK Mappings'!D638 &lt;&gt;"",'MITRE ATT&amp;CK Mappings'!D638,"" )</f>
        <v/>
      </c>
    </row>
    <row r="643" spans="1:12" x14ac:dyDescent="0.25">
      <c r="A643" s="27" t="str">
        <f>IF(COUNTIF(B643:K643,"="&amp;'MITRE ATT&amp;CK Mappings'!B639)&gt;0,'MITRE ATT&amp;CK Mappings'!B639,"")</f>
        <v/>
      </c>
      <c r="B643" s="27" t="str">
        <f>IF(OR(OR(OR(OR(OR(ISNUMBER(SEARCH(IF(B$1&lt;&gt;"",B$1,"NA"),'MITRE ATT&amp;CK Mappings'!$E639)),ISNUMBER(SEARCH(IF(B$1&lt;&gt;"",B$1,"NA"),'MITRE ATT&amp;CK Mappings'!$F639))),ISNUMBER(SEARCH(IF(B$2&lt;&gt;"",B$2,"NA"),'MITRE ATT&amp;CK Mappings'!$G639))),ISNUMBER(SEARCH(IF(B$2&lt;&gt;"",B$2,"NA"),'MITRE ATT&amp;CK Mappings'!$H639))),ISNUMBER(SEARCH(IF(B$3&lt;&gt;"",B$3,"NA"),'MITRE ATT&amp;CK Mappings'!$I639))),ISNUMBER(SEARCH(IF(B$3&lt;&gt;"",B$3,"NA"),'MITRE ATT&amp;CK Mappings'!$J639))), 'MITRE ATT&amp;CK Mappings'!$B639,"")</f>
        <v/>
      </c>
      <c r="C643" s="27" t="str">
        <f>IF(OR(OR(OR(OR(OR(ISNUMBER(SEARCH(IF(C$1&lt;&gt;"",C$1,"NA"),'MITRE ATT&amp;CK Mappings'!$E639)),ISNUMBER(SEARCH(IF(C$1&lt;&gt;"",C$1,"NA"),'MITRE ATT&amp;CK Mappings'!$F639))),ISNUMBER(SEARCH(IF(C$2&lt;&gt;"",C$2,"NA"),'MITRE ATT&amp;CK Mappings'!$G639))),ISNUMBER(SEARCH(IF(C$2&lt;&gt;"",C$2,"NA"),'MITRE ATT&amp;CK Mappings'!$H639))),ISNUMBER(SEARCH(IF(C$3&lt;&gt;"",C$3,"NA"),'MITRE ATT&amp;CK Mappings'!$I639))),ISNUMBER(SEARCH(IF(C$3&lt;&gt;"",C$3,"NA"),'MITRE ATT&amp;CK Mappings'!$J639))), 'MITRE ATT&amp;CK Mappings'!$B639,"")</f>
        <v/>
      </c>
      <c r="D643" s="27" t="str">
        <f>IF(OR(OR(OR(OR(OR(ISNUMBER(SEARCH(IF(D$1&lt;&gt;"",D$1,"NA"),'MITRE ATT&amp;CK Mappings'!$E639)),ISNUMBER(SEARCH(IF(D$1&lt;&gt;"",D$1,"NA"),'MITRE ATT&amp;CK Mappings'!$F639))),ISNUMBER(SEARCH(IF(D$2&lt;&gt;"",D$2,"NA"),'MITRE ATT&amp;CK Mappings'!$G639))),ISNUMBER(SEARCH(IF(D$2&lt;&gt;"",D$2,"NA"),'MITRE ATT&amp;CK Mappings'!$H639))),ISNUMBER(SEARCH(IF(D$3&lt;&gt;"",D$3,"NA"),'MITRE ATT&amp;CK Mappings'!$I639))),ISNUMBER(SEARCH(IF(D$3&lt;&gt;"",D$3,"NA"),'MITRE ATT&amp;CK Mappings'!$J639))), 'MITRE ATT&amp;CK Mappings'!$B639,"")</f>
        <v/>
      </c>
      <c r="E643" s="27" t="str">
        <f>IF(OR(OR(OR(OR(OR(ISNUMBER(SEARCH(IF(E$1&lt;&gt;"",E$1,"NA"),'MITRE ATT&amp;CK Mappings'!$E639)),ISNUMBER(SEARCH(IF(E$1&lt;&gt;"",E$1,"NA"),'MITRE ATT&amp;CK Mappings'!$F639))),ISNUMBER(SEARCH(IF(E$2&lt;&gt;"",E$2,"NA"),'MITRE ATT&amp;CK Mappings'!$G639))),ISNUMBER(SEARCH(IF(E$2&lt;&gt;"",E$2,"NA"),'MITRE ATT&amp;CK Mappings'!$H639))),ISNUMBER(SEARCH(IF(E$3&lt;&gt;"",E$3,"NA"),'MITRE ATT&amp;CK Mappings'!$I639))),ISNUMBER(SEARCH(IF(E$3&lt;&gt;"",E$3,"NA"),'MITRE ATT&amp;CK Mappings'!$J639))), 'MITRE ATT&amp;CK Mappings'!$B639,"")</f>
        <v/>
      </c>
      <c r="F643" s="27" t="str">
        <f>IF(OR(OR(OR(OR(OR(ISNUMBER(SEARCH(IF(F$1&lt;&gt;"",F$1,"NA"),'MITRE ATT&amp;CK Mappings'!$E639)),ISNUMBER(SEARCH(IF(F$1&lt;&gt;"",F$1,"NA"),'MITRE ATT&amp;CK Mappings'!$F639))),ISNUMBER(SEARCH(IF(F$2&lt;&gt;"",F$2,"NA"),'MITRE ATT&amp;CK Mappings'!$G639))),ISNUMBER(SEARCH(IF(F$2&lt;&gt;"",F$2,"NA"),'MITRE ATT&amp;CK Mappings'!$H639))),ISNUMBER(SEARCH(IF(F$3&lt;&gt;"",F$3,"NA"),'MITRE ATT&amp;CK Mappings'!$I639))),ISNUMBER(SEARCH(IF(F$3&lt;&gt;"",F$3,"NA"),'MITRE ATT&amp;CK Mappings'!$J639))), 'MITRE ATT&amp;CK Mappings'!$B639,"")</f>
        <v/>
      </c>
      <c r="G643" s="27" t="str">
        <f>IF(OR(OR(OR(OR(OR(ISNUMBER(SEARCH(IF(G$1&lt;&gt;"",G$1,"NA"),'MITRE ATT&amp;CK Mappings'!$E639)),ISNUMBER(SEARCH(IF(G$1&lt;&gt;"",G$1,"NA"),'MITRE ATT&amp;CK Mappings'!$F639))),ISNUMBER(SEARCH(IF(G$2&lt;&gt;"",G$2,"NA"),'MITRE ATT&amp;CK Mappings'!$G639))),ISNUMBER(SEARCH(IF(G$2&lt;&gt;"",G$2,"NA"),'MITRE ATT&amp;CK Mappings'!$H639))),ISNUMBER(SEARCH(IF(G$3&lt;&gt;"",G$3,"NA"),'MITRE ATT&amp;CK Mappings'!$I639))),ISNUMBER(SEARCH(IF(G$3&lt;&gt;"",G$3,"NA"),'MITRE ATT&amp;CK Mappings'!$J639))), 'MITRE ATT&amp;CK Mappings'!$B639,"")</f>
        <v/>
      </c>
      <c r="H643" s="27" t="str">
        <f>IF(OR(OR(OR(OR(OR(ISNUMBER(SEARCH(IF(H$1&lt;&gt;"",H$1,"NA"),'MITRE ATT&amp;CK Mappings'!$E639)),ISNUMBER(SEARCH(IF(H$1&lt;&gt;"",H$1,"NA"),'MITRE ATT&amp;CK Mappings'!$F639))),ISNUMBER(SEARCH(IF(H$2&lt;&gt;"",H$2,"NA"),'MITRE ATT&amp;CK Mappings'!$G639))),ISNUMBER(SEARCH(IF(H$2&lt;&gt;"",H$2,"NA"),'MITRE ATT&amp;CK Mappings'!$H639))),ISNUMBER(SEARCH(IF(H$3&lt;&gt;"",H$3,"NA"),'MITRE ATT&amp;CK Mappings'!$I639))),ISNUMBER(SEARCH(IF(H$3&lt;&gt;"",H$3,"NA"),'MITRE ATT&amp;CK Mappings'!$J639))), 'MITRE ATT&amp;CK Mappings'!$B639,"")</f>
        <v/>
      </c>
      <c r="I643" s="27" t="str">
        <f>IF(OR(OR(OR(OR(OR(ISNUMBER(SEARCH(IF(I$1&lt;&gt;"",I$1,"NA"),'MITRE ATT&amp;CK Mappings'!$E639)),ISNUMBER(SEARCH(IF(I$1&lt;&gt;"",I$1,"NA"),'MITRE ATT&amp;CK Mappings'!$F639))),ISNUMBER(SEARCH(IF(I$2&lt;&gt;"",I$2,"NA"),'MITRE ATT&amp;CK Mappings'!$G639))),ISNUMBER(SEARCH(IF(I$2&lt;&gt;"",I$2,"NA"),'MITRE ATT&amp;CK Mappings'!$H639))),ISNUMBER(SEARCH(IF(I$3&lt;&gt;"",I$3,"NA"),'MITRE ATT&amp;CK Mappings'!$I639))),ISNUMBER(SEARCH(IF(I$3&lt;&gt;"",I$3,"NA"),'MITRE ATT&amp;CK Mappings'!$J639))), 'MITRE ATT&amp;CK Mappings'!$B639,"")</f>
        <v/>
      </c>
      <c r="J643" s="27" t="str">
        <f>IF(OR(OR(OR(OR(OR(ISNUMBER(SEARCH(IF(J$1&lt;&gt;"",J$1,"NA"),'MITRE ATT&amp;CK Mappings'!$E639)),ISNUMBER(SEARCH(IF(J$1&lt;&gt;"",J$1,"NA"),'MITRE ATT&amp;CK Mappings'!$F639))),ISNUMBER(SEARCH(IF(J$2&lt;&gt;"",J$2,"NA"),'MITRE ATT&amp;CK Mappings'!$G639))),ISNUMBER(SEARCH(IF(J$2&lt;&gt;"",J$2,"NA"),'MITRE ATT&amp;CK Mappings'!$H639))),ISNUMBER(SEARCH(IF(J$3&lt;&gt;"",J$3,"NA"),'MITRE ATT&amp;CK Mappings'!$I639))),ISNUMBER(SEARCH(IF(J$3&lt;&gt;"",J$3,"NA"),'MITRE ATT&amp;CK Mappings'!$J639))), 'MITRE ATT&amp;CK Mappings'!$B639,"")</f>
        <v/>
      </c>
      <c r="K643" s="27" t="str">
        <f>IF(OR(OR(OR(OR(OR(ISNUMBER(SEARCH(IF(K$1&lt;&gt;"",K$1,"NA"),'MITRE ATT&amp;CK Mappings'!$E639)),ISNUMBER(SEARCH(IF(K$1&lt;&gt;"",K$1,"NA"),'MITRE ATT&amp;CK Mappings'!$F639))),ISNUMBER(SEARCH(IF(K$2&lt;&gt;"",K$2,"NA"),'MITRE ATT&amp;CK Mappings'!$G639))),ISNUMBER(SEARCH(IF(K$2&lt;&gt;"",K$2,"NA"),'MITRE ATT&amp;CK Mappings'!$H639))),ISNUMBER(SEARCH(IF(K$3&lt;&gt;"",K$3,"NA"),'MITRE ATT&amp;CK Mappings'!$I639))),ISNUMBER(SEARCH(IF(K$3&lt;&gt;"",K$3,"NA"),'MITRE ATT&amp;CK Mappings'!$J639))), 'MITRE ATT&amp;CK Mappings'!$B639,"")</f>
        <v/>
      </c>
      <c r="L643" s="27" t="str">
        <f>IF('MITRE ATT&amp;CK Mappings'!D639 &lt;&gt;"",'MITRE ATT&amp;CK Mappings'!D639,"" )</f>
        <v/>
      </c>
    </row>
    <row r="644" spans="1:12" x14ac:dyDescent="0.25">
      <c r="A644" s="26" t="str">
        <f>IF(COUNTIF(B644:K644,"="&amp;'MITRE ATT&amp;CK Mappings'!B640)&gt;0,'MITRE ATT&amp;CK Mappings'!B640,"")</f>
        <v/>
      </c>
      <c r="B644" s="26" t="str">
        <f>IF(OR(OR(OR(OR(OR(ISNUMBER(SEARCH(IF(B$1&lt;&gt;"",B$1,"NA"),'MITRE ATT&amp;CK Mappings'!$E640)),ISNUMBER(SEARCH(IF(B$1&lt;&gt;"",B$1,"NA"),'MITRE ATT&amp;CK Mappings'!$F640))),ISNUMBER(SEARCH(IF(B$2&lt;&gt;"",B$2,"NA"),'MITRE ATT&amp;CK Mappings'!$G640))),ISNUMBER(SEARCH(IF(B$2&lt;&gt;"",B$2,"NA"),'MITRE ATT&amp;CK Mappings'!$H640))),ISNUMBER(SEARCH(IF(B$3&lt;&gt;"",B$3,"NA"),'MITRE ATT&amp;CK Mappings'!$I640))),ISNUMBER(SEARCH(IF(B$3&lt;&gt;"",B$3,"NA"),'MITRE ATT&amp;CK Mappings'!$J640))), 'MITRE ATT&amp;CK Mappings'!$B640,"")</f>
        <v/>
      </c>
      <c r="C644" s="26" t="str">
        <f>IF(OR(OR(OR(OR(OR(ISNUMBER(SEARCH(IF(C$1&lt;&gt;"",C$1,"NA"),'MITRE ATT&amp;CK Mappings'!$E640)),ISNUMBER(SEARCH(IF(C$1&lt;&gt;"",C$1,"NA"),'MITRE ATT&amp;CK Mappings'!$F640))),ISNUMBER(SEARCH(IF(C$2&lt;&gt;"",C$2,"NA"),'MITRE ATT&amp;CK Mappings'!$G640))),ISNUMBER(SEARCH(IF(C$2&lt;&gt;"",C$2,"NA"),'MITRE ATT&amp;CK Mappings'!$H640))),ISNUMBER(SEARCH(IF(C$3&lt;&gt;"",C$3,"NA"),'MITRE ATT&amp;CK Mappings'!$I640))),ISNUMBER(SEARCH(IF(C$3&lt;&gt;"",C$3,"NA"),'MITRE ATT&amp;CK Mappings'!$J640))), 'MITRE ATT&amp;CK Mappings'!$B640,"")</f>
        <v/>
      </c>
      <c r="D644" s="26" t="str">
        <f>IF(OR(OR(OR(OR(OR(ISNUMBER(SEARCH(IF(D$1&lt;&gt;"",D$1,"NA"),'MITRE ATT&amp;CK Mappings'!$E640)),ISNUMBER(SEARCH(IF(D$1&lt;&gt;"",D$1,"NA"),'MITRE ATT&amp;CK Mappings'!$F640))),ISNUMBER(SEARCH(IF(D$2&lt;&gt;"",D$2,"NA"),'MITRE ATT&amp;CK Mappings'!$G640))),ISNUMBER(SEARCH(IF(D$2&lt;&gt;"",D$2,"NA"),'MITRE ATT&amp;CK Mappings'!$H640))),ISNUMBER(SEARCH(IF(D$3&lt;&gt;"",D$3,"NA"),'MITRE ATT&amp;CK Mappings'!$I640))),ISNUMBER(SEARCH(IF(D$3&lt;&gt;"",D$3,"NA"),'MITRE ATT&amp;CK Mappings'!$J640))), 'MITRE ATT&amp;CK Mappings'!$B640,"")</f>
        <v/>
      </c>
      <c r="E644" s="26" t="str">
        <f>IF(OR(OR(OR(OR(OR(ISNUMBER(SEARCH(IF(E$1&lt;&gt;"",E$1,"NA"),'MITRE ATT&amp;CK Mappings'!$E640)),ISNUMBER(SEARCH(IF(E$1&lt;&gt;"",E$1,"NA"),'MITRE ATT&amp;CK Mappings'!$F640))),ISNUMBER(SEARCH(IF(E$2&lt;&gt;"",E$2,"NA"),'MITRE ATT&amp;CK Mappings'!$G640))),ISNUMBER(SEARCH(IF(E$2&lt;&gt;"",E$2,"NA"),'MITRE ATT&amp;CK Mappings'!$H640))),ISNUMBER(SEARCH(IF(E$3&lt;&gt;"",E$3,"NA"),'MITRE ATT&amp;CK Mappings'!$I640))),ISNUMBER(SEARCH(IF(E$3&lt;&gt;"",E$3,"NA"),'MITRE ATT&amp;CK Mappings'!$J640))), 'MITRE ATT&amp;CK Mappings'!$B640,"")</f>
        <v/>
      </c>
      <c r="F644" s="26" t="str">
        <f>IF(OR(OR(OR(OR(OR(ISNUMBER(SEARCH(IF(F$1&lt;&gt;"",F$1,"NA"),'MITRE ATT&amp;CK Mappings'!$E640)),ISNUMBER(SEARCH(IF(F$1&lt;&gt;"",F$1,"NA"),'MITRE ATT&amp;CK Mappings'!$F640))),ISNUMBER(SEARCH(IF(F$2&lt;&gt;"",F$2,"NA"),'MITRE ATT&amp;CK Mappings'!$G640))),ISNUMBER(SEARCH(IF(F$2&lt;&gt;"",F$2,"NA"),'MITRE ATT&amp;CK Mappings'!$H640))),ISNUMBER(SEARCH(IF(F$3&lt;&gt;"",F$3,"NA"),'MITRE ATT&amp;CK Mappings'!$I640))),ISNUMBER(SEARCH(IF(F$3&lt;&gt;"",F$3,"NA"),'MITRE ATT&amp;CK Mappings'!$J640))), 'MITRE ATT&amp;CK Mappings'!$B640,"")</f>
        <v/>
      </c>
      <c r="G644" s="26" t="str">
        <f>IF(OR(OR(OR(OR(OR(ISNUMBER(SEARCH(IF(G$1&lt;&gt;"",G$1,"NA"),'MITRE ATT&amp;CK Mappings'!$E640)),ISNUMBER(SEARCH(IF(G$1&lt;&gt;"",G$1,"NA"),'MITRE ATT&amp;CK Mappings'!$F640))),ISNUMBER(SEARCH(IF(G$2&lt;&gt;"",G$2,"NA"),'MITRE ATT&amp;CK Mappings'!$G640))),ISNUMBER(SEARCH(IF(G$2&lt;&gt;"",G$2,"NA"),'MITRE ATT&amp;CK Mappings'!$H640))),ISNUMBER(SEARCH(IF(G$3&lt;&gt;"",G$3,"NA"),'MITRE ATT&amp;CK Mappings'!$I640))),ISNUMBER(SEARCH(IF(G$3&lt;&gt;"",G$3,"NA"),'MITRE ATT&amp;CK Mappings'!$J640))), 'MITRE ATT&amp;CK Mappings'!$B640,"")</f>
        <v/>
      </c>
      <c r="H644" s="26" t="str">
        <f>IF(OR(OR(OR(OR(OR(ISNUMBER(SEARCH(IF(H$1&lt;&gt;"",H$1,"NA"),'MITRE ATT&amp;CK Mappings'!$E640)),ISNUMBER(SEARCH(IF(H$1&lt;&gt;"",H$1,"NA"),'MITRE ATT&amp;CK Mappings'!$F640))),ISNUMBER(SEARCH(IF(H$2&lt;&gt;"",H$2,"NA"),'MITRE ATT&amp;CK Mappings'!$G640))),ISNUMBER(SEARCH(IF(H$2&lt;&gt;"",H$2,"NA"),'MITRE ATT&amp;CK Mappings'!$H640))),ISNUMBER(SEARCH(IF(H$3&lt;&gt;"",H$3,"NA"),'MITRE ATT&amp;CK Mappings'!$I640))),ISNUMBER(SEARCH(IF(H$3&lt;&gt;"",H$3,"NA"),'MITRE ATT&amp;CK Mappings'!$J640))), 'MITRE ATT&amp;CK Mappings'!$B640,"")</f>
        <v/>
      </c>
      <c r="I644" s="26" t="str">
        <f>IF(OR(OR(OR(OR(OR(ISNUMBER(SEARCH(IF(I$1&lt;&gt;"",I$1,"NA"),'MITRE ATT&amp;CK Mappings'!$E640)),ISNUMBER(SEARCH(IF(I$1&lt;&gt;"",I$1,"NA"),'MITRE ATT&amp;CK Mappings'!$F640))),ISNUMBER(SEARCH(IF(I$2&lt;&gt;"",I$2,"NA"),'MITRE ATT&amp;CK Mappings'!$G640))),ISNUMBER(SEARCH(IF(I$2&lt;&gt;"",I$2,"NA"),'MITRE ATT&amp;CK Mappings'!$H640))),ISNUMBER(SEARCH(IF(I$3&lt;&gt;"",I$3,"NA"),'MITRE ATT&amp;CK Mappings'!$I640))),ISNUMBER(SEARCH(IF(I$3&lt;&gt;"",I$3,"NA"),'MITRE ATT&amp;CK Mappings'!$J640))), 'MITRE ATT&amp;CK Mappings'!$B640,"")</f>
        <v/>
      </c>
      <c r="J644" s="26" t="str">
        <f>IF(OR(OR(OR(OR(OR(ISNUMBER(SEARCH(IF(J$1&lt;&gt;"",J$1,"NA"),'MITRE ATT&amp;CK Mappings'!$E640)),ISNUMBER(SEARCH(IF(J$1&lt;&gt;"",J$1,"NA"),'MITRE ATT&amp;CK Mappings'!$F640))),ISNUMBER(SEARCH(IF(J$2&lt;&gt;"",J$2,"NA"),'MITRE ATT&amp;CK Mappings'!$G640))),ISNUMBER(SEARCH(IF(J$2&lt;&gt;"",J$2,"NA"),'MITRE ATT&amp;CK Mappings'!$H640))),ISNUMBER(SEARCH(IF(J$3&lt;&gt;"",J$3,"NA"),'MITRE ATT&amp;CK Mappings'!$I640))),ISNUMBER(SEARCH(IF(J$3&lt;&gt;"",J$3,"NA"),'MITRE ATT&amp;CK Mappings'!$J640))), 'MITRE ATT&amp;CK Mappings'!$B640,"")</f>
        <v/>
      </c>
      <c r="K644" s="26" t="str">
        <f>IF(OR(OR(OR(OR(OR(ISNUMBER(SEARCH(IF(K$1&lt;&gt;"",K$1,"NA"),'MITRE ATT&amp;CK Mappings'!$E640)),ISNUMBER(SEARCH(IF(K$1&lt;&gt;"",K$1,"NA"),'MITRE ATT&amp;CK Mappings'!$F640))),ISNUMBER(SEARCH(IF(K$2&lt;&gt;"",K$2,"NA"),'MITRE ATT&amp;CK Mappings'!$G640))),ISNUMBER(SEARCH(IF(K$2&lt;&gt;"",K$2,"NA"),'MITRE ATT&amp;CK Mappings'!$H640))),ISNUMBER(SEARCH(IF(K$3&lt;&gt;"",K$3,"NA"),'MITRE ATT&amp;CK Mappings'!$I640))),ISNUMBER(SEARCH(IF(K$3&lt;&gt;"",K$3,"NA"),'MITRE ATT&amp;CK Mappings'!$J640))), 'MITRE ATT&amp;CK Mappings'!$B640,"")</f>
        <v/>
      </c>
      <c r="L644" s="26" t="str">
        <f>IF('MITRE ATT&amp;CK Mappings'!D640 &lt;&gt;"",'MITRE ATT&amp;CK Mappings'!D640,"" )</f>
        <v/>
      </c>
    </row>
    <row r="645" spans="1:12" x14ac:dyDescent="0.25">
      <c r="A645" s="27" t="str">
        <f>IF(COUNTIF(B645:K645,"="&amp;'MITRE ATT&amp;CK Mappings'!B641)&gt;0,'MITRE ATT&amp;CK Mappings'!B641,"")</f>
        <v/>
      </c>
      <c r="B645" s="27" t="str">
        <f>IF(OR(OR(OR(OR(OR(ISNUMBER(SEARCH(IF(B$1&lt;&gt;"",B$1,"NA"),'MITRE ATT&amp;CK Mappings'!$E641)),ISNUMBER(SEARCH(IF(B$1&lt;&gt;"",B$1,"NA"),'MITRE ATT&amp;CK Mappings'!$F641))),ISNUMBER(SEARCH(IF(B$2&lt;&gt;"",B$2,"NA"),'MITRE ATT&amp;CK Mappings'!$G641))),ISNUMBER(SEARCH(IF(B$2&lt;&gt;"",B$2,"NA"),'MITRE ATT&amp;CK Mappings'!$H641))),ISNUMBER(SEARCH(IF(B$3&lt;&gt;"",B$3,"NA"),'MITRE ATT&amp;CK Mappings'!$I641))),ISNUMBER(SEARCH(IF(B$3&lt;&gt;"",B$3,"NA"),'MITRE ATT&amp;CK Mappings'!$J641))), 'MITRE ATT&amp;CK Mappings'!$B641,"")</f>
        <v/>
      </c>
      <c r="C645" s="27" t="str">
        <f>IF(OR(OR(OR(OR(OR(ISNUMBER(SEARCH(IF(C$1&lt;&gt;"",C$1,"NA"),'MITRE ATT&amp;CK Mappings'!$E641)),ISNUMBER(SEARCH(IF(C$1&lt;&gt;"",C$1,"NA"),'MITRE ATT&amp;CK Mappings'!$F641))),ISNUMBER(SEARCH(IF(C$2&lt;&gt;"",C$2,"NA"),'MITRE ATT&amp;CK Mappings'!$G641))),ISNUMBER(SEARCH(IF(C$2&lt;&gt;"",C$2,"NA"),'MITRE ATT&amp;CK Mappings'!$H641))),ISNUMBER(SEARCH(IF(C$3&lt;&gt;"",C$3,"NA"),'MITRE ATT&amp;CK Mappings'!$I641))),ISNUMBER(SEARCH(IF(C$3&lt;&gt;"",C$3,"NA"),'MITRE ATT&amp;CK Mappings'!$J641))), 'MITRE ATT&amp;CK Mappings'!$B641,"")</f>
        <v/>
      </c>
      <c r="D645" s="27" t="str">
        <f>IF(OR(OR(OR(OR(OR(ISNUMBER(SEARCH(IF(D$1&lt;&gt;"",D$1,"NA"),'MITRE ATT&amp;CK Mappings'!$E641)),ISNUMBER(SEARCH(IF(D$1&lt;&gt;"",D$1,"NA"),'MITRE ATT&amp;CK Mappings'!$F641))),ISNUMBER(SEARCH(IF(D$2&lt;&gt;"",D$2,"NA"),'MITRE ATT&amp;CK Mappings'!$G641))),ISNUMBER(SEARCH(IF(D$2&lt;&gt;"",D$2,"NA"),'MITRE ATT&amp;CK Mappings'!$H641))),ISNUMBER(SEARCH(IF(D$3&lt;&gt;"",D$3,"NA"),'MITRE ATT&amp;CK Mappings'!$I641))),ISNUMBER(SEARCH(IF(D$3&lt;&gt;"",D$3,"NA"),'MITRE ATT&amp;CK Mappings'!$J641))), 'MITRE ATT&amp;CK Mappings'!$B641,"")</f>
        <v/>
      </c>
      <c r="E645" s="27" t="str">
        <f>IF(OR(OR(OR(OR(OR(ISNUMBER(SEARCH(IF(E$1&lt;&gt;"",E$1,"NA"),'MITRE ATT&amp;CK Mappings'!$E641)),ISNUMBER(SEARCH(IF(E$1&lt;&gt;"",E$1,"NA"),'MITRE ATT&amp;CK Mappings'!$F641))),ISNUMBER(SEARCH(IF(E$2&lt;&gt;"",E$2,"NA"),'MITRE ATT&amp;CK Mappings'!$G641))),ISNUMBER(SEARCH(IF(E$2&lt;&gt;"",E$2,"NA"),'MITRE ATT&amp;CK Mappings'!$H641))),ISNUMBER(SEARCH(IF(E$3&lt;&gt;"",E$3,"NA"),'MITRE ATT&amp;CK Mappings'!$I641))),ISNUMBER(SEARCH(IF(E$3&lt;&gt;"",E$3,"NA"),'MITRE ATT&amp;CK Mappings'!$J641))), 'MITRE ATT&amp;CK Mappings'!$B641,"")</f>
        <v/>
      </c>
      <c r="F645" s="27" t="str">
        <f>IF(OR(OR(OR(OR(OR(ISNUMBER(SEARCH(IF(F$1&lt;&gt;"",F$1,"NA"),'MITRE ATT&amp;CK Mappings'!$E641)),ISNUMBER(SEARCH(IF(F$1&lt;&gt;"",F$1,"NA"),'MITRE ATT&amp;CK Mappings'!$F641))),ISNUMBER(SEARCH(IF(F$2&lt;&gt;"",F$2,"NA"),'MITRE ATT&amp;CK Mappings'!$G641))),ISNUMBER(SEARCH(IF(F$2&lt;&gt;"",F$2,"NA"),'MITRE ATT&amp;CK Mappings'!$H641))),ISNUMBER(SEARCH(IF(F$3&lt;&gt;"",F$3,"NA"),'MITRE ATT&amp;CK Mappings'!$I641))),ISNUMBER(SEARCH(IF(F$3&lt;&gt;"",F$3,"NA"),'MITRE ATT&amp;CK Mappings'!$J641))), 'MITRE ATT&amp;CK Mappings'!$B641,"")</f>
        <v/>
      </c>
      <c r="G645" s="27" t="str">
        <f>IF(OR(OR(OR(OR(OR(ISNUMBER(SEARCH(IF(G$1&lt;&gt;"",G$1,"NA"),'MITRE ATT&amp;CK Mappings'!$E641)),ISNUMBER(SEARCH(IF(G$1&lt;&gt;"",G$1,"NA"),'MITRE ATT&amp;CK Mappings'!$F641))),ISNUMBER(SEARCH(IF(G$2&lt;&gt;"",G$2,"NA"),'MITRE ATT&amp;CK Mappings'!$G641))),ISNUMBER(SEARCH(IF(G$2&lt;&gt;"",G$2,"NA"),'MITRE ATT&amp;CK Mappings'!$H641))),ISNUMBER(SEARCH(IF(G$3&lt;&gt;"",G$3,"NA"),'MITRE ATT&amp;CK Mappings'!$I641))),ISNUMBER(SEARCH(IF(G$3&lt;&gt;"",G$3,"NA"),'MITRE ATT&amp;CK Mappings'!$J641))), 'MITRE ATT&amp;CK Mappings'!$B641,"")</f>
        <v/>
      </c>
      <c r="H645" s="27" t="str">
        <f>IF(OR(OR(OR(OR(OR(ISNUMBER(SEARCH(IF(H$1&lt;&gt;"",H$1,"NA"),'MITRE ATT&amp;CK Mappings'!$E641)),ISNUMBER(SEARCH(IF(H$1&lt;&gt;"",H$1,"NA"),'MITRE ATT&amp;CK Mappings'!$F641))),ISNUMBER(SEARCH(IF(H$2&lt;&gt;"",H$2,"NA"),'MITRE ATT&amp;CK Mappings'!$G641))),ISNUMBER(SEARCH(IF(H$2&lt;&gt;"",H$2,"NA"),'MITRE ATT&amp;CK Mappings'!$H641))),ISNUMBER(SEARCH(IF(H$3&lt;&gt;"",H$3,"NA"),'MITRE ATT&amp;CK Mappings'!$I641))),ISNUMBER(SEARCH(IF(H$3&lt;&gt;"",H$3,"NA"),'MITRE ATT&amp;CK Mappings'!$J641))), 'MITRE ATT&amp;CK Mappings'!$B641,"")</f>
        <v/>
      </c>
      <c r="I645" s="27" t="str">
        <f>IF(OR(OR(OR(OR(OR(ISNUMBER(SEARCH(IF(I$1&lt;&gt;"",I$1,"NA"),'MITRE ATT&amp;CK Mappings'!$E641)),ISNUMBER(SEARCH(IF(I$1&lt;&gt;"",I$1,"NA"),'MITRE ATT&amp;CK Mappings'!$F641))),ISNUMBER(SEARCH(IF(I$2&lt;&gt;"",I$2,"NA"),'MITRE ATT&amp;CK Mappings'!$G641))),ISNUMBER(SEARCH(IF(I$2&lt;&gt;"",I$2,"NA"),'MITRE ATT&amp;CK Mappings'!$H641))),ISNUMBER(SEARCH(IF(I$3&lt;&gt;"",I$3,"NA"),'MITRE ATT&amp;CK Mappings'!$I641))),ISNUMBER(SEARCH(IF(I$3&lt;&gt;"",I$3,"NA"),'MITRE ATT&amp;CK Mappings'!$J641))), 'MITRE ATT&amp;CK Mappings'!$B641,"")</f>
        <v/>
      </c>
      <c r="J645" s="27" t="str">
        <f>IF(OR(OR(OR(OR(OR(ISNUMBER(SEARCH(IF(J$1&lt;&gt;"",J$1,"NA"),'MITRE ATT&amp;CK Mappings'!$E641)),ISNUMBER(SEARCH(IF(J$1&lt;&gt;"",J$1,"NA"),'MITRE ATT&amp;CK Mappings'!$F641))),ISNUMBER(SEARCH(IF(J$2&lt;&gt;"",J$2,"NA"),'MITRE ATT&amp;CK Mappings'!$G641))),ISNUMBER(SEARCH(IF(J$2&lt;&gt;"",J$2,"NA"),'MITRE ATT&amp;CK Mappings'!$H641))),ISNUMBER(SEARCH(IF(J$3&lt;&gt;"",J$3,"NA"),'MITRE ATT&amp;CK Mappings'!$I641))),ISNUMBER(SEARCH(IF(J$3&lt;&gt;"",J$3,"NA"),'MITRE ATT&amp;CK Mappings'!$J641))), 'MITRE ATT&amp;CK Mappings'!$B641,"")</f>
        <v/>
      </c>
      <c r="K645" s="27" t="str">
        <f>IF(OR(OR(OR(OR(OR(ISNUMBER(SEARCH(IF(K$1&lt;&gt;"",K$1,"NA"),'MITRE ATT&amp;CK Mappings'!$E641)),ISNUMBER(SEARCH(IF(K$1&lt;&gt;"",K$1,"NA"),'MITRE ATT&amp;CK Mappings'!$F641))),ISNUMBER(SEARCH(IF(K$2&lt;&gt;"",K$2,"NA"),'MITRE ATT&amp;CK Mappings'!$G641))),ISNUMBER(SEARCH(IF(K$2&lt;&gt;"",K$2,"NA"),'MITRE ATT&amp;CK Mappings'!$H641))),ISNUMBER(SEARCH(IF(K$3&lt;&gt;"",K$3,"NA"),'MITRE ATT&amp;CK Mappings'!$I641))),ISNUMBER(SEARCH(IF(K$3&lt;&gt;"",K$3,"NA"),'MITRE ATT&amp;CK Mappings'!$J641))), 'MITRE ATT&amp;CK Mappings'!$B641,"")</f>
        <v/>
      </c>
      <c r="L645" s="27" t="str">
        <f>IF('MITRE ATT&amp;CK Mappings'!D641 &lt;&gt;"",'MITRE ATT&amp;CK Mappings'!D641,"" )</f>
        <v/>
      </c>
    </row>
    <row r="646" spans="1:12" x14ac:dyDescent="0.25">
      <c r="A646" s="26" t="str">
        <f>IF(COUNTIF(B646:K646,"="&amp;'MITRE ATT&amp;CK Mappings'!B642)&gt;0,'MITRE ATT&amp;CK Mappings'!B642,"")</f>
        <v/>
      </c>
      <c r="B646" s="26" t="str">
        <f>IF(OR(OR(OR(OR(OR(ISNUMBER(SEARCH(IF(B$1&lt;&gt;"",B$1,"NA"),'MITRE ATT&amp;CK Mappings'!$E642)),ISNUMBER(SEARCH(IF(B$1&lt;&gt;"",B$1,"NA"),'MITRE ATT&amp;CK Mappings'!$F642))),ISNUMBER(SEARCH(IF(B$2&lt;&gt;"",B$2,"NA"),'MITRE ATT&amp;CK Mappings'!$G642))),ISNUMBER(SEARCH(IF(B$2&lt;&gt;"",B$2,"NA"),'MITRE ATT&amp;CK Mappings'!$H642))),ISNUMBER(SEARCH(IF(B$3&lt;&gt;"",B$3,"NA"),'MITRE ATT&amp;CK Mappings'!$I642))),ISNUMBER(SEARCH(IF(B$3&lt;&gt;"",B$3,"NA"),'MITRE ATT&amp;CK Mappings'!$J642))), 'MITRE ATT&amp;CK Mappings'!$B642,"")</f>
        <v/>
      </c>
      <c r="C646" s="26" t="str">
        <f>IF(OR(OR(OR(OR(OR(ISNUMBER(SEARCH(IF(C$1&lt;&gt;"",C$1,"NA"),'MITRE ATT&amp;CK Mappings'!$E642)),ISNUMBER(SEARCH(IF(C$1&lt;&gt;"",C$1,"NA"),'MITRE ATT&amp;CK Mappings'!$F642))),ISNUMBER(SEARCH(IF(C$2&lt;&gt;"",C$2,"NA"),'MITRE ATT&amp;CK Mappings'!$G642))),ISNUMBER(SEARCH(IF(C$2&lt;&gt;"",C$2,"NA"),'MITRE ATT&amp;CK Mappings'!$H642))),ISNUMBER(SEARCH(IF(C$3&lt;&gt;"",C$3,"NA"),'MITRE ATT&amp;CK Mappings'!$I642))),ISNUMBER(SEARCH(IF(C$3&lt;&gt;"",C$3,"NA"),'MITRE ATT&amp;CK Mappings'!$J642))), 'MITRE ATT&amp;CK Mappings'!$B642,"")</f>
        <v/>
      </c>
      <c r="D646" s="26" t="str">
        <f>IF(OR(OR(OR(OR(OR(ISNUMBER(SEARCH(IF(D$1&lt;&gt;"",D$1,"NA"),'MITRE ATT&amp;CK Mappings'!$E642)),ISNUMBER(SEARCH(IF(D$1&lt;&gt;"",D$1,"NA"),'MITRE ATT&amp;CK Mappings'!$F642))),ISNUMBER(SEARCH(IF(D$2&lt;&gt;"",D$2,"NA"),'MITRE ATT&amp;CK Mappings'!$G642))),ISNUMBER(SEARCH(IF(D$2&lt;&gt;"",D$2,"NA"),'MITRE ATT&amp;CK Mappings'!$H642))),ISNUMBER(SEARCH(IF(D$3&lt;&gt;"",D$3,"NA"),'MITRE ATT&amp;CK Mappings'!$I642))),ISNUMBER(SEARCH(IF(D$3&lt;&gt;"",D$3,"NA"),'MITRE ATT&amp;CK Mappings'!$J642))), 'MITRE ATT&amp;CK Mappings'!$B642,"")</f>
        <v/>
      </c>
      <c r="E646" s="26" t="str">
        <f>IF(OR(OR(OR(OR(OR(ISNUMBER(SEARCH(IF(E$1&lt;&gt;"",E$1,"NA"),'MITRE ATT&amp;CK Mappings'!$E642)),ISNUMBER(SEARCH(IF(E$1&lt;&gt;"",E$1,"NA"),'MITRE ATT&amp;CK Mappings'!$F642))),ISNUMBER(SEARCH(IF(E$2&lt;&gt;"",E$2,"NA"),'MITRE ATT&amp;CK Mappings'!$G642))),ISNUMBER(SEARCH(IF(E$2&lt;&gt;"",E$2,"NA"),'MITRE ATT&amp;CK Mappings'!$H642))),ISNUMBER(SEARCH(IF(E$3&lt;&gt;"",E$3,"NA"),'MITRE ATT&amp;CK Mappings'!$I642))),ISNUMBER(SEARCH(IF(E$3&lt;&gt;"",E$3,"NA"),'MITRE ATT&amp;CK Mappings'!$J642))), 'MITRE ATT&amp;CK Mappings'!$B642,"")</f>
        <v/>
      </c>
      <c r="F646" s="26" t="str">
        <f>IF(OR(OR(OR(OR(OR(ISNUMBER(SEARCH(IF(F$1&lt;&gt;"",F$1,"NA"),'MITRE ATT&amp;CK Mappings'!$E642)),ISNUMBER(SEARCH(IF(F$1&lt;&gt;"",F$1,"NA"),'MITRE ATT&amp;CK Mappings'!$F642))),ISNUMBER(SEARCH(IF(F$2&lt;&gt;"",F$2,"NA"),'MITRE ATT&amp;CK Mappings'!$G642))),ISNUMBER(SEARCH(IF(F$2&lt;&gt;"",F$2,"NA"),'MITRE ATT&amp;CK Mappings'!$H642))),ISNUMBER(SEARCH(IF(F$3&lt;&gt;"",F$3,"NA"),'MITRE ATT&amp;CK Mappings'!$I642))),ISNUMBER(SEARCH(IF(F$3&lt;&gt;"",F$3,"NA"),'MITRE ATT&amp;CK Mappings'!$J642))), 'MITRE ATT&amp;CK Mappings'!$B642,"")</f>
        <v/>
      </c>
      <c r="G646" s="26" t="str">
        <f>IF(OR(OR(OR(OR(OR(ISNUMBER(SEARCH(IF(G$1&lt;&gt;"",G$1,"NA"),'MITRE ATT&amp;CK Mappings'!$E642)),ISNUMBER(SEARCH(IF(G$1&lt;&gt;"",G$1,"NA"),'MITRE ATT&amp;CK Mappings'!$F642))),ISNUMBER(SEARCH(IF(G$2&lt;&gt;"",G$2,"NA"),'MITRE ATT&amp;CK Mappings'!$G642))),ISNUMBER(SEARCH(IF(G$2&lt;&gt;"",G$2,"NA"),'MITRE ATT&amp;CK Mappings'!$H642))),ISNUMBER(SEARCH(IF(G$3&lt;&gt;"",G$3,"NA"),'MITRE ATT&amp;CK Mappings'!$I642))),ISNUMBER(SEARCH(IF(G$3&lt;&gt;"",G$3,"NA"),'MITRE ATT&amp;CK Mappings'!$J642))), 'MITRE ATT&amp;CK Mappings'!$B642,"")</f>
        <v/>
      </c>
      <c r="H646" s="26" t="str">
        <f>IF(OR(OR(OR(OR(OR(ISNUMBER(SEARCH(IF(H$1&lt;&gt;"",H$1,"NA"),'MITRE ATT&amp;CK Mappings'!$E642)),ISNUMBER(SEARCH(IF(H$1&lt;&gt;"",H$1,"NA"),'MITRE ATT&amp;CK Mappings'!$F642))),ISNUMBER(SEARCH(IF(H$2&lt;&gt;"",H$2,"NA"),'MITRE ATT&amp;CK Mappings'!$G642))),ISNUMBER(SEARCH(IF(H$2&lt;&gt;"",H$2,"NA"),'MITRE ATT&amp;CK Mappings'!$H642))),ISNUMBER(SEARCH(IF(H$3&lt;&gt;"",H$3,"NA"),'MITRE ATT&amp;CK Mappings'!$I642))),ISNUMBER(SEARCH(IF(H$3&lt;&gt;"",H$3,"NA"),'MITRE ATT&amp;CK Mappings'!$J642))), 'MITRE ATT&amp;CK Mappings'!$B642,"")</f>
        <v/>
      </c>
      <c r="I646" s="26" t="str">
        <f>IF(OR(OR(OR(OR(OR(ISNUMBER(SEARCH(IF(I$1&lt;&gt;"",I$1,"NA"),'MITRE ATT&amp;CK Mappings'!$E642)),ISNUMBER(SEARCH(IF(I$1&lt;&gt;"",I$1,"NA"),'MITRE ATT&amp;CK Mappings'!$F642))),ISNUMBER(SEARCH(IF(I$2&lt;&gt;"",I$2,"NA"),'MITRE ATT&amp;CK Mappings'!$G642))),ISNUMBER(SEARCH(IF(I$2&lt;&gt;"",I$2,"NA"),'MITRE ATT&amp;CK Mappings'!$H642))),ISNUMBER(SEARCH(IF(I$3&lt;&gt;"",I$3,"NA"),'MITRE ATT&amp;CK Mappings'!$I642))),ISNUMBER(SEARCH(IF(I$3&lt;&gt;"",I$3,"NA"),'MITRE ATT&amp;CK Mappings'!$J642))), 'MITRE ATT&amp;CK Mappings'!$B642,"")</f>
        <v/>
      </c>
      <c r="J646" s="26" t="str">
        <f>IF(OR(OR(OR(OR(OR(ISNUMBER(SEARCH(IF(J$1&lt;&gt;"",J$1,"NA"),'MITRE ATT&amp;CK Mappings'!$E642)),ISNUMBER(SEARCH(IF(J$1&lt;&gt;"",J$1,"NA"),'MITRE ATT&amp;CK Mappings'!$F642))),ISNUMBER(SEARCH(IF(J$2&lt;&gt;"",J$2,"NA"),'MITRE ATT&amp;CK Mappings'!$G642))),ISNUMBER(SEARCH(IF(J$2&lt;&gt;"",J$2,"NA"),'MITRE ATT&amp;CK Mappings'!$H642))),ISNUMBER(SEARCH(IF(J$3&lt;&gt;"",J$3,"NA"),'MITRE ATT&amp;CK Mappings'!$I642))),ISNUMBER(SEARCH(IF(J$3&lt;&gt;"",J$3,"NA"),'MITRE ATT&amp;CK Mappings'!$J642))), 'MITRE ATT&amp;CK Mappings'!$B642,"")</f>
        <v/>
      </c>
      <c r="K646" s="26" t="str">
        <f>IF(OR(OR(OR(OR(OR(ISNUMBER(SEARCH(IF(K$1&lt;&gt;"",K$1,"NA"),'MITRE ATT&amp;CK Mappings'!$E642)),ISNUMBER(SEARCH(IF(K$1&lt;&gt;"",K$1,"NA"),'MITRE ATT&amp;CK Mappings'!$F642))),ISNUMBER(SEARCH(IF(K$2&lt;&gt;"",K$2,"NA"),'MITRE ATT&amp;CK Mappings'!$G642))),ISNUMBER(SEARCH(IF(K$2&lt;&gt;"",K$2,"NA"),'MITRE ATT&amp;CK Mappings'!$H642))),ISNUMBER(SEARCH(IF(K$3&lt;&gt;"",K$3,"NA"),'MITRE ATT&amp;CK Mappings'!$I642))),ISNUMBER(SEARCH(IF(K$3&lt;&gt;"",K$3,"NA"),'MITRE ATT&amp;CK Mappings'!$J642))), 'MITRE ATT&amp;CK Mappings'!$B642,"")</f>
        <v/>
      </c>
      <c r="L646" s="26" t="str">
        <f>IF('MITRE ATT&amp;CK Mappings'!D642 &lt;&gt;"",'MITRE ATT&amp;CK Mappings'!D642,"" )</f>
        <v/>
      </c>
    </row>
    <row r="647" spans="1:12" x14ac:dyDescent="0.25">
      <c r="A647" s="27" t="str">
        <f>IF(COUNTIF(B647:K647,"="&amp;'MITRE ATT&amp;CK Mappings'!B643)&gt;0,'MITRE ATT&amp;CK Mappings'!B643,"")</f>
        <v/>
      </c>
      <c r="B647" s="27" t="str">
        <f>IF(OR(OR(OR(OR(OR(ISNUMBER(SEARCH(IF(B$1&lt;&gt;"",B$1,"NA"),'MITRE ATT&amp;CK Mappings'!$E643)),ISNUMBER(SEARCH(IF(B$1&lt;&gt;"",B$1,"NA"),'MITRE ATT&amp;CK Mappings'!$F643))),ISNUMBER(SEARCH(IF(B$2&lt;&gt;"",B$2,"NA"),'MITRE ATT&amp;CK Mappings'!$G643))),ISNUMBER(SEARCH(IF(B$2&lt;&gt;"",B$2,"NA"),'MITRE ATT&amp;CK Mappings'!$H643))),ISNUMBER(SEARCH(IF(B$3&lt;&gt;"",B$3,"NA"),'MITRE ATT&amp;CK Mappings'!$I643))),ISNUMBER(SEARCH(IF(B$3&lt;&gt;"",B$3,"NA"),'MITRE ATT&amp;CK Mappings'!$J643))), 'MITRE ATT&amp;CK Mappings'!$B643,"")</f>
        <v/>
      </c>
      <c r="C647" s="27" t="str">
        <f>IF(OR(OR(OR(OR(OR(ISNUMBER(SEARCH(IF(C$1&lt;&gt;"",C$1,"NA"),'MITRE ATT&amp;CK Mappings'!$E643)),ISNUMBER(SEARCH(IF(C$1&lt;&gt;"",C$1,"NA"),'MITRE ATT&amp;CK Mappings'!$F643))),ISNUMBER(SEARCH(IF(C$2&lt;&gt;"",C$2,"NA"),'MITRE ATT&amp;CK Mappings'!$G643))),ISNUMBER(SEARCH(IF(C$2&lt;&gt;"",C$2,"NA"),'MITRE ATT&amp;CK Mappings'!$H643))),ISNUMBER(SEARCH(IF(C$3&lt;&gt;"",C$3,"NA"),'MITRE ATT&amp;CK Mappings'!$I643))),ISNUMBER(SEARCH(IF(C$3&lt;&gt;"",C$3,"NA"),'MITRE ATT&amp;CK Mappings'!$J643))), 'MITRE ATT&amp;CK Mappings'!$B643,"")</f>
        <v/>
      </c>
      <c r="D647" s="27" t="str">
        <f>IF(OR(OR(OR(OR(OR(ISNUMBER(SEARCH(IF(D$1&lt;&gt;"",D$1,"NA"),'MITRE ATT&amp;CK Mappings'!$E643)),ISNUMBER(SEARCH(IF(D$1&lt;&gt;"",D$1,"NA"),'MITRE ATT&amp;CK Mappings'!$F643))),ISNUMBER(SEARCH(IF(D$2&lt;&gt;"",D$2,"NA"),'MITRE ATT&amp;CK Mappings'!$G643))),ISNUMBER(SEARCH(IF(D$2&lt;&gt;"",D$2,"NA"),'MITRE ATT&amp;CK Mappings'!$H643))),ISNUMBER(SEARCH(IF(D$3&lt;&gt;"",D$3,"NA"),'MITRE ATT&amp;CK Mappings'!$I643))),ISNUMBER(SEARCH(IF(D$3&lt;&gt;"",D$3,"NA"),'MITRE ATT&amp;CK Mappings'!$J643))), 'MITRE ATT&amp;CK Mappings'!$B643,"")</f>
        <v/>
      </c>
      <c r="E647" s="27" t="str">
        <f>IF(OR(OR(OR(OR(OR(ISNUMBER(SEARCH(IF(E$1&lt;&gt;"",E$1,"NA"),'MITRE ATT&amp;CK Mappings'!$E643)),ISNUMBER(SEARCH(IF(E$1&lt;&gt;"",E$1,"NA"),'MITRE ATT&amp;CK Mappings'!$F643))),ISNUMBER(SEARCH(IF(E$2&lt;&gt;"",E$2,"NA"),'MITRE ATT&amp;CK Mappings'!$G643))),ISNUMBER(SEARCH(IF(E$2&lt;&gt;"",E$2,"NA"),'MITRE ATT&amp;CK Mappings'!$H643))),ISNUMBER(SEARCH(IF(E$3&lt;&gt;"",E$3,"NA"),'MITRE ATT&amp;CK Mappings'!$I643))),ISNUMBER(SEARCH(IF(E$3&lt;&gt;"",E$3,"NA"),'MITRE ATT&amp;CK Mappings'!$J643))), 'MITRE ATT&amp;CK Mappings'!$B643,"")</f>
        <v/>
      </c>
      <c r="F647" s="27" t="str">
        <f>IF(OR(OR(OR(OR(OR(ISNUMBER(SEARCH(IF(F$1&lt;&gt;"",F$1,"NA"),'MITRE ATT&amp;CK Mappings'!$E643)),ISNUMBER(SEARCH(IF(F$1&lt;&gt;"",F$1,"NA"),'MITRE ATT&amp;CK Mappings'!$F643))),ISNUMBER(SEARCH(IF(F$2&lt;&gt;"",F$2,"NA"),'MITRE ATT&amp;CK Mappings'!$G643))),ISNUMBER(SEARCH(IF(F$2&lt;&gt;"",F$2,"NA"),'MITRE ATT&amp;CK Mappings'!$H643))),ISNUMBER(SEARCH(IF(F$3&lt;&gt;"",F$3,"NA"),'MITRE ATT&amp;CK Mappings'!$I643))),ISNUMBER(SEARCH(IF(F$3&lt;&gt;"",F$3,"NA"),'MITRE ATT&amp;CK Mappings'!$J643))), 'MITRE ATT&amp;CK Mappings'!$B643,"")</f>
        <v/>
      </c>
      <c r="G647" s="27" t="str">
        <f>IF(OR(OR(OR(OR(OR(ISNUMBER(SEARCH(IF(G$1&lt;&gt;"",G$1,"NA"),'MITRE ATT&amp;CK Mappings'!$E643)),ISNUMBER(SEARCH(IF(G$1&lt;&gt;"",G$1,"NA"),'MITRE ATT&amp;CK Mappings'!$F643))),ISNUMBER(SEARCH(IF(G$2&lt;&gt;"",G$2,"NA"),'MITRE ATT&amp;CK Mappings'!$G643))),ISNUMBER(SEARCH(IF(G$2&lt;&gt;"",G$2,"NA"),'MITRE ATT&amp;CK Mappings'!$H643))),ISNUMBER(SEARCH(IF(G$3&lt;&gt;"",G$3,"NA"),'MITRE ATT&amp;CK Mappings'!$I643))),ISNUMBER(SEARCH(IF(G$3&lt;&gt;"",G$3,"NA"),'MITRE ATT&amp;CK Mappings'!$J643))), 'MITRE ATT&amp;CK Mappings'!$B643,"")</f>
        <v/>
      </c>
      <c r="H647" s="27" t="str">
        <f>IF(OR(OR(OR(OR(OR(ISNUMBER(SEARCH(IF(H$1&lt;&gt;"",H$1,"NA"),'MITRE ATT&amp;CK Mappings'!$E643)),ISNUMBER(SEARCH(IF(H$1&lt;&gt;"",H$1,"NA"),'MITRE ATT&amp;CK Mappings'!$F643))),ISNUMBER(SEARCH(IF(H$2&lt;&gt;"",H$2,"NA"),'MITRE ATT&amp;CK Mappings'!$G643))),ISNUMBER(SEARCH(IF(H$2&lt;&gt;"",H$2,"NA"),'MITRE ATT&amp;CK Mappings'!$H643))),ISNUMBER(SEARCH(IF(H$3&lt;&gt;"",H$3,"NA"),'MITRE ATT&amp;CK Mappings'!$I643))),ISNUMBER(SEARCH(IF(H$3&lt;&gt;"",H$3,"NA"),'MITRE ATT&amp;CK Mappings'!$J643))), 'MITRE ATT&amp;CK Mappings'!$B643,"")</f>
        <v/>
      </c>
      <c r="I647" s="27" t="str">
        <f>IF(OR(OR(OR(OR(OR(ISNUMBER(SEARCH(IF(I$1&lt;&gt;"",I$1,"NA"),'MITRE ATT&amp;CK Mappings'!$E643)),ISNUMBER(SEARCH(IF(I$1&lt;&gt;"",I$1,"NA"),'MITRE ATT&amp;CK Mappings'!$F643))),ISNUMBER(SEARCH(IF(I$2&lt;&gt;"",I$2,"NA"),'MITRE ATT&amp;CK Mappings'!$G643))),ISNUMBER(SEARCH(IF(I$2&lt;&gt;"",I$2,"NA"),'MITRE ATT&amp;CK Mappings'!$H643))),ISNUMBER(SEARCH(IF(I$3&lt;&gt;"",I$3,"NA"),'MITRE ATT&amp;CK Mappings'!$I643))),ISNUMBER(SEARCH(IF(I$3&lt;&gt;"",I$3,"NA"),'MITRE ATT&amp;CK Mappings'!$J643))), 'MITRE ATT&amp;CK Mappings'!$B643,"")</f>
        <v/>
      </c>
      <c r="J647" s="27" t="str">
        <f>IF(OR(OR(OR(OR(OR(ISNUMBER(SEARCH(IF(J$1&lt;&gt;"",J$1,"NA"),'MITRE ATT&amp;CK Mappings'!$E643)),ISNUMBER(SEARCH(IF(J$1&lt;&gt;"",J$1,"NA"),'MITRE ATT&amp;CK Mappings'!$F643))),ISNUMBER(SEARCH(IF(J$2&lt;&gt;"",J$2,"NA"),'MITRE ATT&amp;CK Mappings'!$G643))),ISNUMBER(SEARCH(IF(J$2&lt;&gt;"",J$2,"NA"),'MITRE ATT&amp;CK Mappings'!$H643))),ISNUMBER(SEARCH(IF(J$3&lt;&gt;"",J$3,"NA"),'MITRE ATT&amp;CK Mappings'!$I643))),ISNUMBER(SEARCH(IF(J$3&lt;&gt;"",J$3,"NA"),'MITRE ATT&amp;CK Mappings'!$J643))), 'MITRE ATT&amp;CK Mappings'!$B643,"")</f>
        <v/>
      </c>
      <c r="K647" s="27" t="str">
        <f>IF(OR(OR(OR(OR(OR(ISNUMBER(SEARCH(IF(K$1&lt;&gt;"",K$1,"NA"),'MITRE ATT&amp;CK Mappings'!$E643)),ISNUMBER(SEARCH(IF(K$1&lt;&gt;"",K$1,"NA"),'MITRE ATT&amp;CK Mappings'!$F643))),ISNUMBER(SEARCH(IF(K$2&lt;&gt;"",K$2,"NA"),'MITRE ATT&amp;CK Mappings'!$G643))),ISNUMBER(SEARCH(IF(K$2&lt;&gt;"",K$2,"NA"),'MITRE ATT&amp;CK Mappings'!$H643))),ISNUMBER(SEARCH(IF(K$3&lt;&gt;"",K$3,"NA"),'MITRE ATT&amp;CK Mappings'!$I643))),ISNUMBER(SEARCH(IF(K$3&lt;&gt;"",K$3,"NA"),'MITRE ATT&amp;CK Mappings'!$J643))), 'MITRE ATT&amp;CK Mappings'!$B643,"")</f>
        <v/>
      </c>
      <c r="L647" s="27" t="str">
        <f>IF('MITRE ATT&amp;CK Mappings'!D643 &lt;&gt;"",'MITRE ATT&amp;CK Mappings'!D643,"" )</f>
        <v/>
      </c>
    </row>
    <row r="648" spans="1:12" x14ac:dyDescent="0.25">
      <c r="A648" s="26" t="str">
        <f>IF(COUNTIF(B648:K648,"="&amp;'MITRE ATT&amp;CK Mappings'!B644)&gt;0,'MITRE ATT&amp;CK Mappings'!B644,"")</f>
        <v/>
      </c>
      <c r="B648" s="26" t="str">
        <f>IF(OR(OR(OR(OR(OR(ISNUMBER(SEARCH(IF(B$1&lt;&gt;"",B$1,"NA"),'MITRE ATT&amp;CK Mappings'!$E644)),ISNUMBER(SEARCH(IF(B$1&lt;&gt;"",B$1,"NA"),'MITRE ATT&amp;CK Mappings'!$F644))),ISNUMBER(SEARCH(IF(B$2&lt;&gt;"",B$2,"NA"),'MITRE ATT&amp;CK Mappings'!$G644))),ISNUMBER(SEARCH(IF(B$2&lt;&gt;"",B$2,"NA"),'MITRE ATT&amp;CK Mappings'!$H644))),ISNUMBER(SEARCH(IF(B$3&lt;&gt;"",B$3,"NA"),'MITRE ATT&amp;CK Mappings'!$I644))),ISNUMBER(SEARCH(IF(B$3&lt;&gt;"",B$3,"NA"),'MITRE ATT&amp;CK Mappings'!$J644))), 'MITRE ATT&amp;CK Mappings'!$B644,"")</f>
        <v/>
      </c>
      <c r="C648" s="26" t="str">
        <f>IF(OR(OR(OR(OR(OR(ISNUMBER(SEARCH(IF(C$1&lt;&gt;"",C$1,"NA"),'MITRE ATT&amp;CK Mappings'!$E644)),ISNUMBER(SEARCH(IF(C$1&lt;&gt;"",C$1,"NA"),'MITRE ATT&amp;CK Mappings'!$F644))),ISNUMBER(SEARCH(IF(C$2&lt;&gt;"",C$2,"NA"),'MITRE ATT&amp;CK Mappings'!$G644))),ISNUMBER(SEARCH(IF(C$2&lt;&gt;"",C$2,"NA"),'MITRE ATT&amp;CK Mappings'!$H644))),ISNUMBER(SEARCH(IF(C$3&lt;&gt;"",C$3,"NA"),'MITRE ATT&amp;CK Mappings'!$I644))),ISNUMBER(SEARCH(IF(C$3&lt;&gt;"",C$3,"NA"),'MITRE ATT&amp;CK Mappings'!$J644))), 'MITRE ATT&amp;CK Mappings'!$B644,"")</f>
        <v/>
      </c>
      <c r="D648" s="26" t="str">
        <f>IF(OR(OR(OR(OR(OR(ISNUMBER(SEARCH(IF(D$1&lt;&gt;"",D$1,"NA"),'MITRE ATT&amp;CK Mappings'!$E644)),ISNUMBER(SEARCH(IF(D$1&lt;&gt;"",D$1,"NA"),'MITRE ATT&amp;CK Mappings'!$F644))),ISNUMBER(SEARCH(IF(D$2&lt;&gt;"",D$2,"NA"),'MITRE ATT&amp;CK Mappings'!$G644))),ISNUMBER(SEARCH(IF(D$2&lt;&gt;"",D$2,"NA"),'MITRE ATT&amp;CK Mappings'!$H644))),ISNUMBER(SEARCH(IF(D$3&lt;&gt;"",D$3,"NA"),'MITRE ATT&amp;CK Mappings'!$I644))),ISNUMBER(SEARCH(IF(D$3&lt;&gt;"",D$3,"NA"),'MITRE ATT&amp;CK Mappings'!$J644))), 'MITRE ATT&amp;CK Mappings'!$B644,"")</f>
        <v/>
      </c>
      <c r="E648" s="26" t="str">
        <f>IF(OR(OR(OR(OR(OR(ISNUMBER(SEARCH(IF(E$1&lt;&gt;"",E$1,"NA"),'MITRE ATT&amp;CK Mappings'!$E644)),ISNUMBER(SEARCH(IF(E$1&lt;&gt;"",E$1,"NA"),'MITRE ATT&amp;CK Mappings'!$F644))),ISNUMBER(SEARCH(IF(E$2&lt;&gt;"",E$2,"NA"),'MITRE ATT&amp;CK Mappings'!$G644))),ISNUMBER(SEARCH(IF(E$2&lt;&gt;"",E$2,"NA"),'MITRE ATT&amp;CK Mappings'!$H644))),ISNUMBER(SEARCH(IF(E$3&lt;&gt;"",E$3,"NA"),'MITRE ATT&amp;CK Mappings'!$I644))),ISNUMBER(SEARCH(IF(E$3&lt;&gt;"",E$3,"NA"),'MITRE ATT&amp;CK Mappings'!$J644))), 'MITRE ATT&amp;CK Mappings'!$B644,"")</f>
        <v/>
      </c>
      <c r="F648" s="26" t="str">
        <f>IF(OR(OR(OR(OR(OR(ISNUMBER(SEARCH(IF(F$1&lt;&gt;"",F$1,"NA"),'MITRE ATT&amp;CK Mappings'!$E644)),ISNUMBER(SEARCH(IF(F$1&lt;&gt;"",F$1,"NA"),'MITRE ATT&amp;CK Mappings'!$F644))),ISNUMBER(SEARCH(IF(F$2&lt;&gt;"",F$2,"NA"),'MITRE ATT&amp;CK Mappings'!$G644))),ISNUMBER(SEARCH(IF(F$2&lt;&gt;"",F$2,"NA"),'MITRE ATT&amp;CK Mappings'!$H644))),ISNUMBER(SEARCH(IF(F$3&lt;&gt;"",F$3,"NA"),'MITRE ATT&amp;CK Mappings'!$I644))),ISNUMBER(SEARCH(IF(F$3&lt;&gt;"",F$3,"NA"),'MITRE ATT&amp;CK Mappings'!$J644))), 'MITRE ATT&amp;CK Mappings'!$B644,"")</f>
        <v/>
      </c>
      <c r="G648" s="26" t="str">
        <f>IF(OR(OR(OR(OR(OR(ISNUMBER(SEARCH(IF(G$1&lt;&gt;"",G$1,"NA"),'MITRE ATT&amp;CK Mappings'!$E644)),ISNUMBER(SEARCH(IF(G$1&lt;&gt;"",G$1,"NA"),'MITRE ATT&amp;CK Mappings'!$F644))),ISNUMBER(SEARCH(IF(G$2&lt;&gt;"",G$2,"NA"),'MITRE ATT&amp;CK Mappings'!$G644))),ISNUMBER(SEARCH(IF(G$2&lt;&gt;"",G$2,"NA"),'MITRE ATT&amp;CK Mappings'!$H644))),ISNUMBER(SEARCH(IF(G$3&lt;&gt;"",G$3,"NA"),'MITRE ATT&amp;CK Mappings'!$I644))),ISNUMBER(SEARCH(IF(G$3&lt;&gt;"",G$3,"NA"),'MITRE ATT&amp;CK Mappings'!$J644))), 'MITRE ATT&amp;CK Mappings'!$B644,"")</f>
        <v/>
      </c>
      <c r="H648" s="26" t="str">
        <f>IF(OR(OR(OR(OR(OR(ISNUMBER(SEARCH(IF(H$1&lt;&gt;"",H$1,"NA"),'MITRE ATT&amp;CK Mappings'!$E644)),ISNUMBER(SEARCH(IF(H$1&lt;&gt;"",H$1,"NA"),'MITRE ATT&amp;CK Mappings'!$F644))),ISNUMBER(SEARCH(IF(H$2&lt;&gt;"",H$2,"NA"),'MITRE ATT&amp;CK Mappings'!$G644))),ISNUMBER(SEARCH(IF(H$2&lt;&gt;"",H$2,"NA"),'MITRE ATT&amp;CK Mappings'!$H644))),ISNUMBER(SEARCH(IF(H$3&lt;&gt;"",H$3,"NA"),'MITRE ATT&amp;CK Mappings'!$I644))),ISNUMBER(SEARCH(IF(H$3&lt;&gt;"",H$3,"NA"),'MITRE ATT&amp;CK Mappings'!$J644))), 'MITRE ATT&amp;CK Mappings'!$B644,"")</f>
        <v/>
      </c>
      <c r="I648" s="26" t="str">
        <f>IF(OR(OR(OR(OR(OR(ISNUMBER(SEARCH(IF(I$1&lt;&gt;"",I$1,"NA"),'MITRE ATT&amp;CK Mappings'!$E644)),ISNUMBER(SEARCH(IF(I$1&lt;&gt;"",I$1,"NA"),'MITRE ATT&amp;CK Mappings'!$F644))),ISNUMBER(SEARCH(IF(I$2&lt;&gt;"",I$2,"NA"),'MITRE ATT&amp;CK Mappings'!$G644))),ISNUMBER(SEARCH(IF(I$2&lt;&gt;"",I$2,"NA"),'MITRE ATT&amp;CK Mappings'!$H644))),ISNUMBER(SEARCH(IF(I$3&lt;&gt;"",I$3,"NA"),'MITRE ATT&amp;CK Mappings'!$I644))),ISNUMBER(SEARCH(IF(I$3&lt;&gt;"",I$3,"NA"),'MITRE ATT&amp;CK Mappings'!$J644))), 'MITRE ATT&amp;CK Mappings'!$B644,"")</f>
        <v/>
      </c>
      <c r="J648" s="26" t="str">
        <f>IF(OR(OR(OR(OR(OR(ISNUMBER(SEARCH(IF(J$1&lt;&gt;"",J$1,"NA"),'MITRE ATT&amp;CK Mappings'!$E644)),ISNUMBER(SEARCH(IF(J$1&lt;&gt;"",J$1,"NA"),'MITRE ATT&amp;CK Mappings'!$F644))),ISNUMBER(SEARCH(IF(J$2&lt;&gt;"",J$2,"NA"),'MITRE ATT&amp;CK Mappings'!$G644))),ISNUMBER(SEARCH(IF(J$2&lt;&gt;"",J$2,"NA"),'MITRE ATT&amp;CK Mappings'!$H644))),ISNUMBER(SEARCH(IF(J$3&lt;&gt;"",J$3,"NA"),'MITRE ATT&amp;CK Mappings'!$I644))),ISNUMBER(SEARCH(IF(J$3&lt;&gt;"",J$3,"NA"),'MITRE ATT&amp;CK Mappings'!$J644))), 'MITRE ATT&amp;CK Mappings'!$B644,"")</f>
        <v/>
      </c>
      <c r="K648" s="26" t="str">
        <f>IF(OR(OR(OR(OR(OR(ISNUMBER(SEARCH(IF(K$1&lt;&gt;"",K$1,"NA"),'MITRE ATT&amp;CK Mappings'!$E644)),ISNUMBER(SEARCH(IF(K$1&lt;&gt;"",K$1,"NA"),'MITRE ATT&amp;CK Mappings'!$F644))),ISNUMBER(SEARCH(IF(K$2&lt;&gt;"",K$2,"NA"),'MITRE ATT&amp;CK Mappings'!$G644))),ISNUMBER(SEARCH(IF(K$2&lt;&gt;"",K$2,"NA"),'MITRE ATT&amp;CK Mappings'!$H644))),ISNUMBER(SEARCH(IF(K$3&lt;&gt;"",K$3,"NA"),'MITRE ATT&amp;CK Mappings'!$I644))),ISNUMBER(SEARCH(IF(K$3&lt;&gt;"",K$3,"NA"),'MITRE ATT&amp;CK Mappings'!$J644))), 'MITRE ATT&amp;CK Mappings'!$B644,"")</f>
        <v/>
      </c>
      <c r="L648" s="26" t="str">
        <f>IF('MITRE ATT&amp;CK Mappings'!D644 &lt;&gt;"",'MITRE ATT&amp;CK Mappings'!D644,"" )</f>
        <v/>
      </c>
    </row>
    <row r="649" spans="1:12" x14ac:dyDescent="0.25">
      <c r="A649" s="27" t="str">
        <f>IF(COUNTIF(B649:K649,"="&amp;'MITRE ATT&amp;CK Mappings'!B645)&gt;0,'MITRE ATT&amp;CK Mappings'!B645,"")</f>
        <v/>
      </c>
      <c r="B649" s="27" t="str">
        <f>IF(OR(OR(OR(OR(OR(ISNUMBER(SEARCH(IF(B$1&lt;&gt;"",B$1,"NA"),'MITRE ATT&amp;CK Mappings'!$E645)),ISNUMBER(SEARCH(IF(B$1&lt;&gt;"",B$1,"NA"),'MITRE ATT&amp;CK Mappings'!$F645))),ISNUMBER(SEARCH(IF(B$2&lt;&gt;"",B$2,"NA"),'MITRE ATT&amp;CK Mappings'!$G645))),ISNUMBER(SEARCH(IF(B$2&lt;&gt;"",B$2,"NA"),'MITRE ATT&amp;CK Mappings'!$H645))),ISNUMBER(SEARCH(IF(B$3&lt;&gt;"",B$3,"NA"),'MITRE ATT&amp;CK Mappings'!$I645))),ISNUMBER(SEARCH(IF(B$3&lt;&gt;"",B$3,"NA"),'MITRE ATT&amp;CK Mappings'!$J645))), 'MITRE ATT&amp;CK Mappings'!$B645,"")</f>
        <v/>
      </c>
      <c r="C649" s="27" t="str">
        <f>IF(OR(OR(OR(OR(OR(ISNUMBER(SEARCH(IF(C$1&lt;&gt;"",C$1,"NA"),'MITRE ATT&amp;CK Mappings'!$E645)),ISNUMBER(SEARCH(IF(C$1&lt;&gt;"",C$1,"NA"),'MITRE ATT&amp;CK Mappings'!$F645))),ISNUMBER(SEARCH(IF(C$2&lt;&gt;"",C$2,"NA"),'MITRE ATT&amp;CK Mappings'!$G645))),ISNUMBER(SEARCH(IF(C$2&lt;&gt;"",C$2,"NA"),'MITRE ATT&amp;CK Mappings'!$H645))),ISNUMBER(SEARCH(IF(C$3&lt;&gt;"",C$3,"NA"),'MITRE ATT&amp;CK Mappings'!$I645))),ISNUMBER(SEARCH(IF(C$3&lt;&gt;"",C$3,"NA"),'MITRE ATT&amp;CK Mappings'!$J645))), 'MITRE ATT&amp;CK Mappings'!$B645,"")</f>
        <v/>
      </c>
      <c r="D649" s="27" t="str">
        <f>IF(OR(OR(OR(OR(OR(ISNUMBER(SEARCH(IF(D$1&lt;&gt;"",D$1,"NA"),'MITRE ATT&amp;CK Mappings'!$E645)),ISNUMBER(SEARCH(IF(D$1&lt;&gt;"",D$1,"NA"),'MITRE ATT&amp;CK Mappings'!$F645))),ISNUMBER(SEARCH(IF(D$2&lt;&gt;"",D$2,"NA"),'MITRE ATT&amp;CK Mappings'!$G645))),ISNUMBER(SEARCH(IF(D$2&lt;&gt;"",D$2,"NA"),'MITRE ATT&amp;CK Mappings'!$H645))),ISNUMBER(SEARCH(IF(D$3&lt;&gt;"",D$3,"NA"),'MITRE ATT&amp;CK Mappings'!$I645))),ISNUMBER(SEARCH(IF(D$3&lt;&gt;"",D$3,"NA"),'MITRE ATT&amp;CK Mappings'!$J645))), 'MITRE ATT&amp;CK Mappings'!$B645,"")</f>
        <v/>
      </c>
      <c r="E649" s="27" t="str">
        <f>IF(OR(OR(OR(OR(OR(ISNUMBER(SEARCH(IF(E$1&lt;&gt;"",E$1,"NA"),'MITRE ATT&amp;CK Mappings'!$E645)),ISNUMBER(SEARCH(IF(E$1&lt;&gt;"",E$1,"NA"),'MITRE ATT&amp;CK Mappings'!$F645))),ISNUMBER(SEARCH(IF(E$2&lt;&gt;"",E$2,"NA"),'MITRE ATT&amp;CK Mappings'!$G645))),ISNUMBER(SEARCH(IF(E$2&lt;&gt;"",E$2,"NA"),'MITRE ATT&amp;CK Mappings'!$H645))),ISNUMBER(SEARCH(IF(E$3&lt;&gt;"",E$3,"NA"),'MITRE ATT&amp;CK Mappings'!$I645))),ISNUMBER(SEARCH(IF(E$3&lt;&gt;"",E$3,"NA"),'MITRE ATT&amp;CK Mappings'!$J645))), 'MITRE ATT&amp;CK Mappings'!$B645,"")</f>
        <v/>
      </c>
      <c r="F649" s="27" t="str">
        <f>IF(OR(OR(OR(OR(OR(ISNUMBER(SEARCH(IF(F$1&lt;&gt;"",F$1,"NA"),'MITRE ATT&amp;CK Mappings'!$E645)),ISNUMBER(SEARCH(IF(F$1&lt;&gt;"",F$1,"NA"),'MITRE ATT&amp;CK Mappings'!$F645))),ISNUMBER(SEARCH(IF(F$2&lt;&gt;"",F$2,"NA"),'MITRE ATT&amp;CK Mappings'!$G645))),ISNUMBER(SEARCH(IF(F$2&lt;&gt;"",F$2,"NA"),'MITRE ATT&amp;CK Mappings'!$H645))),ISNUMBER(SEARCH(IF(F$3&lt;&gt;"",F$3,"NA"),'MITRE ATT&amp;CK Mappings'!$I645))),ISNUMBER(SEARCH(IF(F$3&lt;&gt;"",F$3,"NA"),'MITRE ATT&amp;CK Mappings'!$J645))), 'MITRE ATT&amp;CK Mappings'!$B645,"")</f>
        <v/>
      </c>
      <c r="G649" s="27" t="str">
        <f>IF(OR(OR(OR(OR(OR(ISNUMBER(SEARCH(IF(G$1&lt;&gt;"",G$1,"NA"),'MITRE ATT&amp;CK Mappings'!$E645)),ISNUMBER(SEARCH(IF(G$1&lt;&gt;"",G$1,"NA"),'MITRE ATT&amp;CK Mappings'!$F645))),ISNUMBER(SEARCH(IF(G$2&lt;&gt;"",G$2,"NA"),'MITRE ATT&amp;CK Mappings'!$G645))),ISNUMBER(SEARCH(IF(G$2&lt;&gt;"",G$2,"NA"),'MITRE ATT&amp;CK Mappings'!$H645))),ISNUMBER(SEARCH(IF(G$3&lt;&gt;"",G$3,"NA"),'MITRE ATT&amp;CK Mappings'!$I645))),ISNUMBER(SEARCH(IF(G$3&lt;&gt;"",G$3,"NA"),'MITRE ATT&amp;CK Mappings'!$J645))), 'MITRE ATT&amp;CK Mappings'!$B645,"")</f>
        <v/>
      </c>
      <c r="H649" s="27" t="str">
        <f>IF(OR(OR(OR(OR(OR(ISNUMBER(SEARCH(IF(H$1&lt;&gt;"",H$1,"NA"),'MITRE ATT&amp;CK Mappings'!$E645)),ISNUMBER(SEARCH(IF(H$1&lt;&gt;"",H$1,"NA"),'MITRE ATT&amp;CK Mappings'!$F645))),ISNUMBER(SEARCH(IF(H$2&lt;&gt;"",H$2,"NA"),'MITRE ATT&amp;CK Mappings'!$G645))),ISNUMBER(SEARCH(IF(H$2&lt;&gt;"",H$2,"NA"),'MITRE ATT&amp;CK Mappings'!$H645))),ISNUMBER(SEARCH(IF(H$3&lt;&gt;"",H$3,"NA"),'MITRE ATT&amp;CK Mappings'!$I645))),ISNUMBER(SEARCH(IF(H$3&lt;&gt;"",H$3,"NA"),'MITRE ATT&amp;CK Mappings'!$J645))), 'MITRE ATT&amp;CK Mappings'!$B645,"")</f>
        <v/>
      </c>
      <c r="I649" s="27" t="str">
        <f>IF(OR(OR(OR(OR(OR(ISNUMBER(SEARCH(IF(I$1&lt;&gt;"",I$1,"NA"),'MITRE ATT&amp;CK Mappings'!$E645)),ISNUMBER(SEARCH(IF(I$1&lt;&gt;"",I$1,"NA"),'MITRE ATT&amp;CK Mappings'!$F645))),ISNUMBER(SEARCH(IF(I$2&lt;&gt;"",I$2,"NA"),'MITRE ATT&amp;CK Mappings'!$G645))),ISNUMBER(SEARCH(IF(I$2&lt;&gt;"",I$2,"NA"),'MITRE ATT&amp;CK Mappings'!$H645))),ISNUMBER(SEARCH(IF(I$3&lt;&gt;"",I$3,"NA"),'MITRE ATT&amp;CK Mappings'!$I645))),ISNUMBER(SEARCH(IF(I$3&lt;&gt;"",I$3,"NA"),'MITRE ATT&amp;CK Mappings'!$J645))), 'MITRE ATT&amp;CK Mappings'!$B645,"")</f>
        <v/>
      </c>
      <c r="J649" s="27" t="str">
        <f>IF(OR(OR(OR(OR(OR(ISNUMBER(SEARCH(IF(J$1&lt;&gt;"",J$1,"NA"),'MITRE ATT&amp;CK Mappings'!$E645)),ISNUMBER(SEARCH(IF(J$1&lt;&gt;"",J$1,"NA"),'MITRE ATT&amp;CK Mappings'!$F645))),ISNUMBER(SEARCH(IF(J$2&lt;&gt;"",J$2,"NA"),'MITRE ATT&amp;CK Mappings'!$G645))),ISNUMBER(SEARCH(IF(J$2&lt;&gt;"",J$2,"NA"),'MITRE ATT&amp;CK Mappings'!$H645))),ISNUMBER(SEARCH(IF(J$3&lt;&gt;"",J$3,"NA"),'MITRE ATT&amp;CK Mappings'!$I645))),ISNUMBER(SEARCH(IF(J$3&lt;&gt;"",J$3,"NA"),'MITRE ATT&amp;CK Mappings'!$J645))), 'MITRE ATT&amp;CK Mappings'!$B645,"")</f>
        <v/>
      </c>
      <c r="K649" s="27" t="str">
        <f>IF(OR(OR(OR(OR(OR(ISNUMBER(SEARCH(IF(K$1&lt;&gt;"",K$1,"NA"),'MITRE ATT&amp;CK Mappings'!$E645)),ISNUMBER(SEARCH(IF(K$1&lt;&gt;"",K$1,"NA"),'MITRE ATT&amp;CK Mappings'!$F645))),ISNUMBER(SEARCH(IF(K$2&lt;&gt;"",K$2,"NA"),'MITRE ATT&amp;CK Mappings'!$G645))),ISNUMBER(SEARCH(IF(K$2&lt;&gt;"",K$2,"NA"),'MITRE ATT&amp;CK Mappings'!$H645))),ISNUMBER(SEARCH(IF(K$3&lt;&gt;"",K$3,"NA"),'MITRE ATT&amp;CK Mappings'!$I645))),ISNUMBER(SEARCH(IF(K$3&lt;&gt;"",K$3,"NA"),'MITRE ATT&amp;CK Mappings'!$J645))), 'MITRE ATT&amp;CK Mappings'!$B645,"")</f>
        <v/>
      </c>
      <c r="L649" s="27" t="str">
        <f>IF('MITRE ATT&amp;CK Mappings'!D645 &lt;&gt;"",'MITRE ATT&amp;CK Mappings'!D645,"" )</f>
        <v/>
      </c>
    </row>
    <row r="650" spans="1:12" x14ac:dyDescent="0.25">
      <c r="A650" s="26" t="str">
        <f>IF(COUNTIF(B650:K650,"="&amp;'MITRE ATT&amp;CK Mappings'!B646)&gt;0,'MITRE ATT&amp;CK Mappings'!B646,"")</f>
        <v/>
      </c>
      <c r="B650" s="26" t="str">
        <f>IF(OR(OR(OR(OR(OR(ISNUMBER(SEARCH(IF(B$1&lt;&gt;"",B$1,"NA"),'MITRE ATT&amp;CK Mappings'!$E646)),ISNUMBER(SEARCH(IF(B$1&lt;&gt;"",B$1,"NA"),'MITRE ATT&amp;CK Mappings'!$F646))),ISNUMBER(SEARCH(IF(B$2&lt;&gt;"",B$2,"NA"),'MITRE ATT&amp;CK Mappings'!$G646))),ISNUMBER(SEARCH(IF(B$2&lt;&gt;"",B$2,"NA"),'MITRE ATT&amp;CK Mappings'!$H646))),ISNUMBER(SEARCH(IF(B$3&lt;&gt;"",B$3,"NA"),'MITRE ATT&amp;CK Mappings'!$I646))),ISNUMBER(SEARCH(IF(B$3&lt;&gt;"",B$3,"NA"),'MITRE ATT&amp;CK Mappings'!$J646))), 'MITRE ATT&amp;CK Mappings'!$B646,"")</f>
        <v/>
      </c>
      <c r="C650" s="26" t="str">
        <f>IF(OR(OR(OR(OR(OR(ISNUMBER(SEARCH(IF(C$1&lt;&gt;"",C$1,"NA"),'MITRE ATT&amp;CK Mappings'!$E646)),ISNUMBER(SEARCH(IF(C$1&lt;&gt;"",C$1,"NA"),'MITRE ATT&amp;CK Mappings'!$F646))),ISNUMBER(SEARCH(IF(C$2&lt;&gt;"",C$2,"NA"),'MITRE ATT&amp;CK Mappings'!$G646))),ISNUMBER(SEARCH(IF(C$2&lt;&gt;"",C$2,"NA"),'MITRE ATT&amp;CK Mappings'!$H646))),ISNUMBER(SEARCH(IF(C$3&lt;&gt;"",C$3,"NA"),'MITRE ATT&amp;CK Mappings'!$I646))),ISNUMBER(SEARCH(IF(C$3&lt;&gt;"",C$3,"NA"),'MITRE ATT&amp;CK Mappings'!$J646))), 'MITRE ATT&amp;CK Mappings'!$B646,"")</f>
        <v/>
      </c>
      <c r="D650" s="26" t="str">
        <f>IF(OR(OR(OR(OR(OR(ISNUMBER(SEARCH(IF(D$1&lt;&gt;"",D$1,"NA"),'MITRE ATT&amp;CK Mappings'!$E646)),ISNUMBER(SEARCH(IF(D$1&lt;&gt;"",D$1,"NA"),'MITRE ATT&amp;CK Mappings'!$F646))),ISNUMBER(SEARCH(IF(D$2&lt;&gt;"",D$2,"NA"),'MITRE ATT&amp;CK Mappings'!$G646))),ISNUMBER(SEARCH(IF(D$2&lt;&gt;"",D$2,"NA"),'MITRE ATT&amp;CK Mappings'!$H646))),ISNUMBER(SEARCH(IF(D$3&lt;&gt;"",D$3,"NA"),'MITRE ATT&amp;CK Mappings'!$I646))),ISNUMBER(SEARCH(IF(D$3&lt;&gt;"",D$3,"NA"),'MITRE ATT&amp;CK Mappings'!$J646))), 'MITRE ATT&amp;CK Mappings'!$B646,"")</f>
        <v/>
      </c>
      <c r="E650" s="26" t="str">
        <f>IF(OR(OR(OR(OR(OR(ISNUMBER(SEARCH(IF(E$1&lt;&gt;"",E$1,"NA"),'MITRE ATT&amp;CK Mappings'!$E646)),ISNUMBER(SEARCH(IF(E$1&lt;&gt;"",E$1,"NA"),'MITRE ATT&amp;CK Mappings'!$F646))),ISNUMBER(SEARCH(IF(E$2&lt;&gt;"",E$2,"NA"),'MITRE ATT&amp;CK Mappings'!$G646))),ISNUMBER(SEARCH(IF(E$2&lt;&gt;"",E$2,"NA"),'MITRE ATT&amp;CK Mappings'!$H646))),ISNUMBER(SEARCH(IF(E$3&lt;&gt;"",E$3,"NA"),'MITRE ATT&amp;CK Mappings'!$I646))),ISNUMBER(SEARCH(IF(E$3&lt;&gt;"",E$3,"NA"),'MITRE ATT&amp;CK Mappings'!$J646))), 'MITRE ATT&amp;CK Mappings'!$B646,"")</f>
        <v/>
      </c>
      <c r="F650" s="26" t="str">
        <f>IF(OR(OR(OR(OR(OR(ISNUMBER(SEARCH(IF(F$1&lt;&gt;"",F$1,"NA"),'MITRE ATT&amp;CK Mappings'!$E646)),ISNUMBER(SEARCH(IF(F$1&lt;&gt;"",F$1,"NA"),'MITRE ATT&amp;CK Mappings'!$F646))),ISNUMBER(SEARCH(IF(F$2&lt;&gt;"",F$2,"NA"),'MITRE ATT&amp;CK Mappings'!$G646))),ISNUMBER(SEARCH(IF(F$2&lt;&gt;"",F$2,"NA"),'MITRE ATT&amp;CK Mappings'!$H646))),ISNUMBER(SEARCH(IF(F$3&lt;&gt;"",F$3,"NA"),'MITRE ATT&amp;CK Mappings'!$I646))),ISNUMBER(SEARCH(IF(F$3&lt;&gt;"",F$3,"NA"),'MITRE ATT&amp;CK Mappings'!$J646))), 'MITRE ATT&amp;CK Mappings'!$B646,"")</f>
        <v/>
      </c>
      <c r="G650" s="26" t="str">
        <f>IF(OR(OR(OR(OR(OR(ISNUMBER(SEARCH(IF(G$1&lt;&gt;"",G$1,"NA"),'MITRE ATT&amp;CK Mappings'!$E646)),ISNUMBER(SEARCH(IF(G$1&lt;&gt;"",G$1,"NA"),'MITRE ATT&amp;CK Mappings'!$F646))),ISNUMBER(SEARCH(IF(G$2&lt;&gt;"",G$2,"NA"),'MITRE ATT&amp;CK Mappings'!$G646))),ISNUMBER(SEARCH(IF(G$2&lt;&gt;"",G$2,"NA"),'MITRE ATT&amp;CK Mappings'!$H646))),ISNUMBER(SEARCH(IF(G$3&lt;&gt;"",G$3,"NA"),'MITRE ATT&amp;CK Mappings'!$I646))),ISNUMBER(SEARCH(IF(G$3&lt;&gt;"",G$3,"NA"),'MITRE ATT&amp;CK Mappings'!$J646))), 'MITRE ATT&amp;CK Mappings'!$B646,"")</f>
        <v/>
      </c>
      <c r="H650" s="26" t="str">
        <f>IF(OR(OR(OR(OR(OR(ISNUMBER(SEARCH(IF(H$1&lt;&gt;"",H$1,"NA"),'MITRE ATT&amp;CK Mappings'!$E646)),ISNUMBER(SEARCH(IF(H$1&lt;&gt;"",H$1,"NA"),'MITRE ATT&amp;CK Mappings'!$F646))),ISNUMBER(SEARCH(IF(H$2&lt;&gt;"",H$2,"NA"),'MITRE ATT&amp;CK Mappings'!$G646))),ISNUMBER(SEARCH(IF(H$2&lt;&gt;"",H$2,"NA"),'MITRE ATT&amp;CK Mappings'!$H646))),ISNUMBER(SEARCH(IF(H$3&lt;&gt;"",H$3,"NA"),'MITRE ATT&amp;CK Mappings'!$I646))),ISNUMBER(SEARCH(IF(H$3&lt;&gt;"",H$3,"NA"),'MITRE ATT&amp;CK Mappings'!$J646))), 'MITRE ATT&amp;CK Mappings'!$B646,"")</f>
        <v/>
      </c>
      <c r="I650" s="26" t="str">
        <f>IF(OR(OR(OR(OR(OR(ISNUMBER(SEARCH(IF(I$1&lt;&gt;"",I$1,"NA"),'MITRE ATT&amp;CK Mappings'!$E646)),ISNUMBER(SEARCH(IF(I$1&lt;&gt;"",I$1,"NA"),'MITRE ATT&amp;CK Mappings'!$F646))),ISNUMBER(SEARCH(IF(I$2&lt;&gt;"",I$2,"NA"),'MITRE ATT&amp;CK Mappings'!$G646))),ISNUMBER(SEARCH(IF(I$2&lt;&gt;"",I$2,"NA"),'MITRE ATT&amp;CK Mappings'!$H646))),ISNUMBER(SEARCH(IF(I$3&lt;&gt;"",I$3,"NA"),'MITRE ATT&amp;CK Mappings'!$I646))),ISNUMBER(SEARCH(IF(I$3&lt;&gt;"",I$3,"NA"),'MITRE ATT&amp;CK Mappings'!$J646))), 'MITRE ATT&amp;CK Mappings'!$B646,"")</f>
        <v/>
      </c>
      <c r="J650" s="26" t="str">
        <f>IF(OR(OR(OR(OR(OR(ISNUMBER(SEARCH(IF(J$1&lt;&gt;"",J$1,"NA"),'MITRE ATT&amp;CK Mappings'!$E646)),ISNUMBER(SEARCH(IF(J$1&lt;&gt;"",J$1,"NA"),'MITRE ATT&amp;CK Mappings'!$F646))),ISNUMBER(SEARCH(IF(J$2&lt;&gt;"",J$2,"NA"),'MITRE ATT&amp;CK Mappings'!$G646))),ISNUMBER(SEARCH(IF(J$2&lt;&gt;"",J$2,"NA"),'MITRE ATT&amp;CK Mappings'!$H646))),ISNUMBER(SEARCH(IF(J$3&lt;&gt;"",J$3,"NA"),'MITRE ATT&amp;CK Mappings'!$I646))),ISNUMBER(SEARCH(IF(J$3&lt;&gt;"",J$3,"NA"),'MITRE ATT&amp;CK Mappings'!$J646))), 'MITRE ATT&amp;CK Mappings'!$B646,"")</f>
        <v/>
      </c>
      <c r="K650" s="26" t="str">
        <f>IF(OR(OR(OR(OR(OR(ISNUMBER(SEARCH(IF(K$1&lt;&gt;"",K$1,"NA"),'MITRE ATT&amp;CK Mappings'!$E646)),ISNUMBER(SEARCH(IF(K$1&lt;&gt;"",K$1,"NA"),'MITRE ATT&amp;CK Mappings'!$F646))),ISNUMBER(SEARCH(IF(K$2&lt;&gt;"",K$2,"NA"),'MITRE ATT&amp;CK Mappings'!$G646))),ISNUMBER(SEARCH(IF(K$2&lt;&gt;"",K$2,"NA"),'MITRE ATT&amp;CK Mappings'!$H646))),ISNUMBER(SEARCH(IF(K$3&lt;&gt;"",K$3,"NA"),'MITRE ATT&amp;CK Mappings'!$I646))),ISNUMBER(SEARCH(IF(K$3&lt;&gt;"",K$3,"NA"),'MITRE ATT&amp;CK Mappings'!$J646))), 'MITRE ATT&amp;CK Mappings'!$B646,"")</f>
        <v/>
      </c>
      <c r="L650" s="26" t="str">
        <f>IF('MITRE ATT&amp;CK Mappings'!D646 &lt;&gt;"",'MITRE ATT&amp;CK Mappings'!D646,"" )</f>
        <v/>
      </c>
    </row>
    <row r="651" spans="1:12" x14ac:dyDescent="0.25">
      <c r="A651" s="27" t="str">
        <f>IF(COUNTIF(B651:K651,"="&amp;'MITRE ATT&amp;CK Mappings'!B647)&gt;0,'MITRE ATT&amp;CK Mappings'!B647,"")</f>
        <v/>
      </c>
      <c r="B651" s="27" t="str">
        <f>IF(OR(OR(OR(OR(OR(ISNUMBER(SEARCH(IF(B$1&lt;&gt;"",B$1,"NA"),'MITRE ATT&amp;CK Mappings'!$E647)),ISNUMBER(SEARCH(IF(B$1&lt;&gt;"",B$1,"NA"),'MITRE ATT&amp;CK Mappings'!$F647))),ISNUMBER(SEARCH(IF(B$2&lt;&gt;"",B$2,"NA"),'MITRE ATT&amp;CK Mappings'!$G647))),ISNUMBER(SEARCH(IF(B$2&lt;&gt;"",B$2,"NA"),'MITRE ATT&amp;CK Mappings'!$H647))),ISNUMBER(SEARCH(IF(B$3&lt;&gt;"",B$3,"NA"),'MITRE ATT&amp;CK Mappings'!$I647))),ISNUMBER(SEARCH(IF(B$3&lt;&gt;"",B$3,"NA"),'MITRE ATT&amp;CK Mappings'!$J647))), 'MITRE ATT&amp;CK Mappings'!$B647,"")</f>
        <v/>
      </c>
      <c r="C651" s="27" t="str">
        <f>IF(OR(OR(OR(OR(OR(ISNUMBER(SEARCH(IF(C$1&lt;&gt;"",C$1,"NA"),'MITRE ATT&amp;CK Mappings'!$E647)),ISNUMBER(SEARCH(IF(C$1&lt;&gt;"",C$1,"NA"),'MITRE ATT&amp;CK Mappings'!$F647))),ISNUMBER(SEARCH(IF(C$2&lt;&gt;"",C$2,"NA"),'MITRE ATT&amp;CK Mappings'!$G647))),ISNUMBER(SEARCH(IF(C$2&lt;&gt;"",C$2,"NA"),'MITRE ATT&amp;CK Mappings'!$H647))),ISNUMBER(SEARCH(IF(C$3&lt;&gt;"",C$3,"NA"),'MITRE ATT&amp;CK Mappings'!$I647))),ISNUMBER(SEARCH(IF(C$3&lt;&gt;"",C$3,"NA"),'MITRE ATT&amp;CK Mappings'!$J647))), 'MITRE ATT&amp;CK Mappings'!$B647,"")</f>
        <v/>
      </c>
      <c r="D651" s="27" t="str">
        <f>IF(OR(OR(OR(OR(OR(ISNUMBER(SEARCH(IF(D$1&lt;&gt;"",D$1,"NA"),'MITRE ATT&amp;CK Mappings'!$E647)),ISNUMBER(SEARCH(IF(D$1&lt;&gt;"",D$1,"NA"),'MITRE ATT&amp;CK Mappings'!$F647))),ISNUMBER(SEARCH(IF(D$2&lt;&gt;"",D$2,"NA"),'MITRE ATT&amp;CK Mappings'!$G647))),ISNUMBER(SEARCH(IF(D$2&lt;&gt;"",D$2,"NA"),'MITRE ATT&amp;CK Mappings'!$H647))),ISNUMBER(SEARCH(IF(D$3&lt;&gt;"",D$3,"NA"),'MITRE ATT&amp;CK Mappings'!$I647))),ISNUMBER(SEARCH(IF(D$3&lt;&gt;"",D$3,"NA"),'MITRE ATT&amp;CK Mappings'!$J647))), 'MITRE ATT&amp;CK Mappings'!$B647,"")</f>
        <v/>
      </c>
      <c r="E651" s="27" t="str">
        <f>IF(OR(OR(OR(OR(OR(ISNUMBER(SEARCH(IF(E$1&lt;&gt;"",E$1,"NA"),'MITRE ATT&amp;CK Mappings'!$E647)),ISNUMBER(SEARCH(IF(E$1&lt;&gt;"",E$1,"NA"),'MITRE ATT&amp;CK Mappings'!$F647))),ISNUMBER(SEARCH(IF(E$2&lt;&gt;"",E$2,"NA"),'MITRE ATT&amp;CK Mappings'!$G647))),ISNUMBER(SEARCH(IF(E$2&lt;&gt;"",E$2,"NA"),'MITRE ATT&amp;CK Mappings'!$H647))),ISNUMBER(SEARCH(IF(E$3&lt;&gt;"",E$3,"NA"),'MITRE ATT&amp;CK Mappings'!$I647))),ISNUMBER(SEARCH(IF(E$3&lt;&gt;"",E$3,"NA"),'MITRE ATT&amp;CK Mappings'!$J647))), 'MITRE ATT&amp;CK Mappings'!$B647,"")</f>
        <v/>
      </c>
      <c r="F651" s="27" t="str">
        <f>IF(OR(OR(OR(OR(OR(ISNUMBER(SEARCH(IF(F$1&lt;&gt;"",F$1,"NA"),'MITRE ATT&amp;CK Mappings'!$E647)),ISNUMBER(SEARCH(IF(F$1&lt;&gt;"",F$1,"NA"),'MITRE ATT&amp;CK Mappings'!$F647))),ISNUMBER(SEARCH(IF(F$2&lt;&gt;"",F$2,"NA"),'MITRE ATT&amp;CK Mappings'!$G647))),ISNUMBER(SEARCH(IF(F$2&lt;&gt;"",F$2,"NA"),'MITRE ATT&amp;CK Mappings'!$H647))),ISNUMBER(SEARCH(IF(F$3&lt;&gt;"",F$3,"NA"),'MITRE ATT&amp;CK Mappings'!$I647))),ISNUMBER(SEARCH(IF(F$3&lt;&gt;"",F$3,"NA"),'MITRE ATT&amp;CK Mappings'!$J647))), 'MITRE ATT&amp;CK Mappings'!$B647,"")</f>
        <v/>
      </c>
      <c r="G651" s="27" t="str">
        <f>IF(OR(OR(OR(OR(OR(ISNUMBER(SEARCH(IF(G$1&lt;&gt;"",G$1,"NA"),'MITRE ATT&amp;CK Mappings'!$E647)),ISNUMBER(SEARCH(IF(G$1&lt;&gt;"",G$1,"NA"),'MITRE ATT&amp;CK Mappings'!$F647))),ISNUMBER(SEARCH(IF(G$2&lt;&gt;"",G$2,"NA"),'MITRE ATT&amp;CK Mappings'!$G647))),ISNUMBER(SEARCH(IF(G$2&lt;&gt;"",G$2,"NA"),'MITRE ATT&amp;CK Mappings'!$H647))),ISNUMBER(SEARCH(IF(G$3&lt;&gt;"",G$3,"NA"),'MITRE ATT&amp;CK Mappings'!$I647))),ISNUMBER(SEARCH(IF(G$3&lt;&gt;"",G$3,"NA"),'MITRE ATT&amp;CK Mappings'!$J647))), 'MITRE ATT&amp;CK Mappings'!$B647,"")</f>
        <v/>
      </c>
      <c r="H651" s="27" t="str">
        <f>IF(OR(OR(OR(OR(OR(ISNUMBER(SEARCH(IF(H$1&lt;&gt;"",H$1,"NA"),'MITRE ATT&amp;CK Mappings'!$E647)),ISNUMBER(SEARCH(IF(H$1&lt;&gt;"",H$1,"NA"),'MITRE ATT&amp;CK Mappings'!$F647))),ISNUMBER(SEARCH(IF(H$2&lt;&gt;"",H$2,"NA"),'MITRE ATT&amp;CK Mappings'!$G647))),ISNUMBER(SEARCH(IF(H$2&lt;&gt;"",H$2,"NA"),'MITRE ATT&amp;CK Mappings'!$H647))),ISNUMBER(SEARCH(IF(H$3&lt;&gt;"",H$3,"NA"),'MITRE ATT&amp;CK Mappings'!$I647))),ISNUMBER(SEARCH(IF(H$3&lt;&gt;"",H$3,"NA"),'MITRE ATT&amp;CK Mappings'!$J647))), 'MITRE ATT&amp;CK Mappings'!$B647,"")</f>
        <v/>
      </c>
      <c r="I651" s="27" t="str">
        <f>IF(OR(OR(OR(OR(OR(ISNUMBER(SEARCH(IF(I$1&lt;&gt;"",I$1,"NA"),'MITRE ATT&amp;CK Mappings'!$E647)),ISNUMBER(SEARCH(IF(I$1&lt;&gt;"",I$1,"NA"),'MITRE ATT&amp;CK Mappings'!$F647))),ISNUMBER(SEARCH(IF(I$2&lt;&gt;"",I$2,"NA"),'MITRE ATT&amp;CK Mappings'!$G647))),ISNUMBER(SEARCH(IF(I$2&lt;&gt;"",I$2,"NA"),'MITRE ATT&amp;CK Mappings'!$H647))),ISNUMBER(SEARCH(IF(I$3&lt;&gt;"",I$3,"NA"),'MITRE ATT&amp;CK Mappings'!$I647))),ISNUMBER(SEARCH(IF(I$3&lt;&gt;"",I$3,"NA"),'MITRE ATT&amp;CK Mappings'!$J647))), 'MITRE ATT&amp;CK Mappings'!$B647,"")</f>
        <v/>
      </c>
      <c r="J651" s="27" t="str">
        <f>IF(OR(OR(OR(OR(OR(ISNUMBER(SEARCH(IF(J$1&lt;&gt;"",J$1,"NA"),'MITRE ATT&amp;CK Mappings'!$E647)),ISNUMBER(SEARCH(IF(J$1&lt;&gt;"",J$1,"NA"),'MITRE ATT&amp;CK Mappings'!$F647))),ISNUMBER(SEARCH(IF(J$2&lt;&gt;"",J$2,"NA"),'MITRE ATT&amp;CK Mappings'!$G647))),ISNUMBER(SEARCH(IF(J$2&lt;&gt;"",J$2,"NA"),'MITRE ATT&amp;CK Mappings'!$H647))),ISNUMBER(SEARCH(IF(J$3&lt;&gt;"",J$3,"NA"),'MITRE ATT&amp;CK Mappings'!$I647))),ISNUMBER(SEARCH(IF(J$3&lt;&gt;"",J$3,"NA"),'MITRE ATT&amp;CK Mappings'!$J647))), 'MITRE ATT&amp;CK Mappings'!$B647,"")</f>
        <v/>
      </c>
      <c r="K651" s="27" t="str">
        <f>IF(OR(OR(OR(OR(OR(ISNUMBER(SEARCH(IF(K$1&lt;&gt;"",K$1,"NA"),'MITRE ATT&amp;CK Mappings'!$E647)),ISNUMBER(SEARCH(IF(K$1&lt;&gt;"",K$1,"NA"),'MITRE ATT&amp;CK Mappings'!$F647))),ISNUMBER(SEARCH(IF(K$2&lt;&gt;"",K$2,"NA"),'MITRE ATT&amp;CK Mappings'!$G647))),ISNUMBER(SEARCH(IF(K$2&lt;&gt;"",K$2,"NA"),'MITRE ATT&amp;CK Mappings'!$H647))),ISNUMBER(SEARCH(IF(K$3&lt;&gt;"",K$3,"NA"),'MITRE ATT&amp;CK Mappings'!$I647))),ISNUMBER(SEARCH(IF(K$3&lt;&gt;"",K$3,"NA"),'MITRE ATT&amp;CK Mappings'!$J647))), 'MITRE ATT&amp;CK Mappings'!$B647,"")</f>
        <v/>
      </c>
      <c r="L651" s="27" t="str">
        <f>IF('MITRE ATT&amp;CK Mappings'!D647 &lt;&gt;"",'MITRE ATT&amp;CK Mappings'!D647,"" )</f>
        <v/>
      </c>
    </row>
    <row r="652" spans="1:12" x14ac:dyDescent="0.25">
      <c r="A652" s="26" t="str">
        <f>IF(COUNTIF(B652:K652,"="&amp;'MITRE ATT&amp;CK Mappings'!B648)&gt;0,'MITRE ATT&amp;CK Mappings'!B648,"")</f>
        <v/>
      </c>
      <c r="B652" s="26" t="str">
        <f>IF(OR(OR(OR(OR(OR(ISNUMBER(SEARCH(IF(B$1&lt;&gt;"",B$1,"NA"),'MITRE ATT&amp;CK Mappings'!$E648)),ISNUMBER(SEARCH(IF(B$1&lt;&gt;"",B$1,"NA"),'MITRE ATT&amp;CK Mappings'!$F648))),ISNUMBER(SEARCH(IF(B$2&lt;&gt;"",B$2,"NA"),'MITRE ATT&amp;CK Mappings'!$G648))),ISNUMBER(SEARCH(IF(B$2&lt;&gt;"",B$2,"NA"),'MITRE ATT&amp;CK Mappings'!$H648))),ISNUMBER(SEARCH(IF(B$3&lt;&gt;"",B$3,"NA"),'MITRE ATT&amp;CK Mappings'!$I648))),ISNUMBER(SEARCH(IF(B$3&lt;&gt;"",B$3,"NA"),'MITRE ATT&amp;CK Mappings'!$J648))), 'MITRE ATT&amp;CK Mappings'!$B648,"")</f>
        <v/>
      </c>
      <c r="C652" s="26" t="str">
        <f>IF(OR(OR(OR(OR(OR(ISNUMBER(SEARCH(IF(C$1&lt;&gt;"",C$1,"NA"),'MITRE ATT&amp;CK Mappings'!$E648)),ISNUMBER(SEARCH(IF(C$1&lt;&gt;"",C$1,"NA"),'MITRE ATT&amp;CK Mappings'!$F648))),ISNUMBER(SEARCH(IF(C$2&lt;&gt;"",C$2,"NA"),'MITRE ATT&amp;CK Mappings'!$G648))),ISNUMBER(SEARCH(IF(C$2&lt;&gt;"",C$2,"NA"),'MITRE ATT&amp;CK Mappings'!$H648))),ISNUMBER(SEARCH(IF(C$3&lt;&gt;"",C$3,"NA"),'MITRE ATT&amp;CK Mappings'!$I648))),ISNUMBER(SEARCH(IF(C$3&lt;&gt;"",C$3,"NA"),'MITRE ATT&amp;CK Mappings'!$J648))), 'MITRE ATT&amp;CK Mappings'!$B648,"")</f>
        <v/>
      </c>
      <c r="D652" s="26" t="str">
        <f>IF(OR(OR(OR(OR(OR(ISNUMBER(SEARCH(IF(D$1&lt;&gt;"",D$1,"NA"),'MITRE ATT&amp;CK Mappings'!$E648)),ISNUMBER(SEARCH(IF(D$1&lt;&gt;"",D$1,"NA"),'MITRE ATT&amp;CK Mappings'!$F648))),ISNUMBER(SEARCH(IF(D$2&lt;&gt;"",D$2,"NA"),'MITRE ATT&amp;CK Mappings'!$G648))),ISNUMBER(SEARCH(IF(D$2&lt;&gt;"",D$2,"NA"),'MITRE ATT&amp;CK Mappings'!$H648))),ISNUMBER(SEARCH(IF(D$3&lt;&gt;"",D$3,"NA"),'MITRE ATT&amp;CK Mappings'!$I648))),ISNUMBER(SEARCH(IF(D$3&lt;&gt;"",D$3,"NA"),'MITRE ATT&amp;CK Mappings'!$J648))), 'MITRE ATT&amp;CK Mappings'!$B648,"")</f>
        <v/>
      </c>
      <c r="E652" s="26" t="str">
        <f>IF(OR(OR(OR(OR(OR(ISNUMBER(SEARCH(IF(E$1&lt;&gt;"",E$1,"NA"),'MITRE ATT&amp;CK Mappings'!$E648)),ISNUMBER(SEARCH(IF(E$1&lt;&gt;"",E$1,"NA"),'MITRE ATT&amp;CK Mappings'!$F648))),ISNUMBER(SEARCH(IF(E$2&lt;&gt;"",E$2,"NA"),'MITRE ATT&amp;CK Mappings'!$G648))),ISNUMBER(SEARCH(IF(E$2&lt;&gt;"",E$2,"NA"),'MITRE ATT&amp;CK Mappings'!$H648))),ISNUMBER(SEARCH(IF(E$3&lt;&gt;"",E$3,"NA"),'MITRE ATT&amp;CK Mappings'!$I648))),ISNUMBER(SEARCH(IF(E$3&lt;&gt;"",E$3,"NA"),'MITRE ATT&amp;CK Mappings'!$J648))), 'MITRE ATT&amp;CK Mappings'!$B648,"")</f>
        <v/>
      </c>
      <c r="F652" s="26" t="str">
        <f>IF(OR(OR(OR(OR(OR(ISNUMBER(SEARCH(IF(F$1&lt;&gt;"",F$1,"NA"),'MITRE ATT&amp;CK Mappings'!$E648)),ISNUMBER(SEARCH(IF(F$1&lt;&gt;"",F$1,"NA"),'MITRE ATT&amp;CK Mappings'!$F648))),ISNUMBER(SEARCH(IF(F$2&lt;&gt;"",F$2,"NA"),'MITRE ATT&amp;CK Mappings'!$G648))),ISNUMBER(SEARCH(IF(F$2&lt;&gt;"",F$2,"NA"),'MITRE ATT&amp;CK Mappings'!$H648))),ISNUMBER(SEARCH(IF(F$3&lt;&gt;"",F$3,"NA"),'MITRE ATT&amp;CK Mappings'!$I648))),ISNUMBER(SEARCH(IF(F$3&lt;&gt;"",F$3,"NA"),'MITRE ATT&amp;CK Mappings'!$J648))), 'MITRE ATT&amp;CK Mappings'!$B648,"")</f>
        <v/>
      </c>
      <c r="G652" s="26" t="str">
        <f>IF(OR(OR(OR(OR(OR(ISNUMBER(SEARCH(IF(G$1&lt;&gt;"",G$1,"NA"),'MITRE ATT&amp;CK Mappings'!$E648)),ISNUMBER(SEARCH(IF(G$1&lt;&gt;"",G$1,"NA"),'MITRE ATT&amp;CK Mappings'!$F648))),ISNUMBER(SEARCH(IF(G$2&lt;&gt;"",G$2,"NA"),'MITRE ATT&amp;CK Mappings'!$G648))),ISNUMBER(SEARCH(IF(G$2&lt;&gt;"",G$2,"NA"),'MITRE ATT&amp;CK Mappings'!$H648))),ISNUMBER(SEARCH(IF(G$3&lt;&gt;"",G$3,"NA"),'MITRE ATT&amp;CK Mappings'!$I648))),ISNUMBER(SEARCH(IF(G$3&lt;&gt;"",G$3,"NA"),'MITRE ATT&amp;CK Mappings'!$J648))), 'MITRE ATT&amp;CK Mappings'!$B648,"")</f>
        <v/>
      </c>
      <c r="H652" s="26" t="str">
        <f>IF(OR(OR(OR(OR(OR(ISNUMBER(SEARCH(IF(H$1&lt;&gt;"",H$1,"NA"),'MITRE ATT&amp;CK Mappings'!$E648)),ISNUMBER(SEARCH(IF(H$1&lt;&gt;"",H$1,"NA"),'MITRE ATT&amp;CK Mappings'!$F648))),ISNUMBER(SEARCH(IF(H$2&lt;&gt;"",H$2,"NA"),'MITRE ATT&amp;CK Mappings'!$G648))),ISNUMBER(SEARCH(IF(H$2&lt;&gt;"",H$2,"NA"),'MITRE ATT&amp;CK Mappings'!$H648))),ISNUMBER(SEARCH(IF(H$3&lt;&gt;"",H$3,"NA"),'MITRE ATT&amp;CK Mappings'!$I648))),ISNUMBER(SEARCH(IF(H$3&lt;&gt;"",H$3,"NA"),'MITRE ATT&amp;CK Mappings'!$J648))), 'MITRE ATT&amp;CK Mappings'!$B648,"")</f>
        <v/>
      </c>
      <c r="I652" s="26" t="str">
        <f>IF(OR(OR(OR(OR(OR(ISNUMBER(SEARCH(IF(I$1&lt;&gt;"",I$1,"NA"),'MITRE ATT&amp;CK Mappings'!$E648)),ISNUMBER(SEARCH(IF(I$1&lt;&gt;"",I$1,"NA"),'MITRE ATT&amp;CK Mappings'!$F648))),ISNUMBER(SEARCH(IF(I$2&lt;&gt;"",I$2,"NA"),'MITRE ATT&amp;CK Mappings'!$G648))),ISNUMBER(SEARCH(IF(I$2&lt;&gt;"",I$2,"NA"),'MITRE ATT&amp;CK Mappings'!$H648))),ISNUMBER(SEARCH(IF(I$3&lt;&gt;"",I$3,"NA"),'MITRE ATT&amp;CK Mappings'!$I648))),ISNUMBER(SEARCH(IF(I$3&lt;&gt;"",I$3,"NA"),'MITRE ATT&amp;CK Mappings'!$J648))), 'MITRE ATT&amp;CK Mappings'!$B648,"")</f>
        <v/>
      </c>
      <c r="J652" s="26" t="str">
        <f>IF(OR(OR(OR(OR(OR(ISNUMBER(SEARCH(IF(J$1&lt;&gt;"",J$1,"NA"),'MITRE ATT&amp;CK Mappings'!$E648)),ISNUMBER(SEARCH(IF(J$1&lt;&gt;"",J$1,"NA"),'MITRE ATT&amp;CK Mappings'!$F648))),ISNUMBER(SEARCH(IF(J$2&lt;&gt;"",J$2,"NA"),'MITRE ATT&amp;CK Mappings'!$G648))),ISNUMBER(SEARCH(IF(J$2&lt;&gt;"",J$2,"NA"),'MITRE ATT&amp;CK Mappings'!$H648))),ISNUMBER(SEARCH(IF(J$3&lt;&gt;"",J$3,"NA"),'MITRE ATT&amp;CK Mappings'!$I648))),ISNUMBER(SEARCH(IF(J$3&lt;&gt;"",J$3,"NA"),'MITRE ATT&amp;CK Mappings'!$J648))), 'MITRE ATT&amp;CK Mappings'!$B648,"")</f>
        <v/>
      </c>
      <c r="K652" s="26" t="str">
        <f>IF(OR(OR(OR(OR(OR(ISNUMBER(SEARCH(IF(K$1&lt;&gt;"",K$1,"NA"),'MITRE ATT&amp;CK Mappings'!$E648)),ISNUMBER(SEARCH(IF(K$1&lt;&gt;"",K$1,"NA"),'MITRE ATT&amp;CK Mappings'!$F648))),ISNUMBER(SEARCH(IF(K$2&lt;&gt;"",K$2,"NA"),'MITRE ATT&amp;CK Mappings'!$G648))),ISNUMBER(SEARCH(IF(K$2&lt;&gt;"",K$2,"NA"),'MITRE ATT&amp;CK Mappings'!$H648))),ISNUMBER(SEARCH(IF(K$3&lt;&gt;"",K$3,"NA"),'MITRE ATT&amp;CK Mappings'!$I648))),ISNUMBER(SEARCH(IF(K$3&lt;&gt;"",K$3,"NA"),'MITRE ATT&amp;CK Mappings'!$J648))), 'MITRE ATT&amp;CK Mappings'!$B648,"")</f>
        <v/>
      </c>
      <c r="L652" s="26" t="str">
        <f>IF('MITRE ATT&amp;CK Mappings'!D648 &lt;&gt;"",'MITRE ATT&amp;CK Mappings'!D648,"" )</f>
        <v/>
      </c>
    </row>
    <row r="653" spans="1:12" x14ac:dyDescent="0.25">
      <c r="A653" s="27" t="str">
        <f>IF(COUNTIF(B653:K653,"="&amp;'MITRE ATT&amp;CK Mappings'!B649)&gt;0,'MITRE ATT&amp;CK Mappings'!B649,"")</f>
        <v/>
      </c>
      <c r="B653" s="27" t="str">
        <f>IF(OR(OR(OR(OR(OR(ISNUMBER(SEARCH(IF(B$1&lt;&gt;"",B$1,"NA"),'MITRE ATT&amp;CK Mappings'!$E649)),ISNUMBER(SEARCH(IF(B$1&lt;&gt;"",B$1,"NA"),'MITRE ATT&amp;CK Mappings'!$F649))),ISNUMBER(SEARCH(IF(B$2&lt;&gt;"",B$2,"NA"),'MITRE ATT&amp;CK Mappings'!$G649))),ISNUMBER(SEARCH(IF(B$2&lt;&gt;"",B$2,"NA"),'MITRE ATT&amp;CK Mappings'!$H649))),ISNUMBER(SEARCH(IF(B$3&lt;&gt;"",B$3,"NA"),'MITRE ATT&amp;CK Mappings'!$I649))),ISNUMBER(SEARCH(IF(B$3&lt;&gt;"",B$3,"NA"),'MITRE ATT&amp;CK Mappings'!$J649))), 'MITRE ATT&amp;CK Mappings'!$B649,"")</f>
        <v/>
      </c>
      <c r="C653" s="27" t="str">
        <f>IF(OR(OR(OR(OR(OR(ISNUMBER(SEARCH(IF(C$1&lt;&gt;"",C$1,"NA"),'MITRE ATT&amp;CK Mappings'!$E649)),ISNUMBER(SEARCH(IF(C$1&lt;&gt;"",C$1,"NA"),'MITRE ATT&amp;CK Mappings'!$F649))),ISNUMBER(SEARCH(IF(C$2&lt;&gt;"",C$2,"NA"),'MITRE ATT&amp;CK Mappings'!$G649))),ISNUMBER(SEARCH(IF(C$2&lt;&gt;"",C$2,"NA"),'MITRE ATT&amp;CK Mappings'!$H649))),ISNUMBER(SEARCH(IF(C$3&lt;&gt;"",C$3,"NA"),'MITRE ATT&amp;CK Mappings'!$I649))),ISNUMBER(SEARCH(IF(C$3&lt;&gt;"",C$3,"NA"),'MITRE ATT&amp;CK Mappings'!$J649))), 'MITRE ATT&amp;CK Mappings'!$B649,"")</f>
        <v/>
      </c>
      <c r="D653" s="27" t="str">
        <f>IF(OR(OR(OR(OR(OR(ISNUMBER(SEARCH(IF(D$1&lt;&gt;"",D$1,"NA"),'MITRE ATT&amp;CK Mappings'!$E649)),ISNUMBER(SEARCH(IF(D$1&lt;&gt;"",D$1,"NA"),'MITRE ATT&amp;CK Mappings'!$F649))),ISNUMBER(SEARCH(IF(D$2&lt;&gt;"",D$2,"NA"),'MITRE ATT&amp;CK Mappings'!$G649))),ISNUMBER(SEARCH(IF(D$2&lt;&gt;"",D$2,"NA"),'MITRE ATT&amp;CK Mappings'!$H649))),ISNUMBER(SEARCH(IF(D$3&lt;&gt;"",D$3,"NA"),'MITRE ATT&amp;CK Mappings'!$I649))),ISNUMBER(SEARCH(IF(D$3&lt;&gt;"",D$3,"NA"),'MITRE ATT&amp;CK Mappings'!$J649))), 'MITRE ATT&amp;CK Mappings'!$B649,"")</f>
        <v/>
      </c>
      <c r="E653" s="27" t="str">
        <f>IF(OR(OR(OR(OR(OR(ISNUMBER(SEARCH(IF(E$1&lt;&gt;"",E$1,"NA"),'MITRE ATT&amp;CK Mappings'!$E649)),ISNUMBER(SEARCH(IF(E$1&lt;&gt;"",E$1,"NA"),'MITRE ATT&amp;CK Mappings'!$F649))),ISNUMBER(SEARCH(IF(E$2&lt;&gt;"",E$2,"NA"),'MITRE ATT&amp;CK Mappings'!$G649))),ISNUMBER(SEARCH(IF(E$2&lt;&gt;"",E$2,"NA"),'MITRE ATT&amp;CK Mappings'!$H649))),ISNUMBER(SEARCH(IF(E$3&lt;&gt;"",E$3,"NA"),'MITRE ATT&amp;CK Mappings'!$I649))),ISNUMBER(SEARCH(IF(E$3&lt;&gt;"",E$3,"NA"),'MITRE ATT&amp;CK Mappings'!$J649))), 'MITRE ATT&amp;CK Mappings'!$B649,"")</f>
        <v/>
      </c>
      <c r="F653" s="27" t="str">
        <f>IF(OR(OR(OR(OR(OR(ISNUMBER(SEARCH(IF(F$1&lt;&gt;"",F$1,"NA"),'MITRE ATT&amp;CK Mappings'!$E649)),ISNUMBER(SEARCH(IF(F$1&lt;&gt;"",F$1,"NA"),'MITRE ATT&amp;CK Mappings'!$F649))),ISNUMBER(SEARCH(IF(F$2&lt;&gt;"",F$2,"NA"),'MITRE ATT&amp;CK Mappings'!$G649))),ISNUMBER(SEARCH(IF(F$2&lt;&gt;"",F$2,"NA"),'MITRE ATT&amp;CK Mappings'!$H649))),ISNUMBER(SEARCH(IF(F$3&lt;&gt;"",F$3,"NA"),'MITRE ATT&amp;CK Mappings'!$I649))),ISNUMBER(SEARCH(IF(F$3&lt;&gt;"",F$3,"NA"),'MITRE ATT&amp;CK Mappings'!$J649))), 'MITRE ATT&amp;CK Mappings'!$B649,"")</f>
        <v/>
      </c>
      <c r="G653" s="27" t="str">
        <f>IF(OR(OR(OR(OR(OR(ISNUMBER(SEARCH(IF(G$1&lt;&gt;"",G$1,"NA"),'MITRE ATT&amp;CK Mappings'!$E649)),ISNUMBER(SEARCH(IF(G$1&lt;&gt;"",G$1,"NA"),'MITRE ATT&amp;CK Mappings'!$F649))),ISNUMBER(SEARCH(IF(G$2&lt;&gt;"",G$2,"NA"),'MITRE ATT&amp;CK Mappings'!$G649))),ISNUMBER(SEARCH(IF(G$2&lt;&gt;"",G$2,"NA"),'MITRE ATT&amp;CK Mappings'!$H649))),ISNUMBER(SEARCH(IF(G$3&lt;&gt;"",G$3,"NA"),'MITRE ATT&amp;CK Mappings'!$I649))),ISNUMBER(SEARCH(IF(G$3&lt;&gt;"",G$3,"NA"),'MITRE ATT&amp;CK Mappings'!$J649))), 'MITRE ATT&amp;CK Mappings'!$B649,"")</f>
        <v/>
      </c>
      <c r="H653" s="27" t="str">
        <f>IF(OR(OR(OR(OR(OR(ISNUMBER(SEARCH(IF(H$1&lt;&gt;"",H$1,"NA"),'MITRE ATT&amp;CK Mappings'!$E649)),ISNUMBER(SEARCH(IF(H$1&lt;&gt;"",H$1,"NA"),'MITRE ATT&amp;CK Mappings'!$F649))),ISNUMBER(SEARCH(IF(H$2&lt;&gt;"",H$2,"NA"),'MITRE ATT&amp;CK Mappings'!$G649))),ISNUMBER(SEARCH(IF(H$2&lt;&gt;"",H$2,"NA"),'MITRE ATT&amp;CK Mappings'!$H649))),ISNUMBER(SEARCH(IF(H$3&lt;&gt;"",H$3,"NA"),'MITRE ATT&amp;CK Mappings'!$I649))),ISNUMBER(SEARCH(IF(H$3&lt;&gt;"",H$3,"NA"),'MITRE ATT&amp;CK Mappings'!$J649))), 'MITRE ATT&amp;CK Mappings'!$B649,"")</f>
        <v/>
      </c>
      <c r="I653" s="27" t="str">
        <f>IF(OR(OR(OR(OR(OR(ISNUMBER(SEARCH(IF(I$1&lt;&gt;"",I$1,"NA"),'MITRE ATT&amp;CK Mappings'!$E649)),ISNUMBER(SEARCH(IF(I$1&lt;&gt;"",I$1,"NA"),'MITRE ATT&amp;CK Mappings'!$F649))),ISNUMBER(SEARCH(IF(I$2&lt;&gt;"",I$2,"NA"),'MITRE ATT&amp;CK Mappings'!$G649))),ISNUMBER(SEARCH(IF(I$2&lt;&gt;"",I$2,"NA"),'MITRE ATT&amp;CK Mappings'!$H649))),ISNUMBER(SEARCH(IF(I$3&lt;&gt;"",I$3,"NA"),'MITRE ATT&amp;CK Mappings'!$I649))),ISNUMBER(SEARCH(IF(I$3&lt;&gt;"",I$3,"NA"),'MITRE ATT&amp;CK Mappings'!$J649))), 'MITRE ATT&amp;CK Mappings'!$B649,"")</f>
        <v/>
      </c>
      <c r="J653" s="27" t="str">
        <f>IF(OR(OR(OR(OR(OR(ISNUMBER(SEARCH(IF(J$1&lt;&gt;"",J$1,"NA"),'MITRE ATT&amp;CK Mappings'!$E649)),ISNUMBER(SEARCH(IF(J$1&lt;&gt;"",J$1,"NA"),'MITRE ATT&amp;CK Mappings'!$F649))),ISNUMBER(SEARCH(IF(J$2&lt;&gt;"",J$2,"NA"),'MITRE ATT&amp;CK Mappings'!$G649))),ISNUMBER(SEARCH(IF(J$2&lt;&gt;"",J$2,"NA"),'MITRE ATT&amp;CK Mappings'!$H649))),ISNUMBER(SEARCH(IF(J$3&lt;&gt;"",J$3,"NA"),'MITRE ATT&amp;CK Mappings'!$I649))),ISNUMBER(SEARCH(IF(J$3&lt;&gt;"",J$3,"NA"),'MITRE ATT&amp;CK Mappings'!$J649))), 'MITRE ATT&amp;CK Mappings'!$B649,"")</f>
        <v/>
      </c>
      <c r="K653" s="27" t="str">
        <f>IF(OR(OR(OR(OR(OR(ISNUMBER(SEARCH(IF(K$1&lt;&gt;"",K$1,"NA"),'MITRE ATT&amp;CK Mappings'!$E649)),ISNUMBER(SEARCH(IF(K$1&lt;&gt;"",K$1,"NA"),'MITRE ATT&amp;CK Mappings'!$F649))),ISNUMBER(SEARCH(IF(K$2&lt;&gt;"",K$2,"NA"),'MITRE ATT&amp;CK Mappings'!$G649))),ISNUMBER(SEARCH(IF(K$2&lt;&gt;"",K$2,"NA"),'MITRE ATT&amp;CK Mappings'!$H649))),ISNUMBER(SEARCH(IF(K$3&lt;&gt;"",K$3,"NA"),'MITRE ATT&amp;CK Mappings'!$I649))),ISNUMBER(SEARCH(IF(K$3&lt;&gt;"",K$3,"NA"),'MITRE ATT&amp;CK Mappings'!$J649))), 'MITRE ATT&amp;CK Mappings'!$B649,"")</f>
        <v/>
      </c>
      <c r="L653" s="27" t="str">
        <f>IF('MITRE ATT&amp;CK Mappings'!D649 &lt;&gt;"",'MITRE ATT&amp;CK Mappings'!D649,"" )</f>
        <v/>
      </c>
    </row>
    <row r="654" spans="1:12" x14ac:dyDescent="0.25">
      <c r="A654" s="26" t="str">
        <f>IF(COUNTIF(B654:K654,"="&amp;'MITRE ATT&amp;CK Mappings'!B650)&gt;0,'MITRE ATT&amp;CK Mappings'!B650,"")</f>
        <v/>
      </c>
      <c r="B654" s="26" t="str">
        <f>IF(OR(OR(OR(OR(OR(ISNUMBER(SEARCH(IF(B$1&lt;&gt;"",B$1,"NA"),'MITRE ATT&amp;CK Mappings'!$E650)),ISNUMBER(SEARCH(IF(B$1&lt;&gt;"",B$1,"NA"),'MITRE ATT&amp;CK Mappings'!$F650))),ISNUMBER(SEARCH(IF(B$2&lt;&gt;"",B$2,"NA"),'MITRE ATT&amp;CK Mappings'!$G650))),ISNUMBER(SEARCH(IF(B$2&lt;&gt;"",B$2,"NA"),'MITRE ATT&amp;CK Mappings'!$H650))),ISNUMBER(SEARCH(IF(B$3&lt;&gt;"",B$3,"NA"),'MITRE ATT&amp;CK Mappings'!$I650))),ISNUMBER(SEARCH(IF(B$3&lt;&gt;"",B$3,"NA"),'MITRE ATT&amp;CK Mappings'!$J650))), 'MITRE ATT&amp;CK Mappings'!$B650,"")</f>
        <v/>
      </c>
      <c r="C654" s="26" t="str">
        <f>IF(OR(OR(OR(OR(OR(ISNUMBER(SEARCH(IF(C$1&lt;&gt;"",C$1,"NA"),'MITRE ATT&amp;CK Mappings'!$E650)),ISNUMBER(SEARCH(IF(C$1&lt;&gt;"",C$1,"NA"),'MITRE ATT&amp;CK Mappings'!$F650))),ISNUMBER(SEARCH(IF(C$2&lt;&gt;"",C$2,"NA"),'MITRE ATT&amp;CK Mappings'!$G650))),ISNUMBER(SEARCH(IF(C$2&lt;&gt;"",C$2,"NA"),'MITRE ATT&amp;CK Mappings'!$H650))),ISNUMBER(SEARCH(IF(C$3&lt;&gt;"",C$3,"NA"),'MITRE ATT&amp;CK Mappings'!$I650))),ISNUMBER(SEARCH(IF(C$3&lt;&gt;"",C$3,"NA"),'MITRE ATT&amp;CK Mappings'!$J650))), 'MITRE ATT&amp;CK Mappings'!$B650,"")</f>
        <v/>
      </c>
      <c r="D654" s="26" t="str">
        <f>IF(OR(OR(OR(OR(OR(ISNUMBER(SEARCH(IF(D$1&lt;&gt;"",D$1,"NA"),'MITRE ATT&amp;CK Mappings'!$E650)),ISNUMBER(SEARCH(IF(D$1&lt;&gt;"",D$1,"NA"),'MITRE ATT&amp;CK Mappings'!$F650))),ISNUMBER(SEARCH(IF(D$2&lt;&gt;"",D$2,"NA"),'MITRE ATT&amp;CK Mappings'!$G650))),ISNUMBER(SEARCH(IF(D$2&lt;&gt;"",D$2,"NA"),'MITRE ATT&amp;CK Mappings'!$H650))),ISNUMBER(SEARCH(IF(D$3&lt;&gt;"",D$3,"NA"),'MITRE ATT&amp;CK Mappings'!$I650))),ISNUMBER(SEARCH(IF(D$3&lt;&gt;"",D$3,"NA"),'MITRE ATT&amp;CK Mappings'!$J650))), 'MITRE ATT&amp;CK Mappings'!$B650,"")</f>
        <v/>
      </c>
      <c r="E654" s="26" t="str">
        <f>IF(OR(OR(OR(OR(OR(ISNUMBER(SEARCH(IF(E$1&lt;&gt;"",E$1,"NA"),'MITRE ATT&amp;CK Mappings'!$E650)),ISNUMBER(SEARCH(IF(E$1&lt;&gt;"",E$1,"NA"),'MITRE ATT&amp;CK Mappings'!$F650))),ISNUMBER(SEARCH(IF(E$2&lt;&gt;"",E$2,"NA"),'MITRE ATT&amp;CK Mappings'!$G650))),ISNUMBER(SEARCH(IF(E$2&lt;&gt;"",E$2,"NA"),'MITRE ATT&amp;CK Mappings'!$H650))),ISNUMBER(SEARCH(IF(E$3&lt;&gt;"",E$3,"NA"),'MITRE ATT&amp;CK Mappings'!$I650))),ISNUMBER(SEARCH(IF(E$3&lt;&gt;"",E$3,"NA"),'MITRE ATT&amp;CK Mappings'!$J650))), 'MITRE ATT&amp;CK Mappings'!$B650,"")</f>
        <v/>
      </c>
      <c r="F654" s="26" t="str">
        <f>IF(OR(OR(OR(OR(OR(ISNUMBER(SEARCH(IF(F$1&lt;&gt;"",F$1,"NA"),'MITRE ATT&amp;CK Mappings'!$E650)),ISNUMBER(SEARCH(IF(F$1&lt;&gt;"",F$1,"NA"),'MITRE ATT&amp;CK Mappings'!$F650))),ISNUMBER(SEARCH(IF(F$2&lt;&gt;"",F$2,"NA"),'MITRE ATT&amp;CK Mappings'!$G650))),ISNUMBER(SEARCH(IF(F$2&lt;&gt;"",F$2,"NA"),'MITRE ATT&amp;CK Mappings'!$H650))),ISNUMBER(SEARCH(IF(F$3&lt;&gt;"",F$3,"NA"),'MITRE ATT&amp;CK Mappings'!$I650))),ISNUMBER(SEARCH(IF(F$3&lt;&gt;"",F$3,"NA"),'MITRE ATT&amp;CK Mappings'!$J650))), 'MITRE ATT&amp;CK Mappings'!$B650,"")</f>
        <v/>
      </c>
      <c r="G654" s="26" t="str">
        <f>IF(OR(OR(OR(OR(OR(ISNUMBER(SEARCH(IF(G$1&lt;&gt;"",G$1,"NA"),'MITRE ATT&amp;CK Mappings'!$E650)),ISNUMBER(SEARCH(IF(G$1&lt;&gt;"",G$1,"NA"),'MITRE ATT&amp;CK Mappings'!$F650))),ISNUMBER(SEARCH(IF(G$2&lt;&gt;"",G$2,"NA"),'MITRE ATT&amp;CK Mappings'!$G650))),ISNUMBER(SEARCH(IF(G$2&lt;&gt;"",G$2,"NA"),'MITRE ATT&amp;CK Mappings'!$H650))),ISNUMBER(SEARCH(IF(G$3&lt;&gt;"",G$3,"NA"),'MITRE ATT&amp;CK Mappings'!$I650))),ISNUMBER(SEARCH(IF(G$3&lt;&gt;"",G$3,"NA"),'MITRE ATT&amp;CK Mappings'!$J650))), 'MITRE ATT&amp;CK Mappings'!$B650,"")</f>
        <v/>
      </c>
      <c r="H654" s="26" t="str">
        <f>IF(OR(OR(OR(OR(OR(ISNUMBER(SEARCH(IF(H$1&lt;&gt;"",H$1,"NA"),'MITRE ATT&amp;CK Mappings'!$E650)),ISNUMBER(SEARCH(IF(H$1&lt;&gt;"",H$1,"NA"),'MITRE ATT&amp;CK Mappings'!$F650))),ISNUMBER(SEARCH(IF(H$2&lt;&gt;"",H$2,"NA"),'MITRE ATT&amp;CK Mappings'!$G650))),ISNUMBER(SEARCH(IF(H$2&lt;&gt;"",H$2,"NA"),'MITRE ATT&amp;CK Mappings'!$H650))),ISNUMBER(SEARCH(IF(H$3&lt;&gt;"",H$3,"NA"),'MITRE ATT&amp;CK Mappings'!$I650))),ISNUMBER(SEARCH(IF(H$3&lt;&gt;"",H$3,"NA"),'MITRE ATT&amp;CK Mappings'!$J650))), 'MITRE ATT&amp;CK Mappings'!$B650,"")</f>
        <v/>
      </c>
      <c r="I654" s="26" t="str">
        <f>IF(OR(OR(OR(OR(OR(ISNUMBER(SEARCH(IF(I$1&lt;&gt;"",I$1,"NA"),'MITRE ATT&amp;CK Mappings'!$E650)),ISNUMBER(SEARCH(IF(I$1&lt;&gt;"",I$1,"NA"),'MITRE ATT&amp;CK Mappings'!$F650))),ISNUMBER(SEARCH(IF(I$2&lt;&gt;"",I$2,"NA"),'MITRE ATT&amp;CK Mappings'!$G650))),ISNUMBER(SEARCH(IF(I$2&lt;&gt;"",I$2,"NA"),'MITRE ATT&amp;CK Mappings'!$H650))),ISNUMBER(SEARCH(IF(I$3&lt;&gt;"",I$3,"NA"),'MITRE ATT&amp;CK Mappings'!$I650))),ISNUMBER(SEARCH(IF(I$3&lt;&gt;"",I$3,"NA"),'MITRE ATT&amp;CK Mappings'!$J650))), 'MITRE ATT&amp;CK Mappings'!$B650,"")</f>
        <v/>
      </c>
      <c r="J654" s="26" t="str">
        <f>IF(OR(OR(OR(OR(OR(ISNUMBER(SEARCH(IF(J$1&lt;&gt;"",J$1,"NA"),'MITRE ATT&amp;CK Mappings'!$E650)),ISNUMBER(SEARCH(IF(J$1&lt;&gt;"",J$1,"NA"),'MITRE ATT&amp;CK Mappings'!$F650))),ISNUMBER(SEARCH(IF(J$2&lt;&gt;"",J$2,"NA"),'MITRE ATT&amp;CK Mappings'!$G650))),ISNUMBER(SEARCH(IF(J$2&lt;&gt;"",J$2,"NA"),'MITRE ATT&amp;CK Mappings'!$H650))),ISNUMBER(SEARCH(IF(J$3&lt;&gt;"",J$3,"NA"),'MITRE ATT&amp;CK Mappings'!$I650))),ISNUMBER(SEARCH(IF(J$3&lt;&gt;"",J$3,"NA"),'MITRE ATT&amp;CK Mappings'!$J650))), 'MITRE ATT&amp;CK Mappings'!$B650,"")</f>
        <v/>
      </c>
      <c r="K654" s="26" t="str">
        <f>IF(OR(OR(OR(OR(OR(ISNUMBER(SEARCH(IF(K$1&lt;&gt;"",K$1,"NA"),'MITRE ATT&amp;CK Mappings'!$E650)),ISNUMBER(SEARCH(IF(K$1&lt;&gt;"",K$1,"NA"),'MITRE ATT&amp;CK Mappings'!$F650))),ISNUMBER(SEARCH(IF(K$2&lt;&gt;"",K$2,"NA"),'MITRE ATT&amp;CK Mappings'!$G650))),ISNUMBER(SEARCH(IF(K$2&lt;&gt;"",K$2,"NA"),'MITRE ATT&amp;CK Mappings'!$H650))),ISNUMBER(SEARCH(IF(K$3&lt;&gt;"",K$3,"NA"),'MITRE ATT&amp;CK Mappings'!$I650))),ISNUMBER(SEARCH(IF(K$3&lt;&gt;"",K$3,"NA"),'MITRE ATT&amp;CK Mappings'!$J650))), 'MITRE ATT&amp;CK Mappings'!$B650,"")</f>
        <v/>
      </c>
      <c r="L654" s="26" t="str">
        <f>IF('MITRE ATT&amp;CK Mappings'!D650 &lt;&gt;"",'MITRE ATT&amp;CK Mappings'!D650,"" )</f>
        <v/>
      </c>
    </row>
    <row r="655" spans="1:12" x14ac:dyDescent="0.25">
      <c r="A655" s="27" t="str">
        <f>IF(COUNTIF(B655:K655,"="&amp;'MITRE ATT&amp;CK Mappings'!B651)&gt;0,'MITRE ATT&amp;CK Mappings'!B651,"")</f>
        <v/>
      </c>
      <c r="B655" s="27" t="str">
        <f>IF(OR(OR(OR(OR(OR(ISNUMBER(SEARCH(IF(B$1&lt;&gt;"",B$1,"NA"),'MITRE ATT&amp;CK Mappings'!$E651)),ISNUMBER(SEARCH(IF(B$1&lt;&gt;"",B$1,"NA"),'MITRE ATT&amp;CK Mappings'!$F651))),ISNUMBER(SEARCH(IF(B$2&lt;&gt;"",B$2,"NA"),'MITRE ATT&amp;CK Mappings'!$G651))),ISNUMBER(SEARCH(IF(B$2&lt;&gt;"",B$2,"NA"),'MITRE ATT&amp;CK Mappings'!$H651))),ISNUMBER(SEARCH(IF(B$3&lt;&gt;"",B$3,"NA"),'MITRE ATT&amp;CK Mappings'!$I651))),ISNUMBER(SEARCH(IF(B$3&lt;&gt;"",B$3,"NA"),'MITRE ATT&amp;CK Mappings'!$J651))), 'MITRE ATT&amp;CK Mappings'!$B651,"")</f>
        <v/>
      </c>
      <c r="C655" s="27" t="str">
        <f>IF(OR(OR(OR(OR(OR(ISNUMBER(SEARCH(IF(C$1&lt;&gt;"",C$1,"NA"),'MITRE ATT&amp;CK Mappings'!$E651)),ISNUMBER(SEARCH(IF(C$1&lt;&gt;"",C$1,"NA"),'MITRE ATT&amp;CK Mappings'!$F651))),ISNUMBER(SEARCH(IF(C$2&lt;&gt;"",C$2,"NA"),'MITRE ATT&amp;CK Mappings'!$G651))),ISNUMBER(SEARCH(IF(C$2&lt;&gt;"",C$2,"NA"),'MITRE ATT&amp;CK Mappings'!$H651))),ISNUMBER(SEARCH(IF(C$3&lt;&gt;"",C$3,"NA"),'MITRE ATT&amp;CK Mappings'!$I651))),ISNUMBER(SEARCH(IF(C$3&lt;&gt;"",C$3,"NA"),'MITRE ATT&amp;CK Mappings'!$J651))), 'MITRE ATT&amp;CK Mappings'!$B651,"")</f>
        <v/>
      </c>
      <c r="D655" s="27" t="str">
        <f>IF(OR(OR(OR(OR(OR(ISNUMBER(SEARCH(IF(D$1&lt;&gt;"",D$1,"NA"),'MITRE ATT&amp;CK Mappings'!$E651)),ISNUMBER(SEARCH(IF(D$1&lt;&gt;"",D$1,"NA"),'MITRE ATT&amp;CK Mappings'!$F651))),ISNUMBER(SEARCH(IF(D$2&lt;&gt;"",D$2,"NA"),'MITRE ATT&amp;CK Mappings'!$G651))),ISNUMBER(SEARCH(IF(D$2&lt;&gt;"",D$2,"NA"),'MITRE ATT&amp;CK Mappings'!$H651))),ISNUMBER(SEARCH(IF(D$3&lt;&gt;"",D$3,"NA"),'MITRE ATT&amp;CK Mappings'!$I651))),ISNUMBER(SEARCH(IF(D$3&lt;&gt;"",D$3,"NA"),'MITRE ATT&amp;CK Mappings'!$J651))), 'MITRE ATT&amp;CK Mappings'!$B651,"")</f>
        <v/>
      </c>
      <c r="E655" s="27" t="str">
        <f>IF(OR(OR(OR(OR(OR(ISNUMBER(SEARCH(IF(E$1&lt;&gt;"",E$1,"NA"),'MITRE ATT&amp;CK Mappings'!$E651)),ISNUMBER(SEARCH(IF(E$1&lt;&gt;"",E$1,"NA"),'MITRE ATT&amp;CK Mappings'!$F651))),ISNUMBER(SEARCH(IF(E$2&lt;&gt;"",E$2,"NA"),'MITRE ATT&amp;CK Mappings'!$G651))),ISNUMBER(SEARCH(IF(E$2&lt;&gt;"",E$2,"NA"),'MITRE ATT&amp;CK Mappings'!$H651))),ISNUMBER(SEARCH(IF(E$3&lt;&gt;"",E$3,"NA"),'MITRE ATT&amp;CK Mappings'!$I651))),ISNUMBER(SEARCH(IF(E$3&lt;&gt;"",E$3,"NA"),'MITRE ATT&amp;CK Mappings'!$J651))), 'MITRE ATT&amp;CK Mappings'!$B651,"")</f>
        <v/>
      </c>
      <c r="F655" s="27" t="str">
        <f>IF(OR(OR(OR(OR(OR(ISNUMBER(SEARCH(IF(F$1&lt;&gt;"",F$1,"NA"),'MITRE ATT&amp;CK Mappings'!$E651)),ISNUMBER(SEARCH(IF(F$1&lt;&gt;"",F$1,"NA"),'MITRE ATT&amp;CK Mappings'!$F651))),ISNUMBER(SEARCH(IF(F$2&lt;&gt;"",F$2,"NA"),'MITRE ATT&amp;CK Mappings'!$G651))),ISNUMBER(SEARCH(IF(F$2&lt;&gt;"",F$2,"NA"),'MITRE ATT&amp;CK Mappings'!$H651))),ISNUMBER(SEARCH(IF(F$3&lt;&gt;"",F$3,"NA"),'MITRE ATT&amp;CK Mappings'!$I651))),ISNUMBER(SEARCH(IF(F$3&lt;&gt;"",F$3,"NA"),'MITRE ATT&amp;CK Mappings'!$J651))), 'MITRE ATT&amp;CK Mappings'!$B651,"")</f>
        <v/>
      </c>
      <c r="G655" s="27" t="str">
        <f>IF(OR(OR(OR(OR(OR(ISNUMBER(SEARCH(IF(G$1&lt;&gt;"",G$1,"NA"),'MITRE ATT&amp;CK Mappings'!$E651)),ISNUMBER(SEARCH(IF(G$1&lt;&gt;"",G$1,"NA"),'MITRE ATT&amp;CK Mappings'!$F651))),ISNUMBER(SEARCH(IF(G$2&lt;&gt;"",G$2,"NA"),'MITRE ATT&amp;CK Mappings'!$G651))),ISNUMBER(SEARCH(IF(G$2&lt;&gt;"",G$2,"NA"),'MITRE ATT&amp;CK Mappings'!$H651))),ISNUMBER(SEARCH(IF(G$3&lt;&gt;"",G$3,"NA"),'MITRE ATT&amp;CK Mappings'!$I651))),ISNUMBER(SEARCH(IF(G$3&lt;&gt;"",G$3,"NA"),'MITRE ATT&amp;CK Mappings'!$J651))), 'MITRE ATT&amp;CK Mappings'!$B651,"")</f>
        <v/>
      </c>
      <c r="H655" s="27" t="str">
        <f>IF(OR(OR(OR(OR(OR(ISNUMBER(SEARCH(IF(H$1&lt;&gt;"",H$1,"NA"),'MITRE ATT&amp;CK Mappings'!$E651)),ISNUMBER(SEARCH(IF(H$1&lt;&gt;"",H$1,"NA"),'MITRE ATT&amp;CK Mappings'!$F651))),ISNUMBER(SEARCH(IF(H$2&lt;&gt;"",H$2,"NA"),'MITRE ATT&amp;CK Mappings'!$G651))),ISNUMBER(SEARCH(IF(H$2&lt;&gt;"",H$2,"NA"),'MITRE ATT&amp;CK Mappings'!$H651))),ISNUMBER(SEARCH(IF(H$3&lt;&gt;"",H$3,"NA"),'MITRE ATT&amp;CK Mappings'!$I651))),ISNUMBER(SEARCH(IF(H$3&lt;&gt;"",H$3,"NA"),'MITRE ATT&amp;CK Mappings'!$J651))), 'MITRE ATT&amp;CK Mappings'!$B651,"")</f>
        <v/>
      </c>
      <c r="I655" s="27" t="str">
        <f>IF(OR(OR(OR(OR(OR(ISNUMBER(SEARCH(IF(I$1&lt;&gt;"",I$1,"NA"),'MITRE ATT&amp;CK Mappings'!$E651)),ISNUMBER(SEARCH(IF(I$1&lt;&gt;"",I$1,"NA"),'MITRE ATT&amp;CK Mappings'!$F651))),ISNUMBER(SEARCH(IF(I$2&lt;&gt;"",I$2,"NA"),'MITRE ATT&amp;CK Mappings'!$G651))),ISNUMBER(SEARCH(IF(I$2&lt;&gt;"",I$2,"NA"),'MITRE ATT&amp;CK Mappings'!$H651))),ISNUMBER(SEARCH(IF(I$3&lt;&gt;"",I$3,"NA"),'MITRE ATT&amp;CK Mappings'!$I651))),ISNUMBER(SEARCH(IF(I$3&lt;&gt;"",I$3,"NA"),'MITRE ATT&amp;CK Mappings'!$J651))), 'MITRE ATT&amp;CK Mappings'!$B651,"")</f>
        <v/>
      </c>
      <c r="J655" s="27" t="str">
        <f>IF(OR(OR(OR(OR(OR(ISNUMBER(SEARCH(IF(J$1&lt;&gt;"",J$1,"NA"),'MITRE ATT&amp;CK Mappings'!$E651)),ISNUMBER(SEARCH(IF(J$1&lt;&gt;"",J$1,"NA"),'MITRE ATT&amp;CK Mappings'!$F651))),ISNUMBER(SEARCH(IF(J$2&lt;&gt;"",J$2,"NA"),'MITRE ATT&amp;CK Mappings'!$G651))),ISNUMBER(SEARCH(IF(J$2&lt;&gt;"",J$2,"NA"),'MITRE ATT&amp;CK Mappings'!$H651))),ISNUMBER(SEARCH(IF(J$3&lt;&gt;"",J$3,"NA"),'MITRE ATT&amp;CK Mappings'!$I651))),ISNUMBER(SEARCH(IF(J$3&lt;&gt;"",J$3,"NA"),'MITRE ATT&amp;CK Mappings'!$J651))), 'MITRE ATT&amp;CK Mappings'!$B651,"")</f>
        <v/>
      </c>
      <c r="K655" s="27" t="str">
        <f>IF(OR(OR(OR(OR(OR(ISNUMBER(SEARCH(IF(K$1&lt;&gt;"",K$1,"NA"),'MITRE ATT&amp;CK Mappings'!$E651)),ISNUMBER(SEARCH(IF(K$1&lt;&gt;"",K$1,"NA"),'MITRE ATT&amp;CK Mappings'!$F651))),ISNUMBER(SEARCH(IF(K$2&lt;&gt;"",K$2,"NA"),'MITRE ATT&amp;CK Mappings'!$G651))),ISNUMBER(SEARCH(IF(K$2&lt;&gt;"",K$2,"NA"),'MITRE ATT&amp;CK Mappings'!$H651))),ISNUMBER(SEARCH(IF(K$3&lt;&gt;"",K$3,"NA"),'MITRE ATT&amp;CK Mappings'!$I651))),ISNUMBER(SEARCH(IF(K$3&lt;&gt;"",K$3,"NA"),'MITRE ATT&amp;CK Mappings'!$J651))), 'MITRE ATT&amp;CK Mappings'!$B651,"")</f>
        <v/>
      </c>
      <c r="L655" s="27" t="str">
        <f>IF('MITRE ATT&amp;CK Mappings'!D651 &lt;&gt;"",'MITRE ATT&amp;CK Mappings'!D651,"" )</f>
        <v/>
      </c>
    </row>
    <row r="656" spans="1:12" x14ac:dyDescent="0.25">
      <c r="A656" s="26" t="str">
        <f>IF(COUNTIF(B656:K656,"="&amp;'MITRE ATT&amp;CK Mappings'!B652)&gt;0,'MITRE ATT&amp;CK Mappings'!B652,"")</f>
        <v/>
      </c>
      <c r="B656" s="26" t="str">
        <f>IF(OR(OR(OR(OR(OR(ISNUMBER(SEARCH(IF(B$1&lt;&gt;"",B$1,"NA"),'MITRE ATT&amp;CK Mappings'!$E652)),ISNUMBER(SEARCH(IF(B$1&lt;&gt;"",B$1,"NA"),'MITRE ATT&amp;CK Mappings'!$F652))),ISNUMBER(SEARCH(IF(B$2&lt;&gt;"",B$2,"NA"),'MITRE ATT&amp;CK Mappings'!$G652))),ISNUMBER(SEARCH(IF(B$2&lt;&gt;"",B$2,"NA"),'MITRE ATT&amp;CK Mappings'!$H652))),ISNUMBER(SEARCH(IF(B$3&lt;&gt;"",B$3,"NA"),'MITRE ATT&amp;CK Mappings'!$I652))),ISNUMBER(SEARCH(IF(B$3&lt;&gt;"",B$3,"NA"),'MITRE ATT&amp;CK Mappings'!$J652))), 'MITRE ATT&amp;CK Mappings'!$B652,"")</f>
        <v/>
      </c>
      <c r="C656" s="26" t="str">
        <f>IF(OR(OR(OR(OR(OR(ISNUMBER(SEARCH(IF(C$1&lt;&gt;"",C$1,"NA"),'MITRE ATT&amp;CK Mappings'!$E652)),ISNUMBER(SEARCH(IF(C$1&lt;&gt;"",C$1,"NA"),'MITRE ATT&amp;CK Mappings'!$F652))),ISNUMBER(SEARCH(IF(C$2&lt;&gt;"",C$2,"NA"),'MITRE ATT&amp;CK Mappings'!$G652))),ISNUMBER(SEARCH(IF(C$2&lt;&gt;"",C$2,"NA"),'MITRE ATT&amp;CK Mappings'!$H652))),ISNUMBER(SEARCH(IF(C$3&lt;&gt;"",C$3,"NA"),'MITRE ATT&amp;CK Mappings'!$I652))),ISNUMBER(SEARCH(IF(C$3&lt;&gt;"",C$3,"NA"),'MITRE ATT&amp;CK Mappings'!$J652))), 'MITRE ATT&amp;CK Mappings'!$B652,"")</f>
        <v/>
      </c>
      <c r="D656" s="26" t="str">
        <f>IF(OR(OR(OR(OR(OR(ISNUMBER(SEARCH(IF(D$1&lt;&gt;"",D$1,"NA"),'MITRE ATT&amp;CK Mappings'!$E652)),ISNUMBER(SEARCH(IF(D$1&lt;&gt;"",D$1,"NA"),'MITRE ATT&amp;CK Mappings'!$F652))),ISNUMBER(SEARCH(IF(D$2&lt;&gt;"",D$2,"NA"),'MITRE ATT&amp;CK Mappings'!$G652))),ISNUMBER(SEARCH(IF(D$2&lt;&gt;"",D$2,"NA"),'MITRE ATT&amp;CK Mappings'!$H652))),ISNUMBER(SEARCH(IF(D$3&lt;&gt;"",D$3,"NA"),'MITRE ATT&amp;CK Mappings'!$I652))),ISNUMBER(SEARCH(IF(D$3&lt;&gt;"",D$3,"NA"),'MITRE ATT&amp;CK Mappings'!$J652))), 'MITRE ATT&amp;CK Mappings'!$B652,"")</f>
        <v/>
      </c>
      <c r="E656" s="26" t="str">
        <f>IF(OR(OR(OR(OR(OR(ISNUMBER(SEARCH(IF(E$1&lt;&gt;"",E$1,"NA"),'MITRE ATT&amp;CK Mappings'!$E652)),ISNUMBER(SEARCH(IF(E$1&lt;&gt;"",E$1,"NA"),'MITRE ATT&amp;CK Mappings'!$F652))),ISNUMBER(SEARCH(IF(E$2&lt;&gt;"",E$2,"NA"),'MITRE ATT&amp;CK Mappings'!$G652))),ISNUMBER(SEARCH(IF(E$2&lt;&gt;"",E$2,"NA"),'MITRE ATT&amp;CK Mappings'!$H652))),ISNUMBER(SEARCH(IF(E$3&lt;&gt;"",E$3,"NA"),'MITRE ATT&amp;CK Mappings'!$I652))),ISNUMBER(SEARCH(IF(E$3&lt;&gt;"",E$3,"NA"),'MITRE ATT&amp;CK Mappings'!$J652))), 'MITRE ATT&amp;CK Mappings'!$B652,"")</f>
        <v/>
      </c>
      <c r="F656" s="26" t="str">
        <f>IF(OR(OR(OR(OR(OR(ISNUMBER(SEARCH(IF(F$1&lt;&gt;"",F$1,"NA"),'MITRE ATT&amp;CK Mappings'!$E652)),ISNUMBER(SEARCH(IF(F$1&lt;&gt;"",F$1,"NA"),'MITRE ATT&amp;CK Mappings'!$F652))),ISNUMBER(SEARCH(IF(F$2&lt;&gt;"",F$2,"NA"),'MITRE ATT&amp;CK Mappings'!$G652))),ISNUMBER(SEARCH(IF(F$2&lt;&gt;"",F$2,"NA"),'MITRE ATT&amp;CK Mappings'!$H652))),ISNUMBER(SEARCH(IF(F$3&lt;&gt;"",F$3,"NA"),'MITRE ATT&amp;CK Mappings'!$I652))),ISNUMBER(SEARCH(IF(F$3&lt;&gt;"",F$3,"NA"),'MITRE ATT&amp;CK Mappings'!$J652))), 'MITRE ATT&amp;CK Mappings'!$B652,"")</f>
        <v/>
      </c>
      <c r="G656" s="26" t="str">
        <f>IF(OR(OR(OR(OR(OR(ISNUMBER(SEARCH(IF(G$1&lt;&gt;"",G$1,"NA"),'MITRE ATT&amp;CK Mappings'!$E652)),ISNUMBER(SEARCH(IF(G$1&lt;&gt;"",G$1,"NA"),'MITRE ATT&amp;CK Mappings'!$F652))),ISNUMBER(SEARCH(IF(G$2&lt;&gt;"",G$2,"NA"),'MITRE ATT&amp;CK Mappings'!$G652))),ISNUMBER(SEARCH(IF(G$2&lt;&gt;"",G$2,"NA"),'MITRE ATT&amp;CK Mappings'!$H652))),ISNUMBER(SEARCH(IF(G$3&lt;&gt;"",G$3,"NA"),'MITRE ATT&amp;CK Mappings'!$I652))),ISNUMBER(SEARCH(IF(G$3&lt;&gt;"",G$3,"NA"),'MITRE ATT&amp;CK Mappings'!$J652))), 'MITRE ATT&amp;CK Mappings'!$B652,"")</f>
        <v/>
      </c>
      <c r="H656" s="26" t="str">
        <f>IF(OR(OR(OR(OR(OR(ISNUMBER(SEARCH(IF(H$1&lt;&gt;"",H$1,"NA"),'MITRE ATT&amp;CK Mappings'!$E652)),ISNUMBER(SEARCH(IF(H$1&lt;&gt;"",H$1,"NA"),'MITRE ATT&amp;CK Mappings'!$F652))),ISNUMBER(SEARCH(IF(H$2&lt;&gt;"",H$2,"NA"),'MITRE ATT&amp;CK Mappings'!$G652))),ISNUMBER(SEARCH(IF(H$2&lt;&gt;"",H$2,"NA"),'MITRE ATT&amp;CK Mappings'!$H652))),ISNUMBER(SEARCH(IF(H$3&lt;&gt;"",H$3,"NA"),'MITRE ATT&amp;CK Mappings'!$I652))),ISNUMBER(SEARCH(IF(H$3&lt;&gt;"",H$3,"NA"),'MITRE ATT&amp;CK Mappings'!$J652))), 'MITRE ATT&amp;CK Mappings'!$B652,"")</f>
        <v/>
      </c>
      <c r="I656" s="26" t="str">
        <f>IF(OR(OR(OR(OR(OR(ISNUMBER(SEARCH(IF(I$1&lt;&gt;"",I$1,"NA"),'MITRE ATT&amp;CK Mappings'!$E652)),ISNUMBER(SEARCH(IF(I$1&lt;&gt;"",I$1,"NA"),'MITRE ATT&amp;CK Mappings'!$F652))),ISNUMBER(SEARCH(IF(I$2&lt;&gt;"",I$2,"NA"),'MITRE ATT&amp;CK Mappings'!$G652))),ISNUMBER(SEARCH(IF(I$2&lt;&gt;"",I$2,"NA"),'MITRE ATT&amp;CK Mappings'!$H652))),ISNUMBER(SEARCH(IF(I$3&lt;&gt;"",I$3,"NA"),'MITRE ATT&amp;CK Mappings'!$I652))),ISNUMBER(SEARCH(IF(I$3&lt;&gt;"",I$3,"NA"),'MITRE ATT&amp;CK Mappings'!$J652))), 'MITRE ATT&amp;CK Mappings'!$B652,"")</f>
        <v/>
      </c>
      <c r="J656" s="26" t="str">
        <f>IF(OR(OR(OR(OR(OR(ISNUMBER(SEARCH(IF(J$1&lt;&gt;"",J$1,"NA"),'MITRE ATT&amp;CK Mappings'!$E652)),ISNUMBER(SEARCH(IF(J$1&lt;&gt;"",J$1,"NA"),'MITRE ATT&amp;CK Mappings'!$F652))),ISNUMBER(SEARCH(IF(J$2&lt;&gt;"",J$2,"NA"),'MITRE ATT&amp;CK Mappings'!$G652))),ISNUMBER(SEARCH(IF(J$2&lt;&gt;"",J$2,"NA"),'MITRE ATT&amp;CK Mappings'!$H652))),ISNUMBER(SEARCH(IF(J$3&lt;&gt;"",J$3,"NA"),'MITRE ATT&amp;CK Mappings'!$I652))),ISNUMBER(SEARCH(IF(J$3&lt;&gt;"",J$3,"NA"),'MITRE ATT&amp;CK Mappings'!$J652))), 'MITRE ATT&amp;CK Mappings'!$B652,"")</f>
        <v/>
      </c>
      <c r="K656" s="26" t="str">
        <f>IF(OR(OR(OR(OR(OR(ISNUMBER(SEARCH(IF(K$1&lt;&gt;"",K$1,"NA"),'MITRE ATT&amp;CK Mappings'!$E652)),ISNUMBER(SEARCH(IF(K$1&lt;&gt;"",K$1,"NA"),'MITRE ATT&amp;CK Mappings'!$F652))),ISNUMBER(SEARCH(IF(K$2&lt;&gt;"",K$2,"NA"),'MITRE ATT&amp;CK Mappings'!$G652))),ISNUMBER(SEARCH(IF(K$2&lt;&gt;"",K$2,"NA"),'MITRE ATT&amp;CK Mappings'!$H652))),ISNUMBER(SEARCH(IF(K$3&lt;&gt;"",K$3,"NA"),'MITRE ATT&amp;CK Mappings'!$I652))),ISNUMBER(SEARCH(IF(K$3&lt;&gt;"",K$3,"NA"),'MITRE ATT&amp;CK Mappings'!$J652))), 'MITRE ATT&amp;CK Mappings'!$B652,"")</f>
        <v/>
      </c>
      <c r="L656" s="26" t="str">
        <f>IF('MITRE ATT&amp;CK Mappings'!D652 &lt;&gt;"",'MITRE ATT&amp;CK Mappings'!D652,"" )</f>
        <v/>
      </c>
    </row>
    <row r="657" spans="1:12" x14ac:dyDescent="0.25">
      <c r="A657" s="27" t="str">
        <f>IF(COUNTIF(B657:K657,"="&amp;'MITRE ATT&amp;CK Mappings'!B653)&gt;0,'MITRE ATT&amp;CK Mappings'!B653,"")</f>
        <v/>
      </c>
      <c r="B657" s="27" t="str">
        <f>IF(OR(OR(OR(OR(OR(ISNUMBER(SEARCH(IF(B$1&lt;&gt;"",B$1,"NA"),'MITRE ATT&amp;CK Mappings'!$E653)),ISNUMBER(SEARCH(IF(B$1&lt;&gt;"",B$1,"NA"),'MITRE ATT&amp;CK Mappings'!$F653))),ISNUMBER(SEARCH(IF(B$2&lt;&gt;"",B$2,"NA"),'MITRE ATT&amp;CK Mappings'!$G653))),ISNUMBER(SEARCH(IF(B$2&lt;&gt;"",B$2,"NA"),'MITRE ATT&amp;CK Mappings'!$H653))),ISNUMBER(SEARCH(IF(B$3&lt;&gt;"",B$3,"NA"),'MITRE ATT&amp;CK Mappings'!$I653))),ISNUMBER(SEARCH(IF(B$3&lt;&gt;"",B$3,"NA"),'MITRE ATT&amp;CK Mappings'!$J653))), 'MITRE ATT&amp;CK Mappings'!$B653,"")</f>
        <v/>
      </c>
      <c r="C657" s="27" t="str">
        <f>IF(OR(OR(OR(OR(OR(ISNUMBER(SEARCH(IF(C$1&lt;&gt;"",C$1,"NA"),'MITRE ATT&amp;CK Mappings'!$E653)),ISNUMBER(SEARCH(IF(C$1&lt;&gt;"",C$1,"NA"),'MITRE ATT&amp;CK Mappings'!$F653))),ISNUMBER(SEARCH(IF(C$2&lt;&gt;"",C$2,"NA"),'MITRE ATT&amp;CK Mappings'!$G653))),ISNUMBER(SEARCH(IF(C$2&lt;&gt;"",C$2,"NA"),'MITRE ATT&amp;CK Mappings'!$H653))),ISNUMBER(SEARCH(IF(C$3&lt;&gt;"",C$3,"NA"),'MITRE ATT&amp;CK Mappings'!$I653))),ISNUMBER(SEARCH(IF(C$3&lt;&gt;"",C$3,"NA"),'MITRE ATT&amp;CK Mappings'!$J653))), 'MITRE ATT&amp;CK Mappings'!$B653,"")</f>
        <v/>
      </c>
      <c r="D657" s="27" t="str">
        <f>IF(OR(OR(OR(OR(OR(ISNUMBER(SEARCH(IF(D$1&lt;&gt;"",D$1,"NA"),'MITRE ATT&amp;CK Mappings'!$E653)),ISNUMBER(SEARCH(IF(D$1&lt;&gt;"",D$1,"NA"),'MITRE ATT&amp;CK Mappings'!$F653))),ISNUMBER(SEARCH(IF(D$2&lt;&gt;"",D$2,"NA"),'MITRE ATT&amp;CK Mappings'!$G653))),ISNUMBER(SEARCH(IF(D$2&lt;&gt;"",D$2,"NA"),'MITRE ATT&amp;CK Mappings'!$H653))),ISNUMBER(SEARCH(IF(D$3&lt;&gt;"",D$3,"NA"),'MITRE ATT&amp;CK Mappings'!$I653))),ISNUMBER(SEARCH(IF(D$3&lt;&gt;"",D$3,"NA"),'MITRE ATT&amp;CK Mappings'!$J653))), 'MITRE ATT&amp;CK Mappings'!$B653,"")</f>
        <v/>
      </c>
      <c r="E657" s="27" t="str">
        <f>IF(OR(OR(OR(OR(OR(ISNUMBER(SEARCH(IF(E$1&lt;&gt;"",E$1,"NA"),'MITRE ATT&amp;CK Mappings'!$E653)),ISNUMBER(SEARCH(IF(E$1&lt;&gt;"",E$1,"NA"),'MITRE ATT&amp;CK Mappings'!$F653))),ISNUMBER(SEARCH(IF(E$2&lt;&gt;"",E$2,"NA"),'MITRE ATT&amp;CK Mappings'!$G653))),ISNUMBER(SEARCH(IF(E$2&lt;&gt;"",E$2,"NA"),'MITRE ATT&amp;CK Mappings'!$H653))),ISNUMBER(SEARCH(IF(E$3&lt;&gt;"",E$3,"NA"),'MITRE ATT&amp;CK Mappings'!$I653))),ISNUMBER(SEARCH(IF(E$3&lt;&gt;"",E$3,"NA"),'MITRE ATT&amp;CK Mappings'!$J653))), 'MITRE ATT&amp;CK Mappings'!$B653,"")</f>
        <v/>
      </c>
      <c r="F657" s="27" t="str">
        <f>IF(OR(OR(OR(OR(OR(ISNUMBER(SEARCH(IF(F$1&lt;&gt;"",F$1,"NA"),'MITRE ATT&amp;CK Mappings'!$E653)),ISNUMBER(SEARCH(IF(F$1&lt;&gt;"",F$1,"NA"),'MITRE ATT&amp;CK Mappings'!$F653))),ISNUMBER(SEARCH(IF(F$2&lt;&gt;"",F$2,"NA"),'MITRE ATT&amp;CK Mappings'!$G653))),ISNUMBER(SEARCH(IF(F$2&lt;&gt;"",F$2,"NA"),'MITRE ATT&amp;CK Mappings'!$H653))),ISNUMBER(SEARCH(IF(F$3&lt;&gt;"",F$3,"NA"),'MITRE ATT&amp;CK Mappings'!$I653))),ISNUMBER(SEARCH(IF(F$3&lt;&gt;"",F$3,"NA"),'MITRE ATT&amp;CK Mappings'!$J653))), 'MITRE ATT&amp;CK Mappings'!$B653,"")</f>
        <v/>
      </c>
      <c r="G657" s="27" t="str">
        <f>IF(OR(OR(OR(OR(OR(ISNUMBER(SEARCH(IF(G$1&lt;&gt;"",G$1,"NA"),'MITRE ATT&amp;CK Mappings'!$E653)),ISNUMBER(SEARCH(IF(G$1&lt;&gt;"",G$1,"NA"),'MITRE ATT&amp;CK Mappings'!$F653))),ISNUMBER(SEARCH(IF(G$2&lt;&gt;"",G$2,"NA"),'MITRE ATT&amp;CK Mappings'!$G653))),ISNUMBER(SEARCH(IF(G$2&lt;&gt;"",G$2,"NA"),'MITRE ATT&amp;CK Mappings'!$H653))),ISNUMBER(SEARCH(IF(G$3&lt;&gt;"",G$3,"NA"),'MITRE ATT&amp;CK Mappings'!$I653))),ISNUMBER(SEARCH(IF(G$3&lt;&gt;"",G$3,"NA"),'MITRE ATT&amp;CK Mappings'!$J653))), 'MITRE ATT&amp;CK Mappings'!$B653,"")</f>
        <v/>
      </c>
      <c r="H657" s="27" t="str">
        <f>IF(OR(OR(OR(OR(OR(ISNUMBER(SEARCH(IF(H$1&lt;&gt;"",H$1,"NA"),'MITRE ATT&amp;CK Mappings'!$E653)),ISNUMBER(SEARCH(IF(H$1&lt;&gt;"",H$1,"NA"),'MITRE ATT&amp;CK Mappings'!$F653))),ISNUMBER(SEARCH(IF(H$2&lt;&gt;"",H$2,"NA"),'MITRE ATT&amp;CK Mappings'!$G653))),ISNUMBER(SEARCH(IF(H$2&lt;&gt;"",H$2,"NA"),'MITRE ATT&amp;CK Mappings'!$H653))),ISNUMBER(SEARCH(IF(H$3&lt;&gt;"",H$3,"NA"),'MITRE ATT&amp;CK Mappings'!$I653))),ISNUMBER(SEARCH(IF(H$3&lt;&gt;"",H$3,"NA"),'MITRE ATT&amp;CK Mappings'!$J653))), 'MITRE ATT&amp;CK Mappings'!$B653,"")</f>
        <v/>
      </c>
      <c r="I657" s="27" t="str">
        <f>IF(OR(OR(OR(OR(OR(ISNUMBER(SEARCH(IF(I$1&lt;&gt;"",I$1,"NA"),'MITRE ATT&amp;CK Mappings'!$E653)),ISNUMBER(SEARCH(IF(I$1&lt;&gt;"",I$1,"NA"),'MITRE ATT&amp;CK Mappings'!$F653))),ISNUMBER(SEARCH(IF(I$2&lt;&gt;"",I$2,"NA"),'MITRE ATT&amp;CK Mappings'!$G653))),ISNUMBER(SEARCH(IF(I$2&lt;&gt;"",I$2,"NA"),'MITRE ATT&amp;CK Mappings'!$H653))),ISNUMBER(SEARCH(IF(I$3&lt;&gt;"",I$3,"NA"),'MITRE ATT&amp;CK Mappings'!$I653))),ISNUMBER(SEARCH(IF(I$3&lt;&gt;"",I$3,"NA"),'MITRE ATT&amp;CK Mappings'!$J653))), 'MITRE ATT&amp;CK Mappings'!$B653,"")</f>
        <v/>
      </c>
      <c r="J657" s="27" t="str">
        <f>IF(OR(OR(OR(OR(OR(ISNUMBER(SEARCH(IF(J$1&lt;&gt;"",J$1,"NA"),'MITRE ATT&amp;CK Mappings'!$E653)),ISNUMBER(SEARCH(IF(J$1&lt;&gt;"",J$1,"NA"),'MITRE ATT&amp;CK Mappings'!$F653))),ISNUMBER(SEARCH(IF(J$2&lt;&gt;"",J$2,"NA"),'MITRE ATT&amp;CK Mappings'!$G653))),ISNUMBER(SEARCH(IF(J$2&lt;&gt;"",J$2,"NA"),'MITRE ATT&amp;CK Mappings'!$H653))),ISNUMBER(SEARCH(IF(J$3&lt;&gt;"",J$3,"NA"),'MITRE ATT&amp;CK Mappings'!$I653))),ISNUMBER(SEARCH(IF(J$3&lt;&gt;"",J$3,"NA"),'MITRE ATT&amp;CK Mappings'!$J653))), 'MITRE ATT&amp;CK Mappings'!$B653,"")</f>
        <v/>
      </c>
      <c r="K657" s="27" t="str">
        <f>IF(OR(OR(OR(OR(OR(ISNUMBER(SEARCH(IF(K$1&lt;&gt;"",K$1,"NA"),'MITRE ATT&amp;CK Mappings'!$E653)),ISNUMBER(SEARCH(IF(K$1&lt;&gt;"",K$1,"NA"),'MITRE ATT&amp;CK Mappings'!$F653))),ISNUMBER(SEARCH(IF(K$2&lt;&gt;"",K$2,"NA"),'MITRE ATT&amp;CK Mappings'!$G653))),ISNUMBER(SEARCH(IF(K$2&lt;&gt;"",K$2,"NA"),'MITRE ATT&amp;CK Mappings'!$H653))),ISNUMBER(SEARCH(IF(K$3&lt;&gt;"",K$3,"NA"),'MITRE ATT&amp;CK Mappings'!$I653))),ISNUMBER(SEARCH(IF(K$3&lt;&gt;"",K$3,"NA"),'MITRE ATT&amp;CK Mappings'!$J653))), 'MITRE ATT&amp;CK Mappings'!$B653,"")</f>
        <v/>
      </c>
      <c r="L657" s="27" t="str">
        <f>IF('MITRE ATT&amp;CK Mappings'!D653 &lt;&gt;"",'MITRE ATT&amp;CK Mappings'!D653,"" )</f>
        <v/>
      </c>
    </row>
    <row r="658" spans="1:12" x14ac:dyDescent="0.25">
      <c r="A658" s="26" t="str">
        <f>IF(COUNTIF(B658:K658,"="&amp;'MITRE ATT&amp;CK Mappings'!B654)&gt;0,'MITRE ATT&amp;CK Mappings'!B654,"")</f>
        <v/>
      </c>
      <c r="B658" s="26" t="str">
        <f>IF(OR(OR(OR(OR(OR(ISNUMBER(SEARCH(IF(B$1&lt;&gt;"",B$1,"NA"),'MITRE ATT&amp;CK Mappings'!$E654)),ISNUMBER(SEARCH(IF(B$1&lt;&gt;"",B$1,"NA"),'MITRE ATT&amp;CK Mappings'!$F654))),ISNUMBER(SEARCH(IF(B$2&lt;&gt;"",B$2,"NA"),'MITRE ATT&amp;CK Mappings'!$G654))),ISNUMBER(SEARCH(IF(B$2&lt;&gt;"",B$2,"NA"),'MITRE ATT&amp;CK Mappings'!$H654))),ISNUMBER(SEARCH(IF(B$3&lt;&gt;"",B$3,"NA"),'MITRE ATT&amp;CK Mappings'!$I654))),ISNUMBER(SEARCH(IF(B$3&lt;&gt;"",B$3,"NA"),'MITRE ATT&amp;CK Mappings'!$J654))), 'MITRE ATT&amp;CK Mappings'!$B654,"")</f>
        <v/>
      </c>
      <c r="C658" s="26" t="str">
        <f>IF(OR(OR(OR(OR(OR(ISNUMBER(SEARCH(IF(C$1&lt;&gt;"",C$1,"NA"),'MITRE ATT&amp;CK Mappings'!$E654)),ISNUMBER(SEARCH(IF(C$1&lt;&gt;"",C$1,"NA"),'MITRE ATT&amp;CK Mappings'!$F654))),ISNUMBER(SEARCH(IF(C$2&lt;&gt;"",C$2,"NA"),'MITRE ATT&amp;CK Mappings'!$G654))),ISNUMBER(SEARCH(IF(C$2&lt;&gt;"",C$2,"NA"),'MITRE ATT&amp;CK Mappings'!$H654))),ISNUMBER(SEARCH(IF(C$3&lt;&gt;"",C$3,"NA"),'MITRE ATT&amp;CK Mappings'!$I654))),ISNUMBER(SEARCH(IF(C$3&lt;&gt;"",C$3,"NA"),'MITRE ATT&amp;CK Mappings'!$J654))), 'MITRE ATT&amp;CK Mappings'!$B654,"")</f>
        <v/>
      </c>
      <c r="D658" s="26" t="str">
        <f>IF(OR(OR(OR(OR(OR(ISNUMBER(SEARCH(IF(D$1&lt;&gt;"",D$1,"NA"),'MITRE ATT&amp;CK Mappings'!$E654)),ISNUMBER(SEARCH(IF(D$1&lt;&gt;"",D$1,"NA"),'MITRE ATT&amp;CK Mappings'!$F654))),ISNUMBER(SEARCH(IF(D$2&lt;&gt;"",D$2,"NA"),'MITRE ATT&amp;CK Mappings'!$G654))),ISNUMBER(SEARCH(IF(D$2&lt;&gt;"",D$2,"NA"),'MITRE ATT&amp;CK Mappings'!$H654))),ISNUMBER(SEARCH(IF(D$3&lt;&gt;"",D$3,"NA"),'MITRE ATT&amp;CK Mappings'!$I654))),ISNUMBER(SEARCH(IF(D$3&lt;&gt;"",D$3,"NA"),'MITRE ATT&amp;CK Mappings'!$J654))), 'MITRE ATT&amp;CK Mappings'!$B654,"")</f>
        <v/>
      </c>
      <c r="E658" s="26" t="str">
        <f>IF(OR(OR(OR(OR(OR(ISNUMBER(SEARCH(IF(E$1&lt;&gt;"",E$1,"NA"),'MITRE ATT&amp;CK Mappings'!$E654)),ISNUMBER(SEARCH(IF(E$1&lt;&gt;"",E$1,"NA"),'MITRE ATT&amp;CK Mappings'!$F654))),ISNUMBER(SEARCH(IF(E$2&lt;&gt;"",E$2,"NA"),'MITRE ATT&amp;CK Mappings'!$G654))),ISNUMBER(SEARCH(IF(E$2&lt;&gt;"",E$2,"NA"),'MITRE ATT&amp;CK Mappings'!$H654))),ISNUMBER(SEARCH(IF(E$3&lt;&gt;"",E$3,"NA"),'MITRE ATT&amp;CK Mappings'!$I654))),ISNUMBER(SEARCH(IF(E$3&lt;&gt;"",E$3,"NA"),'MITRE ATT&amp;CK Mappings'!$J654))), 'MITRE ATT&amp;CK Mappings'!$B654,"")</f>
        <v/>
      </c>
      <c r="F658" s="26" t="str">
        <f>IF(OR(OR(OR(OR(OR(ISNUMBER(SEARCH(IF(F$1&lt;&gt;"",F$1,"NA"),'MITRE ATT&amp;CK Mappings'!$E654)),ISNUMBER(SEARCH(IF(F$1&lt;&gt;"",F$1,"NA"),'MITRE ATT&amp;CK Mappings'!$F654))),ISNUMBER(SEARCH(IF(F$2&lt;&gt;"",F$2,"NA"),'MITRE ATT&amp;CK Mappings'!$G654))),ISNUMBER(SEARCH(IF(F$2&lt;&gt;"",F$2,"NA"),'MITRE ATT&amp;CK Mappings'!$H654))),ISNUMBER(SEARCH(IF(F$3&lt;&gt;"",F$3,"NA"),'MITRE ATT&amp;CK Mappings'!$I654))),ISNUMBER(SEARCH(IF(F$3&lt;&gt;"",F$3,"NA"),'MITRE ATT&amp;CK Mappings'!$J654))), 'MITRE ATT&amp;CK Mappings'!$B654,"")</f>
        <v/>
      </c>
      <c r="G658" s="26" t="str">
        <f>IF(OR(OR(OR(OR(OR(ISNUMBER(SEARCH(IF(G$1&lt;&gt;"",G$1,"NA"),'MITRE ATT&amp;CK Mappings'!$E654)),ISNUMBER(SEARCH(IF(G$1&lt;&gt;"",G$1,"NA"),'MITRE ATT&amp;CK Mappings'!$F654))),ISNUMBER(SEARCH(IF(G$2&lt;&gt;"",G$2,"NA"),'MITRE ATT&amp;CK Mappings'!$G654))),ISNUMBER(SEARCH(IF(G$2&lt;&gt;"",G$2,"NA"),'MITRE ATT&amp;CK Mappings'!$H654))),ISNUMBER(SEARCH(IF(G$3&lt;&gt;"",G$3,"NA"),'MITRE ATT&amp;CK Mappings'!$I654))),ISNUMBER(SEARCH(IF(G$3&lt;&gt;"",G$3,"NA"),'MITRE ATT&amp;CK Mappings'!$J654))), 'MITRE ATT&amp;CK Mappings'!$B654,"")</f>
        <v/>
      </c>
      <c r="H658" s="26" t="str">
        <f>IF(OR(OR(OR(OR(OR(ISNUMBER(SEARCH(IF(H$1&lt;&gt;"",H$1,"NA"),'MITRE ATT&amp;CK Mappings'!$E654)),ISNUMBER(SEARCH(IF(H$1&lt;&gt;"",H$1,"NA"),'MITRE ATT&amp;CK Mappings'!$F654))),ISNUMBER(SEARCH(IF(H$2&lt;&gt;"",H$2,"NA"),'MITRE ATT&amp;CK Mappings'!$G654))),ISNUMBER(SEARCH(IF(H$2&lt;&gt;"",H$2,"NA"),'MITRE ATT&amp;CK Mappings'!$H654))),ISNUMBER(SEARCH(IF(H$3&lt;&gt;"",H$3,"NA"),'MITRE ATT&amp;CK Mappings'!$I654))),ISNUMBER(SEARCH(IF(H$3&lt;&gt;"",H$3,"NA"),'MITRE ATT&amp;CK Mappings'!$J654))), 'MITRE ATT&amp;CK Mappings'!$B654,"")</f>
        <v/>
      </c>
      <c r="I658" s="26" t="str">
        <f>IF(OR(OR(OR(OR(OR(ISNUMBER(SEARCH(IF(I$1&lt;&gt;"",I$1,"NA"),'MITRE ATT&amp;CK Mappings'!$E654)),ISNUMBER(SEARCH(IF(I$1&lt;&gt;"",I$1,"NA"),'MITRE ATT&amp;CK Mappings'!$F654))),ISNUMBER(SEARCH(IF(I$2&lt;&gt;"",I$2,"NA"),'MITRE ATT&amp;CK Mappings'!$G654))),ISNUMBER(SEARCH(IF(I$2&lt;&gt;"",I$2,"NA"),'MITRE ATT&amp;CK Mappings'!$H654))),ISNUMBER(SEARCH(IF(I$3&lt;&gt;"",I$3,"NA"),'MITRE ATT&amp;CK Mappings'!$I654))),ISNUMBER(SEARCH(IF(I$3&lt;&gt;"",I$3,"NA"),'MITRE ATT&amp;CK Mappings'!$J654))), 'MITRE ATT&amp;CK Mappings'!$B654,"")</f>
        <v/>
      </c>
      <c r="J658" s="26" t="str">
        <f>IF(OR(OR(OR(OR(OR(ISNUMBER(SEARCH(IF(J$1&lt;&gt;"",J$1,"NA"),'MITRE ATT&amp;CK Mappings'!$E654)),ISNUMBER(SEARCH(IF(J$1&lt;&gt;"",J$1,"NA"),'MITRE ATT&amp;CK Mappings'!$F654))),ISNUMBER(SEARCH(IF(J$2&lt;&gt;"",J$2,"NA"),'MITRE ATT&amp;CK Mappings'!$G654))),ISNUMBER(SEARCH(IF(J$2&lt;&gt;"",J$2,"NA"),'MITRE ATT&amp;CK Mappings'!$H654))),ISNUMBER(SEARCH(IF(J$3&lt;&gt;"",J$3,"NA"),'MITRE ATT&amp;CK Mappings'!$I654))),ISNUMBER(SEARCH(IF(J$3&lt;&gt;"",J$3,"NA"),'MITRE ATT&amp;CK Mappings'!$J654))), 'MITRE ATT&amp;CK Mappings'!$B654,"")</f>
        <v/>
      </c>
      <c r="K658" s="26" t="str">
        <f>IF(OR(OR(OR(OR(OR(ISNUMBER(SEARCH(IF(K$1&lt;&gt;"",K$1,"NA"),'MITRE ATT&amp;CK Mappings'!$E654)),ISNUMBER(SEARCH(IF(K$1&lt;&gt;"",K$1,"NA"),'MITRE ATT&amp;CK Mappings'!$F654))),ISNUMBER(SEARCH(IF(K$2&lt;&gt;"",K$2,"NA"),'MITRE ATT&amp;CK Mappings'!$G654))),ISNUMBER(SEARCH(IF(K$2&lt;&gt;"",K$2,"NA"),'MITRE ATT&amp;CK Mappings'!$H654))),ISNUMBER(SEARCH(IF(K$3&lt;&gt;"",K$3,"NA"),'MITRE ATT&amp;CK Mappings'!$I654))),ISNUMBER(SEARCH(IF(K$3&lt;&gt;"",K$3,"NA"),'MITRE ATT&amp;CK Mappings'!$J654))), 'MITRE ATT&amp;CK Mappings'!$B654,"")</f>
        <v/>
      </c>
      <c r="L658" s="26" t="str">
        <f>IF('MITRE ATT&amp;CK Mappings'!D654 &lt;&gt;"",'MITRE ATT&amp;CK Mappings'!D654,"" )</f>
        <v/>
      </c>
    </row>
    <row r="659" spans="1:12" x14ac:dyDescent="0.25">
      <c r="A659" s="27" t="str">
        <f>IF(COUNTIF(B659:K659,"="&amp;'MITRE ATT&amp;CK Mappings'!B655)&gt;0,'MITRE ATT&amp;CK Mappings'!B655,"")</f>
        <v/>
      </c>
      <c r="B659" s="27" t="str">
        <f>IF(OR(OR(OR(OR(OR(ISNUMBER(SEARCH(IF(B$1&lt;&gt;"",B$1,"NA"),'MITRE ATT&amp;CK Mappings'!$E655)),ISNUMBER(SEARCH(IF(B$1&lt;&gt;"",B$1,"NA"),'MITRE ATT&amp;CK Mappings'!$F655))),ISNUMBER(SEARCH(IF(B$2&lt;&gt;"",B$2,"NA"),'MITRE ATT&amp;CK Mappings'!$G655))),ISNUMBER(SEARCH(IF(B$2&lt;&gt;"",B$2,"NA"),'MITRE ATT&amp;CK Mappings'!$H655))),ISNUMBER(SEARCH(IF(B$3&lt;&gt;"",B$3,"NA"),'MITRE ATT&amp;CK Mappings'!$I655))),ISNUMBER(SEARCH(IF(B$3&lt;&gt;"",B$3,"NA"),'MITRE ATT&amp;CK Mappings'!$J655))), 'MITRE ATT&amp;CK Mappings'!$B655,"")</f>
        <v/>
      </c>
      <c r="C659" s="27" t="str">
        <f>IF(OR(OR(OR(OR(OR(ISNUMBER(SEARCH(IF(C$1&lt;&gt;"",C$1,"NA"),'MITRE ATT&amp;CK Mappings'!$E655)),ISNUMBER(SEARCH(IF(C$1&lt;&gt;"",C$1,"NA"),'MITRE ATT&amp;CK Mappings'!$F655))),ISNUMBER(SEARCH(IF(C$2&lt;&gt;"",C$2,"NA"),'MITRE ATT&amp;CK Mappings'!$G655))),ISNUMBER(SEARCH(IF(C$2&lt;&gt;"",C$2,"NA"),'MITRE ATT&amp;CK Mappings'!$H655))),ISNUMBER(SEARCH(IF(C$3&lt;&gt;"",C$3,"NA"),'MITRE ATT&amp;CK Mappings'!$I655))),ISNUMBER(SEARCH(IF(C$3&lt;&gt;"",C$3,"NA"),'MITRE ATT&amp;CK Mappings'!$J655))), 'MITRE ATT&amp;CK Mappings'!$B655,"")</f>
        <v/>
      </c>
      <c r="D659" s="27" t="str">
        <f>IF(OR(OR(OR(OR(OR(ISNUMBER(SEARCH(IF(D$1&lt;&gt;"",D$1,"NA"),'MITRE ATT&amp;CK Mappings'!$E655)),ISNUMBER(SEARCH(IF(D$1&lt;&gt;"",D$1,"NA"),'MITRE ATT&amp;CK Mappings'!$F655))),ISNUMBER(SEARCH(IF(D$2&lt;&gt;"",D$2,"NA"),'MITRE ATT&amp;CK Mappings'!$G655))),ISNUMBER(SEARCH(IF(D$2&lt;&gt;"",D$2,"NA"),'MITRE ATT&amp;CK Mappings'!$H655))),ISNUMBER(SEARCH(IF(D$3&lt;&gt;"",D$3,"NA"),'MITRE ATT&amp;CK Mappings'!$I655))),ISNUMBER(SEARCH(IF(D$3&lt;&gt;"",D$3,"NA"),'MITRE ATT&amp;CK Mappings'!$J655))), 'MITRE ATT&amp;CK Mappings'!$B655,"")</f>
        <v/>
      </c>
      <c r="E659" s="27" t="str">
        <f>IF(OR(OR(OR(OR(OR(ISNUMBER(SEARCH(IF(E$1&lt;&gt;"",E$1,"NA"),'MITRE ATT&amp;CK Mappings'!$E655)),ISNUMBER(SEARCH(IF(E$1&lt;&gt;"",E$1,"NA"),'MITRE ATT&amp;CK Mappings'!$F655))),ISNUMBER(SEARCH(IF(E$2&lt;&gt;"",E$2,"NA"),'MITRE ATT&amp;CK Mappings'!$G655))),ISNUMBER(SEARCH(IF(E$2&lt;&gt;"",E$2,"NA"),'MITRE ATT&amp;CK Mappings'!$H655))),ISNUMBER(SEARCH(IF(E$3&lt;&gt;"",E$3,"NA"),'MITRE ATT&amp;CK Mappings'!$I655))),ISNUMBER(SEARCH(IF(E$3&lt;&gt;"",E$3,"NA"),'MITRE ATT&amp;CK Mappings'!$J655))), 'MITRE ATT&amp;CK Mappings'!$B655,"")</f>
        <v/>
      </c>
      <c r="F659" s="27" t="str">
        <f>IF(OR(OR(OR(OR(OR(ISNUMBER(SEARCH(IF(F$1&lt;&gt;"",F$1,"NA"),'MITRE ATT&amp;CK Mappings'!$E655)),ISNUMBER(SEARCH(IF(F$1&lt;&gt;"",F$1,"NA"),'MITRE ATT&amp;CK Mappings'!$F655))),ISNUMBER(SEARCH(IF(F$2&lt;&gt;"",F$2,"NA"),'MITRE ATT&amp;CK Mappings'!$G655))),ISNUMBER(SEARCH(IF(F$2&lt;&gt;"",F$2,"NA"),'MITRE ATT&amp;CK Mappings'!$H655))),ISNUMBER(SEARCH(IF(F$3&lt;&gt;"",F$3,"NA"),'MITRE ATT&amp;CK Mappings'!$I655))),ISNUMBER(SEARCH(IF(F$3&lt;&gt;"",F$3,"NA"),'MITRE ATT&amp;CK Mappings'!$J655))), 'MITRE ATT&amp;CK Mappings'!$B655,"")</f>
        <v/>
      </c>
      <c r="G659" s="27" t="str">
        <f>IF(OR(OR(OR(OR(OR(ISNUMBER(SEARCH(IF(G$1&lt;&gt;"",G$1,"NA"),'MITRE ATT&amp;CK Mappings'!$E655)),ISNUMBER(SEARCH(IF(G$1&lt;&gt;"",G$1,"NA"),'MITRE ATT&amp;CK Mappings'!$F655))),ISNUMBER(SEARCH(IF(G$2&lt;&gt;"",G$2,"NA"),'MITRE ATT&amp;CK Mappings'!$G655))),ISNUMBER(SEARCH(IF(G$2&lt;&gt;"",G$2,"NA"),'MITRE ATT&amp;CK Mappings'!$H655))),ISNUMBER(SEARCH(IF(G$3&lt;&gt;"",G$3,"NA"),'MITRE ATT&amp;CK Mappings'!$I655))),ISNUMBER(SEARCH(IF(G$3&lt;&gt;"",G$3,"NA"),'MITRE ATT&amp;CK Mappings'!$J655))), 'MITRE ATT&amp;CK Mappings'!$B655,"")</f>
        <v/>
      </c>
      <c r="H659" s="27" t="str">
        <f>IF(OR(OR(OR(OR(OR(ISNUMBER(SEARCH(IF(H$1&lt;&gt;"",H$1,"NA"),'MITRE ATT&amp;CK Mappings'!$E655)),ISNUMBER(SEARCH(IF(H$1&lt;&gt;"",H$1,"NA"),'MITRE ATT&amp;CK Mappings'!$F655))),ISNUMBER(SEARCH(IF(H$2&lt;&gt;"",H$2,"NA"),'MITRE ATT&amp;CK Mappings'!$G655))),ISNUMBER(SEARCH(IF(H$2&lt;&gt;"",H$2,"NA"),'MITRE ATT&amp;CK Mappings'!$H655))),ISNUMBER(SEARCH(IF(H$3&lt;&gt;"",H$3,"NA"),'MITRE ATT&amp;CK Mappings'!$I655))),ISNUMBER(SEARCH(IF(H$3&lt;&gt;"",H$3,"NA"),'MITRE ATT&amp;CK Mappings'!$J655))), 'MITRE ATT&amp;CK Mappings'!$B655,"")</f>
        <v/>
      </c>
      <c r="I659" s="27" t="str">
        <f>IF(OR(OR(OR(OR(OR(ISNUMBER(SEARCH(IF(I$1&lt;&gt;"",I$1,"NA"),'MITRE ATT&amp;CK Mappings'!$E655)),ISNUMBER(SEARCH(IF(I$1&lt;&gt;"",I$1,"NA"),'MITRE ATT&amp;CK Mappings'!$F655))),ISNUMBER(SEARCH(IF(I$2&lt;&gt;"",I$2,"NA"),'MITRE ATT&amp;CK Mappings'!$G655))),ISNUMBER(SEARCH(IF(I$2&lt;&gt;"",I$2,"NA"),'MITRE ATT&amp;CK Mappings'!$H655))),ISNUMBER(SEARCH(IF(I$3&lt;&gt;"",I$3,"NA"),'MITRE ATT&amp;CK Mappings'!$I655))),ISNUMBER(SEARCH(IF(I$3&lt;&gt;"",I$3,"NA"),'MITRE ATT&amp;CK Mappings'!$J655))), 'MITRE ATT&amp;CK Mappings'!$B655,"")</f>
        <v/>
      </c>
      <c r="J659" s="27" t="str">
        <f>IF(OR(OR(OR(OR(OR(ISNUMBER(SEARCH(IF(J$1&lt;&gt;"",J$1,"NA"),'MITRE ATT&amp;CK Mappings'!$E655)),ISNUMBER(SEARCH(IF(J$1&lt;&gt;"",J$1,"NA"),'MITRE ATT&amp;CK Mappings'!$F655))),ISNUMBER(SEARCH(IF(J$2&lt;&gt;"",J$2,"NA"),'MITRE ATT&amp;CK Mappings'!$G655))),ISNUMBER(SEARCH(IF(J$2&lt;&gt;"",J$2,"NA"),'MITRE ATT&amp;CK Mappings'!$H655))),ISNUMBER(SEARCH(IF(J$3&lt;&gt;"",J$3,"NA"),'MITRE ATT&amp;CK Mappings'!$I655))),ISNUMBER(SEARCH(IF(J$3&lt;&gt;"",J$3,"NA"),'MITRE ATT&amp;CK Mappings'!$J655))), 'MITRE ATT&amp;CK Mappings'!$B655,"")</f>
        <v/>
      </c>
      <c r="K659" s="27" t="str">
        <f>IF(OR(OR(OR(OR(OR(ISNUMBER(SEARCH(IF(K$1&lt;&gt;"",K$1,"NA"),'MITRE ATT&amp;CK Mappings'!$E655)),ISNUMBER(SEARCH(IF(K$1&lt;&gt;"",K$1,"NA"),'MITRE ATT&amp;CK Mappings'!$F655))),ISNUMBER(SEARCH(IF(K$2&lt;&gt;"",K$2,"NA"),'MITRE ATT&amp;CK Mappings'!$G655))),ISNUMBER(SEARCH(IF(K$2&lt;&gt;"",K$2,"NA"),'MITRE ATT&amp;CK Mappings'!$H655))),ISNUMBER(SEARCH(IF(K$3&lt;&gt;"",K$3,"NA"),'MITRE ATT&amp;CK Mappings'!$I655))),ISNUMBER(SEARCH(IF(K$3&lt;&gt;"",K$3,"NA"),'MITRE ATT&amp;CK Mappings'!$J655))), 'MITRE ATT&amp;CK Mappings'!$B655,"")</f>
        <v/>
      </c>
      <c r="L659" s="27" t="str">
        <f>IF('MITRE ATT&amp;CK Mappings'!D655 &lt;&gt;"",'MITRE ATT&amp;CK Mappings'!D655,"" )</f>
        <v/>
      </c>
    </row>
    <row r="660" spans="1:12" x14ac:dyDescent="0.25">
      <c r="A660" s="26" t="str">
        <f>IF(COUNTIF(B660:K660,"="&amp;'MITRE ATT&amp;CK Mappings'!B656)&gt;0,'MITRE ATT&amp;CK Mappings'!B656,"")</f>
        <v/>
      </c>
      <c r="B660" s="26" t="str">
        <f>IF(OR(OR(OR(OR(OR(ISNUMBER(SEARCH(IF(B$1&lt;&gt;"",B$1,"NA"),'MITRE ATT&amp;CK Mappings'!$E656)),ISNUMBER(SEARCH(IF(B$1&lt;&gt;"",B$1,"NA"),'MITRE ATT&amp;CK Mappings'!$F656))),ISNUMBER(SEARCH(IF(B$2&lt;&gt;"",B$2,"NA"),'MITRE ATT&amp;CK Mappings'!$G656))),ISNUMBER(SEARCH(IF(B$2&lt;&gt;"",B$2,"NA"),'MITRE ATT&amp;CK Mappings'!$H656))),ISNUMBER(SEARCH(IF(B$3&lt;&gt;"",B$3,"NA"),'MITRE ATT&amp;CK Mappings'!$I656))),ISNUMBER(SEARCH(IF(B$3&lt;&gt;"",B$3,"NA"),'MITRE ATT&amp;CK Mappings'!$J656))), 'MITRE ATT&amp;CK Mappings'!$B656,"")</f>
        <v/>
      </c>
      <c r="C660" s="26" t="str">
        <f>IF(OR(OR(OR(OR(OR(ISNUMBER(SEARCH(IF(C$1&lt;&gt;"",C$1,"NA"),'MITRE ATT&amp;CK Mappings'!$E656)),ISNUMBER(SEARCH(IF(C$1&lt;&gt;"",C$1,"NA"),'MITRE ATT&amp;CK Mappings'!$F656))),ISNUMBER(SEARCH(IF(C$2&lt;&gt;"",C$2,"NA"),'MITRE ATT&amp;CK Mappings'!$G656))),ISNUMBER(SEARCH(IF(C$2&lt;&gt;"",C$2,"NA"),'MITRE ATT&amp;CK Mappings'!$H656))),ISNUMBER(SEARCH(IF(C$3&lt;&gt;"",C$3,"NA"),'MITRE ATT&amp;CK Mappings'!$I656))),ISNUMBER(SEARCH(IF(C$3&lt;&gt;"",C$3,"NA"),'MITRE ATT&amp;CK Mappings'!$J656))), 'MITRE ATT&amp;CK Mappings'!$B656,"")</f>
        <v/>
      </c>
      <c r="D660" s="26" t="str">
        <f>IF(OR(OR(OR(OR(OR(ISNUMBER(SEARCH(IF(D$1&lt;&gt;"",D$1,"NA"),'MITRE ATT&amp;CK Mappings'!$E656)),ISNUMBER(SEARCH(IF(D$1&lt;&gt;"",D$1,"NA"),'MITRE ATT&amp;CK Mappings'!$F656))),ISNUMBER(SEARCH(IF(D$2&lt;&gt;"",D$2,"NA"),'MITRE ATT&amp;CK Mappings'!$G656))),ISNUMBER(SEARCH(IF(D$2&lt;&gt;"",D$2,"NA"),'MITRE ATT&amp;CK Mappings'!$H656))),ISNUMBER(SEARCH(IF(D$3&lt;&gt;"",D$3,"NA"),'MITRE ATT&amp;CK Mappings'!$I656))),ISNUMBER(SEARCH(IF(D$3&lt;&gt;"",D$3,"NA"),'MITRE ATT&amp;CK Mappings'!$J656))), 'MITRE ATT&amp;CK Mappings'!$B656,"")</f>
        <v/>
      </c>
      <c r="E660" s="26" t="str">
        <f>IF(OR(OR(OR(OR(OR(ISNUMBER(SEARCH(IF(E$1&lt;&gt;"",E$1,"NA"),'MITRE ATT&amp;CK Mappings'!$E656)),ISNUMBER(SEARCH(IF(E$1&lt;&gt;"",E$1,"NA"),'MITRE ATT&amp;CK Mappings'!$F656))),ISNUMBER(SEARCH(IF(E$2&lt;&gt;"",E$2,"NA"),'MITRE ATT&amp;CK Mappings'!$G656))),ISNUMBER(SEARCH(IF(E$2&lt;&gt;"",E$2,"NA"),'MITRE ATT&amp;CK Mappings'!$H656))),ISNUMBER(SEARCH(IF(E$3&lt;&gt;"",E$3,"NA"),'MITRE ATT&amp;CK Mappings'!$I656))),ISNUMBER(SEARCH(IF(E$3&lt;&gt;"",E$3,"NA"),'MITRE ATT&amp;CK Mappings'!$J656))), 'MITRE ATT&amp;CK Mappings'!$B656,"")</f>
        <v/>
      </c>
      <c r="F660" s="26" t="str">
        <f>IF(OR(OR(OR(OR(OR(ISNUMBER(SEARCH(IF(F$1&lt;&gt;"",F$1,"NA"),'MITRE ATT&amp;CK Mappings'!$E656)),ISNUMBER(SEARCH(IF(F$1&lt;&gt;"",F$1,"NA"),'MITRE ATT&amp;CK Mappings'!$F656))),ISNUMBER(SEARCH(IF(F$2&lt;&gt;"",F$2,"NA"),'MITRE ATT&amp;CK Mappings'!$G656))),ISNUMBER(SEARCH(IF(F$2&lt;&gt;"",F$2,"NA"),'MITRE ATT&amp;CK Mappings'!$H656))),ISNUMBER(SEARCH(IF(F$3&lt;&gt;"",F$3,"NA"),'MITRE ATT&amp;CK Mappings'!$I656))),ISNUMBER(SEARCH(IF(F$3&lt;&gt;"",F$3,"NA"),'MITRE ATT&amp;CK Mappings'!$J656))), 'MITRE ATT&amp;CK Mappings'!$B656,"")</f>
        <v/>
      </c>
      <c r="G660" s="26" t="str">
        <f>IF(OR(OR(OR(OR(OR(ISNUMBER(SEARCH(IF(G$1&lt;&gt;"",G$1,"NA"),'MITRE ATT&amp;CK Mappings'!$E656)),ISNUMBER(SEARCH(IF(G$1&lt;&gt;"",G$1,"NA"),'MITRE ATT&amp;CK Mappings'!$F656))),ISNUMBER(SEARCH(IF(G$2&lt;&gt;"",G$2,"NA"),'MITRE ATT&amp;CK Mappings'!$G656))),ISNUMBER(SEARCH(IF(G$2&lt;&gt;"",G$2,"NA"),'MITRE ATT&amp;CK Mappings'!$H656))),ISNUMBER(SEARCH(IF(G$3&lt;&gt;"",G$3,"NA"),'MITRE ATT&amp;CK Mappings'!$I656))),ISNUMBER(SEARCH(IF(G$3&lt;&gt;"",G$3,"NA"),'MITRE ATT&amp;CK Mappings'!$J656))), 'MITRE ATT&amp;CK Mappings'!$B656,"")</f>
        <v/>
      </c>
      <c r="H660" s="26" t="str">
        <f>IF(OR(OR(OR(OR(OR(ISNUMBER(SEARCH(IF(H$1&lt;&gt;"",H$1,"NA"),'MITRE ATT&amp;CK Mappings'!$E656)),ISNUMBER(SEARCH(IF(H$1&lt;&gt;"",H$1,"NA"),'MITRE ATT&amp;CK Mappings'!$F656))),ISNUMBER(SEARCH(IF(H$2&lt;&gt;"",H$2,"NA"),'MITRE ATT&amp;CK Mappings'!$G656))),ISNUMBER(SEARCH(IF(H$2&lt;&gt;"",H$2,"NA"),'MITRE ATT&amp;CK Mappings'!$H656))),ISNUMBER(SEARCH(IF(H$3&lt;&gt;"",H$3,"NA"),'MITRE ATT&amp;CK Mappings'!$I656))),ISNUMBER(SEARCH(IF(H$3&lt;&gt;"",H$3,"NA"),'MITRE ATT&amp;CK Mappings'!$J656))), 'MITRE ATT&amp;CK Mappings'!$B656,"")</f>
        <v/>
      </c>
      <c r="I660" s="26" t="str">
        <f>IF(OR(OR(OR(OR(OR(ISNUMBER(SEARCH(IF(I$1&lt;&gt;"",I$1,"NA"),'MITRE ATT&amp;CK Mappings'!$E656)),ISNUMBER(SEARCH(IF(I$1&lt;&gt;"",I$1,"NA"),'MITRE ATT&amp;CK Mappings'!$F656))),ISNUMBER(SEARCH(IF(I$2&lt;&gt;"",I$2,"NA"),'MITRE ATT&amp;CK Mappings'!$G656))),ISNUMBER(SEARCH(IF(I$2&lt;&gt;"",I$2,"NA"),'MITRE ATT&amp;CK Mappings'!$H656))),ISNUMBER(SEARCH(IF(I$3&lt;&gt;"",I$3,"NA"),'MITRE ATT&amp;CK Mappings'!$I656))),ISNUMBER(SEARCH(IF(I$3&lt;&gt;"",I$3,"NA"),'MITRE ATT&amp;CK Mappings'!$J656))), 'MITRE ATT&amp;CK Mappings'!$B656,"")</f>
        <v/>
      </c>
      <c r="J660" s="26" t="str">
        <f>IF(OR(OR(OR(OR(OR(ISNUMBER(SEARCH(IF(J$1&lt;&gt;"",J$1,"NA"),'MITRE ATT&amp;CK Mappings'!$E656)),ISNUMBER(SEARCH(IF(J$1&lt;&gt;"",J$1,"NA"),'MITRE ATT&amp;CK Mappings'!$F656))),ISNUMBER(SEARCH(IF(J$2&lt;&gt;"",J$2,"NA"),'MITRE ATT&amp;CK Mappings'!$G656))),ISNUMBER(SEARCH(IF(J$2&lt;&gt;"",J$2,"NA"),'MITRE ATT&amp;CK Mappings'!$H656))),ISNUMBER(SEARCH(IF(J$3&lt;&gt;"",J$3,"NA"),'MITRE ATT&amp;CK Mappings'!$I656))),ISNUMBER(SEARCH(IF(J$3&lt;&gt;"",J$3,"NA"),'MITRE ATT&amp;CK Mappings'!$J656))), 'MITRE ATT&amp;CK Mappings'!$B656,"")</f>
        <v/>
      </c>
      <c r="K660" s="26" t="str">
        <f>IF(OR(OR(OR(OR(OR(ISNUMBER(SEARCH(IF(K$1&lt;&gt;"",K$1,"NA"),'MITRE ATT&amp;CK Mappings'!$E656)),ISNUMBER(SEARCH(IF(K$1&lt;&gt;"",K$1,"NA"),'MITRE ATT&amp;CK Mappings'!$F656))),ISNUMBER(SEARCH(IF(K$2&lt;&gt;"",K$2,"NA"),'MITRE ATT&amp;CK Mappings'!$G656))),ISNUMBER(SEARCH(IF(K$2&lt;&gt;"",K$2,"NA"),'MITRE ATT&amp;CK Mappings'!$H656))),ISNUMBER(SEARCH(IF(K$3&lt;&gt;"",K$3,"NA"),'MITRE ATT&amp;CK Mappings'!$I656))),ISNUMBER(SEARCH(IF(K$3&lt;&gt;"",K$3,"NA"),'MITRE ATT&amp;CK Mappings'!$J656))), 'MITRE ATT&amp;CK Mappings'!$B656,"")</f>
        <v/>
      </c>
      <c r="L660" s="26" t="str">
        <f>IF('MITRE ATT&amp;CK Mappings'!D656 &lt;&gt;"",'MITRE ATT&amp;CK Mappings'!D656,"" )</f>
        <v/>
      </c>
    </row>
    <row r="661" spans="1:12" x14ac:dyDescent="0.25">
      <c r="A661" s="27" t="str">
        <f>IF(COUNTIF(B661:K661,"="&amp;'MITRE ATT&amp;CK Mappings'!B657)&gt;0,'MITRE ATT&amp;CK Mappings'!B657,"")</f>
        <v/>
      </c>
      <c r="B661" s="27" t="str">
        <f>IF(OR(OR(OR(OR(OR(ISNUMBER(SEARCH(IF(B$1&lt;&gt;"",B$1,"NA"),'MITRE ATT&amp;CK Mappings'!$E657)),ISNUMBER(SEARCH(IF(B$1&lt;&gt;"",B$1,"NA"),'MITRE ATT&amp;CK Mappings'!$F657))),ISNUMBER(SEARCH(IF(B$2&lt;&gt;"",B$2,"NA"),'MITRE ATT&amp;CK Mappings'!$G657))),ISNUMBER(SEARCH(IF(B$2&lt;&gt;"",B$2,"NA"),'MITRE ATT&amp;CK Mappings'!$H657))),ISNUMBER(SEARCH(IF(B$3&lt;&gt;"",B$3,"NA"),'MITRE ATT&amp;CK Mappings'!$I657))),ISNUMBER(SEARCH(IF(B$3&lt;&gt;"",B$3,"NA"),'MITRE ATT&amp;CK Mappings'!$J657))), 'MITRE ATT&amp;CK Mappings'!$B657,"")</f>
        <v/>
      </c>
      <c r="C661" s="27" t="str">
        <f>IF(OR(OR(OR(OR(OR(ISNUMBER(SEARCH(IF(C$1&lt;&gt;"",C$1,"NA"),'MITRE ATT&amp;CK Mappings'!$E657)),ISNUMBER(SEARCH(IF(C$1&lt;&gt;"",C$1,"NA"),'MITRE ATT&amp;CK Mappings'!$F657))),ISNUMBER(SEARCH(IF(C$2&lt;&gt;"",C$2,"NA"),'MITRE ATT&amp;CK Mappings'!$G657))),ISNUMBER(SEARCH(IF(C$2&lt;&gt;"",C$2,"NA"),'MITRE ATT&amp;CK Mappings'!$H657))),ISNUMBER(SEARCH(IF(C$3&lt;&gt;"",C$3,"NA"),'MITRE ATT&amp;CK Mappings'!$I657))),ISNUMBER(SEARCH(IF(C$3&lt;&gt;"",C$3,"NA"),'MITRE ATT&amp;CK Mappings'!$J657))), 'MITRE ATT&amp;CK Mappings'!$B657,"")</f>
        <v/>
      </c>
      <c r="D661" s="27" t="str">
        <f>IF(OR(OR(OR(OR(OR(ISNUMBER(SEARCH(IF(D$1&lt;&gt;"",D$1,"NA"),'MITRE ATT&amp;CK Mappings'!$E657)),ISNUMBER(SEARCH(IF(D$1&lt;&gt;"",D$1,"NA"),'MITRE ATT&amp;CK Mappings'!$F657))),ISNUMBER(SEARCH(IF(D$2&lt;&gt;"",D$2,"NA"),'MITRE ATT&amp;CK Mappings'!$G657))),ISNUMBER(SEARCH(IF(D$2&lt;&gt;"",D$2,"NA"),'MITRE ATT&amp;CK Mappings'!$H657))),ISNUMBER(SEARCH(IF(D$3&lt;&gt;"",D$3,"NA"),'MITRE ATT&amp;CK Mappings'!$I657))),ISNUMBER(SEARCH(IF(D$3&lt;&gt;"",D$3,"NA"),'MITRE ATT&amp;CK Mappings'!$J657))), 'MITRE ATT&amp;CK Mappings'!$B657,"")</f>
        <v/>
      </c>
      <c r="E661" s="27" t="str">
        <f>IF(OR(OR(OR(OR(OR(ISNUMBER(SEARCH(IF(E$1&lt;&gt;"",E$1,"NA"),'MITRE ATT&amp;CK Mappings'!$E657)),ISNUMBER(SEARCH(IF(E$1&lt;&gt;"",E$1,"NA"),'MITRE ATT&amp;CK Mappings'!$F657))),ISNUMBER(SEARCH(IF(E$2&lt;&gt;"",E$2,"NA"),'MITRE ATT&amp;CK Mappings'!$G657))),ISNUMBER(SEARCH(IF(E$2&lt;&gt;"",E$2,"NA"),'MITRE ATT&amp;CK Mappings'!$H657))),ISNUMBER(SEARCH(IF(E$3&lt;&gt;"",E$3,"NA"),'MITRE ATT&amp;CK Mappings'!$I657))),ISNUMBER(SEARCH(IF(E$3&lt;&gt;"",E$3,"NA"),'MITRE ATT&amp;CK Mappings'!$J657))), 'MITRE ATT&amp;CK Mappings'!$B657,"")</f>
        <v/>
      </c>
      <c r="F661" s="27" t="str">
        <f>IF(OR(OR(OR(OR(OR(ISNUMBER(SEARCH(IF(F$1&lt;&gt;"",F$1,"NA"),'MITRE ATT&amp;CK Mappings'!$E657)),ISNUMBER(SEARCH(IF(F$1&lt;&gt;"",F$1,"NA"),'MITRE ATT&amp;CK Mappings'!$F657))),ISNUMBER(SEARCH(IF(F$2&lt;&gt;"",F$2,"NA"),'MITRE ATT&amp;CK Mappings'!$G657))),ISNUMBER(SEARCH(IF(F$2&lt;&gt;"",F$2,"NA"),'MITRE ATT&amp;CK Mappings'!$H657))),ISNUMBER(SEARCH(IF(F$3&lt;&gt;"",F$3,"NA"),'MITRE ATT&amp;CK Mappings'!$I657))),ISNUMBER(SEARCH(IF(F$3&lt;&gt;"",F$3,"NA"),'MITRE ATT&amp;CK Mappings'!$J657))), 'MITRE ATT&amp;CK Mappings'!$B657,"")</f>
        <v/>
      </c>
      <c r="G661" s="27" t="str">
        <f>IF(OR(OR(OR(OR(OR(ISNUMBER(SEARCH(IF(G$1&lt;&gt;"",G$1,"NA"),'MITRE ATT&amp;CK Mappings'!$E657)),ISNUMBER(SEARCH(IF(G$1&lt;&gt;"",G$1,"NA"),'MITRE ATT&amp;CK Mappings'!$F657))),ISNUMBER(SEARCH(IF(G$2&lt;&gt;"",G$2,"NA"),'MITRE ATT&amp;CK Mappings'!$G657))),ISNUMBER(SEARCH(IF(G$2&lt;&gt;"",G$2,"NA"),'MITRE ATT&amp;CK Mappings'!$H657))),ISNUMBER(SEARCH(IF(G$3&lt;&gt;"",G$3,"NA"),'MITRE ATT&amp;CK Mappings'!$I657))),ISNUMBER(SEARCH(IF(G$3&lt;&gt;"",G$3,"NA"),'MITRE ATT&amp;CK Mappings'!$J657))), 'MITRE ATT&amp;CK Mappings'!$B657,"")</f>
        <v/>
      </c>
      <c r="H661" s="27" t="str">
        <f>IF(OR(OR(OR(OR(OR(ISNUMBER(SEARCH(IF(H$1&lt;&gt;"",H$1,"NA"),'MITRE ATT&amp;CK Mappings'!$E657)),ISNUMBER(SEARCH(IF(H$1&lt;&gt;"",H$1,"NA"),'MITRE ATT&amp;CK Mappings'!$F657))),ISNUMBER(SEARCH(IF(H$2&lt;&gt;"",H$2,"NA"),'MITRE ATT&amp;CK Mappings'!$G657))),ISNUMBER(SEARCH(IF(H$2&lt;&gt;"",H$2,"NA"),'MITRE ATT&amp;CK Mappings'!$H657))),ISNUMBER(SEARCH(IF(H$3&lt;&gt;"",H$3,"NA"),'MITRE ATT&amp;CK Mappings'!$I657))),ISNUMBER(SEARCH(IF(H$3&lt;&gt;"",H$3,"NA"),'MITRE ATT&amp;CK Mappings'!$J657))), 'MITRE ATT&amp;CK Mappings'!$B657,"")</f>
        <v/>
      </c>
      <c r="I661" s="27" t="str">
        <f>IF(OR(OR(OR(OR(OR(ISNUMBER(SEARCH(IF(I$1&lt;&gt;"",I$1,"NA"),'MITRE ATT&amp;CK Mappings'!$E657)),ISNUMBER(SEARCH(IF(I$1&lt;&gt;"",I$1,"NA"),'MITRE ATT&amp;CK Mappings'!$F657))),ISNUMBER(SEARCH(IF(I$2&lt;&gt;"",I$2,"NA"),'MITRE ATT&amp;CK Mappings'!$G657))),ISNUMBER(SEARCH(IF(I$2&lt;&gt;"",I$2,"NA"),'MITRE ATT&amp;CK Mappings'!$H657))),ISNUMBER(SEARCH(IF(I$3&lt;&gt;"",I$3,"NA"),'MITRE ATT&amp;CK Mappings'!$I657))),ISNUMBER(SEARCH(IF(I$3&lt;&gt;"",I$3,"NA"),'MITRE ATT&amp;CK Mappings'!$J657))), 'MITRE ATT&amp;CK Mappings'!$B657,"")</f>
        <v/>
      </c>
      <c r="J661" s="27" t="str">
        <f>IF(OR(OR(OR(OR(OR(ISNUMBER(SEARCH(IF(J$1&lt;&gt;"",J$1,"NA"),'MITRE ATT&amp;CK Mappings'!$E657)),ISNUMBER(SEARCH(IF(J$1&lt;&gt;"",J$1,"NA"),'MITRE ATT&amp;CK Mappings'!$F657))),ISNUMBER(SEARCH(IF(J$2&lt;&gt;"",J$2,"NA"),'MITRE ATT&amp;CK Mappings'!$G657))),ISNUMBER(SEARCH(IF(J$2&lt;&gt;"",J$2,"NA"),'MITRE ATT&amp;CK Mappings'!$H657))),ISNUMBER(SEARCH(IF(J$3&lt;&gt;"",J$3,"NA"),'MITRE ATT&amp;CK Mappings'!$I657))),ISNUMBER(SEARCH(IF(J$3&lt;&gt;"",J$3,"NA"),'MITRE ATT&amp;CK Mappings'!$J657))), 'MITRE ATT&amp;CK Mappings'!$B657,"")</f>
        <v/>
      </c>
      <c r="K661" s="27" t="str">
        <f>IF(OR(OR(OR(OR(OR(ISNUMBER(SEARCH(IF(K$1&lt;&gt;"",K$1,"NA"),'MITRE ATT&amp;CK Mappings'!$E657)),ISNUMBER(SEARCH(IF(K$1&lt;&gt;"",K$1,"NA"),'MITRE ATT&amp;CK Mappings'!$F657))),ISNUMBER(SEARCH(IF(K$2&lt;&gt;"",K$2,"NA"),'MITRE ATT&amp;CK Mappings'!$G657))),ISNUMBER(SEARCH(IF(K$2&lt;&gt;"",K$2,"NA"),'MITRE ATT&amp;CK Mappings'!$H657))),ISNUMBER(SEARCH(IF(K$3&lt;&gt;"",K$3,"NA"),'MITRE ATT&amp;CK Mappings'!$I657))),ISNUMBER(SEARCH(IF(K$3&lt;&gt;"",K$3,"NA"),'MITRE ATT&amp;CK Mappings'!$J657))), 'MITRE ATT&amp;CK Mappings'!$B657,"")</f>
        <v/>
      </c>
      <c r="L661" s="27" t="str">
        <f>IF('MITRE ATT&amp;CK Mappings'!D657 &lt;&gt;"",'MITRE ATT&amp;CK Mappings'!D657,"" )</f>
        <v/>
      </c>
    </row>
    <row r="662" spans="1:12" x14ac:dyDescent="0.25">
      <c r="A662" s="26" t="str">
        <f>IF(COUNTIF(B662:K662,"="&amp;'MITRE ATT&amp;CK Mappings'!B658)&gt;0,'MITRE ATT&amp;CK Mappings'!B658,"")</f>
        <v/>
      </c>
      <c r="B662" s="26" t="str">
        <f>IF(OR(OR(OR(OR(OR(ISNUMBER(SEARCH(IF(B$1&lt;&gt;"",B$1,"NA"),'MITRE ATT&amp;CK Mappings'!$E658)),ISNUMBER(SEARCH(IF(B$1&lt;&gt;"",B$1,"NA"),'MITRE ATT&amp;CK Mappings'!$F658))),ISNUMBER(SEARCH(IF(B$2&lt;&gt;"",B$2,"NA"),'MITRE ATT&amp;CK Mappings'!$G658))),ISNUMBER(SEARCH(IF(B$2&lt;&gt;"",B$2,"NA"),'MITRE ATT&amp;CK Mappings'!$H658))),ISNUMBER(SEARCH(IF(B$3&lt;&gt;"",B$3,"NA"),'MITRE ATT&amp;CK Mappings'!$I658))),ISNUMBER(SEARCH(IF(B$3&lt;&gt;"",B$3,"NA"),'MITRE ATT&amp;CK Mappings'!$J658))), 'MITRE ATT&amp;CK Mappings'!$B658,"")</f>
        <v/>
      </c>
      <c r="C662" s="26" t="str">
        <f>IF(OR(OR(OR(OR(OR(ISNUMBER(SEARCH(IF(C$1&lt;&gt;"",C$1,"NA"),'MITRE ATT&amp;CK Mappings'!$E658)),ISNUMBER(SEARCH(IF(C$1&lt;&gt;"",C$1,"NA"),'MITRE ATT&amp;CK Mappings'!$F658))),ISNUMBER(SEARCH(IF(C$2&lt;&gt;"",C$2,"NA"),'MITRE ATT&amp;CK Mappings'!$G658))),ISNUMBER(SEARCH(IF(C$2&lt;&gt;"",C$2,"NA"),'MITRE ATT&amp;CK Mappings'!$H658))),ISNUMBER(SEARCH(IF(C$3&lt;&gt;"",C$3,"NA"),'MITRE ATT&amp;CK Mappings'!$I658))),ISNUMBER(SEARCH(IF(C$3&lt;&gt;"",C$3,"NA"),'MITRE ATT&amp;CK Mappings'!$J658))), 'MITRE ATT&amp;CK Mappings'!$B658,"")</f>
        <v/>
      </c>
      <c r="D662" s="26" t="str">
        <f>IF(OR(OR(OR(OR(OR(ISNUMBER(SEARCH(IF(D$1&lt;&gt;"",D$1,"NA"),'MITRE ATT&amp;CK Mappings'!$E658)),ISNUMBER(SEARCH(IF(D$1&lt;&gt;"",D$1,"NA"),'MITRE ATT&amp;CK Mappings'!$F658))),ISNUMBER(SEARCH(IF(D$2&lt;&gt;"",D$2,"NA"),'MITRE ATT&amp;CK Mappings'!$G658))),ISNUMBER(SEARCH(IF(D$2&lt;&gt;"",D$2,"NA"),'MITRE ATT&amp;CK Mappings'!$H658))),ISNUMBER(SEARCH(IF(D$3&lt;&gt;"",D$3,"NA"),'MITRE ATT&amp;CK Mappings'!$I658))),ISNUMBER(SEARCH(IF(D$3&lt;&gt;"",D$3,"NA"),'MITRE ATT&amp;CK Mappings'!$J658))), 'MITRE ATT&amp;CK Mappings'!$B658,"")</f>
        <v/>
      </c>
      <c r="E662" s="26" t="str">
        <f>IF(OR(OR(OR(OR(OR(ISNUMBER(SEARCH(IF(E$1&lt;&gt;"",E$1,"NA"),'MITRE ATT&amp;CK Mappings'!$E658)),ISNUMBER(SEARCH(IF(E$1&lt;&gt;"",E$1,"NA"),'MITRE ATT&amp;CK Mappings'!$F658))),ISNUMBER(SEARCH(IF(E$2&lt;&gt;"",E$2,"NA"),'MITRE ATT&amp;CK Mappings'!$G658))),ISNUMBER(SEARCH(IF(E$2&lt;&gt;"",E$2,"NA"),'MITRE ATT&amp;CK Mappings'!$H658))),ISNUMBER(SEARCH(IF(E$3&lt;&gt;"",E$3,"NA"),'MITRE ATT&amp;CK Mappings'!$I658))),ISNUMBER(SEARCH(IF(E$3&lt;&gt;"",E$3,"NA"),'MITRE ATT&amp;CK Mappings'!$J658))), 'MITRE ATT&amp;CK Mappings'!$B658,"")</f>
        <v/>
      </c>
      <c r="F662" s="26" t="str">
        <f>IF(OR(OR(OR(OR(OR(ISNUMBER(SEARCH(IF(F$1&lt;&gt;"",F$1,"NA"),'MITRE ATT&amp;CK Mappings'!$E658)),ISNUMBER(SEARCH(IF(F$1&lt;&gt;"",F$1,"NA"),'MITRE ATT&amp;CK Mappings'!$F658))),ISNUMBER(SEARCH(IF(F$2&lt;&gt;"",F$2,"NA"),'MITRE ATT&amp;CK Mappings'!$G658))),ISNUMBER(SEARCH(IF(F$2&lt;&gt;"",F$2,"NA"),'MITRE ATT&amp;CK Mappings'!$H658))),ISNUMBER(SEARCH(IF(F$3&lt;&gt;"",F$3,"NA"),'MITRE ATT&amp;CK Mappings'!$I658))),ISNUMBER(SEARCH(IF(F$3&lt;&gt;"",F$3,"NA"),'MITRE ATT&amp;CK Mappings'!$J658))), 'MITRE ATT&amp;CK Mappings'!$B658,"")</f>
        <v/>
      </c>
      <c r="G662" s="26" t="str">
        <f>IF(OR(OR(OR(OR(OR(ISNUMBER(SEARCH(IF(G$1&lt;&gt;"",G$1,"NA"),'MITRE ATT&amp;CK Mappings'!$E658)),ISNUMBER(SEARCH(IF(G$1&lt;&gt;"",G$1,"NA"),'MITRE ATT&amp;CK Mappings'!$F658))),ISNUMBER(SEARCH(IF(G$2&lt;&gt;"",G$2,"NA"),'MITRE ATT&amp;CK Mappings'!$G658))),ISNUMBER(SEARCH(IF(G$2&lt;&gt;"",G$2,"NA"),'MITRE ATT&amp;CK Mappings'!$H658))),ISNUMBER(SEARCH(IF(G$3&lt;&gt;"",G$3,"NA"),'MITRE ATT&amp;CK Mappings'!$I658))),ISNUMBER(SEARCH(IF(G$3&lt;&gt;"",G$3,"NA"),'MITRE ATT&amp;CK Mappings'!$J658))), 'MITRE ATT&amp;CK Mappings'!$B658,"")</f>
        <v/>
      </c>
      <c r="H662" s="26" t="str">
        <f>IF(OR(OR(OR(OR(OR(ISNUMBER(SEARCH(IF(H$1&lt;&gt;"",H$1,"NA"),'MITRE ATT&amp;CK Mappings'!$E658)),ISNUMBER(SEARCH(IF(H$1&lt;&gt;"",H$1,"NA"),'MITRE ATT&amp;CK Mappings'!$F658))),ISNUMBER(SEARCH(IF(H$2&lt;&gt;"",H$2,"NA"),'MITRE ATT&amp;CK Mappings'!$G658))),ISNUMBER(SEARCH(IF(H$2&lt;&gt;"",H$2,"NA"),'MITRE ATT&amp;CK Mappings'!$H658))),ISNUMBER(SEARCH(IF(H$3&lt;&gt;"",H$3,"NA"),'MITRE ATT&amp;CK Mappings'!$I658))),ISNUMBER(SEARCH(IF(H$3&lt;&gt;"",H$3,"NA"),'MITRE ATT&amp;CK Mappings'!$J658))), 'MITRE ATT&amp;CK Mappings'!$B658,"")</f>
        <v/>
      </c>
      <c r="I662" s="26" t="str">
        <f>IF(OR(OR(OR(OR(OR(ISNUMBER(SEARCH(IF(I$1&lt;&gt;"",I$1,"NA"),'MITRE ATT&amp;CK Mappings'!$E658)),ISNUMBER(SEARCH(IF(I$1&lt;&gt;"",I$1,"NA"),'MITRE ATT&amp;CK Mappings'!$F658))),ISNUMBER(SEARCH(IF(I$2&lt;&gt;"",I$2,"NA"),'MITRE ATT&amp;CK Mappings'!$G658))),ISNUMBER(SEARCH(IF(I$2&lt;&gt;"",I$2,"NA"),'MITRE ATT&amp;CK Mappings'!$H658))),ISNUMBER(SEARCH(IF(I$3&lt;&gt;"",I$3,"NA"),'MITRE ATT&amp;CK Mappings'!$I658))),ISNUMBER(SEARCH(IF(I$3&lt;&gt;"",I$3,"NA"),'MITRE ATT&amp;CK Mappings'!$J658))), 'MITRE ATT&amp;CK Mappings'!$B658,"")</f>
        <v/>
      </c>
      <c r="J662" s="26" t="str">
        <f>IF(OR(OR(OR(OR(OR(ISNUMBER(SEARCH(IF(J$1&lt;&gt;"",J$1,"NA"),'MITRE ATT&amp;CK Mappings'!$E658)),ISNUMBER(SEARCH(IF(J$1&lt;&gt;"",J$1,"NA"),'MITRE ATT&amp;CK Mappings'!$F658))),ISNUMBER(SEARCH(IF(J$2&lt;&gt;"",J$2,"NA"),'MITRE ATT&amp;CK Mappings'!$G658))),ISNUMBER(SEARCH(IF(J$2&lt;&gt;"",J$2,"NA"),'MITRE ATT&amp;CK Mappings'!$H658))),ISNUMBER(SEARCH(IF(J$3&lt;&gt;"",J$3,"NA"),'MITRE ATT&amp;CK Mappings'!$I658))),ISNUMBER(SEARCH(IF(J$3&lt;&gt;"",J$3,"NA"),'MITRE ATT&amp;CK Mappings'!$J658))), 'MITRE ATT&amp;CK Mappings'!$B658,"")</f>
        <v/>
      </c>
      <c r="K662" s="26" t="str">
        <f>IF(OR(OR(OR(OR(OR(ISNUMBER(SEARCH(IF(K$1&lt;&gt;"",K$1,"NA"),'MITRE ATT&amp;CK Mappings'!$E658)),ISNUMBER(SEARCH(IF(K$1&lt;&gt;"",K$1,"NA"),'MITRE ATT&amp;CK Mappings'!$F658))),ISNUMBER(SEARCH(IF(K$2&lt;&gt;"",K$2,"NA"),'MITRE ATT&amp;CK Mappings'!$G658))),ISNUMBER(SEARCH(IF(K$2&lt;&gt;"",K$2,"NA"),'MITRE ATT&amp;CK Mappings'!$H658))),ISNUMBER(SEARCH(IF(K$3&lt;&gt;"",K$3,"NA"),'MITRE ATT&amp;CK Mappings'!$I658))),ISNUMBER(SEARCH(IF(K$3&lt;&gt;"",K$3,"NA"),'MITRE ATT&amp;CK Mappings'!$J658))), 'MITRE ATT&amp;CK Mappings'!$B658,"")</f>
        <v/>
      </c>
      <c r="L662" s="26" t="str">
        <f>IF('MITRE ATT&amp;CK Mappings'!D658 &lt;&gt;"",'MITRE ATT&amp;CK Mappings'!D658,"" )</f>
        <v/>
      </c>
    </row>
    <row r="663" spans="1:12" x14ac:dyDescent="0.25">
      <c r="A663" s="27" t="str">
        <f>IF(COUNTIF(B663:K663,"="&amp;'MITRE ATT&amp;CK Mappings'!B659)&gt;0,'MITRE ATT&amp;CK Mappings'!B659,"")</f>
        <v/>
      </c>
      <c r="B663" s="27" t="str">
        <f>IF(OR(OR(OR(OR(OR(ISNUMBER(SEARCH(IF(B$1&lt;&gt;"",B$1,"NA"),'MITRE ATT&amp;CK Mappings'!$E659)),ISNUMBER(SEARCH(IF(B$1&lt;&gt;"",B$1,"NA"),'MITRE ATT&amp;CK Mappings'!$F659))),ISNUMBER(SEARCH(IF(B$2&lt;&gt;"",B$2,"NA"),'MITRE ATT&amp;CK Mappings'!$G659))),ISNUMBER(SEARCH(IF(B$2&lt;&gt;"",B$2,"NA"),'MITRE ATT&amp;CK Mappings'!$H659))),ISNUMBER(SEARCH(IF(B$3&lt;&gt;"",B$3,"NA"),'MITRE ATT&amp;CK Mappings'!$I659))),ISNUMBER(SEARCH(IF(B$3&lt;&gt;"",B$3,"NA"),'MITRE ATT&amp;CK Mappings'!$J659))), 'MITRE ATT&amp;CK Mappings'!$B659,"")</f>
        <v/>
      </c>
      <c r="C663" s="27" t="str">
        <f>IF(OR(OR(OR(OR(OR(ISNUMBER(SEARCH(IF(C$1&lt;&gt;"",C$1,"NA"),'MITRE ATT&amp;CK Mappings'!$E659)),ISNUMBER(SEARCH(IF(C$1&lt;&gt;"",C$1,"NA"),'MITRE ATT&amp;CK Mappings'!$F659))),ISNUMBER(SEARCH(IF(C$2&lt;&gt;"",C$2,"NA"),'MITRE ATT&amp;CK Mappings'!$G659))),ISNUMBER(SEARCH(IF(C$2&lt;&gt;"",C$2,"NA"),'MITRE ATT&amp;CK Mappings'!$H659))),ISNUMBER(SEARCH(IF(C$3&lt;&gt;"",C$3,"NA"),'MITRE ATT&amp;CK Mappings'!$I659))),ISNUMBER(SEARCH(IF(C$3&lt;&gt;"",C$3,"NA"),'MITRE ATT&amp;CK Mappings'!$J659))), 'MITRE ATT&amp;CK Mappings'!$B659,"")</f>
        <v/>
      </c>
      <c r="D663" s="27" t="str">
        <f>IF(OR(OR(OR(OR(OR(ISNUMBER(SEARCH(IF(D$1&lt;&gt;"",D$1,"NA"),'MITRE ATT&amp;CK Mappings'!$E659)),ISNUMBER(SEARCH(IF(D$1&lt;&gt;"",D$1,"NA"),'MITRE ATT&amp;CK Mappings'!$F659))),ISNUMBER(SEARCH(IF(D$2&lt;&gt;"",D$2,"NA"),'MITRE ATT&amp;CK Mappings'!$G659))),ISNUMBER(SEARCH(IF(D$2&lt;&gt;"",D$2,"NA"),'MITRE ATT&amp;CK Mappings'!$H659))),ISNUMBER(SEARCH(IF(D$3&lt;&gt;"",D$3,"NA"),'MITRE ATT&amp;CK Mappings'!$I659))),ISNUMBER(SEARCH(IF(D$3&lt;&gt;"",D$3,"NA"),'MITRE ATT&amp;CK Mappings'!$J659))), 'MITRE ATT&amp;CK Mappings'!$B659,"")</f>
        <v/>
      </c>
      <c r="E663" s="27" t="str">
        <f>IF(OR(OR(OR(OR(OR(ISNUMBER(SEARCH(IF(E$1&lt;&gt;"",E$1,"NA"),'MITRE ATT&amp;CK Mappings'!$E659)),ISNUMBER(SEARCH(IF(E$1&lt;&gt;"",E$1,"NA"),'MITRE ATT&amp;CK Mappings'!$F659))),ISNUMBER(SEARCH(IF(E$2&lt;&gt;"",E$2,"NA"),'MITRE ATT&amp;CK Mappings'!$G659))),ISNUMBER(SEARCH(IF(E$2&lt;&gt;"",E$2,"NA"),'MITRE ATT&amp;CK Mappings'!$H659))),ISNUMBER(SEARCH(IF(E$3&lt;&gt;"",E$3,"NA"),'MITRE ATT&amp;CK Mappings'!$I659))),ISNUMBER(SEARCH(IF(E$3&lt;&gt;"",E$3,"NA"),'MITRE ATT&amp;CK Mappings'!$J659))), 'MITRE ATT&amp;CK Mappings'!$B659,"")</f>
        <v/>
      </c>
      <c r="F663" s="27" t="str">
        <f>IF(OR(OR(OR(OR(OR(ISNUMBER(SEARCH(IF(F$1&lt;&gt;"",F$1,"NA"),'MITRE ATT&amp;CK Mappings'!$E659)),ISNUMBER(SEARCH(IF(F$1&lt;&gt;"",F$1,"NA"),'MITRE ATT&amp;CK Mappings'!$F659))),ISNUMBER(SEARCH(IF(F$2&lt;&gt;"",F$2,"NA"),'MITRE ATT&amp;CK Mappings'!$G659))),ISNUMBER(SEARCH(IF(F$2&lt;&gt;"",F$2,"NA"),'MITRE ATT&amp;CK Mappings'!$H659))),ISNUMBER(SEARCH(IF(F$3&lt;&gt;"",F$3,"NA"),'MITRE ATT&amp;CK Mappings'!$I659))),ISNUMBER(SEARCH(IF(F$3&lt;&gt;"",F$3,"NA"),'MITRE ATT&amp;CK Mappings'!$J659))), 'MITRE ATT&amp;CK Mappings'!$B659,"")</f>
        <v/>
      </c>
      <c r="G663" s="27" t="str">
        <f>IF(OR(OR(OR(OR(OR(ISNUMBER(SEARCH(IF(G$1&lt;&gt;"",G$1,"NA"),'MITRE ATT&amp;CK Mappings'!$E659)),ISNUMBER(SEARCH(IF(G$1&lt;&gt;"",G$1,"NA"),'MITRE ATT&amp;CK Mappings'!$F659))),ISNUMBER(SEARCH(IF(G$2&lt;&gt;"",G$2,"NA"),'MITRE ATT&amp;CK Mappings'!$G659))),ISNUMBER(SEARCH(IF(G$2&lt;&gt;"",G$2,"NA"),'MITRE ATT&amp;CK Mappings'!$H659))),ISNUMBER(SEARCH(IF(G$3&lt;&gt;"",G$3,"NA"),'MITRE ATT&amp;CK Mappings'!$I659))),ISNUMBER(SEARCH(IF(G$3&lt;&gt;"",G$3,"NA"),'MITRE ATT&amp;CK Mappings'!$J659))), 'MITRE ATT&amp;CK Mappings'!$B659,"")</f>
        <v/>
      </c>
      <c r="H663" s="27" t="str">
        <f>IF(OR(OR(OR(OR(OR(ISNUMBER(SEARCH(IF(H$1&lt;&gt;"",H$1,"NA"),'MITRE ATT&amp;CK Mappings'!$E659)),ISNUMBER(SEARCH(IF(H$1&lt;&gt;"",H$1,"NA"),'MITRE ATT&amp;CK Mappings'!$F659))),ISNUMBER(SEARCH(IF(H$2&lt;&gt;"",H$2,"NA"),'MITRE ATT&amp;CK Mappings'!$G659))),ISNUMBER(SEARCH(IF(H$2&lt;&gt;"",H$2,"NA"),'MITRE ATT&amp;CK Mappings'!$H659))),ISNUMBER(SEARCH(IF(H$3&lt;&gt;"",H$3,"NA"),'MITRE ATT&amp;CK Mappings'!$I659))),ISNUMBER(SEARCH(IF(H$3&lt;&gt;"",H$3,"NA"),'MITRE ATT&amp;CK Mappings'!$J659))), 'MITRE ATT&amp;CK Mappings'!$B659,"")</f>
        <v/>
      </c>
      <c r="I663" s="27" t="str">
        <f>IF(OR(OR(OR(OR(OR(ISNUMBER(SEARCH(IF(I$1&lt;&gt;"",I$1,"NA"),'MITRE ATT&amp;CK Mappings'!$E659)),ISNUMBER(SEARCH(IF(I$1&lt;&gt;"",I$1,"NA"),'MITRE ATT&amp;CK Mappings'!$F659))),ISNUMBER(SEARCH(IF(I$2&lt;&gt;"",I$2,"NA"),'MITRE ATT&amp;CK Mappings'!$G659))),ISNUMBER(SEARCH(IF(I$2&lt;&gt;"",I$2,"NA"),'MITRE ATT&amp;CK Mappings'!$H659))),ISNUMBER(SEARCH(IF(I$3&lt;&gt;"",I$3,"NA"),'MITRE ATT&amp;CK Mappings'!$I659))),ISNUMBER(SEARCH(IF(I$3&lt;&gt;"",I$3,"NA"),'MITRE ATT&amp;CK Mappings'!$J659))), 'MITRE ATT&amp;CK Mappings'!$B659,"")</f>
        <v/>
      </c>
      <c r="J663" s="27" t="str">
        <f>IF(OR(OR(OR(OR(OR(ISNUMBER(SEARCH(IF(J$1&lt;&gt;"",J$1,"NA"),'MITRE ATT&amp;CK Mappings'!$E659)),ISNUMBER(SEARCH(IF(J$1&lt;&gt;"",J$1,"NA"),'MITRE ATT&amp;CK Mappings'!$F659))),ISNUMBER(SEARCH(IF(J$2&lt;&gt;"",J$2,"NA"),'MITRE ATT&amp;CK Mappings'!$G659))),ISNUMBER(SEARCH(IF(J$2&lt;&gt;"",J$2,"NA"),'MITRE ATT&amp;CK Mappings'!$H659))),ISNUMBER(SEARCH(IF(J$3&lt;&gt;"",J$3,"NA"),'MITRE ATT&amp;CK Mappings'!$I659))),ISNUMBER(SEARCH(IF(J$3&lt;&gt;"",J$3,"NA"),'MITRE ATT&amp;CK Mappings'!$J659))), 'MITRE ATT&amp;CK Mappings'!$B659,"")</f>
        <v/>
      </c>
      <c r="K663" s="27" t="str">
        <f>IF(OR(OR(OR(OR(OR(ISNUMBER(SEARCH(IF(K$1&lt;&gt;"",K$1,"NA"),'MITRE ATT&amp;CK Mappings'!$E659)),ISNUMBER(SEARCH(IF(K$1&lt;&gt;"",K$1,"NA"),'MITRE ATT&amp;CK Mappings'!$F659))),ISNUMBER(SEARCH(IF(K$2&lt;&gt;"",K$2,"NA"),'MITRE ATT&amp;CK Mappings'!$G659))),ISNUMBER(SEARCH(IF(K$2&lt;&gt;"",K$2,"NA"),'MITRE ATT&amp;CK Mappings'!$H659))),ISNUMBER(SEARCH(IF(K$3&lt;&gt;"",K$3,"NA"),'MITRE ATT&amp;CK Mappings'!$I659))),ISNUMBER(SEARCH(IF(K$3&lt;&gt;"",K$3,"NA"),'MITRE ATT&amp;CK Mappings'!$J659))), 'MITRE ATT&amp;CK Mappings'!$B659,"")</f>
        <v/>
      </c>
      <c r="L663" s="27" t="str">
        <f>IF('MITRE ATT&amp;CK Mappings'!D659 &lt;&gt;"",'MITRE ATT&amp;CK Mappings'!D659,"" )</f>
        <v/>
      </c>
    </row>
    <row r="664" spans="1:12" x14ac:dyDescent="0.25">
      <c r="A664" s="26" t="str">
        <f>IF(COUNTIF(B664:K664,"="&amp;'MITRE ATT&amp;CK Mappings'!B660)&gt;0,'MITRE ATT&amp;CK Mappings'!B660,"")</f>
        <v/>
      </c>
      <c r="B664" s="26" t="str">
        <f>IF(OR(OR(OR(OR(OR(ISNUMBER(SEARCH(IF(B$1&lt;&gt;"",B$1,"NA"),'MITRE ATT&amp;CK Mappings'!$E660)),ISNUMBER(SEARCH(IF(B$1&lt;&gt;"",B$1,"NA"),'MITRE ATT&amp;CK Mappings'!$F660))),ISNUMBER(SEARCH(IF(B$2&lt;&gt;"",B$2,"NA"),'MITRE ATT&amp;CK Mappings'!$G660))),ISNUMBER(SEARCH(IF(B$2&lt;&gt;"",B$2,"NA"),'MITRE ATT&amp;CK Mappings'!$H660))),ISNUMBER(SEARCH(IF(B$3&lt;&gt;"",B$3,"NA"),'MITRE ATT&amp;CK Mappings'!$I660))),ISNUMBER(SEARCH(IF(B$3&lt;&gt;"",B$3,"NA"),'MITRE ATT&amp;CK Mappings'!$J660))), 'MITRE ATT&amp;CK Mappings'!$B660,"")</f>
        <v/>
      </c>
      <c r="C664" s="26" t="str">
        <f>IF(OR(OR(OR(OR(OR(ISNUMBER(SEARCH(IF(C$1&lt;&gt;"",C$1,"NA"),'MITRE ATT&amp;CK Mappings'!$E660)),ISNUMBER(SEARCH(IF(C$1&lt;&gt;"",C$1,"NA"),'MITRE ATT&amp;CK Mappings'!$F660))),ISNUMBER(SEARCH(IF(C$2&lt;&gt;"",C$2,"NA"),'MITRE ATT&amp;CK Mappings'!$G660))),ISNUMBER(SEARCH(IF(C$2&lt;&gt;"",C$2,"NA"),'MITRE ATT&amp;CK Mappings'!$H660))),ISNUMBER(SEARCH(IF(C$3&lt;&gt;"",C$3,"NA"),'MITRE ATT&amp;CK Mappings'!$I660))),ISNUMBER(SEARCH(IF(C$3&lt;&gt;"",C$3,"NA"),'MITRE ATT&amp;CK Mappings'!$J660))), 'MITRE ATT&amp;CK Mappings'!$B660,"")</f>
        <v/>
      </c>
      <c r="D664" s="26" t="str">
        <f>IF(OR(OR(OR(OR(OR(ISNUMBER(SEARCH(IF(D$1&lt;&gt;"",D$1,"NA"),'MITRE ATT&amp;CK Mappings'!$E660)),ISNUMBER(SEARCH(IF(D$1&lt;&gt;"",D$1,"NA"),'MITRE ATT&amp;CK Mappings'!$F660))),ISNUMBER(SEARCH(IF(D$2&lt;&gt;"",D$2,"NA"),'MITRE ATT&amp;CK Mappings'!$G660))),ISNUMBER(SEARCH(IF(D$2&lt;&gt;"",D$2,"NA"),'MITRE ATT&amp;CK Mappings'!$H660))),ISNUMBER(SEARCH(IF(D$3&lt;&gt;"",D$3,"NA"),'MITRE ATT&amp;CK Mappings'!$I660))),ISNUMBER(SEARCH(IF(D$3&lt;&gt;"",D$3,"NA"),'MITRE ATT&amp;CK Mappings'!$J660))), 'MITRE ATT&amp;CK Mappings'!$B660,"")</f>
        <v/>
      </c>
      <c r="E664" s="26" t="str">
        <f>IF(OR(OR(OR(OR(OR(ISNUMBER(SEARCH(IF(E$1&lt;&gt;"",E$1,"NA"),'MITRE ATT&amp;CK Mappings'!$E660)),ISNUMBER(SEARCH(IF(E$1&lt;&gt;"",E$1,"NA"),'MITRE ATT&amp;CK Mappings'!$F660))),ISNUMBER(SEARCH(IF(E$2&lt;&gt;"",E$2,"NA"),'MITRE ATT&amp;CK Mappings'!$G660))),ISNUMBER(SEARCH(IF(E$2&lt;&gt;"",E$2,"NA"),'MITRE ATT&amp;CK Mappings'!$H660))),ISNUMBER(SEARCH(IF(E$3&lt;&gt;"",E$3,"NA"),'MITRE ATT&amp;CK Mappings'!$I660))),ISNUMBER(SEARCH(IF(E$3&lt;&gt;"",E$3,"NA"),'MITRE ATT&amp;CK Mappings'!$J660))), 'MITRE ATT&amp;CK Mappings'!$B660,"")</f>
        <v/>
      </c>
      <c r="F664" s="26" t="str">
        <f>IF(OR(OR(OR(OR(OR(ISNUMBER(SEARCH(IF(F$1&lt;&gt;"",F$1,"NA"),'MITRE ATT&amp;CK Mappings'!$E660)),ISNUMBER(SEARCH(IF(F$1&lt;&gt;"",F$1,"NA"),'MITRE ATT&amp;CK Mappings'!$F660))),ISNUMBER(SEARCH(IF(F$2&lt;&gt;"",F$2,"NA"),'MITRE ATT&amp;CK Mappings'!$G660))),ISNUMBER(SEARCH(IF(F$2&lt;&gt;"",F$2,"NA"),'MITRE ATT&amp;CK Mappings'!$H660))),ISNUMBER(SEARCH(IF(F$3&lt;&gt;"",F$3,"NA"),'MITRE ATT&amp;CK Mappings'!$I660))),ISNUMBER(SEARCH(IF(F$3&lt;&gt;"",F$3,"NA"),'MITRE ATT&amp;CK Mappings'!$J660))), 'MITRE ATT&amp;CK Mappings'!$B660,"")</f>
        <v/>
      </c>
      <c r="G664" s="26" t="str">
        <f>IF(OR(OR(OR(OR(OR(ISNUMBER(SEARCH(IF(G$1&lt;&gt;"",G$1,"NA"),'MITRE ATT&amp;CK Mappings'!$E660)),ISNUMBER(SEARCH(IF(G$1&lt;&gt;"",G$1,"NA"),'MITRE ATT&amp;CK Mappings'!$F660))),ISNUMBER(SEARCH(IF(G$2&lt;&gt;"",G$2,"NA"),'MITRE ATT&amp;CK Mappings'!$G660))),ISNUMBER(SEARCH(IF(G$2&lt;&gt;"",G$2,"NA"),'MITRE ATT&amp;CK Mappings'!$H660))),ISNUMBER(SEARCH(IF(G$3&lt;&gt;"",G$3,"NA"),'MITRE ATT&amp;CK Mappings'!$I660))),ISNUMBER(SEARCH(IF(G$3&lt;&gt;"",G$3,"NA"),'MITRE ATT&amp;CK Mappings'!$J660))), 'MITRE ATT&amp;CK Mappings'!$B660,"")</f>
        <v/>
      </c>
      <c r="H664" s="26" t="str">
        <f>IF(OR(OR(OR(OR(OR(ISNUMBER(SEARCH(IF(H$1&lt;&gt;"",H$1,"NA"),'MITRE ATT&amp;CK Mappings'!$E660)),ISNUMBER(SEARCH(IF(H$1&lt;&gt;"",H$1,"NA"),'MITRE ATT&amp;CK Mappings'!$F660))),ISNUMBER(SEARCH(IF(H$2&lt;&gt;"",H$2,"NA"),'MITRE ATT&amp;CK Mappings'!$G660))),ISNUMBER(SEARCH(IF(H$2&lt;&gt;"",H$2,"NA"),'MITRE ATT&amp;CK Mappings'!$H660))),ISNUMBER(SEARCH(IF(H$3&lt;&gt;"",H$3,"NA"),'MITRE ATT&amp;CK Mappings'!$I660))),ISNUMBER(SEARCH(IF(H$3&lt;&gt;"",H$3,"NA"),'MITRE ATT&amp;CK Mappings'!$J660))), 'MITRE ATT&amp;CK Mappings'!$B660,"")</f>
        <v/>
      </c>
      <c r="I664" s="26" t="str">
        <f>IF(OR(OR(OR(OR(OR(ISNUMBER(SEARCH(IF(I$1&lt;&gt;"",I$1,"NA"),'MITRE ATT&amp;CK Mappings'!$E660)),ISNUMBER(SEARCH(IF(I$1&lt;&gt;"",I$1,"NA"),'MITRE ATT&amp;CK Mappings'!$F660))),ISNUMBER(SEARCH(IF(I$2&lt;&gt;"",I$2,"NA"),'MITRE ATT&amp;CK Mappings'!$G660))),ISNUMBER(SEARCH(IF(I$2&lt;&gt;"",I$2,"NA"),'MITRE ATT&amp;CK Mappings'!$H660))),ISNUMBER(SEARCH(IF(I$3&lt;&gt;"",I$3,"NA"),'MITRE ATT&amp;CK Mappings'!$I660))),ISNUMBER(SEARCH(IF(I$3&lt;&gt;"",I$3,"NA"),'MITRE ATT&amp;CK Mappings'!$J660))), 'MITRE ATT&amp;CK Mappings'!$B660,"")</f>
        <v/>
      </c>
      <c r="J664" s="26" t="str">
        <f>IF(OR(OR(OR(OR(OR(ISNUMBER(SEARCH(IF(J$1&lt;&gt;"",J$1,"NA"),'MITRE ATT&amp;CK Mappings'!$E660)),ISNUMBER(SEARCH(IF(J$1&lt;&gt;"",J$1,"NA"),'MITRE ATT&amp;CK Mappings'!$F660))),ISNUMBER(SEARCH(IF(J$2&lt;&gt;"",J$2,"NA"),'MITRE ATT&amp;CK Mappings'!$G660))),ISNUMBER(SEARCH(IF(J$2&lt;&gt;"",J$2,"NA"),'MITRE ATT&amp;CK Mappings'!$H660))),ISNUMBER(SEARCH(IF(J$3&lt;&gt;"",J$3,"NA"),'MITRE ATT&amp;CK Mappings'!$I660))),ISNUMBER(SEARCH(IF(J$3&lt;&gt;"",J$3,"NA"),'MITRE ATT&amp;CK Mappings'!$J660))), 'MITRE ATT&amp;CK Mappings'!$B660,"")</f>
        <v/>
      </c>
      <c r="K664" s="26" t="str">
        <f>IF(OR(OR(OR(OR(OR(ISNUMBER(SEARCH(IF(K$1&lt;&gt;"",K$1,"NA"),'MITRE ATT&amp;CK Mappings'!$E660)),ISNUMBER(SEARCH(IF(K$1&lt;&gt;"",K$1,"NA"),'MITRE ATT&amp;CK Mappings'!$F660))),ISNUMBER(SEARCH(IF(K$2&lt;&gt;"",K$2,"NA"),'MITRE ATT&amp;CK Mappings'!$G660))),ISNUMBER(SEARCH(IF(K$2&lt;&gt;"",K$2,"NA"),'MITRE ATT&amp;CK Mappings'!$H660))),ISNUMBER(SEARCH(IF(K$3&lt;&gt;"",K$3,"NA"),'MITRE ATT&amp;CK Mappings'!$I660))),ISNUMBER(SEARCH(IF(K$3&lt;&gt;"",K$3,"NA"),'MITRE ATT&amp;CK Mappings'!$J660))), 'MITRE ATT&amp;CK Mappings'!$B660,"")</f>
        <v/>
      </c>
      <c r="L664" s="26" t="str">
        <f>IF('MITRE ATT&amp;CK Mappings'!D660 &lt;&gt;"",'MITRE ATT&amp;CK Mappings'!D660,"" )</f>
        <v/>
      </c>
    </row>
    <row r="665" spans="1:12" x14ac:dyDescent="0.25">
      <c r="A665" s="27" t="str">
        <f>IF(COUNTIF(B665:K665,"="&amp;'MITRE ATT&amp;CK Mappings'!B661)&gt;0,'MITRE ATT&amp;CK Mappings'!B661,"")</f>
        <v/>
      </c>
      <c r="B665" s="27" t="str">
        <f>IF(OR(OR(OR(OR(OR(ISNUMBER(SEARCH(IF(B$1&lt;&gt;"",B$1,"NA"),'MITRE ATT&amp;CK Mappings'!$E661)),ISNUMBER(SEARCH(IF(B$1&lt;&gt;"",B$1,"NA"),'MITRE ATT&amp;CK Mappings'!$F661))),ISNUMBER(SEARCH(IF(B$2&lt;&gt;"",B$2,"NA"),'MITRE ATT&amp;CK Mappings'!$G661))),ISNUMBER(SEARCH(IF(B$2&lt;&gt;"",B$2,"NA"),'MITRE ATT&amp;CK Mappings'!$H661))),ISNUMBER(SEARCH(IF(B$3&lt;&gt;"",B$3,"NA"),'MITRE ATT&amp;CK Mappings'!$I661))),ISNUMBER(SEARCH(IF(B$3&lt;&gt;"",B$3,"NA"),'MITRE ATT&amp;CK Mappings'!$J661))), 'MITRE ATT&amp;CK Mappings'!$B661,"")</f>
        <v/>
      </c>
      <c r="C665" s="27" t="str">
        <f>IF(OR(OR(OR(OR(OR(ISNUMBER(SEARCH(IF(C$1&lt;&gt;"",C$1,"NA"),'MITRE ATT&amp;CK Mappings'!$E661)),ISNUMBER(SEARCH(IF(C$1&lt;&gt;"",C$1,"NA"),'MITRE ATT&amp;CK Mappings'!$F661))),ISNUMBER(SEARCH(IF(C$2&lt;&gt;"",C$2,"NA"),'MITRE ATT&amp;CK Mappings'!$G661))),ISNUMBER(SEARCH(IF(C$2&lt;&gt;"",C$2,"NA"),'MITRE ATT&amp;CK Mappings'!$H661))),ISNUMBER(SEARCH(IF(C$3&lt;&gt;"",C$3,"NA"),'MITRE ATT&amp;CK Mappings'!$I661))),ISNUMBER(SEARCH(IF(C$3&lt;&gt;"",C$3,"NA"),'MITRE ATT&amp;CK Mappings'!$J661))), 'MITRE ATT&amp;CK Mappings'!$B661,"")</f>
        <v/>
      </c>
      <c r="D665" s="27" t="str">
        <f>IF(OR(OR(OR(OR(OR(ISNUMBER(SEARCH(IF(D$1&lt;&gt;"",D$1,"NA"),'MITRE ATT&amp;CK Mappings'!$E661)),ISNUMBER(SEARCH(IF(D$1&lt;&gt;"",D$1,"NA"),'MITRE ATT&amp;CK Mappings'!$F661))),ISNUMBER(SEARCH(IF(D$2&lt;&gt;"",D$2,"NA"),'MITRE ATT&amp;CK Mappings'!$G661))),ISNUMBER(SEARCH(IF(D$2&lt;&gt;"",D$2,"NA"),'MITRE ATT&amp;CK Mappings'!$H661))),ISNUMBER(SEARCH(IF(D$3&lt;&gt;"",D$3,"NA"),'MITRE ATT&amp;CK Mappings'!$I661))),ISNUMBER(SEARCH(IF(D$3&lt;&gt;"",D$3,"NA"),'MITRE ATT&amp;CK Mappings'!$J661))), 'MITRE ATT&amp;CK Mappings'!$B661,"")</f>
        <v/>
      </c>
      <c r="E665" s="27" t="str">
        <f>IF(OR(OR(OR(OR(OR(ISNUMBER(SEARCH(IF(E$1&lt;&gt;"",E$1,"NA"),'MITRE ATT&amp;CK Mappings'!$E661)),ISNUMBER(SEARCH(IF(E$1&lt;&gt;"",E$1,"NA"),'MITRE ATT&amp;CK Mappings'!$F661))),ISNUMBER(SEARCH(IF(E$2&lt;&gt;"",E$2,"NA"),'MITRE ATT&amp;CK Mappings'!$G661))),ISNUMBER(SEARCH(IF(E$2&lt;&gt;"",E$2,"NA"),'MITRE ATT&amp;CK Mappings'!$H661))),ISNUMBER(SEARCH(IF(E$3&lt;&gt;"",E$3,"NA"),'MITRE ATT&amp;CK Mappings'!$I661))),ISNUMBER(SEARCH(IF(E$3&lt;&gt;"",E$3,"NA"),'MITRE ATT&amp;CK Mappings'!$J661))), 'MITRE ATT&amp;CK Mappings'!$B661,"")</f>
        <v/>
      </c>
      <c r="F665" s="27" t="str">
        <f>IF(OR(OR(OR(OR(OR(ISNUMBER(SEARCH(IF(F$1&lt;&gt;"",F$1,"NA"),'MITRE ATT&amp;CK Mappings'!$E661)),ISNUMBER(SEARCH(IF(F$1&lt;&gt;"",F$1,"NA"),'MITRE ATT&amp;CK Mappings'!$F661))),ISNUMBER(SEARCH(IF(F$2&lt;&gt;"",F$2,"NA"),'MITRE ATT&amp;CK Mappings'!$G661))),ISNUMBER(SEARCH(IF(F$2&lt;&gt;"",F$2,"NA"),'MITRE ATT&amp;CK Mappings'!$H661))),ISNUMBER(SEARCH(IF(F$3&lt;&gt;"",F$3,"NA"),'MITRE ATT&amp;CK Mappings'!$I661))),ISNUMBER(SEARCH(IF(F$3&lt;&gt;"",F$3,"NA"),'MITRE ATT&amp;CK Mappings'!$J661))), 'MITRE ATT&amp;CK Mappings'!$B661,"")</f>
        <v/>
      </c>
      <c r="G665" s="27" t="str">
        <f>IF(OR(OR(OR(OR(OR(ISNUMBER(SEARCH(IF(G$1&lt;&gt;"",G$1,"NA"),'MITRE ATT&amp;CK Mappings'!$E661)),ISNUMBER(SEARCH(IF(G$1&lt;&gt;"",G$1,"NA"),'MITRE ATT&amp;CK Mappings'!$F661))),ISNUMBER(SEARCH(IF(G$2&lt;&gt;"",G$2,"NA"),'MITRE ATT&amp;CK Mappings'!$G661))),ISNUMBER(SEARCH(IF(G$2&lt;&gt;"",G$2,"NA"),'MITRE ATT&amp;CK Mappings'!$H661))),ISNUMBER(SEARCH(IF(G$3&lt;&gt;"",G$3,"NA"),'MITRE ATT&amp;CK Mappings'!$I661))),ISNUMBER(SEARCH(IF(G$3&lt;&gt;"",G$3,"NA"),'MITRE ATT&amp;CK Mappings'!$J661))), 'MITRE ATT&amp;CK Mappings'!$B661,"")</f>
        <v/>
      </c>
      <c r="H665" s="27" t="str">
        <f>IF(OR(OR(OR(OR(OR(ISNUMBER(SEARCH(IF(H$1&lt;&gt;"",H$1,"NA"),'MITRE ATT&amp;CK Mappings'!$E661)),ISNUMBER(SEARCH(IF(H$1&lt;&gt;"",H$1,"NA"),'MITRE ATT&amp;CK Mappings'!$F661))),ISNUMBER(SEARCH(IF(H$2&lt;&gt;"",H$2,"NA"),'MITRE ATT&amp;CK Mappings'!$G661))),ISNUMBER(SEARCH(IF(H$2&lt;&gt;"",H$2,"NA"),'MITRE ATT&amp;CK Mappings'!$H661))),ISNUMBER(SEARCH(IF(H$3&lt;&gt;"",H$3,"NA"),'MITRE ATT&amp;CK Mappings'!$I661))),ISNUMBER(SEARCH(IF(H$3&lt;&gt;"",H$3,"NA"),'MITRE ATT&amp;CK Mappings'!$J661))), 'MITRE ATT&amp;CK Mappings'!$B661,"")</f>
        <v/>
      </c>
      <c r="I665" s="27" t="str">
        <f>IF(OR(OR(OR(OR(OR(ISNUMBER(SEARCH(IF(I$1&lt;&gt;"",I$1,"NA"),'MITRE ATT&amp;CK Mappings'!$E661)),ISNUMBER(SEARCH(IF(I$1&lt;&gt;"",I$1,"NA"),'MITRE ATT&amp;CK Mappings'!$F661))),ISNUMBER(SEARCH(IF(I$2&lt;&gt;"",I$2,"NA"),'MITRE ATT&amp;CK Mappings'!$G661))),ISNUMBER(SEARCH(IF(I$2&lt;&gt;"",I$2,"NA"),'MITRE ATT&amp;CK Mappings'!$H661))),ISNUMBER(SEARCH(IF(I$3&lt;&gt;"",I$3,"NA"),'MITRE ATT&amp;CK Mappings'!$I661))),ISNUMBER(SEARCH(IF(I$3&lt;&gt;"",I$3,"NA"),'MITRE ATT&amp;CK Mappings'!$J661))), 'MITRE ATT&amp;CK Mappings'!$B661,"")</f>
        <v/>
      </c>
      <c r="J665" s="27" t="str">
        <f>IF(OR(OR(OR(OR(OR(ISNUMBER(SEARCH(IF(J$1&lt;&gt;"",J$1,"NA"),'MITRE ATT&amp;CK Mappings'!$E661)),ISNUMBER(SEARCH(IF(J$1&lt;&gt;"",J$1,"NA"),'MITRE ATT&amp;CK Mappings'!$F661))),ISNUMBER(SEARCH(IF(J$2&lt;&gt;"",J$2,"NA"),'MITRE ATT&amp;CK Mappings'!$G661))),ISNUMBER(SEARCH(IF(J$2&lt;&gt;"",J$2,"NA"),'MITRE ATT&amp;CK Mappings'!$H661))),ISNUMBER(SEARCH(IF(J$3&lt;&gt;"",J$3,"NA"),'MITRE ATT&amp;CK Mappings'!$I661))),ISNUMBER(SEARCH(IF(J$3&lt;&gt;"",J$3,"NA"),'MITRE ATT&amp;CK Mappings'!$J661))), 'MITRE ATT&amp;CK Mappings'!$B661,"")</f>
        <v/>
      </c>
      <c r="K665" s="27" t="str">
        <f>IF(OR(OR(OR(OR(OR(ISNUMBER(SEARCH(IF(K$1&lt;&gt;"",K$1,"NA"),'MITRE ATT&amp;CK Mappings'!$E661)),ISNUMBER(SEARCH(IF(K$1&lt;&gt;"",K$1,"NA"),'MITRE ATT&amp;CK Mappings'!$F661))),ISNUMBER(SEARCH(IF(K$2&lt;&gt;"",K$2,"NA"),'MITRE ATT&amp;CK Mappings'!$G661))),ISNUMBER(SEARCH(IF(K$2&lt;&gt;"",K$2,"NA"),'MITRE ATT&amp;CK Mappings'!$H661))),ISNUMBER(SEARCH(IF(K$3&lt;&gt;"",K$3,"NA"),'MITRE ATT&amp;CK Mappings'!$I661))),ISNUMBER(SEARCH(IF(K$3&lt;&gt;"",K$3,"NA"),'MITRE ATT&amp;CK Mappings'!$J661))), 'MITRE ATT&amp;CK Mappings'!$B661,"")</f>
        <v/>
      </c>
      <c r="L665" s="27" t="str">
        <f>IF('MITRE ATT&amp;CK Mappings'!D661 &lt;&gt;"",'MITRE ATT&amp;CK Mappings'!D661,"" )</f>
        <v/>
      </c>
    </row>
    <row r="666" spans="1:12" x14ac:dyDescent="0.25">
      <c r="A666" s="26" t="str">
        <f>IF(COUNTIF(B666:K666,"="&amp;'MITRE ATT&amp;CK Mappings'!B662)&gt;0,'MITRE ATT&amp;CK Mappings'!B662,"")</f>
        <v/>
      </c>
      <c r="B666" s="26" t="str">
        <f>IF(OR(OR(OR(OR(OR(ISNUMBER(SEARCH(IF(B$1&lt;&gt;"",B$1,"NA"),'MITRE ATT&amp;CK Mappings'!$E662)),ISNUMBER(SEARCH(IF(B$1&lt;&gt;"",B$1,"NA"),'MITRE ATT&amp;CK Mappings'!$F662))),ISNUMBER(SEARCH(IF(B$2&lt;&gt;"",B$2,"NA"),'MITRE ATT&amp;CK Mappings'!$G662))),ISNUMBER(SEARCH(IF(B$2&lt;&gt;"",B$2,"NA"),'MITRE ATT&amp;CK Mappings'!$H662))),ISNUMBER(SEARCH(IF(B$3&lt;&gt;"",B$3,"NA"),'MITRE ATT&amp;CK Mappings'!$I662))),ISNUMBER(SEARCH(IF(B$3&lt;&gt;"",B$3,"NA"),'MITRE ATT&amp;CK Mappings'!$J662))), 'MITRE ATT&amp;CK Mappings'!$B662,"")</f>
        <v/>
      </c>
      <c r="C666" s="26" t="str">
        <f>IF(OR(OR(OR(OR(OR(ISNUMBER(SEARCH(IF(C$1&lt;&gt;"",C$1,"NA"),'MITRE ATT&amp;CK Mappings'!$E662)),ISNUMBER(SEARCH(IF(C$1&lt;&gt;"",C$1,"NA"),'MITRE ATT&amp;CK Mappings'!$F662))),ISNUMBER(SEARCH(IF(C$2&lt;&gt;"",C$2,"NA"),'MITRE ATT&amp;CK Mappings'!$G662))),ISNUMBER(SEARCH(IF(C$2&lt;&gt;"",C$2,"NA"),'MITRE ATT&amp;CK Mappings'!$H662))),ISNUMBER(SEARCH(IF(C$3&lt;&gt;"",C$3,"NA"),'MITRE ATT&amp;CK Mappings'!$I662))),ISNUMBER(SEARCH(IF(C$3&lt;&gt;"",C$3,"NA"),'MITRE ATT&amp;CK Mappings'!$J662))), 'MITRE ATT&amp;CK Mappings'!$B662,"")</f>
        <v/>
      </c>
      <c r="D666" s="26" t="str">
        <f>IF(OR(OR(OR(OR(OR(ISNUMBER(SEARCH(IF(D$1&lt;&gt;"",D$1,"NA"),'MITRE ATT&amp;CK Mappings'!$E662)),ISNUMBER(SEARCH(IF(D$1&lt;&gt;"",D$1,"NA"),'MITRE ATT&amp;CK Mappings'!$F662))),ISNUMBER(SEARCH(IF(D$2&lt;&gt;"",D$2,"NA"),'MITRE ATT&amp;CK Mappings'!$G662))),ISNUMBER(SEARCH(IF(D$2&lt;&gt;"",D$2,"NA"),'MITRE ATT&amp;CK Mappings'!$H662))),ISNUMBER(SEARCH(IF(D$3&lt;&gt;"",D$3,"NA"),'MITRE ATT&amp;CK Mappings'!$I662))),ISNUMBER(SEARCH(IF(D$3&lt;&gt;"",D$3,"NA"),'MITRE ATT&amp;CK Mappings'!$J662))), 'MITRE ATT&amp;CK Mappings'!$B662,"")</f>
        <v/>
      </c>
      <c r="E666" s="26" t="str">
        <f>IF(OR(OR(OR(OR(OR(ISNUMBER(SEARCH(IF(E$1&lt;&gt;"",E$1,"NA"),'MITRE ATT&amp;CK Mappings'!$E662)),ISNUMBER(SEARCH(IF(E$1&lt;&gt;"",E$1,"NA"),'MITRE ATT&amp;CK Mappings'!$F662))),ISNUMBER(SEARCH(IF(E$2&lt;&gt;"",E$2,"NA"),'MITRE ATT&amp;CK Mappings'!$G662))),ISNUMBER(SEARCH(IF(E$2&lt;&gt;"",E$2,"NA"),'MITRE ATT&amp;CK Mappings'!$H662))),ISNUMBER(SEARCH(IF(E$3&lt;&gt;"",E$3,"NA"),'MITRE ATT&amp;CK Mappings'!$I662))),ISNUMBER(SEARCH(IF(E$3&lt;&gt;"",E$3,"NA"),'MITRE ATT&amp;CK Mappings'!$J662))), 'MITRE ATT&amp;CK Mappings'!$B662,"")</f>
        <v/>
      </c>
      <c r="F666" s="26" t="str">
        <f>IF(OR(OR(OR(OR(OR(ISNUMBER(SEARCH(IF(F$1&lt;&gt;"",F$1,"NA"),'MITRE ATT&amp;CK Mappings'!$E662)),ISNUMBER(SEARCH(IF(F$1&lt;&gt;"",F$1,"NA"),'MITRE ATT&amp;CK Mappings'!$F662))),ISNUMBER(SEARCH(IF(F$2&lt;&gt;"",F$2,"NA"),'MITRE ATT&amp;CK Mappings'!$G662))),ISNUMBER(SEARCH(IF(F$2&lt;&gt;"",F$2,"NA"),'MITRE ATT&amp;CK Mappings'!$H662))),ISNUMBER(SEARCH(IF(F$3&lt;&gt;"",F$3,"NA"),'MITRE ATT&amp;CK Mappings'!$I662))),ISNUMBER(SEARCH(IF(F$3&lt;&gt;"",F$3,"NA"),'MITRE ATT&amp;CK Mappings'!$J662))), 'MITRE ATT&amp;CK Mappings'!$B662,"")</f>
        <v/>
      </c>
      <c r="G666" s="26" t="str">
        <f>IF(OR(OR(OR(OR(OR(ISNUMBER(SEARCH(IF(G$1&lt;&gt;"",G$1,"NA"),'MITRE ATT&amp;CK Mappings'!$E662)),ISNUMBER(SEARCH(IF(G$1&lt;&gt;"",G$1,"NA"),'MITRE ATT&amp;CK Mappings'!$F662))),ISNUMBER(SEARCH(IF(G$2&lt;&gt;"",G$2,"NA"),'MITRE ATT&amp;CK Mappings'!$G662))),ISNUMBER(SEARCH(IF(G$2&lt;&gt;"",G$2,"NA"),'MITRE ATT&amp;CK Mappings'!$H662))),ISNUMBER(SEARCH(IF(G$3&lt;&gt;"",G$3,"NA"),'MITRE ATT&amp;CK Mappings'!$I662))),ISNUMBER(SEARCH(IF(G$3&lt;&gt;"",G$3,"NA"),'MITRE ATT&amp;CK Mappings'!$J662))), 'MITRE ATT&amp;CK Mappings'!$B662,"")</f>
        <v/>
      </c>
      <c r="H666" s="26" t="str">
        <f>IF(OR(OR(OR(OR(OR(ISNUMBER(SEARCH(IF(H$1&lt;&gt;"",H$1,"NA"),'MITRE ATT&amp;CK Mappings'!$E662)),ISNUMBER(SEARCH(IF(H$1&lt;&gt;"",H$1,"NA"),'MITRE ATT&amp;CK Mappings'!$F662))),ISNUMBER(SEARCH(IF(H$2&lt;&gt;"",H$2,"NA"),'MITRE ATT&amp;CK Mappings'!$G662))),ISNUMBER(SEARCH(IF(H$2&lt;&gt;"",H$2,"NA"),'MITRE ATT&amp;CK Mappings'!$H662))),ISNUMBER(SEARCH(IF(H$3&lt;&gt;"",H$3,"NA"),'MITRE ATT&amp;CK Mappings'!$I662))),ISNUMBER(SEARCH(IF(H$3&lt;&gt;"",H$3,"NA"),'MITRE ATT&amp;CK Mappings'!$J662))), 'MITRE ATT&amp;CK Mappings'!$B662,"")</f>
        <v/>
      </c>
      <c r="I666" s="26" t="str">
        <f>IF(OR(OR(OR(OR(OR(ISNUMBER(SEARCH(IF(I$1&lt;&gt;"",I$1,"NA"),'MITRE ATT&amp;CK Mappings'!$E662)),ISNUMBER(SEARCH(IF(I$1&lt;&gt;"",I$1,"NA"),'MITRE ATT&amp;CK Mappings'!$F662))),ISNUMBER(SEARCH(IF(I$2&lt;&gt;"",I$2,"NA"),'MITRE ATT&amp;CK Mappings'!$G662))),ISNUMBER(SEARCH(IF(I$2&lt;&gt;"",I$2,"NA"),'MITRE ATT&amp;CK Mappings'!$H662))),ISNUMBER(SEARCH(IF(I$3&lt;&gt;"",I$3,"NA"),'MITRE ATT&amp;CK Mappings'!$I662))),ISNUMBER(SEARCH(IF(I$3&lt;&gt;"",I$3,"NA"),'MITRE ATT&amp;CK Mappings'!$J662))), 'MITRE ATT&amp;CK Mappings'!$B662,"")</f>
        <v/>
      </c>
      <c r="J666" s="26" t="str">
        <f>IF(OR(OR(OR(OR(OR(ISNUMBER(SEARCH(IF(J$1&lt;&gt;"",J$1,"NA"),'MITRE ATT&amp;CK Mappings'!$E662)),ISNUMBER(SEARCH(IF(J$1&lt;&gt;"",J$1,"NA"),'MITRE ATT&amp;CK Mappings'!$F662))),ISNUMBER(SEARCH(IF(J$2&lt;&gt;"",J$2,"NA"),'MITRE ATT&amp;CK Mappings'!$G662))),ISNUMBER(SEARCH(IF(J$2&lt;&gt;"",J$2,"NA"),'MITRE ATT&amp;CK Mappings'!$H662))),ISNUMBER(SEARCH(IF(J$3&lt;&gt;"",J$3,"NA"),'MITRE ATT&amp;CK Mappings'!$I662))),ISNUMBER(SEARCH(IF(J$3&lt;&gt;"",J$3,"NA"),'MITRE ATT&amp;CK Mappings'!$J662))), 'MITRE ATT&amp;CK Mappings'!$B662,"")</f>
        <v/>
      </c>
      <c r="K666" s="26" t="str">
        <f>IF(OR(OR(OR(OR(OR(ISNUMBER(SEARCH(IF(K$1&lt;&gt;"",K$1,"NA"),'MITRE ATT&amp;CK Mappings'!$E662)),ISNUMBER(SEARCH(IF(K$1&lt;&gt;"",K$1,"NA"),'MITRE ATT&amp;CK Mappings'!$F662))),ISNUMBER(SEARCH(IF(K$2&lt;&gt;"",K$2,"NA"),'MITRE ATT&amp;CK Mappings'!$G662))),ISNUMBER(SEARCH(IF(K$2&lt;&gt;"",K$2,"NA"),'MITRE ATT&amp;CK Mappings'!$H662))),ISNUMBER(SEARCH(IF(K$3&lt;&gt;"",K$3,"NA"),'MITRE ATT&amp;CK Mappings'!$I662))),ISNUMBER(SEARCH(IF(K$3&lt;&gt;"",K$3,"NA"),'MITRE ATT&amp;CK Mappings'!$J662))), 'MITRE ATT&amp;CK Mappings'!$B662,"")</f>
        <v/>
      </c>
      <c r="L666" s="26" t="str">
        <f>IF('MITRE ATT&amp;CK Mappings'!D662 &lt;&gt;"",'MITRE ATT&amp;CK Mappings'!D662,"" )</f>
        <v/>
      </c>
    </row>
    <row r="667" spans="1:12" x14ac:dyDescent="0.25">
      <c r="A667" s="27" t="str">
        <f>IF(COUNTIF(B667:K667,"="&amp;'MITRE ATT&amp;CK Mappings'!B663)&gt;0,'MITRE ATT&amp;CK Mappings'!B663,"")</f>
        <v/>
      </c>
      <c r="B667" s="27" t="str">
        <f>IF(OR(OR(OR(OR(OR(ISNUMBER(SEARCH(IF(B$1&lt;&gt;"",B$1,"NA"),'MITRE ATT&amp;CK Mappings'!$E663)),ISNUMBER(SEARCH(IF(B$1&lt;&gt;"",B$1,"NA"),'MITRE ATT&amp;CK Mappings'!$F663))),ISNUMBER(SEARCH(IF(B$2&lt;&gt;"",B$2,"NA"),'MITRE ATT&amp;CK Mappings'!$G663))),ISNUMBER(SEARCH(IF(B$2&lt;&gt;"",B$2,"NA"),'MITRE ATT&amp;CK Mappings'!$H663))),ISNUMBER(SEARCH(IF(B$3&lt;&gt;"",B$3,"NA"),'MITRE ATT&amp;CK Mappings'!$I663))),ISNUMBER(SEARCH(IF(B$3&lt;&gt;"",B$3,"NA"),'MITRE ATT&amp;CK Mappings'!$J663))), 'MITRE ATT&amp;CK Mappings'!$B663,"")</f>
        <v/>
      </c>
      <c r="C667" s="27" t="str">
        <f>IF(OR(OR(OR(OR(OR(ISNUMBER(SEARCH(IF(C$1&lt;&gt;"",C$1,"NA"),'MITRE ATT&amp;CK Mappings'!$E663)),ISNUMBER(SEARCH(IF(C$1&lt;&gt;"",C$1,"NA"),'MITRE ATT&amp;CK Mappings'!$F663))),ISNUMBER(SEARCH(IF(C$2&lt;&gt;"",C$2,"NA"),'MITRE ATT&amp;CK Mappings'!$G663))),ISNUMBER(SEARCH(IF(C$2&lt;&gt;"",C$2,"NA"),'MITRE ATT&amp;CK Mappings'!$H663))),ISNUMBER(SEARCH(IF(C$3&lt;&gt;"",C$3,"NA"),'MITRE ATT&amp;CK Mappings'!$I663))),ISNUMBER(SEARCH(IF(C$3&lt;&gt;"",C$3,"NA"),'MITRE ATT&amp;CK Mappings'!$J663))), 'MITRE ATT&amp;CK Mappings'!$B663,"")</f>
        <v/>
      </c>
      <c r="D667" s="27" t="str">
        <f>IF(OR(OR(OR(OR(OR(ISNUMBER(SEARCH(IF(D$1&lt;&gt;"",D$1,"NA"),'MITRE ATT&amp;CK Mappings'!$E663)),ISNUMBER(SEARCH(IF(D$1&lt;&gt;"",D$1,"NA"),'MITRE ATT&amp;CK Mappings'!$F663))),ISNUMBER(SEARCH(IF(D$2&lt;&gt;"",D$2,"NA"),'MITRE ATT&amp;CK Mappings'!$G663))),ISNUMBER(SEARCH(IF(D$2&lt;&gt;"",D$2,"NA"),'MITRE ATT&amp;CK Mappings'!$H663))),ISNUMBER(SEARCH(IF(D$3&lt;&gt;"",D$3,"NA"),'MITRE ATT&amp;CK Mappings'!$I663))),ISNUMBER(SEARCH(IF(D$3&lt;&gt;"",D$3,"NA"),'MITRE ATT&amp;CK Mappings'!$J663))), 'MITRE ATT&amp;CK Mappings'!$B663,"")</f>
        <v/>
      </c>
      <c r="E667" s="27" t="str">
        <f>IF(OR(OR(OR(OR(OR(ISNUMBER(SEARCH(IF(E$1&lt;&gt;"",E$1,"NA"),'MITRE ATT&amp;CK Mappings'!$E663)),ISNUMBER(SEARCH(IF(E$1&lt;&gt;"",E$1,"NA"),'MITRE ATT&amp;CK Mappings'!$F663))),ISNUMBER(SEARCH(IF(E$2&lt;&gt;"",E$2,"NA"),'MITRE ATT&amp;CK Mappings'!$G663))),ISNUMBER(SEARCH(IF(E$2&lt;&gt;"",E$2,"NA"),'MITRE ATT&amp;CK Mappings'!$H663))),ISNUMBER(SEARCH(IF(E$3&lt;&gt;"",E$3,"NA"),'MITRE ATT&amp;CK Mappings'!$I663))),ISNUMBER(SEARCH(IF(E$3&lt;&gt;"",E$3,"NA"),'MITRE ATT&amp;CK Mappings'!$J663))), 'MITRE ATT&amp;CK Mappings'!$B663,"")</f>
        <v/>
      </c>
      <c r="F667" s="27" t="str">
        <f>IF(OR(OR(OR(OR(OR(ISNUMBER(SEARCH(IF(F$1&lt;&gt;"",F$1,"NA"),'MITRE ATT&amp;CK Mappings'!$E663)),ISNUMBER(SEARCH(IF(F$1&lt;&gt;"",F$1,"NA"),'MITRE ATT&amp;CK Mappings'!$F663))),ISNUMBER(SEARCH(IF(F$2&lt;&gt;"",F$2,"NA"),'MITRE ATT&amp;CK Mappings'!$G663))),ISNUMBER(SEARCH(IF(F$2&lt;&gt;"",F$2,"NA"),'MITRE ATT&amp;CK Mappings'!$H663))),ISNUMBER(SEARCH(IF(F$3&lt;&gt;"",F$3,"NA"),'MITRE ATT&amp;CK Mappings'!$I663))),ISNUMBER(SEARCH(IF(F$3&lt;&gt;"",F$3,"NA"),'MITRE ATT&amp;CK Mappings'!$J663))), 'MITRE ATT&amp;CK Mappings'!$B663,"")</f>
        <v/>
      </c>
      <c r="G667" s="27" t="str">
        <f>IF(OR(OR(OR(OR(OR(ISNUMBER(SEARCH(IF(G$1&lt;&gt;"",G$1,"NA"),'MITRE ATT&amp;CK Mappings'!$E663)),ISNUMBER(SEARCH(IF(G$1&lt;&gt;"",G$1,"NA"),'MITRE ATT&amp;CK Mappings'!$F663))),ISNUMBER(SEARCH(IF(G$2&lt;&gt;"",G$2,"NA"),'MITRE ATT&amp;CK Mappings'!$G663))),ISNUMBER(SEARCH(IF(G$2&lt;&gt;"",G$2,"NA"),'MITRE ATT&amp;CK Mappings'!$H663))),ISNUMBER(SEARCH(IF(G$3&lt;&gt;"",G$3,"NA"),'MITRE ATT&amp;CK Mappings'!$I663))),ISNUMBER(SEARCH(IF(G$3&lt;&gt;"",G$3,"NA"),'MITRE ATT&amp;CK Mappings'!$J663))), 'MITRE ATT&amp;CK Mappings'!$B663,"")</f>
        <v/>
      </c>
      <c r="H667" s="27" t="str">
        <f>IF(OR(OR(OR(OR(OR(ISNUMBER(SEARCH(IF(H$1&lt;&gt;"",H$1,"NA"),'MITRE ATT&amp;CK Mappings'!$E663)),ISNUMBER(SEARCH(IF(H$1&lt;&gt;"",H$1,"NA"),'MITRE ATT&amp;CK Mappings'!$F663))),ISNUMBER(SEARCH(IF(H$2&lt;&gt;"",H$2,"NA"),'MITRE ATT&amp;CK Mappings'!$G663))),ISNUMBER(SEARCH(IF(H$2&lt;&gt;"",H$2,"NA"),'MITRE ATT&amp;CK Mappings'!$H663))),ISNUMBER(SEARCH(IF(H$3&lt;&gt;"",H$3,"NA"),'MITRE ATT&amp;CK Mappings'!$I663))),ISNUMBER(SEARCH(IF(H$3&lt;&gt;"",H$3,"NA"),'MITRE ATT&amp;CK Mappings'!$J663))), 'MITRE ATT&amp;CK Mappings'!$B663,"")</f>
        <v/>
      </c>
      <c r="I667" s="27" t="str">
        <f>IF(OR(OR(OR(OR(OR(ISNUMBER(SEARCH(IF(I$1&lt;&gt;"",I$1,"NA"),'MITRE ATT&amp;CK Mappings'!$E663)),ISNUMBER(SEARCH(IF(I$1&lt;&gt;"",I$1,"NA"),'MITRE ATT&amp;CK Mappings'!$F663))),ISNUMBER(SEARCH(IF(I$2&lt;&gt;"",I$2,"NA"),'MITRE ATT&amp;CK Mappings'!$G663))),ISNUMBER(SEARCH(IF(I$2&lt;&gt;"",I$2,"NA"),'MITRE ATT&amp;CK Mappings'!$H663))),ISNUMBER(SEARCH(IF(I$3&lt;&gt;"",I$3,"NA"),'MITRE ATT&amp;CK Mappings'!$I663))),ISNUMBER(SEARCH(IF(I$3&lt;&gt;"",I$3,"NA"),'MITRE ATT&amp;CK Mappings'!$J663))), 'MITRE ATT&amp;CK Mappings'!$B663,"")</f>
        <v/>
      </c>
      <c r="J667" s="27" t="str">
        <f>IF(OR(OR(OR(OR(OR(ISNUMBER(SEARCH(IF(J$1&lt;&gt;"",J$1,"NA"),'MITRE ATT&amp;CK Mappings'!$E663)),ISNUMBER(SEARCH(IF(J$1&lt;&gt;"",J$1,"NA"),'MITRE ATT&amp;CK Mappings'!$F663))),ISNUMBER(SEARCH(IF(J$2&lt;&gt;"",J$2,"NA"),'MITRE ATT&amp;CK Mappings'!$G663))),ISNUMBER(SEARCH(IF(J$2&lt;&gt;"",J$2,"NA"),'MITRE ATT&amp;CK Mappings'!$H663))),ISNUMBER(SEARCH(IF(J$3&lt;&gt;"",J$3,"NA"),'MITRE ATT&amp;CK Mappings'!$I663))),ISNUMBER(SEARCH(IF(J$3&lt;&gt;"",J$3,"NA"),'MITRE ATT&amp;CK Mappings'!$J663))), 'MITRE ATT&amp;CK Mappings'!$B663,"")</f>
        <v/>
      </c>
      <c r="K667" s="27" t="str">
        <f>IF(OR(OR(OR(OR(OR(ISNUMBER(SEARCH(IF(K$1&lt;&gt;"",K$1,"NA"),'MITRE ATT&amp;CK Mappings'!$E663)),ISNUMBER(SEARCH(IF(K$1&lt;&gt;"",K$1,"NA"),'MITRE ATT&amp;CK Mappings'!$F663))),ISNUMBER(SEARCH(IF(K$2&lt;&gt;"",K$2,"NA"),'MITRE ATT&amp;CK Mappings'!$G663))),ISNUMBER(SEARCH(IF(K$2&lt;&gt;"",K$2,"NA"),'MITRE ATT&amp;CK Mappings'!$H663))),ISNUMBER(SEARCH(IF(K$3&lt;&gt;"",K$3,"NA"),'MITRE ATT&amp;CK Mappings'!$I663))),ISNUMBER(SEARCH(IF(K$3&lt;&gt;"",K$3,"NA"),'MITRE ATT&amp;CK Mappings'!$J663))), 'MITRE ATT&amp;CK Mappings'!$B663,"")</f>
        <v/>
      </c>
      <c r="L667" s="27" t="str">
        <f>IF('MITRE ATT&amp;CK Mappings'!D663 &lt;&gt;"",'MITRE ATT&amp;CK Mappings'!D663,"" )</f>
        <v/>
      </c>
    </row>
    <row r="668" spans="1:12" x14ac:dyDescent="0.25">
      <c r="A668" s="26" t="str">
        <f>IF(COUNTIF(B668:K668,"="&amp;'MITRE ATT&amp;CK Mappings'!B664)&gt;0,'MITRE ATT&amp;CK Mappings'!B664,"")</f>
        <v/>
      </c>
      <c r="B668" s="26" t="str">
        <f>IF(OR(OR(OR(OR(OR(ISNUMBER(SEARCH(IF(B$1&lt;&gt;"",B$1,"NA"),'MITRE ATT&amp;CK Mappings'!$E664)),ISNUMBER(SEARCH(IF(B$1&lt;&gt;"",B$1,"NA"),'MITRE ATT&amp;CK Mappings'!$F664))),ISNUMBER(SEARCH(IF(B$2&lt;&gt;"",B$2,"NA"),'MITRE ATT&amp;CK Mappings'!$G664))),ISNUMBER(SEARCH(IF(B$2&lt;&gt;"",B$2,"NA"),'MITRE ATT&amp;CK Mappings'!$H664))),ISNUMBER(SEARCH(IF(B$3&lt;&gt;"",B$3,"NA"),'MITRE ATT&amp;CK Mappings'!$I664))),ISNUMBER(SEARCH(IF(B$3&lt;&gt;"",B$3,"NA"),'MITRE ATT&amp;CK Mappings'!$J664))), 'MITRE ATT&amp;CK Mappings'!$B664,"")</f>
        <v/>
      </c>
      <c r="C668" s="26" t="str">
        <f>IF(OR(OR(OR(OR(OR(ISNUMBER(SEARCH(IF(C$1&lt;&gt;"",C$1,"NA"),'MITRE ATT&amp;CK Mappings'!$E664)),ISNUMBER(SEARCH(IF(C$1&lt;&gt;"",C$1,"NA"),'MITRE ATT&amp;CK Mappings'!$F664))),ISNUMBER(SEARCH(IF(C$2&lt;&gt;"",C$2,"NA"),'MITRE ATT&amp;CK Mappings'!$G664))),ISNUMBER(SEARCH(IF(C$2&lt;&gt;"",C$2,"NA"),'MITRE ATT&amp;CK Mappings'!$H664))),ISNUMBER(SEARCH(IF(C$3&lt;&gt;"",C$3,"NA"),'MITRE ATT&amp;CK Mappings'!$I664))),ISNUMBER(SEARCH(IF(C$3&lt;&gt;"",C$3,"NA"),'MITRE ATT&amp;CK Mappings'!$J664))), 'MITRE ATT&amp;CK Mappings'!$B664,"")</f>
        <v/>
      </c>
      <c r="D668" s="26" t="str">
        <f>IF(OR(OR(OR(OR(OR(ISNUMBER(SEARCH(IF(D$1&lt;&gt;"",D$1,"NA"),'MITRE ATT&amp;CK Mappings'!$E664)),ISNUMBER(SEARCH(IF(D$1&lt;&gt;"",D$1,"NA"),'MITRE ATT&amp;CK Mappings'!$F664))),ISNUMBER(SEARCH(IF(D$2&lt;&gt;"",D$2,"NA"),'MITRE ATT&amp;CK Mappings'!$G664))),ISNUMBER(SEARCH(IF(D$2&lt;&gt;"",D$2,"NA"),'MITRE ATT&amp;CK Mappings'!$H664))),ISNUMBER(SEARCH(IF(D$3&lt;&gt;"",D$3,"NA"),'MITRE ATT&amp;CK Mappings'!$I664))),ISNUMBER(SEARCH(IF(D$3&lt;&gt;"",D$3,"NA"),'MITRE ATT&amp;CK Mappings'!$J664))), 'MITRE ATT&amp;CK Mappings'!$B664,"")</f>
        <v/>
      </c>
      <c r="E668" s="26" t="str">
        <f>IF(OR(OR(OR(OR(OR(ISNUMBER(SEARCH(IF(E$1&lt;&gt;"",E$1,"NA"),'MITRE ATT&amp;CK Mappings'!$E664)),ISNUMBER(SEARCH(IF(E$1&lt;&gt;"",E$1,"NA"),'MITRE ATT&amp;CK Mappings'!$F664))),ISNUMBER(SEARCH(IF(E$2&lt;&gt;"",E$2,"NA"),'MITRE ATT&amp;CK Mappings'!$G664))),ISNUMBER(SEARCH(IF(E$2&lt;&gt;"",E$2,"NA"),'MITRE ATT&amp;CK Mappings'!$H664))),ISNUMBER(SEARCH(IF(E$3&lt;&gt;"",E$3,"NA"),'MITRE ATT&amp;CK Mappings'!$I664))),ISNUMBER(SEARCH(IF(E$3&lt;&gt;"",E$3,"NA"),'MITRE ATT&amp;CK Mappings'!$J664))), 'MITRE ATT&amp;CK Mappings'!$B664,"")</f>
        <v/>
      </c>
      <c r="F668" s="26" t="str">
        <f>IF(OR(OR(OR(OR(OR(ISNUMBER(SEARCH(IF(F$1&lt;&gt;"",F$1,"NA"),'MITRE ATT&amp;CK Mappings'!$E664)),ISNUMBER(SEARCH(IF(F$1&lt;&gt;"",F$1,"NA"),'MITRE ATT&amp;CK Mappings'!$F664))),ISNUMBER(SEARCH(IF(F$2&lt;&gt;"",F$2,"NA"),'MITRE ATT&amp;CK Mappings'!$G664))),ISNUMBER(SEARCH(IF(F$2&lt;&gt;"",F$2,"NA"),'MITRE ATT&amp;CK Mappings'!$H664))),ISNUMBER(SEARCH(IF(F$3&lt;&gt;"",F$3,"NA"),'MITRE ATT&amp;CK Mappings'!$I664))),ISNUMBER(SEARCH(IF(F$3&lt;&gt;"",F$3,"NA"),'MITRE ATT&amp;CK Mappings'!$J664))), 'MITRE ATT&amp;CK Mappings'!$B664,"")</f>
        <v/>
      </c>
      <c r="G668" s="26" t="str">
        <f>IF(OR(OR(OR(OR(OR(ISNUMBER(SEARCH(IF(G$1&lt;&gt;"",G$1,"NA"),'MITRE ATT&amp;CK Mappings'!$E664)),ISNUMBER(SEARCH(IF(G$1&lt;&gt;"",G$1,"NA"),'MITRE ATT&amp;CK Mappings'!$F664))),ISNUMBER(SEARCH(IF(G$2&lt;&gt;"",G$2,"NA"),'MITRE ATT&amp;CK Mappings'!$G664))),ISNUMBER(SEARCH(IF(G$2&lt;&gt;"",G$2,"NA"),'MITRE ATT&amp;CK Mappings'!$H664))),ISNUMBER(SEARCH(IF(G$3&lt;&gt;"",G$3,"NA"),'MITRE ATT&amp;CK Mappings'!$I664))),ISNUMBER(SEARCH(IF(G$3&lt;&gt;"",G$3,"NA"),'MITRE ATT&amp;CK Mappings'!$J664))), 'MITRE ATT&amp;CK Mappings'!$B664,"")</f>
        <v/>
      </c>
      <c r="H668" s="26" t="str">
        <f>IF(OR(OR(OR(OR(OR(ISNUMBER(SEARCH(IF(H$1&lt;&gt;"",H$1,"NA"),'MITRE ATT&amp;CK Mappings'!$E664)),ISNUMBER(SEARCH(IF(H$1&lt;&gt;"",H$1,"NA"),'MITRE ATT&amp;CK Mappings'!$F664))),ISNUMBER(SEARCH(IF(H$2&lt;&gt;"",H$2,"NA"),'MITRE ATT&amp;CK Mappings'!$G664))),ISNUMBER(SEARCH(IF(H$2&lt;&gt;"",H$2,"NA"),'MITRE ATT&amp;CK Mappings'!$H664))),ISNUMBER(SEARCH(IF(H$3&lt;&gt;"",H$3,"NA"),'MITRE ATT&amp;CK Mappings'!$I664))),ISNUMBER(SEARCH(IF(H$3&lt;&gt;"",H$3,"NA"),'MITRE ATT&amp;CK Mappings'!$J664))), 'MITRE ATT&amp;CK Mappings'!$B664,"")</f>
        <v/>
      </c>
      <c r="I668" s="26" t="str">
        <f>IF(OR(OR(OR(OR(OR(ISNUMBER(SEARCH(IF(I$1&lt;&gt;"",I$1,"NA"),'MITRE ATT&amp;CK Mappings'!$E664)),ISNUMBER(SEARCH(IF(I$1&lt;&gt;"",I$1,"NA"),'MITRE ATT&amp;CK Mappings'!$F664))),ISNUMBER(SEARCH(IF(I$2&lt;&gt;"",I$2,"NA"),'MITRE ATT&amp;CK Mappings'!$G664))),ISNUMBER(SEARCH(IF(I$2&lt;&gt;"",I$2,"NA"),'MITRE ATT&amp;CK Mappings'!$H664))),ISNUMBER(SEARCH(IF(I$3&lt;&gt;"",I$3,"NA"),'MITRE ATT&amp;CK Mappings'!$I664))),ISNUMBER(SEARCH(IF(I$3&lt;&gt;"",I$3,"NA"),'MITRE ATT&amp;CK Mappings'!$J664))), 'MITRE ATT&amp;CK Mappings'!$B664,"")</f>
        <v/>
      </c>
      <c r="J668" s="26" t="str">
        <f>IF(OR(OR(OR(OR(OR(ISNUMBER(SEARCH(IF(J$1&lt;&gt;"",J$1,"NA"),'MITRE ATT&amp;CK Mappings'!$E664)),ISNUMBER(SEARCH(IF(J$1&lt;&gt;"",J$1,"NA"),'MITRE ATT&amp;CK Mappings'!$F664))),ISNUMBER(SEARCH(IF(J$2&lt;&gt;"",J$2,"NA"),'MITRE ATT&amp;CK Mappings'!$G664))),ISNUMBER(SEARCH(IF(J$2&lt;&gt;"",J$2,"NA"),'MITRE ATT&amp;CK Mappings'!$H664))),ISNUMBER(SEARCH(IF(J$3&lt;&gt;"",J$3,"NA"),'MITRE ATT&amp;CK Mappings'!$I664))),ISNUMBER(SEARCH(IF(J$3&lt;&gt;"",J$3,"NA"),'MITRE ATT&amp;CK Mappings'!$J664))), 'MITRE ATT&amp;CK Mappings'!$B664,"")</f>
        <v/>
      </c>
      <c r="K668" s="26" t="str">
        <f>IF(OR(OR(OR(OR(OR(ISNUMBER(SEARCH(IF(K$1&lt;&gt;"",K$1,"NA"),'MITRE ATT&amp;CK Mappings'!$E664)),ISNUMBER(SEARCH(IF(K$1&lt;&gt;"",K$1,"NA"),'MITRE ATT&amp;CK Mappings'!$F664))),ISNUMBER(SEARCH(IF(K$2&lt;&gt;"",K$2,"NA"),'MITRE ATT&amp;CK Mappings'!$G664))),ISNUMBER(SEARCH(IF(K$2&lt;&gt;"",K$2,"NA"),'MITRE ATT&amp;CK Mappings'!$H664))),ISNUMBER(SEARCH(IF(K$3&lt;&gt;"",K$3,"NA"),'MITRE ATT&amp;CK Mappings'!$I664))),ISNUMBER(SEARCH(IF(K$3&lt;&gt;"",K$3,"NA"),'MITRE ATT&amp;CK Mappings'!$J664))), 'MITRE ATT&amp;CK Mappings'!$B664,"")</f>
        <v/>
      </c>
      <c r="L668" s="26" t="str">
        <f>IF('MITRE ATT&amp;CK Mappings'!D664 &lt;&gt;"",'MITRE ATT&amp;CK Mappings'!D664,"" )</f>
        <v/>
      </c>
    </row>
    <row r="669" spans="1:12" x14ac:dyDescent="0.25">
      <c r="A669" s="27" t="str">
        <f>IF(COUNTIF(B669:K669,"="&amp;'MITRE ATT&amp;CK Mappings'!B665)&gt;0,'MITRE ATT&amp;CK Mappings'!B665,"")</f>
        <v/>
      </c>
      <c r="B669" s="27" t="str">
        <f>IF(OR(OR(OR(OR(OR(ISNUMBER(SEARCH(IF(B$1&lt;&gt;"",B$1,"NA"),'MITRE ATT&amp;CK Mappings'!$E665)),ISNUMBER(SEARCH(IF(B$1&lt;&gt;"",B$1,"NA"),'MITRE ATT&amp;CK Mappings'!$F665))),ISNUMBER(SEARCH(IF(B$2&lt;&gt;"",B$2,"NA"),'MITRE ATT&amp;CK Mappings'!$G665))),ISNUMBER(SEARCH(IF(B$2&lt;&gt;"",B$2,"NA"),'MITRE ATT&amp;CK Mappings'!$H665))),ISNUMBER(SEARCH(IF(B$3&lt;&gt;"",B$3,"NA"),'MITRE ATT&amp;CK Mappings'!$I665))),ISNUMBER(SEARCH(IF(B$3&lt;&gt;"",B$3,"NA"),'MITRE ATT&amp;CK Mappings'!$J665))), 'MITRE ATT&amp;CK Mappings'!$B665,"")</f>
        <v/>
      </c>
      <c r="C669" s="27" t="str">
        <f>IF(OR(OR(OR(OR(OR(ISNUMBER(SEARCH(IF(C$1&lt;&gt;"",C$1,"NA"),'MITRE ATT&amp;CK Mappings'!$E665)),ISNUMBER(SEARCH(IF(C$1&lt;&gt;"",C$1,"NA"),'MITRE ATT&amp;CK Mappings'!$F665))),ISNUMBER(SEARCH(IF(C$2&lt;&gt;"",C$2,"NA"),'MITRE ATT&amp;CK Mappings'!$G665))),ISNUMBER(SEARCH(IF(C$2&lt;&gt;"",C$2,"NA"),'MITRE ATT&amp;CK Mappings'!$H665))),ISNUMBER(SEARCH(IF(C$3&lt;&gt;"",C$3,"NA"),'MITRE ATT&amp;CK Mappings'!$I665))),ISNUMBER(SEARCH(IF(C$3&lt;&gt;"",C$3,"NA"),'MITRE ATT&amp;CK Mappings'!$J665))), 'MITRE ATT&amp;CK Mappings'!$B665,"")</f>
        <v/>
      </c>
      <c r="D669" s="27" t="str">
        <f>IF(OR(OR(OR(OR(OR(ISNUMBER(SEARCH(IF(D$1&lt;&gt;"",D$1,"NA"),'MITRE ATT&amp;CK Mappings'!$E665)),ISNUMBER(SEARCH(IF(D$1&lt;&gt;"",D$1,"NA"),'MITRE ATT&amp;CK Mappings'!$F665))),ISNUMBER(SEARCH(IF(D$2&lt;&gt;"",D$2,"NA"),'MITRE ATT&amp;CK Mappings'!$G665))),ISNUMBER(SEARCH(IF(D$2&lt;&gt;"",D$2,"NA"),'MITRE ATT&amp;CK Mappings'!$H665))),ISNUMBER(SEARCH(IF(D$3&lt;&gt;"",D$3,"NA"),'MITRE ATT&amp;CK Mappings'!$I665))),ISNUMBER(SEARCH(IF(D$3&lt;&gt;"",D$3,"NA"),'MITRE ATT&amp;CK Mappings'!$J665))), 'MITRE ATT&amp;CK Mappings'!$B665,"")</f>
        <v/>
      </c>
      <c r="E669" s="27" t="str">
        <f>IF(OR(OR(OR(OR(OR(ISNUMBER(SEARCH(IF(E$1&lt;&gt;"",E$1,"NA"),'MITRE ATT&amp;CK Mappings'!$E665)),ISNUMBER(SEARCH(IF(E$1&lt;&gt;"",E$1,"NA"),'MITRE ATT&amp;CK Mappings'!$F665))),ISNUMBER(SEARCH(IF(E$2&lt;&gt;"",E$2,"NA"),'MITRE ATT&amp;CK Mappings'!$G665))),ISNUMBER(SEARCH(IF(E$2&lt;&gt;"",E$2,"NA"),'MITRE ATT&amp;CK Mappings'!$H665))),ISNUMBER(SEARCH(IF(E$3&lt;&gt;"",E$3,"NA"),'MITRE ATT&amp;CK Mappings'!$I665))),ISNUMBER(SEARCH(IF(E$3&lt;&gt;"",E$3,"NA"),'MITRE ATT&amp;CK Mappings'!$J665))), 'MITRE ATT&amp;CK Mappings'!$B665,"")</f>
        <v/>
      </c>
      <c r="F669" s="27" t="str">
        <f>IF(OR(OR(OR(OR(OR(ISNUMBER(SEARCH(IF(F$1&lt;&gt;"",F$1,"NA"),'MITRE ATT&amp;CK Mappings'!$E665)),ISNUMBER(SEARCH(IF(F$1&lt;&gt;"",F$1,"NA"),'MITRE ATT&amp;CK Mappings'!$F665))),ISNUMBER(SEARCH(IF(F$2&lt;&gt;"",F$2,"NA"),'MITRE ATT&amp;CK Mappings'!$G665))),ISNUMBER(SEARCH(IF(F$2&lt;&gt;"",F$2,"NA"),'MITRE ATT&amp;CK Mappings'!$H665))),ISNUMBER(SEARCH(IF(F$3&lt;&gt;"",F$3,"NA"),'MITRE ATT&amp;CK Mappings'!$I665))),ISNUMBER(SEARCH(IF(F$3&lt;&gt;"",F$3,"NA"),'MITRE ATT&amp;CK Mappings'!$J665))), 'MITRE ATT&amp;CK Mappings'!$B665,"")</f>
        <v/>
      </c>
      <c r="G669" s="27" t="str">
        <f>IF(OR(OR(OR(OR(OR(ISNUMBER(SEARCH(IF(G$1&lt;&gt;"",G$1,"NA"),'MITRE ATT&amp;CK Mappings'!$E665)),ISNUMBER(SEARCH(IF(G$1&lt;&gt;"",G$1,"NA"),'MITRE ATT&amp;CK Mappings'!$F665))),ISNUMBER(SEARCH(IF(G$2&lt;&gt;"",G$2,"NA"),'MITRE ATT&amp;CK Mappings'!$G665))),ISNUMBER(SEARCH(IF(G$2&lt;&gt;"",G$2,"NA"),'MITRE ATT&amp;CK Mappings'!$H665))),ISNUMBER(SEARCH(IF(G$3&lt;&gt;"",G$3,"NA"),'MITRE ATT&amp;CK Mappings'!$I665))),ISNUMBER(SEARCH(IF(G$3&lt;&gt;"",G$3,"NA"),'MITRE ATT&amp;CK Mappings'!$J665))), 'MITRE ATT&amp;CK Mappings'!$B665,"")</f>
        <v/>
      </c>
      <c r="H669" s="27" t="str">
        <f>IF(OR(OR(OR(OR(OR(ISNUMBER(SEARCH(IF(H$1&lt;&gt;"",H$1,"NA"),'MITRE ATT&amp;CK Mappings'!$E665)),ISNUMBER(SEARCH(IF(H$1&lt;&gt;"",H$1,"NA"),'MITRE ATT&amp;CK Mappings'!$F665))),ISNUMBER(SEARCH(IF(H$2&lt;&gt;"",H$2,"NA"),'MITRE ATT&amp;CK Mappings'!$G665))),ISNUMBER(SEARCH(IF(H$2&lt;&gt;"",H$2,"NA"),'MITRE ATT&amp;CK Mappings'!$H665))),ISNUMBER(SEARCH(IF(H$3&lt;&gt;"",H$3,"NA"),'MITRE ATT&amp;CK Mappings'!$I665))),ISNUMBER(SEARCH(IF(H$3&lt;&gt;"",H$3,"NA"),'MITRE ATT&amp;CK Mappings'!$J665))), 'MITRE ATT&amp;CK Mappings'!$B665,"")</f>
        <v/>
      </c>
      <c r="I669" s="27" t="str">
        <f>IF(OR(OR(OR(OR(OR(ISNUMBER(SEARCH(IF(I$1&lt;&gt;"",I$1,"NA"),'MITRE ATT&amp;CK Mappings'!$E665)),ISNUMBER(SEARCH(IF(I$1&lt;&gt;"",I$1,"NA"),'MITRE ATT&amp;CK Mappings'!$F665))),ISNUMBER(SEARCH(IF(I$2&lt;&gt;"",I$2,"NA"),'MITRE ATT&amp;CK Mappings'!$G665))),ISNUMBER(SEARCH(IF(I$2&lt;&gt;"",I$2,"NA"),'MITRE ATT&amp;CK Mappings'!$H665))),ISNUMBER(SEARCH(IF(I$3&lt;&gt;"",I$3,"NA"),'MITRE ATT&amp;CK Mappings'!$I665))),ISNUMBER(SEARCH(IF(I$3&lt;&gt;"",I$3,"NA"),'MITRE ATT&amp;CK Mappings'!$J665))), 'MITRE ATT&amp;CK Mappings'!$B665,"")</f>
        <v/>
      </c>
      <c r="J669" s="27" t="str">
        <f>IF(OR(OR(OR(OR(OR(ISNUMBER(SEARCH(IF(J$1&lt;&gt;"",J$1,"NA"),'MITRE ATT&amp;CK Mappings'!$E665)),ISNUMBER(SEARCH(IF(J$1&lt;&gt;"",J$1,"NA"),'MITRE ATT&amp;CK Mappings'!$F665))),ISNUMBER(SEARCH(IF(J$2&lt;&gt;"",J$2,"NA"),'MITRE ATT&amp;CK Mappings'!$G665))),ISNUMBER(SEARCH(IF(J$2&lt;&gt;"",J$2,"NA"),'MITRE ATT&amp;CK Mappings'!$H665))),ISNUMBER(SEARCH(IF(J$3&lt;&gt;"",J$3,"NA"),'MITRE ATT&amp;CK Mappings'!$I665))),ISNUMBER(SEARCH(IF(J$3&lt;&gt;"",J$3,"NA"),'MITRE ATT&amp;CK Mappings'!$J665))), 'MITRE ATT&amp;CK Mappings'!$B665,"")</f>
        <v/>
      </c>
      <c r="K669" s="27" t="str">
        <f>IF(OR(OR(OR(OR(OR(ISNUMBER(SEARCH(IF(K$1&lt;&gt;"",K$1,"NA"),'MITRE ATT&amp;CK Mappings'!$E665)),ISNUMBER(SEARCH(IF(K$1&lt;&gt;"",K$1,"NA"),'MITRE ATT&amp;CK Mappings'!$F665))),ISNUMBER(SEARCH(IF(K$2&lt;&gt;"",K$2,"NA"),'MITRE ATT&amp;CK Mappings'!$G665))),ISNUMBER(SEARCH(IF(K$2&lt;&gt;"",K$2,"NA"),'MITRE ATT&amp;CK Mappings'!$H665))),ISNUMBER(SEARCH(IF(K$3&lt;&gt;"",K$3,"NA"),'MITRE ATT&amp;CK Mappings'!$I665))),ISNUMBER(SEARCH(IF(K$3&lt;&gt;"",K$3,"NA"),'MITRE ATT&amp;CK Mappings'!$J665))), 'MITRE ATT&amp;CK Mappings'!$B665,"")</f>
        <v/>
      </c>
      <c r="L669" s="27" t="str">
        <f>IF('MITRE ATT&amp;CK Mappings'!D665 &lt;&gt;"",'MITRE ATT&amp;CK Mappings'!D665,"" )</f>
        <v/>
      </c>
    </row>
    <row r="670" spans="1:12" x14ac:dyDescent="0.25">
      <c r="A670" s="26" t="str">
        <f>IF(COUNTIF(B670:K670,"="&amp;'MITRE ATT&amp;CK Mappings'!B666)&gt;0,'MITRE ATT&amp;CK Mappings'!B666,"")</f>
        <v/>
      </c>
      <c r="B670" s="26" t="str">
        <f>IF(OR(OR(OR(OR(OR(ISNUMBER(SEARCH(IF(B$1&lt;&gt;"",B$1,"NA"),'MITRE ATT&amp;CK Mappings'!$E666)),ISNUMBER(SEARCH(IF(B$1&lt;&gt;"",B$1,"NA"),'MITRE ATT&amp;CK Mappings'!$F666))),ISNUMBER(SEARCH(IF(B$2&lt;&gt;"",B$2,"NA"),'MITRE ATT&amp;CK Mappings'!$G666))),ISNUMBER(SEARCH(IF(B$2&lt;&gt;"",B$2,"NA"),'MITRE ATT&amp;CK Mappings'!$H666))),ISNUMBER(SEARCH(IF(B$3&lt;&gt;"",B$3,"NA"),'MITRE ATT&amp;CK Mappings'!$I666))),ISNUMBER(SEARCH(IF(B$3&lt;&gt;"",B$3,"NA"),'MITRE ATT&amp;CK Mappings'!$J666))), 'MITRE ATT&amp;CK Mappings'!$B666,"")</f>
        <v/>
      </c>
      <c r="C670" s="26" t="str">
        <f>IF(OR(OR(OR(OR(OR(ISNUMBER(SEARCH(IF(C$1&lt;&gt;"",C$1,"NA"),'MITRE ATT&amp;CK Mappings'!$E666)),ISNUMBER(SEARCH(IF(C$1&lt;&gt;"",C$1,"NA"),'MITRE ATT&amp;CK Mappings'!$F666))),ISNUMBER(SEARCH(IF(C$2&lt;&gt;"",C$2,"NA"),'MITRE ATT&amp;CK Mappings'!$G666))),ISNUMBER(SEARCH(IF(C$2&lt;&gt;"",C$2,"NA"),'MITRE ATT&amp;CK Mappings'!$H666))),ISNUMBER(SEARCH(IF(C$3&lt;&gt;"",C$3,"NA"),'MITRE ATT&amp;CK Mappings'!$I666))),ISNUMBER(SEARCH(IF(C$3&lt;&gt;"",C$3,"NA"),'MITRE ATT&amp;CK Mappings'!$J666))), 'MITRE ATT&amp;CK Mappings'!$B666,"")</f>
        <v/>
      </c>
      <c r="D670" s="26" t="str">
        <f>IF(OR(OR(OR(OR(OR(ISNUMBER(SEARCH(IF(D$1&lt;&gt;"",D$1,"NA"),'MITRE ATT&amp;CK Mappings'!$E666)),ISNUMBER(SEARCH(IF(D$1&lt;&gt;"",D$1,"NA"),'MITRE ATT&amp;CK Mappings'!$F666))),ISNUMBER(SEARCH(IF(D$2&lt;&gt;"",D$2,"NA"),'MITRE ATT&amp;CK Mappings'!$G666))),ISNUMBER(SEARCH(IF(D$2&lt;&gt;"",D$2,"NA"),'MITRE ATT&amp;CK Mappings'!$H666))),ISNUMBER(SEARCH(IF(D$3&lt;&gt;"",D$3,"NA"),'MITRE ATT&amp;CK Mappings'!$I666))),ISNUMBER(SEARCH(IF(D$3&lt;&gt;"",D$3,"NA"),'MITRE ATT&amp;CK Mappings'!$J666))), 'MITRE ATT&amp;CK Mappings'!$B666,"")</f>
        <v/>
      </c>
      <c r="E670" s="26" t="str">
        <f>IF(OR(OR(OR(OR(OR(ISNUMBER(SEARCH(IF(E$1&lt;&gt;"",E$1,"NA"),'MITRE ATT&amp;CK Mappings'!$E666)),ISNUMBER(SEARCH(IF(E$1&lt;&gt;"",E$1,"NA"),'MITRE ATT&amp;CK Mappings'!$F666))),ISNUMBER(SEARCH(IF(E$2&lt;&gt;"",E$2,"NA"),'MITRE ATT&amp;CK Mappings'!$G666))),ISNUMBER(SEARCH(IF(E$2&lt;&gt;"",E$2,"NA"),'MITRE ATT&amp;CK Mappings'!$H666))),ISNUMBER(SEARCH(IF(E$3&lt;&gt;"",E$3,"NA"),'MITRE ATT&amp;CK Mappings'!$I666))),ISNUMBER(SEARCH(IF(E$3&lt;&gt;"",E$3,"NA"),'MITRE ATT&amp;CK Mappings'!$J666))), 'MITRE ATT&amp;CK Mappings'!$B666,"")</f>
        <v/>
      </c>
      <c r="F670" s="26" t="str">
        <f>IF(OR(OR(OR(OR(OR(ISNUMBER(SEARCH(IF(F$1&lt;&gt;"",F$1,"NA"),'MITRE ATT&amp;CK Mappings'!$E666)),ISNUMBER(SEARCH(IF(F$1&lt;&gt;"",F$1,"NA"),'MITRE ATT&amp;CK Mappings'!$F666))),ISNUMBER(SEARCH(IF(F$2&lt;&gt;"",F$2,"NA"),'MITRE ATT&amp;CK Mappings'!$G666))),ISNUMBER(SEARCH(IF(F$2&lt;&gt;"",F$2,"NA"),'MITRE ATT&amp;CK Mappings'!$H666))),ISNUMBER(SEARCH(IF(F$3&lt;&gt;"",F$3,"NA"),'MITRE ATT&amp;CK Mappings'!$I666))),ISNUMBER(SEARCH(IF(F$3&lt;&gt;"",F$3,"NA"),'MITRE ATT&amp;CK Mappings'!$J666))), 'MITRE ATT&amp;CK Mappings'!$B666,"")</f>
        <v/>
      </c>
      <c r="G670" s="26" t="str">
        <f>IF(OR(OR(OR(OR(OR(ISNUMBER(SEARCH(IF(G$1&lt;&gt;"",G$1,"NA"),'MITRE ATT&amp;CK Mappings'!$E666)),ISNUMBER(SEARCH(IF(G$1&lt;&gt;"",G$1,"NA"),'MITRE ATT&amp;CK Mappings'!$F666))),ISNUMBER(SEARCH(IF(G$2&lt;&gt;"",G$2,"NA"),'MITRE ATT&amp;CK Mappings'!$G666))),ISNUMBER(SEARCH(IF(G$2&lt;&gt;"",G$2,"NA"),'MITRE ATT&amp;CK Mappings'!$H666))),ISNUMBER(SEARCH(IF(G$3&lt;&gt;"",G$3,"NA"),'MITRE ATT&amp;CK Mappings'!$I666))),ISNUMBER(SEARCH(IF(G$3&lt;&gt;"",G$3,"NA"),'MITRE ATT&amp;CK Mappings'!$J666))), 'MITRE ATT&amp;CK Mappings'!$B666,"")</f>
        <v/>
      </c>
      <c r="H670" s="26" t="str">
        <f>IF(OR(OR(OR(OR(OR(ISNUMBER(SEARCH(IF(H$1&lt;&gt;"",H$1,"NA"),'MITRE ATT&amp;CK Mappings'!$E666)),ISNUMBER(SEARCH(IF(H$1&lt;&gt;"",H$1,"NA"),'MITRE ATT&amp;CK Mappings'!$F666))),ISNUMBER(SEARCH(IF(H$2&lt;&gt;"",H$2,"NA"),'MITRE ATT&amp;CK Mappings'!$G666))),ISNUMBER(SEARCH(IF(H$2&lt;&gt;"",H$2,"NA"),'MITRE ATT&amp;CK Mappings'!$H666))),ISNUMBER(SEARCH(IF(H$3&lt;&gt;"",H$3,"NA"),'MITRE ATT&amp;CK Mappings'!$I666))),ISNUMBER(SEARCH(IF(H$3&lt;&gt;"",H$3,"NA"),'MITRE ATT&amp;CK Mappings'!$J666))), 'MITRE ATT&amp;CK Mappings'!$B666,"")</f>
        <v/>
      </c>
      <c r="I670" s="26" t="str">
        <f>IF(OR(OR(OR(OR(OR(ISNUMBER(SEARCH(IF(I$1&lt;&gt;"",I$1,"NA"),'MITRE ATT&amp;CK Mappings'!$E666)),ISNUMBER(SEARCH(IF(I$1&lt;&gt;"",I$1,"NA"),'MITRE ATT&amp;CK Mappings'!$F666))),ISNUMBER(SEARCH(IF(I$2&lt;&gt;"",I$2,"NA"),'MITRE ATT&amp;CK Mappings'!$G666))),ISNUMBER(SEARCH(IF(I$2&lt;&gt;"",I$2,"NA"),'MITRE ATT&amp;CK Mappings'!$H666))),ISNUMBER(SEARCH(IF(I$3&lt;&gt;"",I$3,"NA"),'MITRE ATT&amp;CK Mappings'!$I666))),ISNUMBER(SEARCH(IF(I$3&lt;&gt;"",I$3,"NA"),'MITRE ATT&amp;CK Mappings'!$J666))), 'MITRE ATT&amp;CK Mappings'!$B666,"")</f>
        <v/>
      </c>
      <c r="J670" s="26" t="str">
        <f>IF(OR(OR(OR(OR(OR(ISNUMBER(SEARCH(IF(J$1&lt;&gt;"",J$1,"NA"),'MITRE ATT&amp;CK Mappings'!$E666)),ISNUMBER(SEARCH(IF(J$1&lt;&gt;"",J$1,"NA"),'MITRE ATT&amp;CK Mappings'!$F666))),ISNUMBER(SEARCH(IF(J$2&lt;&gt;"",J$2,"NA"),'MITRE ATT&amp;CK Mappings'!$G666))),ISNUMBER(SEARCH(IF(J$2&lt;&gt;"",J$2,"NA"),'MITRE ATT&amp;CK Mappings'!$H666))),ISNUMBER(SEARCH(IF(J$3&lt;&gt;"",J$3,"NA"),'MITRE ATT&amp;CK Mappings'!$I666))),ISNUMBER(SEARCH(IF(J$3&lt;&gt;"",J$3,"NA"),'MITRE ATT&amp;CK Mappings'!$J666))), 'MITRE ATT&amp;CK Mappings'!$B666,"")</f>
        <v/>
      </c>
      <c r="K670" s="26" t="str">
        <f>IF(OR(OR(OR(OR(OR(ISNUMBER(SEARCH(IF(K$1&lt;&gt;"",K$1,"NA"),'MITRE ATT&amp;CK Mappings'!$E666)),ISNUMBER(SEARCH(IF(K$1&lt;&gt;"",K$1,"NA"),'MITRE ATT&amp;CK Mappings'!$F666))),ISNUMBER(SEARCH(IF(K$2&lt;&gt;"",K$2,"NA"),'MITRE ATT&amp;CK Mappings'!$G666))),ISNUMBER(SEARCH(IF(K$2&lt;&gt;"",K$2,"NA"),'MITRE ATT&amp;CK Mappings'!$H666))),ISNUMBER(SEARCH(IF(K$3&lt;&gt;"",K$3,"NA"),'MITRE ATT&amp;CK Mappings'!$I666))),ISNUMBER(SEARCH(IF(K$3&lt;&gt;"",K$3,"NA"),'MITRE ATT&amp;CK Mappings'!$J666))), 'MITRE ATT&amp;CK Mappings'!$B666,"")</f>
        <v/>
      </c>
      <c r="L670" s="26" t="str">
        <f>IF('MITRE ATT&amp;CK Mappings'!D666 &lt;&gt;"",'MITRE ATT&amp;CK Mappings'!D666,"" )</f>
        <v/>
      </c>
    </row>
    <row r="671" spans="1:12" x14ac:dyDescent="0.25">
      <c r="A671" s="27" t="str">
        <f>IF(COUNTIF(B671:K671,"="&amp;'MITRE ATT&amp;CK Mappings'!B667)&gt;0,'MITRE ATT&amp;CK Mappings'!B667,"")</f>
        <v/>
      </c>
      <c r="B671" s="27" t="str">
        <f>IF(OR(OR(OR(OR(OR(ISNUMBER(SEARCH(IF(B$1&lt;&gt;"",B$1,"NA"),'MITRE ATT&amp;CK Mappings'!$E667)),ISNUMBER(SEARCH(IF(B$1&lt;&gt;"",B$1,"NA"),'MITRE ATT&amp;CK Mappings'!$F667))),ISNUMBER(SEARCH(IF(B$2&lt;&gt;"",B$2,"NA"),'MITRE ATT&amp;CK Mappings'!$G667))),ISNUMBER(SEARCH(IF(B$2&lt;&gt;"",B$2,"NA"),'MITRE ATT&amp;CK Mappings'!$H667))),ISNUMBER(SEARCH(IF(B$3&lt;&gt;"",B$3,"NA"),'MITRE ATT&amp;CK Mappings'!$I667))),ISNUMBER(SEARCH(IF(B$3&lt;&gt;"",B$3,"NA"),'MITRE ATT&amp;CK Mappings'!$J667))), 'MITRE ATT&amp;CK Mappings'!$B667,"")</f>
        <v/>
      </c>
      <c r="C671" s="27" t="str">
        <f>IF(OR(OR(OR(OR(OR(ISNUMBER(SEARCH(IF(C$1&lt;&gt;"",C$1,"NA"),'MITRE ATT&amp;CK Mappings'!$E667)),ISNUMBER(SEARCH(IF(C$1&lt;&gt;"",C$1,"NA"),'MITRE ATT&amp;CK Mappings'!$F667))),ISNUMBER(SEARCH(IF(C$2&lt;&gt;"",C$2,"NA"),'MITRE ATT&amp;CK Mappings'!$G667))),ISNUMBER(SEARCH(IF(C$2&lt;&gt;"",C$2,"NA"),'MITRE ATT&amp;CK Mappings'!$H667))),ISNUMBER(SEARCH(IF(C$3&lt;&gt;"",C$3,"NA"),'MITRE ATT&amp;CK Mappings'!$I667))),ISNUMBER(SEARCH(IF(C$3&lt;&gt;"",C$3,"NA"),'MITRE ATT&amp;CK Mappings'!$J667))), 'MITRE ATT&amp;CK Mappings'!$B667,"")</f>
        <v/>
      </c>
      <c r="D671" s="27" t="str">
        <f>IF(OR(OR(OR(OR(OR(ISNUMBER(SEARCH(IF(D$1&lt;&gt;"",D$1,"NA"),'MITRE ATT&amp;CK Mappings'!$E667)),ISNUMBER(SEARCH(IF(D$1&lt;&gt;"",D$1,"NA"),'MITRE ATT&amp;CK Mappings'!$F667))),ISNUMBER(SEARCH(IF(D$2&lt;&gt;"",D$2,"NA"),'MITRE ATT&amp;CK Mappings'!$G667))),ISNUMBER(SEARCH(IF(D$2&lt;&gt;"",D$2,"NA"),'MITRE ATT&amp;CK Mappings'!$H667))),ISNUMBER(SEARCH(IF(D$3&lt;&gt;"",D$3,"NA"),'MITRE ATT&amp;CK Mappings'!$I667))),ISNUMBER(SEARCH(IF(D$3&lt;&gt;"",D$3,"NA"),'MITRE ATT&amp;CK Mappings'!$J667))), 'MITRE ATT&amp;CK Mappings'!$B667,"")</f>
        <v/>
      </c>
      <c r="E671" s="27" t="str">
        <f>IF(OR(OR(OR(OR(OR(ISNUMBER(SEARCH(IF(E$1&lt;&gt;"",E$1,"NA"),'MITRE ATT&amp;CK Mappings'!$E667)),ISNUMBER(SEARCH(IF(E$1&lt;&gt;"",E$1,"NA"),'MITRE ATT&amp;CK Mappings'!$F667))),ISNUMBER(SEARCH(IF(E$2&lt;&gt;"",E$2,"NA"),'MITRE ATT&amp;CK Mappings'!$G667))),ISNUMBER(SEARCH(IF(E$2&lt;&gt;"",E$2,"NA"),'MITRE ATT&amp;CK Mappings'!$H667))),ISNUMBER(SEARCH(IF(E$3&lt;&gt;"",E$3,"NA"),'MITRE ATT&amp;CK Mappings'!$I667))),ISNUMBER(SEARCH(IF(E$3&lt;&gt;"",E$3,"NA"),'MITRE ATT&amp;CK Mappings'!$J667))), 'MITRE ATT&amp;CK Mappings'!$B667,"")</f>
        <v/>
      </c>
      <c r="F671" s="27" t="str">
        <f>IF(OR(OR(OR(OR(OR(ISNUMBER(SEARCH(IF(F$1&lt;&gt;"",F$1,"NA"),'MITRE ATT&amp;CK Mappings'!$E667)),ISNUMBER(SEARCH(IF(F$1&lt;&gt;"",F$1,"NA"),'MITRE ATT&amp;CK Mappings'!$F667))),ISNUMBER(SEARCH(IF(F$2&lt;&gt;"",F$2,"NA"),'MITRE ATT&amp;CK Mappings'!$G667))),ISNUMBER(SEARCH(IF(F$2&lt;&gt;"",F$2,"NA"),'MITRE ATT&amp;CK Mappings'!$H667))),ISNUMBER(SEARCH(IF(F$3&lt;&gt;"",F$3,"NA"),'MITRE ATT&amp;CK Mappings'!$I667))),ISNUMBER(SEARCH(IF(F$3&lt;&gt;"",F$3,"NA"),'MITRE ATT&amp;CK Mappings'!$J667))), 'MITRE ATT&amp;CK Mappings'!$B667,"")</f>
        <v/>
      </c>
      <c r="G671" s="27" t="str">
        <f>IF(OR(OR(OR(OR(OR(ISNUMBER(SEARCH(IF(G$1&lt;&gt;"",G$1,"NA"),'MITRE ATT&amp;CK Mappings'!$E667)),ISNUMBER(SEARCH(IF(G$1&lt;&gt;"",G$1,"NA"),'MITRE ATT&amp;CK Mappings'!$F667))),ISNUMBER(SEARCH(IF(G$2&lt;&gt;"",G$2,"NA"),'MITRE ATT&amp;CK Mappings'!$G667))),ISNUMBER(SEARCH(IF(G$2&lt;&gt;"",G$2,"NA"),'MITRE ATT&amp;CK Mappings'!$H667))),ISNUMBER(SEARCH(IF(G$3&lt;&gt;"",G$3,"NA"),'MITRE ATT&amp;CK Mappings'!$I667))),ISNUMBER(SEARCH(IF(G$3&lt;&gt;"",G$3,"NA"),'MITRE ATT&amp;CK Mappings'!$J667))), 'MITRE ATT&amp;CK Mappings'!$B667,"")</f>
        <v/>
      </c>
      <c r="H671" s="27" t="str">
        <f>IF(OR(OR(OR(OR(OR(ISNUMBER(SEARCH(IF(H$1&lt;&gt;"",H$1,"NA"),'MITRE ATT&amp;CK Mappings'!$E667)),ISNUMBER(SEARCH(IF(H$1&lt;&gt;"",H$1,"NA"),'MITRE ATT&amp;CK Mappings'!$F667))),ISNUMBER(SEARCH(IF(H$2&lt;&gt;"",H$2,"NA"),'MITRE ATT&amp;CK Mappings'!$G667))),ISNUMBER(SEARCH(IF(H$2&lt;&gt;"",H$2,"NA"),'MITRE ATT&amp;CK Mappings'!$H667))),ISNUMBER(SEARCH(IF(H$3&lt;&gt;"",H$3,"NA"),'MITRE ATT&amp;CK Mappings'!$I667))),ISNUMBER(SEARCH(IF(H$3&lt;&gt;"",H$3,"NA"),'MITRE ATT&amp;CK Mappings'!$J667))), 'MITRE ATT&amp;CK Mappings'!$B667,"")</f>
        <v/>
      </c>
      <c r="I671" s="27" t="str">
        <f>IF(OR(OR(OR(OR(OR(ISNUMBER(SEARCH(IF(I$1&lt;&gt;"",I$1,"NA"),'MITRE ATT&amp;CK Mappings'!$E667)),ISNUMBER(SEARCH(IF(I$1&lt;&gt;"",I$1,"NA"),'MITRE ATT&amp;CK Mappings'!$F667))),ISNUMBER(SEARCH(IF(I$2&lt;&gt;"",I$2,"NA"),'MITRE ATT&amp;CK Mappings'!$G667))),ISNUMBER(SEARCH(IF(I$2&lt;&gt;"",I$2,"NA"),'MITRE ATT&amp;CK Mappings'!$H667))),ISNUMBER(SEARCH(IF(I$3&lt;&gt;"",I$3,"NA"),'MITRE ATT&amp;CK Mappings'!$I667))),ISNUMBER(SEARCH(IF(I$3&lt;&gt;"",I$3,"NA"),'MITRE ATT&amp;CK Mappings'!$J667))), 'MITRE ATT&amp;CK Mappings'!$B667,"")</f>
        <v/>
      </c>
      <c r="J671" s="27" t="str">
        <f>IF(OR(OR(OR(OR(OR(ISNUMBER(SEARCH(IF(J$1&lt;&gt;"",J$1,"NA"),'MITRE ATT&amp;CK Mappings'!$E667)),ISNUMBER(SEARCH(IF(J$1&lt;&gt;"",J$1,"NA"),'MITRE ATT&amp;CK Mappings'!$F667))),ISNUMBER(SEARCH(IF(J$2&lt;&gt;"",J$2,"NA"),'MITRE ATT&amp;CK Mappings'!$G667))),ISNUMBER(SEARCH(IF(J$2&lt;&gt;"",J$2,"NA"),'MITRE ATT&amp;CK Mappings'!$H667))),ISNUMBER(SEARCH(IF(J$3&lt;&gt;"",J$3,"NA"),'MITRE ATT&amp;CK Mappings'!$I667))),ISNUMBER(SEARCH(IF(J$3&lt;&gt;"",J$3,"NA"),'MITRE ATT&amp;CK Mappings'!$J667))), 'MITRE ATT&amp;CK Mappings'!$B667,"")</f>
        <v/>
      </c>
      <c r="K671" s="27" t="str">
        <f>IF(OR(OR(OR(OR(OR(ISNUMBER(SEARCH(IF(K$1&lt;&gt;"",K$1,"NA"),'MITRE ATT&amp;CK Mappings'!$E667)),ISNUMBER(SEARCH(IF(K$1&lt;&gt;"",K$1,"NA"),'MITRE ATT&amp;CK Mappings'!$F667))),ISNUMBER(SEARCH(IF(K$2&lt;&gt;"",K$2,"NA"),'MITRE ATT&amp;CK Mappings'!$G667))),ISNUMBER(SEARCH(IF(K$2&lt;&gt;"",K$2,"NA"),'MITRE ATT&amp;CK Mappings'!$H667))),ISNUMBER(SEARCH(IF(K$3&lt;&gt;"",K$3,"NA"),'MITRE ATT&amp;CK Mappings'!$I667))),ISNUMBER(SEARCH(IF(K$3&lt;&gt;"",K$3,"NA"),'MITRE ATT&amp;CK Mappings'!$J667))), 'MITRE ATT&amp;CK Mappings'!$B667,"")</f>
        <v/>
      </c>
      <c r="L671" s="27" t="str">
        <f>IF('MITRE ATT&amp;CK Mappings'!D667 &lt;&gt;"",'MITRE ATT&amp;CK Mappings'!D667,"" )</f>
        <v/>
      </c>
    </row>
    <row r="672" spans="1:12" x14ac:dyDescent="0.25">
      <c r="A672" s="26" t="str">
        <f>IF(COUNTIF(B672:K672,"="&amp;'MITRE ATT&amp;CK Mappings'!B668)&gt;0,'MITRE ATT&amp;CK Mappings'!B668,"")</f>
        <v/>
      </c>
      <c r="B672" s="26" t="str">
        <f>IF(OR(OR(OR(OR(OR(ISNUMBER(SEARCH(IF(B$1&lt;&gt;"",B$1,"NA"),'MITRE ATT&amp;CK Mappings'!$E668)),ISNUMBER(SEARCH(IF(B$1&lt;&gt;"",B$1,"NA"),'MITRE ATT&amp;CK Mappings'!$F668))),ISNUMBER(SEARCH(IF(B$2&lt;&gt;"",B$2,"NA"),'MITRE ATT&amp;CK Mappings'!$G668))),ISNUMBER(SEARCH(IF(B$2&lt;&gt;"",B$2,"NA"),'MITRE ATT&amp;CK Mappings'!$H668))),ISNUMBER(SEARCH(IF(B$3&lt;&gt;"",B$3,"NA"),'MITRE ATT&amp;CK Mappings'!$I668))),ISNUMBER(SEARCH(IF(B$3&lt;&gt;"",B$3,"NA"),'MITRE ATT&amp;CK Mappings'!$J668))), 'MITRE ATT&amp;CK Mappings'!$B668,"")</f>
        <v/>
      </c>
      <c r="C672" s="26" t="str">
        <f>IF(OR(OR(OR(OR(OR(ISNUMBER(SEARCH(IF(C$1&lt;&gt;"",C$1,"NA"),'MITRE ATT&amp;CK Mappings'!$E668)),ISNUMBER(SEARCH(IF(C$1&lt;&gt;"",C$1,"NA"),'MITRE ATT&amp;CK Mappings'!$F668))),ISNUMBER(SEARCH(IF(C$2&lt;&gt;"",C$2,"NA"),'MITRE ATT&amp;CK Mappings'!$G668))),ISNUMBER(SEARCH(IF(C$2&lt;&gt;"",C$2,"NA"),'MITRE ATT&amp;CK Mappings'!$H668))),ISNUMBER(SEARCH(IF(C$3&lt;&gt;"",C$3,"NA"),'MITRE ATT&amp;CK Mappings'!$I668))),ISNUMBER(SEARCH(IF(C$3&lt;&gt;"",C$3,"NA"),'MITRE ATT&amp;CK Mappings'!$J668))), 'MITRE ATT&amp;CK Mappings'!$B668,"")</f>
        <v/>
      </c>
      <c r="D672" s="26" t="str">
        <f>IF(OR(OR(OR(OR(OR(ISNUMBER(SEARCH(IF(D$1&lt;&gt;"",D$1,"NA"),'MITRE ATT&amp;CK Mappings'!$E668)),ISNUMBER(SEARCH(IF(D$1&lt;&gt;"",D$1,"NA"),'MITRE ATT&amp;CK Mappings'!$F668))),ISNUMBER(SEARCH(IF(D$2&lt;&gt;"",D$2,"NA"),'MITRE ATT&amp;CK Mappings'!$G668))),ISNUMBER(SEARCH(IF(D$2&lt;&gt;"",D$2,"NA"),'MITRE ATT&amp;CK Mappings'!$H668))),ISNUMBER(SEARCH(IF(D$3&lt;&gt;"",D$3,"NA"),'MITRE ATT&amp;CK Mappings'!$I668))),ISNUMBER(SEARCH(IF(D$3&lt;&gt;"",D$3,"NA"),'MITRE ATT&amp;CK Mappings'!$J668))), 'MITRE ATT&amp;CK Mappings'!$B668,"")</f>
        <v/>
      </c>
      <c r="E672" s="26" t="str">
        <f>IF(OR(OR(OR(OR(OR(ISNUMBER(SEARCH(IF(E$1&lt;&gt;"",E$1,"NA"),'MITRE ATT&amp;CK Mappings'!$E668)),ISNUMBER(SEARCH(IF(E$1&lt;&gt;"",E$1,"NA"),'MITRE ATT&amp;CK Mappings'!$F668))),ISNUMBER(SEARCH(IF(E$2&lt;&gt;"",E$2,"NA"),'MITRE ATT&amp;CK Mappings'!$G668))),ISNUMBER(SEARCH(IF(E$2&lt;&gt;"",E$2,"NA"),'MITRE ATT&amp;CK Mappings'!$H668))),ISNUMBER(SEARCH(IF(E$3&lt;&gt;"",E$3,"NA"),'MITRE ATT&amp;CK Mappings'!$I668))),ISNUMBER(SEARCH(IF(E$3&lt;&gt;"",E$3,"NA"),'MITRE ATT&amp;CK Mappings'!$J668))), 'MITRE ATT&amp;CK Mappings'!$B668,"")</f>
        <v/>
      </c>
      <c r="F672" s="26" t="str">
        <f>IF(OR(OR(OR(OR(OR(ISNUMBER(SEARCH(IF(F$1&lt;&gt;"",F$1,"NA"),'MITRE ATT&amp;CK Mappings'!$E668)),ISNUMBER(SEARCH(IF(F$1&lt;&gt;"",F$1,"NA"),'MITRE ATT&amp;CK Mappings'!$F668))),ISNUMBER(SEARCH(IF(F$2&lt;&gt;"",F$2,"NA"),'MITRE ATT&amp;CK Mappings'!$G668))),ISNUMBER(SEARCH(IF(F$2&lt;&gt;"",F$2,"NA"),'MITRE ATT&amp;CK Mappings'!$H668))),ISNUMBER(SEARCH(IF(F$3&lt;&gt;"",F$3,"NA"),'MITRE ATT&amp;CK Mappings'!$I668))),ISNUMBER(SEARCH(IF(F$3&lt;&gt;"",F$3,"NA"),'MITRE ATT&amp;CK Mappings'!$J668))), 'MITRE ATT&amp;CK Mappings'!$B668,"")</f>
        <v/>
      </c>
      <c r="G672" s="26" t="str">
        <f>IF(OR(OR(OR(OR(OR(ISNUMBER(SEARCH(IF(G$1&lt;&gt;"",G$1,"NA"),'MITRE ATT&amp;CK Mappings'!$E668)),ISNUMBER(SEARCH(IF(G$1&lt;&gt;"",G$1,"NA"),'MITRE ATT&amp;CK Mappings'!$F668))),ISNUMBER(SEARCH(IF(G$2&lt;&gt;"",G$2,"NA"),'MITRE ATT&amp;CK Mappings'!$G668))),ISNUMBER(SEARCH(IF(G$2&lt;&gt;"",G$2,"NA"),'MITRE ATT&amp;CK Mappings'!$H668))),ISNUMBER(SEARCH(IF(G$3&lt;&gt;"",G$3,"NA"),'MITRE ATT&amp;CK Mappings'!$I668))),ISNUMBER(SEARCH(IF(G$3&lt;&gt;"",G$3,"NA"),'MITRE ATT&amp;CK Mappings'!$J668))), 'MITRE ATT&amp;CK Mappings'!$B668,"")</f>
        <v/>
      </c>
      <c r="H672" s="26" t="str">
        <f>IF(OR(OR(OR(OR(OR(ISNUMBER(SEARCH(IF(H$1&lt;&gt;"",H$1,"NA"),'MITRE ATT&amp;CK Mappings'!$E668)),ISNUMBER(SEARCH(IF(H$1&lt;&gt;"",H$1,"NA"),'MITRE ATT&amp;CK Mappings'!$F668))),ISNUMBER(SEARCH(IF(H$2&lt;&gt;"",H$2,"NA"),'MITRE ATT&amp;CK Mappings'!$G668))),ISNUMBER(SEARCH(IF(H$2&lt;&gt;"",H$2,"NA"),'MITRE ATT&amp;CK Mappings'!$H668))),ISNUMBER(SEARCH(IF(H$3&lt;&gt;"",H$3,"NA"),'MITRE ATT&amp;CK Mappings'!$I668))),ISNUMBER(SEARCH(IF(H$3&lt;&gt;"",H$3,"NA"),'MITRE ATT&amp;CK Mappings'!$J668))), 'MITRE ATT&amp;CK Mappings'!$B668,"")</f>
        <v/>
      </c>
      <c r="I672" s="26" t="str">
        <f>IF(OR(OR(OR(OR(OR(ISNUMBER(SEARCH(IF(I$1&lt;&gt;"",I$1,"NA"),'MITRE ATT&amp;CK Mappings'!$E668)),ISNUMBER(SEARCH(IF(I$1&lt;&gt;"",I$1,"NA"),'MITRE ATT&amp;CK Mappings'!$F668))),ISNUMBER(SEARCH(IF(I$2&lt;&gt;"",I$2,"NA"),'MITRE ATT&amp;CK Mappings'!$G668))),ISNUMBER(SEARCH(IF(I$2&lt;&gt;"",I$2,"NA"),'MITRE ATT&amp;CK Mappings'!$H668))),ISNUMBER(SEARCH(IF(I$3&lt;&gt;"",I$3,"NA"),'MITRE ATT&amp;CK Mappings'!$I668))),ISNUMBER(SEARCH(IF(I$3&lt;&gt;"",I$3,"NA"),'MITRE ATT&amp;CK Mappings'!$J668))), 'MITRE ATT&amp;CK Mappings'!$B668,"")</f>
        <v/>
      </c>
      <c r="J672" s="26" t="str">
        <f>IF(OR(OR(OR(OR(OR(ISNUMBER(SEARCH(IF(J$1&lt;&gt;"",J$1,"NA"),'MITRE ATT&amp;CK Mappings'!$E668)),ISNUMBER(SEARCH(IF(J$1&lt;&gt;"",J$1,"NA"),'MITRE ATT&amp;CK Mappings'!$F668))),ISNUMBER(SEARCH(IF(J$2&lt;&gt;"",J$2,"NA"),'MITRE ATT&amp;CK Mappings'!$G668))),ISNUMBER(SEARCH(IF(J$2&lt;&gt;"",J$2,"NA"),'MITRE ATT&amp;CK Mappings'!$H668))),ISNUMBER(SEARCH(IF(J$3&lt;&gt;"",J$3,"NA"),'MITRE ATT&amp;CK Mappings'!$I668))),ISNUMBER(SEARCH(IF(J$3&lt;&gt;"",J$3,"NA"),'MITRE ATT&amp;CK Mappings'!$J668))), 'MITRE ATT&amp;CK Mappings'!$B668,"")</f>
        <v/>
      </c>
      <c r="K672" s="26" t="str">
        <f>IF(OR(OR(OR(OR(OR(ISNUMBER(SEARCH(IF(K$1&lt;&gt;"",K$1,"NA"),'MITRE ATT&amp;CK Mappings'!$E668)),ISNUMBER(SEARCH(IF(K$1&lt;&gt;"",K$1,"NA"),'MITRE ATT&amp;CK Mappings'!$F668))),ISNUMBER(SEARCH(IF(K$2&lt;&gt;"",K$2,"NA"),'MITRE ATT&amp;CK Mappings'!$G668))),ISNUMBER(SEARCH(IF(K$2&lt;&gt;"",K$2,"NA"),'MITRE ATT&amp;CK Mappings'!$H668))),ISNUMBER(SEARCH(IF(K$3&lt;&gt;"",K$3,"NA"),'MITRE ATT&amp;CK Mappings'!$I668))),ISNUMBER(SEARCH(IF(K$3&lt;&gt;"",K$3,"NA"),'MITRE ATT&amp;CK Mappings'!$J668))), 'MITRE ATT&amp;CK Mappings'!$B668,"")</f>
        <v/>
      </c>
      <c r="L672" s="26" t="str">
        <f>IF('MITRE ATT&amp;CK Mappings'!D668 &lt;&gt;"",'MITRE ATT&amp;CK Mappings'!D668,"" )</f>
        <v/>
      </c>
    </row>
    <row r="673" spans="1:12" x14ac:dyDescent="0.25">
      <c r="A673" s="27" t="str">
        <f>IF(COUNTIF(B673:K673,"="&amp;'MITRE ATT&amp;CK Mappings'!B669)&gt;0,'MITRE ATT&amp;CK Mappings'!B669,"")</f>
        <v/>
      </c>
      <c r="B673" s="27" t="str">
        <f>IF(OR(OR(OR(OR(OR(ISNUMBER(SEARCH(IF(B$1&lt;&gt;"",B$1,"NA"),'MITRE ATT&amp;CK Mappings'!$E669)),ISNUMBER(SEARCH(IF(B$1&lt;&gt;"",B$1,"NA"),'MITRE ATT&amp;CK Mappings'!$F669))),ISNUMBER(SEARCH(IF(B$2&lt;&gt;"",B$2,"NA"),'MITRE ATT&amp;CK Mappings'!$G669))),ISNUMBER(SEARCH(IF(B$2&lt;&gt;"",B$2,"NA"),'MITRE ATT&amp;CK Mappings'!$H669))),ISNUMBER(SEARCH(IF(B$3&lt;&gt;"",B$3,"NA"),'MITRE ATT&amp;CK Mappings'!$I669))),ISNUMBER(SEARCH(IF(B$3&lt;&gt;"",B$3,"NA"),'MITRE ATT&amp;CK Mappings'!$J669))), 'MITRE ATT&amp;CK Mappings'!$B669,"")</f>
        <v/>
      </c>
      <c r="C673" s="27" t="str">
        <f>IF(OR(OR(OR(OR(OR(ISNUMBER(SEARCH(IF(C$1&lt;&gt;"",C$1,"NA"),'MITRE ATT&amp;CK Mappings'!$E669)),ISNUMBER(SEARCH(IF(C$1&lt;&gt;"",C$1,"NA"),'MITRE ATT&amp;CK Mappings'!$F669))),ISNUMBER(SEARCH(IF(C$2&lt;&gt;"",C$2,"NA"),'MITRE ATT&amp;CK Mappings'!$G669))),ISNUMBER(SEARCH(IF(C$2&lt;&gt;"",C$2,"NA"),'MITRE ATT&amp;CK Mappings'!$H669))),ISNUMBER(SEARCH(IF(C$3&lt;&gt;"",C$3,"NA"),'MITRE ATT&amp;CK Mappings'!$I669))),ISNUMBER(SEARCH(IF(C$3&lt;&gt;"",C$3,"NA"),'MITRE ATT&amp;CK Mappings'!$J669))), 'MITRE ATT&amp;CK Mappings'!$B669,"")</f>
        <v/>
      </c>
      <c r="D673" s="27" t="str">
        <f>IF(OR(OR(OR(OR(OR(ISNUMBER(SEARCH(IF(D$1&lt;&gt;"",D$1,"NA"),'MITRE ATT&amp;CK Mappings'!$E669)),ISNUMBER(SEARCH(IF(D$1&lt;&gt;"",D$1,"NA"),'MITRE ATT&amp;CK Mappings'!$F669))),ISNUMBER(SEARCH(IF(D$2&lt;&gt;"",D$2,"NA"),'MITRE ATT&amp;CK Mappings'!$G669))),ISNUMBER(SEARCH(IF(D$2&lt;&gt;"",D$2,"NA"),'MITRE ATT&amp;CK Mappings'!$H669))),ISNUMBER(SEARCH(IF(D$3&lt;&gt;"",D$3,"NA"),'MITRE ATT&amp;CK Mappings'!$I669))),ISNUMBER(SEARCH(IF(D$3&lt;&gt;"",D$3,"NA"),'MITRE ATT&amp;CK Mappings'!$J669))), 'MITRE ATT&amp;CK Mappings'!$B669,"")</f>
        <v/>
      </c>
      <c r="E673" s="27" t="str">
        <f>IF(OR(OR(OR(OR(OR(ISNUMBER(SEARCH(IF(E$1&lt;&gt;"",E$1,"NA"),'MITRE ATT&amp;CK Mappings'!$E669)),ISNUMBER(SEARCH(IF(E$1&lt;&gt;"",E$1,"NA"),'MITRE ATT&amp;CK Mappings'!$F669))),ISNUMBER(SEARCH(IF(E$2&lt;&gt;"",E$2,"NA"),'MITRE ATT&amp;CK Mappings'!$G669))),ISNUMBER(SEARCH(IF(E$2&lt;&gt;"",E$2,"NA"),'MITRE ATT&amp;CK Mappings'!$H669))),ISNUMBER(SEARCH(IF(E$3&lt;&gt;"",E$3,"NA"),'MITRE ATT&amp;CK Mappings'!$I669))),ISNUMBER(SEARCH(IF(E$3&lt;&gt;"",E$3,"NA"),'MITRE ATT&amp;CK Mappings'!$J669))), 'MITRE ATT&amp;CK Mappings'!$B669,"")</f>
        <v/>
      </c>
      <c r="F673" s="27" t="str">
        <f>IF(OR(OR(OR(OR(OR(ISNUMBER(SEARCH(IF(F$1&lt;&gt;"",F$1,"NA"),'MITRE ATT&amp;CK Mappings'!$E669)),ISNUMBER(SEARCH(IF(F$1&lt;&gt;"",F$1,"NA"),'MITRE ATT&amp;CK Mappings'!$F669))),ISNUMBER(SEARCH(IF(F$2&lt;&gt;"",F$2,"NA"),'MITRE ATT&amp;CK Mappings'!$G669))),ISNUMBER(SEARCH(IF(F$2&lt;&gt;"",F$2,"NA"),'MITRE ATT&amp;CK Mappings'!$H669))),ISNUMBER(SEARCH(IF(F$3&lt;&gt;"",F$3,"NA"),'MITRE ATT&amp;CK Mappings'!$I669))),ISNUMBER(SEARCH(IF(F$3&lt;&gt;"",F$3,"NA"),'MITRE ATT&amp;CK Mappings'!$J669))), 'MITRE ATT&amp;CK Mappings'!$B669,"")</f>
        <v/>
      </c>
      <c r="G673" s="27" t="str">
        <f>IF(OR(OR(OR(OR(OR(ISNUMBER(SEARCH(IF(G$1&lt;&gt;"",G$1,"NA"),'MITRE ATT&amp;CK Mappings'!$E669)),ISNUMBER(SEARCH(IF(G$1&lt;&gt;"",G$1,"NA"),'MITRE ATT&amp;CK Mappings'!$F669))),ISNUMBER(SEARCH(IF(G$2&lt;&gt;"",G$2,"NA"),'MITRE ATT&amp;CK Mappings'!$G669))),ISNUMBER(SEARCH(IF(G$2&lt;&gt;"",G$2,"NA"),'MITRE ATT&amp;CK Mappings'!$H669))),ISNUMBER(SEARCH(IF(G$3&lt;&gt;"",G$3,"NA"),'MITRE ATT&amp;CK Mappings'!$I669))),ISNUMBER(SEARCH(IF(G$3&lt;&gt;"",G$3,"NA"),'MITRE ATT&amp;CK Mappings'!$J669))), 'MITRE ATT&amp;CK Mappings'!$B669,"")</f>
        <v/>
      </c>
      <c r="H673" s="27" t="str">
        <f>IF(OR(OR(OR(OR(OR(ISNUMBER(SEARCH(IF(H$1&lt;&gt;"",H$1,"NA"),'MITRE ATT&amp;CK Mappings'!$E669)),ISNUMBER(SEARCH(IF(H$1&lt;&gt;"",H$1,"NA"),'MITRE ATT&amp;CK Mappings'!$F669))),ISNUMBER(SEARCH(IF(H$2&lt;&gt;"",H$2,"NA"),'MITRE ATT&amp;CK Mappings'!$G669))),ISNUMBER(SEARCH(IF(H$2&lt;&gt;"",H$2,"NA"),'MITRE ATT&amp;CK Mappings'!$H669))),ISNUMBER(SEARCH(IF(H$3&lt;&gt;"",H$3,"NA"),'MITRE ATT&amp;CK Mappings'!$I669))),ISNUMBER(SEARCH(IF(H$3&lt;&gt;"",H$3,"NA"),'MITRE ATT&amp;CK Mappings'!$J669))), 'MITRE ATT&amp;CK Mappings'!$B669,"")</f>
        <v/>
      </c>
      <c r="I673" s="27" t="str">
        <f>IF(OR(OR(OR(OR(OR(ISNUMBER(SEARCH(IF(I$1&lt;&gt;"",I$1,"NA"),'MITRE ATT&amp;CK Mappings'!$E669)),ISNUMBER(SEARCH(IF(I$1&lt;&gt;"",I$1,"NA"),'MITRE ATT&amp;CK Mappings'!$F669))),ISNUMBER(SEARCH(IF(I$2&lt;&gt;"",I$2,"NA"),'MITRE ATT&amp;CK Mappings'!$G669))),ISNUMBER(SEARCH(IF(I$2&lt;&gt;"",I$2,"NA"),'MITRE ATT&amp;CK Mappings'!$H669))),ISNUMBER(SEARCH(IF(I$3&lt;&gt;"",I$3,"NA"),'MITRE ATT&amp;CK Mappings'!$I669))),ISNUMBER(SEARCH(IF(I$3&lt;&gt;"",I$3,"NA"),'MITRE ATT&amp;CK Mappings'!$J669))), 'MITRE ATT&amp;CK Mappings'!$B669,"")</f>
        <v/>
      </c>
      <c r="J673" s="27" t="str">
        <f>IF(OR(OR(OR(OR(OR(ISNUMBER(SEARCH(IF(J$1&lt;&gt;"",J$1,"NA"),'MITRE ATT&amp;CK Mappings'!$E669)),ISNUMBER(SEARCH(IF(J$1&lt;&gt;"",J$1,"NA"),'MITRE ATT&amp;CK Mappings'!$F669))),ISNUMBER(SEARCH(IF(J$2&lt;&gt;"",J$2,"NA"),'MITRE ATT&amp;CK Mappings'!$G669))),ISNUMBER(SEARCH(IF(J$2&lt;&gt;"",J$2,"NA"),'MITRE ATT&amp;CK Mappings'!$H669))),ISNUMBER(SEARCH(IF(J$3&lt;&gt;"",J$3,"NA"),'MITRE ATT&amp;CK Mappings'!$I669))),ISNUMBER(SEARCH(IF(J$3&lt;&gt;"",J$3,"NA"),'MITRE ATT&amp;CK Mappings'!$J669))), 'MITRE ATT&amp;CK Mappings'!$B669,"")</f>
        <v/>
      </c>
      <c r="K673" s="27" t="str">
        <f>IF(OR(OR(OR(OR(OR(ISNUMBER(SEARCH(IF(K$1&lt;&gt;"",K$1,"NA"),'MITRE ATT&amp;CK Mappings'!$E669)),ISNUMBER(SEARCH(IF(K$1&lt;&gt;"",K$1,"NA"),'MITRE ATT&amp;CK Mappings'!$F669))),ISNUMBER(SEARCH(IF(K$2&lt;&gt;"",K$2,"NA"),'MITRE ATT&amp;CK Mappings'!$G669))),ISNUMBER(SEARCH(IF(K$2&lt;&gt;"",K$2,"NA"),'MITRE ATT&amp;CK Mappings'!$H669))),ISNUMBER(SEARCH(IF(K$3&lt;&gt;"",K$3,"NA"),'MITRE ATT&amp;CK Mappings'!$I669))),ISNUMBER(SEARCH(IF(K$3&lt;&gt;"",K$3,"NA"),'MITRE ATT&amp;CK Mappings'!$J669))), 'MITRE ATT&amp;CK Mappings'!$B669,"")</f>
        <v/>
      </c>
      <c r="L673" s="27" t="str">
        <f>IF('MITRE ATT&amp;CK Mappings'!D669 &lt;&gt;"",'MITRE ATT&amp;CK Mappings'!D669,"" )</f>
        <v/>
      </c>
    </row>
    <row r="674" spans="1:12" x14ac:dyDescent="0.25">
      <c r="A674" s="26" t="str">
        <f>IF(COUNTIF(B674:K674,"="&amp;'MITRE ATT&amp;CK Mappings'!B670)&gt;0,'MITRE ATT&amp;CK Mappings'!B670,"")</f>
        <v/>
      </c>
      <c r="B674" s="26" t="str">
        <f>IF(OR(OR(OR(OR(OR(ISNUMBER(SEARCH(IF(B$1&lt;&gt;"",B$1,"NA"),'MITRE ATT&amp;CK Mappings'!$E670)),ISNUMBER(SEARCH(IF(B$1&lt;&gt;"",B$1,"NA"),'MITRE ATT&amp;CK Mappings'!$F670))),ISNUMBER(SEARCH(IF(B$2&lt;&gt;"",B$2,"NA"),'MITRE ATT&amp;CK Mappings'!$G670))),ISNUMBER(SEARCH(IF(B$2&lt;&gt;"",B$2,"NA"),'MITRE ATT&amp;CK Mappings'!$H670))),ISNUMBER(SEARCH(IF(B$3&lt;&gt;"",B$3,"NA"),'MITRE ATT&amp;CK Mappings'!$I670))),ISNUMBER(SEARCH(IF(B$3&lt;&gt;"",B$3,"NA"),'MITRE ATT&amp;CK Mappings'!$J670))), 'MITRE ATT&amp;CK Mappings'!$B670,"")</f>
        <v/>
      </c>
      <c r="C674" s="26" t="str">
        <f>IF(OR(OR(OR(OR(OR(ISNUMBER(SEARCH(IF(C$1&lt;&gt;"",C$1,"NA"),'MITRE ATT&amp;CK Mappings'!$E670)),ISNUMBER(SEARCH(IF(C$1&lt;&gt;"",C$1,"NA"),'MITRE ATT&amp;CK Mappings'!$F670))),ISNUMBER(SEARCH(IF(C$2&lt;&gt;"",C$2,"NA"),'MITRE ATT&amp;CK Mappings'!$G670))),ISNUMBER(SEARCH(IF(C$2&lt;&gt;"",C$2,"NA"),'MITRE ATT&amp;CK Mappings'!$H670))),ISNUMBER(SEARCH(IF(C$3&lt;&gt;"",C$3,"NA"),'MITRE ATT&amp;CK Mappings'!$I670))),ISNUMBER(SEARCH(IF(C$3&lt;&gt;"",C$3,"NA"),'MITRE ATT&amp;CK Mappings'!$J670))), 'MITRE ATT&amp;CK Mappings'!$B670,"")</f>
        <v/>
      </c>
      <c r="D674" s="26" t="str">
        <f>IF(OR(OR(OR(OR(OR(ISNUMBER(SEARCH(IF(D$1&lt;&gt;"",D$1,"NA"),'MITRE ATT&amp;CK Mappings'!$E670)),ISNUMBER(SEARCH(IF(D$1&lt;&gt;"",D$1,"NA"),'MITRE ATT&amp;CK Mappings'!$F670))),ISNUMBER(SEARCH(IF(D$2&lt;&gt;"",D$2,"NA"),'MITRE ATT&amp;CK Mappings'!$G670))),ISNUMBER(SEARCH(IF(D$2&lt;&gt;"",D$2,"NA"),'MITRE ATT&amp;CK Mappings'!$H670))),ISNUMBER(SEARCH(IF(D$3&lt;&gt;"",D$3,"NA"),'MITRE ATT&amp;CK Mappings'!$I670))),ISNUMBER(SEARCH(IF(D$3&lt;&gt;"",D$3,"NA"),'MITRE ATT&amp;CK Mappings'!$J670))), 'MITRE ATT&amp;CK Mappings'!$B670,"")</f>
        <v/>
      </c>
      <c r="E674" s="26" t="str">
        <f>IF(OR(OR(OR(OR(OR(ISNUMBER(SEARCH(IF(E$1&lt;&gt;"",E$1,"NA"),'MITRE ATT&amp;CK Mappings'!$E670)),ISNUMBER(SEARCH(IF(E$1&lt;&gt;"",E$1,"NA"),'MITRE ATT&amp;CK Mappings'!$F670))),ISNUMBER(SEARCH(IF(E$2&lt;&gt;"",E$2,"NA"),'MITRE ATT&amp;CK Mappings'!$G670))),ISNUMBER(SEARCH(IF(E$2&lt;&gt;"",E$2,"NA"),'MITRE ATT&amp;CK Mappings'!$H670))),ISNUMBER(SEARCH(IF(E$3&lt;&gt;"",E$3,"NA"),'MITRE ATT&amp;CK Mappings'!$I670))),ISNUMBER(SEARCH(IF(E$3&lt;&gt;"",E$3,"NA"),'MITRE ATT&amp;CK Mappings'!$J670))), 'MITRE ATT&amp;CK Mappings'!$B670,"")</f>
        <v/>
      </c>
      <c r="F674" s="26" t="str">
        <f>IF(OR(OR(OR(OR(OR(ISNUMBER(SEARCH(IF(F$1&lt;&gt;"",F$1,"NA"),'MITRE ATT&amp;CK Mappings'!$E670)),ISNUMBER(SEARCH(IF(F$1&lt;&gt;"",F$1,"NA"),'MITRE ATT&amp;CK Mappings'!$F670))),ISNUMBER(SEARCH(IF(F$2&lt;&gt;"",F$2,"NA"),'MITRE ATT&amp;CK Mappings'!$G670))),ISNUMBER(SEARCH(IF(F$2&lt;&gt;"",F$2,"NA"),'MITRE ATT&amp;CK Mappings'!$H670))),ISNUMBER(SEARCH(IF(F$3&lt;&gt;"",F$3,"NA"),'MITRE ATT&amp;CK Mappings'!$I670))),ISNUMBER(SEARCH(IF(F$3&lt;&gt;"",F$3,"NA"),'MITRE ATT&amp;CK Mappings'!$J670))), 'MITRE ATT&amp;CK Mappings'!$B670,"")</f>
        <v/>
      </c>
      <c r="G674" s="26" t="str">
        <f>IF(OR(OR(OR(OR(OR(ISNUMBER(SEARCH(IF(G$1&lt;&gt;"",G$1,"NA"),'MITRE ATT&amp;CK Mappings'!$E670)),ISNUMBER(SEARCH(IF(G$1&lt;&gt;"",G$1,"NA"),'MITRE ATT&amp;CK Mappings'!$F670))),ISNUMBER(SEARCH(IF(G$2&lt;&gt;"",G$2,"NA"),'MITRE ATT&amp;CK Mappings'!$G670))),ISNUMBER(SEARCH(IF(G$2&lt;&gt;"",G$2,"NA"),'MITRE ATT&amp;CK Mappings'!$H670))),ISNUMBER(SEARCH(IF(G$3&lt;&gt;"",G$3,"NA"),'MITRE ATT&amp;CK Mappings'!$I670))),ISNUMBER(SEARCH(IF(G$3&lt;&gt;"",G$3,"NA"),'MITRE ATT&amp;CK Mappings'!$J670))), 'MITRE ATT&amp;CK Mappings'!$B670,"")</f>
        <v/>
      </c>
      <c r="H674" s="26" t="str">
        <f>IF(OR(OR(OR(OR(OR(ISNUMBER(SEARCH(IF(H$1&lt;&gt;"",H$1,"NA"),'MITRE ATT&amp;CK Mappings'!$E670)),ISNUMBER(SEARCH(IF(H$1&lt;&gt;"",H$1,"NA"),'MITRE ATT&amp;CK Mappings'!$F670))),ISNUMBER(SEARCH(IF(H$2&lt;&gt;"",H$2,"NA"),'MITRE ATT&amp;CK Mappings'!$G670))),ISNUMBER(SEARCH(IF(H$2&lt;&gt;"",H$2,"NA"),'MITRE ATT&amp;CK Mappings'!$H670))),ISNUMBER(SEARCH(IF(H$3&lt;&gt;"",H$3,"NA"),'MITRE ATT&amp;CK Mappings'!$I670))),ISNUMBER(SEARCH(IF(H$3&lt;&gt;"",H$3,"NA"),'MITRE ATT&amp;CK Mappings'!$J670))), 'MITRE ATT&amp;CK Mappings'!$B670,"")</f>
        <v/>
      </c>
      <c r="I674" s="26" t="str">
        <f>IF(OR(OR(OR(OR(OR(ISNUMBER(SEARCH(IF(I$1&lt;&gt;"",I$1,"NA"),'MITRE ATT&amp;CK Mappings'!$E670)),ISNUMBER(SEARCH(IF(I$1&lt;&gt;"",I$1,"NA"),'MITRE ATT&amp;CK Mappings'!$F670))),ISNUMBER(SEARCH(IF(I$2&lt;&gt;"",I$2,"NA"),'MITRE ATT&amp;CK Mappings'!$G670))),ISNUMBER(SEARCH(IF(I$2&lt;&gt;"",I$2,"NA"),'MITRE ATT&amp;CK Mappings'!$H670))),ISNUMBER(SEARCH(IF(I$3&lt;&gt;"",I$3,"NA"),'MITRE ATT&amp;CK Mappings'!$I670))),ISNUMBER(SEARCH(IF(I$3&lt;&gt;"",I$3,"NA"),'MITRE ATT&amp;CK Mappings'!$J670))), 'MITRE ATT&amp;CK Mappings'!$B670,"")</f>
        <v/>
      </c>
      <c r="J674" s="26" t="str">
        <f>IF(OR(OR(OR(OR(OR(ISNUMBER(SEARCH(IF(J$1&lt;&gt;"",J$1,"NA"),'MITRE ATT&amp;CK Mappings'!$E670)),ISNUMBER(SEARCH(IF(J$1&lt;&gt;"",J$1,"NA"),'MITRE ATT&amp;CK Mappings'!$F670))),ISNUMBER(SEARCH(IF(J$2&lt;&gt;"",J$2,"NA"),'MITRE ATT&amp;CK Mappings'!$G670))),ISNUMBER(SEARCH(IF(J$2&lt;&gt;"",J$2,"NA"),'MITRE ATT&amp;CK Mappings'!$H670))),ISNUMBER(SEARCH(IF(J$3&lt;&gt;"",J$3,"NA"),'MITRE ATT&amp;CK Mappings'!$I670))),ISNUMBER(SEARCH(IF(J$3&lt;&gt;"",J$3,"NA"),'MITRE ATT&amp;CK Mappings'!$J670))), 'MITRE ATT&amp;CK Mappings'!$B670,"")</f>
        <v/>
      </c>
      <c r="K674" s="26" t="str">
        <f>IF(OR(OR(OR(OR(OR(ISNUMBER(SEARCH(IF(K$1&lt;&gt;"",K$1,"NA"),'MITRE ATT&amp;CK Mappings'!$E670)),ISNUMBER(SEARCH(IF(K$1&lt;&gt;"",K$1,"NA"),'MITRE ATT&amp;CK Mappings'!$F670))),ISNUMBER(SEARCH(IF(K$2&lt;&gt;"",K$2,"NA"),'MITRE ATT&amp;CK Mappings'!$G670))),ISNUMBER(SEARCH(IF(K$2&lt;&gt;"",K$2,"NA"),'MITRE ATT&amp;CK Mappings'!$H670))),ISNUMBER(SEARCH(IF(K$3&lt;&gt;"",K$3,"NA"),'MITRE ATT&amp;CK Mappings'!$I670))),ISNUMBER(SEARCH(IF(K$3&lt;&gt;"",K$3,"NA"),'MITRE ATT&amp;CK Mappings'!$J670))), 'MITRE ATT&amp;CK Mappings'!$B670,"")</f>
        <v/>
      </c>
      <c r="L674" s="26" t="str">
        <f>IF('MITRE ATT&amp;CK Mappings'!D670 &lt;&gt;"",'MITRE ATT&amp;CK Mappings'!D670,"" )</f>
        <v/>
      </c>
    </row>
    <row r="675" spans="1:12" x14ac:dyDescent="0.25">
      <c r="A675" s="27" t="str">
        <f>IF(COUNTIF(B675:K675,"="&amp;'MITRE ATT&amp;CK Mappings'!B671)&gt;0,'MITRE ATT&amp;CK Mappings'!B671,"")</f>
        <v/>
      </c>
      <c r="B675" s="27" t="str">
        <f>IF(OR(OR(OR(OR(OR(ISNUMBER(SEARCH(IF(B$1&lt;&gt;"",B$1,"NA"),'MITRE ATT&amp;CK Mappings'!$E671)),ISNUMBER(SEARCH(IF(B$1&lt;&gt;"",B$1,"NA"),'MITRE ATT&amp;CK Mappings'!$F671))),ISNUMBER(SEARCH(IF(B$2&lt;&gt;"",B$2,"NA"),'MITRE ATT&amp;CK Mappings'!$G671))),ISNUMBER(SEARCH(IF(B$2&lt;&gt;"",B$2,"NA"),'MITRE ATT&amp;CK Mappings'!$H671))),ISNUMBER(SEARCH(IF(B$3&lt;&gt;"",B$3,"NA"),'MITRE ATT&amp;CK Mappings'!$I671))),ISNUMBER(SEARCH(IF(B$3&lt;&gt;"",B$3,"NA"),'MITRE ATT&amp;CK Mappings'!$J671))), 'MITRE ATT&amp;CK Mappings'!$B671,"")</f>
        <v/>
      </c>
      <c r="C675" s="27" t="str">
        <f>IF(OR(OR(OR(OR(OR(ISNUMBER(SEARCH(IF(C$1&lt;&gt;"",C$1,"NA"),'MITRE ATT&amp;CK Mappings'!$E671)),ISNUMBER(SEARCH(IF(C$1&lt;&gt;"",C$1,"NA"),'MITRE ATT&amp;CK Mappings'!$F671))),ISNUMBER(SEARCH(IF(C$2&lt;&gt;"",C$2,"NA"),'MITRE ATT&amp;CK Mappings'!$G671))),ISNUMBER(SEARCH(IF(C$2&lt;&gt;"",C$2,"NA"),'MITRE ATT&amp;CK Mappings'!$H671))),ISNUMBER(SEARCH(IF(C$3&lt;&gt;"",C$3,"NA"),'MITRE ATT&amp;CK Mappings'!$I671))),ISNUMBER(SEARCH(IF(C$3&lt;&gt;"",C$3,"NA"),'MITRE ATT&amp;CK Mappings'!$J671))), 'MITRE ATT&amp;CK Mappings'!$B671,"")</f>
        <v/>
      </c>
      <c r="D675" s="27" t="str">
        <f>IF(OR(OR(OR(OR(OR(ISNUMBER(SEARCH(IF(D$1&lt;&gt;"",D$1,"NA"),'MITRE ATT&amp;CK Mappings'!$E671)),ISNUMBER(SEARCH(IF(D$1&lt;&gt;"",D$1,"NA"),'MITRE ATT&amp;CK Mappings'!$F671))),ISNUMBER(SEARCH(IF(D$2&lt;&gt;"",D$2,"NA"),'MITRE ATT&amp;CK Mappings'!$G671))),ISNUMBER(SEARCH(IF(D$2&lt;&gt;"",D$2,"NA"),'MITRE ATT&amp;CK Mappings'!$H671))),ISNUMBER(SEARCH(IF(D$3&lt;&gt;"",D$3,"NA"),'MITRE ATT&amp;CK Mappings'!$I671))),ISNUMBER(SEARCH(IF(D$3&lt;&gt;"",D$3,"NA"),'MITRE ATT&amp;CK Mappings'!$J671))), 'MITRE ATT&amp;CK Mappings'!$B671,"")</f>
        <v/>
      </c>
      <c r="E675" s="27" t="str">
        <f>IF(OR(OR(OR(OR(OR(ISNUMBER(SEARCH(IF(E$1&lt;&gt;"",E$1,"NA"),'MITRE ATT&amp;CK Mappings'!$E671)),ISNUMBER(SEARCH(IF(E$1&lt;&gt;"",E$1,"NA"),'MITRE ATT&amp;CK Mappings'!$F671))),ISNUMBER(SEARCH(IF(E$2&lt;&gt;"",E$2,"NA"),'MITRE ATT&amp;CK Mappings'!$G671))),ISNUMBER(SEARCH(IF(E$2&lt;&gt;"",E$2,"NA"),'MITRE ATT&amp;CK Mappings'!$H671))),ISNUMBER(SEARCH(IF(E$3&lt;&gt;"",E$3,"NA"),'MITRE ATT&amp;CK Mappings'!$I671))),ISNUMBER(SEARCH(IF(E$3&lt;&gt;"",E$3,"NA"),'MITRE ATT&amp;CK Mappings'!$J671))), 'MITRE ATT&amp;CK Mappings'!$B671,"")</f>
        <v/>
      </c>
      <c r="F675" s="27" t="str">
        <f>IF(OR(OR(OR(OR(OR(ISNUMBER(SEARCH(IF(F$1&lt;&gt;"",F$1,"NA"),'MITRE ATT&amp;CK Mappings'!$E671)),ISNUMBER(SEARCH(IF(F$1&lt;&gt;"",F$1,"NA"),'MITRE ATT&amp;CK Mappings'!$F671))),ISNUMBER(SEARCH(IF(F$2&lt;&gt;"",F$2,"NA"),'MITRE ATT&amp;CK Mappings'!$G671))),ISNUMBER(SEARCH(IF(F$2&lt;&gt;"",F$2,"NA"),'MITRE ATT&amp;CK Mappings'!$H671))),ISNUMBER(SEARCH(IF(F$3&lt;&gt;"",F$3,"NA"),'MITRE ATT&amp;CK Mappings'!$I671))),ISNUMBER(SEARCH(IF(F$3&lt;&gt;"",F$3,"NA"),'MITRE ATT&amp;CK Mappings'!$J671))), 'MITRE ATT&amp;CK Mappings'!$B671,"")</f>
        <v/>
      </c>
      <c r="G675" s="27" t="str">
        <f>IF(OR(OR(OR(OR(OR(ISNUMBER(SEARCH(IF(G$1&lt;&gt;"",G$1,"NA"),'MITRE ATT&amp;CK Mappings'!$E671)),ISNUMBER(SEARCH(IF(G$1&lt;&gt;"",G$1,"NA"),'MITRE ATT&amp;CK Mappings'!$F671))),ISNUMBER(SEARCH(IF(G$2&lt;&gt;"",G$2,"NA"),'MITRE ATT&amp;CK Mappings'!$G671))),ISNUMBER(SEARCH(IF(G$2&lt;&gt;"",G$2,"NA"),'MITRE ATT&amp;CK Mappings'!$H671))),ISNUMBER(SEARCH(IF(G$3&lt;&gt;"",G$3,"NA"),'MITRE ATT&amp;CK Mappings'!$I671))),ISNUMBER(SEARCH(IF(G$3&lt;&gt;"",G$3,"NA"),'MITRE ATT&amp;CK Mappings'!$J671))), 'MITRE ATT&amp;CK Mappings'!$B671,"")</f>
        <v/>
      </c>
      <c r="H675" s="27" t="str">
        <f>IF(OR(OR(OR(OR(OR(ISNUMBER(SEARCH(IF(H$1&lt;&gt;"",H$1,"NA"),'MITRE ATT&amp;CK Mappings'!$E671)),ISNUMBER(SEARCH(IF(H$1&lt;&gt;"",H$1,"NA"),'MITRE ATT&amp;CK Mappings'!$F671))),ISNUMBER(SEARCH(IF(H$2&lt;&gt;"",H$2,"NA"),'MITRE ATT&amp;CK Mappings'!$G671))),ISNUMBER(SEARCH(IF(H$2&lt;&gt;"",H$2,"NA"),'MITRE ATT&amp;CK Mappings'!$H671))),ISNUMBER(SEARCH(IF(H$3&lt;&gt;"",H$3,"NA"),'MITRE ATT&amp;CK Mappings'!$I671))),ISNUMBER(SEARCH(IF(H$3&lt;&gt;"",H$3,"NA"),'MITRE ATT&amp;CK Mappings'!$J671))), 'MITRE ATT&amp;CK Mappings'!$B671,"")</f>
        <v/>
      </c>
      <c r="I675" s="27" t="str">
        <f>IF(OR(OR(OR(OR(OR(ISNUMBER(SEARCH(IF(I$1&lt;&gt;"",I$1,"NA"),'MITRE ATT&amp;CK Mappings'!$E671)),ISNUMBER(SEARCH(IF(I$1&lt;&gt;"",I$1,"NA"),'MITRE ATT&amp;CK Mappings'!$F671))),ISNUMBER(SEARCH(IF(I$2&lt;&gt;"",I$2,"NA"),'MITRE ATT&amp;CK Mappings'!$G671))),ISNUMBER(SEARCH(IF(I$2&lt;&gt;"",I$2,"NA"),'MITRE ATT&amp;CK Mappings'!$H671))),ISNUMBER(SEARCH(IF(I$3&lt;&gt;"",I$3,"NA"),'MITRE ATT&amp;CK Mappings'!$I671))),ISNUMBER(SEARCH(IF(I$3&lt;&gt;"",I$3,"NA"),'MITRE ATT&amp;CK Mappings'!$J671))), 'MITRE ATT&amp;CK Mappings'!$B671,"")</f>
        <v/>
      </c>
      <c r="J675" s="27" t="str">
        <f>IF(OR(OR(OR(OR(OR(ISNUMBER(SEARCH(IF(J$1&lt;&gt;"",J$1,"NA"),'MITRE ATT&amp;CK Mappings'!$E671)),ISNUMBER(SEARCH(IF(J$1&lt;&gt;"",J$1,"NA"),'MITRE ATT&amp;CK Mappings'!$F671))),ISNUMBER(SEARCH(IF(J$2&lt;&gt;"",J$2,"NA"),'MITRE ATT&amp;CK Mappings'!$G671))),ISNUMBER(SEARCH(IF(J$2&lt;&gt;"",J$2,"NA"),'MITRE ATT&amp;CK Mappings'!$H671))),ISNUMBER(SEARCH(IF(J$3&lt;&gt;"",J$3,"NA"),'MITRE ATT&amp;CK Mappings'!$I671))),ISNUMBER(SEARCH(IF(J$3&lt;&gt;"",J$3,"NA"),'MITRE ATT&amp;CK Mappings'!$J671))), 'MITRE ATT&amp;CK Mappings'!$B671,"")</f>
        <v/>
      </c>
      <c r="K675" s="27" t="str">
        <f>IF(OR(OR(OR(OR(OR(ISNUMBER(SEARCH(IF(K$1&lt;&gt;"",K$1,"NA"),'MITRE ATT&amp;CK Mappings'!$E671)),ISNUMBER(SEARCH(IF(K$1&lt;&gt;"",K$1,"NA"),'MITRE ATT&amp;CK Mappings'!$F671))),ISNUMBER(SEARCH(IF(K$2&lt;&gt;"",K$2,"NA"),'MITRE ATT&amp;CK Mappings'!$G671))),ISNUMBER(SEARCH(IF(K$2&lt;&gt;"",K$2,"NA"),'MITRE ATT&amp;CK Mappings'!$H671))),ISNUMBER(SEARCH(IF(K$3&lt;&gt;"",K$3,"NA"),'MITRE ATT&amp;CK Mappings'!$I671))),ISNUMBER(SEARCH(IF(K$3&lt;&gt;"",K$3,"NA"),'MITRE ATT&amp;CK Mappings'!$J671))), 'MITRE ATT&amp;CK Mappings'!$B671,"")</f>
        <v/>
      </c>
      <c r="L675" s="27" t="str">
        <f>IF('MITRE ATT&amp;CK Mappings'!D671 &lt;&gt;"",'MITRE ATT&amp;CK Mappings'!D671,"" )</f>
        <v/>
      </c>
    </row>
    <row r="676" spans="1:12" x14ac:dyDescent="0.25">
      <c r="A676" s="26" t="str">
        <f>IF(COUNTIF(B676:K676,"="&amp;'MITRE ATT&amp;CK Mappings'!B672)&gt;0,'MITRE ATT&amp;CK Mappings'!B672,"")</f>
        <v/>
      </c>
      <c r="B676" s="26" t="str">
        <f>IF(OR(OR(OR(OR(OR(ISNUMBER(SEARCH(IF(B$1&lt;&gt;"",B$1,"NA"),'MITRE ATT&amp;CK Mappings'!$E672)),ISNUMBER(SEARCH(IF(B$1&lt;&gt;"",B$1,"NA"),'MITRE ATT&amp;CK Mappings'!$F672))),ISNUMBER(SEARCH(IF(B$2&lt;&gt;"",B$2,"NA"),'MITRE ATT&amp;CK Mappings'!$G672))),ISNUMBER(SEARCH(IF(B$2&lt;&gt;"",B$2,"NA"),'MITRE ATT&amp;CK Mappings'!$H672))),ISNUMBER(SEARCH(IF(B$3&lt;&gt;"",B$3,"NA"),'MITRE ATT&amp;CK Mappings'!$I672))),ISNUMBER(SEARCH(IF(B$3&lt;&gt;"",B$3,"NA"),'MITRE ATT&amp;CK Mappings'!$J672))), 'MITRE ATT&amp;CK Mappings'!$B672,"")</f>
        <v/>
      </c>
      <c r="C676" s="26" t="str">
        <f>IF(OR(OR(OR(OR(OR(ISNUMBER(SEARCH(IF(C$1&lt;&gt;"",C$1,"NA"),'MITRE ATT&amp;CK Mappings'!$E672)),ISNUMBER(SEARCH(IF(C$1&lt;&gt;"",C$1,"NA"),'MITRE ATT&amp;CK Mappings'!$F672))),ISNUMBER(SEARCH(IF(C$2&lt;&gt;"",C$2,"NA"),'MITRE ATT&amp;CK Mappings'!$G672))),ISNUMBER(SEARCH(IF(C$2&lt;&gt;"",C$2,"NA"),'MITRE ATT&amp;CK Mappings'!$H672))),ISNUMBER(SEARCH(IF(C$3&lt;&gt;"",C$3,"NA"),'MITRE ATT&amp;CK Mappings'!$I672))),ISNUMBER(SEARCH(IF(C$3&lt;&gt;"",C$3,"NA"),'MITRE ATT&amp;CK Mappings'!$J672))), 'MITRE ATT&amp;CK Mappings'!$B672,"")</f>
        <v/>
      </c>
      <c r="D676" s="26" t="str">
        <f>IF(OR(OR(OR(OR(OR(ISNUMBER(SEARCH(IF(D$1&lt;&gt;"",D$1,"NA"),'MITRE ATT&amp;CK Mappings'!$E672)),ISNUMBER(SEARCH(IF(D$1&lt;&gt;"",D$1,"NA"),'MITRE ATT&amp;CK Mappings'!$F672))),ISNUMBER(SEARCH(IF(D$2&lt;&gt;"",D$2,"NA"),'MITRE ATT&amp;CK Mappings'!$G672))),ISNUMBER(SEARCH(IF(D$2&lt;&gt;"",D$2,"NA"),'MITRE ATT&amp;CK Mappings'!$H672))),ISNUMBER(SEARCH(IF(D$3&lt;&gt;"",D$3,"NA"),'MITRE ATT&amp;CK Mappings'!$I672))),ISNUMBER(SEARCH(IF(D$3&lt;&gt;"",D$3,"NA"),'MITRE ATT&amp;CK Mappings'!$J672))), 'MITRE ATT&amp;CK Mappings'!$B672,"")</f>
        <v/>
      </c>
      <c r="E676" s="26" t="str">
        <f>IF(OR(OR(OR(OR(OR(ISNUMBER(SEARCH(IF(E$1&lt;&gt;"",E$1,"NA"),'MITRE ATT&amp;CK Mappings'!$E672)),ISNUMBER(SEARCH(IF(E$1&lt;&gt;"",E$1,"NA"),'MITRE ATT&amp;CK Mappings'!$F672))),ISNUMBER(SEARCH(IF(E$2&lt;&gt;"",E$2,"NA"),'MITRE ATT&amp;CK Mappings'!$G672))),ISNUMBER(SEARCH(IF(E$2&lt;&gt;"",E$2,"NA"),'MITRE ATT&amp;CK Mappings'!$H672))),ISNUMBER(SEARCH(IF(E$3&lt;&gt;"",E$3,"NA"),'MITRE ATT&amp;CK Mappings'!$I672))),ISNUMBER(SEARCH(IF(E$3&lt;&gt;"",E$3,"NA"),'MITRE ATT&amp;CK Mappings'!$J672))), 'MITRE ATT&amp;CK Mappings'!$B672,"")</f>
        <v/>
      </c>
      <c r="F676" s="26" t="str">
        <f>IF(OR(OR(OR(OR(OR(ISNUMBER(SEARCH(IF(F$1&lt;&gt;"",F$1,"NA"),'MITRE ATT&amp;CK Mappings'!$E672)),ISNUMBER(SEARCH(IF(F$1&lt;&gt;"",F$1,"NA"),'MITRE ATT&amp;CK Mappings'!$F672))),ISNUMBER(SEARCH(IF(F$2&lt;&gt;"",F$2,"NA"),'MITRE ATT&amp;CK Mappings'!$G672))),ISNUMBER(SEARCH(IF(F$2&lt;&gt;"",F$2,"NA"),'MITRE ATT&amp;CK Mappings'!$H672))),ISNUMBER(SEARCH(IF(F$3&lt;&gt;"",F$3,"NA"),'MITRE ATT&amp;CK Mappings'!$I672))),ISNUMBER(SEARCH(IF(F$3&lt;&gt;"",F$3,"NA"),'MITRE ATT&amp;CK Mappings'!$J672))), 'MITRE ATT&amp;CK Mappings'!$B672,"")</f>
        <v/>
      </c>
      <c r="G676" s="26" t="str">
        <f>IF(OR(OR(OR(OR(OR(ISNUMBER(SEARCH(IF(G$1&lt;&gt;"",G$1,"NA"),'MITRE ATT&amp;CK Mappings'!$E672)),ISNUMBER(SEARCH(IF(G$1&lt;&gt;"",G$1,"NA"),'MITRE ATT&amp;CK Mappings'!$F672))),ISNUMBER(SEARCH(IF(G$2&lt;&gt;"",G$2,"NA"),'MITRE ATT&amp;CK Mappings'!$G672))),ISNUMBER(SEARCH(IF(G$2&lt;&gt;"",G$2,"NA"),'MITRE ATT&amp;CK Mappings'!$H672))),ISNUMBER(SEARCH(IF(G$3&lt;&gt;"",G$3,"NA"),'MITRE ATT&amp;CK Mappings'!$I672))),ISNUMBER(SEARCH(IF(G$3&lt;&gt;"",G$3,"NA"),'MITRE ATT&amp;CK Mappings'!$J672))), 'MITRE ATT&amp;CK Mappings'!$B672,"")</f>
        <v/>
      </c>
      <c r="H676" s="26" t="str">
        <f>IF(OR(OR(OR(OR(OR(ISNUMBER(SEARCH(IF(H$1&lt;&gt;"",H$1,"NA"),'MITRE ATT&amp;CK Mappings'!$E672)),ISNUMBER(SEARCH(IF(H$1&lt;&gt;"",H$1,"NA"),'MITRE ATT&amp;CK Mappings'!$F672))),ISNUMBER(SEARCH(IF(H$2&lt;&gt;"",H$2,"NA"),'MITRE ATT&amp;CK Mappings'!$G672))),ISNUMBER(SEARCH(IF(H$2&lt;&gt;"",H$2,"NA"),'MITRE ATT&amp;CK Mappings'!$H672))),ISNUMBER(SEARCH(IF(H$3&lt;&gt;"",H$3,"NA"),'MITRE ATT&amp;CK Mappings'!$I672))),ISNUMBER(SEARCH(IF(H$3&lt;&gt;"",H$3,"NA"),'MITRE ATT&amp;CK Mappings'!$J672))), 'MITRE ATT&amp;CK Mappings'!$B672,"")</f>
        <v/>
      </c>
      <c r="I676" s="26" t="str">
        <f>IF(OR(OR(OR(OR(OR(ISNUMBER(SEARCH(IF(I$1&lt;&gt;"",I$1,"NA"),'MITRE ATT&amp;CK Mappings'!$E672)),ISNUMBER(SEARCH(IF(I$1&lt;&gt;"",I$1,"NA"),'MITRE ATT&amp;CK Mappings'!$F672))),ISNUMBER(SEARCH(IF(I$2&lt;&gt;"",I$2,"NA"),'MITRE ATT&amp;CK Mappings'!$G672))),ISNUMBER(SEARCH(IF(I$2&lt;&gt;"",I$2,"NA"),'MITRE ATT&amp;CK Mappings'!$H672))),ISNUMBER(SEARCH(IF(I$3&lt;&gt;"",I$3,"NA"),'MITRE ATT&amp;CK Mappings'!$I672))),ISNUMBER(SEARCH(IF(I$3&lt;&gt;"",I$3,"NA"),'MITRE ATT&amp;CK Mappings'!$J672))), 'MITRE ATT&amp;CK Mappings'!$B672,"")</f>
        <v/>
      </c>
      <c r="J676" s="26" t="str">
        <f>IF(OR(OR(OR(OR(OR(ISNUMBER(SEARCH(IF(J$1&lt;&gt;"",J$1,"NA"),'MITRE ATT&amp;CK Mappings'!$E672)),ISNUMBER(SEARCH(IF(J$1&lt;&gt;"",J$1,"NA"),'MITRE ATT&amp;CK Mappings'!$F672))),ISNUMBER(SEARCH(IF(J$2&lt;&gt;"",J$2,"NA"),'MITRE ATT&amp;CK Mappings'!$G672))),ISNUMBER(SEARCH(IF(J$2&lt;&gt;"",J$2,"NA"),'MITRE ATT&amp;CK Mappings'!$H672))),ISNUMBER(SEARCH(IF(J$3&lt;&gt;"",J$3,"NA"),'MITRE ATT&amp;CK Mappings'!$I672))),ISNUMBER(SEARCH(IF(J$3&lt;&gt;"",J$3,"NA"),'MITRE ATT&amp;CK Mappings'!$J672))), 'MITRE ATT&amp;CK Mappings'!$B672,"")</f>
        <v/>
      </c>
      <c r="K676" s="26" t="str">
        <f>IF(OR(OR(OR(OR(OR(ISNUMBER(SEARCH(IF(K$1&lt;&gt;"",K$1,"NA"),'MITRE ATT&amp;CK Mappings'!$E672)),ISNUMBER(SEARCH(IF(K$1&lt;&gt;"",K$1,"NA"),'MITRE ATT&amp;CK Mappings'!$F672))),ISNUMBER(SEARCH(IF(K$2&lt;&gt;"",K$2,"NA"),'MITRE ATT&amp;CK Mappings'!$G672))),ISNUMBER(SEARCH(IF(K$2&lt;&gt;"",K$2,"NA"),'MITRE ATT&amp;CK Mappings'!$H672))),ISNUMBER(SEARCH(IF(K$3&lt;&gt;"",K$3,"NA"),'MITRE ATT&amp;CK Mappings'!$I672))),ISNUMBER(SEARCH(IF(K$3&lt;&gt;"",K$3,"NA"),'MITRE ATT&amp;CK Mappings'!$J672))), 'MITRE ATT&amp;CK Mappings'!$B672,"")</f>
        <v/>
      </c>
      <c r="L676" s="26" t="str">
        <f>IF('MITRE ATT&amp;CK Mappings'!D672 &lt;&gt;"",'MITRE ATT&amp;CK Mappings'!D672,"" )</f>
        <v/>
      </c>
    </row>
    <row r="677" spans="1:12" x14ac:dyDescent="0.25">
      <c r="A677" s="27" t="str">
        <f>IF(COUNTIF(B677:K677,"="&amp;'MITRE ATT&amp;CK Mappings'!B673)&gt;0,'MITRE ATT&amp;CK Mappings'!B673,"")</f>
        <v/>
      </c>
      <c r="B677" s="27" t="str">
        <f>IF(OR(OR(OR(OR(OR(ISNUMBER(SEARCH(IF(B$1&lt;&gt;"",B$1,"NA"),'MITRE ATT&amp;CK Mappings'!$E673)),ISNUMBER(SEARCH(IF(B$1&lt;&gt;"",B$1,"NA"),'MITRE ATT&amp;CK Mappings'!$F673))),ISNUMBER(SEARCH(IF(B$2&lt;&gt;"",B$2,"NA"),'MITRE ATT&amp;CK Mappings'!$G673))),ISNUMBER(SEARCH(IF(B$2&lt;&gt;"",B$2,"NA"),'MITRE ATT&amp;CK Mappings'!$H673))),ISNUMBER(SEARCH(IF(B$3&lt;&gt;"",B$3,"NA"),'MITRE ATT&amp;CK Mappings'!$I673))),ISNUMBER(SEARCH(IF(B$3&lt;&gt;"",B$3,"NA"),'MITRE ATT&amp;CK Mappings'!$J673))), 'MITRE ATT&amp;CK Mappings'!$B673,"")</f>
        <v/>
      </c>
      <c r="C677" s="27" t="str">
        <f>IF(OR(OR(OR(OR(OR(ISNUMBER(SEARCH(IF(C$1&lt;&gt;"",C$1,"NA"),'MITRE ATT&amp;CK Mappings'!$E673)),ISNUMBER(SEARCH(IF(C$1&lt;&gt;"",C$1,"NA"),'MITRE ATT&amp;CK Mappings'!$F673))),ISNUMBER(SEARCH(IF(C$2&lt;&gt;"",C$2,"NA"),'MITRE ATT&amp;CK Mappings'!$G673))),ISNUMBER(SEARCH(IF(C$2&lt;&gt;"",C$2,"NA"),'MITRE ATT&amp;CK Mappings'!$H673))),ISNUMBER(SEARCH(IF(C$3&lt;&gt;"",C$3,"NA"),'MITRE ATT&amp;CK Mappings'!$I673))),ISNUMBER(SEARCH(IF(C$3&lt;&gt;"",C$3,"NA"),'MITRE ATT&amp;CK Mappings'!$J673))), 'MITRE ATT&amp;CK Mappings'!$B673,"")</f>
        <v/>
      </c>
      <c r="D677" s="27" t="str">
        <f>IF(OR(OR(OR(OR(OR(ISNUMBER(SEARCH(IF(D$1&lt;&gt;"",D$1,"NA"),'MITRE ATT&amp;CK Mappings'!$E673)),ISNUMBER(SEARCH(IF(D$1&lt;&gt;"",D$1,"NA"),'MITRE ATT&amp;CK Mappings'!$F673))),ISNUMBER(SEARCH(IF(D$2&lt;&gt;"",D$2,"NA"),'MITRE ATT&amp;CK Mappings'!$G673))),ISNUMBER(SEARCH(IF(D$2&lt;&gt;"",D$2,"NA"),'MITRE ATT&amp;CK Mappings'!$H673))),ISNUMBER(SEARCH(IF(D$3&lt;&gt;"",D$3,"NA"),'MITRE ATT&amp;CK Mappings'!$I673))),ISNUMBER(SEARCH(IF(D$3&lt;&gt;"",D$3,"NA"),'MITRE ATT&amp;CK Mappings'!$J673))), 'MITRE ATT&amp;CK Mappings'!$B673,"")</f>
        <v/>
      </c>
      <c r="E677" s="27" t="str">
        <f>IF(OR(OR(OR(OR(OR(ISNUMBER(SEARCH(IF(E$1&lt;&gt;"",E$1,"NA"),'MITRE ATT&amp;CK Mappings'!$E673)),ISNUMBER(SEARCH(IF(E$1&lt;&gt;"",E$1,"NA"),'MITRE ATT&amp;CK Mappings'!$F673))),ISNUMBER(SEARCH(IF(E$2&lt;&gt;"",E$2,"NA"),'MITRE ATT&amp;CK Mappings'!$G673))),ISNUMBER(SEARCH(IF(E$2&lt;&gt;"",E$2,"NA"),'MITRE ATT&amp;CK Mappings'!$H673))),ISNUMBER(SEARCH(IF(E$3&lt;&gt;"",E$3,"NA"),'MITRE ATT&amp;CK Mappings'!$I673))),ISNUMBER(SEARCH(IF(E$3&lt;&gt;"",E$3,"NA"),'MITRE ATT&amp;CK Mappings'!$J673))), 'MITRE ATT&amp;CK Mappings'!$B673,"")</f>
        <v/>
      </c>
      <c r="F677" s="27" t="str">
        <f>IF(OR(OR(OR(OR(OR(ISNUMBER(SEARCH(IF(F$1&lt;&gt;"",F$1,"NA"),'MITRE ATT&amp;CK Mappings'!$E673)),ISNUMBER(SEARCH(IF(F$1&lt;&gt;"",F$1,"NA"),'MITRE ATT&amp;CK Mappings'!$F673))),ISNUMBER(SEARCH(IF(F$2&lt;&gt;"",F$2,"NA"),'MITRE ATT&amp;CK Mappings'!$G673))),ISNUMBER(SEARCH(IF(F$2&lt;&gt;"",F$2,"NA"),'MITRE ATT&amp;CK Mappings'!$H673))),ISNUMBER(SEARCH(IF(F$3&lt;&gt;"",F$3,"NA"),'MITRE ATT&amp;CK Mappings'!$I673))),ISNUMBER(SEARCH(IF(F$3&lt;&gt;"",F$3,"NA"),'MITRE ATT&amp;CK Mappings'!$J673))), 'MITRE ATT&amp;CK Mappings'!$B673,"")</f>
        <v/>
      </c>
      <c r="G677" s="27" t="str">
        <f>IF(OR(OR(OR(OR(OR(ISNUMBER(SEARCH(IF(G$1&lt;&gt;"",G$1,"NA"),'MITRE ATT&amp;CK Mappings'!$E673)),ISNUMBER(SEARCH(IF(G$1&lt;&gt;"",G$1,"NA"),'MITRE ATT&amp;CK Mappings'!$F673))),ISNUMBER(SEARCH(IF(G$2&lt;&gt;"",G$2,"NA"),'MITRE ATT&amp;CK Mappings'!$G673))),ISNUMBER(SEARCH(IF(G$2&lt;&gt;"",G$2,"NA"),'MITRE ATT&amp;CK Mappings'!$H673))),ISNUMBER(SEARCH(IF(G$3&lt;&gt;"",G$3,"NA"),'MITRE ATT&amp;CK Mappings'!$I673))),ISNUMBER(SEARCH(IF(G$3&lt;&gt;"",G$3,"NA"),'MITRE ATT&amp;CK Mappings'!$J673))), 'MITRE ATT&amp;CK Mappings'!$B673,"")</f>
        <v/>
      </c>
      <c r="H677" s="27" t="str">
        <f>IF(OR(OR(OR(OR(OR(ISNUMBER(SEARCH(IF(H$1&lt;&gt;"",H$1,"NA"),'MITRE ATT&amp;CK Mappings'!$E673)),ISNUMBER(SEARCH(IF(H$1&lt;&gt;"",H$1,"NA"),'MITRE ATT&amp;CK Mappings'!$F673))),ISNUMBER(SEARCH(IF(H$2&lt;&gt;"",H$2,"NA"),'MITRE ATT&amp;CK Mappings'!$G673))),ISNUMBER(SEARCH(IF(H$2&lt;&gt;"",H$2,"NA"),'MITRE ATT&amp;CK Mappings'!$H673))),ISNUMBER(SEARCH(IF(H$3&lt;&gt;"",H$3,"NA"),'MITRE ATT&amp;CK Mappings'!$I673))),ISNUMBER(SEARCH(IF(H$3&lt;&gt;"",H$3,"NA"),'MITRE ATT&amp;CK Mappings'!$J673))), 'MITRE ATT&amp;CK Mappings'!$B673,"")</f>
        <v/>
      </c>
      <c r="I677" s="27" t="str">
        <f>IF(OR(OR(OR(OR(OR(ISNUMBER(SEARCH(IF(I$1&lt;&gt;"",I$1,"NA"),'MITRE ATT&amp;CK Mappings'!$E673)),ISNUMBER(SEARCH(IF(I$1&lt;&gt;"",I$1,"NA"),'MITRE ATT&amp;CK Mappings'!$F673))),ISNUMBER(SEARCH(IF(I$2&lt;&gt;"",I$2,"NA"),'MITRE ATT&amp;CK Mappings'!$G673))),ISNUMBER(SEARCH(IF(I$2&lt;&gt;"",I$2,"NA"),'MITRE ATT&amp;CK Mappings'!$H673))),ISNUMBER(SEARCH(IF(I$3&lt;&gt;"",I$3,"NA"),'MITRE ATT&amp;CK Mappings'!$I673))),ISNUMBER(SEARCH(IF(I$3&lt;&gt;"",I$3,"NA"),'MITRE ATT&amp;CK Mappings'!$J673))), 'MITRE ATT&amp;CK Mappings'!$B673,"")</f>
        <v/>
      </c>
      <c r="J677" s="27" t="str">
        <f>IF(OR(OR(OR(OR(OR(ISNUMBER(SEARCH(IF(J$1&lt;&gt;"",J$1,"NA"),'MITRE ATT&amp;CK Mappings'!$E673)),ISNUMBER(SEARCH(IF(J$1&lt;&gt;"",J$1,"NA"),'MITRE ATT&amp;CK Mappings'!$F673))),ISNUMBER(SEARCH(IF(J$2&lt;&gt;"",J$2,"NA"),'MITRE ATT&amp;CK Mappings'!$G673))),ISNUMBER(SEARCH(IF(J$2&lt;&gt;"",J$2,"NA"),'MITRE ATT&amp;CK Mappings'!$H673))),ISNUMBER(SEARCH(IF(J$3&lt;&gt;"",J$3,"NA"),'MITRE ATT&amp;CK Mappings'!$I673))),ISNUMBER(SEARCH(IF(J$3&lt;&gt;"",J$3,"NA"),'MITRE ATT&amp;CK Mappings'!$J673))), 'MITRE ATT&amp;CK Mappings'!$B673,"")</f>
        <v/>
      </c>
      <c r="K677" s="27" t="str">
        <f>IF(OR(OR(OR(OR(OR(ISNUMBER(SEARCH(IF(K$1&lt;&gt;"",K$1,"NA"),'MITRE ATT&amp;CK Mappings'!$E673)),ISNUMBER(SEARCH(IF(K$1&lt;&gt;"",K$1,"NA"),'MITRE ATT&amp;CK Mappings'!$F673))),ISNUMBER(SEARCH(IF(K$2&lt;&gt;"",K$2,"NA"),'MITRE ATT&amp;CK Mappings'!$G673))),ISNUMBER(SEARCH(IF(K$2&lt;&gt;"",K$2,"NA"),'MITRE ATT&amp;CK Mappings'!$H673))),ISNUMBER(SEARCH(IF(K$3&lt;&gt;"",K$3,"NA"),'MITRE ATT&amp;CK Mappings'!$I673))),ISNUMBER(SEARCH(IF(K$3&lt;&gt;"",K$3,"NA"),'MITRE ATT&amp;CK Mappings'!$J673))), 'MITRE ATT&amp;CK Mappings'!$B673,"")</f>
        <v/>
      </c>
      <c r="L677" s="27" t="str">
        <f>IF('MITRE ATT&amp;CK Mappings'!D673 &lt;&gt;"",'MITRE ATT&amp;CK Mappings'!D673,"" )</f>
        <v/>
      </c>
    </row>
    <row r="678" spans="1:12" x14ac:dyDescent="0.25">
      <c r="A678" s="26" t="str">
        <f>IF(COUNTIF(B678:K678,"="&amp;'MITRE ATT&amp;CK Mappings'!B674)&gt;0,'MITRE ATT&amp;CK Mappings'!B674,"")</f>
        <v/>
      </c>
      <c r="B678" s="26" t="str">
        <f>IF(OR(OR(OR(OR(OR(ISNUMBER(SEARCH(IF(B$1&lt;&gt;"",B$1,"NA"),'MITRE ATT&amp;CK Mappings'!$E674)),ISNUMBER(SEARCH(IF(B$1&lt;&gt;"",B$1,"NA"),'MITRE ATT&amp;CK Mappings'!$F674))),ISNUMBER(SEARCH(IF(B$2&lt;&gt;"",B$2,"NA"),'MITRE ATT&amp;CK Mappings'!$G674))),ISNUMBER(SEARCH(IF(B$2&lt;&gt;"",B$2,"NA"),'MITRE ATT&amp;CK Mappings'!$H674))),ISNUMBER(SEARCH(IF(B$3&lt;&gt;"",B$3,"NA"),'MITRE ATT&amp;CK Mappings'!$I674))),ISNUMBER(SEARCH(IF(B$3&lt;&gt;"",B$3,"NA"),'MITRE ATT&amp;CK Mappings'!$J674))), 'MITRE ATT&amp;CK Mappings'!$B674,"")</f>
        <v/>
      </c>
      <c r="C678" s="26" t="str">
        <f>IF(OR(OR(OR(OR(OR(ISNUMBER(SEARCH(IF(C$1&lt;&gt;"",C$1,"NA"),'MITRE ATT&amp;CK Mappings'!$E674)),ISNUMBER(SEARCH(IF(C$1&lt;&gt;"",C$1,"NA"),'MITRE ATT&amp;CK Mappings'!$F674))),ISNUMBER(SEARCH(IF(C$2&lt;&gt;"",C$2,"NA"),'MITRE ATT&amp;CK Mappings'!$G674))),ISNUMBER(SEARCH(IF(C$2&lt;&gt;"",C$2,"NA"),'MITRE ATT&amp;CK Mappings'!$H674))),ISNUMBER(SEARCH(IF(C$3&lt;&gt;"",C$3,"NA"),'MITRE ATT&amp;CK Mappings'!$I674))),ISNUMBER(SEARCH(IF(C$3&lt;&gt;"",C$3,"NA"),'MITRE ATT&amp;CK Mappings'!$J674))), 'MITRE ATT&amp;CK Mappings'!$B674,"")</f>
        <v/>
      </c>
      <c r="D678" s="26" t="str">
        <f>IF(OR(OR(OR(OR(OR(ISNUMBER(SEARCH(IF(D$1&lt;&gt;"",D$1,"NA"),'MITRE ATT&amp;CK Mappings'!$E674)),ISNUMBER(SEARCH(IF(D$1&lt;&gt;"",D$1,"NA"),'MITRE ATT&amp;CK Mappings'!$F674))),ISNUMBER(SEARCH(IF(D$2&lt;&gt;"",D$2,"NA"),'MITRE ATT&amp;CK Mappings'!$G674))),ISNUMBER(SEARCH(IF(D$2&lt;&gt;"",D$2,"NA"),'MITRE ATT&amp;CK Mappings'!$H674))),ISNUMBER(SEARCH(IF(D$3&lt;&gt;"",D$3,"NA"),'MITRE ATT&amp;CK Mappings'!$I674))),ISNUMBER(SEARCH(IF(D$3&lt;&gt;"",D$3,"NA"),'MITRE ATT&amp;CK Mappings'!$J674))), 'MITRE ATT&amp;CK Mappings'!$B674,"")</f>
        <v/>
      </c>
      <c r="E678" s="26" t="str">
        <f>IF(OR(OR(OR(OR(OR(ISNUMBER(SEARCH(IF(E$1&lt;&gt;"",E$1,"NA"),'MITRE ATT&amp;CK Mappings'!$E674)),ISNUMBER(SEARCH(IF(E$1&lt;&gt;"",E$1,"NA"),'MITRE ATT&amp;CK Mappings'!$F674))),ISNUMBER(SEARCH(IF(E$2&lt;&gt;"",E$2,"NA"),'MITRE ATT&amp;CK Mappings'!$G674))),ISNUMBER(SEARCH(IF(E$2&lt;&gt;"",E$2,"NA"),'MITRE ATT&amp;CK Mappings'!$H674))),ISNUMBER(SEARCH(IF(E$3&lt;&gt;"",E$3,"NA"),'MITRE ATT&amp;CK Mappings'!$I674))),ISNUMBER(SEARCH(IF(E$3&lt;&gt;"",E$3,"NA"),'MITRE ATT&amp;CK Mappings'!$J674))), 'MITRE ATT&amp;CK Mappings'!$B674,"")</f>
        <v/>
      </c>
      <c r="F678" s="26" t="str">
        <f>IF(OR(OR(OR(OR(OR(ISNUMBER(SEARCH(IF(F$1&lt;&gt;"",F$1,"NA"),'MITRE ATT&amp;CK Mappings'!$E674)),ISNUMBER(SEARCH(IF(F$1&lt;&gt;"",F$1,"NA"),'MITRE ATT&amp;CK Mappings'!$F674))),ISNUMBER(SEARCH(IF(F$2&lt;&gt;"",F$2,"NA"),'MITRE ATT&amp;CK Mappings'!$G674))),ISNUMBER(SEARCH(IF(F$2&lt;&gt;"",F$2,"NA"),'MITRE ATT&amp;CK Mappings'!$H674))),ISNUMBER(SEARCH(IF(F$3&lt;&gt;"",F$3,"NA"),'MITRE ATT&amp;CK Mappings'!$I674))),ISNUMBER(SEARCH(IF(F$3&lt;&gt;"",F$3,"NA"),'MITRE ATT&amp;CK Mappings'!$J674))), 'MITRE ATT&amp;CK Mappings'!$B674,"")</f>
        <v/>
      </c>
      <c r="G678" s="26" t="str">
        <f>IF(OR(OR(OR(OR(OR(ISNUMBER(SEARCH(IF(G$1&lt;&gt;"",G$1,"NA"),'MITRE ATT&amp;CK Mappings'!$E674)),ISNUMBER(SEARCH(IF(G$1&lt;&gt;"",G$1,"NA"),'MITRE ATT&amp;CK Mappings'!$F674))),ISNUMBER(SEARCH(IF(G$2&lt;&gt;"",G$2,"NA"),'MITRE ATT&amp;CK Mappings'!$G674))),ISNUMBER(SEARCH(IF(G$2&lt;&gt;"",G$2,"NA"),'MITRE ATT&amp;CK Mappings'!$H674))),ISNUMBER(SEARCH(IF(G$3&lt;&gt;"",G$3,"NA"),'MITRE ATT&amp;CK Mappings'!$I674))),ISNUMBER(SEARCH(IF(G$3&lt;&gt;"",G$3,"NA"),'MITRE ATT&amp;CK Mappings'!$J674))), 'MITRE ATT&amp;CK Mappings'!$B674,"")</f>
        <v/>
      </c>
      <c r="H678" s="26" t="str">
        <f>IF(OR(OR(OR(OR(OR(ISNUMBER(SEARCH(IF(H$1&lt;&gt;"",H$1,"NA"),'MITRE ATT&amp;CK Mappings'!$E674)),ISNUMBER(SEARCH(IF(H$1&lt;&gt;"",H$1,"NA"),'MITRE ATT&amp;CK Mappings'!$F674))),ISNUMBER(SEARCH(IF(H$2&lt;&gt;"",H$2,"NA"),'MITRE ATT&amp;CK Mappings'!$G674))),ISNUMBER(SEARCH(IF(H$2&lt;&gt;"",H$2,"NA"),'MITRE ATT&amp;CK Mappings'!$H674))),ISNUMBER(SEARCH(IF(H$3&lt;&gt;"",H$3,"NA"),'MITRE ATT&amp;CK Mappings'!$I674))),ISNUMBER(SEARCH(IF(H$3&lt;&gt;"",H$3,"NA"),'MITRE ATT&amp;CK Mappings'!$J674))), 'MITRE ATT&amp;CK Mappings'!$B674,"")</f>
        <v/>
      </c>
      <c r="I678" s="26" t="str">
        <f>IF(OR(OR(OR(OR(OR(ISNUMBER(SEARCH(IF(I$1&lt;&gt;"",I$1,"NA"),'MITRE ATT&amp;CK Mappings'!$E674)),ISNUMBER(SEARCH(IF(I$1&lt;&gt;"",I$1,"NA"),'MITRE ATT&amp;CK Mappings'!$F674))),ISNUMBER(SEARCH(IF(I$2&lt;&gt;"",I$2,"NA"),'MITRE ATT&amp;CK Mappings'!$G674))),ISNUMBER(SEARCH(IF(I$2&lt;&gt;"",I$2,"NA"),'MITRE ATT&amp;CK Mappings'!$H674))),ISNUMBER(SEARCH(IF(I$3&lt;&gt;"",I$3,"NA"),'MITRE ATT&amp;CK Mappings'!$I674))),ISNUMBER(SEARCH(IF(I$3&lt;&gt;"",I$3,"NA"),'MITRE ATT&amp;CK Mappings'!$J674))), 'MITRE ATT&amp;CK Mappings'!$B674,"")</f>
        <v/>
      </c>
      <c r="J678" s="26" t="str">
        <f>IF(OR(OR(OR(OR(OR(ISNUMBER(SEARCH(IF(J$1&lt;&gt;"",J$1,"NA"),'MITRE ATT&amp;CK Mappings'!$E674)),ISNUMBER(SEARCH(IF(J$1&lt;&gt;"",J$1,"NA"),'MITRE ATT&amp;CK Mappings'!$F674))),ISNUMBER(SEARCH(IF(J$2&lt;&gt;"",J$2,"NA"),'MITRE ATT&amp;CK Mappings'!$G674))),ISNUMBER(SEARCH(IF(J$2&lt;&gt;"",J$2,"NA"),'MITRE ATT&amp;CK Mappings'!$H674))),ISNUMBER(SEARCH(IF(J$3&lt;&gt;"",J$3,"NA"),'MITRE ATT&amp;CK Mappings'!$I674))),ISNUMBER(SEARCH(IF(J$3&lt;&gt;"",J$3,"NA"),'MITRE ATT&amp;CK Mappings'!$J674))), 'MITRE ATT&amp;CK Mappings'!$B674,"")</f>
        <v/>
      </c>
      <c r="K678" s="26" t="str">
        <f>IF(OR(OR(OR(OR(OR(ISNUMBER(SEARCH(IF(K$1&lt;&gt;"",K$1,"NA"),'MITRE ATT&amp;CK Mappings'!$E674)),ISNUMBER(SEARCH(IF(K$1&lt;&gt;"",K$1,"NA"),'MITRE ATT&amp;CK Mappings'!$F674))),ISNUMBER(SEARCH(IF(K$2&lt;&gt;"",K$2,"NA"),'MITRE ATT&amp;CK Mappings'!$G674))),ISNUMBER(SEARCH(IF(K$2&lt;&gt;"",K$2,"NA"),'MITRE ATT&amp;CK Mappings'!$H674))),ISNUMBER(SEARCH(IF(K$3&lt;&gt;"",K$3,"NA"),'MITRE ATT&amp;CK Mappings'!$I674))),ISNUMBER(SEARCH(IF(K$3&lt;&gt;"",K$3,"NA"),'MITRE ATT&amp;CK Mappings'!$J674))), 'MITRE ATT&amp;CK Mappings'!$B674,"")</f>
        <v/>
      </c>
      <c r="L678" s="26" t="str">
        <f>IF('MITRE ATT&amp;CK Mappings'!D674 &lt;&gt;"",'MITRE ATT&amp;CK Mappings'!D674,"" )</f>
        <v/>
      </c>
    </row>
    <row r="679" spans="1:12" x14ac:dyDescent="0.25">
      <c r="A679" s="27" t="str">
        <f>IF(COUNTIF(B679:K679,"="&amp;'MITRE ATT&amp;CK Mappings'!B675)&gt;0,'MITRE ATT&amp;CK Mappings'!B675,"")</f>
        <v/>
      </c>
      <c r="B679" s="27" t="str">
        <f>IF(OR(OR(OR(OR(OR(ISNUMBER(SEARCH(IF(B$1&lt;&gt;"",B$1,"NA"),'MITRE ATT&amp;CK Mappings'!$E675)),ISNUMBER(SEARCH(IF(B$1&lt;&gt;"",B$1,"NA"),'MITRE ATT&amp;CK Mappings'!$F675))),ISNUMBER(SEARCH(IF(B$2&lt;&gt;"",B$2,"NA"),'MITRE ATT&amp;CK Mappings'!$G675))),ISNUMBER(SEARCH(IF(B$2&lt;&gt;"",B$2,"NA"),'MITRE ATT&amp;CK Mappings'!$H675))),ISNUMBER(SEARCH(IF(B$3&lt;&gt;"",B$3,"NA"),'MITRE ATT&amp;CK Mappings'!$I675))),ISNUMBER(SEARCH(IF(B$3&lt;&gt;"",B$3,"NA"),'MITRE ATT&amp;CK Mappings'!$J675))), 'MITRE ATT&amp;CK Mappings'!$B675,"")</f>
        <v/>
      </c>
      <c r="C679" s="27" t="str">
        <f>IF(OR(OR(OR(OR(OR(ISNUMBER(SEARCH(IF(C$1&lt;&gt;"",C$1,"NA"),'MITRE ATT&amp;CK Mappings'!$E675)),ISNUMBER(SEARCH(IF(C$1&lt;&gt;"",C$1,"NA"),'MITRE ATT&amp;CK Mappings'!$F675))),ISNUMBER(SEARCH(IF(C$2&lt;&gt;"",C$2,"NA"),'MITRE ATT&amp;CK Mappings'!$G675))),ISNUMBER(SEARCH(IF(C$2&lt;&gt;"",C$2,"NA"),'MITRE ATT&amp;CK Mappings'!$H675))),ISNUMBER(SEARCH(IF(C$3&lt;&gt;"",C$3,"NA"),'MITRE ATT&amp;CK Mappings'!$I675))),ISNUMBER(SEARCH(IF(C$3&lt;&gt;"",C$3,"NA"),'MITRE ATT&amp;CK Mappings'!$J675))), 'MITRE ATT&amp;CK Mappings'!$B675,"")</f>
        <v/>
      </c>
      <c r="D679" s="27" t="str">
        <f>IF(OR(OR(OR(OR(OR(ISNUMBER(SEARCH(IF(D$1&lt;&gt;"",D$1,"NA"),'MITRE ATT&amp;CK Mappings'!$E675)),ISNUMBER(SEARCH(IF(D$1&lt;&gt;"",D$1,"NA"),'MITRE ATT&amp;CK Mappings'!$F675))),ISNUMBER(SEARCH(IF(D$2&lt;&gt;"",D$2,"NA"),'MITRE ATT&amp;CK Mappings'!$G675))),ISNUMBER(SEARCH(IF(D$2&lt;&gt;"",D$2,"NA"),'MITRE ATT&amp;CK Mappings'!$H675))),ISNUMBER(SEARCH(IF(D$3&lt;&gt;"",D$3,"NA"),'MITRE ATT&amp;CK Mappings'!$I675))),ISNUMBER(SEARCH(IF(D$3&lt;&gt;"",D$3,"NA"),'MITRE ATT&amp;CK Mappings'!$J675))), 'MITRE ATT&amp;CK Mappings'!$B675,"")</f>
        <v/>
      </c>
      <c r="E679" s="27" t="str">
        <f>IF(OR(OR(OR(OR(OR(ISNUMBER(SEARCH(IF(E$1&lt;&gt;"",E$1,"NA"),'MITRE ATT&amp;CK Mappings'!$E675)),ISNUMBER(SEARCH(IF(E$1&lt;&gt;"",E$1,"NA"),'MITRE ATT&amp;CK Mappings'!$F675))),ISNUMBER(SEARCH(IF(E$2&lt;&gt;"",E$2,"NA"),'MITRE ATT&amp;CK Mappings'!$G675))),ISNUMBER(SEARCH(IF(E$2&lt;&gt;"",E$2,"NA"),'MITRE ATT&amp;CK Mappings'!$H675))),ISNUMBER(SEARCH(IF(E$3&lt;&gt;"",E$3,"NA"),'MITRE ATT&amp;CK Mappings'!$I675))),ISNUMBER(SEARCH(IF(E$3&lt;&gt;"",E$3,"NA"),'MITRE ATT&amp;CK Mappings'!$J675))), 'MITRE ATT&amp;CK Mappings'!$B675,"")</f>
        <v/>
      </c>
      <c r="F679" s="27" t="str">
        <f>IF(OR(OR(OR(OR(OR(ISNUMBER(SEARCH(IF(F$1&lt;&gt;"",F$1,"NA"),'MITRE ATT&amp;CK Mappings'!$E675)),ISNUMBER(SEARCH(IF(F$1&lt;&gt;"",F$1,"NA"),'MITRE ATT&amp;CK Mappings'!$F675))),ISNUMBER(SEARCH(IF(F$2&lt;&gt;"",F$2,"NA"),'MITRE ATT&amp;CK Mappings'!$G675))),ISNUMBER(SEARCH(IF(F$2&lt;&gt;"",F$2,"NA"),'MITRE ATT&amp;CK Mappings'!$H675))),ISNUMBER(SEARCH(IF(F$3&lt;&gt;"",F$3,"NA"),'MITRE ATT&amp;CK Mappings'!$I675))),ISNUMBER(SEARCH(IF(F$3&lt;&gt;"",F$3,"NA"),'MITRE ATT&amp;CK Mappings'!$J675))), 'MITRE ATT&amp;CK Mappings'!$B675,"")</f>
        <v/>
      </c>
      <c r="G679" s="27" t="str">
        <f>IF(OR(OR(OR(OR(OR(ISNUMBER(SEARCH(IF(G$1&lt;&gt;"",G$1,"NA"),'MITRE ATT&amp;CK Mappings'!$E675)),ISNUMBER(SEARCH(IF(G$1&lt;&gt;"",G$1,"NA"),'MITRE ATT&amp;CK Mappings'!$F675))),ISNUMBER(SEARCH(IF(G$2&lt;&gt;"",G$2,"NA"),'MITRE ATT&amp;CK Mappings'!$G675))),ISNUMBER(SEARCH(IF(G$2&lt;&gt;"",G$2,"NA"),'MITRE ATT&amp;CK Mappings'!$H675))),ISNUMBER(SEARCH(IF(G$3&lt;&gt;"",G$3,"NA"),'MITRE ATT&amp;CK Mappings'!$I675))),ISNUMBER(SEARCH(IF(G$3&lt;&gt;"",G$3,"NA"),'MITRE ATT&amp;CK Mappings'!$J675))), 'MITRE ATT&amp;CK Mappings'!$B675,"")</f>
        <v/>
      </c>
      <c r="H679" s="27" t="str">
        <f>IF(OR(OR(OR(OR(OR(ISNUMBER(SEARCH(IF(H$1&lt;&gt;"",H$1,"NA"),'MITRE ATT&amp;CK Mappings'!$E675)),ISNUMBER(SEARCH(IF(H$1&lt;&gt;"",H$1,"NA"),'MITRE ATT&amp;CK Mappings'!$F675))),ISNUMBER(SEARCH(IF(H$2&lt;&gt;"",H$2,"NA"),'MITRE ATT&amp;CK Mappings'!$G675))),ISNUMBER(SEARCH(IF(H$2&lt;&gt;"",H$2,"NA"),'MITRE ATT&amp;CK Mappings'!$H675))),ISNUMBER(SEARCH(IF(H$3&lt;&gt;"",H$3,"NA"),'MITRE ATT&amp;CK Mappings'!$I675))),ISNUMBER(SEARCH(IF(H$3&lt;&gt;"",H$3,"NA"),'MITRE ATT&amp;CK Mappings'!$J675))), 'MITRE ATT&amp;CK Mappings'!$B675,"")</f>
        <v/>
      </c>
      <c r="I679" s="27" t="str">
        <f>IF(OR(OR(OR(OR(OR(ISNUMBER(SEARCH(IF(I$1&lt;&gt;"",I$1,"NA"),'MITRE ATT&amp;CK Mappings'!$E675)),ISNUMBER(SEARCH(IF(I$1&lt;&gt;"",I$1,"NA"),'MITRE ATT&amp;CK Mappings'!$F675))),ISNUMBER(SEARCH(IF(I$2&lt;&gt;"",I$2,"NA"),'MITRE ATT&amp;CK Mappings'!$G675))),ISNUMBER(SEARCH(IF(I$2&lt;&gt;"",I$2,"NA"),'MITRE ATT&amp;CK Mappings'!$H675))),ISNUMBER(SEARCH(IF(I$3&lt;&gt;"",I$3,"NA"),'MITRE ATT&amp;CK Mappings'!$I675))),ISNUMBER(SEARCH(IF(I$3&lt;&gt;"",I$3,"NA"),'MITRE ATT&amp;CK Mappings'!$J675))), 'MITRE ATT&amp;CK Mappings'!$B675,"")</f>
        <v/>
      </c>
      <c r="J679" s="27" t="str">
        <f>IF(OR(OR(OR(OR(OR(ISNUMBER(SEARCH(IF(J$1&lt;&gt;"",J$1,"NA"),'MITRE ATT&amp;CK Mappings'!$E675)),ISNUMBER(SEARCH(IF(J$1&lt;&gt;"",J$1,"NA"),'MITRE ATT&amp;CK Mappings'!$F675))),ISNUMBER(SEARCH(IF(J$2&lt;&gt;"",J$2,"NA"),'MITRE ATT&amp;CK Mappings'!$G675))),ISNUMBER(SEARCH(IF(J$2&lt;&gt;"",J$2,"NA"),'MITRE ATT&amp;CK Mappings'!$H675))),ISNUMBER(SEARCH(IF(J$3&lt;&gt;"",J$3,"NA"),'MITRE ATT&amp;CK Mappings'!$I675))),ISNUMBER(SEARCH(IF(J$3&lt;&gt;"",J$3,"NA"),'MITRE ATT&amp;CK Mappings'!$J675))), 'MITRE ATT&amp;CK Mappings'!$B675,"")</f>
        <v/>
      </c>
      <c r="K679" s="27" t="str">
        <f>IF(OR(OR(OR(OR(OR(ISNUMBER(SEARCH(IF(K$1&lt;&gt;"",K$1,"NA"),'MITRE ATT&amp;CK Mappings'!$E675)),ISNUMBER(SEARCH(IF(K$1&lt;&gt;"",K$1,"NA"),'MITRE ATT&amp;CK Mappings'!$F675))),ISNUMBER(SEARCH(IF(K$2&lt;&gt;"",K$2,"NA"),'MITRE ATT&amp;CK Mappings'!$G675))),ISNUMBER(SEARCH(IF(K$2&lt;&gt;"",K$2,"NA"),'MITRE ATT&amp;CK Mappings'!$H675))),ISNUMBER(SEARCH(IF(K$3&lt;&gt;"",K$3,"NA"),'MITRE ATT&amp;CK Mappings'!$I675))),ISNUMBER(SEARCH(IF(K$3&lt;&gt;"",K$3,"NA"),'MITRE ATT&amp;CK Mappings'!$J675))), 'MITRE ATT&amp;CK Mappings'!$B675,"")</f>
        <v/>
      </c>
      <c r="L679" s="27" t="str">
        <f>IF('MITRE ATT&amp;CK Mappings'!D675 &lt;&gt;"",'MITRE ATT&amp;CK Mappings'!D675,"" )</f>
        <v/>
      </c>
    </row>
    <row r="680" spans="1:12" x14ac:dyDescent="0.25">
      <c r="A680" s="26" t="str">
        <f>IF(COUNTIF(B680:K680,"="&amp;'MITRE ATT&amp;CK Mappings'!B676)&gt;0,'MITRE ATT&amp;CK Mappings'!B676,"")</f>
        <v/>
      </c>
      <c r="B680" s="26" t="str">
        <f>IF(OR(OR(OR(OR(OR(ISNUMBER(SEARCH(IF(B$1&lt;&gt;"",B$1,"NA"),'MITRE ATT&amp;CK Mappings'!$E676)),ISNUMBER(SEARCH(IF(B$1&lt;&gt;"",B$1,"NA"),'MITRE ATT&amp;CK Mappings'!$F676))),ISNUMBER(SEARCH(IF(B$2&lt;&gt;"",B$2,"NA"),'MITRE ATT&amp;CK Mappings'!$G676))),ISNUMBER(SEARCH(IF(B$2&lt;&gt;"",B$2,"NA"),'MITRE ATT&amp;CK Mappings'!$H676))),ISNUMBER(SEARCH(IF(B$3&lt;&gt;"",B$3,"NA"),'MITRE ATT&amp;CK Mappings'!$I676))),ISNUMBER(SEARCH(IF(B$3&lt;&gt;"",B$3,"NA"),'MITRE ATT&amp;CK Mappings'!$J676))), 'MITRE ATT&amp;CK Mappings'!$B676,"")</f>
        <v/>
      </c>
      <c r="C680" s="26" t="str">
        <f>IF(OR(OR(OR(OR(OR(ISNUMBER(SEARCH(IF(C$1&lt;&gt;"",C$1,"NA"),'MITRE ATT&amp;CK Mappings'!$E676)),ISNUMBER(SEARCH(IF(C$1&lt;&gt;"",C$1,"NA"),'MITRE ATT&amp;CK Mappings'!$F676))),ISNUMBER(SEARCH(IF(C$2&lt;&gt;"",C$2,"NA"),'MITRE ATT&amp;CK Mappings'!$G676))),ISNUMBER(SEARCH(IF(C$2&lt;&gt;"",C$2,"NA"),'MITRE ATT&amp;CK Mappings'!$H676))),ISNUMBER(SEARCH(IF(C$3&lt;&gt;"",C$3,"NA"),'MITRE ATT&amp;CK Mappings'!$I676))),ISNUMBER(SEARCH(IF(C$3&lt;&gt;"",C$3,"NA"),'MITRE ATT&amp;CK Mappings'!$J676))), 'MITRE ATT&amp;CK Mappings'!$B676,"")</f>
        <v/>
      </c>
      <c r="D680" s="26" t="str">
        <f>IF(OR(OR(OR(OR(OR(ISNUMBER(SEARCH(IF(D$1&lt;&gt;"",D$1,"NA"),'MITRE ATT&amp;CK Mappings'!$E676)),ISNUMBER(SEARCH(IF(D$1&lt;&gt;"",D$1,"NA"),'MITRE ATT&amp;CK Mappings'!$F676))),ISNUMBER(SEARCH(IF(D$2&lt;&gt;"",D$2,"NA"),'MITRE ATT&amp;CK Mappings'!$G676))),ISNUMBER(SEARCH(IF(D$2&lt;&gt;"",D$2,"NA"),'MITRE ATT&amp;CK Mappings'!$H676))),ISNUMBER(SEARCH(IF(D$3&lt;&gt;"",D$3,"NA"),'MITRE ATT&amp;CK Mappings'!$I676))),ISNUMBER(SEARCH(IF(D$3&lt;&gt;"",D$3,"NA"),'MITRE ATT&amp;CK Mappings'!$J676))), 'MITRE ATT&amp;CK Mappings'!$B676,"")</f>
        <v/>
      </c>
      <c r="E680" s="26" t="str">
        <f>IF(OR(OR(OR(OR(OR(ISNUMBER(SEARCH(IF(E$1&lt;&gt;"",E$1,"NA"),'MITRE ATT&amp;CK Mappings'!$E676)),ISNUMBER(SEARCH(IF(E$1&lt;&gt;"",E$1,"NA"),'MITRE ATT&amp;CK Mappings'!$F676))),ISNUMBER(SEARCH(IF(E$2&lt;&gt;"",E$2,"NA"),'MITRE ATT&amp;CK Mappings'!$G676))),ISNUMBER(SEARCH(IF(E$2&lt;&gt;"",E$2,"NA"),'MITRE ATT&amp;CK Mappings'!$H676))),ISNUMBER(SEARCH(IF(E$3&lt;&gt;"",E$3,"NA"),'MITRE ATT&amp;CK Mappings'!$I676))),ISNUMBER(SEARCH(IF(E$3&lt;&gt;"",E$3,"NA"),'MITRE ATT&amp;CK Mappings'!$J676))), 'MITRE ATT&amp;CK Mappings'!$B676,"")</f>
        <v/>
      </c>
      <c r="F680" s="26" t="str">
        <f>IF(OR(OR(OR(OR(OR(ISNUMBER(SEARCH(IF(F$1&lt;&gt;"",F$1,"NA"),'MITRE ATT&amp;CK Mappings'!$E676)),ISNUMBER(SEARCH(IF(F$1&lt;&gt;"",F$1,"NA"),'MITRE ATT&amp;CK Mappings'!$F676))),ISNUMBER(SEARCH(IF(F$2&lt;&gt;"",F$2,"NA"),'MITRE ATT&amp;CK Mappings'!$G676))),ISNUMBER(SEARCH(IF(F$2&lt;&gt;"",F$2,"NA"),'MITRE ATT&amp;CK Mappings'!$H676))),ISNUMBER(SEARCH(IF(F$3&lt;&gt;"",F$3,"NA"),'MITRE ATT&amp;CK Mappings'!$I676))),ISNUMBER(SEARCH(IF(F$3&lt;&gt;"",F$3,"NA"),'MITRE ATT&amp;CK Mappings'!$J676))), 'MITRE ATT&amp;CK Mappings'!$B676,"")</f>
        <v/>
      </c>
      <c r="G680" s="26" t="str">
        <f>IF(OR(OR(OR(OR(OR(ISNUMBER(SEARCH(IF(G$1&lt;&gt;"",G$1,"NA"),'MITRE ATT&amp;CK Mappings'!$E676)),ISNUMBER(SEARCH(IF(G$1&lt;&gt;"",G$1,"NA"),'MITRE ATT&amp;CK Mappings'!$F676))),ISNUMBER(SEARCH(IF(G$2&lt;&gt;"",G$2,"NA"),'MITRE ATT&amp;CK Mappings'!$G676))),ISNUMBER(SEARCH(IF(G$2&lt;&gt;"",G$2,"NA"),'MITRE ATT&amp;CK Mappings'!$H676))),ISNUMBER(SEARCH(IF(G$3&lt;&gt;"",G$3,"NA"),'MITRE ATT&amp;CK Mappings'!$I676))),ISNUMBER(SEARCH(IF(G$3&lt;&gt;"",G$3,"NA"),'MITRE ATT&amp;CK Mappings'!$J676))), 'MITRE ATT&amp;CK Mappings'!$B676,"")</f>
        <v/>
      </c>
      <c r="H680" s="26" t="str">
        <f>IF(OR(OR(OR(OR(OR(ISNUMBER(SEARCH(IF(H$1&lt;&gt;"",H$1,"NA"),'MITRE ATT&amp;CK Mappings'!$E676)),ISNUMBER(SEARCH(IF(H$1&lt;&gt;"",H$1,"NA"),'MITRE ATT&amp;CK Mappings'!$F676))),ISNUMBER(SEARCH(IF(H$2&lt;&gt;"",H$2,"NA"),'MITRE ATT&amp;CK Mappings'!$G676))),ISNUMBER(SEARCH(IF(H$2&lt;&gt;"",H$2,"NA"),'MITRE ATT&amp;CK Mappings'!$H676))),ISNUMBER(SEARCH(IF(H$3&lt;&gt;"",H$3,"NA"),'MITRE ATT&amp;CK Mappings'!$I676))),ISNUMBER(SEARCH(IF(H$3&lt;&gt;"",H$3,"NA"),'MITRE ATT&amp;CK Mappings'!$J676))), 'MITRE ATT&amp;CK Mappings'!$B676,"")</f>
        <v/>
      </c>
      <c r="I680" s="26" t="str">
        <f>IF(OR(OR(OR(OR(OR(ISNUMBER(SEARCH(IF(I$1&lt;&gt;"",I$1,"NA"),'MITRE ATT&amp;CK Mappings'!$E676)),ISNUMBER(SEARCH(IF(I$1&lt;&gt;"",I$1,"NA"),'MITRE ATT&amp;CK Mappings'!$F676))),ISNUMBER(SEARCH(IF(I$2&lt;&gt;"",I$2,"NA"),'MITRE ATT&amp;CK Mappings'!$G676))),ISNUMBER(SEARCH(IF(I$2&lt;&gt;"",I$2,"NA"),'MITRE ATT&amp;CK Mappings'!$H676))),ISNUMBER(SEARCH(IF(I$3&lt;&gt;"",I$3,"NA"),'MITRE ATT&amp;CK Mappings'!$I676))),ISNUMBER(SEARCH(IF(I$3&lt;&gt;"",I$3,"NA"),'MITRE ATT&amp;CK Mappings'!$J676))), 'MITRE ATT&amp;CK Mappings'!$B676,"")</f>
        <v/>
      </c>
      <c r="J680" s="26" t="str">
        <f>IF(OR(OR(OR(OR(OR(ISNUMBER(SEARCH(IF(J$1&lt;&gt;"",J$1,"NA"),'MITRE ATT&amp;CK Mappings'!$E676)),ISNUMBER(SEARCH(IF(J$1&lt;&gt;"",J$1,"NA"),'MITRE ATT&amp;CK Mappings'!$F676))),ISNUMBER(SEARCH(IF(J$2&lt;&gt;"",J$2,"NA"),'MITRE ATT&amp;CK Mappings'!$G676))),ISNUMBER(SEARCH(IF(J$2&lt;&gt;"",J$2,"NA"),'MITRE ATT&amp;CK Mappings'!$H676))),ISNUMBER(SEARCH(IF(J$3&lt;&gt;"",J$3,"NA"),'MITRE ATT&amp;CK Mappings'!$I676))),ISNUMBER(SEARCH(IF(J$3&lt;&gt;"",J$3,"NA"),'MITRE ATT&amp;CK Mappings'!$J676))), 'MITRE ATT&amp;CK Mappings'!$B676,"")</f>
        <v/>
      </c>
      <c r="K680" s="26" t="str">
        <f>IF(OR(OR(OR(OR(OR(ISNUMBER(SEARCH(IF(K$1&lt;&gt;"",K$1,"NA"),'MITRE ATT&amp;CK Mappings'!$E676)),ISNUMBER(SEARCH(IF(K$1&lt;&gt;"",K$1,"NA"),'MITRE ATT&amp;CK Mappings'!$F676))),ISNUMBER(SEARCH(IF(K$2&lt;&gt;"",K$2,"NA"),'MITRE ATT&amp;CK Mappings'!$G676))),ISNUMBER(SEARCH(IF(K$2&lt;&gt;"",K$2,"NA"),'MITRE ATT&amp;CK Mappings'!$H676))),ISNUMBER(SEARCH(IF(K$3&lt;&gt;"",K$3,"NA"),'MITRE ATT&amp;CK Mappings'!$I676))),ISNUMBER(SEARCH(IF(K$3&lt;&gt;"",K$3,"NA"),'MITRE ATT&amp;CK Mappings'!$J676))), 'MITRE ATT&amp;CK Mappings'!$B676,"")</f>
        <v/>
      </c>
      <c r="L680" s="26" t="str">
        <f>IF('MITRE ATT&amp;CK Mappings'!D676 &lt;&gt;"",'MITRE ATT&amp;CK Mappings'!D676,"" )</f>
        <v/>
      </c>
    </row>
    <row r="681" spans="1:12" x14ac:dyDescent="0.25">
      <c r="A681" s="27" t="str">
        <f>IF(COUNTIF(B681:K681,"="&amp;'MITRE ATT&amp;CK Mappings'!B677)&gt;0,'MITRE ATT&amp;CK Mappings'!B677,"")</f>
        <v/>
      </c>
      <c r="B681" s="27" t="str">
        <f>IF(OR(OR(OR(OR(OR(ISNUMBER(SEARCH(IF(B$1&lt;&gt;"",B$1,"NA"),'MITRE ATT&amp;CK Mappings'!$E677)),ISNUMBER(SEARCH(IF(B$1&lt;&gt;"",B$1,"NA"),'MITRE ATT&amp;CK Mappings'!$F677))),ISNUMBER(SEARCH(IF(B$2&lt;&gt;"",B$2,"NA"),'MITRE ATT&amp;CK Mappings'!$G677))),ISNUMBER(SEARCH(IF(B$2&lt;&gt;"",B$2,"NA"),'MITRE ATT&amp;CK Mappings'!$H677))),ISNUMBER(SEARCH(IF(B$3&lt;&gt;"",B$3,"NA"),'MITRE ATT&amp;CK Mappings'!$I677))),ISNUMBER(SEARCH(IF(B$3&lt;&gt;"",B$3,"NA"),'MITRE ATT&amp;CK Mappings'!$J677))), 'MITRE ATT&amp;CK Mappings'!$B677,"")</f>
        <v/>
      </c>
      <c r="C681" s="27" t="str">
        <f>IF(OR(OR(OR(OR(OR(ISNUMBER(SEARCH(IF(C$1&lt;&gt;"",C$1,"NA"),'MITRE ATT&amp;CK Mappings'!$E677)),ISNUMBER(SEARCH(IF(C$1&lt;&gt;"",C$1,"NA"),'MITRE ATT&amp;CK Mappings'!$F677))),ISNUMBER(SEARCH(IF(C$2&lt;&gt;"",C$2,"NA"),'MITRE ATT&amp;CK Mappings'!$G677))),ISNUMBER(SEARCH(IF(C$2&lt;&gt;"",C$2,"NA"),'MITRE ATT&amp;CK Mappings'!$H677))),ISNUMBER(SEARCH(IF(C$3&lt;&gt;"",C$3,"NA"),'MITRE ATT&amp;CK Mappings'!$I677))),ISNUMBER(SEARCH(IF(C$3&lt;&gt;"",C$3,"NA"),'MITRE ATT&amp;CK Mappings'!$J677))), 'MITRE ATT&amp;CK Mappings'!$B677,"")</f>
        <v/>
      </c>
      <c r="D681" s="27" t="str">
        <f>IF(OR(OR(OR(OR(OR(ISNUMBER(SEARCH(IF(D$1&lt;&gt;"",D$1,"NA"),'MITRE ATT&amp;CK Mappings'!$E677)),ISNUMBER(SEARCH(IF(D$1&lt;&gt;"",D$1,"NA"),'MITRE ATT&amp;CK Mappings'!$F677))),ISNUMBER(SEARCH(IF(D$2&lt;&gt;"",D$2,"NA"),'MITRE ATT&amp;CK Mappings'!$G677))),ISNUMBER(SEARCH(IF(D$2&lt;&gt;"",D$2,"NA"),'MITRE ATT&amp;CK Mappings'!$H677))),ISNUMBER(SEARCH(IF(D$3&lt;&gt;"",D$3,"NA"),'MITRE ATT&amp;CK Mappings'!$I677))),ISNUMBER(SEARCH(IF(D$3&lt;&gt;"",D$3,"NA"),'MITRE ATT&amp;CK Mappings'!$J677))), 'MITRE ATT&amp;CK Mappings'!$B677,"")</f>
        <v/>
      </c>
      <c r="E681" s="27" t="str">
        <f>IF(OR(OR(OR(OR(OR(ISNUMBER(SEARCH(IF(E$1&lt;&gt;"",E$1,"NA"),'MITRE ATT&amp;CK Mappings'!$E677)),ISNUMBER(SEARCH(IF(E$1&lt;&gt;"",E$1,"NA"),'MITRE ATT&amp;CK Mappings'!$F677))),ISNUMBER(SEARCH(IF(E$2&lt;&gt;"",E$2,"NA"),'MITRE ATT&amp;CK Mappings'!$G677))),ISNUMBER(SEARCH(IF(E$2&lt;&gt;"",E$2,"NA"),'MITRE ATT&amp;CK Mappings'!$H677))),ISNUMBER(SEARCH(IF(E$3&lt;&gt;"",E$3,"NA"),'MITRE ATT&amp;CK Mappings'!$I677))),ISNUMBER(SEARCH(IF(E$3&lt;&gt;"",E$3,"NA"),'MITRE ATT&amp;CK Mappings'!$J677))), 'MITRE ATT&amp;CK Mappings'!$B677,"")</f>
        <v/>
      </c>
      <c r="F681" s="27" t="str">
        <f>IF(OR(OR(OR(OR(OR(ISNUMBER(SEARCH(IF(F$1&lt;&gt;"",F$1,"NA"),'MITRE ATT&amp;CK Mappings'!$E677)),ISNUMBER(SEARCH(IF(F$1&lt;&gt;"",F$1,"NA"),'MITRE ATT&amp;CK Mappings'!$F677))),ISNUMBER(SEARCH(IF(F$2&lt;&gt;"",F$2,"NA"),'MITRE ATT&amp;CK Mappings'!$G677))),ISNUMBER(SEARCH(IF(F$2&lt;&gt;"",F$2,"NA"),'MITRE ATT&amp;CK Mappings'!$H677))),ISNUMBER(SEARCH(IF(F$3&lt;&gt;"",F$3,"NA"),'MITRE ATT&amp;CK Mappings'!$I677))),ISNUMBER(SEARCH(IF(F$3&lt;&gt;"",F$3,"NA"),'MITRE ATT&amp;CK Mappings'!$J677))), 'MITRE ATT&amp;CK Mappings'!$B677,"")</f>
        <v/>
      </c>
      <c r="G681" s="27" t="str">
        <f>IF(OR(OR(OR(OR(OR(ISNUMBER(SEARCH(IF(G$1&lt;&gt;"",G$1,"NA"),'MITRE ATT&amp;CK Mappings'!$E677)),ISNUMBER(SEARCH(IF(G$1&lt;&gt;"",G$1,"NA"),'MITRE ATT&amp;CK Mappings'!$F677))),ISNUMBER(SEARCH(IF(G$2&lt;&gt;"",G$2,"NA"),'MITRE ATT&amp;CK Mappings'!$G677))),ISNUMBER(SEARCH(IF(G$2&lt;&gt;"",G$2,"NA"),'MITRE ATT&amp;CK Mappings'!$H677))),ISNUMBER(SEARCH(IF(G$3&lt;&gt;"",G$3,"NA"),'MITRE ATT&amp;CK Mappings'!$I677))),ISNUMBER(SEARCH(IF(G$3&lt;&gt;"",G$3,"NA"),'MITRE ATT&amp;CK Mappings'!$J677))), 'MITRE ATT&amp;CK Mappings'!$B677,"")</f>
        <v/>
      </c>
      <c r="H681" s="27" t="str">
        <f>IF(OR(OR(OR(OR(OR(ISNUMBER(SEARCH(IF(H$1&lt;&gt;"",H$1,"NA"),'MITRE ATT&amp;CK Mappings'!$E677)),ISNUMBER(SEARCH(IF(H$1&lt;&gt;"",H$1,"NA"),'MITRE ATT&amp;CK Mappings'!$F677))),ISNUMBER(SEARCH(IF(H$2&lt;&gt;"",H$2,"NA"),'MITRE ATT&amp;CK Mappings'!$G677))),ISNUMBER(SEARCH(IF(H$2&lt;&gt;"",H$2,"NA"),'MITRE ATT&amp;CK Mappings'!$H677))),ISNUMBER(SEARCH(IF(H$3&lt;&gt;"",H$3,"NA"),'MITRE ATT&amp;CK Mappings'!$I677))),ISNUMBER(SEARCH(IF(H$3&lt;&gt;"",H$3,"NA"),'MITRE ATT&amp;CK Mappings'!$J677))), 'MITRE ATT&amp;CK Mappings'!$B677,"")</f>
        <v/>
      </c>
      <c r="I681" s="27" t="str">
        <f>IF(OR(OR(OR(OR(OR(ISNUMBER(SEARCH(IF(I$1&lt;&gt;"",I$1,"NA"),'MITRE ATT&amp;CK Mappings'!$E677)),ISNUMBER(SEARCH(IF(I$1&lt;&gt;"",I$1,"NA"),'MITRE ATT&amp;CK Mappings'!$F677))),ISNUMBER(SEARCH(IF(I$2&lt;&gt;"",I$2,"NA"),'MITRE ATT&amp;CK Mappings'!$G677))),ISNUMBER(SEARCH(IF(I$2&lt;&gt;"",I$2,"NA"),'MITRE ATT&amp;CK Mappings'!$H677))),ISNUMBER(SEARCH(IF(I$3&lt;&gt;"",I$3,"NA"),'MITRE ATT&amp;CK Mappings'!$I677))),ISNUMBER(SEARCH(IF(I$3&lt;&gt;"",I$3,"NA"),'MITRE ATT&amp;CK Mappings'!$J677))), 'MITRE ATT&amp;CK Mappings'!$B677,"")</f>
        <v/>
      </c>
      <c r="J681" s="27" t="str">
        <f>IF(OR(OR(OR(OR(OR(ISNUMBER(SEARCH(IF(J$1&lt;&gt;"",J$1,"NA"),'MITRE ATT&amp;CK Mappings'!$E677)),ISNUMBER(SEARCH(IF(J$1&lt;&gt;"",J$1,"NA"),'MITRE ATT&amp;CK Mappings'!$F677))),ISNUMBER(SEARCH(IF(J$2&lt;&gt;"",J$2,"NA"),'MITRE ATT&amp;CK Mappings'!$G677))),ISNUMBER(SEARCH(IF(J$2&lt;&gt;"",J$2,"NA"),'MITRE ATT&amp;CK Mappings'!$H677))),ISNUMBER(SEARCH(IF(J$3&lt;&gt;"",J$3,"NA"),'MITRE ATT&amp;CK Mappings'!$I677))),ISNUMBER(SEARCH(IF(J$3&lt;&gt;"",J$3,"NA"),'MITRE ATT&amp;CK Mappings'!$J677))), 'MITRE ATT&amp;CK Mappings'!$B677,"")</f>
        <v/>
      </c>
      <c r="K681" s="27" t="str">
        <f>IF(OR(OR(OR(OR(OR(ISNUMBER(SEARCH(IF(K$1&lt;&gt;"",K$1,"NA"),'MITRE ATT&amp;CK Mappings'!$E677)),ISNUMBER(SEARCH(IF(K$1&lt;&gt;"",K$1,"NA"),'MITRE ATT&amp;CK Mappings'!$F677))),ISNUMBER(SEARCH(IF(K$2&lt;&gt;"",K$2,"NA"),'MITRE ATT&amp;CK Mappings'!$G677))),ISNUMBER(SEARCH(IF(K$2&lt;&gt;"",K$2,"NA"),'MITRE ATT&amp;CK Mappings'!$H677))),ISNUMBER(SEARCH(IF(K$3&lt;&gt;"",K$3,"NA"),'MITRE ATT&amp;CK Mappings'!$I677))),ISNUMBER(SEARCH(IF(K$3&lt;&gt;"",K$3,"NA"),'MITRE ATT&amp;CK Mappings'!$J677))), 'MITRE ATT&amp;CK Mappings'!$B677,"")</f>
        <v/>
      </c>
      <c r="L681" s="27" t="str">
        <f>IF('MITRE ATT&amp;CK Mappings'!D677 &lt;&gt;"",'MITRE ATT&amp;CK Mappings'!D677,"" )</f>
        <v/>
      </c>
    </row>
    <row r="682" spans="1:12" x14ac:dyDescent="0.25">
      <c r="A682" s="26" t="str">
        <f>IF(COUNTIF(B682:K682,"="&amp;'MITRE ATT&amp;CK Mappings'!B678)&gt;0,'MITRE ATT&amp;CK Mappings'!B678,"")</f>
        <v/>
      </c>
      <c r="B682" s="26" t="str">
        <f>IF(OR(OR(OR(OR(OR(ISNUMBER(SEARCH(IF(B$1&lt;&gt;"",B$1,"NA"),'MITRE ATT&amp;CK Mappings'!$E678)),ISNUMBER(SEARCH(IF(B$1&lt;&gt;"",B$1,"NA"),'MITRE ATT&amp;CK Mappings'!$F678))),ISNUMBER(SEARCH(IF(B$2&lt;&gt;"",B$2,"NA"),'MITRE ATT&amp;CK Mappings'!$G678))),ISNUMBER(SEARCH(IF(B$2&lt;&gt;"",B$2,"NA"),'MITRE ATT&amp;CK Mappings'!$H678))),ISNUMBER(SEARCH(IF(B$3&lt;&gt;"",B$3,"NA"),'MITRE ATT&amp;CK Mappings'!$I678))),ISNUMBER(SEARCH(IF(B$3&lt;&gt;"",B$3,"NA"),'MITRE ATT&amp;CK Mappings'!$J678))), 'MITRE ATT&amp;CK Mappings'!$B678,"")</f>
        <v/>
      </c>
      <c r="C682" s="26" t="str">
        <f>IF(OR(OR(OR(OR(OR(ISNUMBER(SEARCH(IF(C$1&lt;&gt;"",C$1,"NA"),'MITRE ATT&amp;CK Mappings'!$E678)),ISNUMBER(SEARCH(IF(C$1&lt;&gt;"",C$1,"NA"),'MITRE ATT&amp;CK Mappings'!$F678))),ISNUMBER(SEARCH(IF(C$2&lt;&gt;"",C$2,"NA"),'MITRE ATT&amp;CK Mappings'!$G678))),ISNUMBER(SEARCH(IF(C$2&lt;&gt;"",C$2,"NA"),'MITRE ATT&amp;CK Mappings'!$H678))),ISNUMBER(SEARCH(IF(C$3&lt;&gt;"",C$3,"NA"),'MITRE ATT&amp;CK Mappings'!$I678))),ISNUMBER(SEARCH(IF(C$3&lt;&gt;"",C$3,"NA"),'MITRE ATT&amp;CK Mappings'!$J678))), 'MITRE ATT&amp;CK Mappings'!$B678,"")</f>
        <v/>
      </c>
      <c r="D682" s="26" t="str">
        <f>IF(OR(OR(OR(OR(OR(ISNUMBER(SEARCH(IF(D$1&lt;&gt;"",D$1,"NA"),'MITRE ATT&amp;CK Mappings'!$E678)),ISNUMBER(SEARCH(IF(D$1&lt;&gt;"",D$1,"NA"),'MITRE ATT&amp;CK Mappings'!$F678))),ISNUMBER(SEARCH(IF(D$2&lt;&gt;"",D$2,"NA"),'MITRE ATT&amp;CK Mappings'!$G678))),ISNUMBER(SEARCH(IF(D$2&lt;&gt;"",D$2,"NA"),'MITRE ATT&amp;CK Mappings'!$H678))),ISNUMBER(SEARCH(IF(D$3&lt;&gt;"",D$3,"NA"),'MITRE ATT&amp;CK Mappings'!$I678))),ISNUMBER(SEARCH(IF(D$3&lt;&gt;"",D$3,"NA"),'MITRE ATT&amp;CK Mappings'!$J678))), 'MITRE ATT&amp;CK Mappings'!$B678,"")</f>
        <v/>
      </c>
      <c r="E682" s="26" t="str">
        <f>IF(OR(OR(OR(OR(OR(ISNUMBER(SEARCH(IF(E$1&lt;&gt;"",E$1,"NA"),'MITRE ATT&amp;CK Mappings'!$E678)),ISNUMBER(SEARCH(IF(E$1&lt;&gt;"",E$1,"NA"),'MITRE ATT&amp;CK Mappings'!$F678))),ISNUMBER(SEARCH(IF(E$2&lt;&gt;"",E$2,"NA"),'MITRE ATT&amp;CK Mappings'!$G678))),ISNUMBER(SEARCH(IF(E$2&lt;&gt;"",E$2,"NA"),'MITRE ATT&amp;CK Mappings'!$H678))),ISNUMBER(SEARCH(IF(E$3&lt;&gt;"",E$3,"NA"),'MITRE ATT&amp;CK Mappings'!$I678))),ISNUMBER(SEARCH(IF(E$3&lt;&gt;"",E$3,"NA"),'MITRE ATT&amp;CK Mappings'!$J678))), 'MITRE ATT&amp;CK Mappings'!$B678,"")</f>
        <v/>
      </c>
      <c r="F682" s="26" t="str">
        <f>IF(OR(OR(OR(OR(OR(ISNUMBER(SEARCH(IF(F$1&lt;&gt;"",F$1,"NA"),'MITRE ATT&amp;CK Mappings'!$E678)),ISNUMBER(SEARCH(IF(F$1&lt;&gt;"",F$1,"NA"),'MITRE ATT&amp;CK Mappings'!$F678))),ISNUMBER(SEARCH(IF(F$2&lt;&gt;"",F$2,"NA"),'MITRE ATT&amp;CK Mappings'!$G678))),ISNUMBER(SEARCH(IF(F$2&lt;&gt;"",F$2,"NA"),'MITRE ATT&amp;CK Mappings'!$H678))),ISNUMBER(SEARCH(IF(F$3&lt;&gt;"",F$3,"NA"),'MITRE ATT&amp;CK Mappings'!$I678))),ISNUMBER(SEARCH(IF(F$3&lt;&gt;"",F$3,"NA"),'MITRE ATT&amp;CK Mappings'!$J678))), 'MITRE ATT&amp;CK Mappings'!$B678,"")</f>
        <v/>
      </c>
      <c r="G682" s="26" t="str">
        <f>IF(OR(OR(OR(OR(OR(ISNUMBER(SEARCH(IF(G$1&lt;&gt;"",G$1,"NA"),'MITRE ATT&amp;CK Mappings'!$E678)),ISNUMBER(SEARCH(IF(G$1&lt;&gt;"",G$1,"NA"),'MITRE ATT&amp;CK Mappings'!$F678))),ISNUMBER(SEARCH(IF(G$2&lt;&gt;"",G$2,"NA"),'MITRE ATT&amp;CK Mappings'!$G678))),ISNUMBER(SEARCH(IF(G$2&lt;&gt;"",G$2,"NA"),'MITRE ATT&amp;CK Mappings'!$H678))),ISNUMBER(SEARCH(IF(G$3&lt;&gt;"",G$3,"NA"),'MITRE ATT&amp;CK Mappings'!$I678))),ISNUMBER(SEARCH(IF(G$3&lt;&gt;"",G$3,"NA"),'MITRE ATT&amp;CK Mappings'!$J678))), 'MITRE ATT&amp;CK Mappings'!$B678,"")</f>
        <v/>
      </c>
      <c r="H682" s="26" t="str">
        <f>IF(OR(OR(OR(OR(OR(ISNUMBER(SEARCH(IF(H$1&lt;&gt;"",H$1,"NA"),'MITRE ATT&amp;CK Mappings'!$E678)),ISNUMBER(SEARCH(IF(H$1&lt;&gt;"",H$1,"NA"),'MITRE ATT&amp;CK Mappings'!$F678))),ISNUMBER(SEARCH(IF(H$2&lt;&gt;"",H$2,"NA"),'MITRE ATT&amp;CK Mappings'!$G678))),ISNUMBER(SEARCH(IF(H$2&lt;&gt;"",H$2,"NA"),'MITRE ATT&amp;CK Mappings'!$H678))),ISNUMBER(SEARCH(IF(H$3&lt;&gt;"",H$3,"NA"),'MITRE ATT&amp;CK Mappings'!$I678))),ISNUMBER(SEARCH(IF(H$3&lt;&gt;"",H$3,"NA"),'MITRE ATT&amp;CK Mappings'!$J678))), 'MITRE ATT&amp;CK Mappings'!$B678,"")</f>
        <v/>
      </c>
      <c r="I682" s="26" t="str">
        <f>IF(OR(OR(OR(OR(OR(ISNUMBER(SEARCH(IF(I$1&lt;&gt;"",I$1,"NA"),'MITRE ATT&amp;CK Mappings'!$E678)),ISNUMBER(SEARCH(IF(I$1&lt;&gt;"",I$1,"NA"),'MITRE ATT&amp;CK Mappings'!$F678))),ISNUMBER(SEARCH(IF(I$2&lt;&gt;"",I$2,"NA"),'MITRE ATT&amp;CK Mappings'!$G678))),ISNUMBER(SEARCH(IF(I$2&lt;&gt;"",I$2,"NA"),'MITRE ATT&amp;CK Mappings'!$H678))),ISNUMBER(SEARCH(IF(I$3&lt;&gt;"",I$3,"NA"),'MITRE ATT&amp;CK Mappings'!$I678))),ISNUMBER(SEARCH(IF(I$3&lt;&gt;"",I$3,"NA"),'MITRE ATT&amp;CK Mappings'!$J678))), 'MITRE ATT&amp;CK Mappings'!$B678,"")</f>
        <v/>
      </c>
      <c r="J682" s="26" t="str">
        <f>IF(OR(OR(OR(OR(OR(ISNUMBER(SEARCH(IF(J$1&lt;&gt;"",J$1,"NA"),'MITRE ATT&amp;CK Mappings'!$E678)),ISNUMBER(SEARCH(IF(J$1&lt;&gt;"",J$1,"NA"),'MITRE ATT&amp;CK Mappings'!$F678))),ISNUMBER(SEARCH(IF(J$2&lt;&gt;"",J$2,"NA"),'MITRE ATT&amp;CK Mappings'!$G678))),ISNUMBER(SEARCH(IF(J$2&lt;&gt;"",J$2,"NA"),'MITRE ATT&amp;CK Mappings'!$H678))),ISNUMBER(SEARCH(IF(J$3&lt;&gt;"",J$3,"NA"),'MITRE ATT&amp;CK Mappings'!$I678))),ISNUMBER(SEARCH(IF(J$3&lt;&gt;"",J$3,"NA"),'MITRE ATT&amp;CK Mappings'!$J678))), 'MITRE ATT&amp;CK Mappings'!$B678,"")</f>
        <v/>
      </c>
      <c r="K682" s="26" t="str">
        <f>IF(OR(OR(OR(OR(OR(ISNUMBER(SEARCH(IF(K$1&lt;&gt;"",K$1,"NA"),'MITRE ATT&amp;CK Mappings'!$E678)),ISNUMBER(SEARCH(IF(K$1&lt;&gt;"",K$1,"NA"),'MITRE ATT&amp;CK Mappings'!$F678))),ISNUMBER(SEARCH(IF(K$2&lt;&gt;"",K$2,"NA"),'MITRE ATT&amp;CK Mappings'!$G678))),ISNUMBER(SEARCH(IF(K$2&lt;&gt;"",K$2,"NA"),'MITRE ATT&amp;CK Mappings'!$H678))),ISNUMBER(SEARCH(IF(K$3&lt;&gt;"",K$3,"NA"),'MITRE ATT&amp;CK Mappings'!$I678))),ISNUMBER(SEARCH(IF(K$3&lt;&gt;"",K$3,"NA"),'MITRE ATT&amp;CK Mappings'!$J678))), 'MITRE ATT&amp;CK Mappings'!$B678,"")</f>
        <v/>
      </c>
      <c r="L682" s="26" t="str">
        <f>IF('MITRE ATT&amp;CK Mappings'!D678 &lt;&gt;"",'MITRE ATT&amp;CK Mappings'!D678,"" )</f>
        <v/>
      </c>
    </row>
    <row r="683" spans="1:12" x14ac:dyDescent="0.25">
      <c r="A683" s="27" t="str">
        <f>IF(COUNTIF(B683:K683,"="&amp;'MITRE ATT&amp;CK Mappings'!B679)&gt;0,'MITRE ATT&amp;CK Mappings'!B679,"")</f>
        <v/>
      </c>
      <c r="B683" s="27" t="str">
        <f>IF(OR(OR(OR(OR(OR(ISNUMBER(SEARCH(IF(B$1&lt;&gt;"",B$1,"NA"),'MITRE ATT&amp;CK Mappings'!$E679)),ISNUMBER(SEARCH(IF(B$1&lt;&gt;"",B$1,"NA"),'MITRE ATT&amp;CK Mappings'!$F679))),ISNUMBER(SEARCH(IF(B$2&lt;&gt;"",B$2,"NA"),'MITRE ATT&amp;CK Mappings'!$G679))),ISNUMBER(SEARCH(IF(B$2&lt;&gt;"",B$2,"NA"),'MITRE ATT&amp;CK Mappings'!$H679))),ISNUMBER(SEARCH(IF(B$3&lt;&gt;"",B$3,"NA"),'MITRE ATT&amp;CK Mappings'!$I679))),ISNUMBER(SEARCH(IF(B$3&lt;&gt;"",B$3,"NA"),'MITRE ATT&amp;CK Mappings'!$J679))), 'MITRE ATT&amp;CK Mappings'!$B679,"")</f>
        <v/>
      </c>
      <c r="C683" s="27" t="str">
        <f>IF(OR(OR(OR(OR(OR(ISNUMBER(SEARCH(IF(C$1&lt;&gt;"",C$1,"NA"),'MITRE ATT&amp;CK Mappings'!$E679)),ISNUMBER(SEARCH(IF(C$1&lt;&gt;"",C$1,"NA"),'MITRE ATT&amp;CK Mappings'!$F679))),ISNUMBER(SEARCH(IF(C$2&lt;&gt;"",C$2,"NA"),'MITRE ATT&amp;CK Mappings'!$G679))),ISNUMBER(SEARCH(IF(C$2&lt;&gt;"",C$2,"NA"),'MITRE ATT&amp;CK Mappings'!$H679))),ISNUMBER(SEARCH(IF(C$3&lt;&gt;"",C$3,"NA"),'MITRE ATT&amp;CK Mappings'!$I679))),ISNUMBER(SEARCH(IF(C$3&lt;&gt;"",C$3,"NA"),'MITRE ATT&amp;CK Mappings'!$J679))), 'MITRE ATT&amp;CK Mappings'!$B679,"")</f>
        <v/>
      </c>
      <c r="D683" s="27" t="str">
        <f>IF(OR(OR(OR(OR(OR(ISNUMBER(SEARCH(IF(D$1&lt;&gt;"",D$1,"NA"),'MITRE ATT&amp;CK Mappings'!$E679)),ISNUMBER(SEARCH(IF(D$1&lt;&gt;"",D$1,"NA"),'MITRE ATT&amp;CK Mappings'!$F679))),ISNUMBER(SEARCH(IF(D$2&lt;&gt;"",D$2,"NA"),'MITRE ATT&amp;CK Mappings'!$G679))),ISNUMBER(SEARCH(IF(D$2&lt;&gt;"",D$2,"NA"),'MITRE ATT&amp;CK Mappings'!$H679))),ISNUMBER(SEARCH(IF(D$3&lt;&gt;"",D$3,"NA"),'MITRE ATT&amp;CK Mappings'!$I679))),ISNUMBER(SEARCH(IF(D$3&lt;&gt;"",D$3,"NA"),'MITRE ATT&amp;CK Mappings'!$J679))), 'MITRE ATT&amp;CK Mappings'!$B679,"")</f>
        <v/>
      </c>
      <c r="E683" s="27" t="str">
        <f>IF(OR(OR(OR(OR(OR(ISNUMBER(SEARCH(IF(E$1&lt;&gt;"",E$1,"NA"),'MITRE ATT&amp;CK Mappings'!$E679)),ISNUMBER(SEARCH(IF(E$1&lt;&gt;"",E$1,"NA"),'MITRE ATT&amp;CK Mappings'!$F679))),ISNUMBER(SEARCH(IF(E$2&lt;&gt;"",E$2,"NA"),'MITRE ATT&amp;CK Mappings'!$G679))),ISNUMBER(SEARCH(IF(E$2&lt;&gt;"",E$2,"NA"),'MITRE ATT&amp;CK Mappings'!$H679))),ISNUMBER(SEARCH(IF(E$3&lt;&gt;"",E$3,"NA"),'MITRE ATT&amp;CK Mappings'!$I679))),ISNUMBER(SEARCH(IF(E$3&lt;&gt;"",E$3,"NA"),'MITRE ATT&amp;CK Mappings'!$J679))), 'MITRE ATT&amp;CK Mappings'!$B679,"")</f>
        <v/>
      </c>
      <c r="F683" s="27" t="str">
        <f>IF(OR(OR(OR(OR(OR(ISNUMBER(SEARCH(IF(F$1&lt;&gt;"",F$1,"NA"),'MITRE ATT&amp;CK Mappings'!$E679)),ISNUMBER(SEARCH(IF(F$1&lt;&gt;"",F$1,"NA"),'MITRE ATT&amp;CK Mappings'!$F679))),ISNUMBER(SEARCH(IF(F$2&lt;&gt;"",F$2,"NA"),'MITRE ATT&amp;CK Mappings'!$G679))),ISNUMBER(SEARCH(IF(F$2&lt;&gt;"",F$2,"NA"),'MITRE ATT&amp;CK Mappings'!$H679))),ISNUMBER(SEARCH(IF(F$3&lt;&gt;"",F$3,"NA"),'MITRE ATT&amp;CK Mappings'!$I679))),ISNUMBER(SEARCH(IF(F$3&lt;&gt;"",F$3,"NA"),'MITRE ATT&amp;CK Mappings'!$J679))), 'MITRE ATT&amp;CK Mappings'!$B679,"")</f>
        <v/>
      </c>
      <c r="G683" s="27" t="str">
        <f>IF(OR(OR(OR(OR(OR(ISNUMBER(SEARCH(IF(G$1&lt;&gt;"",G$1,"NA"),'MITRE ATT&amp;CK Mappings'!$E679)),ISNUMBER(SEARCH(IF(G$1&lt;&gt;"",G$1,"NA"),'MITRE ATT&amp;CK Mappings'!$F679))),ISNUMBER(SEARCH(IF(G$2&lt;&gt;"",G$2,"NA"),'MITRE ATT&amp;CK Mappings'!$G679))),ISNUMBER(SEARCH(IF(G$2&lt;&gt;"",G$2,"NA"),'MITRE ATT&amp;CK Mappings'!$H679))),ISNUMBER(SEARCH(IF(G$3&lt;&gt;"",G$3,"NA"),'MITRE ATT&amp;CK Mappings'!$I679))),ISNUMBER(SEARCH(IF(G$3&lt;&gt;"",G$3,"NA"),'MITRE ATT&amp;CK Mappings'!$J679))), 'MITRE ATT&amp;CK Mappings'!$B679,"")</f>
        <v/>
      </c>
      <c r="H683" s="27" t="str">
        <f>IF(OR(OR(OR(OR(OR(ISNUMBER(SEARCH(IF(H$1&lt;&gt;"",H$1,"NA"),'MITRE ATT&amp;CK Mappings'!$E679)),ISNUMBER(SEARCH(IF(H$1&lt;&gt;"",H$1,"NA"),'MITRE ATT&amp;CK Mappings'!$F679))),ISNUMBER(SEARCH(IF(H$2&lt;&gt;"",H$2,"NA"),'MITRE ATT&amp;CK Mappings'!$G679))),ISNUMBER(SEARCH(IF(H$2&lt;&gt;"",H$2,"NA"),'MITRE ATT&amp;CK Mappings'!$H679))),ISNUMBER(SEARCH(IF(H$3&lt;&gt;"",H$3,"NA"),'MITRE ATT&amp;CK Mappings'!$I679))),ISNUMBER(SEARCH(IF(H$3&lt;&gt;"",H$3,"NA"),'MITRE ATT&amp;CK Mappings'!$J679))), 'MITRE ATT&amp;CK Mappings'!$B679,"")</f>
        <v/>
      </c>
      <c r="I683" s="27" t="str">
        <f>IF(OR(OR(OR(OR(OR(ISNUMBER(SEARCH(IF(I$1&lt;&gt;"",I$1,"NA"),'MITRE ATT&amp;CK Mappings'!$E679)),ISNUMBER(SEARCH(IF(I$1&lt;&gt;"",I$1,"NA"),'MITRE ATT&amp;CK Mappings'!$F679))),ISNUMBER(SEARCH(IF(I$2&lt;&gt;"",I$2,"NA"),'MITRE ATT&amp;CK Mappings'!$G679))),ISNUMBER(SEARCH(IF(I$2&lt;&gt;"",I$2,"NA"),'MITRE ATT&amp;CK Mappings'!$H679))),ISNUMBER(SEARCH(IF(I$3&lt;&gt;"",I$3,"NA"),'MITRE ATT&amp;CK Mappings'!$I679))),ISNUMBER(SEARCH(IF(I$3&lt;&gt;"",I$3,"NA"),'MITRE ATT&amp;CK Mappings'!$J679))), 'MITRE ATT&amp;CK Mappings'!$B679,"")</f>
        <v/>
      </c>
      <c r="J683" s="27" t="str">
        <f>IF(OR(OR(OR(OR(OR(ISNUMBER(SEARCH(IF(J$1&lt;&gt;"",J$1,"NA"),'MITRE ATT&amp;CK Mappings'!$E679)),ISNUMBER(SEARCH(IF(J$1&lt;&gt;"",J$1,"NA"),'MITRE ATT&amp;CK Mappings'!$F679))),ISNUMBER(SEARCH(IF(J$2&lt;&gt;"",J$2,"NA"),'MITRE ATT&amp;CK Mappings'!$G679))),ISNUMBER(SEARCH(IF(J$2&lt;&gt;"",J$2,"NA"),'MITRE ATT&amp;CK Mappings'!$H679))),ISNUMBER(SEARCH(IF(J$3&lt;&gt;"",J$3,"NA"),'MITRE ATT&amp;CK Mappings'!$I679))),ISNUMBER(SEARCH(IF(J$3&lt;&gt;"",J$3,"NA"),'MITRE ATT&amp;CK Mappings'!$J679))), 'MITRE ATT&amp;CK Mappings'!$B679,"")</f>
        <v/>
      </c>
      <c r="K683" s="27" t="str">
        <f>IF(OR(OR(OR(OR(OR(ISNUMBER(SEARCH(IF(K$1&lt;&gt;"",K$1,"NA"),'MITRE ATT&amp;CK Mappings'!$E679)),ISNUMBER(SEARCH(IF(K$1&lt;&gt;"",K$1,"NA"),'MITRE ATT&amp;CK Mappings'!$F679))),ISNUMBER(SEARCH(IF(K$2&lt;&gt;"",K$2,"NA"),'MITRE ATT&amp;CK Mappings'!$G679))),ISNUMBER(SEARCH(IF(K$2&lt;&gt;"",K$2,"NA"),'MITRE ATT&amp;CK Mappings'!$H679))),ISNUMBER(SEARCH(IF(K$3&lt;&gt;"",K$3,"NA"),'MITRE ATT&amp;CK Mappings'!$I679))),ISNUMBER(SEARCH(IF(K$3&lt;&gt;"",K$3,"NA"),'MITRE ATT&amp;CK Mappings'!$J679))), 'MITRE ATT&amp;CK Mappings'!$B679,"")</f>
        <v/>
      </c>
      <c r="L683" s="27" t="str">
        <f>IF('MITRE ATT&amp;CK Mappings'!D679 &lt;&gt;"",'MITRE ATT&amp;CK Mappings'!D679,"" )</f>
        <v/>
      </c>
    </row>
    <row r="684" spans="1:12" x14ac:dyDescent="0.25">
      <c r="A684" s="26" t="str">
        <f>IF(COUNTIF(B684:K684,"="&amp;'MITRE ATT&amp;CK Mappings'!B680)&gt;0,'MITRE ATT&amp;CK Mappings'!B680,"")</f>
        <v/>
      </c>
      <c r="B684" s="26" t="str">
        <f>IF(OR(OR(OR(OR(OR(ISNUMBER(SEARCH(IF(B$1&lt;&gt;"",B$1,"NA"),'MITRE ATT&amp;CK Mappings'!$E680)),ISNUMBER(SEARCH(IF(B$1&lt;&gt;"",B$1,"NA"),'MITRE ATT&amp;CK Mappings'!$F680))),ISNUMBER(SEARCH(IF(B$2&lt;&gt;"",B$2,"NA"),'MITRE ATT&amp;CK Mappings'!$G680))),ISNUMBER(SEARCH(IF(B$2&lt;&gt;"",B$2,"NA"),'MITRE ATT&amp;CK Mappings'!$H680))),ISNUMBER(SEARCH(IF(B$3&lt;&gt;"",B$3,"NA"),'MITRE ATT&amp;CK Mappings'!$I680))),ISNUMBER(SEARCH(IF(B$3&lt;&gt;"",B$3,"NA"),'MITRE ATT&amp;CK Mappings'!$J680))), 'MITRE ATT&amp;CK Mappings'!$B680,"")</f>
        <v/>
      </c>
      <c r="C684" s="26" t="str">
        <f>IF(OR(OR(OR(OR(OR(ISNUMBER(SEARCH(IF(C$1&lt;&gt;"",C$1,"NA"),'MITRE ATT&amp;CK Mappings'!$E680)),ISNUMBER(SEARCH(IF(C$1&lt;&gt;"",C$1,"NA"),'MITRE ATT&amp;CK Mappings'!$F680))),ISNUMBER(SEARCH(IF(C$2&lt;&gt;"",C$2,"NA"),'MITRE ATT&amp;CK Mappings'!$G680))),ISNUMBER(SEARCH(IF(C$2&lt;&gt;"",C$2,"NA"),'MITRE ATT&amp;CK Mappings'!$H680))),ISNUMBER(SEARCH(IF(C$3&lt;&gt;"",C$3,"NA"),'MITRE ATT&amp;CK Mappings'!$I680))),ISNUMBER(SEARCH(IF(C$3&lt;&gt;"",C$3,"NA"),'MITRE ATT&amp;CK Mappings'!$J680))), 'MITRE ATT&amp;CK Mappings'!$B680,"")</f>
        <v/>
      </c>
      <c r="D684" s="26" t="str">
        <f>IF(OR(OR(OR(OR(OR(ISNUMBER(SEARCH(IF(D$1&lt;&gt;"",D$1,"NA"),'MITRE ATT&amp;CK Mappings'!$E680)),ISNUMBER(SEARCH(IF(D$1&lt;&gt;"",D$1,"NA"),'MITRE ATT&amp;CK Mappings'!$F680))),ISNUMBER(SEARCH(IF(D$2&lt;&gt;"",D$2,"NA"),'MITRE ATT&amp;CK Mappings'!$G680))),ISNUMBER(SEARCH(IF(D$2&lt;&gt;"",D$2,"NA"),'MITRE ATT&amp;CK Mappings'!$H680))),ISNUMBER(SEARCH(IF(D$3&lt;&gt;"",D$3,"NA"),'MITRE ATT&amp;CK Mappings'!$I680))),ISNUMBER(SEARCH(IF(D$3&lt;&gt;"",D$3,"NA"),'MITRE ATT&amp;CK Mappings'!$J680))), 'MITRE ATT&amp;CK Mappings'!$B680,"")</f>
        <v/>
      </c>
      <c r="E684" s="26" t="str">
        <f>IF(OR(OR(OR(OR(OR(ISNUMBER(SEARCH(IF(E$1&lt;&gt;"",E$1,"NA"),'MITRE ATT&amp;CK Mappings'!$E680)),ISNUMBER(SEARCH(IF(E$1&lt;&gt;"",E$1,"NA"),'MITRE ATT&amp;CK Mappings'!$F680))),ISNUMBER(SEARCH(IF(E$2&lt;&gt;"",E$2,"NA"),'MITRE ATT&amp;CK Mappings'!$G680))),ISNUMBER(SEARCH(IF(E$2&lt;&gt;"",E$2,"NA"),'MITRE ATT&amp;CK Mappings'!$H680))),ISNUMBER(SEARCH(IF(E$3&lt;&gt;"",E$3,"NA"),'MITRE ATT&amp;CK Mappings'!$I680))),ISNUMBER(SEARCH(IF(E$3&lt;&gt;"",E$3,"NA"),'MITRE ATT&amp;CK Mappings'!$J680))), 'MITRE ATT&amp;CK Mappings'!$B680,"")</f>
        <v/>
      </c>
      <c r="F684" s="26" t="str">
        <f>IF(OR(OR(OR(OR(OR(ISNUMBER(SEARCH(IF(F$1&lt;&gt;"",F$1,"NA"),'MITRE ATT&amp;CK Mappings'!$E680)),ISNUMBER(SEARCH(IF(F$1&lt;&gt;"",F$1,"NA"),'MITRE ATT&amp;CK Mappings'!$F680))),ISNUMBER(SEARCH(IF(F$2&lt;&gt;"",F$2,"NA"),'MITRE ATT&amp;CK Mappings'!$G680))),ISNUMBER(SEARCH(IF(F$2&lt;&gt;"",F$2,"NA"),'MITRE ATT&amp;CK Mappings'!$H680))),ISNUMBER(SEARCH(IF(F$3&lt;&gt;"",F$3,"NA"),'MITRE ATT&amp;CK Mappings'!$I680))),ISNUMBER(SEARCH(IF(F$3&lt;&gt;"",F$3,"NA"),'MITRE ATT&amp;CK Mappings'!$J680))), 'MITRE ATT&amp;CK Mappings'!$B680,"")</f>
        <v/>
      </c>
      <c r="G684" s="26" t="str">
        <f>IF(OR(OR(OR(OR(OR(ISNUMBER(SEARCH(IF(G$1&lt;&gt;"",G$1,"NA"),'MITRE ATT&amp;CK Mappings'!$E680)),ISNUMBER(SEARCH(IF(G$1&lt;&gt;"",G$1,"NA"),'MITRE ATT&amp;CK Mappings'!$F680))),ISNUMBER(SEARCH(IF(G$2&lt;&gt;"",G$2,"NA"),'MITRE ATT&amp;CK Mappings'!$G680))),ISNUMBER(SEARCH(IF(G$2&lt;&gt;"",G$2,"NA"),'MITRE ATT&amp;CK Mappings'!$H680))),ISNUMBER(SEARCH(IF(G$3&lt;&gt;"",G$3,"NA"),'MITRE ATT&amp;CK Mappings'!$I680))),ISNUMBER(SEARCH(IF(G$3&lt;&gt;"",G$3,"NA"),'MITRE ATT&amp;CK Mappings'!$J680))), 'MITRE ATT&amp;CK Mappings'!$B680,"")</f>
        <v/>
      </c>
      <c r="H684" s="26" t="str">
        <f>IF(OR(OR(OR(OR(OR(ISNUMBER(SEARCH(IF(H$1&lt;&gt;"",H$1,"NA"),'MITRE ATT&amp;CK Mappings'!$E680)),ISNUMBER(SEARCH(IF(H$1&lt;&gt;"",H$1,"NA"),'MITRE ATT&amp;CK Mappings'!$F680))),ISNUMBER(SEARCH(IF(H$2&lt;&gt;"",H$2,"NA"),'MITRE ATT&amp;CK Mappings'!$G680))),ISNUMBER(SEARCH(IF(H$2&lt;&gt;"",H$2,"NA"),'MITRE ATT&amp;CK Mappings'!$H680))),ISNUMBER(SEARCH(IF(H$3&lt;&gt;"",H$3,"NA"),'MITRE ATT&amp;CK Mappings'!$I680))),ISNUMBER(SEARCH(IF(H$3&lt;&gt;"",H$3,"NA"),'MITRE ATT&amp;CK Mappings'!$J680))), 'MITRE ATT&amp;CK Mappings'!$B680,"")</f>
        <v/>
      </c>
      <c r="I684" s="26" t="str">
        <f>IF(OR(OR(OR(OR(OR(ISNUMBER(SEARCH(IF(I$1&lt;&gt;"",I$1,"NA"),'MITRE ATT&amp;CK Mappings'!$E680)),ISNUMBER(SEARCH(IF(I$1&lt;&gt;"",I$1,"NA"),'MITRE ATT&amp;CK Mappings'!$F680))),ISNUMBER(SEARCH(IF(I$2&lt;&gt;"",I$2,"NA"),'MITRE ATT&amp;CK Mappings'!$G680))),ISNUMBER(SEARCH(IF(I$2&lt;&gt;"",I$2,"NA"),'MITRE ATT&amp;CK Mappings'!$H680))),ISNUMBER(SEARCH(IF(I$3&lt;&gt;"",I$3,"NA"),'MITRE ATT&amp;CK Mappings'!$I680))),ISNUMBER(SEARCH(IF(I$3&lt;&gt;"",I$3,"NA"),'MITRE ATT&amp;CK Mappings'!$J680))), 'MITRE ATT&amp;CK Mappings'!$B680,"")</f>
        <v/>
      </c>
      <c r="J684" s="26" t="str">
        <f>IF(OR(OR(OR(OR(OR(ISNUMBER(SEARCH(IF(J$1&lt;&gt;"",J$1,"NA"),'MITRE ATT&amp;CK Mappings'!$E680)),ISNUMBER(SEARCH(IF(J$1&lt;&gt;"",J$1,"NA"),'MITRE ATT&amp;CK Mappings'!$F680))),ISNUMBER(SEARCH(IF(J$2&lt;&gt;"",J$2,"NA"),'MITRE ATT&amp;CK Mappings'!$G680))),ISNUMBER(SEARCH(IF(J$2&lt;&gt;"",J$2,"NA"),'MITRE ATT&amp;CK Mappings'!$H680))),ISNUMBER(SEARCH(IF(J$3&lt;&gt;"",J$3,"NA"),'MITRE ATT&amp;CK Mappings'!$I680))),ISNUMBER(SEARCH(IF(J$3&lt;&gt;"",J$3,"NA"),'MITRE ATT&amp;CK Mappings'!$J680))), 'MITRE ATT&amp;CK Mappings'!$B680,"")</f>
        <v/>
      </c>
      <c r="K684" s="26" t="str">
        <f>IF(OR(OR(OR(OR(OR(ISNUMBER(SEARCH(IF(K$1&lt;&gt;"",K$1,"NA"),'MITRE ATT&amp;CK Mappings'!$E680)),ISNUMBER(SEARCH(IF(K$1&lt;&gt;"",K$1,"NA"),'MITRE ATT&amp;CK Mappings'!$F680))),ISNUMBER(SEARCH(IF(K$2&lt;&gt;"",K$2,"NA"),'MITRE ATT&amp;CK Mappings'!$G680))),ISNUMBER(SEARCH(IF(K$2&lt;&gt;"",K$2,"NA"),'MITRE ATT&amp;CK Mappings'!$H680))),ISNUMBER(SEARCH(IF(K$3&lt;&gt;"",K$3,"NA"),'MITRE ATT&amp;CK Mappings'!$I680))),ISNUMBER(SEARCH(IF(K$3&lt;&gt;"",K$3,"NA"),'MITRE ATT&amp;CK Mappings'!$J680))), 'MITRE ATT&amp;CK Mappings'!$B680,"")</f>
        <v/>
      </c>
      <c r="L684" s="26" t="str">
        <f>IF('MITRE ATT&amp;CK Mappings'!D680 &lt;&gt;"",'MITRE ATT&amp;CK Mappings'!D680,"" )</f>
        <v/>
      </c>
    </row>
    <row r="685" spans="1:12" x14ac:dyDescent="0.25">
      <c r="A685" s="27" t="str">
        <f>IF(COUNTIF(B685:K685,"="&amp;'MITRE ATT&amp;CK Mappings'!B681)&gt;0,'MITRE ATT&amp;CK Mappings'!B681,"")</f>
        <v/>
      </c>
      <c r="B685" s="27" t="str">
        <f>IF(OR(OR(OR(OR(OR(ISNUMBER(SEARCH(IF(B$1&lt;&gt;"",B$1,"NA"),'MITRE ATT&amp;CK Mappings'!$E681)),ISNUMBER(SEARCH(IF(B$1&lt;&gt;"",B$1,"NA"),'MITRE ATT&amp;CK Mappings'!$F681))),ISNUMBER(SEARCH(IF(B$2&lt;&gt;"",B$2,"NA"),'MITRE ATT&amp;CK Mappings'!$G681))),ISNUMBER(SEARCH(IF(B$2&lt;&gt;"",B$2,"NA"),'MITRE ATT&amp;CK Mappings'!$H681))),ISNUMBER(SEARCH(IF(B$3&lt;&gt;"",B$3,"NA"),'MITRE ATT&amp;CK Mappings'!$I681))),ISNUMBER(SEARCH(IF(B$3&lt;&gt;"",B$3,"NA"),'MITRE ATT&amp;CK Mappings'!$J681))), 'MITRE ATT&amp;CK Mappings'!$B681,"")</f>
        <v/>
      </c>
      <c r="C685" s="27" t="str">
        <f>IF(OR(OR(OR(OR(OR(ISNUMBER(SEARCH(IF(C$1&lt;&gt;"",C$1,"NA"),'MITRE ATT&amp;CK Mappings'!$E681)),ISNUMBER(SEARCH(IF(C$1&lt;&gt;"",C$1,"NA"),'MITRE ATT&amp;CK Mappings'!$F681))),ISNUMBER(SEARCH(IF(C$2&lt;&gt;"",C$2,"NA"),'MITRE ATT&amp;CK Mappings'!$G681))),ISNUMBER(SEARCH(IF(C$2&lt;&gt;"",C$2,"NA"),'MITRE ATT&amp;CK Mappings'!$H681))),ISNUMBER(SEARCH(IF(C$3&lt;&gt;"",C$3,"NA"),'MITRE ATT&amp;CK Mappings'!$I681))),ISNUMBER(SEARCH(IF(C$3&lt;&gt;"",C$3,"NA"),'MITRE ATT&amp;CK Mappings'!$J681))), 'MITRE ATT&amp;CK Mappings'!$B681,"")</f>
        <v/>
      </c>
      <c r="D685" s="27" t="str">
        <f>IF(OR(OR(OR(OR(OR(ISNUMBER(SEARCH(IF(D$1&lt;&gt;"",D$1,"NA"),'MITRE ATT&amp;CK Mappings'!$E681)),ISNUMBER(SEARCH(IF(D$1&lt;&gt;"",D$1,"NA"),'MITRE ATT&amp;CK Mappings'!$F681))),ISNUMBER(SEARCH(IF(D$2&lt;&gt;"",D$2,"NA"),'MITRE ATT&amp;CK Mappings'!$G681))),ISNUMBER(SEARCH(IF(D$2&lt;&gt;"",D$2,"NA"),'MITRE ATT&amp;CK Mappings'!$H681))),ISNUMBER(SEARCH(IF(D$3&lt;&gt;"",D$3,"NA"),'MITRE ATT&amp;CK Mappings'!$I681))),ISNUMBER(SEARCH(IF(D$3&lt;&gt;"",D$3,"NA"),'MITRE ATT&amp;CK Mappings'!$J681))), 'MITRE ATT&amp;CK Mappings'!$B681,"")</f>
        <v/>
      </c>
      <c r="E685" s="27" t="str">
        <f>IF(OR(OR(OR(OR(OR(ISNUMBER(SEARCH(IF(E$1&lt;&gt;"",E$1,"NA"),'MITRE ATT&amp;CK Mappings'!$E681)),ISNUMBER(SEARCH(IF(E$1&lt;&gt;"",E$1,"NA"),'MITRE ATT&amp;CK Mappings'!$F681))),ISNUMBER(SEARCH(IF(E$2&lt;&gt;"",E$2,"NA"),'MITRE ATT&amp;CK Mappings'!$G681))),ISNUMBER(SEARCH(IF(E$2&lt;&gt;"",E$2,"NA"),'MITRE ATT&amp;CK Mappings'!$H681))),ISNUMBER(SEARCH(IF(E$3&lt;&gt;"",E$3,"NA"),'MITRE ATT&amp;CK Mappings'!$I681))),ISNUMBER(SEARCH(IF(E$3&lt;&gt;"",E$3,"NA"),'MITRE ATT&amp;CK Mappings'!$J681))), 'MITRE ATT&amp;CK Mappings'!$B681,"")</f>
        <v/>
      </c>
      <c r="F685" s="27" t="str">
        <f>IF(OR(OR(OR(OR(OR(ISNUMBER(SEARCH(IF(F$1&lt;&gt;"",F$1,"NA"),'MITRE ATT&amp;CK Mappings'!$E681)),ISNUMBER(SEARCH(IF(F$1&lt;&gt;"",F$1,"NA"),'MITRE ATT&amp;CK Mappings'!$F681))),ISNUMBER(SEARCH(IF(F$2&lt;&gt;"",F$2,"NA"),'MITRE ATT&amp;CK Mappings'!$G681))),ISNUMBER(SEARCH(IF(F$2&lt;&gt;"",F$2,"NA"),'MITRE ATT&amp;CK Mappings'!$H681))),ISNUMBER(SEARCH(IF(F$3&lt;&gt;"",F$3,"NA"),'MITRE ATT&amp;CK Mappings'!$I681))),ISNUMBER(SEARCH(IF(F$3&lt;&gt;"",F$3,"NA"),'MITRE ATT&amp;CK Mappings'!$J681))), 'MITRE ATT&amp;CK Mappings'!$B681,"")</f>
        <v/>
      </c>
      <c r="G685" s="27" t="str">
        <f>IF(OR(OR(OR(OR(OR(ISNUMBER(SEARCH(IF(G$1&lt;&gt;"",G$1,"NA"),'MITRE ATT&amp;CK Mappings'!$E681)),ISNUMBER(SEARCH(IF(G$1&lt;&gt;"",G$1,"NA"),'MITRE ATT&amp;CK Mappings'!$F681))),ISNUMBER(SEARCH(IF(G$2&lt;&gt;"",G$2,"NA"),'MITRE ATT&amp;CK Mappings'!$G681))),ISNUMBER(SEARCH(IF(G$2&lt;&gt;"",G$2,"NA"),'MITRE ATT&amp;CK Mappings'!$H681))),ISNUMBER(SEARCH(IF(G$3&lt;&gt;"",G$3,"NA"),'MITRE ATT&amp;CK Mappings'!$I681))),ISNUMBER(SEARCH(IF(G$3&lt;&gt;"",G$3,"NA"),'MITRE ATT&amp;CK Mappings'!$J681))), 'MITRE ATT&amp;CK Mappings'!$B681,"")</f>
        <v/>
      </c>
      <c r="H685" s="27" t="str">
        <f>IF(OR(OR(OR(OR(OR(ISNUMBER(SEARCH(IF(H$1&lt;&gt;"",H$1,"NA"),'MITRE ATT&amp;CK Mappings'!$E681)),ISNUMBER(SEARCH(IF(H$1&lt;&gt;"",H$1,"NA"),'MITRE ATT&amp;CK Mappings'!$F681))),ISNUMBER(SEARCH(IF(H$2&lt;&gt;"",H$2,"NA"),'MITRE ATT&amp;CK Mappings'!$G681))),ISNUMBER(SEARCH(IF(H$2&lt;&gt;"",H$2,"NA"),'MITRE ATT&amp;CK Mappings'!$H681))),ISNUMBER(SEARCH(IF(H$3&lt;&gt;"",H$3,"NA"),'MITRE ATT&amp;CK Mappings'!$I681))),ISNUMBER(SEARCH(IF(H$3&lt;&gt;"",H$3,"NA"),'MITRE ATT&amp;CK Mappings'!$J681))), 'MITRE ATT&amp;CK Mappings'!$B681,"")</f>
        <v/>
      </c>
      <c r="I685" s="27" t="str">
        <f>IF(OR(OR(OR(OR(OR(ISNUMBER(SEARCH(IF(I$1&lt;&gt;"",I$1,"NA"),'MITRE ATT&amp;CK Mappings'!$E681)),ISNUMBER(SEARCH(IF(I$1&lt;&gt;"",I$1,"NA"),'MITRE ATT&amp;CK Mappings'!$F681))),ISNUMBER(SEARCH(IF(I$2&lt;&gt;"",I$2,"NA"),'MITRE ATT&amp;CK Mappings'!$G681))),ISNUMBER(SEARCH(IF(I$2&lt;&gt;"",I$2,"NA"),'MITRE ATT&amp;CK Mappings'!$H681))),ISNUMBER(SEARCH(IF(I$3&lt;&gt;"",I$3,"NA"),'MITRE ATT&amp;CK Mappings'!$I681))),ISNUMBER(SEARCH(IF(I$3&lt;&gt;"",I$3,"NA"),'MITRE ATT&amp;CK Mappings'!$J681))), 'MITRE ATT&amp;CK Mappings'!$B681,"")</f>
        <v/>
      </c>
      <c r="J685" s="27" t="str">
        <f>IF(OR(OR(OR(OR(OR(ISNUMBER(SEARCH(IF(J$1&lt;&gt;"",J$1,"NA"),'MITRE ATT&amp;CK Mappings'!$E681)),ISNUMBER(SEARCH(IF(J$1&lt;&gt;"",J$1,"NA"),'MITRE ATT&amp;CK Mappings'!$F681))),ISNUMBER(SEARCH(IF(J$2&lt;&gt;"",J$2,"NA"),'MITRE ATT&amp;CK Mappings'!$G681))),ISNUMBER(SEARCH(IF(J$2&lt;&gt;"",J$2,"NA"),'MITRE ATT&amp;CK Mappings'!$H681))),ISNUMBER(SEARCH(IF(J$3&lt;&gt;"",J$3,"NA"),'MITRE ATT&amp;CK Mappings'!$I681))),ISNUMBER(SEARCH(IF(J$3&lt;&gt;"",J$3,"NA"),'MITRE ATT&amp;CK Mappings'!$J681))), 'MITRE ATT&amp;CK Mappings'!$B681,"")</f>
        <v/>
      </c>
      <c r="K685" s="27" t="str">
        <f>IF(OR(OR(OR(OR(OR(ISNUMBER(SEARCH(IF(K$1&lt;&gt;"",K$1,"NA"),'MITRE ATT&amp;CK Mappings'!$E681)),ISNUMBER(SEARCH(IF(K$1&lt;&gt;"",K$1,"NA"),'MITRE ATT&amp;CK Mappings'!$F681))),ISNUMBER(SEARCH(IF(K$2&lt;&gt;"",K$2,"NA"),'MITRE ATT&amp;CK Mappings'!$G681))),ISNUMBER(SEARCH(IF(K$2&lt;&gt;"",K$2,"NA"),'MITRE ATT&amp;CK Mappings'!$H681))),ISNUMBER(SEARCH(IF(K$3&lt;&gt;"",K$3,"NA"),'MITRE ATT&amp;CK Mappings'!$I681))),ISNUMBER(SEARCH(IF(K$3&lt;&gt;"",K$3,"NA"),'MITRE ATT&amp;CK Mappings'!$J681))), 'MITRE ATT&amp;CK Mappings'!$B681,"")</f>
        <v/>
      </c>
      <c r="L685" s="27" t="str">
        <f>IF('MITRE ATT&amp;CK Mappings'!D681 &lt;&gt;"",'MITRE ATT&amp;CK Mappings'!D681,"" )</f>
        <v/>
      </c>
    </row>
    <row r="686" spans="1:12" x14ac:dyDescent="0.25">
      <c r="A686" s="26" t="str">
        <f>IF(COUNTIF(B686:K686,"="&amp;'MITRE ATT&amp;CK Mappings'!B682)&gt;0,'MITRE ATT&amp;CK Mappings'!B682,"")</f>
        <v/>
      </c>
      <c r="B686" s="26" t="str">
        <f>IF(OR(OR(OR(OR(OR(ISNUMBER(SEARCH(IF(B$1&lt;&gt;"",B$1,"NA"),'MITRE ATT&amp;CK Mappings'!$E682)),ISNUMBER(SEARCH(IF(B$1&lt;&gt;"",B$1,"NA"),'MITRE ATT&amp;CK Mappings'!$F682))),ISNUMBER(SEARCH(IF(B$2&lt;&gt;"",B$2,"NA"),'MITRE ATT&amp;CK Mappings'!$G682))),ISNUMBER(SEARCH(IF(B$2&lt;&gt;"",B$2,"NA"),'MITRE ATT&amp;CK Mappings'!$H682))),ISNUMBER(SEARCH(IF(B$3&lt;&gt;"",B$3,"NA"),'MITRE ATT&amp;CK Mappings'!$I682))),ISNUMBER(SEARCH(IF(B$3&lt;&gt;"",B$3,"NA"),'MITRE ATT&amp;CK Mappings'!$J682))), 'MITRE ATT&amp;CK Mappings'!$B682,"")</f>
        <v/>
      </c>
      <c r="C686" s="26" t="str">
        <f>IF(OR(OR(OR(OR(OR(ISNUMBER(SEARCH(IF(C$1&lt;&gt;"",C$1,"NA"),'MITRE ATT&amp;CK Mappings'!$E682)),ISNUMBER(SEARCH(IF(C$1&lt;&gt;"",C$1,"NA"),'MITRE ATT&amp;CK Mappings'!$F682))),ISNUMBER(SEARCH(IF(C$2&lt;&gt;"",C$2,"NA"),'MITRE ATT&amp;CK Mappings'!$G682))),ISNUMBER(SEARCH(IF(C$2&lt;&gt;"",C$2,"NA"),'MITRE ATT&amp;CK Mappings'!$H682))),ISNUMBER(SEARCH(IF(C$3&lt;&gt;"",C$3,"NA"),'MITRE ATT&amp;CK Mappings'!$I682))),ISNUMBER(SEARCH(IF(C$3&lt;&gt;"",C$3,"NA"),'MITRE ATT&amp;CK Mappings'!$J682))), 'MITRE ATT&amp;CK Mappings'!$B682,"")</f>
        <v/>
      </c>
      <c r="D686" s="26" t="str">
        <f>IF(OR(OR(OR(OR(OR(ISNUMBER(SEARCH(IF(D$1&lt;&gt;"",D$1,"NA"),'MITRE ATT&amp;CK Mappings'!$E682)),ISNUMBER(SEARCH(IF(D$1&lt;&gt;"",D$1,"NA"),'MITRE ATT&amp;CK Mappings'!$F682))),ISNUMBER(SEARCH(IF(D$2&lt;&gt;"",D$2,"NA"),'MITRE ATT&amp;CK Mappings'!$G682))),ISNUMBER(SEARCH(IF(D$2&lt;&gt;"",D$2,"NA"),'MITRE ATT&amp;CK Mappings'!$H682))),ISNUMBER(SEARCH(IF(D$3&lt;&gt;"",D$3,"NA"),'MITRE ATT&amp;CK Mappings'!$I682))),ISNUMBER(SEARCH(IF(D$3&lt;&gt;"",D$3,"NA"),'MITRE ATT&amp;CK Mappings'!$J682))), 'MITRE ATT&amp;CK Mappings'!$B682,"")</f>
        <v/>
      </c>
      <c r="E686" s="26" t="str">
        <f>IF(OR(OR(OR(OR(OR(ISNUMBER(SEARCH(IF(E$1&lt;&gt;"",E$1,"NA"),'MITRE ATT&amp;CK Mappings'!$E682)),ISNUMBER(SEARCH(IF(E$1&lt;&gt;"",E$1,"NA"),'MITRE ATT&amp;CK Mappings'!$F682))),ISNUMBER(SEARCH(IF(E$2&lt;&gt;"",E$2,"NA"),'MITRE ATT&amp;CK Mappings'!$G682))),ISNUMBER(SEARCH(IF(E$2&lt;&gt;"",E$2,"NA"),'MITRE ATT&amp;CK Mappings'!$H682))),ISNUMBER(SEARCH(IF(E$3&lt;&gt;"",E$3,"NA"),'MITRE ATT&amp;CK Mappings'!$I682))),ISNUMBER(SEARCH(IF(E$3&lt;&gt;"",E$3,"NA"),'MITRE ATT&amp;CK Mappings'!$J682))), 'MITRE ATT&amp;CK Mappings'!$B682,"")</f>
        <v/>
      </c>
      <c r="F686" s="26" t="str">
        <f>IF(OR(OR(OR(OR(OR(ISNUMBER(SEARCH(IF(F$1&lt;&gt;"",F$1,"NA"),'MITRE ATT&amp;CK Mappings'!$E682)),ISNUMBER(SEARCH(IF(F$1&lt;&gt;"",F$1,"NA"),'MITRE ATT&amp;CK Mappings'!$F682))),ISNUMBER(SEARCH(IF(F$2&lt;&gt;"",F$2,"NA"),'MITRE ATT&amp;CK Mappings'!$G682))),ISNUMBER(SEARCH(IF(F$2&lt;&gt;"",F$2,"NA"),'MITRE ATT&amp;CK Mappings'!$H682))),ISNUMBER(SEARCH(IF(F$3&lt;&gt;"",F$3,"NA"),'MITRE ATT&amp;CK Mappings'!$I682))),ISNUMBER(SEARCH(IF(F$3&lt;&gt;"",F$3,"NA"),'MITRE ATT&amp;CK Mappings'!$J682))), 'MITRE ATT&amp;CK Mappings'!$B682,"")</f>
        <v/>
      </c>
      <c r="G686" s="26" t="str">
        <f>IF(OR(OR(OR(OR(OR(ISNUMBER(SEARCH(IF(G$1&lt;&gt;"",G$1,"NA"),'MITRE ATT&amp;CK Mappings'!$E682)),ISNUMBER(SEARCH(IF(G$1&lt;&gt;"",G$1,"NA"),'MITRE ATT&amp;CK Mappings'!$F682))),ISNUMBER(SEARCH(IF(G$2&lt;&gt;"",G$2,"NA"),'MITRE ATT&amp;CK Mappings'!$G682))),ISNUMBER(SEARCH(IF(G$2&lt;&gt;"",G$2,"NA"),'MITRE ATT&amp;CK Mappings'!$H682))),ISNUMBER(SEARCH(IF(G$3&lt;&gt;"",G$3,"NA"),'MITRE ATT&amp;CK Mappings'!$I682))),ISNUMBER(SEARCH(IF(G$3&lt;&gt;"",G$3,"NA"),'MITRE ATT&amp;CK Mappings'!$J682))), 'MITRE ATT&amp;CK Mappings'!$B682,"")</f>
        <v/>
      </c>
      <c r="H686" s="26" t="str">
        <f>IF(OR(OR(OR(OR(OR(ISNUMBER(SEARCH(IF(H$1&lt;&gt;"",H$1,"NA"),'MITRE ATT&amp;CK Mappings'!$E682)),ISNUMBER(SEARCH(IF(H$1&lt;&gt;"",H$1,"NA"),'MITRE ATT&amp;CK Mappings'!$F682))),ISNUMBER(SEARCH(IF(H$2&lt;&gt;"",H$2,"NA"),'MITRE ATT&amp;CK Mappings'!$G682))),ISNUMBER(SEARCH(IF(H$2&lt;&gt;"",H$2,"NA"),'MITRE ATT&amp;CK Mappings'!$H682))),ISNUMBER(SEARCH(IF(H$3&lt;&gt;"",H$3,"NA"),'MITRE ATT&amp;CK Mappings'!$I682))),ISNUMBER(SEARCH(IF(H$3&lt;&gt;"",H$3,"NA"),'MITRE ATT&amp;CK Mappings'!$J682))), 'MITRE ATT&amp;CK Mappings'!$B682,"")</f>
        <v/>
      </c>
      <c r="I686" s="26" t="str">
        <f>IF(OR(OR(OR(OR(OR(ISNUMBER(SEARCH(IF(I$1&lt;&gt;"",I$1,"NA"),'MITRE ATT&amp;CK Mappings'!$E682)),ISNUMBER(SEARCH(IF(I$1&lt;&gt;"",I$1,"NA"),'MITRE ATT&amp;CK Mappings'!$F682))),ISNUMBER(SEARCH(IF(I$2&lt;&gt;"",I$2,"NA"),'MITRE ATT&amp;CK Mappings'!$G682))),ISNUMBER(SEARCH(IF(I$2&lt;&gt;"",I$2,"NA"),'MITRE ATT&amp;CK Mappings'!$H682))),ISNUMBER(SEARCH(IF(I$3&lt;&gt;"",I$3,"NA"),'MITRE ATT&amp;CK Mappings'!$I682))),ISNUMBER(SEARCH(IF(I$3&lt;&gt;"",I$3,"NA"),'MITRE ATT&amp;CK Mappings'!$J682))), 'MITRE ATT&amp;CK Mappings'!$B682,"")</f>
        <v/>
      </c>
      <c r="J686" s="26" t="str">
        <f>IF(OR(OR(OR(OR(OR(ISNUMBER(SEARCH(IF(J$1&lt;&gt;"",J$1,"NA"),'MITRE ATT&amp;CK Mappings'!$E682)),ISNUMBER(SEARCH(IF(J$1&lt;&gt;"",J$1,"NA"),'MITRE ATT&amp;CK Mappings'!$F682))),ISNUMBER(SEARCH(IF(J$2&lt;&gt;"",J$2,"NA"),'MITRE ATT&amp;CK Mappings'!$G682))),ISNUMBER(SEARCH(IF(J$2&lt;&gt;"",J$2,"NA"),'MITRE ATT&amp;CK Mappings'!$H682))),ISNUMBER(SEARCH(IF(J$3&lt;&gt;"",J$3,"NA"),'MITRE ATT&amp;CK Mappings'!$I682))),ISNUMBER(SEARCH(IF(J$3&lt;&gt;"",J$3,"NA"),'MITRE ATT&amp;CK Mappings'!$J682))), 'MITRE ATT&amp;CK Mappings'!$B682,"")</f>
        <v/>
      </c>
      <c r="K686" s="26" t="str">
        <f>IF(OR(OR(OR(OR(OR(ISNUMBER(SEARCH(IF(K$1&lt;&gt;"",K$1,"NA"),'MITRE ATT&amp;CK Mappings'!$E682)),ISNUMBER(SEARCH(IF(K$1&lt;&gt;"",K$1,"NA"),'MITRE ATT&amp;CK Mappings'!$F682))),ISNUMBER(SEARCH(IF(K$2&lt;&gt;"",K$2,"NA"),'MITRE ATT&amp;CK Mappings'!$G682))),ISNUMBER(SEARCH(IF(K$2&lt;&gt;"",K$2,"NA"),'MITRE ATT&amp;CK Mappings'!$H682))),ISNUMBER(SEARCH(IF(K$3&lt;&gt;"",K$3,"NA"),'MITRE ATT&amp;CK Mappings'!$I682))),ISNUMBER(SEARCH(IF(K$3&lt;&gt;"",K$3,"NA"),'MITRE ATT&amp;CK Mappings'!$J682))), 'MITRE ATT&amp;CK Mappings'!$B682,"")</f>
        <v/>
      </c>
      <c r="L686" s="26" t="str">
        <f>IF('MITRE ATT&amp;CK Mappings'!D682 &lt;&gt;"",'MITRE ATT&amp;CK Mappings'!D682,"" )</f>
        <v/>
      </c>
    </row>
    <row r="687" spans="1:12" x14ac:dyDescent="0.25">
      <c r="A687" s="27" t="str">
        <f>IF(COUNTIF(B687:K687,"="&amp;'MITRE ATT&amp;CK Mappings'!B683)&gt;0,'MITRE ATT&amp;CK Mappings'!B683,"")</f>
        <v/>
      </c>
      <c r="B687" s="27" t="str">
        <f>IF(OR(OR(OR(OR(OR(ISNUMBER(SEARCH(IF(B$1&lt;&gt;"",B$1,"NA"),'MITRE ATT&amp;CK Mappings'!$E683)),ISNUMBER(SEARCH(IF(B$1&lt;&gt;"",B$1,"NA"),'MITRE ATT&amp;CK Mappings'!$F683))),ISNUMBER(SEARCH(IF(B$2&lt;&gt;"",B$2,"NA"),'MITRE ATT&amp;CK Mappings'!$G683))),ISNUMBER(SEARCH(IF(B$2&lt;&gt;"",B$2,"NA"),'MITRE ATT&amp;CK Mappings'!$H683))),ISNUMBER(SEARCH(IF(B$3&lt;&gt;"",B$3,"NA"),'MITRE ATT&amp;CK Mappings'!$I683))),ISNUMBER(SEARCH(IF(B$3&lt;&gt;"",B$3,"NA"),'MITRE ATT&amp;CK Mappings'!$J683))), 'MITRE ATT&amp;CK Mappings'!$B683,"")</f>
        <v/>
      </c>
      <c r="C687" s="27" t="str">
        <f>IF(OR(OR(OR(OR(OR(ISNUMBER(SEARCH(IF(C$1&lt;&gt;"",C$1,"NA"),'MITRE ATT&amp;CK Mappings'!$E683)),ISNUMBER(SEARCH(IF(C$1&lt;&gt;"",C$1,"NA"),'MITRE ATT&amp;CK Mappings'!$F683))),ISNUMBER(SEARCH(IF(C$2&lt;&gt;"",C$2,"NA"),'MITRE ATT&amp;CK Mappings'!$G683))),ISNUMBER(SEARCH(IF(C$2&lt;&gt;"",C$2,"NA"),'MITRE ATT&amp;CK Mappings'!$H683))),ISNUMBER(SEARCH(IF(C$3&lt;&gt;"",C$3,"NA"),'MITRE ATT&amp;CK Mappings'!$I683))),ISNUMBER(SEARCH(IF(C$3&lt;&gt;"",C$3,"NA"),'MITRE ATT&amp;CK Mappings'!$J683))), 'MITRE ATT&amp;CK Mappings'!$B683,"")</f>
        <v/>
      </c>
      <c r="D687" s="27" t="str">
        <f>IF(OR(OR(OR(OR(OR(ISNUMBER(SEARCH(IF(D$1&lt;&gt;"",D$1,"NA"),'MITRE ATT&amp;CK Mappings'!$E683)),ISNUMBER(SEARCH(IF(D$1&lt;&gt;"",D$1,"NA"),'MITRE ATT&amp;CK Mappings'!$F683))),ISNUMBER(SEARCH(IF(D$2&lt;&gt;"",D$2,"NA"),'MITRE ATT&amp;CK Mappings'!$G683))),ISNUMBER(SEARCH(IF(D$2&lt;&gt;"",D$2,"NA"),'MITRE ATT&amp;CK Mappings'!$H683))),ISNUMBER(SEARCH(IF(D$3&lt;&gt;"",D$3,"NA"),'MITRE ATT&amp;CK Mappings'!$I683))),ISNUMBER(SEARCH(IF(D$3&lt;&gt;"",D$3,"NA"),'MITRE ATT&amp;CK Mappings'!$J683))), 'MITRE ATT&amp;CK Mappings'!$B683,"")</f>
        <v/>
      </c>
      <c r="E687" s="27" t="str">
        <f>IF(OR(OR(OR(OR(OR(ISNUMBER(SEARCH(IF(E$1&lt;&gt;"",E$1,"NA"),'MITRE ATT&amp;CK Mappings'!$E683)),ISNUMBER(SEARCH(IF(E$1&lt;&gt;"",E$1,"NA"),'MITRE ATT&amp;CK Mappings'!$F683))),ISNUMBER(SEARCH(IF(E$2&lt;&gt;"",E$2,"NA"),'MITRE ATT&amp;CK Mappings'!$G683))),ISNUMBER(SEARCH(IF(E$2&lt;&gt;"",E$2,"NA"),'MITRE ATT&amp;CK Mappings'!$H683))),ISNUMBER(SEARCH(IF(E$3&lt;&gt;"",E$3,"NA"),'MITRE ATT&amp;CK Mappings'!$I683))),ISNUMBER(SEARCH(IF(E$3&lt;&gt;"",E$3,"NA"),'MITRE ATT&amp;CK Mappings'!$J683))), 'MITRE ATT&amp;CK Mappings'!$B683,"")</f>
        <v/>
      </c>
      <c r="F687" s="27" t="str">
        <f>IF(OR(OR(OR(OR(OR(ISNUMBER(SEARCH(IF(F$1&lt;&gt;"",F$1,"NA"),'MITRE ATT&amp;CK Mappings'!$E683)),ISNUMBER(SEARCH(IF(F$1&lt;&gt;"",F$1,"NA"),'MITRE ATT&amp;CK Mappings'!$F683))),ISNUMBER(SEARCH(IF(F$2&lt;&gt;"",F$2,"NA"),'MITRE ATT&amp;CK Mappings'!$G683))),ISNUMBER(SEARCH(IF(F$2&lt;&gt;"",F$2,"NA"),'MITRE ATT&amp;CK Mappings'!$H683))),ISNUMBER(SEARCH(IF(F$3&lt;&gt;"",F$3,"NA"),'MITRE ATT&amp;CK Mappings'!$I683))),ISNUMBER(SEARCH(IF(F$3&lt;&gt;"",F$3,"NA"),'MITRE ATT&amp;CK Mappings'!$J683))), 'MITRE ATT&amp;CK Mappings'!$B683,"")</f>
        <v/>
      </c>
      <c r="G687" s="27" t="str">
        <f>IF(OR(OR(OR(OR(OR(ISNUMBER(SEARCH(IF(G$1&lt;&gt;"",G$1,"NA"),'MITRE ATT&amp;CK Mappings'!$E683)),ISNUMBER(SEARCH(IF(G$1&lt;&gt;"",G$1,"NA"),'MITRE ATT&amp;CK Mappings'!$F683))),ISNUMBER(SEARCH(IF(G$2&lt;&gt;"",G$2,"NA"),'MITRE ATT&amp;CK Mappings'!$G683))),ISNUMBER(SEARCH(IF(G$2&lt;&gt;"",G$2,"NA"),'MITRE ATT&amp;CK Mappings'!$H683))),ISNUMBER(SEARCH(IF(G$3&lt;&gt;"",G$3,"NA"),'MITRE ATT&amp;CK Mappings'!$I683))),ISNUMBER(SEARCH(IF(G$3&lt;&gt;"",G$3,"NA"),'MITRE ATT&amp;CK Mappings'!$J683))), 'MITRE ATT&amp;CK Mappings'!$B683,"")</f>
        <v/>
      </c>
      <c r="H687" s="27" t="str">
        <f>IF(OR(OR(OR(OR(OR(ISNUMBER(SEARCH(IF(H$1&lt;&gt;"",H$1,"NA"),'MITRE ATT&amp;CK Mappings'!$E683)),ISNUMBER(SEARCH(IF(H$1&lt;&gt;"",H$1,"NA"),'MITRE ATT&amp;CK Mappings'!$F683))),ISNUMBER(SEARCH(IF(H$2&lt;&gt;"",H$2,"NA"),'MITRE ATT&amp;CK Mappings'!$G683))),ISNUMBER(SEARCH(IF(H$2&lt;&gt;"",H$2,"NA"),'MITRE ATT&amp;CK Mappings'!$H683))),ISNUMBER(SEARCH(IF(H$3&lt;&gt;"",H$3,"NA"),'MITRE ATT&amp;CK Mappings'!$I683))),ISNUMBER(SEARCH(IF(H$3&lt;&gt;"",H$3,"NA"),'MITRE ATT&amp;CK Mappings'!$J683))), 'MITRE ATT&amp;CK Mappings'!$B683,"")</f>
        <v/>
      </c>
      <c r="I687" s="27" t="str">
        <f>IF(OR(OR(OR(OR(OR(ISNUMBER(SEARCH(IF(I$1&lt;&gt;"",I$1,"NA"),'MITRE ATT&amp;CK Mappings'!$E683)),ISNUMBER(SEARCH(IF(I$1&lt;&gt;"",I$1,"NA"),'MITRE ATT&amp;CK Mappings'!$F683))),ISNUMBER(SEARCH(IF(I$2&lt;&gt;"",I$2,"NA"),'MITRE ATT&amp;CK Mappings'!$G683))),ISNUMBER(SEARCH(IF(I$2&lt;&gt;"",I$2,"NA"),'MITRE ATT&amp;CK Mappings'!$H683))),ISNUMBER(SEARCH(IF(I$3&lt;&gt;"",I$3,"NA"),'MITRE ATT&amp;CK Mappings'!$I683))),ISNUMBER(SEARCH(IF(I$3&lt;&gt;"",I$3,"NA"),'MITRE ATT&amp;CK Mappings'!$J683))), 'MITRE ATT&amp;CK Mappings'!$B683,"")</f>
        <v/>
      </c>
      <c r="J687" s="27" t="str">
        <f>IF(OR(OR(OR(OR(OR(ISNUMBER(SEARCH(IF(J$1&lt;&gt;"",J$1,"NA"),'MITRE ATT&amp;CK Mappings'!$E683)),ISNUMBER(SEARCH(IF(J$1&lt;&gt;"",J$1,"NA"),'MITRE ATT&amp;CK Mappings'!$F683))),ISNUMBER(SEARCH(IF(J$2&lt;&gt;"",J$2,"NA"),'MITRE ATT&amp;CK Mappings'!$G683))),ISNUMBER(SEARCH(IF(J$2&lt;&gt;"",J$2,"NA"),'MITRE ATT&amp;CK Mappings'!$H683))),ISNUMBER(SEARCH(IF(J$3&lt;&gt;"",J$3,"NA"),'MITRE ATT&amp;CK Mappings'!$I683))),ISNUMBER(SEARCH(IF(J$3&lt;&gt;"",J$3,"NA"),'MITRE ATT&amp;CK Mappings'!$J683))), 'MITRE ATT&amp;CK Mappings'!$B683,"")</f>
        <v/>
      </c>
      <c r="K687" s="27" t="str">
        <f>IF(OR(OR(OR(OR(OR(ISNUMBER(SEARCH(IF(K$1&lt;&gt;"",K$1,"NA"),'MITRE ATT&amp;CK Mappings'!$E683)),ISNUMBER(SEARCH(IF(K$1&lt;&gt;"",K$1,"NA"),'MITRE ATT&amp;CK Mappings'!$F683))),ISNUMBER(SEARCH(IF(K$2&lt;&gt;"",K$2,"NA"),'MITRE ATT&amp;CK Mappings'!$G683))),ISNUMBER(SEARCH(IF(K$2&lt;&gt;"",K$2,"NA"),'MITRE ATT&amp;CK Mappings'!$H683))),ISNUMBER(SEARCH(IF(K$3&lt;&gt;"",K$3,"NA"),'MITRE ATT&amp;CK Mappings'!$I683))),ISNUMBER(SEARCH(IF(K$3&lt;&gt;"",K$3,"NA"),'MITRE ATT&amp;CK Mappings'!$J683))), 'MITRE ATT&amp;CK Mappings'!$B683,"")</f>
        <v/>
      </c>
      <c r="L687" s="27" t="str">
        <f>IF('MITRE ATT&amp;CK Mappings'!D683 &lt;&gt;"",'MITRE ATT&amp;CK Mappings'!D683,"" )</f>
        <v/>
      </c>
    </row>
    <row r="688" spans="1:12" x14ac:dyDescent="0.25">
      <c r="A688" s="26" t="str">
        <f>IF(COUNTIF(B688:K688,"="&amp;'MITRE ATT&amp;CK Mappings'!B684)&gt;0,'MITRE ATT&amp;CK Mappings'!B684,"")</f>
        <v/>
      </c>
      <c r="B688" s="26" t="str">
        <f>IF(OR(OR(OR(OR(OR(ISNUMBER(SEARCH(IF(B$1&lt;&gt;"",B$1,"NA"),'MITRE ATT&amp;CK Mappings'!$E684)),ISNUMBER(SEARCH(IF(B$1&lt;&gt;"",B$1,"NA"),'MITRE ATT&amp;CK Mappings'!$F684))),ISNUMBER(SEARCH(IF(B$2&lt;&gt;"",B$2,"NA"),'MITRE ATT&amp;CK Mappings'!$G684))),ISNUMBER(SEARCH(IF(B$2&lt;&gt;"",B$2,"NA"),'MITRE ATT&amp;CK Mappings'!$H684))),ISNUMBER(SEARCH(IF(B$3&lt;&gt;"",B$3,"NA"),'MITRE ATT&amp;CK Mappings'!$I684))),ISNUMBER(SEARCH(IF(B$3&lt;&gt;"",B$3,"NA"),'MITRE ATT&amp;CK Mappings'!$J684))), 'MITRE ATT&amp;CK Mappings'!$B684,"")</f>
        <v/>
      </c>
      <c r="C688" s="26" t="str">
        <f>IF(OR(OR(OR(OR(OR(ISNUMBER(SEARCH(IF(C$1&lt;&gt;"",C$1,"NA"),'MITRE ATT&amp;CK Mappings'!$E684)),ISNUMBER(SEARCH(IF(C$1&lt;&gt;"",C$1,"NA"),'MITRE ATT&amp;CK Mappings'!$F684))),ISNUMBER(SEARCH(IF(C$2&lt;&gt;"",C$2,"NA"),'MITRE ATT&amp;CK Mappings'!$G684))),ISNUMBER(SEARCH(IF(C$2&lt;&gt;"",C$2,"NA"),'MITRE ATT&amp;CK Mappings'!$H684))),ISNUMBER(SEARCH(IF(C$3&lt;&gt;"",C$3,"NA"),'MITRE ATT&amp;CK Mappings'!$I684))),ISNUMBER(SEARCH(IF(C$3&lt;&gt;"",C$3,"NA"),'MITRE ATT&amp;CK Mappings'!$J684))), 'MITRE ATT&amp;CK Mappings'!$B684,"")</f>
        <v/>
      </c>
      <c r="D688" s="26" t="str">
        <f>IF(OR(OR(OR(OR(OR(ISNUMBER(SEARCH(IF(D$1&lt;&gt;"",D$1,"NA"),'MITRE ATT&amp;CK Mappings'!$E684)),ISNUMBER(SEARCH(IF(D$1&lt;&gt;"",D$1,"NA"),'MITRE ATT&amp;CK Mappings'!$F684))),ISNUMBER(SEARCH(IF(D$2&lt;&gt;"",D$2,"NA"),'MITRE ATT&amp;CK Mappings'!$G684))),ISNUMBER(SEARCH(IF(D$2&lt;&gt;"",D$2,"NA"),'MITRE ATT&amp;CK Mappings'!$H684))),ISNUMBER(SEARCH(IF(D$3&lt;&gt;"",D$3,"NA"),'MITRE ATT&amp;CK Mappings'!$I684))),ISNUMBER(SEARCH(IF(D$3&lt;&gt;"",D$3,"NA"),'MITRE ATT&amp;CK Mappings'!$J684))), 'MITRE ATT&amp;CK Mappings'!$B684,"")</f>
        <v/>
      </c>
      <c r="E688" s="26" t="str">
        <f>IF(OR(OR(OR(OR(OR(ISNUMBER(SEARCH(IF(E$1&lt;&gt;"",E$1,"NA"),'MITRE ATT&amp;CK Mappings'!$E684)),ISNUMBER(SEARCH(IF(E$1&lt;&gt;"",E$1,"NA"),'MITRE ATT&amp;CK Mappings'!$F684))),ISNUMBER(SEARCH(IF(E$2&lt;&gt;"",E$2,"NA"),'MITRE ATT&amp;CK Mappings'!$G684))),ISNUMBER(SEARCH(IF(E$2&lt;&gt;"",E$2,"NA"),'MITRE ATT&amp;CK Mappings'!$H684))),ISNUMBER(SEARCH(IF(E$3&lt;&gt;"",E$3,"NA"),'MITRE ATT&amp;CK Mappings'!$I684))),ISNUMBER(SEARCH(IF(E$3&lt;&gt;"",E$3,"NA"),'MITRE ATT&amp;CK Mappings'!$J684))), 'MITRE ATT&amp;CK Mappings'!$B684,"")</f>
        <v/>
      </c>
      <c r="F688" s="26" t="str">
        <f>IF(OR(OR(OR(OR(OR(ISNUMBER(SEARCH(IF(F$1&lt;&gt;"",F$1,"NA"),'MITRE ATT&amp;CK Mappings'!$E684)),ISNUMBER(SEARCH(IF(F$1&lt;&gt;"",F$1,"NA"),'MITRE ATT&amp;CK Mappings'!$F684))),ISNUMBER(SEARCH(IF(F$2&lt;&gt;"",F$2,"NA"),'MITRE ATT&amp;CK Mappings'!$G684))),ISNUMBER(SEARCH(IF(F$2&lt;&gt;"",F$2,"NA"),'MITRE ATT&amp;CK Mappings'!$H684))),ISNUMBER(SEARCH(IF(F$3&lt;&gt;"",F$3,"NA"),'MITRE ATT&amp;CK Mappings'!$I684))),ISNUMBER(SEARCH(IF(F$3&lt;&gt;"",F$3,"NA"),'MITRE ATT&amp;CK Mappings'!$J684))), 'MITRE ATT&amp;CK Mappings'!$B684,"")</f>
        <v/>
      </c>
      <c r="G688" s="26" t="str">
        <f>IF(OR(OR(OR(OR(OR(ISNUMBER(SEARCH(IF(G$1&lt;&gt;"",G$1,"NA"),'MITRE ATT&amp;CK Mappings'!$E684)),ISNUMBER(SEARCH(IF(G$1&lt;&gt;"",G$1,"NA"),'MITRE ATT&amp;CK Mappings'!$F684))),ISNUMBER(SEARCH(IF(G$2&lt;&gt;"",G$2,"NA"),'MITRE ATT&amp;CK Mappings'!$G684))),ISNUMBER(SEARCH(IF(G$2&lt;&gt;"",G$2,"NA"),'MITRE ATT&amp;CK Mappings'!$H684))),ISNUMBER(SEARCH(IF(G$3&lt;&gt;"",G$3,"NA"),'MITRE ATT&amp;CK Mappings'!$I684))),ISNUMBER(SEARCH(IF(G$3&lt;&gt;"",G$3,"NA"),'MITRE ATT&amp;CK Mappings'!$J684))), 'MITRE ATT&amp;CK Mappings'!$B684,"")</f>
        <v/>
      </c>
      <c r="H688" s="26" t="str">
        <f>IF(OR(OR(OR(OR(OR(ISNUMBER(SEARCH(IF(H$1&lt;&gt;"",H$1,"NA"),'MITRE ATT&amp;CK Mappings'!$E684)),ISNUMBER(SEARCH(IF(H$1&lt;&gt;"",H$1,"NA"),'MITRE ATT&amp;CK Mappings'!$F684))),ISNUMBER(SEARCH(IF(H$2&lt;&gt;"",H$2,"NA"),'MITRE ATT&amp;CK Mappings'!$G684))),ISNUMBER(SEARCH(IF(H$2&lt;&gt;"",H$2,"NA"),'MITRE ATT&amp;CK Mappings'!$H684))),ISNUMBER(SEARCH(IF(H$3&lt;&gt;"",H$3,"NA"),'MITRE ATT&amp;CK Mappings'!$I684))),ISNUMBER(SEARCH(IF(H$3&lt;&gt;"",H$3,"NA"),'MITRE ATT&amp;CK Mappings'!$J684))), 'MITRE ATT&amp;CK Mappings'!$B684,"")</f>
        <v/>
      </c>
      <c r="I688" s="26" t="str">
        <f>IF(OR(OR(OR(OR(OR(ISNUMBER(SEARCH(IF(I$1&lt;&gt;"",I$1,"NA"),'MITRE ATT&amp;CK Mappings'!$E684)),ISNUMBER(SEARCH(IF(I$1&lt;&gt;"",I$1,"NA"),'MITRE ATT&amp;CK Mappings'!$F684))),ISNUMBER(SEARCH(IF(I$2&lt;&gt;"",I$2,"NA"),'MITRE ATT&amp;CK Mappings'!$G684))),ISNUMBER(SEARCH(IF(I$2&lt;&gt;"",I$2,"NA"),'MITRE ATT&amp;CK Mappings'!$H684))),ISNUMBER(SEARCH(IF(I$3&lt;&gt;"",I$3,"NA"),'MITRE ATT&amp;CK Mappings'!$I684))),ISNUMBER(SEARCH(IF(I$3&lt;&gt;"",I$3,"NA"),'MITRE ATT&amp;CK Mappings'!$J684))), 'MITRE ATT&amp;CK Mappings'!$B684,"")</f>
        <v/>
      </c>
      <c r="J688" s="26" t="str">
        <f>IF(OR(OR(OR(OR(OR(ISNUMBER(SEARCH(IF(J$1&lt;&gt;"",J$1,"NA"),'MITRE ATT&amp;CK Mappings'!$E684)),ISNUMBER(SEARCH(IF(J$1&lt;&gt;"",J$1,"NA"),'MITRE ATT&amp;CK Mappings'!$F684))),ISNUMBER(SEARCH(IF(J$2&lt;&gt;"",J$2,"NA"),'MITRE ATT&amp;CK Mappings'!$G684))),ISNUMBER(SEARCH(IF(J$2&lt;&gt;"",J$2,"NA"),'MITRE ATT&amp;CK Mappings'!$H684))),ISNUMBER(SEARCH(IF(J$3&lt;&gt;"",J$3,"NA"),'MITRE ATT&amp;CK Mappings'!$I684))),ISNUMBER(SEARCH(IF(J$3&lt;&gt;"",J$3,"NA"),'MITRE ATT&amp;CK Mappings'!$J684))), 'MITRE ATT&amp;CK Mappings'!$B684,"")</f>
        <v/>
      </c>
      <c r="K688" s="26" t="str">
        <f>IF(OR(OR(OR(OR(OR(ISNUMBER(SEARCH(IF(K$1&lt;&gt;"",K$1,"NA"),'MITRE ATT&amp;CK Mappings'!$E684)),ISNUMBER(SEARCH(IF(K$1&lt;&gt;"",K$1,"NA"),'MITRE ATT&amp;CK Mappings'!$F684))),ISNUMBER(SEARCH(IF(K$2&lt;&gt;"",K$2,"NA"),'MITRE ATT&amp;CK Mappings'!$G684))),ISNUMBER(SEARCH(IF(K$2&lt;&gt;"",K$2,"NA"),'MITRE ATT&amp;CK Mappings'!$H684))),ISNUMBER(SEARCH(IF(K$3&lt;&gt;"",K$3,"NA"),'MITRE ATT&amp;CK Mappings'!$I684))),ISNUMBER(SEARCH(IF(K$3&lt;&gt;"",K$3,"NA"),'MITRE ATT&amp;CK Mappings'!$J684))), 'MITRE ATT&amp;CK Mappings'!$B684,"")</f>
        <v/>
      </c>
      <c r="L688" s="26" t="str">
        <f>IF('MITRE ATT&amp;CK Mappings'!D684 &lt;&gt;"",'MITRE ATT&amp;CK Mappings'!D684,"" )</f>
        <v/>
      </c>
    </row>
    <row r="689" spans="1:12" x14ac:dyDescent="0.25">
      <c r="A689" s="27" t="str">
        <f>IF(COUNTIF(B689:K689,"="&amp;'MITRE ATT&amp;CK Mappings'!B685)&gt;0,'MITRE ATT&amp;CK Mappings'!B685,"")</f>
        <v/>
      </c>
      <c r="B689" s="27" t="str">
        <f>IF(OR(OR(OR(OR(OR(ISNUMBER(SEARCH(IF(B$1&lt;&gt;"",B$1,"NA"),'MITRE ATT&amp;CK Mappings'!$E685)),ISNUMBER(SEARCH(IF(B$1&lt;&gt;"",B$1,"NA"),'MITRE ATT&amp;CK Mappings'!$F685))),ISNUMBER(SEARCH(IF(B$2&lt;&gt;"",B$2,"NA"),'MITRE ATT&amp;CK Mappings'!$G685))),ISNUMBER(SEARCH(IF(B$2&lt;&gt;"",B$2,"NA"),'MITRE ATT&amp;CK Mappings'!$H685))),ISNUMBER(SEARCH(IF(B$3&lt;&gt;"",B$3,"NA"),'MITRE ATT&amp;CK Mappings'!$I685))),ISNUMBER(SEARCH(IF(B$3&lt;&gt;"",B$3,"NA"),'MITRE ATT&amp;CK Mappings'!$J685))), 'MITRE ATT&amp;CK Mappings'!$B685,"")</f>
        <v/>
      </c>
      <c r="C689" s="27" t="str">
        <f>IF(OR(OR(OR(OR(OR(ISNUMBER(SEARCH(IF(C$1&lt;&gt;"",C$1,"NA"),'MITRE ATT&amp;CK Mappings'!$E685)),ISNUMBER(SEARCH(IF(C$1&lt;&gt;"",C$1,"NA"),'MITRE ATT&amp;CK Mappings'!$F685))),ISNUMBER(SEARCH(IF(C$2&lt;&gt;"",C$2,"NA"),'MITRE ATT&amp;CK Mappings'!$G685))),ISNUMBER(SEARCH(IF(C$2&lt;&gt;"",C$2,"NA"),'MITRE ATT&amp;CK Mappings'!$H685))),ISNUMBER(SEARCH(IF(C$3&lt;&gt;"",C$3,"NA"),'MITRE ATT&amp;CK Mappings'!$I685))),ISNUMBER(SEARCH(IF(C$3&lt;&gt;"",C$3,"NA"),'MITRE ATT&amp;CK Mappings'!$J685))), 'MITRE ATT&amp;CK Mappings'!$B685,"")</f>
        <v/>
      </c>
      <c r="D689" s="27" t="str">
        <f>IF(OR(OR(OR(OR(OR(ISNUMBER(SEARCH(IF(D$1&lt;&gt;"",D$1,"NA"),'MITRE ATT&amp;CK Mappings'!$E685)),ISNUMBER(SEARCH(IF(D$1&lt;&gt;"",D$1,"NA"),'MITRE ATT&amp;CK Mappings'!$F685))),ISNUMBER(SEARCH(IF(D$2&lt;&gt;"",D$2,"NA"),'MITRE ATT&amp;CK Mappings'!$G685))),ISNUMBER(SEARCH(IF(D$2&lt;&gt;"",D$2,"NA"),'MITRE ATT&amp;CK Mappings'!$H685))),ISNUMBER(SEARCH(IF(D$3&lt;&gt;"",D$3,"NA"),'MITRE ATT&amp;CK Mappings'!$I685))),ISNUMBER(SEARCH(IF(D$3&lt;&gt;"",D$3,"NA"),'MITRE ATT&amp;CK Mappings'!$J685))), 'MITRE ATT&amp;CK Mappings'!$B685,"")</f>
        <v/>
      </c>
      <c r="E689" s="27" t="str">
        <f>IF(OR(OR(OR(OR(OR(ISNUMBER(SEARCH(IF(E$1&lt;&gt;"",E$1,"NA"),'MITRE ATT&amp;CK Mappings'!$E685)),ISNUMBER(SEARCH(IF(E$1&lt;&gt;"",E$1,"NA"),'MITRE ATT&amp;CK Mappings'!$F685))),ISNUMBER(SEARCH(IF(E$2&lt;&gt;"",E$2,"NA"),'MITRE ATT&amp;CK Mappings'!$G685))),ISNUMBER(SEARCH(IF(E$2&lt;&gt;"",E$2,"NA"),'MITRE ATT&amp;CK Mappings'!$H685))),ISNUMBER(SEARCH(IF(E$3&lt;&gt;"",E$3,"NA"),'MITRE ATT&amp;CK Mappings'!$I685))),ISNUMBER(SEARCH(IF(E$3&lt;&gt;"",E$3,"NA"),'MITRE ATT&amp;CK Mappings'!$J685))), 'MITRE ATT&amp;CK Mappings'!$B685,"")</f>
        <v/>
      </c>
      <c r="F689" s="27" t="str">
        <f>IF(OR(OR(OR(OR(OR(ISNUMBER(SEARCH(IF(F$1&lt;&gt;"",F$1,"NA"),'MITRE ATT&amp;CK Mappings'!$E685)),ISNUMBER(SEARCH(IF(F$1&lt;&gt;"",F$1,"NA"),'MITRE ATT&amp;CK Mappings'!$F685))),ISNUMBER(SEARCH(IF(F$2&lt;&gt;"",F$2,"NA"),'MITRE ATT&amp;CK Mappings'!$G685))),ISNUMBER(SEARCH(IF(F$2&lt;&gt;"",F$2,"NA"),'MITRE ATT&amp;CK Mappings'!$H685))),ISNUMBER(SEARCH(IF(F$3&lt;&gt;"",F$3,"NA"),'MITRE ATT&amp;CK Mappings'!$I685))),ISNUMBER(SEARCH(IF(F$3&lt;&gt;"",F$3,"NA"),'MITRE ATT&amp;CK Mappings'!$J685))), 'MITRE ATT&amp;CK Mappings'!$B685,"")</f>
        <v/>
      </c>
      <c r="G689" s="27" t="str">
        <f>IF(OR(OR(OR(OR(OR(ISNUMBER(SEARCH(IF(G$1&lt;&gt;"",G$1,"NA"),'MITRE ATT&amp;CK Mappings'!$E685)),ISNUMBER(SEARCH(IF(G$1&lt;&gt;"",G$1,"NA"),'MITRE ATT&amp;CK Mappings'!$F685))),ISNUMBER(SEARCH(IF(G$2&lt;&gt;"",G$2,"NA"),'MITRE ATT&amp;CK Mappings'!$G685))),ISNUMBER(SEARCH(IF(G$2&lt;&gt;"",G$2,"NA"),'MITRE ATT&amp;CK Mappings'!$H685))),ISNUMBER(SEARCH(IF(G$3&lt;&gt;"",G$3,"NA"),'MITRE ATT&amp;CK Mappings'!$I685))),ISNUMBER(SEARCH(IF(G$3&lt;&gt;"",G$3,"NA"),'MITRE ATT&amp;CK Mappings'!$J685))), 'MITRE ATT&amp;CK Mappings'!$B685,"")</f>
        <v/>
      </c>
      <c r="H689" s="27" t="str">
        <f>IF(OR(OR(OR(OR(OR(ISNUMBER(SEARCH(IF(H$1&lt;&gt;"",H$1,"NA"),'MITRE ATT&amp;CK Mappings'!$E685)),ISNUMBER(SEARCH(IF(H$1&lt;&gt;"",H$1,"NA"),'MITRE ATT&amp;CK Mappings'!$F685))),ISNUMBER(SEARCH(IF(H$2&lt;&gt;"",H$2,"NA"),'MITRE ATT&amp;CK Mappings'!$G685))),ISNUMBER(SEARCH(IF(H$2&lt;&gt;"",H$2,"NA"),'MITRE ATT&amp;CK Mappings'!$H685))),ISNUMBER(SEARCH(IF(H$3&lt;&gt;"",H$3,"NA"),'MITRE ATT&amp;CK Mappings'!$I685))),ISNUMBER(SEARCH(IF(H$3&lt;&gt;"",H$3,"NA"),'MITRE ATT&amp;CK Mappings'!$J685))), 'MITRE ATT&amp;CK Mappings'!$B685,"")</f>
        <v/>
      </c>
      <c r="I689" s="27" t="str">
        <f>IF(OR(OR(OR(OR(OR(ISNUMBER(SEARCH(IF(I$1&lt;&gt;"",I$1,"NA"),'MITRE ATT&amp;CK Mappings'!$E685)),ISNUMBER(SEARCH(IF(I$1&lt;&gt;"",I$1,"NA"),'MITRE ATT&amp;CK Mappings'!$F685))),ISNUMBER(SEARCH(IF(I$2&lt;&gt;"",I$2,"NA"),'MITRE ATT&amp;CK Mappings'!$G685))),ISNUMBER(SEARCH(IF(I$2&lt;&gt;"",I$2,"NA"),'MITRE ATT&amp;CK Mappings'!$H685))),ISNUMBER(SEARCH(IF(I$3&lt;&gt;"",I$3,"NA"),'MITRE ATT&amp;CK Mappings'!$I685))),ISNUMBER(SEARCH(IF(I$3&lt;&gt;"",I$3,"NA"),'MITRE ATT&amp;CK Mappings'!$J685))), 'MITRE ATT&amp;CK Mappings'!$B685,"")</f>
        <v/>
      </c>
      <c r="J689" s="27" t="str">
        <f>IF(OR(OR(OR(OR(OR(ISNUMBER(SEARCH(IF(J$1&lt;&gt;"",J$1,"NA"),'MITRE ATT&amp;CK Mappings'!$E685)),ISNUMBER(SEARCH(IF(J$1&lt;&gt;"",J$1,"NA"),'MITRE ATT&amp;CK Mappings'!$F685))),ISNUMBER(SEARCH(IF(J$2&lt;&gt;"",J$2,"NA"),'MITRE ATT&amp;CK Mappings'!$G685))),ISNUMBER(SEARCH(IF(J$2&lt;&gt;"",J$2,"NA"),'MITRE ATT&amp;CK Mappings'!$H685))),ISNUMBER(SEARCH(IF(J$3&lt;&gt;"",J$3,"NA"),'MITRE ATT&amp;CK Mappings'!$I685))),ISNUMBER(SEARCH(IF(J$3&lt;&gt;"",J$3,"NA"),'MITRE ATT&amp;CK Mappings'!$J685))), 'MITRE ATT&amp;CK Mappings'!$B685,"")</f>
        <v/>
      </c>
      <c r="K689" s="27" t="str">
        <f>IF(OR(OR(OR(OR(OR(ISNUMBER(SEARCH(IF(K$1&lt;&gt;"",K$1,"NA"),'MITRE ATT&amp;CK Mappings'!$E685)),ISNUMBER(SEARCH(IF(K$1&lt;&gt;"",K$1,"NA"),'MITRE ATT&amp;CK Mappings'!$F685))),ISNUMBER(SEARCH(IF(K$2&lt;&gt;"",K$2,"NA"),'MITRE ATT&amp;CK Mappings'!$G685))),ISNUMBER(SEARCH(IF(K$2&lt;&gt;"",K$2,"NA"),'MITRE ATT&amp;CK Mappings'!$H685))),ISNUMBER(SEARCH(IF(K$3&lt;&gt;"",K$3,"NA"),'MITRE ATT&amp;CK Mappings'!$I685))),ISNUMBER(SEARCH(IF(K$3&lt;&gt;"",K$3,"NA"),'MITRE ATT&amp;CK Mappings'!$J685))), 'MITRE ATT&amp;CK Mappings'!$B685,"")</f>
        <v/>
      </c>
      <c r="L689" s="27" t="str">
        <f>IF('MITRE ATT&amp;CK Mappings'!D685 &lt;&gt;"",'MITRE ATT&amp;CK Mappings'!D685,"" )</f>
        <v/>
      </c>
    </row>
    <row r="690" spans="1:12" x14ac:dyDescent="0.25">
      <c r="A690" s="26" t="str">
        <f>IF(COUNTIF(B690:K690,"="&amp;'MITRE ATT&amp;CK Mappings'!B686)&gt;0,'MITRE ATT&amp;CK Mappings'!B686,"")</f>
        <v/>
      </c>
      <c r="B690" s="26" t="str">
        <f>IF(OR(OR(OR(OR(OR(ISNUMBER(SEARCH(IF(B$1&lt;&gt;"",B$1,"NA"),'MITRE ATT&amp;CK Mappings'!$E686)),ISNUMBER(SEARCH(IF(B$1&lt;&gt;"",B$1,"NA"),'MITRE ATT&amp;CK Mappings'!$F686))),ISNUMBER(SEARCH(IF(B$2&lt;&gt;"",B$2,"NA"),'MITRE ATT&amp;CK Mappings'!$G686))),ISNUMBER(SEARCH(IF(B$2&lt;&gt;"",B$2,"NA"),'MITRE ATT&amp;CK Mappings'!$H686))),ISNUMBER(SEARCH(IF(B$3&lt;&gt;"",B$3,"NA"),'MITRE ATT&amp;CK Mappings'!$I686))),ISNUMBER(SEARCH(IF(B$3&lt;&gt;"",B$3,"NA"),'MITRE ATT&amp;CK Mappings'!$J686))), 'MITRE ATT&amp;CK Mappings'!$B686,"")</f>
        <v/>
      </c>
      <c r="C690" s="26" t="str">
        <f>IF(OR(OR(OR(OR(OR(ISNUMBER(SEARCH(IF(C$1&lt;&gt;"",C$1,"NA"),'MITRE ATT&amp;CK Mappings'!$E686)),ISNUMBER(SEARCH(IF(C$1&lt;&gt;"",C$1,"NA"),'MITRE ATT&amp;CK Mappings'!$F686))),ISNUMBER(SEARCH(IF(C$2&lt;&gt;"",C$2,"NA"),'MITRE ATT&amp;CK Mappings'!$G686))),ISNUMBER(SEARCH(IF(C$2&lt;&gt;"",C$2,"NA"),'MITRE ATT&amp;CK Mappings'!$H686))),ISNUMBER(SEARCH(IF(C$3&lt;&gt;"",C$3,"NA"),'MITRE ATT&amp;CK Mappings'!$I686))),ISNUMBER(SEARCH(IF(C$3&lt;&gt;"",C$3,"NA"),'MITRE ATT&amp;CK Mappings'!$J686))), 'MITRE ATT&amp;CK Mappings'!$B686,"")</f>
        <v/>
      </c>
      <c r="D690" s="26" t="str">
        <f>IF(OR(OR(OR(OR(OR(ISNUMBER(SEARCH(IF(D$1&lt;&gt;"",D$1,"NA"),'MITRE ATT&amp;CK Mappings'!$E686)),ISNUMBER(SEARCH(IF(D$1&lt;&gt;"",D$1,"NA"),'MITRE ATT&amp;CK Mappings'!$F686))),ISNUMBER(SEARCH(IF(D$2&lt;&gt;"",D$2,"NA"),'MITRE ATT&amp;CK Mappings'!$G686))),ISNUMBER(SEARCH(IF(D$2&lt;&gt;"",D$2,"NA"),'MITRE ATT&amp;CK Mappings'!$H686))),ISNUMBER(SEARCH(IF(D$3&lt;&gt;"",D$3,"NA"),'MITRE ATT&amp;CK Mappings'!$I686))),ISNUMBER(SEARCH(IF(D$3&lt;&gt;"",D$3,"NA"),'MITRE ATT&amp;CK Mappings'!$J686))), 'MITRE ATT&amp;CK Mappings'!$B686,"")</f>
        <v/>
      </c>
      <c r="E690" s="26" t="str">
        <f>IF(OR(OR(OR(OR(OR(ISNUMBER(SEARCH(IF(E$1&lt;&gt;"",E$1,"NA"),'MITRE ATT&amp;CK Mappings'!$E686)),ISNUMBER(SEARCH(IF(E$1&lt;&gt;"",E$1,"NA"),'MITRE ATT&amp;CK Mappings'!$F686))),ISNUMBER(SEARCH(IF(E$2&lt;&gt;"",E$2,"NA"),'MITRE ATT&amp;CK Mappings'!$G686))),ISNUMBER(SEARCH(IF(E$2&lt;&gt;"",E$2,"NA"),'MITRE ATT&amp;CK Mappings'!$H686))),ISNUMBER(SEARCH(IF(E$3&lt;&gt;"",E$3,"NA"),'MITRE ATT&amp;CK Mappings'!$I686))),ISNUMBER(SEARCH(IF(E$3&lt;&gt;"",E$3,"NA"),'MITRE ATT&amp;CK Mappings'!$J686))), 'MITRE ATT&amp;CK Mappings'!$B686,"")</f>
        <v/>
      </c>
      <c r="F690" s="26" t="str">
        <f>IF(OR(OR(OR(OR(OR(ISNUMBER(SEARCH(IF(F$1&lt;&gt;"",F$1,"NA"),'MITRE ATT&amp;CK Mappings'!$E686)),ISNUMBER(SEARCH(IF(F$1&lt;&gt;"",F$1,"NA"),'MITRE ATT&amp;CK Mappings'!$F686))),ISNUMBER(SEARCH(IF(F$2&lt;&gt;"",F$2,"NA"),'MITRE ATT&amp;CK Mappings'!$G686))),ISNUMBER(SEARCH(IF(F$2&lt;&gt;"",F$2,"NA"),'MITRE ATT&amp;CK Mappings'!$H686))),ISNUMBER(SEARCH(IF(F$3&lt;&gt;"",F$3,"NA"),'MITRE ATT&amp;CK Mappings'!$I686))),ISNUMBER(SEARCH(IF(F$3&lt;&gt;"",F$3,"NA"),'MITRE ATT&amp;CK Mappings'!$J686))), 'MITRE ATT&amp;CK Mappings'!$B686,"")</f>
        <v/>
      </c>
      <c r="G690" s="26" t="str">
        <f>IF(OR(OR(OR(OR(OR(ISNUMBER(SEARCH(IF(G$1&lt;&gt;"",G$1,"NA"),'MITRE ATT&amp;CK Mappings'!$E686)),ISNUMBER(SEARCH(IF(G$1&lt;&gt;"",G$1,"NA"),'MITRE ATT&amp;CK Mappings'!$F686))),ISNUMBER(SEARCH(IF(G$2&lt;&gt;"",G$2,"NA"),'MITRE ATT&amp;CK Mappings'!$G686))),ISNUMBER(SEARCH(IF(G$2&lt;&gt;"",G$2,"NA"),'MITRE ATT&amp;CK Mappings'!$H686))),ISNUMBER(SEARCH(IF(G$3&lt;&gt;"",G$3,"NA"),'MITRE ATT&amp;CK Mappings'!$I686))),ISNUMBER(SEARCH(IF(G$3&lt;&gt;"",G$3,"NA"),'MITRE ATT&amp;CK Mappings'!$J686))), 'MITRE ATT&amp;CK Mappings'!$B686,"")</f>
        <v/>
      </c>
      <c r="H690" s="26" t="str">
        <f>IF(OR(OR(OR(OR(OR(ISNUMBER(SEARCH(IF(H$1&lt;&gt;"",H$1,"NA"),'MITRE ATT&amp;CK Mappings'!$E686)),ISNUMBER(SEARCH(IF(H$1&lt;&gt;"",H$1,"NA"),'MITRE ATT&amp;CK Mappings'!$F686))),ISNUMBER(SEARCH(IF(H$2&lt;&gt;"",H$2,"NA"),'MITRE ATT&amp;CK Mappings'!$G686))),ISNUMBER(SEARCH(IF(H$2&lt;&gt;"",H$2,"NA"),'MITRE ATT&amp;CK Mappings'!$H686))),ISNUMBER(SEARCH(IF(H$3&lt;&gt;"",H$3,"NA"),'MITRE ATT&amp;CK Mappings'!$I686))),ISNUMBER(SEARCH(IF(H$3&lt;&gt;"",H$3,"NA"),'MITRE ATT&amp;CK Mappings'!$J686))), 'MITRE ATT&amp;CK Mappings'!$B686,"")</f>
        <v/>
      </c>
      <c r="I690" s="26" t="str">
        <f>IF(OR(OR(OR(OR(OR(ISNUMBER(SEARCH(IF(I$1&lt;&gt;"",I$1,"NA"),'MITRE ATT&amp;CK Mappings'!$E686)),ISNUMBER(SEARCH(IF(I$1&lt;&gt;"",I$1,"NA"),'MITRE ATT&amp;CK Mappings'!$F686))),ISNUMBER(SEARCH(IF(I$2&lt;&gt;"",I$2,"NA"),'MITRE ATT&amp;CK Mappings'!$G686))),ISNUMBER(SEARCH(IF(I$2&lt;&gt;"",I$2,"NA"),'MITRE ATT&amp;CK Mappings'!$H686))),ISNUMBER(SEARCH(IF(I$3&lt;&gt;"",I$3,"NA"),'MITRE ATT&amp;CK Mappings'!$I686))),ISNUMBER(SEARCH(IF(I$3&lt;&gt;"",I$3,"NA"),'MITRE ATT&amp;CK Mappings'!$J686))), 'MITRE ATT&amp;CK Mappings'!$B686,"")</f>
        <v/>
      </c>
      <c r="J690" s="26" t="str">
        <f>IF(OR(OR(OR(OR(OR(ISNUMBER(SEARCH(IF(J$1&lt;&gt;"",J$1,"NA"),'MITRE ATT&amp;CK Mappings'!$E686)),ISNUMBER(SEARCH(IF(J$1&lt;&gt;"",J$1,"NA"),'MITRE ATT&amp;CK Mappings'!$F686))),ISNUMBER(SEARCH(IF(J$2&lt;&gt;"",J$2,"NA"),'MITRE ATT&amp;CK Mappings'!$G686))),ISNUMBER(SEARCH(IF(J$2&lt;&gt;"",J$2,"NA"),'MITRE ATT&amp;CK Mappings'!$H686))),ISNUMBER(SEARCH(IF(J$3&lt;&gt;"",J$3,"NA"),'MITRE ATT&amp;CK Mappings'!$I686))),ISNUMBER(SEARCH(IF(J$3&lt;&gt;"",J$3,"NA"),'MITRE ATT&amp;CK Mappings'!$J686))), 'MITRE ATT&amp;CK Mappings'!$B686,"")</f>
        <v/>
      </c>
      <c r="K690" s="26" t="str">
        <f>IF(OR(OR(OR(OR(OR(ISNUMBER(SEARCH(IF(K$1&lt;&gt;"",K$1,"NA"),'MITRE ATT&amp;CK Mappings'!$E686)),ISNUMBER(SEARCH(IF(K$1&lt;&gt;"",K$1,"NA"),'MITRE ATT&amp;CK Mappings'!$F686))),ISNUMBER(SEARCH(IF(K$2&lt;&gt;"",K$2,"NA"),'MITRE ATT&amp;CK Mappings'!$G686))),ISNUMBER(SEARCH(IF(K$2&lt;&gt;"",K$2,"NA"),'MITRE ATT&amp;CK Mappings'!$H686))),ISNUMBER(SEARCH(IF(K$3&lt;&gt;"",K$3,"NA"),'MITRE ATT&amp;CK Mappings'!$I686))),ISNUMBER(SEARCH(IF(K$3&lt;&gt;"",K$3,"NA"),'MITRE ATT&amp;CK Mappings'!$J686))), 'MITRE ATT&amp;CK Mappings'!$B686,"")</f>
        <v/>
      </c>
      <c r="L690" s="26" t="str">
        <f>IF('MITRE ATT&amp;CK Mappings'!D686 &lt;&gt;"",'MITRE ATT&amp;CK Mappings'!D686,"" )</f>
        <v/>
      </c>
    </row>
    <row r="691" spans="1:12" x14ac:dyDescent="0.25">
      <c r="A691" s="27" t="str">
        <f>IF(COUNTIF(B691:K691,"="&amp;'MITRE ATT&amp;CK Mappings'!B687)&gt;0,'MITRE ATT&amp;CK Mappings'!B687,"")</f>
        <v/>
      </c>
      <c r="B691" s="27" t="str">
        <f>IF(OR(OR(OR(OR(OR(ISNUMBER(SEARCH(IF(B$1&lt;&gt;"",B$1,"NA"),'MITRE ATT&amp;CK Mappings'!$E687)),ISNUMBER(SEARCH(IF(B$1&lt;&gt;"",B$1,"NA"),'MITRE ATT&amp;CK Mappings'!$F687))),ISNUMBER(SEARCH(IF(B$2&lt;&gt;"",B$2,"NA"),'MITRE ATT&amp;CK Mappings'!$G687))),ISNUMBER(SEARCH(IF(B$2&lt;&gt;"",B$2,"NA"),'MITRE ATT&amp;CK Mappings'!$H687))),ISNUMBER(SEARCH(IF(B$3&lt;&gt;"",B$3,"NA"),'MITRE ATT&amp;CK Mappings'!$I687))),ISNUMBER(SEARCH(IF(B$3&lt;&gt;"",B$3,"NA"),'MITRE ATT&amp;CK Mappings'!$J687))), 'MITRE ATT&amp;CK Mappings'!$B687,"")</f>
        <v/>
      </c>
      <c r="C691" s="27" t="str">
        <f>IF(OR(OR(OR(OR(OR(ISNUMBER(SEARCH(IF(C$1&lt;&gt;"",C$1,"NA"),'MITRE ATT&amp;CK Mappings'!$E687)),ISNUMBER(SEARCH(IF(C$1&lt;&gt;"",C$1,"NA"),'MITRE ATT&amp;CK Mappings'!$F687))),ISNUMBER(SEARCH(IF(C$2&lt;&gt;"",C$2,"NA"),'MITRE ATT&amp;CK Mappings'!$G687))),ISNUMBER(SEARCH(IF(C$2&lt;&gt;"",C$2,"NA"),'MITRE ATT&amp;CK Mappings'!$H687))),ISNUMBER(SEARCH(IF(C$3&lt;&gt;"",C$3,"NA"),'MITRE ATT&amp;CK Mappings'!$I687))),ISNUMBER(SEARCH(IF(C$3&lt;&gt;"",C$3,"NA"),'MITRE ATT&amp;CK Mappings'!$J687))), 'MITRE ATT&amp;CK Mappings'!$B687,"")</f>
        <v/>
      </c>
      <c r="D691" s="27" t="str">
        <f>IF(OR(OR(OR(OR(OR(ISNUMBER(SEARCH(IF(D$1&lt;&gt;"",D$1,"NA"),'MITRE ATT&amp;CK Mappings'!$E687)),ISNUMBER(SEARCH(IF(D$1&lt;&gt;"",D$1,"NA"),'MITRE ATT&amp;CK Mappings'!$F687))),ISNUMBER(SEARCH(IF(D$2&lt;&gt;"",D$2,"NA"),'MITRE ATT&amp;CK Mappings'!$G687))),ISNUMBER(SEARCH(IF(D$2&lt;&gt;"",D$2,"NA"),'MITRE ATT&amp;CK Mappings'!$H687))),ISNUMBER(SEARCH(IF(D$3&lt;&gt;"",D$3,"NA"),'MITRE ATT&amp;CK Mappings'!$I687))),ISNUMBER(SEARCH(IF(D$3&lt;&gt;"",D$3,"NA"),'MITRE ATT&amp;CK Mappings'!$J687))), 'MITRE ATT&amp;CK Mappings'!$B687,"")</f>
        <v/>
      </c>
      <c r="E691" s="27" t="str">
        <f>IF(OR(OR(OR(OR(OR(ISNUMBER(SEARCH(IF(E$1&lt;&gt;"",E$1,"NA"),'MITRE ATT&amp;CK Mappings'!$E687)),ISNUMBER(SEARCH(IF(E$1&lt;&gt;"",E$1,"NA"),'MITRE ATT&amp;CK Mappings'!$F687))),ISNUMBER(SEARCH(IF(E$2&lt;&gt;"",E$2,"NA"),'MITRE ATT&amp;CK Mappings'!$G687))),ISNUMBER(SEARCH(IF(E$2&lt;&gt;"",E$2,"NA"),'MITRE ATT&amp;CK Mappings'!$H687))),ISNUMBER(SEARCH(IF(E$3&lt;&gt;"",E$3,"NA"),'MITRE ATT&amp;CK Mappings'!$I687))),ISNUMBER(SEARCH(IF(E$3&lt;&gt;"",E$3,"NA"),'MITRE ATT&amp;CK Mappings'!$J687))), 'MITRE ATT&amp;CK Mappings'!$B687,"")</f>
        <v/>
      </c>
      <c r="F691" s="27" t="str">
        <f>IF(OR(OR(OR(OR(OR(ISNUMBER(SEARCH(IF(F$1&lt;&gt;"",F$1,"NA"),'MITRE ATT&amp;CK Mappings'!$E687)),ISNUMBER(SEARCH(IF(F$1&lt;&gt;"",F$1,"NA"),'MITRE ATT&amp;CK Mappings'!$F687))),ISNUMBER(SEARCH(IF(F$2&lt;&gt;"",F$2,"NA"),'MITRE ATT&amp;CK Mappings'!$G687))),ISNUMBER(SEARCH(IF(F$2&lt;&gt;"",F$2,"NA"),'MITRE ATT&amp;CK Mappings'!$H687))),ISNUMBER(SEARCH(IF(F$3&lt;&gt;"",F$3,"NA"),'MITRE ATT&amp;CK Mappings'!$I687))),ISNUMBER(SEARCH(IF(F$3&lt;&gt;"",F$3,"NA"),'MITRE ATT&amp;CK Mappings'!$J687))), 'MITRE ATT&amp;CK Mappings'!$B687,"")</f>
        <v/>
      </c>
      <c r="G691" s="27" t="str">
        <f>IF(OR(OR(OR(OR(OR(ISNUMBER(SEARCH(IF(G$1&lt;&gt;"",G$1,"NA"),'MITRE ATT&amp;CK Mappings'!$E687)),ISNUMBER(SEARCH(IF(G$1&lt;&gt;"",G$1,"NA"),'MITRE ATT&amp;CK Mappings'!$F687))),ISNUMBER(SEARCH(IF(G$2&lt;&gt;"",G$2,"NA"),'MITRE ATT&amp;CK Mappings'!$G687))),ISNUMBER(SEARCH(IF(G$2&lt;&gt;"",G$2,"NA"),'MITRE ATT&amp;CK Mappings'!$H687))),ISNUMBER(SEARCH(IF(G$3&lt;&gt;"",G$3,"NA"),'MITRE ATT&amp;CK Mappings'!$I687))),ISNUMBER(SEARCH(IF(G$3&lt;&gt;"",G$3,"NA"),'MITRE ATT&amp;CK Mappings'!$J687))), 'MITRE ATT&amp;CK Mappings'!$B687,"")</f>
        <v/>
      </c>
      <c r="H691" s="27" t="str">
        <f>IF(OR(OR(OR(OR(OR(ISNUMBER(SEARCH(IF(H$1&lt;&gt;"",H$1,"NA"),'MITRE ATT&amp;CK Mappings'!$E687)),ISNUMBER(SEARCH(IF(H$1&lt;&gt;"",H$1,"NA"),'MITRE ATT&amp;CK Mappings'!$F687))),ISNUMBER(SEARCH(IF(H$2&lt;&gt;"",H$2,"NA"),'MITRE ATT&amp;CK Mappings'!$G687))),ISNUMBER(SEARCH(IF(H$2&lt;&gt;"",H$2,"NA"),'MITRE ATT&amp;CK Mappings'!$H687))),ISNUMBER(SEARCH(IF(H$3&lt;&gt;"",H$3,"NA"),'MITRE ATT&amp;CK Mappings'!$I687))),ISNUMBER(SEARCH(IF(H$3&lt;&gt;"",H$3,"NA"),'MITRE ATT&amp;CK Mappings'!$J687))), 'MITRE ATT&amp;CK Mappings'!$B687,"")</f>
        <v/>
      </c>
      <c r="I691" s="27" t="str">
        <f>IF(OR(OR(OR(OR(OR(ISNUMBER(SEARCH(IF(I$1&lt;&gt;"",I$1,"NA"),'MITRE ATT&amp;CK Mappings'!$E687)),ISNUMBER(SEARCH(IF(I$1&lt;&gt;"",I$1,"NA"),'MITRE ATT&amp;CK Mappings'!$F687))),ISNUMBER(SEARCH(IF(I$2&lt;&gt;"",I$2,"NA"),'MITRE ATT&amp;CK Mappings'!$G687))),ISNUMBER(SEARCH(IF(I$2&lt;&gt;"",I$2,"NA"),'MITRE ATT&amp;CK Mappings'!$H687))),ISNUMBER(SEARCH(IF(I$3&lt;&gt;"",I$3,"NA"),'MITRE ATT&amp;CK Mappings'!$I687))),ISNUMBER(SEARCH(IF(I$3&lt;&gt;"",I$3,"NA"),'MITRE ATT&amp;CK Mappings'!$J687))), 'MITRE ATT&amp;CK Mappings'!$B687,"")</f>
        <v/>
      </c>
      <c r="J691" s="27" t="str">
        <f>IF(OR(OR(OR(OR(OR(ISNUMBER(SEARCH(IF(J$1&lt;&gt;"",J$1,"NA"),'MITRE ATT&amp;CK Mappings'!$E687)),ISNUMBER(SEARCH(IF(J$1&lt;&gt;"",J$1,"NA"),'MITRE ATT&amp;CK Mappings'!$F687))),ISNUMBER(SEARCH(IF(J$2&lt;&gt;"",J$2,"NA"),'MITRE ATT&amp;CK Mappings'!$G687))),ISNUMBER(SEARCH(IF(J$2&lt;&gt;"",J$2,"NA"),'MITRE ATT&amp;CK Mappings'!$H687))),ISNUMBER(SEARCH(IF(J$3&lt;&gt;"",J$3,"NA"),'MITRE ATT&amp;CK Mappings'!$I687))),ISNUMBER(SEARCH(IF(J$3&lt;&gt;"",J$3,"NA"),'MITRE ATT&amp;CK Mappings'!$J687))), 'MITRE ATT&amp;CK Mappings'!$B687,"")</f>
        <v/>
      </c>
      <c r="K691" s="27" t="str">
        <f>IF(OR(OR(OR(OR(OR(ISNUMBER(SEARCH(IF(K$1&lt;&gt;"",K$1,"NA"),'MITRE ATT&amp;CK Mappings'!$E687)),ISNUMBER(SEARCH(IF(K$1&lt;&gt;"",K$1,"NA"),'MITRE ATT&amp;CK Mappings'!$F687))),ISNUMBER(SEARCH(IF(K$2&lt;&gt;"",K$2,"NA"),'MITRE ATT&amp;CK Mappings'!$G687))),ISNUMBER(SEARCH(IF(K$2&lt;&gt;"",K$2,"NA"),'MITRE ATT&amp;CK Mappings'!$H687))),ISNUMBER(SEARCH(IF(K$3&lt;&gt;"",K$3,"NA"),'MITRE ATT&amp;CK Mappings'!$I687))),ISNUMBER(SEARCH(IF(K$3&lt;&gt;"",K$3,"NA"),'MITRE ATT&amp;CK Mappings'!$J687))), 'MITRE ATT&amp;CK Mappings'!$B687,"")</f>
        <v/>
      </c>
      <c r="L691" s="27" t="str">
        <f>IF('MITRE ATT&amp;CK Mappings'!D687 &lt;&gt;"",'MITRE ATT&amp;CK Mappings'!D687,"" )</f>
        <v/>
      </c>
    </row>
    <row r="692" spans="1:12" x14ac:dyDescent="0.25">
      <c r="A692" s="26" t="str">
        <f>IF(COUNTIF(B692:K692,"="&amp;'MITRE ATT&amp;CK Mappings'!B688)&gt;0,'MITRE ATT&amp;CK Mappings'!B688,"")</f>
        <v/>
      </c>
      <c r="B692" s="26" t="str">
        <f>IF(OR(OR(OR(OR(OR(ISNUMBER(SEARCH(IF(B$1&lt;&gt;"",B$1,"NA"),'MITRE ATT&amp;CK Mappings'!$E688)),ISNUMBER(SEARCH(IF(B$1&lt;&gt;"",B$1,"NA"),'MITRE ATT&amp;CK Mappings'!$F688))),ISNUMBER(SEARCH(IF(B$2&lt;&gt;"",B$2,"NA"),'MITRE ATT&amp;CK Mappings'!$G688))),ISNUMBER(SEARCH(IF(B$2&lt;&gt;"",B$2,"NA"),'MITRE ATT&amp;CK Mappings'!$H688))),ISNUMBER(SEARCH(IF(B$3&lt;&gt;"",B$3,"NA"),'MITRE ATT&amp;CK Mappings'!$I688))),ISNUMBER(SEARCH(IF(B$3&lt;&gt;"",B$3,"NA"),'MITRE ATT&amp;CK Mappings'!$J688))), 'MITRE ATT&amp;CK Mappings'!$B688,"")</f>
        <v/>
      </c>
      <c r="C692" s="26" t="str">
        <f>IF(OR(OR(OR(OR(OR(ISNUMBER(SEARCH(IF(C$1&lt;&gt;"",C$1,"NA"),'MITRE ATT&amp;CK Mappings'!$E688)),ISNUMBER(SEARCH(IF(C$1&lt;&gt;"",C$1,"NA"),'MITRE ATT&amp;CK Mappings'!$F688))),ISNUMBER(SEARCH(IF(C$2&lt;&gt;"",C$2,"NA"),'MITRE ATT&amp;CK Mappings'!$G688))),ISNUMBER(SEARCH(IF(C$2&lt;&gt;"",C$2,"NA"),'MITRE ATT&amp;CK Mappings'!$H688))),ISNUMBER(SEARCH(IF(C$3&lt;&gt;"",C$3,"NA"),'MITRE ATT&amp;CK Mappings'!$I688))),ISNUMBER(SEARCH(IF(C$3&lt;&gt;"",C$3,"NA"),'MITRE ATT&amp;CK Mappings'!$J688))), 'MITRE ATT&amp;CK Mappings'!$B688,"")</f>
        <v/>
      </c>
      <c r="D692" s="26" t="str">
        <f>IF(OR(OR(OR(OR(OR(ISNUMBER(SEARCH(IF(D$1&lt;&gt;"",D$1,"NA"),'MITRE ATT&amp;CK Mappings'!$E688)),ISNUMBER(SEARCH(IF(D$1&lt;&gt;"",D$1,"NA"),'MITRE ATT&amp;CK Mappings'!$F688))),ISNUMBER(SEARCH(IF(D$2&lt;&gt;"",D$2,"NA"),'MITRE ATT&amp;CK Mappings'!$G688))),ISNUMBER(SEARCH(IF(D$2&lt;&gt;"",D$2,"NA"),'MITRE ATT&amp;CK Mappings'!$H688))),ISNUMBER(SEARCH(IF(D$3&lt;&gt;"",D$3,"NA"),'MITRE ATT&amp;CK Mappings'!$I688))),ISNUMBER(SEARCH(IF(D$3&lt;&gt;"",D$3,"NA"),'MITRE ATT&amp;CK Mappings'!$J688))), 'MITRE ATT&amp;CK Mappings'!$B688,"")</f>
        <v/>
      </c>
      <c r="E692" s="26" t="str">
        <f>IF(OR(OR(OR(OR(OR(ISNUMBER(SEARCH(IF(E$1&lt;&gt;"",E$1,"NA"),'MITRE ATT&amp;CK Mappings'!$E688)),ISNUMBER(SEARCH(IF(E$1&lt;&gt;"",E$1,"NA"),'MITRE ATT&amp;CK Mappings'!$F688))),ISNUMBER(SEARCH(IF(E$2&lt;&gt;"",E$2,"NA"),'MITRE ATT&amp;CK Mappings'!$G688))),ISNUMBER(SEARCH(IF(E$2&lt;&gt;"",E$2,"NA"),'MITRE ATT&amp;CK Mappings'!$H688))),ISNUMBER(SEARCH(IF(E$3&lt;&gt;"",E$3,"NA"),'MITRE ATT&amp;CK Mappings'!$I688))),ISNUMBER(SEARCH(IF(E$3&lt;&gt;"",E$3,"NA"),'MITRE ATT&amp;CK Mappings'!$J688))), 'MITRE ATT&amp;CK Mappings'!$B688,"")</f>
        <v/>
      </c>
      <c r="F692" s="26" t="str">
        <f>IF(OR(OR(OR(OR(OR(ISNUMBER(SEARCH(IF(F$1&lt;&gt;"",F$1,"NA"),'MITRE ATT&amp;CK Mappings'!$E688)),ISNUMBER(SEARCH(IF(F$1&lt;&gt;"",F$1,"NA"),'MITRE ATT&amp;CK Mappings'!$F688))),ISNUMBER(SEARCH(IF(F$2&lt;&gt;"",F$2,"NA"),'MITRE ATT&amp;CK Mappings'!$G688))),ISNUMBER(SEARCH(IF(F$2&lt;&gt;"",F$2,"NA"),'MITRE ATT&amp;CK Mappings'!$H688))),ISNUMBER(SEARCH(IF(F$3&lt;&gt;"",F$3,"NA"),'MITRE ATT&amp;CK Mappings'!$I688))),ISNUMBER(SEARCH(IF(F$3&lt;&gt;"",F$3,"NA"),'MITRE ATT&amp;CK Mappings'!$J688))), 'MITRE ATT&amp;CK Mappings'!$B688,"")</f>
        <v/>
      </c>
      <c r="G692" s="26" t="str">
        <f>IF(OR(OR(OR(OR(OR(ISNUMBER(SEARCH(IF(G$1&lt;&gt;"",G$1,"NA"),'MITRE ATT&amp;CK Mappings'!$E688)),ISNUMBER(SEARCH(IF(G$1&lt;&gt;"",G$1,"NA"),'MITRE ATT&amp;CK Mappings'!$F688))),ISNUMBER(SEARCH(IF(G$2&lt;&gt;"",G$2,"NA"),'MITRE ATT&amp;CK Mappings'!$G688))),ISNUMBER(SEARCH(IF(G$2&lt;&gt;"",G$2,"NA"),'MITRE ATT&amp;CK Mappings'!$H688))),ISNUMBER(SEARCH(IF(G$3&lt;&gt;"",G$3,"NA"),'MITRE ATT&amp;CK Mappings'!$I688))),ISNUMBER(SEARCH(IF(G$3&lt;&gt;"",G$3,"NA"),'MITRE ATT&amp;CK Mappings'!$J688))), 'MITRE ATT&amp;CK Mappings'!$B688,"")</f>
        <v/>
      </c>
      <c r="H692" s="26" t="str">
        <f>IF(OR(OR(OR(OR(OR(ISNUMBER(SEARCH(IF(H$1&lt;&gt;"",H$1,"NA"),'MITRE ATT&amp;CK Mappings'!$E688)),ISNUMBER(SEARCH(IF(H$1&lt;&gt;"",H$1,"NA"),'MITRE ATT&amp;CK Mappings'!$F688))),ISNUMBER(SEARCH(IF(H$2&lt;&gt;"",H$2,"NA"),'MITRE ATT&amp;CK Mappings'!$G688))),ISNUMBER(SEARCH(IF(H$2&lt;&gt;"",H$2,"NA"),'MITRE ATT&amp;CK Mappings'!$H688))),ISNUMBER(SEARCH(IF(H$3&lt;&gt;"",H$3,"NA"),'MITRE ATT&amp;CK Mappings'!$I688))),ISNUMBER(SEARCH(IF(H$3&lt;&gt;"",H$3,"NA"),'MITRE ATT&amp;CK Mappings'!$J688))), 'MITRE ATT&amp;CK Mappings'!$B688,"")</f>
        <v/>
      </c>
      <c r="I692" s="26" t="str">
        <f>IF(OR(OR(OR(OR(OR(ISNUMBER(SEARCH(IF(I$1&lt;&gt;"",I$1,"NA"),'MITRE ATT&amp;CK Mappings'!$E688)),ISNUMBER(SEARCH(IF(I$1&lt;&gt;"",I$1,"NA"),'MITRE ATT&amp;CK Mappings'!$F688))),ISNUMBER(SEARCH(IF(I$2&lt;&gt;"",I$2,"NA"),'MITRE ATT&amp;CK Mappings'!$G688))),ISNUMBER(SEARCH(IF(I$2&lt;&gt;"",I$2,"NA"),'MITRE ATT&amp;CK Mappings'!$H688))),ISNUMBER(SEARCH(IF(I$3&lt;&gt;"",I$3,"NA"),'MITRE ATT&amp;CK Mappings'!$I688))),ISNUMBER(SEARCH(IF(I$3&lt;&gt;"",I$3,"NA"),'MITRE ATT&amp;CK Mappings'!$J688))), 'MITRE ATT&amp;CK Mappings'!$B688,"")</f>
        <v/>
      </c>
      <c r="J692" s="26" t="str">
        <f>IF(OR(OR(OR(OR(OR(ISNUMBER(SEARCH(IF(J$1&lt;&gt;"",J$1,"NA"),'MITRE ATT&amp;CK Mappings'!$E688)),ISNUMBER(SEARCH(IF(J$1&lt;&gt;"",J$1,"NA"),'MITRE ATT&amp;CK Mappings'!$F688))),ISNUMBER(SEARCH(IF(J$2&lt;&gt;"",J$2,"NA"),'MITRE ATT&amp;CK Mappings'!$G688))),ISNUMBER(SEARCH(IF(J$2&lt;&gt;"",J$2,"NA"),'MITRE ATT&amp;CK Mappings'!$H688))),ISNUMBER(SEARCH(IF(J$3&lt;&gt;"",J$3,"NA"),'MITRE ATT&amp;CK Mappings'!$I688))),ISNUMBER(SEARCH(IF(J$3&lt;&gt;"",J$3,"NA"),'MITRE ATT&amp;CK Mappings'!$J688))), 'MITRE ATT&amp;CK Mappings'!$B688,"")</f>
        <v/>
      </c>
      <c r="K692" s="26" t="str">
        <f>IF(OR(OR(OR(OR(OR(ISNUMBER(SEARCH(IF(K$1&lt;&gt;"",K$1,"NA"),'MITRE ATT&amp;CK Mappings'!$E688)),ISNUMBER(SEARCH(IF(K$1&lt;&gt;"",K$1,"NA"),'MITRE ATT&amp;CK Mappings'!$F688))),ISNUMBER(SEARCH(IF(K$2&lt;&gt;"",K$2,"NA"),'MITRE ATT&amp;CK Mappings'!$G688))),ISNUMBER(SEARCH(IF(K$2&lt;&gt;"",K$2,"NA"),'MITRE ATT&amp;CK Mappings'!$H688))),ISNUMBER(SEARCH(IF(K$3&lt;&gt;"",K$3,"NA"),'MITRE ATT&amp;CK Mappings'!$I688))),ISNUMBER(SEARCH(IF(K$3&lt;&gt;"",K$3,"NA"),'MITRE ATT&amp;CK Mappings'!$J688))), 'MITRE ATT&amp;CK Mappings'!$B688,"")</f>
        <v/>
      </c>
      <c r="L692" s="26" t="str">
        <f>IF('MITRE ATT&amp;CK Mappings'!D688 &lt;&gt;"",'MITRE ATT&amp;CK Mappings'!D688,"" )</f>
        <v/>
      </c>
    </row>
    <row r="693" spans="1:12" x14ac:dyDescent="0.25">
      <c r="A693" s="27" t="str">
        <f>IF(COUNTIF(B693:K693,"="&amp;'MITRE ATT&amp;CK Mappings'!B689)&gt;0,'MITRE ATT&amp;CK Mappings'!B689,"")</f>
        <v/>
      </c>
      <c r="B693" s="27" t="str">
        <f>IF(OR(OR(OR(OR(OR(ISNUMBER(SEARCH(IF(B$1&lt;&gt;"",B$1,"NA"),'MITRE ATT&amp;CK Mappings'!$E689)),ISNUMBER(SEARCH(IF(B$1&lt;&gt;"",B$1,"NA"),'MITRE ATT&amp;CK Mappings'!$F689))),ISNUMBER(SEARCH(IF(B$2&lt;&gt;"",B$2,"NA"),'MITRE ATT&amp;CK Mappings'!$G689))),ISNUMBER(SEARCH(IF(B$2&lt;&gt;"",B$2,"NA"),'MITRE ATT&amp;CK Mappings'!$H689))),ISNUMBER(SEARCH(IF(B$3&lt;&gt;"",B$3,"NA"),'MITRE ATT&amp;CK Mappings'!$I689))),ISNUMBER(SEARCH(IF(B$3&lt;&gt;"",B$3,"NA"),'MITRE ATT&amp;CK Mappings'!$J689))), 'MITRE ATT&amp;CK Mappings'!$B689,"")</f>
        <v/>
      </c>
      <c r="C693" s="27" t="str">
        <f>IF(OR(OR(OR(OR(OR(ISNUMBER(SEARCH(IF(C$1&lt;&gt;"",C$1,"NA"),'MITRE ATT&amp;CK Mappings'!$E689)),ISNUMBER(SEARCH(IF(C$1&lt;&gt;"",C$1,"NA"),'MITRE ATT&amp;CK Mappings'!$F689))),ISNUMBER(SEARCH(IF(C$2&lt;&gt;"",C$2,"NA"),'MITRE ATT&amp;CK Mappings'!$G689))),ISNUMBER(SEARCH(IF(C$2&lt;&gt;"",C$2,"NA"),'MITRE ATT&amp;CK Mappings'!$H689))),ISNUMBER(SEARCH(IF(C$3&lt;&gt;"",C$3,"NA"),'MITRE ATT&amp;CK Mappings'!$I689))),ISNUMBER(SEARCH(IF(C$3&lt;&gt;"",C$3,"NA"),'MITRE ATT&amp;CK Mappings'!$J689))), 'MITRE ATT&amp;CK Mappings'!$B689,"")</f>
        <v/>
      </c>
      <c r="D693" s="27" t="str">
        <f>IF(OR(OR(OR(OR(OR(ISNUMBER(SEARCH(IF(D$1&lt;&gt;"",D$1,"NA"),'MITRE ATT&amp;CK Mappings'!$E689)),ISNUMBER(SEARCH(IF(D$1&lt;&gt;"",D$1,"NA"),'MITRE ATT&amp;CK Mappings'!$F689))),ISNUMBER(SEARCH(IF(D$2&lt;&gt;"",D$2,"NA"),'MITRE ATT&amp;CK Mappings'!$G689))),ISNUMBER(SEARCH(IF(D$2&lt;&gt;"",D$2,"NA"),'MITRE ATT&amp;CK Mappings'!$H689))),ISNUMBER(SEARCH(IF(D$3&lt;&gt;"",D$3,"NA"),'MITRE ATT&amp;CK Mappings'!$I689))),ISNUMBER(SEARCH(IF(D$3&lt;&gt;"",D$3,"NA"),'MITRE ATT&amp;CK Mappings'!$J689))), 'MITRE ATT&amp;CK Mappings'!$B689,"")</f>
        <v/>
      </c>
      <c r="E693" s="27" t="str">
        <f>IF(OR(OR(OR(OR(OR(ISNUMBER(SEARCH(IF(E$1&lt;&gt;"",E$1,"NA"),'MITRE ATT&amp;CK Mappings'!$E689)),ISNUMBER(SEARCH(IF(E$1&lt;&gt;"",E$1,"NA"),'MITRE ATT&amp;CK Mappings'!$F689))),ISNUMBER(SEARCH(IF(E$2&lt;&gt;"",E$2,"NA"),'MITRE ATT&amp;CK Mappings'!$G689))),ISNUMBER(SEARCH(IF(E$2&lt;&gt;"",E$2,"NA"),'MITRE ATT&amp;CK Mappings'!$H689))),ISNUMBER(SEARCH(IF(E$3&lt;&gt;"",E$3,"NA"),'MITRE ATT&amp;CK Mappings'!$I689))),ISNUMBER(SEARCH(IF(E$3&lt;&gt;"",E$3,"NA"),'MITRE ATT&amp;CK Mappings'!$J689))), 'MITRE ATT&amp;CK Mappings'!$B689,"")</f>
        <v/>
      </c>
      <c r="F693" s="27" t="str">
        <f>IF(OR(OR(OR(OR(OR(ISNUMBER(SEARCH(IF(F$1&lt;&gt;"",F$1,"NA"),'MITRE ATT&amp;CK Mappings'!$E689)),ISNUMBER(SEARCH(IF(F$1&lt;&gt;"",F$1,"NA"),'MITRE ATT&amp;CK Mappings'!$F689))),ISNUMBER(SEARCH(IF(F$2&lt;&gt;"",F$2,"NA"),'MITRE ATT&amp;CK Mappings'!$G689))),ISNUMBER(SEARCH(IF(F$2&lt;&gt;"",F$2,"NA"),'MITRE ATT&amp;CK Mappings'!$H689))),ISNUMBER(SEARCH(IF(F$3&lt;&gt;"",F$3,"NA"),'MITRE ATT&amp;CK Mappings'!$I689))),ISNUMBER(SEARCH(IF(F$3&lt;&gt;"",F$3,"NA"),'MITRE ATT&amp;CK Mappings'!$J689))), 'MITRE ATT&amp;CK Mappings'!$B689,"")</f>
        <v/>
      </c>
      <c r="G693" s="27" t="str">
        <f>IF(OR(OR(OR(OR(OR(ISNUMBER(SEARCH(IF(G$1&lt;&gt;"",G$1,"NA"),'MITRE ATT&amp;CK Mappings'!$E689)),ISNUMBER(SEARCH(IF(G$1&lt;&gt;"",G$1,"NA"),'MITRE ATT&amp;CK Mappings'!$F689))),ISNUMBER(SEARCH(IF(G$2&lt;&gt;"",G$2,"NA"),'MITRE ATT&amp;CK Mappings'!$G689))),ISNUMBER(SEARCH(IF(G$2&lt;&gt;"",G$2,"NA"),'MITRE ATT&amp;CK Mappings'!$H689))),ISNUMBER(SEARCH(IF(G$3&lt;&gt;"",G$3,"NA"),'MITRE ATT&amp;CK Mappings'!$I689))),ISNUMBER(SEARCH(IF(G$3&lt;&gt;"",G$3,"NA"),'MITRE ATT&amp;CK Mappings'!$J689))), 'MITRE ATT&amp;CK Mappings'!$B689,"")</f>
        <v/>
      </c>
      <c r="H693" s="27" t="str">
        <f>IF(OR(OR(OR(OR(OR(ISNUMBER(SEARCH(IF(H$1&lt;&gt;"",H$1,"NA"),'MITRE ATT&amp;CK Mappings'!$E689)),ISNUMBER(SEARCH(IF(H$1&lt;&gt;"",H$1,"NA"),'MITRE ATT&amp;CK Mappings'!$F689))),ISNUMBER(SEARCH(IF(H$2&lt;&gt;"",H$2,"NA"),'MITRE ATT&amp;CK Mappings'!$G689))),ISNUMBER(SEARCH(IF(H$2&lt;&gt;"",H$2,"NA"),'MITRE ATT&amp;CK Mappings'!$H689))),ISNUMBER(SEARCH(IF(H$3&lt;&gt;"",H$3,"NA"),'MITRE ATT&amp;CK Mappings'!$I689))),ISNUMBER(SEARCH(IF(H$3&lt;&gt;"",H$3,"NA"),'MITRE ATT&amp;CK Mappings'!$J689))), 'MITRE ATT&amp;CK Mappings'!$B689,"")</f>
        <v/>
      </c>
      <c r="I693" s="27" t="str">
        <f>IF(OR(OR(OR(OR(OR(ISNUMBER(SEARCH(IF(I$1&lt;&gt;"",I$1,"NA"),'MITRE ATT&amp;CK Mappings'!$E689)),ISNUMBER(SEARCH(IF(I$1&lt;&gt;"",I$1,"NA"),'MITRE ATT&amp;CK Mappings'!$F689))),ISNUMBER(SEARCH(IF(I$2&lt;&gt;"",I$2,"NA"),'MITRE ATT&amp;CK Mappings'!$G689))),ISNUMBER(SEARCH(IF(I$2&lt;&gt;"",I$2,"NA"),'MITRE ATT&amp;CK Mappings'!$H689))),ISNUMBER(SEARCH(IF(I$3&lt;&gt;"",I$3,"NA"),'MITRE ATT&amp;CK Mappings'!$I689))),ISNUMBER(SEARCH(IF(I$3&lt;&gt;"",I$3,"NA"),'MITRE ATT&amp;CK Mappings'!$J689))), 'MITRE ATT&amp;CK Mappings'!$B689,"")</f>
        <v/>
      </c>
      <c r="J693" s="27" t="str">
        <f>IF(OR(OR(OR(OR(OR(ISNUMBER(SEARCH(IF(J$1&lt;&gt;"",J$1,"NA"),'MITRE ATT&amp;CK Mappings'!$E689)),ISNUMBER(SEARCH(IF(J$1&lt;&gt;"",J$1,"NA"),'MITRE ATT&amp;CK Mappings'!$F689))),ISNUMBER(SEARCH(IF(J$2&lt;&gt;"",J$2,"NA"),'MITRE ATT&amp;CK Mappings'!$G689))),ISNUMBER(SEARCH(IF(J$2&lt;&gt;"",J$2,"NA"),'MITRE ATT&amp;CK Mappings'!$H689))),ISNUMBER(SEARCH(IF(J$3&lt;&gt;"",J$3,"NA"),'MITRE ATT&amp;CK Mappings'!$I689))),ISNUMBER(SEARCH(IF(J$3&lt;&gt;"",J$3,"NA"),'MITRE ATT&amp;CK Mappings'!$J689))), 'MITRE ATT&amp;CK Mappings'!$B689,"")</f>
        <v/>
      </c>
      <c r="K693" s="27" t="str">
        <f>IF(OR(OR(OR(OR(OR(ISNUMBER(SEARCH(IF(K$1&lt;&gt;"",K$1,"NA"),'MITRE ATT&amp;CK Mappings'!$E689)),ISNUMBER(SEARCH(IF(K$1&lt;&gt;"",K$1,"NA"),'MITRE ATT&amp;CK Mappings'!$F689))),ISNUMBER(SEARCH(IF(K$2&lt;&gt;"",K$2,"NA"),'MITRE ATT&amp;CK Mappings'!$G689))),ISNUMBER(SEARCH(IF(K$2&lt;&gt;"",K$2,"NA"),'MITRE ATT&amp;CK Mappings'!$H689))),ISNUMBER(SEARCH(IF(K$3&lt;&gt;"",K$3,"NA"),'MITRE ATT&amp;CK Mappings'!$I689))),ISNUMBER(SEARCH(IF(K$3&lt;&gt;"",K$3,"NA"),'MITRE ATT&amp;CK Mappings'!$J689))), 'MITRE ATT&amp;CK Mappings'!$B689,"")</f>
        <v/>
      </c>
      <c r="L693" s="27" t="str">
        <f>IF('MITRE ATT&amp;CK Mappings'!D689 &lt;&gt;"",'MITRE ATT&amp;CK Mappings'!D689,"" )</f>
        <v/>
      </c>
    </row>
    <row r="694" spans="1:12" x14ac:dyDescent="0.25">
      <c r="A694" s="26" t="str">
        <f>IF(COUNTIF(B694:K694,"="&amp;'MITRE ATT&amp;CK Mappings'!B690)&gt;0,'MITRE ATT&amp;CK Mappings'!B690,"")</f>
        <v/>
      </c>
      <c r="B694" s="26" t="str">
        <f>IF(OR(OR(OR(OR(OR(ISNUMBER(SEARCH(IF(B$1&lt;&gt;"",B$1,"NA"),'MITRE ATT&amp;CK Mappings'!$E690)),ISNUMBER(SEARCH(IF(B$1&lt;&gt;"",B$1,"NA"),'MITRE ATT&amp;CK Mappings'!$F690))),ISNUMBER(SEARCH(IF(B$2&lt;&gt;"",B$2,"NA"),'MITRE ATT&amp;CK Mappings'!$G690))),ISNUMBER(SEARCH(IF(B$2&lt;&gt;"",B$2,"NA"),'MITRE ATT&amp;CK Mappings'!$H690))),ISNUMBER(SEARCH(IF(B$3&lt;&gt;"",B$3,"NA"),'MITRE ATT&amp;CK Mappings'!$I690))),ISNUMBER(SEARCH(IF(B$3&lt;&gt;"",B$3,"NA"),'MITRE ATT&amp;CK Mappings'!$J690))), 'MITRE ATT&amp;CK Mappings'!$B690,"")</f>
        <v/>
      </c>
      <c r="C694" s="26" t="str">
        <f>IF(OR(OR(OR(OR(OR(ISNUMBER(SEARCH(IF(C$1&lt;&gt;"",C$1,"NA"),'MITRE ATT&amp;CK Mappings'!$E690)),ISNUMBER(SEARCH(IF(C$1&lt;&gt;"",C$1,"NA"),'MITRE ATT&amp;CK Mappings'!$F690))),ISNUMBER(SEARCH(IF(C$2&lt;&gt;"",C$2,"NA"),'MITRE ATT&amp;CK Mappings'!$G690))),ISNUMBER(SEARCH(IF(C$2&lt;&gt;"",C$2,"NA"),'MITRE ATT&amp;CK Mappings'!$H690))),ISNUMBER(SEARCH(IF(C$3&lt;&gt;"",C$3,"NA"),'MITRE ATT&amp;CK Mappings'!$I690))),ISNUMBER(SEARCH(IF(C$3&lt;&gt;"",C$3,"NA"),'MITRE ATT&amp;CK Mappings'!$J690))), 'MITRE ATT&amp;CK Mappings'!$B690,"")</f>
        <v/>
      </c>
      <c r="D694" s="26" t="str">
        <f>IF(OR(OR(OR(OR(OR(ISNUMBER(SEARCH(IF(D$1&lt;&gt;"",D$1,"NA"),'MITRE ATT&amp;CK Mappings'!$E690)),ISNUMBER(SEARCH(IF(D$1&lt;&gt;"",D$1,"NA"),'MITRE ATT&amp;CK Mappings'!$F690))),ISNUMBER(SEARCH(IF(D$2&lt;&gt;"",D$2,"NA"),'MITRE ATT&amp;CK Mappings'!$G690))),ISNUMBER(SEARCH(IF(D$2&lt;&gt;"",D$2,"NA"),'MITRE ATT&amp;CK Mappings'!$H690))),ISNUMBER(SEARCH(IF(D$3&lt;&gt;"",D$3,"NA"),'MITRE ATT&amp;CK Mappings'!$I690))),ISNUMBER(SEARCH(IF(D$3&lt;&gt;"",D$3,"NA"),'MITRE ATT&amp;CK Mappings'!$J690))), 'MITRE ATT&amp;CK Mappings'!$B690,"")</f>
        <v/>
      </c>
      <c r="E694" s="26" t="str">
        <f>IF(OR(OR(OR(OR(OR(ISNUMBER(SEARCH(IF(E$1&lt;&gt;"",E$1,"NA"),'MITRE ATT&amp;CK Mappings'!$E690)),ISNUMBER(SEARCH(IF(E$1&lt;&gt;"",E$1,"NA"),'MITRE ATT&amp;CK Mappings'!$F690))),ISNUMBER(SEARCH(IF(E$2&lt;&gt;"",E$2,"NA"),'MITRE ATT&amp;CK Mappings'!$G690))),ISNUMBER(SEARCH(IF(E$2&lt;&gt;"",E$2,"NA"),'MITRE ATT&amp;CK Mappings'!$H690))),ISNUMBER(SEARCH(IF(E$3&lt;&gt;"",E$3,"NA"),'MITRE ATT&amp;CK Mappings'!$I690))),ISNUMBER(SEARCH(IF(E$3&lt;&gt;"",E$3,"NA"),'MITRE ATT&amp;CK Mappings'!$J690))), 'MITRE ATT&amp;CK Mappings'!$B690,"")</f>
        <v/>
      </c>
      <c r="F694" s="26" t="str">
        <f>IF(OR(OR(OR(OR(OR(ISNUMBER(SEARCH(IF(F$1&lt;&gt;"",F$1,"NA"),'MITRE ATT&amp;CK Mappings'!$E690)),ISNUMBER(SEARCH(IF(F$1&lt;&gt;"",F$1,"NA"),'MITRE ATT&amp;CK Mappings'!$F690))),ISNUMBER(SEARCH(IF(F$2&lt;&gt;"",F$2,"NA"),'MITRE ATT&amp;CK Mappings'!$G690))),ISNUMBER(SEARCH(IF(F$2&lt;&gt;"",F$2,"NA"),'MITRE ATT&amp;CK Mappings'!$H690))),ISNUMBER(SEARCH(IF(F$3&lt;&gt;"",F$3,"NA"),'MITRE ATT&amp;CK Mappings'!$I690))),ISNUMBER(SEARCH(IF(F$3&lt;&gt;"",F$3,"NA"),'MITRE ATT&amp;CK Mappings'!$J690))), 'MITRE ATT&amp;CK Mappings'!$B690,"")</f>
        <v/>
      </c>
      <c r="G694" s="26" t="str">
        <f>IF(OR(OR(OR(OR(OR(ISNUMBER(SEARCH(IF(G$1&lt;&gt;"",G$1,"NA"),'MITRE ATT&amp;CK Mappings'!$E690)),ISNUMBER(SEARCH(IF(G$1&lt;&gt;"",G$1,"NA"),'MITRE ATT&amp;CK Mappings'!$F690))),ISNUMBER(SEARCH(IF(G$2&lt;&gt;"",G$2,"NA"),'MITRE ATT&amp;CK Mappings'!$G690))),ISNUMBER(SEARCH(IF(G$2&lt;&gt;"",G$2,"NA"),'MITRE ATT&amp;CK Mappings'!$H690))),ISNUMBER(SEARCH(IF(G$3&lt;&gt;"",G$3,"NA"),'MITRE ATT&amp;CK Mappings'!$I690))),ISNUMBER(SEARCH(IF(G$3&lt;&gt;"",G$3,"NA"),'MITRE ATT&amp;CK Mappings'!$J690))), 'MITRE ATT&amp;CK Mappings'!$B690,"")</f>
        <v/>
      </c>
      <c r="H694" s="26" t="str">
        <f>IF(OR(OR(OR(OR(OR(ISNUMBER(SEARCH(IF(H$1&lt;&gt;"",H$1,"NA"),'MITRE ATT&amp;CK Mappings'!$E690)),ISNUMBER(SEARCH(IF(H$1&lt;&gt;"",H$1,"NA"),'MITRE ATT&amp;CK Mappings'!$F690))),ISNUMBER(SEARCH(IF(H$2&lt;&gt;"",H$2,"NA"),'MITRE ATT&amp;CK Mappings'!$G690))),ISNUMBER(SEARCH(IF(H$2&lt;&gt;"",H$2,"NA"),'MITRE ATT&amp;CK Mappings'!$H690))),ISNUMBER(SEARCH(IF(H$3&lt;&gt;"",H$3,"NA"),'MITRE ATT&amp;CK Mappings'!$I690))),ISNUMBER(SEARCH(IF(H$3&lt;&gt;"",H$3,"NA"),'MITRE ATT&amp;CK Mappings'!$J690))), 'MITRE ATT&amp;CK Mappings'!$B690,"")</f>
        <v/>
      </c>
      <c r="I694" s="26" t="str">
        <f>IF(OR(OR(OR(OR(OR(ISNUMBER(SEARCH(IF(I$1&lt;&gt;"",I$1,"NA"),'MITRE ATT&amp;CK Mappings'!$E690)),ISNUMBER(SEARCH(IF(I$1&lt;&gt;"",I$1,"NA"),'MITRE ATT&amp;CK Mappings'!$F690))),ISNUMBER(SEARCH(IF(I$2&lt;&gt;"",I$2,"NA"),'MITRE ATT&amp;CK Mappings'!$G690))),ISNUMBER(SEARCH(IF(I$2&lt;&gt;"",I$2,"NA"),'MITRE ATT&amp;CK Mappings'!$H690))),ISNUMBER(SEARCH(IF(I$3&lt;&gt;"",I$3,"NA"),'MITRE ATT&amp;CK Mappings'!$I690))),ISNUMBER(SEARCH(IF(I$3&lt;&gt;"",I$3,"NA"),'MITRE ATT&amp;CK Mappings'!$J690))), 'MITRE ATT&amp;CK Mappings'!$B690,"")</f>
        <v/>
      </c>
      <c r="J694" s="26" t="str">
        <f>IF(OR(OR(OR(OR(OR(ISNUMBER(SEARCH(IF(J$1&lt;&gt;"",J$1,"NA"),'MITRE ATT&amp;CK Mappings'!$E690)),ISNUMBER(SEARCH(IF(J$1&lt;&gt;"",J$1,"NA"),'MITRE ATT&amp;CK Mappings'!$F690))),ISNUMBER(SEARCH(IF(J$2&lt;&gt;"",J$2,"NA"),'MITRE ATT&amp;CK Mappings'!$G690))),ISNUMBER(SEARCH(IF(J$2&lt;&gt;"",J$2,"NA"),'MITRE ATT&amp;CK Mappings'!$H690))),ISNUMBER(SEARCH(IF(J$3&lt;&gt;"",J$3,"NA"),'MITRE ATT&amp;CK Mappings'!$I690))),ISNUMBER(SEARCH(IF(J$3&lt;&gt;"",J$3,"NA"),'MITRE ATT&amp;CK Mappings'!$J690))), 'MITRE ATT&amp;CK Mappings'!$B690,"")</f>
        <v/>
      </c>
      <c r="K694" s="26" t="str">
        <f>IF(OR(OR(OR(OR(OR(ISNUMBER(SEARCH(IF(K$1&lt;&gt;"",K$1,"NA"),'MITRE ATT&amp;CK Mappings'!$E690)),ISNUMBER(SEARCH(IF(K$1&lt;&gt;"",K$1,"NA"),'MITRE ATT&amp;CK Mappings'!$F690))),ISNUMBER(SEARCH(IF(K$2&lt;&gt;"",K$2,"NA"),'MITRE ATT&amp;CK Mappings'!$G690))),ISNUMBER(SEARCH(IF(K$2&lt;&gt;"",K$2,"NA"),'MITRE ATT&amp;CK Mappings'!$H690))),ISNUMBER(SEARCH(IF(K$3&lt;&gt;"",K$3,"NA"),'MITRE ATT&amp;CK Mappings'!$I690))),ISNUMBER(SEARCH(IF(K$3&lt;&gt;"",K$3,"NA"),'MITRE ATT&amp;CK Mappings'!$J690))), 'MITRE ATT&amp;CK Mappings'!$B690,"")</f>
        <v/>
      </c>
      <c r="L694" s="26" t="str">
        <f>IF('MITRE ATT&amp;CK Mappings'!D690 &lt;&gt;"",'MITRE ATT&amp;CK Mappings'!D690,"" )</f>
        <v/>
      </c>
    </row>
    <row r="695" spans="1:12" x14ac:dyDescent="0.25">
      <c r="A695" s="27" t="str">
        <f>IF(COUNTIF(B695:K695,"="&amp;'MITRE ATT&amp;CK Mappings'!B691)&gt;0,'MITRE ATT&amp;CK Mappings'!B691,"")</f>
        <v/>
      </c>
      <c r="B695" s="27" t="str">
        <f>IF(OR(OR(OR(OR(OR(ISNUMBER(SEARCH(IF(B$1&lt;&gt;"",B$1,"NA"),'MITRE ATT&amp;CK Mappings'!$E691)),ISNUMBER(SEARCH(IF(B$1&lt;&gt;"",B$1,"NA"),'MITRE ATT&amp;CK Mappings'!$F691))),ISNUMBER(SEARCH(IF(B$2&lt;&gt;"",B$2,"NA"),'MITRE ATT&amp;CK Mappings'!$G691))),ISNUMBER(SEARCH(IF(B$2&lt;&gt;"",B$2,"NA"),'MITRE ATT&amp;CK Mappings'!$H691))),ISNUMBER(SEARCH(IF(B$3&lt;&gt;"",B$3,"NA"),'MITRE ATT&amp;CK Mappings'!$I691))),ISNUMBER(SEARCH(IF(B$3&lt;&gt;"",B$3,"NA"),'MITRE ATT&amp;CK Mappings'!$J691))), 'MITRE ATT&amp;CK Mappings'!$B691,"")</f>
        <v/>
      </c>
      <c r="C695" s="27" t="str">
        <f>IF(OR(OR(OR(OR(OR(ISNUMBER(SEARCH(IF(C$1&lt;&gt;"",C$1,"NA"),'MITRE ATT&amp;CK Mappings'!$E691)),ISNUMBER(SEARCH(IF(C$1&lt;&gt;"",C$1,"NA"),'MITRE ATT&amp;CK Mappings'!$F691))),ISNUMBER(SEARCH(IF(C$2&lt;&gt;"",C$2,"NA"),'MITRE ATT&amp;CK Mappings'!$G691))),ISNUMBER(SEARCH(IF(C$2&lt;&gt;"",C$2,"NA"),'MITRE ATT&amp;CK Mappings'!$H691))),ISNUMBER(SEARCH(IF(C$3&lt;&gt;"",C$3,"NA"),'MITRE ATT&amp;CK Mappings'!$I691))),ISNUMBER(SEARCH(IF(C$3&lt;&gt;"",C$3,"NA"),'MITRE ATT&amp;CK Mappings'!$J691))), 'MITRE ATT&amp;CK Mappings'!$B691,"")</f>
        <v/>
      </c>
      <c r="D695" s="27" t="str">
        <f>IF(OR(OR(OR(OR(OR(ISNUMBER(SEARCH(IF(D$1&lt;&gt;"",D$1,"NA"),'MITRE ATT&amp;CK Mappings'!$E691)),ISNUMBER(SEARCH(IF(D$1&lt;&gt;"",D$1,"NA"),'MITRE ATT&amp;CK Mappings'!$F691))),ISNUMBER(SEARCH(IF(D$2&lt;&gt;"",D$2,"NA"),'MITRE ATT&amp;CK Mappings'!$G691))),ISNUMBER(SEARCH(IF(D$2&lt;&gt;"",D$2,"NA"),'MITRE ATT&amp;CK Mappings'!$H691))),ISNUMBER(SEARCH(IF(D$3&lt;&gt;"",D$3,"NA"),'MITRE ATT&amp;CK Mappings'!$I691))),ISNUMBER(SEARCH(IF(D$3&lt;&gt;"",D$3,"NA"),'MITRE ATT&amp;CK Mappings'!$J691))), 'MITRE ATT&amp;CK Mappings'!$B691,"")</f>
        <v/>
      </c>
      <c r="E695" s="27" t="str">
        <f>IF(OR(OR(OR(OR(OR(ISNUMBER(SEARCH(IF(E$1&lt;&gt;"",E$1,"NA"),'MITRE ATT&amp;CK Mappings'!$E691)),ISNUMBER(SEARCH(IF(E$1&lt;&gt;"",E$1,"NA"),'MITRE ATT&amp;CK Mappings'!$F691))),ISNUMBER(SEARCH(IF(E$2&lt;&gt;"",E$2,"NA"),'MITRE ATT&amp;CK Mappings'!$G691))),ISNUMBER(SEARCH(IF(E$2&lt;&gt;"",E$2,"NA"),'MITRE ATT&amp;CK Mappings'!$H691))),ISNUMBER(SEARCH(IF(E$3&lt;&gt;"",E$3,"NA"),'MITRE ATT&amp;CK Mappings'!$I691))),ISNUMBER(SEARCH(IF(E$3&lt;&gt;"",E$3,"NA"),'MITRE ATT&amp;CK Mappings'!$J691))), 'MITRE ATT&amp;CK Mappings'!$B691,"")</f>
        <v/>
      </c>
      <c r="F695" s="27" t="str">
        <f>IF(OR(OR(OR(OR(OR(ISNUMBER(SEARCH(IF(F$1&lt;&gt;"",F$1,"NA"),'MITRE ATT&amp;CK Mappings'!$E691)),ISNUMBER(SEARCH(IF(F$1&lt;&gt;"",F$1,"NA"),'MITRE ATT&amp;CK Mappings'!$F691))),ISNUMBER(SEARCH(IF(F$2&lt;&gt;"",F$2,"NA"),'MITRE ATT&amp;CK Mappings'!$G691))),ISNUMBER(SEARCH(IF(F$2&lt;&gt;"",F$2,"NA"),'MITRE ATT&amp;CK Mappings'!$H691))),ISNUMBER(SEARCH(IF(F$3&lt;&gt;"",F$3,"NA"),'MITRE ATT&amp;CK Mappings'!$I691))),ISNUMBER(SEARCH(IF(F$3&lt;&gt;"",F$3,"NA"),'MITRE ATT&amp;CK Mappings'!$J691))), 'MITRE ATT&amp;CK Mappings'!$B691,"")</f>
        <v/>
      </c>
      <c r="G695" s="27" t="str">
        <f>IF(OR(OR(OR(OR(OR(ISNUMBER(SEARCH(IF(G$1&lt;&gt;"",G$1,"NA"),'MITRE ATT&amp;CK Mappings'!$E691)),ISNUMBER(SEARCH(IF(G$1&lt;&gt;"",G$1,"NA"),'MITRE ATT&amp;CK Mappings'!$F691))),ISNUMBER(SEARCH(IF(G$2&lt;&gt;"",G$2,"NA"),'MITRE ATT&amp;CK Mappings'!$G691))),ISNUMBER(SEARCH(IF(G$2&lt;&gt;"",G$2,"NA"),'MITRE ATT&amp;CK Mappings'!$H691))),ISNUMBER(SEARCH(IF(G$3&lt;&gt;"",G$3,"NA"),'MITRE ATT&amp;CK Mappings'!$I691))),ISNUMBER(SEARCH(IF(G$3&lt;&gt;"",G$3,"NA"),'MITRE ATT&amp;CK Mappings'!$J691))), 'MITRE ATT&amp;CK Mappings'!$B691,"")</f>
        <v/>
      </c>
      <c r="H695" s="27" t="str">
        <f>IF(OR(OR(OR(OR(OR(ISNUMBER(SEARCH(IF(H$1&lt;&gt;"",H$1,"NA"),'MITRE ATT&amp;CK Mappings'!$E691)),ISNUMBER(SEARCH(IF(H$1&lt;&gt;"",H$1,"NA"),'MITRE ATT&amp;CK Mappings'!$F691))),ISNUMBER(SEARCH(IF(H$2&lt;&gt;"",H$2,"NA"),'MITRE ATT&amp;CK Mappings'!$G691))),ISNUMBER(SEARCH(IF(H$2&lt;&gt;"",H$2,"NA"),'MITRE ATT&amp;CK Mappings'!$H691))),ISNUMBER(SEARCH(IF(H$3&lt;&gt;"",H$3,"NA"),'MITRE ATT&amp;CK Mappings'!$I691))),ISNUMBER(SEARCH(IF(H$3&lt;&gt;"",H$3,"NA"),'MITRE ATT&amp;CK Mappings'!$J691))), 'MITRE ATT&amp;CK Mappings'!$B691,"")</f>
        <v/>
      </c>
      <c r="I695" s="27" t="str">
        <f>IF(OR(OR(OR(OR(OR(ISNUMBER(SEARCH(IF(I$1&lt;&gt;"",I$1,"NA"),'MITRE ATT&amp;CK Mappings'!$E691)),ISNUMBER(SEARCH(IF(I$1&lt;&gt;"",I$1,"NA"),'MITRE ATT&amp;CK Mappings'!$F691))),ISNUMBER(SEARCH(IF(I$2&lt;&gt;"",I$2,"NA"),'MITRE ATT&amp;CK Mappings'!$G691))),ISNUMBER(SEARCH(IF(I$2&lt;&gt;"",I$2,"NA"),'MITRE ATT&amp;CK Mappings'!$H691))),ISNUMBER(SEARCH(IF(I$3&lt;&gt;"",I$3,"NA"),'MITRE ATT&amp;CK Mappings'!$I691))),ISNUMBER(SEARCH(IF(I$3&lt;&gt;"",I$3,"NA"),'MITRE ATT&amp;CK Mappings'!$J691))), 'MITRE ATT&amp;CK Mappings'!$B691,"")</f>
        <v/>
      </c>
      <c r="J695" s="27" t="str">
        <f>IF(OR(OR(OR(OR(OR(ISNUMBER(SEARCH(IF(J$1&lt;&gt;"",J$1,"NA"),'MITRE ATT&amp;CK Mappings'!$E691)),ISNUMBER(SEARCH(IF(J$1&lt;&gt;"",J$1,"NA"),'MITRE ATT&amp;CK Mappings'!$F691))),ISNUMBER(SEARCH(IF(J$2&lt;&gt;"",J$2,"NA"),'MITRE ATT&amp;CK Mappings'!$G691))),ISNUMBER(SEARCH(IF(J$2&lt;&gt;"",J$2,"NA"),'MITRE ATT&amp;CK Mappings'!$H691))),ISNUMBER(SEARCH(IF(J$3&lt;&gt;"",J$3,"NA"),'MITRE ATT&amp;CK Mappings'!$I691))),ISNUMBER(SEARCH(IF(J$3&lt;&gt;"",J$3,"NA"),'MITRE ATT&amp;CK Mappings'!$J691))), 'MITRE ATT&amp;CK Mappings'!$B691,"")</f>
        <v/>
      </c>
      <c r="K695" s="27" t="str">
        <f>IF(OR(OR(OR(OR(OR(ISNUMBER(SEARCH(IF(K$1&lt;&gt;"",K$1,"NA"),'MITRE ATT&amp;CK Mappings'!$E691)),ISNUMBER(SEARCH(IF(K$1&lt;&gt;"",K$1,"NA"),'MITRE ATT&amp;CK Mappings'!$F691))),ISNUMBER(SEARCH(IF(K$2&lt;&gt;"",K$2,"NA"),'MITRE ATT&amp;CK Mappings'!$G691))),ISNUMBER(SEARCH(IF(K$2&lt;&gt;"",K$2,"NA"),'MITRE ATT&amp;CK Mappings'!$H691))),ISNUMBER(SEARCH(IF(K$3&lt;&gt;"",K$3,"NA"),'MITRE ATT&amp;CK Mappings'!$I691))),ISNUMBER(SEARCH(IF(K$3&lt;&gt;"",K$3,"NA"),'MITRE ATT&amp;CK Mappings'!$J691))), 'MITRE ATT&amp;CK Mappings'!$B691,"")</f>
        <v/>
      </c>
      <c r="L695" s="27" t="str">
        <f>IF('MITRE ATT&amp;CK Mappings'!D691 &lt;&gt;"",'MITRE ATT&amp;CK Mappings'!D691,"" )</f>
        <v/>
      </c>
    </row>
    <row r="696" spans="1:12" x14ac:dyDescent="0.25">
      <c r="A696" s="26" t="str">
        <f>IF(COUNTIF(B696:K696,"="&amp;'MITRE ATT&amp;CK Mappings'!B692)&gt;0,'MITRE ATT&amp;CK Mappings'!B692,"")</f>
        <v/>
      </c>
      <c r="B696" s="26" t="str">
        <f>IF(OR(OR(OR(OR(OR(ISNUMBER(SEARCH(IF(B$1&lt;&gt;"",B$1,"NA"),'MITRE ATT&amp;CK Mappings'!$E692)),ISNUMBER(SEARCH(IF(B$1&lt;&gt;"",B$1,"NA"),'MITRE ATT&amp;CK Mappings'!$F692))),ISNUMBER(SEARCH(IF(B$2&lt;&gt;"",B$2,"NA"),'MITRE ATT&amp;CK Mappings'!$G692))),ISNUMBER(SEARCH(IF(B$2&lt;&gt;"",B$2,"NA"),'MITRE ATT&amp;CK Mappings'!$H692))),ISNUMBER(SEARCH(IF(B$3&lt;&gt;"",B$3,"NA"),'MITRE ATT&amp;CK Mappings'!$I692))),ISNUMBER(SEARCH(IF(B$3&lt;&gt;"",B$3,"NA"),'MITRE ATT&amp;CK Mappings'!$J692))), 'MITRE ATT&amp;CK Mappings'!$B692,"")</f>
        <v/>
      </c>
      <c r="C696" s="26" t="str">
        <f>IF(OR(OR(OR(OR(OR(ISNUMBER(SEARCH(IF(C$1&lt;&gt;"",C$1,"NA"),'MITRE ATT&amp;CK Mappings'!$E692)),ISNUMBER(SEARCH(IF(C$1&lt;&gt;"",C$1,"NA"),'MITRE ATT&amp;CK Mappings'!$F692))),ISNUMBER(SEARCH(IF(C$2&lt;&gt;"",C$2,"NA"),'MITRE ATT&amp;CK Mappings'!$G692))),ISNUMBER(SEARCH(IF(C$2&lt;&gt;"",C$2,"NA"),'MITRE ATT&amp;CK Mappings'!$H692))),ISNUMBER(SEARCH(IF(C$3&lt;&gt;"",C$3,"NA"),'MITRE ATT&amp;CK Mappings'!$I692))),ISNUMBER(SEARCH(IF(C$3&lt;&gt;"",C$3,"NA"),'MITRE ATT&amp;CK Mappings'!$J692))), 'MITRE ATT&amp;CK Mappings'!$B692,"")</f>
        <v/>
      </c>
      <c r="D696" s="26" t="str">
        <f>IF(OR(OR(OR(OR(OR(ISNUMBER(SEARCH(IF(D$1&lt;&gt;"",D$1,"NA"),'MITRE ATT&amp;CK Mappings'!$E692)),ISNUMBER(SEARCH(IF(D$1&lt;&gt;"",D$1,"NA"),'MITRE ATT&amp;CK Mappings'!$F692))),ISNUMBER(SEARCH(IF(D$2&lt;&gt;"",D$2,"NA"),'MITRE ATT&amp;CK Mappings'!$G692))),ISNUMBER(SEARCH(IF(D$2&lt;&gt;"",D$2,"NA"),'MITRE ATT&amp;CK Mappings'!$H692))),ISNUMBER(SEARCH(IF(D$3&lt;&gt;"",D$3,"NA"),'MITRE ATT&amp;CK Mappings'!$I692))),ISNUMBER(SEARCH(IF(D$3&lt;&gt;"",D$3,"NA"),'MITRE ATT&amp;CK Mappings'!$J692))), 'MITRE ATT&amp;CK Mappings'!$B692,"")</f>
        <v/>
      </c>
      <c r="E696" s="26" t="str">
        <f>IF(OR(OR(OR(OR(OR(ISNUMBER(SEARCH(IF(E$1&lt;&gt;"",E$1,"NA"),'MITRE ATT&amp;CK Mappings'!$E692)),ISNUMBER(SEARCH(IF(E$1&lt;&gt;"",E$1,"NA"),'MITRE ATT&amp;CK Mappings'!$F692))),ISNUMBER(SEARCH(IF(E$2&lt;&gt;"",E$2,"NA"),'MITRE ATT&amp;CK Mappings'!$G692))),ISNUMBER(SEARCH(IF(E$2&lt;&gt;"",E$2,"NA"),'MITRE ATT&amp;CK Mappings'!$H692))),ISNUMBER(SEARCH(IF(E$3&lt;&gt;"",E$3,"NA"),'MITRE ATT&amp;CK Mappings'!$I692))),ISNUMBER(SEARCH(IF(E$3&lt;&gt;"",E$3,"NA"),'MITRE ATT&amp;CK Mappings'!$J692))), 'MITRE ATT&amp;CK Mappings'!$B692,"")</f>
        <v/>
      </c>
      <c r="F696" s="26" t="str">
        <f>IF(OR(OR(OR(OR(OR(ISNUMBER(SEARCH(IF(F$1&lt;&gt;"",F$1,"NA"),'MITRE ATT&amp;CK Mappings'!$E692)),ISNUMBER(SEARCH(IF(F$1&lt;&gt;"",F$1,"NA"),'MITRE ATT&amp;CK Mappings'!$F692))),ISNUMBER(SEARCH(IF(F$2&lt;&gt;"",F$2,"NA"),'MITRE ATT&amp;CK Mappings'!$G692))),ISNUMBER(SEARCH(IF(F$2&lt;&gt;"",F$2,"NA"),'MITRE ATT&amp;CK Mappings'!$H692))),ISNUMBER(SEARCH(IF(F$3&lt;&gt;"",F$3,"NA"),'MITRE ATT&amp;CK Mappings'!$I692))),ISNUMBER(SEARCH(IF(F$3&lt;&gt;"",F$3,"NA"),'MITRE ATT&amp;CK Mappings'!$J692))), 'MITRE ATT&amp;CK Mappings'!$B692,"")</f>
        <v/>
      </c>
      <c r="G696" s="26" t="str">
        <f>IF(OR(OR(OR(OR(OR(ISNUMBER(SEARCH(IF(G$1&lt;&gt;"",G$1,"NA"),'MITRE ATT&amp;CK Mappings'!$E692)),ISNUMBER(SEARCH(IF(G$1&lt;&gt;"",G$1,"NA"),'MITRE ATT&amp;CK Mappings'!$F692))),ISNUMBER(SEARCH(IF(G$2&lt;&gt;"",G$2,"NA"),'MITRE ATT&amp;CK Mappings'!$G692))),ISNUMBER(SEARCH(IF(G$2&lt;&gt;"",G$2,"NA"),'MITRE ATT&amp;CK Mappings'!$H692))),ISNUMBER(SEARCH(IF(G$3&lt;&gt;"",G$3,"NA"),'MITRE ATT&amp;CK Mappings'!$I692))),ISNUMBER(SEARCH(IF(G$3&lt;&gt;"",G$3,"NA"),'MITRE ATT&amp;CK Mappings'!$J692))), 'MITRE ATT&amp;CK Mappings'!$B692,"")</f>
        <v/>
      </c>
      <c r="H696" s="26" t="str">
        <f>IF(OR(OR(OR(OR(OR(ISNUMBER(SEARCH(IF(H$1&lt;&gt;"",H$1,"NA"),'MITRE ATT&amp;CK Mappings'!$E692)),ISNUMBER(SEARCH(IF(H$1&lt;&gt;"",H$1,"NA"),'MITRE ATT&amp;CK Mappings'!$F692))),ISNUMBER(SEARCH(IF(H$2&lt;&gt;"",H$2,"NA"),'MITRE ATT&amp;CK Mappings'!$G692))),ISNUMBER(SEARCH(IF(H$2&lt;&gt;"",H$2,"NA"),'MITRE ATT&amp;CK Mappings'!$H692))),ISNUMBER(SEARCH(IF(H$3&lt;&gt;"",H$3,"NA"),'MITRE ATT&amp;CK Mappings'!$I692))),ISNUMBER(SEARCH(IF(H$3&lt;&gt;"",H$3,"NA"),'MITRE ATT&amp;CK Mappings'!$J692))), 'MITRE ATT&amp;CK Mappings'!$B692,"")</f>
        <v/>
      </c>
      <c r="I696" s="26" t="str">
        <f>IF(OR(OR(OR(OR(OR(ISNUMBER(SEARCH(IF(I$1&lt;&gt;"",I$1,"NA"),'MITRE ATT&amp;CK Mappings'!$E692)),ISNUMBER(SEARCH(IF(I$1&lt;&gt;"",I$1,"NA"),'MITRE ATT&amp;CK Mappings'!$F692))),ISNUMBER(SEARCH(IF(I$2&lt;&gt;"",I$2,"NA"),'MITRE ATT&amp;CK Mappings'!$G692))),ISNUMBER(SEARCH(IF(I$2&lt;&gt;"",I$2,"NA"),'MITRE ATT&amp;CK Mappings'!$H692))),ISNUMBER(SEARCH(IF(I$3&lt;&gt;"",I$3,"NA"),'MITRE ATT&amp;CK Mappings'!$I692))),ISNUMBER(SEARCH(IF(I$3&lt;&gt;"",I$3,"NA"),'MITRE ATT&amp;CK Mappings'!$J692))), 'MITRE ATT&amp;CK Mappings'!$B692,"")</f>
        <v/>
      </c>
      <c r="J696" s="26" t="str">
        <f>IF(OR(OR(OR(OR(OR(ISNUMBER(SEARCH(IF(J$1&lt;&gt;"",J$1,"NA"),'MITRE ATT&amp;CK Mappings'!$E692)),ISNUMBER(SEARCH(IF(J$1&lt;&gt;"",J$1,"NA"),'MITRE ATT&amp;CK Mappings'!$F692))),ISNUMBER(SEARCH(IF(J$2&lt;&gt;"",J$2,"NA"),'MITRE ATT&amp;CK Mappings'!$G692))),ISNUMBER(SEARCH(IF(J$2&lt;&gt;"",J$2,"NA"),'MITRE ATT&amp;CK Mappings'!$H692))),ISNUMBER(SEARCH(IF(J$3&lt;&gt;"",J$3,"NA"),'MITRE ATT&amp;CK Mappings'!$I692))),ISNUMBER(SEARCH(IF(J$3&lt;&gt;"",J$3,"NA"),'MITRE ATT&amp;CK Mappings'!$J692))), 'MITRE ATT&amp;CK Mappings'!$B692,"")</f>
        <v/>
      </c>
      <c r="K696" s="26" t="str">
        <f>IF(OR(OR(OR(OR(OR(ISNUMBER(SEARCH(IF(K$1&lt;&gt;"",K$1,"NA"),'MITRE ATT&amp;CK Mappings'!$E692)),ISNUMBER(SEARCH(IF(K$1&lt;&gt;"",K$1,"NA"),'MITRE ATT&amp;CK Mappings'!$F692))),ISNUMBER(SEARCH(IF(K$2&lt;&gt;"",K$2,"NA"),'MITRE ATT&amp;CK Mappings'!$G692))),ISNUMBER(SEARCH(IF(K$2&lt;&gt;"",K$2,"NA"),'MITRE ATT&amp;CK Mappings'!$H692))),ISNUMBER(SEARCH(IF(K$3&lt;&gt;"",K$3,"NA"),'MITRE ATT&amp;CK Mappings'!$I692))),ISNUMBER(SEARCH(IF(K$3&lt;&gt;"",K$3,"NA"),'MITRE ATT&amp;CK Mappings'!$J692))), 'MITRE ATT&amp;CK Mappings'!$B692,"")</f>
        <v/>
      </c>
      <c r="L696" s="26" t="str">
        <f>IF('MITRE ATT&amp;CK Mappings'!D692 &lt;&gt;"",'MITRE ATT&amp;CK Mappings'!D692,"" )</f>
        <v/>
      </c>
    </row>
    <row r="697" spans="1:12" x14ac:dyDescent="0.25">
      <c r="A697" s="27" t="str">
        <f>IF(COUNTIF(B697:K697,"="&amp;'MITRE ATT&amp;CK Mappings'!B693)&gt;0,'MITRE ATT&amp;CK Mappings'!B693,"")</f>
        <v/>
      </c>
      <c r="B697" s="27" t="str">
        <f>IF(OR(OR(OR(OR(OR(ISNUMBER(SEARCH(IF(B$1&lt;&gt;"",B$1,"NA"),'MITRE ATT&amp;CK Mappings'!$E693)),ISNUMBER(SEARCH(IF(B$1&lt;&gt;"",B$1,"NA"),'MITRE ATT&amp;CK Mappings'!$F693))),ISNUMBER(SEARCH(IF(B$2&lt;&gt;"",B$2,"NA"),'MITRE ATT&amp;CK Mappings'!$G693))),ISNUMBER(SEARCH(IF(B$2&lt;&gt;"",B$2,"NA"),'MITRE ATT&amp;CK Mappings'!$H693))),ISNUMBER(SEARCH(IF(B$3&lt;&gt;"",B$3,"NA"),'MITRE ATT&amp;CK Mappings'!$I693))),ISNUMBER(SEARCH(IF(B$3&lt;&gt;"",B$3,"NA"),'MITRE ATT&amp;CK Mappings'!$J693))), 'MITRE ATT&amp;CK Mappings'!$B693,"")</f>
        <v/>
      </c>
      <c r="C697" s="27" t="str">
        <f>IF(OR(OR(OR(OR(OR(ISNUMBER(SEARCH(IF(C$1&lt;&gt;"",C$1,"NA"),'MITRE ATT&amp;CK Mappings'!$E693)),ISNUMBER(SEARCH(IF(C$1&lt;&gt;"",C$1,"NA"),'MITRE ATT&amp;CK Mappings'!$F693))),ISNUMBER(SEARCH(IF(C$2&lt;&gt;"",C$2,"NA"),'MITRE ATT&amp;CK Mappings'!$G693))),ISNUMBER(SEARCH(IF(C$2&lt;&gt;"",C$2,"NA"),'MITRE ATT&amp;CK Mappings'!$H693))),ISNUMBER(SEARCH(IF(C$3&lt;&gt;"",C$3,"NA"),'MITRE ATT&amp;CK Mappings'!$I693))),ISNUMBER(SEARCH(IF(C$3&lt;&gt;"",C$3,"NA"),'MITRE ATT&amp;CK Mappings'!$J693))), 'MITRE ATT&amp;CK Mappings'!$B693,"")</f>
        <v/>
      </c>
      <c r="D697" s="27" t="str">
        <f>IF(OR(OR(OR(OR(OR(ISNUMBER(SEARCH(IF(D$1&lt;&gt;"",D$1,"NA"),'MITRE ATT&amp;CK Mappings'!$E693)),ISNUMBER(SEARCH(IF(D$1&lt;&gt;"",D$1,"NA"),'MITRE ATT&amp;CK Mappings'!$F693))),ISNUMBER(SEARCH(IF(D$2&lt;&gt;"",D$2,"NA"),'MITRE ATT&amp;CK Mappings'!$G693))),ISNUMBER(SEARCH(IF(D$2&lt;&gt;"",D$2,"NA"),'MITRE ATT&amp;CK Mappings'!$H693))),ISNUMBER(SEARCH(IF(D$3&lt;&gt;"",D$3,"NA"),'MITRE ATT&amp;CK Mappings'!$I693))),ISNUMBER(SEARCH(IF(D$3&lt;&gt;"",D$3,"NA"),'MITRE ATT&amp;CK Mappings'!$J693))), 'MITRE ATT&amp;CK Mappings'!$B693,"")</f>
        <v/>
      </c>
      <c r="E697" s="27" t="str">
        <f>IF(OR(OR(OR(OR(OR(ISNUMBER(SEARCH(IF(E$1&lt;&gt;"",E$1,"NA"),'MITRE ATT&amp;CK Mappings'!$E693)),ISNUMBER(SEARCH(IF(E$1&lt;&gt;"",E$1,"NA"),'MITRE ATT&amp;CK Mappings'!$F693))),ISNUMBER(SEARCH(IF(E$2&lt;&gt;"",E$2,"NA"),'MITRE ATT&amp;CK Mappings'!$G693))),ISNUMBER(SEARCH(IF(E$2&lt;&gt;"",E$2,"NA"),'MITRE ATT&amp;CK Mappings'!$H693))),ISNUMBER(SEARCH(IF(E$3&lt;&gt;"",E$3,"NA"),'MITRE ATT&amp;CK Mappings'!$I693))),ISNUMBER(SEARCH(IF(E$3&lt;&gt;"",E$3,"NA"),'MITRE ATT&amp;CK Mappings'!$J693))), 'MITRE ATT&amp;CK Mappings'!$B693,"")</f>
        <v/>
      </c>
      <c r="F697" s="27" t="str">
        <f>IF(OR(OR(OR(OR(OR(ISNUMBER(SEARCH(IF(F$1&lt;&gt;"",F$1,"NA"),'MITRE ATT&amp;CK Mappings'!$E693)),ISNUMBER(SEARCH(IF(F$1&lt;&gt;"",F$1,"NA"),'MITRE ATT&amp;CK Mappings'!$F693))),ISNUMBER(SEARCH(IF(F$2&lt;&gt;"",F$2,"NA"),'MITRE ATT&amp;CK Mappings'!$G693))),ISNUMBER(SEARCH(IF(F$2&lt;&gt;"",F$2,"NA"),'MITRE ATT&amp;CK Mappings'!$H693))),ISNUMBER(SEARCH(IF(F$3&lt;&gt;"",F$3,"NA"),'MITRE ATT&amp;CK Mappings'!$I693))),ISNUMBER(SEARCH(IF(F$3&lt;&gt;"",F$3,"NA"),'MITRE ATT&amp;CK Mappings'!$J693))), 'MITRE ATT&amp;CK Mappings'!$B693,"")</f>
        <v/>
      </c>
      <c r="G697" s="27" t="str">
        <f>IF(OR(OR(OR(OR(OR(ISNUMBER(SEARCH(IF(G$1&lt;&gt;"",G$1,"NA"),'MITRE ATT&amp;CK Mappings'!$E693)),ISNUMBER(SEARCH(IF(G$1&lt;&gt;"",G$1,"NA"),'MITRE ATT&amp;CK Mappings'!$F693))),ISNUMBER(SEARCH(IF(G$2&lt;&gt;"",G$2,"NA"),'MITRE ATT&amp;CK Mappings'!$G693))),ISNUMBER(SEARCH(IF(G$2&lt;&gt;"",G$2,"NA"),'MITRE ATT&amp;CK Mappings'!$H693))),ISNUMBER(SEARCH(IF(G$3&lt;&gt;"",G$3,"NA"),'MITRE ATT&amp;CK Mappings'!$I693))),ISNUMBER(SEARCH(IF(G$3&lt;&gt;"",G$3,"NA"),'MITRE ATT&amp;CK Mappings'!$J693))), 'MITRE ATT&amp;CK Mappings'!$B693,"")</f>
        <v/>
      </c>
      <c r="H697" s="27" t="str">
        <f>IF(OR(OR(OR(OR(OR(ISNUMBER(SEARCH(IF(H$1&lt;&gt;"",H$1,"NA"),'MITRE ATT&amp;CK Mappings'!$E693)),ISNUMBER(SEARCH(IF(H$1&lt;&gt;"",H$1,"NA"),'MITRE ATT&amp;CK Mappings'!$F693))),ISNUMBER(SEARCH(IF(H$2&lt;&gt;"",H$2,"NA"),'MITRE ATT&amp;CK Mappings'!$G693))),ISNUMBER(SEARCH(IF(H$2&lt;&gt;"",H$2,"NA"),'MITRE ATT&amp;CK Mappings'!$H693))),ISNUMBER(SEARCH(IF(H$3&lt;&gt;"",H$3,"NA"),'MITRE ATT&amp;CK Mappings'!$I693))),ISNUMBER(SEARCH(IF(H$3&lt;&gt;"",H$3,"NA"),'MITRE ATT&amp;CK Mappings'!$J693))), 'MITRE ATT&amp;CK Mappings'!$B693,"")</f>
        <v/>
      </c>
      <c r="I697" s="27" t="str">
        <f>IF(OR(OR(OR(OR(OR(ISNUMBER(SEARCH(IF(I$1&lt;&gt;"",I$1,"NA"),'MITRE ATT&amp;CK Mappings'!$E693)),ISNUMBER(SEARCH(IF(I$1&lt;&gt;"",I$1,"NA"),'MITRE ATT&amp;CK Mappings'!$F693))),ISNUMBER(SEARCH(IF(I$2&lt;&gt;"",I$2,"NA"),'MITRE ATT&amp;CK Mappings'!$G693))),ISNUMBER(SEARCH(IF(I$2&lt;&gt;"",I$2,"NA"),'MITRE ATT&amp;CK Mappings'!$H693))),ISNUMBER(SEARCH(IF(I$3&lt;&gt;"",I$3,"NA"),'MITRE ATT&amp;CK Mappings'!$I693))),ISNUMBER(SEARCH(IF(I$3&lt;&gt;"",I$3,"NA"),'MITRE ATT&amp;CK Mappings'!$J693))), 'MITRE ATT&amp;CK Mappings'!$B693,"")</f>
        <v/>
      </c>
      <c r="J697" s="27" t="str">
        <f>IF(OR(OR(OR(OR(OR(ISNUMBER(SEARCH(IF(J$1&lt;&gt;"",J$1,"NA"),'MITRE ATT&amp;CK Mappings'!$E693)),ISNUMBER(SEARCH(IF(J$1&lt;&gt;"",J$1,"NA"),'MITRE ATT&amp;CK Mappings'!$F693))),ISNUMBER(SEARCH(IF(J$2&lt;&gt;"",J$2,"NA"),'MITRE ATT&amp;CK Mappings'!$G693))),ISNUMBER(SEARCH(IF(J$2&lt;&gt;"",J$2,"NA"),'MITRE ATT&amp;CK Mappings'!$H693))),ISNUMBER(SEARCH(IF(J$3&lt;&gt;"",J$3,"NA"),'MITRE ATT&amp;CK Mappings'!$I693))),ISNUMBER(SEARCH(IF(J$3&lt;&gt;"",J$3,"NA"),'MITRE ATT&amp;CK Mappings'!$J693))), 'MITRE ATT&amp;CK Mappings'!$B693,"")</f>
        <v/>
      </c>
      <c r="K697" s="27" t="str">
        <f>IF(OR(OR(OR(OR(OR(ISNUMBER(SEARCH(IF(K$1&lt;&gt;"",K$1,"NA"),'MITRE ATT&amp;CK Mappings'!$E693)),ISNUMBER(SEARCH(IF(K$1&lt;&gt;"",K$1,"NA"),'MITRE ATT&amp;CK Mappings'!$F693))),ISNUMBER(SEARCH(IF(K$2&lt;&gt;"",K$2,"NA"),'MITRE ATT&amp;CK Mappings'!$G693))),ISNUMBER(SEARCH(IF(K$2&lt;&gt;"",K$2,"NA"),'MITRE ATT&amp;CK Mappings'!$H693))),ISNUMBER(SEARCH(IF(K$3&lt;&gt;"",K$3,"NA"),'MITRE ATT&amp;CK Mappings'!$I693))),ISNUMBER(SEARCH(IF(K$3&lt;&gt;"",K$3,"NA"),'MITRE ATT&amp;CK Mappings'!$J693))), 'MITRE ATT&amp;CK Mappings'!$B693,"")</f>
        <v/>
      </c>
      <c r="L697" s="27" t="str">
        <f>IF('MITRE ATT&amp;CK Mappings'!D693 &lt;&gt;"",'MITRE ATT&amp;CK Mappings'!D693,"" )</f>
        <v/>
      </c>
    </row>
    <row r="698" spans="1:12" x14ac:dyDescent="0.25">
      <c r="A698" s="26" t="str">
        <f>IF(COUNTIF(B698:K698,"="&amp;'MITRE ATT&amp;CK Mappings'!B694)&gt;0,'MITRE ATT&amp;CK Mappings'!B694,"")</f>
        <v/>
      </c>
      <c r="B698" s="26" t="str">
        <f>IF(OR(OR(OR(OR(OR(ISNUMBER(SEARCH(IF(B$1&lt;&gt;"",B$1,"NA"),'MITRE ATT&amp;CK Mappings'!$E694)),ISNUMBER(SEARCH(IF(B$1&lt;&gt;"",B$1,"NA"),'MITRE ATT&amp;CK Mappings'!$F694))),ISNUMBER(SEARCH(IF(B$2&lt;&gt;"",B$2,"NA"),'MITRE ATT&amp;CK Mappings'!$G694))),ISNUMBER(SEARCH(IF(B$2&lt;&gt;"",B$2,"NA"),'MITRE ATT&amp;CK Mappings'!$H694))),ISNUMBER(SEARCH(IF(B$3&lt;&gt;"",B$3,"NA"),'MITRE ATT&amp;CK Mappings'!$I694))),ISNUMBER(SEARCH(IF(B$3&lt;&gt;"",B$3,"NA"),'MITRE ATT&amp;CK Mappings'!$J694))), 'MITRE ATT&amp;CK Mappings'!$B694,"")</f>
        <v/>
      </c>
      <c r="C698" s="26" t="str">
        <f>IF(OR(OR(OR(OR(OR(ISNUMBER(SEARCH(IF(C$1&lt;&gt;"",C$1,"NA"),'MITRE ATT&amp;CK Mappings'!$E694)),ISNUMBER(SEARCH(IF(C$1&lt;&gt;"",C$1,"NA"),'MITRE ATT&amp;CK Mappings'!$F694))),ISNUMBER(SEARCH(IF(C$2&lt;&gt;"",C$2,"NA"),'MITRE ATT&amp;CK Mappings'!$G694))),ISNUMBER(SEARCH(IF(C$2&lt;&gt;"",C$2,"NA"),'MITRE ATT&amp;CK Mappings'!$H694))),ISNUMBER(SEARCH(IF(C$3&lt;&gt;"",C$3,"NA"),'MITRE ATT&amp;CK Mappings'!$I694))),ISNUMBER(SEARCH(IF(C$3&lt;&gt;"",C$3,"NA"),'MITRE ATT&amp;CK Mappings'!$J694))), 'MITRE ATT&amp;CK Mappings'!$B694,"")</f>
        <v/>
      </c>
      <c r="D698" s="26" t="str">
        <f>IF(OR(OR(OR(OR(OR(ISNUMBER(SEARCH(IF(D$1&lt;&gt;"",D$1,"NA"),'MITRE ATT&amp;CK Mappings'!$E694)),ISNUMBER(SEARCH(IF(D$1&lt;&gt;"",D$1,"NA"),'MITRE ATT&amp;CK Mappings'!$F694))),ISNUMBER(SEARCH(IF(D$2&lt;&gt;"",D$2,"NA"),'MITRE ATT&amp;CK Mappings'!$G694))),ISNUMBER(SEARCH(IF(D$2&lt;&gt;"",D$2,"NA"),'MITRE ATT&amp;CK Mappings'!$H694))),ISNUMBER(SEARCH(IF(D$3&lt;&gt;"",D$3,"NA"),'MITRE ATT&amp;CK Mappings'!$I694))),ISNUMBER(SEARCH(IF(D$3&lt;&gt;"",D$3,"NA"),'MITRE ATT&amp;CK Mappings'!$J694))), 'MITRE ATT&amp;CK Mappings'!$B694,"")</f>
        <v/>
      </c>
      <c r="E698" s="26" t="str">
        <f>IF(OR(OR(OR(OR(OR(ISNUMBER(SEARCH(IF(E$1&lt;&gt;"",E$1,"NA"),'MITRE ATT&amp;CK Mappings'!$E694)),ISNUMBER(SEARCH(IF(E$1&lt;&gt;"",E$1,"NA"),'MITRE ATT&amp;CK Mappings'!$F694))),ISNUMBER(SEARCH(IF(E$2&lt;&gt;"",E$2,"NA"),'MITRE ATT&amp;CK Mappings'!$G694))),ISNUMBER(SEARCH(IF(E$2&lt;&gt;"",E$2,"NA"),'MITRE ATT&amp;CK Mappings'!$H694))),ISNUMBER(SEARCH(IF(E$3&lt;&gt;"",E$3,"NA"),'MITRE ATT&amp;CK Mappings'!$I694))),ISNUMBER(SEARCH(IF(E$3&lt;&gt;"",E$3,"NA"),'MITRE ATT&amp;CK Mappings'!$J694))), 'MITRE ATT&amp;CK Mappings'!$B694,"")</f>
        <v/>
      </c>
      <c r="F698" s="26" t="str">
        <f>IF(OR(OR(OR(OR(OR(ISNUMBER(SEARCH(IF(F$1&lt;&gt;"",F$1,"NA"),'MITRE ATT&amp;CK Mappings'!$E694)),ISNUMBER(SEARCH(IF(F$1&lt;&gt;"",F$1,"NA"),'MITRE ATT&amp;CK Mappings'!$F694))),ISNUMBER(SEARCH(IF(F$2&lt;&gt;"",F$2,"NA"),'MITRE ATT&amp;CK Mappings'!$G694))),ISNUMBER(SEARCH(IF(F$2&lt;&gt;"",F$2,"NA"),'MITRE ATT&amp;CK Mappings'!$H694))),ISNUMBER(SEARCH(IF(F$3&lt;&gt;"",F$3,"NA"),'MITRE ATT&amp;CK Mappings'!$I694))),ISNUMBER(SEARCH(IF(F$3&lt;&gt;"",F$3,"NA"),'MITRE ATT&amp;CK Mappings'!$J694))), 'MITRE ATT&amp;CK Mappings'!$B694,"")</f>
        <v/>
      </c>
      <c r="G698" s="26" t="str">
        <f>IF(OR(OR(OR(OR(OR(ISNUMBER(SEARCH(IF(G$1&lt;&gt;"",G$1,"NA"),'MITRE ATT&amp;CK Mappings'!$E694)),ISNUMBER(SEARCH(IF(G$1&lt;&gt;"",G$1,"NA"),'MITRE ATT&amp;CK Mappings'!$F694))),ISNUMBER(SEARCH(IF(G$2&lt;&gt;"",G$2,"NA"),'MITRE ATT&amp;CK Mappings'!$G694))),ISNUMBER(SEARCH(IF(G$2&lt;&gt;"",G$2,"NA"),'MITRE ATT&amp;CK Mappings'!$H694))),ISNUMBER(SEARCH(IF(G$3&lt;&gt;"",G$3,"NA"),'MITRE ATT&amp;CK Mappings'!$I694))),ISNUMBER(SEARCH(IF(G$3&lt;&gt;"",G$3,"NA"),'MITRE ATT&amp;CK Mappings'!$J694))), 'MITRE ATT&amp;CK Mappings'!$B694,"")</f>
        <v/>
      </c>
      <c r="H698" s="26" t="str">
        <f>IF(OR(OR(OR(OR(OR(ISNUMBER(SEARCH(IF(H$1&lt;&gt;"",H$1,"NA"),'MITRE ATT&amp;CK Mappings'!$E694)),ISNUMBER(SEARCH(IF(H$1&lt;&gt;"",H$1,"NA"),'MITRE ATT&amp;CK Mappings'!$F694))),ISNUMBER(SEARCH(IF(H$2&lt;&gt;"",H$2,"NA"),'MITRE ATT&amp;CK Mappings'!$G694))),ISNUMBER(SEARCH(IF(H$2&lt;&gt;"",H$2,"NA"),'MITRE ATT&amp;CK Mappings'!$H694))),ISNUMBER(SEARCH(IF(H$3&lt;&gt;"",H$3,"NA"),'MITRE ATT&amp;CK Mappings'!$I694))),ISNUMBER(SEARCH(IF(H$3&lt;&gt;"",H$3,"NA"),'MITRE ATT&amp;CK Mappings'!$J694))), 'MITRE ATT&amp;CK Mappings'!$B694,"")</f>
        <v/>
      </c>
      <c r="I698" s="26" t="str">
        <f>IF(OR(OR(OR(OR(OR(ISNUMBER(SEARCH(IF(I$1&lt;&gt;"",I$1,"NA"),'MITRE ATT&amp;CK Mappings'!$E694)),ISNUMBER(SEARCH(IF(I$1&lt;&gt;"",I$1,"NA"),'MITRE ATT&amp;CK Mappings'!$F694))),ISNUMBER(SEARCH(IF(I$2&lt;&gt;"",I$2,"NA"),'MITRE ATT&amp;CK Mappings'!$G694))),ISNUMBER(SEARCH(IF(I$2&lt;&gt;"",I$2,"NA"),'MITRE ATT&amp;CK Mappings'!$H694))),ISNUMBER(SEARCH(IF(I$3&lt;&gt;"",I$3,"NA"),'MITRE ATT&amp;CK Mappings'!$I694))),ISNUMBER(SEARCH(IF(I$3&lt;&gt;"",I$3,"NA"),'MITRE ATT&amp;CK Mappings'!$J694))), 'MITRE ATT&amp;CK Mappings'!$B694,"")</f>
        <v/>
      </c>
      <c r="J698" s="26" t="str">
        <f>IF(OR(OR(OR(OR(OR(ISNUMBER(SEARCH(IF(J$1&lt;&gt;"",J$1,"NA"),'MITRE ATT&amp;CK Mappings'!$E694)),ISNUMBER(SEARCH(IF(J$1&lt;&gt;"",J$1,"NA"),'MITRE ATT&amp;CK Mappings'!$F694))),ISNUMBER(SEARCH(IF(J$2&lt;&gt;"",J$2,"NA"),'MITRE ATT&amp;CK Mappings'!$G694))),ISNUMBER(SEARCH(IF(J$2&lt;&gt;"",J$2,"NA"),'MITRE ATT&amp;CK Mappings'!$H694))),ISNUMBER(SEARCH(IF(J$3&lt;&gt;"",J$3,"NA"),'MITRE ATT&amp;CK Mappings'!$I694))),ISNUMBER(SEARCH(IF(J$3&lt;&gt;"",J$3,"NA"),'MITRE ATT&amp;CK Mappings'!$J694))), 'MITRE ATT&amp;CK Mappings'!$B694,"")</f>
        <v/>
      </c>
      <c r="K698" s="26" t="str">
        <f>IF(OR(OR(OR(OR(OR(ISNUMBER(SEARCH(IF(K$1&lt;&gt;"",K$1,"NA"),'MITRE ATT&amp;CK Mappings'!$E694)),ISNUMBER(SEARCH(IF(K$1&lt;&gt;"",K$1,"NA"),'MITRE ATT&amp;CK Mappings'!$F694))),ISNUMBER(SEARCH(IF(K$2&lt;&gt;"",K$2,"NA"),'MITRE ATT&amp;CK Mappings'!$G694))),ISNUMBER(SEARCH(IF(K$2&lt;&gt;"",K$2,"NA"),'MITRE ATT&amp;CK Mappings'!$H694))),ISNUMBER(SEARCH(IF(K$3&lt;&gt;"",K$3,"NA"),'MITRE ATT&amp;CK Mappings'!$I694))),ISNUMBER(SEARCH(IF(K$3&lt;&gt;"",K$3,"NA"),'MITRE ATT&amp;CK Mappings'!$J694))), 'MITRE ATT&amp;CK Mappings'!$B694,"")</f>
        <v/>
      </c>
      <c r="L698" s="26" t="str">
        <f>IF('MITRE ATT&amp;CK Mappings'!D694 &lt;&gt;"",'MITRE ATT&amp;CK Mappings'!D694,"" )</f>
        <v/>
      </c>
    </row>
    <row r="699" spans="1:12" x14ac:dyDescent="0.25">
      <c r="A699" s="27" t="str">
        <f>IF(COUNTIF(B699:K699,"="&amp;'MITRE ATT&amp;CK Mappings'!B695)&gt;0,'MITRE ATT&amp;CK Mappings'!B695,"")</f>
        <v/>
      </c>
      <c r="B699" s="27" t="str">
        <f>IF(OR(OR(OR(OR(OR(ISNUMBER(SEARCH(IF(B$1&lt;&gt;"",B$1,"NA"),'MITRE ATT&amp;CK Mappings'!$E695)),ISNUMBER(SEARCH(IF(B$1&lt;&gt;"",B$1,"NA"),'MITRE ATT&amp;CK Mappings'!$F695))),ISNUMBER(SEARCH(IF(B$2&lt;&gt;"",B$2,"NA"),'MITRE ATT&amp;CK Mappings'!$G695))),ISNUMBER(SEARCH(IF(B$2&lt;&gt;"",B$2,"NA"),'MITRE ATT&amp;CK Mappings'!$H695))),ISNUMBER(SEARCH(IF(B$3&lt;&gt;"",B$3,"NA"),'MITRE ATT&amp;CK Mappings'!$I695))),ISNUMBER(SEARCH(IF(B$3&lt;&gt;"",B$3,"NA"),'MITRE ATT&amp;CK Mappings'!$J695))), 'MITRE ATT&amp;CK Mappings'!$B695,"")</f>
        <v/>
      </c>
      <c r="C699" s="27" t="str">
        <f>IF(OR(OR(OR(OR(OR(ISNUMBER(SEARCH(IF(C$1&lt;&gt;"",C$1,"NA"),'MITRE ATT&amp;CK Mappings'!$E695)),ISNUMBER(SEARCH(IF(C$1&lt;&gt;"",C$1,"NA"),'MITRE ATT&amp;CK Mappings'!$F695))),ISNUMBER(SEARCH(IF(C$2&lt;&gt;"",C$2,"NA"),'MITRE ATT&amp;CK Mappings'!$G695))),ISNUMBER(SEARCH(IF(C$2&lt;&gt;"",C$2,"NA"),'MITRE ATT&amp;CK Mappings'!$H695))),ISNUMBER(SEARCH(IF(C$3&lt;&gt;"",C$3,"NA"),'MITRE ATT&amp;CK Mappings'!$I695))),ISNUMBER(SEARCH(IF(C$3&lt;&gt;"",C$3,"NA"),'MITRE ATT&amp;CK Mappings'!$J695))), 'MITRE ATT&amp;CK Mappings'!$B695,"")</f>
        <v/>
      </c>
      <c r="D699" s="27" t="str">
        <f>IF(OR(OR(OR(OR(OR(ISNUMBER(SEARCH(IF(D$1&lt;&gt;"",D$1,"NA"),'MITRE ATT&amp;CK Mappings'!$E695)),ISNUMBER(SEARCH(IF(D$1&lt;&gt;"",D$1,"NA"),'MITRE ATT&amp;CK Mappings'!$F695))),ISNUMBER(SEARCH(IF(D$2&lt;&gt;"",D$2,"NA"),'MITRE ATT&amp;CK Mappings'!$G695))),ISNUMBER(SEARCH(IF(D$2&lt;&gt;"",D$2,"NA"),'MITRE ATT&amp;CK Mappings'!$H695))),ISNUMBER(SEARCH(IF(D$3&lt;&gt;"",D$3,"NA"),'MITRE ATT&amp;CK Mappings'!$I695))),ISNUMBER(SEARCH(IF(D$3&lt;&gt;"",D$3,"NA"),'MITRE ATT&amp;CK Mappings'!$J695))), 'MITRE ATT&amp;CK Mappings'!$B695,"")</f>
        <v/>
      </c>
      <c r="E699" s="27" t="str">
        <f>IF(OR(OR(OR(OR(OR(ISNUMBER(SEARCH(IF(E$1&lt;&gt;"",E$1,"NA"),'MITRE ATT&amp;CK Mappings'!$E695)),ISNUMBER(SEARCH(IF(E$1&lt;&gt;"",E$1,"NA"),'MITRE ATT&amp;CK Mappings'!$F695))),ISNUMBER(SEARCH(IF(E$2&lt;&gt;"",E$2,"NA"),'MITRE ATT&amp;CK Mappings'!$G695))),ISNUMBER(SEARCH(IF(E$2&lt;&gt;"",E$2,"NA"),'MITRE ATT&amp;CK Mappings'!$H695))),ISNUMBER(SEARCH(IF(E$3&lt;&gt;"",E$3,"NA"),'MITRE ATT&amp;CK Mappings'!$I695))),ISNUMBER(SEARCH(IF(E$3&lt;&gt;"",E$3,"NA"),'MITRE ATT&amp;CK Mappings'!$J695))), 'MITRE ATT&amp;CK Mappings'!$B695,"")</f>
        <v/>
      </c>
      <c r="F699" s="27" t="str">
        <f>IF(OR(OR(OR(OR(OR(ISNUMBER(SEARCH(IF(F$1&lt;&gt;"",F$1,"NA"),'MITRE ATT&amp;CK Mappings'!$E695)),ISNUMBER(SEARCH(IF(F$1&lt;&gt;"",F$1,"NA"),'MITRE ATT&amp;CK Mappings'!$F695))),ISNUMBER(SEARCH(IF(F$2&lt;&gt;"",F$2,"NA"),'MITRE ATT&amp;CK Mappings'!$G695))),ISNUMBER(SEARCH(IF(F$2&lt;&gt;"",F$2,"NA"),'MITRE ATT&amp;CK Mappings'!$H695))),ISNUMBER(SEARCH(IF(F$3&lt;&gt;"",F$3,"NA"),'MITRE ATT&amp;CK Mappings'!$I695))),ISNUMBER(SEARCH(IF(F$3&lt;&gt;"",F$3,"NA"),'MITRE ATT&amp;CK Mappings'!$J695))), 'MITRE ATT&amp;CK Mappings'!$B695,"")</f>
        <v/>
      </c>
      <c r="G699" s="27" t="str">
        <f>IF(OR(OR(OR(OR(OR(ISNUMBER(SEARCH(IF(G$1&lt;&gt;"",G$1,"NA"),'MITRE ATT&amp;CK Mappings'!$E695)),ISNUMBER(SEARCH(IF(G$1&lt;&gt;"",G$1,"NA"),'MITRE ATT&amp;CK Mappings'!$F695))),ISNUMBER(SEARCH(IF(G$2&lt;&gt;"",G$2,"NA"),'MITRE ATT&amp;CK Mappings'!$G695))),ISNUMBER(SEARCH(IF(G$2&lt;&gt;"",G$2,"NA"),'MITRE ATT&amp;CK Mappings'!$H695))),ISNUMBER(SEARCH(IF(G$3&lt;&gt;"",G$3,"NA"),'MITRE ATT&amp;CK Mappings'!$I695))),ISNUMBER(SEARCH(IF(G$3&lt;&gt;"",G$3,"NA"),'MITRE ATT&amp;CK Mappings'!$J695))), 'MITRE ATT&amp;CK Mappings'!$B695,"")</f>
        <v/>
      </c>
      <c r="H699" s="27" t="str">
        <f>IF(OR(OR(OR(OR(OR(ISNUMBER(SEARCH(IF(H$1&lt;&gt;"",H$1,"NA"),'MITRE ATT&amp;CK Mappings'!$E695)),ISNUMBER(SEARCH(IF(H$1&lt;&gt;"",H$1,"NA"),'MITRE ATT&amp;CK Mappings'!$F695))),ISNUMBER(SEARCH(IF(H$2&lt;&gt;"",H$2,"NA"),'MITRE ATT&amp;CK Mappings'!$G695))),ISNUMBER(SEARCH(IF(H$2&lt;&gt;"",H$2,"NA"),'MITRE ATT&amp;CK Mappings'!$H695))),ISNUMBER(SEARCH(IF(H$3&lt;&gt;"",H$3,"NA"),'MITRE ATT&amp;CK Mappings'!$I695))),ISNUMBER(SEARCH(IF(H$3&lt;&gt;"",H$3,"NA"),'MITRE ATT&amp;CK Mappings'!$J695))), 'MITRE ATT&amp;CK Mappings'!$B695,"")</f>
        <v/>
      </c>
      <c r="I699" s="27" t="str">
        <f>IF(OR(OR(OR(OR(OR(ISNUMBER(SEARCH(IF(I$1&lt;&gt;"",I$1,"NA"),'MITRE ATT&amp;CK Mappings'!$E695)),ISNUMBER(SEARCH(IF(I$1&lt;&gt;"",I$1,"NA"),'MITRE ATT&amp;CK Mappings'!$F695))),ISNUMBER(SEARCH(IF(I$2&lt;&gt;"",I$2,"NA"),'MITRE ATT&amp;CK Mappings'!$G695))),ISNUMBER(SEARCH(IF(I$2&lt;&gt;"",I$2,"NA"),'MITRE ATT&amp;CK Mappings'!$H695))),ISNUMBER(SEARCH(IF(I$3&lt;&gt;"",I$3,"NA"),'MITRE ATT&amp;CK Mappings'!$I695))),ISNUMBER(SEARCH(IF(I$3&lt;&gt;"",I$3,"NA"),'MITRE ATT&amp;CK Mappings'!$J695))), 'MITRE ATT&amp;CK Mappings'!$B695,"")</f>
        <v/>
      </c>
      <c r="J699" s="27" t="str">
        <f>IF(OR(OR(OR(OR(OR(ISNUMBER(SEARCH(IF(J$1&lt;&gt;"",J$1,"NA"),'MITRE ATT&amp;CK Mappings'!$E695)),ISNUMBER(SEARCH(IF(J$1&lt;&gt;"",J$1,"NA"),'MITRE ATT&amp;CK Mappings'!$F695))),ISNUMBER(SEARCH(IF(J$2&lt;&gt;"",J$2,"NA"),'MITRE ATT&amp;CK Mappings'!$G695))),ISNUMBER(SEARCH(IF(J$2&lt;&gt;"",J$2,"NA"),'MITRE ATT&amp;CK Mappings'!$H695))),ISNUMBER(SEARCH(IF(J$3&lt;&gt;"",J$3,"NA"),'MITRE ATT&amp;CK Mappings'!$I695))),ISNUMBER(SEARCH(IF(J$3&lt;&gt;"",J$3,"NA"),'MITRE ATT&amp;CK Mappings'!$J695))), 'MITRE ATT&amp;CK Mappings'!$B695,"")</f>
        <v/>
      </c>
      <c r="K699" s="27" t="str">
        <f>IF(OR(OR(OR(OR(OR(ISNUMBER(SEARCH(IF(K$1&lt;&gt;"",K$1,"NA"),'MITRE ATT&amp;CK Mappings'!$E695)),ISNUMBER(SEARCH(IF(K$1&lt;&gt;"",K$1,"NA"),'MITRE ATT&amp;CK Mappings'!$F695))),ISNUMBER(SEARCH(IF(K$2&lt;&gt;"",K$2,"NA"),'MITRE ATT&amp;CK Mappings'!$G695))),ISNUMBER(SEARCH(IF(K$2&lt;&gt;"",K$2,"NA"),'MITRE ATT&amp;CK Mappings'!$H695))),ISNUMBER(SEARCH(IF(K$3&lt;&gt;"",K$3,"NA"),'MITRE ATT&amp;CK Mappings'!$I695))),ISNUMBER(SEARCH(IF(K$3&lt;&gt;"",K$3,"NA"),'MITRE ATT&amp;CK Mappings'!$J695))), 'MITRE ATT&amp;CK Mappings'!$B695,"")</f>
        <v/>
      </c>
      <c r="L699" s="27" t="str">
        <f>IF('MITRE ATT&amp;CK Mappings'!D695 &lt;&gt;"",'MITRE ATT&amp;CK Mappings'!D695,"" )</f>
        <v/>
      </c>
    </row>
    <row r="700" spans="1:12" x14ac:dyDescent="0.25">
      <c r="A700" s="26" t="str">
        <f>IF(COUNTIF(B700:K700,"="&amp;'MITRE ATT&amp;CK Mappings'!B696)&gt;0,'MITRE ATT&amp;CK Mappings'!B696,"")</f>
        <v/>
      </c>
      <c r="B700" s="26" t="str">
        <f>IF(OR(OR(OR(OR(OR(ISNUMBER(SEARCH(IF(B$1&lt;&gt;"",B$1,"NA"),'MITRE ATT&amp;CK Mappings'!$E696)),ISNUMBER(SEARCH(IF(B$1&lt;&gt;"",B$1,"NA"),'MITRE ATT&amp;CK Mappings'!$F696))),ISNUMBER(SEARCH(IF(B$2&lt;&gt;"",B$2,"NA"),'MITRE ATT&amp;CK Mappings'!$G696))),ISNUMBER(SEARCH(IF(B$2&lt;&gt;"",B$2,"NA"),'MITRE ATT&amp;CK Mappings'!$H696))),ISNUMBER(SEARCH(IF(B$3&lt;&gt;"",B$3,"NA"),'MITRE ATT&amp;CK Mappings'!$I696))),ISNUMBER(SEARCH(IF(B$3&lt;&gt;"",B$3,"NA"),'MITRE ATT&amp;CK Mappings'!$J696))), 'MITRE ATT&amp;CK Mappings'!$B696,"")</f>
        <v/>
      </c>
      <c r="C700" s="26" t="str">
        <f>IF(OR(OR(OR(OR(OR(ISNUMBER(SEARCH(IF(C$1&lt;&gt;"",C$1,"NA"),'MITRE ATT&amp;CK Mappings'!$E696)),ISNUMBER(SEARCH(IF(C$1&lt;&gt;"",C$1,"NA"),'MITRE ATT&amp;CK Mappings'!$F696))),ISNUMBER(SEARCH(IF(C$2&lt;&gt;"",C$2,"NA"),'MITRE ATT&amp;CK Mappings'!$G696))),ISNUMBER(SEARCH(IF(C$2&lt;&gt;"",C$2,"NA"),'MITRE ATT&amp;CK Mappings'!$H696))),ISNUMBER(SEARCH(IF(C$3&lt;&gt;"",C$3,"NA"),'MITRE ATT&amp;CK Mappings'!$I696))),ISNUMBER(SEARCH(IF(C$3&lt;&gt;"",C$3,"NA"),'MITRE ATT&amp;CK Mappings'!$J696))), 'MITRE ATT&amp;CK Mappings'!$B696,"")</f>
        <v/>
      </c>
      <c r="D700" s="26" t="str">
        <f>IF(OR(OR(OR(OR(OR(ISNUMBER(SEARCH(IF(D$1&lt;&gt;"",D$1,"NA"),'MITRE ATT&amp;CK Mappings'!$E696)),ISNUMBER(SEARCH(IF(D$1&lt;&gt;"",D$1,"NA"),'MITRE ATT&amp;CK Mappings'!$F696))),ISNUMBER(SEARCH(IF(D$2&lt;&gt;"",D$2,"NA"),'MITRE ATT&amp;CK Mappings'!$G696))),ISNUMBER(SEARCH(IF(D$2&lt;&gt;"",D$2,"NA"),'MITRE ATT&amp;CK Mappings'!$H696))),ISNUMBER(SEARCH(IF(D$3&lt;&gt;"",D$3,"NA"),'MITRE ATT&amp;CK Mappings'!$I696))),ISNUMBER(SEARCH(IF(D$3&lt;&gt;"",D$3,"NA"),'MITRE ATT&amp;CK Mappings'!$J696))), 'MITRE ATT&amp;CK Mappings'!$B696,"")</f>
        <v/>
      </c>
      <c r="E700" s="26" t="str">
        <f>IF(OR(OR(OR(OR(OR(ISNUMBER(SEARCH(IF(E$1&lt;&gt;"",E$1,"NA"),'MITRE ATT&amp;CK Mappings'!$E696)),ISNUMBER(SEARCH(IF(E$1&lt;&gt;"",E$1,"NA"),'MITRE ATT&amp;CK Mappings'!$F696))),ISNUMBER(SEARCH(IF(E$2&lt;&gt;"",E$2,"NA"),'MITRE ATT&amp;CK Mappings'!$G696))),ISNUMBER(SEARCH(IF(E$2&lt;&gt;"",E$2,"NA"),'MITRE ATT&amp;CK Mappings'!$H696))),ISNUMBER(SEARCH(IF(E$3&lt;&gt;"",E$3,"NA"),'MITRE ATT&amp;CK Mappings'!$I696))),ISNUMBER(SEARCH(IF(E$3&lt;&gt;"",E$3,"NA"),'MITRE ATT&amp;CK Mappings'!$J696))), 'MITRE ATT&amp;CK Mappings'!$B696,"")</f>
        <v/>
      </c>
      <c r="F700" s="26" t="str">
        <f>IF(OR(OR(OR(OR(OR(ISNUMBER(SEARCH(IF(F$1&lt;&gt;"",F$1,"NA"),'MITRE ATT&amp;CK Mappings'!$E696)),ISNUMBER(SEARCH(IF(F$1&lt;&gt;"",F$1,"NA"),'MITRE ATT&amp;CK Mappings'!$F696))),ISNUMBER(SEARCH(IF(F$2&lt;&gt;"",F$2,"NA"),'MITRE ATT&amp;CK Mappings'!$G696))),ISNUMBER(SEARCH(IF(F$2&lt;&gt;"",F$2,"NA"),'MITRE ATT&amp;CK Mappings'!$H696))),ISNUMBER(SEARCH(IF(F$3&lt;&gt;"",F$3,"NA"),'MITRE ATT&amp;CK Mappings'!$I696))),ISNUMBER(SEARCH(IF(F$3&lt;&gt;"",F$3,"NA"),'MITRE ATT&amp;CK Mappings'!$J696))), 'MITRE ATT&amp;CK Mappings'!$B696,"")</f>
        <v/>
      </c>
      <c r="G700" s="26" t="str">
        <f>IF(OR(OR(OR(OR(OR(ISNUMBER(SEARCH(IF(G$1&lt;&gt;"",G$1,"NA"),'MITRE ATT&amp;CK Mappings'!$E696)),ISNUMBER(SEARCH(IF(G$1&lt;&gt;"",G$1,"NA"),'MITRE ATT&amp;CK Mappings'!$F696))),ISNUMBER(SEARCH(IF(G$2&lt;&gt;"",G$2,"NA"),'MITRE ATT&amp;CK Mappings'!$G696))),ISNUMBER(SEARCH(IF(G$2&lt;&gt;"",G$2,"NA"),'MITRE ATT&amp;CK Mappings'!$H696))),ISNUMBER(SEARCH(IF(G$3&lt;&gt;"",G$3,"NA"),'MITRE ATT&amp;CK Mappings'!$I696))),ISNUMBER(SEARCH(IF(G$3&lt;&gt;"",G$3,"NA"),'MITRE ATT&amp;CK Mappings'!$J696))), 'MITRE ATT&amp;CK Mappings'!$B696,"")</f>
        <v/>
      </c>
      <c r="H700" s="26" t="str">
        <f>IF(OR(OR(OR(OR(OR(ISNUMBER(SEARCH(IF(H$1&lt;&gt;"",H$1,"NA"),'MITRE ATT&amp;CK Mappings'!$E696)),ISNUMBER(SEARCH(IF(H$1&lt;&gt;"",H$1,"NA"),'MITRE ATT&amp;CK Mappings'!$F696))),ISNUMBER(SEARCH(IF(H$2&lt;&gt;"",H$2,"NA"),'MITRE ATT&amp;CK Mappings'!$G696))),ISNUMBER(SEARCH(IF(H$2&lt;&gt;"",H$2,"NA"),'MITRE ATT&amp;CK Mappings'!$H696))),ISNUMBER(SEARCH(IF(H$3&lt;&gt;"",H$3,"NA"),'MITRE ATT&amp;CK Mappings'!$I696))),ISNUMBER(SEARCH(IF(H$3&lt;&gt;"",H$3,"NA"),'MITRE ATT&amp;CK Mappings'!$J696))), 'MITRE ATT&amp;CK Mappings'!$B696,"")</f>
        <v/>
      </c>
      <c r="I700" s="26" t="str">
        <f>IF(OR(OR(OR(OR(OR(ISNUMBER(SEARCH(IF(I$1&lt;&gt;"",I$1,"NA"),'MITRE ATT&amp;CK Mappings'!$E696)),ISNUMBER(SEARCH(IF(I$1&lt;&gt;"",I$1,"NA"),'MITRE ATT&amp;CK Mappings'!$F696))),ISNUMBER(SEARCH(IF(I$2&lt;&gt;"",I$2,"NA"),'MITRE ATT&amp;CK Mappings'!$G696))),ISNUMBER(SEARCH(IF(I$2&lt;&gt;"",I$2,"NA"),'MITRE ATT&amp;CK Mappings'!$H696))),ISNUMBER(SEARCH(IF(I$3&lt;&gt;"",I$3,"NA"),'MITRE ATT&amp;CK Mappings'!$I696))),ISNUMBER(SEARCH(IF(I$3&lt;&gt;"",I$3,"NA"),'MITRE ATT&amp;CK Mappings'!$J696))), 'MITRE ATT&amp;CK Mappings'!$B696,"")</f>
        <v/>
      </c>
      <c r="J700" s="26" t="str">
        <f>IF(OR(OR(OR(OR(OR(ISNUMBER(SEARCH(IF(J$1&lt;&gt;"",J$1,"NA"),'MITRE ATT&amp;CK Mappings'!$E696)),ISNUMBER(SEARCH(IF(J$1&lt;&gt;"",J$1,"NA"),'MITRE ATT&amp;CK Mappings'!$F696))),ISNUMBER(SEARCH(IF(J$2&lt;&gt;"",J$2,"NA"),'MITRE ATT&amp;CK Mappings'!$G696))),ISNUMBER(SEARCH(IF(J$2&lt;&gt;"",J$2,"NA"),'MITRE ATT&amp;CK Mappings'!$H696))),ISNUMBER(SEARCH(IF(J$3&lt;&gt;"",J$3,"NA"),'MITRE ATT&amp;CK Mappings'!$I696))),ISNUMBER(SEARCH(IF(J$3&lt;&gt;"",J$3,"NA"),'MITRE ATT&amp;CK Mappings'!$J696))), 'MITRE ATT&amp;CK Mappings'!$B696,"")</f>
        <v/>
      </c>
      <c r="K700" s="26" t="str">
        <f>IF(OR(OR(OR(OR(OR(ISNUMBER(SEARCH(IF(K$1&lt;&gt;"",K$1,"NA"),'MITRE ATT&amp;CK Mappings'!$E696)),ISNUMBER(SEARCH(IF(K$1&lt;&gt;"",K$1,"NA"),'MITRE ATT&amp;CK Mappings'!$F696))),ISNUMBER(SEARCH(IF(K$2&lt;&gt;"",K$2,"NA"),'MITRE ATT&amp;CK Mappings'!$G696))),ISNUMBER(SEARCH(IF(K$2&lt;&gt;"",K$2,"NA"),'MITRE ATT&amp;CK Mappings'!$H696))),ISNUMBER(SEARCH(IF(K$3&lt;&gt;"",K$3,"NA"),'MITRE ATT&amp;CK Mappings'!$I696))),ISNUMBER(SEARCH(IF(K$3&lt;&gt;"",K$3,"NA"),'MITRE ATT&amp;CK Mappings'!$J696))), 'MITRE ATT&amp;CK Mappings'!$B696,"")</f>
        <v/>
      </c>
      <c r="L700" s="26" t="str">
        <f>IF('MITRE ATT&amp;CK Mappings'!D696 &lt;&gt;"",'MITRE ATT&amp;CK Mappings'!D696,"" )</f>
        <v/>
      </c>
    </row>
    <row r="701" spans="1:12" x14ac:dyDescent="0.25">
      <c r="A701" s="27" t="str">
        <f>IF(COUNTIF(B701:K701,"="&amp;'MITRE ATT&amp;CK Mappings'!B697)&gt;0,'MITRE ATT&amp;CK Mappings'!B697,"")</f>
        <v/>
      </c>
      <c r="B701" s="27" t="str">
        <f>IF(OR(OR(OR(OR(OR(ISNUMBER(SEARCH(IF(B$1&lt;&gt;"",B$1,"NA"),'MITRE ATT&amp;CK Mappings'!$E697)),ISNUMBER(SEARCH(IF(B$1&lt;&gt;"",B$1,"NA"),'MITRE ATT&amp;CK Mappings'!$F697))),ISNUMBER(SEARCH(IF(B$2&lt;&gt;"",B$2,"NA"),'MITRE ATT&amp;CK Mappings'!$G697))),ISNUMBER(SEARCH(IF(B$2&lt;&gt;"",B$2,"NA"),'MITRE ATT&amp;CK Mappings'!$H697))),ISNUMBER(SEARCH(IF(B$3&lt;&gt;"",B$3,"NA"),'MITRE ATT&amp;CK Mappings'!$I697))),ISNUMBER(SEARCH(IF(B$3&lt;&gt;"",B$3,"NA"),'MITRE ATT&amp;CK Mappings'!$J697))), 'MITRE ATT&amp;CK Mappings'!$B697,"")</f>
        <v/>
      </c>
      <c r="C701" s="27" t="str">
        <f>IF(OR(OR(OR(OR(OR(ISNUMBER(SEARCH(IF(C$1&lt;&gt;"",C$1,"NA"),'MITRE ATT&amp;CK Mappings'!$E697)),ISNUMBER(SEARCH(IF(C$1&lt;&gt;"",C$1,"NA"),'MITRE ATT&amp;CK Mappings'!$F697))),ISNUMBER(SEARCH(IF(C$2&lt;&gt;"",C$2,"NA"),'MITRE ATT&amp;CK Mappings'!$G697))),ISNUMBER(SEARCH(IF(C$2&lt;&gt;"",C$2,"NA"),'MITRE ATT&amp;CK Mappings'!$H697))),ISNUMBER(SEARCH(IF(C$3&lt;&gt;"",C$3,"NA"),'MITRE ATT&amp;CK Mappings'!$I697))),ISNUMBER(SEARCH(IF(C$3&lt;&gt;"",C$3,"NA"),'MITRE ATT&amp;CK Mappings'!$J697))), 'MITRE ATT&amp;CK Mappings'!$B697,"")</f>
        <v/>
      </c>
      <c r="D701" s="27" t="str">
        <f>IF(OR(OR(OR(OR(OR(ISNUMBER(SEARCH(IF(D$1&lt;&gt;"",D$1,"NA"),'MITRE ATT&amp;CK Mappings'!$E697)),ISNUMBER(SEARCH(IF(D$1&lt;&gt;"",D$1,"NA"),'MITRE ATT&amp;CK Mappings'!$F697))),ISNUMBER(SEARCH(IF(D$2&lt;&gt;"",D$2,"NA"),'MITRE ATT&amp;CK Mappings'!$G697))),ISNUMBER(SEARCH(IF(D$2&lt;&gt;"",D$2,"NA"),'MITRE ATT&amp;CK Mappings'!$H697))),ISNUMBER(SEARCH(IF(D$3&lt;&gt;"",D$3,"NA"),'MITRE ATT&amp;CK Mappings'!$I697))),ISNUMBER(SEARCH(IF(D$3&lt;&gt;"",D$3,"NA"),'MITRE ATT&amp;CK Mappings'!$J697))), 'MITRE ATT&amp;CK Mappings'!$B697,"")</f>
        <v/>
      </c>
      <c r="E701" s="27" t="str">
        <f>IF(OR(OR(OR(OR(OR(ISNUMBER(SEARCH(IF(E$1&lt;&gt;"",E$1,"NA"),'MITRE ATT&amp;CK Mappings'!$E697)),ISNUMBER(SEARCH(IF(E$1&lt;&gt;"",E$1,"NA"),'MITRE ATT&amp;CK Mappings'!$F697))),ISNUMBER(SEARCH(IF(E$2&lt;&gt;"",E$2,"NA"),'MITRE ATT&amp;CK Mappings'!$G697))),ISNUMBER(SEARCH(IF(E$2&lt;&gt;"",E$2,"NA"),'MITRE ATT&amp;CK Mappings'!$H697))),ISNUMBER(SEARCH(IF(E$3&lt;&gt;"",E$3,"NA"),'MITRE ATT&amp;CK Mappings'!$I697))),ISNUMBER(SEARCH(IF(E$3&lt;&gt;"",E$3,"NA"),'MITRE ATT&amp;CK Mappings'!$J697))), 'MITRE ATT&amp;CK Mappings'!$B697,"")</f>
        <v/>
      </c>
      <c r="F701" s="27" t="str">
        <f>IF(OR(OR(OR(OR(OR(ISNUMBER(SEARCH(IF(F$1&lt;&gt;"",F$1,"NA"),'MITRE ATT&amp;CK Mappings'!$E697)),ISNUMBER(SEARCH(IF(F$1&lt;&gt;"",F$1,"NA"),'MITRE ATT&amp;CK Mappings'!$F697))),ISNUMBER(SEARCH(IF(F$2&lt;&gt;"",F$2,"NA"),'MITRE ATT&amp;CK Mappings'!$G697))),ISNUMBER(SEARCH(IF(F$2&lt;&gt;"",F$2,"NA"),'MITRE ATT&amp;CK Mappings'!$H697))),ISNUMBER(SEARCH(IF(F$3&lt;&gt;"",F$3,"NA"),'MITRE ATT&amp;CK Mappings'!$I697))),ISNUMBER(SEARCH(IF(F$3&lt;&gt;"",F$3,"NA"),'MITRE ATT&amp;CK Mappings'!$J697))), 'MITRE ATT&amp;CK Mappings'!$B697,"")</f>
        <v/>
      </c>
      <c r="G701" s="27" t="str">
        <f>IF(OR(OR(OR(OR(OR(ISNUMBER(SEARCH(IF(G$1&lt;&gt;"",G$1,"NA"),'MITRE ATT&amp;CK Mappings'!$E697)),ISNUMBER(SEARCH(IF(G$1&lt;&gt;"",G$1,"NA"),'MITRE ATT&amp;CK Mappings'!$F697))),ISNUMBER(SEARCH(IF(G$2&lt;&gt;"",G$2,"NA"),'MITRE ATT&amp;CK Mappings'!$G697))),ISNUMBER(SEARCH(IF(G$2&lt;&gt;"",G$2,"NA"),'MITRE ATT&amp;CK Mappings'!$H697))),ISNUMBER(SEARCH(IF(G$3&lt;&gt;"",G$3,"NA"),'MITRE ATT&amp;CK Mappings'!$I697))),ISNUMBER(SEARCH(IF(G$3&lt;&gt;"",G$3,"NA"),'MITRE ATT&amp;CK Mappings'!$J697))), 'MITRE ATT&amp;CK Mappings'!$B697,"")</f>
        <v/>
      </c>
      <c r="H701" s="27" t="str">
        <f>IF(OR(OR(OR(OR(OR(ISNUMBER(SEARCH(IF(H$1&lt;&gt;"",H$1,"NA"),'MITRE ATT&amp;CK Mappings'!$E697)),ISNUMBER(SEARCH(IF(H$1&lt;&gt;"",H$1,"NA"),'MITRE ATT&amp;CK Mappings'!$F697))),ISNUMBER(SEARCH(IF(H$2&lt;&gt;"",H$2,"NA"),'MITRE ATT&amp;CK Mappings'!$G697))),ISNUMBER(SEARCH(IF(H$2&lt;&gt;"",H$2,"NA"),'MITRE ATT&amp;CK Mappings'!$H697))),ISNUMBER(SEARCH(IF(H$3&lt;&gt;"",H$3,"NA"),'MITRE ATT&amp;CK Mappings'!$I697))),ISNUMBER(SEARCH(IF(H$3&lt;&gt;"",H$3,"NA"),'MITRE ATT&amp;CK Mappings'!$J697))), 'MITRE ATT&amp;CK Mappings'!$B697,"")</f>
        <v/>
      </c>
      <c r="I701" s="27" t="str">
        <f>IF(OR(OR(OR(OR(OR(ISNUMBER(SEARCH(IF(I$1&lt;&gt;"",I$1,"NA"),'MITRE ATT&amp;CK Mappings'!$E697)),ISNUMBER(SEARCH(IF(I$1&lt;&gt;"",I$1,"NA"),'MITRE ATT&amp;CK Mappings'!$F697))),ISNUMBER(SEARCH(IF(I$2&lt;&gt;"",I$2,"NA"),'MITRE ATT&amp;CK Mappings'!$G697))),ISNUMBER(SEARCH(IF(I$2&lt;&gt;"",I$2,"NA"),'MITRE ATT&amp;CK Mappings'!$H697))),ISNUMBER(SEARCH(IF(I$3&lt;&gt;"",I$3,"NA"),'MITRE ATT&amp;CK Mappings'!$I697))),ISNUMBER(SEARCH(IF(I$3&lt;&gt;"",I$3,"NA"),'MITRE ATT&amp;CK Mappings'!$J697))), 'MITRE ATT&amp;CK Mappings'!$B697,"")</f>
        <v/>
      </c>
      <c r="J701" s="27" t="str">
        <f>IF(OR(OR(OR(OR(OR(ISNUMBER(SEARCH(IF(J$1&lt;&gt;"",J$1,"NA"),'MITRE ATT&amp;CK Mappings'!$E697)),ISNUMBER(SEARCH(IF(J$1&lt;&gt;"",J$1,"NA"),'MITRE ATT&amp;CK Mappings'!$F697))),ISNUMBER(SEARCH(IF(J$2&lt;&gt;"",J$2,"NA"),'MITRE ATT&amp;CK Mappings'!$G697))),ISNUMBER(SEARCH(IF(J$2&lt;&gt;"",J$2,"NA"),'MITRE ATT&amp;CK Mappings'!$H697))),ISNUMBER(SEARCH(IF(J$3&lt;&gt;"",J$3,"NA"),'MITRE ATT&amp;CK Mappings'!$I697))),ISNUMBER(SEARCH(IF(J$3&lt;&gt;"",J$3,"NA"),'MITRE ATT&amp;CK Mappings'!$J697))), 'MITRE ATT&amp;CK Mappings'!$B697,"")</f>
        <v/>
      </c>
      <c r="K701" s="27" t="str">
        <f>IF(OR(OR(OR(OR(OR(ISNUMBER(SEARCH(IF(K$1&lt;&gt;"",K$1,"NA"),'MITRE ATT&amp;CK Mappings'!$E697)),ISNUMBER(SEARCH(IF(K$1&lt;&gt;"",K$1,"NA"),'MITRE ATT&amp;CK Mappings'!$F697))),ISNUMBER(SEARCH(IF(K$2&lt;&gt;"",K$2,"NA"),'MITRE ATT&amp;CK Mappings'!$G697))),ISNUMBER(SEARCH(IF(K$2&lt;&gt;"",K$2,"NA"),'MITRE ATT&amp;CK Mappings'!$H697))),ISNUMBER(SEARCH(IF(K$3&lt;&gt;"",K$3,"NA"),'MITRE ATT&amp;CK Mappings'!$I697))),ISNUMBER(SEARCH(IF(K$3&lt;&gt;"",K$3,"NA"),'MITRE ATT&amp;CK Mappings'!$J697))), 'MITRE ATT&amp;CK Mappings'!$B697,"")</f>
        <v/>
      </c>
      <c r="L701" s="27" t="str">
        <f>IF('MITRE ATT&amp;CK Mappings'!D697 &lt;&gt;"",'MITRE ATT&amp;CK Mappings'!D697,"" )</f>
        <v/>
      </c>
    </row>
    <row r="702" spans="1:12" x14ac:dyDescent="0.25">
      <c r="A702" s="26" t="str">
        <f>IF(COUNTIF(B702:K702,"="&amp;'MITRE ATT&amp;CK Mappings'!B698)&gt;0,'MITRE ATT&amp;CK Mappings'!B698,"")</f>
        <v/>
      </c>
      <c r="B702" s="26" t="str">
        <f>IF(OR(OR(OR(OR(OR(ISNUMBER(SEARCH(IF(B$1&lt;&gt;"",B$1,"NA"),'MITRE ATT&amp;CK Mappings'!$E698)),ISNUMBER(SEARCH(IF(B$1&lt;&gt;"",B$1,"NA"),'MITRE ATT&amp;CK Mappings'!$F698))),ISNUMBER(SEARCH(IF(B$2&lt;&gt;"",B$2,"NA"),'MITRE ATT&amp;CK Mappings'!$G698))),ISNUMBER(SEARCH(IF(B$2&lt;&gt;"",B$2,"NA"),'MITRE ATT&amp;CK Mappings'!$H698))),ISNUMBER(SEARCH(IF(B$3&lt;&gt;"",B$3,"NA"),'MITRE ATT&amp;CK Mappings'!$I698))),ISNUMBER(SEARCH(IF(B$3&lt;&gt;"",B$3,"NA"),'MITRE ATT&amp;CK Mappings'!$J698))), 'MITRE ATT&amp;CK Mappings'!$B698,"")</f>
        <v/>
      </c>
      <c r="C702" s="26" t="str">
        <f>IF(OR(OR(OR(OR(OR(ISNUMBER(SEARCH(IF(C$1&lt;&gt;"",C$1,"NA"),'MITRE ATT&amp;CK Mappings'!$E698)),ISNUMBER(SEARCH(IF(C$1&lt;&gt;"",C$1,"NA"),'MITRE ATT&amp;CK Mappings'!$F698))),ISNUMBER(SEARCH(IF(C$2&lt;&gt;"",C$2,"NA"),'MITRE ATT&amp;CK Mappings'!$G698))),ISNUMBER(SEARCH(IF(C$2&lt;&gt;"",C$2,"NA"),'MITRE ATT&amp;CK Mappings'!$H698))),ISNUMBER(SEARCH(IF(C$3&lt;&gt;"",C$3,"NA"),'MITRE ATT&amp;CK Mappings'!$I698))),ISNUMBER(SEARCH(IF(C$3&lt;&gt;"",C$3,"NA"),'MITRE ATT&amp;CK Mappings'!$J698))), 'MITRE ATT&amp;CK Mappings'!$B698,"")</f>
        <v/>
      </c>
      <c r="D702" s="26" t="str">
        <f>IF(OR(OR(OR(OR(OR(ISNUMBER(SEARCH(IF(D$1&lt;&gt;"",D$1,"NA"),'MITRE ATT&amp;CK Mappings'!$E698)),ISNUMBER(SEARCH(IF(D$1&lt;&gt;"",D$1,"NA"),'MITRE ATT&amp;CK Mappings'!$F698))),ISNUMBER(SEARCH(IF(D$2&lt;&gt;"",D$2,"NA"),'MITRE ATT&amp;CK Mappings'!$G698))),ISNUMBER(SEARCH(IF(D$2&lt;&gt;"",D$2,"NA"),'MITRE ATT&amp;CK Mappings'!$H698))),ISNUMBER(SEARCH(IF(D$3&lt;&gt;"",D$3,"NA"),'MITRE ATT&amp;CK Mappings'!$I698))),ISNUMBER(SEARCH(IF(D$3&lt;&gt;"",D$3,"NA"),'MITRE ATT&amp;CK Mappings'!$J698))), 'MITRE ATT&amp;CK Mappings'!$B698,"")</f>
        <v/>
      </c>
      <c r="E702" s="26" t="str">
        <f>IF(OR(OR(OR(OR(OR(ISNUMBER(SEARCH(IF(E$1&lt;&gt;"",E$1,"NA"),'MITRE ATT&amp;CK Mappings'!$E698)),ISNUMBER(SEARCH(IF(E$1&lt;&gt;"",E$1,"NA"),'MITRE ATT&amp;CK Mappings'!$F698))),ISNUMBER(SEARCH(IF(E$2&lt;&gt;"",E$2,"NA"),'MITRE ATT&amp;CK Mappings'!$G698))),ISNUMBER(SEARCH(IF(E$2&lt;&gt;"",E$2,"NA"),'MITRE ATT&amp;CK Mappings'!$H698))),ISNUMBER(SEARCH(IF(E$3&lt;&gt;"",E$3,"NA"),'MITRE ATT&amp;CK Mappings'!$I698))),ISNUMBER(SEARCH(IF(E$3&lt;&gt;"",E$3,"NA"),'MITRE ATT&amp;CK Mappings'!$J698))), 'MITRE ATT&amp;CK Mappings'!$B698,"")</f>
        <v/>
      </c>
      <c r="F702" s="26" t="str">
        <f>IF(OR(OR(OR(OR(OR(ISNUMBER(SEARCH(IF(F$1&lt;&gt;"",F$1,"NA"),'MITRE ATT&amp;CK Mappings'!$E698)),ISNUMBER(SEARCH(IF(F$1&lt;&gt;"",F$1,"NA"),'MITRE ATT&amp;CK Mappings'!$F698))),ISNUMBER(SEARCH(IF(F$2&lt;&gt;"",F$2,"NA"),'MITRE ATT&amp;CK Mappings'!$G698))),ISNUMBER(SEARCH(IF(F$2&lt;&gt;"",F$2,"NA"),'MITRE ATT&amp;CK Mappings'!$H698))),ISNUMBER(SEARCH(IF(F$3&lt;&gt;"",F$3,"NA"),'MITRE ATT&amp;CK Mappings'!$I698))),ISNUMBER(SEARCH(IF(F$3&lt;&gt;"",F$3,"NA"),'MITRE ATT&amp;CK Mappings'!$J698))), 'MITRE ATT&amp;CK Mappings'!$B698,"")</f>
        <v/>
      </c>
      <c r="G702" s="26" t="str">
        <f>IF(OR(OR(OR(OR(OR(ISNUMBER(SEARCH(IF(G$1&lt;&gt;"",G$1,"NA"),'MITRE ATT&amp;CK Mappings'!$E698)),ISNUMBER(SEARCH(IF(G$1&lt;&gt;"",G$1,"NA"),'MITRE ATT&amp;CK Mappings'!$F698))),ISNUMBER(SEARCH(IF(G$2&lt;&gt;"",G$2,"NA"),'MITRE ATT&amp;CK Mappings'!$G698))),ISNUMBER(SEARCH(IF(G$2&lt;&gt;"",G$2,"NA"),'MITRE ATT&amp;CK Mappings'!$H698))),ISNUMBER(SEARCH(IF(G$3&lt;&gt;"",G$3,"NA"),'MITRE ATT&amp;CK Mappings'!$I698))),ISNUMBER(SEARCH(IF(G$3&lt;&gt;"",G$3,"NA"),'MITRE ATT&amp;CK Mappings'!$J698))), 'MITRE ATT&amp;CK Mappings'!$B698,"")</f>
        <v/>
      </c>
      <c r="H702" s="26" t="str">
        <f>IF(OR(OR(OR(OR(OR(ISNUMBER(SEARCH(IF(H$1&lt;&gt;"",H$1,"NA"),'MITRE ATT&amp;CK Mappings'!$E698)),ISNUMBER(SEARCH(IF(H$1&lt;&gt;"",H$1,"NA"),'MITRE ATT&amp;CK Mappings'!$F698))),ISNUMBER(SEARCH(IF(H$2&lt;&gt;"",H$2,"NA"),'MITRE ATT&amp;CK Mappings'!$G698))),ISNUMBER(SEARCH(IF(H$2&lt;&gt;"",H$2,"NA"),'MITRE ATT&amp;CK Mappings'!$H698))),ISNUMBER(SEARCH(IF(H$3&lt;&gt;"",H$3,"NA"),'MITRE ATT&amp;CK Mappings'!$I698))),ISNUMBER(SEARCH(IF(H$3&lt;&gt;"",H$3,"NA"),'MITRE ATT&amp;CK Mappings'!$J698))), 'MITRE ATT&amp;CK Mappings'!$B698,"")</f>
        <v/>
      </c>
      <c r="I702" s="26" t="str">
        <f>IF(OR(OR(OR(OR(OR(ISNUMBER(SEARCH(IF(I$1&lt;&gt;"",I$1,"NA"),'MITRE ATT&amp;CK Mappings'!$E698)),ISNUMBER(SEARCH(IF(I$1&lt;&gt;"",I$1,"NA"),'MITRE ATT&amp;CK Mappings'!$F698))),ISNUMBER(SEARCH(IF(I$2&lt;&gt;"",I$2,"NA"),'MITRE ATT&amp;CK Mappings'!$G698))),ISNUMBER(SEARCH(IF(I$2&lt;&gt;"",I$2,"NA"),'MITRE ATT&amp;CK Mappings'!$H698))),ISNUMBER(SEARCH(IF(I$3&lt;&gt;"",I$3,"NA"),'MITRE ATT&amp;CK Mappings'!$I698))),ISNUMBER(SEARCH(IF(I$3&lt;&gt;"",I$3,"NA"),'MITRE ATT&amp;CK Mappings'!$J698))), 'MITRE ATT&amp;CK Mappings'!$B698,"")</f>
        <v/>
      </c>
      <c r="J702" s="26" t="str">
        <f>IF(OR(OR(OR(OR(OR(ISNUMBER(SEARCH(IF(J$1&lt;&gt;"",J$1,"NA"),'MITRE ATT&amp;CK Mappings'!$E698)),ISNUMBER(SEARCH(IF(J$1&lt;&gt;"",J$1,"NA"),'MITRE ATT&amp;CK Mappings'!$F698))),ISNUMBER(SEARCH(IF(J$2&lt;&gt;"",J$2,"NA"),'MITRE ATT&amp;CK Mappings'!$G698))),ISNUMBER(SEARCH(IF(J$2&lt;&gt;"",J$2,"NA"),'MITRE ATT&amp;CK Mappings'!$H698))),ISNUMBER(SEARCH(IF(J$3&lt;&gt;"",J$3,"NA"),'MITRE ATT&amp;CK Mappings'!$I698))),ISNUMBER(SEARCH(IF(J$3&lt;&gt;"",J$3,"NA"),'MITRE ATT&amp;CK Mappings'!$J698))), 'MITRE ATT&amp;CK Mappings'!$B698,"")</f>
        <v/>
      </c>
      <c r="K702" s="26" t="str">
        <f>IF(OR(OR(OR(OR(OR(ISNUMBER(SEARCH(IF(K$1&lt;&gt;"",K$1,"NA"),'MITRE ATT&amp;CK Mappings'!$E698)),ISNUMBER(SEARCH(IF(K$1&lt;&gt;"",K$1,"NA"),'MITRE ATT&amp;CK Mappings'!$F698))),ISNUMBER(SEARCH(IF(K$2&lt;&gt;"",K$2,"NA"),'MITRE ATT&amp;CK Mappings'!$G698))),ISNUMBER(SEARCH(IF(K$2&lt;&gt;"",K$2,"NA"),'MITRE ATT&amp;CK Mappings'!$H698))),ISNUMBER(SEARCH(IF(K$3&lt;&gt;"",K$3,"NA"),'MITRE ATT&amp;CK Mappings'!$I698))),ISNUMBER(SEARCH(IF(K$3&lt;&gt;"",K$3,"NA"),'MITRE ATT&amp;CK Mappings'!$J698))), 'MITRE ATT&amp;CK Mappings'!$B698,"")</f>
        <v/>
      </c>
      <c r="L702" s="26" t="str">
        <f>IF('MITRE ATT&amp;CK Mappings'!D698 &lt;&gt;"",'MITRE ATT&amp;CK Mappings'!D698,"" )</f>
        <v/>
      </c>
    </row>
    <row r="703" spans="1:12" x14ac:dyDescent="0.25">
      <c r="A703" s="27" t="str">
        <f>IF(COUNTIF(B703:K703,"="&amp;'MITRE ATT&amp;CK Mappings'!B699)&gt;0,'MITRE ATT&amp;CK Mappings'!B699,"")</f>
        <v/>
      </c>
      <c r="B703" s="27" t="str">
        <f>IF(OR(OR(OR(OR(OR(ISNUMBER(SEARCH(IF(B$1&lt;&gt;"",B$1,"NA"),'MITRE ATT&amp;CK Mappings'!$E699)),ISNUMBER(SEARCH(IF(B$1&lt;&gt;"",B$1,"NA"),'MITRE ATT&amp;CK Mappings'!$F699))),ISNUMBER(SEARCH(IF(B$2&lt;&gt;"",B$2,"NA"),'MITRE ATT&amp;CK Mappings'!$G699))),ISNUMBER(SEARCH(IF(B$2&lt;&gt;"",B$2,"NA"),'MITRE ATT&amp;CK Mappings'!$H699))),ISNUMBER(SEARCH(IF(B$3&lt;&gt;"",B$3,"NA"),'MITRE ATT&amp;CK Mappings'!$I699))),ISNUMBER(SEARCH(IF(B$3&lt;&gt;"",B$3,"NA"),'MITRE ATT&amp;CK Mappings'!$J699))), 'MITRE ATT&amp;CK Mappings'!$B699,"")</f>
        <v/>
      </c>
      <c r="C703" s="27" t="str">
        <f>IF(OR(OR(OR(OR(OR(ISNUMBER(SEARCH(IF(C$1&lt;&gt;"",C$1,"NA"),'MITRE ATT&amp;CK Mappings'!$E699)),ISNUMBER(SEARCH(IF(C$1&lt;&gt;"",C$1,"NA"),'MITRE ATT&amp;CK Mappings'!$F699))),ISNUMBER(SEARCH(IF(C$2&lt;&gt;"",C$2,"NA"),'MITRE ATT&amp;CK Mappings'!$G699))),ISNUMBER(SEARCH(IF(C$2&lt;&gt;"",C$2,"NA"),'MITRE ATT&amp;CK Mappings'!$H699))),ISNUMBER(SEARCH(IF(C$3&lt;&gt;"",C$3,"NA"),'MITRE ATT&amp;CK Mappings'!$I699))),ISNUMBER(SEARCH(IF(C$3&lt;&gt;"",C$3,"NA"),'MITRE ATT&amp;CK Mappings'!$J699))), 'MITRE ATT&amp;CK Mappings'!$B699,"")</f>
        <v/>
      </c>
      <c r="D703" s="27" t="str">
        <f>IF(OR(OR(OR(OR(OR(ISNUMBER(SEARCH(IF(D$1&lt;&gt;"",D$1,"NA"),'MITRE ATT&amp;CK Mappings'!$E699)),ISNUMBER(SEARCH(IF(D$1&lt;&gt;"",D$1,"NA"),'MITRE ATT&amp;CK Mappings'!$F699))),ISNUMBER(SEARCH(IF(D$2&lt;&gt;"",D$2,"NA"),'MITRE ATT&amp;CK Mappings'!$G699))),ISNUMBER(SEARCH(IF(D$2&lt;&gt;"",D$2,"NA"),'MITRE ATT&amp;CK Mappings'!$H699))),ISNUMBER(SEARCH(IF(D$3&lt;&gt;"",D$3,"NA"),'MITRE ATT&amp;CK Mappings'!$I699))),ISNUMBER(SEARCH(IF(D$3&lt;&gt;"",D$3,"NA"),'MITRE ATT&amp;CK Mappings'!$J699))), 'MITRE ATT&amp;CK Mappings'!$B699,"")</f>
        <v/>
      </c>
      <c r="E703" s="27" t="str">
        <f>IF(OR(OR(OR(OR(OR(ISNUMBER(SEARCH(IF(E$1&lt;&gt;"",E$1,"NA"),'MITRE ATT&amp;CK Mappings'!$E699)),ISNUMBER(SEARCH(IF(E$1&lt;&gt;"",E$1,"NA"),'MITRE ATT&amp;CK Mappings'!$F699))),ISNUMBER(SEARCH(IF(E$2&lt;&gt;"",E$2,"NA"),'MITRE ATT&amp;CK Mappings'!$G699))),ISNUMBER(SEARCH(IF(E$2&lt;&gt;"",E$2,"NA"),'MITRE ATT&amp;CK Mappings'!$H699))),ISNUMBER(SEARCH(IF(E$3&lt;&gt;"",E$3,"NA"),'MITRE ATT&amp;CK Mappings'!$I699))),ISNUMBER(SEARCH(IF(E$3&lt;&gt;"",E$3,"NA"),'MITRE ATT&amp;CK Mappings'!$J699))), 'MITRE ATT&amp;CK Mappings'!$B699,"")</f>
        <v/>
      </c>
      <c r="F703" s="27" t="str">
        <f>IF(OR(OR(OR(OR(OR(ISNUMBER(SEARCH(IF(F$1&lt;&gt;"",F$1,"NA"),'MITRE ATT&amp;CK Mappings'!$E699)),ISNUMBER(SEARCH(IF(F$1&lt;&gt;"",F$1,"NA"),'MITRE ATT&amp;CK Mappings'!$F699))),ISNUMBER(SEARCH(IF(F$2&lt;&gt;"",F$2,"NA"),'MITRE ATT&amp;CK Mappings'!$G699))),ISNUMBER(SEARCH(IF(F$2&lt;&gt;"",F$2,"NA"),'MITRE ATT&amp;CK Mappings'!$H699))),ISNUMBER(SEARCH(IF(F$3&lt;&gt;"",F$3,"NA"),'MITRE ATT&amp;CK Mappings'!$I699))),ISNUMBER(SEARCH(IF(F$3&lt;&gt;"",F$3,"NA"),'MITRE ATT&amp;CK Mappings'!$J699))), 'MITRE ATT&amp;CK Mappings'!$B699,"")</f>
        <v/>
      </c>
      <c r="G703" s="27" t="str">
        <f>IF(OR(OR(OR(OR(OR(ISNUMBER(SEARCH(IF(G$1&lt;&gt;"",G$1,"NA"),'MITRE ATT&amp;CK Mappings'!$E699)),ISNUMBER(SEARCH(IF(G$1&lt;&gt;"",G$1,"NA"),'MITRE ATT&amp;CK Mappings'!$F699))),ISNUMBER(SEARCH(IF(G$2&lt;&gt;"",G$2,"NA"),'MITRE ATT&amp;CK Mappings'!$G699))),ISNUMBER(SEARCH(IF(G$2&lt;&gt;"",G$2,"NA"),'MITRE ATT&amp;CK Mappings'!$H699))),ISNUMBER(SEARCH(IF(G$3&lt;&gt;"",G$3,"NA"),'MITRE ATT&amp;CK Mappings'!$I699))),ISNUMBER(SEARCH(IF(G$3&lt;&gt;"",G$3,"NA"),'MITRE ATT&amp;CK Mappings'!$J699))), 'MITRE ATT&amp;CK Mappings'!$B699,"")</f>
        <v/>
      </c>
      <c r="H703" s="27" t="str">
        <f>IF(OR(OR(OR(OR(OR(ISNUMBER(SEARCH(IF(H$1&lt;&gt;"",H$1,"NA"),'MITRE ATT&amp;CK Mappings'!$E699)),ISNUMBER(SEARCH(IF(H$1&lt;&gt;"",H$1,"NA"),'MITRE ATT&amp;CK Mappings'!$F699))),ISNUMBER(SEARCH(IF(H$2&lt;&gt;"",H$2,"NA"),'MITRE ATT&amp;CK Mappings'!$G699))),ISNUMBER(SEARCH(IF(H$2&lt;&gt;"",H$2,"NA"),'MITRE ATT&amp;CK Mappings'!$H699))),ISNUMBER(SEARCH(IF(H$3&lt;&gt;"",H$3,"NA"),'MITRE ATT&amp;CK Mappings'!$I699))),ISNUMBER(SEARCH(IF(H$3&lt;&gt;"",H$3,"NA"),'MITRE ATT&amp;CK Mappings'!$J699))), 'MITRE ATT&amp;CK Mappings'!$B699,"")</f>
        <v/>
      </c>
      <c r="I703" s="27" t="str">
        <f>IF(OR(OR(OR(OR(OR(ISNUMBER(SEARCH(IF(I$1&lt;&gt;"",I$1,"NA"),'MITRE ATT&amp;CK Mappings'!$E699)),ISNUMBER(SEARCH(IF(I$1&lt;&gt;"",I$1,"NA"),'MITRE ATT&amp;CK Mappings'!$F699))),ISNUMBER(SEARCH(IF(I$2&lt;&gt;"",I$2,"NA"),'MITRE ATT&amp;CK Mappings'!$G699))),ISNUMBER(SEARCH(IF(I$2&lt;&gt;"",I$2,"NA"),'MITRE ATT&amp;CK Mappings'!$H699))),ISNUMBER(SEARCH(IF(I$3&lt;&gt;"",I$3,"NA"),'MITRE ATT&amp;CK Mappings'!$I699))),ISNUMBER(SEARCH(IF(I$3&lt;&gt;"",I$3,"NA"),'MITRE ATT&amp;CK Mappings'!$J699))), 'MITRE ATT&amp;CK Mappings'!$B699,"")</f>
        <v/>
      </c>
      <c r="J703" s="27" t="str">
        <f>IF(OR(OR(OR(OR(OR(ISNUMBER(SEARCH(IF(J$1&lt;&gt;"",J$1,"NA"),'MITRE ATT&amp;CK Mappings'!$E699)),ISNUMBER(SEARCH(IF(J$1&lt;&gt;"",J$1,"NA"),'MITRE ATT&amp;CK Mappings'!$F699))),ISNUMBER(SEARCH(IF(J$2&lt;&gt;"",J$2,"NA"),'MITRE ATT&amp;CK Mappings'!$G699))),ISNUMBER(SEARCH(IF(J$2&lt;&gt;"",J$2,"NA"),'MITRE ATT&amp;CK Mappings'!$H699))),ISNUMBER(SEARCH(IF(J$3&lt;&gt;"",J$3,"NA"),'MITRE ATT&amp;CK Mappings'!$I699))),ISNUMBER(SEARCH(IF(J$3&lt;&gt;"",J$3,"NA"),'MITRE ATT&amp;CK Mappings'!$J699))), 'MITRE ATT&amp;CK Mappings'!$B699,"")</f>
        <v/>
      </c>
      <c r="K703" s="27" t="str">
        <f>IF(OR(OR(OR(OR(OR(ISNUMBER(SEARCH(IF(K$1&lt;&gt;"",K$1,"NA"),'MITRE ATT&amp;CK Mappings'!$E699)),ISNUMBER(SEARCH(IF(K$1&lt;&gt;"",K$1,"NA"),'MITRE ATT&amp;CK Mappings'!$F699))),ISNUMBER(SEARCH(IF(K$2&lt;&gt;"",K$2,"NA"),'MITRE ATT&amp;CK Mappings'!$G699))),ISNUMBER(SEARCH(IF(K$2&lt;&gt;"",K$2,"NA"),'MITRE ATT&amp;CK Mappings'!$H699))),ISNUMBER(SEARCH(IF(K$3&lt;&gt;"",K$3,"NA"),'MITRE ATT&amp;CK Mappings'!$I699))),ISNUMBER(SEARCH(IF(K$3&lt;&gt;"",K$3,"NA"),'MITRE ATT&amp;CK Mappings'!$J699))), 'MITRE ATT&amp;CK Mappings'!$B699,"")</f>
        <v/>
      </c>
      <c r="L703" s="27" t="str">
        <f>IF('MITRE ATT&amp;CK Mappings'!D699 &lt;&gt;"",'MITRE ATT&amp;CK Mappings'!D699,"" )</f>
        <v/>
      </c>
    </row>
    <row r="704" spans="1:12" x14ac:dyDescent="0.25">
      <c r="A704" s="26" t="str">
        <f>IF(COUNTIF(B704:K704,"="&amp;'MITRE ATT&amp;CK Mappings'!B700)&gt;0,'MITRE ATT&amp;CK Mappings'!B700,"")</f>
        <v/>
      </c>
      <c r="B704" s="26" t="str">
        <f>IF(OR(OR(OR(OR(OR(ISNUMBER(SEARCH(IF(B$1&lt;&gt;"",B$1,"NA"),'MITRE ATT&amp;CK Mappings'!$E700)),ISNUMBER(SEARCH(IF(B$1&lt;&gt;"",B$1,"NA"),'MITRE ATT&amp;CK Mappings'!$F700))),ISNUMBER(SEARCH(IF(B$2&lt;&gt;"",B$2,"NA"),'MITRE ATT&amp;CK Mappings'!$G700))),ISNUMBER(SEARCH(IF(B$2&lt;&gt;"",B$2,"NA"),'MITRE ATT&amp;CK Mappings'!$H700))),ISNUMBER(SEARCH(IF(B$3&lt;&gt;"",B$3,"NA"),'MITRE ATT&amp;CK Mappings'!$I700))),ISNUMBER(SEARCH(IF(B$3&lt;&gt;"",B$3,"NA"),'MITRE ATT&amp;CK Mappings'!$J700))), 'MITRE ATT&amp;CK Mappings'!$B700,"")</f>
        <v/>
      </c>
      <c r="C704" s="26" t="str">
        <f>IF(OR(OR(OR(OR(OR(ISNUMBER(SEARCH(IF(C$1&lt;&gt;"",C$1,"NA"),'MITRE ATT&amp;CK Mappings'!$E700)),ISNUMBER(SEARCH(IF(C$1&lt;&gt;"",C$1,"NA"),'MITRE ATT&amp;CK Mappings'!$F700))),ISNUMBER(SEARCH(IF(C$2&lt;&gt;"",C$2,"NA"),'MITRE ATT&amp;CK Mappings'!$G700))),ISNUMBER(SEARCH(IF(C$2&lt;&gt;"",C$2,"NA"),'MITRE ATT&amp;CK Mappings'!$H700))),ISNUMBER(SEARCH(IF(C$3&lt;&gt;"",C$3,"NA"),'MITRE ATT&amp;CK Mappings'!$I700))),ISNUMBER(SEARCH(IF(C$3&lt;&gt;"",C$3,"NA"),'MITRE ATT&amp;CK Mappings'!$J700))), 'MITRE ATT&amp;CK Mappings'!$B700,"")</f>
        <v/>
      </c>
      <c r="D704" s="26" t="str">
        <f>IF(OR(OR(OR(OR(OR(ISNUMBER(SEARCH(IF(D$1&lt;&gt;"",D$1,"NA"),'MITRE ATT&amp;CK Mappings'!$E700)),ISNUMBER(SEARCH(IF(D$1&lt;&gt;"",D$1,"NA"),'MITRE ATT&amp;CK Mappings'!$F700))),ISNUMBER(SEARCH(IF(D$2&lt;&gt;"",D$2,"NA"),'MITRE ATT&amp;CK Mappings'!$G700))),ISNUMBER(SEARCH(IF(D$2&lt;&gt;"",D$2,"NA"),'MITRE ATT&amp;CK Mappings'!$H700))),ISNUMBER(SEARCH(IF(D$3&lt;&gt;"",D$3,"NA"),'MITRE ATT&amp;CK Mappings'!$I700))),ISNUMBER(SEARCH(IF(D$3&lt;&gt;"",D$3,"NA"),'MITRE ATT&amp;CK Mappings'!$J700))), 'MITRE ATT&amp;CK Mappings'!$B700,"")</f>
        <v/>
      </c>
      <c r="E704" s="26" t="str">
        <f>IF(OR(OR(OR(OR(OR(ISNUMBER(SEARCH(IF(E$1&lt;&gt;"",E$1,"NA"),'MITRE ATT&amp;CK Mappings'!$E700)),ISNUMBER(SEARCH(IF(E$1&lt;&gt;"",E$1,"NA"),'MITRE ATT&amp;CK Mappings'!$F700))),ISNUMBER(SEARCH(IF(E$2&lt;&gt;"",E$2,"NA"),'MITRE ATT&amp;CK Mappings'!$G700))),ISNUMBER(SEARCH(IF(E$2&lt;&gt;"",E$2,"NA"),'MITRE ATT&amp;CK Mappings'!$H700))),ISNUMBER(SEARCH(IF(E$3&lt;&gt;"",E$3,"NA"),'MITRE ATT&amp;CK Mappings'!$I700))),ISNUMBER(SEARCH(IF(E$3&lt;&gt;"",E$3,"NA"),'MITRE ATT&amp;CK Mappings'!$J700))), 'MITRE ATT&amp;CK Mappings'!$B700,"")</f>
        <v/>
      </c>
      <c r="F704" s="26" t="str">
        <f>IF(OR(OR(OR(OR(OR(ISNUMBER(SEARCH(IF(F$1&lt;&gt;"",F$1,"NA"),'MITRE ATT&amp;CK Mappings'!$E700)),ISNUMBER(SEARCH(IF(F$1&lt;&gt;"",F$1,"NA"),'MITRE ATT&amp;CK Mappings'!$F700))),ISNUMBER(SEARCH(IF(F$2&lt;&gt;"",F$2,"NA"),'MITRE ATT&amp;CK Mappings'!$G700))),ISNUMBER(SEARCH(IF(F$2&lt;&gt;"",F$2,"NA"),'MITRE ATT&amp;CK Mappings'!$H700))),ISNUMBER(SEARCH(IF(F$3&lt;&gt;"",F$3,"NA"),'MITRE ATT&amp;CK Mappings'!$I700))),ISNUMBER(SEARCH(IF(F$3&lt;&gt;"",F$3,"NA"),'MITRE ATT&amp;CK Mappings'!$J700))), 'MITRE ATT&amp;CK Mappings'!$B700,"")</f>
        <v/>
      </c>
      <c r="G704" s="26" t="str">
        <f>IF(OR(OR(OR(OR(OR(ISNUMBER(SEARCH(IF(G$1&lt;&gt;"",G$1,"NA"),'MITRE ATT&amp;CK Mappings'!$E700)),ISNUMBER(SEARCH(IF(G$1&lt;&gt;"",G$1,"NA"),'MITRE ATT&amp;CK Mappings'!$F700))),ISNUMBER(SEARCH(IF(G$2&lt;&gt;"",G$2,"NA"),'MITRE ATT&amp;CK Mappings'!$G700))),ISNUMBER(SEARCH(IF(G$2&lt;&gt;"",G$2,"NA"),'MITRE ATT&amp;CK Mappings'!$H700))),ISNUMBER(SEARCH(IF(G$3&lt;&gt;"",G$3,"NA"),'MITRE ATT&amp;CK Mappings'!$I700))),ISNUMBER(SEARCH(IF(G$3&lt;&gt;"",G$3,"NA"),'MITRE ATT&amp;CK Mappings'!$J700))), 'MITRE ATT&amp;CK Mappings'!$B700,"")</f>
        <v/>
      </c>
      <c r="H704" s="26" t="str">
        <f>IF(OR(OR(OR(OR(OR(ISNUMBER(SEARCH(IF(H$1&lt;&gt;"",H$1,"NA"),'MITRE ATT&amp;CK Mappings'!$E700)),ISNUMBER(SEARCH(IF(H$1&lt;&gt;"",H$1,"NA"),'MITRE ATT&amp;CK Mappings'!$F700))),ISNUMBER(SEARCH(IF(H$2&lt;&gt;"",H$2,"NA"),'MITRE ATT&amp;CK Mappings'!$G700))),ISNUMBER(SEARCH(IF(H$2&lt;&gt;"",H$2,"NA"),'MITRE ATT&amp;CK Mappings'!$H700))),ISNUMBER(SEARCH(IF(H$3&lt;&gt;"",H$3,"NA"),'MITRE ATT&amp;CK Mappings'!$I700))),ISNUMBER(SEARCH(IF(H$3&lt;&gt;"",H$3,"NA"),'MITRE ATT&amp;CK Mappings'!$J700))), 'MITRE ATT&amp;CK Mappings'!$B700,"")</f>
        <v/>
      </c>
      <c r="I704" s="26" t="str">
        <f>IF(OR(OR(OR(OR(OR(ISNUMBER(SEARCH(IF(I$1&lt;&gt;"",I$1,"NA"),'MITRE ATT&amp;CK Mappings'!$E700)),ISNUMBER(SEARCH(IF(I$1&lt;&gt;"",I$1,"NA"),'MITRE ATT&amp;CK Mappings'!$F700))),ISNUMBER(SEARCH(IF(I$2&lt;&gt;"",I$2,"NA"),'MITRE ATT&amp;CK Mappings'!$G700))),ISNUMBER(SEARCH(IF(I$2&lt;&gt;"",I$2,"NA"),'MITRE ATT&amp;CK Mappings'!$H700))),ISNUMBER(SEARCH(IF(I$3&lt;&gt;"",I$3,"NA"),'MITRE ATT&amp;CK Mappings'!$I700))),ISNUMBER(SEARCH(IF(I$3&lt;&gt;"",I$3,"NA"),'MITRE ATT&amp;CK Mappings'!$J700))), 'MITRE ATT&amp;CK Mappings'!$B700,"")</f>
        <v/>
      </c>
      <c r="J704" s="26" t="str">
        <f>IF(OR(OR(OR(OR(OR(ISNUMBER(SEARCH(IF(J$1&lt;&gt;"",J$1,"NA"),'MITRE ATT&amp;CK Mappings'!$E700)),ISNUMBER(SEARCH(IF(J$1&lt;&gt;"",J$1,"NA"),'MITRE ATT&amp;CK Mappings'!$F700))),ISNUMBER(SEARCH(IF(J$2&lt;&gt;"",J$2,"NA"),'MITRE ATT&amp;CK Mappings'!$G700))),ISNUMBER(SEARCH(IF(J$2&lt;&gt;"",J$2,"NA"),'MITRE ATT&amp;CK Mappings'!$H700))),ISNUMBER(SEARCH(IF(J$3&lt;&gt;"",J$3,"NA"),'MITRE ATT&amp;CK Mappings'!$I700))),ISNUMBER(SEARCH(IF(J$3&lt;&gt;"",J$3,"NA"),'MITRE ATT&amp;CK Mappings'!$J700))), 'MITRE ATT&amp;CK Mappings'!$B700,"")</f>
        <v/>
      </c>
      <c r="K704" s="26" t="str">
        <f>IF(OR(OR(OR(OR(OR(ISNUMBER(SEARCH(IF(K$1&lt;&gt;"",K$1,"NA"),'MITRE ATT&amp;CK Mappings'!$E700)),ISNUMBER(SEARCH(IF(K$1&lt;&gt;"",K$1,"NA"),'MITRE ATT&amp;CK Mappings'!$F700))),ISNUMBER(SEARCH(IF(K$2&lt;&gt;"",K$2,"NA"),'MITRE ATT&amp;CK Mappings'!$G700))),ISNUMBER(SEARCH(IF(K$2&lt;&gt;"",K$2,"NA"),'MITRE ATT&amp;CK Mappings'!$H700))),ISNUMBER(SEARCH(IF(K$3&lt;&gt;"",K$3,"NA"),'MITRE ATT&amp;CK Mappings'!$I700))),ISNUMBER(SEARCH(IF(K$3&lt;&gt;"",K$3,"NA"),'MITRE ATT&amp;CK Mappings'!$J700))), 'MITRE ATT&amp;CK Mappings'!$B700,"")</f>
        <v/>
      </c>
      <c r="L704" s="26" t="str">
        <f>IF('MITRE ATT&amp;CK Mappings'!D700 &lt;&gt;"",'MITRE ATT&amp;CK Mappings'!D700,"" )</f>
        <v/>
      </c>
    </row>
    <row r="705" spans="1:12" x14ac:dyDescent="0.25">
      <c r="A705" s="27" t="str">
        <f>IF(COUNTIF(B705:K705,"="&amp;'MITRE ATT&amp;CK Mappings'!B701)&gt;0,'MITRE ATT&amp;CK Mappings'!B701,"")</f>
        <v/>
      </c>
      <c r="B705" s="27" t="str">
        <f>IF(OR(OR(OR(OR(OR(ISNUMBER(SEARCH(IF(B$1&lt;&gt;"",B$1,"NA"),'MITRE ATT&amp;CK Mappings'!$E701)),ISNUMBER(SEARCH(IF(B$1&lt;&gt;"",B$1,"NA"),'MITRE ATT&amp;CK Mappings'!$F701))),ISNUMBER(SEARCH(IF(B$2&lt;&gt;"",B$2,"NA"),'MITRE ATT&amp;CK Mappings'!$G701))),ISNUMBER(SEARCH(IF(B$2&lt;&gt;"",B$2,"NA"),'MITRE ATT&amp;CK Mappings'!$H701))),ISNUMBER(SEARCH(IF(B$3&lt;&gt;"",B$3,"NA"),'MITRE ATT&amp;CK Mappings'!$I701))),ISNUMBER(SEARCH(IF(B$3&lt;&gt;"",B$3,"NA"),'MITRE ATT&amp;CK Mappings'!$J701))), 'MITRE ATT&amp;CK Mappings'!$B701,"")</f>
        <v/>
      </c>
      <c r="C705" s="27" t="str">
        <f>IF(OR(OR(OR(OR(OR(ISNUMBER(SEARCH(IF(C$1&lt;&gt;"",C$1,"NA"),'MITRE ATT&amp;CK Mappings'!$E701)),ISNUMBER(SEARCH(IF(C$1&lt;&gt;"",C$1,"NA"),'MITRE ATT&amp;CK Mappings'!$F701))),ISNUMBER(SEARCH(IF(C$2&lt;&gt;"",C$2,"NA"),'MITRE ATT&amp;CK Mappings'!$G701))),ISNUMBER(SEARCH(IF(C$2&lt;&gt;"",C$2,"NA"),'MITRE ATT&amp;CK Mappings'!$H701))),ISNUMBER(SEARCH(IF(C$3&lt;&gt;"",C$3,"NA"),'MITRE ATT&amp;CK Mappings'!$I701))),ISNUMBER(SEARCH(IF(C$3&lt;&gt;"",C$3,"NA"),'MITRE ATT&amp;CK Mappings'!$J701))), 'MITRE ATT&amp;CK Mappings'!$B701,"")</f>
        <v/>
      </c>
      <c r="D705" s="27" t="str">
        <f>IF(OR(OR(OR(OR(OR(ISNUMBER(SEARCH(IF(D$1&lt;&gt;"",D$1,"NA"),'MITRE ATT&amp;CK Mappings'!$E701)),ISNUMBER(SEARCH(IF(D$1&lt;&gt;"",D$1,"NA"),'MITRE ATT&amp;CK Mappings'!$F701))),ISNUMBER(SEARCH(IF(D$2&lt;&gt;"",D$2,"NA"),'MITRE ATT&amp;CK Mappings'!$G701))),ISNUMBER(SEARCH(IF(D$2&lt;&gt;"",D$2,"NA"),'MITRE ATT&amp;CK Mappings'!$H701))),ISNUMBER(SEARCH(IF(D$3&lt;&gt;"",D$3,"NA"),'MITRE ATT&amp;CK Mappings'!$I701))),ISNUMBER(SEARCH(IF(D$3&lt;&gt;"",D$3,"NA"),'MITRE ATT&amp;CK Mappings'!$J701))), 'MITRE ATT&amp;CK Mappings'!$B701,"")</f>
        <v/>
      </c>
      <c r="E705" s="27" t="str">
        <f>IF(OR(OR(OR(OR(OR(ISNUMBER(SEARCH(IF(E$1&lt;&gt;"",E$1,"NA"),'MITRE ATT&amp;CK Mappings'!$E701)),ISNUMBER(SEARCH(IF(E$1&lt;&gt;"",E$1,"NA"),'MITRE ATT&amp;CK Mappings'!$F701))),ISNUMBER(SEARCH(IF(E$2&lt;&gt;"",E$2,"NA"),'MITRE ATT&amp;CK Mappings'!$G701))),ISNUMBER(SEARCH(IF(E$2&lt;&gt;"",E$2,"NA"),'MITRE ATT&amp;CK Mappings'!$H701))),ISNUMBER(SEARCH(IF(E$3&lt;&gt;"",E$3,"NA"),'MITRE ATT&amp;CK Mappings'!$I701))),ISNUMBER(SEARCH(IF(E$3&lt;&gt;"",E$3,"NA"),'MITRE ATT&amp;CK Mappings'!$J701))), 'MITRE ATT&amp;CK Mappings'!$B701,"")</f>
        <v/>
      </c>
      <c r="F705" s="27" t="str">
        <f>IF(OR(OR(OR(OR(OR(ISNUMBER(SEARCH(IF(F$1&lt;&gt;"",F$1,"NA"),'MITRE ATT&amp;CK Mappings'!$E701)),ISNUMBER(SEARCH(IF(F$1&lt;&gt;"",F$1,"NA"),'MITRE ATT&amp;CK Mappings'!$F701))),ISNUMBER(SEARCH(IF(F$2&lt;&gt;"",F$2,"NA"),'MITRE ATT&amp;CK Mappings'!$G701))),ISNUMBER(SEARCH(IF(F$2&lt;&gt;"",F$2,"NA"),'MITRE ATT&amp;CK Mappings'!$H701))),ISNUMBER(SEARCH(IF(F$3&lt;&gt;"",F$3,"NA"),'MITRE ATT&amp;CK Mappings'!$I701))),ISNUMBER(SEARCH(IF(F$3&lt;&gt;"",F$3,"NA"),'MITRE ATT&amp;CK Mappings'!$J701))), 'MITRE ATT&amp;CK Mappings'!$B701,"")</f>
        <v/>
      </c>
      <c r="G705" s="27" t="str">
        <f>IF(OR(OR(OR(OR(OR(ISNUMBER(SEARCH(IF(G$1&lt;&gt;"",G$1,"NA"),'MITRE ATT&amp;CK Mappings'!$E701)),ISNUMBER(SEARCH(IF(G$1&lt;&gt;"",G$1,"NA"),'MITRE ATT&amp;CK Mappings'!$F701))),ISNUMBER(SEARCH(IF(G$2&lt;&gt;"",G$2,"NA"),'MITRE ATT&amp;CK Mappings'!$G701))),ISNUMBER(SEARCH(IF(G$2&lt;&gt;"",G$2,"NA"),'MITRE ATT&amp;CK Mappings'!$H701))),ISNUMBER(SEARCH(IF(G$3&lt;&gt;"",G$3,"NA"),'MITRE ATT&amp;CK Mappings'!$I701))),ISNUMBER(SEARCH(IF(G$3&lt;&gt;"",G$3,"NA"),'MITRE ATT&amp;CK Mappings'!$J701))), 'MITRE ATT&amp;CK Mappings'!$B701,"")</f>
        <v/>
      </c>
      <c r="H705" s="27" t="str">
        <f>IF(OR(OR(OR(OR(OR(ISNUMBER(SEARCH(IF(H$1&lt;&gt;"",H$1,"NA"),'MITRE ATT&amp;CK Mappings'!$E701)),ISNUMBER(SEARCH(IF(H$1&lt;&gt;"",H$1,"NA"),'MITRE ATT&amp;CK Mappings'!$F701))),ISNUMBER(SEARCH(IF(H$2&lt;&gt;"",H$2,"NA"),'MITRE ATT&amp;CK Mappings'!$G701))),ISNUMBER(SEARCH(IF(H$2&lt;&gt;"",H$2,"NA"),'MITRE ATT&amp;CK Mappings'!$H701))),ISNUMBER(SEARCH(IF(H$3&lt;&gt;"",H$3,"NA"),'MITRE ATT&amp;CK Mappings'!$I701))),ISNUMBER(SEARCH(IF(H$3&lt;&gt;"",H$3,"NA"),'MITRE ATT&amp;CK Mappings'!$J701))), 'MITRE ATT&amp;CK Mappings'!$B701,"")</f>
        <v/>
      </c>
      <c r="I705" s="27" t="str">
        <f>IF(OR(OR(OR(OR(OR(ISNUMBER(SEARCH(IF(I$1&lt;&gt;"",I$1,"NA"),'MITRE ATT&amp;CK Mappings'!$E701)),ISNUMBER(SEARCH(IF(I$1&lt;&gt;"",I$1,"NA"),'MITRE ATT&amp;CK Mappings'!$F701))),ISNUMBER(SEARCH(IF(I$2&lt;&gt;"",I$2,"NA"),'MITRE ATT&amp;CK Mappings'!$G701))),ISNUMBER(SEARCH(IF(I$2&lt;&gt;"",I$2,"NA"),'MITRE ATT&amp;CK Mappings'!$H701))),ISNUMBER(SEARCH(IF(I$3&lt;&gt;"",I$3,"NA"),'MITRE ATT&amp;CK Mappings'!$I701))),ISNUMBER(SEARCH(IF(I$3&lt;&gt;"",I$3,"NA"),'MITRE ATT&amp;CK Mappings'!$J701))), 'MITRE ATT&amp;CK Mappings'!$B701,"")</f>
        <v/>
      </c>
      <c r="J705" s="27" t="str">
        <f>IF(OR(OR(OR(OR(OR(ISNUMBER(SEARCH(IF(J$1&lt;&gt;"",J$1,"NA"),'MITRE ATT&amp;CK Mappings'!$E701)),ISNUMBER(SEARCH(IF(J$1&lt;&gt;"",J$1,"NA"),'MITRE ATT&amp;CK Mappings'!$F701))),ISNUMBER(SEARCH(IF(J$2&lt;&gt;"",J$2,"NA"),'MITRE ATT&amp;CK Mappings'!$G701))),ISNUMBER(SEARCH(IF(J$2&lt;&gt;"",J$2,"NA"),'MITRE ATT&amp;CK Mappings'!$H701))),ISNUMBER(SEARCH(IF(J$3&lt;&gt;"",J$3,"NA"),'MITRE ATT&amp;CK Mappings'!$I701))),ISNUMBER(SEARCH(IF(J$3&lt;&gt;"",J$3,"NA"),'MITRE ATT&amp;CK Mappings'!$J701))), 'MITRE ATT&amp;CK Mappings'!$B701,"")</f>
        <v/>
      </c>
      <c r="K705" s="27" t="str">
        <f>IF(OR(OR(OR(OR(OR(ISNUMBER(SEARCH(IF(K$1&lt;&gt;"",K$1,"NA"),'MITRE ATT&amp;CK Mappings'!$E701)),ISNUMBER(SEARCH(IF(K$1&lt;&gt;"",K$1,"NA"),'MITRE ATT&amp;CK Mappings'!$F701))),ISNUMBER(SEARCH(IF(K$2&lt;&gt;"",K$2,"NA"),'MITRE ATT&amp;CK Mappings'!$G701))),ISNUMBER(SEARCH(IF(K$2&lt;&gt;"",K$2,"NA"),'MITRE ATT&amp;CK Mappings'!$H701))),ISNUMBER(SEARCH(IF(K$3&lt;&gt;"",K$3,"NA"),'MITRE ATT&amp;CK Mappings'!$I701))),ISNUMBER(SEARCH(IF(K$3&lt;&gt;"",K$3,"NA"),'MITRE ATT&amp;CK Mappings'!$J701))), 'MITRE ATT&amp;CK Mappings'!$B701,"")</f>
        <v/>
      </c>
      <c r="L705" s="27" t="str">
        <f>IF('MITRE ATT&amp;CK Mappings'!D701 &lt;&gt;"",'MITRE ATT&amp;CK Mappings'!D701,"" )</f>
        <v/>
      </c>
    </row>
    <row r="706" spans="1:12" x14ac:dyDescent="0.25">
      <c r="A706" s="26" t="str">
        <f>IF(COUNTIF(B706:K706,"="&amp;'MITRE ATT&amp;CK Mappings'!B702)&gt;0,'MITRE ATT&amp;CK Mappings'!B702,"")</f>
        <v/>
      </c>
      <c r="B706" s="26" t="str">
        <f>IF(OR(OR(OR(OR(OR(ISNUMBER(SEARCH(IF(B$1&lt;&gt;"",B$1,"NA"),'MITRE ATT&amp;CK Mappings'!$E702)),ISNUMBER(SEARCH(IF(B$1&lt;&gt;"",B$1,"NA"),'MITRE ATT&amp;CK Mappings'!$F702))),ISNUMBER(SEARCH(IF(B$2&lt;&gt;"",B$2,"NA"),'MITRE ATT&amp;CK Mappings'!$G702))),ISNUMBER(SEARCH(IF(B$2&lt;&gt;"",B$2,"NA"),'MITRE ATT&amp;CK Mappings'!$H702))),ISNUMBER(SEARCH(IF(B$3&lt;&gt;"",B$3,"NA"),'MITRE ATT&amp;CK Mappings'!$I702))),ISNUMBER(SEARCH(IF(B$3&lt;&gt;"",B$3,"NA"),'MITRE ATT&amp;CK Mappings'!$J702))), 'MITRE ATT&amp;CK Mappings'!$B702,"")</f>
        <v/>
      </c>
      <c r="C706" s="26" t="str">
        <f>IF(OR(OR(OR(OR(OR(ISNUMBER(SEARCH(IF(C$1&lt;&gt;"",C$1,"NA"),'MITRE ATT&amp;CK Mappings'!$E702)),ISNUMBER(SEARCH(IF(C$1&lt;&gt;"",C$1,"NA"),'MITRE ATT&amp;CK Mappings'!$F702))),ISNUMBER(SEARCH(IF(C$2&lt;&gt;"",C$2,"NA"),'MITRE ATT&amp;CK Mappings'!$G702))),ISNUMBER(SEARCH(IF(C$2&lt;&gt;"",C$2,"NA"),'MITRE ATT&amp;CK Mappings'!$H702))),ISNUMBER(SEARCH(IF(C$3&lt;&gt;"",C$3,"NA"),'MITRE ATT&amp;CK Mappings'!$I702))),ISNUMBER(SEARCH(IF(C$3&lt;&gt;"",C$3,"NA"),'MITRE ATT&amp;CK Mappings'!$J702))), 'MITRE ATT&amp;CK Mappings'!$B702,"")</f>
        <v/>
      </c>
      <c r="D706" s="26" t="str">
        <f>IF(OR(OR(OR(OR(OR(ISNUMBER(SEARCH(IF(D$1&lt;&gt;"",D$1,"NA"),'MITRE ATT&amp;CK Mappings'!$E702)),ISNUMBER(SEARCH(IF(D$1&lt;&gt;"",D$1,"NA"),'MITRE ATT&amp;CK Mappings'!$F702))),ISNUMBER(SEARCH(IF(D$2&lt;&gt;"",D$2,"NA"),'MITRE ATT&amp;CK Mappings'!$G702))),ISNUMBER(SEARCH(IF(D$2&lt;&gt;"",D$2,"NA"),'MITRE ATT&amp;CK Mappings'!$H702))),ISNUMBER(SEARCH(IF(D$3&lt;&gt;"",D$3,"NA"),'MITRE ATT&amp;CK Mappings'!$I702))),ISNUMBER(SEARCH(IF(D$3&lt;&gt;"",D$3,"NA"),'MITRE ATT&amp;CK Mappings'!$J702))), 'MITRE ATT&amp;CK Mappings'!$B702,"")</f>
        <v/>
      </c>
      <c r="E706" s="26" t="str">
        <f>IF(OR(OR(OR(OR(OR(ISNUMBER(SEARCH(IF(E$1&lt;&gt;"",E$1,"NA"),'MITRE ATT&amp;CK Mappings'!$E702)),ISNUMBER(SEARCH(IF(E$1&lt;&gt;"",E$1,"NA"),'MITRE ATT&amp;CK Mappings'!$F702))),ISNUMBER(SEARCH(IF(E$2&lt;&gt;"",E$2,"NA"),'MITRE ATT&amp;CK Mappings'!$G702))),ISNUMBER(SEARCH(IF(E$2&lt;&gt;"",E$2,"NA"),'MITRE ATT&amp;CK Mappings'!$H702))),ISNUMBER(SEARCH(IF(E$3&lt;&gt;"",E$3,"NA"),'MITRE ATT&amp;CK Mappings'!$I702))),ISNUMBER(SEARCH(IF(E$3&lt;&gt;"",E$3,"NA"),'MITRE ATT&amp;CK Mappings'!$J702))), 'MITRE ATT&amp;CK Mappings'!$B702,"")</f>
        <v/>
      </c>
      <c r="F706" s="26" t="str">
        <f>IF(OR(OR(OR(OR(OR(ISNUMBER(SEARCH(IF(F$1&lt;&gt;"",F$1,"NA"),'MITRE ATT&amp;CK Mappings'!$E702)),ISNUMBER(SEARCH(IF(F$1&lt;&gt;"",F$1,"NA"),'MITRE ATT&amp;CK Mappings'!$F702))),ISNUMBER(SEARCH(IF(F$2&lt;&gt;"",F$2,"NA"),'MITRE ATT&amp;CK Mappings'!$G702))),ISNUMBER(SEARCH(IF(F$2&lt;&gt;"",F$2,"NA"),'MITRE ATT&amp;CK Mappings'!$H702))),ISNUMBER(SEARCH(IF(F$3&lt;&gt;"",F$3,"NA"),'MITRE ATT&amp;CK Mappings'!$I702))),ISNUMBER(SEARCH(IF(F$3&lt;&gt;"",F$3,"NA"),'MITRE ATT&amp;CK Mappings'!$J702))), 'MITRE ATT&amp;CK Mappings'!$B702,"")</f>
        <v/>
      </c>
      <c r="G706" s="26" t="str">
        <f>IF(OR(OR(OR(OR(OR(ISNUMBER(SEARCH(IF(G$1&lt;&gt;"",G$1,"NA"),'MITRE ATT&amp;CK Mappings'!$E702)),ISNUMBER(SEARCH(IF(G$1&lt;&gt;"",G$1,"NA"),'MITRE ATT&amp;CK Mappings'!$F702))),ISNUMBER(SEARCH(IF(G$2&lt;&gt;"",G$2,"NA"),'MITRE ATT&amp;CK Mappings'!$G702))),ISNUMBER(SEARCH(IF(G$2&lt;&gt;"",G$2,"NA"),'MITRE ATT&amp;CK Mappings'!$H702))),ISNUMBER(SEARCH(IF(G$3&lt;&gt;"",G$3,"NA"),'MITRE ATT&amp;CK Mappings'!$I702))),ISNUMBER(SEARCH(IF(G$3&lt;&gt;"",G$3,"NA"),'MITRE ATT&amp;CK Mappings'!$J702))), 'MITRE ATT&amp;CK Mappings'!$B702,"")</f>
        <v/>
      </c>
      <c r="H706" s="26" t="str">
        <f>IF(OR(OR(OR(OR(OR(ISNUMBER(SEARCH(IF(H$1&lt;&gt;"",H$1,"NA"),'MITRE ATT&amp;CK Mappings'!$E702)),ISNUMBER(SEARCH(IF(H$1&lt;&gt;"",H$1,"NA"),'MITRE ATT&amp;CK Mappings'!$F702))),ISNUMBER(SEARCH(IF(H$2&lt;&gt;"",H$2,"NA"),'MITRE ATT&amp;CK Mappings'!$G702))),ISNUMBER(SEARCH(IF(H$2&lt;&gt;"",H$2,"NA"),'MITRE ATT&amp;CK Mappings'!$H702))),ISNUMBER(SEARCH(IF(H$3&lt;&gt;"",H$3,"NA"),'MITRE ATT&amp;CK Mappings'!$I702))),ISNUMBER(SEARCH(IF(H$3&lt;&gt;"",H$3,"NA"),'MITRE ATT&amp;CK Mappings'!$J702))), 'MITRE ATT&amp;CK Mappings'!$B702,"")</f>
        <v/>
      </c>
      <c r="I706" s="26" t="str">
        <f>IF(OR(OR(OR(OR(OR(ISNUMBER(SEARCH(IF(I$1&lt;&gt;"",I$1,"NA"),'MITRE ATT&amp;CK Mappings'!$E702)),ISNUMBER(SEARCH(IF(I$1&lt;&gt;"",I$1,"NA"),'MITRE ATT&amp;CK Mappings'!$F702))),ISNUMBER(SEARCH(IF(I$2&lt;&gt;"",I$2,"NA"),'MITRE ATT&amp;CK Mappings'!$G702))),ISNUMBER(SEARCH(IF(I$2&lt;&gt;"",I$2,"NA"),'MITRE ATT&amp;CK Mappings'!$H702))),ISNUMBER(SEARCH(IF(I$3&lt;&gt;"",I$3,"NA"),'MITRE ATT&amp;CK Mappings'!$I702))),ISNUMBER(SEARCH(IF(I$3&lt;&gt;"",I$3,"NA"),'MITRE ATT&amp;CK Mappings'!$J702))), 'MITRE ATT&amp;CK Mappings'!$B702,"")</f>
        <v/>
      </c>
      <c r="J706" s="26" t="str">
        <f>IF(OR(OR(OR(OR(OR(ISNUMBER(SEARCH(IF(J$1&lt;&gt;"",J$1,"NA"),'MITRE ATT&amp;CK Mappings'!$E702)),ISNUMBER(SEARCH(IF(J$1&lt;&gt;"",J$1,"NA"),'MITRE ATT&amp;CK Mappings'!$F702))),ISNUMBER(SEARCH(IF(J$2&lt;&gt;"",J$2,"NA"),'MITRE ATT&amp;CK Mappings'!$G702))),ISNUMBER(SEARCH(IF(J$2&lt;&gt;"",J$2,"NA"),'MITRE ATT&amp;CK Mappings'!$H702))),ISNUMBER(SEARCH(IF(J$3&lt;&gt;"",J$3,"NA"),'MITRE ATT&amp;CK Mappings'!$I702))),ISNUMBER(SEARCH(IF(J$3&lt;&gt;"",J$3,"NA"),'MITRE ATT&amp;CK Mappings'!$J702))), 'MITRE ATT&amp;CK Mappings'!$B702,"")</f>
        <v/>
      </c>
      <c r="K706" s="26" t="str">
        <f>IF(OR(OR(OR(OR(OR(ISNUMBER(SEARCH(IF(K$1&lt;&gt;"",K$1,"NA"),'MITRE ATT&amp;CK Mappings'!$E702)),ISNUMBER(SEARCH(IF(K$1&lt;&gt;"",K$1,"NA"),'MITRE ATT&amp;CK Mappings'!$F702))),ISNUMBER(SEARCH(IF(K$2&lt;&gt;"",K$2,"NA"),'MITRE ATT&amp;CK Mappings'!$G702))),ISNUMBER(SEARCH(IF(K$2&lt;&gt;"",K$2,"NA"),'MITRE ATT&amp;CK Mappings'!$H702))),ISNUMBER(SEARCH(IF(K$3&lt;&gt;"",K$3,"NA"),'MITRE ATT&amp;CK Mappings'!$I702))),ISNUMBER(SEARCH(IF(K$3&lt;&gt;"",K$3,"NA"),'MITRE ATT&amp;CK Mappings'!$J702))), 'MITRE ATT&amp;CK Mappings'!$B702,"")</f>
        <v/>
      </c>
      <c r="L706" s="26" t="str">
        <f>IF('MITRE ATT&amp;CK Mappings'!D702 &lt;&gt;"",'MITRE ATT&amp;CK Mappings'!D702,"" )</f>
        <v/>
      </c>
    </row>
    <row r="707" spans="1:12" x14ac:dyDescent="0.25">
      <c r="A707" s="27" t="str">
        <f>IF(COUNTIF(B707:K707,"="&amp;'MITRE ATT&amp;CK Mappings'!B703)&gt;0,'MITRE ATT&amp;CK Mappings'!B703,"")</f>
        <v/>
      </c>
      <c r="B707" s="27" t="str">
        <f>IF(OR(OR(OR(OR(OR(ISNUMBER(SEARCH(IF(B$1&lt;&gt;"",B$1,"NA"),'MITRE ATT&amp;CK Mappings'!$E703)),ISNUMBER(SEARCH(IF(B$1&lt;&gt;"",B$1,"NA"),'MITRE ATT&amp;CK Mappings'!$F703))),ISNUMBER(SEARCH(IF(B$2&lt;&gt;"",B$2,"NA"),'MITRE ATT&amp;CK Mappings'!$G703))),ISNUMBER(SEARCH(IF(B$2&lt;&gt;"",B$2,"NA"),'MITRE ATT&amp;CK Mappings'!$H703))),ISNUMBER(SEARCH(IF(B$3&lt;&gt;"",B$3,"NA"),'MITRE ATT&amp;CK Mappings'!$I703))),ISNUMBER(SEARCH(IF(B$3&lt;&gt;"",B$3,"NA"),'MITRE ATT&amp;CK Mappings'!$J703))), 'MITRE ATT&amp;CK Mappings'!$B703,"")</f>
        <v/>
      </c>
      <c r="C707" s="27" t="str">
        <f>IF(OR(OR(OR(OR(OR(ISNUMBER(SEARCH(IF(C$1&lt;&gt;"",C$1,"NA"),'MITRE ATT&amp;CK Mappings'!$E703)),ISNUMBER(SEARCH(IF(C$1&lt;&gt;"",C$1,"NA"),'MITRE ATT&amp;CK Mappings'!$F703))),ISNUMBER(SEARCH(IF(C$2&lt;&gt;"",C$2,"NA"),'MITRE ATT&amp;CK Mappings'!$G703))),ISNUMBER(SEARCH(IF(C$2&lt;&gt;"",C$2,"NA"),'MITRE ATT&amp;CK Mappings'!$H703))),ISNUMBER(SEARCH(IF(C$3&lt;&gt;"",C$3,"NA"),'MITRE ATT&amp;CK Mappings'!$I703))),ISNUMBER(SEARCH(IF(C$3&lt;&gt;"",C$3,"NA"),'MITRE ATT&amp;CK Mappings'!$J703))), 'MITRE ATT&amp;CK Mappings'!$B703,"")</f>
        <v/>
      </c>
      <c r="D707" s="27" t="str">
        <f>IF(OR(OR(OR(OR(OR(ISNUMBER(SEARCH(IF(D$1&lt;&gt;"",D$1,"NA"),'MITRE ATT&amp;CK Mappings'!$E703)),ISNUMBER(SEARCH(IF(D$1&lt;&gt;"",D$1,"NA"),'MITRE ATT&amp;CK Mappings'!$F703))),ISNUMBER(SEARCH(IF(D$2&lt;&gt;"",D$2,"NA"),'MITRE ATT&amp;CK Mappings'!$G703))),ISNUMBER(SEARCH(IF(D$2&lt;&gt;"",D$2,"NA"),'MITRE ATT&amp;CK Mappings'!$H703))),ISNUMBER(SEARCH(IF(D$3&lt;&gt;"",D$3,"NA"),'MITRE ATT&amp;CK Mappings'!$I703))),ISNUMBER(SEARCH(IF(D$3&lt;&gt;"",D$3,"NA"),'MITRE ATT&amp;CK Mappings'!$J703))), 'MITRE ATT&amp;CK Mappings'!$B703,"")</f>
        <v/>
      </c>
      <c r="E707" s="27" t="str">
        <f>IF(OR(OR(OR(OR(OR(ISNUMBER(SEARCH(IF(E$1&lt;&gt;"",E$1,"NA"),'MITRE ATT&amp;CK Mappings'!$E703)),ISNUMBER(SEARCH(IF(E$1&lt;&gt;"",E$1,"NA"),'MITRE ATT&amp;CK Mappings'!$F703))),ISNUMBER(SEARCH(IF(E$2&lt;&gt;"",E$2,"NA"),'MITRE ATT&amp;CK Mappings'!$G703))),ISNUMBER(SEARCH(IF(E$2&lt;&gt;"",E$2,"NA"),'MITRE ATT&amp;CK Mappings'!$H703))),ISNUMBER(SEARCH(IF(E$3&lt;&gt;"",E$3,"NA"),'MITRE ATT&amp;CK Mappings'!$I703))),ISNUMBER(SEARCH(IF(E$3&lt;&gt;"",E$3,"NA"),'MITRE ATT&amp;CK Mappings'!$J703))), 'MITRE ATT&amp;CK Mappings'!$B703,"")</f>
        <v/>
      </c>
      <c r="F707" s="27" t="str">
        <f>IF(OR(OR(OR(OR(OR(ISNUMBER(SEARCH(IF(F$1&lt;&gt;"",F$1,"NA"),'MITRE ATT&amp;CK Mappings'!$E703)),ISNUMBER(SEARCH(IF(F$1&lt;&gt;"",F$1,"NA"),'MITRE ATT&amp;CK Mappings'!$F703))),ISNUMBER(SEARCH(IF(F$2&lt;&gt;"",F$2,"NA"),'MITRE ATT&amp;CK Mappings'!$G703))),ISNUMBER(SEARCH(IF(F$2&lt;&gt;"",F$2,"NA"),'MITRE ATT&amp;CK Mappings'!$H703))),ISNUMBER(SEARCH(IF(F$3&lt;&gt;"",F$3,"NA"),'MITRE ATT&amp;CK Mappings'!$I703))),ISNUMBER(SEARCH(IF(F$3&lt;&gt;"",F$3,"NA"),'MITRE ATT&amp;CK Mappings'!$J703))), 'MITRE ATT&amp;CK Mappings'!$B703,"")</f>
        <v/>
      </c>
      <c r="G707" s="27" t="str">
        <f>IF(OR(OR(OR(OR(OR(ISNUMBER(SEARCH(IF(G$1&lt;&gt;"",G$1,"NA"),'MITRE ATT&amp;CK Mappings'!$E703)),ISNUMBER(SEARCH(IF(G$1&lt;&gt;"",G$1,"NA"),'MITRE ATT&amp;CK Mappings'!$F703))),ISNUMBER(SEARCH(IF(G$2&lt;&gt;"",G$2,"NA"),'MITRE ATT&amp;CK Mappings'!$G703))),ISNUMBER(SEARCH(IF(G$2&lt;&gt;"",G$2,"NA"),'MITRE ATT&amp;CK Mappings'!$H703))),ISNUMBER(SEARCH(IF(G$3&lt;&gt;"",G$3,"NA"),'MITRE ATT&amp;CK Mappings'!$I703))),ISNUMBER(SEARCH(IF(G$3&lt;&gt;"",G$3,"NA"),'MITRE ATT&amp;CK Mappings'!$J703))), 'MITRE ATT&amp;CK Mappings'!$B703,"")</f>
        <v/>
      </c>
      <c r="H707" s="27" t="str">
        <f>IF(OR(OR(OR(OR(OR(ISNUMBER(SEARCH(IF(H$1&lt;&gt;"",H$1,"NA"),'MITRE ATT&amp;CK Mappings'!$E703)),ISNUMBER(SEARCH(IF(H$1&lt;&gt;"",H$1,"NA"),'MITRE ATT&amp;CK Mappings'!$F703))),ISNUMBER(SEARCH(IF(H$2&lt;&gt;"",H$2,"NA"),'MITRE ATT&amp;CK Mappings'!$G703))),ISNUMBER(SEARCH(IF(H$2&lt;&gt;"",H$2,"NA"),'MITRE ATT&amp;CK Mappings'!$H703))),ISNUMBER(SEARCH(IF(H$3&lt;&gt;"",H$3,"NA"),'MITRE ATT&amp;CK Mappings'!$I703))),ISNUMBER(SEARCH(IF(H$3&lt;&gt;"",H$3,"NA"),'MITRE ATT&amp;CK Mappings'!$J703))), 'MITRE ATT&amp;CK Mappings'!$B703,"")</f>
        <v/>
      </c>
      <c r="I707" s="27" t="str">
        <f>IF(OR(OR(OR(OR(OR(ISNUMBER(SEARCH(IF(I$1&lt;&gt;"",I$1,"NA"),'MITRE ATT&amp;CK Mappings'!$E703)),ISNUMBER(SEARCH(IF(I$1&lt;&gt;"",I$1,"NA"),'MITRE ATT&amp;CK Mappings'!$F703))),ISNUMBER(SEARCH(IF(I$2&lt;&gt;"",I$2,"NA"),'MITRE ATT&amp;CK Mappings'!$G703))),ISNUMBER(SEARCH(IF(I$2&lt;&gt;"",I$2,"NA"),'MITRE ATT&amp;CK Mappings'!$H703))),ISNUMBER(SEARCH(IF(I$3&lt;&gt;"",I$3,"NA"),'MITRE ATT&amp;CK Mappings'!$I703))),ISNUMBER(SEARCH(IF(I$3&lt;&gt;"",I$3,"NA"),'MITRE ATT&amp;CK Mappings'!$J703))), 'MITRE ATT&amp;CK Mappings'!$B703,"")</f>
        <v/>
      </c>
      <c r="J707" s="27" t="str">
        <f>IF(OR(OR(OR(OR(OR(ISNUMBER(SEARCH(IF(J$1&lt;&gt;"",J$1,"NA"),'MITRE ATT&amp;CK Mappings'!$E703)),ISNUMBER(SEARCH(IF(J$1&lt;&gt;"",J$1,"NA"),'MITRE ATT&amp;CK Mappings'!$F703))),ISNUMBER(SEARCH(IF(J$2&lt;&gt;"",J$2,"NA"),'MITRE ATT&amp;CK Mappings'!$G703))),ISNUMBER(SEARCH(IF(J$2&lt;&gt;"",J$2,"NA"),'MITRE ATT&amp;CK Mappings'!$H703))),ISNUMBER(SEARCH(IF(J$3&lt;&gt;"",J$3,"NA"),'MITRE ATT&amp;CK Mappings'!$I703))),ISNUMBER(SEARCH(IF(J$3&lt;&gt;"",J$3,"NA"),'MITRE ATT&amp;CK Mappings'!$J703))), 'MITRE ATT&amp;CK Mappings'!$B703,"")</f>
        <v/>
      </c>
      <c r="K707" s="27" t="str">
        <f>IF(OR(OR(OR(OR(OR(ISNUMBER(SEARCH(IF(K$1&lt;&gt;"",K$1,"NA"),'MITRE ATT&amp;CK Mappings'!$E703)),ISNUMBER(SEARCH(IF(K$1&lt;&gt;"",K$1,"NA"),'MITRE ATT&amp;CK Mappings'!$F703))),ISNUMBER(SEARCH(IF(K$2&lt;&gt;"",K$2,"NA"),'MITRE ATT&amp;CK Mappings'!$G703))),ISNUMBER(SEARCH(IF(K$2&lt;&gt;"",K$2,"NA"),'MITRE ATT&amp;CK Mappings'!$H703))),ISNUMBER(SEARCH(IF(K$3&lt;&gt;"",K$3,"NA"),'MITRE ATT&amp;CK Mappings'!$I703))),ISNUMBER(SEARCH(IF(K$3&lt;&gt;"",K$3,"NA"),'MITRE ATT&amp;CK Mappings'!$J703))), 'MITRE ATT&amp;CK Mappings'!$B703,"")</f>
        <v/>
      </c>
      <c r="L707" s="27" t="str">
        <f>IF('MITRE ATT&amp;CK Mappings'!D703 &lt;&gt;"",'MITRE ATT&amp;CK Mappings'!D703,"" )</f>
        <v/>
      </c>
    </row>
    <row r="708" spans="1:12" x14ac:dyDescent="0.25">
      <c r="A708" s="26" t="str">
        <f>IF(COUNTIF(B708:K708,"="&amp;'MITRE ATT&amp;CK Mappings'!B704)&gt;0,'MITRE ATT&amp;CK Mappings'!B704,"")</f>
        <v/>
      </c>
      <c r="B708" s="26" t="str">
        <f>IF(OR(OR(OR(OR(OR(ISNUMBER(SEARCH(IF(B$1&lt;&gt;"",B$1,"NA"),'MITRE ATT&amp;CK Mappings'!$E704)),ISNUMBER(SEARCH(IF(B$1&lt;&gt;"",B$1,"NA"),'MITRE ATT&amp;CK Mappings'!$F704))),ISNUMBER(SEARCH(IF(B$2&lt;&gt;"",B$2,"NA"),'MITRE ATT&amp;CK Mappings'!$G704))),ISNUMBER(SEARCH(IF(B$2&lt;&gt;"",B$2,"NA"),'MITRE ATT&amp;CK Mappings'!$H704))),ISNUMBER(SEARCH(IF(B$3&lt;&gt;"",B$3,"NA"),'MITRE ATT&amp;CK Mappings'!$I704))),ISNUMBER(SEARCH(IF(B$3&lt;&gt;"",B$3,"NA"),'MITRE ATT&amp;CK Mappings'!$J704))), 'MITRE ATT&amp;CK Mappings'!$B704,"")</f>
        <v/>
      </c>
      <c r="C708" s="26" t="str">
        <f>IF(OR(OR(OR(OR(OR(ISNUMBER(SEARCH(IF(C$1&lt;&gt;"",C$1,"NA"),'MITRE ATT&amp;CK Mappings'!$E704)),ISNUMBER(SEARCH(IF(C$1&lt;&gt;"",C$1,"NA"),'MITRE ATT&amp;CK Mappings'!$F704))),ISNUMBER(SEARCH(IF(C$2&lt;&gt;"",C$2,"NA"),'MITRE ATT&amp;CK Mappings'!$G704))),ISNUMBER(SEARCH(IF(C$2&lt;&gt;"",C$2,"NA"),'MITRE ATT&amp;CK Mappings'!$H704))),ISNUMBER(SEARCH(IF(C$3&lt;&gt;"",C$3,"NA"),'MITRE ATT&amp;CK Mappings'!$I704))),ISNUMBER(SEARCH(IF(C$3&lt;&gt;"",C$3,"NA"),'MITRE ATT&amp;CK Mappings'!$J704))), 'MITRE ATT&amp;CK Mappings'!$B704,"")</f>
        <v/>
      </c>
      <c r="D708" s="26" t="str">
        <f>IF(OR(OR(OR(OR(OR(ISNUMBER(SEARCH(IF(D$1&lt;&gt;"",D$1,"NA"),'MITRE ATT&amp;CK Mappings'!$E704)),ISNUMBER(SEARCH(IF(D$1&lt;&gt;"",D$1,"NA"),'MITRE ATT&amp;CK Mappings'!$F704))),ISNUMBER(SEARCH(IF(D$2&lt;&gt;"",D$2,"NA"),'MITRE ATT&amp;CK Mappings'!$G704))),ISNUMBER(SEARCH(IF(D$2&lt;&gt;"",D$2,"NA"),'MITRE ATT&amp;CK Mappings'!$H704))),ISNUMBER(SEARCH(IF(D$3&lt;&gt;"",D$3,"NA"),'MITRE ATT&amp;CK Mappings'!$I704))),ISNUMBER(SEARCH(IF(D$3&lt;&gt;"",D$3,"NA"),'MITRE ATT&amp;CK Mappings'!$J704))), 'MITRE ATT&amp;CK Mappings'!$B704,"")</f>
        <v/>
      </c>
      <c r="E708" s="26" t="str">
        <f>IF(OR(OR(OR(OR(OR(ISNUMBER(SEARCH(IF(E$1&lt;&gt;"",E$1,"NA"),'MITRE ATT&amp;CK Mappings'!$E704)),ISNUMBER(SEARCH(IF(E$1&lt;&gt;"",E$1,"NA"),'MITRE ATT&amp;CK Mappings'!$F704))),ISNUMBER(SEARCH(IF(E$2&lt;&gt;"",E$2,"NA"),'MITRE ATT&amp;CK Mappings'!$G704))),ISNUMBER(SEARCH(IF(E$2&lt;&gt;"",E$2,"NA"),'MITRE ATT&amp;CK Mappings'!$H704))),ISNUMBER(SEARCH(IF(E$3&lt;&gt;"",E$3,"NA"),'MITRE ATT&amp;CK Mappings'!$I704))),ISNUMBER(SEARCH(IF(E$3&lt;&gt;"",E$3,"NA"),'MITRE ATT&amp;CK Mappings'!$J704))), 'MITRE ATT&amp;CK Mappings'!$B704,"")</f>
        <v/>
      </c>
      <c r="F708" s="26" t="str">
        <f>IF(OR(OR(OR(OR(OR(ISNUMBER(SEARCH(IF(F$1&lt;&gt;"",F$1,"NA"),'MITRE ATT&amp;CK Mappings'!$E704)),ISNUMBER(SEARCH(IF(F$1&lt;&gt;"",F$1,"NA"),'MITRE ATT&amp;CK Mappings'!$F704))),ISNUMBER(SEARCH(IF(F$2&lt;&gt;"",F$2,"NA"),'MITRE ATT&amp;CK Mappings'!$G704))),ISNUMBER(SEARCH(IF(F$2&lt;&gt;"",F$2,"NA"),'MITRE ATT&amp;CK Mappings'!$H704))),ISNUMBER(SEARCH(IF(F$3&lt;&gt;"",F$3,"NA"),'MITRE ATT&amp;CK Mappings'!$I704))),ISNUMBER(SEARCH(IF(F$3&lt;&gt;"",F$3,"NA"),'MITRE ATT&amp;CK Mappings'!$J704))), 'MITRE ATT&amp;CK Mappings'!$B704,"")</f>
        <v/>
      </c>
      <c r="G708" s="26" t="str">
        <f>IF(OR(OR(OR(OR(OR(ISNUMBER(SEARCH(IF(G$1&lt;&gt;"",G$1,"NA"),'MITRE ATT&amp;CK Mappings'!$E704)),ISNUMBER(SEARCH(IF(G$1&lt;&gt;"",G$1,"NA"),'MITRE ATT&amp;CK Mappings'!$F704))),ISNUMBER(SEARCH(IF(G$2&lt;&gt;"",G$2,"NA"),'MITRE ATT&amp;CK Mappings'!$G704))),ISNUMBER(SEARCH(IF(G$2&lt;&gt;"",G$2,"NA"),'MITRE ATT&amp;CK Mappings'!$H704))),ISNUMBER(SEARCH(IF(G$3&lt;&gt;"",G$3,"NA"),'MITRE ATT&amp;CK Mappings'!$I704))),ISNUMBER(SEARCH(IF(G$3&lt;&gt;"",G$3,"NA"),'MITRE ATT&amp;CK Mappings'!$J704))), 'MITRE ATT&amp;CK Mappings'!$B704,"")</f>
        <v/>
      </c>
      <c r="H708" s="26" t="str">
        <f>IF(OR(OR(OR(OR(OR(ISNUMBER(SEARCH(IF(H$1&lt;&gt;"",H$1,"NA"),'MITRE ATT&amp;CK Mappings'!$E704)),ISNUMBER(SEARCH(IF(H$1&lt;&gt;"",H$1,"NA"),'MITRE ATT&amp;CK Mappings'!$F704))),ISNUMBER(SEARCH(IF(H$2&lt;&gt;"",H$2,"NA"),'MITRE ATT&amp;CK Mappings'!$G704))),ISNUMBER(SEARCH(IF(H$2&lt;&gt;"",H$2,"NA"),'MITRE ATT&amp;CK Mappings'!$H704))),ISNUMBER(SEARCH(IF(H$3&lt;&gt;"",H$3,"NA"),'MITRE ATT&amp;CK Mappings'!$I704))),ISNUMBER(SEARCH(IF(H$3&lt;&gt;"",H$3,"NA"),'MITRE ATT&amp;CK Mappings'!$J704))), 'MITRE ATT&amp;CK Mappings'!$B704,"")</f>
        <v/>
      </c>
      <c r="I708" s="26" t="str">
        <f>IF(OR(OR(OR(OR(OR(ISNUMBER(SEARCH(IF(I$1&lt;&gt;"",I$1,"NA"),'MITRE ATT&amp;CK Mappings'!$E704)),ISNUMBER(SEARCH(IF(I$1&lt;&gt;"",I$1,"NA"),'MITRE ATT&amp;CK Mappings'!$F704))),ISNUMBER(SEARCH(IF(I$2&lt;&gt;"",I$2,"NA"),'MITRE ATT&amp;CK Mappings'!$G704))),ISNUMBER(SEARCH(IF(I$2&lt;&gt;"",I$2,"NA"),'MITRE ATT&amp;CK Mappings'!$H704))),ISNUMBER(SEARCH(IF(I$3&lt;&gt;"",I$3,"NA"),'MITRE ATT&amp;CK Mappings'!$I704))),ISNUMBER(SEARCH(IF(I$3&lt;&gt;"",I$3,"NA"),'MITRE ATT&amp;CK Mappings'!$J704))), 'MITRE ATT&amp;CK Mappings'!$B704,"")</f>
        <v/>
      </c>
      <c r="J708" s="26" t="str">
        <f>IF(OR(OR(OR(OR(OR(ISNUMBER(SEARCH(IF(J$1&lt;&gt;"",J$1,"NA"),'MITRE ATT&amp;CK Mappings'!$E704)),ISNUMBER(SEARCH(IF(J$1&lt;&gt;"",J$1,"NA"),'MITRE ATT&amp;CK Mappings'!$F704))),ISNUMBER(SEARCH(IF(J$2&lt;&gt;"",J$2,"NA"),'MITRE ATT&amp;CK Mappings'!$G704))),ISNUMBER(SEARCH(IF(J$2&lt;&gt;"",J$2,"NA"),'MITRE ATT&amp;CK Mappings'!$H704))),ISNUMBER(SEARCH(IF(J$3&lt;&gt;"",J$3,"NA"),'MITRE ATT&amp;CK Mappings'!$I704))),ISNUMBER(SEARCH(IF(J$3&lt;&gt;"",J$3,"NA"),'MITRE ATT&amp;CK Mappings'!$J704))), 'MITRE ATT&amp;CK Mappings'!$B704,"")</f>
        <v/>
      </c>
      <c r="K708" s="26" t="str">
        <f>IF(OR(OR(OR(OR(OR(ISNUMBER(SEARCH(IF(K$1&lt;&gt;"",K$1,"NA"),'MITRE ATT&amp;CK Mappings'!$E704)),ISNUMBER(SEARCH(IF(K$1&lt;&gt;"",K$1,"NA"),'MITRE ATT&amp;CK Mappings'!$F704))),ISNUMBER(SEARCH(IF(K$2&lt;&gt;"",K$2,"NA"),'MITRE ATT&amp;CK Mappings'!$G704))),ISNUMBER(SEARCH(IF(K$2&lt;&gt;"",K$2,"NA"),'MITRE ATT&amp;CK Mappings'!$H704))),ISNUMBER(SEARCH(IF(K$3&lt;&gt;"",K$3,"NA"),'MITRE ATT&amp;CK Mappings'!$I704))),ISNUMBER(SEARCH(IF(K$3&lt;&gt;"",K$3,"NA"),'MITRE ATT&amp;CK Mappings'!$J704))), 'MITRE ATT&amp;CK Mappings'!$B704,"")</f>
        <v/>
      </c>
      <c r="L708" s="26" t="str">
        <f>IF('MITRE ATT&amp;CK Mappings'!D704 &lt;&gt;"",'MITRE ATT&amp;CK Mappings'!D704,"" )</f>
        <v/>
      </c>
    </row>
    <row r="709" spans="1:12" x14ac:dyDescent="0.25">
      <c r="A709" s="27" t="str">
        <f>IF(COUNTIF(B709:K709,"="&amp;'MITRE ATT&amp;CK Mappings'!B705)&gt;0,'MITRE ATT&amp;CK Mappings'!B705,"")</f>
        <v/>
      </c>
      <c r="B709" s="27" t="str">
        <f>IF(OR(OR(OR(OR(OR(ISNUMBER(SEARCH(IF(B$1&lt;&gt;"",B$1,"NA"),'MITRE ATT&amp;CK Mappings'!$E705)),ISNUMBER(SEARCH(IF(B$1&lt;&gt;"",B$1,"NA"),'MITRE ATT&amp;CK Mappings'!$F705))),ISNUMBER(SEARCH(IF(B$2&lt;&gt;"",B$2,"NA"),'MITRE ATT&amp;CK Mappings'!$G705))),ISNUMBER(SEARCH(IF(B$2&lt;&gt;"",B$2,"NA"),'MITRE ATT&amp;CK Mappings'!$H705))),ISNUMBER(SEARCH(IF(B$3&lt;&gt;"",B$3,"NA"),'MITRE ATT&amp;CK Mappings'!$I705))),ISNUMBER(SEARCH(IF(B$3&lt;&gt;"",B$3,"NA"),'MITRE ATT&amp;CK Mappings'!$J705))), 'MITRE ATT&amp;CK Mappings'!$B705,"")</f>
        <v/>
      </c>
      <c r="C709" s="27" t="str">
        <f>IF(OR(OR(OR(OR(OR(ISNUMBER(SEARCH(IF(C$1&lt;&gt;"",C$1,"NA"),'MITRE ATT&amp;CK Mappings'!$E705)),ISNUMBER(SEARCH(IF(C$1&lt;&gt;"",C$1,"NA"),'MITRE ATT&amp;CK Mappings'!$F705))),ISNUMBER(SEARCH(IF(C$2&lt;&gt;"",C$2,"NA"),'MITRE ATT&amp;CK Mappings'!$G705))),ISNUMBER(SEARCH(IF(C$2&lt;&gt;"",C$2,"NA"),'MITRE ATT&amp;CK Mappings'!$H705))),ISNUMBER(SEARCH(IF(C$3&lt;&gt;"",C$3,"NA"),'MITRE ATT&amp;CK Mappings'!$I705))),ISNUMBER(SEARCH(IF(C$3&lt;&gt;"",C$3,"NA"),'MITRE ATT&amp;CK Mappings'!$J705))), 'MITRE ATT&amp;CK Mappings'!$B705,"")</f>
        <v/>
      </c>
      <c r="D709" s="27" t="str">
        <f>IF(OR(OR(OR(OR(OR(ISNUMBER(SEARCH(IF(D$1&lt;&gt;"",D$1,"NA"),'MITRE ATT&amp;CK Mappings'!$E705)),ISNUMBER(SEARCH(IF(D$1&lt;&gt;"",D$1,"NA"),'MITRE ATT&amp;CK Mappings'!$F705))),ISNUMBER(SEARCH(IF(D$2&lt;&gt;"",D$2,"NA"),'MITRE ATT&amp;CK Mappings'!$G705))),ISNUMBER(SEARCH(IF(D$2&lt;&gt;"",D$2,"NA"),'MITRE ATT&amp;CK Mappings'!$H705))),ISNUMBER(SEARCH(IF(D$3&lt;&gt;"",D$3,"NA"),'MITRE ATT&amp;CK Mappings'!$I705))),ISNUMBER(SEARCH(IF(D$3&lt;&gt;"",D$3,"NA"),'MITRE ATT&amp;CK Mappings'!$J705))), 'MITRE ATT&amp;CK Mappings'!$B705,"")</f>
        <v/>
      </c>
      <c r="E709" s="27" t="str">
        <f>IF(OR(OR(OR(OR(OR(ISNUMBER(SEARCH(IF(E$1&lt;&gt;"",E$1,"NA"),'MITRE ATT&amp;CK Mappings'!$E705)),ISNUMBER(SEARCH(IF(E$1&lt;&gt;"",E$1,"NA"),'MITRE ATT&amp;CK Mappings'!$F705))),ISNUMBER(SEARCH(IF(E$2&lt;&gt;"",E$2,"NA"),'MITRE ATT&amp;CK Mappings'!$G705))),ISNUMBER(SEARCH(IF(E$2&lt;&gt;"",E$2,"NA"),'MITRE ATT&amp;CK Mappings'!$H705))),ISNUMBER(SEARCH(IF(E$3&lt;&gt;"",E$3,"NA"),'MITRE ATT&amp;CK Mappings'!$I705))),ISNUMBER(SEARCH(IF(E$3&lt;&gt;"",E$3,"NA"),'MITRE ATT&amp;CK Mappings'!$J705))), 'MITRE ATT&amp;CK Mappings'!$B705,"")</f>
        <v/>
      </c>
      <c r="F709" s="27" t="str">
        <f>IF(OR(OR(OR(OR(OR(ISNUMBER(SEARCH(IF(F$1&lt;&gt;"",F$1,"NA"),'MITRE ATT&amp;CK Mappings'!$E705)),ISNUMBER(SEARCH(IF(F$1&lt;&gt;"",F$1,"NA"),'MITRE ATT&amp;CK Mappings'!$F705))),ISNUMBER(SEARCH(IF(F$2&lt;&gt;"",F$2,"NA"),'MITRE ATT&amp;CK Mappings'!$G705))),ISNUMBER(SEARCH(IF(F$2&lt;&gt;"",F$2,"NA"),'MITRE ATT&amp;CK Mappings'!$H705))),ISNUMBER(SEARCH(IF(F$3&lt;&gt;"",F$3,"NA"),'MITRE ATT&amp;CK Mappings'!$I705))),ISNUMBER(SEARCH(IF(F$3&lt;&gt;"",F$3,"NA"),'MITRE ATT&amp;CK Mappings'!$J705))), 'MITRE ATT&amp;CK Mappings'!$B705,"")</f>
        <v/>
      </c>
      <c r="G709" s="27" t="str">
        <f>IF(OR(OR(OR(OR(OR(ISNUMBER(SEARCH(IF(G$1&lt;&gt;"",G$1,"NA"),'MITRE ATT&amp;CK Mappings'!$E705)),ISNUMBER(SEARCH(IF(G$1&lt;&gt;"",G$1,"NA"),'MITRE ATT&amp;CK Mappings'!$F705))),ISNUMBER(SEARCH(IF(G$2&lt;&gt;"",G$2,"NA"),'MITRE ATT&amp;CK Mappings'!$G705))),ISNUMBER(SEARCH(IF(G$2&lt;&gt;"",G$2,"NA"),'MITRE ATT&amp;CK Mappings'!$H705))),ISNUMBER(SEARCH(IF(G$3&lt;&gt;"",G$3,"NA"),'MITRE ATT&amp;CK Mappings'!$I705))),ISNUMBER(SEARCH(IF(G$3&lt;&gt;"",G$3,"NA"),'MITRE ATT&amp;CK Mappings'!$J705))), 'MITRE ATT&amp;CK Mappings'!$B705,"")</f>
        <v/>
      </c>
      <c r="H709" s="27" t="str">
        <f>IF(OR(OR(OR(OR(OR(ISNUMBER(SEARCH(IF(H$1&lt;&gt;"",H$1,"NA"),'MITRE ATT&amp;CK Mappings'!$E705)),ISNUMBER(SEARCH(IF(H$1&lt;&gt;"",H$1,"NA"),'MITRE ATT&amp;CK Mappings'!$F705))),ISNUMBER(SEARCH(IF(H$2&lt;&gt;"",H$2,"NA"),'MITRE ATT&amp;CK Mappings'!$G705))),ISNUMBER(SEARCH(IF(H$2&lt;&gt;"",H$2,"NA"),'MITRE ATT&amp;CK Mappings'!$H705))),ISNUMBER(SEARCH(IF(H$3&lt;&gt;"",H$3,"NA"),'MITRE ATT&amp;CK Mappings'!$I705))),ISNUMBER(SEARCH(IF(H$3&lt;&gt;"",H$3,"NA"),'MITRE ATT&amp;CK Mappings'!$J705))), 'MITRE ATT&amp;CK Mappings'!$B705,"")</f>
        <v/>
      </c>
      <c r="I709" s="27" t="str">
        <f>IF(OR(OR(OR(OR(OR(ISNUMBER(SEARCH(IF(I$1&lt;&gt;"",I$1,"NA"),'MITRE ATT&amp;CK Mappings'!$E705)),ISNUMBER(SEARCH(IF(I$1&lt;&gt;"",I$1,"NA"),'MITRE ATT&amp;CK Mappings'!$F705))),ISNUMBER(SEARCH(IF(I$2&lt;&gt;"",I$2,"NA"),'MITRE ATT&amp;CK Mappings'!$G705))),ISNUMBER(SEARCH(IF(I$2&lt;&gt;"",I$2,"NA"),'MITRE ATT&amp;CK Mappings'!$H705))),ISNUMBER(SEARCH(IF(I$3&lt;&gt;"",I$3,"NA"),'MITRE ATT&amp;CK Mappings'!$I705))),ISNUMBER(SEARCH(IF(I$3&lt;&gt;"",I$3,"NA"),'MITRE ATT&amp;CK Mappings'!$J705))), 'MITRE ATT&amp;CK Mappings'!$B705,"")</f>
        <v/>
      </c>
      <c r="J709" s="27" t="str">
        <f>IF(OR(OR(OR(OR(OR(ISNUMBER(SEARCH(IF(J$1&lt;&gt;"",J$1,"NA"),'MITRE ATT&amp;CK Mappings'!$E705)),ISNUMBER(SEARCH(IF(J$1&lt;&gt;"",J$1,"NA"),'MITRE ATT&amp;CK Mappings'!$F705))),ISNUMBER(SEARCH(IF(J$2&lt;&gt;"",J$2,"NA"),'MITRE ATT&amp;CK Mappings'!$G705))),ISNUMBER(SEARCH(IF(J$2&lt;&gt;"",J$2,"NA"),'MITRE ATT&amp;CK Mappings'!$H705))),ISNUMBER(SEARCH(IF(J$3&lt;&gt;"",J$3,"NA"),'MITRE ATT&amp;CK Mappings'!$I705))),ISNUMBER(SEARCH(IF(J$3&lt;&gt;"",J$3,"NA"),'MITRE ATT&amp;CK Mappings'!$J705))), 'MITRE ATT&amp;CK Mappings'!$B705,"")</f>
        <v/>
      </c>
      <c r="K709" s="27" t="str">
        <f>IF(OR(OR(OR(OR(OR(ISNUMBER(SEARCH(IF(K$1&lt;&gt;"",K$1,"NA"),'MITRE ATT&amp;CK Mappings'!$E705)),ISNUMBER(SEARCH(IF(K$1&lt;&gt;"",K$1,"NA"),'MITRE ATT&amp;CK Mappings'!$F705))),ISNUMBER(SEARCH(IF(K$2&lt;&gt;"",K$2,"NA"),'MITRE ATT&amp;CK Mappings'!$G705))),ISNUMBER(SEARCH(IF(K$2&lt;&gt;"",K$2,"NA"),'MITRE ATT&amp;CK Mappings'!$H705))),ISNUMBER(SEARCH(IF(K$3&lt;&gt;"",K$3,"NA"),'MITRE ATT&amp;CK Mappings'!$I705))),ISNUMBER(SEARCH(IF(K$3&lt;&gt;"",K$3,"NA"),'MITRE ATT&amp;CK Mappings'!$J705))), 'MITRE ATT&amp;CK Mappings'!$B705,"")</f>
        <v/>
      </c>
      <c r="L709" s="27" t="str">
        <f>IF('MITRE ATT&amp;CK Mappings'!D705 &lt;&gt;"",'MITRE ATT&amp;CK Mappings'!D705,"" )</f>
        <v/>
      </c>
    </row>
    <row r="710" spans="1:12" x14ac:dyDescent="0.25">
      <c r="A710" s="26" t="str">
        <f>IF(COUNTIF(B710:K710,"="&amp;'MITRE ATT&amp;CK Mappings'!B706)&gt;0,'MITRE ATT&amp;CK Mappings'!B706,"")</f>
        <v/>
      </c>
      <c r="B710" s="26" t="str">
        <f>IF(OR(OR(OR(OR(OR(ISNUMBER(SEARCH(IF(B$1&lt;&gt;"",B$1,"NA"),'MITRE ATT&amp;CK Mappings'!$E706)),ISNUMBER(SEARCH(IF(B$1&lt;&gt;"",B$1,"NA"),'MITRE ATT&amp;CK Mappings'!$F706))),ISNUMBER(SEARCH(IF(B$2&lt;&gt;"",B$2,"NA"),'MITRE ATT&amp;CK Mappings'!$G706))),ISNUMBER(SEARCH(IF(B$2&lt;&gt;"",B$2,"NA"),'MITRE ATT&amp;CK Mappings'!$H706))),ISNUMBER(SEARCH(IF(B$3&lt;&gt;"",B$3,"NA"),'MITRE ATT&amp;CK Mappings'!$I706))),ISNUMBER(SEARCH(IF(B$3&lt;&gt;"",B$3,"NA"),'MITRE ATT&amp;CK Mappings'!$J706))), 'MITRE ATT&amp;CK Mappings'!$B706,"")</f>
        <v/>
      </c>
      <c r="C710" s="26" t="str">
        <f>IF(OR(OR(OR(OR(OR(ISNUMBER(SEARCH(IF(C$1&lt;&gt;"",C$1,"NA"),'MITRE ATT&amp;CK Mappings'!$E706)),ISNUMBER(SEARCH(IF(C$1&lt;&gt;"",C$1,"NA"),'MITRE ATT&amp;CK Mappings'!$F706))),ISNUMBER(SEARCH(IF(C$2&lt;&gt;"",C$2,"NA"),'MITRE ATT&amp;CK Mappings'!$G706))),ISNUMBER(SEARCH(IF(C$2&lt;&gt;"",C$2,"NA"),'MITRE ATT&amp;CK Mappings'!$H706))),ISNUMBER(SEARCH(IF(C$3&lt;&gt;"",C$3,"NA"),'MITRE ATT&amp;CK Mappings'!$I706))),ISNUMBER(SEARCH(IF(C$3&lt;&gt;"",C$3,"NA"),'MITRE ATT&amp;CK Mappings'!$J706))), 'MITRE ATT&amp;CK Mappings'!$B706,"")</f>
        <v/>
      </c>
      <c r="D710" s="26" t="str">
        <f>IF(OR(OR(OR(OR(OR(ISNUMBER(SEARCH(IF(D$1&lt;&gt;"",D$1,"NA"),'MITRE ATT&amp;CK Mappings'!$E706)),ISNUMBER(SEARCH(IF(D$1&lt;&gt;"",D$1,"NA"),'MITRE ATT&amp;CK Mappings'!$F706))),ISNUMBER(SEARCH(IF(D$2&lt;&gt;"",D$2,"NA"),'MITRE ATT&amp;CK Mappings'!$G706))),ISNUMBER(SEARCH(IF(D$2&lt;&gt;"",D$2,"NA"),'MITRE ATT&amp;CK Mappings'!$H706))),ISNUMBER(SEARCH(IF(D$3&lt;&gt;"",D$3,"NA"),'MITRE ATT&amp;CK Mappings'!$I706))),ISNUMBER(SEARCH(IF(D$3&lt;&gt;"",D$3,"NA"),'MITRE ATT&amp;CK Mappings'!$J706))), 'MITRE ATT&amp;CK Mappings'!$B706,"")</f>
        <v/>
      </c>
      <c r="E710" s="26" t="str">
        <f>IF(OR(OR(OR(OR(OR(ISNUMBER(SEARCH(IF(E$1&lt;&gt;"",E$1,"NA"),'MITRE ATT&amp;CK Mappings'!$E706)),ISNUMBER(SEARCH(IF(E$1&lt;&gt;"",E$1,"NA"),'MITRE ATT&amp;CK Mappings'!$F706))),ISNUMBER(SEARCH(IF(E$2&lt;&gt;"",E$2,"NA"),'MITRE ATT&amp;CK Mappings'!$G706))),ISNUMBER(SEARCH(IF(E$2&lt;&gt;"",E$2,"NA"),'MITRE ATT&amp;CK Mappings'!$H706))),ISNUMBER(SEARCH(IF(E$3&lt;&gt;"",E$3,"NA"),'MITRE ATT&amp;CK Mappings'!$I706))),ISNUMBER(SEARCH(IF(E$3&lt;&gt;"",E$3,"NA"),'MITRE ATT&amp;CK Mappings'!$J706))), 'MITRE ATT&amp;CK Mappings'!$B706,"")</f>
        <v/>
      </c>
      <c r="F710" s="26" t="str">
        <f>IF(OR(OR(OR(OR(OR(ISNUMBER(SEARCH(IF(F$1&lt;&gt;"",F$1,"NA"),'MITRE ATT&amp;CK Mappings'!$E706)),ISNUMBER(SEARCH(IF(F$1&lt;&gt;"",F$1,"NA"),'MITRE ATT&amp;CK Mappings'!$F706))),ISNUMBER(SEARCH(IF(F$2&lt;&gt;"",F$2,"NA"),'MITRE ATT&amp;CK Mappings'!$G706))),ISNUMBER(SEARCH(IF(F$2&lt;&gt;"",F$2,"NA"),'MITRE ATT&amp;CK Mappings'!$H706))),ISNUMBER(SEARCH(IF(F$3&lt;&gt;"",F$3,"NA"),'MITRE ATT&amp;CK Mappings'!$I706))),ISNUMBER(SEARCH(IF(F$3&lt;&gt;"",F$3,"NA"),'MITRE ATT&amp;CK Mappings'!$J706))), 'MITRE ATT&amp;CK Mappings'!$B706,"")</f>
        <v/>
      </c>
      <c r="G710" s="26" t="str">
        <f>IF(OR(OR(OR(OR(OR(ISNUMBER(SEARCH(IF(G$1&lt;&gt;"",G$1,"NA"),'MITRE ATT&amp;CK Mappings'!$E706)),ISNUMBER(SEARCH(IF(G$1&lt;&gt;"",G$1,"NA"),'MITRE ATT&amp;CK Mappings'!$F706))),ISNUMBER(SEARCH(IF(G$2&lt;&gt;"",G$2,"NA"),'MITRE ATT&amp;CK Mappings'!$G706))),ISNUMBER(SEARCH(IF(G$2&lt;&gt;"",G$2,"NA"),'MITRE ATT&amp;CK Mappings'!$H706))),ISNUMBER(SEARCH(IF(G$3&lt;&gt;"",G$3,"NA"),'MITRE ATT&amp;CK Mappings'!$I706))),ISNUMBER(SEARCH(IF(G$3&lt;&gt;"",G$3,"NA"),'MITRE ATT&amp;CK Mappings'!$J706))), 'MITRE ATT&amp;CK Mappings'!$B706,"")</f>
        <v/>
      </c>
      <c r="H710" s="26" t="str">
        <f>IF(OR(OR(OR(OR(OR(ISNUMBER(SEARCH(IF(H$1&lt;&gt;"",H$1,"NA"),'MITRE ATT&amp;CK Mappings'!$E706)),ISNUMBER(SEARCH(IF(H$1&lt;&gt;"",H$1,"NA"),'MITRE ATT&amp;CK Mappings'!$F706))),ISNUMBER(SEARCH(IF(H$2&lt;&gt;"",H$2,"NA"),'MITRE ATT&amp;CK Mappings'!$G706))),ISNUMBER(SEARCH(IF(H$2&lt;&gt;"",H$2,"NA"),'MITRE ATT&amp;CK Mappings'!$H706))),ISNUMBER(SEARCH(IF(H$3&lt;&gt;"",H$3,"NA"),'MITRE ATT&amp;CK Mappings'!$I706))),ISNUMBER(SEARCH(IF(H$3&lt;&gt;"",H$3,"NA"),'MITRE ATT&amp;CK Mappings'!$J706))), 'MITRE ATT&amp;CK Mappings'!$B706,"")</f>
        <v/>
      </c>
      <c r="I710" s="26" t="str">
        <f>IF(OR(OR(OR(OR(OR(ISNUMBER(SEARCH(IF(I$1&lt;&gt;"",I$1,"NA"),'MITRE ATT&amp;CK Mappings'!$E706)),ISNUMBER(SEARCH(IF(I$1&lt;&gt;"",I$1,"NA"),'MITRE ATT&amp;CK Mappings'!$F706))),ISNUMBER(SEARCH(IF(I$2&lt;&gt;"",I$2,"NA"),'MITRE ATT&amp;CK Mappings'!$G706))),ISNUMBER(SEARCH(IF(I$2&lt;&gt;"",I$2,"NA"),'MITRE ATT&amp;CK Mappings'!$H706))),ISNUMBER(SEARCH(IF(I$3&lt;&gt;"",I$3,"NA"),'MITRE ATT&amp;CK Mappings'!$I706))),ISNUMBER(SEARCH(IF(I$3&lt;&gt;"",I$3,"NA"),'MITRE ATT&amp;CK Mappings'!$J706))), 'MITRE ATT&amp;CK Mappings'!$B706,"")</f>
        <v/>
      </c>
      <c r="J710" s="26" t="str">
        <f>IF(OR(OR(OR(OR(OR(ISNUMBER(SEARCH(IF(J$1&lt;&gt;"",J$1,"NA"),'MITRE ATT&amp;CK Mappings'!$E706)),ISNUMBER(SEARCH(IF(J$1&lt;&gt;"",J$1,"NA"),'MITRE ATT&amp;CK Mappings'!$F706))),ISNUMBER(SEARCH(IF(J$2&lt;&gt;"",J$2,"NA"),'MITRE ATT&amp;CK Mappings'!$G706))),ISNUMBER(SEARCH(IF(J$2&lt;&gt;"",J$2,"NA"),'MITRE ATT&amp;CK Mappings'!$H706))),ISNUMBER(SEARCH(IF(J$3&lt;&gt;"",J$3,"NA"),'MITRE ATT&amp;CK Mappings'!$I706))),ISNUMBER(SEARCH(IF(J$3&lt;&gt;"",J$3,"NA"),'MITRE ATT&amp;CK Mappings'!$J706))), 'MITRE ATT&amp;CK Mappings'!$B706,"")</f>
        <v/>
      </c>
      <c r="K710" s="26" t="str">
        <f>IF(OR(OR(OR(OR(OR(ISNUMBER(SEARCH(IF(K$1&lt;&gt;"",K$1,"NA"),'MITRE ATT&amp;CK Mappings'!$E706)),ISNUMBER(SEARCH(IF(K$1&lt;&gt;"",K$1,"NA"),'MITRE ATT&amp;CK Mappings'!$F706))),ISNUMBER(SEARCH(IF(K$2&lt;&gt;"",K$2,"NA"),'MITRE ATT&amp;CK Mappings'!$G706))),ISNUMBER(SEARCH(IF(K$2&lt;&gt;"",K$2,"NA"),'MITRE ATT&amp;CK Mappings'!$H706))),ISNUMBER(SEARCH(IF(K$3&lt;&gt;"",K$3,"NA"),'MITRE ATT&amp;CK Mappings'!$I706))),ISNUMBER(SEARCH(IF(K$3&lt;&gt;"",K$3,"NA"),'MITRE ATT&amp;CK Mappings'!$J706))), 'MITRE ATT&amp;CK Mappings'!$B706,"")</f>
        <v/>
      </c>
      <c r="L710" s="26" t="str">
        <f>IF('MITRE ATT&amp;CK Mappings'!D706 &lt;&gt;"",'MITRE ATT&amp;CK Mappings'!D706,"" )</f>
        <v/>
      </c>
    </row>
    <row r="711" spans="1:12" x14ac:dyDescent="0.25">
      <c r="A711" s="27" t="str">
        <f>IF(COUNTIF(B711:K711,"="&amp;'MITRE ATT&amp;CK Mappings'!B707)&gt;0,'MITRE ATT&amp;CK Mappings'!B707,"")</f>
        <v/>
      </c>
      <c r="B711" s="27" t="str">
        <f>IF(OR(OR(OR(OR(OR(ISNUMBER(SEARCH(IF(B$1&lt;&gt;"",B$1,"NA"),'MITRE ATT&amp;CK Mappings'!$E707)),ISNUMBER(SEARCH(IF(B$1&lt;&gt;"",B$1,"NA"),'MITRE ATT&amp;CK Mappings'!$F707))),ISNUMBER(SEARCH(IF(B$2&lt;&gt;"",B$2,"NA"),'MITRE ATT&amp;CK Mappings'!$G707))),ISNUMBER(SEARCH(IF(B$2&lt;&gt;"",B$2,"NA"),'MITRE ATT&amp;CK Mappings'!$H707))),ISNUMBER(SEARCH(IF(B$3&lt;&gt;"",B$3,"NA"),'MITRE ATT&amp;CK Mappings'!$I707))),ISNUMBER(SEARCH(IF(B$3&lt;&gt;"",B$3,"NA"),'MITRE ATT&amp;CK Mappings'!$J707))), 'MITRE ATT&amp;CK Mappings'!$B707,"")</f>
        <v/>
      </c>
      <c r="C711" s="27" t="str">
        <f>IF(OR(OR(OR(OR(OR(ISNUMBER(SEARCH(IF(C$1&lt;&gt;"",C$1,"NA"),'MITRE ATT&amp;CK Mappings'!$E707)),ISNUMBER(SEARCH(IF(C$1&lt;&gt;"",C$1,"NA"),'MITRE ATT&amp;CK Mappings'!$F707))),ISNUMBER(SEARCH(IF(C$2&lt;&gt;"",C$2,"NA"),'MITRE ATT&amp;CK Mappings'!$G707))),ISNUMBER(SEARCH(IF(C$2&lt;&gt;"",C$2,"NA"),'MITRE ATT&amp;CK Mappings'!$H707))),ISNUMBER(SEARCH(IF(C$3&lt;&gt;"",C$3,"NA"),'MITRE ATT&amp;CK Mappings'!$I707))),ISNUMBER(SEARCH(IF(C$3&lt;&gt;"",C$3,"NA"),'MITRE ATT&amp;CK Mappings'!$J707))), 'MITRE ATT&amp;CK Mappings'!$B707,"")</f>
        <v/>
      </c>
      <c r="D711" s="27" t="str">
        <f>IF(OR(OR(OR(OR(OR(ISNUMBER(SEARCH(IF(D$1&lt;&gt;"",D$1,"NA"),'MITRE ATT&amp;CK Mappings'!$E707)),ISNUMBER(SEARCH(IF(D$1&lt;&gt;"",D$1,"NA"),'MITRE ATT&amp;CK Mappings'!$F707))),ISNUMBER(SEARCH(IF(D$2&lt;&gt;"",D$2,"NA"),'MITRE ATT&amp;CK Mappings'!$G707))),ISNUMBER(SEARCH(IF(D$2&lt;&gt;"",D$2,"NA"),'MITRE ATT&amp;CK Mappings'!$H707))),ISNUMBER(SEARCH(IF(D$3&lt;&gt;"",D$3,"NA"),'MITRE ATT&amp;CK Mappings'!$I707))),ISNUMBER(SEARCH(IF(D$3&lt;&gt;"",D$3,"NA"),'MITRE ATT&amp;CK Mappings'!$J707))), 'MITRE ATT&amp;CK Mappings'!$B707,"")</f>
        <v/>
      </c>
      <c r="E711" s="27" t="str">
        <f>IF(OR(OR(OR(OR(OR(ISNUMBER(SEARCH(IF(E$1&lt;&gt;"",E$1,"NA"),'MITRE ATT&amp;CK Mappings'!$E707)),ISNUMBER(SEARCH(IF(E$1&lt;&gt;"",E$1,"NA"),'MITRE ATT&amp;CK Mappings'!$F707))),ISNUMBER(SEARCH(IF(E$2&lt;&gt;"",E$2,"NA"),'MITRE ATT&amp;CK Mappings'!$G707))),ISNUMBER(SEARCH(IF(E$2&lt;&gt;"",E$2,"NA"),'MITRE ATT&amp;CK Mappings'!$H707))),ISNUMBER(SEARCH(IF(E$3&lt;&gt;"",E$3,"NA"),'MITRE ATT&amp;CK Mappings'!$I707))),ISNUMBER(SEARCH(IF(E$3&lt;&gt;"",E$3,"NA"),'MITRE ATT&amp;CK Mappings'!$J707))), 'MITRE ATT&amp;CK Mappings'!$B707,"")</f>
        <v/>
      </c>
      <c r="F711" s="27" t="str">
        <f>IF(OR(OR(OR(OR(OR(ISNUMBER(SEARCH(IF(F$1&lt;&gt;"",F$1,"NA"),'MITRE ATT&amp;CK Mappings'!$E707)),ISNUMBER(SEARCH(IF(F$1&lt;&gt;"",F$1,"NA"),'MITRE ATT&amp;CK Mappings'!$F707))),ISNUMBER(SEARCH(IF(F$2&lt;&gt;"",F$2,"NA"),'MITRE ATT&amp;CK Mappings'!$G707))),ISNUMBER(SEARCH(IF(F$2&lt;&gt;"",F$2,"NA"),'MITRE ATT&amp;CK Mappings'!$H707))),ISNUMBER(SEARCH(IF(F$3&lt;&gt;"",F$3,"NA"),'MITRE ATT&amp;CK Mappings'!$I707))),ISNUMBER(SEARCH(IF(F$3&lt;&gt;"",F$3,"NA"),'MITRE ATT&amp;CK Mappings'!$J707))), 'MITRE ATT&amp;CK Mappings'!$B707,"")</f>
        <v/>
      </c>
      <c r="G711" s="27" t="str">
        <f>IF(OR(OR(OR(OR(OR(ISNUMBER(SEARCH(IF(G$1&lt;&gt;"",G$1,"NA"),'MITRE ATT&amp;CK Mappings'!$E707)),ISNUMBER(SEARCH(IF(G$1&lt;&gt;"",G$1,"NA"),'MITRE ATT&amp;CK Mappings'!$F707))),ISNUMBER(SEARCH(IF(G$2&lt;&gt;"",G$2,"NA"),'MITRE ATT&amp;CK Mappings'!$G707))),ISNUMBER(SEARCH(IF(G$2&lt;&gt;"",G$2,"NA"),'MITRE ATT&amp;CK Mappings'!$H707))),ISNUMBER(SEARCH(IF(G$3&lt;&gt;"",G$3,"NA"),'MITRE ATT&amp;CK Mappings'!$I707))),ISNUMBER(SEARCH(IF(G$3&lt;&gt;"",G$3,"NA"),'MITRE ATT&amp;CK Mappings'!$J707))), 'MITRE ATT&amp;CK Mappings'!$B707,"")</f>
        <v/>
      </c>
      <c r="H711" s="27" t="str">
        <f>IF(OR(OR(OR(OR(OR(ISNUMBER(SEARCH(IF(H$1&lt;&gt;"",H$1,"NA"),'MITRE ATT&amp;CK Mappings'!$E707)),ISNUMBER(SEARCH(IF(H$1&lt;&gt;"",H$1,"NA"),'MITRE ATT&amp;CK Mappings'!$F707))),ISNUMBER(SEARCH(IF(H$2&lt;&gt;"",H$2,"NA"),'MITRE ATT&amp;CK Mappings'!$G707))),ISNUMBER(SEARCH(IF(H$2&lt;&gt;"",H$2,"NA"),'MITRE ATT&amp;CK Mappings'!$H707))),ISNUMBER(SEARCH(IF(H$3&lt;&gt;"",H$3,"NA"),'MITRE ATT&amp;CK Mappings'!$I707))),ISNUMBER(SEARCH(IF(H$3&lt;&gt;"",H$3,"NA"),'MITRE ATT&amp;CK Mappings'!$J707))), 'MITRE ATT&amp;CK Mappings'!$B707,"")</f>
        <v/>
      </c>
      <c r="I711" s="27" t="str">
        <f>IF(OR(OR(OR(OR(OR(ISNUMBER(SEARCH(IF(I$1&lt;&gt;"",I$1,"NA"),'MITRE ATT&amp;CK Mappings'!$E707)),ISNUMBER(SEARCH(IF(I$1&lt;&gt;"",I$1,"NA"),'MITRE ATT&amp;CK Mappings'!$F707))),ISNUMBER(SEARCH(IF(I$2&lt;&gt;"",I$2,"NA"),'MITRE ATT&amp;CK Mappings'!$G707))),ISNUMBER(SEARCH(IF(I$2&lt;&gt;"",I$2,"NA"),'MITRE ATT&amp;CK Mappings'!$H707))),ISNUMBER(SEARCH(IF(I$3&lt;&gt;"",I$3,"NA"),'MITRE ATT&amp;CK Mappings'!$I707))),ISNUMBER(SEARCH(IF(I$3&lt;&gt;"",I$3,"NA"),'MITRE ATT&amp;CK Mappings'!$J707))), 'MITRE ATT&amp;CK Mappings'!$B707,"")</f>
        <v/>
      </c>
      <c r="J711" s="27" t="str">
        <f>IF(OR(OR(OR(OR(OR(ISNUMBER(SEARCH(IF(J$1&lt;&gt;"",J$1,"NA"),'MITRE ATT&amp;CK Mappings'!$E707)),ISNUMBER(SEARCH(IF(J$1&lt;&gt;"",J$1,"NA"),'MITRE ATT&amp;CK Mappings'!$F707))),ISNUMBER(SEARCH(IF(J$2&lt;&gt;"",J$2,"NA"),'MITRE ATT&amp;CK Mappings'!$G707))),ISNUMBER(SEARCH(IF(J$2&lt;&gt;"",J$2,"NA"),'MITRE ATT&amp;CK Mappings'!$H707))),ISNUMBER(SEARCH(IF(J$3&lt;&gt;"",J$3,"NA"),'MITRE ATT&amp;CK Mappings'!$I707))),ISNUMBER(SEARCH(IF(J$3&lt;&gt;"",J$3,"NA"),'MITRE ATT&amp;CK Mappings'!$J707))), 'MITRE ATT&amp;CK Mappings'!$B707,"")</f>
        <v/>
      </c>
      <c r="K711" s="27" t="str">
        <f>IF(OR(OR(OR(OR(OR(ISNUMBER(SEARCH(IF(K$1&lt;&gt;"",K$1,"NA"),'MITRE ATT&amp;CK Mappings'!$E707)),ISNUMBER(SEARCH(IF(K$1&lt;&gt;"",K$1,"NA"),'MITRE ATT&amp;CK Mappings'!$F707))),ISNUMBER(SEARCH(IF(K$2&lt;&gt;"",K$2,"NA"),'MITRE ATT&amp;CK Mappings'!$G707))),ISNUMBER(SEARCH(IF(K$2&lt;&gt;"",K$2,"NA"),'MITRE ATT&amp;CK Mappings'!$H707))),ISNUMBER(SEARCH(IF(K$3&lt;&gt;"",K$3,"NA"),'MITRE ATT&amp;CK Mappings'!$I707))),ISNUMBER(SEARCH(IF(K$3&lt;&gt;"",K$3,"NA"),'MITRE ATT&amp;CK Mappings'!$J707))), 'MITRE ATT&amp;CK Mappings'!$B707,"")</f>
        <v/>
      </c>
      <c r="L711" s="27" t="str">
        <f>IF('MITRE ATT&amp;CK Mappings'!D707 &lt;&gt;"",'MITRE ATT&amp;CK Mappings'!D707,"" )</f>
        <v/>
      </c>
    </row>
    <row r="712" spans="1:12" x14ac:dyDescent="0.25">
      <c r="A712" s="26" t="str">
        <f>IF(COUNTIF(B712:K712,"="&amp;'MITRE ATT&amp;CK Mappings'!B708)&gt;0,'MITRE ATT&amp;CK Mappings'!B708,"")</f>
        <v/>
      </c>
      <c r="B712" s="26" t="str">
        <f>IF(OR(OR(OR(OR(OR(ISNUMBER(SEARCH(IF(B$1&lt;&gt;"",B$1,"NA"),'MITRE ATT&amp;CK Mappings'!$E708)),ISNUMBER(SEARCH(IF(B$1&lt;&gt;"",B$1,"NA"),'MITRE ATT&amp;CK Mappings'!$F708))),ISNUMBER(SEARCH(IF(B$2&lt;&gt;"",B$2,"NA"),'MITRE ATT&amp;CK Mappings'!$G708))),ISNUMBER(SEARCH(IF(B$2&lt;&gt;"",B$2,"NA"),'MITRE ATT&amp;CK Mappings'!$H708))),ISNUMBER(SEARCH(IF(B$3&lt;&gt;"",B$3,"NA"),'MITRE ATT&amp;CK Mappings'!$I708))),ISNUMBER(SEARCH(IF(B$3&lt;&gt;"",B$3,"NA"),'MITRE ATT&amp;CK Mappings'!$J708))), 'MITRE ATT&amp;CK Mappings'!$B708,"")</f>
        <v/>
      </c>
      <c r="C712" s="26" t="str">
        <f>IF(OR(OR(OR(OR(OR(ISNUMBER(SEARCH(IF(C$1&lt;&gt;"",C$1,"NA"),'MITRE ATT&amp;CK Mappings'!$E708)),ISNUMBER(SEARCH(IF(C$1&lt;&gt;"",C$1,"NA"),'MITRE ATT&amp;CK Mappings'!$F708))),ISNUMBER(SEARCH(IF(C$2&lt;&gt;"",C$2,"NA"),'MITRE ATT&amp;CK Mappings'!$G708))),ISNUMBER(SEARCH(IF(C$2&lt;&gt;"",C$2,"NA"),'MITRE ATT&amp;CK Mappings'!$H708))),ISNUMBER(SEARCH(IF(C$3&lt;&gt;"",C$3,"NA"),'MITRE ATT&amp;CK Mappings'!$I708))),ISNUMBER(SEARCH(IF(C$3&lt;&gt;"",C$3,"NA"),'MITRE ATT&amp;CK Mappings'!$J708))), 'MITRE ATT&amp;CK Mappings'!$B708,"")</f>
        <v/>
      </c>
      <c r="D712" s="26" t="str">
        <f>IF(OR(OR(OR(OR(OR(ISNUMBER(SEARCH(IF(D$1&lt;&gt;"",D$1,"NA"),'MITRE ATT&amp;CK Mappings'!$E708)),ISNUMBER(SEARCH(IF(D$1&lt;&gt;"",D$1,"NA"),'MITRE ATT&amp;CK Mappings'!$F708))),ISNUMBER(SEARCH(IF(D$2&lt;&gt;"",D$2,"NA"),'MITRE ATT&amp;CK Mappings'!$G708))),ISNUMBER(SEARCH(IF(D$2&lt;&gt;"",D$2,"NA"),'MITRE ATT&amp;CK Mappings'!$H708))),ISNUMBER(SEARCH(IF(D$3&lt;&gt;"",D$3,"NA"),'MITRE ATT&amp;CK Mappings'!$I708))),ISNUMBER(SEARCH(IF(D$3&lt;&gt;"",D$3,"NA"),'MITRE ATT&amp;CK Mappings'!$J708))), 'MITRE ATT&amp;CK Mappings'!$B708,"")</f>
        <v/>
      </c>
      <c r="E712" s="26" t="str">
        <f>IF(OR(OR(OR(OR(OR(ISNUMBER(SEARCH(IF(E$1&lt;&gt;"",E$1,"NA"),'MITRE ATT&amp;CK Mappings'!$E708)),ISNUMBER(SEARCH(IF(E$1&lt;&gt;"",E$1,"NA"),'MITRE ATT&amp;CK Mappings'!$F708))),ISNUMBER(SEARCH(IF(E$2&lt;&gt;"",E$2,"NA"),'MITRE ATT&amp;CK Mappings'!$G708))),ISNUMBER(SEARCH(IF(E$2&lt;&gt;"",E$2,"NA"),'MITRE ATT&amp;CK Mappings'!$H708))),ISNUMBER(SEARCH(IF(E$3&lt;&gt;"",E$3,"NA"),'MITRE ATT&amp;CK Mappings'!$I708))),ISNUMBER(SEARCH(IF(E$3&lt;&gt;"",E$3,"NA"),'MITRE ATT&amp;CK Mappings'!$J708))), 'MITRE ATT&amp;CK Mappings'!$B708,"")</f>
        <v/>
      </c>
      <c r="F712" s="26" t="str">
        <f>IF(OR(OR(OR(OR(OR(ISNUMBER(SEARCH(IF(F$1&lt;&gt;"",F$1,"NA"),'MITRE ATT&amp;CK Mappings'!$E708)),ISNUMBER(SEARCH(IF(F$1&lt;&gt;"",F$1,"NA"),'MITRE ATT&amp;CK Mappings'!$F708))),ISNUMBER(SEARCH(IF(F$2&lt;&gt;"",F$2,"NA"),'MITRE ATT&amp;CK Mappings'!$G708))),ISNUMBER(SEARCH(IF(F$2&lt;&gt;"",F$2,"NA"),'MITRE ATT&amp;CK Mappings'!$H708))),ISNUMBER(SEARCH(IF(F$3&lt;&gt;"",F$3,"NA"),'MITRE ATT&amp;CK Mappings'!$I708))),ISNUMBER(SEARCH(IF(F$3&lt;&gt;"",F$3,"NA"),'MITRE ATT&amp;CK Mappings'!$J708))), 'MITRE ATT&amp;CK Mappings'!$B708,"")</f>
        <v/>
      </c>
      <c r="G712" s="26" t="str">
        <f>IF(OR(OR(OR(OR(OR(ISNUMBER(SEARCH(IF(G$1&lt;&gt;"",G$1,"NA"),'MITRE ATT&amp;CK Mappings'!$E708)),ISNUMBER(SEARCH(IF(G$1&lt;&gt;"",G$1,"NA"),'MITRE ATT&amp;CK Mappings'!$F708))),ISNUMBER(SEARCH(IF(G$2&lt;&gt;"",G$2,"NA"),'MITRE ATT&amp;CK Mappings'!$G708))),ISNUMBER(SEARCH(IF(G$2&lt;&gt;"",G$2,"NA"),'MITRE ATT&amp;CK Mappings'!$H708))),ISNUMBER(SEARCH(IF(G$3&lt;&gt;"",G$3,"NA"),'MITRE ATT&amp;CK Mappings'!$I708))),ISNUMBER(SEARCH(IF(G$3&lt;&gt;"",G$3,"NA"),'MITRE ATT&amp;CK Mappings'!$J708))), 'MITRE ATT&amp;CK Mappings'!$B708,"")</f>
        <v/>
      </c>
      <c r="H712" s="26" t="str">
        <f>IF(OR(OR(OR(OR(OR(ISNUMBER(SEARCH(IF(H$1&lt;&gt;"",H$1,"NA"),'MITRE ATT&amp;CK Mappings'!$E708)),ISNUMBER(SEARCH(IF(H$1&lt;&gt;"",H$1,"NA"),'MITRE ATT&amp;CK Mappings'!$F708))),ISNUMBER(SEARCH(IF(H$2&lt;&gt;"",H$2,"NA"),'MITRE ATT&amp;CK Mappings'!$G708))),ISNUMBER(SEARCH(IF(H$2&lt;&gt;"",H$2,"NA"),'MITRE ATT&amp;CK Mappings'!$H708))),ISNUMBER(SEARCH(IF(H$3&lt;&gt;"",H$3,"NA"),'MITRE ATT&amp;CK Mappings'!$I708))),ISNUMBER(SEARCH(IF(H$3&lt;&gt;"",H$3,"NA"),'MITRE ATT&amp;CK Mappings'!$J708))), 'MITRE ATT&amp;CK Mappings'!$B708,"")</f>
        <v/>
      </c>
      <c r="I712" s="26" t="str">
        <f>IF(OR(OR(OR(OR(OR(ISNUMBER(SEARCH(IF(I$1&lt;&gt;"",I$1,"NA"),'MITRE ATT&amp;CK Mappings'!$E708)),ISNUMBER(SEARCH(IF(I$1&lt;&gt;"",I$1,"NA"),'MITRE ATT&amp;CK Mappings'!$F708))),ISNUMBER(SEARCH(IF(I$2&lt;&gt;"",I$2,"NA"),'MITRE ATT&amp;CK Mappings'!$G708))),ISNUMBER(SEARCH(IF(I$2&lt;&gt;"",I$2,"NA"),'MITRE ATT&amp;CK Mappings'!$H708))),ISNUMBER(SEARCH(IF(I$3&lt;&gt;"",I$3,"NA"),'MITRE ATT&amp;CK Mappings'!$I708))),ISNUMBER(SEARCH(IF(I$3&lt;&gt;"",I$3,"NA"),'MITRE ATT&amp;CK Mappings'!$J708))), 'MITRE ATT&amp;CK Mappings'!$B708,"")</f>
        <v/>
      </c>
      <c r="J712" s="26" t="str">
        <f>IF(OR(OR(OR(OR(OR(ISNUMBER(SEARCH(IF(J$1&lt;&gt;"",J$1,"NA"),'MITRE ATT&amp;CK Mappings'!$E708)),ISNUMBER(SEARCH(IF(J$1&lt;&gt;"",J$1,"NA"),'MITRE ATT&amp;CK Mappings'!$F708))),ISNUMBER(SEARCH(IF(J$2&lt;&gt;"",J$2,"NA"),'MITRE ATT&amp;CK Mappings'!$G708))),ISNUMBER(SEARCH(IF(J$2&lt;&gt;"",J$2,"NA"),'MITRE ATT&amp;CK Mappings'!$H708))),ISNUMBER(SEARCH(IF(J$3&lt;&gt;"",J$3,"NA"),'MITRE ATT&amp;CK Mappings'!$I708))),ISNUMBER(SEARCH(IF(J$3&lt;&gt;"",J$3,"NA"),'MITRE ATT&amp;CK Mappings'!$J708))), 'MITRE ATT&amp;CK Mappings'!$B708,"")</f>
        <v/>
      </c>
      <c r="K712" s="26" t="str">
        <f>IF(OR(OR(OR(OR(OR(ISNUMBER(SEARCH(IF(K$1&lt;&gt;"",K$1,"NA"),'MITRE ATT&amp;CK Mappings'!$E708)),ISNUMBER(SEARCH(IF(K$1&lt;&gt;"",K$1,"NA"),'MITRE ATT&amp;CK Mappings'!$F708))),ISNUMBER(SEARCH(IF(K$2&lt;&gt;"",K$2,"NA"),'MITRE ATT&amp;CK Mappings'!$G708))),ISNUMBER(SEARCH(IF(K$2&lt;&gt;"",K$2,"NA"),'MITRE ATT&amp;CK Mappings'!$H708))),ISNUMBER(SEARCH(IF(K$3&lt;&gt;"",K$3,"NA"),'MITRE ATT&amp;CK Mappings'!$I708))),ISNUMBER(SEARCH(IF(K$3&lt;&gt;"",K$3,"NA"),'MITRE ATT&amp;CK Mappings'!$J708))), 'MITRE ATT&amp;CK Mappings'!$B708,"")</f>
        <v/>
      </c>
      <c r="L712" s="26" t="str">
        <f>IF('MITRE ATT&amp;CK Mappings'!D708 &lt;&gt;"",'MITRE ATT&amp;CK Mappings'!D708,"" )</f>
        <v/>
      </c>
    </row>
    <row r="713" spans="1:12" x14ac:dyDescent="0.25">
      <c r="A713" s="27" t="str">
        <f>IF(COUNTIF(B713:K713,"="&amp;'MITRE ATT&amp;CK Mappings'!B709)&gt;0,'MITRE ATT&amp;CK Mappings'!B709,"")</f>
        <v/>
      </c>
      <c r="B713" s="27" t="str">
        <f>IF(OR(OR(OR(OR(OR(ISNUMBER(SEARCH(IF(B$1&lt;&gt;"",B$1,"NA"),'MITRE ATT&amp;CK Mappings'!$E709)),ISNUMBER(SEARCH(IF(B$1&lt;&gt;"",B$1,"NA"),'MITRE ATT&amp;CK Mappings'!$F709))),ISNUMBER(SEARCH(IF(B$2&lt;&gt;"",B$2,"NA"),'MITRE ATT&amp;CK Mappings'!$G709))),ISNUMBER(SEARCH(IF(B$2&lt;&gt;"",B$2,"NA"),'MITRE ATT&amp;CK Mappings'!$H709))),ISNUMBER(SEARCH(IF(B$3&lt;&gt;"",B$3,"NA"),'MITRE ATT&amp;CK Mappings'!$I709))),ISNUMBER(SEARCH(IF(B$3&lt;&gt;"",B$3,"NA"),'MITRE ATT&amp;CK Mappings'!$J709))), 'MITRE ATT&amp;CK Mappings'!$B709,"")</f>
        <v/>
      </c>
      <c r="C713" s="27" t="str">
        <f>IF(OR(OR(OR(OR(OR(ISNUMBER(SEARCH(IF(C$1&lt;&gt;"",C$1,"NA"),'MITRE ATT&amp;CK Mappings'!$E709)),ISNUMBER(SEARCH(IF(C$1&lt;&gt;"",C$1,"NA"),'MITRE ATT&amp;CK Mappings'!$F709))),ISNUMBER(SEARCH(IF(C$2&lt;&gt;"",C$2,"NA"),'MITRE ATT&amp;CK Mappings'!$G709))),ISNUMBER(SEARCH(IF(C$2&lt;&gt;"",C$2,"NA"),'MITRE ATT&amp;CK Mappings'!$H709))),ISNUMBER(SEARCH(IF(C$3&lt;&gt;"",C$3,"NA"),'MITRE ATT&amp;CK Mappings'!$I709))),ISNUMBER(SEARCH(IF(C$3&lt;&gt;"",C$3,"NA"),'MITRE ATT&amp;CK Mappings'!$J709))), 'MITRE ATT&amp;CK Mappings'!$B709,"")</f>
        <v/>
      </c>
      <c r="D713" s="27" t="str">
        <f>IF(OR(OR(OR(OR(OR(ISNUMBER(SEARCH(IF(D$1&lt;&gt;"",D$1,"NA"),'MITRE ATT&amp;CK Mappings'!$E709)),ISNUMBER(SEARCH(IF(D$1&lt;&gt;"",D$1,"NA"),'MITRE ATT&amp;CK Mappings'!$F709))),ISNUMBER(SEARCH(IF(D$2&lt;&gt;"",D$2,"NA"),'MITRE ATT&amp;CK Mappings'!$G709))),ISNUMBER(SEARCH(IF(D$2&lt;&gt;"",D$2,"NA"),'MITRE ATT&amp;CK Mappings'!$H709))),ISNUMBER(SEARCH(IF(D$3&lt;&gt;"",D$3,"NA"),'MITRE ATT&amp;CK Mappings'!$I709))),ISNUMBER(SEARCH(IF(D$3&lt;&gt;"",D$3,"NA"),'MITRE ATT&amp;CK Mappings'!$J709))), 'MITRE ATT&amp;CK Mappings'!$B709,"")</f>
        <v/>
      </c>
      <c r="E713" s="27" t="str">
        <f>IF(OR(OR(OR(OR(OR(ISNUMBER(SEARCH(IF(E$1&lt;&gt;"",E$1,"NA"),'MITRE ATT&amp;CK Mappings'!$E709)),ISNUMBER(SEARCH(IF(E$1&lt;&gt;"",E$1,"NA"),'MITRE ATT&amp;CK Mappings'!$F709))),ISNUMBER(SEARCH(IF(E$2&lt;&gt;"",E$2,"NA"),'MITRE ATT&amp;CK Mappings'!$G709))),ISNUMBER(SEARCH(IF(E$2&lt;&gt;"",E$2,"NA"),'MITRE ATT&amp;CK Mappings'!$H709))),ISNUMBER(SEARCH(IF(E$3&lt;&gt;"",E$3,"NA"),'MITRE ATT&amp;CK Mappings'!$I709))),ISNUMBER(SEARCH(IF(E$3&lt;&gt;"",E$3,"NA"),'MITRE ATT&amp;CK Mappings'!$J709))), 'MITRE ATT&amp;CK Mappings'!$B709,"")</f>
        <v/>
      </c>
      <c r="F713" s="27" t="str">
        <f>IF(OR(OR(OR(OR(OR(ISNUMBER(SEARCH(IF(F$1&lt;&gt;"",F$1,"NA"),'MITRE ATT&amp;CK Mappings'!$E709)),ISNUMBER(SEARCH(IF(F$1&lt;&gt;"",F$1,"NA"),'MITRE ATT&amp;CK Mappings'!$F709))),ISNUMBER(SEARCH(IF(F$2&lt;&gt;"",F$2,"NA"),'MITRE ATT&amp;CK Mappings'!$G709))),ISNUMBER(SEARCH(IF(F$2&lt;&gt;"",F$2,"NA"),'MITRE ATT&amp;CK Mappings'!$H709))),ISNUMBER(SEARCH(IF(F$3&lt;&gt;"",F$3,"NA"),'MITRE ATT&amp;CK Mappings'!$I709))),ISNUMBER(SEARCH(IF(F$3&lt;&gt;"",F$3,"NA"),'MITRE ATT&amp;CK Mappings'!$J709))), 'MITRE ATT&amp;CK Mappings'!$B709,"")</f>
        <v/>
      </c>
      <c r="G713" s="27" t="str">
        <f>IF(OR(OR(OR(OR(OR(ISNUMBER(SEARCH(IF(G$1&lt;&gt;"",G$1,"NA"),'MITRE ATT&amp;CK Mappings'!$E709)),ISNUMBER(SEARCH(IF(G$1&lt;&gt;"",G$1,"NA"),'MITRE ATT&amp;CK Mappings'!$F709))),ISNUMBER(SEARCH(IF(G$2&lt;&gt;"",G$2,"NA"),'MITRE ATT&amp;CK Mappings'!$G709))),ISNUMBER(SEARCH(IF(G$2&lt;&gt;"",G$2,"NA"),'MITRE ATT&amp;CK Mappings'!$H709))),ISNUMBER(SEARCH(IF(G$3&lt;&gt;"",G$3,"NA"),'MITRE ATT&amp;CK Mappings'!$I709))),ISNUMBER(SEARCH(IF(G$3&lt;&gt;"",G$3,"NA"),'MITRE ATT&amp;CK Mappings'!$J709))), 'MITRE ATT&amp;CK Mappings'!$B709,"")</f>
        <v/>
      </c>
      <c r="H713" s="27" t="str">
        <f>IF(OR(OR(OR(OR(OR(ISNUMBER(SEARCH(IF(H$1&lt;&gt;"",H$1,"NA"),'MITRE ATT&amp;CK Mappings'!$E709)),ISNUMBER(SEARCH(IF(H$1&lt;&gt;"",H$1,"NA"),'MITRE ATT&amp;CK Mappings'!$F709))),ISNUMBER(SEARCH(IF(H$2&lt;&gt;"",H$2,"NA"),'MITRE ATT&amp;CK Mappings'!$G709))),ISNUMBER(SEARCH(IF(H$2&lt;&gt;"",H$2,"NA"),'MITRE ATT&amp;CK Mappings'!$H709))),ISNUMBER(SEARCH(IF(H$3&lt;&gt;"",H$3,"NA"),'MITRE ATT&amp;CK Mappings'!$I709))),ISNUMBER(SEARCH(IF(H$3&lt;&gt;"",H$3,"NA"),'MITRE ATT&amp;CK Mappings'!$J709))), 'MITRE ATT&amp;CK Mappings'!$B709,"")</f>
        <v/>
      </c>
      <c r="I713" s="27" t="str">
        <f>IF(OR(OR(OR(OR(OR(ISNUMBER(SEARCH(IF(I$1&lt;&gt;"",I$1,"NA"),'MITRE ATT&amp;CK Mappings'!$E709)),ISNUMBER(SEARCH(IF(I$1&lt;&gt;"",I$1,"NA"),'MITRE ATT&amp;CK Mappings'!$F709))),ISNUMBER(SEARCH(IF(I$2&lt;&gt;"",I$2,"NA"),'MITRE ATT&amp;CK Mappings'!$G709))),ISNUMBER(SEARCH(IF(I$2&lt;&gt;"",I$2,"NA"),'MITRE ATT&amp;CK Mappings'!$H709))),ISNUMBER(SEARCH(IF(I$3&lt;&gt;"",I$3,"NA"),'MITRE ATT&amp;CK Mappings'!$I709))),ISNUMBER(SEARCH(IF(I$3&lt;&gt;"",I$3,"NA"),'MITRE ATT&amp;CK Mappings'!$J709))), 'MITRE ATT&amp;CK Mappings'!$B709,"")</f>
        <v/>
      </c>
      <c r="J713" s="27" t="str">
        <f>IF(OR(OR(OR(OR(OR(ISNUMBER(SEARCH(IF(J$1&lt;&gt;"",J$1,"NA"),'MITRE ATT&amp;CK Mappings'!$E709)),ISNUMBER(SEARCH(IF(J$1&lt;&gt;"",J$1,"NA"),'MITRE ATT&amp;CK Mappings'!$F709))),ISNUMBER(SEARCH(IF(J$2&lt;&gt;"",J$2,"NA"),'MITRE ATT&amp;CK Mappings'!$G709))),ISNUMBER(SEARCH(IF(J$2&lt;&gt;"",J$2,"NA"),'MITRE ATT&amp;CK Mappings'!$H709))),ISNUMBER(SEARCH(IF(J$3&lt;&gt;"",J$3,"NA"),'MITRE ATT&amp;CK Mappings'!$I709))),ISNUMBER(SEARCH(IF(J$3&lt;&gt;"",J$3,"NA"),'MITRE ATT&amp;CK Mappings'!$J709))), 'MITRE ATT&amp;CK Mappings'!$B709,"")</f>
        <v/>
      </c>
      <c r="K713" s="27" t="str">
        <f>IF(OR(OR(OR(OR(OR(ISNUMBER(SEARCH(IF(K$1&lt;&gt;"",K$1,"NA"),'MITRE ATT&amp;CK Mappings'!$E709)),ISNUMBER(SEARCH(IF(K$1&lt;&gt;"",K$1,"NA"),'MITRE ATT&amp;CK Mappings'!$F709))),ISNUMBER(SEARCH(IF(K$2&lt;&gt;"",K$2,"NA"),'MITRE ATT&amp;CK Mappings'!$G709))),ISNUMBER(SEARCH(IF(K$2&lt;&gt;"",K$2,"NA"),'MITRE ATT&amp;CK Mappings'!$H709))),ISNUMBER(SEARCH(IF(K$3&lt;&gt;"",K$3,"NA"),'MITRE ATT&amp;CK Mappings'!$I709))),ISNUMBER(SEARCH(IF(K$3&lt;&gt;"",K$3,"NA"),'MITRE ATT&amp;CK Mappings'!$J709))), 'MITRE ATT&amp;CK Mappings'!$B709,"")</f>
        <v/>
      </c>
      <c r="L713" s="27" t="str">
        <f>IF('MITRE ATT&amp;CK Mappings'!D709 &lt;&gt;"",'MITRE ATT&amp;CK Mappings'!D709,"" )</f>
        <v/>
      </c>
    </row>
    <row r="714" spans="1:12" x14ac:dyDescent="0.25">
      <c r="A714" s="26" t="str">
        <f>IF(COUNTIF(B714:K714,"="&amp;'MITRE ATT&amp;CK Mappings'!B710)&gt;0,'MITRE ATT&amp;CK Mappings'!B710,"")</f>
        <v/>
      </c>
      <c r="B714" s="26" t="str">
        <f>IF(OR(OR(OR(OR(OR(ISNUMBER(SEARCH(IF(B$1&lt;&gt;"",B$1,"NA"),'MITRE ATT&amp;CK Mappings'!$E710)),ISNUMBER(SEARCH(IF(B$1&lt;&gt;"",B$1,"NA"),'MITRE ATT&amp;CK Mappings'!$F710))),ISNUMBER(SEARCH(IF(B$2&lt;&gt;"",B$2,"NA"),'MITRE ATT&amp;CK Mappings'!$G710))),ISNUMBER(SEARCH(IF(B$2&lt;&gt;"",B$2,"NA"),'MITRE ATT&amp;CK Mappings'!$H710))),ISNUMBER(SEARCH(IF(B$3&lt;&gt;"",B$3,"NA"),'MITRE ATT&amp;CK Mappings'!$I710))),ISNUMBER(SEARCH(IF(B$3&lt;&gt;"",B$3,"NA"),'MITRE ATT&amp;CK Mappings'!$J710))), 'MITRE ATT&amp;CK Mappings'!$B710,"")</f>
        <v/>
      </c>
      <c r="C714" s="26" t="str">
        <f>IF(OR(OR(OR(OR(OR(ISNUMBER(SEARCH(IF(C$1&lt;&gt;"",C$1,"NA"),'MITRE ATT&amp;CK Mappings'!$E710)),ISNUMBER(SEARCH(IF(C$1&lt;&gt;"",C$1,"NA"),'MITRE ATT&amp;CK Mappings'!$F710))),ISNUMBER(SEARCH(IF(C$2&lt;&gt;"",C$2,"NA"),'MITRE ATT&amp;CK Mappings'!$G710))),ISNUMBER(SEARCH(IF(C$2&lt;&gt;"",C$2,"NA"),'MITRE ATT&amp;CK Mappings'!$H710))),ISNUMBER(SEARCH(IF(C$3&lt;&gt;"",C$3,"NA"),'MITRE ATT&amp;CK Mappings'!$I710))),ISNUMBER(SEARCH(IF(C$3&lt;&gt;"",C$3,"NA"),'MITRE ATT&amp;CK Mappings'!$J710))), 'MITRE ATT&amp;CK Mappings'!$B710,"")</f>
        <v/>
      </c>
      <c r="D714" s="26" t="str">
        <f>IF(OR(OR(OR(OR(OR(ISNUMBER(SEARCH(IF(D$1&lt;&gt;"",D$1,"NA"),'MITRE ATT&amp;CK Mappings'!$E710)),ISNUMBER(SEARCH(IF(D$1&lt;&gt;"",D$1,"NA"),'MITRE ATT&amp;CK Mappings'!$F710))),ISNUMBER(SEARCH(IF(D$2&lt;&gt;"",D$2,"NA"),'MITRE ATT&amp;CK Mappings'!$G710))),ISNUMBER(SEARCH(IF(D$2&lt;&gt;"",D$2,"NA"),'MITRE ATT&amp;CK Mappings'!$H710))),ISNUMBER(SEARCH(IF(D$3&lt;&gt;"",D$3,"NA"),'MITRE ATT&amp;CK Mappings'!$I710))),ISNUMBER(SEARCH(IF(D$3&lt;&gt;"",D$3,"NA"),'MITRE ATT&amp;CK Mappings'!$J710))), 'MITRE ATT&amp;CK Mappings'!$B710,"")</f>
        <v/>
      </c>
      <c r="E714" s="26" t="str">
        <f>IF(OR(OR(OR(OR(OR(ISNUMBER(SEARCH(IF(E$1&lt;&gt;"",E$1,"NA"),'MITRE ATT&amp;CK Mappings'!$E710)),ISNUMBER(SEARCH(IF(E$1&lt;&gt;"",E$1,"NA"),'MITRE ATT&amp;CK Mappings'!$F710))),ISNUMBER(SEARCH(IF(E$2&lt;&gt;"",E$2,"NA"),'MITRE ATT&amp;CK Mappings'!$G710))),ISNUMBER(SEARCH(IF(E$2&lt;&gt;"",E$2,"NA"),'MITRE ATT&amp;CK Mappings'!$H710))),ISNUMBER(SEARCH(IF(E$3&lt;&gt;"",E$3,"NA"),'MITRE ATT&amp;CK Mappings'!$I710))),ISNUMBER(SEARCH(IF(E$3&lt;&gt;"",E$3,"NA"),'MITRE ATT&amp;CK Mappings'!$J710))), 'MITRE ATT&amp;CK Mappings'!$B710,"")</f>
        <v/>
      </c>
      <c r="F714" s="26" t="str">
        <f>IF(OR(OR(OR(OR(OR(ISNUMBER(SEARCH(IF(F$1&lt;&gt;"",F$1,"NA"),'MITRE ATT&amp;CK Mappings'!$E710)),ISNUMBER(SEARCH(IF(F$1&lt;&gt;"",F$1,"NA"),'MITRE ATT&amp;CK Mappings'!$F710))),ISNUMBER(SEARCH(IF(F$2&lt;&gt;"",F$2,"NA"),'MITRE ATT&amp;CK Mappings'!$G710))),ISNUMBER(SEARCH(IF(F$2&lt;&gt;"",F$2,"NA"),'MITRE ATT&amp;CK Mappings'!$H710))),ISNUMBER(SEARCH(IF(F$3&lt;&gt;"",F$3,"NA"),'MITRE ATT&amp;CK Mappings'!$I710))),ISNUMBER(SEARCH(IF(F$3&lt;&gt;"",F$3,"NA"),'MITRE ATT&amp;CK Mappings'!$J710))), 'MITRE ATT&amp;CK Mappings'!$B710,"")</f>
        <v/>
      </c>
      <c r="G714" s="26" t="str">
        <f>IF(OR(OR(OR(OR(OR(ISNUMBER(SEARCH(IF(G$1&lt;&gt;"",G$1,"NA"),'MITRE ATT&amp;CK Mappings'!$E710)),ISNUMBER(SEARCH(IF(G$1&lt;&gt;"",G$1,"NA"),'MITRE ATT&amp;CK Mappings'!$F710))),ISNUMBER(SEARCH(IF(G$2&lt;&gt;"",G$2,"NA"),'MITRE ATT&amp;CK Mappings'!$G710))),ISNUMBER(SEARCH(IF(G$2&lt;&gt;"",G$2,"NA"),'MITRE ATT&amp;CK Mappings'!$H710))),ISNUMBER(SEARCH(IF(G$3&lt;&gt;"",G$3,"NA"),'MITRE ATT&amp;CK Mappings'!$I710))),ISNUMBER(SEARCH(IF(G$3&lt;&gt;"",G$3,"NA"),'MITRE ATT&amp;CK Mappings'!$J710))), 'MITRE ATT&amp;CK Mappings'!$B710,"")</f>
        <v/>
      </c>
      <c r="H714" s="26" t="str">
        <f>IF(OR(OR(OR(OR(OR(ISNUMBER(SEARCH(IF(H$1&lt;&gt;"",H$1,"NA"),'MITRE ATT&amp;CK Mappings'!$E710)),ISNUMBER(SEARCH(IF(H$1&lt;&gt;"",H$1,"NA"),'MITRE ATT&amp;CK Mappings'!$F710))),ISNUMBER(SEARCH(IF(H$2&lt;&gt;"",H$2,"NA"),'MITRE ATT&amp;CK Mappings'!$G710))),ISNUMBER(SEARCH(IF(H$2&lt;&gt;"",H$2,"NA"),'MITRE ATT&amp;CK Mappings'!$H710))),ISNUMBER(SEARCH(IF(H$3&lt;&gt;"",H$3,"NA"),'MITRE ATT&amp;CK Mappings'!$I710))),ISNUMBER(SEARCH(IF(H$3&lt;&gt;"",H$3,"NA"),'MITRE ATT&amp;CK Mappings'!$J710))), 'MITRE ATT&amp;CK Mappings'!$B710,"")</f>
        <v/>
      </c>
      <c r="I714" s="26" t="str">
        <f>IF(OR(OR(OR(OR(OR(ISNUMBER(SEARCH(IF(I$1&lt;&gt;"",I$1,"NA"),'MITRE ATT&amp;CK Mappings'!$E710)),ISNUMBER(SEARCH(IF(I$1&lt;&gt;"",I$1,"NA"),'MITRE ATT&amp;CK Mappings'!$F710))),ISNUMBER(SEARCH(IF(I$2&lt;&gt;"",I$2,"NA"),'MITRE ATT&amp;CK Mappings'!$G710))),ISNUMBER(SEARCH(IF(I$2&lt;&gt;"",I$2,"NA"),'MITRE ATT&amp;CK Mappings'!$H710))),ISNUMBER(SEARCH(IF(I$3&lt;&gt;"",I$3,"NA"),'MITRE ATT&amp;CK Mappings'!$I710))),ISNUMBER(SEARCH(IF(I$3&lt;&gt;"",I$3,"NA"),'MITRE ATT&amp;CK Mappings'!$J710))), 'MITRE ATT&amp;CK Mappings'!$B710,"")</f>
        <v/>
      </c>
      <c r="J714" s="26" t="str">
        <f>IF(OR(OR(OR(OR(OR(ISNUMBER(SEARCH(IF(J$1&lt;&gt;"",J$1,"NA"),'MITRE ATT&amp;CK Mappings'!$E710)),ISNUMBER(SEARCH(IF(J$1&lt;&gt;"",J$1,"NA"),'MITRE ATT&amp;CK Mappings'!$F710))),ISNUMBER(SEARCH(IF(J$2&lt;&gt;"",J$2,"NA"),'MITRE ATT&amp;CK Mappings'!$G710))),ISNUMBER(SEARCH(IF(J$2&lt;&gt;"",J$2,"NA"),'MITRE ATT&amp;CK Mappings'!$H710))),ISNUMBER(SEARCH(IF(J$3&lt;&gt;"",J$3,"NA"),'MITRE ATT&amp;CK Mappings'!$I710))),ISNUMBER(SEARCH(IF(J$3&lt;&gt;"",J$3,"NA"),'MITRE ATT&amp;CK Mappings'!$J710))), 'MITRE ATT&amp;CK Mappings'!$B710,"")</f>
        <v/>
      </c>
      <c r="K714" s="26" t="str">
        <f>IF(OR(OR(OR(OR(OR(ISNUMBER(SEARCH(IF(K$1&lt;&gt;"",K$1,"NA"),'MITRE ATT&amp;CK Mappings'!$E710)),ISNUMBER(SEARCH(IF(K$1&lt;&gt;"",K$1,"NA"),'MITRE ATT&amp;CK Mappings'!$F710))),ISNUMBER(SEARCH(IF(K$2&lt;&gt;"",K$2,"NA"),'MITRE ATT&amp;CK Mappings'!$G710))),ISNUMBER(SEARCH(IF(K$2&lt;&gt;"",K$2,"NA"),'MITRE ATT&amp;CK Mappings'!$H710))),ISNUMBER(SEARCH(IF(K$3&lt;&gt;"",K$3,"NA"),'MITRE ATT&amp;CK Mappings'!$I710))),ISNUMBER(SEARCH(IF(K$3&lt;&gt;"",K$3,"NA"),'MITRE ATT&amp;CK Mappings'!$J710))), 'MITRE ATT&amp;CK Mappings'!$B710,"")</f>
        <v/>
      </c>
      <c r="L714" s="26" t="str">
        <f>IF('MITRE ATT&amp;CK Mappings'!D710 &lt;&gt;"",'MITRE ATT&amp;CK Mappings'!D710,"" )</f>
        <v/>
      </c>
    </row>
    <row r="715" spans="1:12" x14ac:dyDescent="0.25">
      <c r="A715" s="27" t="str">
        <f>IF(COUNTIF(B715:K715,"="&amp;'MITRE ATT&amp;CK Mappings'!B711)&gt;0,'MITRE ATT&amp;CK Mappings'!B711,"")</f>
        <v/>
      </c>
      <c r="B715" s="27" t="str">
        <f>IF(OR(OR(OR(OR(OR(ISNUMBER(SEARCH(IF(B$1&lt;&gt;"",B$1,"NA"),'MITRE ATT&amp;CK Mappings'!$E711)),ISNUMBER(SEARCH(IF(B$1&lt;&gt;"",B$1,"NA"),'MITRE ATT&amp;CK Mappings'!$F711))),ISNUMBER(SEARCH(IF(B$2&lt;&gt;"",B$2,"NA"),'MITRE ATT&amp;CK Mappings'!$G711))),ISNUMBER(SEARCH(IF(B$2&lt;&gt;"",B$2,"NA"),'MITRE ATT&amp;CK Mappings'!$H711))),ISNUMBER(SEARCH(IF(B$3&lt;&gt;"",B$3,"NA"),'MITRE ATT&amp;CK Mappings'!$I711))),ISNUMBER(SEARCH(IF(B$3&lt;&gt;"",B$3,"NA"),'MITRE ATT&amp;CK Mappings'!$J711))), 'MITRE ATT&amp;CK Mappings'!$B711,"")</f>
        <v/>
      </c>
      <c r="C715" s="27" t="str">
        <f>IF(OR(OR(OR(OR(OR(ISNUMBER(SEARCH(IF(C$1&lt;&gt;"",C$1,"NA"),'MITRE ATT&amp;CK Mappings'!$E711)),ISNUMBER(SEARCH(IF(C$1&lt;&gt;"",C$1,"NA"),'MITRE ATT&amp;CK Mappings'!$F711))),ISNUMBER(SEARCH(IF(C$2&lt;&gt;"",C$2,"NA"),'MITRE ATT&amp;CK Mappings'!$G711))),ISNUMBER(SEARCH(IF(C$2&lt;&gt;"",C$2,"NA"),'MITRE ATT&amp;CK Mappings'!$H711))),ISNUMBER(SEARCH(IF(C$3&lt;&gt;"",C$3,"NA"),'MITRE ATT&amp;CK Mappings'!$I711))),ISNUMBER(SEARCH(IF(C$3&lt;&gt;"",C$3,"NA"),'MITRE ATT&amp;CK Mappings'!$J711))), 'MITRE ATT&amp;CK Mappings'!$B711,"")</f>
        <v/>
      </c>
      <c r="D715" s="27" t="str">
        <f>IF(OR(OR(OR(OR(OR(ISNUMBER(SEARCH(IF(D$1&lt;&gt;"",D$1,"NA"),'MITRE ATT&amp;CK Mappings'!$E711)),ISNUMBER(SEARCH(IF(D$1&lt;&gt;"",D$1,"NA"),'MITRE ATT&amp;CK Mappings'!$F711))),ISNUMBER(SEARCH(IF(D$2&lt;&gt;"",D$2,"NA"),'MITRE ATT&amp;CK Mappings'!$G711))),ISNUMBER(SEARCH(IF(D$2&lt;&gt;"",D$2,"NA"),'MITRE ATT&amp;CK Mappings'!$H711))),ISNUMBER(SEARCH(IF(D$3&lt;&gt;"",D$3,"NA"),'MITRE ATT&amp;CK Mappings'!$I711))),ISNUMBER(SEARCH(IF(D$3&lt;&gt;"",D$3,"NA"),'MITRE ATT&amp;CK Mappings'!$J711))), 'MITRE ATT&amp;CK Mappings'!$B711,"")</f>
        <v/>
      </c>
      <c r="E715" s="27" t="str">
        <f>IF(OR(OR(OR(OR(OR(ISNUMBER(SEARCH(IF(E$1&lt;&gt;"",E$1,"NA"),'MITRE ATT&amp;CK Mappings'!$E711)),ISNUMBER(SEARCH(IF(E$1&lt;&gt;"",E$1,"NA"),'MITRE ATT&amp;CK Mappings'!$F711))),ISNUMBER(SEARCH(IF(E$2&lt;&gt;"",E$2,"NA"),'MITRE ATT&amp;CK Mappings'!$G711))),ISNUMBER(SEARCH(IF(E$2&lt;&gt;"",E$2,"NA"),'MITRE ATT&amp;CK Mappings'!$H711))),ISNUMBER(SEARCH(IF(E$3&lt;&gt;"",E$3,"NA"),'MITRE ATT&amp;CK Mappings'!$I711))),ISNUMBER(SEARCH(IF(E$3&lt;&gt;"",E$3,"NA"),'MITRE ATT&amp;CK Mappings'!$J711))), 'MITRE ATT&amp;CK Mappings'!$B711,"")</f>
        <v/>
      </c>
      <c r="F715" s="27" t="str">
        <f>IF(OR(OR(OR(OR(OR(ISNUMBER(SEARCH(IF(F$1&lt;&gt;"",F$1,"NA"),'MITRE ATT&amp;CK Mappings'!$E711)),ISNUMBER(SEARCH(IF(F$1&lt;&gt;"",F$1,"NA"),'MITRE ATT&amp;CK Mappings'!$F711))),ISNUMBER(SEARCH(IF(F$2&lt;&gt;"",F$2,"NA"),'MITRE ATT&amp;CK Mappings'!$G711))),ISNUMBER(SEARCH(IF(F$2&lt;&gt;"",F$2,"NA"),'MITRE ATT&amp;CK Mappings'!$H711))),ISNUMBER(SEARCH(IF(F$3&lt;&gt;"",F$3,"NA"),'MITRE ATT&amp;CK Mappings'!$I711))),ISNUMBER(SEARCH(IF(F$3&lt;&gt;"",F$3,"NA"),'MITRE ATT&amp;CK Mappings'!$J711))), 'MITRE ATT&amp;CK Mappings'!$B711,"")</f>
        <v/>
      </c>
      <c r="G715" s="27" t="str">
        <f>IF(OR(OR(OR(OR(OR(ISNUMBER(SEARCH(IF(G$1&lt;&gt;"",G$1,"NA"),'MITRE ATT&amp;CK Mappings'!$E711)),ISNUMBER(SEARCH(IF(G$1&lt;&gt;"",G$1,"NA"),'MITRE ATT&amp;CK Mappings'!$F711))),ISNUMBER(SEARCH(IF(G$2&lt;&gt;"",G$2,"NA"),'MITRE ATT&amp;CK Mappings'!$G711))),ISNUMBER(SEARCH(IF(G$2&lt;&gt;"",G$2,"NA"),'MITRE ATT&amp;CK Mappings'!$H711))),ISNUMBER(SEARCH(IF(G$3&lt;&gt;"",G$3,"NA"),'MITRE ATT&amp;CK Mappings'!$I711))),ISNUMBER(SEARCH(IF(G$3&lt;&gt;"",G$3,"NA"),'MITRE ATT&amp;CK Mappings'!$J711))), 'MITRE ATT&amp;CK Mappings'!$B711,"")</f>
        <v/>
      </c>
      <c r="H715" s="27" t="str">
        <f>IF(OR(OR(OR(OR(OR(ISNUMBER(SEARCH(IF(H$1&lt;&gt;"",H$1,"NA"),'MITRE ATT&amp;CK Mappings'!$E711)),ISNUMBER(SEARCH(IF(H$1&lt;&gt;"",H$1,"NA"),'MITRE ATT&amp;CK Mappings'!$F711))),ISNUMBER(SEARCH(IF(H$2&lt;&gt;"",H$2,"NA"),'MITRE ATT&amp;CK Mappings'!$G711))),ISNUMBER(SEARCH(IF(H$2&lt;&gt;"",H$2,"NA"),'MITRE ATT&amp;CK Mappings'!$H711))),ISNUMBER(SEARCH(IF(H$3&lt;&gt;"",H$3,"NA"),'MITRE ATT&amp;CK Mappings'!$I711))),ISNUMBER(SEARCH(IF(H$3&lt;&gt;"",H$3,"NA"),'MITRE ATT&amp;CK Mappings'!$J711))), 'MITRE ATT&amp;CK Mappings'!$B711,"")</f>
        <v/>
      </c>
      <c r="I715" s="27" t="str">
        <f>IF(OR(OR(OR(OR(OR(ISNUMBER(SEARCH(IF(I$1&lt;&gt;"",I$1,"NA"),'MITRE ATT&amp;CK Mappings'!$E711)),ISNUMBER(SEARCH(IF(I$1&lt;&gt;"",I$1,"NA"),'MITRE ATT&amp;CK Mappings'!$F711))),ISNUMBER(SEARCH(IF(I$2&lt;&gt;"",I$2,"NA"),'MITRE ATT&amp;CK Mappings'!$G711))),ISNUMBER(SEARCH(IF(I$2&lt;&gt;"",I$2,"NA"),'MITRE ATT&amp;CK Mappings'!$H711))),ISNUMBER(SEARCH(IF(I$3&lt;&gt;"",I$3,"NA"),'MITRE ATT&amp;CK Mappings'!$I711))),ISNUMBER(SEARCH(IF(I$3&lt;&gt;"",I$3,"NA"),'MITRE ATT&amp;CK Mappings'!$J711))), 'MITRE ATT&amp;CK Mappings'!$B711,"")</f>
        <v/>
      </c>
      <c r="J715" s="27" t="str">
        <f>IF(OR(OR(OR(OR(OR(ISNUMBER(SEARCH(IF(J$1&lt;&gt;"",J$1,"NA"),'MITRE ATT&amp;CK Mappings'!$E711)),ISNUMBER(SEARCH(IF(J$1&lt;&gt;"",J$1,"NA"),'MITRE ATT&amp;CK Mappings'!$F711))),ISNUMBER(SEARCH(IF(J$2&lt;&gt;"",J$2,"NA"),'MITRE ATT&amp;CK Mappings'!$G711))),ISNUMBER(SEARCH(IF(J$2&lt;&gt;"",J$2,"NA"),'MITRE ATT&amp;CK Mappings'!$H711))),ISNUMBER(SEARCH(IF(J$3&lt;&gt;"",J$3,"NA"),'MITRE ATT&amp;CK Mappings'!$I711))),ISNUMBER(SEARCH(IF(J$3&lt;&gt;"",J$3,"NA"),'MITRE ATT&amp;CK Mappings'!$J711))), 'MITRE ATT&amp;CK Mappings'!$B711,"")</f>
        <v/>
      </c>
      <c r="K715" s="27" t="str">
        <f>IF(OR(OR(OR(OR(OR(ISNUMBER(SEARCH(IF(K$1&lt;&gt;"",K$1,"NA"),'MITRE ATT&amp;CK Mappings'!$E711)),ISNUMBER(SEARCH(IF(K$1&lt;&gt;"",K$1,"NA"),'MITRE ATT&amp;CK Mappings'!$F711))),ISNUMBER(SEARCH(IF(K$2&lt;&gt;"",K$2,"NA"),'MITRE ATT&amp;CK Mappings'!$G711))),ISNUMBER(SEARCH(IF(K$2&lt;&gt;"",K$2,"NA"),'MITRE ATT&amp;CK Mappings'!$H711))),ISNUMBER(SEARCH(IF(K$3&lt;&gt;"",K$3,"NA"),'MITRE ATT&amp;CK Mappings'!$I711))),ISNUMBER(SEARCH(IF(K$3&lt;&gt;"",K$3,"NA"),'MITRE ATT&amp;CK Mappings'!$J711))), 'MITRE ATT&amp;CK Mappings'!$B711,"")</f>
        <v/>
      </c>
      <c r="L715" s="27" t="str">
        <f>IF('MITRE ATT&amp;CK Mappings'!D711 &lt;&gt;"",'MITRE ATT&amp;CK Mappings'!D711,"" )</f>
        <v/>
      </c>
    </row>
    <row r="716" spans="1:12" x14ac:dyDescent="0.25">
      <c r="A716" s="26" t="str">
        <f>IF(COUNTIF(B716:K716,"="&amp;'MITRE ATT&amp;CK Mappings'!B712)&gt;0,'MITRE ATT&amp;CK Mappings'!B712,"")</f>
        <v/>
      </c>
      <c r="B716" s="26" t="str">
        <f>IF(OR(OR(OR(OR(OR(ISNUMBER(SEARCH(IF(B$1&lt;&gt;"",B$1,"NA"),'MITRE ATT&amp;CK Mappings'!$E712)),ISNUMBER(SEARCH(IF(B$1&lt;&gt;"",B$1,"NA"),'MITRE ATT&amp;CK Mappings'!$F712))),ISNUMBER(SEARCH(IF(B$2&lt;&gt;"",B$2,"NA"),'MITRE ATT&amp;CK Mappings'!$G712))),ISNUMBER(SEARCH(IF(B$2&lt;&gt;"",B$2,"NA"),'MITRE ATT&amp;CK Mappings'!$H712))),ISNUMBER(SEARCH(IF(B$3&lt;&gt;"",B$3,"NA"),'MITRE ATT&amp;CK Mappings'!$I712))),ISNUMBER(SEARCH(IF(B$3&lt;&gt;"",B$3,"NA"),'MITRE ATT&amp;CK Mappings'!$J712))), 'MITRE ATT&amp;CK Mappings'!$B712,"")</f>
        <v/>
      </c>
      <c r="C716" s="26" t="str">
        <f>IF(OR(OR(OR(OR(OR(ISNUMBER(SEARCH(IF(C$1&lt;&gt;"",C$1,"NA"),'MITRE ATT&amp;CK Mappings'!$E712)),ISNUMBER(SEARCH(IF(C$1&lt;&gt;"",C$1,"NA"),'MITRE ATT&amp;CK Mappings'!$F712))),ISNUMBER(SEARCH(IF(C$2&lt;&gt;"",C$2,"NA"),'MITRE ATT&amp;CK Mappings'!$G712))),ISNUMBER(SEARCH(IF(C$2&lt;&gt;"",C$2,"NA"),'MITRE ATT&amp;CK Mappings'!$H712))),ISNUMBER(SEARCH(IF(C$3&lt;&gt;"",C$3,"NA"),'MITRE ATT&amp;CK Mappings'!$I712))),ISNUMBER(SEARCH(IF(C$3&lt;&gt;"",C$3,"NA"),'MITRE ATT&amp;CK Mappings'!$J712))), 'MITRE ATT&amp;CK Mappings'!$B712,"")</f>
        <v/>
      </c>
      <c r="D716" s="26" t="str">
        <f>IF(OR(OR(OR(OR(OR(ISNUMBER(SEARCH(IF(D$1&lt;&gt;"",D$1,"NA"),'MITRE ATT&amp;CK Mappings'!$E712)),ISNUMBER(SEARCH(IF(D$1&lt;&gt;"",D$1,"NA"),'MITRE ATT&amp;CK Mappings'!$F712))),ISNUMBER(SEARCH(IF(D$2&lt;&gt;"",D$2,"NA"),'MITRE ATT&amp;CK Mappings'!$G712))),ISNUMBER(SEARCH(IF(D$2&lt;&gt;"",D$2,"NA"),'MITRE ATT&amp;CK Mappings'!$H712))),ISNUMBER(SEARCH(IF(D$3&lt;&gt;"",D$3,"NA"),'MITRE ATT&amp;CK Mappings'!$I712))),ISNUMBER(SEARCH(IF(D$3&lt;&gt;"",D$3,"NA"),'MITRE ATT&amp;CK Mappings'!$J712))), 'MITRE ATT&amp;CK Mappings'!$B712,"")</f>
        <v/>
      </c>
      <c r="E716" s="26" t="str">
        <f>IF(OR(OR(OR(OR(OR(ISNUMBER(SEARCH(IF(E$1&lt;&gt;"",E$1,"NA"),'MITRE ATT&amp;CK Mappings'!$E712)),ISNUMBER(SEARCH(IF(E$1&lt;&gt;"",E$1,"NA"),'MITRE ATT&amp;CK Mappings'!$F712))),ISNUMBER(SEARCH(IF(E$2&lt;&gt;"",E$2,"NA"),'MITRE ATT&amp;CK Mappings'!$G712))),ISNUMBER(SEARCH(IF(E$2&lt;&gt;"",E$2,"NA"),'MITRE ATT&amp;CK Mappings'!$H712))),ISNUMBER(SEARCH(IF(E$3&lt;&gt;"",E$3,"NA"),'MITRE ATT&amp;CK Mappings'!$I712))),ISNUMBER(SEARCH(IF(E$3&lt;&gt;"",E$3,"NA"),'MITRE ATT&amp;CK Mappings'!$J712))), 'MITRE ATT&amp;CK Mappings'!$B712,"")</f>
        <v/>
      </c>
      <c r="F716" s="26" t="str">
        <f>IF(OR(OR(OR(OR(OR(ISNUMBER(SEARCH(IF(F$1&lt;&gt;"",F$1,"NA"),'MITRE ATT&amp;CK Mappings'!$E712)),ISNUMBER(SEARCH(IF(F$1&lt;&gt;"",F$1,"NA"),'MITRE ATT&amp;CK Mappings'!$F712))),ISNUMBER(SEARCH(IF(F$2&lt;&gt;"",F$2,"NA"),'MITRE ATT&amp;CK Mappings'!$G712))),ISNUMBER(SEARCH(IF(F$2&lt;&gt;"",F$2,"NA"),'MITRE ATT&amp;CK Mappings'!$H712))),ISNUMBER(SEARCH(IF(F$3&lt;&gt;"",F$3,"NA"),'MITRE ATT&amp;CK Mappings'!$I712))),ISNUMBER(SEARCH(IF(F$3&lt;&gt;"",F$3,"NA"),'MITRE ATT&amp;CK Mappings'!$J712))), 'MITRE ATT&amp;CK Mappings'!$B712,"")</f>
        <v/>
      </c>
      <c r="G716" s="26" t="str">
        <f>IF(OR(OR(OR(OR(OR(ISNUMBER(SEARCH(IF(G$1&lt;&gt;"",G$1,"NA"),'MITRE ATT&amp;CK Mappings'!$E712)),ISNUMBER(SEARCH(IF(G$1&lt;&gt;"",G$1,"NA"),'MITRE ATT&amp;CK Mappings'!$F712))),ISNUMBER(SEARCH(IF(G$2&lt;&gt;"",G$2,"NA"),'MITRE ATT&amp;CK Mappings'!$G712))),ISNUMBER(SEARCH(IF(G$2&lt;&gt;"",G$2,"NA"),'MITRE ATT&amp;CK Mappings'!$H712))),ISNUMBER(SEARCH(IF(G$3&lt;&gt;"",G$3,"NA"),'MITRE ATT&amp;CK Mappings'!$I712))),ISNUMBER(SEARCH(IF(G$3&lt;&gt;"",G$3,"NA"),'MITRE ATT&amp;CK Mappings'!$J712))), 'MITRE ATT&amp;CK Mappings'!$B712,"")</f>
        <v/>
      </c>
      <c r="H716" s="26" t="str">
        <f>IF(OR(OR(OR(OR(OR(ISNUMBER(SEARCH(IF(H$1&lt;&gt;"",H$1,"NA"),'MITRE ATT&amp;CK Mappings'!$E712)),ISNUMBER(SEARCH(IF(H$1&lt;&gt;"",H$1,"NA"),'MITRE ATT&amp;CK Mappings'!$F712))),ISNUMBER(SEARCH(IF(H$2&lt;&gt;"",H$2,"NA"),'MITRE ATT&amp;CK Mappings'!$G712))),ISNUMBER(SEARCH(IF(H$2&lt;&gt;"",H$2,"NA"),'MITRE ATT&amp;CK Mappings'!$H712))),ISNUMBER(SEARCH(IF(H$3&lt;&gt;"",H$3,"NA"),'MITRE ATT&amp;CK Mappings'!$I712))),ISNUMBER(SEARCH(IF(H$3&lt;&gt;"",H$3,"NA"),'MITRE ATT&amp;CK Mappings'!$J712))), 'MITRE ATT&amp;CK Mappings'!$B712,"")</f>
        <v/>
      </c>
      <c r="I716" s="26" t="str">
        <f>IF(OR(OR(OR(OR(OR(ISNUMBER(SEARCH(IF(I$1&lt;&gt;"",I$1,"NA"),'MITRE ATT&amp;CK Mappings'!$E712)),ISNUMBER(SEARCH(IF(I$1&lt;&gt;"",I$1,"NA"),'MITRE ATT&amp;CK Mappings'!$F712))),ISNUMBER(SEARCH(IF(I$2&lt;&gt;"",I$2,"NA"),'MITRE ATT&amp;CK Mappings'!$G712))),ISNUMBER(SEARCH(IF(I$2&lt;&gt;"",I$2,"NA"),'MITRE ATT&amp;CK Mappings'!$H712))),ISNUMBER(SEARCH(IF(I$3&lt;&gt;"",I$3,"NA"),'MITRE ATT&amp;CK Mappings'!$I712))),ISNUMBER(SEARCH(IF(I$3&lt;&gt;"",I$3,"NA"),'MITRE ATT&amp;CK Mappings'!$J712))), 'MITRE ATT&amp;CK Mappings'!$B712,"")</f>
        <v/>
      </c>
      <c r="J716" s="26" t="str">
        <f>IF(OR(OR(OR(OR(OR(ISNUMBER(SEARCH(IF(J$1&lt;&gt;"",J$1,"NA"),'MITRE ATT&amp;CK Mappings'!$E712)),ISNUMBER(SEARCH(IF(J$1&lt;&gt;"",J$1,"NA"),'MITRE ATT&amp;CK Mappings'!$F712))),ISNUMBER(SEARCH(IF(J$2&lt;&gt;"",J$2,"NA"),'MITRE ATT&amp;CK Mappings'!$G712))),ISNUMBER(SEARCH(IF(J$2&lt;&gt;"",J$2,"NA"),'MITRE ATT&amp;CK Mappings'!$H712))),ISNUMBER(SEARCH(IF(J$3&lt;&gt;"",J$3,"NA"),'MITRE ATT&amp;CK Mappings'!$I712))),ISNUMBER(SEARCH(IF(J$3&lt;&gt;"",J$3,"NA"),'MITRE ATT&amp;CK Mappings'!$J712))), 'MITRE ATT&amp;CK Mappings'!$B712,"")</f>
        <v/>
      </c>
      <c r="K716" s="26" t="str">
        <f>IF(OR(OR(OR(OR(OR(ISNUMBER(SEARCH(IF(K$1&lt;&gt;"",K$1,"NA"),'MITRE ATT&amp;CK Mappings'!$E712)),ISNUMBER(SEARCH(IF(K$1&lt;&gt;"",K$1,"NA"),'MITRE ATT&amp;CK Mappings'!$F712))),ISNUMBER(SEARCH(IF(K$2&lt;&gt;"",K$2,"NA"),'MITRE ATT&amp;CK Mappings'!$G712))),ISNUMBER(SEARCH(IF(K$2&lt;&gt;"",K$2,"NA"),'MITRE ATT&amp;CK Mappings'!$H712))),ISNUMBER(SEARCH(IF(K$3&lt;&gt;"",K$3,"NA"),'MITRE ATT&amp;CK Mappings'!$I712))),ISNUMBER(SEARCH(IF(K$3&lt;&gt;"",K$3,"NA"),'MITRE ATT&amp;CK Mappings'!$J712))), 'MITRE ATT&amp;CK Mappings'!$B712,"")</f>
        <v/>
      </c>
      <c r="L716" s="26" t="str">
        <f>IF('MITRE ATT&amp;CK Mappings'!D712 &lt;&gt;"",'MITRE ATT&amp;CK Mappings'!D712,"" )</f>
        <v/>
      </c>
    </row>
    <row r="717" spans="1:12" x14ac:dyDescent="0.25">
      <c r="A717" s="27" t="str">
        <f>IF(COUNTIF(B717:K717,"="&amp;'MITRE ATT&amp;CK Mappings'!B713)&gt;0,'MITRE ATT&amp;CK Mappings'!B713,"")</f>
        <v/>
      </c>
      <c r="B717" s="27" t="str">
        <f>IF(OR(OR(OR(OR(OR(ISNUMBER(SEARCH(IF(B$1&lt;&gt;"",B$1,"NA"),'MITRE ATT&amp;CK Mappings'!$E713)),ISNUMBER(SEARCH(IF(B$1&lt;&gt;"",B$1,"NA"),'MITRE ATT&amp;CK Mappings'!$F713))),ISNUMBER(SEARCH(IF(B$2&lt;&gt;"",B$2,"NA"),'MITRE ATT&amp;CK Mappings'!$G713))),ISNUMBER(SEARCH(IF(B$2&lt;&gt;"",B$2,"NA"),'MITRE ATT&amp;CK Mappings'!$H713))),ISNUMBER(SEARCH(IF(B$3&lt;&gt;"",B$3,"NA"),'MITRE ATT&amp;CK Mappings'!$I713))),ISNUMBER(SEARCH(IF(B$3&lt;&gt;"",B$3,"NA"),'MITRE ATT&amp;CK Mappings'!$J713))), 'MITRE ATT&amp;CK Mappings'!$B713,"")</f>
        <v/>
      </c>
      <c r="C717" s="27" t="str">
        <f>IF(OR(OR(OR(OR(OR(ISNUMBER(SEARCH(IF(C$1&lt;&gt;"",C$1,"NA"),'MITRE ATT&amp;CK Mappings'!$E713)),ISNUMBER(SEARCH(IF(C$1&lt;&gt;"",C$1,"NA"),'MITRE ATT&amp;CK Mappings'!$F713))),ISNUMBER(SEARCH(IF(C$2&lt;&gt;"",C$2,"NA"),'MITRE ATT&amp;CK Mappings'!$G713))),ISNUMBER(SEARCH(IF(C$2&lt;&gt;"",C$2,"NA"),'MITRE ATT&amp;CK Mappings'!$H713))),ISNUMBER(SEARCH(IF(C$3&lt;&gt;"",C$3,"NA"),'MITRE ATT&amp;CK Mappings'!$I713))),ISNUMBER(SEARCH(IF(C$3&lt;&gt;"",C$3,"NA"),'MITRE ATT&amp;CK Mappings'!$J713))), 'MITRE ATT&amp;CK Mappings'!$B713,"")</f>
        <v/>
      </c>
      <c r="D717" s="27" t="str">
        <f>IF(OR(OR(OR(OR(OR(ISNUMBER(SEARCH(IF(D$1&lt;&gt;"",D$1,"NA"),'MITRE ATT&amp;CK Mappings'!$E713)),ISNUMBER(SEARCH(IF(D$1&lt;&gt;"",D$1,"NA"),'MITRE ATT&amp;CK Mappings'!$F713))),ISNUMBER(SEARCH(IF(D$2&lt;&gt;"",D$2,"NA"),'MITRE ATT&amp;CK Mappings'!$G713))),ISNUMBER(SEARCH(IF(D$2&lt;&gt;"",D$2,"NA"),'MITRE ATT&amp;CK Mappings'!$H713))),ISNUMBER(SEARCH(IF(D$3&lt;&gt;"",D$3,"NA"),'MITRE ATT&amp;CK Mappings'!$I713))),ISNUMBER(SEARCH(IF(D$3&lt;&gt;"",D$3,"NA"),'MITRE ATT&amp;CK Mappings'!$J713))), 'MITRE ATT&amp;CK Mappings'!$B713,"")</f>
        <v/>
      </c>
      <c r="E717" s="27" t="str">
        <f>IF(OR(OR(OR(OR(OR(ISNUMBER(SEARCH(IF(E$1&lt;&gt;"",E$1,"NA"),'MITRE ATT&amp;CK Mappings'!$E713)),ISNUMBER(SEARCH(IF(E$1&lt;&gt;"",E$1,"NA"),'MITRE ATT&amp;CK Mappings'!$F713))),ISNUMBER(SEARCH(IF(E$2&lt;&gt;"",E$2,"NA"),'MITRE ATT&amp;CK Mappings'!$G713))),ISNUMBER(SEARCH(IF(E$2&lt;&gt;"",E$2,"NA"),'MITRE ATT&amp;CK Mappings'!$H713))),ISNUMBER(SEARCH(IF(E$3&lt;&gt;"",E$3,"NA"),'MITRE ATT&amp;CK Mappings'!$I713))),ISNUMBER(SEARCH(IF(E$3&lt;&gt;"",E$3,"NA"),'MITRE ATT&amp;CK Mappings'!$J713))), 'MITRE ATT&amp;CK Mappings'!$B713,"")</f>
        <v/>
      </c>
      <c r="F717" s="27" t="str">
        <f>IF(OR(OR(OR(OR(OR(ISNUMBER(SEARCH(IF(F$1&lt;&gt;"",F$1,"NA"),'MITRE ATT&amp;CK Mappings'!$E713)),ISNUMBER(SEARCH(IF(F$1&lt;&gt;"",F$1,"NA"),'MITRE ATT&amp;CK Mappings'!$F713))),ISNUMBER(SEARCH(IF(F$2&lt;&gt;"",F$2,"NA"),'MITRE ATT&amp;CK Mappings'!$G713))),ISNUMBER(SEARCH(IF(F$2&lt;&gt;"",F$2,"NA"),'MITRE ATT&amp;CK Mappings'!$H713))),ISNUMBER(SEARCH(IF(F$3&lt;&gt;"",F$3,"NA"),'MITRE ATT&amp;CK Mappings'!$I713))),ISNUMBER(SEARCH(IF(F$3&lt;&gt;"",F$3,"NA"),'MITRE ATT&amp;CK Mappings'!$J713))), 'MITRE ATT&amp;CK Mappings'!$B713,"")</f>
        <v/>
      </c>
      <c r="G717" s="27" t="str">
        <f>IF(OR(OR(OR(OR(OR(ISNUMBER(SEARCH(IF(G$1&lt;&gt;"",G$1,"NA"),'MITRE ATT&amp;CK Mappings'!$E713)),ISNUMBER(SEARCH(IF(G$1&lt;&gt;"",G$1,"NA"),'MITRE ATT&amp;CK Mappings'!$F713))),ISNUMBER(SEARCH(IF(G$2&lt;&gt;"",G$2,"NA"),'MITRE ATT&amp;CK Mappings'!$G713))),ISNUMBER(SEARCH(IF(G$2&lt;&gt;"",G$2,"NA"),'MITRE ATT&amp;CK Mappings'!$H713))),ISNUMBER(SEARCH(IF(G$3&lt;&gt;"",G$3,"NA"),'MITRE ATT&amp;CK Mappings'!$I713))),ISNUMBER(SEARCH(IF(G$3&lt;&gt;"",G$3,"NA"),'MITRE ATT&amp;CK Mappings'!$J713))), 'MITRE ATT&amp;CK Mappings'!$B713,"")</f>
        <v/>
      </c>
      <c r="H717" s="27" t="str">
        <f>IF(OR(OR(OR(OR(OR(ISNUMBER(SEARCH(IF(H$1&lt;&gt;"",H$1,"NA"),'MITRE ATT&amp;CK Mappings'!$E713)),ISNUMBER(SEARCH(IF(H$1&lt;&gt;"",H$1,"NA"),'MITRE ATT&amp;CK Mappings'!$F713))),ISNUMBER(SEARCH(IF(H$2&lt;&gt;"",H$2,"NA"),'MITRE ATT&amp;CK Mappings'!$G713))),ISNUMBER(SEARCH(IF(H$2&lt;&gt;"",H$2,"NA"),'MITRE ATT&amp;CK Mappings'!$H713))),ISNUMBER(SEARCH(IF(H$3&lt;&gt;"",H$3,"NA"),'MITRE ATT&amp;CK Mappings'!$I713))),ISNUMBER(SEARCH(IF(H$3&lt;&gt;"",H$3,"NA"),'MITRE ATT&amp;CK Mappings'!$J713))), 'MITRE ATT&amp;CK Mappings'!$B713,"")</f>
        <v/>
      </c>
      <c r="I717" s="27" t="str">
        <f>IF(OR(OR(OR(OR(OR(ISNUMBER(SEARCH(IF(I$1&lt;&gt;"",I$1,"NA"),'MITRE ATT&amp;CK Mappings'!$E713)),ISNUMBER(SEARCH(IF(I$1&lt;&gt;"",I$1,"NA"),'MITRE ATT&amp;CK Mappings'!$F713))),ISNUMBER(SEARCH(IF(I$2&lt;&gt;"",I$2,"NA"),'MITRE ATT&amp;CK Mappings'!$G713))),ISNUMBER(SEARCH(IF(I$2&lt;&gt;"",I$2,"NA"),'MITRE ATT&amp;CK Mappings'!$H713))),ISNUMBER(SEARCH(IF(I$3&lt;&gt;"",I$3,"NA"),'MITRE ATT&amp;CK Mappings'!$I713))),ISNUMBER(SEARCH(IF(I$3&lt;&gt;"",I$3,"NA"),'MITRE ATT&amp;CK Mappings'!$J713))), 'MITRE ATT&amp;CK Mappings'!$B713,"")</f>
        <v/>
      </c>
      <c r="J717" s="27" t="str">
        <f>IF(OR(OR(OR(OR(OR(ISNUMBER(SEARCH(IF(J$1&lt;&gt;"",J$1,"NA"),'MITRE ATT&amp;CK Mappings'!$E713)),ISNUMBER(SEARCH(IF(J$1&lt;&gt;"",J$1,"NA"),'MITRE ATT&amp;CK Mappings'!$F713))),ISNUMBER(SEARCH(IF(J$2&lt;&gt;"",J$2,"NA"),'MITRE ATT&amp;CK Mappings'!$G713))),ISNUMBER(SEARCH(IF(J$2&lt;&gt;"",J$2,"NA"),'MITRE ATT&amp;CK Mappings'!$H713))),ISNUMBER(SEARCH(IF(J$3&lt;&gt;"",J$3,"NA"),'MITRE ATT&amp;CK Mappings'!$I713))),ISNUMBER(SEARCH(IF(J$3&lt;&gt;"",J$3,"NA"),'MITRE ATT&amp;CK Mappings'!$J713))), 'MITRE ATT&amp;CK Mappings'!$B713,"")</f>
        <v/>
      </c>
      <c r="K717" s="27" t="str">
        <f>IF(OR(OR(OR(OR(OR(ISNUMBER(SEARCH(IF(K$1&lt;&gt;"",K$1,"NA"),'MITRE ATT&amp;CK Mappings'!$E713)),ISNUMBER(SEARCH(IF(K$1&lt;&gt;"",K$1,"NA"),'MITRE ATT&amp;CK Mappings'!$F713))),ISNUMBER(SEARCH(IF(K$2&lt;&gt;"",K$2,"NA"),'MITRE ATT&amp;CK Mappings'!$G713))),ISNUMBER(SEARCH(IF(K$2&lt;&gt;"",K$2,"NA"),'MITRE ATT&amp;CK Mappings'!$H713))),ISNUMBER(SEARCH(IF(K$3&lt;&gt;"",K$3,"NA"),'MITRE ATT&amp;CK Mappings'!$I713))),ISNUMBER(SEARCH(IF(K$3&lt;&gt;"",K$3,"NA"),'MITRE ATT&amp;CK Mappings'!$J713))), 'MITRE ATT&amp;CK Mappings'!$B713,"")</f>
        <v/>
      </c>
      <c r="L717" s="27" t="str">
        <f>IF('MITRE ATT&amp;CK Mappings'!D713 &lt;&gt;"",'MITRE ATT&amp;CK Mappings'!D713,"" )</f>
        <v/>
      </c>
    </row>
    <row r="718" spans="1:12" x14ac:dyDescent="0.25">
      <c r="A718" s="26" t="str">
        <f>IF(COUNTIF(B718:K718,"="&amp;'MITRE ATT&amp;CK Mappings'!B714)&gt;0,'MITRE ATT&amp;CK Mappings'!B714,"")</f>
        <v/>
      </c>
      <c r="B718" s="26" t="str">
        <f>IF(OR(OR(OR(OR(OR(ISNUMBER(SEARCH(IF(B$1&lt;&gt;"",B$1,"NA"),'MITRE ATT&amp;CK Mappings'!$E714)),ISNUMBER(SEARCH(IF(B$1&lt;&gt;"",B$1,"NA"),'MITRE ATT&amp;CK Mappings'!$F714))),ISNUMBER(SEARCH(IF(B$2&lt;&gt;"",B$2,"NA"),'MITRE ATT&amp;CK Mappings'!$G714))),ISNUMBER(SEARCH(IF(B$2&lt;&gt;"",B$2,"NA"),'MITRE ATT&amp;CK Mappings'!$H714))),ISNUMBER(SEARCH(IF(B$3&lt;&gt;"",B$3,"NA"),'MITRE ATT&amp;CK Mappings'!$I714))),ISNUMBER(SEARCH(IF(B$3&lt;&gt;"",B$3,"NA"),'MITRE ATT&amp;CK Mappings'!$J714))), 'MITRE ATT&amp;CK Mappings'!$B714,"")</f>
        <v/>
      </c>
      <c r="C718" s="26" t="str">
        <f>IF(OR(OR(OR(OR(OR(ISNUMBER(SEARCH(IF(C$1&lt;&gt;"",C$1,"NA"),'MITRE ATT&amp;CK Mappings'!$E714)),ISNUMBER(SEARCH(IF(C$1&lt;&gt;"",C$1,"NA"),'MITRE ATT&amp;CK Mappings'!$F714))),ISNUMBER(SEARCH(IF(C$2&lt;&gt;"",C$2,"NA"),'MITRE ATT&amp;CK Mappings'!$G714))),ISNUMBER(SEARCH(IF(C$2&lt;&gt;"",C$2,"NA"),'MITRE ATT&amp;CK Mappings'!$H714))),ISNUMBER(SEARCH(IF(C$3&lt;&gt;"",C$3,"NA"),'MITRE ATT&amp;CK Mappings'!$I714))),ISNUMBER(SEARCH(IF(C$3&lt;&gt;"",C$3,"NA"),'MITRE ATT&amp;CK Mappings'!$J714))), 'MITRE ATT&amp;CK Mappings'!$B714,"")</f>
        <v/>
      </c>
      <c r="D718" s="26" t="str">
        <f>IF(OR(OR(OR(OR(OR(ISNUMBER(SEARCH(IF(D$1&lt;&gt;"",D$1,"NA"),'MITRE ATT&amp;CK Mappings'!$E714)),ISNUMBER(SEARCH(IF(D$1&lt;&gt;"",D$1,"NA"),'MITRE ATT&amp;CK Mappings'!$F714))),ISNUMBER(SEARCH(IF(D$2&lt;&gt;"",D$2,"NA"),'MITRE ATT&amp;CK Mappings'!$G714))),ISNUMBER(SEARCH(IF(D$2&lt;&gt;"",D$2,"NA"),'MITRE ATT&amp;CK Mappings'!$H714))),ISNUMBER(SEARCH(IF(D$3&lt;&gt;"",D$3,"NA"),'MITRE ATT&amp;CK Mappings'!$I714))),ISNUMBER(SEARCH(IF(D$3&lt;&gt;"",D$3,"NA"),'MITRE ATT&amp;CK Mappings'!$J714))), 'MITRE ATT&amp;CK Mappings'!$B714,"")</f>
        <v/>
      </c>
      <c r="E718" s="26" t="str">
        <f>IF(OR(OR(OR(OR(OR(ISNUMBER(SEARCH(IF(E$1&lt;&gt;"",E$1,"NA"),'MITRE ATT&amp;CK Mappings'!$E714)),ISNUMBER(SEARCH(IF(E$1&lt;&gt;"",E$1,"NA"),'MITRE ATT&amp;CK Mappings'!$F714))),ISNUMBER(SEARCH(IF(E$2&lt;&gt;"",E$2,"NA"),'MITRE ATT&amp;CK Mappings'!$G714))),ISNUMBER(SEARCH(IF(E$2&lt;&gt;"",E$2,"NA"),'MITRE ATT&amp;CK Mappings'!$H714))),ISNUMBER(SEARCH(IF(E$3&lt;&gt;"",E$3,"NA"),'MITRE ATT&amp;CK Mappings'!$I714))),ISNUMBER(SEARCH(IF(E$3&lt;&gt;"",E$3,"NA"),'MITRE ATT&amp;CK Mappings'!$J714))), 'MITRE ATT&amp;CK Mappings'!$B714,"")</f>
        <v/>
      </c>
      <c r="F718" s="26" t="str">
        <f>IF(OR(OR(OR(OR(OR(ISNUMBER(SEARCH(IF(F$1&lt;&gt;"",F$1,"NA"),'MITRE ATT&amp;CK Mappings'!$E714)),ISNUMBER(SEARCH(IF(F$1&lt;&gt;"",F$1,"NA"),'MITRE ATT&amp;CK Mappings'!$F714))),ISNUMBER(SEARCH(IF(F$2&lt;&gt;"",F$2,"NA"),'MITRE ATT&amp;CK Mappings'!$G714))),ISNUMBER(SEARCH(IF(F$2&lt;&gt;"",F$2,"NA"),'MITRE ATT&amp;CK Mappings'!$H714))),ISNUMBER(SEARCH(IF(F$3&lt;&gt;"",F$3,"NA"),'MITRE ATT&amp;CK Mappings'!$I714))),ISNUMBER(SEARCH(IF(F$3&lt;&gt;"",F$3,"NA"),'MITRE ATT&amp;CK Mappings'!$J714))), 'MITRE ATT&amp;CK Mappings'!$B714,"")</f>
        <v/>
      </c>
      <c r="G718" s="26" t="str">
        <f>IF(OR(OR(OR(OR(OR(ISNUMBER(SEARCH(IF(G$1&lt;&gt;"",G$1,"NA"),'MITRE ATT&amp;CK Mappings'!$E714)),ISNUMBER(SEARCH(IF(G$1&lt;&gt;"",G$1,"NA"),'MITRE ATT&amp;CK Mappings'!$F714))),ISNUMBER(SEARCH(IF(G$2&lt;&gt;"",G$2,"NA"),'MITRE ATT&amp;CK Mappings'!$G714))),ISNUMBER(SEARCH(IF(G$2&lt;&gt;"",G$2,"NA"),'MITRE ATT&amp;CK Mappings'!$H714))),ISNUMBER(SEARCH(IF(G$3&lt;&gt;"",G$3,"NA"),'MITRE ATT&amp;CK Mappings'!$I714))),ISNUMBER(SEARCH(IF(G$3&lt;&gt;"",G$3,"NA"),'MITRE ATT&amp;CK Mappings'!$J714))), 'MITRE ATT&amp;CK Mappings'!$B714,"")</f>
        <v/>
      </c>
      <c r="H718" s="26" t="str">
        <f>IF(OR(OR(OR(OR(OR(ISNUMBER(SEARCH(IF(H$1&lt;&gt;"",H$1,"NA"),'MITRE ATT&amp;CK Mappings'!$E714)),ISNUMBER(SEARCH(IF(H$1&lt;&gt;"",H$1,"NA"),'MITRE ATT&amp;CK Mappings'!$F714))),ISNUMBER(SEARCH(IF(H$2&lt;&gt;"",H$2,"NA"),'MITRE ATT&amp;CK Mappings'!$G714))),ISNUMBER(SEARCH(IF(H$2&lt;&gt;"",H$2,"NA"),'MITRE ATT&amp;CK Mappings'!$H714))),ISNUMBER(SEARCH(IF(H$3&lt;&gt;"",H$3,"NA"),'MITRE ATT&amp;CK Mappings'!$I714))),ISNUMBER(SEARCH(IF(H$3&lt;&gt;"",H$3,"NA"),'MITRE ATT&amp;CK Mappings'!$J714))), 'MITRE ATT&amp;CK Mappings'!$B714,"")</f>
        <v/>
      </c>
      <c r="I718" s="26" t="str">
        <f>IF(OR(OR(OR(OR(OR(ISNUMBER(SEARCH(IF(I$1&lt;&gt;"",I$1,"NA"),'MITRE ATT&amp;CK Mappings'!$E714)),ISNUMBER(SEARCH(IF(I$1&lt;&gt;"",I$1,"NA"),'MITRE ATT&amp;CK Mappings'!$F714))),ISNUMBER(SEARCH(IF(I$2&lt;&gt;"",I$2,"NA"),'MITRE ATT&amp;CK Mappings'!$G714))),ISNUMBER(SEARCH(IF(I$2&lt;&gt;"",I$2,"NA"),'MITRE ATT&amp;CK Mappings'!$H714))),ISNUMBER(SEARCH(IF(I$3&lt;&gt;"",I$3,"NA"),'MITRE ATT&amp;CK Mappings'!$I714))),ISNUMBER(SEARCH(IF(I$3&lt;&gt;"",I$3,"NA"),'MITRE ATT&amp;CK Mappings'!$J714))), 'MITRE ATT&amp;CK Mappings'!$B714,"")</f>
        <v/>
      </c>
      <c r="J718" s="26" t="str">
        <f>IF(OR(OR(OR(OR(OR(ISNUMBER(SEARCH(IF(J$1&lt;&gt;"",J$1,"NA"),'MITRE ATT&amp;CK Mappings'!$E714)),ISNUMBER(SEARCH(IF(J$1&lt;&gt;"",J$1,"NA"),'MITRE ATT&amp;CK Mappings'!$F714))),ISNUMBER(SEARCH(IF(J$2&lt;&gt;"",J$2,"NA"),'MITRE ATT&amp;CK Mappings'!$G714))),ISNUMBER(SEARCH(IF(J$2&lt;&gt;"",J$2,"NA"),'MITRE ATT&amp;CK Mappings'!$H714))),ISNUMBER(SEARCH(IF(J$3&lt;&gt;"",J$3,"NA"),'MITRE ATT&amp;CK Mappings'!$I714))),ISNUMBER(SEARCH(IF(J$3&lt;&gt;"",J$3,"NA"),'MITRE ATT&amp;CK Mappings'!$J714))), 'MITRE ATT&amp;CK Mappings'!$B714,"")</f>
        <v/>
      </c>
      <c r="K718" s="26" t="str">
        <f>IF(OR(OR(OR(OR(OR(ISNUMBER(SEARCH(IF(K$1&lt;&gt;"",K$1,"NA"),'MITRE ATT&amp;CK Mappings'!$E714)),ISNUMBER(SEARCH(IF(K$1&lt;&gt;"",K$1,"NA"),'MITRE ATT&amp;CK Mappings'!$F714))),ISNUMBER(SEARCH(IF(K$2&lt;&gt;"",K$2,"NA"),'MITRE ATT&amp;CK Mappings'!$G714))),ISNUMBER(SEARCH(IF(K$2&lt;&gt;"",K$2,"NA"),'MITRE ATT&amp;CK Mappings'!$H714))),ISNUMBER(SEARCH(IF(K$3&lt;&gt;"",K$3,"NA"),'MITRE ATT&amp;CK Mappings'!$I714))),ISNUMBER(SEARCH(IF(K$3&lt;&gt;"",K$3,"NA"),'MITRE ATT&amp;CK Mappings'!$J714))), 'MITRE ATT&amp;CK Mappings'!$B714,"")</f>
        <v/>
      </c>
      <c r="L718" s="26" t="str">
        <f>IF('MITRE ATT&amp;CK Mappings'!D714 &lt;&gt;"",'MITRE ATT&amp;CK Mappings'!D714,"" )</f>
        <v/>
      </c>
    </row>
    <row r="719" spans="1:12" x14ac:dyDescent="0.25">
      <c r="A719" s="27" t="str">
        <f>IF(COUNTIF(B719:K719,"="&amp;'MITRE ATT&amp;CK Mappings'!B715)&gt;0,'MITRE ATT&amp;CK Mappings'!B715,"")</f>
        <v/>
      </c>
      <c r="B719" s="27" t="str">
        <f>IF(OR(OR(OR(OR(OR(ISNUMBER(SEARCH(IF(B$1&lt;&gt;"",B$1,"NA"),'MITRE ATT&amp;CK Mappings'!$E715)),ISNUMBER(SEARCH(IF(B$1&lt;&gt;"",B$1,"NA"),'MITRE ATT&amp;CK Mappings'!$F715))),ISNUMBER(SEARCH(IF(B$2&lt;&gt;"",B$2,"NA"),'MITRE ATT&amp;CK Mappings'!$G715))),ISNUMBER(SEARCH(IF(B$2&lt;&gt;"",B$2,"NA"),'MITRE ATT&amp;CK Mappings'!$H715))),ISNUMBER(SEARCH(IF(B$3&lt;&gt;"",B$3,"NA"),'MITRE ATT&amp;CK Mappings'!$I715))),ISNUMBER(SEARCH(IF(B$3&lt;&gt;"",B$3,"NA"),'MITRE ATT&amp;CK Mappings'!$J715))), 'MITRE ATT&amp;CK Mappings'!$B715,"")</f>
        <v/>
      </c>
      <c r="C719" s="27" t="str">
        <f>IF(OR(OR(OR(OR(OR(ISNUMBER(SEARCH(IF(C$1&lt;&gt;"",C$1,"NA"),'MITRE ATT&amp;CK Mappings'!$E715)),ISNUMBER(SEARCH(IF(C$1&lt;&gt;"",C$1,"NA"),'MITRE ATT&amp;CK Mappings'!$F715))),ISNUMBER(SEARCH(IF(C$2&lt;&gt;"",C$2,"NA"),'MITRE ATT&amp;CK Mappings'!$G715))),ISNUMBER(SEARCH(IF(C$2&lt;&gt;"",C$2,"NA"),'MITRE ATT&amp;CK Mappings'!$H715))),ISNUMBER(SEARCH(IF(C$3&lt;&gt;"",C$3,"NA"),'MITRE ATT&amp;CK Mappings'!$I715))),ISNUMBER(SEARCH(IF(C$3&lt;&gt;"",C$3,"NA"),'MITRE ATT&amp;CK Mappings'!$J715))), 'MITRE ATT&amp;CK Mappings'!$B715,"")</f>
        <v/>
      </c>
      <c r="D719" s="27" t="str">
        <f>IF(OR(OR(OR(OR(OR(ISNUMBER(SEARCH(IF(D$1&lt;&gt;"",D$1,"NA"),'MITRE ATT&amp;CK Mappings'!$E715)),ISNUMBER(SEARCH(IF(D$1&lt;&gt;"",D$1,"NA"),'MITRE ATT&amp;CK Mappings'!$F715))),ISNUMBER(SEARCH(IF(D$2&lt;&gt;"",D$2,"NA"),'MITRE ATT&amp;CK Mappings'!$G715))),ISNUMBER(SEARCH(IF(D$2&lt;&gt;"",D$2,"NA"),'MITRE ATT&amp;CK Mappings'!$H715))),ISNUMBER(SEARCH(IF(D$3&lt;&gt;"",D$3,"NA"),'MITRE ATT&amp;CK Mappings'!$I715))),ISNUMBER(SEARCH(IF(D$3&lt;&gt;"",D$3,"NA"),'MITRE ATT&amp;CK Mappings'!$J715))), 'MITRE ATT&amp;CK Mappings'!$B715,"")</f>
        <v/>
      </c>
      <c r="E719" s="27" t="str">
        <f>IF(OR(OR(OR(OR(OR(ISNUMBER(SEARCH(IF(E$1&lt;&gt;"",E$1,"NA"),'MITRE ATT&amp;CK Mappings'!$E715)),ISNUMBER(SEARCH(IF(E$1&lt;&gt;"",E$1,"NA"),'MITRE ATT&amp;CK Mappings'!$F715))),ISNUMBER(SEARCH(IF(E$2&lt;&gt;"",E$2,"NA"),'MITRE ATT&amp;CK Mappings'!$G715))),ISNUMBER(SEARCH(IF(E$2&lt;&gt;"",E$2,"NA"),'MITRE ATT&amp;CK Mappings'!$H715))),ISNUMBER(SEARCH(IF(E$3&lt;&gt;"",E$3,"NA"),'MITRE ATT&amp;CK Mappings'!$I715))),ISNUMBER(SEARCH(IF(E$3&lt;&gt;"",E$3,"NA"),'MITRE ATT&amp;CK Mappings'!$J715))), 'MITRE ATT&amp;CK Mappings'!$B715,"")</f>
        <v/>
      </c>
      <c r="F719" s="27" t="str">
        <f>IF(OR(OR(OR(OR(OR(ISNUMBER(SEARCH(IF(F$1&lt;&gt;"",F$1,"NA"),'MITRE ATT&amp;CK Mappings'!$E715)),ISNUMBER(SEARCH(IF(F$1&lt;&gt;"",F$1,"NA"),'MITRE ATT&amp;CK Mappings'!$F715))),ISNUMBER(SEARCH(IF(F$2&lt;&gt;"",F$2,"NA"),'MITRE ATT&amp;CK Mappings'!$G715))),ISNUMBER(SEARCH(IF(F$2&lt;&gt;"",F$2,"NA"),'MITRE ATT&amp;CK Mappings'!$H715))),ISNUMBER(SEARCH(IF(F$3&lt;&gt;"",F$3,"NA"),'MITRE ATT&amp;CK Mappings'!$I715))),ISNUMBER(SEARCH(IF(F$3&lt;&gt;"",F$3,"NA"),'MITRE ATT&amp;CK Mappings'!$J715))), 'MITRE ATT&amp;CK Mappings'!$B715,"")</f>
        <v/>
      </c>
      <c r="G719" s="27" t="str">
        <f>IF(OR(OR(OR(OR(OR(ISNUMBER(SEARCH(IF(G$1&lt;&gt;"",G$1,"NA"),'MITRE ATT&amp;CK Mappings'!$E715)),ISNUMBER(SEARCH(IF(G$1&lt;&gt;"",G$1,"NA"),'MITRE ATT&amp;CK Mappings'!$F715))),ISNUMBER(SEARCH(IF(G$2&lt;&gt;"",G$2,"NA"),'MITRE ATT&amp;CK Mappings'!$G715))),ISNUMBER(SEARCH(IF(G$2&lt;&gt;"",G$2,"NA"),'MITRE ATT&amp;CK Mappings'!$H715))),ISNUMBER(SEARCH(IF(G$3&lt;&gt;"",G$3,"NA"),'MITRE ATT&amp;CK Mappings'!$I715))),ISNUMBER(SEARCH(IF(G$3&lt;&gt;"",G$3,"NA"),'MITRE ATT&amp;CK Mappings'!$J715))), 'MITRE ATT&amp;CK Mappings'!$B715,"")</f>
        <v/>
      </c>
      <c r="H719" s="27" t="str">
        <f>IF(OR(OR(OR(OR(OR(ISNUMBER(SEARCH(IF(H$1&lt;&gt;"",H$1,"NA"),'MITRE ATT&amp;CK Mappings'!$E715)),ISNUMBER(SEARCH(IF(H$1&lt;&gt;"",H$1,"NA"),'MITRE ATT&amp;CK Mappings'!$F715))),ISNUMBER(SEARCH(IF(H$2&lt;&gt;"",H$2,"NA"),'MITRE ATT&amp;CK Mappings'!$G715))),ISNUMBER(SEARCH(IF(H$2&lt;&gt;"",H$2,"NA"),'MITRE ATT&amp;CK Mappings'!$H715))),ISNUMBER(SEARCH(IF(H$3&lt;&gt;"",H$3,"NA"),'MITRE ATT&amp;CK Mappings'!$I715))),ISNUMBER(SEARCH(IF(H$3&lt;&gt;"",H$3,"NA"),'MITRE ATT&amp;CK Mappings'!$J715))), 'MITRE ATT&amp;CK Mappings'!$B715,"")</f>
        <v/>
      </c>
      <c r="I719" s="27" t="str">
        <f>IF(OR(OR(OR(OR(OR(ISNUMBER(SEARCH(IF(I$1&lt;&gt;"",I$1,"NA"),'MITRE ATT&amp;CK Mappings'!$E715)),ISNUMBER(SEARCH(IF(I$1&lt;&gt;"",I$1,"NA"),'MITRE ATT&amp;CK Mappings'!$F715))),ISNUMBER(SEARCH(IF(I$2&lt;&gt;"",I$2,"NA"),'MITRE ATT&amp;CK Mappings'!$G715))),ISNUMBER(SEARCH(IF(I$2&lt;&gt;"",I$2,"NA"),'MITRE ATT&amp;CK Mappings'!$H715))),ISNUMBER(SEARCH(IF(I$3&lt;&gt;"",I$3,"NA"),'MITRE ATT&amp;CK Mappings'!$I715))),ISNUMBER(SEARCH(IF(I$3&lt;&gt;"",I$3,"NA"),'MITRE ATT&amp;CK Mappings'!$J715))), 'MITRE ATT&amp;CK Mappings'!$B715,"")</f>
        <v/>
      </c>
      <c r="J719" s="27" t="str">
        <f>IF(OR(OR(OR(OR(OR(ISNUMBER(SEARCH(IF(J$1&lt;&gt;"",J$1,"NA"),'MITRE ATT&amp;CK Mappings'!$E715)),ISNUMBER(SEARCH(IF(J$1&lt;&gt;"",J$1,"NA"),'MITRE ATT&amp;CK Mappings'!$F715))),ISNUMBER(SEARCH(IF(J$2&lt;&gt;"",J$2,"NA"),'MITRE ATT&amp;CK Mappings'!$G715))),ISNUMBER(SEARCH(IF(J$2&lt;&gt;"",J$2,"NA"),'MITRE ATT&amp;CK Mappings'!$H715))),ISNUMBER(SEARCH(IF(J$3&lt;&gt;"",J$3,"NA"),'MITRE ATT&amp;CK Mappings'!$I715))),ISNUMBER(SEARCH(IF(J$3&lt;&gt;"",J$3,"NA"),'MITRE ATT&amp;CK Mappings'!$J715))), 'MITRE ATT&amp;CK Mappings'!$B715,"")</f>
        <v/>
      </c>
      <c r="K719" s="27" t="str">
        <f>IF(OR(OR(OR(OR(OR(ISNUMBER(SEARCH(IF(K$1&lt;&gt;"",K$1,"NA"),'MITRE ATT&amp;CK Mappings'!$E715)),ISNUMBER(SEARCH(IF(K$1&lt;&gt;"",K$1,"NA"),'MITRE ATT&amp;CK Mappings'!$F715))),ISNUMBER(SEARCH(IF(K$2&lt;&gt;"",K$2,"NA"),'MITRE ATT&amp;CK Mappings'!$G715))),ISNUMBER(SEARCH(IF(K$2&lt;&gt;"",K$2,"NA"),'MITRE ATT&amp;CK Mappings'!$H715))),ISNUMBER(SEARCH(IF(K$3&lt;&gt;"",K$3,"NA"),'MITRE ATT&amp;CK Mappings'!$I715))),ISNUMBER(SEARCH(IF(K$3&lt;&gt;"",K$3,"NA"),'MITRE ATT&amp;CK Mappings'!$J715))), 'MITRE ATT&amp;CK Mappings'!$B715,"")</f>
        <v/>
      </c>
      <c r="L719" s="27" t="str">
        <f>IF('MITRE ATT&amp;CK Mappings'!D715 &lt;&gt;"",'MITRE ATT&amp;CK Mappings'!D715,"" )</f>
        <v/>
      </c>
    </row>
    <row r="720" spans="1:12" x14ac:dyDescent="0.25">
      <c r="A720" s="26" t="str">
        <f>IF(COUNTIF(B720:K720,"="&amp;'MITRE ATT&amp;CK Mappings'!B716)&gt;0,'MITRE ATT&amp;CK Mappings'!B716,"")</f>
        <v/>
      </c>
      <c r="B720" s="26" t="str">
        <f>IF(OR(OR(OR(OR(OR(ISNUMBER(SEARCH(IF(B$1&lt;&gt;"",B$1,"NA"),'MITRE ATT&amp;CK Mappings'!$E716)),ISNUMBER(SEARCH(IF(B$1&lt;&gt;"",B$1,"NA"),'MITRE ATT&amp;CK Mappings'!$F716))),ISNUMBER(SEARCH(IF(B$2&lt;&gt;"",B$2,"NA"),'MITRE ATT&amp;CK Mappings'!$G716))),ISNUMBER(SEARCH(IF(B$2&lt;&gt;"",B$2,"NA"),'MITRE ATT&amp;CK Mappings'!$H716))),ISNUMBER(SEARCH(IF(B$3&lt;&gt;"",B$3,"NA"),'MITRE ATT&amp;CK Mappings'!$I716))),ISNUMBER(SEARCH(IF(B$3&lt;&gt;"",B$3,"NA"),'MITRE ATT&amp;CK Mappings'!$J716))), 'MITRE ATT&amp;CK Mappings'!$B716,"")</f>
        <v/>
      </c>
      <c r="C720" s="26" t="str">
        <f>IF(OR(OR(OR(OR(OR(ISNUMBER(SEARCH(IF(C$1&lt;&gt;"",C$1,"NA"),'MITRE ATT&amp;CK Mappings'!$E716)),ISNUMBER(SEARCH(IF(C$1&lt;&gt;"",C$1,"NA"),'MITRE ATT&amp;CK Mappings'!$F716))),ISNUMBER(SEARCH(IF(C$2&lt;&gt;"",C$2,"NA"),'MITRE ATT&amp;CK Mappings'!$G716))),ISNUMBER(SEARCH(IF(C$2&lt;&gt;"",C$2,"NA"),'MITRE ATT&amp;CK Mappings'!$H716))),ISNUMBER(SEARCH(IF(C$3&lt;&gt;"",C$3,"NA"),'MITRE ATT&amp;CK Mappings'!$I716))),ISNUMBER(SEARCH(IF(C$3&lt;&gt;"",C$3,"NA"),'MITRE ATT&amp;CK Mappings'!$J716))), 'MITRE ATT&amp;CK Mappings'!$B716,"")</f>
        <v/>
      </c>
      <c r="D720" s="26" t="str">
        <f>IF(OR(OR(OR(OR(OR(ISNUMBER(SEARCH(IF(D$1&lt;&gt;"",D$1,"NA"),'MITRE ATT&amp;CK Mappings'!$E716)),ISNUMBER(SEARCH(IF(D$1&lt;&gt;"",D$1,"NA"),'MITRE ATT&amp;CK Mappings'!$F716))),ISNUMBER(SEARCH(IF(D$2&lt;&gt;"",D$2,"NA"),'MITRE ATT&amp;CK Mappings'!$G716))),ISNUMBER(SEARCH(IF(D$2&lt;&gt;"",D$2,"NA"),'MITRE ATT&amp;CK Mappings'!$H716))),ISNUMBER(SEARCH(IF(D$3&lt;&gt;"",D$3,"NA"),'MITRE ATT&amp;CK Mappings'!$I716))),ISNUMBER(SEARCH(IF(D$3&lt;&gt;"",D$3,"NA"),'MITRE ATT&amp;CK Mappings'!$J716))), 'MITRE ATT&amp;CK Mappings'!$B716,"")</f>
        <v/>
      </c>
      <c r="E720" s="26" t="str">
        <f>IF(OR(OR(OR(OR(OR(ISNUMBER(SEARCH(IF(E$1&lt;&gt;"",E$1,"NA"),'MITRE ATT&amp;CK Mappings'!$E716)),ISNUMBER(SEARCH(IF(E$1&lt;&gt;"",E$1,"NA"),'MITRE ATT&amp;CK Mappings'!$F716))),ISNUMBER(SEARCH(IF(E$2&lt;&gt;"",E$2,"NA"),'MITRE ATT&amp;CK Mappings'!$G716))),ISNUMBER(SEARCH(IF(E$2&lt;&gt;"",E$2,"NA"),'MITRE ATT&amp;CK Mappings'!$H716))),ISNUMBER(SEARCH(IF(E$3&lt;&gt;"",E$3,"NA"),'MITRE ATT&amp;CK Mappings'!$I716))),ISNUMBER(SEARCH(IF(E$3&lt;&gt;"",E$3,"NA"),'MITRE ATT&amp;CK Mappings'!$J716))), 'MITRE ATT&amp;CK Mappings'!$B716,"")</f>
        <v/>
      </c>
      <c r="F720" s="26" t="str">
        <f>IF(OR(OR(OR(OR(OR(ISNUMBER(SEARCH(IF(F$1&lt;&gt;"",F$1,"NA"),'MITRE ATT&amp;CK Mappings'!$E716)),ISNUMBER(SEARCH(IF(F$1&lt;&gt;"",F$1,"NA"),'MITRE ATT&amp;CK Mappings'!$F716))),ISNUMBER(SEARCH(IF(F$2&lt;&gt;"",F$2,"NA"),'MITRE ATT&amp;CK Mappings'!$G716))),ISNUMBER(SEARCH(IF(F$2&lt;&gt;"",F$2,"NA"),'MITRE ATT&amp;CK Mappings'!$H716))),ISNUMBER(SEARCH(IF(F$3&lt;&gt;"",F$3,"NA"),'MITRE ATT&amp;CK Mappings'!$I716))),ISNUMBER(SEARCH(IF(F$3&lt;&gt;"",F$3,"NA"),'MITRE ATT&amp;CK Mappings'!$J716))), 'MITRE ATT&amp;CK Mappings'!$B716,"")</f>
        <v/>
      </c>
      <c r="G720" s="26" t="str">
        <f>IF(OR(OR(OR(OR(OR(ISNUMBER(SEARCH(IF(G$1&lt;&gt;"",G$1,"NA"),'MITRE ATT&amp;CK Mappings'!$E716)),ISNUMBER(SEARCH(IF(G$1&lt;&gt;"",G$1,"NA"),'MITRE ATT&amp;CK Mappings'!$F716))),ISNUMBER(SEARCH(IF(G$2&lt;&gt;"",G$2,"NA"),'MITRE ATT&amp;CK Mappings'!$G716))),ISNUMBER(SEARCH(IF(G$2&lt;&gt;"",G$2,"NA"),'MITRE ATT&amp;CK Mappings'!$H716))),ISNUMBER(SEARCH(IF(G$3&lt;&gt;"",G$3,"NA"),'MITRE ATT&amp;CK Mappings'!$I716))),ISNUMBER(SEARCH(IF(G$3&lt;&gt;"",G$3,"NA"),'MITRE ATT&amp;CK Mappings'!$J716))), 'MITRE ATT&amp;CK Mappings'!$B716,"")</f>
        <v/>
      </c>
      <c r="H720" s="26" t="str">
        <f>IF(OR(OR(OR(OR(OR(ISNUMBER(SEARCH(IF(H$1&lt;&gt;"",H$1,"NA"),'MITRE ATT&amp;CK Mappings'!$E716)),ISNUMBER(SEARCH(IF(H$1&lt;&gt;"",H$1,"NA"),'MITRE ATT&amp;CK Mappings'!$F716))),ISNUMBER(SEARCH(IF(H$2&lt;&gt;"",H$2,"NA"),'MITRE ATT&amp;CK Mappings'!$G716))),ISNUMBER(SEARCH(IF(H$2&lt;&gt;"",H$2,"NA"),'MITRE ATT&amp;CK Mappings'!$H716))),ISNUMBER(SEARCH(IF(H$3&lt;&gt;"",H$3,"NA"),'MITRE ATT&amp;CK Mappings'!$I716))),ISNUMBER(SEARCH(IF(H$3&lt;&gt;"",H$3,"NA"),'MITRE ATT&amp;CK Mappings'!$J716))), 'MITRE ATT&amp;CK Mappings'!$B716,"")</f>
        <v/>
      </c>
      <c r="I720" s="26" t="str">
        <f>IF(OR(OR(OR(OR(OR(ISNUMBER(SEARCH(IF(I$1&lt;&gt;"",I$1,"NA"),'MITRE ATT&amp;CK Mappings'!$E716)),ISNUMBER(SEARCH(IF(I$1&lt;&gt;"",I$1,"NA"),'MITRE ATT&amp;CK Mappings'!$F716))),ISNUMBER(SEARCH(IF(I$2&lt;&gt;"",I$2,"NA"),'MITRE ATT&amp;CK Mappings'!$G716))),ISNUMBER(SEARCH(IF(I$2&lt;&gt;"",I$2,"NA"),'MITRE ATT&amp;CK Mappings'!$H716))),ISNUMBER(SEARCH(IF(I$3&lt;&gt;"",I$3,"NA"),'MITRE ATT&amp;CK Mappings'!$I716))),ISNUMBER(SEARCH(IF(I$3&lt;&gt;"",I$3,"NA"),'MITRE ATT&amp;CK Mappings'!$J716))), 'MITRE ATT&amp;CK Mappings'!$B716,"")</f>
        <v/>
      </c>
      <c r="J720" s="26" t="str">
        <f>IF(OR(OR(OR(OR(OR(ISNUMBER(SEARCH(IF(J$1&lt;&gt;"",J$1,"NA"),'MITRE ATT&amp;CK Mappings'!$E716)),ISNUMBER(SEARCH(IF(J$1&lt;&gt;"",J$1,"NA"),'MITRE ATT&amp;CK Mappings'!$F716))),ISNUMBER(SEARCH(IF(J$2&lt;&gt;"",J$2,"NA"),'MITRE ATT&amp;CK Mappings'!$G716))),ISNUMBER(SEARCH(IF(J$2&lt;&gt;"",J$2,"NA"),'MITRE ATT&amp;CK Mappings'!$H716))),ISNUMBER(SEARCH(IF(J$3&lt;&gt;"",J$3,"NA"),'MITRE ATT&amp;CK Mappings'!$I716))),ISNUMBER(SEARCH(IF(J$3&lt;&gt;"",J$3,"NA"),'MITRE ATT&amp;CK Mappings'!$J716))), 'MITRE ATT&amp;CK Mappings'!$B716,"")</f>
        <v/>
      </c>
      <c r="K720" s="26" t="str">
        <f>IF(OR(OR(OR(OR(OR(ISNUMBER(SEARCH(IF(K$1&lt;&gt;"",K$1,"NA"),'MITRE ATT&amp;CK Mappings'!$E716)),ISNUMBER(SEARCH(IF(K$1&lt;&gt;"",K$1,"NA"),'MITRE ATT&amp;CK Mappings'!$F716))),ISNUMBER(SEARCH(IF(K$2&lt;&gt;"",K$2,"NA"),'MITRE ATT&amp;CK Mappings'!$G716))),ISNUMBER(SEARCH(IF(K$2&lt;&gt;"",K$2,"NA"),'MITRE ATT&amp;CK Mappings'!$H716))),ISNUMBER(SEARCH(IF(K$3&lt;&gt;"",K$3,"NA"),'MITRE ATT&amp;CK Mappings'!$I716))),ISNUMBER(SEARCH(IF(K$3&lt;&gt;"",K$3,"NA"),'MITRE ATT&amp;CK Mappings'!$J716))), 'MITRE ATT&amp;CK Mappings'!$B716,"")</f>
        <v/>
      </c>
      <c r="L720" s="26" t="str">
        <f>IF('MITRE ATT&amp;CK Mappings'!D716 &lt;&gt;"",'MITRE ATT&amp;CK Mappings'!D716,"" )</f>
        <v/>
      </c>
    </row>
    <row r="721" spans="1:12" x14ac:dyDescent="0.25">
      <c r="A721" s="27" t="str">
        <f>IF(COUNTIF(B721:K721,"="&amp;'MITRE ATT&amp;CK Mappings'!B717)&gt;0,'MITRE ATT&amp;CK Mappings'!B717,"")</f>
        <v/>
      </c>
      <c r="B721" s="27" t="str">
        <f>IF(OR(OR(OR(OR(OR(ISNUMBER(SEARCH(IF(B$1&lt;&gt;"",B$1,"NA"),'MITRE ATT&amp;CK Mappings'!$E717)),ISNUMBER(SEARCH(IF(B$1&lt;&gt;"",B$1,"NA"),'MITRE ATT&amp;CK Mappings'!$F717))),ISNUMBER(SEARCH(IF(B$2&lt;&gt;"",B$2,"NA"),'MITRE ATT&amp;CK Mappings'!$G717))),ISNUMBER(SEARCH(IF(B$2&lt;&gt;"",B$2,"NA"),'MITRE ATT&amp;CK Mappings'!$H717))),ISNUMBER(SEARCH(IF(B$3&lt;&gt;"",B$3,"NA"),'MITRE ATT&amp;CK Mappings'!$I717))),ISNUMBER(SEARCH(IF(B$3&lt;&gt;"",B$3,"NA"),'MITRE ATT&amp;CK Mappings'!$J717))), 'MITRE ATT&amp;CK Mappings'!$B717,"")</f>
        <v/>
      </c>
      <c r="C721" s="27" t="str">
        <f>IF(OR(OR(OR(OR(OR(ISNUMBER(SEARCH(IF(C$1&lt;&gt;"",C$1,"NA"),'MITRE ATT&amp;CK Mappings'!$E717)),ISNUMBER(SEARCH(IF(C$1&lt;&gt;"",C$1,"NA"),'MITRE ATT&amp;CK Mappings'!$F717))),ISNUMBER(SEARCH(IF(C$2&lt;&gt;"",C$2,"NA"),'MITRE ATT&amp;CK Mappings'!$G717))),ISNUMBER(SEARCH(IF(C$2&lt;&gt;"",C$2,"NA"),'MITRE ATT&amp;CK Mappings'!$H717))),ISNUMBER(SEARCH(IF(C$3&lt;&gt;"",C$3,"NA"),'MITRE ATT&amp;CK Mappings'!$I717))),ISNUMBER(SEARCH(IF(C$3&lt;&gt;"",C$3,"NA"),'MITRE ATT&amp;CK Mappings'!$J717))), 'MITRE ATT&amp;CK Mappings'!$B717,"")</f>
        <v/>
      </c>
      <c r="D721" s="27" t="str">
        <f>IF(OR(OR(OR(OR(OR(ISNUMBER(SEARCH(IF(D$1&lt;&gt;"",D$1,"NA"),'MITRE ATT&amp;CK Mappings'!$E717)),ISNUMBER(SEARCH(IF(D$1&lt;&gt;"",D$1,"NA"),'MITRE ATT&amp;CK Mappings'!$F717))),ISNUMBER(SEARCH(IF(D$2&lt;&gt;"",D$2,"NA"),'MITRE ATT&amp;CK Mappings'!$G717))),ISNUMBER(SEARCH(IF(D$2&lt;&gt;"",D$2,"NA"),'MITRE ATT&amp;CK Mappings'!$H717))),ISNUMBER(SEARCH(IF(D$3&lt;&gt;"",D$3,"NA"),'MITRE ATT&amp;CK Mappings'!$I717))),ISNUMBER(SEARCH(IF(D$3&lt;&gt;"",D$3,"NA"),'MITRE ATT&amp;CK Mappings'!$J717))), 'MITRE ATT&amp;CK Mappings'!$B717,"")</f>
        <v/>
      </c>
      <c r="E721" s="27" t="str">
        <f>IF(OR(OR(OR(OR(OR(ISNUMBER(SEARCH(IF(E$1&lt;&gt;"",E$1,"NA"),'MITRE ATT&amp;CK Mappings'!$E717)),ISNUMBER(SEARCH(IF(E$1&lt;&gt;"",E$1,"NA"),'MITRE ATT&amp;CK Mappings'!$F717))),ISNUMBER(SEARCH(IF(E$2&lt;&gt;"",E$2,"NA"),'MITRE ATT&amp;CK Mappings'!$G717))),ISNUMBER(SEARCH(IF(E$2&lt;&gt;"",E$2,"NA"),'MITRE ATT&amp;CK Mappings'!$H717))),ISNUMBER(SEARCH(IF(E$3&lt;&gt;"",E$3,"NA"),'MITRE ATT&amp;CK Mappings'!$I717))),ISNUMBER(SEARCH(IF(E$3&lt;&gt;"",E$3,"NA"),'MITRE ATT&amp;CK Mappings'!$J717))), 'MITRE ATT&amp;CK Mappings'!$B717,"")</f>
        <v/>
      </c>
      <c r="F721" s="27" t="str">
        <f>IF(OR(OR(OR(OR(OR(ISNUMBER(SEARCH(IF(F$1&lt;&gt;"",F$1,"NA"),'MITRE ATT&amp;CK Mappings'!$E717)),ISNUMBER(SEARCH(IF(F$1&lt;&gt;"",F$1,"NA"),'MITRE ATT&amp;CK Mappings'!$F717))),ISNUMBER(SEARCH(IF(F$2&lt;&gt;"",F$2,"NA"),'MITRE ATT&amp;CK Mappings'!$G717))),ISNUMBER(SEARCH(IF(F$2&lt;&gt;"",F$2,"NA"),'MITRE ATT&amp;CK Mappings'!$H717))),ISNUMBER(SEARCH(IF(F$3&lt;&gt;"",F$3,"NA"),'MITRE ATT&amp;CK Mappings'!$I717))),ISNUMBER(SEARCH(IF(F$3&lt;&gt;"",F$3,"NA"),'MITRE ATT&amp;CK Mappings'!$J717))), 'MITRE ATT&amp;CK Mappings'!$B717,"")</f>
        <v/>
      </c>
      <c r="G721" s="27" t="str">
        <f>IF(OR(OR(OR(OR(OR(ISNUMBER(SEARCH(IF(G$1&lt;&gt;"",G$1,"NA"),'MITRE ATT&amp;CK Mappings'!$E717)),ISNUMBER(SEARCH(IF(G$1&lt;&gt;"",G$1,"NA"),'MITRE ATT&amp;CK Mappings'!$F717))),ISNUMBER(SEARCH(IF(G$2&lt;&gt;"",G$2,"NA"),'MITRE ATT&amp;CK Mappings'!$G717))),ISNUMBER(SEARCH(IF(G$2&lt;&gt;"",G$2,"NA"),'MITRE ATT&amp;CK Mappings'!$H717))),ISNUMBER(SEARCH(IF(G$3&lt;&gt;"",G$3,"NA"),'MITRE ATT&amp;CK Mappings'!$I717))),ISNUMBER(SEARCH(IF(G$3&lt;&gt;"",G$3,"NA"),'MITRE ATT&amp;CK Mappings'!$J717))), 'MITRE ATT&amp;CK Mappings'!$B717,"")</f>
        <v/>
      </c>
      <c r="H721" s="27" t="str">
        <f>IF(OR(OR(OR(OR(OR(ISNUMBER(SEARCH(IF(H$1&lt;&gt;"",H$1,"NA"),'MITRE ATT&amp;CK Mappings'!$E717)),ISNUMBER(SEARCH(IF(H$1&lt;&gt;"",H$1,"NA"),'MITRE ATT&amp;CK Mappings'!$F717))),ISNUMBER(SEARCH(IF(H$2&lt;&gt;"",H$2,"NA"),'MITRE ATT&amp;CK Mappings'!$G717))),ISNUMBER(SEARCH(IF(H$2&lt;&gt;"",H$2,"NA"),'MITRE ATT&amp;CK Mappings'!$H717))),ISNUMBER(SEARCH(IF(H$3&lt;&gt;"",H$3,"NA"),'MITRE ATT&amp;CK Mappings'!$I717))),ISNUMBER(SEARCH(IF(H$3&lt;&gt;"",H$3,"NA"),'MITRE ATT&amp;CK Mappings'!$J717))), 'MITRE ATT&amp;CK Mappings'!$B717,"")</f>
        <v/>
      </c>
      <c r="I721" s="27" t="str">
        <f>IF(OR(OR(OR(OR(OR(ISNUMBER(SEARCH(IF(I$1&lt;&gt;"",I$1,"NA"),'MITRE ATT&amp;CK Mappings'!$E717)),ISNUMBER(SEARCH(IF(I$1&lt;&gt;"",I$1,"NA"),'MITRE ATT&amp;CK Mappings'!$F717))),ISNUMBER(SEARCH(IF(I$2&lt;&gt;"",I$2,"NA"),'MITRE ATT&amp;CK Mappings'!$G717))),ISNUMBER(SEARCH(IF(I$2&lt;&gt;"",I$2,"NA"),'MITRE ATT&amp;CK Mappings'!$H717))),ISNUMBER(SEARCH(IF(I$3&lt;&gt;"",I$3,"NA"),'MITRE ATT&amp;CK Mappings'!$I717))),ISNUMBER(SEARCH(IF(I$3&lt;&gt;"",I$3,"NA"),'MITRE ATT&amp;CK Mappings'!$J717))), 'MITRE ATT&amp;CK Mappings'!$B717,"")</f>
        <v/>
      </c>
      <c r="J721" s="27" t="str">
        <f>IF(OR(OR(OR(OR(OR(ISNUMBER(SEARCH(IF(J$1&lt;&gt;"",J$1,"NA"),'MITRE ATT&amp;CK Mappings'!$E717)),ISNUMBER(SEARCH(IF(J$1&lt;&gt;"",J$1,"NA"),'MITRE ATT&amp;CK Mappings'!$F717))),ISNUMBER(SEARCH(IF(J$2&lt;&gt;"",J$2,"NA"),'MITRE ATT&amp;CK Mappings'!$G717))),ISNUMBER(SEARCH(IF(J$2&lt;&gt;"",J$2,"NA"),'MITRE ATT&amp;CK Mappings'!$H717))),ISNUMBER(SEARCH(IF(J$3&lt;&gt;"",J$3,"NA"),'MITRE ATT&amp;CK Mappings'!$I717))),ISNUMBER(SEARCH(IF(J$3&lt;&gt;"",J$3,"NA"),'MITRE ATT&amp;CK Mappings'!$J717))), 'MITRE ATT&amp;CK Mappings'!$B717,"")</f>
        <v/>
      </c>
      <c r="K721" s="27" t="str">
        <f>IF(OR(OR(OR(OR(OR(ISNUMBER(SEARCH(IF(K$1&lt;&gt;"",K$1,"NA"),'MITRE ATT&amp;CK Mappings'!$E717)),ISNUMBER(SEARCH(IF(K$1&lt;&gt;"",K$1,"NA"),'MITRE ATT&amp;CK Mappings'!$F717))),ISNUMBER(SEARCH(IF(K$2&lt;&gt;"",K$2,"NA"),'MITRE ATT&amp;CK Mappings'!$G717))),ISNUMBER(SEARCH(IF(K$2&lt;&gt;"",K$2,"NA"),'MITRE ATT&amp;CK Mappings'!$H717))),ISNUMBER(SEARCH(IF(K$3&lt;&gt;"",K$3,"NA"),'MITRE ATT&amp;CK Mappings'!$I717))),ISNUMBER(SEARCH(IF(K$3&lt;&gt;"",K$3,"NA"),'MITRE ATT&amp;CK Mappings'!$J717))), 'MITRE ATT&amp;CK Mappings'!$B717,"")</f>
        <v/>
      </c>
      <c r="L721" s="27" t="str">
        <f>IF('MITRE ATT&amp;CK Mappings'!D717 &lt;&gt;"",'MITRE ATT&amp;CK Mappings'!D717,"" )</f>
        <v/>
      </c>
    </row>
    <row r="722" spans="1:12" x14ac:dyDescent="0.25">
      <c r="A722" s="26" t="str">
        <f>IF(COUNTIF(B722:K722,"="&amp;'MITRE ATT&amp;CK Mappings'!B718)&gt;0,'MITRE ATT&amp;CK Mappings'!B718,"")</f>
        <v/>
      </c>
      <c r="B722" s="26" t="str">
        <f>IF(OR(OR(OR(OR(OR(ISNUMBER(SEARCH(IF(B$1&lt;&gt;"",B$1,"NA"),'MITRE ATT&amp;CK Mappings'!$E718)),ISNUMBER(SEARCH(IF(B$1&lt;&gt;"",B$1,"NA"),'MITRE ATT&amp;CK Mappings'!$F718))),ISNUMBER(SEARCH(IF(B$2&lt;&gt;"",B$2,"NA"),'MITRE ATT&amp;CK Mappings'!$G718))),ISNUMBER(SEARCH(IF(B$2&lt;&gt;"",B$2,"NA"),'MITRE ATT&amp;CK Mappings'!$H718))),ISNUMBER(SEARCH(IF(B$3&lt;&gt;"",B$3,"NA"),'MITRE ATT&amp;CK Mappings'!$I718))),ISNUMBER(SEARCH(IF(B$3&lt;&gt;"",B$3,"NA"),'MITRE ATT&amp;CK Mappings'!$J718))), 'MITRE ATT&amp;CK Mappings'!$B718,"")</f>
        <v/>
      </c>
      <c r="C722" s="26" t="str">
        <f>IF(OR(OR(OR(OR(OR(ISNUMBER(SEARCH(IF(C$1&lt;&gt;"",C$1,"NA"),'MITRE ATT&amp;CK Mappings'!$E718)),ISNUMBER(SEARCH(IF(C$1&lt;&gt;"",C$1,"NA"),'MITRE ATT&amp;CK Mappings'!$F718))),ISNUMBER(SEARCH(IF(C$2&lt;&gt;"",C$2,"NA"),'MITRE ATT&amp;CK Mappings'!$G718))),ISNUMBER(SEARCH(IF(C$2&lt;&gt;"",C$2,"NA"),'MITRE ATT&amp;CK Mappings'!$H718))),ISNUMBER(SEARCH(IF(C$3&lt;&gt;"",C$3,"NA"),'MITRE ATT&amp;CK Mappings'!$I718))),ISNUMBER(SEARCH(IF(C$3&lt;&gt;"",C$3,"NA"),'MITRE ATT&amp;CK Mappings'!$J718))), 'MITRE ATT&amp;CK Mappings'!$B718,"")</f>
        <v/>
      </c>
      <c r="D722" s="26" t="str">
        <f>IF(OR(OR(OR(OR(OR(ISNUMBER(SEARCH(IF(D$1&lt;&gt;"",D$1,"NA"),'MITRE ATT&amp;CK Mappings'!$E718)),ISNUMBER(SEARCH(IF(D$1&lt;&gt;"",D$1,"NA"),'MITRE ATT&amp;CK Mappings'!$F718))),ISNUMBER(SEARCH(IF(D$2&lt;&gt;"",D$2,"NA"),'MITRE ATT&amp;CK Mappings'!$G718))),ISNUMBER(SEARCH(IF(D$2&lt;&gt;"",D$2,"NA"),'MITRE ATT&amp;CK Mappings'!$H718))),ISNUMBER(SEARCH(IF(D$3&lt;&gt;"",D$3,"NA"),'MITRE ATT&amp;CK Mappings'!$I718))),ISNUMBER(SEARCH(IF(D$3&lt;&gt;"",D$3,"NA"),'MITRE ATT&amp;CK Mappings'!$J718))), 'MITRE ATT&amp;CK Mappings'!$B718,"")</f>
        <v/>
      </c>
      <c r="E722" s="26" t="str">
        <f>IF(OR(OR(OR(OR(OR(ISNUMBER(SEARCH(IF(E$1&lt;&gt;"",E$1,"NA"),'MITRE ATT&amp;CK Mappings'!$E718)),ISNUMBER(SEARCH(IF(E$1&lt;&gt;"",E$1,"NA"),'MITRE ATT&amp;CK Mappings'!$F718))),ISNUMBER(SEARCH(IF(E$2&lt;&gt;"",E$2,"NA"),'MITRE ATT&amp;CK Mappings'!$G718))),ISNUMBER(SEARCH(IF(E$2&lt;&gt;"",E$2,"NA"),'MITRE ATT&amp;CK Mappings'!$H718))),ISNUMBER(SEARCH(IF(E$3&lt;&gt;"",E$3,"NA"),'MITRE ATT&amp;CK Mappings'!$I718))),ISNUMBER(SEARCH(IF(E$3&lt;&gt;"",E$3,"NA"),'MITRE ATT&amp;CK Mappings'!$J718))), 'MITRE ATT&amp;CK Mappings'!$B718,"")</f>
        <v/>
      </c>
      <c r="F722" s="26" t="str">
        <f>IF(OR(OR(OR(OR(OR(ISNUMBER(SEARCH(IF(F$1&lt;&gt;"",F$1,"NA"),'MITRE ATT&amp;CK Mappings'!$E718)),ISNUMBER(SEARCH(IF(F$1&lt;&gt;"",F$1,"NA"),'MITRE ATT&amp;CK Mappings'!$F718))),ISNUMBER(SEARCH(IF(F$2&lt;&gt;"",F$2,"NA"),'MITRE ATT&amp;CK Mappings'!$G718))),ISNUMBER(SEARCH(IF(F$2&lt;&gt;"",F$2,"NA"),'MITRE ATT&amp;CK Mappings'!$H718))),ISNUMBER(SEARCH(IF(F$3&lt;&gt;"",F$3,"NA"),'MITRE ATT&amp;CK Mappings'!$I718))),ISNUMBER(SEARCH(IF(F$3&lt;&gt;"",F$3,"NA"),'MITRE ATT&amp;CK Mappings'!$J718))), 'MITRE ATT&amp;CK Mappings'!$B718,"")</f>
        <v/>
      </c>
      <c r="G722" s="26" t="str">
        <f>IF(OR(OR(OR(OR(OR(ISNUMBER(SEARCH(IF(G$1&lt;&gt;"",G$1,"NA"),'MITRE ATT&amp;CK Mappings'!$E718)),ISNUMBER(SEARCH(IF(G$1&lt;&gt;"",G$1,"NA"),'MITRE ATT&amp;CK Mappings'!$F718))),ISNUMBER(SEARCH(IF(G$2&lt;&gt;"",G$2,"NA"),'MITRE ATT&amp;CK Mappings'!$G718))),ISNUMBER(SEARCH(IF(G$2&lt;&gt;"",G$2,"NA"),'MITRE ATT&amp;CK Mappings'!$H718))),ISNUMBER(SEARCH(IF(G$3&lt;&gt;"",G$3,"NA"),'MITRE ATT&amp;CK Mappings'!$I718))),ISNUMBER(SEARCH(IF(G$3&lt;&gt;"",G$3,"NA"),'MITRE ATT&amp;CK Mappings'!$J718))), 'MITRE ATT&amp;CK Mappings'!$B718,"")</f>
        <v/>
      </c>
      <c r="H722" s="26" t="str">
        <f>IF(OR(OR(OR(OR(OR(ISNUMBER(SEARCH(IF(H$1&lt;&gt;"",H$1,"NA"),'MITRE ATT&amp;CK Mappings'!$E718)),ISNUMBER(SEARCH(IF(H$1&lt;&gt;"",H$1,"NA"),'MITRE ATT&amp;CK Mappings'!$F718))),ISNUMBER(SEARCH(IF(H$2&lt;&gt;"",H$2,"NA"),'MITRE ATT&amp;CK Mappings'!$G718))),ISNUMBER(SEARCH(IF(H$2&lt;&gt;"",H$2,"NA"),'MITRE ATT&amp;CK Mappings'!$H718))),ISNUMBER(SEARCH(IF(H$3&lt;&gt;"",H$3,"NA"),'MITRE ATT&amp;CK Mappings'!$I718))),ISNUMBER(SEARCH(IF(H$3&lt;&gt;"",H$3,"NA"),'MITRE ATT&amp;CK Mappings'!$J718))), 'MITRE ATT&amp;CK Mappings'!$B718,"")</f>
        <v/>
      </c>
      <c r="I722" s="26" t="str">
        <f>IF(OR(OR(OR(OR(OR(ISNUMBER(SEARCH(IF(I$1&lt;&gt;"",I$1,"NA"),'MITRE ATT&amp;CK Mappings'!$E718)),ISNUMBER(SEARCH(IF(I$1&lt;&gt;"",I$1,"NA"),'MITRE ATT&amp;CK Mappings'!$F718))),ISNUMBER(SEARCH(IF(I$2&lt;&gt;"",I$2,"NA"),'MITRE ATT&amp;CK Mappings'!$G718))),ISNUMBER(SEARCH(IF(I$2&lt;&gt;"",I$2,"NA"),'MITRE ATT&amp;CK Mappings'!$H718))),ISNUMBER(SEARCH(IF(I$3&lt;&gt;"",I$3,"NA"),'MITRE ATT&amp;CK Mappings'!$I718))),ISNUMBER(SEARCH(IF(I$3&lt;&gt;"",I$3,"NA"),'MITRE ATT&amp;CK Mappings'!$J718))), 'MITRE ATT&amp;CK Mappings'!$B718,"")</f>
        <v/>
      </c>
      <c r="J722" s="26" t="str">
        <f>IF(OR(OR(OR(OR(OR(ISNUMBER(SEARCH(IF(J$1&lt;&gt;"",J$1,"NA"),'MITRE ATT&amp;CK Mappings'!$E718)),ISNUMBER(SEARCH(IF(J$1&lt;&gt;"",J$1,"NA"),'MITRE ATT&amp;CK Mappings'!$F718))),ISNUMBER(SEARCH(IF(J$2&lt;&gt;"",J$2,"NA"),'MITRE ATT&amp;CK Mappings'!$G718))),ISNUMBER(SEARCH(IF(J$2&lt;&gt;"",J$2,"NA"),'MITRE ATT&amp;CK Mappings'!$H718))),ISNUMBER(SEARCH(IF(J$3&lt;&gt;"",J$3,"NA"),'MITRE ATT&amp;CK Mappings'!$I718))),ISNUMBER(SEARCH(IF(J$3&lt;&gt;"",J$3,"NA"),'MITRE ATT&amp;CK Mappings'!$J718))), 'MITRE ATT&amp;CK Mappings'!$B718,"")</f>
        <v/>
      </c>
      <c r="K722" s="26" t="str">
        <f>IF(OR(OR(OR(OR(OR(ISNUMBER(SEARCH(IF(K$1&lt;&gt;"",K$1,"NA"),'MITRE ATT&amp;CK Mappings'!$E718)),ISNUMBER(SEARCH(IF(K$1&lt;&gt;"",K$1,"NA"),'MITRE ATT&amp;CK Mappings'!$F718))),ISNUMBER(SEARCH(IF(K$2&lt;&gt;"",K$2,"NA"),'MITRE ATT&amp;CK Mappings'!$G718))),ISNUMBER(SEARCH(IF(K$2&lt;&gt;"",K$2,"NA"),'MITRE ATT&amp;CK Mappings'!$H718))),ISNUMBER(SEARCH(IF(K$3&lt;&gt;"",K$3,"NA"),'MITRE ATT&amp;CK Mappings'!$I718))),ISNUMBER(SEARCH(IF(K$3&lt;&gt;"",K$3,"NA"),'MITRE ATT&amp;CK Mappings'!$J718))), 'MITRE ATT&amp;CK Mappings'!$B718,"")</f>
        <v/>
      </c>
      <c r="L722" s="26" t="str">
        <f>IF('MITRE ATT&amp;CK Mappings'!D718 &lt;&gt;"",'MITRE ATT&amp;CK Mappings'!D718,"" )</f>
        <v/>
      </c>
    </row>
    <row r="723" spans="1:12" x14ac:dyDescent="0.25">
      <c r="A723" s="27" t="str">
        <f>IF(COUNTIF(B723:K723,"="&amp;'MITRE ATT&amp;CK Mappings'!B719)&gt;0,'MITRE ATT&amp;CK Mappings'!B719,"")</f>
        <v/>
      </c>
      <c r="B723" s="27" t="str">
        <f>IF(OR(OR(OR(OR(OR(ISNUMBER(SEARCH(IF(B$1&lt;&gt;"",B$1,"NA"),'MITRE ATT&amp;CK Mappings'!$E719)),ISNUMBER(SEARCH(IF(B$1&lt;&gt;"",B$1,"NA"),'MITRE ATT&amp;CK Mappings'!$F719))),ISNUMBER(SEARCH(IF(B$2&lt;&gt;"",B$2,"NA"),'MITRE ATT&amp;CK Mappings'!$G719))),ISNUMBER(SEARCH(IF(B$2&lt;&gt;"",B$2,"NA"),'MITRE ATT&amp;CK Mappings'!$H719))),ISNUMBER(SEARCH(IF(B$3&lt;&gt;"",B$3,"NA"),'MITRE ATT&amp;CK Mappings'!$I719))),ISNUMBER(SEARCH(IF(B$3&lt;&gt;"",B$3,"NA"),'MITRE ATT&amp;CK Mappings'!$J719))), 'MITRE ATT&amp;CK Mappings'!$B719,"")</f>
        <v/>
      </c>
      <c r="C723" s="27" t="str">
        <f>IF(OR(OR(OR(OR(OR(ISNUMBER(SEARCH(IF(C$1&lt;&gt;"",C$1,"NA"),'MITRE ATT&amp;CK Mappings'!$E719)),ISNUMBER(SEARCH(IF(C$1&lt;&gt;"",C$1,"NA"),'MITRE ATT&amp;CK Mappings'!$F719))),ISNUMBER(SEARCH(IF(C$2&lt;&gt;"",C$2,"NA"),'MITRE ATT&amp;CK Mappings'!$G719))),ISNUMBER(SEARCH(IF(C$2&lt;&gt;"",C$2,"NA"),'MITRE ATT&amp;CK Mappings'!$H719))),ISNUMBER(SEARCH(IF(C$3&lt;&gt;"",C$3,"NA"),'MITRE ATT&amp;CK Mappings'!$I719))),ISNUMBER(SEARCH(IF(C$3&lt;&gt;"",C$3,"NA"),'MITRE ATT&amp;CK Mappings'!$J719))), 'MITRE ATT&amp;CK Mappings'!$B719,"")</f>
        <v/>
      </c>
      <c r="D723" s="27" t="str">
        <f>IF(OR(OR(OR(OR(OR(ISNUMBER(SEARCH(IF(D$1&lt;&gt;"",D$1,"NA"),'MITRE ATT&amp;CK Mappings'!$E719)),ISNUMBER(SEARCH(IF(D$1&lt;&gt;"",D$1,"NA"),'MITRE ATT&amp;CK Mappings'!$F719))),ISNUMBER(SEARCH(IF(D$2&lt;&gt;"",D$2,"NA"),'MITRE ATT&amp;CK Mappings'!$G719))),ISNUMBER(SEARCH(IF(D$2&lt;&gt;"",D$2,"NA"),'MITRE ATT&amp;CK Mappings'!$H719))),ISNUMBER(SEARCH(IF(D$3&lt;&gt;"",D$3,"NA"),'MITRE ATT&amp;CK Mappings'!$I719))),ISNUMBER(SEARCH(IF(D$3&lt;&gt;"",D$3,"NA"),'MITRE ATT&amp;CK Mappings'!$J719))), 'MITRE ATT&amp;CK Mappings'!$B719,"")</f>
        <v/>
      </c>
      <c r="E723" s="27" t="str">
        <f>IF(OR(OR(OR(OR(OR(ISNUMBER(SEARCH(IF(E$1&lt;&gt;"",E$1,"NA"),'MITRE ATT&amp;CK Mappings'!$E719)),ISNUMBER(SEARCH(IF(E$1&lt;&gt;"",E$1,"NA"),'MITRE ATT&amp;CK Mappings'!$F719))),ISNUMBER(SEARCH(IF(E$2&lt;&gt;"",E$2,"NA"),'MITRE ATT&amp;CK Mappings'!$G719))),ISNUMBER(SEARCH(IF(E$2&lt;&gt;"",E$2,"NA"),'MITRE ATT&amp;CK Mappings'!$H719))),ISNUMBER(SEARCH(IF(E$3&lt;&gt;"",E$3,"NA"),'MITRE ATT&amp;CK Mappings'!$I719))),ISNUMBER(SEARCH(IF(E$3&lt;&gt;"",E$3,"NA"),'MITRE ATT&amp;CK Mappings'!$J719))), 'MITRE ATT&amp;CK Mappings'!$B719,"")</f>
        <v/>
      </c>
      <c r="F723" s="27" t="str">
        <f>IF(OR(OR(OR(OR(OR(ISNUMBER(SEARCH(IF(F$1&lt;&gt;"",F$1,"NA"),'MITRE ATT&amp;CK Mappings'!$E719)),ISNUMBER(SEARCH(IF(F$1&lt;&gt;"",F$1,"NA"),'MITRE ATT&amp;CK Mappings'!$F719))),ISNUMBER(SEARCH(IF(F$2&lt;&gt;"",F$2,"NA"),'MITRE ATT&amp;CK Mappings'!$G719))),ISNUMBER(SEARCH(IF(F$2&lt;&gt;"",F$2,"NA"),'MITRE ATT&amp;CK Mappings'!$H719))),ISNUMBER(SEARCH(IF(F$3&lt;&gt;"",F$3,"NA"),'MITRE ATT&amp;CK Mappings'!$I719))),ISNUMBER(SEARCH(IF(F$3&lt;&gt;"",F$3,"NA"),'MITRE ATT&amp;CK Mappings'!$J719))), 'MITRE ATT&amp;CK Mappings'!$B719,"")</f>
        <v/>
      </c>
      <c r="G723" s="27" t="str">
        <f>IF(OR(OR(OR(OR(OR(ISNUMBER(SEARCH(IF(G$1&lt;&gt;"",G$1,"NA"),'MITRE ATT&amp;CK Mappings'!$E719)),ISNUMBER(SEARCH(IF(G$1&lt;&gt;"",G$1,"NA"),'MITRE ATT&amp;CK Mappings'!$F719))),ISNUMBER(SEARCH(IF(G$2&lt;&gt;"",G$2,"NA"),'MITRE ATT&amp;CK Mappings'!$G719))),ISNUMBER(SEARCH(IF(G$2&lt;&gt;"",G$2,"NA"),'MITRE ATT&amp;CK Mappings'!$H719))),ISNUMBER(SEARCH(IF(G$3&lt;&gt;"",G$3,"NA"),'MITRE ATT&amp;CK Mappings'!$I719))),ISNUMBER(SEARCH(IF(G$3&lt;&gt;"",G$3,"NA"),'MITRE ATT&amp;CK Mappings'!$J719))), 'MITRE ATT&amp;CK Mappings'!$B719,"")</f>
        <v/>
      </c>
      <c r="H723" s="27" t="str">
        <f>IF(OR(OR(OR(OR(OR(ISNUMBER(SEARCH(IF(H$1&lt;&gt;"",H$1,"NA"),'MITRE ATT&amp;CK Mappings'!$E719)),ISNUMBER(SEARCH(IF(H$1&lt;&gt;"",H$1,"NA"),'MITRE ATT&amp;CK Mappings'!$F719))),ISNUMBER(SEARCH(IF(H$2&lt;&gt;"",H$2,"NA"),'MITRE ATT&amp;CK Mappings'!$G719))),ISNUMBER(SEARCH(IF(H$2&lt;&gt;"",H$2,"NA"),'MITRE ATT&amp;CK Mappings'!$H719))),ISNUMBER(SEARCH(IF(H$3&lt;&gt;"",H$3,"NA"),'MITRE ATT&amp;CK Mappings'!$I719))),ISNUMBER(SEARCH(IF(H$3&lt;&gt;"",H$3,"NA"),'MITRE ATT&amp;CK Mappings'!$J719))), 'MITRE ATT&amp;CK Mappings'!$B719,"")</f>
        <v/>
      </c>
      <c r="I723" s="27" t="str">
        <f>IF(OR(OR(OR(OR(OR(ISNUMBER(SEARCH(IF(I$1&lt;&gt;"",I$1,"NA"),'MITRE ATT&amp;CK Mappings'!$E719)),ISNUMBER(SEARCH(IF(I$1&lt;&gt;"",I$1,"NA"),'MITRE ATT&amp;CK Mappings'!$F719))),ISNUMBER(SEARCH(IF(I$2&lt;&gt;"",I$2,"NA"),'MITRE ATT&amp;CK Mappings'!$G719))),ISNUMBER(SEARCH(IF(I$2&lt;&gt;"",I$2,"NA"),'MITRE ATT&amp;CK Mappings'!$H719))),ISNUMBER(SEARCH(IF(I$3&lt;&gt;"",I$3,"NA"),'MITRE ATT&amp;CK Mappings'!$I719))),ISNUMBER(SEARCH(IF(I$3&lt;&gt;"",I$3,"NA"),'MITRE ATT&amp;CK Mappings'!$J719))), 'MITRE ATT&amp;CK Mappings'!$B719,"")</f>
        <v/>
      </c>
      <c r="J723" s="27" t="str">
        <f>IF(OR(OR(OR(OR(OR(ISNUMBER(SEARCH(IF(J$1&lt;&gt;"",J$1,"NA"),'MITRE ATT&amp;CK Mappings'!$E719)),ISNUMBER(SEARCH(IF(J$1&lt;&gt;"",J$1,"NA"),'MITRE ATT&amp;CK Mappings'!$F719))),ISNUMBER(SEARCH(IF(J$2&lt;&gt;"",J$2,"NA"),'MITRE ATT&amp;CK Mappings'!$G719))),ISNUMBER(SEARCH(IF(J$2&lt;&gt;"",J$2,"NA"),'MITRE ATT&amp;CK Mappings'!$H719))),ISNUMBER(SEARCH(IF(J$3&lt;&gt;"",J$3,"NA"),'MITRE ATT&amp;CK Mappings'!$I719))),ISNUMBER(SEARCH(IF(J$3&lt;&gt;"",J$3,"NA"),'MITRE ATT&amp;CK Mappings'!$J719))), 'MITRE ATT&amp;CK Mappings'!$B719,"")</f>
        <v/>
      </c>
      <c r="K723" s="27" t="str">
        <f>IF(OR(OR(OR(OR(OR(ISNUMBER(SEARCH(IF(K$1&lt;&gt;"",K$1,"NA"),'MITRE ATT&amp;CK Mappings'!$E719)),ISNUMBER(SEARCH(IF(K$1&lt;&gt;"",K$1,"NA"),'MITRE ATT&amp;CK Mappings'!$F719))),ISNUMBER(SEARCH(IF(K$2&lt;&gt;"",K$2,"NA"),'MITRE ATT&amp;CK Mappings'!$G719))),ISNUMBER(SEARCH(IF(K$2&lt;&gt;"",K$2,"NA"),'MITRE ATT&amp;CK Mappings'!$H719))),ISNUMBER(SEARCH(IF(K$3&lt;&gt;"",K$3,"NA"),'MITRE ATT&amp;CK Mappings'!$I719))),ISNUMBER(SEARCH(IF(K$3&lt;&gt;"",K$3,"NA"),'MITRE ATT&amp;CK Mappings'!$J719))), 'MITRE ATT&amp;CK Mappings'!$B719,"")</f>
        <v/>
      </c>
      <c r="L723" s="27" t="str">
        <f>IF('MITRE ATT&amp;CK Mappings'!D719 &lt;&gt;"",'MITRE ATT&amp;CK Mappings'!D719,"" )</f>
        <v/>
      </c>
    </row>
    <row r="724" spans="1:12" x14ac:dyDescent="0.25">
      <c r="A724" s="26" t="str">
        <f>IF(COUNTIF(B724:K724,"="&amp;'MITRE ATT&amp;CK Mappings'!B720)&gt;0,'MITRE ATT&amp;CK Mappings'!B720,"")</f>
        <v/>
      </c>
      <c r="B724" s="26" t="str">
        <f>IF(OR(OR(OR(OR(OR(ISNUMBER(SEARCH(IF(B$1&lt;&gt;"",B$1,"NA"),'MITRE ATT&amp;CK Mappings'!$E720)),ISNUMBER(SEARCH(IF(B$1&lt;&gt;"",B$1,"NA"),'MITRE ATT&amp;CK Mappings'!$F720))),ISNUMBER(SEARCH(IF(B$2&lt;&gt;"",B$2,"NA"),'MITRE ATT&amp;CK Mappings'!$G720))),ISNUMBER(SEARCH(IF(B$2&lt;&gt;"",B$2,"NA"),'MITRE ATT&amp;CK Mappings'!$H720))),ISNUMBER(SEARCH(IF(B$3&lt;&gt;"",B$3,"NA"),'MITRE ATT&amp;CK Mappings'!$I720))),ISNUMBER(SEARCH(IF(B$3&lt;&gt;"",B$3,"NA"),'MITRE ATT&amp;CK Mappings'!$J720))), 'MITRE ATT&amp;CK Mappings'!$B720,"")</f>
        <v/>
      </c>
      <c r="C724" s="26" t="str">
        <f>IF(OR(OR(OR(OR(OR(ISNUMBER(SEARCH(IF(C$1&lt;&gt;"",C$1,"NA"),'MITRE ATT&amp;CK Mappings'!$E720)),ISNUMBER(SEARCH(IF(C$1&lt;&gt;"",C$1,"NA"),'MITRE ATT&amp;CK Mappings'!$F720))),ISNUMBER(SEARCH(IF(C$2&lt;&gt;"",C$2,"NA"),'MITRE ATT&amp;CK Mappings'!$G720))),ISNUMBER(SEARCH(IF(C$2&lt;&gt;"",C$2,"NA"),'MITRE ATT&amp;CK Mappings'!$H720))),ISNUMBER(SEARCH(IF(C$3&lt;&gt;"",C$3,"NA"),'MITRE ATT&amp;CK Mappings'!$I720))),ISNUMBER(SEARCH(IF(C$3&lt;&gt;"",C$3,"NA"),'MITRE ATT&amp;CK Mappings'!$J720))), 'MITRE ATT&amp;CK Mappings'!$B720,"")</f>
        <v/>
      </c>
      <c r="D724" s="26" t="str">
        <f>IF(OR(OR(OR(OR(OR(ISNUMBER(SEARCH(IF(D$1&lt;&gt;"",D$1,"NA"),'MITRE ATT&amp;CK Mappings'!$E720)),ISNUMBER(SEARCH(IF(D$1&lt;&gt;"",D$1,"NA"),'MITRE ATT&amp;CK Mappings'!$F720))),ISNUMBER(SEARCH(IF(D$2&lt;&gt;"",D$2,"NA"),'MITRE ATT&amp;CK Mappings'!$G720))),ISNUMBER(SEARCH(IF(D$2&lt;&gt;"",D$2,"NA"),'MITRE ATT&amp;CK Mappings'!$H720))),ISNUMBER(SEARCH(IF(D$3&lt;&gt;"",D$3,"NA"),'MITRE ATT&amp;CK Mappings'!$I720))),ISNUMBER(SEARCH(IF(D$3&lt;&gt;"",D$3,"NA"),'MITRE ATT&amp;CK Mappings'!$J720))), 'MITRE ATT&amp;CK Mappings'!$B720,"")</f>
        <v/>
      </c>
      <c r="E724" s="26" t="str">
        <f>IF(OR(OR(OR(OR(OR(ISNUMBER(SEARCH(IF(E$1&lt;&gt;"",E$1,"NA"),'MITRE ATT&amp;CK Mappings'!$E720)),ISNUMBER(SEARCH(IF(E$1&lt;&gt;"",E$1,"NA"),'MITRE ATT&amp;CK Mappings'!$F720))),ISNUMBER(SEARCH(IF(E$2&lt;&gt;"",E$2,"NA"),'MITRE ATT&amp;CK Mappings'!$G720))),ISNUMBER(SEARCH(IF(E$2&lt;&gt;"",E$2,"NA"),'MITRE ATT&amp;CK Mappings'!$H720))),ISNUMBER(SEARCH(IF(E$3&lt;&gt;"",E$3,"NA"),'MITRE ATT&amp;CK Mappings'!$I720))),ISNUMBER(SEARCH(IF(E$3&lt;&gt;"",E$3,"NA"),'MITRE ATT&amp;CK Mappings'!$J720))), 'MITRE ATT&amp;CK Mappings'!$B720,"")</f>
        <v/>
      </c>
      <c r="F724" s="26" t="str">
        <f>IF(OR(OR(OR(OR(OR(ISNUMBER(SEARCH(IF(F$1&lt;&gt;"",F$1,"NA"),'MITRE ATT&amp;CK Mappings'!$E720)),ISNUMBER(SEARCH(IF(F$1&lt;&gt;"",F$1,"NA"),'MITRE ATT&amp;CK Mappings'!$F720))),ISNUMBER(SEARCH(IF(F$2&lt;&gt;"",F$2,"NA"),'MITRE ATT&amp;CK Mappings'!$G720))),ISNUMBER(SEARCH(IF(F$2&lt;&gt;"",F$2,"NA"),'MITRE ATT&amp;CK Mappings'!$H720))),ISNUMBER(SEARCH(IF(F$3&lt;&gt;"",F$3,"NA"),'MITRE ATT&amp;CK Mappings'!$I720))),ISNUMBER(SEARCH(IF(F$3&lt;&gt;"",F$3,"NA"),'MITRE ATT&amp;CK Mappings'!$J720))), 'MITRE ATT&amp;CK Mappings'!$B720,"")</f>
        <v/>
      </c>
      <c r="G724" s="26" t="str">
        <f>IF(OR(OR(OR(OR(OR(ISNUMBER(SEARCH(IF(G$1&lt;&gt;"",G$1,"NA"),'MITRE ATT&amp;CK Mappings'!$E720)),ISNUMBER(SEARCH(IF(G$1&lt;&gt;"",G$1,"NA"),'MITRE ATT&amp;CK Mappings'!$F720))),ISNUMBER(SEARCH(IF(G$2&lt;&gt;"",G$2,"NA"),'MITRE ATT&amp;CK Mappings'!$G720))),ISNUMBER(SEARCH(IF(G$2&lt;&gt;"",G$2,"NA"),'MITRE ATT&amp;CK Mappings'!$H720))),ISNUMBER(SEARCH(IF(G$3&lt;&gt;"",G$3,"NA"),'MITRE ATT&amp;CK Mappings'!$I720))),ISNUMBER(SEARCH(IF(G$3&lt;&gt;"",G$3,"NA"),'MITRE ATT&amp;CK Mappings'!$J720))), 'MITRE ATT&amp;CK Mappings'!$B720,"")</f>
        <v/>
      </c>
      <c r="H724" s="26" t="str">
        <f>IF(OR(OR(OR(OR(OR(ISNUMBER(SEARCH(IF(H$1&lt;&gt;"",H$1,"NA"),'MITRE ATT&amp;CK Mappings'!$E720)),ISNUMBER(SEARCH(IF(H$1&lt;&gt;"",H$1,"NA"),'MITRE ATT&amp;CK Mappings'!$F720))),ISNUMBER(SEARCH(IF(H$2&lt;&gt;"",H$2,"NA"),'MITRE ATT&amp;CK Mappings'!$G720))),ISNUMBER(SEARCH(IF(H$2&lt;&gt;"",H$2,"NA"),'MITRE ATT&amp;CK Mappings'!$H720))),ISNUMBER(SEARCH(IF(H$3&lt;&gt;"",H$3,"NA"),'MITRE ATT&amp;CK Mappings'!$I720))),ISNUMBER(SEARCH(IF(H$3&lt;&gt;"",H$3,"NA"),'MITRE ATT&amp;CK Mappings'!$J720))), 'MITRE ATT&amp;CK Mappings'!$B720,"")</f>
        <v/>
      </c>
      <c r="I724" s="26" t="str">
        <f>IF(OR(OR(OR(OR(OR(ISNUMBER(SEARCH(IF(I$1&lt;&gt;"",I$1,"NA"),'MITRE ATT&amp;CK Mappings'!$E720)),ISNUMBER(SEARCH(IF(I$1&lt;&gt;"",I$1,"NA"),'MITRE ATT&amp;CK Mappings'!$F720))),ISNUMBER(SEARCH(IF(I$2&lt;&gt;"",I$2,"NA"),'MITRE ATT&amp;CK Mappings'!$G720))),ISNUMBER(SEARCH(IF(I$2&lt;&gt;"",I$2,"NA"),'MITRE ATT&amp;CK Mappings'!$H720))),ISNUMBER(SEARCH(IF(I$3&lt;&gt;"",I$3,"NA"),'MITRE ATT&amp;CK Mappings'!$I720))),ISNUMBER(SEARCH(IF(I$3&lt;&gt;"",I$3,"NA"),'MITRE ATT&amp;CK Mappings'!$J720))), 'MITRE ATT&amp;CK Mappings'!$B720,"")</f>
        <v/>
      </c>
      <c r="J724" s="26" t="str">
        <f>IF(OR(OR(OR(OR(OR(ISNUMBER(SEARCH(IF(J$1&lt;&gt;"",J$1,"NA"),'MITRE ATT&amp;CK Mappings'!$E720)),ISNUMBER(SEARCH(IF(J$1&lt;&gt;"",J$1,"NA"),'MITRE ATT&amp;CK Mappings'!$F720))),ISNUMBER(SEARCH(IF(J$2&lt;&gt;"",J$2,"NA"),'MITRE ATT&amp;CK Mappings'!$G720))),ISNUMBER(SEARCH(IF(J$2&lt;&gt;"",J$2,"NA"),'MITRE ATT&amp;CK Mappings'!$H720))),ISNUMBER(SEARCH(IF(J$3&lt;&gt;"",J$3,"NA"),'MITRE ATT&amp;CK Mappings'!$I720))),ISNUMBER(SEARCH(IF(J$3&lt;&gt;"",J$3,"NA"),'MITRE ATT&amp;CK Mappings'!$J720))), 'MITRE ATT&amp;CK Mappings'!$B720,"")</f>
        <v/>
      </c>
      <c r="K724" s="26" t="str">
        <f>IF(OR(OR(OR(OR(OR(ISNUMBER(SEARCH(IF(K$1&lt;&gt;"",K$1,"NA"),'MITRE ATT&amp;CK Mappings'!$E720)),ISNUMBER(SEARCH(IF(K$1&lt;&gt;"",K$1,"NA"),'MITRE ATT&amp;CK Mappings'!$F720))),ISNUMBER(SEARCH(IF(K$2&lt;&gt;"",K$2,"NA"),'MITRE ATT&amp;CK Mappings'!$G720))),ISNUMBER(SEARCH(IF(K$2&lt;&gt;"",K$2,"NA"),'MITRE ATT&amp;CK Mappings'!$H720))),ISNUMBER(SEARCH(IF(K$3&lt;&gt;"",K$3,"NA"),'MITRE ATT&amp;CK Mappings'!$I720))),ISNUMBER(SEARCH(IF(K$3&lt;&gt;"",K$3,"NA"),'MITRE ATT&amp;CK Mappings'!$J720))), 'MITRE ATT&amp;CK Mappings'!$B720,"")</f>
        <v/>
      </c>
      <c r="L724" s="26" t="str">
        <f>IF('MITRE ATT&amp;CK Mappings'!D720 &lt;&gt;"",'MITRE ATT&amp;CK Mappings'!D720,"" )</f>
        <v/>
      </c>
    </row>
    <row r="725" spans="1:12" x14ac:dyDescent="0.25">
      <c r="A725" s="27" t="str">
        <f>IF(COUNTIF(B725:K725,"="&amp;'MITRE ATT&amp;CK Mappings'!B721)&gt;0,'MITRE ATT&amp;CK Mappings'!B721,"")</f>
        <v/>
      </c>
      <c r="B725" s="27" t="str">
        <f>IF(OR(OR(OR(OR(OR(ISNUMBER(SEARCH(IF(B$1&lt;&gt;"",B$1,"NA"),'MITRE ATT&amp;CK Mappings'!$E721)),ISNUMBER(SEARCH(IF(B$1&lt;&gt;"",B$1,"NA"),'MITRE ATT&amp;CK Mappings'!$F721))),ISNUMBER(SEARCH(IF(B$2&lt;&gt;"",B$2,"NA"),'MITRE ATT&amp;CK Mappings'!$G721))),ISNUMBER(SEARCH(IF(B$2&lt;&gt;"",B$2,"NA"),'MITRE ATT&amp;CK Mappings'!$H721))),ISNUMBER(SEARCH(IF(B$3&lt;&gt;"",B$3,"NA"),'MITRE ATT&amp;CK Mappings'!$I721))),ISNUMBER(SEARCH(IF(B$3&lt;&gt;"",B$3,"NA"),'MITRE ATT&amp;CK Mappings'!$J721))), 'MITRE ATT&amp;CK Mappings'!$B721,"")</f>
        <v/>
      </c>
      <c r="C725" s="27" t="str">
        <f>IF(OR(OR(OR(OR(OR(ISNUMBER(SEARCH(IF(C$1&lt;&gt;"",C$1,"NA"),'MITRE ATT&amp;CK Mappings'!$E721)),ISNUMBER(SEARCH(IF(C$1&lt;&gt;"",C$1,"NA"),'MITRE ATT&amp;CK Mappings'!$F721))),ISNUMBER(SEARCH(IF(C$2&lt;&gt;"",C$2,"NA"),'MITRE ATT&amp;CK Mappings'!$G721))),ISNUMBER(SEARCH(IF(C$2&lt;&gt;"",C$2,"NA"),'MITRE ATT&amp;CK Mappings'!$H721))),ISNUMBER(SEARCH(IF(C$3&lt;&gt;"",C$3,"NA"),'MITRE ATT&amp;CK Mappings'!$I721))),ISNUMBER(SEARCH(IF(C$3&lt;&gt;"",C$3,"NA"),'MITRE ATT&amp;CK Mappings'!$J721))), 'MITRE ATT&amp;CK Mappings'!$B721,"")</f>
        <v/>
      </c>
      <c r="D725" s="27" t="str">
        <f>IF(OR(OR(OR(OR(OR(ISNUMBER(SEARCH(IF(D$1&lt;&gt;"",D$1,"NA"),'MITRE ATT&amp;CK Mappings'!$E721)),ISNUMBER(SEARCH(IF(D$1&lt;&gt;"",D$1,"NA"),'MITRE ATT&amp;CK Mappings'!$F721))),ISNUMBER(SEARCH(IF(D$2&lt;&gt;"",D$2,"NA"),'MITRE ATT&amp;CK Mappings'!$G721))),ISNUMBER(SEARCH(IF(D$2&lt;&gt;"",D$2,"NA"),'MITRE ATT&amp;CK Mappings'!$H721))),ISNUMBER(SEARCH(IF(D$3&lt;&gt;"",D$3,"NA"),'MITRE ATT&amp;CK Mappings'!$I721))),ISNUMBER(SEARCH(IF(D$3&lt;&gt;"",D$3,"NA"),'MITRE ATT&amp;CK Mappings'!$J721))), 'MITRE ATT&amp;CK Mappings'!$B721,"")</f>
        <v/>
      </c>
      <c r="E725" s="27" t="str">
        <f>IF(OR(OR(OR(OR(OR(ISNUMBER(SEARCH(IF(E$1&lt;&gt;"",E$1,"NA"),'MITRE ATT&amp;CK Mappings'!$E721)),ISNUMBER(SEARCH(IF(E$1&lt;&gt;"",E$1,"NA"),'MITRE ATT&amp;CK Mappings'!$F721))),ISNUMBER(SEARCH(IF(E$2&lt;&gt;"",E$2,"NA"),'MITRE ATT&amp;CK Mappings'!$G721))),ISNUMBER(SEARCH(IF(E$2&lt;&gt;"",E$2,"NA"),'MITRE ATT&amp;CK Mappings'!$H721))),ISNUMBER(SEARCH(IF(E$3&lt;&gt;"",E$3,"NA"),'MITRE ATT&amp;CK Mappings'!$I721))),ISNUMBER(SEARCH(IF(E$3&lt;&gt;"",E$3,"NA"),'MITRE ATT&amp;CK Mappings'!$J721))), 'MITRE ATT&amp;CK Mappings'!$B721,"")</f>
        <v/>
      </c>
      <c r="F725" s="27" t="str">
        <f>IF(OR(OR(OR(OR(OR(ISNUMBER(SEARCH(IF(F$1&lt;&gt;"",F$1,"NA"),'MITRE ATT&amp;CK Mappings'!$E721)),ISNUMBER(SEARCH(IF(F$1&lt;&gt;"",F$1,"NA"),'MITRE ATT&amp;CK Mappings'!$F721))),ISNUMBER(SEARCH(IF(F$2&lt;&gt;"",F$2,"NA"),'MITRE ATT&amp;CK Mappings'!$G721))),ISNUMBER(SEARCH(IF(F$2&lt;&gt;"",F$2,"NA"),'MITRE ATT&amp;CK Mappings'!$H721))),ISNUMBER(SEARCH(IF(F$3&lt;&gt;"",F$3,"NA"),'MITRE ATT&amp;CK Mappings'!$I721))),ISNUMBER(SEARCH(IF(F$3&lt;&gt;"",F$3,"NA"),'MITRE ATT&amp;CK Mappings'!$J721))), 'MITRE ATT&amp;CK Mappings'!$B721,"")</f>
        <v/>
      </c>
      <c r="G725" s="27" t="str">
        <f>IF(OR(OR(OR(OR(OR(ISNUMBER(SEARCH(IF(G$1&lt;&gt;"",G$1,"NA"),'MITRE ATT&amp;CK Mappings'!$E721)),ISNUMBER(SEARCH(IF(G$1&lt;&gt;"",G$1,"NA"),'MITRE ATT&amp;CK Mappings'!$F721))),ISNUMBER(SEARCH(IF(G$2&lt;&gt;"",G$2,"NA"),'MITRE ATT&amp;CK Mappings'!$G721))),ISNUMBER(SEARCH(IF(G$2&lt;&gt;"",G$2,"NA"),'MITRE ATT&amp;CK Mappings'!$H721))),ISNUMBER(SEARCH(IF(G$3&lt;&gt;"",G$3,"NA"),'MITRE ATT&amp;CK Mappings'!$I721))),ISNUMBER(SEARCH(IF(G$3&lt;&gt;"",G$3,"NA"),'MITRE ATT&amp;CK Mappings'!$J721))), 'MITRE ATT&amp;CK Mappings'!$B721,"")</f>
        <v/>
      </c>
      <c r="H725" s="27" t="str">
        <f>IF(OR(OR(OR(OR(OR(ISNUMBER(SEARCH(IF(H$1&lt;&gt;"",H$1,"NA"),'MITRE ATT&amp;CK Mappings'!$E721)),ISNUMBER(SEARCH(IF(H$1&lt;&gt;"",H$1,"NA"),'MITRE ATT&amp;CK Mappings'!$F721))),ISNUMBER(SEARCH(IF(H$2&lt;&gt;"",H$2,"NA"),'MITRE ATT&amp;CK Mappings'!$G721))),ISNUMBER(SEARCH(IF(H$2&lt;&gt;"",H$2,"NA"),'MITRE ATT&amp;CK Mappings'!$H721))),ISNUMBER(SEARCH(IF(H$3&lt;&gt;"",H$3,"NA"),'MITRE ATT&amp;CK Mappings'!$I721))),ISNUMBER(SEARCH(IF(H$3&lt;&gt;"",H$3,"NA"),'MITRE ATT&amp;CK Mappings'!$J721))), 'MITRE ATT&amp;CK Mappings'!$B721,"")</f>
        <v/>
      </c>
      <c r="I725" s="27" t="str">
        <f>IF(OR(OR(OR(OR(OR(ISNUMBER(SEARCH(IF(I$1&lt;&gt;"",I$1,"NA"),'MITRE ATT&amp;CK Mappings'!$E721)),ISNUMBER(SEARCH(IF(I$1&lt;&gt;"",I$1,"NA"),'MITRE ATT&amp;CK Mappings'!$F721))),ISNUMBER(SEARCH(IF(I$2&lt;&gt;"",I$2,"NA"),'MITRE ATT&amp;CK Mappings'!$G721))),ISNUMBER(SEARCH(IF(I$2&lt;&gt;"",I$2,"NA"),'MITRE ATT&amp;CK Mappings'!$H721))),ISNUMBER(SEARCH(IF(I$3&lt;&gt;"",I$3,"NA"),'MITRE ATT&amp;CK Mappings'!$I721))),ISNUMBER(SEARCH(IF(I$3&lt;&gt;"",I$3,"NA"),'MITRE ATT&amp;CK Mappings'!$J721))), 'MITRE ATT&amp;CK Mappings'!$B721,"")</f>
        <v/>
      </c>
      <c r="J725" s="27" t="str">
        <f>IF(OR(OR(OR(OR(OR(ISNUMBER(SEARCH(IF(J$1&lt;&gt;"",J$1,"NA"),'MITRE ATT&amp;CK Mappings'!$E721)),ISNUMBER(SEARCH(IF(J$1&lt;&gt;"",J$1,"NA"),'MITRE ATT&amp;CK Mappings'!$F721))),ISNUMBER(SEARCH(IF(J$2&lt;&gt;"",J$2,"NA"),'MITRE ATT&amp;CK Mappings'!$G721))),ISNUMBER(SEARCH(IF(J$2&lt;&gt;"",J$2,"NA"),'MITRE ATT&amp;CK Mappings'!$H721))),ISNUMBER(SEARCH(IF(J$3&lt;&gt;"",J$3,"NA"),'MITRE ATT&amp;CK Mappings'!$I721))),ISNUMBER(SEARCH(IF(J$3&lt;&gt;"",J$3,"NA"),'MITRE ATT&amp;CK Mappings'!$J721))), 'MITRE ATT&amp;CK Mappings'!$B721,"")</f>
        <v/>
      </c>
      <c r="K725" s="27" t="str">
        <f>IF(OR(OR(OR(OR(OR(ISNUMBER(SEARCH(IF(K$1&lt;&gt;"",K$1,"NA"),'MITRE ATT&amp;CK Mappings'!$E721)),ISNUMBER(SEARCH(IF(K$1&lt;&gt;"",K$1,"NA"),'MITRE ATT&amp;CK Mappings'!$F721))),ISNUMBER(SEARCH(IF(K$2&lt;&gt;"",K$2,"NA"),'MITRE ATT&amp;CK Mappings'!$G721))),ISNUMBER(SEARCH(IF(K$2&lt;&gt;"",K$2,"NA"),'MITRE ATT&amp;CK Mappings'!$H721))),ISNUMBER(SEARCH(IF(K$3&lt;&gt;"",K$3,"NA"),'MITRE ATT&amp;CK Mappings'!$I721))),ISNUMBER(SEARCH(IF(K$3&lt;&gt;"",K$3,"NA"),'MITRE ATT&amp;CK Mappings'!$J721))), 'MITRE ATT&amp;CK Mappings'!$B721,"")</f>
        <v/>
      </c>
      <c r="L725" s="27" t="str">
        <f>IF('MITRE ATT&amp;CK Mappings'!D721 &lt;&gt;"",'MITRE ATT&amp;CK Mappings'!D721,"" )</f>
        <v/>
      </c>
    </row>
    <row r="726" spans="1:12" x14ac:dyDescent="0.25">
      <c r="A726" s="26" t="str">
        <f>IF(COUNTIF(B726:K726,"="&amp;'MITRE ATT&amp;CK Mappings'!B722)&gt;0,'MITRE ATT&amp;CK Mappings'!B722,"")</f>
        <v/>
      </c>
      <c r="B726" s="26" t="str">
        <f>IF(OR(OR(OR(OR(OR(ISNUMBER(SEARCH(IF(B$1&lt;&gt;"",B$1,"NA"),'MITRE ATT&amp;CK Mappings'!$E722)),ISNUMBER(SEARCH(IF(B$1&lt;&gt;"",B$1,"NA"),'MITRE ATT&amp;CK Mappings'!$F722))),ISNUMBER(SEARCH(IF(B$2&lt;&gt;"",B$2,"NA"),'MITRE ATT&amp;CK Mappings'!$G722))),ISNUMBER(SEARCH(IF(B$2&lt;&gt;"",B$2,"NA"),'MITRE ATT&amp;CK Mappings'!$H722))),ISNUMBER(SEARCH(IF(B$3&lt;&gt;"",B$3,"NA"),'MITRE ATT&amp;CK Mappings'!$I722))),ISNUMBER(SEARCH(IF(B$3&lt;&gt;"",B$3,"NA"),'MITRE ATT&amp;CK Mappings'!$J722))), 'MITRE ATT&amp;CK Mappings'!$B722,"")</f>
        <v/>
      </c>
      <c r="C726" s="26" t="str">
        <f>IF(OR(OR(OR(OR(OR(ISNUMBER(SEARCH(IF(C$1&lt;&gt;"",C$1,"NA"),'MITRE ATT&amp;CK Mappings'!$E722)),ISNUMBER(SEARCH(IF(C$1&lt;&gt;"",C$1,"NA"),'MITRE ATT&amp;CK Mappings'!$F722))),ISNUMBER(SEARCH(IF(C$2&lt;&gt;"",C$2,"NA"),'MITRE ATT&amp;CK Mappings'!$G722))),ISNUMBER(SEARCH(IF(C$2&lt;&gt;"",C$2,"NA"),'MITRE ATT&amp;CK Mappings'!$H722))),ISNUMBER(SEARCH(IF(C$3&lt;&gt;"",C$3,"NA"),'MITRE ATT&amp;CK Mappings'!$I722))),ISNUMBER(SEARCH(IF(C$3&lt;&gt;"",C$3,"NA"),'MITRE ATT&amp;CK Mappings'!$J722))), 'MITRE ATT&amp;CK Mappings'!$B722,"")</f>
        <v/>
      </c>
      <c r="D726" s="26" t="str">
        <f>IF(OR(OR(OR(OR(OR(ISNUMBER(SEARCH(IF(D$1&lt;&gt;"",D$1,"NA"),'MITRE ATT&amp;CK Mappings'!$E722)),ISNUMBER(SEARCH(IF(D$1&lt;&gt;"",D$1,"NA"),'MITRE ATT&amp;CK Mappings'!$F722))),ISNUMBER(SEARCH(IF(D$2&lt;&gt;"",D$2,"NA"),'MITRE ATT&amp;CK Mappings'!$G722))),ISNUMBER(SEARCH(IF(D$2&lt;&gt;"",D$2,"NA"),'MITRE ATT&amp;CK Mappings'!$H722))),ISNUMBER(SEARCH(IF(D$3&lt;&gt;"",D$3,"NA"),'MITRE ATT&amp;CK Mappings'!$I722))),ISNUMBER(SEARCH(IF(D$3&lt;&gt;"",D$3,"NA"),'MITRE ATT&amp;CK Mappings'!$J722))), 'MITRE ATT&amp;CK Mappings'!$B722,"")</f>
        <v/>
      </c>
      <c r="E726" s="26" t="str">
        <f>IF(OR(OR(OR(OR(OR(ISNUMBER(SEARCH(IF(E$1&lt;&gt;"",E$1,"NA"),'MITRE ATT&amp;CK Mappings'!$E722)),ISNUMBER(SEARCH(IF(E$1&lt;&gt;"",E$1,"NA"),'MITRE ATT&amp;CK Mappings'!$F722))),ISNUMBER(SEARCH(IF(E$2&lt;&gt;"",E$2,"NA"),'MITRE ATT&amp;CK Mappings'!$G722))),ISNUMBER(SEARCH(IF(E$2&lt;&gt;"",E$2,"NA"),'MITRE ATT&amp;CK Mappings'!$H722))),ISNUMBER(SEARCH(IF(E$3&lt;&gt;"",E$3,"NA"),'MITRE ATT&amp;CK Mappings'!$I722))),ISNUMBER(SEARCH(IF(E$3&lt;&gt;"",E$3,"NA"),'MITRE ATT&amp;CK Mappings'!$J722))), 'MITRE ATT&amp;CK Mappings'!$B722,"")</f>
        <v/>
      </c>
      <c r="F726" s="26" t="str">
        <f>IF(OR(OR(OR(OR(OR(ISNUMBER(SEARCH(IF(F$1&lt;&gt;"",F$1,"NA"),'MITRE ATT&amp;CK Mappings'!$E722)),ISNUMBER(SEARCH(IF(F$1&lt;&gt;"",F$1,"NA"),'MITRE ATT&amp;CK Mappings'!$F722))),ISNUMBER(SEARCH(IF(F$2&lt;&gt;"",F$2,"NA"),'MITRE ATT&amp;CK Mappings'!$G722))),ISNUMBER(SEARCH(IF(F$2&lt;&gt;"",F$2,"NA"),'MITRE ATT&amp;CK Mappings'!$H722))),ISNUMBER(SEARCH(IF(F$3&lt;&gt;"",F$3,"NA"),'MITRE ATT&amp;CK Mappings'!$I722))),ISNUMBER(SEARCH(IF(F$3&lt;&gt;"",F$3,"NA"),'MITRE ATT&amp;CK Mappings'!$J722))), 'MITRE ATT&amp;CK Mappings'!$B722,"")</f>
        <v/>
      </c>
      <c r="G726" s="26" t="str">
        <f>IF(OR(OR(OR(OR(OR(ISNUMBER(SEARCH(IF(G$1&lt;&gt;"",G$1,"NA"),'MITRE ATT&amp;CK Mappings'!$E722)),ISNUMBER(SEARCH(IF(G$1&lt;&gt;"",G$1,"NA"),'MITRE ATT&amp;CK Mappings'!$F722))),ISNUMBER(SEARCH(IF(G$2&lt;&gt;"",G$2,"NA"),'MITRE ATT&amp;CK Mappings'!$G722))),ISNUMBER(SEARCH(IF(G$2&lt;&gt;"",G$2,"NA"),'MITRE ATT&amp;CK Mappings'!$H722))),ISNUMBER(SEARCH(IF(G$3&lt;&gt;"",G$3,"NA"),'MITRE ATT&amp;CK Mappings'!$I722))),ISNUMBER(SEARCH(IF(G$3&lt;&gt;"",G$3,"NA"),'MITRE ATT&amp;CK Mappings'!$J722))), 'MITRE ATT&amp;CK Mappings'!$B722,"")</f>
        <v/>
      </c>
      <c r="H726" s="26" t="str">
        <f>IF(OR(OR(OR(OR(OR(ISNUMBER(SEARCH(IF(H$1&lt;&gt;"",H$1,"NA"),'MITRE ATT&amp;CK Mappings'!$E722)),ISNUMBER(SEARCH(IF(H$1&lt;&gt;"",H$1,"NA"),'MITRE ATT&amp;CK Mappings'!$F722))),ISNUMBER(SEARCH(IF(H$2&lt;&gt;"",H$2,"NA"),'MITRE ATT&amp;CK Mappings'!$G722))),ISNUMBER(SEARCH(IF(H$2&lt;&gt;"",H$2,"NA"),'MITRE ATT&amp;CK Mappings'!$H722))),ISNUMBER(SEARCH(IF(H$3&lt;&gt;"",H$3,"NA"),'MITRE ATT&amp;CK Mappings'!$I722))),ISNUMBER(SEARCH(IF(H$3&lt;&gt;"",H$3,"NA"),'MITRE ATT&amp;CK Mappings'!$J722))), 'MITRE ATT&amp;CK Mappings'!$B722,"")</f>
        <v/>
      </c>
      <c r="I726" s="26" t="str">
        <f>IF(OR(OR(OR(OR(OR(ISNUMBER(SEARCH(IF(I$1&lt;&gt;"",I$1,"NA"),'MITRE ATT&amp;CK Mappings'!$E722)),ISNUMBER(SEARCH(IF(I$1&lt;&gt;"",I$1,"NA"),'MITRE ATT&amp;CK Mappings'!$F722))),ISNUMBER(SEARCH(IF(I$2&lt;&gt;"",I$2,"NA"),'MITRE ATT&amp;CK Mappings'!$G722))),ISNUMBER(SEARCH(IF(I$2&lt;&gt;"",I$2,"NA"),'MITRE ATT&amp;CK Mappings'!$H722))),ISNUMBER(SEARCH(IF(I$3&lt;&gt;"",I$3,"NA"),'MITRE ATT&amp;CK Mappings'!$I722))),ISNUMBER(SEARCH(IF(I$3&lt;&gt;"",I$3,"NA"),'MITRE ATT&amp;CK Mappings'!$J722))), 'MITRE ATT&amp;CK Mappings'!$B722,"")</f>
        <v/>
      </c>
      <c r="J726" s="26" t="str">
        <f>IF(OR(OR(OR(OR(OR(ISNUMBER(SEARCH(IF(J$1&lt;&gt;"",J$1,"NA"),'MITRE ATT&amp;CK Mappings'!$E722)),ISNUMBER(SEARCH(IF(J$1&lt;&gt;"",J$1,"NA"),'MITRE ATT&amp;CK Mappings'!$F722))),ISNUMBER(SEARCH(IF(J$2&lt;&gt;"",J$2,"NA"),'MITRE ATT&amp;CK Mappings'!$G722))),ISNUMBER(SEARCH(IF(J$2&lt;&gt;"",J$2,"NA"),'MITRE ATT&amp;CK Mappings'!$H722))),ISNUMBER(SEARCH(IF(J$3&lt;&gt;"",J$3,"NA"),'MITRE ATT&amp;CK Mappings'!$I722))),ISNUMBER(SEARCH(IF(J$3&lt;&gt;"",J$3,"NA"),'MITRE ATT&amp;CK Mappings'!$J722))), 'MITRE ATT&amp;CK Mappings'!$B722,"")</f>
        <v/>
      </c>
      <c r="K726" s="26" t="str">
        <f>IF(OR(OR(OR(OR(OR(ISNUMBER(SEARCH(IF(K$1&lt;&gt;"",K$1,"NA"),'MITRE ATT&amp;CK Mappings'!$E722)),ISNUMBER(SEARCH(IF(K$1&lt;&gt;"",K$1,"NA"),'MITRE ATT&amp;CK Mappings'!$F722))),ISNUMBER(SEARCH(IF(K$2&lt;&gt;"",K$2,"NA"),'MITRE ATT&amp;CK Mappings'!$G722))),ISNUMBER(SEARCH(IF(K$2&lt;&gt;"",K$2,"NA"),'MITRE ATT&amp;CK Mappings'!$H722))),ISNUMBER(SEARCH(IF(K$3&lt;&gt;"",K$3,"NA"),'MITRE ATT&amp;CK Mappings'!$I722))),ISNUMBER(SEARCH(IF(K$3&lt;&gt;"",K$3,"NA"),'MITRE ATT&amp;CK Mappings'!$J722))), 'MITRE ATT&amp;CK Mappings'!$B722,"")</f>
        <v/>
      </c>
      <c r="L726" s="26" t="str">
        <f>IF('MITRE ATT&amp;CK Mappings'!D722 &lt;&gt;"",'MITRE ATT&amp;CK Mappings'!D722,"" )</f>
        <v/>
      </c>
    </row>
    <row r="727" spans="1:12" x14ac:dyDescent="0.25">
      <c r="A727" s="27" t="str">
        <f>IF(COUNTIF(B727:K727,"="&amp;'MITRE ATT&amp;CK Mappings'!B723)&gt;0,'MITRE ATT&amp;CK Mappings'!B723,"")</f>
        <v/>
      </c>
      <c r="B727" s="27" t="str">
        <f>IF(OR(OR(OR(OR(OR(ISNUMBER(SEARCH(IF(B$1&lt;&gt;"",B$1,"NA"),'MITRE ATT&amp;CK Mappings'!$E723)),ISNUMBER(SEARCH(IF(B$1&lt;&gt;"",B$1,"NA"),'MITRE ATT&amp;CK Mappings'!$F723))),ISNUMBER(SEARCH(IF(B$2&lt;&gt;"",B$2,"NA"),'MITRE ATT&amp;CK Mappings'!$G723))),ISNUMBER(SEARCH(IF(B$2&lt;&gt;"",B$2,"NA"),'MITRE ATT&amp;CK Mappings'!$H723))),ISNUMBER(SEARCH(IF(B$3&lt;&gt;"",B$3,"NA"),'MITRE ATT&amp;CK Mappings'!$I723))),ISNUMBER(SEARCH(IF(B$3&lt;&gt;"",B$3,"NA"),'MITRE ATT&amp;CK Mappings'!$J723))), 'MITRE ATT&amp;CK Mappings'!$B723,"")</f>
        <v/>
      </c>
      <c r="C727" s="27" t="str">
        <f>IF(OR(OR(OR(OR(OR(ISNUMBER(SEARCH(IF(C$1&lt;&gt;"",C$1,"NA"),'MITRE ATT&amp;CK Mappings'!$E723)),ISNUMBER(SEARCH(IF(C$1&lt;&gt;"",C$1,"NA"),'MITRE ATT&amp;CK Mappings'!$F723))),ISNUMBER(SEARCH(IF(C$2&lt;&gt;"",C$2,"NA"),'MITRE ATT&amp;CK Mappings'!$G723))),ISNUMBER(SEARCH(IF(C$2&lt;&gt;"",C$2,"NA"),'MITRE ATT&amp;CK Mappings'!$H723))),ISNUMBER(SEARCH(IF(C$3&lt;&gt;"",C$3,"NA"),'MITRE ATT&amp;CK Mappings'!$I723))),ISNUMBER(SEARCH(IF(C$3&lt;&gt;"",C$3,"NA"),'MITRE ATT&amp;CK Mappings'!$J723))), 'MITRE ATT&amp;CK Mappings'!$B723,"")</f>
        <v/>
      </c>
      <c r="D727" s="27" t="str">
        <f>IF(OR(OR(OR(OR(OR(ISNUMBER(SEARCH(IF(D$1&lt;&gt;"",D$1,"NA"),'MITRE ATT&amp;CK Mappings'!$E723)),ISNUMBER(SEARCH(IF(D$1&lt;&gt;"",D$1,"NA"),'MITRE ATT&amp;CK Mappings'!$F723))),ISNUMBER(SEARCH(IF(D$2&lt;&gt;"",D$2,"NA"),'MITRE ATT&amp;CK Mappings'!$G723))),ISNUMBER(SEARCH(IF(D$2&lt;&gt;"",D$2,"NA"),'MITRE ATT&amp;CK Mappings'!$H723))),ISNUMBER(SEARCH(IF(D$3&lt;&gt;"",D$3,"NA"),'MITRE ATT&amp;CK Mappings'!$I723))),ISNUMBER(SEARCH(IF(D$3&lt;&gt;"",D$3,"NA"),'MITRE ATT&amp;CK Mappings'!$J723))), 'MITRE ATT&amp;CK Mappings'!$B723,"")</f>
        <v/>
      </c>
      <c r="E727" s="27" t="str">
        <f>IF(OR(OR(OR(OR(OR(ISNUMBER(SEARCH(IF(E$1&lt;&gt;"",E$1,"NA"),'MITRE ATT&amp;CK Mappings'!$E723)),ISNUMBER(SEARCH(IF(E$1&lt;&gt;"",E$1,"NA"),'MITRE ATT&amp;CK Mappings'!$F723))),ISNUMBER(SEARCH(IF(E$2&lt;&gt;"",E$2,"NA"),'MITRE ATT&amp;CK Mappings'!$G723))),ISNUMBER(SEARCH(IF(E$2&lt;&gt;"",E$2,"NA"),'MITRE ATT&amp;CK Mappings'!$H723))),ISNUMBER(SEARCH(IF(E$3&lt;&gt;"",E$3,"NA"),'MITRE ATT&amp;CK Mappings'!$I723))),ISNUMBER(SEARCH(IF(E$3&lt;&gt;"",E$3,"NA"),'MITRE ATT&amp;CK Mappings'!$J723))), 'MITRE ATT&amp;CK Mappings'!$B723,"")</f>
        <v/>
      </c>
      <c r="F727" s="27" t="str">
        <f>IF(OR(OR(OR(OR(OR(ISNUMBER(SEARCH(IF(F$1&lt;&gt;"",F$1,"NA"),'MITRE ATT&amp;CK Mappings'!$E723)),ISNUMBER(SEARCH(IF(F$1&lt;&gt;"",F$1,"NA"),'MITRE ATT&amp;CK Mappings'!$F723))),ISNUMBER(SEARCH(IF(F$2&lt;&gt;"",F$2,"NA"),'MITRE ATT&amp;CK Mappings'!$G723))),ISNUMBER(SEARCH(IF(F$2&lt;&gt;"",F$2,"NA"),'MITRE ATT&amp;CK Mappings'!$H723))),ISNUMBER(SEARCH(IF(F$3&lt;&gt;"",F$3,"NA"),'MITRE ATT&amp;CK Mappings'!$I723))),ISNUMBER(SEARCH(IF(F$3&lt;&gt;"",F$3,"NA"),'MITRE ATT&amp;CK Mappings'!$J723))), 'MITRE ATT&amp;CK Mappings'!$B723,"")</f>
        <v/>
      </c>
      <c r="G727" s="27" t="str">
        <f>IF(OR(OR(OR(OR(OR(ISNUMBER(SEARCH(IF(G$1&lt;&gt;"",G$1,"NA"),'MITRE ATT&amp;CK Mappings'!$E723)),ISNUMBER(SEARCH(IF(G$1&lt;&gt;"",G$1,"NA"),'MITRE ATT&amp;CK Mappings'!$F723))),ISNUMBER(SEARCH(IF(G$2&lt;&gt;"",G$2,"NA"),'MITRE ATT&amp;CK Mappings'!$G723))),ISNUMBER(SEARCH(IF(G$2&lt;&gt;"",G$2,"NA"),'MITRE ATT&amp;CK Mappings'!$H723))),ISNUMBER(SEARCH(IF(G$3&lt;&gt;"",G$3,"NA"),'MITRE ATT&amp;CK Mappings'!$I723))),ISNUMBER(SEARCH(IF(G$3&lt;&gt;"",G$3,"NA"),'MITRE ATT&amp;CK Mappings'!$J723))), 'MITRE ATT&amp;CK Mappings'!$B723,"")</f>
        <v/>
      </c>
      <c r="H727" s="27" t="str">
        <f>IF(OR(OR(OR(OR(OR(ISNUMBER(SEARCH(IF(H$1&lt;&gt;"",H$1,"NA"),'MITRE ATT&amp;CK Mappings'!$E723)),ISNUMBER(SEARCH(IF(H$1&lt;&gt;"",H$1,"NA"),'MITRE ATT&amp;CK Mappings'!$F723))),ISNUMBER(SEARCH(IF(H$2&lt;&gt;"",H$2,"NA"),'MITRE ATT&amp;CK Mappings'!$G723))),ISNUMBER(SEARCH(IF(H$2&lt;&gt;"",H$2,"NA"),'MITRE ATT&amp;CK Mappings'!$H723))),ISNUMBER(SEARCH(IF(H$3&lt;&gt;"",H$3,"NA"),'MITRE ATT&amp;CK Mappings'!$I723))),ISNUMBER(SEARCH(IF(H$3&lt;&gt;"",H$3,"NA"),'MITRE ATT&amp;CK Mappings'!$J723))), 'MITRE ATT&amp;CK Mappings'!$B723,"")</f>
        <v/>
      </c>
      <c r="I727" s="27" t="str">
        <f>IF(OR(OR(OR(OR(OR(ISNUMBER(SEARCH(IF(I$1&lt;&gt;"",I$1,"NA"),'MITRE ATT&amp;CK Mappings'!$E723)),ISNUMBER(SEARCH(IF(I$1&lt;&gt;"",I$1,"NA"),'MITRE ATT&amp;CK Mappings'!$F723))),ISNUMBER(SEARCH(IF(I$2&lt;&gt;"",I$2,"NA"),'MITRE ATT&amp;CK Mappings'!$G723))),ISNUMBER(SEARCH(IF(I$2&lt;&gt;"",I$2,"NA"),'MITRE ATT&amp;CK Mappings'!$H723))),ISNUMBER(SEARCH(IF(I$3&lt;&gt;"",I$3,"NA"),'MITRE ATT&amp;CK Mappings'!$I723))),ISNUMBER(SEARCH(IF(I$3&lt;&gt;"",I$3,"NA"),'MITRE ATT&amp;CK Mappings'!$J723))), 'MITRE ATT&amp;CK Mappings'!$B723,"")</f>
        <v/>
      </c>
      <c r="J727" s="27" t="str">
        <f>IF(OR(OR(OR(OR(OR(ISNUMBER(SEARCH(IF(J$1&lt;&gt;"",J$1,"NA"),'MITRE ATT&amp;CK Mappings'!$E723)),ISNUMBER(SEARCH(IF(J$1&lt;&gt;"",J$1,"NA"),'MITRE ATT&amp;CK Mappings'!$F723))),ISNUMBER(SEARCH(IF(J$2&lt;&gt;"",J$2,"NA"),'MITRE ATT&amp;CK Mappings'!$G723))),ISNUMBER(SEARCH(IF(J$2&lt;&gt;"",J$2,"NA"),'MITRE ATT&amp;CK Mappings'!$H723))),ISNUMBER(SEARCH(IF(J$3&lt;&gt;"",J$3,"NA"),'MITRE ATT&amp;CK Mappings'!$I723))),ISNUMBER(SEARCH(IF(J$3&lt;&gt;"",J$3,"NA"),'MITRE ATT&amp;CK Mappings'!$J723))), 'MITRE ATT&amp;CK Mappings'!$B723,"")</f>
        <v/>
      </c>
      <c r="K727" s="27" t="str">
        <f>IF(OR(OR(OR(OR(OR(ISNUMBER(SEARCH(IF(K$1&lt;&gt;"",K$1,"NA"),'MITRE ATT&amp;CK Mappings'!$E723)),ISNUMBER(SEARCH(IF(K$1&lt;&gt;"",K$1,"NA"),'MITRE ATT&amp;CK Mappings'!$F723))),ISNUMBER(SEARCH(IF(K$2&lt;&gt;"",K$2,"NA"),'MITRE ATT&amp;CK Mappings'!$G723))),ISNUMBER(SEARCH(IF(K$2&lt;&gt;"",K$2,"NA"),'MITRE ATT&amp;CK Mappings'!$H723))),ISNUMBER(SEARCH(IF(K$3&lt;&gt;"",K$3,"NA"),'MITRE ATT&amp;CK Mappings'!$I723))),ISNUMBER(SEARCH(IF(K$3&lt;&gt;"",K$3,"NA"),'MITRE ATT&amp;CK Mappings'!$J723))), 'MITRE ATT&amp;CK Mappings'!$B723,"")</f>
        <v/>
      </c>
      <c r="L727" s="27" t="str">
        <f>IF('MITRE ATT&amp;CK Mappings'!D723 &lt;&gt;"",'MITRE ATT&amp;CK Mappings'!D723,"" )</f>
        <v/>
      </c>
    </row>
    <row r="728" spans="1:12" x14ac:dyDescent="0.25">
      <c r="A728" s="26" t="str">
        <f>IF(COUNTIF(B728:K728,"="&amp;'MITRE ATT&amp;CK Mappings'!B724)&gt;0,'MITRE ATT&amp;CK Mappings'!B724,"")</f>
        <v/>
      </c>
      <c r="B728" s="26" t="str">
        <f>IF(OR(OR(OR(OR(OR(ISNUMBER(SEARCH(IF(B$1&lt;&gt;"",B$1,"NA"),'MITRE ATT&amp;CK Mappings'!$E724)),ISNUMBER(SEARCH(IF(B$1&lt;&gt;"",B$1,"NA"),'MITRE ATT&amp;CK Mappings'!$F724))),ISNUMBER(SEARCH(IF(B$2&lt;&gt;"",B$2,"NA"),'MITRE ATT&amp;CK Mappings'!$G724))),ISNUMBER(SEARCH(IF(B$2&lt;&gt;"",B$2,"NA"),'MITRE ATT&amp;CK Mappings'!$H724))),ISNUMBER(SEARCH(IF(B$3&lt;&gt;"",B$3,"NA"),'MITRE ATT&amp;CK Mappings'!$I724))),ISNUMBER(SEARCH(IF(B$3&lt;&gt;"",B$3,"NA"),'MITRE ATT&amp;CK Mappings'!$J724))), 'MITRE ATT&amp;CK Mappings'!$B724,"")</f>
        <v/>
      </c>
      <c r="C728" s="26" t="str">
        <f>IF(OR(OR(OR(OR(OR(ISNUMBER(SEARCH(IF(C$1&lt;&gt;"",C$1,"NA"),'MITRE ATT&amp;CK Mappings'!$E724)),ISNUMBER(SEARCH(IF(C$1&lt;&gt;"",C$1,"NA"),'MITRE ATT&amp;CK Mappings'!$F724))),ISNUMBER(SEARCH(IF(C$2&lt;&gt;"",C$2,"NA"),'MITRE ATT&amp;CK Mappings'!$G724))),ISNUMBER(SEARCH(IF(C$2&lt;&gt;"",C$2,"NA"),'MITRE ATT&amp;CK Mappings'!$H724))),ISNUMBER(SEARCH(IF(C$3&lt;&gt;"",C$3,"NA"),'MITRE ATT&amp;CK Mappings'!$I724))),ISNUMBER(SEARCH(IF(C$3&lt;&gt;"",C$3,"NA"),'MITRE ATT&amp;CK Mappings'!$J724))), 'MITRE ATT&amp;CK Mappings'!$B724,"")</f>
        <v/>
      </c>
      <c r="D728" s="26" t="str">
        <f>IF(OR(OR(OR(OR(OR(ISNUMBER(SEARCH(IF(D$1&lt;&gt;"",D$1,"NA"),'MITRE ATT&amp;CK Mappings'!$E724)),ISNUMBER(SEARCH(IF(D$1&lt;&gt;"",D$1,"NA"),'MITRE ATT&amp;CK Mappings'!$F724))),ISNUMBER(SEARCH(IF(D$2&lt;&gt;"",D$2,"NA"),'MITRE ATT&amp;CK Mappings'!$G724))),ISNUMBER(SEARCH(IF(D$2&lt;&gt;"",D$2,"NA"),'MITRE ATT&amp;CK Mappings'!$H724))),ISNUMBER(SEARCH(IF(D$3&lt;&gt;"",D$3,"NA"),'MITRE ATT&amp;CK Mappings'!$I724))),ISNUMBER(SEARCH(IF(D$3&lt;&gt;"",D$3,"NA"),'MITRE ATT&amp;CK Mappings'!$J724))), 'MITRE ATT&amp;CK Mappings'!$B724,"")</f>
        <v/>
      </c>
      <c r="E728" s="26" t="str">
        <f>IF(OR(OR(OR(OR(OR(ISNUMBER(SEARCH(IF(E$1&lt;&gt;"",E$1,"NA"),'MITRE ATT&amp;CK Mappings'!$E724)),ISNUMBER(SEARCH(IF(E$1&lt;&gt;"",E$1,"NA"),'MITRE ATT&amp;CK Mappings'!$F724))),ISNUMBER(SEARCH(IF(E$2&lt;&gt;"",E$2,"NA"),'MITRE ATT&amp;CK Mappings'!$G724))),ISNUMBER(SEARCH(IF(E$2&lt;&gt;"",E$2,"NA"),'MITRE ATT&amp;CK Mappings'!$H724))),ISNUMBER(SEARCH(IF(E$3&lt;&gt;"",E$3,"NA"),'MITRE ATT&amp;CK Mappings'!$I724))),ISNUMBER(SEARCH(IF(E$3&lt;&gt;"",E$3,"NA"),'MITRE ATT&amp;CK Mappings'!$J724))), 'MITRE ATT&amp;CK Mappings'!$B724,"")</f>
        <v/>
      </c>
      <c r="F728" s="26" t="str">
        <f>IF(OR(OR(OR(OR(OR(ISNUMBER(SEARCH(IF(F$1&lt;&gt;"",F$1,"NA"),'MITRE ATT&amp;CK Mappings'!$E724)),ISNUMBER(SEARCH(IF(F$1&lt;&gt;"",F$1,"NA"),'MITRE ATT&amp;CK Mappings'!$F724))),ISNUMBER(SEARCH(IF(F$2&lt;&gt;"",F$2,"NA"),'MITRE ATT&amp;CK Mappings'!$G724))),ISNUMBER(SEARCH(IF(F$2&lt;&gt;"",F$2,"NA"),'MITRE ATT&amp;CK Mappings'!$H724))),ISNUMBER(SEARCH(IF(F$3&lt;&gt;"",F$3,"NA"),'MITRE ATT&amp;CK Mappings'!$I724))),ISNUMBER(SEARCH(IF(F$3&lt;&gt;"",F$3,"NA"),'MITRE ATT&amp;CK Mappings'!$J724))), 'MITRE ATT&amp;CK Mappings'!$B724,"")</f>
        <v/>
      </c>
      <c r="G728" s="26" t="str">
        <f>IF(OR(OR(OR(OR(OR(ISNUMBER(SEARCH(IF(G$1&lt;&gt;"",G$1,"NA"),'MITRE ATT&amp;CK Mappings'!$E724)),ISNUMBER(SEARCH(IF(G$1&lt;&gt;"",G$1,"NA"),'MITRE ATT&amp;CK Mappings'!$F724))),ISNUMBER(SEARCH(IF(G$2&lt;&gt;"",G$2,"NA"),'MITRE ATT&amp;CK Mappings'!$G724))),ISNUMBER(SEARCH(IF(G$2&lt;&gt;"",G$2,"NA"),'MITRE ATT&amp;CK Mappings'!$H724))),ISNUMBER(SEARCH(IF(G$3&lt;&gt;"",G$3,"NA"),'MITRE ATT&amp;CK Mappings'!$I724))),ISNUMBER(SEARCH(IF(G$3&lt;&gt;"",G$3,"NA"),'MITRE ATT&amp;CK Mappings'!$J724))), 'MITRE ATT&amp;CK Mappings'!$B724,"")</f>
        <v/>
      </c>
      <c r="H728" s="26" t="str">
        <f>IF(OR(OR(OR(OR(OR(ISNUMBER(SEARCH(IF(H$1&lt;&gt;"",H$1,"NA"),'MITRE ATT&amp;CK Mappings'!$E724)),ISNUMBER(SEARCH(IF(H$1&lt;&gt;"",H$1,"NA"),'MITRE ATT&amp;CK Mappings'!$F724))),ISNUMBER(SEARCH(IF(H$2&lt;&gt;"",H$2,"NA"),'MITRE ATT&amp;CK Mappings'!$G724))),ISNUMBER(SEARCH(IF(H$2&lt;&gt;"",H$2,"NA"),'MITRE ATT&amp;CK Mappings'!$H724))),ISNUMBER(SEARCH(IF(H$3&lt;&gt;"",H$3,"NA"),'MITRE ATT&amp;CK Mappings'!$I724))),ISNUMBER(SEARCH(IF(H$3&lt;&gt;"",H$3,"NA"),'MITRE ATT&amp;CK Mappings'!$J724))), 'MITRE ATT&amp;CK Mappings'!$B724,"")</f>
        <v/>
      </c>
      <c r="I728" s="26" t="str">
        <f>IF(OR(OR(OR(OR(OR(ISNUMBER(SEARCH(IF(I$1&lt;&gt;"",I$1,"NA"),'MITRE ATT&amp;CK Mappings'!$E724)),ISNUMBER(SEARCH(IF(I$1&lt;&gt;"",I$1,"NA"),'MITRE ATT&amp;CK Mappings'!$F724))),ISNUMBER(SEARCH(IF(I$2&lt;&gt;"",I$2,"NA"),'MITRE ATT&amp;CK Mappings'!$G724))),ISNUMBER(SEARCH(IF(I$2&lt;&gt;"",I$2,"NA"),'MITRE ATT&amp;CK Mappings'!$H724))),ISNUMBER(SEARCH(IF(I$3&lt;&gt;"",I$3,"NA"),'MITRE ATT&amp;CK Mappings'!$I724))),ISNUMBER(SEARCH(IF(I$3&lt;&gt;"",I$3,"NA"),'MITRE ATT&amp;CK Mappings'!$J724))), 'MITRE ATT&amp;CK Mappings'!$B724,"")</f>
        <v/>
      </c>
      <c r="J728" s="26" t="str">
        <f>IF(OR(OR(OR(OR(OR(ISNUMBER(SEARCH(IF(J$1&lt;&gt;"",J$1,"NA"),'MITRE ATT&amp;CK Mappings'!$E724)),ISNUMBER(SEARCH(IF(J$1&lt;&gt;"",J$1,"NA"),'MITRE ATT&amp;CK Mappings'!$F724))),ISNUMBER(SEARCH(IF(J$2&lt;&gt;"",J$2,"NA"),'MITRE ATT&amp;CK Mappings'!$G724))),ISNUMBER(SEARCH(IF(J$2&lt;&gt;"",J$2,"NA"),'MITRE ATT&amp;CK Mappings'!$H724))),ISNUMBER(SEARCH(IF(J$3&lt;&gt;"",J$3,"NA"),'MITRE ATT&amp;CK Mappings'!$I724))),ISNUMBER(SEARCH(IF(J$3&lt;&gt;"",J$3,"NA"),'MITRE ATT&amp;CK Mappings'!$J724))), 'MITRE ATT&amp;CK Mappings'!$B724,"")</f>
        <v/>
      </c>
      <c r="K728" s="26" t="str">
        <f>IF(OR(OR(OR(OR(OR(ISNUMBER(SEARCH(IF(K$1&lt;&gt;"",K$1,"NA"),'MITRE ATT&amp;CK Mappings'!$E724)),ISNUMBER(SEARCH(IF(K$1&lt;&gt;"",K$1,"NA"),'MITRE ATT&amp;CK Mappings'!$F724))),ISNUMBER(SEARCH(IF(K$2&lt;&gt;"",K$2,"NA"),'MITRE ATT&amp;CK Mappings'!$G724))),ISNUMBER(SEARCH(IF(K$2&lt;&gt;"",K$2,"NA"),'MITRE ATT&amp;CK Mappings'!$H724))),ISNUMBER(SEARCH(IF(K$3&lt;&gt;"",K$3,"NA"),'MITRE ATT&amp;CK Mappings'!$I724))),ISNUMBER(SEARCH(IF(K$3&lt;&gt;"",K$3,"NA"),'MITRE ATT&amp;CK Mappings'!$J724))), 'MITRE ATT&amp;CK Mappings'!$B724,"")</f>
        <v/>
      </c>
      <c r="L728" s="26" t="str">
        <f>IF('MITRE ATT&amp;CK Mappings'!D724 &lt;&gt;"",'MITRE ATT&amp;CK Mappings'!D724,"" )</f>
        <v/>
      </c>
    </row>
    <row r="729" spans="1:12" x14ac:dyDescent="0.25">
      <c r="A729" s="27" t="str">
        <f>IF(COUNTIF(B729:K729,"="&amp;'MITRE ATT&amp;CK Mappings'!B725)&gt;0,'MITRE ATT&amp;CK Mappings'!B725,"")</f>
        <v/>
      </c>
      <c r="B729" s="27" t="str">
        <f>IF(OR(OR(OR(OR(OR(ISNUMBER(SEARCH(IF(B$1&lt;&gt;"",B$1,"NA"),'MITRE ATT&amp;CK Mappings'!$E725)),ISNUMBER(SEARCH(IF(B$1&lt;&gt;"",B$1,"NA"),'MITRE ATT&amp;CK Mappings'!$F725))),ISNUMBER(SEARCH(IF(B$2&lt;&gt;"",B$2,"NA"),'MITRE ATT&amp;CK Mappings'!$G725))),ISNUMBER(SEARCH(IF(B$2&lt;&gt;"",B$2,"NA"),'MITRE ATT&amp;CK Mappings'!$H725))),ISNUMBER(SEARCH(IF(B$3&lt;&gt;"",B$3,"NA"),'MITRE ATT&amp;CK Mappings'!$I725))),ISNUMBER(SEARCH(IF(B$3&lt;&gt;"",B$3,"NA"),'MITRE ATT&amp;CK Mappings'!$J725))), 'MITRE ATT&amp;CK Mappings'!$B725,"")</f>
        <v/>
      </c>
      <c r="C729" s="27" t="str">
        <f>IF(OR(OR(OR(OR(OR(ISNUMBER(SEARCH(IF(C$1&lt;&gt;"",C$1,"NA"),'MITRE ATT&amp;CK Mappings'!$E725)),ISNUMBER(SEARCH(IF(C$1&lt;&gt;"",C$1,"NA"),'MITRE ATT&amp;CK Mappings'!$F725))),ISNUMBER(SEARCH(IF(C$2&lt;&gt;"",C$2,"NA"),'MITRE ATT&amp;CK Mappings'!$G725))),ISNUMBER(SEARCH(IF(C$2&lt;&gt;"",C$2,"NA"),'MITRE ATT&amp;CK Mappings'!$H725))),ISNUMBER(SEARCH(IF(C$3&lt;&gt;"",C$3,"NA"),'MITRE ATT&amp;CK Mappings'!$I725))),ISNUMBER(SEARCH(IF(C$3&lt;&gt;"",C$3,"NA"),'MITRE ATT&amp;CK Mappings'!$J725))), 'MITRE ATT&amp;CK Mappings'!$B725,"")</f>
        <v/>
      </c>
      <c r="D729" s="27" t="str">
        <f>IF(OR(OR(OR(OR(OR(ISNUMBER(SEARCH(IF(D$1&lt;&gt;"",D$1,"NA"),'MITRE ATT&amp;CK Mappings'!$E725)),ISNUMBER(SEARCH(IF(D$1&lt;&gt;"",D$1,"NA"),'MITRE ATT&amp;CK Mappings'!$F725))),ISNUMBER(SEARCH(IF(D$2&lt;&gt;"",D$2,"NA"),'MITRE ATT&amp;CK Mappings'!$G725))),ISNUMBER(SEARCH(IF(D$2&lt;&gt;"",D$2,"NA"),'MITRE ATT&amp;CK Mappings'!$H725))),ISNUMBER(SEARCH(IF(D$3&lt;&gt;"",D$3,"NA"),'MITRE ATT&amp;CK Mappings'!$I725))),ISNUMBER(SEARCH(IF(D$3&lt;&gt;"",D$3,"NA"),'MITRE ATT&amp;CK Mappings'!$J725))), 'MITRE ATT&amp;CK Mappings'!$B725,"")</f>
        <v/>
      </c>
      <c r="E729" s="27" t="str">
        <f>IF(OR(OR(OR(OR(OR(ISNUMBER(SEARCH(IF(E$1&lt;&gt;"",E$1,"NA"),'MITRE ATT&amp;CK Mappings'!$E725)),ISNUMBER(SEARCH(IF(E$1&lt;&gt;"",E$1,"NA"),'MITRE ATT&amp;CK Mappings'!$F725))),ISNUMBER(SEARCH(IF(E$2&lt;&gt;"",E$2,"NA"),'MITRE ATT&amp;CK Mappings'!$G725))),ISNUMBER(SEARCH(IF(E$2&lt;&gt;"",E$2,"NA"),'MITRE ATT&amp;CK Mappings'!$H725))),ISNUMBER(SEARCH(IF(E$3&lt;&gt;"",E$3,"NA"),'MITRE ATT&amp;CK Mappings'!$I725))),ISNUMBER(SEARCH(IF(E$3&lt;&gt;"",E$3,"NA"),'MITRE ATT&amp;CK Mappings'!$J725))), 'MITRE ATT&amp;CK Mappings'!$B725,"")</f>
        <v/>
      </c>
      <c r="F729" s="27" t="str">
        <f>IF(OR(OR(OR(OR(OR(ISNUMBER(SEARCH(IF(F$1&lt;&gt;"",F$1,"NA"),'MITRE ATT&amp;CK Mappings'!$E725)),ISNUMBER(SEARCH(IF(F$1&lt;&gt;"",F$1,"NA"),'MITRE ATT&amp;CK Mappings'!$F725))),ISNUMBER(SEARCH(IF(F$2&lt;&gt;"",F$2,"NA"),'MITRE ATT&amp;CK Mappings'!$G725))),ISNUMBER(SEARCH(IF(F$2&lt;&gt;"",F$2,"NA"),'MITRE ATT&amp;CK Mappings'!$H725))),ISNUMBER(SEARCH(IF(F$3&lt;&gt;"",F$3,"NA"),'MITRE ATT&amp;CK Mappings'!$I725))),ISNUMBER(SEARCH(IF(F$3&lt;&gt;"",F$3,"NA"),'MITRE ATT&amp;CK Mappings'!$J725))), 'MITRE ATT&amp;CK Mappings'!$B725,"")</f>
        <v/>
      </c>
      <c r="G729" s="27" t="str">
        <f>IF(OR(OR(OR(OR(OR(ISNUMBER(SEARCH(IF(G$1&lt;&gt;"",G$1,"NA"),'MITRE ATT&amp;CK Mappings'!$E725)),ISNUMBER(SEARCH(IF(G$1&lt;&gt;"",G$1,"NA"),'MITRE ATT&amp;CK Mappings'!$F725))),ISNUMBER(SEARCH(IF(G$2&lt;&gt;"",G$2,"NA"),'MITRE ATT&amp;CK Mappings'!$G725))),ISNUMBER(SEARCH(IF(G$2&lt;&gt;"",G$2,"NA"),'MITRE ATT&amp;CK Mappings'!$H725))),ISNUMBER(SEARCH(IF(G$3&lt;&gt;"",G$3,"NA"),'MITRE ATT&amp;CK Mappings'!$I725))),ISNUMBER(SEARCH(IF(G$3&lt;&gt;"",G$3,"NA"),'MITRE ATT&amp;CK Mappings'!$J725))), 'MITRE ATT&amp;CK Mappings'!$B725,"")</f>
        <v/>
      </c>
      <c r="H729" s="27" t="str">
        <f>IF(OR(OR(OR(OR(OR(ISNUMBER(SEARCH(IF(H$1&lt;&gt;"",H$1,"NA"),'MITRE ATT&amp;CK Mappings'!$E725)),ISNUMBER(SEARCH(IF(H$1&lt;&gt;"",H$1,"NA"),'MITRE ATT&amp;CK Mappings'!$F725))),ISNUMBER(SEARCH(IF(H$2&lt;&gt;"",H$2,"NA"),'MITRE ATT&amp;CK Mappings'!$G725))),ISNUMBER(SEARCH(IF(H$2&lt;&gt;"",H$2,"NA"),'MITRE ATT&amp;CK Mappings'!$H725))),ISNUMBER(SEARCH(IF(H$3&lt;&gt;"",H$3,"NA"),'MITRE ATT&amp;CK Mappings'!$I725))),ISNUMBER(SEARCH(IF(H$3&lt;&gt;"",H$3,"NA"),'MITRE ATT&amp;CK Mappings'!$J725))), 'MITRE ATT&amp;CK Mappings'!$B725,"")</f>
        <v/>
      </c>
      <c r="I729" s="27" t="str">
        <f>IF(OR(OR(OR(OR(OR(ISNUMBER(SEARCH(IF(I$1&lt;&gt;"",I$1,"NA"),'MITRE ATT&amp;CK Mappings'!$E725)),ISNUMBER(SEARCH(IF(I$1&lt;&gt;"",I$1,"NA"),'MITRE ATT&amp;CK Mappings'!$F725))),ISNUMBER(SEARCH(IF(I$2&lt;&gt;"",I$2,"NA"),'MITRE ATT&amp;CK Mappings'!$G725))),ISNUMBER(SEARCH(IF(I$2&lt;&gt;"",I$2,"NA"),'MITRE ATT&amp;CK Mappings'!$H725))),ISNUMBER(SEARCH(IF(I$3&lt;&gt;"",I$3,"NA"),'MITRE ATT&amp;CK Mappings'!$I725))),ISNUMBER(SEARCH(IF(I$3&lt;&gt;"",I$3,"NA"),'MITRE ATT&amp;CK Mappings'!$J725))), 'MITRE ATT&amp;CK Mappings'!$B725,"")</f>
        <v/>
      </c>
      <c r="J729" s="27" t="str">
        <f>IF(OR(OR(OR(OR(OR(ISNUMBER(SEARCH(IF(J$1&lt;&gt;"",J$1,"NA"),'MITRE ATT&amp;CK Mappings'!$E725)),ISNUMBER(SEARCH(IF(J$1&lt;&gt;"",J$1,"NA"),'MITRE ATT&amp;CK Mappings'!$F725))),ISNUMBER(SEARCH(IF(J$2&lt;&gt;"",J$2,"NA"),'MITRE ATT&amp;CK Mappings'!$G725))),ISNUMBER(SEARCH(IF(J$2&lt;&gt;"",J$2,"NA"),'MITRE ATT&amp;CK Mappings'!$H725))),ISNUMBER(SEARCH(IF(J$3&lt;&gt;"",J$3,"NA"),'MITRE ATT&amp;CK Mappings'!$I725))),ISNUMBER(SEARCH(IF(J$3&lt;&gt;"",J$3,"NA"),'MITRE ATT&amp;CK Mappings'!$J725))), 'MITRE ATT&amp;CK Mappings'!$B725,"")</f>
        <v/>
      </c>
      <c r="K729" s="27" t="str">
        <f>IF(OR(OR(OR(OR(OR(ISNUMBER(SEARCH(IF(K$1&lt;&gt;"",K$1,"NA"),'MITRE ATT&amp;CK Mappings'!$E725)),ISNUMBER(SEARCH(IF(K$1&lt;&gt;"",K$1,"NA"),'MITRE ATT&amp;CK Mappings'!$F725))),ISNUMBER(SEARCH(IF(K$2&lt;&gt;"",K$2,"NA"),'MITRE ATT&amp;CK Mappings'!$G725))),ISNUMBER(SEARCH(IF(K$2&lt;&gt;"",K$2,"NA"),'MITRE ATT&amp;CK Mappings'!$H725))),ISNUMBER(SEARCH(IF(K$3&lt;&gt;"",K$3,"NA"),'MITRE ATT&amp;CK Mappings'!$I725))),ISNUMBER(SEARCH(IF(K$3&lt;&gt;"",K$3,"NA"),'MITRE ATT&amp;CK Mappings'!$J725))), 'MITRE ATT&amp;CK Mappings'!$B725,"")</f>
        <v/>
      </c>
      <c r="L729" s="27" t="str">
        <f>IF('MITRE ATT&amp;CK Mappings'!D725 &lt;&gt;"",'MITRE ATT&amp;CK Mappings'!D725,"" )</f>
        <v/>
      </c>
    </row>
    <row r="730" spans="1:12" x14ac:dyDescent="0.25">
      <c r="A730" s="26" t="str">
        <f>IF(COUNTIF(B730:K730,"="&amp;'MITRE ATT&amp;CK Mappings'!B726)&gt;0,'MITRE ATT&amp;CK Mappings'!B726,"")</f>
        <v/>
      </c>
      <c r="B730" s="26" t="str">
        <f>IF(OR(OR(OR(OR(OR(ISNUMBER(SEARCH(IF(B$1&lt;&gt;"",B$1,"NA"),'MITRE ATT&amp;CK Mappings'!$E726)),ISNUMBER(SEARCH(IF(B$1&lt;&gt;"",B$1,"NA"),'MITRE ATT&amp;CK Mappings'!$F726))),ISNUMBER(SEARCH(IF(B$2&lt;&gt;"",B$2,"NA"),'MITRE ATT&amp;CK Mappings'!$G726))),ISNUMBER(SEARCH(IF(B$2&lt;&gt;"",B$2,"NA"),'MITRE ATT&amp;CK Mappings'!$H726))),ISNUMBER(SEARCH(IF(B$3&lt;&gt;"",B$3,"NA"),'MITRE ATT&amp;CK Mappings'!$I726))),ISNUMBER(SEARCH(IF(B$3&lt;&gt;"",B$3,"NA"),'MITRE ATT&amp;CK Mappings'!$J726))), 'MITRE ATT&amp;CK Mappings'!$B726,"")</f>
        <v/>
      </c>
      <c r="C730" s="26" t="str">
        <f>IF(OR(OR(OR(OR(OR(ISNUMBER(SEARCH(IF(C$1&lt;&gt;"",C$1,"NA"),'MITRE ATT&amp;CK Mappings'!$E726)),ISNUMBER(SEARCH(IF(C$1&lt;&gt;"",C$1,"NA"),'MITRE ATT&amp;CK Mappings'!$F726))),ISNUMBER(SEARCH(IF(C$2&lt;&gt;"",C$2,"NA"),'MITRE ATT&amp;CK Mappings'!$G726))),ISNUMBER(SEARCH(IF(C$2&lt;&gt;"",C$2,"NA"),'MITRE ATT&amp;CK Mappings'!$H726))),ISNUMBER(SEARCH(IF(C$3&lt;&gt;"",C$3,"NA"),'MITRE ATT&amp;CK Mappings'!$I726))),ISNUMBER(SEARCH(IF(C$3&lt;&gt;"",C$3,"NA"),'MITRE ATT&amp;CK Mappings'!$J726))), 'MITRE ATT&amp;CK Mappings'!$B726,"")</f>
        <v/>
      </c>
      <c r="D730" s="26" t="str">
        <f>IF(OR(OR(OR(OR(OR(ISNUMBER(SEARCH(IF(D$1&lt;&gt;"",D$1,"NA"),'MITRE ATT&amp;CK Mappings'!$E726)),ISNUMBER(SEARCH(IF(D$1&lt;&gt;"",D$1,"NA"),'MITRE ATT&amp;CK Mappings'!$F726))),ISNUMBER(SEARCH(IF(D$2&lt;&gt;"",D$2,"NA"),'MITRE ATT&amp;CK Mappings'!$G726))),ISNUMBER(SEARCH(IF(D$2&lt;&gt;"",D$2,"NA"),'MITRE ATT&amp;CK Mappings'!$H726))),ISNUMBER(SEARCH(IF(D$3&lt;&gt;"",D$3,"NA"),'MITRE ATT&amp;CK Mappings'!$I726))),ISNUMBER(SEARCH(IF(D$3&lt;&gt;"",D$3,"NA"),'MITRE ATT&amp;CK Mappings'!$J726))), 'MITRE ATT&amp;CK Mappings'!$B726,"")</f>
        <v/>
      </c>
      <c r="E730" s="26" t="str">
        <f>IF(OR(OR(OR(OR(OR(ISNUMBER(SEARCH(IF(E$1&lt;&gt;"",E$1,"NA"),'MITRE ATT&amp;CK Mappings'!$E726)),ISNUMBER(SEARCH(IF(E$1&lt;&gt;"",E$1,"NA"),'MITRE ATT&amp;CK Mappings'!$F726))),ISNUMBER(SEARCH(IF(E$2&lt;&gt;"",E$2,"NA"),'MITRE ATT&amp;CK Mappings'!$G726))),ISNUMBER(SEARCH(IF(E$2&lt;&gt;"",E$2,"NA"),'MITRE ATT&amp;CK Mappings'!$H726))),ISNUMBER(SEARCH(IF(E$3&lt;&gt;"",E$3,"NA"),'MITRE ATT&amp;CK Mappings'!$I726))),ISNUMBER(SEARCH(IF(E$3&lt;&gt;"",E$3,"NA"),'MITRE ATT&amp;CK Mappings'!$J726))), 'MITRE ATT&amp;CK Mappings'!$B726,"")</f>
        <v/>
      </c>
      <c r="F730" s="26" t="str">
        <f>IF(OR(OR(OR(OR(OR(ISNUMBER(SEARCH(IF(F$1&lt;&gt;"",F$1,"NA"),'MITRE ATT&amp;CK Mappings'!$E726)),ISNUMBER(SEARCH(IF(F$1&lt;&gt;"",F$1,"NA"),'MITRE ATT&amp;CK Mappings'!$F726))),ISNUMBER(SEARCH(IF(F$2&lt;&gt;"",F$2,"NA"),'MITRE ATT&amp;CK Mappings'!$G726))),ISNUMBER(SEARCH(IF(F$2&lt;&gt;"",F$2,"NA"),'MITRE ATT&amp;CK Mappings'!$H726))),ISNUMBER(SEARCH(IF(F$3&lt;&gt;"",F$3,"NA"),'MITRE ATT&amp;CK Mappings'!$I726))),ISNUMBER(SEARCH(IF(F$3&lt;&gt;"",F$3,"NA"),'MITRE ATT&amp;CK Mappings'!$J726))), 'MITRE ATT&amp;CK Mappings'!$B726,"")</f>
        <v/>
      </c>
      <c r="G730" s="26" t="str">
        <f>IF(OR(OR(OR(OR(OR(ISNUMBER(SEARCH(IF(G$1&lt;&gt;"",G$1,"NA"),'MITRE ATT&amp;CK Mappings'!$E726)),ISNUMBER(SEARCH(IF(G$1&lt;&gt;"",G$1,"NA"),'MITRE ATT&amp;CK Mappings'!$F726))),ISNUMBER(SEARCH(IF(G$2&lt;&gt;"",G$2,"NA"),'MITRE ATT&amp;CK Mappings'!$G726))),ISNUMBER(SEARCH(IF(G$2&lt;&gt;"",G$2,"NA"),'MITRE ATT&amp;CK Mappings'!$H726))),ISNUMBER(SEARCH(IF(G$3&lt;&gt;"",G$3,"NA"),'MITRE ATT&amp;CK Mappings'!$I726))),ISNUMBER(SEARCH(IF(G$3&lt;&gt;"",G$3,"NA"),'MITRE ATT&amp;CK Mappings'!$J726))), 'MITRE ATT&amp;CK Mappings'!$B726,"")</f>
        <v/>
      </c>
      <c r="H730" s="26" t="str">
        <f>IF(OR(OR(OR(OR(OR(ISNUMBER(SEARCH(IF(H$1&lt;&gt;"",H$1,"NA"),'MITRE ATT&amp;CK Mappings'!$E726)),ISNUMBER(SEARCH(IF(H$1&lt;&gt;"",H$1,"NA"),'MITRE ATT&amp;CK Mappings'!$F726))),ISNUMBER(SEARCH(IF(H$2&lt;&gt;"",H$2,"NA"),'MITRE ATT&amp;CK Mappings'!$G726))),ISNUMBER(SEARCH(IF(H$2&lt;&gt;"",H$2,"NA"),'MITRE ATT&amp;CK Mappings'!$H726))),ISNUMBER(SEARCH(IF(H$3&lt;&gt;"",H$3,"NA"),'MITRE ATT&amp;CK Mappings'!$I726))),ISNUMBER(SEARCH(IF(H$3&lt;&gt;"",H$3,"NA"),'MITRE ATT&amp;CK Mappings'!$J726))), 'MITRE ATT&amp;CK Mappings'!$B726,"")</f>
        <v/>
      </c>
      <c r="I730" s="26" t="str">
        <f>IF(OR(OR(OR(OR(OR(ISNUMBER(SEARCH(IF(I$1&lt;&gt;"",I$1,"NA"),'MITRE ATT&amp;CK Mappings'!$E726)),ISNUMBER(SEARCH(IF(I$1&lt;&gt;"",I$1,"NA"),'MITRE ATT&amp;CK Mappings'!$F726))),ISNUMBER(SEARCH(IF(I$2&lt;&gt;"",I$2,"NA"),'MITRE ATT&amp;CK Mappings'!$G726))),ISNUMBER(SEARCH(IF(I$2&lt;&gt;"",I$2,"NA"),'MITRE ATT&amp;CK Mappings'!$H726))),ISNUMBER(SEARCH(IF(I$3&lt;&gt;"",I$3,"NA"),'MITRE ATT&amp;CK Mappings'!$I726))),ISNUMBER(SEARCH(IF(I$3&lt;&gt;"",I$3,"NA"),'MITRE ATT&amp;CK Mappings'!$J726))), 'MITRE ATT&amp;CK Mappings'!$B726,"")</f>
        <v/>
      </c>
      <c r="J730" s="26" t="str">
        <f>IF(OR(OR(OR(OR(OR(ISNUMBER(SEARCH(IF(J$1&lt;&gt;"",J$1,"NA"),'MITRE ATT&amp;CK Mappings'!$E726)),ISNUMBER(SEARCH(IF(J$1&lt;&gt;"",J$1,"NA"),'MITRE ATT&amp;CK Mappings'!$F726))),ISNUMBER(SEARCH(IF(J$2&lt;&gt;"",J$2,"NA"),'MITRE ATT&amp;CK Mappings'!$G726))),ISNUMBER(SEARCH(IF(J$2&lt;&gt;"",J$2,"NA"),'MITRE ATT&amp;CK Mappings'!$H726))),ISNUMBER(SEARCH(IF(J$3&lt;&gt;"",J$3,"NA"),'MITRE ATT&amp;CK Mappings'!$I726))),ISNUMBER(SEARCH(IF(J$3&lt;&gt;"",J$3,"NA"),'MITRE ATT&amp;CK Mappings'!$J726))), 'MITRE ATT&amp;CK Mappings'!$B726,"")</f>
        <v/>
      </c>
      <c r="K730" s="26" t="str">
        <f>IF(OR(OR(OR(OR(OR(ISNUMBER(SEARCH(IF(K$1&lt;&gt;"",K$1,"NA"),'MITRE ATT&amp;CK Mappings'!$E726)),ISNUMBER(SEARCH(IF(K$1&lt;&gt;"",K$1,"NA"),'MITRE ATT&amp;CK Mappings'!$F726))),ISNUMBER(SEARCH(IF(K$2&lt;&gt;"",K$2,"NA"),'MITRE ATT&amp;CK Mappings'!$G726))),ISNUMBER(SEARCH(IF(K$2&lt;&gt;"",K$2,"NA"),'MITRE ATT&amp;CK Mappings'!$H726))),ISNUMBER(SEARCH(IF(K$3&lt;&gt;"",K$3,"NA"),'MITRE ATT&amp;CK Mappings'!$I726))),ISNUMBER(SEARCH(IF(K$3&lt;&gt;"",K$3,"NA"),'MITRE ATT&amp;CK Mappings'!$J726))), 'MITRE ATT&amp;CK Mappings'!$B726,"")</f>
        <v/>
      </c>
      <c r="L730" s="26" t="str">
        <f>IF('MITRE ATT&amp;CK Mappings'!D726 &lt;&gt;"",'MITRE ATT&amp;CK Mappings'!D726,"" )</f>
        <v/>
      </c>
    </row>
    <row r="731" spans="1:12" x14ac:dyDescent="0.25">
      <c r="A731" s="27" t="str">
        <f>IF(COUNTIF(B731:K731,"="&amp;'MITRE ATT&amp;CK Mappings'!B727)&gt;0,'MITRE ATT&amp;CK Mappings'!B727,"")</f>
        <v/>
      </c>
      <c r="B731" s="27" t="str">
        <f>IF(OR(OR(OR(OR(OR(ISNUMBER(SEARCH(IF(B$1&lt;&gt;"",B$1,"NA"),'MITRE ATT&amp;CK Mappings'!$E727)),ISNUMBER(SEARCH(IF(B$1&lt;&gt;"",B$1,"NA"),'MITRE ATT&amp;CK Mappings'!$F727))),ISNUMBER(SEARCH(IF(B$2&lt;&gt;"",B$2,"NA"),'MITRE ATT&amp;CK Mappings'!$G727))),ISNUMBER(SEARCH(IF(B$2&lt;&gt;"",B$2,"NA"),'MITRE ATT&amp;CK Mappings'!$H727))),ISNUMBER(SEARCH(IF(B$3&lt;&gt;"",B$3,"NA"),'MITRE ATT&amp;CK Mappings'!$I727))),ISNUMBER(SEARCH(IF(B$3&lt;&gt;"",B$3,"NA"),'MITRE ATT&amp;CK Mappings'!$J727))), 'MITRE ATT&amp;CK Mappings'!$B727,"")</f>
        <v/>
      </c>
      <c r="C731" s="27" t="str">
        <f>IF(OR(OR(OR(OR(OR(ISNUMBER(SEARCH(IF(C$1&lt;&gt;"",C$1,"NA"),'MITRE ATT&amp;CK Mappings'!$E727)),ISNUMBER(SEARCH(IF(C$1&lt;&gt;"",C$1,"NA"),'MITRE ATT&amp;CK Mappings'!$F727))),ISNUMBER(SEARCH(IF(C$2&lt;&gt;"",C$2,"NA"),'MITRE ATT&amp;CK Mappings'!$G727))),ISNUMBER(SEARCH(IF(C$2&lt;&gt;"",C$2,"NA"),'MITRE ATT&amp;CK Mappings'!$H727))),ISNUMBER(SEARCH(IF(C$3&lt;&gt;"",C$3,"NA"),'MITRE ATT&amp;CK Mappings'!$I727))),ISNUMBER(SEARCH(IF(C$3&lt;&gt;"",C$3,"NA"),'MITRE ATT&amp;CK Mappings'!$J727))), 'MITRE ATT&amp;CK Mappings'!$B727,"")</f>
        <v/>
      </c>
      <c r="D731" s="27" t="str">
        <f>IF(OR(OR(OR(OR(OR(ISNUMBER(SEARCH(IF(D$1&lt;&gt;"",D$1,"NA"),'MITRE ATT&amp;CK Mappings'!$E727)),ISNUMBER(SEARCH(IF(D$1&lt;&gt;"",D$1,"NA"),'MITRE ATT&amp;CK Mappings'!$F727))),ISNUMBER(SEARCH(IF(D$2&lt;&gt;"",D$2,"NA"),'MITRE ATT&amp;CK Mappings'!$G727))),ISNUMBER(SEARCH(IF(D$2&lt;&gt;"",D$2,"NA"),'MITRE ATT&amp;CK Mappings'!$H727))),ISNUMBER(SEARCH(IF(D$3&lt;&gt;"",D$3,"NA"),'MITRE ATT&amp;CK Mappings'!$I727))),ISNUMBER(SEARCH(IF(D$3&lt;&gt;"",D$3,"NA"),'MITRE ATT&amp;CK Mappings'!$J727))), 'MITRE ATT&amp;CK Mappings'!$B727,"")</f>
        <v/>
      </c>
      <c r="E731" s="27" t="str">
        <f>IF(OR(OR(OR(OR(OR(ISNUMBER(SEARCH(IF(E$1&lt;&gt;"",E$1,"NA"),'MITRE ATT&amp;CK Mappings'!$E727)),ISNUMBER(SEARCH(IF(E$1&lt;&gt;"",E$1,"NA"),'MITRE ATT&amp;CK Mappings'!$F727))),ISNUMBER(SEARCH(IF(E$2&lt;&gt;"",E$2,"NA"),'MITRE ATT&amp;CK Mappings'!$G727))),ISNUMBER(SEARCH(IF(E$2&lt;&gt;"",E$2,"NA"),'MITRE ATT&amp;CK Mappings'!$H727))),ISNUMBER(SEARCH(IF(E$3&lt;&gt;"",E$3,"NA"),'MITRE ATT&amp;CK Mappings'!$I727))),ISNUMBER(SEARCH(IF(E$3&lt;&gt;"",E$3,"NA"),'MITRE ATT&amp;CK Mappings'!$J727))), 'MITRE ATT&amp;CK Mappings'!$B727,"")</f>
        <v/>
      </c>
      <c r="F731" s="27" t="str">
        <f>IF(OR(OR(OR(OR(OR(ISNUMBER(SEARCH(IF(F$1&lt;&gt;"",F$1,"NA"),'MITRE ATT&amp;CK Mappings'!$E727)),ISNUMBER(SEARCH(IF(F$1&lt;&gt;"",F$1,"NA"),'MITRE ATT&amp;CK Mappings'!$F727))),ISNUMBER(SEARCH(IF(F$2&lt;&gt;"",F$2,"NA"),'MITRE ATT&amp;CK Mappings'!$G727))),ISNUMBER(SEARCH(IF(F$2&lt;&gt;"",F$2,"NA"),'MITRE ATT&amp;CK Mappings'!$H727))),ISNUMBER(SEARCH(IF(F$3&lt;&gt;"",F$3,"NA"),'MITRE ATT&amp;CK Mappings'!$I727))),ISNUMBER(SEARCH(IF(F$3&lt;&gt;"",F$3,"NA"),'MITRE ATT&amp;CK Mappings'!$J727))), 'MITRE ATT&amp;CK Mappings'!$B727,"")</f>
        <v/>
      </c>
      <c r="G731" s="27" t="str">
        <f>IF(OR(OR(OR(OR(OR(ISNUMBER(SEARCH(IF(G$1&lt;&gt;"",G$1,"NA"),'MITRE ATT&amp;CK Mappings'!$E727)),ISNUMBER(SEARCH(IF(G$1&lt;&gt;"",G$1,"NA"),'MITRE ATT&amp;CK Mappings'!$F727))),ISNUMBER(SEARCH(IF(G$2&lt;&gt;"",G$2,"NA"),'MITRE ATT&amp;CK Mappings'!$G727))),ISNUMBER(SEARCH(IF(G$2&lt;&gt;"",G$2,"NA"),'MITRE ATT&amp;CK Mappings'!$H727))),ISNUMBER(SEARCH(IF(G$3&lt;&gt;"",G$3,"NA"),'MITRE ATT&amp;CK Mappings'!$I727))),ISNUMBER(SEARCH(IF(G$3&lt;&gt;"",G$3,"NA"),'MITRE ATT&amp;CK Mappings'!$J727))), 'MITRE ATT&amp;CK Mappings'!$B727,"")</f>
        <v/>
      </c>
      <c r="H731" s="27" t="str">
        <f>IF(OR(OR(OR(OR(OR(ISNUMBER(SEARCH(IF(H$1&lt;&gt;"",H$1,"NA"),'MITRE ATT&amp;CK Mappings'!$E727)),ISNUMBER(SEARCH(IF(H$1&lt;&gt;"",H$1,"NA"),'MITRE ATT&amp;CK Mappings'!$F727))),ISNUMBER(SEARCH(IF(H$2&lt;&gt;"",H$2,"NA"),'MITRE ATT&amp;CK Mappings'!$G727))),ISNUMBER(SEARCH(IF(H$2&lt;&gt;"",H$2,"NA"),'MITRE ATT&amp;CK Mappings'!$H727))),ISNUMBER(SEARCH(IF(H$3&lt;&gt;"",H$3,"NA"),'MITRE ATT&amp;CK Mappings'!$I727))),ISNUMBER(SEARCH(IF(H$3&lt;&gt;"",H$3,"NA"),'MITRE ATT&amp;CK Mappings'!$J727))), 'MITRE ATT&amp;CK Mappings'!$B727,"")</f>
        <v/>
      </c>
      <c r="I731" s="27" t="str">
        <f>IF(OR(OR(OR(OR(OR(ISNUMBER(SEARCH(IF(I$1&lt;&gt;"",I$1,"NA"),'MITRE ATT&amp;CK Mappings'!$E727)),ISNUMBER(SEARCH(IF(I$1&lt;&gt;"",I$1,"NA"),'MITRE ATT&amp;CK Mappings'!$F727))),ISNUMBER(SEARCH(IF(I$2&lt;&gt;"",I$2,"NA"),'MITRE ATT&amp;CK Mappings'!$G727))),ISNUMBER(SEARCH(IF(I$2&lt;&gt;"",I$2,"NA"),'MITRE ATT&amp;CK Mappings'!$H727))),ISNUMBER(SEARCH(IF(I$3&lt;&gt;"",I$3,"NA"),'MITRE ATT&amp;CK Mappings'!$I727))),ISNUMBER(SEARCH(IF(I$3&lt;&gt;"",I$3,"NA"),'MITRE ATT&amp;CK Mappings'!$J727))), 'MITRE ATT&amp;CK Mappings'!$B727,"")</f>
        <v/>
      </c>
      <c r="J731" s="27" t="str">
        <f>IF(OR(OR(OR(OR(OR(ISNUMBER(SEARCH(IF(J$1&lt;&gt;"",J$1,"NA"),'MITRE ATT&amp;CK Mappings'!$E727)),ISNUMBER(SEARCH(IF(J$1&lt;&gt;"",J$1,"NA"),'MITRE ATT&amp;CK Mappings'!$F727))),ISNUMBER(SEARCH(IF(J$2&lt;&gt;"",J$2,"NA"),'MITRE ATT&amp;CK Mappings'!$G727))),ISNUMBER(SEARCH(IF(J$2&lt;&gt;"",J$2,"NA"),'MITRE ATT&amp;CK Mappings'!$H727))),ISNUMBER(SEARCH(IF(J$3&lt;&gt;"",J$3,"NA"),'MITRE ATT&amp;CK Mappings'!$I727))),ISNUMBER(SEARCH(IF(J$3&lt;&gt;"",J$3,"NA"),'MITRE ATT&amp;CK Mappings'!$J727))), 'MITRE ATT&amp;CK Mappings'!$B727,"")</f>
        <v/>
      </c>
      <c r="K731" s="27" t="str">
        <f>IF(OR(OR(OR(OR(OR(ISNUMBER(SEARCH(IF(K$1&lt;&gt;"",K$1,"NA"),'MITRE ATT&amp;CK Mappings'!$E727)),ISNUMBER(SEARCH(IF(K$1&lt;&gt;"",K$1,"NA"),'MITRE ATT&amp;CK Mappings'!$F727))),ISNUMBER(SEARCH(IF(K$2&lt;&gt;"",K$2,"NA"),'MITRE ATT&amp;CK Mappings'!$G727))),ISNUMBER(SEARCH(IF(K$2&lt;&gt;"",K$2,"NA"),'MITRE ATT&amp;CK Mappings'!$H727))),ISNUMBER(SEARCH(IF(K$3&lt;&gt;"",K$3,"NA"),'MITRE ATT&amp;CK Mappings'!$I727))),ISNUMBER(SEARCH(IF(K$3&lt;&gt;"",K$3,"NA"),'MITRE ATT&amp;CK Mappings'!$J727))), 'MITRE ATT&amp;CK Mappings'!$B727,"")</f>
        <v/>
      </c>
      <c r="L731" s="27" t="str">
        <f>IF('MITRE ATT&amp;CK Mappings'!D727 &lt;&gt;"",'MITRE ATT&amp;CK Mappings'!D727,"" )</f>
        <v/>
      </c>
    </row>
    <row r="732" spans="1:12" x14ac:dyDescent="0.25">
      <c r="A732" s="26" t="str">
        <f>IF(COUNTIF(B732:K732,"="&amp;'MITRE ATT&amp;CK Mappings'!B728)&gt;0,'MITRE ATT&amp;CK Mappings'!B728,"")</f>
        <v/>
      </c>
      <c r="B732" s="26" t="str">
        <f>IF(OR(OR(OR(OR(OR(ISNUMBER(SEARCH(IF(B$1&lt;&gt;"",B$1,"NA"),'MITRE ATT&amp;CK Mappings'!$E728)),ISNUMBER(SEARCH(IF(B$1&lt;&gt;"",B$1,"NA"),'MITRE ATT&amp;CK Mappings'!$F728))),ISNUMBER(SEARCH(IF(B$2&lt;&gt;"",B$2,"NA"),'MITRE ATT&amp;CK Mappings'!$G728))),ISNUMBER(SEARCH(IF(B$2&lt;&gt;"",B$2,"NA"),'MITRE ATT&amp;CK Mappings'!$H728))),ISNUMBER(SEARCH(IF(B$3&lt;&gt;"",B$3,"NA"),'MITRE ATT&amp;CK Mappings'!$I728))),ISNUMBER(SEARCH(IF(B$3&lt;&gt;"",B$3,"NA"),'MITRE ATT&amp;CK Mappings'!$J728))), 'MITRE ATT&amp;CK Mappings'!$B728,"")</f>
        <v/>
      </c>
      <c r="C732" s="26" t="str">
        <f>IF(OR(OR(OR(OR(OR(ISNUMBER(SEARCH(IF(C$1&lt;&gt;"",C$1,"NA"),'MITRE ATT&amp;CK Mappings'!$E728)),ISNUMBER(SEARCH(IF(C$1&lt;&gt;"",C$1,"NA"),'MITRE ATT&amp;CK Mappings'!$F728))),ISNUMBER(SEARCH(IF(C$2&lt;&gt;"",C$2,"NA"),'MITRE ATT&amp;CK Mappings'!$G728))),ISNUMBER(SEARCH(IF(C$2&lt;&gt;"",C$2,"NA"),'MITRE ATT&amp;CK Mappings'!$H728))),ISNUMBER(SEARCH(IF(C$3&lt;&gt;"",C$3,"NA"),'MITRE ATT&amp;CK Mappings'!$I728))),ISNUMBER(SEARCH(IF(C$3&lt;&gt;"",C$3,"NA"),'MITRE ATT&amp;CK Mappings'!$J728))), 'MITRE ATT&amp;CK Mappings'!$B728,"")</f>
        <v/>
      </c>
      <c r="D732" s="26" t="str">
        <f>IF(OR(OR(OR(OR(OR(ISNUMBER(SEARCH(IF(D$1&lt;&gt;"",D$1,"NA"),'MITRE ATT&amp;CK Mappings'!$E728)),ISNUMBER(SEARCH(IF(D$1&lt;&gt;"",D$1,"NA"),'MITRE ATT&amp;CK Mappings'!$F728))),ISNUMBER(SEARCH(IF(D$2&lt;&gt;"",D$2,"NA"),'MITRE ATT&amp;CK Mappings'!$G728))),ISNUMBER(SEARCH(IF(D$2&lt;&gt;"",D$2,"NA"),'MITRE ATT&amp;CK Mappings'!$H728))),ISNUMBER(SEARCH(IF(D$3&lt;&gt;"",D$3,"NA"),'MITRE ATT&amp;CK Mappings'!$I728))),ISNUMBER(SEARCH(IF(D$3&lt;&gt;"",D$3,"NA"),'MITRE ATT&amp;CK Mappings'!$J728))), 'MITRE ATT&amp;CK Mappings'!$B728,"")</f>
        <v/>
      </c>
      <c r="E732" s="26" t="str">
        <f>IF(OR(OR(OR(OR(OR(ISNUMBER(SEARCH(IF(E$1&lt;&gt;"",E$1,"NA"),'MITRE ATT&amp;CK Mappings'!$E728)),ISNUMBER(SEARCH(IF(E$1&lt;&gt;"",E$1,"NA"),'MITRE ATT&amp;CK Mappings'!$F728))),ISNUMBER(SEARCH(IF(E$2&lt;&gt;"",E$2,"NA"),'MITRE ATT&amp;CK Mappings'!$G728))),ISNUMBER(SEARCH(IF(E$2&lt;&gt;"",E$2,"NA"),'MITRE ATT&amp;CK Mappings'!$H728))),ISNUMBER(SEARCH(IF(E$3&lt;&gt;"",E$3,"NA"),'MITRE ATT&amp;CK Mappings'!$I728))),ISNUMBER(SEARCH(IF(E$3&lt;&gt;"",E$3,"NA"),'MITRE ATT&amp;CK Mappings'!$J728))), 'MITRE ATT&amp;CK Mappings'!$B728,"")</f>
        <v/>
      </c>
      <c r="F732" s="26" t="str">
        <f>IF(OR(OR(OR(OR(OR(ISNUMBER(SEARCH(IF(F$1&lt;&gt;"",F$1,"NA"),'MITRE ATT&amp;CK Mappings'!$E728)),ISNUMBER(SEARCH(IF(F$1&lt;&gt;"",F$1,"NA"),'MITRE ATT&amp;CK Mappings'!$F728))),ISNUMBER(SEARCH(IF(F$2&lt;&gt;"",F$2,"NA"),'MITRE ATT&amp;CK Mappings'!$G728))),ISNUMBER(SEARCH(IF(F$2&lt;&gt;"",F$2,"NA"),'MITRE ATT&amp;CK Mappings'!$H728))),ISNUMBER(SEARCH(IF(F$3&lt;&gt;"",F$3,"NA"),'MITRE ATT&amp;CK Mappings'!$I728))),ISNUMBER(SEARCH(IF(F$3&lt;&gt;"",F$3,"NA"),'MITRE ATT&amp;CK Mappings'!$J728))), 'MITRE ATT&amp;CK Mappings'!$B728,"")</f>
        <v/>
      </c>
      <c r="G732" s="26" t="str">
        <f>IF(OR(OR(OR(OR(OR(ISNUMBER(SEARCH(IF(G$1&lt;&gt;"",G$1,"NA"),'MITRE ATT&amp;CK Mappings'!$E728)),ISNUMBER(SEARCH(IF(G$1&lt;&gt;"",G$1,"NA"),'MITRE ATT&amp;CK Mappings'!$F728))),ISNUMBER(SEARCH(IF(G$2&lt;&gt;"",G$2,"NA"),'MITRE ATT&amp;CK Mappings'!$G728))),ISNUMBER(SEARCH(IF(G$2&lt;&gt;"",G$2,"NA"),'MITRE ATT&amp;CK Mappings'!$H728))),ISNUMBER(SEARCH(IF(G$3&lt;&gt;"",G$3,"NA"),'MITRE ATT&amp;CK Mappings'!$I728))),ISNUMBER(SEARCH(IF(G$3&lt;&gt;"",G$3,"NA"),'MITRE ATT&amp;CK Mappings'!$J728))), 'MITRE ATT&amp;CK Mappings'!$B728,"")</f>
        <v/>
      </c>
      <c r="H732" s="26" t="str">
        <f>IF(OR(OR(OR(OR(OR(ISNUMBER(SEARCH(IF(H$1&lt;&gt;"",H$1,"NA"),'MITRE ATT&amp;CK Mappings'!$E728)),ISNUMBER(SEARCH(IF(H$1&lt;&gt;"",H$1,"NA"),'MITRE ATT&amp;CK Mappings'!$F728))),ISNUMBER(SEARCH(IF(H$2&lt;&gt;"",H$2,"NA"),'MITRE ATT&amp;CK Mappings'!$G728))),ISNUMBER(SEARCH(IF(H$2&lt;&gt;"",H$2,"NA"),'MITRE ATT&amp;CK Mappings'!$H728))),ISNUMBER(SEARCH(IF(H$3&lt;&gt;"",H$3,"NA"),'MITRE ATT&amp;CK Mappings'!$I728))),ISNUMBER(SEARCH(IF(H$3&lt;&gt;"",H$3,"NA"),'MITRE ATT&amp;CK Mappings'!$J728))), 'MITRE ATT&amp;CK Mappings'!$B728,"")</f>
        <v/>
      </c>
      <c r="I732" s="26" t="str">
        <f>IF(OR(OR(OR(OR(OR(ISNUMBER(SEARCH(IF(I$1&lt;&gt;"",I$1,"NA"),'MITRE ATT&amp;CK Mappings'!$E728)),ISNUMBER(SEARCH(IF(I$1&lt;&gt;"",I$1,"NA"),'MITRE ATT&amp;CK Mappings'!$F728))),ISNUMBER(SEARCH(IF(I$2&lt;&gt;"",I$2,"NA"),'MITRE ATT&amp;CK Mappings'!$G728))),ISNUMBER(SEARCH(IF(I$2&lt;&gt;"",I$2,"NA"),'MITRE ATT&amp;CK Mappings'!$H728))),ISNUMBER(SEARCH(IF(I$3&lt;&gt;"",I$3,"NA"),'MITRE ATT&amp;CK Mappings'!$I728))),ISNUMBER(SEARCH(IF(I$3&lt;&gt;"",I$3,"NA"),'MITRE ATT&amp;CK Mappings'!$J728))), 'MITRE ATT&amp;CK Mappings'!$B728,"")</f>
        <v/>
      </c>
      <c r="J732" s="26" t="str">
        <f>IF(OR(OR(OR(OR(OR(ISNUMBER(SEARCH(IF(J$1&lt;&gt;"",J$1,"NA"),'MITRE ATT&amp;CK Mappings'!$E728)),ISNUMBER(SEARCH(IF(J$1&lt;&gt;"",J$1,"NA"),'MITRE ATT&amp;CK Mappings'!$F728))),ISNUMBER(SEARCH(IF(J$2&lt;&gt;"",J$2,"NA"),'MITRE ATT&amp;CK Mappings'!$G728))),ISNUMBER(SEARCH(IF(J$2&lt;&gt;"",J$2,"NA"),'MITRE ATT&amp;CK Mappings'!$H728))),ISNUMBER(SEARCH(IF(J$3&lt;&gt;"",J$3,"NA"),'MITRE ATT&amp;CK Mappings'!$I728))),ISNUMBER(SEARCH(IF(J$3&lt;&gt;"",J$3,"NA"),'MITRE ATT&amp;CK Mappings'!$J728))), 'MITRE ATT&amp;CK Mappings'!$B728,"")</f>
        <v/>
      </c>
      <c r="K732" s="26" t="str">
        <f>IF(OR(OR(OR(OR(OR(ISNUMBER(SEARCH(IF(K$1&lt;&gt;"",K$1,"NA"),'MITRE ATT&amp;CK Mappings'!$E728)),ISNUMBER(SEARCH(IF(K$1&lt;&gt;"",K$1,"NA"),'MITRE ATT&amp;CK Mappings'!$F728))),ISNUMBER(SEARCH(IF(K$2&lt;&gt;"",K$2,"NA"),'MITRE ATT&amp;CK Mappings'!$G728))),ISNUMBER(SEARCH(IF(K$2&lt;&gt;"",K$2,"NA"),'MITRE ATT&amp;CK Mappings'!$H728))),ISNUMBER(SEARCH(IF(K$3&lt;&gt;"",K$3,"NA"),'MITRE ATT&amp;CK Mappings'!$I728))),ISNUMBER(SEARCH(IF(K$3&lt;&gt;"",K$3,"NA"),'MITRE ATT&amp;CK Mappings'!$J728))), 'MITRE ATT&amp;CK Mappings'!$B728,"")</f>
        <v/>
      </c>
      <c r="L732" s="26" t="str">
        <f>IF('MITRE ATT&amp;CK Mappings'!D728 &lt;&gt;"",'MITRE ATT&amp;CK Mappings'!D728,"" )</f>
        <v/>
      </c>
    </row>
    <row r="733" spans="1:12" x14ac:dyDescent="0.25">
      <c r="A733" s="27" t="str">
        <f>IF(COUNTIF(B733:K733,"="&amp;'MITRE ATT&amp;CK Mappings'!B729)&gt;0,'MITRE ATT&amp;CK Mappings'!B729,"")</f>
        <v/>
      </c>
      <c r="B733" s="27" t="str">
        <f>IF(OR(OR(OR(OR(OR(ISNUMBER(SEARCH(IF(B$1&lt;&gt;"",B$1,"NA"),'MITRE ATT&amp;CK Mappings'!$E729)),ISNUMBER(SEARCH(IF(B$1&lt;&gt;"",B$1,"NA"),'MITRE ATT&amp;CK Mappings'!$F729))),ISNUMBER(SEARCH(IF(B$2&lt;&gt;"",B$2,"NA"),'MITRE ATT&amp;CK Mappings'!$G729))),ISNUMBER(SEARCH(IF(B$2&lt;&gt;"",B$2,"NA"),'MITRE ATT&amp;CK Mappings'!$H729))),ISNUMBER(SEARCH(IF(B$3&lt;&gt;"",B$3,"NA"),'MITRE ATT&amp;CK Mappings'!$I729))),ISNUMBER(SEARCH(IF(B$3&lt;&gt;"",B$3,"NA"),'MITRE ATT&amp;CK Mappings'!$J729))), 'MITRE ATT&amp;CK Mappings'!$B729,"")</f>
        <v/>
      </c>
      <c r="C733" s="27" t="str">
        <f>IF(OR(OR(OR(OR(OR(ISNUMBER(SEARCH(IF(C$1&lt;&gt;"",C$1,"NA"),'MITRE ATT&amp;CK Mappings'!$E729)),ISNUMBER(SEARCH(IF(C$1&lt;&gt;"",C$1,"NA"),'MITRE ATT&amp;CK Mappings'!$F729))),ISNUMBER(SEARCH(IF(C$2&lt;&gt;"",C$2,"NA"),'MITRE ATT&amp;CK Mappings'!$G729))),ISNUMBER(SEARCH(IF(C$2&lt;&gt;"",C$2,"NA"),'MITRE ATT&amp;CK Mappings'!$H729))),ISNUMBER(SEARCH(IF(C$3&lt;&gt;"",C$3,"NA"),'MITRE ATT&amp;CK Mappings'!$I729))),ISNUMBER(SEARCH(IF(C$3&lt;&gt;"",C$3,"NA"),'MITRE ATT&amp;CK Mappings'!$J729))), 'MITRE ATT&amp;CK Mappings'!$B729,"")</f>
        <v/>
      </c>
      <c r="D733" s="27" t="str">
        <f>IF(OR(OR(OR(OR(OR(ISNUMBER(SEARCH(IF(D$1&lt;&gt;"",D$1,"NA"),'MITRE ATT&amp;CK Mappings'!$E729)),ISNUMBER(SEARCH(IF(D$1&lt;&gt;"",D$1,"NA"),'MITRE ATT&amp;CK Mappings'!$F729))),ISNUMBER(SEARCH(IF(D$2&lt;&gt;"",D$2,"NA"),'MITRE ATT&amp;CK Mappings'!$G729))),ISNUMBER(SEARCH(IF(D$2&lt;&gt;"",D$2,"NA"),'MITRE ATT&amp;CK Mappings'!$H729))),ISNUMBER(SEARCH(IF(D$3&lt;&gt;"",D$3,"NA"),'MITRE ATT&amp;CK Mappings'!$I729))),ISNUMBER(SEARCH(IF(D$3&lt;&gt;"",D$3,"NA"),'MITRE ATT&amp;CK Mappings'!$J729))), 'MITRE ATT&amp;CK Mappings'!$B729,"")</f>
        <v/>
      </c>
      <c r="E733" s="27" t="str">
        <f>IF(OR(OR(OR(OR(OR(ISNUMBER(SEARCH(IF(E$1&lt;&gt;"",E$1,"NA"),'MITRE ATT&amp;CK Mappings'!$E729)),ISNUMBER(SEARCH(IF(E$1&lt;&gt;"",E$1,"NA"),'MITRE ATT&amp;CK Mappings'!$F729))),ISNUMBER(SEARCH(IF(E$2&lt;&gt;"",E$2,"NA"),'MITRE ATT&amp;CK Mappings'!$G729))),ISNUMBER(SEARCH(IF(E$2&lt;&gt;"",E$2,"NA"),'MITRE ATT&amp;CK Mappings'!$H729))),ISNUMBER(SEARCH(IF(E$3&lt;&gt;"",E$3,"NA"),'MITRE ATT&amp;CK Mappings'!$I729))),ISNUMBER(SEARCH(IF(E$3&lt;&gt;"",E$3,"NA"),'MITRE ATT&amp;CK Mappings'!$J729))), 'MITRE ATT&amp;CK Mappings'!$B729,"")</f>
        <v/>
      </c>
      <c r="F733" s="27" t="str">
        <f>IF(OR(OR(OR(OR(OR(ISNUMBER(SEARCH(IF(F$1&lt;&gt;"",F$1,"NA"),'MITRE ATT&amp;CK Mappings'!$E729)),ISNUMBER(SEARCH(IF(F$1&lt;&gt;"",F$1,"NA"),'MITRE ATT&amp;CK Mappings'!$F729))),ISNUMBER(SEARCH(IF(F$2&lt;&gt;"",F$2,"NA"),'MITRE ATT&amp;CK Mappings'!$G729))),ISNUMBER(SEARCH(IF(F$2&lt;&gt;"",F$2,"NA"),'MITRE ATT&amp;CK Mappings'!$H729))),ISNUMBER(SEARCH(IF(F$3&lt;&gt;"",F$3,"NA"),'MITRE ATT&amp;CK Mappings'!$I729))),ISNUMBER(SEARCH(IF(F$3&lt;&gt;"",F$3,"NA"),'MITRE ATT&amp;CK Mappings'!$J729))), 'MITRE ATT&amp;CK Mappings'!$B729,"")</f>
        <v/>
      </c>
      <c r="G733" s="27" t="str">
        <f>IF(OR(OR(OR(OR(OR(ISNUMBER(SEARCH(IF(G$1&lt;&gt;"",G$1,"NA"),'MITRE ATT&amp;CK Mappings'!$E729)),ISNUMBER(SEARCH(IF(G$1&lt;&gt;"",G$1,"NA"),'MITRE ATT&amp;CK Mappings'!$F729))),ISNUMBER(SEARCH(IF(G$2&lt;&gt;"",G$2,"NA"),'MITRE ATT&amp;CK Mappings'!$G729))),ISNUMBER(SEARCH(IF(G$2&lt;&gt;"",G$2,"NA"),'MITRE ATT&amp;CK Mappings'!$H729))),ISNUMBER(SEARCH(IF(G$3&lt;&gt;"",G$3,"NA"),'MITRE ATT&amp;CK Mappings'!$I729))),ISNUMBER(SEARCH(IF(G$3&lt;&gt;"",G$3,"NA"),'MITRE ATT&amp;CK Mappings'!$J729))), 'MITRE ATT&amp;CK Mappings'!$B729,"")</f>
        <v/>
      </c>
      <c r="H733" s="27" t="str">
        <f>IF(OR(OR(OR(OR(OR(ISNUMBER(SEARCH(IF(H$1&lt;&gt;"",H$1,"NA"),'MITRE ATT&amp;CK Mappings'!$E729)),ISNUMBER(SEARCH(IF(H$1&lt;&gt;"",H$1,"NA"),'MITRE ATT&amp;CK Mappings'!$F729))),ISNUMBER(SEARCH(IF(H$2&lt;&gt;"",H$2,"NA"),'MITRE ATT&amp;CK Mappings'!$G729))),ISNUMBER(SEARCH(IF(H$2&lt;&gt;"",H$2,"NA"),'MITRE ATT&amp;CK Mappings'!$H729))),ISNUMBER(SEARCH(IF(H$3&lt;&gt;"",H$3,"NA"),'MITRE ATT&amp;CK Mappings'!$I729))),ISNUMBER(SEARCH(IF(H$3&lt;&gt;"",H$3,"NA"),'MITRE ATT&amp;CK Mappings'!$J729))), 'MITRE ATT&amp;CK Mappings'!$B729,"")</f>
        <v/>
      </c>
      <c r="I733" s="27" t="str">
        <f>IF(OR(OR(OR(OR(OR(ISNUMBER(SEARCH(IF(I$1&lt;&gt;"",I$1,"NA"),'MITRE ATT&amp;CK Mappings'!$E729)),ISNUMBER(SEARCH(IF(I$1&lt;&gt;"",I$1,"NA"),'MITRE ATT&amp;CK Mappings'!$F729))),ISNUMBER(SEARCH(IF(I$2&lt;&gt;"",I$2,"NA"),'MITRE ATT&amp;CK Mappings'!$G729))),ISNUMBER(SEARCH(IF(I$2&lt;&gt;"",I$2,"NA"),'MITRE ATT&amp;CK Mappings'!$H729))),ISNUMBER(SEARCH(IF(I$3&lt;&gt;"",I$3,"NA"),'MITRE ATT&amp;CK Mappings'!$I729))),ISNUMBER(SEARCH(IF(I$3&lt;&gt;"",I$3,"NA"),'MITRE ATT&amp;CK Mappings'!$J729))), 'MITRE ATT&amp;CK Mappings'!$B729,"")</f>
        <v/>
      </c>
      <c r="J733" s="27" t="str">
        <f>IF(OR(OR(OR(OR(OR(ISNUMBER(SEARCH(IF(J$1&lt;&gt;"",J$1,"NA"),'MITRE ATT&amp;CK Mappings'!$E729)),ISNUMBER(SEARCH(IF(J$1&lt;&gt;"",J$1,"NA"),'MITRE ATT&amp;CK Mappings'!$F729))),ISNUMBER(SEARCH(IF(J$2&lt;&gt;"",J$2,"NA"),'MITRE ATT&amp;CK Mappings'!$G729))),ISNUMBER(SEARCH(IF(J$2&lt;&gt;"",J$2,"NA"),'MITRE ATT&amp;CK Mappings'!$H729))),ISNUMBER(SEARCH(IF(J$3&lt;&gt;"",J$3,"NA"),'MITRE ATT&amp;CK Mappings'!$I729))),ISNUMBER(SEARCH(IF(J$3&lt;&gt;"",J$3,"NA"),'MITRE ATT&amp;CK Mappings'!$J729))), 'MITRE ATT&amp;CK Mappings'!$B729,"")</f>
        <v/>
      </c>
      <c r="K733" s="27" t="str">
        <f>IF(OR(OR(OR(OR(OR(ISNUMBER(SEARCH(IF(K$1&lt;&gt;"",K$1,"NA"),'MITRE ATT&amp;CK Mappings'!$E729)),ISNUMBER(SEARCH(IF(K$1&lt;&gt;"",K$1,"NA"),'MITRE ATT&amp;CK Mappings'!$F729))),ISNUMBER(SEARCH(IF(K$2&lt;&gt;"",K$2,"NA"),'MITRE ATT&amp;CK Mappings'!$G729))),ISNUMBER(SEARCH(IF(K$2&lt;&gt;"",K$2,"NA"),'MITRE ATT&amp;CK Mappings'!$H729))),ISNUMBER(SEARCH(IF(K$3&lt;&gt;"",K$3,"NA"),'MITRE ATT&amp;CK Mappings'!$I729))),ISNUMBER(SEARCH(IF(K$3&lt;&gt;"",K$3,"NA"),'MITRE ATT&amp;CK Mappings'!$J729))), 'MITRE ATT&amp;CK Mappings'!$B729,"")</f>
        <v/>
      </c>
      <c r="L733" s="27" t="str">
        <f>IF('MITRE ATT&amp;CK Mappings'!D729 &lt;&gt;"",'MITRE ATT&amp;CK Mappings'!D729,"" )</f>
        <v/>
      </c>
    </row>
    <row r="734" spans="1:12" x14ac:dyDescent="0.25">
      <c r="A734" s="26" t="str">
        <f>IF(COUNTIF(B734:K734,"="&amp;'MITRE ATT&amp;CK Mappings'!B730)&gt;0,'MITRE ATT&amp;CK Mappings'!B730,"")</f>
        <v/>
      </c>
      <c r="B734" s="26" t="str">
        <f>IF(OR(OR(OR(OR(OR(ISNUMBER(SEARCH(IF(B$1&lt;&gt;"",B$1,"NA"),'MITRE ATT&amp;CK Mappings'!$E730)),ISNUMBER(SEARCH(IF(B$1&lt;&gt;"",B$1,"NA"),'MITRE ATT&amp;CK Mappings'!$F730))),ISNUMBER(SEARCH(IF(B$2&lt;&gt;"",B$2,"NA"),'MITRE ATT&amp;CK Mappings'!$G730))),ISNUMBER(SEARCH(IF(B$2&lt;&gt;"",B$2,"NA"),'MITRE ATT&amp;CK Mappings'!$H730))),ISNUMBER(SEARCH(IF(B$3&lt;&gt;"",B$3,"NA"),'MITRE ATT&amp;CK Mappings'!$I730))),ISNUMBER(SEARCH(IF(B$3&lt;&gt;"",B$3,"NA"),'MITRE ATT&amp;CK Mappings'!$J730))), 'MITRE ATT&amp;CK Mappings'!$B730,"")</f>
        <v/>
      </c>
      <c r="C734" s="26" t="str">
        <f>IF(OR(OR(OR(OR(OR(ISNUMBER(SEARCH(IF(C$1&lt;&gt;"",C$1,"NA"),'MITRE ATT&amp;CK Mappings'!$E730)),ISNUMBER(SEARCH(IF(C$1&lt;&gt;"",C$1,"NA"),'MITRE ATT&amp;CK Mappings'!$F730))),ISNUMBER(SEARCH(IF(C$2&lt;&gt;"",C$2,"NA"),'MITRE ATT&amp;CK Mappings'!$G730))),ISNUMBER(SEARCH(IF(C$2&lt;&gt;"",C$2,"NA"),'MITRE ATT&amp;CK Mappings'!$H730))),ISNUMBER(SEARCH(IF(C$3&lt;&gt;"",C$3,"NA"),'MITRE ATT&amp;CK Mappings'!$I730))),ISNUMBER(SEARCH(IF(C$3&lt;&gt;"",C$3,"NA"),'MITRE ATT&amp;CK Mappings'!$J730))), 'MITRE ATT&amp;CK Mappings'!$B730,"")</f>
        <v/>
      </c>
      <c r="D734" s="26" t="str">
        <f>IF(OR(OR(OR(OR(OR(ISNUMBER(SEARCH(IF(D$1&lt;&gt;"",D$1,"NA"),'MITRE ATT&amp;CK Mappings'!$E730)),ISNUMBER(SEARCH(IF(D$1&lt;&gt;"",D$1,"NA"),'MITRE ATT&amp;CK Mappings'!$F730))),ISNUMBER(SEARCH(IF(D$2&lt;&gt;"",D$2,"NA"),'MITRE ATT&amp;CK Mappings'!$G730))),ISNUMBER(SEARCH(IF(D$2&lt;&gt;"",D$2,"NA"),'MITRE ATT&amp;CK Mappings'!$H730))),ISNUMBER(SEARCH(IF(D$3&lt;&gt;"",D$3,"NA"),'MITRE ATT&amp;CK Mappings'!$I730))),ISNUMBER(SEARCH(IF(D$3&lt;&gt;"",D$3,"NA"),'MITRE ATT&amp;CK Mappings'!$J730))), 'MITRE ATT&amp;CK Mappings'!$B730,"")</f>
        <v/>
      </c>
      <c r="E734" s="26" t="str">
        <f>IF(OR(OR(OR(OR(OR(ISNUMBER(SEARCH(IF(E$1&lt;&gt;"",E$1,"NA"),'MITRE ATT&amp;CK Mappings'!$E730)),ISNUMBER(SEARCH(IF(E$1&lt;&gt;"",E$1,"NA"),'MITRE ATT&amp;CK Mappings'!$F730))),ISNUMBER(SEARCH(IF(E$2&lt;&gt;"",E$2,"NA"),'MITRE ATT&amp;CK Mappings'!$G730))),ISNUMBER(SEARCH(IF(E$2&lt;&gt;"",E$2,"NA"),'MITRE ATT&amp;CK Mappings'!$H730))),ISNUMBER(SEARCH(IF(E$3&lt;&gt;"",E$3,"NA"),'MITRE ATT&amp;CK Mappings'!$I730))),ISNUMBER(SEARCH(IF(E$3&lt;&gt;"",E$3,"NA"),'MITRE ATT&amp;CK Mappings'!$J730))), 'MITRE ATT&amp;CK Mappings'!$B730,"")</f>
        <v/>
      </c>
      <c r="F734" s="26" t="str">
        <f>IF(OR(OR(OR(OR(OR(ISNUMBER(SEARCH(IF(F$1&lt;&gt;"",F$1,"NA"),'MITRE ATT&amp;CK Mappings'!$E730)),ISNUMBER(SEARCH(IF(F$1&lt;&gt;"",F$1,"NA"),'MITRE ATT&amp;CK Mappings'!$F730))),ISNUMBER(SEARCH(IF(F$2&lt;&gt;"",F$2,"NA"),'MITRE ATT&amp;CK Mappings'!$G730))),ISNUMBER(SEARCH(IF(F$2&lt;&gt;"",F$2,"NA"),'MITRE ATT&amp;CK Mappings'!$H730))),ISNUMBER(SEARCH(IF(F$3&lt;&gt;"",F$3,"NA"),'MITRE ATT&amp;CK Mappings'!$I730))),ISNUMBER(SEARCH(IF(F$3&lt;&gt;"",F$3,"NA"),'MITRE ATT&amp;CK Mappings'!$J730))), 'MITRE ATT&amp;CK Mappings'!$B730,"")</f>
        <v/>
      </c>
      <c r="G734" s="26" t="str">
        <f>IF(OR(OR(OR(OR(OR(ISNUMBER(SEARCH(IF(G$1&lt;&gt;"",G$1,"NA"),'MITRE ATT&amp;CK Mappings'!$E730)),ISNUMBER(SEARCH(IF(G$1&lt;&gt;"",G$1,"NA"),'MITRE ATT&amp;CK Mappings'!$F730))),ISNUMBER(SEARCH(IF(G$2&lt;&gt;"",G$2,"NA"),'MITRE ATT&amp;CK Mappings'!$G730))),ISNUMBER(SEARCH(IF(G$2&lt;&gt;"",G$2,"NA"),'MITRE ATT&amp;CK Mappings'!$H730))),ISNUMBER(SEARCH(IF(G$3&lt;&gt;"",G$3,"NA"),'MITRE ATT&amp;CK Mappings'!$I730))),ISNUMBER(SEARCH(IF(G$3&lt;&gt;"",G$3,"NA"),'MITRE ATT&amp;CK Mappings'!$J730))), 'MITRE ATT&amp;CK Mappings'!$B730,"")</f>
        <v/>
      </c>
      <c r="H734" s="26" t="str">
        <f>IF(OR(OR(OR(OR(OR(ISNUMBER(SEARCH(IF(H$1&lt;&gt;"",H$1,"NA"),'MITRE ATT&amp;CK Mappings'!$E730)),ISNUMBER(SEARCH(IF(H$1&lt;&gt;"",H$1,"NA"),'MITRE ATT&amp;CK Mappings'!$F730))),ISNUMBER(SEARCH(IF(H$2&lt;&gt;"",H$2,"NA"),'MITRE ATT&amp;CK Mappings'!$G730))),ISNUMBER(SEARCH(IF(H$2&lt;&gt;"",H$2,"NA"),'MITRE ATT&amp;CK Mappings'!$H730))),ISNUMBER(SEARCH(IF(H$3&lt;&gt;"",H$3,"NA"),'MITRE ATT&amp;CK Mappings'!$I730))),ISNUMBER(SEARCH(IF(H$3&lt;&gt;"",H$3,"NA"),'MITRE ATT&amp;CK Mappings'!$J730))), 'MITRE ATT&amp;CK Mappings'!$B730,"")</f>
        <v/>
      </c>
      <c r="I734" s="26" t="str">
        <f>IF(OR(OR(OR(OR(OR(ISNUMBER(SEARCH(IF(I$1&lt;&gt;"",I$1,"NA"),'MITRE ATT&amp;CK Mappings'!$E730)),ISNUMBER(SEARCH(IF(I$1&lt;&gt;"",I$1,"NA"),'MITRE ATT&amp;CK Mappings'!$F730))),ISNUMBER(SEARCH(IF(I$2&lt;&gt;"",I$2,"NA"),'MITRE ATT&amp;CK Mappings'!$G730))),ISNUMBER(SEARCH(IF(I$2&lt;&gt;"",I$2,"NA"),'MITRE ATT&amp;CK Mappings'!$H730))),ISNUMBER(SEARCH(IF(I$3&lt;&gt;"",I$3,"NA"),'MITRE ATT&amp;CK Mappings'!$I730))),ISNUMBER(SEARCH(IF(I$3&lt;&gt;"",I$3,"NA"),'MITRE ATT&amp;CK Mappings'!$J730))), 'MITRE ATT&amp;CK Mappings'!$B730,"")</f>
        <v/>
      </c>
      <c r="J734" s="26" t="str">
        <f>IF(OR(OR(OR(OR(OR(ISNUMBER(SEARCH(IF(J$1&lt;&gt;"",J$1,"NA"),'MITRE ATT&amp;CK Mappings'!$E730)),ISNUMBER(SEARCH(IF(J$1&lt;&gt;"",J$1,"NA"),'MITRE ATT&amp;CK Mappings'!$F730))),ISNUMBER(SEARCH(IF(J$2&lt;&gt;"",J$2,"NA"),'MITRE ATT&amp;CK Mappings'!$G730))),ISNUMBER(SEARCH(IF(J$2&lt;&gt;"",J$2,"NA"),'MITRE ATT&amp;CK Mappings'!$H730))),ISNUMBER(SEARCH(IF(J$3&lt;&gt;"",J$3,"NA"),'MITRE ATT&amp;CK Mappings'!$I730))),ISNUMBER(SEARCH(IF(J$3&lt;&gt;"",J$3,"NA"),'MITRE ATT&amp;CK Mappings'!$J730))), 'MITRE ATT&amp;CK Mappings'!$B730,"")</f>
        <v/>
      </c>
      <c r="K734" s="26" t="str">
        <f>IF(OR(OR(OR(OR(OR(ISNUMBER(SEARCH(IF(K$1&lt;&gt;"",K$1,"NA"),'MITRE ATT&amp;CK Mappings'!$E730)),ISNUMBER(SEARCH(IF(K$1&lt;&gt;"",K$1,"NA"),'MITRE ATT&amp;CK Mappings'!$F730))),ISNUMBER(SEARCH(IF(K$2&lt;&gt;"",K$2,"NA"),'MITRE ATT&amp;CK Mappings'!$G730))),ISNUMBER(SEARCH(IF(K$2&lt;&gt;"",K$2,"NA"),'MITRE ATT&amp;CK Mappings'!$H730))),ISNUMBER(SEARCH(IF(K$3&lt;&gt;"",K$3,"NA"),'MITRE ATT&amp;CK Mappings'!$I730))),ISNUMBER(SEARCH(IF(K$3&lt;&gt;"",K$3,"NA"),'MITRE ATT&amp;CK Mappings'!$J730))), 'MITRE ATT&amp;CK Mappings'!$B730,"")</f>
        <v/>
      </c>
      <c r="L734" s="26" t="str">
        <f>IF('MITRE ATT&amp;CK Mappings'!D730 &lt;&gt;"",'MITRE ATT&amp;CK Mappings'!D730,"" )</f>
        <v/>
      </c>
    </row>
    <row r="735" spans="1:12" x14ac:dyDescent="0.25">
      <c r="A735" s="27" t="str">
        <f>IF(COUNTIF(B735:K735,"="&amp;'MITRE ATT&amp;CK Mappings'!B731)&gt;0,'MITRE ATT&amp;CK Mappings'!B731,"")</f>
        <v/>
      </c>
      <c r="B735" s="27" t="str">
        <f>IF(OR(OR(OR(OR(OR(ISNUMBER(SEARCH(IF(B$1&lt;&gt;"",B$1,"NA"),'MITRE ATT&amp;CK Mappings'!$E731)),ISNUMBER(SEARCH(IF(B$1&lt;&gt;"",B$1,"NA"),'MITRE ATT&amp;CK Mappings'!$F731))),ISNUMBER(SEARCH(IF(B$2&lt;&gt;"",B$2,"NA"),'MITRE ATT&amp;CK Mappings'!$G731))),ISNUMBER(SEARCH(IF(B$2&lt;&gt;"",B$2,"NA"),'MITRE ATT&amp;CK Mappings'!$H731))),ISNUMBER(SEARCH(IF(B$3&lt;&gt;"",B$3,"NA"),'MITRE ATT&amp;CK Mappings'!$I731))),ISNUMBER(SEARCH(IF(B$3&lt;&gt;"",B$3,"NA"),'MITRE ATT&amp;CK Mappings'!$J731))), 'MITRE ATT&amp;CK Mappings'!$B731,"")</f>
        <v/>
      </c>
      <c r="C735" s="27" t="str">
        <f>IF(OR(OR(OR(OR(OR(ISNUMBER(SEARCH(IF(C$1&lt;&gt;"",C$1,"NA"),'MITRE ATT&amp;CK Mappings'!$E731)),ISNUMBER(SEARCH(IF(C$1&lt;&gt;"",C$1,"NA"),'MITRE ATT&amp;CK Mappings'!$F731))),ISNUMBER(SEARCH(IF(C$2&lt;&gt;"",C$2,"NA"),'MITRE ATT&amp;CK Mappings'!$G731))),ISNUMBER(SEARCH(IF(C$2&lt;&gt;"",C$2,"NA"),'MITRE ATT&amp;CK Mappings'!$H731))),ISNUMBER(SEARCH(IF(C$3&lt;&gt;"",C$3,"NA"),'MITRE ATT&amp;CK Mappings'!$I731))),ISNUMBER(SEARCH(IF(C$3&lt;&gt;"",C$3,"NA"),'MITRE ATT&amp;CK Mappings'!$J731))), 'MITRE ATT&amp;CK Mappings'!$B731,"")</f>
        <v/>
      </c>
      <c r="D735" s="27" t="str">
        <f>IF(OR(OR(OR(OR(OR(ISNUMBER(SEARCH(IF(D$1&lt;&gt;"",D$1,"NA"),'MITRE ATT&amp;CK Mappings'!$E731)),ISNUMBER(SEARCH(IF(D$1&lt;&gt;"",D$1,"NA"),'MITRE ATT&amp;CK Mappings'!$F731))),ISNUMBER(SEARCH(IF(D$2&lt;&gt;"",D$2,"NA"),'MITRE ATT&amp;CK Mappings'!$G731))),ISNUMBER(SEARCH(IF(D$2&lt;&gt;"",D$2,"NA"),'MITRE ATT&amp;CK Mappings'!$H731))),ISNUMBER(SEARCH(IF(D$3&lt;&gt;"",D$3,"NA"),'MITRE ATT&amp;CK Mappings'!$I731))),ISNUMBER(SEARCH(IF(D$3&lt;&gt;"",D$3,"NA"),'MITRE ATT&amp;CK Mappings'!$J731))), 'MITRE ATT&amp;CK Mappings'!$B731,"")</f>
        <v/>
      </c>
      <c r="E735" s="27" t="str">
        <f>IF(OR(OR(OR(OR(OR(ISNUMBER(SEARCH(IF(E$1&lt;&gt;"",E$1,"NA"),'MITRE ATT&amp;CK Mappings'!$E731)),ISNUMBER(SEARCH(IF(E$1&lt;&gt;"",E$1,"NA"),'MITRE ATT&amp;CK Mappings'!$F731))),ISNUMBER(SEARCH(IF(E$2&lt;&gt;"",E$2,"NA"),'MITRE ATT&amp;CK Mappings'!$G731))),ISNUMBER(SEARCH(IF(E$2&lt;&gt;"",E$2,"NA"),'MITRE ATT&amp;CK Mappings'!$H731))),ISNUMBER(SEARCH(IF(E$3&lt;&gt;"",E$3,"NA"),'MITRE ATT&amp;CK Mappings'!$I731))),ISNUMBER(SEARCH(IF(E$3&lt;&gt;"",E$3,"NA"),'MITRE ATT&amp;CK Mappings'!$J731))), 'MITRE ATT&amp;CK Mappings'!$B731,"")</f>
        <v/>
      </c>
      <c r="F735" s="27" t="str">
        <f>IF(OR(OR(OR(OR(OR(ISNUMBER(SEARCH(IF(F$1&lt;&gt;"",F$1,"NA"),'MITRE ATT&amp;CK Mappings'!$E731)),ISNUMBER(SEARCH(IF(F$1&lt;&gt;"",F$1,"NA"),'MITRE ATT&amp;CK Mappings'!$F731))),ISNUMBER(SEARCH(IF(F$2&lt;&gt;"",F$2,"NA"),'MITRE ATT&amp;CK Mappings'!$G731))),ISNUMBER(SEARCH(IF(F$2&lt;&gt;"",F$2,"NA"),'MITRE ATT&amp;CK Mappings'!$H731))),ISNUMBER(SEARCH(IF(F$3&lt;&gt;"",F$3,"NA"),'MITRE ATT&amp;CK Mappings'!$I731))),ISNUMBER(SEARCH(IF(F$3&lt;&gt;"",F$3,"NA"),'MITRE ATT&amp;CK Mappings'!$J731))), 'MITRE ATT&amp;CK Mappings'!$B731,"")</f>
        <v/>
      </c>
      <c r="G735" s="27" t="str">
        <f>IF(OR(OR(OR(OR(OR(ISNUMBER(SEARCH(IF(G$1&lt;&gt;"",G$1,"NA"),'MITRE ATT&amp;CK Mappings'!$E731)),ISNUMBER(SEARCH(IF(G$1&lt;&gt;"",G$1,"NA"),'MITRE ATT&amp;CK Mappings'!$F731))),ISNUMBER(SEARCH(IF(G$2&lt;&gt;"",G$2,"NA"),'MITRE ATT&amp;CK Mappings'!$G731))),ISNUMBER(SEARCH(IF(G$2&lt;&gt;"",G$2,"NA"),'MITRE ATT&amp;CK Mappings'!$H731))),ISNUMBER(SEARCH(IF(G$3&lt;&gt;"",G$3,"NA"),'MITRE ATT&amp;CK Mappings'!$I731))),ISNUMBER(SEARCH(IF(G$3&lt;&gt;"",G$3,"NA"),'MITRE ATT&amp;CK Mappings'!$J731))), 'MITRE ATT&amp;CK Mappings'!$B731,"")</f>
        <v/>
      </c>
      <c r="H735" s="27" t="str">
        <f>IF(OR(OR(OR(OR(OR(ISNUMBER(SEARCH(IF(H$1&lt;&gt;"",H$1,"NA"),'MITRE ATT&amp;CK Mappings'!$E731)),ISNUMBER(SEARCH(IF(H$1&lt;&gt;"",H$1,"NA"),'MITRE ATT&amp;CK Mappings'!$F731))),ISNUMBER(SEARCH(IF(H$2&lt;&gt;"",H$2,"NA"),'MITRE ATT&amp;CK Mappings'!$G731))),ISNUMBER(SEARCH(IF(H$2&lt;&gt;"",H$2,"NA"),'MITRE ATT&amp;CK Mappings'!$H731))),ISNUMBER(SEARCH(IF(H$3&lt;&gt;"",H$3,"NA"),'MITRE ATT&amp;CK Mappings'!$I731))),ISNUMBER(SEARCH(IF(H$3&lt;&gt;"",H$3,"NA"),'MITRE ATT&amp;CK Mappings'!$J731))), 'MITRE ATT&amp;CK Mappings'!$B731,"")</f>
        <v/>
      </c>
      <c r="I735" s="27" t="str">
        <f>IF(OR(OR(OR(OR(OR(ISNUMBER(SEARCH(IF(I$1&lt;&gt;"",I$1,"NA"),'MITRE ATT&amp;CK Mappings'!$E731)),ISNUMBER(SEARCH(IF(I$1&lt;&gt;"",I$1,"NA"),'MITRE ATT&amp;CK Mappings'!$F731))),ISNUMBER(SEARCH(IF(I$2&lt;&gt;"",I$2,"NA"),'MITRE ATT&amp;CK Mappings'!$G731))),ISNUMBER(SEARCH(IF(I$2&lt;&gt;"",I$2,"NA"),'MITRE ATT&amp;CK Mappings'!$H731))),ISNUMBER(SEARCH(IF(I$3&lt;&gt;"",I$3,"NA"),'MITRE ATT&amp;CK Mappings'!$I731))),ISNUMBER(SEARCH(IF(I$3&lt;&gt;"",I$3,"NA"),'MITRE ATT&amp;CK Mappings'!$J731))), 'MITRE ATT&amp;CK Mappings'!$B731,"")</f>
        <v/>
      </c>
      <c r="J735" s="27" t="str">
        <f>IF(OR(OR(OR(OR(OR(ISNUMBER(SEARCH(IF(J$1&lt;&gt;"",J$1,"NA"),'MITRE ATT&amp;CK Mappings'!$E731)),ISNUMBER(SEARCH(IF(J$1&lt;&gt;"",J$1,"NA"),'MITRE ATT&amp;CK Mappings'!$F731))),ISNUMBER(SEARCH(IF(J$2&lt;&gt;"",J$2,"NA"),'MITRE ATT&amp;CK Mappings'!$G731))),ISNUMBER(SEARCH(IF(J$2&lt;&gt;"",J$2,"NA"),'MITRE ATT&amp;CK Mappings'!$H731))),ISNUMBER(SEARCH(IF(J$3&lt;&gt;"",J$3,"NA"),'MITRE ATT&amp;CK Mappings'!$I731))),ISNUMBER(SEARCH(IF(J$3&lt;&gt;"",J$3,"NA"),'MITRE ATT&amp;CK Mappings'!$J731))), 'MITRE ATT&amp;CK Mappings'!$B731,"")</f>
        <v/>
      </c>
      <c r="K735" s="27" t="str">
        <f>IF(OR(OR(OR(OR(OR(ISNUMBER(SEARCH(IF(K$1&lt;&gt;"",K$1,"NA"),'MITRE ATT&amp;CK Mappings'!$E731)),ISNUMBER(SEARCH(IF(K$1&lt;&gt;"",K$1,"NA"),'MITRE ATT&amp;CK Mappings'!$F731))),ISNUMBER(SEARCH(IF(K$2&lt;&gt;"",K$2,"NA"),'MITRE ATT&amp;CK Mappings'!$G731))),ISNUMBER(SEARCH(IF(K$2&lt;&gt;"",K$2,"NA"),'MITRE ATT&amp;CK Mappings'!$H731))),ISNUMBER(SEARCH(IF(K$3&lt;&gt;"",K$3,"NA"),'MITRE ATT&amp;CK Mappings'!$I731))),ISNUMBER(SEARCH(IF(K$3&lt;&gt;"",K$3,"NA"),'MITRE ATT&amp;CK Mappings'!$J731))), 'MITRE ATT&amp;CK Mappings'!$B731,"")</f>
        <v/>
      </c>
      <c r="L735" s="27" t="str">
        <f>IF('MITRE ATT&amp;CK Mappings'!D731 &lt;&gt;"",'MITRE ATT&amp;CK Mappings'!D731,"" )</f>
        <v/>
      </c>
    </row>
    <row r="736" spans="1:12" x14ac:dyDescent="0.25">
      <c r="A736" s="26" t="str">
        <f>IF(COUNTIF(B736:K736,"="&amp;'MITRE ATT&amp;CK Mappings'!B732)&gt;0,'MITRE ATT&amp;CK Mappings'!B732,"")</f>
        <v/>
      </c>
      <c r="B736" s="26" t="str">
        <f>IF(OR(OR(OR(OR(OR(ISNUMBER(SEARCH(IF(B$1&lt;&gt;"",B$1,"NA"),'MITRE ATT&amp;CK Mappings'!$E732)),ISNUMBER(SEARCH(IF(B$1&lt;&gt;"",B$1,"NA"),'MITRE ATT&amp;CK Mappings'!$F732))),ISNUMBER(SEARCH(IF(B$2&lt;&gt;"",B$2,"NA"),'MITRE ATT&amp;CK Mappings'!$G732))),ISNUMBER(SEARCH(IF(B$2&lt;&gt;"",B$2,"NA"),'MITRE ATT&amp;CK Mappings'!$H732))),ISNUMBER(SEARCH(IF(B$3&lt;&gt;"",B$3,"NA"),'MITRE ATT&amp;CK Mappings'!$I732))),ISNUMBER(SEARCH(IF(B$3&lt;&gt;"",B$3,"NA"),'MITRE ATT&amp;CK Mappings'!$J732))), 'MITRE ATT&amp;CK Mappings'!$B732,"")</f>
        <v/>
      </c>
      <c r="C736" s="26" t="str">
        <f>IF(OR(OR(OR(OR(OR(ISNUMBER(SEARCH(IF(C$1&lt;&gt;"",C$1,"NA"),'MITRE ATT&amp;CK Mappings'!$E732)),ISNUMBER(SEARCH(IF(C$1&lt;&gt;"",C$1,"NA"),'MITRE ATT&amp;CK Mappings'!$F732))),ISNUMBER(SEARCH(IF(C$2&lt;&gt;"",C$2,"NA"),'MITRE ATT&amp;CK Mappings'!$G732))),ISNUMBER(SEARCH(IF(C$2&lt;&gt;"",C$2,"NA"),'MITRE ATT&amp;CK Mappings'!$H732))),ISNUMBER(SEARCH(IF(C$3&lt;&gt;"",C$3,"NA"),'MITRE ATT&amp;CK Mappings'!$I732))),ISNUMBER(SEARCH(IF(C$3&lt;&gt;"",C$3,"NA"),'MITRE ATT&amp;CK Mappings'!$J732))), 'MITRE ATT&amp;CK Mappings'!$B732,"")</f>
        <v/>
      </c>
      <c r="D736" s="26" t="str">
        <f>IF(OR(OR(OR(OR(OR(ISNUMBER(SEARCH(IF(D$1&lt;&gt;"",D$1,"NA"),'MITRE ATT&amp;CK Mappings'!$E732)),ISNUMBER(SEARCH(IF(D$1&lt;&gt;"",D$1,"NA"),'MITRE ATT&amp;CK Mappings'!$F732))),ISNUMBER(SEARCH(IF(D$2&lt;&gt;"",D$2,"NA"),'MITRE ATT&amp;CK Mappings'!$G732))),ISNUMBER(SEARCH(IF(D$2&lt;&gt;"",D$2,"NA"),'MITRE ATT&amp;CK Mappings'!$H732))),ISNUMBER(SEARCH(IF(D$3&lt;&gt;"",D$3,"NA"),'MITRE ATT&amp;CK Mappings'!$I732))),ISNUMBER(SEARCH(IF(D$3&lt;&gt;"",D$3,"NA"),'MITRE ATT&amp;CK Mappings'!$J732))), 'MITRE ATT&amp;CK Mappings'!$B732,"")</f>
        <v/>
      </c>
      <c r="E736" s="26" t="str">
        <f>IF(OR(OR(OR(OR(OR(ISNUMBER(SEARCH(IF(E$1&lt;&gt;"",E$1,"NA"),'MITRE ATT&amp;CK Mappings'!$E732)),ISNUMBER(SEARCH(IF(E$1&lt;&gt;"",E$1,"NA"),'MITRE ATT&amp;CK Mappings'!$F732))),ISNUMBER(SEARCH(IF(E$2&lt;&gt;"",E$2,"NA"),'MITRE ATT&amp;CK Mappings'!$G732))),ISNUMBER(SEARCH(IF(E$2&lt;&gt;"",E$2,"NA"),'MITRE ATT&amp;CK Mappings'!$H732))),ISNUMBER(SEARCH(IF(E$3&lt;&gt;"",E$3,"NA"),'MITRE ATT&amp;CK Mappings'!$I732))),ISNUMBER(SEARCH(IF(E$3&lt;&gt;"",E$3,"NA"),'MITRE ATT&amp;CK Mappings'!$J732))), 'MITRE ATT&amp;CK Mappings'!$B732,"")</f>
        <v/>
      </c>
      <c r="F736" s="26" t="str">
        <f>IF(OR(OR(OR(OR(OR(ISNUMBER(SEARCH(IF(F$1&lt;&gt;"",F$1,"NA"),'MITRE ATT&amp;CK Mappings'!$E732)),ISNUMBER(SEARCH(IF(F$1&lt;&gt;"",F$1,"NA"),'MITRE ATT&amp;CK Mappings'!$F732))),ISNUMBER(SEARCH(IF(F$2&lt;&gt;"",F$2,"NA"),'MITRE ATT&amp;CK Mappings'!$G732))),ISNUMBER(SEARCH(IF(F$2&lt;&gt;"",F$2,"NA"),'MITRE ATT&amp;CK Mappings'!$H732))),ISNUMBER(SEARCH(IF(F$3&lt;&gt;"",F$3,"NA"),'MITRE ATT&amp;CK Mappings'!$I732))),ISNUMBER(SEARCH(IF(F$3&lt;&gt;"",F$3,"NA"),'MITRE ATT&amp;CK Mappings'!$J732))), 'MITRE ATT&amp;CK Mappings'!$B732,"")</f>
        <v/>
      </c>
      <c r="G736" s="26" t="str">
        <f>IF(OR(OR(OR(OR(OR(ISNUMBER(SEARCH(IF(G$1&lt;&gt;"",G$1,"NA"),'MITRE ATT&amp;CK Mappings'!$E732)),ISNUMBER(SEARCH(IF(G$1&lt;&gt;"",G$1,"NA"),'MITRE ATT&amp;CK Mappings'!$F732))),ISNUMBER(SEARCH(IF(G$2&lt;&gt;"",G$2,"NA"),'MITRE ATT&amp;CK Mappings'!$G732))),ISNUMBER(SEARCH(IF(G$2&lt;&gt;"",G$2,"NA"),'MITRE ATT&amp;CK Mappings'!$H732))),ISNUMBER(SEARCH(IF(G$3&lt;&gt;"",G$3,"NA"),'MITRE ATT&amp;CK Mappings'!$I732))),ISNUMBER(SEARCH(IF(G$3&lt;&gt;"",G$3,"NA"),'MITRE ATT&amp;CK Mappings'!$J732))), 'MITRE ATT&amp;CK Mappings'!$B732,"")</f>
        <v/>
      </c>
      <c r="H736" s="26" t="str">
        <f>IF(OR(OR(OR(OR(OR(ISNUMBER(SEARCH(IF(H$1&lt;&gt;"",H$1,"NA"),'MITRE ATT&amp;CK Mappings'!$E732)),ISNUMBER(SEARCH(IF(H$1&lt;&gt;"",H$1,"NA"),'MITRE ATT&amp;CK Mappings'!$F732))),ISNUMBER(SEARCH(IF(H$2&lt;&gt;"",H$2,"NA"),'MITRE ATT&amp;CK Mappings'!$G732))),ISNUMBER(SEARCH(IF(H$2&lt;&gt;"",H$2,"NA"),'MITRE ATT&amp;CK Mappings'!$H732))),ISNUMBER(SEARCH(IF(H$3&lt;&gt;"",H$3,"NA"),'MITRE ATT&amp;CK Mappings'!$I732))),ISNUMBER(SEARCH(IF(H$3&lt;&gt;"",H$3,"NA"),'MITRE ATT&amp;CK Mappings'!$J732))), 'MITRE ATT&amp;CK Mappings'!$B732,"")</f>
        <v/>
      </c>
      <c r="I736" s="26" t="str">
        <f>IF(OR(OR(OR(OR(OR(ISNUMBER(SEARCH(IF(I$1&lt;&gt;"",I$1,"NA"),'MITRE ATT&amp;CK Mappings'!$E732)),ISNUMBER(SEARCH(IF(I$1&lt;&gt;"",I$1,"NA"),'MITRE ATT&amp;CK Mappings'!$F732))),ISNUMBER(SEARCH(IF(I$2&lt;&gt;"",I$2,"NA"),'MITRE ATT&amp;CK Mappings'!$G732))),ISNUMBER(SEARCH(IF(I$2&lt;&gt;"",I$2,"NA"),'MITRE ATT&amp;CK Mappings'!$H732))),ISNUMBER(SEARCH(IF(I$3&lt;&gt;"",I$3,"NA"),'MITRE ATT&amp;CK Mappings'!$I732))),ISNUMBER(SEARCH(IF(I$3&lt;&gt;"",I$3,"NA"),'MITRE ATT&amp;CK Mappings'!$J732))), 'MITRE ATT&amp;CK Mappings'!$B732,"")</f>
        <v/>
      </c>
      <c r="J736" s="26" t="str">
        <f>IF(OR(OR(OR(OR(OR(ISNUMBER(SEARCH(IF(J$1&lt;&gt;"",J$1,"NA"),'MITRE ATT&amp;CK Mappings'!$E732)),ISNUMBER(SEARCH(IF(J$1&lt;&gt;"",J$1,"NA"),'MITRE ATT&amp;CK Mappings'!$F732))),ISNUMBER(SEARCH(IF(J$2&lt;&gt;"",J$2,"NA"),'MITRE ATT&amp;CK Mappings'!$G732))),ISNUMBER(SEARCH(IF(J$2&lt;&gt;"",J$2,"NA"),'MITRE ATT&amp;CK Mappings'!$H732))),ISNUMBER(SEARCH(IF(J$3&lt;&gt;"",J$3,"NA"),'MITRE ATT&amp;CK Mappings'!$I732))),ISNUMBER(SEARCH(IF(J$3&lt;&gt;"",J$3,"NA"),'MITRE ATT&amp;CK Mappings'!$J732))), 'MITRE ATT&amp;CK Mappings'!$B732,"")</f>
        <v/>
      </c>
      <c r="K736" s="26" t="str">
        <f>IF(OR(OR(OR(OR(OR(ISNUMBER(SEARCH(IF(K$1&lt;&gt;"",K$1,"NA"),'MITRE ATT&amp;CK Mappings'!$E732)),ISNUMBER(SEARCH(IF(K$1&lt;&gt;"",K$1,"NA"),'MITRE ATT&amp;CK Mappings'!$F732))),ISNUMBER(SEARCH(IF(K$2&lt;&gt;"",K$2,"NA"),'MITRE ATT&amp;CK Mappings'!$G732))),ISNUMBER(SEARCH(IF(K$2&lt;&gt;"",K$2,"NA"),'MITRE ATT&amp;CK Mappings'!$H732))),ISNUMBER(SEARCH(IF(K$3&lt;&gt;"",K$3,"NA"),'MITRE ATT&amp;CK Mappings'!$I732))),ISNUMBER(SEARCH(IF(K$3&lt;&gt;"",K$3,"NA"),'MITRE ATT&amp;CK Mappings'!$J732))), 'MITRE ATT&amp;CK Mappings'!$B732,"")</f>
        <v/>
      </c>
      <c r="L736" s="26" t="str">
        <f>IF('MITRE ATT&amp;CK Mappings'!D732 &lt;&gt;"",'MITRE ATT&amp;CK Mappings'!D732,"" )</f>
        <v/>
      </c>
    </row>
    <row r="737" spans="1:12" x14ac:dyDescent="0.25">
      <c r="A737" s="27" t="str">
        <f>IF(COUNTIF(B737:K737,"="&amp;'MITRE ATT&amp;CK Mappings'!B733)&gt;0,'MITRE ATT&amp;CK Mappings'!B733,"")</f>
        <v/>
      </c>
      <c r="B737" s="27" t="str">
        <f>IF(OR(OR(OR(OR(OR(ISNUMBER(SEARCH(IF(B$1&lt;&gt;"",B$1,"NA"),'MITRE ATT&amp;CK Mappings'!$E733)),ISNUMBER(SEARCH(IF(B$1&lt;&gt;"",B$1,"NA"),'MITRE ATT&amp;CK Mappings'!$F733))),ISNUMBER(SEARCH(IF(B$2&lt;&gt;"",B$2,"NA"),'MITRE ATT&amp;CK Mappings'!$G733))),ISNUMBER(SEARCH(IF(B$2&lt;&gt;"",B$2,"NA"),'MITRE ATT&amp;CK Mappings'!$H733))),ISNUMBER(SEARCH(IF(B$3&lt;&gt;"",B$3,"NA"),'MITRE ATT&amp;CK Mappings'!$I733))),ISNUMBER(SEARCH(IF(B$3&lt;&gt;"",B$3,"NA"),'MITRE ATT&amp;CK Mappings'!$J733))), 'MITRE ATT&amp;CK Mappings'!$B733,"")</f>
        <v/>
      </c>
      <c r="C737" s="27" t="str">
        <f>IF(OR(OR(OR(OR(OR(ISNUMBER(SEARCH(IF(C$1&lt;&gt;"",C$1,"NA"),'MITRE ATT&amp;CK Mappings'!$E733)),ISNUMBER(SEARCH(IF(C$1&lt;&gt;"",C$1,"NA"),'MITRE ATT&amp;CK Mappings'!$F733))),ISNUMBER(SEARCH(IF(C$2&lt;&gt;"",C$2,"NA"),'MITRE ATT&amp;CK Mappings'!$G733))),ISNUMBER(SEARCH(IF(C$2&lt;&gt;"",C$2,"NA"),'MITRE ATT&amp;CK Mappings'!$H733))),ISNUMBER(SEARCH(IF(C$3&lt;&gt;"",C$3,"NA"),'MITRE ATT&amp;CK Mappings'!$I733))),ISNUMBER(SEARCH(IF(C$3&lt;&gt;"",C$3,"NA"),'MITRE ATT&amp;CK Mappings'!$J733))), 'MITRE ATT&amp;CK Mappings'!$B733,"")</f>
        <v/>
      </c>
      <c r="D737" s="27" t="str">
        <f>IF(OR(OR(OR(OR(OR(ISNUMBER(SEARCH(IF(D$1&lt;&gt;"",D$1,"NA"),'MITRE ATT&amp;CK Mappings'!$E733)),ISNUMBER(SEARCH(IF(D$1&lt;&gt;"",D$1,"NA"),'MITRE ATT&amp;CK Mappings'!$F733))),ISNUMBER(SEARCH(IF(D$2&lt;&gt;"",D$2,"NA"),'MITRE ATT&amp;CK Mappings'!$G733))),ISNUMBER(SEARCH(IF(D$2&lt;&gt;"",D$2,"NA"),'MITRE ATT&amp;CK Mappings'!$H733))),ISNUMBER(SEARCH(IF(D$3&lt;&gt;"",D$3,"NA"),'MITRE ATT&amp;CK Mappings'!$I733))),ISNUMBER(SEARCH(IF(D$3&lt;&gt;"",D$3,"NA"),'MITRE ATT&amp;CK Mappings'!$J733))), 'MITRE ATT&amp;CK Mappings'!$B733,"")</f>
        <v/>
      </c>
      <c r="E737" s="27" t="str">
        <f>IF(OR(OR(OR(OR(OR(ISNUMBER(SEARCH(IF(E$1&lt;&gt;"",E$1,"NA"),'MITRE ATT&amp;CK Mappings'!$E733)),ISNUMBER(SEARCH(IF(E$1&lt;&gt;"",E$1,"NA"),'MITRE ATT&amp;CK Mappings'!$F733))),ISNUMBER(SEARCH(IF(E$2&lt;&gt;"",E$2,"NA"),'MITRE ATT&amp;CK Mappings'!$G733))),ISNUMBER(SEARCH(IF(E$2&lt;&gt;"",E$2,"NA"),'MITRE ATT&amp;CK Mappings'!$H733))),ISNUMBER(SEARCH(IF(E$3&lt;&gt;"",E$3,"NA"),'MITRE ATT&amp;CK Mappings'!$I733))),ISNUMBER(SEARCH(IF(E$3&lt;&gt;"",E$3,"NA"),'MITRE ATT&amp;CK Mappings'!$J733))), 'MITRE ATT&amp;CK Mappings'!$B733,"")</f>
        <v/>
      </c>
      <c r="F737" s="27" t="str">
        <f>IF(OR(OR(OR(OR(OR(ISNUMBER(SEARCH(IF(F$1&lt;&gt;"",F$1,"NA"),'MITRE ATT&amp;CK Mappings'!$E733)),ISNUMBER(SEARCH(IF(F$1&lt;&gt;"",F$1,"NA"),'MITRE ATT&amp;CK Mappings'!$F733))),ISNUMBER(SEARCH(IF(F$2&lt;&gt;"",F$2,"NA"),'MITRE ATT&amp;CK Mappings'!$G733))),ISNUMBER(SEARCH(IF(F$2&lt;&gt;"",F$2,"NA"),'MITRE ATT&amp;CK Mappings'!$H733))),ISNUMBER(SEARCH(IF(F$3&lt;&gt;"",F$3,"NA"),'MITRE ATT&amp;CK Mappings'!$I733))),ISNUMBER(SEARCH(IF(F$3&lt;&gt;"",F$3,"NA"),'MITRE ATT&amp;CK Mappings'!$J733))), 'MITRE ATT&amp;CK Mappings'!$B733,"")</f>
        <v/>
      </c>
      <c r="G737" s="27" t="str">
        <f>IF(OR(OR(OR(OR(OR(ISNUMBER(SEARCH(IF(G$1&lt;&gt;"",G$1,"NA"),'MITRE ATT&amp;CK Mappings'!$E733)),ISNUMBER(SEARCH(IF(G$1&lt;&gt;"",G$1,"NA"),'MITRE ATT&amp;CK Mappings'!$F733))),ISNUMBER(SEARCH(IF(G$2&lt;&gt;"",G$2,"NA"),'MITRE ATT&amp;CK Mappings'!$G733))),ISNUMBER(SEARCH(IF(G$2&lt;&gt;"",G$2,"NA"),'MITRE ATT&amp;CK Mappings'!$H733))),ISNUMBER(SEARCH(IF(G$3&lt;&gt;"",G$3,"NA"),'MITRE ATT&amp;CK Mappings'!$I733))),ISNUMBER(SEARCH(IF(G$3&lt;&gt;"",G$3,"NA"),'MITRE ATT&amp;CK Mappings'!$J733))), 'MITRE ATT&amp;CK Mappings'!$B733,"")</f>
        <v/>
      </c>
      <c r="H737" s="27" t="str">
        <f>IF(OR(OR(OR(OR(OR(ISNUMBER(SEARCH(IF(H$1&lt;&gt;"",H$1,"NA"),'MITRE ATT&amp;CK Mappings'!$E733)),ISNUMBER(SEARCH(IF(H$1&lt;&gt;"",H$1,"NA"),'MITRE ATT&amp;CK Mappings'!$F733))),ISNUMBER(SEARCH(IF(H$2&lt;&gt;"",H$2,"NA"),'MITRE ATT&amp;CK Mappings'!$G733))),ISNUMBER(SEARCH(IF(H$2&lt;&gt;"",H$2,"NA"),'MITRE ATT&amp;CK Mappings'!$H733))),ISNUMBER(SEARCH(IF(H$3&lt;&gt;"",H$3,"NA"),'MITRE ATT&amp;CK Mappings'!$I733))),ISNUMBER(SEARCH(IF(H$3&lt;&gt;"",H$3,"NA"),'MITRE ATT&amp;CK Mappings'!$J733))), 'MITRE ATT&amp;CK Mappings'!$B733,"")</f>
        <v/>
      </c>
      <c r="I737" s="27" t="str">
        <f>IF(OR(OR(OR(OR(OR(ISNUMBER(SEARCH(IF(I$1&lt;&gt;"",I$1,"NA"),'MITRE ATT&amp;CK Mappings'!$E733)),ISNUMBER(SEARCH(IF(I$1&lt;&gt;"",I$1,"NA"),'MITRE ATT&amp;CK Mappings'!$F733))),ISNUMBER(SEARCH(IF(I$2&lt;&gt;"",I$2,"NA"),'MITRE ATT&amp;CK Mappings'!$G733))),ISNUMBER(SEARCH(IF(I$2&lt;&gt;"",I$2,"NA"),'MITRE ATT&amp;CK Mappings'!$H733))),ISNUMBER(SEARCH(IF(I$3&lt;&gt;"",I$3,"NA"),'MITRE ATT&amp;CK Mappings'!$I733))),ISNUMBER(SEARCH(IF(I$3&lt;&gt;"",I$3,"NA"),'MITRE ATT&amp;CK Mappings'!$J733))), 'MITRE ATT&amp;CK Mappings'!$B733,"")</f>
        <v/>
      </c>
      <c r="J737" s="27" t="str">
        <f>IF(OR(OR(OR(OR(OR(ISNUMBER(SEARCH(IF(J$1&lt;&gt;"",J$1,"NA"),'MITRE ATT&amp;CK Mappings'!$E733)),ISNUMBER(SEARCH(IF(J$1&lt;&gt;"",J$1,"NA"),'MITRE ATT&amp;CK Mappings'!$F733))),ISNUMBER(SEARCH(IF(J$2&lt;&gt;"",J$2,"NA"),'MITRE ATT&amp;CK Mappings'!$G733))),ISNUMBER(SEARCH(IF(J$2&lt;&gt;"",J$2,"NA"),'MITRE ATT&amp;CK Mappings'!$H733))),ISNUMBER(SEARCH(IF(J$3&lt;&gt;"",J$3,"NA"),'MITRE ATT&amp;CK Mappings'!$I733))),ISNUMBER(SEARCH(IF(J$3&lt;&gt;"",J$3,"NA"),'MITRE ATT&amp;CK Mappings'!$J733))), 'MITRE ATT&amp;CK Mappings'!$B733,"")</f>
        <v/>
      </c>
      <c r="K737" s="27" t="str">
        <f>IF(OR(OR(OR(OR(OR(ISNUMBER(SEARCH(IF(K$1&lt;&gt;"",K$1,"NA"),'MITRE ATT&amp;CK Mappings'!$E733)),ISNUMBER(SEARCH(IF(K$1&lt;&gt;"",K$1,"NA"),'MITRE ATT&amp;CK Mappings'!$F733))),ISNUMBER(SEARCH(IF(K$2&lt;&gt;"",K$2,"NA"),'MITRE ATT&amp;CK Mappings'!$G733))),ISNUMBER(SEARCH(IF(K$2&lt;&gt;"",K$2,"NA"),'MITRE ATT&amp;CK Mappings'!$H733))),ISNUMBER(SEARCH(IF(K$3&lt;&gt;"",K$3,"NA"),'MITRE ATT&amp;CK Mappings'!$I733))),ISNUMBER(SEARCH(IF(K$3&lt;&gt;"",K$3,"NA"),'MITRE ATT&amp;CK Mappings'!$J733))), 'MITRE ATT&amp;CK Mappings'!$B733,"")</f>
        <v/>
      </c>
      <c r="L737" s="27" t="str">
        <f>IF('MITRE ATT&amp;CK Mappings'!D733 &lt;&gt;"",'MITRE ATT&amp;CK Mappings'!D733,"" )</f>
        <v/>
      </c>
    </row>
    <row r="738" spans="1:12" x14ac:dyDescent="0.25">
      <c r="A738" s="26" t="str">
        <f>IF(COUNTIF(B738:K738,"="&amp;'MITRE ATT&amp;CK Mappings'!B734)&gt;0,'MITRE ATT&amp;CK Mappings'!B734,"")</f>
        <v/>
      </c>
      <c r="B738" s="26" t="str">
        <f>IF(OR(OR(OR(OR(OR(ISNUMBER(SEARCH(IF(B$1&lt;&gt;"",B$1,"NA"),'MITRE ATT&amp;CK Mappings'!$E734)),ISNUMBER(SEARCH(IF(B$1&lt;&gt;"",B$1,"NA"),'MITRE ATT&amp;CK Mappings'!$F734))),ISNUMBER(SEARCH(IF(B$2&lt;&gt;"",B$2,"NA"),'MITRE ATT&amp;CK Mappings'!$G734))),ISNUMBER(SEARCH(IF(B$2&lt;&gt;"",B$2,"NA"),'MITRE ATT&amp;CK Mappings'!$H734))),ISNUMBER(SEARCH(IF(B$3&lt;&gt;"",B$3,"NA"),'MITRE ATT&amp;CK Mappings'!$I734))),ISNUMBER(SEARCH(IF(B$3&lt;&gt;"",B$3,"NA"),'MITRE ATT&amp;CK Mappings'!$J734))), 'MITRE ATT&amp;CK Mappings'!$B734,"")</f>
        <v/>
      </c>
      <c r="C738" s="26" t="str">
        <f>IF(OR(OR(OR(OR(OR(ISNUMBER(SEARCH(IF(C$1&lt;&gt;"",C$1,"NA"),'MITRE ATT&amp;CK Mappings'!$E734)),ISNUMBER(SEARCH(IF(C$1&lt;&gt;"",C$1,"NA"),'MITRE ATT&amp;CK Mappings'!$F734))),ISNUMBER(SEARCH(IF(C$2&lt;&gt;"",C$2,"NA"),'MITRE ATT&amp;CK Mappings'!$G734))),ISNUMBER(SEARCH(IF(C$2&lt;&gt;"",C$2,"NA"),'MITRE ATT&amp;CK Mappings'!$H734))),ISNUMBER(SEARCH(IF(C$3&lt;&gt;"",C$3,"NA"),'MITRE ATT&amp;CK Mappings'!$I734))),ISNUMBER(SEARCH(IF(C$3&lt;&gt;"",C$3,"NA"),'MITRE ATT&amp;CK Mappings'!$J734))), 'MITRE ATT&amp;CK Mappings'!$B734,"")</f>
        <v/>
      </c>
      <c r="D738" s="26" t="str">
        <f>IF(OR(OR(OR(OR(OR(ISNUMBER(SEARCH(IF(D$1&lt;&gt;"",D$1,"NA"),'MITRE ATT&amp;CK Mappings'!$E734)),ISNUMBER(SEARCH(IF(D$1&lt;&gt;"",D$1,"NA"),'MITRE ATT&amp;CK Mappings'!$F734))),ISNUMBER(SEARCH(IF(D$2&lt;&gt;"",D$2,"NA"),'MITRE ATT&amp;CK Mappings'!$G734))),ISNUMBER(SEARCH(IF(D$2&lt;&gt;"",D$2,"NA"),'MITRE ATT&amp;CK Mappings'!$H734))),ISNUMBER(SEARCH(IF(D$3&lt;&gt;"",D$3,"NA"),'MITRE ATT&amp;CK Mappings'!$I734))),ISNUMBER(SEARCH(IF(D$3&lt;&gt;"",D$3,"NA"),'MITRE ATT&amp;CK Mappings'!$J734))), 'MITRE ATT&amp;CK Mappings'!$B734,"")</f>
        <v/>
      </c>
      <c r="E738" s="26" t="str">
        <f>IF(OR(OR(OR(OR(OR(ISNUMBER(SEARCH(IF(E$1&lt;&gt;"",E$1,"NA"),'MITRE ATT&amp;CK Mappings'!$E734)),ISNUMBER(SEARCH(IF(E$1&lt;&gt;"",E$1,"NA"),'MITRE ATT&amp;CK Mappings'!$F734))),ISNUMBER(SEARCH(IF(E$2&lt;&gt;"",E$2,"NA"),'MITRE ATT&amp;CK Mappings'!$G734))),ISNUMBER(SEARCH(IF(E$2&lt;&gt;"",E$2,"NA"),'MITRE ATT&amp;CK Mappings'!$H734))),ISNUMBER(SEARCH(IF(E$3&lt;&gt;"",E$3,"NA"),'MITRE ATT&amp;CK Mappings'!$I734))),ISNUMBER(SEARCH(IF(E$3&lt;&gt;"",E$3,"NA"),'MITRE ATT&amp;CK Mappings'!$J734))), 'MITRE ATT&amp;CK Mappings'!$B734,"")</f>
        <v/>
      </c>
      <c r="F738" s="26" t="str">
        <f>IF(OR(OR(OR(OR(OR(ISNUMBER(SEARCH(IF(F$1&lt;&gt;"",F$1,"NA"),'MITRE ATT&amp;CK Mappings'!$E734)),ISNUMBER(SEARCH(IF(F$1&lt;&gt;"",F$1,"NA"),'MITRE ATT&amp;CK Mappings'!$F734))),ISNUMBER(SEARCH(IF(F$2&lt;&gt;"",F$2,"NA"),'MITRE ATT&amp;CK Mappings'!$G734))),ISNUMBER(SEARCH(IF(F$2&lt;&gt;"",F$2,"NA"),'MITRE ATT&amp;CK Mappings'!$H734))),ISNUMBER(SEARCH(IF(F$3&lt;&gt;"",F$3,"NA"),'MITRE ATT&amp;CK Mappings'!$I734))),ISNUMBER(SEARCH(IF(F$3&lt;&gt;"",F$3,"NA"),'MITRE ATT&amp;CK Mappings'!$J734))), 'MITRE ATT&amp;CK Mappings'!$B734,"")</f>
        <v/>
      </c>
      <c r="G738" s="26" t="str">
        <f>IF(OR(OR(OR(OR(OR(ISNUMBER(SEARCH(IF(G$1&lt;&gt;"",G$1,"NA"),'MITRE ATT&amp;CK Mappings'!$E734)),ISNUMBER(SEARCH(IF(G$1&lt;&gt;"",G$1,"NA"),'MITRE ATT&amp;CK Mappings'!$F734))),ISNUMBER(SEARCH(IF(G$2&lt;&gt;"",G$2,"NA"),'MITRE ATT&amp;CK Mappings'!$G734))),ISNUMBER(SEARCH(IF(G$2&lt;&gt;"",G$2,"NA"),'MITRE ATT&amp;CK Mappings'!$H734))),ISNUMBER(SEARCH(IF(G$3&lt;&gt;"",G$3,"NA"),'MITRE ATT&amp;CK Mappings'!$I734))),ISNUMBER(SEARCH(IF(G$3&lt;&gt;"",G$3,"NA"),'MITRE ATT&amp;CK Mappings'!$J734))), 'MITRE ATT&amp;CK Mappings'!$B734,"")</f>
        <v/>
      </c>
      <c r="H738" s="26" t="str">
        <f>IF(OR(OR(OR(OR(OR(ISNUMBER(SEARCH(IF(H$1&lt;&gt;"",H$1,"NA"),'MITRE ATT&amp;CK Mappings'!$E734)),ISNUMBER(SEARCH(IF(H$1&lt;&gt;"",H$1,"NA"),'MITRE ATT&amp;CK Mappings'!$F734))),ISNUMBER(SEARCH(IF(H$2&lt;&gt;"",H$2,"NA"),'MITRE ATT&amp;CK Mappings'!$G734))),ISNUMBER(SEARCH(IF(H$2&lt;&gt;"",H$2,"NA"),'MITRE ATT&amp;CK Mappings'!$H734))),ISNUMBER(SEARCH(IF(H$3&lt;&gt;"",H$3,"NA"),'MITRE ATT&amp;CK Mappings'!$I734))),ISNUMBER(SEARCH(IF(H$3&lt;&gt;"",H$3,"NA"),'MITRE ATT&amp;CK Mappings'!$J734))), 'MITRE ATT&amp;CK Mappings'!$B734,"")</f>
        <v/>
      </c>
      <c r="I738" s="26" t="str">
        <f>IF(OR(OR(OR(OR(OR(ISNUMBER(SEARCH(IF(I$1&lt;&gt;"",I$1,"NA"),'MITRE ATT&amp;CK Mappings'!$E734)),ISNUMBER(SEARCH(IF(I$1&lt;&gt;"",I$1,"NA"),'MITRE ATT&amp;CK Mappings'!$F734))),ISNUMBER(SEARCH(IF(I$2&lt;&gt;"",I$2,"NA"),'MITRE ATT&amp;CK Mappings'!$G734))),ISNUMBER(SEARCH(IF(I$2&lt;&gt;"",I$2,"NA"),'MITRE ATT&amp;CK Mappings'!$H734))),ISNUMBER(SEARCH(IF(I$3&lt;&gt;"",I$3,"NA"),'MITRE ATT&amp;CK Mappings'!$I734))),ISNUMBER(SEARCH(IF(I$3&lt;&gt;"",I$3,"NA"),'MITRE ATT&amp;CK Mappings'!$J734))), 'MITRE ATT&amp;CK Mappings'!$B734,"")</f>
        <v/>
      </c>
      <c r="J738" s="26" t="str">
        <f>IF(OR(OR(OR(OR(OR(ISNUMBER(SEARCH(IF(J$1&lt;&gt;"",J$1,"NA"),'MITRE ATT&amp;CK Mappings'!$E734)),ISNUMBER(SEARCH(IF(J$1&lt;&gt;"",J$1,"NA"),'MITRE ATT&amp;CK Mappings'!$F734))),ISNUMBER(SEARCH(IF(J$2&lt;&gt;"",J$2,"NA"),'MITRE ATT&amp;CK Mappings'!$G734))),ISNUMBER(SEARCH(IF(J$2&lt;&gt;"",J$2,"NA"),'MITRE ATT&amp;CK Mappings'!$H734))),ISNUMBER(SEARCH(IF(J$3&lt;&gt;"",J$3,"NA"),'MITRE ATT&amp;CK Mappings'!$I734))),ISNUMBER(SEARCH(IF(J$3&lt;&gt;"",J$3,"NA"),'MITRE ATT&amp;CK Mappings'!$J734))), 'MITRE ATT&amp;CK Mappings'!$B734,"")</f>
        <v/>
      </c>
      <c r="K738" s="26" t="str">
        <f>IF(OR(OR(OR(OR(OR(ISNUMBER(SEARCH(IF(K$1&lt;&gt;"",K$1,"NA"),'MITRE ATT&amp;CK Mappings'!$E734)),ISNUMBER(SEARCH(IF(K$1&lt;&gt;"",K$1,"NA"),'MITRE ATT&amp;CK Mappings'!$F734))),ISNUMBER(SEARCH(IF(K$2&lt;&gt;"",K$2,"NA"),'MITRE ATT&amp;CK Mappings'!$G734))),ISNUMBER(SEARCH(IF(K$2&lt;&gt;"",K$2,"NA"),'MITRE ATT&amp;CK Mappings'!$H734))),ISNUMBER(SEARCH(IF(K$3&lt;&gt;"",K$3,"NA"),'MITRE ATT&amp;CK Mappings'!$I734))),ISNUMBER(SEARCH(IF(K$3&lt;&gt;"",K$3,"NA"),'MITRE ATT&amp;CK Mappings'!$J734))), 'MITRE ATT&amp;CK Mappings'!$B734,"")</f>
        <v/>
      </c>
      <c r="L738" s="26" t="str">
        <f>IF('MITRE ATT&amp;CK Mappings'!D734 &lt;&gt;"",'MITRE ATT&amp;CK Mappings'!D734,"" )</f>
        <v/>
      </c>
    </row>
    <row r="739" spans="1:12" x14ac:dyDescent="0.25">
      <c r="A739" s="27" t="str">
        <f>IF(COUNTIF(B739:K739,"="&amp;'MITRE ATT&amp;CK Mappings'!B735)&gt;0,'MITRE ATT&amp;CK Mappings'!B735,"")</f>
        <v/>
      </c>
      <c r="B739" s="27" t="str">
        <f>IF(OR(OR(OR(OR(OR(ISNUMBER(SEARCH(IF(B$1&lt;&gt;"",B$1,"NA"),'MITRE ATT&amp;CK Mappings'!$E735)),ISNUMBER(SEARCH(IF(B$1&lt;&gt;"",B$1,"NA"),'MITRE ATT&amp;CK Mappings'!$F735))),ISNUMBER(SEARCH(IF(B$2&lt;&gt;"",B$2,"NA"),'MITRE ATT&amp;CK Mappings'!$G735))),ISNUMBER(SEARCH(IF(B$2&lt;&gt;"",B$2,"NA"),'MITRE ATT&amp;CK Mappings'!$H735))),ISNUMBER(SEARCH(IF(B$3&lt;&gt;"",B$3,"NA"),'MITRE ATT&amp;CK Mappings'!$I735))),ISNUMBER(SEARCH(IF(B$3&lt;&gt;"",B$3,"NA"),'MITRE ATT&amp;CK Mappings'!$J735))), 'MITRE ATT&amp;CK Mappings'!$B735,"")</f>
        <v/>
      </c>
      <c r="C739" s="27" t="str">
        <f>IF(OR(OR(OR(OR(OR(ISNUMBER(SEARCH(IF(C$1&lt;&gt;"",C$1,"NA"),'MITRE ATT&amp;CK Mappings'!$E735)),ISNUMBER(SEARCH(IF(C$1&lt;&gt;"",C$1,"NA"),'MITRE ATT&amp;CK Mappings'!$F735))),ISNUMBER(SEARCH(IF(C$2&lt;&gt;"",C$2,"NA"),'MITRE ATT&amp;CK Mappings'!$G735))),ISNUMBER(SEARCH(IF(C$2&lt;&gt;"",C$2,"NA"),'MITRE ATT&amp;CK Mappings'!$H735))),ISNUMBER(SEARCH(IF(C$3&lt;&gt;"",C$3,"NA"),'MITRE ATT&amp;CK Mappings'!$I735))),ISNUMBER(SEARCH(IF(C$3&lt;&gt;"",C$3,"NA"),'MITRE ATT&amp;CK Mappings'!$J735))), 'MITRE ATT&amp;CK Mappings'!$B735,"")</f>
        <v/>
      </c>
      <c r="D739" s="27" t="str">
        <f>IF(OR(OR(OR(OR(OR(ISNUMBER(SEARCH(IF(D$1&lt;&gt;"",D$1,"NA"),'MITRE ATT&amp;CK Mappings'!$E735)),ISNUMBER(SEARCH(IF(D$1&lt;&gt;"",D$1,"NA"),'MITRE ATT&amp;CK Mappings'!$F735))),ISNUMBER(SEARCH(IF(D$2&lt;&gt;"",D$2,"NA"),'MITRE ATT&amp;CK Mappings'!$G735))),ISNUMBER(SEARCH(IF(D$2&lt;&gt;"",D$2,"NA"),'MITRE ATT&amp;CK Mappings'!$H735))),ISNUMBER(SEARCH(IF(D$3&lt;&gt;"",D$3,"NA"),'MITRE ATT&amp;CK Mappings'!$I735))),ISNUMBER(SEARCH(IF(D$3&lt;&gt;"",D$3,"NA"),'MITRE ATT&amp;CK Mappings'!$J735))), 'MITRE ATT&amp;CK Mappings'!$B735,"")</f>
        <v/>
      </c>
      <c r="E739" s="27" t="str">
        <f>IF(OR(OR(OR(OR(OR(ISNUMBER(SEARCH(IF(E$1&lt;&gt;"",E$1,"NA"),'MITRE ATT&amp;CK Mappings'!$E735)),ISNUMBER(SEARCH(IF(E$1&lt;&gt;"",E$1,"NA"),'MITRE ATT&amp;CK Mappings'!$F735))),ISNUMBER(SEARCH(IF(E$2&lt;&gt;"",E$2,"NA"),'MITRE ATT&amp;CK Mappings'!$G735))),ISNUMBER(SEARCH(IF(E$2&lt;&gt;"",E$2,"NA"),'MITRE ATT&amp;CK Mappings'!$H735))),ISNUMBER(SEARCH(IF(E$3&lt;&gt;"",E$3,"NA"),'MITRE ATT&amp;CK Mappings'!$I735))),ISNUMBER(SEARCH(IF(E$3&lt;&gt;"",E$3,"NA"),'MITRE ATT&amp;CK Mappings'!$J735))), 'MITRE ATT&amp;CK Mappings'!$B735,"")</f>
        <v/>
      </c>
      <c r="F739" s="27" t="str">
        <f>IF(OR(OR(OR(OR(OR(ISNUMBER(SEARCH(IF(F$1&lt;&gt;"",F$1,"NA"),'MITRE ATT&amp;CK Mappings'!$E735)),ISNUMBER(SEARCH(IF(F$1&lt;&gt;"",F$1,"NA"),'MITRE ATT&amp;CK Mappings'!$F735))),ISNUMBER(SEARCH(IF(F$2&lt;&gt;"",F$2,"NA"),'MITRE ATT&amp;CK Mappings'!$G735))),ISNUMBER(SEARCH(IF(F$2&lt;&gt;"",F$2,"NA"),'MITRE ATT&amp;CK Mappings'!$H735))),ISNUMBER(SEARCH(IF(F$3&lt;&gt;"",F$3,"NA"),'MITRE ATT&amp;CK Mappings'!$I735))),ISNUMBER(SEARCH(IF(F$3&lt;&gt;"",F$3,"NA"),'MITRE ATT&amp;CK Mappings'!$J735))), 'MITRE ATT&amp;CK Mappings'!$B735,"")</f>
        <v/>
      </c>
      <c r="G739" s="27" t="str">
        <f>IF(OR(OR(OR(OR(OR(ISNUMBER(SEARCH(IF(G$1&lt;&gt;"",G$1,"NA"),'MITRE ATT&amp;CK Mappings'!$E735)),ISNUMBER(SEARCH(IF(G$1&lt;&gt;"",G$1,"NA"),'MITRE ATT&amp;CK Mappings'!$F735))),ISNUMBER(SEARCH(IF(G$2&lt;&gt;"",G$2,"NA"),'MITRE ATT&amp;CK Mappings'!$G735))),ISNUMBER(SEARCH(IF(G$2&lt;&gt;"",G$2,"NA"),'MITRE ATT&amp;CK Mappings'!$H735))),ISNUMBER(SEARCH(IF(G$3&lt;&gt;"",G$3,"NA"),'MITRE ATT&amp;CK Mappings'!$I735))),ISNUMBER(SEARCH(IF(G$3&lt;&gt;"",G$3,"NA"),'MITRE ATT&amp;CK Mappings'!$J735))), 'MITRE ATT&amp;CK Mappings'!$B735,"")</f>
        <v/>
      </c>
      <c r="H739" s="27" t="str">
        <f>IF(OR(OR(OR(OR(OR(ISNUMBER(SEARCH(IF(H$1&lt;&gt;"",H$1,"NA"),'MITRE ATT&amp;CK Mappings'!$E735)),ISNUMBER(SEARCH(IF(H$1&lt;&gt;"",H$1,"NA"),'MITRE ATT&amp;CK Mappings'!$F735))),ISNUMBER(SEARCH(IF(H$2&lt;&gt;"",H$2,"NA"),'MITRE ATT&amp;CK Mappings'!$G735))),ISNUMBER(SEARCH(IF(H$2&lt;&gt;"",H$2,"NA"),'MITRE ATT&amp;CK Mappings'!$H735))),ISNUMBER(SEARCH(IF(H$3&lt;&gt;"",H$3,"NA"),'MITRE ATT&amp;CK Mappings'!$I735))),ISNUMBER(SEARCH(IF(H$3&lt;&gt;"",H$3,"NA"),'MITRE ATT&amp;CK Mappings'!$J735))), 'MITRE ATT&amp;CK Mappings'!$B735,"")</f>
        <v/>
      </c>
      <c r="I739" s="27" t="str">
        <f>IF(OR(OR(OR(OR(OR(ISNUMBER(SEARCH(IF(I$1&lt;&gt;"",I$1,"NA"),'MITRE ATT&amp;CK Mappings'!$E735)),ISNUMBER(SEARCH(IF(I$1&lt;&gt;"",I$1,"NA"),'MITRE ATT&amp;CK Mappings'!$F735))),ISNUMBER(SEARCH(IF(I$2&lt;&gt;"",I$2,"NA"),'MITRE ATT&amp;CK Mappings'!$G735))),ISNUMBER(SEARCH(IF(I$2&lt;&gt;"",I$2,"NA"),'MITRE ATT&amp;CK Mappings'!$H735))),ISNUMBER(SEARCH(IF(I$3&lt;&gt;"",I$3,"NA"),'MITRE ATT&amp;CK Mappings'!$I735))),ISNUMBER(SEARCH(IF(I$3&lt;&gt;"",I$3,"NA"),'MITRE ATT&amp;CK Mappings'!$J735))), 'MITRE ATT&amp;CK Mappings'!$B735,"")</f>
        <v/>
      </c>
      <c r="J739" s="27" t="str">
        <f>IF(OR(OR(OR(OR(OR(ISNUMBER(SEARCH(IF(J$1&lt;&gt;"",J$1,"NA"),'MITRE ATT&amp;CK Mappings'!$E735)),ISNUMBER(SEARCH(IF(J$1&lt;&gt;"",J$1,"NA"),'MITRE ATT&amp;CK Mappings'!$F735))),ISNUMBER(SEARCH(IF(J$2&lt;&gt;"",J$2,"NA"),'MITRE ATT&amp;CK Mappings'!$G735))),ISNUMBER(SEARCH(IF(J$2&lt;&gt;"",J$2,"NA"),'MITRE ATT&amp;CK Mappings'!$H735))),ISNUMBER(SEARCH(IF(J$3&lt;&gt;"",J$3,"NA"),'MITRE ATT&amp;CK Mappings'!$I735))),ISNUMBER(SEARCH(IF(J$3&lt;&gt;"",J$3,"NA"),'MITRE ATT&amp;CK Mappings'!$J735))), 'MITRE ATT&amp;CK Mappings'!$B735,"")</f>
        <v/>
      </c>
      <c r="K739" s="27" t="str">
        <f>IF(OR(OR(OR(OR(OR(ISNUMBER(SEARCH(IF(K$1&lt;&gt;"",K$1,"NA"),'MITRE ATT&amp;CK Mappings'!$E735)),ISNUMBER(SEARCH(IF(K$1&lt;&gt;"",K$1,"NA"),'MITRE ATT&amp;CK Mappings'!$F735))),ISNUMBER(SEARCH(IF(K$2&lt;&gt;"",K$2,"NA"),'MITRE ATT&amp;CK Mappings'!$G735))),ISNUMBER(SEARCH(IF(K$2&lt;&gt;"",K$2,"NA"),'MITRE ATT&amp;CK Mappings'!$H735))),ISNUMBER(SEARCH(IF(K$3&lt;&gt;"",K$3,"NA"),'MITRE ATT&amp;CK Mappings'!$I735))),ISNUMBER(SEARCH(IF(K$3&lt;&gt;"",K$3,"NA"),'MITRE ATT&amp;CK Mappings'!$J735))), 'MITRE ATT&amp;CK Mappings'!$B735,"")</f>
        <v/>
      </c>
      <c r="L739" s="27" t="str">
        <f>IF('MITRE ATT&amp;CK Mappings'!D735 &lt;&gt;"",'MITRE ATT&amp;CK Mappings'!D735,"" )</f>
        <v/>
      </c>
    </row>
    <row r="740" spans="1:12" x14ac:dyDescent="0.25">
      <c r="A740" s="26" t="str">
        <f>IF(COUNTIF(B740:K740,"="&amp;'MITRE ATT&amp;CK Mappings'!B736)&gt;0,'MITRE ATT&amp;CK Mappings'!B736,"")</f>
        <v/>
      </c>
      <c r="B740" s="26" t="str">
        <f>IF(OR(OR(OR(OR(OR(ISNUMBER(SEARCH(IF(B$1&lt;&gt;"",B$1,"NA"),'MITRE ATT&amp;CK Mappings'!$E736)),ISNUMBER(SEARCH(IF(B$1&lt;&gt;"",B$1,"NA"),'MITRE ATT&amp;CK Mappings'!$F736))),ISNUMBER(SEARCH(IF(B$2&lt;&gt;"",B$2,"NA"),'MITRE ATT&amp;CK Mappings'!$G736))),ISNUMBER(SEARCH(IF(B$2&lt;&gt;"",B$2,"NA"),'MITRE ATT&amp;CK Mappings'!$H736))),ISNUMBER(SEARCH(IF(B$3&lt;&gt;"",B$3,"NA"),'MITRE ATT&amp;CK Mappings'!$I736))),ISNUMBER(SEARCH(IF(B$3&lt;&gt;"",B$3,"NA"),'MITRE ATT&amp;CK Mappings'!$J736))), 'MITRE ATT&amp;CK Mappings'!$B736,"")</f>
        <v/>
      </c>
      <c r="C740" s="26" t="str">
        <f>IF(OR(OR(OR(OR(OR(ISNUMBER(SEARCH(IF(C$1&lt;&gt;"",C$1,"NA"),'MITRE ATT&amp;CK Mappings'!$E736)),ISNUMBER(SEARCH(IF(C$1&lt;&gt;"",C$1,"NA"),'MITRE ATT&amp;CK Mappings'!$F736))),ISNUMBER(SEARCH(IF(C$2&lt;&gt;"",C$2,"NA"),'MITRE ATT&amp;CK Mappings'!$G736))),ISNUMBER(SEARCH(IF(C$2&lt;&gt;"",C$2,"NA"),'MITRE ATT&amp;CK Mappings'!$H736))),ISNUMBER(SEARCH(IF(C$3&lt;&gt;"",C$3,"NA"),'MITRE ATT&amp;CK Mappings'!$I736))),ISNUMBER(SEARCH(IF(C$3&lt;&gt;"",C$3,"NA"),'MITRE ATT&amp;CK Mappings'!$J736))), 'MITRE ATT&amp;CK Mappings'!$B736,"")</f>
        <v/>
      </c>
      <c r="D740" s="26" t="str">
        <f>IF(OR(OR(OR(OR(OR(ISNUMBER(SEARCH(IF(D$1&lt;&gt;"",D$1,"NA"),'MITRE ATT&amp;CK Mappings'!$E736)),ISNUMBER(SEARCH(IF(D$1&lt;&gt;"",D$1,"NA"),'MITRE ATT&amp;CK Mappings'!$F736))),ISNUMBER(SEARCH(IF(D$2&lt;&gt;"",D$2,"NA"),'MITRE ATT&amp;CK Mappings'!$G736))),ISNUMBER(SEARCH(IF(D$2&lt;&gt;"",D$2,"NA"),'MITRE ATT&amp;CK Mappings'!$H736))),ISNUMBER(SEARCH(IF(D$3&lt;&gt;"",D$3,"NA"),'MITRE ATT&amp;CK Mappings'!$I736))),ISNUMBER(SEARCH(IF(D$3&lt;&gt;"",D$3,"NA"),'MITRE ATT&amp;CK Mappings'!$J736))), 'MITRE ATT&amp;CK Mappings'!$B736,"")</f>
        <v/>
      </c>
      <c r="E740" s="26" t="str">
        <f>IF(OR(OR(OR(OR(OR(ISNUMBER(SEARCH(IF(E$1&lt;&gt;"",E$1,"NA"),'MITRE ATT&amp;CK Mappings'!$E736)),ISNUMBER(SEARCH(IF(E$1&lt;&gt;"",E$1,"NA"),'MITRE ATT&amp;CK Mappings'!$F736))),ISNUMBER(SEARCH(IF(E$2&lt;&gt;"",E$2,"NA"),'MITRE ATT&amp;CK Mappings'!$G736))),ISNUMBER(SEARCH(IF(E$2&lt;&gt;"",E$2,"NA"),'MITRE ATT&amp;CK Mappings'!$H736))),ISNUMBER(SEARCH(IF(E$3&lt;&gt;"",E$3,"NA"),'MITRE ATT&amp;CK Mappings'!$I736))),ISNUMBER(SEARCH(IF(E$3&lt;&gt;"",E$3,"NA"),'MITRE ATT&amp;CK Mappings'!$J736))), 'MITRE ATT&amp;CK Mappings'!$B736,"")</f>
        <v/>
      </c>
      <c r="F740" s="26" t="str">
        <f>IF(OR(OR(OR(OR(OR(ISNUMBER(SEARCH(IF(F$1&lt;&gt;"",F$1,"NA"),'MITRE ATT&amp;CK Mappings'!$E736)),ISNUMBER(SEARCH(IF(F$1&lt;&gt;"",F$1,"NA"),'MITRE ATT&amp;CK Mappings'!$F736))),ISNUMBER(SEARCH(IF(F$2&lt;&gt;"",F$2,"NA"),'MITRE ATT&amp;CK Mappings'!$G736))),ISNUMBER(SEARCH(IF(F$2&lt;&gt;"",F$2,"NA"),'MITRE ATT&amp;CK Mappings'!$H736))),ISNUMBER(SEARCH(IF(F$3&lt;&gt;"",F$3,"NA"),'MITRE ATT&amp;CK Mappings'!$I736))),ISNUMBER(SEARCH(IF(F$3&lt;&gt;"",F$3,"NA"),'MITRE ATT&amp;CK Mappings'!$J736))), 'MITRE ATT&amp;CK Mappings'!$B736,"")</f>
        <v/>
      </c>
      <c r="G740" s="26" t="str">
        <f>IF(OR(OR(OR(OR(OR(ISNUMBER(SEARCH(IF(G$1&lt;&gt;"",G$1,"NA"),'MITRE ATT&amp;CK Mappings'!$E736)),ISNUMBER(SEARCH(IF(G$1&lt;&gt;"",G$1,"NA"),'MITRE ATT&amp;CK Mappings'!$F736))),ISNUMBER(SEARCH(IF(G$2&lt;&gt;"",G$2,"NA"),'MITRE ATT&amp;CK Mappings'!$G736))),ISNUMBER(SEARCH(IF(G$2&lt;&gt;"",G$2,"NA"),'MITRE ATT&amp;CK Mappings'!$H736))),ISNUMBER(SEARCH(IF(G$3&lt;&gt;"",G$3,"NA"),'MITRE ATT&amp;CK Mappings'!$I736))),ISNUMBER(SEARCH(IF(G$3&lt;&gt;"",G$3,"NA"),'MITRE ATT&amp;CK Mappings'!$J736))), 'MITRE ATT&amp;CK Mappings'!$B736,"")</f>
        <v/>
      </c>
      <c r="H740" s="26" t="str">
        <f>IF(OR(OR(OR(OR(OR(ISNUMBER(SEARCH(IF(H$1&lt;&gt;"",H$1,"NA"),'MITRE ATT&amp;CK Mappings'!$E736)),ISNUMBER(SEARCH(IF(H$1&lt;&gt;"",H$1,"NA"),'MITRE ATT&amp;CK Mappings'!$F736))),ISNUMBER(SEARCH(IF(H$2&lt;&gt;"",H$2,"NA"),'MITRE ATT&amp;CK Mappings'!$G736))),ISNUMBER(SEARCH(IF(H$2&lt;&gt;"",H$2,"NA"),'MITRE ATT&amp;CK Mappings'!$H736))),ISNUMBER(SEARCH(IF(H$3&lt;&gt;"",H$3,"NA"),'MITRE ATT&amp;CK Mappings'!$I736))),ISNUMBER(SEARCH(IF(H$3&lt;&gt;"",H$3,"NA"),'MITRE ATT&amp;CK Mappings'!$J736))), 'MITRE ATT&amp;CK Mappings'!$B736,"")</f>
        <v/>
      </c>
      <c r="I740" s="26" t="str">
        <f>IF(OR(OR(OR(OR(OR(ISNUMBER(SEARCH(IF(I$1&lt;&gt;"",I$1,"NA"),'MITRE ATT&amp;CK Mappings'!$E736)),ISNUMBER(SEARCH(IF(I$1&lt;&gt;"",I$1,"NA"),'MITRE ATT&amp;CK Mappings'!$F736))),ISNUMBER(SEARCH(IF(I$2&lt;&gt;"",I$2,"NA"),'MITRE ATT&amp;CK Mappings'!$G736))),ISNUMBER(SEARCH(IF(I$2&lt;&gt;"",I$2,"NA"),'MITRE ATT&amp;CK Mappings'!$H736))),ISNUMBER(SEARCH(IF(I$3&lt;&gt;"",I$3,"NA"),'MITRE ATT&amp;CK Mappings'!$I736))),ISNUMBER(SEARCH(IF(I$3&lt;&gt;"",I$3,"NA"),'MITRE ATT&amp;CK Mappings'!$J736))), 'MITRE ATT&amp;CK Mappings'!$B736,"")</f>
        <v/>
      </c>
      <c r="J740" s="26" t="str">
        <f>IF(OR(OR(OR(OR(OR(ISNUMBER(SEARCH(IF(J$1&lt;&gt;"",J$1,"NA"),'MITRE ATT&amp;CK Mappings'!$E736)),ISNUMBER(SEARCH(IF(J$1&lt;&gt;"",J$1,"NA"),'MITRE ATT&amp;CK Mappings'!$F736))),ISNUMBER(SEARCH(IF(J$2&lt;&gt;"",J$2,"NA"),'MITRE ATT&amp;CK Mappings'!$G736))),ISNUMBER(SEARCH(IF(J$2&lt;&gt;"",J$2,"NA"),'MITRE ATT&amp;CK Mappings'!$H736))),ISNUMBER(SEARCH(IF(J$3&lt;&gt;"",J$3,"NA"),'MITRE ATT&amp;CK Mappings'!$I736))),ISNUMBER(SEARCH(IF(J$3&lt;&gt;"",J$3,"NA"),'MITRE ATT&amp;CK Mappings'!$J736))), 'MITRE ATT&amp;CK Mappings'!$B736,"")</f>
        <v/>
      </c>
      <c r="K740" s="26" t="str">
        <f>IF(OR(OR(OR(OR(OR(ISNUMBER(SEARCH(IF(K$1&lt;&gt;"",K$1,"NA"),'MITRE ATT&amp;CK Mappings'!$E736)),ISNUMBER(SEARCH(IF(K$1&lt;&gt;"",K$1,"NA"),'MITRE ATT&amp;CK Mappings'!$F736))),ISNUMBER(SEARCH(IF(K$2&lt;&gt;"",K$2,"NA"),'MITRE ATT&amp;CK Mappings'!$G736))),ISNUMBER(SEARCH(IF(K$2&lt;&gt;"",K$2,"NA"),'MITRE ATT&amp;CK Mappings'!$H736))),ISNUMBER(SEARCH(IF(K$3&lt;&gt;"",K$3,"NA"),'MITRE ATT&amp;CK Mappings'!$I736))),ISNUMBER(SEARCH(IF(K$3&lt;&gt;"",K$3,"NA"),'MITRE ATT&amp;CK Mappings'!$J736))), 'MITRE ATT&amp;CK Mappings'!$B736,"")</f>
        <v/>
      </c>
      <c r="L740" s="26" t="str">
        <f>IF('MITRE ATT&amp;CK Mappings'!D736 &lt;&gt;"",'MITRE ATT&amp;CK Mappings'!D736,"" )</f>
        <v/>
      </c>
    </row>
    <row r="741" spans="1:12" x14ac:dyDescent="0.25">
      <c r="A741" s="27" t="str">
        <f>IF(COUNTIF(B741:K741,"="&amp;'MITRE ATT&amp;CK Mappings'!B737)&gt;0,'MITRE ATT&amp;CK Mappings'!B737,"")</f>
        <v/>
      </c>
      <c r="B741" s="27" t="str">
        <f>IF(OR(OR(OR(OR(OR(ISNUMBER(SEARCH(IF(B$1&lt;&gt;"",B$1,"NA"),'MITRE ATT&amp;CK Mappings'!$E737)),ISNUMBER(SEARCH(IF(B$1&lt;&gt;"",B$1,"NA"),'MITRE ATT&amp;CK Mappings'!$F737))),ISNUMBER(SEARCH(IF(B$2&lt;&gt;"",B$2,"NA"),'MITRE ATT&amp;CK Mappings'!$G737))),ISNUMBER(SEARCH(IF(B$2&lt;&gt;"",B$2,"NA"),'MITRE ATT&amp;CK Mappings'!$H737))),ISNUMBER(SEARCH(IF(B$3&lt;&gt;"",B$3,"NA"),'MITRE ATT&amp;CK Mappings'!$I737))),ISNUMBER(SEARCH(IF(B$3&lt;&gt;"",B$3,"NA"),'MITRE ATT&amp;CK Mappings'!$J737))), 'MITRE ATT&amp;CK Mappings'!$B737,"")</f>
        <v/>
      </c>
      <c r="C741" s="27" t="str">
        <f>IF(OR(OR(OR(OR(OR(ISNUMBER(SEARCH(IF(C$1&lt;&gt;"",C$1,"NA"),'MITRE ATT&amp;CK Mappings'!$E737)),ISNUMBER(SEARCH(IF(C$1&lt;&gt;"",C$1,"NA"),'MITRE ATT&amp;CK Mappings'!$F737))),ISNUMBER(SEARCH(IF(C$2&lt;&gt;"",C$2,"NA"),'MITRE ATT&amp;CK Mappings'!$G737))),ISNUMBER(SEARCH(IF(C$2&lt;&gt;"",C$2,"NA"),'MITRE ATT&amp;CK Mappings'!$H737))),ISNUMBER(SEARCH(IF(C$3&lt;&gt;"",C$3,"NA"),'MITRE ATT&amp;CK Mappings'!$I737))),ISNUMBER(SEARCH(IF(C$3&lt;&gt;"",C$3,"NA"),'MITRE ATT&amp;CK Mappings'!$J737))), 'MITRE ATT&amp;CK Mappings'!$B737,"")</f>
        <v/>
      </c>
      <c r="D741" s="27" t="str">
        <f>IF(OR(OR(OR(OR(OR(ISNUMBER(SEARCH(IF(D$1&lt;&gt;"",D$1,"NA"),'MITRE ATT&amp;CK Mappings'!$E737)),ISNUMBER(SEARCH(IF(D$1&lt;&gt;"",D$1,"NA"),'MITRE ATT&amp;CK Mappings'!$F737))),ISNUMBER(SEARCH(IF(D$2&lt;&gt;"",D$2,"NA"),'MITRE ATT&amp;CK Mappings'!$G737))),ISNUMBER(SEARCH(IF(D$2&lt;&gt;"",D$2,"NA"),'MITRE ATT&amp;CK Mappings'!$H737))),ISNUMBER(SEARCH(IF(D$3&lt;&gt;"",D$3,"NA"),'MITRE ATT&amp;CK Mappings'!$I737))),ISNUMBER(SEARCH(IF(D$3&lt;&gt;"",D$3,"NA"),'MITRE ATT&amp;CK Mappings'!$J737))), 'MITRE ATT&amp;CK Mappings'!$B737,"")</f>
        <v/>
      </c>
      <c r="E741" s="27" t="str">
        <f>IF(OR(OR(OR(OR(OR(ISNUMBER(SEARCH(IF(E$1&lt;&gt;"",E$1,"NA"),'MITRE ATT&amp;CK Mappings'!$E737)),ISNUMBER(SEARCH(IF(E$1&lt;&gt;"",E$1,"NA"),'MITRE ATT&amp;CK Mappings'!$F737))),ISNUMBER(SEARCH(IF(E$2&lt;&gt;"",E$2,"NA"),'MITRE ATT&amp;CK Mappings'!$G737))),ISNUMBER(SEARCH(IF(E$2&lt;&gt;"",E$2,"NA"),'MITRE ATT&amp;CK Mappings'!$H737))),ISNUMBER(SEARCH(IF(E$3&lt;&gt;"",E$3,"NA"),'MITRE ATT&amp;CK Mappings'!$I737))),ISNUMBER(SEARCH(IF(E$3&lt;&gt;"",E$3,"NA"),'MITRE ATT&amp;CK Mappings'!$J737))), 'MITRE ATT&amp;CK Mappings'!$B737,"")</f>
        <v/>
      </c>
      <c r="F741" s="27" t="str">
        <f>IF(OR(OR(OR(OR(OR(ISNUMBER(SEARCH(IF(F$1&lt;&gt;"",F$1,"NA"),'MITRE ATT&amp;CK Mappings'!$E737)),ISNUMBER(SEARCH(IF(F$1&lt;&gt;"",F$1,"NA"),'MITRE ATT&amp;CK Mappings'!$F737))),ISNUMBER(SEARCH(IF(F$2&lt;&gt;"",F$2,"NA"),'MITRE ATT&amp;CK Mappings'!$G737))),ISNUMBER(SEARCH(IF(F$2&lt;&gt;"",F$2,"NA"),'MITRE ATT&amp;CK Mappings'!$H737))),ISNUMBER(SEARCH(IF(F$3&lt;&gt;"",F$3,"NA"),'MITRE ATT&amp;CK Mappings'!$I737))),ISNUMBER(SEARCH(IF(F$3&lt;&gt;"",F$3,"NA"),'MITRE ATT&amp;CK Mappings'!$J737))), 'MITRE ATT&amp;CK Mappings'!$B737,"")</f>
        <v/>
      </c>
      <c r="G741" s="27" t="str">
        <f>IF(OR(OR(OR(OR(OR(ISNUMBER(SEARCH(IF(G$1&lt;&gt;"",G$1,"NA"),'MITRE ATT&amp;CK Mappings'!$E737)),ISNUMBER(SEARCH(IF(G$1&lt;&gt;"",G$1,"NA"),'MITRE ATT&amp;CK Mappings'!$F737))),ISNUMBER(SEARCH(IF(G$2&lt;&gt;"",G$2,"NA"),'MITRE ATT&amp;CK Mappings'!$G737))),ISNUMBER(SEARCH(IF(G$2&lt;&gt;"",G$2,"NA"),'MITRE ATT&amp;CK Mappings'!$H737))),ISNUMBER(SEARCH(IF(G$3&lt;&gt;"",G$3,"NA"),'MITRE ATT&amp;CK Mappings'!$I737))),ISNUMBER(SEARCH(IF(G$3&lt;&gt;"",G$3,"NA"),'MITRE ATT&amp;CK Mappings'!$J737))), 'MITRE ATT&amp;CK Mappings'!$B737,"")</f>
        <v/>
      </c>
      <c r="H741" s="27" t="str">
        <f>IF(OR(OR(OR(OR(OR(ISNUMBER(SEARCH(IF(H$1&lt;&gt;"",H$1,"NA"),'MITRE ATT&amp;CK Mappings'!$E737)),ISNUMBER(SEARCH(IF(H$1&lt;&gt;"",H$1,"NA"),'MITRE ATT&amp;CK Mappings'!$F737))),ISNUMBER(SEARCH(IF(H$2&lt;&gt;"",H$2,"NA"),'MITRE ATT&amp;CK Mappings'!$G737))),ISNUMBER(SEARCH(IF(H$2&lt;&gt;"",H$2,"NA"),'MITRE ATT&amp;CK Mappings'!$H737))),ISNUMBER(SEARCH(IF(H$3&lt;&gt;"",H$3,"NA"),'MITRE ATT&amp;CK Mappings'!$I737))),ISNUMBER(SEARCH(IF(H$3&lt;&gt;"",H$3,"NA"),'MITRE ATT&amp;CK Mappings'!$J737))), 'MITRE ATT&amp;CK Mappings'!$B737,"")</f>
        <v/>
      </c>
      <c r="I741" s="27" t="str">
        <f>IF(OR(OR(OR(OR(OR(ISNUMBER(SEARCH(IF(I$1&lt;&gt;"",I$1,"NA"),'MITRE ATT&amp;CK Mappings'!$E737)),ISNUMBER(SEARCH(IF(I$1&lt;&gt;"",I$1,"NA"),'MITRE ATT&amp;CK Mappings'!$F737))),ISNUMBER(SEARCH(IF(I$2&lt;&gt;"",I$2,"NA"),'MITRE ATT&amp;CK Mappings'!$G737))),ISNUMBER(SEARCH(IF(I$2&lt;&gt;"",I$2,"NA"),'MITRE ATT&amp;CK Mappings'!$H737))),ISNUMBER(SEARCH(IF(I$3&lt;&gt;"",I$3,"NA"),'MITRE ATT&amp;CK Mappings'!$I737))),ISNUMBER(SEARCH(IF(I$3&lt;&gt;"",I$3,"NA"),'MITRE ATT&amp;CK Mappings'!$J737))), 'MITRE ATT&amp;CK Mappings'!$B737,"")</f>
        <v/>
      </c>
      <c r="J741" s="27" t="str">
        <f>IF(OR(OR(OR(OR(OR(ISNUMBER(SEARCH(IF(J$1&lt;&gt;"",J$1,"NA"),'MITRE ATT&amp;CK Mappings'!$E737)),ISNUMBER(SEARCH(IF(J$1&lt;&gt;"",J$1,"NA"),'MITRE ATT&amp;CK Mappings'!$F737))),ISNUMBER(SEARCH(IF(J$2&lt;&gt;"",J$2,"NA"),'MITRE ATT&amp;CK Mappings'!$G737))),ISNUMBER(SEARCH(IF(J$2&lt;&gt;"",J$2,"NA"),'MITRE ATT&amp;CK Mappings'!$H737))),ISNUMBER(SEARCH(IF(J$3&lt;&gt;"",J$3,"NA"),'MITRE ATT&amp;CK Mappings'!$I737))),ISNUMBER(SEARCH(IF(J$3&lt;&gt;"",J$3,"NA"),'MITRE ATT&amp;CK Mappings'!$J737))), 'MITRE ATT&amp;CK Mappings'!$B737,"")</f>
        <v/>
      </c>
      <c r="K741" s="27" t="str">
        <f>IF(OR(OR(OR(OR(OR(ISNUMBER(SEARCH(IF(K$1&lt;&gt;"",K$1,"NA"),'MITRE ATT&amp;CK Mappings'!$E737)),ISNUMBER(SEARCH(IF(K$1&lt;&gt;"",K$1,"NA"),'MITRE ATT&amp;CK Mappings'!$F737))),ISNUMBER(SEARCH(IF(K$2&lt;&gt;"",K$2,"NA"),'MITRE ATT&amp;CK Mappings'!$G737))),ISNUMBER(SEARCH(IF(K$2&lt;&gt;"",K$2,"NA"),'MITRE ATT&amp;CK Mappings'!$H737))),ISNUMBER(SEARCH(IF(K$3&lt;&gt;"",K$3,"NA"),'MITRE ATT&amp;CK Mappings'!$I737))),ISNUMBER(SEARCH(IF(K$3&lt;&gt;"",K$3,"NA"),'MITRE ATT&amp;CK Mappings'!$J737))), 'MITRE ATT&amp;CK Mappings'!$B737,"")</f>
        <v/>
      </c>
      <c r="L741" s="27" t="str">
        <f>IF('MITRE ATT&amp;CK Mappings'!D737 &lt;&gt;"",'MITRE ATT&amp;CK Mappings'!D737,"" )</f>
        <v/>
      </c>
    </row>
    <row r="742" spans="1:12" x14ac:dyDescent="0.25">
      <c r="A742" s="26" t="str">
        <f>IF(COUNTIF(B742:K742,"="&amp;'MITRE ATT&amp;CK Mappings'!B738)&gt;0,'MITRE ATT&amp;CK Mappings'!B738,"")</f>
        <v/>
      </c>
      <c r="B742" s="26" t="str">
        <f>IF(OR(OR(OR(OR(OR(ISNUMBER(SEARCH(IF(B$1&lt;&gt;"",B$1,"NA"),'MITRE ATT&amp;CK Mappings'!$E738)),ISNUMBER(SEARCH(IF(B$1&lt;&gt;"",B$1,"NA"),'MITRE ATT&amp;CK Mappings'!$F738))),ISNUMBER(SEARCH(IF(B$2&lt;&gt;"",B$2,"NA"),'MITRE ATT&amp;CK Mappings'!$G738))),ISNUMBER(SEARCH(IF(B$2&lt;&gt;"",B$2,"NA"),'MITRE ATT&amp;CK Mappings'!$H738))),ISNUMBER(SEARCH(IF(B$3&lt;&gt;"",B$3,"NA"),'MITRE ATT&amp;CK Mappings'!$I738))),ISNUMBER(SEARCH(IF(B$3&lt;&gt;"",B$3,"NA"),'MITRE ATT&amp;CK Mappings'!$J738))), 'MITRE ATT&amp;CK Mappings'!$B738,"")</f>
        <v/>
      </c>
      <c r="C742" s="26" t="str">
        <f>IF(OR(OR(OR(OR(OR(ISNUMBER(SEARCH(IF(C$1&lt;&gt;"",C$1,"NA"),'MITRE ATT&amp;CK Mappings'!$E738)),ISNUMBER(SEARCH(IF(C$1&lt;&gt;"",C$1,"NA"),'MITRE ATT&amp;CK Mappings'!$F738))),ISNUMBER(SEARCH(IF(C$2&lt;&gt;"",C$2,"NA"),'MITRE ATT&amp;CK Mappings'!$G738))),ISNUMBER(SEARCH(IF(C$2&lt;&gt;"",C$2,"NA"),'MITRE ATT&amp;CK Mappings'!$H738))),ISNUMBER(SEARCH(IF(C$3&lt;&gt;"",C$3,"NA"),'MITRE ATT&amp;CK Mappings'!$I738))),ISNUMBER(SEARCH(IF(C$3&lt;&gt;"",C$3,"NA"),'MITRE ATT&amp;CK Mappings'!$J738))), 'MITRE ATT&amp;CK Mappings'!$B738,"")</f>
        <v/>
      </c>
      <c r="D742" s="26" t="str">
        <f>IF(OR(OR(OR(OR(OR(ISNUMBER(SEARCH(IF(D$1&lt;&gt;"",D$1,"NA"),'MITRE ATT&amp;CK Mappings'!$E738)),ISNUMBER(SEARCH(IF(D$1&lt;&gt;"",D$1,"NA"),'MITRE ATT&amp;CK Mappings'!$F738))),ISNUMBER(SEARCH(IF(D$2&lt;&gt;"",D$2,"NA"),'MITRE ATT&amp;CK Mappings'!$G738))),ISNUMBER(SEARCH(IF(D$2&lt;&gt;"",D$2,"NA"),'MITRE ATT&amp;CK Mappings'!$H738))),ISNUMBER(SEARCH(IF(D$3&lt;&gt;"",D$3,"NA"),'MITRE ATT&amp;CK Mappings'!$I738))),ISNUMBER(SEARCH(IF(D$3&lt;&gt;"",D$3,"NA"),'MITRE ATT&amp;CK Mappings'!$J738))), 'MITRE ATT&amp;CK Mappings'!$B738,"")</f>
        <v/>
      </c>
      <c r="E742" s="26" t="str">
        <f>IF(OR(OR(OR(OR(OR(ISNUMBER(SEARCH(IF(E$1&lt;&gt;"",E$1,"NA"),'MITRE ATT&amp;CK Mappings'!$E738)),ISNUMBER(SEARCH(IF(E$1&lt;&gt;"",E$1,"NA"),'MITRE ATT&amp;CK Mappings'!$F738))),ISNUMBER(SEARCH(IF(E$2&lt;&gt;"",E$2,"NA"),'MITRE ATT&amp;CK Mappings'!$G738))),ISNUMBER(SEARCH(IF(E$2&lt;&gt;"",E$2,"NA"),'MITRE ATT&amp;CK Mappings'!$H738))),ISNUMBER(SEARCH(IF(E$3&lt;&gt;"",E$3,"NA"),'MITRE ATT&amp;CK Mappings'!$I738))),ISNUMBER(SEARCH(IF(E$3&lt;&gt;"",E$3,"NA"),'MITRE ATT&amp;CK Mappings'!$J738))), 'MITRE ATT&amp;CK Mappings'!$B738,"")</f>
        <v/>
      </c>
      <c r="F742" s="26" t="str">
        <f>IF(OR(OR(OR(OR(OR(ISNUMBER(SEARCH(IF(F$1&lt;&gt;"",F$1,"NA"),'MITRE ATT&amp;CK Mappings'!$E738)),ISNUMBER(SEARCH(IF(F$1&lt;&gt;"",F$1,"NA"),'MITRE ATT&amp;CK Mappings'!$F738))),ISNUMBER(SEARCH(IF(F$2&lt;&gt;"",F$2,"NA"),'MITRE ATT&amp;CK Mappings'!$G738))),ISNUMBER(SEARCH(IF(F$2&lt;&gt;"",F$2,"NA"),'MITRE ATT&amp;CK Mappings'!$H738))),ISNUMBER(SEARCH(IF(F$3&lt;&gt;"",F$3,"NA"),'MITRE ATT&amp;CK Mappings'!$I738))),ISNUMBER(SEARCH(IF(F$3&lt;&gt;"",F$3,"NA"),'MITRE ATT&amp;CK Mappings'!$J738))), 'MITRE ATT&amp;CK Mappings'!$B738,"")</f>
        <v/>
      </c>
      <c r="G742" s="26" t="str">
        <f>IF(OR(OR(OR(OR(OR(ISNUMBER(SEARCH(IF(G$1&lt;&gt;"",G$1,"NA"),'MITRE ATT&amp;CK Mappings'!$E738)),ISNUMBER(SEARCH(IF(G$1&lt;&gt;"",G$1,"NA"),'MITRE ATT&amp;CK Mappings'!$F738))),ISNUMBER(SEARCH(IF(G$2&lt;&gt;"",G$2,"NA"),'MITRE ATT&amp;CK Mappings'!$G738))),ISNUMBER(SEARCH(IF(G$2&lt;&gt;"",G$2,"NA"),'MITRE ATT&amp;CK Mappings'!$H738))),ISNUMBER(SEARCH(IF(G$3&lt;&gt;"",G$3,"NA"),'MITRE ATT&amp;CK Mappings'!$I738))),ISNUMBER(SEARCH(IF(G$3&lt;&gt;"",G$3,"NA"),'MITRE ATT&amp;CK Mappings'!$J738))), 'MITRE ATT&amp;CK Mappings'!$B738,"")</f>
        <v/>
      </c>
      <c r="H742" s="26" t="str">
        <f>IF(OR(OR(OR(OR(OR(ISNUMBER(SEARCH(IF(H$1&lt;&gt;"",H$1,"NA"),'MITRE ATT&amp;CK Mappings'!$E738)),ISNUMBER(SEARCH(IF(H$1&lt;&gt;"",H$1,"NA"),'MITRE ATT&amp;CK Mappings'!$F738))),ISNUMBER(SEARCH(IF(H$2&lt;&gt;"",H$2,"NA"),'MITRE ATT&amp;CK Mappings'!$G738))),ISNUMBER(SEARCH(IF(H$2&lt;&gt;"",H$2,"NA"),'MITRE ATT&amp;CK Mappings'!$H738))),ISNUMBER(SEARCH(IF(H$3&lt;&gt;"",H$3,"NA"),'MITRE ATT&amp;CK Mappings'!$I738))),ISNUMBER(SEARCH(IF(H$3&lt;&gt;"",H$3,"NA"),'MITRE ATT&amp;CK Mappings'!$J738))), 'MITRE ATT&amp;CK Mappings'!$B738,"")</f>
        <v/>
      </c>
      <c r="I742" s="26" t="str">
        <f>IF(OR(OR(OR(OR(OR(ISNUMBER(SEARCH(IF(I$1&lt;&gt;"",I$1,"NA"),'MITRE ATT&amp;CK Mappings'!$E738)),ISNUMBER(SEARCH(IF(I$1&lt;&gt;"",I$1,"NA"),'MITRE ATT&amp;CK Mappings'!$F738))),ISNUMBER(SEARCH(IF(I$2&lt;&gt;"",I$2,"NA"),'MITRE ATT&amp;CK Mappings'!$G738))),ISNUMBER(SEARCH(IF(I$2&lt;&gt;"",I$2,"NA"),'MITRE ATT&amp;CK Mappings'!$H738))),ISNUMBER(SEARCH(IF(I$3&lt;&gt;"",I$3,"NA"),'MITRE ATT&amp;CK Mappings'!$I738))),ISNUMBER(SEARCH(IF(I$3&lt;&gt;"",I$3,"NA"),'MITRE ATT&amp;CK Mappings'!$J738))), 'MITRE ATT&amp;CK Mappings'!$B738,"")</f>
        <v/>
      </c>
      <c r="J742" s="26" t="str">
        <f>IF(OR(OR(OR(OR(OR(ISNUMBER(SEARCH(IF(J$1&lt;&gt;"",J$1,"NA"),'MITRE ATT&amp;CK Mappings'!$E738)),ISNUMBER(SEARCH(IF(J$1&lt;&gt;"",J$1,"NA"),'MITRE ATT&amp;CK Mappings'!$F738))),ISNUMBER(SEARCH(IF(J$2&lt;&gt;"",J$2,"NA"),'MITRE ATT&amp;CK Mappings'!$G738))),ISNUMBER(SEARCH(IF(J$2&lt;&gt;"",J$2,"NA"),'MITRE ATT&amp;CK Mappings'!$H738))),ISNUMBER(SEARCH(IF(J$3&lt;&gt;"",J$3,"NA"),'MITRE ATT&amp;CK Mappings'!$I738))),ISNUMBER(SEARCH(IF(J$3&lt;&gt;"",J$3,"NA"),'MITRE ATT&amp;CK Mappings'!$J738))), 'MITRE ATT&amp;CK Mappings'!$B738,"")</f>
        <v/>
      </c>
      <c r="K742" s="26" t="str">
        <f>IF(OR(OR(OR(OR(OR(ISNUMBER(SEARCH(IF(K$1&lt;&gt;"",K$1,"NA"),'MITRE ATT&amp;CK Mappings'!$E738)),ISNUMBER(SEARCH(IF(K$1&lt;&gt;"",K$1,"NA"),'MITRE ATT&amp;CK Mappings'!$F738))),ISNUMBER(SEARCH(IF(K$2&lt;&gt;"",K$2,"NA"),'MITRE ATT&amp;CK Mappings'!$G738))),ISNUMBER(SEARCH(IF(K$2&lt;&gt;"",K$2,"NA"),'MITRE ATT&amp;CK Mappings'!$H738))),ISNUMBER(SEARCH(IF(K$3&lt;&gt;"",K$3,"NA"),'MITRE ATT&amp;CK Mappings'!$I738))),ISNUMBER(SEARCH(IF(K$3&lt;&gt;"",K$3,"NA"),'MITRE ATT&amp;CK Mappings'!$J738))), 'MITRE ATT&amp;CK Mappings'!$B738,"")</f>
        <v/>
      </c>
      <c r="L742" s="26" t="str">
        <f>IF('MITRE ATT&amp;CK Mappings'!D738 &lt;&gt;"",'MITRE ATT&amp;CK Mappings'!D738,"" )</f>
        <v/>
      </c>
    </row>
    <row r="743" spans="1:12" x14ac:dyDescent="0.25">
      <c r="A743" s="27" t="str">
        <f>IF(COUNTIF(B743:K743,"="&amp;'MITRE ATT&amp;CK Mappings'!B739)&gt;0,'MITRE ATT&amp;CK Mappings'!B739,"")</f>
        <v/>
      </c>
      <c r="B743" s="27" t="str">
        <f>IF(OR(OR(OR(OR(OR(ISNUMBER(SEARCH(IF(B$1&lt;&gt;"",B$1,"NA"),'MITRE ATT&amp;CK Mappings'!$E739)),ISNUMBER(SEARCH(IF(B$1&lt;&gt;"",B$1,"NA"),'MITRE ATT&amp;CK Mappings'!$F739))),ISNUMBER(SEARCH(IF(B$2&lt;&gt;"",B$2,"NA"),'MITRE ATT&amp;CK Mappings'!$G739))),ISNUMBER(SEARCH(IF(B$2&lt;&gt;"",B$2,"NA"),'MITRE ATT&amp;CK Mappings'!$H739))),ISNUMBER(SEARCH(IF(B$3&lt;&gt;"",B$3,"NA"),'MITRE ATT&amp;CK Mappings'!$I739))),ISNUMBER(SEARCH(IF(B$3&lt;&gt;"",B$3,"NA"),'MITRE ATT&amp;CK Mappings'!$J739))), 'MITRE ATT&amp;CK Mappings'!$B739,"")</f>
        <v/>
      </c>
      <c r="C743" s="27" t="str">
        <f>IF(OR(OR(OR(OR(OR(ISNUMBER(SEARCH(IF(C$1&lt;&gt;"",C$1,"NA"),'MITRE ATT&amp;CK Mappings'!$E739)),ISNUMBER(SEARCH(IF(C$1&lt;&gt;"",C$1,"NA"),'MITRE ATT&amp;CK Mappings'!$F739))),ISNUMBER(SEARCH(IF(C$2&lt;&gt;"",C$2,"NA"),'MITRE ATT&amp;CK Mappings'!$G739))),ISNUMBER(SEARCH(IF(C$2&lt;&gt;"",C$2,"NA"),'MITRE ATT&amp;CK Mappings'!$H739))),ISNUMBER(SEARCH(IF(C$3&lt;&gt;"",C$3,"NA"),'MITRE ATT&amp;CK Mappings'!$I739))),ISNUMBER(SEARCH(IF(C$3&lt;&gt;"",C$3,"NA"),'MITRE ATT&amp;CK Mappings'!$J739))), 'MITRE ATT&amp;CK Mappings'!$B739,"")</f>
        <v/>
      </c>
      <c r="D743" s="27" t="str">
        <f>IF(OR(OR(OR(OR(OR(ISNUMBER(SEARCH(IF(D$1&lt;&gt;"",D$1,"NA"),'MITRE ATT&amp;CK Mappings'!$E739)),ISNUMBER(SEARCH(IF(D$1&lt;&gt;"",D$1,"NA"),'MITRE ATT&amp;CK Mappings'!$F739))),ISNUMBER(SEARCH(IF(D$2&lt;&gt;"",D$2,"NA"),'MITRE ATT&amp;CK Mappings'!$G739))),ISNUMBER(SEARCH(IF(D$2&lt;&gt;"",D$2,"NA"),'MITRE ATT&amp;CK Mappings'!$H739))),ISNUMBER(SEARCH(IF(D$3&lt;&gt;"",D$3,"NA"),'MITRE ATT&amp;CK Mappings'!$I739))),ISNUMBER(SEARCH(IF(D$3&lt;&gt;"",D$3,"NA"),'MITRE ATT&amp;CK Mappings'!$J739))), 'MITRE ATT&amp;CK Mappings'!$B739,"")</f>
        <v/>
      </c>
      <c r="E743" s="27" t="str">
        <f>IF(OR(OR(OR(OR(OR(ISNUMBER(SEARCH(IF(E$1&lt;&gt;"",E$1,"NA"),'MITRE ATT&amp;CK Mappings'!$E739)),ISNUMBER(SEARCH(IF(E$1&lt;&gt;"",E$1,"NA"),'MITRE ATT&amp;CK Mappings'!$F739))),ISNUMBER(SEARCH(IF(E$2&lt;&gt;"",E$2,"NA"),'MITRE ATT&amp;CK Mappings'!$G739))),ISNUMBER(SEARCH(IF(E$2&lt;&gt;"",E$2,"NA"),'MITRE ATT&amp;CK Mappings'!$H739))),ISNUMBER(SEARCH(IF(E$3&lt;&gt;"",E$3,"NA"),'MITRE ATT&amp;CK Mappings'!$I739))),ISNUMBER(SEARCH(IF(E$3&lt;&gt;"",E$3,"NA"),'MITRE ATT&amp;CK Mappings'!$J739))), 'MITRE ATT&amp;CK Mappings'!$B739,"")</f>
        <v/>
      </c>
      <c r="F743" s="27" t="str">
        <f>IF(OR(OR(OR(OR(OR(ISNUMBER(SEARCH(IF(F$1&lt;&gt;"",F$1,"NA"),'MITRE ATT&amp;CK Mappings'!$E739)),ISNUMBER(SEARCH(IF(F$1&lt;&gt;"",F$1,"NA"),'MITRE ATT&amp;CK Mappings'!$F739))),ISNUMBER(SEARCH(IF(F$2&lt;&gt;"",F$2,"NA"),'MITRE ATT&amp;CK Mappings'!$G739))),ISNUMBER(SEARCH(IF(F$2&lt;&gt;"",F$2,"NA"),'MITRE ATT&amp;CK Mappings'!$H739))),ISNUMBER(SEARCH(IF(F$3&lt;&gt;"",F$3,"NA"),'MITRE ATT&amp;CK Mappings'!$I739))),ISNUMBER(SEARCH(IF(F$3&lt;&gt;"",F$3,"NA"),'MITRE ATT&amp;CK Mappings'!$J739))), 'MITRE ATT&amp;CK Mappings'!$B739,"")</f>
        <v/>
      </c>
      <c r="G743" s="27" t="str">
        <f>IF(OR(OR(OR(OR(OR(ISNUMBER(SEARCH(IF(G$1&lt;&gt;"",G$1,"NA"),'MITRE ATT&amp;CK Mappings'!$E739)),ISNUMBER(SEARCH(IF(G$1&lt;&gt;"",G$1,"NA"),'MITRE ATT&amp;CK Mappings'!$F739))),ISNUMBER(SEARCH(IF(G$2&lt;&gt;"",G$2,"NA"),'MITRE ATT&amp;CK Mappings'!$G739))),ISNUMBER(SEARCH(IF(G$2&lt;&gt;"",G$2,"NA"),'MITRE ATT&amp;CK Mappings'!$H739))),ISNUMBER(SEARCH(IF(G$3&lt;&gt;"",G$3,"NA"),'MITRE ATT&amp;CK Mappings'!$I739))),ISNUMBER(SEARCH(IF(G$3&lt;&gt;"",G$3,"NA"),'MITRE ATT&amp;CK Mappings'!$J739))), 'MITRE ATT&amp;CK Mappings'!$B739,"")</f>
        <v/>
      </c>
      <c r="H743" s="27" t="str">
        <f>IF(OR(OR(OR(OR(OR(ISNUMBER(SEARCH(IF(H$1&lt;&gt;"",H$1,"NA"),'MITRE ATT&amp;CK Mappings'!$E739)),ISNUMBER(SEARCH(IF(H$1&lt;&gt;"",H$1,"NA"),'MITRE ATT&amp;CK Mappings'!$F739))),ISNUMBER(SEARCH(IF(H$2&lt;&gt;"",H$2,"NA"),'MITRE ATT&amp;CK Mappings'!$G739))),ISNUMBER(SEARCH(IF(H$2&lt;&gt;"",H$2,"NA"),'MITRE ATT&amp;CK Mappings'!$H739))),ISNUMBER(SEARCH(IF(H$3&lt;&gt;"",H$3,"NA"),'MITRE ATT&amp;CK Mappings'!$I739))),ISNUMBER(SEARCH(IF(H$3&lt;&gt;"",H$3,"NA"),'MITRE ATT&amp;CK Mappings'!$J739))), 'MITRE ATT&amp;CK Mappings'!$B739,"")</f>
        <v/>
      </c>
      <c r="I743" s="27" t="str">
        <f>IF(OR(OR(OR(OR(OR(ISNUMBER(SEARCH(IF(I$1&lt;&gt;"",I$1,"NA"),'MITRE ATT&amp;CK Mappings'!$E739)),ISNUMBER(SEARCH(IF(I$1&lt;&gt;"",I$1,"NA"),'MITRE ATT&amp;CK Mappings'!$F739))),ISNUMBER(SEARCH(IF(I$2&lt;&gt;"",I$2,"NA"),'MITRE ATT&amp;CK Mappings'!$G739))),ISNUMBER(SEARCH(IF(I$2&lt;&gt;"",I$2,"NA"),'MITRE ATT&amp;CK Mappings'!$H739))),ISNUMBER(SEARCH(IF(I$3&lt;&gt;"",I$3,"NA"),'MITRE ATT&amp;CK Mappings'!$I739))),ISNUMBER(SEARCH(IF(I$3&lt;&gt;"",I$3,"NA"),'MITRE ATT&amp;CK Mappings'!$J739))), 'MITRE ATT&amp;CK Mappings'!$B739,"")</f>
        <v/>
      </c>
      <c r="J743" s="27" t="str">
        <f>IF(OR(OR(OR(OR(OR(ISNUMBER(SEARCH(IF(J$1&lt;&gt;"",J$1,"NA"),'MITRE ATT&amp;CK Mappings'!$E739)),ISNUMBER(SEARCH(IF(J$1&lt;&gt;"",J$1,"NA"),'MITRE ATT&amp;CK Mappings'!$F739))),ISNUMBER(SEARCH(IF(J$2&lt;&gt;"",J$2,"NA"),'MITRE ATT&amp;CK Mappings'!$G739))),ISNUMBER(SEARCH(IF(J$2&lt;&gt;"",J$2,"NA"),'MITRE ATT&amp;CK Mappings'!$H739))),ISNUMBER(SEARCH(IF(J$3&lt;&gt;"",J$3,"NA"),'MITRE ATT&amp;CK Mappings'!$I739))),ISNUMBER(SEARCH(IF(J$3&lt;&gt;"",J$3,"NA"),'MITRE ATT&amp;CK Mappings'!$J739))), 'MITRE ATT&amp;CK Mappings'!$B739,"")</f>
        <v/>
      </c>
      <c r="K743" s="27" t="str">
        <f>IF(OR(OR(OR(OR(OR(ISNUMBER(SEARCH(IF(K$1&lt;&gt;"",K$1,"NA"),'MITRE ATT&amp;CK Mappings'!$E739)),ISNUMBER(SEARCH(IF(K$1&lt;&gt;"",K$1,"NA"),'MITRE ATT&amp;CK Mappings'!$F739))),ISNUMBER(SEARCH(IF(K$2&lt;&gt;"",K$2,"NA"),'MITRE ATT&amp;CK Mappings'!$G739))),ISNUMBER(SEARCH(IF(K$2&lt;&gt;"",K$2,"NA"),'MITRE ATT&amp;CK Mappings'!$H739))),ISNUMBER(SEARCH(IF(K$3&lt;&gt;"",K$3,"NA"),'MITRE ATT&amp;CK Mappings'!$I739))),ISNUMBER(SEARCH(IF(K$3&lt;&gt;"",K$3,"NA"),'MITRE ATT&amp;CK Mappings'!$J739))), 'MITRE ATT&amp;CK Mappings'!$B739,"")</f>
        <v/>
      </c>
      <c r="L743" s="27" t="str">
        <f>IF('MITRE ATT&amp;CK Mappings'!D739 &lt;&gt;"",'MITRE ATT&amp;CK Mappings'!D739,"" )</f>
        <v/>
      </c>
    </row>
    <row r="744" spans="1:12" x14ac:dyDescent="0.25">
      <c r="A744" s="26" t="str">
        <f>IF(COUNTIF(B744:K744,"="&amp;'MITRE ATT&amp;CK Mappings'!B740)&gt;0,'MITRE ATT&amp;CK Mappings'!B740,"")</f>
        <v/>
      </c>
      <c r="B744" s="26" t="str">
        <f>IF(OR(OR(OR(OR(OR(ISNUMBER(SEARCH(IF(B$1&lt;&gt;"",B$1,"NA"),'MITRE ATT&amp;CK Mappings'!$E740)),ISNUMBER(SEARCH(IF(B$1&lt;&gt;"",B$1,"NA"),'MITRE ATT&amp;CK Mappings'!$F740))),ISNUMBER(SEARCH(IF(B$2&lt;&gt;"",B$2,"NA"),'MITRE ATT&amp;CK Mappings'!$G740))),ISNUMBER(SEARCH(IF(B$2&lt;&gt;"",B$2,"NA"),'MITRE ATT&amp;CK Mappings'!$H740))),ISNUMBER(SEARCH(IF(B$3&lt;&gt;"",B$3,"NA"),'MITRE ATT&amp;CK Mappings'!$I740))),ISNUMBER(SEARCH(IF(B$3&lt;&gt;"",B$3,"NA"),'MITRE ATT&amp;CK Mappings'!$J740))), 'MITRE ATT&amp;CK Mappings'!$B740,"")</f>
        <v/>
      </c>
      <c r="C744" s="26" t="str">
        <f>IF(OR(OR(OR(OR(OR(ISNUMBER(SEARCH(IF(C$1&lt;&gt;"",C$1,"NA"),'MITRE ATT&amp;CK Mappings'!$E740)),ISNUMBER(SEARCH(IF(C$1&lt;&gt;"",C$1,"NA"),'MITRE ATT&amp;CK Mappings'!$F740))),ISNUMBER(SEARCH(IF(C$2&lt;&gt;"",C$2,"NA"),'MITRE ATT&amp;CK Mappings'!$G740))),ISNUMBER(SEARCH(IF(C$2&lt;&gt;"",C$2,"NA"),'MITRE ATT&amp;CK Mappings'!$H740))),ISNUMBER(SEARCH(IF(C$3&lt;&gt;"",C$3,"NA"),'MITRE ATT&amp;CK Mappings'!$I740))),ISNUMBER(SEARCH(IF(C$3&lt;&gt;"",C$3,"NA"),'MITRE ATT&amp;CK Mappings'!$J740))), 'MITRE ATT&amp;CK Mappings'!$B740,"")</f>
        <v/>
      </c>
      <c r="D744" s="26" t="str">
        <f>IF(OR(OR(OR(OR(OR(ISNUMBER(SEARCH(IF(D$1&lt;&gt;"",D$1,"NA"),'MITRE ATT&amp;CK Mappings'!$E740)),ISNUMBER(SEARCH(IF(D$1&lt;&gt;"",D$1,"NA"),'MITRE ATT&amp;CK Mappings'!$F740))),ISNUMBER(SEARCH(IF(D$2&lt;&gt;"",D$2,"NA"),'MITRE ATT&amp;CK Mappings'!$G740))),ISNUMBER(SEARCH(IF(D$2&lt;&gt;"",D$2,"NA"),'MITRE ATT&amp;CK Mappings'!$H740))),ISNUMBER(SEARCH(IF(D$3&lt;&gt;"",D$3,"NA"),'MITRE ATT&amp;CK Mappings'!$I740))),ISNUMBER(SEARCH(IF(D$3&lt;&gt;"",D$3,"NA"),'MITRE ATT&amp;CK Mappings'!$J740))), 'MITRE ATT&amp;CK Mappings'!$B740,"")</f>
        <v/>
      </c>
      <c r="E744" s="26" t="str">
        <f>IF(OR(OR(OR(OR(OR(ISNUMBER(SEARCH(IF(E$1&lt;&gt;"",E$1,"NA"),'MITRE ATT&amp;CK Mappings'!$E740)),ISNUMBER(SEARCH(IF(E$1&lt;&gt;"",E$1,"NA"),'MITRE ATT&amp;CK Mappings'!$F740))),ISNUMBER(SEARCH(IF(E$2&lt;&gt;"",E$2,"NA"),'MITRE ATT&amp;CK Mappings'!$G740))),ISNUMBER(SEARCH(IF(E$2&lt;&gt;"",E$2,"NA"),'MITRE ATT&amp;CK Mappings'!$H740))),ISNUMBER(SEARCH(IF(E$3&lt;&gt;"",E$3,"NA"),'MITRE ATT&amp;CK Mappings'!$I740))),ISNUMBER(SEARCH(IF(E$3&lt;&gt;"",E$3,"NA"),'MITRE ATT&amp;CK Mappings'!$J740))), 'MITRE ATT&amp;CK Mappings'!$B740,"")</f>
        <v/>
      </c>
      <c r="F744" s="26" t="str">
        <f>IF(OR(OR(OR(OR(OR(ISNUMBER(SEARCH(IF(F$1&lt;&gt;"",F$1,"NA"),'MITRE ATT&amp;CK Mappings'!$E740)),ISNUMBER(SEARCH(IF(F$1&lt;&gt;"",F$1,"NA"),'MITRE ATT&amp;CK Mappings'!$F740))),ISNUMBER(SEARCH(IF(F$2&lt;&gt;"",F$2,"NA"),'MITRE ATT&amp;CK Mappings'!$G740))),ISNUMBER(SEARCH(IF(F$2&lt;&gt;"",F$2,"NA"),'MITRE ATT&amp;CK Mappings'!$H740))),ISNUMBER(SEARCH(IF(F$3&lt;&gt;"",F$3,"NA"),'MITRE ATT&amp;CK Mappings'!$I740))),ISNUMBER(SEARCH(IF(F$3&lt;&gt;"",F$3,"NA"),'MITRE ATT&amp;CK Mappings'!$J740))), 'MITRE ATT&amp;CK Mappings'!$B740,"")</f>
        <v/>
      </c>
      <c r="G744" s="26" t="str">
        <f>IF(OR(OR(OR(OR(OR(ISNUMBER(SEARCH(IF(G$1&lt;&gt;"",G$1,"NA"),'MITRE ATT&amp;CK Mappings'!$E740)),ISNUMBER(SEARCH(IF(G$1&lt;&gt;"",G$1,"NA"),'MITRE ATT&amp;CK Mappings'!$F740))),ISNUMBER(SEARCH(IF(G$2&lt;&gt;"",G$2,"NA"),'MITRE ATT&amp;CK Mappings'!$G740))),ISNUMBER(SEARCH(IF(G$2&lt;&gt;"",G$2,"NA"),'MITRE ATT&amp;CK Mappings'!$H740))),ISNUMBER(SEARCH(IF(G$3&lt;&gt;"",G$3,"NA"),'MITRE ATT&amp;CK Mappings'!$I740))),ISNUMBER(SEARCH(IF(G$3&lt;&gt;"",G$3,"NA"),'MITRE ATT&amp;CK Mappings'!$J740))), 'MITRE ATT&amp;CK Mappings'!$B740,"")</f>
        <v/>
      </c>
      <c r="H744" s="26" t="str">
        <f>IF(OR(OR(OR(OR(OR(ISNUMBER(SEARCH(IF(H$1&lt;&gt;"",H$1,"NA"),'MITRE ATT&amp;CK Mappings'!$E740)),ISNUMBER(SEARCH(IF(H$1&lt;&gt;"",H$1,"NA"),'MITRE ATT&amp;CK Mappings'!$F740))),ISNUMBER(SEARCH(IF(H$2&lt;&gt;"",H$2,"NA"),'MITRE ATT&amp;CK Mappings'!$G740))),ISNUMBER(SEARCH(IF(H$2&lt;&gt;"",H$2,"NA"),'MITRE ATT&amp;CK Mappings'!$H740))),ISNUMBER(SEARCH(IF(H$3&lt;&gt;"",H$3,"NA"),'MITRE ATT&amp;CK Mappings'!$I740))),ISNUMBER(SEARCH(IF(H$3&lt;&gt;"",H$3,"NA"),'MITRE ATT&amp;CK Mappings'!$J740))), 'MITRE ATT&amp;CK Mappings'!$B740,"")</f>
        <v/>
      </c>
      <c r="I744" s="26" t="str">
        <f>IF(OR(OR(OR(OR(OR(ISNUMBER(SEARCH(IF(I$1&lt;&gt;"",I$1,"NA"),'MITRE ATT&amp;CK Mappings'!$E740)),ISNUMBER(SEARCH(IF(I$1&lt;&gt;"",I$1,"NA"),'MITRE ATT&amp;CK Mappings'!$F740))),ISNUMBER(SEARCH(IF(I$2&lt;&gt;"",I$2,"NA"),'MITRE ATT&amp;CK Mappings'!$G740))),ISNUMBER(SEARCH(IF(I$2&lt;&gt;"",I$2,"NA"),'MITRE ATT&amp;CK Mappings'!$H740))),ISNUMBER(SEARCH(IF(I$3&lt;&gt;"",I$3,"NA"),'MITRE ATT&amp;CK Mappings'!$I740))),ISNUMBER(SEARCH(IF(I$3&lt;&gt;"",I$3,"NA"),'MITRE ATT&amp;CK Mappings'!$J740))), 'MITRE ATT&amp;CK Mappings'!$B740,"")</f>
        <v/>
      </c>
      <c r="J744" s="26" t="str">
        <f>IF(OR(OR(OR(OR(OR(ISNUMBER(SEARCH(IF(J$1&lt;&gt;"",J$1,"NA"),'MITRE ATT&amp;CK Mappings'!$E740)),ISNUMBER(SEARCH(IF(J$1&lt;&gt;"",J$1,"NA"),'MITRE ATT&amp;CK Mappings'!$F740))),ISNUMBER(SEARCH(IF(J$2&lt;&gt;"",J$2,"NA"),'MITRE ATT&amp;CK Mappings'!$G740))),ISNUMBER(SEARCH(IF(J$2&lt;&gt;"",J$2,"NA"),'MITRE ATT&amp;CK Mappings'!$H740))),ISNUMBER(SEARCH(IF(J$3&lt;&gt;"",J$3,"NA"),'MITRE ATT&amp;CK Mappings'!$I740))),ISNUMBER(SEARCH(IF(J$3&lt;&gt;"",J$3,"NA"),'MITRE ATT&amp;CK Mappings'!$J740))), 'MITRE ATT&amp;CK Mappings'!$B740,"")</f>
        <v/>
      </c>
      <c r="K744" s="26" t="str">
        <f>IF(OR(OR(OR(OR(OR(ISNUMBER(SEARCH(IF(K$1&lt;&gt;"",K$1,"NA"),'MITRE ATT&amp;CK Mappings'!$E740)),ISNUMBER(SEARCH(IF(K$1&lt;&gt;"",K$1,"NA"),'MITRE ATT&amp;CK Mappings'!$F740))),ISNUMBER(SEARCH(IF(K$2&lt;&gt;"",K$2,"NA"),'MITRE ATT&amp;CK Mappings'!$G740))),ISNUMBER(SEARCH(IF(K$2&lt;&gt;"",K$2,"NA"),'MITRE ATT&amp;CK Mappings'!$H740))),ISNUMBER(SEARCH(IF(K$3&lt;&gt;"",K$3,"NA"),'MITRE ATT&amp;CK Mappings'!$I740))),ISNUMBER(SEARCH(IF(K$3&lt;&gt;"",K$3,"NA"),'MITRE ATT&amp;CK Mappings'!$J740))), 'MITRE ATT&amp;CK Mappings'!$B740,"")</f>
        <v/>
      </c>
      <c r="L744" s="26" t="str">
        <f>IF('MITRE ATT&amp;CK Mappings'!D740 &lt;&gt;"",'MITRE ATT&amp;CK Mappings'!D740,"" )</f>
        <v/>
      </c>
    </row>
    <row r="745" spans="1:12" x14ac:dyDescent="0.25">
      <c r="A745" s="27" t="str">
        <f>IF(COUNTIF(B745:K745,"="&amp;'MITRE ATT&amp;CK Mappings'!B741)&gt;0,'MITRE ATT&amp;CK Mappings'!B741,"")</f>
        <v/>
      </c>
      <c r="B745" s="27" t="str">
        <f>IF(OR(OR(OR(OR(OR(ISNUMBER(SEARCH(IF(B$1&lt;&gt;"",B$1,"NA"),'MITRE ATT&amp;CK Mappings'!$E741)),ISNUMBER(SEARCH(IF(B$1&lt;&gt;"",B$1,"NA"),'MITRE ATT&amp;CK Mappings'!$F741))),ISNUMBER(SEARCH(IF(B$2&lt;&gt;"",B$2,"NA"),'MITRE ATT&amp;CK Mappings'!$G741))),ISNUMBER(SEARCH(IF(B$2&lt;&gt;"",B$2,"NA"),'MITRE ATT&amp;CK Mappings'!$H741))),ISNUMBER(SEARCH(IF(B$3&lt;&gt;"",B$3,"NA"),'MITRE ATT&amp;CK Mappings'!$I741))),ISNUMBER(SEARCH(IF(B$3&lt;&gt;"",B$3,"NA"),'MITRE ATT&amp;CK Mappings'!$J741))), 'MITRE ATT&amp;CK Mappings'!$B741,"")</f>
        <v/>
      </c>
      <c r="C745" s="27" t="str">
        <f>IF(OR(OR(OR(OR(OR(ISNUMBER(SEARCH(IF(C$1&lt;&gt;"",C$1,"NA"),'MITRE ATT&amp;CK Mappings'!$E741)),ISNUMBER(SEARCH(IF(C$1&lt;&gt;"",C$1,"NA"),'MITRE ATT&amp;CK Mappings'!$F741))),ISNUMBER(SEARCH(IF(C$2&lt;&gt;"",C$2,"NA"),'MITRE ATT&amp;CK Mappings'!$G741))),ISNUMBER(SEARCH(IF(C$2&lt;&gt;"",C$2,"NA"),'MITRE ATT&amp;CK Mappings'!$H741))),ISNUMBER(SEARCH(IF(C$3&lt;&gt;"",C$3,"NA"),'MITRE ATT&amp;CK Mappings'!$I741))),ISNUMBER(SEARCH(IF(C$3&lt;&gt;"",C$3,"NA"),'MITRE ATT&amp;CK Mappings'!$J741))), 'MITRE ATT&amp;CK Mappings'!$B741,"")</f>
        <v/>
      </c>
      <c r="D745" s="27" t="str">
        <f>IF(OR(OR(OR(OR(OR(ISNUMBER(SEARCH(IF(D$1&lt;&gt;"",D$1,"NA"),'MITRE ATT&amp;CK Mappings'!$E741)),ISNUMBER(SEARCH(IF(D$1&lt;&gt;"",D$1,"NA"),'MITRE ATT&amp;CK Mappings'!$F741))),ISNUMBER(SEARCH(IF(D$2&lt;&gt;"",D$2,"NA"),'MITRE ATT&amp;CK Mappings'!$G741))),ISNUMBER(SEARCH(IF(D$2&lt;&gt;"",D$2,"NA"),'MITRE ATT&amp;CK Mappings'!$H741))),ISNUMBER(SEARCH(IF(D$3&lt;&gt;"",D$3,"NA"),'MITRE ATT&amp;CK Mappings'!$I741))),ISNUMBER(SEARCH(IF(D$3&lt;&gt;"",D$3,"NA"),'MITRE ATT&amp;CK Mappings'!$J741))), 'MITRE ATT&amp;CK Mappings'!$B741,"")</f>
        <v/>
      </c>
      <c r="E745" s="27" t="str">
        <f>IF(OR(OR(OR(OR(OR(ISNUMBER(SEARCH(IF(E$1&lt;&gt;"",E$1,"NA"),'MITRE ATT&amp;CK Mappings'!$E741)),ISNUMBER(SEARCH(IF(E$1&lt;&gt;"",E$1,"NA"),'MITRE ATT&amp;CK Mappings'!$F741))),ISNUMBER(SEARCH(IF(E$2&lt;&gt;"",E$2,"NA"),'MITRE ATT&amp;CK Mappings'!$G741))),ISNUMBER(SEARCH(IF(E$2&lt;&gt;"",E$2,"NA"),'MITRE ATT&amp;CK Mappings'!$H741))),ISNUMBER(SEARCH(IF(E$3&lt;&gt;"",E$3,"NA"),'MITRE ATT&amp;CK Mappings'!$I741))),ISNUMBER(SEARCH(IF(E$3&lt;&gt;"",E$3,"NA"),'MITRE ATT&amp;CK Mappings'!$J741))), 'MITRE ATT&amp;CK Mappings'!$B741,"")</f>
        <v/>
      </c>
      <c r="F745" s="27" t="str">
        <f>IF(OR(OR(OR(OR(OR(ISNUMBER(SEARCH(IF(F$1&lt;&gt;"",F$1,"NA"),'MITRE ATT&amp;CK Mappings'!$E741)),ISNUMBER(SEARCH(IF(F$1&lt;&gt;"",F$1,"NA"),'MITRE ATT&amp;CK Mappings'!$F741))),ISNUMBER(SEARCH(IF(F$2&lt;&gt;"",F$2,"NA"),'MITRE ATT&amp;CK Mappings'!$G741))),ISNUMBER(SEARCH(IF(F$2&lt;&gt;"",F$2,"NA"),'MITRE ATT&amp;CK Mappings'!$H741))),ISNUMBER(SEARCH(IF(F$3&lt;&gt;"",F$3,"NA"),'MITRE ATT&amp;CK Mappings'!$I741))),ISNUMBER(SEARCH(IF(F$3&lt;&gt;"",F$3,"NA"),'MITRE ATT&amp;CK Mappings'!$J741))), 'MITRE ATT&amp;CK Mappings'!$B741,"")</f>
        <v/>
      </c>
      <c r="G745" s="27" t="str">
        <f>IF(OR(OR(OR(OR(OR(ISNUMBER(SEARCH(IF(G$1&lt;&gt;"",G$1,"NA"),'MITRE ATT&amp;CK Mappings'!$E741)),ISNUMBER(SEARCH(IF(G$1&lt;&gt;"",G$1,"NA"),'MITRE ATT&amp;CK Mappings'!$F741))),ISNUMBER(SEARCH(IF(G$2&lt;&gt;"",G$2,"NA"),'MITRE ATT&amp;CK Mappings'!$G741))),ISNUMBER(SEARCH(IF(G$2&lt;&gt;"",G$2,"NA"),'MITRE ATT&amp;CK Mappings'!$H741))),ISNUMBER(SEARCH(IF(G$3&lt;&gt;"",G$3,"NA"),'MITRE ATT&amp;CK Mappings'!$I741))),ISNUMBER(SEARCH(IF(G$3&lt;&gt;"",G$3,"NA"),'MITRE ATT&amp;CK Mappings'!$J741))), 'MITRE ATT&amp;CK Mappings'!$B741,"")</f>
        <v/>
      </c>
      <c r="H745" s="27" t="str">
        <f>IF(OR(OR(OR(OR(OR(ISNUMBER(SEARCH(IF(H$1&lt;&gt;"",H$1,"NA"),'MITRE ATT&amp;CK Mappings'!$E741)),ISNUMBER(SEARCH(IF(H$1&lt;&gt;"",H$1,"NA"),'MITRE ATT&amp;CK Mappings'!$F741))),ISNUMBER(SEARCH(IF(H$2&lt;&gt;"",H$2,"NA"),'MITRE ATT&amp;CK Mappings'!$G741))),ISNUMBER(SEARCH(IF(H$2&lt;&gt;"",H$2,"NA"),'MITRE ATT&amp;CK Mappings'!$H741))),ISNUMBER(SEARCH(IF(H$3&lt;&gt;"",H$3,"NA"),'MITRE ATT&amp;CK Mappings'!$I741))),ISNUMBER(SEARCH(IF(H$3&lt;&gt;"",H$3,"NA"),'MITRE ATT&amp;CK Mappings'!$J741))), 'MITRE ATT&amp;CK Mappings'!$B741,"")</f>
        <v/>
      </c>
      <c r="I745" s="27" t="str">
        <f>IF(OR(OR(OR(OR(OR(ISNUMBER(SEARCH(IF(I$1&lt;&gt;"",I$1,"NA"),'MITRE ATT&amp;CK Mappings'!$E741)),ISNUMBER(SEARCH(IF(I$1&lt;&gt;"",I$1,"NA"),'MITRE ATT&amp;CK Mappings'!$F741))),ISNUMBER(SEARCH(IF(I$2&lt;&gt;"",I$2,"NA"),'MITRE ATT&amp;CK Mappings'!$G741))),ISNUMBER(SEARCH(IF(I$2&lt;&gt;"",I$2,"NA"),'MITRE ATT&amp;CK Mappings'!$H741))),ISNUMBER(SEARCH(IF(I$3&lt;&gt;"",I$3,"NA"),'MITRE ATT&amp;CK Mappings'!$I741))),ISNUMBER(SEARCH(IF(I$3&lt;&gt;"",I$3,"NA"),'MITRE ATT&amp;CK Mappings'!$J741))), 'MITRE ATT&amp;CK Mappings'!$B741,"")</f>
        <v/>
      </c>
      <c r="J745" s="27" t="str">
        <f>IF(OR(OR(OR(OR(OR(ISNUMBER(SEARCH(IF(J$1&lt;&gt;"",J$1,"NA"),'MITRE ATT&amp;CK Mappings'!$E741)),ISNUMBER(SEARCH(IF(J$1&lt;&gt;"",J$1,"NA"),'MITRE ATT&amp;CK Mappings'!$F741))),ISNUMBER(SEARCH(IF(J$2&lt;&gt;"",J$2,"NA"),'MITRE ATT&amp;CK Mappings'!$G741))),ISNUMBER(SEARCH(IF(J$2&lt;&gt;"",J$2,"NA"),'MITRE ATT&amp;CK Mappings'!$H741))),ISNUMBER(SEARCH(IF(J$3&lt;&gt;"",J$3,"NA"),'MITRE ATT&amp;CK Mappings'!$I741))),ISNUMBER(SEARCH(IF(J$3&lt;&gt;"",J$3,"NA"),'MITRE ATT&amp;CK Mappings'!$J741))), 'MITRE ATT&amp;CK Mappings'!$B741,"")</f>
        <v/>
      </c>
      <c r="K745" s="27" t="str">
        <f>IF(OR(OR(OR(OR(OR(ISNUMBER(SEARCH(IF(K$1&lt;&gt;"",K$1,"NA"),'MITRE ATT&amp;CK Mappings'!$E741)),ISNUMBER(SEARCH(IF(K$1&lt;&gt;"",K$1,"NA"),'MITRE ATT&amp;CK Mappings'!$F741))),ISNUMBER(SEARCH(IF(K$2&lt;&gt;"",K$2,"NA"),'MITRE ATT&amp;CK Mappings'!$G741))),ISNUMBER(SEARCH(IF(K$2&lt;&gt;"",K$2,"NA"),'MITRE ATT&amp;CK Mappings'!$H741))),ISNUMBER(SEARCH(IF(K$3&lt;&gt;"",K$3,"NA"),'MITRE ATT&amp;CK Mappings'!$I741))),ISNUMBER(SEARCH(IF(K$3&lt;&gt;"",K$3,"NA"),'MITRE ATT&amp;CK Mappings'!$J741))), 'MITRE ATT&amp;CK Mappings'!$B741,"")</f>
        <v/>
      </c>
      <c r="L745" s="27" t="str">
        <f>IF('MITRE ATT&amp;CK Mappings'!D741 &lt;&gt;"",'MITRE ATT&amp;CK Mappings'!D741,"" )</f>
        <v/>
      </c>
    </row>
    <row r="746" spans="1:12" x14ac:dyDescent="0.25">
      <c r="A746" s="26" t="str">
        <f>IF(COUNTIF(B746:K746,"="&amp;'MITRE ATT&amp;CK Mappings'!B742)&gt;0,'MITRE ATT&amp;CK Mappings'!B742,"")</f>
        <v/>
      </c>
      <c r="B746" s="26" t="str">
        <f>IF(OR(OR(OR(OR(OR(ISNUMBER(SEARCH(IF(B$1&lt;&gt;"",B$1,"NA"),'MITRE ATT&amp;CK Mappings'!$E742)),ISNUMBER(SEARCH(IF(B$1&lt;&gt;"",B$1,"NA"),'MITRE ATT&amp;CK Mappings'!$F742))),ISNUMBER(SEARCH(IF(B$2&lt;&gt;"",B$2,"NA"),'MITRE ATT&amp;CK Mappings'!$G742))),ISNUMBER(SEARCH(IF(B$2&lt;&gt;"",B$2,"NA"),'MITRE ATT&amp;CK Mappings'!$H742))),ISNUMBER(SEARCH(IF(B$3&lt;&gt;"",B$3,"NA"),'MITRE ATT&amp;CK Mappings'!$I742))),ISNUMBER(SEARCH(IF(B$3&lt;&gt;"",B$3,"NA"),'MITRE ATT&amp;CK Mappings'!$J742))), 'MITRE ATT&amp;CK Mappings'!$B742,"")</f>
        <v/>
      </c>
      <c r="C746" s="26" t="str">
        <f>IF(OR(OR(OR(OR(OR(ISNUMBER(SEARCH(IF(C$1&lt;&gt;"",C$1,"NA"),'MITRE ATT&amp;CK Mappings'!$E742)),ISNUMBER(SEARCH(IF(C$1&lt;&gt;"",C$1,"NA"),'MITRE ATT&amp;CK Mappings'!$F742))),ISNUMBER(SEARCH(IF(C$2&lt;&gt;"",C$2,"NA"),'MITRE ATT&amp;CK Mappings'!$G742))),ISNUMBER(SEARCH(IF(C$2&lt;&gt;"",C$2,"NA"),'MITRE ATT&amp;CK Mappings'!$H742))),ISNUMBER(SEARCH(IF(C$3&lt;&gt;"",C$3,"NA"),'MITRE ATT&amp;CK Mappings'!$I742))),ISNUMBER(SEARCH(IF(C$3&lt;&gt;"",C$3,"NA"),'MITRE ATT&amp;CK Mappings'!$J742))), 'MITRE ATT&amp;CK Mappings'!$B742,"")</f>
        <v/>
      </c>
      <c r="D746" s="26" t="str">
        <f>IF(OR(OR(OR(OR(OR(ISNUMBER(SEARCH(IF(D$1&lt;&gt;"",D$1,"NA"),'MITRE ATT&amp;CK Mappings'!$E742)),ISNUMBER(SEARCH(IF(D$1&lt;&gt;"",D$1,"NA"),'MITRE ATT&amp;CK Mappings'!$F742))),ISNUMBER(SEARCH(IF(D$2&lt;&gt;"",D$2,"NA"),'MITRE ATT&amp;CK Mappings'!$G742))),ISNUMBER(SEARCH(IF(D$2&lt;&gt;"",D$2,"NA"),'MITRE ATT&amp;CK Mappings'!$H742))),ISNUMBER(SEARCH(IF(D$3&lt;&gt;"",D$3,"NA"),'MITRE ATT&amp;CK Mappings'!$I742))),ISNUMBER(SEARCH(IF(D$3&lt;&gt;"",D$3,"NA"),'MITRE ATT&amp;CK Mappings'!$J742))), 'MITRE ATT&amp;CK Mappings'!$B742,"")</f>
        <v/>
      </c>
      <c r="E746" s="26" t="str">
        <f>IF(OR(OR(OR(OR(OR(ISNUMBER(SEARCH(IF(E$1&lt;&gt;"",E$1,"NA"),'MITRE ATT&amp;CK Mappings'!$E742)),ISNUMBER(SEARCH(IF(E$1&lt;&gt;"",E$1,"NA"),'MITRE ATT&amp;CK Mappings'!$F742))),ISNUMBER(SEARCH(IF(E$2&lt;&gt;"",E$2,"NA"),'MITRE ATT&amp;CK Mappings'!$G742))),ISNUMBER(SEARCH(IF(E$2&lt;&gt;"",E$2,"NA"),'MITRE ATT&amp;CK Mappings'!$H742))),ISNUMBER(SEARCH(IF(E$3&lt;&gt;"",E$3,"NA"),'MITRE ATT&amp;CK Mappings'!$I742))),ISNUMBER(SEARCH(IF(E$3&lt;&gt;"",E$3,"NA"),'MITRE ATT&amp;CK Mappings'!$J742))), 'MITRE ATT&amp;CK Mappings'!$B742,"")</f>
        <v/>
      </c>
      <c r="F746" s="26" t="str">
        <f>IF(OR(OR(OR(OR(OR(ISNUMBER(SEARCH(IF(F$1&lt;&gt;"",F$1,"NA"),'MITRE ATT&amp;CK Mappings'!$E742)),ISNUMBER(SEARCH(IF(F$1&lt;&gt;"",F$1,"NA"),'MITRE ATT&amp;CK Mappings'!$F742))),ISNUMBER(SEARCH(IF(F$2&lt;&gt;"",F$2,"NA"),'MITRE ATT&amp;CK Mappings'!$G742))),ISNUMBER(SEARCH(IF(F$2&lt;&gt;"",F$2,"NA"),'MITRE ATT&amp;CK Mappings'!$H742))),ISNUMBER(SEARCH(IF(F$3&lt;&gt;"",F$3,"NA"),'MITRE ATT&amp;CK Mappings'!$I742))),ISNUMBER(SEARCH(IF(F$3&lt;&gt;"",F$3,"NA"),'MITRE ATT&amp;CK Mappings'!$J742))), 'MITRE ATT&amp;CK Mappings'!$B742,"")</f>
        <v/>
      </c>
      <c r="G746" s="26" t="str">
        <f>IF(OR(OR(OR(OR(OR(ISNUMBER(SEARCH(IF(G$1&lt;&gt;"",G$1,"NA"),'MITRE ATT&amp;CK Mappings'!$E742)),ISNUMBER(SEARCH(IF(G$1&lt;&gt;"",G$1,"NA"),'MITRE ATT&amp;CK Mappings'!$F742))),ISNUMBER(SEARCH(IF(G$2&lt;&gt;"",G$2,"NA"),'MITRE ATT&amp;CK Mappings'!$G742))),ISNUMBER(SEARCH(IF(G$2&lt;&gt;"",G$2,"NA"),'MITRE ATT&amp;CK Mappings'!$H742))),ISNUMBER(SEARCH(IF(G$3&lt;&gt;"",G$3,"NA"),'MITRE ATT&amp;CK Mappings'!$I742))),ISNUMBER(SEARCH(IF(G$3&lt;&gt;"",G$3,"NA"),'MITRE ATT&amp;CK Mappings'!$J742))), 'MITRE ATT&amp;CK Mappings'!$B742,"")</f>
        <v/>
      </c>
      <c r="H746" s="26" t="str">
        <f>IF(OR(OR(OR(OR(OR(ISNUMBER(SEARCH(IF(H$1&lt;&gt;"",H$1,"NA"),'MITRE ATT&amp;CK Mappings'!$E742)),ISNUMBER(SEARCH(IF(H$1&lt;&gt;"",H$1,"NA"),'MITRE ATT&amp;CK Mappings'!$F742))),ISNUMBER(SEARCH(IF(H$2&lt;&gt;"",H$2,"NA"),'MITRE ATT&amp;CK Mappings'!$G742))),ISNUMBER(SEARCH(IF(H$2&lt;&gt;"",H$2,"NA"),'MITRE ATT&amp;CK Mappings'!$H742))),ISNUMBER(SEARCH(IF(H$3&lt;&gt;"",H$3,"NA"),'MITRE ATT&amp;CK Mappings'!$I742))),ISNUMBER(SEARCH(IF(H$3&lt;&gt;"",H$3,"NA"),'MITRE ATT&amp;CK Mappings'!$J742))), 'MITRE ATT&amp;CK Mappings'!$B742,"")</f>
        <v/>
      </c>
      <c r="I746" s="26" t="str">
        <f>IF(OR(OR(OR(OR(OR(ISNUMBER(SEARCH(IF(I$1&lt;&gt;"",I$1,"NA"),'MITRE ATT&amp;CK Mappings'!$E742)),ISNUMBER(SEARCH(IF(I$1&lt;&gt;"",I$1,"NA"),'MITRE ATT&amp;CK Mappings'!$F742))),ISNUMBER(SEARCH(IF(I$2&lt;&gt;"",I$2,"NA"),'MITRE ATT&amp;CK Mappings'!$G742))),ISNUMBER(SEARCH(IF(I$2&lt;&gt;"",I$2,"NA"),'MITRE ATT&amp;CK Mappings'!$H742))),ISNUMBER(SEARCH(IF(I$3&lt;&gt;"",I$3,"NA"),'MITRE ATT&amp;CK Mappings'!$I742))),ISNUMBER(SEARCH(IF(I$3&lt;&gt;"",I$3,"NA"),'MITRE ATT&amp;CK Mappings'!$J742))), 'MITRE ATT&amp;CK Mappings'!$B742,"")</f>
        <v/>
      </c>
      <c r="J746" s="26" t="str">
        <f>IF(OR(OR(OR(OR(OR(ISNUMBER(SEARCH(IF(J$1&lt;&gt;"",J$1,"NA"),'MITRE ATT&amp;CK Mappings'!$E742)),ISNUMBER(SEARCH(IF(J$1&lt;&gt;"",J$1,"NA"),'MITRE ATT&amp;CK Mappings'!$F742))),ISNUMBER(SEARCH(IF(J$2&lt;&gt;"",J$2,"NA"),'MITRE ATT&amp;CK Mappings'!$G742))),ISNUMBER(SEARCH(IF(J$2&lt;&gt;"",J$2,"NA"),'MITRE ATT&amp;CK Mappings'!$H742))),ISNUMBER(SEARCH(IF(J$3&lt;&gt;"",J$3,"NA"),'MITRE ATT&amp;CK Mappings'!$I742))),ISNUMBER(SEARCH(IF(J$3&lt;&gt;"",J$3,"NA"),'MITRE ATT&amp;CK Mappings'!$J742))), 'MITRE ATT&amp;CK Mappings'!$B742,"")</f>
        <v/>
      </c>
      <c r="K746" s="26" t="str">
        <f>IF(OR(OR(OR(OR(OR(ISNUMBER(SEARCH(IF(K$1&lt;&gt;"",K$1,"NA"),'MITRE ATT&amp;CK Mappings'!$E742)),ISNUMBER(SEARCH(IF(K$1&lt;&gt;"",K$1,"NA"),'MITRE ATT&amp;CK Mappings'!$F742))),ISNUMBER(SEARCH(IF(K$2&lt;&gt;"",K$2,"NA"),'MITRE ATT&amp;CK Mappings'!$G742))),ISNUMBER(SEARCH(IF(K$2&lt;&gt;"",K$2,"NA"),'MITRE ATT&amp;CK Mappings'!$H742))),ISNUMBER(SEARCH(IF(K$3&lt;&gt;"",K$3,"NA"),'MITRE ATT&amp;CK Mappings'!$I742))),ISNUMBER(SEARCH(IF(K$3&lt;&gt;"",K$3,"NA"),'MITRE ATT&amp;CK Mappings'!$J742))), 'MITRE ATT&amp;CK Mappings'!$B742,"")</f>
        <v/>
      </c>
      <c r="L746" s="26" t="str">
        <f>IF('MITRE ATT&amp;CK Mappings'!D742 &lt;&gt;"",'MITRE ATT&amp;CK Mappings'!D742,"" )</f>
        <v/>
      </c>
    </row>
    <row r="747" spans="1:12" x14ac:dyDescent="0.25">
      <c r="A747" s="27" t="str">
        <f>IF(COUNTIF(B747:K747,"="&amp;'MITRE ATT&amp;CK Mappings'!B743)&gt;0,'MITRE ATT&amp;CK Mappings'!B743,"")</f>
        <v/>
      </c>
      <c r="B747" s="27" t="str">
        <f>IF(OR(OR(OR(OR(OR(ISNUMBER(SEARCH(IF(B$1&lt;&gt;"",B$1,"NA"),'MITRE ATT&amp;CK Mappings'!$E743)),ISNUMBER(SEARCH(IF(B$1&lt;&gt;"",B$1,"NA"),'MITRE ATT&amp;CK Mappings'!$F743))),ISNUMBER(SEARCH(IF(B$2&lt;&gt;"",B$2,"NA"),'MITRE ATT&amp;CK Mappings'!$G743))),ISNUMBER(SEARCH(IF(B$2&lt;&gt;"",B$2,"NA"),'MITRE ATT&amp;CK Mappings'!$H743))),ISNUMBER(SEARCH(IF(B$3&lt;&gt;"",B$3,"NA"),'MITRE ATT&amp;CK Mappings'!$I743))),ISNUMBER(SEARCH(IF(B$3&lt;&gt;"",B$3,"NA"),'MITRE ATT&amp;CK Mappings'!$J743))), 'MITRE ATT&amp;CK Mappings'!$B743,"")</f>
        <v/>
      </c>
      <c r="C747" s="27" t="str">
        <f>IF(OR(OR(OR(OR(OR(ISNUMBER(SEARCH(IF(C$1&lt;&gt;"",C$1,"NA"),'MITRE ATT&amp;CK Mappings'!$E743)),ISNUMBER(SEARCH(IF(C$1&lt;&gt;"",C$1,"NA"),'MITRE ATT&amp;CK Mappings'!$F743))),ISNUMBER(SEARCH(IF(C$2&lt;&gt;"",C$2,"NA"),'MITRE ATT&amp;CK Mappings'!$G743))),ISNUMBER(SEARCH(IF(C$2&lt;&gt;"",C$2,"NA"),'MITRE ATT&amp;CK Mappings'!$H743))),ISNUMBER(SEARCH(IF(C$3&lt;&gt;"",C$3,"NA"),'MITRE ATT&amp;CK Mappings'!$I743))),ISNUMBER(SEARCH(IF(C$3&lt;&gt;"",C$3,"NA"),'MITRE ATT&amp;CK Mappings'!$J743))), 'MITRE ATT&amp;CK Mappings'!$B743,"")</f>
        <v/>
      </c>
      <c r="D747" s="27" t="str">
        <f>IF(OR(OR(OR(OR(OR(ISNUMBER(SEARCH(IF(D$1&lt;&gt;"",D$1,"NA"),'MITRE ATT&amp;CK Mappings'!$E743)),ISNUMBER(SEARCH(IF(D$1&lt;&gt;"",D$1,"NA"),'MITRE ATT&amp;CK Mappings'!$F743))),ISNUMBER(SEARCH(IF(D$2&lt;&gt;"",D$2,"NA"),'MITRE ATT&amp;CK Mappings'!$G743))),ISNUMBER(SEARCH(IF(D$2&lt;&gt;"",D$2,"NA"),'MITRE ATT&amp;CK Mappings'!$H743))),ISNUMBER(SEARCH(IF(D$3&lt;&gt;"",D$3,"NA"),'MITRE ATT&amp;CK Mappings'!$I743))),ISNUMBER(SEARCH(IF(D$3&lt;&gt;"",D$3,"NA"),'MITRE ATT&amp;CK Mappings'!$J743))), 'MITRE ATT&amp;CK Mappings'!$B743,"")</f>
        <v/>
      </c>
      <c r="E747" s="27" t="str">
        <f>IF(OR(OR(OR(OR(OR(ISNUMBER(SEARCH(IF(E$1&lt;&gt;"",E$1,"NA"),'MITRE ATT&amp;CK Mappings'!$E743)),ISNUMBER(SEARCH(IF(E$1&lt;&gt;"",E$1,"NA"),'MITRE ATT&amp;CK Mappings'!$F743))),ISNUMBER(SEARCH(IF(E$2&lt;&gt;"",E$2,"NA"),'MITRE ATT&amp;CK Mappings'!$G743))),ISNUMBER(SEARCH(IF(E$2&lt;&gt;"",E$2,"NA"),'MITRE ATT&amp;CK Mappings'!$H743))),ISNUMBER(SEARCH(IF(E$3&lt;&gt;"",E$3,"NA"),'MITRE ATT&amp;CK Mappings'!$I743))),ISNUMBER(SEARCH(IF(E$3&lt;&gt;"",E$3,"NA"),'MITRE ATT&amp;CK Mappings'!$J743))), 'MITRE ATT&amp;CK Mappings'!$B743,"")</f>
        <v/>
      </c>
      <c r="F747" s="27" t="str">
        <f>IF(OR(OR(OR(OR(OR(ISNUMBER(SEARCH(IF(F$1&lt;&gt;"",F$1,"NA"),'MITRE ATT&amp;CK Mappings'!$E743)),ISNUMBER(SEARCH(IF(F$1&lt;&gt;"",F$1,"NA"),'MITRE ATT&amp;CK Mappings'!$F743))),ISNUMBER(SEARCH(IF(F$2&lt;&gt;"",F$2,"NA"),'MITRE ATT&amp;CK Mappings'!$G743))),ISNUMBER(SEARCH(IF(F$2&lt;&gt;"",F$2,"NA"),'MITRE ATT&amp;CK Mappings'!$H743))),ISNUMBER(SEARCH(IF(F$3&lt;&gt;"",F$3,"NA"),'MITRE ATT&amp;CK Mappings'!$I743))),ISNUMBER(SEARCH(IF(F$3&lt;&gt;"",F$3,"NA"),'MITRE ATT&amp;CK Mappings'!$J743))), 'MITRE ATT&amp;CK Mappings'!$B743,"")</f>
        <v/>
      </c>
      <c r="G747" s="27" t="str">
        <f>IF(OR(OR(OR(OR(OR(ISNUMBER(SEARCH(IF(G$1&lt;&gt;"",G$1,"NA"),'MITRE ATT&amp;CK Mappings'!$E743)),ISNUMBER(SEARCH(IF(G$1&lt;&gt;"",G$1,"NA"),'MITRE ATT&amp;CK Mappings'!$F743))),ISNUMBER(SEARCH(IF(G$2&lt;&gt;"",G$2,"NA"),'MITRE ATT&amp;CK Mappings'!$G743))),ISNUMBER(SEARCH(IF(G$2&lt;&gt;"",G$2,"NA"),'MITRE ATT&amp;CK Mappings'!$H743))),ISNUMBER(SEARCH(IF(G$3&lt;&gt;"",G$3,"NA"),'MITRE ATT&amp;CK Mappings'!$I743))),ISNUMBER(SEARCH(IF(G$3&lt;&gt;"",G$3,"NA"),'MITRE ATT&amp;CK Mappings'!$J743))), 'MITRE ATT&amp;CK Mappings'!$B743,"")</f>
        <v/>
      </c>
      <c r="H747" s="27" t="str">
        <f>IF(OR(OR(OR(OR(OR(ISNUMBER(SEARCH(IF(H$1&lt;&gt;"",H$1,"NA"),'MITRE ATT&amp;CK Mappings'!$E743)),ISNUMBER(SEARCH(IF(H$1&lt;&gt;"",H$1,"NA"),'MITRE ATT&amp;CK Mappings'!$F743))),ISNUMBER(SEARCH(IF(H$2&lt;&gt;"",H$2,"NA"),'MITRE ATT&amp;CK Mappings'!$G743))),ISNUMBER(SEARCH(IF(H$2&lt;&gt;"",H$2,"NA"),'MITRE ATT&amp;CK Mappings'!$H743))),ISNUMBER(SEARCH(IF(H$3&lt;&gt;"",H$3,"NA"),'MITRE ATT&amp;CK Mappings'!$I743))),ISNUMBER(SEARCH(IF(H$3&lt;&gt;"",H$3,"NA"),'MITRE ATT&amp;CK Mappings'!$J743))), 'MITRE ATT&amp;CK Mappings'!$B743,"")</f>
        <v/>
      </c>
      <c r="I747" s="27" t="str">
        <f>IF(OR(OR(OR(OR(OR(ISNUMBER(SEARCH(IF(I$1&lt;&gt;"",I$1,"NA"),'MITRE ATT&amp;CK Mappings'!$E743)),ISNUMBER(SEARCH(IF(I$1&lt;&gt;"",I$1,"NA"),'MITRE ATT&amp;CK Mappings'!$F743))),ISNUMBER(SEARCH(IF(I$2&lt;&gt;"",I$2,"NA"),'MITRE ATT&amp;CK Mappings'!$G743))),ISNUMBER(SEARCH(IF(I$2&lt;&gt;"",I$2,"NA"),'MITRE ATT&amp;CK Mappings'!$H743))),ISNUMBER(SEARCH(IF(I$3&lt;&gt;"",I$3,"NA"),'MITRE ATT&amp;CK Mappings'!$I743))),ISNUMBER(SEARCH(IF(I$3&lt;&gt;"",I$3,"NA"),'MITRE ATT&amp;CK Mappings'!$J743))), 'MITRE ATT&amp;CK Mappings'!$B743,"")</f>
        <v/>
      </c>
      <c r="J747" s="27" t="str">
        <f>IF(OR(OR(OR(OR(OR(ISNUMBER(SEARCH(IF(J$1&lt;&gt;"",J$1,"NA"),'MITRE ATT&amp;CK Mappings'!$E743)),ISNUMBER(SEARCH(IF(J$1&lt;&gt;"",J$1,"NA"),'MITRE ATT&amp;CK Mappings'!$F743))),ISNUMBER(SEARCH(IF(J$2&lt;&gt;"",J$2,"NA"),'MITRE ATT&amp;CK Mappings'!$G743))),ISNUMBER(SEARCH(IF(J$2&lt;&gt;"",J$2,"NA"),'MITRE ATT&amp;CK Mappings'!$H743))),ISNUMBER(SEARCH(IF(J$3&lt;&gt;"",J$3,"NA"),'MITRE ATT&amp;CK Mappings'!$I743))),ISNUMBER(SEARCH(IF(J$3&lt;&gt;"",J$3,"NA"),'MITRE ATT&amp;CK Mappings'!$J743))), 'MITRE ATT&amp;CK Mappings'!$B743,"")</f>
        <v/>
      </c>
      <c r="K747" s="27" t="str">
        <f>IF(OR(OR(OR(OR(OR(ISNUMBER(SEARCH(IF(K$1&lt;&gt;"",K$1,"NA"),'MITRE ATT&amp;CK Mappings'!$E743)),ISNUMBER(SEARCH(IF(K$1&lt;&gt;"",K$1,"NA"),'MITRE ATT&amp;CK Mappings'!$F743))),ISNUMBER(SEARCH(IF(K$2&lt;&gt;"",K$2,"NA"),'MITRE ATT&amp;CK Mappings'!$G743))),ISNUMBER(SEARCH(IF(K$2&lt;&gt;"",K$2,"NA"),'MITRE ATT&amp;CK Mappings'!$H743))),ISNUMBER(SEARCH(IF(K$3&lt;&gt;"",K$3,"NA"),'MITRE ATT&amp;CK Mappings'!$I743))),ISNUMBER(SEARCH(IF(K$3&lt;&gt;"",K$3,"NA"),'MITRE ATT&amp;CK Mappings'!$J743))), 'MITRE ATT&amp;CK Mappings'!$B743,"")</f>
        <v/>
      </c>
      <c r="L747" s="27" t="str">
        <f>IF('MITRE ATT&amp;CK Mappings'!D743 &lt;&gt;"",'MITRE ATT&amp;CK Mappings'!D743,"" )</f>
        <v/>
      </c>
    </row>
    <row r="748" spans="1:12" x14ac:dyDescent="0.25">
      <c r="A748" s="26" t="str">
        <f>IF(COUNTIF(B748:K748,"="&amp;'MITRE ATT&amp;CK Mappings'!B744)&gt;0,'MITRE ATT&amp;CK Mappings'!B744,"")</f>
        <v/>
      </c>
      <c r="B748" s="26" t="str">
        <f>IF(OR(OR(OR(OR(OR(ISNUMBER(SEARCH(IF(B$1&lt;&gt;"",B$1,"NA"),'MITRE ATT&amp;CK Mappings'!$E744)),ISNUMBER(SEARCH(IF(B$1&lt;&gt;"",B$1,"NA"),'MITRE ATT&amp;CK Mappings'!$F744))),ISNUMBER(SEARCH(IF(B$2&lt;&gt;"",B$2,"NA"),'MITRE ATT&amp;CK Mappings'!$G744))),ISNUMBER(SEARCH(IF(B$2&lt;&gt;"",B$2,"NA"),'MITRE ATT&amp;CK Mappings'!$H744))),ISNUMBER(SEARCH(IF(B$3&lt;&gt;"",B$3,"NA"),'MITRE ATT&amp;CK Mappings'!$I744))),ISNUMBER(SEARCH(IF(B$3&lt;&gt;"",B$3,"NA"),'MITRE ATT&amp;CK Mappings'!$J744))), 'MITRE ATT&amp;CK Mappings'!$B744,"")</f>
        <v/>
      </c>
      <c r="C748" s="26" t="str">
        <f>IF(OR(OR(OR(OR(OR(ISNUMBER(SEARCH(IF(C$1&lt;&gt;"",C$1,"NA"),'MITRE ATT&amp;CK Mappings'!$E744)),ISNUMBER(SEARCH(IF(C$1&lt;&gt;"",C$1,"NA"),'MITRE ATT&amp;CK Mappings'!$F744))),ISNUMBER(SEARCH(IF(C$2&lt;&gt;"",C$2,"NA"),'MITRE ATT&amp;CK Mappings'!$G744))),ISNUMBER(SEARCH(IF(C$2&lt;&gt;"",C$2,"NA"),'MITRE ATT&amp;CK Mappings'!$H744))),ISNUMBER(SEARCH(IF(C$3&lt;&gt;"",C$3,"NA"),'MITRE ATT&amp;CK Mappings'!$I744))),ISNUMBER(SEARCH(IF(C$3&lt;&gt;"",C$3,"NA"),'MITRE ATT&amp;CK Mappings'!$J744))), 'MITRE ATT&amp;CK Mappings'!$B744,"")</f>
        <v/>
      </c>
      <c r="D748" s="26" t="str">
        <f>IF(OR(OR(OR(OR(OR(ISNUMBER(SEARCH(IF(D$1&lt;&gt;"",D$1,"NA"),'MITRE ATT&amp;CK Mappings'!$E744)),ISNUMBER(SEARCH(IF(D$1&lt;&gt;"",D$1,"NA"),'MITRE ATT&amp;CK Mappings'!$F744))),ISNUMBER(SEARCH(IF(D$2&lt;&gt;"",D$2,"NA"),'MITRE ATT&amp;CK Mappings'!$G744))),ISNUMBER(SEARCH(IF(D$2&lt;&gt;"",D$2,"NA"),'MITRE ATT&amp;CK Mappings'!$H744))),ISNUMBER(SEARCH(IF(D$3&lt;&gt;"",D$3,"NA"),'MITRE ATT&amp;CK Mappings'!$I744))),ISNUMBER(SEARCH(IF(D$3&lt;&gt;"",D$3,"NA"),'MITRE ATT&amp;CK Mappings'!$J744))), 'MITRE ATT&amp;CK Mappings'!$B744,"")</f>
        <v/>
      </c>
      <c r="E748" s="26" t="str">
        <f>IF(OR(OR(OR(OR(OR(ISNUMBER(SEARCH(IF(E$1&lt;&gt;"",E$1,"NA"),'MITRE ATT&amp;CK Mappings'!$E744)),ISNUMBER(SEARCH(IF(E$1&lt;&gt;"",E$1,"NA"),'MITRE ATT&amp;CK Mappings'!$F744))),ISNUMBER(SEARCH(IF(E$2&lt;&gt;"",E$2,"NA"),'MITRE ATT&amp;CK Mappings'!$G744))),ISNUMBER(SEARCH(IF(E$2&lt;&gt;"",E$2,"NA"),'MITRE ATT&amp;CK Mappings'!$H744))),ISNUMBER(SEARCH(IF(E$3&lt;&gt;"",E$3,"NA"),'MITRE ATT&amp;CK Mappings'!$I744))),ISNUMBER(SEARCH(IF(E$3&lt;&gt;"",E$3,"NA"),'MITRE ATT&amp;CK Mappings'!$J744))), 'MITRE ATT&amp;CK Mappings'!$B744,"")</f>
        <v/>
      </c>
      <c r="F748" s="26" t="str">
        <f>IF(OR(OR(OR(OR(OR(ISNUMBER(SEARCH(IF(F$1&lt;&gt;"",F$1,"NA"),'MITRE ATT&amp;CK Mappings'!$E744)),ISNUMBER(SEARCH(IF(F$1&lt;&gt;"",F$1,"NA"),'MITRE ATT&amp;CK Mappings'!$F744))),ISNUMBER(SEARCH(IF(F$2&lt;&gt;"",F$2,"NA"),'MITRE ATT&amp;CK Mappings'!$G744))),ISNUMBER(SEARCH(IF(F$2&lt;&gt;"",F$2,"NA"),'MITRE ATT&amp;CK Mappings'!$H744))),ISNUMBER(SEARCH(IF(F$3&lt;&gt;"",F$3,"NA"),'MITRE ATT&amp;CK Mappings'!$I744))),ISNUMBER(SEARCH(IF(F$3&lt;&gt;"",F$3,"NA"),'MITRE ATT&amp;CK Mappings'!$J744))), 'MITRE ATT&amp;CK Mappings'!$B744,"")</f>
        <v/>
      </c>
      <c r="G748" s="26" t="str">
        <f>IF(OR(OR(OR(OR(OR(ISNUMBER(SEARCH(IF(G$1&lt;&gt;"",G$1,"NA"),'MITRE ATT&amp;CK Mappings'!$E744)),ISNUMBER(SEARCH(IF(G$1&lt;&gt;"",G$1,"NA"),'MITRE ATT&amp;CK Mappings'!$F744))),ISNUMBER(SEARCH(IF(G$2&lt;&gt;"",G$2,"NA"),'MITRE ATT&amp;CK Mappings'!$G744))),ISNUMBER(SEARCH(IF(G$2&lt;&gt;"",G$2,"NA"),'MITRE ATT&amp;CK Mappings'!$H744))),ISNUMBER(SEARCH(IF(G$3&lt;&gt;"",G$3,"NA"),'MITRE ATT&amp;CK Mappings'!$I744))),ISNUMBER(SEARCH(IF(G$3&lt;&gt;"",G$3,"NA"),'MITRE ATT&amp;CK Mappings'!$J744))), 'MITRE ATT&amp;CK Mappings'!$B744,"")</f>
        <v/>
      </c>
      <c r="H748" s="26" t="str">
        <f>IF(OR(OR(OR(OR(OR(ISNUMBER(SEARCH(IF(H$1&lt;&gt;"",H$1,"NA"),'MITRE ATT&amp;CK Mappings'!$E744)),ISNUMBER(SEARCH(IF(H$1&lt;&gt;"",H$1,"NA"),'MITRE ATT&amp;CK Mappings'!$F744))),ISNUMBER(SEARCH(IF(H$2&lt;&gt;"",H$2,"NA"),'MITRE ATT&amp;CK Mappings'!$G744))),ISNUMBER(SEARCH(IF(H$2&lt;&gt;"",H$2,"NA"),'MITRE ATT&amp;CK Mappings'!$H744))),ISNUMBER(SEARCH(IF(H$3&lt;&gt;"",H$3,"NA"),'MITRE ATT&amp;CK Mappings'!$I744))),ISNUMBER(SEARCH(IF(H$3&lt;&gt;"",H$3,"NA"),'MITRE ATT&amp;CK Mappings'!$J744))), 'MITRE ATT&amp;CK Mappings'!$B744,"")</f>
        <v/>
      </c>
      <c r="I748" s="26" t="str">
        <f>IF(OR(OR(OR(OR(OR(ISNUMBER(SEARCH(IF(I$1&lt;&gt;"",I$1,"NA"),'MITRE ATT&amp;CK Mappings'!$E744)),ISNUMBER(SEARCH(IF(I$1&lt;&gt;"",I$1,"NA"),'MITRE ATT&amp;CK Mappings'!$F744))),ISNUMBER(SEARCH(IF(I$2&lt;&gt;"",I$2,"NA"),'MITRE ATT&amp;CK Mappings'!$G744))),ISNUMBER(SEARCH(IF(I$2&lt;&gt;"",I$2,"NA"),'MITRE ATT&amp;CK Mappings'!$H744))),ISNUMBER(SEARCH(IF(I$3&lt;&gt;"",I$3,"NA"),'MITRE ATT&amp;CK Mappings'!$I744))),ISNUMBER(SEARCH(IF(I$3&lt;&gt;"",I$3,"NA"),'MITRE ATT&amp;CK Mappings'!$J744))), 'MITRE ATT&amp;CK Mappings'!$B744,"")</f>
        <v/>
      </c>
      <c r="J748" s="26" t="str">
        <f>IF(OR(OR(OR(OR(OR(ISNUMBER(SEARCH(IF(J$1&lt;&gt;"",J$1,"NA"),'MITRE ATT&amp;CK Mappings'!$E744)),ISNUMBER(SEARCH(IF(J$1&lt;&gt;"",J$1,"NA"),'MITRE ATT&amp;CK Mappings'!$F744))),ISNUMBER(SEARCH(IF(J$2&lt;&gt;"",J$2,"NA"),'MITRE ATT&amp;CK Mappings'!$G744))),ISNUMBER(SEARCH(IF(J$2&lt;&gt;"",J$2,"NA"),'MITRE ATT&amp;CK Mappings'!$H744))),ISNUMBER(SEARCH(IF(J$3&lt;&gt;"",J$3,"NA"),'MITRE ATT&amp;CK Mappings'!$I744))),ISNUMBER(SEARCH(IF(J$3&lt;&gt;"",J$3,"NA"),'MITRE ATT&amp;CK Mappings'!$J744))), 'MITRE ATT&amp;CK Mappings'!$B744,"")</f>
        <v/>
      </c>
      <c r="K748" s="26" t="str">
        <f>IF(OR(OR(OR(OR(OR(ISNUMBER(SEARCH(IF(K$1&lt;&gt;"",K$1,"NA"),'MITRE ATT&amp;CK Mappings'!$E744)),ISNUMBER(SEARCH(IF(K$1&lt;&gt;"",K$1,"NA"),'MITRE ATT&amp;CK Mappings'!$F744))),ISNUMBER(SEARCH(IF(K$2&lt;&gt;"",K$2,"NA"),'MITRE ATT&amp;CK Mappings'!$G744))),ISNUMBER(SEARCH(IF(K$2&lt;&gt;"",K$2,"NA"),'MITRE ATT&amp;CK Mappings'!$H744))),ISNUMBER(SEARCH(IF(K$3&lt;&gt;"",K$3,"NA"),'MITRE ATT&amp;CK Mappings'!$I744))),ISNUMBER(SEARCH(IF(K$3&lt;&gt;"",K$3,"NA"),'MITRE ATT&amp;CK Mappings'!$J744))), 'MITRE ATT&amp;CK Mappings'!$B744,"")</f>
        <v/>
      </c>
      <c r="L748" s="26" t="str">
        <f>IF('MITRE ATT&amp;CK Mappings'!D744 &lt;&gt;"",'MITRE ATT&amp;CK Mappings'!D744,"" )</f>
        <v/>
      </c>
    </row>
    <row r="749" spans="1:12" x14ac:dyDescent="0.25">
      <c r="A749" s="27" t="str">
        <f>IF(COUNTIF(B749:K749,"="&amp;'MITRE ATT&amp;CK Mappings'!B745)&gt;0,'MITRE ATT&amp;CK Mappings'!B745,"")</f>
        <v/>
      </c>
      <c r="B749" s="27" t="str">
        <f>IF(OR(OR(OR(OR(OR(ISNUMBER(SEARCH(IF(B$1&lt;&gt;"",B$1,"NA"),'MITRE ATT&amp;CK Mappings'!$E745)),ISNUMBER(SEARCH(IF(B$1&lt;&gt;"",B$1,"NA"),'MITRE ATT&amp;CK Mappings'!$F745))),ISNUMBER(SEARCH(IF(B$2&lt;&gt;"",B$2,"NA"),'MITRE ATT&amp;CK Mappings'!$G745))),ISNUMBER(SEARCH(IF(B$2&lt;&gt;"",B$2,"NA"),'MITRE ATT&amp;CK Mappings'!$H745))),ISNUMBER(SEARCH(IF(B$3&lt;&gt;"",B$3,"NA"),'MITRE ATT&amp;CK Mappings'!$I745))),ISNUMBER(SEARCH(IF(B$3&lt;&gt;"",B$3,"NA"),'MITRE ATT&amp;CK Mappings'!$J745))), 'MITRE ATT&amp;CK Mappings'!$B745,"")</f>
        <v/>
      </c>
      <c r="C749" s="27" t="str">
        <f>IF(OR(OR(OR(OR(OR(ISNUMBER(SEARCH(IF(C$1&lt;&gt;"",C$1,"NA"),'MITRE ATT&amp;CK Mappings'!$E745)),ISNUMBER(SEARCH(IF(C$1&lt;&gt;"",C$1,"NA"),'MITRE ATT&amp;CK Mappings'!$F745))),ISNUMBER(SEARCH(IF(C$2&lt;&gt;"",C$2,"NA"),'MITRE ATT&amp;CK Mappings'!$G745))),ISNUMBER(SEARCH(IF(C$2&lt;&gt;"",C$2,"NA"),'MITRE ATT&amp;CK Mappings'!$H745))),ISNUMBER(SEARCH(IF(C$3&lt;&gt;"",C$3,"NA"),'MITRE ATT&amp;CK Mappings'!$I745))),ISNUMBER(SEARCH(IF(C$3&lt;&gt;"",C$3,"NA"),'MITRE ATT&amp;CK Mappings'!$J745))), 'MITRE ATT&amp;CK Mappings'!$B745,"")</f>
        <v/>
      </c>
      <c r="D749" s="27" t="str">
        <f>IF(OR(OR(OR(OR(OR(ISNUMBER(SEARCH(IF(D$1&lt;&gt;"",D$1,"NA"),'MITRE ATT&amp;CK Mappings'!$E745)),ISNUMBER(SEARCH(IF(D$1&lt;&gt;"",D$1,"NA"),'MITRE ATT&amp;CK Mappings'!$F745))),ISNUMBER(SEARCH(IF(D$2&lt;&gt;"",D$2,"NA"),'MITRE ATT&amp;CK Mappings'!$G745))),ISNUMBER(SEARCH(IF(D$2&lt;&gt;"",D$2,"NA"),'MITRE ATT&amp;CK Mappings'!$H745))),ISNUMBER(SEARCH(IF(D$3&lt;&gt;"",D$3,"NA"),'MITRE ATT&amp;CK Mappings'!$I745))),ISNUMBER(SEARCH(IF(D$3&lt;&gt;"",D$3,"NA"),'MITRE ATT&amp;CK Mappings'!$J745))), 'MITRE ATT&amp;CK Mappings'!$B745,"")</f>
        <v/>
      </c>
      <c r="E749" s="27" t="str">
        <f>IF(OR(OR(OR(OR(OR(ISNUMBER(SEARCH(IF(E$1&lt;&gt;"",E$1,"NA"),'MITRE ATT&amp;CK Mappings'!$E745)),ISNUMBER(SEARCH(IF(E$1&lt;&gt;"",E$1,"NA"),'MITRE ATT&amp;CK Mappings'!$F745))),ISNUMBER(SEARCH(IF(E$2&lt;&gt;"",E$2,"NA"),'MITRE ATT&amp;CK Mappings'!$G745))),ISNUMBER(SEARCH(IF(E$2&lt;&gt;"",E$2,"NA"),'MITRE ATT&amp;CK Mappings'!$H745))),ISNUMBER(SEARCH(IF(E$3&lt;&gt;"",E$3,"NA"),'MITRE ATT&amp;CK Mappings'!$I745))),ISNUMBER(SEARCH(IF(E$3&lt;&gt;"",E$3,"NA"),'MITRE ATT&amp;CK Mappings'!$J745))), 'MITRE ATT&amp;CK Mappings'!$B745,"")</f>
        <v/>
      </c>
      <c r="F749" s="27" t="str">
        <f>IF(OR(OR(OR(OR(OR(ISNUMBER(SEARCH(IF(F$1&lt;&gt;"",F$1,"NA"),'MITRE ATT&amp;CK Mappings'!$E745)),ISNUMBER(SEARCH(IF(F$1&lt;&gt;"",F$1,"NA"),'MITRE ATT&amp;CK Mappings'!$F745))),ISNUMBER(SEARCH(IF(F$2&lt;&gt;"",F$2,"NA"),'MITRE ATT&amp;CK Mappings'!$G745))),ISNUMBER(SEARCH(IF(F$2&lt;&gt;"",F$2,"NA"),'MITRE ATT&amp;CK Mappings'!$H745))),ISNUMBER(SEARCH(IF(F$3&lt;&gt;"",F$3,"NA"),'MITRE ATT&amp;CK Mappings'!$I745))),ISNUMBER(SEARCH(IF(F$3&lt;&gt;"",F$3,"NA"),'MITRE ATT&amp;CK Mappings'!$J745))), 'MITRE ATT&amp;CK Mappings'!$B745,"")</f>
        <v/>
      </c>
      <c r="G749" s="27" t="str">
        <f>IF(OR(OR(OR(OR(OR(ISNUMBER(SEARCH(IF(G$1&lt;&gt;"",G$1,"NA"),'MITRE ATT&amp;CK Mappings'!$E745)),ISNUMBER(SEARCH(IF(G$1&lt;&gt;"",G$1,"NA"),'MITRE ATT&amp;CK Mappings'!$F745))),ISNUMBER(SEARCH(IF(G$2&lt;&gt;"",G$2,"NA"),'MITRE ATT&amp;CK Mappings'!$G745))),ISNUMBER(SEARCH(IF(G$2&lt;&gt;"",G$2,"NA"),'MITRE ATT&amp;CK Mappings'!$H745))),ISNUMBER(SEARCH(IF(G$3&lt;&gt;"",G$3,"NA"),'MITRE ATT&amp;CK Mappings'!$I745))),ISNUMBER(SEARCH(IF(G$3&lt;&gt;"",G$3,"NA"),'MITRE ATT&amp;CK Mappings'!$J745))), 'MITRE ATT&amp;CK Mappings'!$B745,"")</f>
        <v/>
      </c>
      <c r="H749" s="27" t="str">
        <f>IF(OR(OR(OR(OR(OR(ISNUMBER(SEARCH(IF(H$1&lt;&gt;"",H$1,"NA"),'MITRE ATT&amp;CK Mappings'!$E745)),ISNUMBER(SEARCH(IF(H$1&lt;&gt;"",H$1,"NA"),'MITRE ATT&amp;CK Mappings'!$F745))),ISNUMBER(SEARCH(IF(H$2&lt;&gt;"",H$2,"NA"),'MITRE ATT&amp;CK Mappings'!$G745))),ISNUMBER(SEARCH(IF(H$2&lt;&gt;"",H$2,"NA"),'MITRE ATT&amp;CK Mappings'!$H745))),ISNUMBER(SEARCH(IF(H$3&lt;&gt;"",H$3,"NA"),'MITRE ATT&amp;CK Mappings'!$I745))),ISNUMBER(SEARCH(IF(H$3&lt;&gt;"",H$3,"NA"),'MITRE ATT&amp;CK Mappings'!$J745))), 'MITRE ATT&amp;CK Mappings'!$B745,"")</f>
        <v/>
      </c>
      <c r="I749" s="27" t="str">
        <f>IF(OR(OR(OR(OR(OR(ISNUMBER(SEARCH(IF(I$1&lt;&gt;"",I$1,"NA"),'MITRE ATT&amp;CK Mappings'!$E745)),ISNUMBER(SEARCH(IF(I$1&lt;&gt;"",I$1,"NA"),'MITRE ATT&amp;CK Mappings'!$F745))),ISNUMBER(SEARCH(IF(I$2&lt;&gt;"",I$2,"NA"),'MITRE ATT&amp;CK Mappings'!$G745))),ISNUMBER(SEARCH(IF(I$2&lt;&gt;"",I$2,"NA"),'MITRE ATT&amp;CK Mappings'!$H745))),ISNUMBER(SEARCH(IF(I$3&lt;&gt;"",I$3,"NA"),'MITRE ATT&amp;CK Mappings'!$I745))),ISNUMBER(SEARCH(IF(I$3&lt;&gt;"",I$3,"NA"),'MITRE ATT&amp;CK Mappings'!$J745))), 'MITRE ATT&amp;CK Mappings'!$B745,"")</f>
        <v/>
      </c>
      <c r="J749" s="27" t="str">
        <f>IF(OR(OR(OR(OR(OR(ISNUMBER(SEARCH(IF(J$1&lt;&gt;"",J$1,"NA"),'MITRE ATT&amp;CK Mappings'!$E745)),ISNUMBER(SEARCH(IF(J$1&lt;&gt;"",J$1,"NA"),'MITRE ATT&amp;CK Mappings'!$F745))),ISNUMBER(SEARCH(IF(J$2&lt;&gt;"",J$2,"NA"),'MITRE ATT&amp;CK Mappings'!$G745))),ISNUMBER(SEARCH(IF(J$2&lt;&gt;"",J$2,"NA"),'MITRE ATT&amp;CK Mappings'!$H745))),ISNUMBER(SEARCH(IF(J$3&lt;&gt;"",J$3,"NA"),'MITRE ATT&amp;CK Mappings'!$I745))),ISNUMBER(SEARCH(IF(J$3&lt;&gt;"",J$3,"NA"),'MITRE ATT&amp;CK Mappings'!$J745))), 'MITRE ATT&amp;CK Mappings'!$B745,"")</f>
        <v/>
      </c>
      <c r="K749" s="27" t="str">
        <f>IF(OR(OR(OR(OR(OR(ISNUMBER(SEARCH(IF(K$1&lt;&gt;"",K$1,"NA"),'MITRE ATT&amp;CK Mappings'!$E745)),ISNUMBER(SEARCH(IF(K$1&lt;&gt;"",K$1,"NA"),'MITRE ATT&amp;CK Mappings'!$F745))),ISNUMBER(SEARCH(IF(K$2&lt;&gt;"",K$2,"NA"),'MITRE ATT&amp;CK Mappings'!$G745))),ISNUMBER(SEARCH(IF(K$2&lt;&gt;"",K$2,"NA"),'MITRE ATT&amp;CK Mappings'!$H745))),ISNUMBER(SEARCH(IF(K$3&lt;&gt;"",K$3,"NA"),'MITRE ATT&amp;CK Mappings'!$I745))),ISNUMBER(SEARCH(IF(K$3&lt;&gt;"",K$3,"NA"),'MITRE ATT&amp;CK Mappings'!$J745))), 'MITRE ATT&amp;CK Mappings'!$B745,"")</f>
        <v/>
      </c>
      <c r="L749" s="27" t="str">
        <f>IF('MITRE ATT&amp;CK Mappings'!D745 &lt;&gt;"",'MITRE ATT&amp;CK Mappings'!D745,"" )</f>
        <v/>
      </c>
    </row>
    <row r="750" spans="1:12" x14ac:dyDescent="0.25">
      <c r="A750" s="26" t="str">
        <f>IF(COUNTIF(B750:K750,"="&amp;'MITRE ATT&amp;CK Mappings'!B746)&gt;0,'MITRE ATT&amp;CK Mappings'!B746,"")</f>
        <v/>
      </c>
      <c r="B750" s="26" t="str">
        <f>IF(OR(OR(OR(OR(OR(ISNUMBER(SEARCH(IF(B$1&lt;&gt;"",B$1,"NA"),'MITRE ATT&amp;CK Mappings'!$E746)),ISNUMBER(SEARCH(IF(B$1&lt;&gt;"",B$1,"NA"),'MITRE ATT&amp;CK Mappings'!$F746))),ISNUMBER(SEARCH(IF(B$2&lt;&gt;"",B$2,"NA"),'MITRE ATT&amp;CK Mappings'!$G746))),ISNUMBER(SEARCH(IF(B$2&lt;&gt;"",B$2,"NA"),'MITRE ATT&amp;CK Mappings'!$H746))),ISNUMBER(SEARCH(IF(B$3&lt;&gt;"",B$3,"NA"),'MITRE ATT&amp;CK Mappings'!$I746))),ISNUMBER(SEARCH(IF(B$3&lt;&gt;"",B$3,"NA"),'MITRE ATT&amp;CK Mappings'!$J746))), 'MITRE ATT&amp;CK Mappings'!$B746,"")</f>
        <v/>
      </c>
      <c r="C750" s="26" t="str">
        <f>IF(OR(OR(OR(OR(OR(ISNUMBER(SEARCH(IF(C$1&lt;&gt;"",C$1,"NA"),'MITRE ATT&amp;CK Mappings'!$E746)),ISNUMBER(SEARCH(IF(C$1&lt;&gt;"",C$1,"NA"),'MITRE ATT&amp;CK Mappings'!$F746))),ISNUMBER(SEARCH(IF(C$2&lt;&gt;"",C$2,"NA"),'MITRE ATT&amp;CK Mappings'!$G746))),ISNUMBER(SEARCH(IF(C$2&lt;&gt;"",C$2,"NA"),'MITRE ATT&amp;CK Mappings'!$H746))),ISNUMBER(SEARCH(IF(C$3&lt;&gt;"",C$3,"NA"),'MITRE ATT&amp;CK Mappings'!$I746))),ISNUMBER(SEARCH(IF(C$3&lt;&gt;"",C$3,"NA"),'MITRE ATT&amp;CK Mappings'!$J746))), 'MITRE ATT&amp;CK Mappings'!$B746,"")</f>
        <v/>
      </c>
      <c r="D750" s="26" t="str">
        <f>IF(OR(OR(OR(OR(OR(ISNUMBER(SEARCH(IF(D$1&lt;&gt;"",D$1,"NA"),'MITRE ATT&amp;CK Mappings'!$E746)),ISNUMBER(SEARCH(IF(D$1&lt;&gt;"",D$1,"NA"),'MITRE ATT&amp;CK Mappings'!$F746))),ISNUMBER(SEARCH(IF(D$2&lt;&gt;"",D$2,"NA"),'MITRE ATT&amp;CK Mappings'!$G746))),ISNUMBER(SEARCH(IF(D$2&lt;&gt;"",D$2,"NA"),'MITRE ATT&amp;CK Mappings'!$H746))),ISNUMBER(SEARCH(IF(D$3&lt;&gt;"",D$3,"NA"),'MITRE ATT&amp;CK Mappings'!$I746))),ISNUMBER(SEARCH(IF(D$3&lt;&gt;"",D$3,"NA"),'MITRE ATT&amp;CK Mappings'!$J746))), 'MITRE ATT&amp;CK Mappings'!$B746,"")</f>
        <v/>
      </c>
      <c r="E750" s="26" t="str">
        <f>IF(OR(OR(OR(OR(OR(ISNUMBER(SEARCH(IF(E$1&lt;&gt;"",E$1,"NA"),'MITRE ATT&amp;CK Mappings'!$E746)),ISNUMBER(SEARCH(IF(E$1&lt;&gt;"",E$1,"NA"),'MITRE ATT&amp;CK Mappings'!$F746))),ISNUMBER(SEARCH(IF(E$2&lt;&gt;"",E$2,"NA"),'MITRE ATT&amp;CK Mappings'!$G746))),ISNUMBER(SEARCH(IF(E$2&lt;&gt;"",E$2,"NA"),'MITRE ATT&amp;CK Mappings'!$H746))),ISNUMBER(SEARCH(IF(E$3&lt;&gt;"",E$3,"NA"),'MITRE ATT&amp;CK Mappings'!$I746))),ISNUMBER(SEARCH(IF(E$3&lt;&gt;"",E$3,"NA"),'MITRE ATT&amp;CK Mappings'!$J746))), 'MITRE ATT&amp;CK Mappings'!$B746,"")</f>
        <v/>
      </c>
      <c r="F750" s="26" t="str">
        <f>IF(OR(OR(OR(OR(OR(ISNUMBER(SEARCH(IF(F$1&lt;&gt;"",F$1,"NA"),'MITRE ATT&amp;CK Mappings'!$E746)),ISNUMBER(SEARCH(IF(F$1&lt;&gt;"",F$1,"NA"),'MITRE ATT&amp;CK Mappings'!$F746))),ISNUMBER(SEARCH(IF(F$2&lt;&gt;"",F$2,"NA"),'MITRE ATT&amp;CK Mappings'!$G746))),ISNUMBER(SEARCH(IF(F$2&lt;&gt;"",F$2,"NA"),'MITRE ATT&amp;CK Mappings'!$H746))),ISNUMBER(SEARCH(IF(F$3&lt;&gt;"",F$3,"NA"),'MITRE ATT&amp;CK Mappings'!$I746))),ISNUMBER(SEARCH(IF(F$3&lt;&gt;"",F$3,"NA"),'MITRE ATT&amp;CK Mappings'!$J746))), 'MITRE ATT&amp;CK Mappings'!$B746,"")</f>
        <v/>
      </c>
      <c r="G750" s="26" t="str">
        <f>IF(OR(OR(OR(OR(OR(ISNUMBER(SEARCH(IF(G$1&lt;&gt;"",G$1,"NA"),'MITRE ATT&amp;CK Mappings'!$E746)),ISNUMBER(SEARCH(IF(G$1&lt;&gt;"",G$1,"NA"),'MITRE ATT&amp;CK Mappings'!$F746))),ISNUMBER(SEARCH(IF(G$2&lt;&gt;"",G$2,"NA"),'MITRE ATT&amp;CK Mappings'!$G746))),ISNUMBER(SEARCH(IF(G$2&lt;&gt;"",G$2,"NA"),'MITRE ATT&amp;CK Mappings'!$H746))),ISNUMBER(SEARCH(IF(G$3&lt;&gt;"",G$3,"NA"),'MITRE ATT&amp;CK Mappings'!$I746))),ISNUMBER(SEARCH(IF(G$3&lt;&gt;"",G$3,"NA"),'MITRE ATT&amp;CK Mappings'!$J746))), 'MITRE ATT&amp;CK Mappings'!$B746,"")</f>
        <v/>
      </c>
      <c r="H750" s="26" t="str">
        <f>IF(OR(OR(OR(OR(OR(ISNUMBER(SEARCH(IF(H$1&lt;&gt;"",H$1,"NA"),'MITRE ATT&amp;CK Mappings'!$E746)),ISNUMBER(SEARCH(IF(H$1&lt;&gt;"",H$1,"NA"),'MITRE ATT&amp;CK Mappings'!$F746))),ISNUMBER(SEARCH(IF(H$2&lt;&gt;"",H$2,"NA"),'MITRE ATT&amp;CK Mappings'!$G746))),ISNUMBER(SEARCH(IF(H$2&lt;&gt;"",H$2,"NA"),'MITRE ATT&amp;CK Mappings'!$H746))),ISNUMBER(SEARCH(IF(H$3&lt;&gt;"",H$3,"NA"),'MITRE ATT&amp;CK Mappings'!$I746))),ISNUMBER(SEARCH(IF(H$3&lt;&gt;"",H$3,"NA"),'MITRE ATT&amp;CK Mappings'!$J746))), 'MITRE ATT&amp;CK Mappings'!$B746,"")</f>
        <v/>
      </c>
      <c r="I750" s="26" t="str">
        <f>IF(OR(OR(OR(OR(OR(ISNUMBER(SEARCH(IF(I$1&lt;&gt;"",I$1,"NA"),'MITRE ATT&amp;CK Mappings'!$E746)),ISNUMBER(SEARCH(IF(I$1&lt;&gt;"",I$1,"NA"),'MITRE ATT&amp;CK Mappings'!$F746))),ISNUMBER(SEARCH(IF(I$2&lt;&gt;"",I$2,"NA"),'MITRE ATT&amp;CK Mappings'!$G746))),ISNUMBER(SEARCH(IF(I$2&lt;&gt;"",I$2,"NA"),'MITRE ATT&amp;CK Mappings'!$H746))),ISNUMBER(SEARCH(IF(I$3&lt;&gt;"",I$3,"NA"),'MITRE ATT&amp;CK Mappings'!$I746))),ISNUMBER(SEARCH(IF(I$3&lt;&gt;"",I$3,"NA"),'MITRE ATT&amp;CK Mappings'!$J746))), 'MITRE ATT&amp;CK Mappings'!$B746,"")</f>
        <v/>
      </c>
      <c r="J750" s="26" t="str">
        <f>IF(OR(OR(OR(OR(OR(ISNUMBER(SEARCH(IF(J$1&lt;&gt;"",J$1,"NA"),'MITRE ATT&amp;CK Mappings'!$E746)),ISNUMBER(SEARCH(IF(J$1&lt;&gt;"",J$1,"NA"),'MITRE ATT&amp;CK Mappings'!$F746))),ISNUMBER(SEARCH(IF(J$2&lt;&gt;"",J$2,"NA"),'MITRE ATT&amp;CK Mappings'!$G746))),ISNUMBER(SEARCH(IF(J$2&lt;&gt;"",J$2,"NA"),'MITRE ATT&amp;CK Mappings'!$H746))),ISNUMBER(SEARCH(IF(J$3&lt;&gt;"",J$3,"NA"),'MITRE ATT&amp;CK Mappings'!$I746))),ISNUMBER(SEARCH(IF(J$3&lt;&gt;"",J$3,"NA"),'MITRE ATT&amp;CK Mappings'!$J746))), 'MITRE ATT&amp;CK Mappings'!$B746,"")</f>
        <v/>
      </c>
      <c r="K750" s="26" t="str">
        <f>IF(OR(OR(OR(OR(OR(ISNUMBER(SEARCH(IF(K$1&lt;&gt;"",K$1,"NA"),'MITRE ATT&amp;CK Mappings'!$E746)),ISNUMBER(SEARCH(IF(K$1&lt;&gt;"",K$1,"NA"),'MITRE ATT&amp;CK Mappings'!$F746))),ISNUMBER(SEARCH(IF(K$2&lt;&gt;"",K$2,"NA"),'MITRE ATT&amp;CK Mappings'!$G746))),ISNUMBER(SEARCH(IF(K$2&lt;&gt;"",K$2,"NA"),'MITRE ATT&amp;CK Mappings'!$H746))),ISNUMBER(SEARCH(IF(K$3&lt;&gt;"",K$3,"NA"),'MITRE ATT&amp;CK Mappings'!$I746))),ISNUMBER(SEARCH(IF(K$3&lt;&gt;"",K$3,"NA"),'MITRE ATT&amp;CK Mappings'!$J746))), 'MITRE ATT&amp;CK Mappings'!$B746,"")</f>
        <v/>
      </c>
      <c r="L750" s="26" t="str">
        <f>IF('MITRE ATT&amp;CK Mappings'!D746 &lt;&gt;"",'MITRE ATT&amp;CK Mappings'!D746,"" )</f>
        <v/>
      </c>
    </row>
    <row r="751" spans="1:12" x14ac:dyDescent="0.25">
      <c r="A751" s="27" t="str">
        <f>IF(COUNTIF(B751:K751,"="&amp;'MITRE ATT&amp;CK Mappings'!B747)&gt;0,'MITRE ATT&amp;CK Mappings'!B747,"")</f>
        <v/>
      </c>
      <c r="B751" s="27" t="str">
        <f>IF(OR(OR(OR(OR(OR(ISNUMBER(SEARCH(IF(B$1&lt;&gt;"",B$1,"NA"),'MITRE ATT&amp;CK Mappings'!$E747)),ISNUMBER(SEARCH(IF(B$1&lt;&gt;"",B$1,"NA"),'MITRE ATT&amp;CK Mappings'!$F747))),ISNUMBER(SEARCH(IF(B$2&lt;&gt;"",B$2,"NA"),'MITRE ATT&amp;CK Mappings'!$G747))),ISNUMBER(SEARCH(IF(B$2&lt;&gt;"",B$2,"NA"),'MITRE ATT&amp;CK Mappings'!$H747))),ISNUMBER(SEARCH(IF(B$3&lt;&gt;"",B$3,"NA"),'MITRE ATT&amp;CK Mappings'!$I747))),ISNUMBER(SEARCH(IF(B$3&lt;&gt;"",B$3,"NA"),'MITRE ATT&amp;CK Mappings'!$J747))), 'MITRE ATT&amp;CK Mappings'!$B747,"")</f>
        <v/>
      </c>
      <c r="C751" s="27" t="str">
        <f>IF(OR(OR(OR(OR(OR(ISNUMBER(SEARCH(IF(C$1&lt;&gt;"",C$1,"NA"),'MITRE ATT&amp;CK Mappings'!$E747)),ISNUMBER(SEARCH(IF(C$1&lt;&gt;"",C$1,"NA"),'MITRE ATT&amp;CK Mappings'!$F747))),ISNUMBER(SEARCH(IF(C$2&lt;&gt;"",C$2,"NA"),'MITRE ATT&amp;CK Mappings'!$G747))),ISNUMBER(SEARCH(IF(C$2&lt;&gt;"",C$2,"NA"),'MITRE ATT&amp;CK Mappings'!$H747))),ISNUMBER(SEARCH(IF(C$3&lt;&gt;"",C$3,"NA"),'MITRE ATT&amp;CK Mappings'!$I747))),ISNUMBER(SEARCH(IF(C$3&lt;&gt;"",C$3,"NA"),'MITRE ATT&amp;CK Mappings'!$J747))), 'MITRE ATT&amp;CK Mappings'!$B747,"")</f>
        <v/>
      </c>
      <c r="D751" s="27" t="str">
        <f>IF(OR(OR(OR(OR(OR(ISNUMBER(SEARCH(IF(D$1&lt;&gt;"",D$1,"NA"),'MITRE ATT&amp;CK Mappings'!$E747)),ISNUMBER(SEARCH(IF(D$1&lt;&gt;"",D$1,"NA"),'MITRE ATT&amp;CK Mappings'!$F747))),ISNUMBER(SEARCH(IF(D$2&lt;&gt;"",D$2,"NA"),'MITRE ATT&amp;CK Mappings'!$G747))),ISNUMBER(SEARCH(IF(D$2&lt;&gt;"",D$2,"NA"),'MITRE ATT&amp;CK Mappings'!$H747))),ISNUMBER(SEARCH(IF(D$3&lt;&gt;"",D$3,"NA"),'MITRE ATT&amp;CK Mappings'!$I747))),ISNUMBER(SEARCH(IF(D$3&lt;&gt;"",D$3,"NA"),'MITRE ATT&amp;CK Mappings'!$J747))), 'MITRE ATT&amp;CK Mappings'!$B747,"")</f>
        <v/>
      </c>
      <c r="E751" s="27" t="str">
        <f>IF(OR(OR(OR(OR(OR(ISNUMBER(SEARCH(IF(E$1&lt;&gt;"",E$1,"NA"),'MITRE ATT&amp;CK Mappings'!$E747)),ISNUMBER(SEARCH(IF(E$1&lt;&gt;"",E$1,"NA"),'MITRE ATT&amp;CK Mappings'!$F747))),ISNUMBER(SEARCH(IF(E$2&lt;&gt;"",E$2,"NA"),'MITRE ATT&amp;CK Mappings'!$G747))),ISNUMBER(SEARCH(IF(E$2&lt;&gt;"",E$2,"NA"),'MITRE ATT&amp;CK Mappings'!$H747))),ISNUMBER(SEARCH(IF(E$3&lt;&gt;"",E$3,"NA"),'MITRE ATT&amp;CK Mappings'!$I747))),ISNUMBER(SEARCH(IF(E$3&lt;&gt;"",E$3,"NA"),'MITRE ATT&amp;CK Mappings'!$J747))), 'MITRE ATT&amp;CK Mappings'!$B747,"")</f>
        <v/>
      </c>
      <c r="F751" s="27" t="str">
        <f>IF(OR(OR(OR(OR(OR(ISNUMBER(SEARCH(IF(F$1&lt;&gt;"",F$1,"NA"),'MITRE ATT&amp;CK Mappings'!$E747)),ISNUMBER(SEARCH(IF(F$1&lt;&gt;"",F$1,"NA"),'MITRE ATT&amp;CK Mappings'!$F747))),ISNUMBER(SEARCH(IF(F$2&lt;&gt;"",F$2,"NA"),'MITRE ATT&amp;CK Mappings'!$G747))),ISNUMBER(SEARCH(IF(F$2&lt;&gt;"",F$2,"NA"),'MITRE ATT&amp;CK Mappings'!$H747))),ISNUMBER(SEARCH(IF(F$3&lt;&gt;"",F$3,"NA"),'MITRE ATT&amp;CK Mappings'!$I747))),ISNUMBER(SEARCH(IF(F$3&lt;&gt;"",F$3,"NA"),'MITRE ATT&amp;CK Mappings'!$J747))), 'MITRE ATT&amp;CK Mappings'!$B747,"")</f>
        <v/>
      </c>
      <c r="G751" s="27" t="str">
        <f>IF(OR(OR(OR(OR(OR(ISNUMBER(SEARCH(IF(G$1&lt;&gt;"",G$1,"NA"),'MITRE ATT&amp;CK Mappings'!$E747)),ISNUMBER(SEARCH(IF(G$1&lt;&gt;"",G$1,"NA"),'MITRE ATT&amp;CK Mappings'!$F747))),ISNUMBER(SEARCH(IF(G$2&lt;&gt;"",G$2,"NA"),'MITRE ATT&amp;CK Mappings'!$G747))),ISNUMBER(SEARCH(IF(G$2&lt;&gt;"",G$2,"NA"),'MITRE ATT&amp;CK Mappings'!$H747))),ISNUMBER(SEARCH(IF(G$3&lt;&gt;"",G$3,"NA"),'MITRE ATT&amp;CK Mappings'!$I747))),ISNUMBER(SEARCH(IF(G$3&lt;&gt;"",G$3,"NA"),'MITRE ATT&amp;CK Mappings'!$J747))), 'MITRE ATT&amp;CK Mappings'!$B747,"")</f>
        <v/>
      </c>
      <c r="H751" s="27" t="str">
        <f>IF(OR(OR(OR(OR(OR(ISNUMBER(SEARCH(IF(H$1&lt;&gt;"",H$1,"NA"),'MITRE ATT&amp;CK Mappings'!$E747)),ISNUMBER(SEARCH(IF(H$1&lt;&gt;"",H$1,"NA"),'MITRE ATT&amp;CK Mappings'!$F747))),ISNUMBER(SEARCH(IF(H$2&lt;&gt;"",H$2,"NA"),'MITRE ATT&amp;CK Mappings'!$G747))),ISNUMBER(SEARCH(IF(H$2&lt;&gt;"",H$2,"NA"),'MITRE ATT&amp;CK Mappings'!$H747))),ISNUMBER(SEARCH(IF(H$3&lt;&gt;"",H$3,"NA"),'MITRE ATT&amp;CK Mappings'!$I747))),ISNUMBER(SEARCH(IF(H$3&lt;&gt;"",H$3,"NA"),'MITRE ATT&amp;CK Mappings'!$J747))), 'MITRE ATT&amp;CK Mappings'!$B747,"")</f>
        <v/>
      </c>
      <c r="I751" s="27" t="str">
        <f>IF(OR(OR(OR(OR(OR(ISNUMBER(SEARCH(IF(I$1&lt;&gt;"",I$1,"NA"),'MITRE ATT&amp;CK Mappings'!$E747)),ISNUMBER(SEARCH(IF(I$1&lt;&gt;"",I$1,"NA"),'MITRE ATT&amp;CK Mappings'!$F747))),ISNUMBER(SEARCH(IF(I$2&lt;&gt;"",I$2,"NA"),'MITRE ATT&amp;CK Mappings'!$G747))),ISNUMBER(SEARCH(IF(I$2&lt;&gt;"",I$2,"NA"),'MITRE ATT&amp;CK Mappings'!$H747))),ISNUMBER(SEARCH(IF(I$3&lt;&gt;"",I$3,"NA"),'MITRE ATT&amp;CK Mappings'!$I747))),ISNUMBER(SEARCH(IF(I$3&lt;&gt;"",I$3,"NA"),'MITRE ATT&amp;CK Mappings'!$J747))), 'MITRE ATT&amp;CK Mappings'!$B747,"")</f>
        <v/>
      </c>
      <c r="J751" s="27" t="str">
        <f>IF(OR(OR(OR(OR(OR(ISNUMBER(SEARCH(IF(J$1&lt;&gt;"",J$1,"NA"),'MITRE ATT&amp;CK Mappings'!$E747)),ISNUMBER(SEARCH(IF(J$1&lt;&gt;"",J$1,"NA"),'MITRE ATT&amp;CK Mappings'!$F747))),ISNUMBER(SEARCH(IF(J$2&lt;&gt;"",J$2,"NA"),'MITRE ATT&amp;CK Mappings'!$G747))),ISNUMBER(SEARCH(IF(J$2&lt;&gt;"",J$2,"NA"),'MITRE ATT&amp;CK Mappings'!$H747))),ISNUMBER(SEARCH(IF(J$3&lt;&gt;"",J$3,"NA"),'MITRE ATT&amp;CK Mappings'!$I747))),ISNUMBER(SEARCH(IF(J$3&lt;&gt;"",J$3,"NA"),'MITRE ATT&amp;CK Mappings'!$J747))), 'MITRE ATT&amp;CK Mappings'!$B747,"")</f>
        <v/>
      </c>
      <c r="K751" s="27" t="str">
        <f>IF(OR(OR(OR(OR(OR(ISNUMBER(SEARCH(IF(K$1&lt;&gt;"",K$1,"NA"),'MITRE ATT&amp;CK Mappings'!$E747)),ISNUMBER(SEARCH(IF(K$1&lt;&gt;"",K$1,"NA"),'MITRE ATT&amp;CK Mappings'!$F747))),ISNUMBER(SEARCH(IF(K$2&lt;&gt;"",K$2,"NA"),'MITRE ATT&amp;CK Mappings'!$G747))),ISNUMBER(SEARCH(IF(K$2&lt;&gt;"",K$2,"NA"),'MITRE ATT&amp;CK Mappings'!$H747))),ISNUMBER(SEARCH(IF(K$3&lt;&gt;"",K$3,"NA"),'MITRE ATT&amp;CK Mappings'!$I747))),ISNUMBER(SEARCH(IF(K$3&lt;&gt;"",K$3,"NA"),'MITRE ATT&amp;CK Mappings'!$J747))), 'MITRE ATT&amp;CK Mappings'!$B747,"")</f>
        <v/>
      </c>
      <c r="L751" s="27" t="str">
        <f>IF('MITRE ATT&amp;CK Mappings'!D747 &lt;&gt;"",'MITRE ATT&amp;CK Mappings'!D747,"" )</f>
        <v/>
      </c>
    </row>
    <row r="752" spans="1:12" x14ac:dyDescent="0.25">
      <c r="A752" s="26" t="str">
        <f>IF(COUNTIF(B752:K752,"="&amp;'MITRE ATT&amp;CK Mappings'!B748)&gt;0,'MITRE ATT&amp;CK Mappings'!B748,"")</f>
        <v/>
      </c>
      <c r="B752" s="26" t="str">
        <f>IF(OR(OR(OR(OR(OR(ISNUMBER(SEARCH(IF(B$1&lt;&gt;"",B$1,"NA"),'MITRE ATT&amp;CK Mappings'!$E748)),ISNUMBER(SEARCH(IF(B$1&lt;&gt;"",B$1,"NA"),'MITRE ATT&amp;CK Mappings'!$F748))),ISNUMBER(SEARCH(IF(B$2&lt;&gt;"",B$2,"NA"),'MITRE ATT&amp;CK Mappings'!$G748))),ISNUMBER(SEARCH(IF(B$2&lt;&gt;"",B$2,"NA"),'MITRE ATT&amp;CK Mappings'!$H748))),ISNUMBER(SEARCH(IF(B$3&lt;&gt;"",B$3,"NA"),'MITRE ATT&amp;CK Mappings'!$I748))),ISNUMBER(SEARCH(IF(B$3&lt;&gt;"",B$3,"NA"),'MITRE ATT&amp;CK Mappings'!$J748))), 'MITRE ATT&amp;CK Mappings'!$B748,"")</f>
        <v/>
      </c>
      <c r="C752" s="26" t="str">
        <f>IF(OR(OR(OR(OR(OR(ISNUMBER(SEARCH(IF(C$1&lt;&gt;"",C$1,"NA"),'MITRE ATT&amp;CK Mappings'!$E748)),ISNUMBER(SEARCH(IF(C$1&lt;&gt;"",C$1,"NA"),'MITRE ATT&amp;CK Mappings'!$F748))),ISNUMBER(SEARCH(IF(C$2&lt;&gt;"",C$2,"NA"),'MITRE ATT&amp;CK Mappings'!$G748))),ISNUMBER(SEARCH(IF(C$2&lt;&gt;"",C$2,"NA"),'MITRE ATT&amp;CK Mappings'!$H748))),ISNUMBER(SEARCH(IF(C$3&lt;&gt;"",C$3,"NA"),'MITRE ATT&amp;CK Mappings'!$I748))),ISNUMBER(SEARCH(IF(C$3&lt;&gt;"",C$3,"NA"),'MITRE ATT&amp;CK Mappings'!$J748))), 'MITRE ATT&amp;CK Mappings'!$B748,"")</f>
        <v/>
      </c>
      <c r="D752" s="26" t="str">
        <f>IF(OR(OR(OR(OR(OR(ISNUMBER(SEARCH(IF(D$1&lt;&gt;"",D$1,"NA"),'MITRE ATT&amp;CK Mappings'!$E748)),ISNUMBER(SEARCH(IF(D$1&lt;&gt;"",D$1,"NA"),'MITRE ATT&amp;CK Mappings'!$F748))),ISNUMBER(SEARCH(IF(D$2&lt;&gt;"",D$2,"NA"),'MITRE ATT&amp;CK Mappings'!$G748))),ISNUMBER(SEARCH(IF(D$2&lt;&gt;"",D$2,"NA"),'MITRE ATT&amp;CK Mappings'!$H748))),ISNUMBER(SEARCH(IF(D$3&lt;&gt;"",D$3,"NA"),'MITRE ATT&amp;CK Mappings'!$I748))),ISNUMBER(SEARCH(IF(D$3&lt;&gt;"",D$3,"NA"),'MITRE ATT&amp;CK Mappings'!$J748))), 'MITRE ATT&amp;CK Mappings'!$B748,"")</f>
        <v/>
      </c>
      <c r="E752" s="26" t="str">
        <f>IF(OR(OR(OR(OR(OR(ISNUMBER(SEARCH(IF(E$1&lt;&gt;"",E$1,"NA"),'MITRE ATT&amp;CK Mappings'!$E748)),ISNUMBER(SEARCH(IF(E$1&lt;&gt;"",E$1,"NA"),'MITRE ATT&amp;CK Mappings'!$F748))),ISNUMBER(SEARCH(IF(E$2&lt;&gt;"",E$2,"NA"),'MITRE ATT&amp;CK Mappings'!$G748))),ISNUMBER(SEARCH(IF(E$2&lt;&gt;"",E$2,"NA"),'MITRE ATT&amp;CK Mappings'!$H748))),ISNUMBER(SEARCH(IF(E$3&lt;&gt;"",E$3,"NA"),'MITRE ATT&amp;CK Mappings'!$I748))),ISNUMBER(SEARCH(IF(E$3&lt;&gt;"",E$3,"NA"),'MITRE ATT&amp;CK Mappings'!$J748))), 'MITRE ATT&amp;CK Mappings'!$B748,"")</f>
        <v/>
      </c>
      <c r="F752" s="26" t="str">
        <f>IF(OR(OR(OR(OR(OR(ISNUMBER(SEARCH(IF(F$1&lt;&gt;"",F$1,"NA"),'MITRE ATT&amp;CK Mappings'!$E748)),ISNUMBER(SEARCH(IF(F$1&lt;&gt;"",F$1,"NA"),'MITRE ATT&amp;CK Mappings'!$F748))),ISNUMBER(SEARCH(IF(F$2&lt;&gt;"",F$2,"NA"),'MITRE ATT&amp;CK Mappings'!$G748))),ISNUMBER(SEARCH(IF(F$2&lt;&gt;"",F$2,"NA"),'MITRE ATT&amp;CK Mappings'!$H748))),ISNUMBER(SEARCH(IF(F$3&lt;&gt;"",F$3,"NA"),'MITRE ATT&amp;CK Mappings'!$I748))),ISNUMBER(SEARCH(IF(F$3&lt;&gt;"",F$3,"NA"),'MITRE ATT&amp;CK Mappings'!$J748))), 'MITRE ATT&amp;CK Mappings'!$B748,"")</f>
        <v/>
      </c>
      <c r="G752" s="26" t="str">
        <f>IF(OR(OR(OR(OR(OR(ISNUMBER(SEARCH(IF(G$1&lt;&gt;"",G$1,"NA"),'MITRE ATT&amp;CK Mappings'!$E748)),ISNUMBER(SEARCH(IF(G$1&lt;&gt;"",G$1,"NA"),'MITRE ATT&amp;CK Mappings'!$F748))),ISNUMBER(SEARCH(IF(G$2&lt;&gt;"",G$2,"NA"),'MITRE ATT&amp;CK Mappings'!$G748))),ISNUMBER(SEARCH(IF(G$2&lt;&gt;"",G$2,"NA"),'MITRE ATT&amp;CK Mappings'!$H748))),ISNUMBER(SEARCH(IF(G$3&lt;&gt;"",G$3,"NA"),'MITRE ATT&amp;CK Mappings'!$I748))),ISNUMBER(SEARCH(IF(G$3&lt;&gt;"",G$3,"NA"),'MITRE ATT&amp;CK Mappings'!$J748))), 'MITRE ATT&amp;CK Mappings'!$B748,"")</f>
        <v/>
      </c>
      <c r="H752" s="26" t="str">
        <f>IF(OR(OR(OR(OR(OR(ISNUMBER(SEARCH(IF(H$1&lt;&gt;"",H$1,"NA"),'MITRE ATT&amp;CK Mappings'!$E748)),ISNUMBER(SEARCH(IF(H$1&lt;&gt;"",H$1,"NA"),'MITRE ATT&amp;CK Mappings'!$F748))),ISNUMBER(SEARCH(IF(H$2&lt;&gt;"",H$2,"NA"),'MITRE ATT&amp;CK Mappings'!$G748))),ISNUMBER(SEARCH(IF(H$2&lt;&gt;"",H$2,"NA"),'MITRE ATT&amp;CK Mappings'!$H748))),ISNUMBER(SEARCH(IF(H$3&lt;&gt;"",H$3,"NA"),'MITRE ATT&amp;CK Mappings'!$I748))),ISNUMBER(SEARCH(IF(H$3&lt;&gt;"",H$3,"NA"),'MITRE ATT&amp;CK Mappings'!$J748))), 'MITRE ATT&amp;CK Mappings'!$B748,"")</f>
        <v/>
      </c>
      <c r="I752" s="26" t="str">
        <f>IF(OR(OR(OR(OR(OR(ISNUMBER(SEARCH(IF(I$1&lt;&gt;"",I$1,"NA"),'MITRE ATT&amp;CK Mappings'!$E748)),ISNUMBER(SEARCH(IF(I$1&lt;&gt;"",I$1,"NA"),'MITRE ATT&amp;CK Mappings'!$F748))),ISNUMBER(SEARCH(IF(I$2&lt;&gt;"",I$2,"NA"),'MITRE ATT&amp;CK Mappings'!$G748))),ISNUMBER(SEARCH(IF(I$2&lt;&gt;"",I$2,"NA"),'MITRE ATT&amp;CK Mappings'!$H748))),ISNUMBER(SEARCH(IF(I$3&lt;&gt;"",I$3,"NA"),'MITRE ATT&amp;CK Mappings'!$I748))),ISNUMBER(SEARCH(IF(I$3&lt;&gt;"",I$3,"NA"),'MITRE ATT&amp;CK Mappings'!$J748))), 'MITRE ATT&amp;CK Mappings'!$B748,"")</f>
        <v/>
      </c>
      <c r="J752" s="26" t="str">
        <f>IF(OR(OR(OR(OR(OR(ISNUMBER(SEARCH(IF(J$1&lt;&gt;"",J$1,"NA"),'MITRE ATT&amp;CK Mappings'!$E748)),ISNUMBER(SEARCH(IF(J$1&lt;&gt;"",J$1,"NA"),'MITRE ATT&amp;CK Mappings'!$F748))),ISNUMBER(SEARCH(IF(J$2&lt;&gt;"",J$2,"NA"),'MITRE ATT&amp;CK Mappings'!$G748))),ISNUMBER(SEARCH(IF(J$2&lt;&gt;"",J$2,"NA"),'MITRE ATT&amp;CK Mappings'!$H748))),ISNUMBER(SEARCH(IF(J$3&lt;&gt;"",J$3,"NA"),'MITRE ATT&amp;CK Mappings'!$I748))),ISNUMBER(SEARCH(IF(J$3&lt;&gt;"",J$3,"NA"),'MITRE ATT&amp;CK Mappings'!$J748))), 'MITRE ATT&amp;CK Mappings'!$B748,"")</f>
        <v/>
      </c>
      <c r="K752" s="26" t="str">
        <f>IF(OR(OR(OR(OR(OR(ISNUMBER(SEARCH(IF(K$1&lt;&gt;"",K$1,"NA"),'MITRE ATT&amp;CK Mappings'!$E748)),ISNUMBER(SEARCH(IF(K$1&lt;&gt;"",K$1,"NA"),'MITRE ATT&amp;CK Mappings'!$F748))),ISNUMBER(SEARCH(IF(K$2&lt;&gt;"",K$2,"NA"),'MITRE ATT&amp;CK Mappings'!$G748))),ISNUMBER(SEARCH(IF(K$2&lt;&gt;"",K$2,"NA"),'MITRE ATT&amp;CK Mappings'!$H748))),ISNUMBER(SEARCH(IF(K$3&lt;&gt;"",K$3,"NA"),'MITRE ATT&amp;CK Mappings'!$I748))),ISNUMBER(SEARCH(IF(K$3&lt;&gt;"",K$3,"NA"),'MITRE ATT&amp;CK Mappings'!$J748))), 'MITRE ATT&amp;CK Mappings'!$B748,"")</f>
        <v/>
      </c>
      <c r="L752" s="26" t="str">
        <f>IF('MITRE ATT&amp;CK Mappings'!D748 &lt;&gt;"",'MITRE ATT&amp;CK Mappings'!D748,"" )</f>
        <v/>
      </c>
    </row>
    <row r="753" spans="1:12" x14ac:dyDescent="0.25">
      <c r="A753" s="27" t="str">
        <f>IF(COUNTIF(B753:K753,"="&amp;'MITRE ATT&amp;CK Mappings'!B749)&gt;0,'MITRE ATT&amp;CK Mappings'!B749,"")</f>
        <v/>
      </c>
      <c r="B753" s="27" t="str">
        <f>IF(OR(OR(OR(OR(OR(ISNUMBER(SEARCH(IF(B$1&lt;&gt;"",B$1,"NA"),'MITRE ATT&amp;CK Mappings'!$E749)),ISNUMBER(SEARCH(IF(B$1&lt;&gt;"",B$1,"NA"),'MITRE ATT&amp;CK Mappings'!$F749))),ISNUMBER(SEARCH(IF(B$2&lt;&gt;"",B$2,"NA"),'MITRE ATT&amp;CK Mappings'!$G749))),ISNUMBER(SEARCH(IF(B$2&lt;&gt;"",B$2,"NA"),'MITRE ATT&amp;CK Mappings'!$H749))),ISNUMBER(SEARCH(IF(B$3&lt;&gt;"",B$3,"NA"),'MITRE ATT&amp;CK Mappings'!$I749))),ISNUMBER(SEARCH(IF(B$3&lt;&gt;"",B$3,"NA"),'MITRE ATT&amp;CK Mappings'!$J749))), 'MITRE ATT&amp;CK Mappings'!$B749,"")</f>
        <v/>
      </c>
      <c r="C753" s="27" t="str">
        <f>IF(OR(OR(OR(OR(OR(ISNUMBER(SEARCH(IF(C$1&lt;&gt;"",C$1,"NA"),'MITRE ATT&amp;CK Mappings'!$E749)),ISNUMBER(SEARCH(IF(C$1&lt;&gt;"",C$1,"NA"),'MITRE ATT&amp;CK Mappings'!$F749))),ISNUMBER(SEARCH(IF(C$2&lt;&gt;"",C$2,"NA"),'MITRE ATT&amp;CK Mappings'!$G749))),ISNUMBER(SEARCH(IF(C$2&lt;&gt;"",C$2,"NA"),'MITRE ATT&amp;CK Mappings'!$H749))),ISNUMBER(SEARCH(IF(C$3&lt;&gt;"",C$3,"NA"),'MITRE ATT&amp;CK Mappings'!$I749))),ISNUMBER(SEARCH(IF(C$3&lt;&gt;"",C$3,"NA"),'MITRE ATT&amp;CK Mappings'!$J749))), 'MITRE ATT&amp;CK Mappings'!$B749,"")</f>
        <v/>
      </c>
      <c r="D753" s="27" t="str">
        <f>IF(OR(OR(OR(OR(OR(ISNUMBER(SEARCH(IF(D$1&lt;&gt;"",D$1,"NA"),'MITRE ATT&amp;CK Mappings'!$E749)),ISNUMBER(SEARCH(IF(D$1&lt;&gt;"",D$1,"NA"),'MITRE ATT&amp;CK Mappings'!$F749))),ISNUMBER(SEARCH(IF(D$2&lt;&gt;"",D$2,"NA"),'MITRE ATT&amp;CK Mappings'!$G749))),ISNUMBER(SEARCH(IF(D$2&lt;&gt;"",D$2,"NA"),'MITRE ATT&amp;CK Mappings'!$H749))),ISNUMBER(SEARCH(IF(D$3&lt;&gt;"",D$3,"NA"),'MITRE ATT&amp;CK Mappings'!$I749))),ISNUMBER(SEARCH(IF(D$3&lt;&gt;"",D$3,"NA"),'MITRE ATT&amp;CK Mappings'!$J749))), 'MITRE ATT&amp;CK Mappings'!$B749,"")</f>
        <v/>
      </c>
      <c r="E753" s="27" t="str">
        <f>IF(OR(OR(OR(OR(OR(ISNUMBER(SEARCH(IF(E$1&lt;&gt;"",E$1,"NA"),'MITRE ATT&amp;CK Mappings'!$E749)),ISNUMBER(SEARCH(IF(E$1&lt;&gt;"",E$1,"NA"),'MITRE ATT&amp;CK Mappings'!$F749))),ISNUMBER(SEARCH(IF(E$2&lt;&gt;"",E$2,"NA"),'MITRE ATT&amp;CK Mappings'!$G749))),ISNUMBER(SEARCH(IF(E$2&lt;&gt;"",E$2,"NA"),'MITRE ATT&amp;CK Mappings'!$H749))),ISNUMBER(SEARCH(IF(E$3&lt;&gt;"",E$3,"NA"),'MITRE ATT&amp;CK Mappings'!$I749))),ISNUMBER(SEARCH(IF(E$3&lt;&gt;"",E$3,"NA"),'MITRE ATT&amp;CK Mappings'!$J749))), 'MITRE ATT&amp;CK Mappings'!$B749,"")</f>
        <v/>
      </c>
      <c r="F753" s="27" t="str">
        <f>IF(OR(OR(OR(OR(OR(ISNUMBER(SEARCH(IF(F$1&lt;&gt;"",F$1,"NA"),'MITRE ATT&amp;CK Mappings'!$E749)),ISNUMBER(SEARCH(IF(F$1&lt;&gt;"",F$1,"NA"),'MITRE ATT&amp;CK Mappings'!$F749))),ISNUMBER(SEARCH(IF(F$2&lt;&gt;"",F$2,"NA"),'MITRE ATT&amp;CK Mappings'!$G749))),ISNUMBER(SEARCH(IF(F$2&lt;&gt;"",F$2,"NA"),'MITRE ATT&amp;CK Mappings'!$H749))),ISNUMBER(SEARCH(IF(F$3&lt;&gt;"",F$3,"NA"),'MITRE ATT&amp;CK Mappings'!$I749))),ISNUMBER(SEARCH(IF(F$3&lt;&gt;"",F$3,"NA"),'MITRE ATT&amp;CK Mappings'!$J749))), 'MITRE ATT&amp;CK Mappings'!$B749,"")</f>
        <v/>
      </c>
      <c r="G753" s="27" t="str">
        <f>IF(OR(OR(OR(OR(OR(ISNUMBER(SEARCH(IF(G$1&lt;&gt;"",G$1,"NA"),'MITRE ATT&amp;CK Mappings'!$E749)),ISNUMBER(SEARCH(IF(G$1&lt;&gt;"",G$1,"NA"),'MITRE ATT&amp;CK Mappings'!$F749))),ISNUMBER(SEARCH(IF(G$2&lt;&gt;"",G$2,"NA"),'MITRE ATT&amp;CK Mappings'!$G749))),ISNUMBER(SEARCH(IF(G$2&lt;&gt;"",G$2,"NA"),'MITRE ATT&amp;CK Mappings'!$H749))),ISNUMBER(SEARCH(IF(G$3&lt;&gt;"",G$3,"NA"),'MITRE ATT&amp;CK Mappings'!$I749))),ISNUMBER(SEARCH(IF(G$3&lt;&gt;"",G$3,"NA"),'MITRE ATT&amp;CK Mappings'!$J749))), 'MITRE ATT&amp;CK Mappings'!$B749,"")</f>
        <v/>
      </c>
      <c r="H753" s="27" t="str">
        <f>IF(OR(OR(OR(OR(OR(ISNUMBER(SEARCH(IF(H$1&lt;&gt;"",H$1,"NA"),'MITRE ATT&amp;CK Mappings'!$E749)),ISNUMBER(SEARCH(IF(H$1&lt;&gt;"",H$1,"NA"),'MITRE ATT&amp;CK Mappings'!$F749))),ISNUMBER(SEARCH(IF(H$2&lt;&gt;"",H$2,"NA"),'MITRE ATT&amp;CK Mappings'!$G749))),ISNUMBER(SEARCH(IF(H$2&lt;&gt;"",H$2,"NA"),'MITRE ATT&amp;CK Mappings'!$H749))),ISNUMBER(SEARCH(IF(H$3&lt;&gt;"",H$3,"NA"),'MITRE ATT&amp;CK Mappings'!$I749))),ISNUMBER(SEARCH(IF(H$3&lt;&gt;"",H$3,"NA"),'MITRE ATT&amp;CK Mappings'!$J749))), 'MITRE ATT&amp;CK Mappings'!$B749,"")</f>
        <v/>
      </c>
      <c r="I753" s="27" t="str">
        <f>IF(OR(OR(OR(OR(OR(ISNUMBER(SEARCH(IF(I$1&lt;&gt;"",I$1,"NA"),'MITRE ATT&amp;CK Mappings'!$E749)),ISNUMBER(SEARCH(IF(I$1&lt;&gt;"",I$1,"NA"),'MITRE ATT&amp;CK Mappings'!$F749))),ISNUMBER(SEARCH(IF(I$2&lt;&gt;"",I$2,"NA"),'MITRE ATT&amp;CK Mappings'!$G749))),ISNUMBER(SEARCH(IF(I$2&lt;&gt;"",I$2,"NA"),'MITRE ATT&amp;CK Mappings'!$H749))),ISNUMBER(SEARCH(IF(I$3&lt;&gt;"",I$3,"NA"),'MITRE ATT&amp;CK Mappings'!$I749))),ISNUMBER(SEARCH(IF(I$3&lt;&gt;"",I$3,"NA"),'MITRE ATT&amp;CK Mappings'!$J749))), 'MITRE ATT&amp;CK Mappings'!$B749,"")</f>
        <v/>
      </c>
      <c r="J753" s="27" t="str">
        <f>IF(OR(OR(OR(OR(OR(ISNUMBER(SEARCH(IF(J$1&lt;&gt;"",J$1,"NA"),'MITRE ATT&amp;CK Mappings'!$E749)),ISNUMBER(SEARCH(IF(J$1&lt;&gt;"",J$1,"NA"),'MITRE ATT&amp;CK Mappings'!$F749))),ISNUMBER(SEARCH(IF(J$2&lt;&gt;"",J$2,"NA"),'MITRE ATT&amp;CK Mappings'!$G749))),ISNUMBER(SEARCH(IF(J$2&lt;&gt;"",J$2,"NA"),'MITRE ATT&amp;CK Mappings'!$H749))),ISNUMBER(SEARCH(IF(J$3&lt;&gt;"",J$3,"NA"),'MITRE ATT&amp;CK Mappings'!$I749))),ISNUMBER(SEARCH(IF(J$3&lt;&gt;"",J$3,"NA"),'MITRE ATT&amp;CK Mappings'!$J749))), 'MITRE ATT&amp;CK Mappings'!$B749,"")</f>
        <v/>
      </c>
      <c r="K753" s="27" t="str">
        <f>IF(OR(OR(OR(OR(OR(ISNUMBER(SEARCH(IF(K$1&lt;&gt;"",K$1,"NA"),'MITRE ATT&amp;CK Mappings'!$E749)),ISNUMBER(SEARCH(IF(K$1&lt;&gt;"",K$1,"NA"),'MITRE ATT&amp;CK Mappings'!$F749))),ISNUMBER(SEARCH(IF(K$2&lt;&gt;"",K$2,"NA"),'MITRE ATT&amp;CK Mappings'!$G749))),ISNUMBER(SEARCH(IF(K$2&lt;&gt;"",K$2,"NA"),'MITRE ATT&amp;CK Mappings'!$H749))),ISNUMBER(SEARCH(IF(K$3&lt;&gt;"",K$3,"NA"),'MITRE ATT&amp;CK Mappings'!$I749))),ISNUMBER(SEARCH(IF(K$3&lt;&gt;"",K$3,"NA"),'MITRE ATT&amp;CK Mappings'!$J749))), 'MITRE ATT&amp;CK Mappings'!$B749,"")</f>
        <v/>
      </c>
      <c r="L753" s="27" t="str">
        <f>IF('MITRE ATT&amp;CK Mappings'!D749 &lt;&gt;"",'MITRE ATT&amp;CK Mappings'!D749,"" )</f>
        <v/>
      </c>
    </row>
    <row r="754" spans="1:12" x14ac:dyDescent="0.25">
      <c r="A754" s="26" t="str">
        <f>IF(COUNTIF(B754:K754,"="&amp;'MITRE ATT&amp;CK Mappings'!B750)&gt;0,'MITRE ATT&amp;CK Mappings'!B750,"")</f>
        <v/>
      </c>
      <c r="B754" s="26" t="str">
        <f>IF(OR(OR(OR(OR(OR(ISNUMBER(SEARCH(IF(B$1&lt;&gt;"",B$1,"NA"),'MITRE ATT&amp;CK Mappings'!$E750)),ISNUMBER(SEARCH(IF(B$1&lt;&gt;"",B$1,"NA"),'MITRE ATT&amp;CK Mappings'!$F750))),ISNUMBER(SEARCH(IF(B$2&lt;&gt;"",B$2,"NA"),'MITRE ATT&amp;CK Mappings'!$G750))),ISNUMBER(SEARCH(IF(B$2&lt;&gt;"",B$2,"NA"),'MITRE ATT&amp;CK Mappings'!$H750))),ISNUMBER(SEARCH(IF(B$3&lt;&gt;"",B$3,"NA"),'MITRE ATT&amp;CK Mappings'!$I750))),ISNUMBER(SEARCH(IF(B$3&lt;&gt;"",B$3,"NA"),'MITRE ATT&amp;CK Mappings'!$J750))), 'MITRE ATT&amp;CK Mappings'!$B750,"")</f>
        <v/>
      </c>
      <c r="C754" s="26" t="str">
        <f>IF(OR(OR(OR(OR(OR(ISNUMBER(SEARCH(IF(C$1&lt;&gt;"",C$1,"NA"),'MITRE ATT&amp;CK Mappings'!$E750)),ISNUMBER(SEARCH(IF(C$1&lt;&gt;"",C$1,"NA"),'MITRE ATT&amp;CK Mappings'!$F750))),ISNUMBER(SEARCH(IF(C$2&lt;&gt;"",C$2,"NA"),'MITRE ATT&amp;CK Mappings'!$G750))),ISNUMBER(SEARCH(IF(C$2&lt;&gt;"",C$2,"NA"),'MITRE ATT&amp;CK Mappings'!$H750))),ISNUMBER(SEARCH(IF(C$3&lt;&gt;"",C$3,"NA"),'MITRE ATT&amp;CK Mappings'!$I750))),ISNUMBER(SEARCH(IF(C$3&lt;&gt;"",C$3,"NA"),'MITRE ATT&amp;CK Mappings'!$J750))), 'MITRE ATT&amp;CK Mappings'!$B750,"")</f>
        <v/>
      </c>
      <c r="D754" s="26" t="str">
        <f>IF(OR(OR(OR(OR(OR(ISNUMBER(SEARCH(IF(D$1&lt;&gt;"",D$1,"NA"),'MITRE ATT&amp;CK Mappings'!$E750)),ISNUMBER(SEARCH(IF(D$1&lt;&gt;"",D$1,"NA"),'MITRE ATT&amp;CK Mappings'!$F750))),ISNUMBER(SEARCH(IF(D$2&lt;&gt;"",D$2,"NA"),'MITRE ATT&amp;CK Mappings'!$G750))),ISNUMBER(SEARCH(IF(D$2&lt;&gt;"",D$2,"NA"),'MITRE ATT&amp;CK Mappings'!$H750))),ISNUMBER(SEARCH(IF(D$3&lt;&gt;"",D$3,"NA"),'MITRE ATT&amp;CK Mappings'!$I750))),ISNUMBER(SEARCH(IF(D$3&lt;&gt;"",D$3,"NA"),'MITRE ATT&amp;CK Mappings'!$J750))), 'MITRE ATT&amp;CK Mappings'!$B750,"")</f>
        <v/>
      </c>
      <c r="E754" s="26" t="str">
        <f>IF(OR(OR(OR(OR(OR(ISNUMBER(SEARCH(IF(E$1&lt;&gt;"",E$1,"NA"),'MITRE ATT&amp;CK Mappings'!$E750)),ISNUMBER(SEARCH(IF(E$1&lt;&gt;"",E$1,"NA"),'MITRE ATT&amp;CK Mappings'!$F750))),ISNUMBER(SEARCH(IF(E$2&lt;&gt;"",E$2,"NA"),'MITRE ATT&amp;CK Mappings'!$G750))),ISNUMBER(SEARCH(IF(E$2&lt;&gt;"",E$2,"NA"),'MITRE ATT&amp;CK Mappings'!$H750))),ISNUMBER(SEARCH(IF(E$3&lt;&gt;"",E$3,"NA"),'MITRE ATT&amp;CK Mappings'!$I750))),ISNUMBER(SEARCH(IF(E$3&lt;&gt;"",E$3,"NA"),'MITRE ATT&amp;CK Mappings'!$J750))), 'MITRE ATT&amp;CK Mappings'!$B750,"")</f>
        <v/>
      </c>
      <c r="F754" s="26" t="str">
        <f>IF(OR(OR(OR(OR(OR(ISNUMBER(SEARCH(IF(F$1&lt;&gt;"",F$1,"NA"),'MITRE ATT&amp;CK Mappings'!$E750)),ISNUMBER(SEARCH(IF(F$1&lt;&gt;"",F$1,"NA"),'MITRE ATT&amp;CK Mappings'!$F750))),ISNUMBER(SEARCH(IF(F$2&lt;&gt;"",F$2,"NA"),'MITRE ATT&amp;CK Mappings'!$G750))),ISNUMBER(SEARCH(IF(F$2&lt;&gt;"",F$2,"NA"),'MITRE ATT&amp;CK Mappings'!$H750))),ISNUMBER(SEARCH(IF(F$3&lt;&gt;"",F$3,"NA"),'MITRE ATT&amp;CK Mappings'!$I750))),ISNUMBER(SEARCH(IF(F$3&lt;&gt;"",F$3,"NA"),'MITRE ATT&amp;CK Mappings'!$J750))), 'MITRE ATT&amp;CK Mappings'!$B750,"")</f>
        <v/>
      </c>
      <c r="G754" s="26" t="str">
        <f>IF(OR(OR(OR(OR(OR(ISNUMBER(SEARCH(IF(G$1&lt;&gt;"",G$1,"NA"),'MITRE ATT&amp;CK Mappings'!$E750)),ISNUMBER(SEARCH(IF(G$1&lt;&gt;"",G$1,"NA"),'MITRE ATT&amp;CK Mappings'!$F750))),ISNUMBER(SEARCH(IF(G$2&lt;&gt;"",G$2,"NA"),'MITRE ATT&amp;CK Mappings'!$G750))),ISNUMBER(SEARCH(IF(G$2&lt;&gt;"",G$2,"NA"),'MITRE ATT&amp;CK Mappings'!$H750))),ISNUMBER(SEARCH(IF(G$3&lt;&gt;"",G$3,"NA"),'MITRE ATT&amp;CK Mappings'!$I750))),ISNUMBER(SEARCH(IF(G$3&lt;&gt;"",G$3,"NA"),'MITRE ATT&amp;CK Mappings'!$J750))), 'MITRE ATT&amp;CK Mappings'!$B750,"")</f>
        <v/>
      </c>
      <c r="H754" s="26" t="str">
        <f>IF(OR(OR(OR(OR(OR(ISNUMBER(SEARCH(IF(H$1&lt;&gt;"",H$1,"NA"),'MITRE ATT&amp;CK Mappings'!$E750)),ISNUMBER(SEARCH(IF(H$1&lt;&gt;"",H$1,"NA"),'MITRE ATT&amp;CK Mappings'!$F750))),ISNUMBER(SEARCH(IF(H$2&lt;&gt;"",H$2,"NA"),'MITRE ATT&amp;CK Mappings'!$G750))),ISNUMBER(SEARCH(IF(H$2&lt;&gt;"",H$2,"NA"),'MITRE ATT&amp;CK Mappings'!$H750))),ISNUMBER(SEARCH(IF(H$3&lt;&gt;"",H$3,"NA"),'MITRE ATT&amp;CK Mappings'!$I750))),ISNUMBER(SEARCH(IF(H$3&lt;&gt;"",H$3,"NA"),'MITRE ATT&amp;CK Mappings'!$J750))), 'MITRE ATT&amp;CK Mappings'!$B750,"")</f>
        <v/>
      </c>
      <c r="I754" s="26" t="str">
        <f>IF(OR(OR(OR(OR(OR(ISNUMBER(SEARCH(IF(I$1&lt;&gt;"",I$1,"NA"),'MITRE ATT&amp;CK Mappings'!$E750)),ISNUMBER(SEARCH(IF(I$1&lt;&gt;"",I$1,"NA"),'MITRE ATT&amp;CK Mappings'!$F750))),ISNUMBER(SEARCH(IF(I$2&lt;&gt;"",I$2,"NA"),'MITRE ATT&amp;CK Mappings'!$G750))),ISNUMBER(SEARCH(IF(I$2&lt;&gt;"",I$2,"NA"),'MITRE ATT&amp;CK Mappings'!$H750))),ISNUMBER(SEARCH(IF(I$3&lt;&gt;"",I$3,"NA"),'MITRE ATT&amp;CK Mappings'!$I750))),ISNUMBER(SEARCH(IF(I$3&lt;&gt;"",I$3,"NA"),'MITRE ATT&amp;CK Mappings'!$J750))), 'MITRE ATT&amp;CK Mappings'!$B750,"")</f>
        <v/>
      </c>
      <c r="J754" s="26" t="str">
        <f>IF(OR(OR(OR(OR(OR(ISNUMBER(SEARCH(IF(J$1&lt;&gt;"",J$1,"NA"),'MITRE ATT&amp;CK Mappings'!$E750)),ISNUMBER(SEARCH(IF(J$1&lt;&gt;"",J$1,"NA"),'MITRE ATT&amp;CK Mappings'!$F750))),ISNUMBER(SEARCH(IF(J$2&lt;&gt;"",J$2,"NA"),'MITRE ATT&amp;CK Mappings'!$G750))),ISNUMBER(SEARCH(IF(J$2&lt;&gt;"",J$2,"NA"),'MITRE ATT&amp;CK Mappings'!$H750))),ISNUMBER(SEARCH(IF(J$3&lt;&gt;"",J$3,"NA"),'MITRE ATT&amp;CK Mappings'!$I750))),ISNUMBER(SEARCH(IF(J$3&lt;&gt;"",J$3,"NA"),'MITRE ATT&amp;CK Mappings'!$J750))), 'MITRE ATT&amp;CK Mappings'!$B750,"")</f>
        <v/>
      </c>
      <c r="K754" s="26" t="str">
        <f>IF(OR(OR(OR(OR(OR(ISNUMBER(SEARCH(IF(K$1&lt;&gt;"",K$1,"NA"),'MITRE ATT&amp;CK Mappings'!$E750)),ISNUMBER(SEARCH(IF(K$1&lt;&gt;"",K$1,"NA"),'MITRE ATT&amp;CK Mappings'!$F750))),ISNUMBER(SEARCH(IF(K$2&lt;&gt;"",K$2,"NA"),'MITRE ATT&amp;CK Mappings'!$G750))),ISNUMBER(SEARCH(IF(K$2&lt;&gt;"",K$2,"NA"),'MITRE ATT&amp;CK Mappings'!$H750))),ISNUMBER(SEARCH(IF(K$3&lt;&gt;"",K$3,"NA"),'MITRE ATT&amp;CK Mappings'!$I750))),ISNUMBER(SEARCH(IF(K$3&lt;&gt;"",K$3,"NA"),'MITRE ATT&amp;CK Mappings'!$J750))), 'MITRE ATT&amp;CK Mappings'!$B750,"")</f>
        <v/>
      </c>
      <c r="L754" s="26" t="str">
        <f>IF('MITRE ATT&amp;CK Mappings'!D750 &lt;&gt;"",'MITRE ATT&amp;CK Mappings'!D750,"" )</f>
        <v/>
      </c>
    </row>
    <row r="755" spans="1:12" x14ac:dyDescent="0.25">
      <c r="A755" s="27" t="str">
        <f>IF(COUNTIF(B755:K755,"="&amp;'MITRE ATT&amp;CK Mappings'!B751)&gt;0,'MITRE ATT&amp;CK Mappings'!B751,"")</f>
        <v/>
      </c>
      <c r="B755" s="27" t="str">
        <f>IF(OR(OR(OR(OR(OR(ISNUMBER(SEARCH(IF(B$1&lt;&gt;"",B$1,"NA"),'MITRE ATT&amp;CK Mappings'!$E751)),ISNUMBER(SEARCH(IF(B$1&lt;&gt;"",B$1,"NA"),'MITRE ATT&amp;CK Mappings'!$F751))),ISNUMBER(SEARCH(IF(B$2&lt;&gt;"",B$2,"NA"),'MITRE ATT&amp;CK Mappings'!$G751))),ISNUMBER(SEARCH(IF(B$2&lt;&gt;"",B$2,"NA"),'MITRE ATT&amp;CK Mappings'!$H751))),ISNUMBER(SEARCH(IF(B$3&lt;&gt;"",B$3,"NA"),'MITRE ATT&amp;CK Mappings'!$I751))),ISNUMBER(SEARCH(IF(B$3&lt;&gt;"",B$3,"NA"),'MITRE ATT&amp;CK Mappings'!$J751))), 'MITRE ATT&amp;CK Mappings'!$B751,"")</f>
        <v/>
      </c>
      <c r="C755" s="27" t="str">
        <f>IF(OR(OR(OR(OR(OR(ISNUMBER(SEARCH(IF(C$1&lt;&gt;"",C$1,"NA"),'MITRE ATT&amp;CK Mappings'!$E751)),ISNUMBER(SEARCH(IF(C$1&lt;&gt;"",C$1,"NA"),'MITRE ATT&amp;CK Mappings'!$F751))),ISNUMBER(SEARCH(IF(C$2&lt;&gt;"",C$2,"NA"),'MITRE ATT&amp;CK Mappings'!$G751))),ISNUMBER(SEARCH(IF(C$2&lt;&gt;"",C$2,"NA"),'MITRE ATT&amp;CK Mappings'!$H751))),ISNUMBER(SEARCH(IF(C$3&lt;&gt;"",C$3,"NA"),'MITRE ATT&amp;CK Mappings'!$I751))),ISNUMBER(SEARCH(IF(C$3&lt;&gt;"",C$3,"NA"),'MITRE ATT&amp;CK Mappings'!$J751))), 'MITRE ATT&amp;CK Mappings'!$B751,"")</f>
        <v/>
      </c>
      <c r="D755" s="27" t="str">
        <f>IF(OR(OR(OR(OR(OR(ISNUMBER(SEARCH(IF(D$1&lt;&gt;"",D$1,"NA"),'MITRE ATT&amp;CK Mappings'!$E751)),ISNUMBER(SEARCH(IF(D$1&lt;&gt;"",D$1,"NA"),'MITRE ATT&amp;CK Mappings'!$F751))),ISNUMBER(SEARCH(IF(D$2&lt;&gt;"",D$2,"NA"),'MITRE ATT&amp;CK Mappings'!$G751))),ISNUMBER(SEARCH(IF(D$2&lt;&gt;"",D$2,"NA"),'MITRE ATT&amp;CK Mappings'!$H751))),ISNUMBER(SEARCH(IF(D$3&lt;&gt;"",D$3,"NA"),'MITRE ATT&amp;CK Mappings'!$I751))),ISNUMBER(SEARCH(IF(D$3&lt;&gt;"",D$3,"NA"),'MITRE ATT&amp;CK Mappings'!$J751))), 'MITRE ATT&amp;CK Mappings'!$B751,"")</f>
        <v/>
      </c>
      <c r="E755" s="27" t="str">
        <f>IF(OR(OR(OR(OR(OR(ISNUMBER(SEARCH(IF(E$1&lt;&gt;"",E$1,"NA"),'MITRE ATT&amp;CK Mappings'!$E751)),ISNUMBER(SEARCH(IF(E$1&lt;&gt;"",E$1,"NA"),'MITRE ATT&amp;CK Mappings'!$F751))),ISNUMBER(SEARCH(IF(E$2&lt;&gt;"",E$2,"NA"),'MITRE ATT&amp;CK Mappings'!$G751))),ISNUMBER(SEARCH(IF(E$2&lt;&gt;"",E$2,"NA"),'MITRE ATT&amp;CK Mappings'!$H751))),ISNUMBER(SEARCH(IF(E$3&lt;&gt;"",E$3,"NA"),'MITRE ATT&amp;CK Mappings'!$I751))),ISNUMBER(SEARCH(IF(E$3&lt;&gt;"",E$3,"NA"),'MITRE ATT&amp;CK Mappings'!$J751))), 'MITRE ATT&amp;CK Mappings'!$B751,"")</f>
        <v/>
      </c>
      <c r="F755" s="27" t="str">
        <f>IF(OR(OR(OR(OR(OR(ISNUMBER(SEARCH(IF(F$1&lt;&gt;"",F$1,"NA"),'MITRE ATT&amp;CK Mappings'!$E751)),ISNUMBER(SEARCH(IF(F$1&lt;&gt;"",F$1,"NA"),'MITRE ATT&amp;CK Mappings'!$F751))),ISNUMBER(SEARCH(IF(F$2&lt;&gt;"",F$2,"NA"),'MITRE ATT&amp;CK Mappings'!$G751))),ISNUMBER(SEARCH(IF(F$2&lt;&gt;"",F$2,"NA"),'MITRE ATT&amp;CK Mappings'!$H751))),ISNUMBER(SEARCH(IF(F$3&lt;&gt;"",F$3,"NA"),'MITRE ATT&amp;CK Mappings'!$I751))),ISNUMBER(SEARCH(IF(F$3&lt;&gt;"",F$3,"NA"),'MITRE ATT&amp;CK Mappings'!$J751))), 'MITRE ATT&amp;CK Mappings'!$B751,"")</f>
        <v/>
      </c>
      <c r="G755" s="27" t="str">
        <f>IF(OR(OR(OR(OR(OR(ISNUMBER(SEARCH(IF(G$1&lt;&gt;"",G$1,"NA"),'MITRE ATT&amp;CK Mappings'!$E751)),ISNUMBER(SEARCH(IF(G$1&lt;&gt;"",G$1,"NA"),'MITRE ATT&amp;CK Mappings'!$F751))),ISNUMBER(SEARCH(IF(G$2&lt;&gt;"",G$2,"NA"),'MITRE ATT&amp;CK Mappings'!$G751))),ISNUMBER(SEARCH(IF(G$2&lt;&gt;"",G$2,"NA"),'MITRE ATT&amp;CK Mappings'!$H751))),ISNUMBER(SEARCH(IF(G$3&lt;&gt;"",G$3,"NA"),'MITRE ATT&amp;CK Mappings'!$I751))),ISNUMBER(SEARCH(IF(G$3&lt;&gt;"",G$3,"NA"),'MITRE ATT&amp;CK Mappings'!$J751))), 'MITRE ATT&amp;CK Mappings'!$B751,"")</f>
        <v/>
      </c>
      <c r="H755" s="27" t="str">
        <f>IF(OR(OR(OR(OR(OR(ISNUMBER(SEARCH(IF(H$1&lt;&gt;"",H$1,"NA"),'MITRE ATT&amp;CK Mappings'!$E751)),ISNUMBER(SEARCH(IF(H$1&lt;&gt;"",H$1,"NA"),'MITRE ATT&amp;CK Mappings'!$F751))),ISNUMBER(SEARCH(IF(H$2&lt;&gt;"",H$2,"NA"),'MITRE ATT&amp;CK Mappings'!$G751))),ISNUMBER(SEARCH(IF(H$2&lt;&gt;"",H$2,"NA"),'MITRE ATT&amp;CK Mappings'!$H751))),ISNUMBER(SEARCH(IF(H$3&lt;&gt;"",H$3,"NA"),'MITRE ATT&amp;CK Mappings'!$I751))),ISNUMBER(SEARCH(IF(H$3&lt;&gt;"",H$3,"NA"),'MITRE ATT&amp;CK Mappings'!$J751))), 'MITRE ATT&amp;CK Mappings'!$B751,"")</f>
        <v/>
      </c>
      <c r="I755" s="27" t="str">
        <f>IF(OR(OR(OR(OR(OR(ISNUMBER(SEARCH(IF(I$1&lt;&gt;"",I$1,"NA"),'MITRE ATT&amp;CK Mappings'!$E751)),ISNUMBER(SEARCH(IF(I$1&lt;&gt;"",I$1,"NA"),'MITRE ATT&amp;CK Mappings'!$F751))),ISNUMBER(SEARCH(IF(I$2&lt;&gt;"",I$2,"NA"),'MITRE ATT&amp;CK Mappings'!$G751))),ISNUMBER(SEARCH(IF(I$2&lt;&gt;"",I$2,"NA"),'MITRE ATT&amp;CK Mappings'!$H751))),ISNUMBER(SEARCH(IF(I$3&lt;&gt;"",I$3,"NA"),'MITRE ATT&amp;CK Mappings'!$I751))),ISNUMBER(SEARCH(IF(I$3&lt;&gt;"",I$3,"NA"),'MITRE ATT&amp;CK Mappings'!$J751))), 'MITRE ATT&amp;CK Mappings'!$B751,"")</f>
        <v/>
      </c>
      <c r="J755" s="27" t="str">
        <f>IF(OR(OR(OR(OR(OR(ISNUMBER(SEARCH(IF(J$1&lt;&gt;"",J$1,"NA"),'MITRE ATT&amp;CK Mappings'!$E751)),ISNUMBER(SEARCH(IF(J$1&lt;&gt;"",J$1,"NA"),'MITRE ATT&amp;CK Mappings'!$F751))),ISNUMBER(SEARCH(IF(J$2&lt;&gt;"",J$2,"NA"),'MITRE ATT&amp;CK Mappings'!$G751))),ISNUMBER(SEARCH(IF(J$2&lt;&gt;"",J$2,"NA"),'MITRE ATT&amp;CK Mappings'!$H751))),ISNUMBER(SEARCH(IF(J$3&lt;&gt;"",J$3,"NA"),'MITRE ATT&amp;CK Mappings'!$I751))),ISNUMBER(SEARCH(IF(J$3&lt;&gt;"",J$3,"NA"),'MITRE ATT&amp;CK Mappings'!$J751))), 'MITRE ATT&amp;CK Mappings'!$B751,"")</f>
        <v/>
      </c>
      <c r="K755" s="27" t="str">
        <f>IF(OR(OR(OR(OR(OR(ISNUMBER(SEARCH(IF(K$1&lt;&gt;"",K$1,"NA"),'MITRE ATT&amp;CK Mappings'!$E751)),ISNUMBER(SEARCH(IF(K$1&lt;&gt;"",K$1,"NA"),'MITRE ATT&amp;CK Mappings'!$F751))),ISNUMBER(SEARCH(IF(K$2&lt;&gt;"",K$2,"NA"),'MITRE ATT&amp;CK Mappings'!$G751))),ISNUMBER(SEARCH(IF(K$2&lt;&gt;"",K$2,"NA"),'MITRE ATT&amp;CK Mappings'!$H751))),ISNUMBER(SEARCH(IF(K$3&lt;&gt;"",K$3,"NA"),'MITRE ATT&amp;CK Mappings'!$I751))),ISNUMBER(SEARCH(IF(K$3&lt;&gt;"",K$3,"NA"),'MITRE ATT&amp;CK Mappings'!$J751))), 'MITRE ATT&amp;CK Mappings'!$B751,"")</f>
        <v/>
      </c>
      <c r="L755" s="27" t="str">
        <f>IF('MITRE ATT&amp;CK Mappings'!D751 &lt;&gt;"",'MITRE ATT&amp;CK Mappings'!D751,"" )</f>
        <v/>
      </c>
    </row>
    <row r="756" spans="1:12" x14ac:dyDescent="0.25">
      <c r="A756" s="26" t="str">
        <f>IF(COUNTIF(B756:K756,"="&amp;'MITRE ATT&amp;CK Mappings'!B752)&gt;0,'MITRE ATT&amp;CK Mappings'!B752,"")</f>
        <v/>
      </c>
      <c r="B756" s="26" t="str">
        <f>IF(OR(OR(OR(OR(OR(ISNUMBER(SEARCH(IF(B$1&lt;&gt;"",B$1,"NA"),'MITRE ATT&amp;CK Mappings'!$E752)),ISNUMBER(SEARCH(IF(B$1&lt;&gt;"",B$1,"NA"),'MITRE ATT&amp;CK Mappings'!$F752))),ISNUMBER(SEARCH(IF(B$2&lt;&gt;"",B$2,"NA"),'MITRE ATT&amp;CK Mappings'!$G752))),ISNUMBER(SEARCH(IF(B$2&lt;&gt;"",B$2,"NA"),'MITRE ATT&amp;CK Mappings'!$H752))),ISNUMBER(SEARCH(IF(B$3&lt;&gt;"",B$3,"NA"),'MITRE ATT&amp;CK Mappings'!$I752))),ISNUMBER(SEARCH(IF(B$3&lt;&gt;"",B$3,"NA"),'MITRE ATT&amp;CK Mappings'!$J752))), 'MITRE ATT&amp;CK Mappings'!$B752,"")</f>
        <v/>
      </c>
      <c r="C756" s="26" t="str">
        <f>IF(OR(OR(OR(OR(OR(ISNUMBER(SEARCH(IF(C$1&lt;&gt;"",C$1,"NA"),'MITRE ATT&amp;CK Mappings'!$E752)),ISNUMBER(SEARCH(IF(C$1&lt;&gt;"",C$1,"NA"),'MITRE ATT&amp;CK Mappings'!$F752))),ISNUMBER(SEARCH(IF(C$2&lt;&gt;"",C$2,"NA"),'MITRE ATT&amp;CK Mappings'!$G752))),ISNUMBER(SEARCH(IF(C$2&lt;&gt;"",C$2,"NA"),'MITRE ATT&amp;CK Mappings'!$H752))),ISNUMBER(SEARCH(IF(C$3&lt;&gt;"",C$3,"NA"),'MITRE ATT&amp;CK Mappings'!$I752))),ISNUMBER(SEARCH(IF(C$3&lt;&gt;"",C$3,"NA"),'MITRE ATT&amp;CK Mappings'!$J752))), 'MITRE ATT&amp;CK Mappings'!$B752,"")</f>
        <v/>
      </c>
      <c r="D756" s="26" t="str">
        <f>IF(OR(OR(OR(OR(OR(ISNUMBER(SEARCH(IF(D$1&lt;&gt;"",D$1,"NA"),'MITRE ATT&amp;CK Mappings'!$E752)),ISNUMBER(SEARCH(IF(D$1&lt;&gt;"",D$1,"NA"),'MITRE ATT&amp;CK Mappings'!$F752))),ISNUMBER(SEARCH(IF(D$2&lt;&gt;"",D$2,"NA"),'MITRE ATT&amp;CK Mappings'!$G752))),ISNUMBER(SEARCH(IF(D$2&lt;&gt;"",D$2,"NA"),'MITRE ATT&amp;CK Mappings'!$H752))),ISNUMBER(SEARCH(IF(D$3&lt;&gt;"",D$3,"NA"),'MITRE ATT&amp;CK Mappings'!$I752))),ISNUMBER(SEARCH(IF(D$3&lt;&gt;"",D$3,"NA"),'MITRE ATT&amp;CK Mappings'!$J752))), 'MITRE ATT&amp;CK Mappings'!$B752,"")</f>
        <v/>
      </c>
      <c r="E756" s="26" t="str">
        <f>IF(OR(OR(OR(OR(OR(ISNUMBER(SEARCH(IF(E$1&lt;&gt;"",E$1,"NA"),'MITRE ATT&amp;CK Mappings'!$E752)),ISNUMBER(SEARCH(IF(E$1&lt;&gt;"",E$1,"NA"),'MITRE ATT&amp;CK Mappings'!$F752))),ISNUMBER(SEARCH(IF(E$2&lt;&gt;"",E$2,"NA"),'MITRE ATT&amp;CK Mappings'!$G752))),ISNUMBER(SEARCH(IF(E$2&lt;&gt;"",E$2,"NA"),'MITRE ATT&amp;CK Mappings'!$H752))),ISNUMBER(SEARCH(IF(E$3&lt;&gt;"",E$3,"NA"),'MITRE ATT&amp;CK Mappings'!$I752))),ISNUMBER(SEARCH(IF(E$3&lt;&gt;"",E$3,"NA"),'MITRE ATT&amp;CK Mappings'!$J752))), 'MITRE ATT&amp;CK Mappings'!$B752,"")</f>
        <v/>
      </c>
      <c r="F756" s="26" t="str">
        <f>IF(OR(OR(OR(OR(OR(ISNUMBER(SEARCH(IF(F$1&lt;&gt;"",F$1,"NA"),'MITRE ATT&amp;CK Mappings'!$E752)),ISNUMBER(SEARCH(IF(F$1&lt;&gt;"",F$1,"NA"),'MITRE ATT&amp;CK Mappings'!$F752))),ISNUMBER(SEARCH(IF(F$2&lt;&gt;"",F$2,"NA"),'MITRE ATT&amp;CK Mappings'!$G752))),ISNUMBER(SEARCH(IF(F$2&lt;&gt;"",F$2,"NA"),'MITRE ATT&amp;CK Mappings'!$H752))),ISNUMBER(SEARCH(IF(F$3&lt;&gt;"",F$3,"NA"),'MITRE ATT&amp;CK Mappings'!$I752))),ISNUMBER(SEARCH(IF(F$3&lt;&gt;"",F$3,"NA"),'MITRE ATT&amp;CK Mappings'!$J752))), 'MITRE ATT&amp;CK Mappings'!$B752,"")</f>
        <v/>
      </c>
      <c r="G756" s="26" t="str">
        <f>IF(OR(OR(OR(OR(OR(ISNUMBER(SEARCH(IF(G$1&lt;&gt;"",G$1,"NA"),'MITRE ATT&amp;CK Mappings'!$E752)),ISNUMBER(SEARCH(IF(G$1&lt;&gt;"",G$1,"NA"),'MITRE ATT&amp;CK Mappings'!$F752))),ISNUMBER(SEARCH(IF(G$2&lt;&gt;"",G$2,"NA"),'MITRE ATT&amp;CK Mappings'!$G752))),ISNUMBER(SEARCH(IF(G$2&lt;&gt;"",G$2,"NA"),'MITRE ATT&amp;CK Mappings'!$H752))),ISNUMBER(SEARCH(IF(G$3&lt;&gt;"",G$3,"NA"),'MITRE ATT&amp;CK Mappings'!$I752))),ISNUMBER(SEARCH(IF(G$3&lt;&gt;"",G$3,"NA"),'MITRE ATT&amp;CK Mappings'!$J752))), 'MITRE ATT&amp;CK Mappings'!$B752,"")</f>
        <v/>
      </c>
      <c r="H756" s="26" t="str">
        <f>IF(OR(OR(OR(OR(OR(ISNUMBER(SEARCH(IF(H$1&lt;&gt;"",H$1,"NA"),'MITRE ATT&amp;CK Mappings'!$E752)),ISNUMBER(SEARCH(IF(H$1&lt;&gt;"",H$1,"NA"),'MITRE ATT&amp;CK Mappings'!$F752))),ISNUMBER(SEARCH(IF(H$2&lt;&gt;"",H$2,"NA"),'MITRE ATT&amp;CK Mappings'!$G752))),ISNUMBER(SEARCH(IF(H$2&lt;&gt;"",H$2,"NA"),'MITRE ATT&amp;CK Mappings'!$H752))),ISNUMBER(SEARCH(IF(H$3&lt;&gt;"",H$3,"NA"),'MITRE ATT&amp;CK Mappings'!$I752))),ISNUMBER(SEARCH(IF(H$3&lt;&gt;"",H$3,"NA"),'MITRE ATT&amp;CK Mappings'!$J752))), 'MITRE ATT&amp;CK Mappings'!$B752,"")</f>
        <v/>
      </c>
      <c r="I756" s="26" t="str">
        <f>IF(OR(OR(OR(OR(OR(ISNUMBER(SEARCH(IF(I$1&lt;&gt;"",I$1,"NA"),'MITRE ATT&amp;CK Mappings'!$E752)),ISNUMBER(SEARCH(IF(I$1&lt;&gt;"",I$1,"NA"),'MITRE ATT&amp;CK Mappings'!$F752))),ISNUMBER(SEARCH(IF(I$2&lt;&gt;"",I$2,"NA"),'MITRE ATT&amp;CK Mappings'!$G752))),ISNUMBER(SEARCH(IF(I$2&lt;&gt;"",I$2,"NA"),'MITRE ATT&amp;CK Mappings'!$H752))),ISNUMBER(SEARCH(IF(I$3&lt;&gt;"",I$3,"NA"),'MITRE ATT&amp;CK Mappings'!$I752))),ISNUMBER(SEARCH(IF(I$3&lt;&gt;"",I$3,"NA"),'MITRE ATT&amp;CK Mappings'!$J752))), 'MITRE ATT&amp;CK Mappings'!$B752,"")</f>
        <v/>
      </c>
      <c r="J756" s="26" t="str">
        <f>IF(OR(OR(OR(OR(OR(ISNUMBER(SEARCH(IF(J$1&lt;&gt;"",J$1,"NA"),'MITRE ATT&amp;CK Mappings'!$E752)),ISNUMBER(SEARCH(IF(J$1&lt;&gt;"",J$1,"NA"),'MITRE ATT&amp;CK Mappings'!$F752))),ISNUMBER(SEARCH(IF(J$2&lt;&gt;"",J$2,"NA"),'MITRE ATT&amp;CK Mappings'!$G752))),ISNUMBER(SEARCH(IF(J$2&lt;&gt;"",J$2,"NA"),'MITRE ATT&amp;CK Mappings'!$H752))),ISNUMBER(SEARCH(IF(J$3&lt;&gt;"",J$3,"NA"),'MITRE ATT&amp;CK Mappings'!$I752))),ISNUMBER(SEARCH(IF(J$3&lt;&gt;"",J$3,"NA"),'MITRE ATT&amp;CK Mappings'!$J752))), 'MITRE ATT&amp;CK Mappings'!$B752,"")</f>
        <v/>
      </c>
      <c r="K756" s="26" t="str">
        <f>IF(OR(OR(OR(OR(OR(ISNUMBER(SEARCH(IF(K$1&lt;&gt;"",K$1,"NA"),'MITRE ATT&amp;CK Mappings'!$E752)),ISNUMBER(SEARCH(IF(K$1&lt;&gt;"",K$1,"NA"),'MITRE ATT&amp;CK Mappings'!$F752))),ISNUMBER(SEARCH(IF(K$2&lt;&gt;"",K$2,"NA"),'MITRE ATT&amp;CK Mappings'!$G752))),ISNUMBER(SEARCH(IF(K$2&lt;&gt;"",K$2,"NA"),'MITRE ATT&amp;CK Mappings'!$H752))),ISNUMBER(SEARCH(IF(K$3&lt;&gt;"",K$3,"NA"),'MITRE ATT&amp;CK Mappings'!$I752))),ISNUMBER(SEARCH(IF(K$3&lt;&gt;"",K$3,"NA"),'MITRE ATT&amp;CK Mappings'!$J752))), 'MITRE ATT&amp;CK Mappings'!$B752,"")</f>
        <v/>
      </c>
      <c r="L756" s="26" t="str">
        <f>IF('MITRE ATT&amp;CK Mappings'!D752 &lt;&gt;"",'MITRE ATT&amp;CK Mappings'!D752,"" )</f>
        <v/>
      </c>
    </row>
    <row r="757" spans="1:12" x14ac:dyDescent="0.25">
      <c r="A757" s="27" t="str">
        <f>IF(COUNTIF(B757:K757,"="&amp;'MITRE ATT&amp;CK Mappings'!B753)&gt;0,'MITRE ATT&amp;CK Mappings'!B753,"")</f>
        <v/>
      </c>
      <c r="B757" s="27" t="str">
        <f>IF(OR(OR(OR(OR(OR(ISNUMBER(SEARCH(IF(B$1&lt;&gt;"",B$1,"NA"),'MITRE ATT&amp;CK Mappings'!$E753)),ISNUMBER(SEARCH(IF(B$1&lt;&gt;"",B$1,"NA"),'MITRE ATT&amp;CK Mappings'!$F753))),ISNUMBER(SEARCH(IF(B$2&lt;&gt;"",B$2,"NA"),'MITRE ATT&amp;CK Mappings'!$G753))),ISNUMBER(SEARCH(IF(B$2&lt;&gt;"",B$2,"NA"),'MITRE ATT&amp;CK Mappings'!$H753))),ISNUMBER(SEARCH(IF(B$3&lt;&gt;"",B$3,"NA"),'MITRE ATT&amp;CK Mappings'!$I753))),ISNUMBER(SEARCH(IF(B$3&lt;&gt;"",B$3,"NA"),'MITRE ATT&amp;CK Mappings'!$J753))), 'MITRE ATT&amp;CK Mappings'!$B753,"")</f>
        <v/>
      </c>
      <c r="C757" s="27" t="str">
        <f>IF(OR(OR(OR(OR(OR(ISNUMBER(SEARCH(IF(C$1&lt;&gt;"",C$1,"NA"),'MITRE ATT&amp;CK Mappings'!$E753)),ISNUMBER(SEARCH(IF(C$1&lt;&gt;"",C$1,"NA"),'MITRE ATT&amp;CK Mappings'!$F753))),ISNUMBER(SEARCH(IF(C$2&lt;&gt;"",C$2,"NA"),'MITRE ATT&amp;CK Mappings'!$G753))),ISNUMBER(SEARCH(IF(C$2&lt;&gt;"",C$2,"NA"),'MITRE ATT&amp;CK Mappings'!$H753))),ISNUMBER(SEARCH(IF(C$3&lt;&gt;"",C$3,"NA"),'MITRE ATT&amp;CK Mappings'!$I753))),ISNUMBER(SEARCH(IF(C$3&lt;&gt;"",C$3,"NA"),'MITRE ATT&amp;CK Mappings'!$J753))), 'MITRE ATT&amp;CK Mappings'!$B753,"")</f>
        <v/>
      </c>
      <c r="D757" s="27" t="str">
        <f>IF(OR(OR(OR(OR(OR(ISNUMBER(SEARCH(IF(D$1&lt;&gt;"",D$1,"NA"),'MITRE ATT&amp;CK Mappings'!$E753)),ISNUMBER(SEARCH(IF(D$1&lt;&gt;"",D$1,"NA"),'MITRE ATT&amp;CK Mappings'!$F753))),ISNUMBER(SEARCH(IF(D$2&lt;&gt;"",D$2,"NA"),'MITRE ATT&amp;CK Mappings'!$G753))),ISNUMBER(SEARCH(IF(D$2&lt;&gt;"",D$2,"NA"),'MITRE ATT&amp;CK Mappings'!$H753))),ISNUMBER(SEARCH(IF(D$3&lt;&gt;"",D$3,"NA"),'MITRE ATT&amp;CK Mappings'!$I753))),ISNUMBER(SEARCH(IF(D$3&lt;&gt;"",D$3,"NA"),'MITRE ATT&amp;CK Mappings'!$J753))), 'MITRE ATT&amp;CK Mappings'!$B753,"")</f>
        <v/>
      </c>
      <c r="E757" s="27" t="str">
        <f>IF(OR(OR(OR(OR(OR(ISNUMBER(SEARCH(IF(E$1&lt;&gt;"",E$1,"NA"),'MITRE ATT&amp;CK Mappings'!$E753)),ISNUMBER(SEARCH(IF(E$1&lt;&gt;"",E$1,"NA"),'MITRE ATT&amp;CK Mappings'!$F753))),ISNUMBER(SEARCH(IF(E$2&lt;&gt;"",E$2,"NA"),'MITRE ATT&amp;CK Mappings'!$G753))),ISNUMBER(SEARCH(IF(E$2&lt;&gt;"",E$2,"NA"),'MITRE ATT&amp;CK Mappings'!$H753))),ISNUMBER(SEARCH(IF(E$3&lt;&gt;"",E$3,"NA"),'MITRE ATT&amp;CK Mappings'!$I753))),ISNUMBER(SEARCH(IF(E$3&lt;&gt;"",E$3,"NA"),'MITRE ATT&amp;CK Mappings'!$J753))), 'MITRE ATT&amp;CK Mappings'!$B753,"")</f>
        <v/>
      </c>
      <c r="F757" s="27" t="str">
        <f>IF(OR(OR(OR(OR(OR(ISNUMBER(SEARCH(IF(F$1&lt;&gt;"",F$1,"NA"),'MITRE ATT&amp;CK Mappings'!$E753)),ISNUMBER(SEARCH(IF(F$1&lt;&gt;"",F$1,"NA"),'MITRE ATT&amp;CK Mappings'!$F753))),ISNUMBER(SEARCH(IF(F$2&lt;&gt;"",F$2,"NA"),'MITRE ATT&amp;CK Mappings'!$G753))),ISNUMBER(SEARCH(IF(F$2&lt;&gt;"",F$2,"NA"),'MITRE ATT&amp;CK Mappings'!$H753))),ISNUMBER(SEARCH(IF(F$3&lt;&gt;"",F$3,"NA"),'MITRE ATT&amp;CK Mappings'!$I753))),ISNUMBER(SEARCH(IF(F$3&lt;&gt;"",F$3,"NA"),'MITRE ATT&amp;CK Mappings'!$J753))), 'MITRE ATT&amp;CK Mappings'!$B753,"")</f>
        <v/>
      </c>
      <c r="G757" s="27" t="str">
        <f>IF(OR(OR(OR(OR(OR(ISNUMBER(SEARCH(IF(G$1&lt;&gt;"",G$1,"NA"),'MITRE ATT&amp;CK Mappings'!$E753)),ISNUMBER(SEARCH(IF(G$1&lt;&gt;"",G$1,"NA"),'MITRE ATT&amp;CK Mappings'!$F753))),ISNUMBER(SEARCH(IF(G$2&lt;&gt;"",G$2,"NA"),'MITRE ATT&amp;CK Mappings'!$G753))),ISNUMBER(SEARCH(IF(G$2&lt;&gt;"",G$2,"NA"),'MITRE ATT&amp;CK Mappings'!$H753))),ISNUMBER(SEARCH(IF(G$3&lt;&gt;"",G$3,"NA"),'MITRE ATT&amp;CK Mappings'!$I753))),ISNUMBER(SEARCH(IF(G$3&lt;&gt;"",G$3,"NA"),'MITRE ATT&amp;CK Mappings'!$J753))), 'MITRE ATT&amp;CK Mappings'!$B753,"")</f>
        <v/>
      </c>
      <c r="H757" s="27" t="str">
        <f>IF(OR(OR(OR(OR(OR(ISNUMBER(SEARCH(IF(H$1&lt;&gt;"",H$1,"NA"),'MITRE ATT&amp;CK Mappings'!$E753)),ISNUMBER(SEARCH(IF(H$1&lt;&gt;"",H$1,"NA"),'MITRE ATT&amp;CK Mappings'!$F753))),ISNUMBER(SEARCH(IF(H$2&lt;&gt;"",H$2,"NA"),'MITRE ATT&amp;CK Mappings'!$G753))),ISNUMBER(SEARCH(IF(H$2&lt;&gt;"",H$2,"NA"),'MITRE ATT&amp;CK Mappings'!$H753))),ISNUMBER(SEARCH(IF(H$3&lt;&gt;"",H$3,"NA"),'MITRE ATT&amp;CK Mappings'!$I753))),ISNUMBER(SEARCH(IF(H$3&lt;&gt;"",H$3,"NA"),'MITRE ATT&amp;CK Mappings'!$J753))), 'MITRE ATT&amp;CK Mappings'!$B753,"")</f>
        <v/>
      </c>
      <c r="I757" s="27" t="str">
        <f>IF(OR(OR(OR(OR(OR(ISNUMBER(SEARCH(IF(I$1&lt;&gt;"",I$1,"NA"),'MITRE ATT&amp;CK Mappings'!$E753)),ISNUMBER(SEARCH(IF(I$1&lt;&gt;"",I$1,"NA"),'MITRE ATT&amp;CK Mappings'!$F753))),ISNUMBER(SEARCH(IF(I$2&lt;&gt;"",I$2,"NA"),'MITRE ATT&amp;CK Mappings'!$G753))),ISNUMBER(SEARCH(IF(I$2&lt;&gt;"",I$2,"NA"),'MITRE ATT&amp;CK Mappings'!$H753))),ISNUMBER(SEARCH(IF(I$3&lt;&gt;"",I$3,"NA"),'MITRE ATT&amp;CK Mappings'!$I753))),ISNUMBER(SEARCH(IF(I$3&lt;&gt;"",I$3,"NA"),'MITRE ATT&amp;CK Mappings'!$J753))), 'MITRE ATT&amp;CK Mappings'!$B753,"")</f>
        <v/>
      </c>
      <c r="J757" s="27" t="str">
        <f>IF(OR(OR(OR(OR(OR(ISNUMBER(SEARCH(IF(J$1&lt;&gt;"",J$1,"NA"),'MITRE ATT&amp;CK Mappings'!$E753)),ISNUMBER(SEARCH(IF(J$1&lt;&gt;"",J$1,"NA"),'MITRE ATT&amp;CK Mappings'!$F753))),ISNUMBER(SEARCH(IF(J$2&lt;&gt;"",J$2,"NA"),'MITRE ATT&amp;CK Mappings'!$G753))),ISNUMBER(SEARCH(IF(J$2&lt;&gt;"",J$2,"NA"),'MITRE ATT&amp;CK Mappings'!$H753))),ISNUMBER(SEARCH(IF(J$3&lt;&gt;"",J$3,"NA"),'MITRE ATT&amp;CK Mappings'!$I753))),ISNUMBER(SEARCH(IF(J$3&lt;&gt;"",J$3,"NA"),'MITRE ATT&amp;CK Mappings'!$J753))), 'MITRE ATT&amp;CK Mappings'!$B753,"")</f>
        <v/>
      </c>
      <c r="K757" s="27" t="str">
        <f>IF(OR(OR(OR(OR(OR(ISNUMBER(SEARCH(IF(K$1&lt;&gt;"",K$1,"NA"),'MITRE ATT&amp;CK Mappings'!$E753)),ISNUMBER(SEARCH(IF(K$1&lt;&gt;"",K$1,"NA"),'MITRE ATT&amp;CK Mappings'!$F753))),ISNUMBER(SEARCH(IF(K$2&lt;&gt;"",K$2,"NA"),'MITRE ATT&amp;CK Mappings'!$G753))),ISNUMBER(SEARCH(IF(K$2&lt;&gt;"",K$2,"NA"),'MITRE ATT&amp;CK Mappings'!$H753))),ISNUMBER(SEARCH(IF(K$3&lt;&gt;"",K$3,"NA"),'MITRE ATT&amp;CK Mappings'!$I753))),ISNUMBER(SEARCH(IF(K$3&lt;&gt;"",K$3,"NA"),'MITRE ATT&amp;CK Mappings'!$J753))), 'MITRE ATT&amp;CK Mappings'!$B753,"")</f>
        <v/>
      </c>
      <c r="L757" s="27" t="str">
        <f>IF('MITRE ATT&amp;CK Mappings'!D753 &lt;&gt;"",'MITRE ATT&amp;CK Mappings'!D753,"" )</f>
        <v/>
      </c>
    </row>
    <row r="758" spans="1:12" x14ac:dyDescent="0.25">
      <c r="A758" s="26" t="str">
        <f>IF(COUNTIF(B758:K758,"="&amp;'MITRE ATT&amp;CK Mappings'!B754)&gt;0,'MITRE ATT&amp;CK Mappings'!B754,"")</f>
        <v/>
      </c>
      <c r="B758" s="26" t="str">
        <f>IF(OR(OR(OR(OR(OR(ISNUMBER(SEARCH(IF(B$1&lt;&gt;"",B$1,"NA"),'MITRE ATT&amp;CK Mappings'!$E754)),ISNUMBER(SEARCH(IF(B$1&lt;&gt;"",B$1,"NA"),'MITRE ATT&amp;CK Mappings'!$F754))),ISNUMBER(SEARCH(IF(B$2&lt;&gt;"",B$2,"NA"),'MITRE ATT&amp;CK Mappings'!$G754))),ISNUMBER(SEARCH(IF(B$2&lt;&gt;"",B$2,"NA"),'MITRE ATT&amp;CK Mappings'!$H754))),ISNUMBER(SEARCH(IF(B$3&lt;&gt;"",B$3,"NA"),'MITRE ATT&amp;CK Mappings'!$I754))),ISNUMBER(SEARCH(IF(B$3&lt;&gt;"",B$3,"NA"),'MITRE ATT&amp;CK Mappings'!$J754))), 'MITRE ATT&amp;CK Mappings'!$B754,"")</f>
        <v/>
      </c>
      <c r="C758" s="26" t="str">
        <f>IF(OR(OR(OR(OR(OR(ISNUMBER(SEARCH(IF(C$1&lt;&gt;"",C$1,"NA"),'MITRE ATT&amp;CK Mappings'!$E754)),ISNUMBER(SEARCH(IF(C$1&lt;&gt;"",C$1,"NA"),'MITRE ATT&amp;CK Mappings'!$F754))),ISNUMBER(SEARCH(IF(C$2&lt;&gt;"",C$2,"NA"),'MITRE ATT&amp;CK Mappings'!$G754))),ISNUMBER(SEARCH(IF(C$2&lt;&gt;"",C$2,"NA"),'MITRE ATT&amp;CK Mappings'!$H754))),ISNUMBER(SEARCH(IF(C$3&lt;&gt;"",C$3,"NA"),'MITRE ATT&amp;CK Mappings'!$I754))),ISNUMBER(SEARCH(IF(C$3&lt;&gt;"",C$3,"NA"),'MITRE ATT&amp;CK Mappings'!$J754))), 'MITRE ATT&amp;CK Mappings'!$B754,"")</f>
        <v/>
      </c>
      <c r="D758" s="26" t="str">
        <f>IF(OR(OR(OR(OR(OR(ISNUMBER(SEARCH(IF(D$1&lt;&gt;"",D$1,"NA"),'MITRE ATT&amp;CK Mappings'!$E754)),ISNUMBER(SEARCH(IF(D$1&lt;&gt;"",D$1,"NA"),'MITRE ATT&amp;CK Mappings'!$F754))),ISNUMBER(SEARCH(IF(D$2&lt;&gt;"",D$2,"NA"),'MITRE ATT&amp;CK Mappings'!$G754))),ISNUMBER(SEARCH(IF(D$2&lt;&gt;"",D$2,"NA"),'MITRE ATT&amp;CK Mappings'!$H754))),ISNUMBER(SEARCH(IF(D$3&lt;&gt;"",D$3,"NA"),'MITRE ATT&amp;CK Mappings'!$I754))),ISNUMBER(SEARCH(IF(D$3&lt;&gt;"",D$3,"NA"),'MITRE ATT&amp;CK Mappings'!$J754))), 'MITRE ATT&amp;CK Mappings'!$B754,"")</f>
        <v/>
      </c>
      <c r="E758" s="26" t="str">
        <f>IF(OR(OR(OR(OR(OR(ISNUMBER(SEARCH(IF(E$1&lt;&gt;"",E$1,"NA"),'MITRE ATT&amp;CK Mappings'!$E754)),ISNUMBER(SEARCH(IF(E$1&lt;&gt;"",E$1,"NA"),'MITRE ATT&amp;CK Mappings'!$F754))),ISNUMBER(SEARCH(IF(E$2&lt;&gt;"",E$2,"NA"),'MITRE ATT&amp;CK Mappings'!$G754))),ISNUMBER(SEARCH(IF(E$2&lt;&gt;"",E$2,"NA"),'MITRE ATT&amp;CK Mappings'!$H754))),ISNUMBER(SEARCH(IF(E$3&lt;&gt;"",E$3,"NA"),'MITRE ATT&amp;CK Mappings'!$I754))),ISNUMBER(SEARCH(IF(E$3&lt;&gt;"",E$3,"NA"),'MITRE ATT&amp;CK Mappings'!$J754))), 'MITRE ATT&amp;CK Mappings'!$B754,"")</f>
        <v/>
      </c>
      <c r="F758" s="26" t="str">
        <f>IF(OR(OR(OR(OR(OR(ISNUMBER(SEARCH(IF(F$1&lt;&gt;"",F$1,"NA"),'MITRE ATT&amp;CK Mappings'!$E754)),ISNUMBER(SEARCH(IF(F$1&lt;&gt;"",F$1,"NA"),'MITRE ATT&amp;CK Mappings'!$F754))),ISNUMBER(SEARCH(IF(F$2&lt;&gt;"",F$2,"NA"),'MITRE ATT&amp;CK Mappings'!$G754))),ISNUMBER(SEARCH(IF(F$2&lt;&gt;"",F$2,"NA"),'MITRE ATT&amp;CK Mappings'!$H754))),ISNUMBER(SEARCH(IF(F$3&lt;&gt;"",F$3,"NA"),'MITRE ATT&amp;CK Mappings'!$I754))),ISNUMBER(SEARCH(IF(F$3&lt;&gt;"",F$3,"NA"),'MITRE ATT&amp;CK Mappings'!$J754))), 'MITRE ATT&amp;CK Mappings'!$B754,"")</f>
        <v/>
      </c>
      <c r="G758" s="26" t="str">
        <f>IF(OR(OR(OR(OR(OR(ISNUMBER(SEARCH(IF(G$1&lt;&gt;"",G$1,"NA"),'MITRE ATT&amp;CK Mappings'!$E754)),ISNUMBER(SEARCH(IF(G$1&lt;&gt;"",G$1,"NA"),'MITRE ATT&amp;CK Mappings'!$F754))),ISNUMBER(SEARCH(IF(G$2&lt;&gt;"",G$2,"NA"),'MITRE ATT&amp;CK Mappings'!$G754))),ISNUMBER(SEARCH(IF(G$2&lt;&gt;"",G$2,"NA"),'MITRE ATT&amp;CK Mappings'!$H754))),ISNUMBER(SEARCH(IF(G$3&lt;&gt;"",G$3,"NA"),'MITRE ATT&amp;CK Mappings'!$I754))),ISNUMBER(SEARCH(IF(G$3&lt;&gt;"",G$3,"NA"),'MITRE ATT&amp;CK Mappings'!$J754))), 'MITRE ATT&amp;CK Mappings'!$B754,"")</f>
        <v/>
      </c>
      <c r="H758" s="26" t="str">
        <f>IF(OR(OR(OR(OR(OR(ISNUMBER(SEARCH(IF(H$1&lt;&gt;"",H$1,"NA"),'MITRE ATT&amp;CK Mappings'!$E754)),ISNUMBER(SEARCH(IF(H$1&lt;&gt;"",H$1,"NA"),'MITRE ATT&amp;CK Mappings'!$F754))),ISNUMBER(SEARCH(IF(H$2&lt;&gt;"",H$2,"NA"),'MITRE ATT&amp;CK Mappings'!$G754))),ISNUMBER(SEARCH(IF(H$2&lt;&gt;"",H$2,"NA"),'MITRE ATT&amp;CK Mappings'!$H754))),ISNUMBER(SEARCH(IF(H$3&lt;&gt;"",H$3,"NA"),'MITRE ATT&amp;CK Mappings'!$I754))),ISNUMBER(SEARCH(IF(H$3&lt;&gt;"",H$3,"NA"),'MITRE ATT&amp;CK Mappings'!$J754))), 'MITRE ATT&amp;CK Mappings'!$B754,"")</f>
        <v/>
      </c>
      <c r="I758" s="26" t="str">
        <f>IF(OR(OR(OR(OR(OR(ISNUMBER(SEARCH(IF(I$1&lt;&gt;"",I$1,"NA"),'MITRE ATT&amp;CK Mappings'!$E754)),ISNUMBER(SEARCH(IF(I$1&lt;&gt;"",I$1,"NA"),'MITRE ATT&amp;CK Mappings'!$F754))),ISNUMBER(SEARCH(IF(I$2&lt;&gt;"",I$2,"NA"),'MITRE ATT&amp;CK Mappings'!$G754))),ISNUMBER(SEARCH(IF(I$2&lt;&gt;"",I$2,"NA"),'MITRE ATT&amp;CK Mappings'!$H754))),ISNUMBER(SEARCH(IF(I$3&lt;&gt;"",I$3,"NA"),'MITRE ATT&amp;CK Mappings'!$I754))),ISNUMBER(SEARCH(IF(I$3&lt;&gt;"",I$3,"NA"),'MITRE ATT&amp;CK Mappings'!$J754))), 'MITRE ATT&amp;CK Mappings'!$B754,"")</f>
        <v/>
      </c>
      <c r="J758" s="26" t="str">
        <f>IF(OR(OR(OR(OR(OR(ISNUMBER(SEARCH(IF(J$1&lt;&gt;"",J$1,"NA"),'MITRE ATT&amp;CK Mappings'!$E754)),ISNUMBER(SEARCH(IF(J$1&lt;&gt;"",J$1,"NA"),'MITRE ATT&amp;CK Mappings'!$F754))),ISNUMBER(SEARCH(IF(J$2&lt;&gt;"",J$2,"NA"),'MITRE ATT&amp;CK Mappings'!$G754))),ISNUMBER(SEARCH(IF(J$2&lt;&gt;"",J$2,"NA"),'MITRE ATT&amp;CK Mappings'!$H754))),ISNUMBER(SEARCH(IF(J$3&lt;&gt;"",J$3,"NA"),'MITRE ATT&amp;CK Mappings'!$I754))),ISNUMBER(SEARCH(IF(J$3&lt;&gt;"",J$3,"NA"),'MITRE ATT&amp;CK Mappings'!$J754))), 'MITRE ATT&amp;CK Mappings'!$B754,"")</f>
        <v/>
      </c>
      <c r="K758" s="26" t="str">
        <f>IF(OR(OR(OR(OR(OR(ISNUMBER(SEARCH(IF(K$1&lt;&gt;"",K$1,"NA"),'MITRE ATT&amp;CK Mappings'!$E754)),ISNUMBER(SEARCH(IF(K$1&lt;&gt;"",K$1,"NA"),'MITRE ATT&amp;CK Mappings'!$F754))),ISNUMBER(SEARCH(IF(K$2&lt;&gt;"",K$2,"NA"),'MITRE ATT&amp;CK Mappings'!$G754))),ISNUMBER(SEARCH(IF(K$2&lt;&gt;"",K$2,"NA"),'MITRE ATT&amp;CK Mappings'!$H754))),ISNUMBER(SEARCH(IF(K$3&lt;&gt;"",K$3,"NA"),'MITRE ATT&amp;CK Mappings'!$I754))),ISNUMBER(SEARCH(IF(K$3&lt;&gt;"",K$3,"NA"),'MITRE ATT&amp;CK Mappings'!$J754))), 'MITRE ATT&amp;CK Mappings'!$B754,"")</f>
        <v/>
      </c>
      <c r="L758" s="26" t="str">
        <f>IF('MITRE ATT&amp;CK Mappings'!D754 &lt;&gt;"",'MITRE ATT&amp;CK Mappings'!D754,"" )</f>
        <v/>
      </c>
    </row>
    <row r="759" spans="1:12" x14ac:dyDescent="0.25">
      <c r="A759" s="27" t="str">
        <f>IF(COUNTIF(B759:K759,"="&amp;'MITRE ATT&amp;CK Mappings'!B755)&gt;0,'MITRE ATT&amp;CK Mappings'!B755,"")</f>
        <v/>
      </c>
      <c r="B759" s="27" t="str">
        <f>IF(OR(OR(OR(OR(OR(ISNUMBER(SEARCH(IF(B$1&lt;&gt;"",B$1,"NA"),'MITRE ATT&amp;CK Mappings'!$E755)),ISNUMBER(SEARCH(IF(B$1&lt;&gt;"",B$1,"NA"),'MITRE ATT&amp;CK Mappings'!$F755))),ISNUMBER(SEARCH(IF(B$2&lt;&gt;"",B$2,"NA"),'MITRE ATT&amp;CK Mappings'!$G755))),ISNUMBER(SEARCH(IF(B$2&lt;&gt;"",B$2,"NA"),'MITRE ATT&amp;CK Mappings'!$H755))),ISNUMBER(SEARCH(IF(B$3&lt;&gt;"",B$3,"NA"),'MITRE ATT&amp;CK Mappings'!$I755))),ISNUMBER(SEARCH(IF(B$3&lt;&gt;"",B$3,"NA"),'MITRE ATT&amp;CK Mappings'!$J755))), 'MITRE ATT&amp;CK Mappings'!$B755,"")</f>
        <v/>
      </c>
      <c r="C759" s="27" t="str">
        <f>IF(OR(OR(OR(OR(OR(ISNUMBER(SEARCH(IF(C$1&lt;&gt;"",C$1,"NA"),'MITRE ATT&amp;CK Mappings'!$E755)),ISNUMBER(SEARCH(IF(C$1&lt;&gt;"",C$1,"NA"),'MITRE ATT&amp;CK Mappings'!$F755))),ISNUMBER(SEARCH(IF(C$2&lt;&gt;"",C$2,"NA"),'MITRE ATT&amp;CK Mappings'!$G755))),ISNUMBER(SEARCH(IF(C$2&lt;&gt;"",C$2,"NA"),'MITRE ATT&amp;CK Mappings'!$H755))),ISNUMBER(SEARCH(IF(C$3&lt;&gt;"",C$3,"NA"),'MITRE ATT&amp;CK Mappings'!$I755))),ISNUMBER(SEARCH(IF(C$3&lt;&gt;"",C$3,"NA"),'MITRE ATT&amp;CK Mappings'!$J755))), 'MITRE ATT&amp;CK Mappings'!$B755,"")</f>
        <v/>
      </c>
      <c r="D759" s="27" t="str">
        <f>IF(OR(OR(OR(OR(OR(ISNUMBER(SEARCH(IF(D$1&lt;&gt;"",D$1,"NA"),'MITRE ATT&amp;CK Mappings'!$E755)),ISNUMBER(SEARCH(IF(D$1&lt;&gt;"",D$1,"NA"),'MITRE ATT&amp;CK Mappings'!$F755))),ISNUMBER(SEARCH(IF(D$2&lt;&gt;"",D$2,"NA"),'MITRE ATT&amp;CK Mappings'!$G755))),ISNUMBER(SEARCH(IF(D$2&lt;&gt;"",D$2,"NA"),'MITRE ATT&amp;CK Mappings'!$H755))),ISNUMBER(SEARCH(IF(D$3&lt;&gt;"",D$3,"NA"),'MITRE ATT&amp;CK Mappings'!$I755))),ISNUMBER(SEARCH(IF(D$3&lt;&gt;"",D$3,"NA"),'MITRE ATT&amp;CK Mappings'!$J755))), 'MITRE ATT&amp;CK Mappings'!$B755,"")</f>
        <v/>
      </c>
      <c r="E759" s="27" t="str">
        <f>IF(OR(OR(OR(OR(OR(ISNUMBER(SEARCH(IF(E$1&lt;&gt;"",E$1,"NA"),'MITRE ATT&amp;CK Mappings'!$E755)),ISNUMBER(SEARCH(IF(E$1&lt;&gt;"",E$1,"NA"),'MITRE ATT&amp;CK Mappings'!$F755))),ISNUMBER(SEARCH(IF(E$2&lt;&gt;"",E$2,"NA"),'MITRE ATT&amp;CK Mappings'!$G755))),ISNUMBER(SEARCH(IF(E$2&lt;&gt;"",E$2,"NA"),'MITRE ATT&amp;CK Mappings'!$H755))),ISNUMBER(SEARCH(IF(E$3&lt;&gt;"",E$3,"NA"),'MITRE ATT&amp;CK Mappings'!$I755))),ISNUMBER(SEARCH(IF(E$3&lt;&gt;"",E$3,"NA"),'MITRE ATT&amp;CK Mappings'!$J755))), 'MITRE ATT&amp;CK Mappings'!$B755,"")</f>
        <v/>
      </c>
      <c r="F759" s="27" t="str">
        <f>IF(OR(OR(OR(OR(OR(ISNUMBER(SEARCH(IF(F$1&lt;&gt;"",F$1,"NA"),'MITRE ATT&amp;CK Mappings'!$E755)),ISNUMBER(SEARCH(IF(F$1&lt;&gt;"",F$1,"NA"),'MITRE ATT&amp;CK Mappings'!$F755))),ISNUMBER(SEARCH(IF(F$2&lt;&gt;"",F$2,"NA"),'MITRE ATT&amp;CK Mappings'!$G755))),ISNUMBER(SEARCH(IF(F$2&lt;&gt;"",F$2,"NA"),'MITRE ATT&amp;CK Mappings'!$H755))),ISNUMBER(SEARCH(IF(F$3&lt;&gt;"",F$3,"NA"),'MITRE ATT&amp;CK Mappings'!$I755))),ISNUMBER(SEARCH(IF(F$3&lt;&gt;"",F$3,"NA"),'MITRE ATT&amp;CK Mappings'!$J755))), 'MITRE ATT&amp;CK Mappings'!$B755,"")</f>
        <v/>
      </c>
      <c r="G759" s="27" t="str">
        <f>IF(OR(OR(OR(OR(OR(ISNUMBER(SEARCH(IF(G$1&lt;&gt;"",G$1,"NA"),'MITRE ATT&amp;CK Mappings'!$E755)),ISNUMBER(SEARCH(IF(G$1&lt;&gt;"",G$1,"NA"),'MITRE ATT&amp;CK Mappings'!$F755))),ISNUMBER(SEARCH(IF(G$2&lt;&gt;"",G$2,"NA"),'MITRE ATT&amp;CK Mappings'!$G755))),ISNUMBER(SEARCH(IF(G$2&lt;&gt;"",G$2,"NA"),'MITRE ATT&amp;CK Mappings'!$H755))),ISNUMBER(SEARCH(IF(G$3&lt;&gt;"",G$3,"NA"),'MITRE ATT&amp;CK Mappings'!$I755))),ISNUMBER(SEARCH(IF(G$3&lt;&gt;"",G$3,"NA"),'MITRE ATT&amp;CK Mappings'!$J755))), 'MITRE ATT&amp;CK Mappings'!$B755,"")</f>
        <v/>
      </c>
      <c r="H759" s="27" t="str">
        <f>IF(OR(OR(OR(OR(OR(ISNUMBER(SEARCH(IF(H$1&lt;&gt;"",H$1,"NA"),'MITRE ATT&amp;CK Mappings'!$E755)),ISNUMBER(SEARCH(IF(H$1&lt;&gt;"",H$1,"NA"),'MITRE ATT&amp;CK Mappings'!$F755))),ISNUMBER(SEARCH(IF(H$2&lt;&gt;"",H$2,"NA"),'MITRE ATT&amp;CK Mappings'!$G755))),ISNUMBER(SEARCH(IF(H$2&lt;&gt;"",H$2,"NA"),'MITRE ATT&amp;CK Mappings'!$H755))),ISNUMBER(SEARCH(IF(H$3&lt;&gt;"",H$3,"NA"),'MITRE ATT&amp;CK Mappings'!$I755))),ISNUMBER(SEARCH(IF(H$3&lt;&gt;"",H$3,"NA"),'MITRE ATT&amp;CK Mappings'!$J755))), 'MITRE ATT&amp;CK Mappings'!$B755,"")</f>
        <v/>
      </c>
      <c r="I759" s="27" t="str">
        <f>IF(OR(OR(OR(OR(OR(ISNUMBER(SEARCH(IF(I$1&lt;&gt;"",I$1,"NA"),'MITRE ATT&amp;CK Mappings'!$E755)),ISNUMBER(SEARCH(IF(I$1&lt;&gt;"",I$1,"NA"),'MITRE ATT&amp;CK Mappings'!$F755))),ISNUMBER(SEARCH(IF(I$2&lt;&gt;"",I$2,"NA"),'MITRE ATT&amp;CK Mappings'!$G755))),ISNUMBER(SEARCH(IF(I$2&lt;&gt;"",I$2,"NA"),'MITRE ATT&amp;CK Mappings'!$H755))),ISNUMBER(SEARCH(IF(I$3&lt;&gt;"",I$3,"NA"),'MITRE ATT&amp;CK Mappings'!$I755))),ISNUMBER(SEARCH(IF(I$3&lt;&gt;"",I$3,"NA"),'MITRE ATT&amp;CK Mappings'!$J755))), 'MITRE ATT&amp;CK Mappings'!$B755,"")</f>
        <v/>
      </c>
      <c r="J759" s="27" t="str">
        <f>IF(OR(OR(OR(OR(OR(ISNUMBER(SEARCH(IF(J$1&lt;&gt;"",J$1,"NA"),'MITRE ATT&amp;CK Mappings'!$E755)),ISNUMBER(SEARCH(IF(J$1&lt;&gt;"",J$1,"NA"),'MITRE ATT&amp;CK Mappings'!$F755))),ISNUMBER(SEARCH(IF(J$2&lt;&gt;"",J$2,"NA"),'MITRE ATT&amp;CK Mappings'!$G755))),ISNUMBER(SEARCH(IF(J$2&lt;&gt;"",J$2,"NA"),'MITRE ATT&amp;CK Mappings'!$H755))),ISNUMBER(SEARCH(IF(J$3&lt;&gt;"",J$3,"NA"),'MITRE ATT&amp;CK Mappings'!$I755))),ISNUMBER(SEARCH(IF(J$3&lt;&gt;"",J$3,"NA"),'MITRE ATT&amp;CK Mappings'!$J755))), 'MITRE ATT&amp;CK Mappings'!$B755,"")</f>
        <v/>
      </c>
      <c r="K759" s="27" t="str">
        <f>IF(OR(OR(OR(OR(OR(ISNUMBER(SEARCH(IF(K$1&lt;&gt;"",K$1,"NA"),'MITRE ATT&amp;CK Mappings'!$E755)),ISNUMBER(SEARCH(IF(K$1&lt;&gt;"",K$1,"NA"),'MITRE ATT&amp;CK Mappings'!$F755))),ISNUMBER(SEARCH(IF(K$2&lt;&gt;"",K$2,"NA"),'MITRE ATT&amp;CK Mappings'!$G755))),ISNUMBER(SEARCH(IF(K$2&lt;&gt;"",K$2,"NA"),'MITRE ATT&amp;CK Mappings'!$H755))),ISNUMBER(SEARCH(IF(K$3&lt;&gt;"",K$3,"NA"),'MITRE ATT&amp;CK Mappings'!$I755))),ISNUMBER(SEARCH(IF(K$3&lt;&gt;"",K$3,"NA"),'MITRE ATT&amp;CK Mappings'!$J755))), 'MITRE ATT&amp;CK Mappings'!$B755,"")</f>
        <v/>
      </c>
      <c r="L759" s="27" t="str">
        <f>IF('MITRE ATT&amp;CK Mappings'!D755 &lt;&gt;"",'MITRE ATT&amp;CK Mappings'!D755,"" )</f>
        <v/>
      </c>
    </row>
    <row r="760" spans="1:12" x14ac:dyDescent="0.25">
      <c r="A760" s="26" t="str">
        <f>IF(COUNTIF(B760:K760,"="&amp;'MITRE ATT&amp;CK Mappings'!B756)&gt;0,'MITRE ATT&amp;CK Mappings'!B756,"")</f>
        <v/>
      </c>
      <c r="B760" s="26" t="str">
        <f>IF(OR(OR(OR(OR(OR(ISNUMBER(SEARCH(IF(B$1&lt;&gt;"",B$1,"NA"),'MITRE ATT&amp;CK Mappings'!$E756)),ISNUMBER(SEARCH(IF(B$1&lt;&gt;"",B$1,"NA"),'MITRE ATT&amp;CK Mappings'!$F756))),ISNUMBER(SEARCH(IF(B$2&lt;&gt;"",B$2,"NA"),'MITRE ATT&amp;CK Mappings'!$G756))),ISNUMBER(SEARCH(IF(B$2&lt;&gt;"",B$2,"NA"),'MITRE ATT&amp;CK Mappings'!$H756))),ISNUMBER(SEARCH(IF(B$3&lt;&gt;"",B$3,"NA"),'MITRE ATT&amp;CK Mappings'!$I756))),ISNUMBER(SEARCH(IF(B$3&lt;&gt;"",B$3,"NA"),'MITRE ATT&amp;CK Mappings'!$J756))), 'MITRE ATT&amp;CK Mappings'!$B756,"")</f>
        <v/>
      </c>
      <c r="C760" s="26" t="str">
        <f>IF(OR(OR(OR(OR(OR(ISNUMBER(SEARCH(IF(C$1&lt;&gt;"",C$1,"NA"),'MITRE ATT&amp;CK Mappings'!$E756)),ISNUMBER(SEARCH(IF(C$1&lt;&gt;"",C$1,"NA"),'MITRE ATT&amp;CK Mappings'!$F756))),ISNUMBER(SEARCH(IF(C$2&lt;&gt;"",C$2,"NA"),'MITRE ATT&amp;CK Mappings'!$G756))),ISNUMBER(SEARCH(IF(C$2&lt;&gt;"",C$2,"NA"),'MITRE ATT&amp;CK Mappings'!$H756))),ISNUMBER(SEARCH(IF(C$3&lt;&gt;"",C$3,"NA"),'MITRE ATT&amp;CK Mappings'!$I756))),ISNUMBER(SEARCH(IF(C$3&lt;&gt;"",C$3,"NA"),'MITRE ATT&amp;CK Mappings'!$J756))), 'MITRE ATT&amp;CK Mappings'!$B756,"")</f>
        <v/>
      </c>
      <c r="D760" s="26" t="str">
        <f>IF(OR(OR(OR(OR(OR(ISNUMBER(SEARCH(IF(D$1&lt;&gt;"",D$1,"NA"),'MITRE ATT&amp;CK Mappings'!$E756)),ISNUMBER(SEARCH(IF(D$1&lt;&gt;"",D$1,"NA"),'MITRE ATT&amp;CK Mappings'!$F756))),ISNUMBER(SEARCH(IF(D$2&lt;&gt;"",D$2,"NA"),'MITRE ATT&amp;CK Mappings'!$G756))),ISNUMBER(SEARCH(IF(D$2&lt;&gt;"",D$2,"NA"),'MITRE ATT&amp;CK Mappings'!$H756))),ISNUMBER(SEARCH(IF(D$3&lt;&gt;"",D$3,"NA"),'MITRE ATT&amp;CK Mappings'!$I756))),ISNUMBER(SEARCH(IF(D$3&lt;&gt;"",D$3,"NA"),'MITRE ATT&amp;CK Mappings'!$J756))), 'MITRE ATT&amp;CK Mappings'!$B756,"")</f>
        <v/>
      </c>
      <c r="E760" s="26" t="str">
        <f>IF(OR(OR(OR(OR(OR(ISNUMBER(SEARCH(IF(E$1&lt;&gt;"",E$1,"NA"),'MITRE ATT&amp;CK Mappings'!$E756)),ISNUMBER(SEARCH(IF(E$1&lt;&gt;"",E$1,"NA"),'MITRE ATT&amp;CK Mappings'!$F756))),ISNUMBER(SEARCH(IF(E$2&lt;&gt;"",E$2,"NA"),'MITRE ATT&amp;CK Mappings'!$G756))),ISNUMBER(SEARCH(IF(E$2&lt;&gt;"",E$2,"NA"),'MITRE ATT&amp;CK Mappings'!$H756))),ISNUMBER(SEARCH(IF(E$3&lt;&gt;"",E$3,"NA"),'MITRE ATT&amp;CK Mappings'!$I756))),ISNUMBER(SEARCH(IF(E$3&lt;&gt;"",E$3,"NA"),'MITRE ATT&amp;CK Mappings'!$J756))), 'MITRE ATT&amp;CK Mappings'!$B756,"")</f>
        <v/>
      </c>
      <c r="F760" s="26" t="str">
        <f>IF(OR(OR(OR(OR(OR(ISNUMBER(SEARCH(IF(F$1&lt;&gt;"",F$1,"NA"),'MITRE ATT&amp;CK Mappings'!$E756)),ISNUMBER(SEARCH(IF(F$1&lt;&gt;"",F$1,"NA"),'MITRE ATT&amp;CK Mappings'!$F756))),ISNUMBER(SEARCH(IF(F$2&lt;&gt;"",F$2,"NA"),'MITRE ATT&amp;CK Mappings'!$G756))),ISNUMBER(SEARCH(IF(F$2&lt;&gt;"",F$2,"NA"),'MITRE ATT&amp;CK Mappings'!$H756))),ISNUMBER(SEARCH(IF(F$3&lt;&gt;"",F$3,"NA"),'MITRE ATT&amp;CK Mappings'!$I756))),ISNUMBER(SEARCH(IF(F$3&lt;&gt;"",F$3,"NA"),'MITRE ATT&amp;CK Mappings'!$J756))), 'MITRE ATT&amp;CK Mappings'!$B756,"")</f>
        <v/>
      </c>
      <c r="G760" s="26" t="str">
        <f>IF(OR(OR(OR(OR(OR(ISNUMBER(SEARCH(IF(G$1&lt;&gt;"",G$1,"NA"),'MITRE ATT&amp;CK Mappings'!$E756)),ISNUMBER(SEARCH(IF(G$1&lt;&gt;"",G$1,"NA"),'MITRE ATT&amp;CK Mappings'!$F756))),ISNUMBER(SEARCH(IF(G$2&lt;&gt;"",G$2,"NA"),'MITRE ATT&amp;CK Mappings'!$G756))),ISNUMBER(SEARCH(IF(G$2&lt;&gt;"",G$2,"NA"),'MITRE ATT&amp;CK Mappings'!$H756))),ISNUMBER(SEARCH(IF(G$3&lt;&gt;"",G$3,"NA"),'MITRE ATT&amp;CK Mappings'!$I756))),ISNUMBER(SEARCH(IF(G$3&lt;&gt;"",G$3,"NA"),'MITRE ATT&amp;CK Mappings'!$J756))), 'MITRE ATT&amp;CK Mappings'!$B756,"")</f>
        <v/>
      </c>
      <c r="H760" s="26" t="str">
        <f>IF(OR(OR(OR(OR(OR(ISNUMBER(SEARCH(IF(H$1&lt;&gt;"",H$1,"NA"),'MITRE ATT&amp;CK Mappings'!$E756)),ISNUMBER(SEARCH(IF(H$1&lt;&gt;"",H$1,"NA"),'MITRE ATT&amp;CK Mappings'!$F756))),ISNUMBER(SEARCH(IF(H$2&lt;&gt;"",H$2,"NA"),'MITRE ATT&amp;CK Mappings'!$G756))),ISNUMBER(SEARCH(IF(H$2&lt;&gt;"",H$2,"NA"),'MITRE ATT&amp;CK Mappings'!$H756))),ISNUMBER(SEARCH(IF(H$3&lt;&gt;"",H$3,"NA"),'MITRE ATT&amp;CK Mappings'!$I756))),ISNUMBER(SEARCH(IF(H$3&lt;&gt;"",H$3,"NA"),'MITRE ATT&amp;CK Mappings'!$J756))), 'MITRE ATT&amp;CK Mappings'!$B756,"")</f>
        <v/>
      </c>
      <c r="I760" s="26" t="str">
        <f>IF(OR(OR(OR(OR(OR(ISNUMBER(SEARCH(IF(I$1&lt;&gt;"",I$1,"NA"),'MITRE ATT&amp;CK Mappings'!$E756)),ISNUMBER(SEARCH(IF(I$1&lt;&gt;"",I$1,"NA"),'MITRE ATT&amp;CK Mappings'!$F756))),ISNUMBER(SEARCH(IF(I$2&lt;&gt;"",I$2,"NA"),'MITRE ATT&amp;CK Mappings'!$G756))),ISNUMBER(SEARCH(IF(I$2&lt;&gt;"",I$2,"NA"),'MITRE ATT&amp;CK Mappings'!$H756))),ISNUMBER(SEARCH(IF(I$3&lt;&gt;"",I$3,"NA"),'MITRE ATT&amp;CK Mappings'!$I756))),ISNUMBER(SEARCH(IF(I$3&lt;&gt;"",I$3,"NA"),'MITRE ATT&amp;CK Mappings'!$J756))), 'MITRE ATT&amp;CK Mappings'!$B756,"")</f>
        <v/>
      </c>
      <c r="J760" s="26" t="str">
        <f>IF(OR(OR(OR(OR(OR(ISNUMBER(SEARCH(IF(J$1&lt;&gt;"",J$1,"NA"),'MITRE ATT&amp;CK Mappings'!$E756)),ISNUMBER(SEARCH(IF(J$1&lt;&gt;"",J$1,"NA"),'MITRE ATT&amp;CK Mappings'!$F756))),ISNUMBER(SEARCH(IF(J$2&lt;&gt;"",J$2,"NA"),'MITRE ATT&amp;CK Mappings'!$G756))),ISNUMBER(SEARCH(IF(J$2&lt;&gt;"",J$2,"NA"),'MITRE ATT&amp;CK Mappings'!$H756))),ISNUMBER(SEARCH(IF(J$3&lt;&gt;"",J$3,"NA"),'MITRE ATT&amp;CK Mappings'!$I756))),ISNUMBER(SEARCH(IF(J$3&lt;&gt;"",J$3,"NA"),'MITRE ATT&amp;CK Mappings'!$J756))), 'MITRE ATT&amp;CK Mappings'!$B756,"")</f>
        <v/>
      </c>
      <c r="K760" s="26" t="str">
        <f>IF(OR(OR(OR(OR(OR(ISNUMBER(SEARCH(IF(K$1&lt;&gt;"",K$1,"NA"),'MITRE ATT&amp;CK Mappings'!$E756)),ISNUMBER(SEARCH(IF(K$1&lt;&gt;"",K$1,"NA"),'MITRE ATT&amp;CK Mappings'!$F756))),ISNUMBER(SEARCH(IF(K$2&lt;&gt;"",K$2,"NA"),'MITRE ATT&amp;CK Mappings'!$G756))),ISNUMBER(SEARCH(IF(K$2&lt;&gt;"",K$2,"NA"),'MITRE ATT&amp;CK Mappings'!$H756))),ISNUMBER(SEARCH(IF(K$3&lt;&gt;"",K$3,"NA"),'MITRE ATT&amp;CK Mappings'!$I756))),ISNUMBER(SEARCH(IF(K$3&lt;&gt;"",K$3,"NA"),'MITRE ATT&amp;CK Mappings'!$J756))), 'MITRE ATT&amp;CK Mappings'!$B756,"")</f>
        <v/>
      </c>
      <c r="L760" s="26" t="str">
        <f>IF('MITRE ATT&amp;CK Mappings'!D756 &lt;&gt;"",'MITRE ATT&amp;CK Mappings'!D756,"" )</f>
        <v/>
      </c>
    </row>
    <row r="761" spans="1:12" x14ac:dyDescent="0.25">
      <c r="A761" s="27" t="str">
        <f>IF(COUNTIF(B761:K761,"="&amp;'MITRE ATT&amp;CK Mappings'!B757)&gt;0,'MITRE ATT&amp;CK Mappings'!B757,"")</f>
        <v/>
      </c>
      <c r="B761" s="27" t="str">
        <f>IF(OR(OR(OR(OR(OR(ISNUMBER(SEARCH(IF(B$1&lt;&gt;"",B$1,"NA"),'MITRE ATT&amp;CK Mappings'!$E757)),ISNUMBER(SEARCH(IF(B$1&lt;&gt;"",B$1,"NA"),'MITRE ATT&amp;CK Mappings'!$F757))),ISNUMBER(SEARCH(IF(B$2&lt;&gt;"",B$2,"NA"),'MITRE ATT&amp;CK Mappings'!$G757))),ISNUMBER(SEARCH(IF(B$2&lt;&gt;"",B$2,"NA"),'MITRE ATT&amp;CK Mappings'!$H757))),ISNUMBER(SEARCH(IF(B$3&lt;&gt;"",B$3,"NA"),'MITRE ATT&amp;CK Mappings'!$I757))),ISNUMBER(SEARCH(IF(B$3&lt;&gt;"",B$3,"NA"),'MITRE ATT&amp;CK Mappings'!$J757))), 'MITRE ATT&amp;CK Mappings'!$B757,"")</f>
        <v/>
      </c>
      <c r="C761" s="27" t="str">
        <f>IF(OR(OR(OR(OR(OR(ISNUMBER(SEARCH(IF(C$1&lt;&gt;"",C$1,"NA"),'MITRE ATT&amp;CK Mappings'!$E757)),ISNUMBER(SEARCH(IF(C$1&lt;&gt;"",C$1,"NA"),'MITRE ATT&amp;CK Mappings'!$F757))),ISNUMBER(SEARCH(IF(C$2&lt;&gt;"",C$2,"NA"),'MITRE ATT&amp;CK Mappings'!$G757))),ISNUMBER(SEARCH(IF(C$2&lt;&gt;"",C$2,"NA"),'MITRE ATT&amp;CK Mappings'!$H757))),ISNUMBER(SEARCH(IF(C$3&lt;&gt;"",C$3,"NA"),'MITRE ATT&amp;CK Mappings'!$I757))),ISNUMBER(SEARCH(IF(C$3&lt;&gt;"",C$3,"NA"),'MITRE ATT&amp;CK Mappings'!$J757))), 'MITRE ATT&amp;CK Mappings'!$B757,"")</f>
        <v/>
      </c>
      <c r="D761" s="27" t="str">
        <f>IF(OR(OR(OR(OR(OR(ISNUMBER(SEARCH(IF(D$1&lt;&gt;"",D$1,"NA"),'MITRE ATT&amp;CK Mappings'!$E757)),ISNUMBER(SEARCH(IF(D$1&lt;&gt;"",D$1,"NA"),'MITRE ATT&amp;CK Mappings'!$F757))),ISNUMBER(SEARCH(IF(D$2&lt;&gt;"",D$2,"NA"),'MITRE ATT&amp;CK Mappings'!$G757))),ISNUMBER(SEARCH(IF(D$2&lt;&gt;"",D$2,"NA"),'MITRE ATT&amp;CK Mappings'!$H757))),ISNUMBER(SEARCH(IF(D$3&lt;&gt;"",D$3,"NA"),'MITRE ATT&amp;CK Mappings'!$I757))),ISNUMBER(SEARCH(IF(D$3&lt;&gt;"",D$3,"NA"),'MITRE ATT&amp;CK Mappings'!$J757))), 'MITRE ATT&amp;CK Mappings'!$B757,"")</f>
        <v/>
      </c>
      <c r="E761" s="27" t="str">
        <f>IF(OR(OR(OR(OR(OR(ISNUMBER(SEARCH(IF(E$1&lt;&gt;"",E$1,"NA"),'MITRE ATT&amp;CK Mappings'!$E757)),ISNUMBER(SEARCH(IF(E$1&lt;&gt;"",E$1,"NA"),'MITRE ATT&amp;CK Mappings'!$F757))),ISNUMBER(SEARCH(IF(E$2&lt;&gt;"",E$2,"NA"),'MITRE ATT&amp;CK Mappings'!$G757))),ISNUMBER(SEARCH(IF(E$2&lt;&gt;"",E$2,"NA"),'MITRE ATT&amp;CK Mappings'!$H757))),ISNUMBER(SEARCH(IF(E$3&lt;&gt;"",E$3,"NA"),'MITRE ATT&amp;CK Mappings'!$I757))),ISNUMBER(SEARCH(IF(E$3&lt;&gt;"",E$3,"NA"),'MITRE ATT&amp;CK Mappings'!$J757))), 'MITRE ATT&amp;CK Mappings'!$B757,"")</f>
        <v/>
      </c>
      <c r="F761" s="27" t="str">
        <f>IF(OR(OR(OR(OR(OR(ISNUMBER(SEARCH(IF(F$1&lt;&gt;"",F$1,"NA"),'MITRE ATT&amp;CK Mappings'!$E757)),ISNUMBER(SEARCH(IF(F$1&lt;&gt;"",F$1,"NA"),'MITRE ATT&amp;CK Mappings'!$F757))),ISNUMBER(SEARCH(IF(F$2&lt;&gt;"",F$2,"NA"),'MITRE ATT&amp;CK Mappings'!$G757))),ISNUMBER(SEARCH(IF(F$2&lt;&gt;"",F$2,"NA"),'MITRE ATT&amp;CK Mappings'!$H757))),ISNUMBER(SEARCH(IF(F$3&lt;&gt;"",F$3,"NA"),'MITRE ATT&amp;CK Mappings'!$I757))),ISNUMBER(SEARCH(IF(F$3&lt;&gt;"",F$3,"NA"),'MITRE ATT&amp;CK Mappings'!$J757))), 'MITRE ATT&amp;CK Mappings'!$B757,"")</f>
        <v/>
      </c>
      <c r="G761" s="27" t="str">
        <f>IF(OR(OR(OR(OR(OR(ISNUMBER(SEARCH(IF(G$1&lt;&gt;"",G$1,"NA"),'MITRE ATT&amp;CK Mappings'!$E757)),ISNUMBER(SEARCH(IF(G$1&lt;&gt;"",G$1,"NA"),'MITRE ATT&amp;CK Mappings'!$F757))),ISNUMBER(SEARCH(IF(G$2&lt;&gt;"",G$2,"NA"),'MITRE ATT&amp;CK Mappings'!$G757))),ISNUMBER(SEARCH(IF(G$2&lt;&gt;"",G$2,"NA"),'MITRE ATT&amp;CK Mappings'!$H757))),ISNUMBER(SEARCH(IF(G$3&lt;&gt;"",G$3,"NA"),'MITRE ATT&amp;CK Mappings'!$I757))),ISNUMBER(SEARCH(IF(G$3&lt;&gt;"",G$3,"NA"),'MITRE ATT&amp;CK Mappings'!$J757))), 'MITRE ATT&amp;CK Mappings'!$B757,"")</f>
        <v/>
      </c>
      <c r="H761" s="27" t="str">
        <f>IF(OR(OR(OR(OR(OR(ISNUMBER(SEARCH(IF(H$1&lt;&gt;"",H$1,"NA"),'MITRE ATT&amp;CK Mappings'!$E757)),ISNUMBER(SEARCH(IF(H$1&lt;&gt;"",H$1,"NA"),'MITRE ATT&amp;CK Mappings'!$F757))),ISNUMBER(SEARCH(IF(H$2&lt;&gt;"",H$2,"NA"),'MITRE ATT&amp;CK Mappings'!$G757))),ISNUMBER(SEARCH(IF(H$2&lt;&gt;"",H$2,"NA"),'MITRE ATT&amp;CK Mappings'!$H757))),ISNUMBER(SEARCH(IF(H$3&lt;&gt;"",H$3,"NA"),'MITRE ATT&amp;CK Mappings'!$I757))),ISNUMBER(SEARCH(IF(H$3&lt;&gt;"",H$3,"NA"),'MITRE ATT&amp;CK Mappings'!$J757))), 'MITRE ATT&amp;CK Mappings'!$B757,"")</f>
        <v/>
      </c>
      <c r="I761" s="27" t="str">
        <f>IF(OR(OR(OR(OR(OR(ISNUMBER(SEARCH(IF(I$1&lt;&gt;"",I$1,"NA"),'MITRE ATT&amp;CK Mappings'!$E757)),ISNUMBER(SEARCH(IF(I$1&lt;&gt;"",I$1,"NA"),'MITRE ATT&amp;CK Mappings'!$F757))),ISNUMBER(SEARCH(IF(I$2&lt;&gt;"",I$2,"NA"),'MITRE ATT&amp;CK Mappings'!$G757))),ISNUMBER(SEARCH(IF(I$2&lt;&gt;"",I$2,"NA"),'MITRE ATT&amp;CK Mappings'!$H757))),ISNUMBER(SEARCH(IF(I$3&lt;&gt;"",I$3,"NA"),'MITRE ATT&amp;CK Mappings'!$I757))),ISNUMBER(SEARCH(IF(I$3&lt;&gt;"",I$3,"NA"),'MITRE ATT&amp;CK Mappings'!$J757))), 'MITRE ATT&amp;CK Mappings'!$B757,"")</f>
        <v/>
      </c>
      <c r="J761" s="27" t="str">
        <f>IF(OR(OR(OR(OR(OR(ISNUMBER(SEARCH(IF(J$1&lt;&gt;"",J$1,"NA"),'MITRE ATT&amp;CK Mappings'!$E757)),ISNUMBER(SEARCH(IF(J$1&lt;&gt;"",J$1,"NA"),'MITRE ATT&amp;CK Mappings'!$F757))),ISNUMBER(SEARCH(IF(J$2&lt;&gt;"",J$2,"NA"),'MITRE ATT&amp;CK Mappings'!$G757))),ISNUMBER(SEARCH(IF(J$2&lt;&gt;"",J$2,"NA"),'MITRE ATT&amp;CK Mappings'!$H757))),ISNUMBER(SEARCH(IF(J$3&lt;&gt;"",J$3,"NA"),'MITRE ATT&amp;CK Mappings'!$I757))),ISNUMBER(SEARCH(IF(J$3&lt;&gt;"",J$3,"NA"),'MITRE ATT&amp;CK Mappings'!$J757))), 'MITRE ATT&amp;CK Mappings'!$B757,"")</f>
        <v/>
      </c>
      <c r="K761" s="27" t="str">
        <f>IF(OR(OR(OR(OR(OR(ISNUMBER(SEARCH(IF(K$1&lt;&gt;"",K$1,"NA"),'MITRE ATT&amp;CK Mappings'!$E757)),ISNUMBER(SEARCH(IF(K$1&lt;&gt;"",K$1,"NA"),'MITRE ATT&amp;CK Mappings'!$F757))),ISNUMBER(SEARCH(IF(K$2&lt;&gt;"",K$2,"NA"),'MITRE ATT&amp;CK Mappings'!$G757))),ISNUMBER(SEARCH(IF(K$2&lt;&gt;"",K$2,"NA"),'MITRE ATT&amp;CK Mappings'!$H757))),ISNUMBER(SEARCH(IF(K$3&lt;&gt;"",K$3,"NA"),'MITRE ATT&amp;CK Mappings'!$I757))),ISNUMBER(SEARCH(IF(K$3&lt;&gt;"",K$3,"NA"),'MITRE ATT&amp;CK Mappings'!$J757))), 'MITRE ATT&amp;CK Mappings'!$B757,"")</f>
        <v/>
      </c>
      <c r="L761" s="27" t="str">
        <f>IF('MITRE ATT&amp;CK Mappings'!D757 &lt;&gt;"",'MITRE ATT&amp;CK Mappings'!D757,"" )</f>
        <v/>
      </c>
    </row>
    <row r="762" spans="1:12" x14ac:dyDescent="0.25">
      <c r="A762" s="26" t="str">
        <f>IF(COUNTIF(B762:K762,"="&amp;'MITRE ATT&amp;CK Mappings'!B758)&gt;0,'MITRE ATT&amp;CK Mappings'!B758,"")</f>
        <v/>
      </c>
      <c r="B762" s="26" t="str">
        <f>IF(OR(OR(OR(OR(OR(ISNUMBER(SEARCH(IF(B$1&lt;&gt;"",B$1,"NA"),'MITRE ATT&amp;CK Mappings'!$E758)),ISNUMBER(SEARCH(IF(B$1&lt;&gt;"",B$1,"NA"),'MITRE ATT&amp;CK Mappings'!$F758))),ISNUMBER(SEARCH(IF(B$2&lt;&gt;"",B$2,"NA"),'MITRE ATT&amp;CK Mappings'!$G758))),ISNUMBER(SEARCH(IF(B$2&lt;&gt;"",B$2,"NA"),'MITRE ATT&amp;CK Mappings'!$H758))),ISNUMBER(SEARCH(IF(B$3&lt;&gt;"",B$3,"NA"),'MITRE ATT&amp;CK Mappings'!$I758))),ISNUMBER(SEARCH(IF(B$3&lt;&gt;"",B$3,"NA"),'MITRE ATT&amp;CK Mappings'!$J758))), 'MITRE ATT&amp;CK Mappings'!$B758,"")</f>
        <v/>
      </c>
      <c r="C762" s="26" t="str">
        <f>IF(OR(OR(OR(OR(OR(ISNUMBER(SEARCH(IF(C$1&lt;&gt;"",C$1,"NA"),'MITRE ATT&amp;CK Mappings'!$E758)),ISNUMBER(SEARCH(IF(C$1&lt;&gt;"",C$1,"NA"),'MITRE ATT&amp;CK Mappings'!$F758))),ISNUMBER(SEARCH(IF(C$2&lt;&gt;"",C$2,"NA"),'MITRE ATT&amp;CK Mappings'!$G758))),ISNUMBER(SEARCH(IF(C$2&lt;&gt;"",C$2,"NA"),'MITRE ATT&amp;CK Mappings'!$H758))),ISNUMBER(SEARCH(IF(C$3&lt;&gt;"",C$3,"NA"),'MITRE ATT&amp;CK Mappings'!$I758))),ISNUMBER(SEARCH(IF(C$3&lt;&gt;"",C$3,"NA"),'MITRE ATT&amp;CK Mappings'!$J758))), 'MITRE ATT&amp;CK Mappings'!$B758,"")</f>
        <v/>
      </c>
      <c r="D762" s="26" t="str">
        <f>IF(OR(OR(OR(OR(OR(ISNUMBER(SEARCH(IF(D$1&lt;&gt;"",D$1,"NA"),'MITRE ATT&amp;CK Mappings'!$E758)),ISNUMBER(SEARCH(IF(D$1&lt;&gt;"",D$1,"NA"),'MITRE ATT&amp;CK Mappings'!$F758))),ISNUMBER(SEARCH(IF(D$2&lt;&gt;"",D$2,"NA"),'MITRE ATT&amp;CK Mappings'!$G758))),ISNUMBER(SEARCH(IF(D$2&lt;&gt;"",D$2,"NA"),'MITRE ATT&amp;CK Mappings'!$H758))),ISNUMBER(SEARCH(IF(D$3&lt;&gt;"",D$3,"NA"),'MITRE ATT&amp;CK Mappings'!$I758))),ISNUMBER(SEARCH(IF(D$3&lt;&gt;"",D$3,"NA"),'MITRE ATT&amp;CK Mappings'!$J758))), 'MITRE ATT&amp;CK Mappings'!$B758,"")</f>
        <v/>
      </c>
      <c r="E762" s="26" t="str">
        <f>IF(OR(OR(OR(OR(OR(ISNUMBER(SEARCH(IF(E$1&lt;&gt;"",E$1,"NA"),'MITRE ATT&amp;CK Mappings'!$E758)),ISNUMBER(SEARCH(IF(E$1&lt;&gt;"",E$1,"NA"),'MITRE ATT&amp;CK Mappings'!$F758))),ISNUMBER(SEARCH(IF(E$2&lt;&gt;"",E$2,"NA"),'MITRE ATT&amp;CK Mappings'!$G758))),ISNUMBER(SEARCH(IF(E$2&lt;&gt;"",E$2,"NA"),'MITRE ATT&amp;CK Mappings'!$H758))),ISNUMBER(SEARCH(IF(E$3&lt;&gt;"",E$3,"NA"),'MITRE ATT&amp;CK Mappings'!$I758))),ISNUMBER(SEARCH(IF(E$3&lt;&gt;"",E$3,"NA"),'MITRE ATT&amp;CK Mappings'!$J758))), 'MITRE ATT&amp;CK Mappings'!$B758,"")</f>
        <v/>
      </c>
      <c r="F762" s="26" t="str">
        <f>IF(OR(OR(OR(OR(OR(ISNUMBER(SEARCH(IF(F$1&lt;&gt;"",F$1,"NA"),'MITRE ATT&amp;CK Mappings'!$E758)),ISNUMBER(SEARCH(IF(F$1&lt;&gt;"",F$1,"NA"),'MITRE ATT&amp;CK Mappings'!$F758))),ISNUMBER(SEARCH(IF(F$2&lt;&gt;"",F$2,"NA"),'MITRE ATT&amp;CK Mappings'!$G758))),ISNUMBER(SEARCH(IF(F$2&lt;&gt;"",F$2,"NA"),'MITRE ATT&amp;CK Mappings'!$H758))),ISNUMBER(SEARCH(IF(F$3&lt;&gt;"",F$3,"NA"),'MITRE ATT&amp;CK Mappings'!$I758))),ISNUMBER(SEARCH(IF(F$3&lt;&gt;"",F$3,"NA"),'MITRE ATT&amp;CK Mappings'!$J758))), 'MITRE ATT&amp;CK Mappings'!$B758,"")</f>
        <v/>
      </c>
      <c r="G762" s="26" t="str">
        <f>IF(OR(OR(OR(OR(OR(ISNUMBER(SEARCH(IF(G$1&lt;&gt;"",G$1,"NA"),'MITRE ATT&amp;CK Mappings'!$E758)),ISNUMBER(SEARCH(IF(G$1&lt;&gt;"",G$1,"NA"),'MITRE ATT&amp;CK Mappings'!$F758))),ISNUMBER(SEARCH(IF(G$2&lt;&gt;"",G$2,"NA"),'MITRE ATT&amp;CK Mappings'!$G758))),ISNUMBER(SEARCH(IF(G$2&lt;&gt;"",G$2,"NA"),'MITRE ATT&amp;CK Mappings'!$H758))),ISNUMBER(SEARCH(IF(G$3&lt;&gt;"",G$3,"NA"),'MITRE ATT&amp;CK Mappings'!$I758))),ISNUMBER(SEARCH(IF(G$3&lt;&gt;"",G$3,"NA"),'MITRE ATT&amp;CK Mappings'!$J758))), 'MITRE ATT&amp;CK Mappings'!$B758,"")</f>
        <v/>
      </c>
      <c r="H762" s="26" t="str">
        <f>IF(OR(OR(OR(OR(OR(ISNUMBER(SEARCH(IF(H$1&lt;&gt;"",H$1,"NA"),'MITRE ATT&amp;CK Mappings'!$E758)),ISNUMBER(SEARCH(IF(H$1&lt;&gt;"",H$1,"NA"),'MITRE ATT&amp;CK Mappings'!$F758))),ISNUMBER(SEARCH(IF(H$2&lt;&gt;"",H$2,"NA"),'MITRE ATT&amp;CK Mappings'!$G758))),ISNUMBER(SEARCH(IF(H$2&lt;&gt;"",H$2,"NA"),'MITRE ATT&amp;CK Mappings'!$H758))),ISNUMBER(SEARCH(IF(H$3&lt;&gt;"",H$3,"NA"),'MITRE ATT&amp;CK Mappings'!$I758))),ISNUMBER(SEARCH(IF(H$3&lt;&gt;"",H$3,"NA"),'MITRE ATT&amp;CK Mappings'!$J758))), 'MITRE ATT&amp;CK Mappings'!$B758,"")</f>
        <v/>
      </c>
      <c r="I762" s="26" t="str">
        <f>IF(OR(OR(OR(OR(OR(ISNUMBER(SEARCH(IF(I$1&lt;&gt;"",I$1,"NA"),'MITRE ATT&amp;CK Mappings'!$E758)),ISNUMBER(SEARCH(IF(I$1&lt;&gt;"",I$1,"NA"),'MITRE ATT&amp;CK Mappings'!$F758))),ISNUMBER(SEARCH(IF(I$2&lt;&gt;"",I$2,"NA"),'MITRE ATT&amp;CK Mappings'!$G758))),ISNUMBER(SEARCH(IF(I$2&lt;&gt;"",I$2,"NA"),'MITRE ATT&amp;CK Mappings'!$H758))),ISNUMBER(SEARCH(IF(I$3&lt;&gt;"",I$3,"NA"),'MITRE ATT&amp;CK Mappings'!$I758))),ISNUMBER(SEARCH(IF(I$3&lt;&gt;"",I$3,"NA"),'MITRE ATT&amp;CK Mappings'!$J758))), 'MITRE ATT&amp;CK Mappings'!$B758,"")</f>
        <v/>
      </c>
      <c r="J762" s="26" t="str">
        <f>IF(OR(OR(OR(OR(OR(ISNUMBER(SEARCH(IF(J$1&lt;&gt;"",J$1,"NA"),'MITRE ATT&amp;CK Mappings'!$E758)),ISNUMBER(SEARCH(IF(J$1&lt;&gt;"",J$1,"NA"),'MITRE ATT&amp;CK Mappings'!$F758))),ISNUMBER(SEARCH(IF(J$2&lt;&gt;"",J$2,"NA"),'MITRE ATT&amp;CK Mappings'!$G758))),ISNUMBER(SEARCH(IF(J$2&lt;&gt;"",J$2,"NA"),'MITRE ATT&amp;CK Mappings'!$H758))),ISNUMBER(SEARCH(IF(J$3&lt;&gt;"",J$3,"NA"),'MITRE ATT&amp;CK Mappings'!$I758))),ISNUMBER(SEARCH(IF(J$3&lt;&gt;"",J$3,"NA"),'MITRE ATT&amp;CK Mappings'!$J758))), 'MITRE ATT&amp;CK Mappings'!$B758,"")</f>
        <v/>
      </c>
      <c r="K762" s="26" t="str">
        <f>IF(OR(OR(OR(OR(OR(ISNUMBER(SEARCH(IF(K$1&lt;&gt;"",K$1,"NA"),'MITRE ATT&amp;CK Mappings'!$E758)),ISNUMBER(SEARCH(IF(K$1&lt;&gt;"",K$1,"NA"),'MITRE ATT&amp;CK Mappings'!$F758))),ISNUMBER(SEARCH(IF(K$2&lt;&gt;"",K$2,"NA"),'MITRE ATT&amp;CK Mappings'!$G758))),ISNUMBER(SEARCH(IF(K$2&lt;&gt;"",K$2,"NA"),'MITRE ATT&amp;CK Mappings'!$H758))),ISNUMBER(SEARCH(IF(K$3&lt;&gt;"",K$3,"NA"),'MITRE ATT&amp;CK Mappings'!$I758))),ISNUMBER(SEARCH(IF(K$3&lt;&gt;"",K$3,"NA"),'MITRE ATT&amp;CK Mappings'!$J758))), 'MITRE ATT&amp;CK Mappings'!$B758,"")</f>
        <v/>
      </c>
      <c r="L762" s="26" t="str">
        <f>IF('MITRE ATT&amp;CK Mappings'!D758 &lt;&gt;"",'MITRE ATT&amp;CK Mappings'!D758,"" )</f>
        <v/>
      </c>
    </row>
    <row r="763" spans="1:12" x14ac:dyDescent="0.25">
      <c r="A763" s="27" t="str">
        <f>IF(COUNTIF(B763:K763,"="&amp;'MITRE ATT&amp;CK Mappings'!B759)&gt;0,'MITRE ATT&amp;CK Mappings'!B759,"")</f>
        <v/>
      </c>
      <c r="B763" s="27" t="str">
        <f>IF(OR(OR(OR(OR(OR(ISNUMBER(SEARCH(IF(B$1&lt;&gt;"",B$1,"NA"),'MITRE ATT&amp;CK Mappings'!$E759)),ISNUMBER(SEARCH(IF(B$1&lt;&gt;"",B$1,"NA"),'MITRE ATT&amp;CK Mappings'!$F759))),ISNUMBER(SEARCH(IF(B$2&lt;&gt;"",B$2,"NA"),'MITRE ATT&amp;CK Mappings'!$G759))),ISNUMBER(SEARCH(IF(B$2&lt;&gt;"",B$2,"NA"),'MITRE ATT&amp;CK Mappings'!$H759))),ISNUMBER(SEARCH(IF(B$3&lt;&gt;"",B$3,"NA"),'MITRE ATT&amp;CK Mappings'!$I759))),ISNUMBER(SEARCH(IF(B$3&lt;&gt;"",B$3,"NA"),'MITRE ATT&amp;CK Mappings'!$J759))), 'MITRE ATT&amp;CK Mappings'!$B759,"")</f>
        <v/>
      </c>
      <c r="C763" s="27" t="str">
        <f>IF(OR(OR(OR(OR(OR(ISNUMBER(SEARCH(IF(C$1&lt;&gt;"",C$1,"NA"),'MITRE ATT&amp;CK Mappings'!$E759)),ISNUMBER(SEARCH(IF(C$1&lt;&gt;"",C$1,"NA"),'MITRE ATT&amp;CK Mappings'!$F759))),ISNUMBER(SEARCH(IF(C$2&lt;&gt;"",C$2,"NA"),'MITRE ATT&amp;CK Mappings'!$G759))),ISNUMBER(SEARCH(IF(C$2&lt;&gt;"",C$2,"NA"),'MITRE ATT&amp;CK Mappings'!$H759))),ISNUMBER(SEARCH(IF(C$3&lt;&gt;"",C$3,"NA"),'MITRE ATT&amp;CK Mappings'!$I759))),ISNUMBER(SEARCH(IF(C$3&lt;&gt;"",C$3,"NA"),'MITRE ATT&amp;CK Mappings'!$J759))), 'MITRE ATT&amp;CK Mappings'!$B759,"")</f>
        <v/>
      </c>
      <c r="D763" s="27" t="str">
        <f>IF(OR(OR(OR(OR(OR(ISNUMBER(SEARCH(IF(D$1&lt;&gt;"",D$1,"NA"),'MITRE ATT&amp;CK Mappings'!$E759)),ISNUMBER(SEARCH(IF(D$1&lt;&gt;"",D$1,"NA"),'MITRE ATT&amp;CK Mappings'!$F759))),ISNUMBER(SEARCH(IF(D$2&lt;&gt;"",D$2,"NA"),'MITRE ATT&amp;CK Mappings'!$G759))),ISNUMBER(SEARCH(IF(D$2&lt;&gt;"",D$2,"NA"),'MITRE ATT&amp;CK Mappings'!$H759))),ISNUMBER(SEARCH(IF(D$3&lt;&gt;"",D$3,"NA"),'MITRE ATT&amp;CK Mappings'!$I759))),ISNUMBER(SEARCH(IF(D$3&lt;&gt;"",D$3,"NA"),'MITRE ATT&amp;CK Mappings'!$J759))), 'MITRE ATT&amp;CK Mappings'!$B759,"")</f>
        <v/>
      </c>
      <c r="E763" s="27" t="str">
        <f>IF(OR(OR(OR(OR(OR(ISNUMBER(SEARCH(IF(E$1&lt;&gt;"",E$1,"NA"),'MITRE ATT&amp;CK Mappings'!$E759)),ISNUMBER(SEARCH(IF(E$1&lt;&gt;"",E$1,"NA"),'MITRE ATT&amp;CK Mappings'!$F759))),ISNUMBER(SEARCH(IF(E$2&lt;&gt;"",E$2,"NA"),'MITRE ATT&amp;CK Mappings'!$G759))),ISNUMBER(SEARCH(IF(E$2&lt;&gt;"",E$2,"NA"),'MITRE ATT&amp;CK Mappings'!$H759))),ISNUMBER(SEARCH(IF(E$3&lt;&gt;"",E$3,"NA"),'MITRE ATT&amp;CK Mappings'!$I759))),ISNUMBER(SEARCH(IF(E$3&lt;&gt;"",E$3,"NA"),'MITRE ATT&amp;CK Mappings'!$J759))), 'MITRE ATT&amp;CK Mappings'!$B759,"")</f>
        <v/>
      </c>
      <c r="F763" s="27" t="str">
        <f>IF(OR(OR(OR(OR(OR(ISNUMBER(SEARCH(IF(F$1&lt;&gt;"",F$1,"NA"),'MITRE ATT&amp;CK Mappings'!$E759)),ISNUMBER(SEARCH(IF(F$1&lt;&gt;"",F$1,"NA"),'MITRE ATT&amp;CK Mappings'!$F759))),ISNUMBER(SEARCH(IF(F$2&lt;&gt;"",F$2,"NA"),'MITRE ATT&amp;CK Mappings'!$G759))),ISNUMBER(SEARCH(IF(F$2&lt;&gt;"",F$2,"NA"),'MITRE ATT&amp;CK Mappings'!$H759))),ISNUMBER(SEARCH(IF(F$3&lt;&gt;"",F$3,"NA"),'MITRE ATT&amp;CK Mappings'!$I759))),ISNUMBER(SEARCH(IF(F$3&lt;&gt;"",F$3,"NA"),'MITRE ATT&amp;CK Mappings'!$J759))), 'MITRE ATT&amp;CK Mappings'!$B759,"")</f>
        <v/>
      </c>
      <c r="G763" s="27" t="str">
        <f>IF(OR(OR(OR(OR(OR(ISNUMBER(SEARCH(IF(G$1&lt;&gt;"",G$1,"NA"),'MITRE ATT&amp;CK Mappings'!$E759)),ISNUMBER(SEARCH(IF(G$1&lt;&gt;"",G$1,"NA"),'MITRE ATT&amp;CK Mappings'!$F759))),ISNUMBER(SEARCH(IF(G$2&lt;&gt;"",G$2,"NA"),'MITRE ATT&amp;CK Mappings'!$G759))),ISNUMBER(SEARCH(IF(G$2&lt;&gt;"",G$2,"NA"),'MITRE ATT&amp;CK Mappings'!$H759))),ISNUMBER(SEARCH(IF(G$3&lt;&gt;"",G$3,"NA"),'MITRE ATT&amp;CK Mappings'!$I759))),ISNUMBER(SEARCH(IF(G$3&lt;&gt;"",G$3,"NA"),'MITRE ATT&amp;CK Mappings'!$J759))), 'MITRE ATT&amp;CK Mappings'!$B759,"")</f>
        <v/>
      </c>
      <c r="H763" s="27" t="str">
        <f>IF(OR(OR(OR(OR(OR(ISNUMBER(SEARCH(IF(H$1&lt;&gt;"",H$1,"NA"),'MITRE ATT&amp;CK Mappings'!$E759)),ISNUMBER(SEARCH(IF(H$1&lt;&gt;"",H$1,"NA"),'MITRE ATT&amp;CK Mappings'!$F759))),ISNUMBER(SEARCH(IF(H$2&lt;&gt;"",H$2,"NA"),'MITRE ATT&amp;CK Mappings'!$G759))),ISNUMBER(SEARCH(IF(H$2&lt;&gt;"",H$2,"NA"),'MITRE ATT&amp;CK Mappings'!$H759))),ISNUMBER(SEARCH(IF(H$3&lt;&gt;"",H$3,"NA"),'MITRE ATT&amp;CK Mappings'!$I759))),ISNUMBER(SEARCH(IF(H$3&lt;&gt;"",H$3,"NA"),'MITRE ATT&amp;CK Mappings'!$J759))), 'MITRE ATT&amp;CK Mappings'!$B759,"")</f>
        <v/>
      </c>
      <c r="I763" s="27" t="str">
        <f>IF(OR(OR(OR(OR(OR(ISNUMBER(SEARCH(IF(I$1&lt;&gt;"",I$1,"NA"),'MITRE ATT&amp;CK Mappings'!$E759)),ISNUMBER(SEARCH(IF(I$1&lt;&gt;"",I$1,"NA"),'MITRE ATT&amp;CK Mappings'!$F759))),ISNUMBER(SEARCH(IF(I$2&lt;&gt;"",I$2,"NA"),'MITRE ATT&amp;CK Mappings'!$G759))),ISNUMBER(SEARCH(IF(I$2&lt;&gt;"",I$2,"NA"),'MITRE ATT&amp;CK Mappings'!$H759))),ISNUMBER(SEARCH(IF(I$3&lt;&gt;"",I$3,"NA"),'MITRE ATT&amp;CK Mappings'!$I759))),ISNUMBER(SEARCH(IF(I$3&lt;&gt;"",I$3,"NA"),'MITRE ATT&amp;CK Mappings'!$J759))), 'MITRE ATT&amp;CK Mappings'!$B759,"")</f>
        <v/>
      </c>
      <c r="J763" s="27" t="str">
        <f>IF(OR(OR(OR(OR(OR(ISNUMBER(SEARCH(IF(J$1&lt;&gt;"",J$1,"NA"),'MITRE ATT&amp;CK Mappings'!$E759)),ISNUMBER(SEARCH(IF(J$1&lt;&gt;"",J$1,"NA"),'MITRE ATT&amp;CK Mappings'!$F759))),ISNUMBER(SEARCH(IF(J$2&lt;&gt;"",J$2,"NA"),'MITRE ATT&amp;CK Mappings'!$G759))),ISNUMBER(SEARCH(IF(J$2&lt;&gt;"",J$2,"NA"),'MITRE ATT&amp;CK Mappings'!$H759))),ISNUMBER(SEARCH(IF(J$3&lt;&gt;"",J$3,"NA"),'MITRE ATT&amp;CK Mappings'!$I759))),ISNUMBER(SEARCH(IF(J$3&lt;&gt;"",J$3,"NA"),'MITRE ATT&amp;CK Mappings'!$J759))), 'MITRE ATT&amp;CK Mappings'!$B759,"")</f>
        <v/>
      </c>
      <c r="K763" s="27" t="str">
        <f>IF(OR(OR(OR(OR(OR(ISNUMBER(SEARCH(IF(K$1&lt;&gt;"",K$1,"NA"),'MITRE ATT&amp;CK Mappings'!$E759)),ISNUMBER(SEARCH(IF(K$1&lt;&gt;"",K$1,"NA"),'MITRE ATT&amp;CK Mappings'!$F759))),ISNUMBER(SEARCH(IF(K$2&lt;&gt;"",K$2,"NA"),'MITRE ATT&amp;CK Mappings'!$G759))),ISNUMBER(SEARCH(IF(K$2&lt;&gt;"",K$2,"NA"),'MITRE ATT&amp;CK Mappings'!$H759))),ISNUMBER(SEARCH(IF(K$3&lt;&gt;"",K$3,"NA"),'MITRE ATT&amp;CK Mappings'!$I759))),ISNUMBER(SEARCH(IF(K$3&lt;&gt;"",K$3,"NA"),'MITRE ATT&amp;CK Mappings'!$J759))), 'MITRE ATT&amp;CK Mappings'!$B759,"")</f>
        <v/>
      </c>
      <c r="L763" s="27" t="str">
        <f>IF('MITRE ATT&amp;CK Mappings'!D759 &lt;&gt;"",'MITRE ATT&amp;CK Mappings'!D759,"" )</f>
        <v/>
      </c>
    </row>
    <row r="764" spans="1:12" x14ac:dyDescent="0.25">
      <c r="A764" s="26" t="str">
        <f>IF(COUNTIF(B764:K764,"="&amp;'MITRE ATT&amp;CK Mappings'!B760)&gt;0,'MITRE ATT&amp;CK Mappings'!B760,"")</f>
        <v/>
      </c>
      <c r="B764" s="26" t="str">
        <f>IF(OR(OR(OR(OR(OR(ISNUMBER(SEARCH(IF(B$1&lt;&gt;"",B$1,"NA"),'MITRE ATT&amp;CK Mappings'!$E760)),ISNUMBER(SEARCH(IF(B$1&lt;&gt;"",B$1,"NA"),'MITRE ATT&amp;CK Mappings'!$F760))),ISNUMBER(SEARCH(IF(B$2&lt;&gt;"",B$2,"NA"),'MITRE ATT&amp;CK Mappings'!$G760))),ISNUMBER(SEARCH(IF(B$2&lt;&gt;"",B$2,"NA"),'MITRE ATT&amp;CK Mappings'!$H760))),ISNUMBER(SEARCH(IF(B$3&lt;&gt;"",B$3,"NA"),'MITRE ATT&amp;CK Mappings'!$I760))),ISNUMBER(SEARCH(IF(B$3&lt;&gt;"",B$3,"NA"),'MITRE ATT&amp;CK Mappings'!$J760))), 'MITRE ATT&amp;CK Mappings'!$B760,"")</f>
        <v/>
      </c>
      <c r="C764" s="26" t="str">
        <f>IF(OR(OR(OR(OR(OR(ISNUMBER(SEARCH(IF(C$1&lt;&gt;"",C$1,"NA"),'MITRE ATT&amp;CK Mappings'!$E760)),ISNUMBER(SEARCH(IF(C$1&lt;&gt;"",C$1,"NA"),'MITRE ATT&amp;CK Mappings'!$F760))),ISNUMBER(SEARCH(IF(C$2&lt;&gt;"",C$2,"NA"),'MITRE ATT&amp;CK Mappings'!$G760))),ISNUMBER(SEARCH(IF(C$2&lt;&gt;"",C$2,"NA"),'MITRE ATT&amp;CK Mappings'!$H760))),ISNUMBER(SEARCH(IF(C$3&lt;&gt;"",C$3,"NA"),'MITRE ATT&amp;CK Mappings'!$I760))),ISNUMBER(SEARCH(IF(C$3&lt;&gt;"",C$3,"NA"),'MITRE ATT&amp;CK Mappings'!$J760))), 'MITRE ATT&amp;CK Mappings'!$B760,"")</f>
        <v/>
      </c>
      <c r="D764" s="26" t="str">
        <f>IF(OR(OR(OR(OR(OR(ISNUMBER(SEARCH(IF(D$1&lt;&gt;"",D$1,"NA"),'MITRE ATT&amp;CK Mappings'!$E760)),ISNUMBER(SEARCH(IF(D$1&lt;&gt;"",D$1,"NA"),'MITRE ATT&amp;CK Mappings'!$F760))),ISNUMBER(SEARCH(IF(D$2&lt;&gt;"",D$2,"NA"),'MITRE ATT&amp;CK Mappings'!$G760))),ISNUMBER(SEARCH(IF(D$2&lt;&gt;"",D$2,"NA"),'MITRE ATT&amp;CK Mappings'!$H760))),ISNUMBER(SEARCH(IF(D$3&lt;&gt;"",D$3,"NA"),'MITRE ATT&amp;CK Mappings'!$I760))),ISNUMBER(SEARCH(IF(D$3&lt;&gt;"",D$3,"NA"),'MITRE ATT&amp;CK Mappings'!$J760))), 'MITRE ATT&amp;CK Mappings'!$B760,"")</f>
        <v/>
      </c>
      <c r="E764" s="26" t="str">
        <f>IF(OR(OR(OR(OR(OR(ISNUMBER(SEARCH(IF(E$1&lt;&gt;"",E$1,"NA"),'MITRE ATT&amp;CK Mappings'!$E760)),ISNUMBER(SEARCH(IF(E$1&lt;&gt;"",E$1,"NA"),'MITRE ATT&amp;CK Mappings'!$F760))),ISNUMBER(SEARCH(IF(E$2&lt;&gt;"",E$2,"NA"),'MITRE ATT&amp;CK Mappings'!$G760))),ISNUMBER(SEARCH(IF(E$2&lt;&gt;"",E$2,"NA"),'MITRE ATT&amp;CK Mappings'!$H760))),ISNUMBER(SEARCH(IF(E$3&lt;&gt;"",E$3,"NA"),'MITRE ATT&amp;CK Mappings'!$I760))),ISNUMBER(SEARCH(IF(E$3&lt;&gt;"",E$3,"NA"),'MITRE ATT&amp;CK Mappings'!$J760))), 'MITRE ATT&amp;CK Mappings'!$B760,"")</f>
        <v/>
      </c>
      <c r="F764" s="26" t="str">
        <f>IF(OR(OR(OR(OR(OR(ISNUMBER(SEARCH(IF(F$1&lt;&gt;"",F$1,"NA"),'MITRE ATT&amp;CK Mappings'!$E760)),ISNUMBER(SEARCH(IF(F$1&lt;&gt;"",F$1,"NA"),'MITRE ATT&amp;CK Mappings'!$F760))),ISNUMBER(SEARCH(IF(F$2&lt;&gt;"",F$2,"NA"),'MITRE ATT&amp;CK Mappings'!$G760))),ISNUMBER(SEARCH(IF(F$2&lt;&gt;"",F$2,"NA"),'MITRE ATT&amp;CK Mappings'!$H760))),ISNUMBER(SEARCH(IF(F$3&lt;&gt;"",F$3,"NA"),'MITRE ATT&amp;CK Mappings'!$I760))),ISNUMBER(SEARCH(IF(F$3&lt;&gt;"",F$3,"NA"),'MITRE ATT&amp;CK Mappings'!$J760))), 'MITRE ATT&amp;CK Mappings'!$B760,"")</f>
        <v/>
      </c>
      <c r="G764" s="26" t="str">
        <f>IF(OR(OR(OR(OR(OR(ISNUMBER(SEARCH(IF(G$1&lt;&gt;"",G$1,"NA"),'MITRE ATT&amp;CK Mappings'!$E760)),ISNUMBER(SEARCH(IF(G$1&lt;&gt;"",G$1,"NA"),'MITRE ATT&amp;CK Mappings'!$F760))),ISNUMBER(SEARCH(IF(G$2&lt;&gt;"",G$2,"NA"),'MITRE ATT&amp;CK Mappings'!$G760))),ISNUMBER(SEARCH(IF(G$2&lt;&gt;"",G$2,"NA"),'MITRE ATT&amp;CK Mappings'!$H760))),ISNUMBER(SEARCH(IF(G$3&lt;&gt;"",G$3,"NA"),'MITRE ATT&amp;CK Mappings'!$I760))),ISNUMBER(SEARCH(IF(G$3&lt;&gt;"",G$3,"NA"),'MITRE ATT&amp;CK Mappings'!$J760))), 'MITRE ATT&amp;CK Mappings'!$B760,"")</f>
        <v/>
      </c>
      <c r="H764" s="26" t="str">
        <f>IF(OR(OR(OR(OR(OR(ISNUMBER(SEARCH(IF(H$1&lt;&gt;"",H$1,"NA"),'MITRE ATT&amp;CK Mappings'!$E760)),ISNUMBER(SEARCH(IF(H$1&lt;&gt;"",H$1,"NA"),'MITRE ATT&amp;CK Mappings'!$F760))),ISNUMBER(SEARCH(IF(H$2&lt;&gt;"",H$2,"NA"),'MITRE ATT&amp;CK Mappings'!$G760))),ISNUMBER(SEARCH(IF(H$2&lt;&gt;"",H$2,"NA"),'MITRE ATT&amp;CK Mappings'!$H760))),ISNUMBER(SEARCH(IF(H$3&lt;&gt;"",H$3,"NA"),'MITRE ATT&amp;CK Mappings'!$I760))),ISNUMBER(SEARCH(IF(H$3&lt;&gt;"",H$3,"NA"),'MITRE ATT&amp;CK Mappings'!$J760))), 'MITRE ATT&amp;CK Mappings'!$B760,"")</f>
        <v/>
      </c>
      <c r="I764" s="26" t="str">
        <f>IF(OR(OR(OR(OR(OR(ISNUMBER(SEARCH(IF(I$1&lt;&gt;"",I$1,"NA"),'MITRE ATT&amp;CK Mappings'!$E760)),ISNUMBER(SEARCH(IF(I$1&lt;&gt;"",I$1,"NA"),'MITRE ATT&amp;CK Mappings'!$F760))),ISNUMBER(SEARCH(IF(I$2&lt;&gt;"",I$2,"NA"),'MITRE ATT&amp;CK Mappings'!$G760))),ISNUMBER(SEARCH(IF(I$2&lt;&gt;"",I$2,"NA"),'MITRE ATT&amp;CK Mappings'!$H760))),ISNUMBER(SEARCH(IF(I$3&lt;&gt;"",I$3,"NA"),'MITRE ATT&amp;CK Mappings'!$I760))),ISNUMBER(SEARCH(IF(I$3&lt;&gt;"",I$3,"NA"),'MITRE ATT&amp;CK Mappings'!$J760))), 'MITRE ATT&amp;CK Mappings'!$B760,"")</f>
        <v/>
      </c>
      <c r="J764" s="26" t="str">
        <f>IF(OR(OR(OR(OR(OR(ISNUMBER(SEARCH(IF(J$1&lt;&gt;"",J$1,"NA"),'MITRE ATT&amp;CK Mappings'!$E760)),ISNUMBER(SEARCH(IF(J$1&lt;&gt;"",J$1,"NA"),'MITRE ATT&amp;CK Mappings'!$F760))),ISNUMBER(SEARCH(IF(J$2&lt;&gt;"",J$2,"NA"),'MITRE ATT&amp;CK Mappings'!$G760))),ISNUMBER(SEARCH(IF(J$2&lt;&gt;"",J$2,"NA"),'MITRE ATT&amp;CK Mappings'!$H760))),ISNUMBER(SEARCH(IF(J$3&lt;&gt;"",J$3,"NA"),'MITRE ATT&amp;CK Mappings'!$I760))),ISNUMBER(SEARCH(IF(J$3&lt;&gt;"",J$3,"NA"),'MITRE ATT&amp;CK Mappings'!$J760))), 'MITRE ATT&amp;CK Mappings'!$B760,"")</f>
        <v/>
      </c>
      <c r="K764" s="26" t="str">
        <f>IF(OR(OR(OR(OR(OR(ISNUMBER(SEARCH(IF(K$1&lt;&gt;"",K$1,"NA"),'MITRE ATT&amp;CK Mappings'!$E760)),ISNUMBER(SEARCH(IF(K$1&lt;&gt;"",K$1,"NA"),'MITRE ATT&amp;CK Mappings'!$F760))),ISNUMBER(SEARCH(IF(K$2&lt;&gt;"",K$2,"NA"),'MITRE ATT&amp;CK Mappings'!$G760))),ISNUMBER(SEARCH(IF(K$2&lt;&gt;"",K$2,"NA"),'MITRE ATT&amp;CK Mappings'!$H760))),ISNUMBER(SEARCH(IF(K$3&lt;&gt;"",K$3,"NA"),'MITRE ATT&amp;CK Mappings'!$I760))),ISNUMBER(SEARCH(IF(K$3&lt;&gt;"",K$3,"NA"),'MITRE ATT&amp;CK Mappings'!$J760))), 'MITRE ATT&amp;CK Mappings'!$B760,"")</f>
        <v/>
      </c>
      <c r="L764" s="26" t="str">
        <f>IF('MITRE ATT&amp;CK Mappings'!D760 &lt;&gt;"",'MITRE ATT&amp;CK Mappings'!D760,"" )</f>
        <v/>
      </c>
    </row>
    <row r="765" spans="1:12" x14ac:dyDescent="0.25">
      <c r="A765" s="27" t="str">
        <f>IF(COUNTIF(B765:K765,"="&amp;'MITRE ATT&amp;CK Mappings'!B761)&gt;0,'MITRE ATT&amp;CK Mappings'!B761,"")</f>
        <v/>
      </c>
      <c r="B765" s="27" t="str">
        <f>IF(OR(OR(OR(OR(OR(ISNUMBER(SEARCH(IF(B$1&lt;&gt;"",B$1,"NA"),'MITRE ATT&amp;CK Mappings'!$E761)),ISNUMBER(SEARCH(IF(B$1&lt;&gt;"",B$1,"NA"),'MITRE ATT&amp;CK Mappings'!$F761))),ISNUMBER(SEARCH(IF(B$2&lt;&gt;"",B$2,"NA"),'MITRE ATT&amp;CK Mappings'!$G761))),ISNUMBER(SEARCH(IF(B$2&lt;&gt;"",B$2,"NA"),'MITRE ATT&amp;CK Mappings'!$H761))),ISNUMBER(SEARCH(IF(B$3&lt;&gt;"",B$3,"NA"),'MITRE ATT&amp;CK Mappings'!$I761))),ISNUMBER(SEARCH(IF(B$3&lt;&gt;"",B$3,"NA"),'MITRE ATT&amp;CK Mappings'!$J761))), 'MITRE ATT&amp;CK Mappings'!$B761,"")</f>
        <v/>
      </c>
      <c r="C765" s="27" t="str">
        <f>IF(OR(OR(OR(OR(OR(ISNUMBER(SEARCH(IF(C$1&lt;&gt;"",C$1,"NA"),'MITRE ATT&amp;CK Mappings'!$E761)),ISNUMBER(SEARCH(IF(C$1&lt;&gt;"",C$1,"NA"),'MITRE ATT&amp;CK Mappings'!$F761))),ISNUMBER(SEARCH(IF(C$2&lt;&gt;"",C$2,"NA"),'MITRE ATT&amp;CK Mappings'!$G761))),ISNUMBER(SEARCH(IF(C$2&lt;&gt;"",C$2,"NA"),'MITRE ATT&amp;CK Mappings'!$H761))),ISNUMBER(SEARCH(IF(C$3&lt;&gt;"",C$3,"NA"),'MITRE ATT&amp;CK Mappings'!$I761))),ISNUMBER(SEARCH(IF(C$3&lt;&gt;"",C$3,"NA"),'MITRE ATT&amp;CK Mappings'!$J761))), 'MITRE ATT&amp;CK Mappings'!$B761,"")</f>
        <v/>
      </c>
      <c r="D765" s="27" t="str">
        <f>IF(OR(OR(OR(OR(OR(ISNUMBER(SEARCH(IF(D$1&lt;&gt;"",D$1,"NA"),'MITRE ATT&amp;CK Mappings'!$E761)),ISNUMBER(SEARCH(IF(D$1&lt;&gt;"",D$1,"NA"),'MITRE ATT&amp;CK Mappings'!$F761))),ISNUMBER(SEARCH(IF(D$2&lt;&gt;"",D$2,"NA"),'MITRE ATT&amp;CK Mappings'!$G761))),ISNUMBER(SEARCH(IF(D$2&lt;&gt;"",D$2,"NA"),'MITRE ATT&amp;CK Mappings'!$H761))),ISNUMBER(SEARCH(IF(D$3&lt;&gt;"",D$3,"NA"),'MITRE ATT&amp;CK Mappings'!$I761))),ISNUMBER(SEARCH(IF(D$3&lt;&gt;"",D$3,"NA"),'MITRE ATT&amp;CK Mappings'!$J761))), 'MITRE ATT&amp;CK Mappings'!$B761,"")</f>
        <v/>
      </c>
      <c r="E765" s="27" t="str">
        <f>IF(OR(OR(OR(OR(OR(ISNUMBER(SEARCH(IF(E$1&lt;&gt;"",E$1,"NA"),'MITRE ATT&amp;CK Mappings'!$E761)),ISNUMBER(SEARCH(IF(E$1&lt;&gt;"",E$1,"NA"),'MITRE ATT&amp;CK Mappings'!$F761))),ISNUMBER(SEARCH(IF(E$2&lt;&gt;"",E$2,"NA"),'MITRE ATT&amp;CK Mappings'!$G761))),ISNUMBER(SEARCH(IF(E$2&lt;&gt;"",E$2,"NA"),'MITRE ATT&amp;CK Mappings'!$H761))),ISNUMBER(SEARCH(IF(E$3&lt;&gt;"",E$3,"NA"),'MITRE ATT&amp;CK Mappings'!$I761))),ISNUMBER(SEARCH(IF(E$3&lt;&gt;"",E$3,"NA"),'MITRE ATT&amp;CK Mappings'!$J761))), 'MITRE ATT&amp;CK Mappings'!$B761,"")</f>
        <v/>
      </c>
      <c r="F765" s="27" t="str">
        <f>IF(OR(OR(OR(OR(OR(ISNUMBER(SEARCH(IF(F$1&lt;&gt;"",F$1,"NA"),'MITRE ATT&amp;CK Mappings'!$E761)),ISNUMBER(SEARCH(IF(F$1&lt;&gt;"",F$1,"NA"),'MITRE ATT&amp;CK Mappings'!$F761))),ISNUMBER(SEARCH(IF(F$2&lt;&gt;"",F$2,"NA"),'MITRE ATT&amp;CK Mappings'!$G761))),ISNUMBER(SEARCH(IF(F$2&lt;&gt;"",F$2,"NA"),'MITRE ATT&amp;CK Mappings'!$H761))),ISNUMBER(SEARCH(IF(F$3&lt;&gt;"",F$3,"NA"),'MITRE ATT&amp;CK Mappings'!$I761))),ISNUMBER(SEARCH(IF(F$3&lt;&gt;"",F$3,"NA"),'MITRE ATT&amp;CK Mappings'!$J761))), 'MITRE ATT&amp;CK Mappings'!$B761,"")</f>
        <v/>
      </c>
      <c r="G765" s="27" t="str">
        <f>IF(OR(OR(OR(OR(OR(ISNUMBER(SEARCH(IF(G$1&lt;&gt;"",G$1,"NA"),'MITRE ATT&amp;CK Mappings'!$E761)),ISNUMBER(SEARCH(IF(G$1&lt;&gt;"",G$1,"NA"),'MITRE ATT&amp;CK Mappings'!$F761))),ISNUMBER(SEARCH(IF(G$2&lt;&gt;"",G$2,"NA"),'MITRE ATT&amp;CK Mappings'!$G761))),ISNUMBER(SEARCH(IF(G$2&lt;&gt;"",G$2,"NA"),'MITRE ATT&amp;CK Mappings'!$H761))),ISNUMBER(SEARCH(IF(G$3&lt;&gt;"",G$3,"NA"),'MITRE ATT&amp;CK Mappings'!$I761))),ISNUMBER(SEARCH(IF(G$3&lt;&gt;"",G$3,"NA"),'MITRE ATT&amp;CK Mappings'!$J761))), 'MITRE ATT&amp;CK Mappings'!$B761,"")</f>
        <v/>
      </c>
      <c r="H765" s="27" t="str">
        <f>IF(OR(OR(OR(OR(OR(ISNUMBER(SEARCH(IF(H$1&lt;&gt;"",H$1,"NA"),'MITRE ATT&amp;CK Mappings'!$E761)),ISNUMBER(SEARCH(IF(H$1&lt;&gt;"",H$1,"NA"),'MITRE ATT&amp;CK Mappings'!$F761))),ISNUMBER(SEARCH(IF(H$2&lt;&gt;"",H$2,"NA"),'MITRE ATT&amp;CK Mappings'!$G761))),ISNUMBER(SEARCH(IF(H$2&lt;&gt;"",H$2,"NA"),'MITRE ATT&amp;CK Mappings'!$H761))),ISNUMBER(SEARCH(IF(H$3&lt;&gt;"",H$3,"NA"),'MITRE ATT&amp;CK Mappings'!$I761))),ISNUMBER(SEARCH(IF(H$3&lt;&gt;"",H$3,"NA"),'MITRE ATT&amp;CK Mappings'!$J761))), 'MITRE ATT&amp;CK Mappings'!$B761,"")</f>
        <v/>
      </c>
      <c r="I765" s="27" t="str">
        <f>IF(OR(OR(OR(OR(OR(ISNUMBER(SEARCH(IF(I$1&lt;&gt;"",I$1,"NA"),'MITRE ATT&amp;CK Mappings'!$E761)),ISNUMBER(SEARCH(IF(I$1&lt;&gt;"",I$1,"NA"),'MITRE ATT&amp;CK Mappings'!$F761))),ISNUMBER(SEARCH(IF(I$2&lt;&gt;"",I$2,"NA"),'MITRE ATT&amp;CK Mappings'!$G761))),ISNUMBER(SEARCH(IF(I$2&lt;&gt;"",I$2,"NA"),'MITRE ATT&amp;CK Mappings'!$H761))),ISNUMBER(SEARCH(IF(I$3&lt;&gt;"",I$3,"NA"),'MITRE ATT&amp;CK Mappings'!$I761))),ISNUMBER(SEARCH(IF(I$3&lt;&gt;"",I$3,"NA"),'MITRE ATT&amp;CK Mappings'!$J761))), 'MITRE ATT&amp;CK Mappings'!$B761,"")</f>
        <v/>
      </c>
      <c r="J765" s="27" t="str">
        <f>IF(OR(OR(OR(OR(OR(ISNUMBER(SEARCH(IF(J$1&lt;&gt;"",J$1,"NA"),'MITRE ATT&amp;CK Mappings'!$E761)),ISNUMBER(SEARCH(IF(J$1&lt;&gt;"",J$1,"NA"),'MITRE ATT&amp;CK Mappings'!$F761))),ISNUMBER(SEARCH(IF(J$2&lt;&gt;"",J$2,"NA"),'MITRE ATT&amp;CK Mappings'!$G761))),ISNUMBER(SEARCH(IF(J$2&lt;&gt;"",J$2,"NA"),'MITRE ATT&amp;CK Mappings'!$H761))),ISNUMBER(SEARCH(IF(J$3&lt;&gt;"",J$3,"NA"),'MITRE ATT&amp;CK Mappings'!$I761))),ISNUMBER(SEARCH(IF(J$3&lt;&gt;"",J$3,"NA"),'MITRE ATT&amp;CK Mappings'!$J761))), 'MITRE ATT&amp;CK Mappings'!$B761,"")</f>
        <v/>
      </c>
      <c r="K765" s="27" t="str">
        <f>IF(OR(OR(OR(OR(OR(ISNUMBER(SEARCH(IF(K$1&lt;&gt;"",K$1,"NA"),'MITRE ATT&amp;CK Mappings'!$E761)),ISNUMBER(SEARCH(IF(K$1&lt;&gt;"",K$1,"NA"),'MITRE ATT&amp;CK Mappings'!$F761))),ISNUMBER(SEARCH(IF(K$2&lt;&gt;"",K$2,"NA"),'MITRE ATT&amp;CK Mappings'!$G761))),ISNUMBER(SEARCH(IF(K$2&lt;&gt;"",K$2,"NA"),'MITRE ATT&amp;CK Mappings'!$H761))),ISNUMBER(SEARCH(IF(K$3&lt;&gt;"",K$3,"NA"),'MITRE ATT&amp;CK Mappings'!$I761))),ISNUMBER(SEARCH(IF(K$3&lt;&gt;"",K$3,"NA"),'MITRE ATT&amp;CK Mappings'!$J761))), 'MITRE ATT&amp;CK Mappings'!$B761,"")</f>
        <v/>
      </c>
      <c r="L765" s="27" t="str">
        <f>IF('MITRE ATT&amp;CK Mappings'!D761 &lt;&gt;"",'MITRE ATT&amp;CK Mappings'!D761,"" )</f>
        <v/>
      </c>
    </row>
    <row r="766" spans="1:12" x14ac:dyDescent="0.25">
      <c r="A766" s="26" t="str">
        <f>IF(COUNTIF(B766:K766,"="&amp;'MITRE ATT&amp;CK Mappings'!B762)&gt;0,'MITRE ATT&amp;CK Mappings'!B762,"")</f>
        <v/>
      </c>
      <c r="B766" s="26" t="str">
        <f>IF(OR(OR(OR(OR(OR(ISNUMBER(SEARCH(IF(B$1&lt;&gt;"",B$1,"NA"),'MITRE ATT&amp;CK Mappings'!$E762)),ISNUMBER(SEARCH(IF(B$1&lt;&gt;"",B$1,"NA"),'MITRE ATT&amp;CK Mappings'!$F762))),ISNUMBER(SEARCH(IF(B$2&lt;&gt;"",B$2,"NA"),'MITRE ATT&amp;CK Mappings'!$G762))),ISNUMBER(SEARCH(IF(B$2&lt;&gt;"",B$2,"NA"),'MITRE ATT&amp;CK Mappings'!$H762))),ISNUMBER(SEARCH(IF(B$3&lt;&gt;"",B$3,"NA"),'MITRE ATT&amp;CK Mappings'!$I762))),ISNUMBER(SEARCH(IF(B$3&lt;&gt;"",B$3,"NA"),'MITRE ATT&amp;CK Mappings'!$J762))), 'MITRE ATT&amp;CK Mappings'!$B762,"")</f>
        <v/>
      </c>
      <c r="C766" s="26" t="str">
        <f>IF(OR(OR(OR(OR(OR(ISNUMBER(SEARCH(IF(C$1&lt;&gt;"",C$1,"NA"),'MITRE ATT&amp;CK Mappings'!$E762)),ISNUMBER(SEARCH(IF(C$1&lt;&gt;"",C$1,"NA"),'MITRE ATT&amp;CK Mappings'!$F762))),ISNUMBER(SEARCH(IF(C$2&lt;&gt;"",C$2,"NA"),'MITRE ATT&amp;CK Mappings'!$G762))),ISNUMBER(SEARCH(IF(C$2&lt;&gt;"",C$2,"NA"),'MITRE ATT&amp;CK Mappings'!$H762))),ISNUMBER(SEARCH(IF(C$3&lt;&gt;"",C$3,"NA"),'MITRE ATT&amp;CK Mappings'!$I762))),ISNUMBER(SEARCH(IF(C$3&lt;&gt;"",C$3,"NA"),'MITRE ATT&amp;CK Mappings'!$J762))), 'MITRE ATT&amp;CK Mappings'!$B762,"")</f>
        <v/>
      </c>
      <c r="D766" s="26" t="str">
        <f>IF(OR(OR(OR(OR(OR(ISNUMBER(SEARCH(IF(D$1&lt;&gt;"",D$1,"NA"),'MITRE ATT&amp;CK Mappings'!$E762)),ISNUMBER(SEARCH(IF(D$1&lt;&gt;"",D$1,"NA"),'MITRE ATT&amp;CK Mappings'!$F762))),ISNUMBER(SEARCH(IF(D$2&lt;&gt;"",D$2,"NA"),'MITRE ATT&amp;CK Mappings'!$G762))),ISNUMBER(SEARCH(IF(D$2&lt;&gt;"",D$2,"NA"),'MITRE ATT&amp;CK Mappings'!$H762))),ISNUMBER(SEARCH(IF(D$3&lt;&gt;"",D$3,"NA"),'MITRE ATT&amp;CK Mappings'!$I762))),ISNUMBER(SEARCH(IF(D$3&lt;&gt;"",D$3,"NA"),'MITRE ATT&amp;CK Mappings'!$J762))), 'MITRE ATT&amp;CK Mappings'!$B762,"")</f>
        <v/>
      </c>
      <c r="E766" s="26" t="str">
        <f>IF(OR(OR(OR(OR(OR(ISNUMBER(SEARCH(IF(E$1&lt;&gt;"",E$1,"NA"),'MITRE ATT&amp;CK Mappings'!$E762)),ISNUMBER(SEARCH(IF(E$1&lt;&gt;"",E$1,"NA"),'MITRE ATT&amp;CK Mappings'!$F762))),ISNUMBER(SEARCH(IF(E$2&lt;&gt;"",E$2,"NA"),'MITRE ATT&amp;CK Mappings'!$G762))),ISNUMBER(SEARCH(IF(E$2&lt;&gt;"",E$2,"NA"),'MITRE ATT&amp;CK Mappings'!$H762))),ISNUMBER(SEARCH(IF(E$3&lt;&gt;"",E$3,"NA"),'MITRE ATT&amp;CK Mappings'!$I762))),ISNUMBER(SEARCH(IF(E$3&lt;&gt;"",E$3,"NA"),'MITRE ATT&amp;CK Mappings'!$J762))), 'MITRE ATT&amp;CK Mappings'!$B762,"")</f>
        <v/>
      </c>
      <c r="F766" s="26" t="str">
        <f>IF(OR(OR(OR(OR(OR(ISNUMBER(SEARCH(IF(F$1&lt;&gt;"",F$1,"NA"),'MITRE ATT&amp;CK Mappings'!$E762)),ISNUMBER(SEARCH(IF(F$1&lt;&gt;"",F$1,"NA"),'MITRE ATT&amp;CK Mappings'!$F762))),ISNUMBER(SEARCH(IF(F$2&lt;&gt;"",F$2,"NA"),'MITRE ATT&amp;CK Mappings'!$G762))),ISNUMBER(SEARCH(IF(F$2&lt;&gt;"",F$2,"NA"),'MITRE ATT&amp;CK Mappings'!$H762))),ISNUMBER(SEARCH(IF(F$3&lt;&gt;"",F$3,"NA"),'MITRE ATT&amp;CK Mappings'!$I762))),ISNUMBER(SEARCH(IF(F$3&lt;&gt;"",F$3,"NA"),'MITRE ATT&amp;CK Mappings'!$J762))), 'MITRE ATT&amp;CK Mappings'!$B762,"")</f>
        <v/>
      </c>
      <c r="G766" s="26" t="str">
        <f>IF(OR(OR(OR(OR(OR(ISNUMBER(SEARCH(IF(G$1&lt;&gt;"",G$1,"NA"),'MITRE ATT&amp;CK Mappings'!$E762)),ISNUMBER(SEARCH(IF(G$1&lt;&gt;"",G$1,"NA"),'MITRE ATT&amp;CK Mappings'!$F762))),ISNUMBER(SEARCH(IF(G$2&lt;&gt;"",G$2,"NA"),'MITRE ATT&amp;CK Mappings'!$G762))),ISNUMBER(SEARCH(IF(G$2&lt;&gt;"",G$2,"NA"),'MITRE ATT&amp;CK Mappings'!$H762))),ISNUMBER(SEARCH(IF(G$3&lt;&gt;"",G$3,"NA"),'MITRE ATT&amp;CK Mappings'!$I762))),ISNUMBER(SEARCH(IF(G$3&lt;&gt;"",G$3,"NA"),'MITRE ATT&amp;CK Mappings'!$J762))), 'MITRE ATT&amp;CK Mappings'!$B762,"")</f>
        <v/>
      </c>
      <c r="H766" s="26" t="str">
        <f>IF(OR(OR(OR(OR(OR(ISNUMBER(SEARCH(IF(H$1&lt;&gt;"",H$1,"NA"),'MITRE ATT&amp;CK Mappings'!$E762)),ISNUMBER(SEARCH(IF(H$1&lt;&gt;"",H$1,"NA"),'MITRE ATT&amp;CK Mappings'!$F762))),ISNUMBER(SEARCH(IF(H$2&lt;&gt;"",H$2,"NA"),'MITRE ATT&amp;CK Mappings'!$G762))),ISNUMBER(SEARCH(IF(H$2&lt;&gt;"",H$2,"NA"),'MITRE ATT&amp;CK Mappings'!$H762))),ISNUMBER(SEARCH(IF(H$3&lt;&gt;"",H$3,"NA"),'MITRE ATT&amp;CK Mappings'!$I762))),ISNUMBER(SEARCH(IF(H$3&lt;&gt;"",H$3,"NA"),'MITRE ATT&amp;CK Mappings'!$J762))), 'MITRE ATT&amp;CK Mappings'!$B762,"")</f>
        <v/>
      </c>
      <c r="I766" s="26" t="str">
        <f>IF(OR(OR(OR(OR(OR(ISNUMBER(SEARCH(IF(I$1&lt;&gt;"",I$1,"NA"),'MITRE ATT&amp;CK Mappings'!$E762)),ISNUMBER(SEARCH(IF(I$1&lt;&gt;"",I$1,"NA"),'MITRE ATT&amp;CK Mappings'!$F762))),ISNUMBER(SEARCH(IF(I$2&lt;&gt;"",I$2,"NA"),'MITRE ATT&amp;CK Mappings'!$G762))),ISNUMBER(SEARCH(IF(I$2&lt;&gt;"",I$2,"NA"),'MITRE ATT&amp;CK Mappings'!$H762))),ISNUMBER(SEARCH(IF(I$3&lt;&gt;"",I$3,"NA"),'MITRE ATT&amp;CK Mappings'!$I762))),ISNUMBER(SEARCH(IF(I$3&lt;&gt;"",I$3,"NA"),'MITRE ATT&amp;CK Mappings'!$J762))), 'MITRE ATT&amp;CK Mappings'!$B762,"")</f>
        <v/>
      </c>
      <c r="J766" s="26" t="str">
        <f>IF(OR(OR(OR(OR(OR(ISNUMBER(SEARCH(IF(J$1&lt;&gt;"",J$1,"NA"),'MITRE ATT&amp;CK Mappings'!$E762)),ISNUMBER(SEARCH(IF(J$1&lt;&gt;"",J$1,"NA"),'MITRE ATT&amp;CK Mappings'!$F762))),ISNUMBER(SEARCH(IF(J$2&lt;&gt;"",J$2,"NA"),'MITRE ATT&amp;CK Mappings'!$G762))),ISNUMBER(SEARCH(IF(J$2&lt;&gt;"",J$2,"NA"),'MITRE ATT&amp;CK Mappings'!$H762))),ISNUMBER(SEARCH(IF(J$3&lt;&gt;"",J$3,"NA"),'MITRE ATT&amp;CK Mappings'!$I762))),ISNUMBER(SEARCH(IF(J$3&lt;&gt;"",J$3,"NA"),'MITRE ATT&amp;CK Mappings'!$J762))), 'MITRE ATT&amp;CK Mappings'!$B762,"")</f>
        <v/>
      </c>
      <c r="K766" s="26" t="str">
        <f>IF(OR(OR(OR(OR(OR(ISNUMBER(SEARCH(IF(K$1&lt;&gt;"",K$1,"NA"),'MITRE ATT&amp;CK Mappings'!$E762)),ISNUMBER(SEARCH(IF(K$1&lt;&gt;"",K$1,"NA"),'MITRE ATT&amp;CK Mappings'!$F762))),ISNUMBER(SEARCH(IF(K$2&lt;&gt;"",K$2,"NA"),'MITRE ATT&amp;CK Mappings'!$G762))),ISNUMBER(SEARCH(IF(K$2&lt;&gt;"",K$2,"NA"),'MITRE ATT&amp;CK Mappings'!$H762))),ISNUMBER(SEARCH(IF(K$3&lt;&gt;"",K$3,"NA"),'MITRE ATT&amp;CK Mappings'!$I762))),ISNUMBER(SEARCH(IF(K$3&lt;&gt;"",K$3,"NA"),'MITRE ATT&amp;CK Mappings'!$J762))), 'MITRE ATT&amp;CK Mappings'!$B762,"")</f>
        <v/>
      </c>
      <c r="L766" s="26" t="str">
        <f>IF('MITRE ATT&amp;CK Mappings'!D762 &lt;&gt;"",'MITRE ATT&amp;CK Mappings'!D762,"" )</f>
        <v/>
      </c>
    </row>
    <row r="767" spans="1:12" x14ac:dyDescent="0.25">
      <c r="A767" s="27" t="str">
        <f>IF(COUNTIF(B767:K767,"="&amp;'MITRE ATT&amp;CK Mappings'!B763)&gt;0,'MITRE ATT&amp;CK Mappings'!B763,"")</f>
        <v/>
      </c>
      <c r="B767" s="27" t="str">
        <f>IF(OR(OR(OR(OR(OR(ISNUMBER(SEARCH(IF(B$1&lt;&gt;"",B$1,"NA"),'MITRE ATT&amp;CK Mappings'!$E763)),ISNUMBER(SEARCH(IF(B$1&lt;&gt;"",B$1,"NA"),'MITRE ATT&amp;CK Mappings'!$F763))),ISNUMBER(SEARCH(IF(B$2&lt;&gt;"",B$2,"NA"),'MITRE ATT&amp;CK Mappings'!$G763))),ISNUMBER(SEARCH(IF(B$2&lt;&gt;"",B$2,"NA"),'MITRE ATT&amp;CK Mappings'!$H763))),ISNUMBER(SEARCH(IF(B$3&lt;&gt;"",B$3,"NA"),'MITRE ATT&amp;CK Mappings'!$I763))),ISNUMBER(SEARCH(IF(B$3&lt;&gt;"",B$3,"NA"),'MITRE ATT&amp;CK Mappings'!$J763))), 'MITRE ATT&amp;CK Mappings'!$B763,"")</f>
        <v/>
      </c>
      <c r="C767" s="27" t="str">
        <f>IF(OR(OR(OR(OR(OR(ISNUMBER(SEARCH(IF(C$1&lt;&gt;"",C$1,"NA"),'MITRE ATT&amp;CK Mappings'!$E763)),ISNUMBER(SEARCH(IF(C$1&lt;&gt;"",C$1,"NA"),'MITRE ATT&amp;CK Mappings'!$F763))),ISNUMBER(SEARCH(IF(C$2&lt;&gt;"",C$2,"NA"),'MITRE ATT&amp;CK Mappings'!$G763))),ISNUMBER(SEARCH(IF(C$2&lt;&gt;"",C$2,"NA"),'MITRE ATT&amp;CK Mappings'!$H763))),ISNUMBER(SEARCH(IF(C$3&lt;&gt;"",C$3,"NA"),'MITRE ATT&amp;CK Mappings'!$I763))),ISNUMBER(SEARCH(IF(C$3&lt;&gt;"",C$3,"NA"),'MITRE ATT&amp;CK Mappings'!$J763))), 'MITRE ATT&amp;CK Mappings'!$B763,"")</f>
        <v/>
      </c>
      <c r="D767" s="27" t="str">
        <f>IF(OR(OR(OR(OR(OR(ISNUMBER(SEARCH(IF(D$1&lt;&gt;"",D$1,"NA"),'MITRE ATT&amp;CK Mappings'!$E763)),ISNUMBER(SEARCH(IF(D$1&lt;&gt;"",D$1,"NA"),'MITRE ATT&amp;CK Mappings'!$F763))),ISNUMBER(SEARCH(IF(D$2&lt;&gt;"",D$2,"NA"),'MITRE ATT&amp;CK Mappings'!$G763))),ISNUMBER(SEARCH(IF(D$2&lt;&gt;"",D$2,"NA"),'MITRE ATT&amp;CK Mappings'!$H763))),ISNUMBER(SEARCH(IF(D$3&lt;&gt;"",D$3,"NA"),'MITRE ATT&amp;CK Mappings'!$I763))),ISNUMBER(SEARCH(IF(D$3&lt;&gt;"",D$3,"NA"),'MITRE ATT&amp;CK Mappings'!$J763))), 'MITRE ATT&amp;CK Mappings'!$B763,"")</f>
        <v/>
      </c>
      <c r="E767" s="27" t="str">
        <f>IF(OR(OR(OR(OR(OR(ISNUMBER(SEARCH(IF(E$1&lt;&gt;"",E$1,"NA"),'MITRE ATT&amp;CK Mappings'!$E763)),ISNUMBER(SEARCH(IF(E$1&lt;&gt;"",E$1,"NA"),'MITRE ATT&amp;CK Mappings'!$F763))),ISNUMBER(SEARCH(IF(E$2&lt;&gt;"",E$2,"NA"),'MITRE ATT&amp;CK Mappings'!$G763))),ISNUMBER(SEARCH(IF(E$2&lt;&gt;"",E$2,"NA"),'MITRE ATT&amp;CK Mappings'!$H763))),ISNUMBER(SEARCH(IF(E$3&lt;&gt;"",E$3,"NA"),'MITRE ATT&amp;CK Mappings'!$I763))),ISNUMBER(SEARCH(IF(E$3&lt;&gt;"",E$3,"NA"),'MITRE ATT&amp;CK Mappings'!$J763))), 'MITRE ATT&amp;CK Mappings'!$B763,"")</f>
        <v/>
      </c>
      <c r="F767" s="27" t="str">
        <f>IF(OR(OR(OR(OR(OR(ISNUMBER(SEARCH(IF(F$1&lt;&gt;"",F$1,"NA"),'MITRE ATT&amp;CK Mappings'!$E763)),ISNUMBER(SEARCH(IF(F$1&lt;&gt;"",F$1,"NA"),'MITRE ATT&amp;CK Mappings'!$F763))),ISNUMBER(SEARCH(IF(F$2&lt;&gt;"",F$2,"NA"),'MITRE ATT&amp;CK Mappings'!$G763))),ISNUMBER(SEARCH(IF(F$2&lt;&gt;"",F$2,"NA"),'MITRE ATT&amp;CK Mappings'!$H763))),ISNUMBER(SEARCH(IF(F$3&lt;&gt;"",F$3,"NA"),'MITRE ATT&amp;CK Mappings'!$I763))),ISNUMBER(SEARCH(IF(F$3&lt;&gt;"",F$3,"NA"),'MITRE ATT&amp;CK Mappings'!$J763))), 'MITRE ATT&amp;CK Mappings'!$B763,"")</f>
        <v/>
      </c>
      <c r="G767" s="27" t="str">
        <f>IF(OR(OR(OR(OR(OR(ISNUMBER(SEARCH(IF(G$1&lt;&gt;"",G$1,"NA"),'MITRE ATT&amp;CK Mappings'!$E763)),ISNUMBER(SEARCH(IF(G$1&lt;&gt;"",G$1,"NA"),'MITRE ATT&amp;CK Mappings'!$F763))),ISNUMBER(SEARCH(IF(G$2&lt;&gt;"",G$2,"NA"),'MITRE ATT&amp;CK Mappings'!$G763))),ISNUMBER(SEARCH(IF(G$2&lt;&gt;"",G$2,"NA"),'MITRE ATT&amp;CK Mappings'!$H763))),ISNUMBER(SEARCH(IF(G$3&lt;&gt;"",G$3,"NA"),'MITRE ATT&amp;CK Mappings'!$I763))),ISNUMBER(SEARCH(IF(G$3&lt;&gt;"",G$3,"NA"),'MITRE ATT&amp;CK Mappings'!$J763))), 'MITRE ATT&amp;CK Mappings'!$B763,"")</f>
        <v/>
      </c>
      <c r="H767" s="27" t="str">
        <f>IF(OR(OR(OR(OR(OR(ISNUMBER(SEARCH(IF(H$1&lt;&gt;"",H$1,"NA"),'MITRE ATT&amp;CK Mappings'!$E763)),ISNUMBER(SEARCH(IF(H$1&lt;&gt;"",H$1,"NA"),'MITRE ATT&amp;CK Mappings'!$F763))),ISNUMBER(SEARCH(IF(H$2&lt;&gt;"",H$2,"NA"),'MITRE ATT&amp;CK Mappings'!$G763))),ISNUMBER(SEARCH(IF(H$2&lt;&gt;"",H$2,"NA"),'MITRE ATT&amp;CK Mappings'!$H763))),ISNUMBER(SEARCH(IF(H$3&lt;&gt;"",H$3,"NA"),'MITRE ATT&amp;CK Mappings'!$I763))),ISNUMBER(SEARCH(IF(H$3&lt;&gt;"",H$3,"NA"),'MITRE ATT&amp;CK Mappings'!$J763))), 'MITRE ATT&amp;CK Mappings'!$B763,"")</f>
        <v/>
      </c>
      <c r="I767" s="27" t="str">
        <f>IF(OR(OR(OR(OR(OR(ISNUMBER(SEARCH(IF(I$1&lt;&gt;"",I$1,"NA"),'MITRE ATT&amp;CK Mappings'!$E763)),ISNUMBER(SEARCH(IF(I$1&lt;&gt;"",I$1,"NA"),'MITRE ATT&amp;CK Mappings'!$F763))),ISNUMBER(SEARCH(IF(I$2&lt;&gt;"",I$2,"NA"),'MITRE ATT&amp;CK Mappings'!$G763))),ISNUMBER(SEARCH(IF(I$2&lt;&gt;"",I$2,"NA"),'MITRE ATT&amp;CK Mappings'!$H763))),ISNUMBER(SEARCH(IF(I$3&lt;&gt;"",I$3,"NA"),'MITRE ATT&amp;CK Mappings'!$I763))),ISNUMBER(SEARCH(IF(I$3&lt;&gt;"",I$3,"NA"),'MITRE ATT&amp;CK Mappings'!$J763))), 'MITRE ATT&amp;CK Mappings'!$B763,"")</f>
        <v/>
      </c>
      <c r="J767" s="27" t="str">
        <f>IF(OR(OR(OR(OR(OR(ISNUMBER(SEARCH(IF(J$1&lt;&gt;"",J$1,"NA"),'MITRE ATT&amp;CK Mappings'!$E763)),ISNUMBER(SEARCH(IF(J$1&lt;&gt;"",J$1,"NA"),'MITRE ATT&amp;CK Mappings'!$F763))),ISNUMBER(SEARCH(IF(J$2&lt;&gt;"",J$2,"NA"),'MITRE ATT&amp;CK Mappings'!$G763))),ISNUMBER(SEARCH(IF(J$2&lt;&gt;"",J$2,"NA"),'MITRE ATT&amp;CK Mappings'!$H763))),ISNUMBER(SEARCH(IF(J$3&lt;&gt;"",J$3,"NA"),'MITRE ATT&amp;CK Mappings'!$I763))),ISNUMBER(SEARCH(IF(J$3&lt;&gt;"",J$3,"NA"),'MITRE ATT&amp;CK Mappings'!$J763))), 'MITRE ATT&amp;CK Mappings'!$B763,"")</f>
        <v/>
      </c>
      <c r="K767" s="27" t="str">
        <f>IF(OR(OR(OR(OR(OR(ISNUMBER(SEARCH(IF(K$1&lt;&gt;"",K$1,"NA"),'MITRE ATT&amp;CK Mappings'!$E763)),ISNUMBER(SEARCH(IF(K$1&lt;&gt;"",K$1,"NA"),'MITRE ATT&amp;CK Mappings'!$F763))),ISNUMBER(SEARCH(IF(K$2&lt;&gt;"",K$2,"NA"),'MITRE ATT&amp;CK Mappings'!$G763))),ISNUMBER(SEARCH(IF(K$2&lt;&gt;"",K$2,"NA"),'MITRE ATT&amp;CK Mappings'!$H763))),ISNUMBER(SEARCH(IF(K$3&lt;&gt;"",K$3,"NA"),'MITRE ATT&amp;CK Mappings'!$I763))),ISNUMBER(SEARCH(IF(K$3&lt;&gt;"",K$3,"NA"),'MITRE ATT&amp;CK Mappings'!$J763))), 'MITRE ATT&amp;CK Mappings'!$B763,"")</f>
        <v/>
      </c>
      <c r="L767" s="27" t="str">
        <f>IF('MITRE ATT&amp;CK Mappings'!D763 &lt;&gt;"",'MITRE ATT&amp;CK Mappings'!D763,"" )</f>
        <v/>
      </c>
    </row>
    <row r="768" spans="1:12" x14ac:dyDescent="0.25">
      <c r="A768" s="26" t="str">
        <f>IF(COUNTIF(B768:K768,"="&amp;'MITRE ATT&amp;CK Mappings'!B764)&gt;0,'MITRE ATT&amp;CK Mappings'!B764,"")</f>
        <v/>
      </c>
      <c r="B768" s="26" t="str">
        <f>IF(OR(OR(OR(OR(OR(ISNUMBER(SEARCH(IF(B$1&lt;&gt;"",B$1,"NA"),'MITRE ATT&amp;CK Mappings'!$E764)),ISNUMBER(SEARCH(IF(B$1&lt;&gt;"",B$1,"NA"),'MITRE ATT&amp;CK Mappings'!$F764))),ISNUMBER(SEARCH(IF(B$2&lt;&gt;"",B$2,"NA"),'MITRE ATT&amp;CK Mappings'!$G764))),ISNUMBER(SEARCH(IF(B$2&lt;&gt;"",B$2,"NA"),'MITRE ATT&amp;CK Mappings'!$H764))),ISNUMBER(SEARCH(IF(B$3&lt;&gt;"",B$3,"NA"),'MITRE ATT&amp;CK Mappings'!$I764))),ISNUMBER(SEARCH(IF(B$3&lt;&gt;"",B$3,"NA"),'MITRE ATT&amp;CK Mappings'!$J764))), 'MITRE ATT&amp;CK Mappings'!$B764,"")</f>
        <v/>
      </c>
      <c r="C768" s="26" t="str">
        <f>IF(OR(OR(OR(OR(OR(ISNUMBER(SEARCH(IF(C$1&lt;&gt;"",C$1,"NA"),'MITRE ATT&amp;CK Mappings'!$E764)),ISNUMBER(SEARCH(IF(C$1&lt;&gt;"",C$1,"NA"),'MITRE ATT&amp;CK Mappings'!$F764))),ISNUMBER(SEARCH(IF(C$2&lt;&gt;"",C$2,"NA"),'MITRE ATT&amp;CK Mappings'!$G764))),ISNUMBER(SEARCH(IF(C$2&lt;&gt;"",C$2,"NA"),'MITRE ATT&amp;CK Mappings'!$H764))),ISNUMBER(SEARCH(IF(C$3&lt;&gt;"",C$3,"NA"),'MITRE ATT&amp;CK Mappings'!$I764))),ISNUMBER(SEARCH(IF(C$3&lt;&gt;"",C$3,"NA"),'MITRE ATT&amp;CK Mappings'!$J764))), 'MITRE ATT&amp;CK Mappings'!$B764,"")</f>
        <v/>
      </c>
      <c r="D768" s="26" t="str">
        <f>IF(OR(OR(OR(OR(OR(ISNUMBER(SEARCH(IF(D$1&lt;&gt;"",D$1,"NA"),'MITRE ATT&amp;CK Mappings'!$E764)),ISNUMBER(SEARCH(IF(D$1&lt;&gt;"",D$1,"NA"),'MITRE ATT&amp;CK Mappings'!$F764))),ISNUMBER(SEARCH(IF(D$2&lt;&gt;"",D$2,"NA"),'MITRE ATT&amp;CK Mappings'!$G764))),ISNUMBER(SEARCH(IF(D$2&lt;&gt;"",D$2,"NA"),'MITRE ATT&amp;CK Mappings'!$H764))),ISNUMBER(SEARCH(IF(D$3&lt;&gt;"",D$3,"NA"),'MITRE ATT&amp;CK Mappings'!$I764))),ISNUMBER(SEARCH(IF(D$3&lt;&gt;"",D$3,"NA"),'MITRE ATT&amp;CK Mappings'!$J764))), 'MITRE ATT&amp;CK Mappings'!$B764,"")</f>
        <v/>
      </c>
      <c r="E768" s="26" t="str">
        <f>IF(OR(OR(OR(OR(OR(ISNUMBER(SEARCH(IF(E$1&lt;&gt;"",E$1,"NA"),'MITRE ATT&amp;CK Mappings'!$E764)),ISNUMBER(SEARCH(IF(E$1&lt;&gt;"",E$1,"NA"),'MITRE ATT&amp;CK Mappings'!$F764))),ISNUMBER(SEARCH(IF(E$2&lt;&gt;"",E$2,"NA"),'MITRE ATT&amp;CK Mappings'!$G764))),ISNUMBER(SEARCH(IF(E$2&lt;&gt;"",E$2,"NA"),'MITRE ATT&amp;CK Mappings'!$H764))),ISNUMBER(SEARCH(IF(E$3&lt;&gt;"",E$3,"NA"),'MITRE ATT&amp;CK Mappings'!$I764))),ISNUMBER(SEARCH(IF(E$3&lt;&gt;"",E$3,"NA"),'MITRE ATT&amp;CK Mappings'!$J764))), 'MITRE ATT&amp;CK Mappings'!$B764,"")</f>
        <v/>
      </c>
      <c r="F768" s="26" t="str">
        <f>IF(OR(OR(OR(OR(OR(ISNUMBER(SEARCH(IF(F$1&lt;&gt;"",F$1,"NA"),'MITRE ATT&amp;CK Mappings'!$E764)),ISNUMBER(SEARCH(IF(F$1&lt;&gt;"",F$1,"NA"),'MITRE ATT&amp;CK Mappings'!$F764))),ISNUMBER(SEARCH(IF(F$2&lt;&gt;"",F$2,"NA"),'MITRE ATT&amp;CK Mappings'!$G764))),ISNUMBER(SEARCH(IF(F$2&lt;&gt;"",F$2,"NA"),'MITRE ATT&amp;CK Mappings'!$H764))),ISNUMBER(SEARCH(IF(F$3&lt;&gt;"",F$3,"NA"),'MITRE ATT&amp;CK Mappings'!$I764))),ISNUMBER(SEARCH(IF(F$3&lt;&gt;"",F$3,"NA"),'MITRE ATT&amp;CK Mappings'!$J764))), 'MITRE ATT&amp;CK Mappings'!$B764,"")</f>
        <v/>
      </c>
      <c r="G768" s="26" t="str">
        <f>IF(OR(OR(OR(OR(OR(ISNUMBER(SEARCH(IF(G$1&lt;&gt;"",G$1,"NA"),'MITRE ATT&amp;CK Mappings'!$E764)),ISNUMBER(SEARCH(IF(G$1&lt;&gt;"",G$1,"NA"),'MITRE ATT&amp;CK Mappings'!$F764))),ISNUMBER(SEARCH(IF(G$2&lt;&gt;"",G$2,"NA"),'MITRE ATT&amp;CK Mappings'!$G764))),ISNUMBER(SEARCH(IF(G$2&lt;&gt;"",G$2,"NA"),'MITRE ATT&amp;CK Mappings'!$H764))),ISNUMBER(SEARCH(IF(G$3&lt;&gt;"",G$3,"NA"),'MITRE ATT&amp;CK Mappings'!$I764))),ISNUMBER(SEARCH(IF(G$3&lt;&gt;"",G$3,"NA"),'MITRE ATT&amp;CK Mappings'!$J764))), 'MITRE ATT&amp;CK Mappings'!$B764,"")</f>
        <v/>
      </c>
      <c r="H768" s="26" t="str">
        <f>IF(OR(OR(OR(OR(OR(ISNUMBER(SEARCH(IF(H$1&lt;&gt;"",H$1,"NA"),'MITRE ATT&amp;CK Mappings'!$E764)),ISNUMBER(SEARCH(IF(H$1&lt;&gt;"",H$1,"NA"),'MITRE ATT&amp;CK Mappings'!$F764))),ISNUMBER(SEARCH(IF(H$2&lt;&gt;"",H$2,"NA"),'MITRE ATT&amp;CK Mappings'!$G764))),ISNUMBER(SEARCH(IF(H$2&lt;&gt;"",H$2,"NA"),'MITRE ATT&amp;CK Mappings'!$H764))),ISNUMBER(SEARCH(IF(H$3&lt;&gt;"",H$3,"NA"),'MITRE ATT&amp;CK Mappings'!$I764))),ISNUMBER(SEARCH(IF(H$3&lt;&gt;"",H$3,"NA"),'MITRE ATT&amp;CK Mappings'!$J764))), 'MITRE ATT&amp;CK Mappings'!$B764,"")</f>
        <v/>
      </c>
      <c r="I768" s="26" t="str">
        <f>IF(OR(OR(OR(OR(OR(ISNUMBER(SEARCH(IF(I$1&lt;&gt;"",I$1,"NA"),'MITRE ATT&amp;CK Mappings'!$E764)),ISNUMBER(SEARCH(IF(I$1&lt;&gt;"",I$1,"NA"),'MITRE ATT&amp;CK Mappings'!$F764))),ISNUMBER(SEARCH(IF(I$2&lt;&gt;"",I$2,"NA"),'MITRE ATT&amp;CK Mappings'!$G764))),ISNUMBER(SEARCH(IF(I$2&lt;&gt;"",I$2,"NA"),'MITRE ATT&amp;CK Mappings'!$H764))),ISNUMBER(SEARCH(IF(I$3&lt;&gt;"",I$3,"NA"),'MITRE ATT&amp;CK Mappings'!$I764))),ISNUMBER(SEARCH(IF(I$3&lt;&gt;"",I$3,"NA"),'MITRE ATT&amp;CK Mappings'!$J764))), 'MITRE ATT&amp;CK Mappings'!$B764,"")</f>
        <v/>
      </c>
      <c r="J768" s="26" t="str">
        <f>IF(OR(OR(OR(OR(OR(ISNUMBER(SEARCH(IF(J$1&lt;&gt;"",J$1,"NA"),'MITRE ATT&amp;CK Mappings'!$E764)),ISNUMBER(SEARCH(IF(J$1&lt;&gt;"",J$1,"NA"),'MITRE ATT&amp;CK Mappings'!$F764))),ISNUMBER(SEARCH(IF(J$2&lt;&gt;"",J$2,"NA"),'MITRE ATT&amp;CK Mappings'!$G764))),ISNUMBER(SEARCH(IF(J$2&lt;&gt;"",J$2,"NA"),'MITRE ATT&amp;CK Mappings'!$H764))),ISNUMBER(SEARCH(IF(J$3&lt;&gt;"",J$3,"NA"),'MITRE ATT&amp;CK Mappings'!$I764))),ISNUMBER(SEARCH(IF(J$3&lt;&gt;"",J$3,"NA"),'MITRE ATT&amp;CK Mappings'!$J764))), 'MITRE ATT&amp;CK Mappings'!$B764,"")</f>
        <v/>
      </c>
      <c r="K768" s="26" t="str">
        <f>IF(OR(OR(OR(OR(OR(ISNUMBER(SEARCH(IF(K$1&lt;&gt;"",K$1,"NA"),'MITRE ATT&amp;CK Mappings'!$E764)),ISNUMBER(SEARCH(IF(K$1&lt;&gt;"",K$1,"NA"),'MITRE ATT&amp;CK Mappings'!$F764))),ISNUMBER(SEARCH(IF(K$2&lt;&gt;"",K$2,"NA"),'MITRE ATT&amp;CK Mappings'!$G764))),ISNUMBER(SEARCH(IF(K$2&lt;&gt;"",K$2,"NA"),'MITRE ATT&amp;CK Mappings'!$H764))),ISNUMBER(SEARCH(IF(K$3&lt;&gt;"",K$3,"NA"),'MITRE ATT&amp;CK Mappings'!$I764))),ISNUMBER(SEARCH(IF(K$3&lt;&gt;"",K$3,"NA"),'MITRE ATT&amp;CK Mappings'!$J764))), 'MITRE ATT&amp;CK Mappings'!$B764,"")</f>
        <v/>
      </c>
      <c r="L768" s="26" t="str">
        <f>IF('MITRE ATT&amp;CK Mappings'!D764 &lt;&gt;"",'MITRE ATT&amp;CK Mappings'!D764,"" )</f>
        <v/>
      </c>
    </row>
    <row r="769" spans="1:12" x14ac:dyDescent="0.25">
      <c r="A769" s="27" t="str">
        <f>IF(COUNTIF(B769:K769,"="&amp;'MITRE ATT&amp;CK Mappings'!B765)&gt;0,'MITRE ATT&amp;CK Mappings'!B765,"")</f>
        <v/>
      </c>
      <c r="B769" s="27" t="str">
        <f>IF(OR(OR(OR(OR(OR(ISNUMBER(SEARCH(IF(B$1&lt;&gt;"",B$1,"NA"),'MITRE ATT&amp;CK Mappings'!$E765)),ISNUMBER(SEARCH(IF(B$1&lt;&gt;"",B$1,"NA"),'MITRE ATT&amp;CK Mappings'!$F765))),ISNUMBER(SEARCH(IF(B$2&lt;&gt;"",B$2,"NA"),'MITRE ATT&amp;CK Mappings'!$G765))),ISNUMBER(SEARCH(IF(B$2&lt;&gt;"",B$2,"NA"),'MITRE ATT&amp;CK Mappings'!$H765))),ISNUMBER(SEARCH(IF(B$3&lt;&gt;"",B$3,"NA"),'MITRE ATT&amp;CK Mappings'!$I765))),ISNUMBER(SEARCH(IF(B$3&lt;&gt;"",B$3,"NA"),'MITRE ATT&amp;CK Mappings'!$J765))), 'MITRE ATT&amp;CK Mappings'!$B765,"")</f>
        <v/>
      </c>
      <c r="C769" s="27" t="str">
        <f>IF(OR(OR(OR(OR(OR(ISNUMBER(SEARCH(IF(C$1&lt;&gt;"",C$1,"NA"),'MITRE ATT&amp;CK Mappings'!$E765)),ISNUMBER(SEARCH(IF(C$1&lt;&gt;"",C$1,"NA"),'MITRE ATT&amp;CK Mappings'!$F765))),ISNUMBER(SEARCH(IF(C$2&lt;&gt;"",C$2,"NA"),'MITRE ATT&amp;CK Mappings'!$G765))),ISNUMBER(SEARCH(IF(C$2&lt;&gt;"",C$2,"NA"),'MITRE ATT&amp;CK Mappings'!$H765))),ISNUMBER(SEARCH(IF(C$3&lt;&gt;"",C$3,"NA"),'MITRE ATT&amp;CK Mappings'!$I765))),ISNUMBER(SEARCH(IF(C$3&lt;&gt;"",C$3,"NA"),'MITRE ATT&amp;CK Mappings'!$J765))), 'MITRE ATT&amp;CK Mappings'!$B765,"")</f>
        <v/>
      </c>
      <c r="D769" s="27" t="str">
        <f>IF(OR(OR(OR(OR(OR(ISNUMBER(SEARCH(IF(D$1&lt;&gt;"",D$1,"NA"),'MITRE ATT&amp;CK Mappings'!$E765)),ISNUMBER(SEARCH(IF(D$1&lt;&gt;"",D$1,"NA"),'MITRE ATT&amp;CK Mappings'!$F765))),ISNUMBER(SEARCH(IF(D$2&lt;&gt;"",D$2,"NA"),'MITRE ATT&amp;CK Mappings'!$G765))),ISNUMBER(SEARCH(IF(D$2&lt;&gt;"",D$2,"NA"),'MITRE ATT&amp;CK Mappings'!$H765))),ISNUMBER(SEARCH(IF(D$3&lt;&gt;"",D$3,"NA"),'MITRE ATT&amp;CK Mappings'!$I765))),ISNUMBER(SEARCH(IF(D$3&lt;&gt;"",D$3,"NA"),'MITRE ATT&amp;CK Mappings'!$J765))), 'MITRE ATT&amp;CK Mappings'!$B765,"")</f>
        <v/>
      </c>
      <c r="E769" s="27" t="str">
        <f>IF(OR(OR(OR(OR(OR(ISNUMBER(SEARCH(IF(E$1&lt;&gt;"",E$1,"NA"),'MITRE ATT&amp;CK Mappings'!$E765)),ISNUMBER(SEARCH(IF(E$1&lt;&gt;"",E$1,"NA"),'MITRE ATT&amp;CK Mappings'!$F765))),ISNUMBER(SEARCH(IF(E$2&lt;&gt;"",E$2,"NA"),'MITRE ATT&amp;CK Mappings'!$G765))),ISNUMBER(SEARCH(IF(E$2&lt;&gt;"",E$2,"NA"),'MITRE ATT&amp;CK Mappings'!$H765))),ISNUMBER(SEARCH(IF(E$3&lt;&gt;"",E$3,"NA"),'MITRE ATT&amp;CK Mappings'!$I765))),ISNUMBER(SEARCH(IF(E$3&lt;&gt;"",E$3,"NA"),'MITRE ATT&amp;CK Mappings'!$J765))), 'MITRE ATT&amp;CK Mappings'!$B765,"")</f>
        <v/>
      </c>
      <c r="F769" s="27" t="str">
        <f>IF(OR(OR(OR(OR(OR(ISNUMBER(SEARCH(IF(F$1&lt;&gt;"",F$1,"NA"),'MITRE ATT&amp;CK Mappings'!$E765)),ISNUMBER(SEARCH(IF(F$1&lt;&gt;"",F$1,"NA"),'MITRE ATT&amp;CK Mappings'!$F765))),ISNUMBER(SEARCH(IF(F$2&lt;&gt;"",F$2,"NA"),'MITRE ATT&amp;CK Mappings'!$G765))),ISNUMBER(SEARCH(IF(F$2&lt;&gt;"",F$2,"NA"),'MITRE ATT&amp;CK Mappings'!$H765))),ISNUMBER(SEARCH(IF(F$3&lt;&gt;"",F$3,"NA"),'MITRE ATT&amp;CK Mappings'!$I765))),ISNUMBER(SEARCH(IF(F$3&lt;&gt;"",F$3,"NA"),'MITRE ATT&amp;CK Mappings'!$J765))), 'MITRE ATT&amp;CK Mappings'!$B765,"")</f>
        <v/>
      </c>
      <c r="G769" s="27" t="str">
        <f>IF(OR(OR(OR(OR(OR(ISNUMBER(SEARCH(IF(G$1&lt;&gt;"",G$1,"NA"),'MITRE ATT&amp;CK Mappings'!$E765)),ISNUMBER(SEARCH(IF(G$1&lt;&gt;"",G$1,"NA"),'MITRE ATT&amp;CK Mappings'!$F765))),ISNUMBER(SEARCH(IF(G$2&lt;&gt;"",G$2,"NA"),'MITRE ATT&amp;CK Mappings'!$G765))),ISNUMBER(SEARCH(IF(G$2&lt;&gt;"",G$2,"NA"),'MITRE ATT&amp;CK Mappings'!$H765))),ISNUMBER(SEARCH(IF(G$3&lt;&gt;"",G$3,"NA"),'MITRE ATT&amp;CK Mappings'!$I765))),ISNUMBER(SEARCH(IF(G$3&lt;&gt;"",G$3,"NA"),'MITRE ATT&amp;CK Mappings'!$J765))), 'MITRE ATT&amp;CK Mappings'!$B765,"")</f>
        <v/>
      </c>
      <c r="H769" s="27" t="str">
        <f>IF(OR(OR(OR(OR(OR(ISNUMBER(SEARCH(IF(H$1&lt;&gt;"",H$1,"NA"),'MITRE ATT&amp;CK Mappings'!$E765)),ISNUMBER(SEARCH(IF(H$1&lt;&gt;"",H$1,"NA"),'MITRE ATT&amp;CK Mappings'!$F765))),ISNUMBER(SEARCH(IF(H$2&lt;&gt;"",H$2,"NA"),'MITRE ATT&amp;CK Mappings'!$G765))),ISNUMBER(SEARCH(IF(H$2&lt;&gt;"",H$2,"NA"),'MITRE ATT&amp;CK Mappings'!$H765))),ISNUMBER(SEARCH(IF(H$3&lt;&gt;"",H$3,"NA"),'MITRE ATT&amp;CK Mappings'!$I765))),ISNUMBER(SEARCH(IF(H$3&lt;&gt;"",H$3,"NA"),'MITRE ATT&amp;CK Mappings'!$J765))), 'MITRE ATT&amp;CK Mappings'!$B765,"")</f>
        <v/>
      </c>
      <c r="I769" s="27" t="str">
        <f>IF(OR(OR(OR(OR(OR(ISNUMBER(SEARCH(IF(I$1&lt;&gt;"",I$1,"NA"),'MITRE ATT&amp;CK Mappings'!$E765)),ISNUMBER(SEARCH(IF(I$1&lt;&gt;"",I$1,"NA"),'MITRE ATT&amp;CK Mappings'!$F765))),ISNUMBER(SEARCH(IF(I$2&lt;&gt;"",I$2,"NA"),'MITRE ATT&amp;CK Mappings'!$G765))),ISNUMBER(SEARCH(IF(I$2&lt;&gt;"",I$2,"NA"),'MITRE ATT&amp;CK Mappings'!$H765))),ISNUMBER(SEARCH(IF(I$3&lt;&gt;"",I$3,"NA"),'MITRE ATT&amp;CK Mappings'!$I765))),ISNUMBER(SEARCH(IF(I$3&lt;&gt;"",I$3,"NA"),'MITRE ATT&amp;CK Mappings'!$J765))), 'MITRE ATT&amp;CK Mappings'!$B765,"")</f>
        <v/>
      </c>
      <c r="J769" s="27" t="str">
        <f>IF(OR(OR(OR(OR(OR(ISNUMBER(SEARCH(IF(J$1&lt;&gt;"",J$1,"NA"),'MITRE ATT&amp;CK Mappings'!$E765)),ISNUMBER(SEARCH(IF(J$1&lt;&gt;"",J$1,"NA"),'MITRE ATT&amp;CK Mappings'!$F765))),ISNUMBER(SEARCH(IF(J$2&lt;&gt;"",J$2,"NA"),'MITRE ATT&amp;CK Mappings'!$G765))),ISNUMBER(SEARCH(IF(J$2&lt;&gt;"",J$2,"NA"),'MITRE ATT&amp;CK Mappings'!$H765))),ISNUMBER(SEARCH(IF(J$3&lt;&gt;"",J$3,"NA"),'MITRE ATT&amp;CK Mappings'!$I765))),ISNUMBER(SEARCH(IF(J$3&lt;&gt;"",J$3,"NA"),'MITRE ATT&amp;CK Mappings'!$J765))), 'MITRE ATT&amp;CK Mappings'!$B765,"")</f>
        <v/>
      </c>
      <c r="K769" s="27" t="str">
        <f>IF(OR(OR(OR(OR(OR(ISNUMBER(SEARCH(IF(K$1&lt;&gt;"",K$1,"NA"),'MITRE ATT&amp;CK Mappings'!$E765)),ISNUMBER(SEARCH(IF(K$1&lt;&gt;"",K$1,"NA"),'MITRE ATT&amp;CK Mappings'!$F765))),ISNUMBER(SEARCH(IF(K$2&lt;&gt;"",K$2,"NA"),'MITRE ATT&amp;CK Mappings'!$G765))),ISNUMBER(SEARCH(IF(K$2&lt;&gt;"",K$2,"NA"),'MITRE ATT&amp;CK Mappings'!$H765))),ISNUMBER(SEARCH(IF(K$3&lt;&gt;"",K$3,"NA"),'MITRE ATT&amp;CK Mappings'!$I765))),ISNUMBER(SEARCH(IF(K$3&lt;&gt;"",K$3,"NA"),'MITRE ATT&amp;CK Mappings'!$J765))), 'MITRE ATT&amp;CK Mappings'!$B765,"")</f>
        <v/>
      </c>
      <c r="L769" s="27" t="str">
        <f>IF('MITRE ATT&amp;CK Mappings'!D765 &lt;&gt;"",'MITRE ATT&amp;CK Mappings'!D765,"" )</f>
        <v/>
      </c>
    </row>
    <row r="770" spans="1:12" x14ac:dyDescent="0.25">
      <c r="A770" s="26" t="str">
        <f>IF(COUNTIF(B770:K770,"="&amp;'MITRE ATT&amp;CK Mappings'!B766)&gt;0,'MITRE ATT&amp;CK Mappings'!B766,"")</f>
        <v/>
      </c>
      <c r="B770" s="26" t="str">
        <f>IF(OR(OR(OR(OR(OR(ISNUMBER(SEARCH(IF(B$1&lt;&gt;"",B$1,"NA"),'MITRE ATT&amp;CK Mappings'!$E766)),ISNUMBER(SEARCH(IF(B$1&lt;&gt;"",B$1,"NA"),'MITRE ATT&amp;CK Mappings'!$F766))),ISNUMBER(SEARCH(IF(B$2&lt;&gt;"",B$2,"NA"),'MITRE ATT&amp;CK Mappings'!$G766))),ISNUMBER(SEARCH(IF(B$2&lt;&gt;"",B$2,"NA"),'MITRE ATT&amp;CK Mappings'!$H766))),ISNUMBER(SEARCH(IF(B$3&lt;&gt;"",B$3,"NA"),'MITRE ATT&amp;CK Mappings'!$I766))),ISNUMBER(SEARCH(IF(B$3&lt;&gt;"",B$3,"NA"),'MITRE ATT&amp;CK Mappings'!$J766))), 'MITRE ATT&amp;CK Mappings'!$B766,"")</f>
        <v/>
      </c>
      <c r="C770" s="26" t="str">
        <f>IF(OR(OR(OR(OR(OR(ISNUMBER(SEARCH(IF(C$1&lt;&gt;"",C$1,"NA"),'MITRE ATT&amp;CK Mappings'!$E766)),ISNUMBER(SEARCH(IF(C$1&lt;&gt;"",C$1,"NA"),'MITRE ATT&amp;CK Mappings'!$F766))),ISNUMBER(SEARCH(IF(C$2&lt;&gt;"",C$2,"NA"),'MITRE ATT&amp;CK Mappings'!$G766))),ISNUMBER(SEARCH(IF(C$2&lt;&gt;"",C$2,"NA"),'MITRE ATT&amp;CK Mappings'!$H766))),ISNUMBER(SEARCH(IF(C$3&lt;&gt;"",C$3,"NA"),'MITRE ATT&amp;CK Mappings'!$I766))),ISNUMBER(SEARCH(IF(C$3&lt;&gt;"",C$3,"NA"),'MITRE ATT&amp;CK Mappings'!$J766))), 'MITRE ATT&amp;CK Mappings'!$B766,"")</f>
        <v/>
      </c>
      <c r="D770" s="26" t="str">
        <f>IF(OR(OR(OR(OR(OR(ISNUMBER(SEARCH(IF(D$1&lt;&gt;"",D$1,"NA"),'MITRE ATT&amp;CK Mappings'!$E766)),ISNUMBER(SEARCH(IF(D$1&lt;&gt;"",D$1,"NA"),'MITRE ATT&amp;CK Mappings'!$F766))),ISNUMBER(SEARCH(IF(D$2&lt;&gt;"",D$2,"NA"),'MITRE ATT&amp;CK Mappings'!$G766))),ISNUMBER(SEARCH(IF(D$2&lt;&gt;"",D$2,"NA"),'MITRE ATT&amp;CK Mappings'!$H766))),ISNUMBER(SEARCH(IF(D$3&lt;&gt;"",D$3,"NA"),'MITRE ATT&amp;CK Mappings'!$I766))),ISNUMBER(SEARCH(IF(D$3&lt;&gt;"",D$3,"NA"),'MITRE ATT&amp;CK Mappings'!$J766))), 'MITRE ATT&amp;CK Mappings'!$B766,"")</f>
        <v/>
      </c>
      <c r="E770" s="26" t="str">
        <f>IF(OR(OR(OR(OR(OR(ISNUMBER(SEARCH(IF(E$1&lt;&gt;"",E$1,"NA"),'MITRE ATT&amp;CK Mappings'!$E766)),ISNUMBER(SEARCH(IF(E$1&lt;&gt;"",E$1,"NA"),'MITRE ATT&amp;CK Mappings'!$F766))),ISNUMBER(SEARCH(IF(E$2&lt;&gt;"",E$2,"NA"),'MITRE ATT&amp;CK Mappings'!$G766))),ISNUMBER(SEARCH(IF(E$2&lt;&gt;"",E$2,"NA"),'MITRE ATT&amp;CK Mappings'!$H766))),ISNUMBER(SEARCH(IF(E$3&lt;&gt;"",E$3,"NA"),'MITRE ATT&amp;CK Mappings'!$I766))),ISNUMBER(SEARCH(IF(E$3&lt;&gt;"",E$3,"NA"),'MITRE ATT&amp;CK Mappings'!$J766))), 'MITRE ATT&amp;CK Mappings'!$B766,"")</f>
        <v/>
      </c>
      <c r="F770" s="26" t="str">
        <f>IF(OR(OR(OR(OR(OR(ISNUMBER(SEARCH(IF(F$1&lt;&gt;"",F$1,"NA"),'MITRE ATT&amp;CK Mappings'!$E766)),ISNUMBER(SEARCH(IF(F$1&lt;&gt;"",F$1,"NA"),'MITRE ATT&amp;CK Mappings'!$F766))),ISNUMBER(SEARCH(IF(F$2&lt;&gt;"",F$2,"NA"),'MITRE ATT&amp;CK Mappings'!$G766))),ISNUMBER(SEARCH(IF(F$2&lt;&gt;"",F$2,"NA"),'MITRE ATT&amp;CK Mappings'!$H766))),ISNUMBER(SEARCH(IF(F$3&lt;&gt;"",F$3,"NA"),'MITRE ATT&amp;CK Mappings'!$I766))),ISNUMBER(SEARCH(IF(F$3&lt;&gt;"",F$3,"NA"),'MITRE ATT&amp;CK Mappings'!$J766))), 'MITRE ATT&amp;CK Mappings'!$B766,"")</f>
        <v/>
      </c>
      <c r="G770" s="26" t="str">
        <f>IF(OR(OR(OR(OR(OR(ISNUMBER(SEARCH(IF(G$1&lt;&gt;"",G$1,"NA"),'MITRE ATT&amp;CK Mappings'!$E766)),ISNUMBER(SEARCH(IF(G$1&lt;&gt;"",G$1,"NA"),'MITRE ATT&amp;CK Mappings'!$F766))),ISNUMBER(SEARCH(IF(G$2&lt;&gt;"",G$2,"NA"),'MITRE ATT&amp;CK Mappings'!$G766))),ISNUMBER(SEARCH(IF(G$2&lt;&gt;"",G$2,"NA"),'MITRE ATT&amp;CK Mappings'!$H766))),ISNUMBER(SEARCH(IF(G$3&lt;&gt;"",G$3,"NA"),'MITRE ATT&amp;CK Mappings'!$I766))),ISNUMBER(SEARCH(IF(G$3&lt;&gt;"",G$3,"NA"),'MITRE ATT&amp;CK Mappings'!$J766))), 'MITRE ATT&amp;CK Mappings'!$B766,"")</f>
        <v/>
      </c>
      <c r="H770" s="26" t="str">
        <f>IF(OR(OR(OR(OR(OR(ISNUMBER(SEARCH(IF(H$1&lt;&gt;"",H$1,"NA"),'MITRE ATT&amp;CK Mappings'!$E766)),ISNUMBER(SEARCH(IF(H$1&lt;&gt;"",H$1,"NA"),'MITRE ATT&amp;CK Mappings'!$F766))),ISNUMBER(SEARCH(IF(H$2&lt;&gt;"",H$2,"NA"),'MITRE ATT&amp;CK Mappings'!$G766))),ISNUMBER(SEARCH(IF(H$2&lt;&gt;"",H$2,"NA"),'MITRE ATT&amp;CK Mappings'!$H766))),ISNUMBER(SEARCH(IF(H$3&lt;&gt;"",H$3,"NA"),'MITRE ATT&amp;CK Mappings'!$I766))),ISNUMBER(SEARCH(IF(H$3&lt;&gt;"",H$3,"NA"),'MITRE ATT&amp;CK Mappings'!$J766))), 'MITRE ATT&amp;CK Mappings'!$B766,"")</f>
        <v/>
      </c>
      <c r="I770" s="26" t="str">
        <f>IF(OR(OR(OR(OR(OR(ISNUMBER(SEARCH(IF(I$1&lt;&gt;"",I$1,"NA"),'MITRE ATT&amp;CK Mappings'!$E766)),ISNUMBER(SEARCH(IF(I$1&lt;&gt;"",I$1,"NA"),'MITRE ATT&amp;CK Mappings'!$F766))),ISNUMBER(SEARCH(IF(I$2&lt;&gt;"",I$2,"NA"),'MITRE ATT&amp;CK Mappings'!$G766))),ISNUMBER(SEARCH(IF(I$2&lt;&gt;"",I$2,"NA"),'MITRE ATT&amp;CK Mappings'!$H766))),ISNUMBER(SEARCH(IF(I$3&lt;&gt;"",I$3,"NA"),'MITRE ATT&amp;CK Mappings'!$I766))),ISNUMBER(SEARCH(IF(I$3&lt;&gt;"",I$3,"NA"),'MITRE ATT&amp;CK Mappings'!$J766))), 'MITRE ATT&amp;CK Mappings'!$B766,"")</f>
        <v/>
      </c>
      <c r="J770" s="26" t="str">
        <f>IF(OR(OR(OR(OR(OR(ISNUMBER(SEARCH(IF(J$1&lt;&gt;"",J$1,"NA"),'MITRE ATT&amp;CK Mappings'!$E766)),ISNUMBER(SEARCH(IF(J$1&lt;&gt;"",J$1,"NA"),'MITRE ATT&amp;CK Mappings'!$F766))),ISNUMBER(SEARCH(IF(J$2&lt;&gt;"",J$2,"NA"),'MITRE ATT&amp;CK Mappings'!$G766))),ISNUMBER(SEARCH(IF(J$2&lt;&gt;"",J$2,"NA"),'MITRE ATT&amp;CK Mappings'!$H766))),ISNUMBER(SEARCH(IF(J$3&lt;&gt;"",J$3,"NA"),'MITRE ATT&amp;CK Mappings'!$I766))),ISNUMBER(SEARCH(IF(J$3&lt;&gt;"",J$3,"NA"),'MITRE ATT&amp;CK Mappings'!$J766))), 'MITRE ATT&amp;CK Mappings'!$B766,"")</f>
        <v/>
      </c>
      <c r="K770" s="26" t="str">
        <f>IF(OR(OR(OR(OR(OR(ISNUMBER(SEARCH(IF(K$1&lt;&gt;"",K$1,"NA"),'MITRE ATT&amp;CK Mappings'!$E766)),ISNUMBER(SEARCH(IF(K$1&lt;&gt;"",K$1,"NA"),'MITRE ATT&amp;CK Mappings'!$F766))),ISNUMBER(SEARCH(IF(K$2&lt;&gt;"",K$2,"NA"),'MITRE ATT&amp;CK Mappings'!$G766))),ISNUMBER(SEARCH(IF(K$2&lt;&gt;"",K$2,"NA"),'MITRE ATT&amp;CK Mappings'!$H766))),ISNUMBER(SEARCH(IF(K$3&lt;&gt;"",K$3,"NA"),'MITRE ATT&amp;CK Mappings'!$I766))),ISNUMBER(SEARCH(IF(K$3&lt;&gt;"",K$3,"NA"),'MITRE ATT&amp;CK Mappings'!$J766))), 'MITRE ATT&amp;CK Mappings'!$B766,"")</f>
        <v/>
      </c>
      <c r="L770" s="26" t="str">
        <f>IF('MITRE ATT&amp;CK Mappings'!D766 &lt;&gt;"",'MITRE ATT&amp;CK Mappings'!D766,"" )</f>
        <v/>
      </c>
    </row>
    <row r="771" spans="1:12" x14ac:dyDescent="0.25">
      <c r="A771" s="27" t="str">
        <f>IF(COUNTIF(B771:K771,"="&amp;'MITRE ATT&amp;CK Mappings'!B767)&gt;0,'MITRE ATT&amp;CK Mappings'!B767,"")</f>
        <v/>
      </c>
      <c r="B771" s="27" t="str">
        <f>IF(OR(OR(OR(OR(OR(ISNUMBER(SEARCH(IF(B$1&lt;&gt;"",B$1,"NA"),'MITRE ATT&amp;CK Mappings'!$E767)),ISNUMBER(SEARCH(IF(B$1&lt;&gt;"",B$1,"NA"),'MITRE ATT&amp;CK Mappings'!$F767))),ISNUMBER(SEARCH(IF(B$2&lt;&gt;"",B$2,"NA"),'MITRE ATT&amp;CK Mappings'!$G767))),ISNUMBER(SEARCH(IF(B$2&lt;&gt;"",B$2,"NA"),'MITRE ATT&amp;CK Mappings'!$H767))),ISNUMBER(SEARCH(IF(B$3&lt;&gt;"",B$3,"NA"),'MITRE ATT&amp;CK Mappings'!$I767))),ISNUMBER(SEARCH(IF(B$3&lt;&gt;"",B$3,"NA"),'MITRE ATT&amp;CK Mappings'!$J767))), 'MITRE ATT&amp;CK Mappings'!$B767,"")</f>
        <v/>
      </c>
      <c r="C771" s="27" t="str">
        <f>IF(OR(OR(OR(OR(OR(ISNUMBER(SEARCH(IF(C$1&lt;&gt;"",C$1,"NA"),'MITRE ATT&amp;CK Mappings'!$E767)),ISNUMBER(SEARCH(IF(C$1&lt;&gt;"",C$1,"NA"),'MITRE ATT&amp;CK Mappings'!$F767))),ISNUMBER(SEARCH(IF(C$2&lt;&gt;"",C$2,"NA"),'MITRE ATT&amp;CK Mappings'!$G767))),ISNUMBER(SEARCH(IF(C$2&lt;&gt;"",C$2,"NA"),'MITRE ATT&amp;CK Mappings'!$H767))),ISNUMBER(SEARCH(IF(C$3&lt;&gt;"",C$3,"NA"),'MITRE ATT&amp;CK Mappings'!$I767))),ISNUMBER(SEARCH(IF(C$3&lt;&gt;"",C$3,"NA"),'MITRE ATT&amp;CK Mappings'!$J767))), 'MITRE ATT&amp;CK Mappings'!$B767,"")</f>
        <v/>
      </c>
      <c r="D771" s="27" t="str">
        <f>IF(OR(OR(OR(OR(OR(ISNUMBER(SEARCH(IF(D$1&lt;&gt;"",D$1,"NA"),'MITRE ATT&amp;CK Mappings'!$E767)),ISNUMBER(SEARCH(IF(D$1&lt;&gt;"",D$1,"NA"),'MITRE ATT&amp;CK Mappings'!$F767))),ISNUMBER(SEARCH(IF(D$2&lt;&gt;"",D$2,"NA"),'MITRE ATT&amp;CK Mappings'!$G767))),ISNUMBER(SEARCH(IF(D$2&lt;&gt;"",D$2,"NA"),'MITRE ATT&amp;CK Mappings'!$H767))),ISNUMBER(SEARCH(IF(D$3&lt;&gt;"",D$3,"NA"),'MITRE ATT&amp;CK Mappings'!$I767))),ISNUMBER(SEARCH(IF(D$3&lt;&gt;"",D$3,"NA"),'MITRE ATT&amp;CK Mappings'!$J767))), 'MITRE ATT&amp;CK Mappings'!$B767,"")</f>
        <v/>
      </c>
      <c r="E771" s="27" t="str">
        <f>IF(OR(OR(OR(OR(OR(ISNUMBER(SEARCH(IF(E$1&lt;&gt;"",E$1,"NA"),'MITRE ATT&amp;CK Mappings'!$E767)),ISNUMBER(SEARCH(IF(E$1&lt;&gt;"",E$1,"NA"),'MITRE ATT&amp;CK Mappings'!$F767))),ISNUMBER(SEARCH(IF(E$2&lt;&gt;"",E$2,"NA"),'MITRE ATT&amp;CK Mappings'!$G767))),ISNUMBER(SEARCH(IF(E$2&lt;&gt;"",E$2,"NA"),'MITRE ATT&amp;CK Mappings'!$H767))),ISNUMBER(SEARCH(IF(E$3&lt;&gt;"",E$3,"NA"),'MITRE ATT&amp;CK Mappings'!$I767))),ISNUMBER(SEARCH(IF(E$3&lt;&gt;"",E$3,"NA"),'MITRE ATT&amp;CK Mappings'!$J767))), 'MITRE ATT&amp;CK Mappings'!$B767,"")</f>
        <v/>
      </c>
      <c r="F771" s="27" t="str">
        <f>IF(OR(OR(OR(OR(OR(ISNUMBER(SEARCH(IF(F$1&lt;&gt;"",F$1,"NA"),'MITRE ATT&amp;CK Mappings'!$E767)),ISNUMBER(SEARCH(IF(F$1&lt;&gt;"",F$1,"NA"),'MITRE ATT&amp;CK Mappings'!$F767))),ISNUMBER(SEARCH(IF(F$2&lt;&gt;"",F$2,"NA"),'MITRE ATT&amp;CK Mappings'!$G767))),ISNUMBER(SEARCH(IF(F$2&lt;&gt;"",F$2,"NA"),'MITRE ATT&amp;CK Mappings'!$H767))),ISNUMBER(SEARCH(IF(F$3&lt;&gt;"",F$3,"NA"),'MITRE ATT&amp;CK Mappings'!$I767))),ISNUMBER(SEARCH(IF(F$3&lt;&gt;"",F$3,"NA"),'MITRE ATT&amp;CK Mappings'!$J767))), 'MITRE ATT&amp;CK Mappings'!$B767,"")</f>
        <v/>
      </c>
      <c r="G771" s="27" t="str">
        <f>IF(OR(OR(OR(OR(OR(ISNUMBER(SEARCH(IF(G$1&lt;&gt;"",G$1,"NA"),'MITRE ATT&amp;CK Mappings'!$E767)),ISNUMBER(SEARCH(IF(G$1&lt;&gt;"",G$1,"NA"),'MITRE ATT&amp;CK Mappings'!$F767))),ISNUMBER(SEARCH(IF(G$2&lt;&gt;"",G$2,"NA"),'MITRE ATT&amp;CK Mappings'!$G767))),ISNUMBER(SEARCH(IF(G$2&lt;&gt;"",G$2,"NA"),'MITRE ATT&amp;CK Mappings'!$H767))),ISNUMBER(SEARCH(IF(G$3&lt;&gt;"",G$3,"NA"),'MITRE ATT&amp;CK Mappings'!$I767))),ISNUMBER(SEARCH(IF(G$3&lt;&gt;"",G$3,"NA"),'MITRE ATT&amp;CK Mappings'!$J767))), 'MITRE ATT&amp;CK Mappings'!$B767,"")</f>
        <v/>
      </c>
      <c r="H771" s="27" t="str">
        <f>IF(OR(OR(OR(OR(OR(ISNUMBER(SEARCH(IF(H$1&lt;&gt;"",H$1,"NA"),'MITRE ATT&amp;CK Mappings'!$E767)),ISNUMBER(SEARCH(IF(H$1&lt;&gt;"",H$1,"NA"),'MITRE ATT&amp;CK Mappings'!$F767))),ISNUMBER(SEARCH(IF(H$2&lt;&gt;"",H$2,"NA"),'MITRE ATT&amp;CK Mappings'!$G767))),ISNUMBER(SEARCH(IF(H$2&lt;&gt;"",H$2,"NA"),'MITRE ATT&amp;CK Mappings'!$H767))),ISNUMBER(SEARCH(IF(H$3&lt;&gt;"",H$3,"NA"),'MITRE ATT&amp;CK Mappings'!$I767))),ISNUMBER(SEARCH(IF(H$3&lt;&gt;"",H$3,"NA"),'MITRE ATT&amp;CK Mappings'!$J767))), 'MITRE ATT&amp;CK Mappings'!$B767,"")</f>
        <v/>
      </c>
      <c r="I771" s="27" t="str">
        <f>IF(OR(OR(OR(OR(OR(ISNUMBER(SEARCH(IF(I$1&lt;&gt;"",I$1,"NA"),'MITRE ATT&amp;CK Mappings'!$E767)),ISNUMBER(SEARCH(IF(I$1&lt;&gt;"",I$1,"NA"),'MITRE ATT&amp;CK Mappings'!$F767))),ISNUMBER(SEARCH(IF(I$2&lt;&gt;"",I$2,"NA"),'MITRE ATT&amp;CK Mappings'!$G767))),ISNUMBER(SEARCH(IF(I$2&lt;&gt;"",I$2,"NA"),'MITRE ATT&amp;CK Mappings'!$H767))),ISNUMBER(SEARCH(IF(I$3&lt;&gt;"",I$3,"NA"),'MITRE ATT&amp;CK Mappings'!$I767))),ISNUMBER(SEARCH(IF(I$3&lt;&gt;"",I$3,"NA"),'MITRE ATT&amp;CK Mappings'!$J767))), 'MITRE ATT&amp;CK Mappings'!$B767,"")</f>
        <v/>
      </c>
      <c r="J771" s="27" t="str">
        <f>IF(OR(OR(OR(OR(OR(ISNUMBER(SEARCH(IF(J$1&lt;&gt;"",J$1,"NA"),'MITRE ATT&amp;CK Mappings'!$E767)),ISNUMBER(SEARCH(IF(J$1&lt;&gt;"",J$1,"NA"),'MITRE ATT&amp;CK Mappings'!$F767))),ISNUMBER(SEARCH(IF(J$2&lt;&gt;"",J$2,"NA"),'MITRE ATT&amp;CK Mappings'!$G767))),ISNUMBER(SEARCH(IF(J$2&lt;&gt;"",J$2,"NA"),'MITRE ATT&amp;CK Mappings'!$H767))),ISNUMBER(SEARCH(IF(J$3&lt;&gt;"",J$3,"NA"),'MITRE ATT&amp;CK Mappings'!$I767))),ISNUMBER(SEARCH(IF(J$3&lt;&gt;"",J$3,"NA"),'MITRE ATT&amp;CK Mappings'!$J767))), 'MITRE ATT&amp;CK Mappings'!$B767,"")</f>
        <v/>
      </c>
      <c r="K771" s="27" t="str">
        <f>IF(OR(OR(OR(OR(OR(ISNUMBER(SEARCH(IF(K$1&lt;&gt;"",K$1,"NA"),'MITRE ATT&amp;CK Mappings'!$E767)),ISNUMBER(SEARCH(IF(K$1&lt;&gt;"",K$1,"NA"),'MITRE ATT&amp;CK Mappings'!$F767))),ISNUMBER(SEARCH(IF(K$2&lt;&gt;"",K$2,"NA"),'MITRE ATT&amp;CK Mappings'!$G767))),ISNUMBER(SEARCH(IF(K$2&lt;&gt;"",K$2,"NA"),'MITRE ATT&amp;CK Mappings'!$H767))),ISNUMBER(SEARCH(IF(K$3&lt;&gt;"",K$3,"NA"),'MITRE ATT&amp;CK Mappings'!$I767))),ISNUMBER(SEARCH(IF(K$3&lt;&gt;"",K$3,"NA"),'MITRE ATT&amp;CK Mappings'!$J767))), 'MITRE ATT&amp;CK Mappings'!$B767,"")</f>
        <v/>
      </c>
      <c r="L771" s="27" t="str">
        <f>IF('MITRE ATT&amp;CK Mappings'!D767 &lt;&gt;"",'MITRE ATT&amp;CK Mappings'!D767,"" )</f>
        <v/>
      </c>
    </row>
    <row r="772" spans="1:12" x14ac:dyDescent="0.25">
      <c r="A772" s="26" t="str">
        <f>IF(COUNTIF(B772:K772,"="&amp;'MITRE ATT&amp;CK Mappings'!B768)&gt;0,'MITRE ATT&amp;CK Mappings'!B768,"")</f>
        <v/>
      </c>
      <c r="B772" s="26" t="str">
        <f>IF(OR(OR(OR(OR(OR(ISNUMBER(SEARCH(IF(B$1&lt;&gt;"",B$1,"NA"),'MITRE ATT&amp;CK Mappings'!$E768)),ISNUMBER(SEARCH(IF(B$1&lt;&gt;"",B$1,"NA"),'MITRE ATT&amp;CK Mappings'!$F768))),ISNUMBER(SEARCH(IF(B$2&lt;&gt;"",B$2,"NA"),'MITRE ATT&amp;CK Mappings'!$G768))),ISNUMBER(SEARCH(IF(B$2&lt;&gt;"",B$2,"NA"),'MITRE ATT&amp;CK Mappings'!$H768))),ISNUMBER(SEARCH(IF(B$3&lt;&gt;"",B$3,"NA"),'MITRE ATT&amp;CK Mappings'!$I768))),ISNUMBER(SEARCH(IF(B$3&lt;&gt;"",B$3,"NA"),'MITRE ATT&amp;CK Mappings'!$J768))), 'MITRE ATT&amp;CK Mappings'!$B768,"")</f>
        <v/>
      </c>
      <c r="C772" s="26" t="str">
        <f>IF(OR(OR(OR(OR(OR(ISNUMBER(SEARCH(IF(C$1&lt;&gt;"",C$1,"NA"),'MITRE ATT&amp;CK Mappings'!$E768)),ISNUMBER(SEARCH(IF(C$1&lt;&gt;"",C$1,"NA"),'MITRE ATT&amp;CK Mappings'!$F768))),ISNUMBER(SEARCH(IF(C$2&lt;&gt;"",C$2,"NA"),'MITRE ATT&amp;CK Mappings'!$G768))),ISNUMBER(SEARCH(IF(C$2&lt;&gt;"",C$2,"NA"),'MITRE ATT&amp;CK Mappings'!$H768))),ISNUMBER(SEARCH(IF(C$3&lt;&gt;"",C$3,"NA"),'MITRE ATT&amp;CK Mappings'!$I768))),ISNUMBER(SEARCH(IF(C$3&lt;&gt;"",C$3,"NA"),'MITRE ATT&amp;CK Mappings'!$J768))), 'MITRE ATT&amp;CK Mappings'!$B768,"")</f>
        <v/>
      </c>
      <c r="D772" s="26" t="str">
        <f>IF(OR(OR(OR(OR(OR(ISNUMBER(SEARCH(IF(D$1&lt;&gt;"",D$1,"NA"),'MITRE ATT&amp;CK Mappings'!$E768)),ISNUMBER(SEARCH(IF(D$1&lt;&gt;"",D$1,"NA"),'MITRE ATT&amp;CK Mappings'!$F768))),ISNUMBER(SEARCH(IF(D$2&lt;&gt;"",D$2,"NA"),'MITRE ATT&amp;CK Mappings'!$G768))),ISNUMBER(SEARCH(IF(D$2&lt;&gt;"",D$2,"NA"),'MITRE ATT&amp;CK Mappings'!$H768))),ISNUMBER(SEARCH(IF(D$3&lt;&gt;"",D$3,"NA"),'MITRE ATT&amp;CK Mappings'!$I768))),ISNUMBER(SEARCH(IF(D$3&lt;&gt;"",D$3,"NA"),'MITRE ATT&amp;CK Mappings'!$J768))), 'MITRE ATT&amp;CK Mappings'!$B768,"")</f>
        <v/>
      </c>
      <c r="E772" s="26" t="str">
        <f>IF(OR(OR(OR(OR(OR(ISNUMBER(SEARCH(IF(E$1&lt;&gt;"",E$1,"NA"),'MITRE ATT&amp;CK Mappings'!$E768)),ISNUMBER(SEARCH(IF(E$1&lt;&gt;"",E$1,"NA"),'MITRE ATT&amp;CK Mappings'!$F768))),ISNUMBER(SEARCH(IF(E$2&lt;&gt;"",E$2,"NA"),'MITRE ATT&amp;CK Mappings'!$G768))),ISNUMBER(SEARCH(IF(E$2&lt;&gt;"",E$2,"NA"),'MITRE ATT&amp;CK Mappings'!$H768))),ISNUMBER(SEARCH(IF(E$3&lt;&gt;"",E$3,"NA"),'MITRE ATT&amp;CK Mappings'!$I768))),ISNUMBER(SEARCH(IF(E$3&lt;&gt;"",E$3,"NA"),'MITRE ATT&amp;CK Mappings'!$J768))), 'MITRE ATT&amp;CK Mappings'!$B768,"")</f>
        <v/>
      </c>
      <c r="F772" s="26" t="str">
        <f>IF(OR(OR(OR(OR(OR(ISNUMBER(SEARCH(IF(F$1&lt;&gt;"",F$1,"NA"),'MITRE ATT&amp;CK Mappings'!$E768)),ISNUMBER(SEARCH(IF(F$1&lt;&gt;"",F$1,"NA"),'MITRE ATT&amp;CK Mappings'!$F768))),ISNUMBER(SEARCH(IF(F$2&lt;&gt;"",F$2,"NA"),'MITRE ATT&amp;CK Mappings'!$G768))),ISNUMBER(SEARCH(IF(F$2&lt;&gt;"",F$2,"NA"),'MITRE ATT&amp;CK Mappings'!$H768))),ISNUMBER(SEARCH(IF(F$3&lt;&gt;"",F$3,"NA"),'MITRE ATT&amp;CK Mappings'!$I768))),ISNUMBER(SEARCH(IF(F$3&lt;&gt;"",F$3,"NA"),'MITRE ATT&amp;CK Mappings'!$J768))), 'MITRE ATT&amp;CK Mappings'!$B768,"")</f>
        <v/>
      </c>
      <c r="G772" s="26" t="str">
        <f>IF(OR(OR(OR(OR(OR(ISNUMBER(SEARCH(IF(G$1&lt;&gt;"",G$1,"NA"),'MITRE ATT&amp;CK Mappings'!$E768)),ISNUMBER(SEARCH(IF(G$1&lt;&gt;"",G$1,"NA"),'MITRE ATT&amp;CK Mappings'!$F768))),ISNUMBER(SEARCH(IF(G$2&lt;&gt;"",G$2,"NA"),'MITRE ATT&amp;CK Mappings'!$G768))),ISNUMBER(SEARCH(IF(G$2&lt;&gt;"",G$2,"NA"),'MITRE ATT&amp;CK Mappings'!$H768))),ISNUMBER(SEARCH(IF(G$3&lt;&gt;"",G$3,"NA"),'MITRE ATT&amp;CK Mappings'!$I768))),ISNUMBER(SEARCH(IF(G$3&lt;&gt;"",G$3,"NA"),'MITRE ATT&amp;CK Mappings'!$J768))), 'MITRE ATT&amp;CK Mappings'!$B768,"")</f>
        <v/>
      </c>
      <c r="H772" s="26" t="str">
        <f>IF(OR(OR(OR(OR(OR(ISNUMBER(SEARCH(IF(H$1&lt;&gt;"",H$1,"NA"),'MITRE ATT&amp;CK Mappings'!$E768)),ISNUMBER(SEARCH(IF(H$1&lt;&gt;"",H$1,"NA"),'MITRE ATT&amp;CK Mappings'!$F768))),ISNUMBER(SEARCH(IF(H$2&lt;&gt;"",H$2,"NA"),'MITRE ATT&amp;CK Mappings'!$G768))),ISNUMBER(SEARCH(IF(H$2&lt;&gt;"",H$2,"NA"),'MITRE ATT&amp;CK Mappings'!$H768))),ISNUMBER(SEARCH(IF(H$3&lt;&gt;"",H$3,"NA"),'MITRE ATT&amp;CK Mappings'!$I768))),ISNUMBER(SEARCH(IF(H$3&lt;&gt;"",H$3,"NA"),'MITRE ATT&amp;CK Mappings'!$J768))), 'MITRE ATT&amp;CK Mappings'!$B768,"")</f>
        <v/>
      </c>
      <c r="I772" s="26" t="str">
        <f>IF(OR(OR(OR(OR(OR(ISNUMBER(SEARCH(IF(I$1&lt;&gt;"",I$1,"NA"),'MITRE ATT&amp;CK Mappings'!$E768)),ISNUMBER(SEARCH(IF(I$1&lt;&gt;"",I$1,"NA"),'MITRE ATT&amp;CK Mappings'!$F768))),ISNUMBER(SEARCH(IF(I$2&lt;&gt;"",I$2,"NA"),'MITRE ATT&amp;CK Mappings'!$G768))),ISNUMBER(SEARCH(IF(I$2&lt;&gt;"",I$2,"NA"),'MITRE ATT&amp;CK Mappings'!$H768))),ISNUMBER(SEARCH(IF(I$3&lt;&gt;"",I$3,"NA"),'MITRE ATT&amp;CK Mappings'!$I768))),ISNUMBER(SEARCH(IF(I$3&lt;&gt;"",I$3,"NA"),'MITRE ATT&amp;CK Mappings'!$J768))), 'MITRE ATT&amp;CK Mappings'!$B768,"")</f>
        <v/>
      </c>
      <c r="J772" s="26" t="str">
        <f>IF(OR(OR(OR(OR(OR(ISNUMBER(SEARCH(IF(J$1&lt;&gt;"",J$1,"NA"),'MITRE ATT&amp;CK Mappings'!$E768)),ISNUMBER(SEARCH(IF(J$1&lt;&gt;"",J$1,"NA"),'MITRE ATT&amp;CK Mappings'!$F768))),ISNUMBER(SEARCH(IF(J$2&lt;&gt;"",J$2,"NA"),'MITRE ATT&amp;CK Mappings'!$G768))),ISNUMBER(SEARCH(IF(J$2&lt;&gt;"",J$2,"NA"),'MITRE ATT&amp;CK Mappings'!$H768))),ISNUMBER(SEARCH(IF(J$3&lt;&gt;"",J$3,"NA"),'MITRE ATT&amp;CK Mappings'!$I768))),ISNUMBER(SEARCH(IF(J$3&lt;&gt;"",J$3,"NA"),'MITRE ATT&amp;CK Mappings'!$J768))), 'MITRE ATT&amp;CK Mappings'!$B768,"")</f>
        <v/>
      </c>
      <c r="K772" s="26" t="str">
        <f>IF(OR(OR(OR(OR(OR(ISNUMBER(SEARCH(IF(K$1&lt;&gt;"",K$1,"NA"),'MITRE ATT&amp;CK Mappings'!$E768)),ISNUMBER(SEARCH(IF(K$1&lt;&gt;"",K$1,"NA"),'MITRE ATT&amp;CK Mappings'!$F768))),ISNUMBER(SEARCH(IF(K$2&lt;&gt;"",K$2,"NA"),'MITRE ATT&amp;CK Mappings'!$G768))),ISNUMBER(SEARCH(IF(K$2&lt;&gt;"",K$2,"NA"),'MITRE ATT&amp;CK Mappings'!$H768))),ISNUMBER(SEARCH(IF(K$3&lt;&gt;"",K$3,"NA"),'MITRE ATT&amp;CK Mappings'!$I768))),ISNUMBER(SEARCH(IF(K$3&lt;&gt;"",K$3,"NA"),'MITRE ATT&amp;CK Mappings'!$J768))), 'MITRE ATT&amp;CK Mappings'!$B768,"")</f>
        <v/>
      </c>
      <c r="L772" s="26" t="str">
        <f>IF('MITRE ATT&amp;CK Mappings'!D768 &lt;&gt;"",'MITRE ATT&amp;CK Mappings'!D768,"" )</f>
        <v/>
      </c>
    </row>
    <row r="773" spans="1:12" x14ac:dyDescent="0.25">
      <c r="A773" s="27" t="str">
        <f>IF(COUNTIF(B773:K773,"="&amp;'MITRE ATT&amp;CK Mappings'!B769)&gt;0,'MITRE ATT&amp;CK Mappings'!B769,"")</f>
        <v/>
      </c>
      <c r="B773" s="27" t="str">
        <f>IF(OR(OR(OR(OR(OR(ISNUMBER(SEARCH(IF(B$1&lt;&gt;"",B$1,"NA"),'MITRE ATT&amp;CK Mappings'!$E769)),ISNUMBER(SEARCH(IF(B$1&lt;&gt;"",B$1,"NA"),'MITRE ATT&amp;CK Mappings'!$F769))),ISNUMBER(SEARCH(IF(B$2&lt;&gt;"",B$2,"NA"),'MITRE ATT&amp;CK Mappings'!$G769))),ISNUMBER(SEARCH(IF(B$2&lt;&gt;"",B$2,"NA"),'MITRE ATT&amp;CK Mappings'!$H769))),ISNUMBER(SEARCH(IF(B$3&lt;&gt;"",B$3,"NA"),'MITRE ATT&amp;CK Mappings'!$I769))),ISNUMBER(SEARCH(IF(B$3&lt;&gt;"",B$3,"NA"),'MITRE ATT&amp;CK Mappings'!$J769))), 'MITRE ATT&amp;CK Mappings'!$B769,"")</f>
        <v/>
      </c>
      <c r="C773" s="27" t="str">
        <f>IF(OR(OR(OR(OR(OR(ISNUMBER(SEARCH(IF(C$1&lt;&gt;"",C$1,"NA"),'MITRE ATT&amp;CK Mappings'!$E769)),ISNUMBER(SEARCH(IF(C$1&lt;&gt;"",C$1,"NA"),'MITRE ATT&amp;CK Mappings'!$F769))),ISNUMBER(SEARCH(IF(C$2&lt;&gt;"",C$2,"NA"),'MITRE ATT&amp;CK Mappings'!$G769))),ISNUMBER(SEARCH(IF(C$2&lt;&gt;"",C$2,"NA"),'MITRE ATT&amp;CK Mappings'!$H769))),ISNUMBER(SEARCH(IF(C$3&lt;&gt;"",C$3,"NA"),'MITRE ATT&amp;CK Mappings'!$I769))),ISNUMBER(SEARCH(IF(C$3&lt;&gt;"",C$3,"NA"),'MITRE ATT&amp;CK Mappings'!$J769))), 'MITRE ATT&amp;CK Mappings'!$B769,"")</f>
        <v/>
      </c>
      <c r="D773" s="27" t="str">
        <f>IF(OR(OR(OR(OR(OR(ISNUMBER(SEARCH(IF(D$1&lt;&gt;"",D$1,"NA"),'MITRE ATT&amp;CK Mappings'!$E769)),ISNUMBER(SEARCH(IF(D$1&lt;&gt;"",D$1,"NA"),'MITRE ATT&amp;CK Mappings'!$F769))),ISNUMBER(SEARCH(IF(D$2&lt;&gt;"",D$2,"NA"),'MITRE ATT&amp;CK Mappings'!$G769))),ISNUMBER(SEARCH(IF(D$2&lt;&gt;"",D$2,"NA"),'MITRE ATT&amp;CK Mappings'!$H769))),ISNUMBER(SEARCH(IF(D$3&lt;&gt;"",D$3,"NA"),'MITRE ATT&amp;CK Mappings'!$I769))),ISNUMBER(SEARCH(IF(D$3&lt;&gt;"",D$3,"NA"),'MITRE ATT&amp;CK Mappings'!$J769))), 'MITRE ATT&amp;CK Mappings'!$B769,"")</f>
        <v/>
      </c>
      <c r="E773" s="27" t="str">
        <f>IF(OR(OR(OR(OR(OR(ISNUMBER(SEARCH(IF(E$1&lt;&gt;"",E$1,"NA"),'MITRE ATT&amp;CK Mappings'!$E769)),ISNUMBER(SEARCH(IF(E$1&lt;&gt;"",E$1,"NA"),'MITRE ATT&amp;CK Mappings'!$F769))),ISNUMBER(SEARCH(IF(E$2&lt;&gt;"",E$2,"NA"),'MITRE ATT&amp;CK Mappings'!$G769))),ISNUMBER(SEARCH(IF(E$2&lt;&gt;"",E$2,"NA"),'MITRE ATT&amp;CK Mappings'!$H769))),ISNUMBER(SEARCH(IF(E$3&lt;&gt;"",E$3,"NA"),'MITRE ATT&amp;CK Mappings'!$I769))),ISNUMBER(SEARCH(IF(E$3&lt;&gt;"",E$3,"NA"),'MITRE ATT&amp;CK Mappings'!$J769))), 'MITRE ATT&amp;CK Mappings'!$B769,"")</f>
        <v/>
      </c>
      <c r="F773" s="27" t="str">
        <f>IF(OR(OR(OR(OR(OR(ISNUMBER(SEARCH(IF(F$1&lt;&gt;"",F$1,"NA"),'MITRE ATT&amp;CK Mappings'!$E769)),ISNUMBER(SEARCH(IF(F$1&lt;&gt;"",F$1,"NA"),'MITRE ATT&amp;CK Mappings'!$F769))),ISNUMBER(SEARCH(IF(F$2&lt;&gt;"",F$2,"NA"),'MITRE ATT&amp;CK Mappings'!$G769))),ISNUMBER(SEARCH(IF(F$2&lt;&gt;"",F$2,"NA"),'MITRE ATT&amp;CK Mappings'!$H769))),ISNUMBER(SEARCH(IF(F$3&lt;&gt;"",F$3,"NA"),'MITRE ATT&amp;CK Mappings'!$I769))),ISNUMBER(SEARCH(IF(F$3&lt;&gt;"",F$3,"NA"),'MITRE ATT&amp;CK Mappings'!$J769))), 'MITRE ATT&amp;CK Mappings'!$B769,"")</f>
        <v/>
      </c>
      <c r="G773" s="27" t="str">
        <f>IF(OR(OR(OR(OR(OR(ISNUMBER(SEARCH(IF(G$1&lt;&gt;"",G$1,"NA"),'MITRE ATT&amp;CK Mappings'!$E769)),ISNUMBER(SEARCH(IF(G$1&lt;&gt;"",G$1,"NA"),'MITRE ATT&amp;CK Mappings'!$F769))),ISNUMBER(SEARCH(IF(G$2&lt;&gt;"",G$2,"NA"),'MITRE ATT&amp;CK Mappings'!$G769))),ISNUMBER(SEARCH(IF(G$2&lt;&gt;"",G$2,"NA"),'MITRE ATT&amp;CK Mappings'!$H769))),ISNUMBER(SEARCH(IF(G$3&lt;&gt;"",G$3,"NA"),'MITRE ATT&amp;CK Mappings'!$I769))),ISNUMBER(SEARCH(IF(G$3&lt;&gt;"",G$3,"NA"),'MITRE ATT&amp;CK Mappings'!$J769))), 'MITRE ATT&amp;CK Mappings'!$B769,"")</f>
        <v/>
      </c>
      <c r="H773" s="27" t="str">
        <f>IF(OR(OR(OR(OR(OR(ISNUMBER(SEARCH(IF(H$1&lt;&gt;"",H$1,"NA"),'MITRE ATT&amp;CK Mappings'!$E769)),ISNUMBER(SEARCH(IF(H$1&lt;&gt;"",H$1,"NA"),'MITRE ATT&amp;CK Mappings'!$F769))),ISNUMBER(SEARCH(IF(H$2&lt;&gt;"",H$2,"NA"),'MITRE ATT&amp;CK Mappings'!$G769))),ISNUMBER(SEARCH(IF(H$2&lt;&gt;"",H$2,"NA"),'MITRE ATT&amp;CK Mappings'!$H769))),ISNUMBER(SEARCH(IF(H$3&lt;&gt;"",H$3,"NA"),'MITRE ATT&amp;CK Mappings'!$I769))),ISNUMBER(SEARCH(IF(H$3&lt;&gt;"",H$3,"NA"),'MITRE ATT&amp;CK Mappings'!$J769))), 'MITRE ATT&amp;CK Mappings'!$B769,"")</f>
        <v/>
      </c>
      <c r="I773" s="27" t="str">
        <f>IF(OR(OR(OR(OR(OR(ISNUMBER(SEARCH(IF(I$1&lt;&gt;"",I$1,"NA"),'MITRE ATT&amp;CK Mappings'!$E769)),ISNUMBER(SEARCH(IF(I$1&lt;&gt;"",I$1,"NA"),'MITRE ATT&amp;CK Mappings'!$F769))),ISNUMBER(SEARCH(IF(I$2&lt;&gt;"",I$2,"NA"),'MITRE ATT&amp;CK Mappings'!$G769))),ISNUMBER(SEARCH(IF(I$2&lt;&gt;"",I$2,"NA"),'MITRE ATT&amp;CK Mappings'!$H769))),ISNUMBER(SEARCH(IF(I$3&lt;&gt;"",I$3,"NA"),'MITRE ATT&amp;CK Mappings'!$I769))),ISNUMBER(SEARCH(IF(I$3&lt;&gt;"",I$3,"NA"),'MITRE ATT&amp;CK Mappings'!$J769))), 'MITRE ATT&amp;CK Mappings'!$B769,"")</f>
        <v/>
      </c>
      <c r="J773" s="27" t="str">
        <f>IF(OR(OR(OR(OR(OR(ISNUMBER(SEARCH(IF(J$1&lt;&gt;"",J$1,"NA"),'MITRE ATT&amp;CK Mappings'!$E769)),ISNUMBER(SEARCH(IF(J$1&lt;&gt;"",J$1,"NA"),'MITRE ATT&amp;CK Mappings'!$F769))),ISNUMBER(SEARCH(IF(J$2&lt;&gt;"",J$2,"NA"),'MITRE ATT&amp;CK Mappings'!$G769))),ISNUMBER(SEARCH(IF(J$2&lt;&gt;"",J$2,"NA"),'MITRE ATT&amp;CK Mappings'!$H769))),ISNUMBER(SEARCH(IF(J$3&lt;&gt;"",J$3,"NA"),'MITRE ATT&amp;CK Mappings'!$I769))),ISNUMBER(SEARCH(IF(J$3&lt;&gt;"",J$3,"NA"),'MITRE ATT&amp;CK Mappings'!$J769))), 'MITRE ATT&amp;CK Mappings'!$B769,"")</f>
        <v/>
      </c>
      <c r="K773" s="27" t="str">
        <f>IF(OR(OR(OR(OR(OR(ISNUMBER(SEARCH(IF(K$1&lt;&gt;"",K$1,"NA"),'MITRE ATT&amp;CK Mappings'!$E769)),ISNUMBER(SEARCH(IF(K$1&lt;&gt;"",K$1,"NA"),'MITRE ATT&amp;CK Mappings'!$F769))),ISNUMBER(SEARCH(IF(K$2&lt;&gt;"",K$2,"NA"),'MITRE ATT&amp;CK Mappings'!$G769))),ISNUMBER(SEARCH(IF(K$2&lt;&gt;"",K$2,"NA"),'MITRE ATT&amp;CK Mappings'!$H769))),ISNUMBER(SEARCH(IF(K$3&lt;&gt;"",K$3,"NA"),'MITRE ATT&amp;CK Mappings'!$I769))),ISNUMBER(SEARCH(IF(K$3&lt;&gt;"",K$3,"NA"),'MITRE ATT&amp;CK Mappings'!$J769))), 'MITRE ATT&amp;CK Mappings'!$B769,"")</f>
        <v/>
      </c>
      <c r="L773" s="27" t="str">
        <f>IF('MITRE ATT&amp;CK Mappings'!D769 &lt;&gt;"",'MITRE ATT&amp;CK Mappings'!D769,"" )</f>
        <v/>
      </c>
    </row>
    <row r="774" spans="1:12" x14ac:dyDescent="0.25">
      <c r="A774" s="26" t="str">
        <f>IF(COUNTIF(B774:K774,"="&amp;'MITRE ATT&amp;CK Mappings'!B770)&gt;0,'MITRE ATT&amp;CK Mappings'!B770,"")</f>
        <v/>
      </c>
      <c r="B774" s="26" t="str">
        <f>IF(OR(OR(OR(OR(OR(ISNUMBER(SEARCH(IF(B$1&lt;&gt;"",B$1,"NA"),'MITRE ATT&amp;CK Mappings'!$E770)),ISNUMBER(SEARCH(IF(B$1&lt;&gt;"",B$1,"NA"),'MITRE ATT&amp;CK Mappings'!$F770))),ISNUMBER(SEARCH(IF(B$2&lt;&gt;"",B$2,"NA"),'MITRE ATT&amp;CK Mappings'!$G770))),ISNUMBER(SEARCH(IF(B$2&lt;&gt;"",B$2,"NA"),'MITRE ATT&amp;CK Mappings'!$H770))),ISNUMBER(SEARCH(IF(B$3&lt;&gt;"",B$3,"NA"),'MITRE ATT&amp;CK Mappings'!$I770))),ISNUMBER(SEARCH(IF(B$3&lt;&gt;"",B$3,"NA"),'MITRE ATT&amp;CK Mappings'!$J770))), 'MITRE ATT&amp;CK Mappings'!$B770,"")</f>
        <v/>
      </c>
      <c r="C774" s="26" t="str">
        <f>IF(OR(OR(OR(OR(OR(ISNUMBER(SEARCH(IF(C$1&lt;&gt;"",C$1,"NA"),'MITRE ATT&amp;CK Mappings'!$E770)),ISNUMBER(SEARCH(IF(C$1&lt;&gt;"",C$1,"NA"),'MITRE ATT&amp;CK Mappings'!$F770))),ISNUMBER(SEARCH(IF(C$2&lt;&gt;"",C$2,"NA"),'MITRE ATT&amp;CK Mappings'!$G770))),ISNUMBER(SEARCH(IF(C$2&lt;&gt;"",C$2,"NA"),'MITRE ATT&amp;CK Mappings'!$H770))),ISNUMBER(SEARCH(IF(C$3&lt;&gt;"",C$3,"NA"),'MITRE ATT&amp;CK Mappings'!$I770))),ISNUMBER(SEARCH(IF(C$3&lt;&gt;"",C$3,"NA"),'MITRE ATT&amp;CK Mappings'!$J770))), 'MITRE ATT&amp;CK Mappings'!$B770,"")</f>
        <v/>
      </c>
      <c r="D774" s="26" t="str">
        <f>IF(OR(OR(OR(OR(OR(ISNUMBER(SEARCH(IF(D$1&lt;&gt;"",D$1,"NA"),'MITRE ATT&amp;CK Mappings'!$E770)),ISNUMBER(SEARCH(IF(D$1&lt;&gt;"",D$1,"NA"),'MITRE ATT&amp;CK Mappings'!$F770))),ISNUMBER(SEARCH(IF(D$2&lt;&gt;"",D$2,"NA"),'MITRE ATT&amp;CK Mappings'!$G770))),ISNUMBER(SEARCH(IF(D$2&lt;&gt;"",D$2,"NA"),'MITRE ATT&amp;CK Mappings'!$H770))),ISNUMBER(SEARCH(IF(D$3&lt;&gt;"",D$3,"NA"),'MITRE ATT&amp;CK Mappings'!$I770))),ISNUMBER(SEARCH(IF(D$3&lt;&gt;"",D$3,"NA"),'MITRE ATT&amp;CK Mappings'!$J770))), 'MITRE ATT&amp;CK Mappings'!$B770,"")</f>
        <v/>
      </c>
      <c r="E774" s="26" t="str">
        <f>IF(OR(OR(OR(OR(OR(ISNUMBER(SEARCH(IF(E$1&lt;&gt;"",E$1,"NA"),'MITRE ATT&amp;CK Mappings'!$E770)),ISNUMBER(SEARCH(IF(E$1&lt;&gt;"",E$1,"NA"),'MITRE ATT&amp;CK Mappings'!$F770))),ISNUMBER(SEARCH(IF(E$2&lt;&gt;"",E$2,"NA"),'MITRE ATT&amp;CK Mappings'!$G770))),ISNUMBER(SEARCH(IF(E$2&lt;&gt;"",E$2,"NA"),'MITRE ATT&amp;CK Mappings'!$H770))),ISNUMBER(SEARCH(IF(E$3&lt;&gt;"",E$3,"NA"),'MITRE ATT&amp;CK Mappings'!$I770))),ISNUMBER(SEARCH(IF(E$3&lt;&gt;"",E$3,"NA"),'MITRE ATT&amp;CK Mappings'!$J770))), 'MITRE ATT&amp;CK Mappings'!$B770,"")</f>
        <v/>
      </c>
      <c r="F774" s="26" t="str">
        <f>IF(OR(OR(OR(OR(OR(ISNUMBER(SEARCH(IF(F$1&lt;&gt;"",F$1,"NA"),'MITRE ATT&amp;CK Mappings'!$E770)),ISNUMBER(SEARCH(IF(F$1&lt;&gt;"",F$1,"NA"),'MITRE ATT&amp;CK Mappings'!$F770))),ISNUMBER(SEARCH(IF(F$2&lt;&gt;"",F$2,"NA"),'MITRE ATT&amp;CK Mappings'!$G770))),ISNUMBER(SEARCH(IF(F$2&lt;&gt;"",F$2,"NA"),'MITRE ATT&amp;CK Mappings'!$H770))),ISNUMBER(SEARCH(IF(F$3&lt;&gt;"",F$3,"NA"),'MITRE ATT&amp;CK Mappings'!$I770))),ISNUMBER(SEARCH(IF(F$3&lt;&gt;"",F$3,"NA"),'MITRE ATT&amp;CK Mappings'!$J770))), 'MITRE ATT&amp;CK Mappings'!$B770,"")</f>
        <v/>
      </c>
      <c r="G774" s="26" t="str">
        <f>IF(OR(OR(OR(OR(OR(ISNUMBER(SEARCH(IF(G$1&lt;&gt;"",G$1,"NA"),'MITRE ATT&amp;CK Mappings'!$E770)),ISNUMBER(SEARCH(IF(G$1&lt;&gt;"",G$1,"NA"),'MITRE ATT&amp;CK Mappings'!$F770))),ISNUMBER(SEARCH(IF(G$2&lt;&gt;"",G$2,"NA"),'MITRE ATT&amp;CK Mappings'!$G770))),ISNUMBER(SEARCH(IF(G$2&lt;&gt;"",G$2,"NA"),'MITRE ATT&amp;CK Mappings'!$H770))),ISNUMBER(SEARCH(IF(G$3&lt;&gt;"",G$3,"NA"),'MITRE ATT&amp;CK Mappings'!$I770))),ISNUMBER(SEARCH(IF(G$3&lt;&gt;"",G$3,"NA"),'MITRE ATT&amp;CK Mappings'!$J770))), 'MITRE ATT&amp;CK Mappings'!$B770,"")</f>
        <v/>
      </c>
      <c r="H774" s="26" t="str">
        <f>IF(OR(OR(OR(OR(OR(ISNUMBER(SEARCH(IF(H$1&lt;&gt;"",H$1,"NA"),'MITRE ATT&amp;CK Mappings'!$E770)),ISNUMBER(SEARCH(IF(H$1&lt;&gt;"",H$1,"NA"),'MITRE ATT&amp;CK Mappings'!$F770))),ISNUMBER(SEARCH(IF(H$2&lt;&gt;"",H$2,"NA"),'MITRE ATT&amp;CK Mappings'!$G770))),ISNUMBER(SEARCH(IF(H$2&lt;&gt;"",H$2,"NA"),'MITRE ATT&amp;CK Mappings'!$H770))),ISNUMBER(SEARCH(IF(H$3&lt;&gt;"",H$3,"NA"),'MITRE ATT&amp;CK Mappings'!$I770))),ISNUMBER(SEARCH(IF(H$3&lt;&gt;"",H$3,"NA"),'MITRE ATT&amp;CK Mappings'!$J770))), 'MITRE ATT&amp;CK Mappings'!$B770,"")</f>
        <v/>
      </c>
      <c r="I774" s="26" t="str">
        <f>IF(OR(OR(OR(OR(OR(ISNUMBER(SEARCH(IF(I$1&lt;&gt;"",I$1,"NA"),'MITRE ATT&amp;CK Mappings'!$E770)),ISNUMBER(SEARCH(IF(I$1&lt;&gt;"",I$1,"NA"),'MITRE ATT&amp;CK Mappings'!$F770))),ISNUMBER(SEARCH(IF(I$2&lt;&gt;"",I$2,"NA"),'MITRE ATT&amp;CK Mappings'!$G770))),ISNUMBER(SEARCH(IF(I$2&lt;&gt;"",I$2,"NA"),'MITRE ATT&amp;CK Mappings'!$H770))),ISNUMBER(SEARCH(IF(I$3&lt;&gt;"",I$3,"NA"),'MITRE ATT&amp;CK Mappings'!$I770))),ISNUMBER(SEARCH(IF(I$3&lt;&gt;"",I$3,"NA"),'MITRE ATT&amp;CK Mappings'!$J770))), 'MITRE ATT&amp;CK Mappings'!$B770,"")</f>
        <v/>
      </c>
      <c r="J774" s="26" t="str">
        <f>IF(OR(OR(OR(OR(OR(ISNUMBER(SEARCH(IF(J$1&lt;&gt;"",J$1,"NA"),'MITRE ATT&amp;CK Mappings'!$E770)),ISNUMBER(SEARCH(IF(J$1&lt;&gt;"",J$1,"NA"),'MITRE ATT&amp;CK Mappings'!$F770))),ISNUMBER(SEARCH(IF(J$2&lt;&gt;"",J$2,"NA"),'MITRE ATT&amp;CK Mappings'!$G770))),ISNUMBER(SEARCH(IF(J$2&lt;&gt;"",J$2,"NA"),'MITRE ATT&amp;CK Mappings'!$H770))),ISNUMBER(SEARCH(IF(J$3&lt;&gt;"",J$3,"NA"),'MITRE ATT&amp;CK Mappings'!$I770))),ISNUMBER(SEARCH(IF(J$3&lt;&gt;"",J$3,"NA"),'MITRE ATT&amp;CK Mappings'!$J770))), 'MITRE ATT&amp;CK Mappings'!$B770,"")</f>
        <v/>
      </c>
      <c r="K774" s="26" t="str">
        <f>IF(OR(OR(OR(OR(OR(ISNUMBER(SEARCH(IF(K$1&lt;&gt;"",K$1,"NA"),'MITRE ATT&amp;CK Mappings'!$E770)),ISNUMBER(SEARCH(IF(K$1&lt;&gt;"",K$1,"NA"),'MITRE ATT&amp;CK Mappings'!$F770))),ISNUMBER(SEARCH(IF(K$2&lt;&gt;"",K$2,"NA"),'MITRE ATT&amp;CK Mappings'!$G770))),ISNUMBER(SEARCH(IF(K$2&lt;&gt;"",K$2,"NA"),'MITRE ATT&amp;CK Mappings'!$H770))),ISNUMBER(SEARCH(IF(K$3&lt;&gt;"",K$3,"NA"),'MITRE ATT&amp;CK Mappings'!$I770))),ISNUMBER(SEARCH(IF(K$3&lt;&gt;"",K$3,"NA"),'MITRE ATT&amp;CK Mappings'!$J770))), 'MITRE ATT&amp;CK Mappings'!$B770,"")</f>
        <v/>
      </c>
      <c r="L774" s="26" t="str">
        <f>IF('MITRE ATT&amp;CK Mappings'!D770 &lt;&gt;"",'MITRE ATT&amp;CK Mappings'!D770,"" )</f>
        <v/>
      </c>
    </row>
    <row r="775" spans="1:12" x14ac:dyDescent="0.25">
      <c r="A775" s="27" t="str">
        <f>IF(COUNTIF(B775:K775,"="&amp;'MITRE ATT&amp;CK Mappings'!B771)&gt;0,'MITRE ATT&amp;CK Mappings'!B771,"")</f>
        <v/>
      </c>
      <c r="B775" s="27" t="str">
        <f>IF(OR(OR(OR(OR(OR(ISNUMBER(SEARCH(IF(B$1&lt;&gt;"",B$1,"NA"),'MITRE ATT&amp;CK Mappings'!$E771)),ISNUMBER(SEARCH(IF(B$1&lt;&gt;"",B$1,"NA"),'MITRE ATT&amp;CK Mappings'!$F771))),ISNUMBER(SEARCH(IF(B$2&lt;&gt;"",B$2,"NA"),'MITRE ATT&amp;CK Mappings'!$G771))),ISNUMBER(SEARCH(IF(B$2&lt;&gt;"",B$2,"NA"),'MITRE ATT&amp;CK Mappings'!$H771))),ISNUMBER(SEARCH(IF(B$3&lt;&gt;"",B$3,"NA"),'MITRE ATT&amp;CK Mappings'!$I771))),ISNUMBER(SEARCH(IF(B$3&lt;&gt;"",B$3,"NA"),'MITRE ATT&amp;CK Mappings'!$J771))), 'MITRE ATT&amp;CK Mappings'!$B771,"")</f>
        <v/>
      </c>
      <c r="C775" s="27" t="str">
        <f>IF(OR(OR(OR(OR(OR(ISNUMBER(SEARCH(IF(C$1&lt;&gt;"",C$1,"NA"),'MITRE ATT&amp;CK Mappings'!$E771)),ISNUMBER(SEARCH(IF(C$1&lt;&gt;"",C$1,"NA"),'MITRE ATT&amp;CK Mappings'!$F771))),ISNUMBER(SEARCH(IF(C$2&lt;&gt;"",C$2,"NA"),'MITRE ATT&amp;CK Mappings'!$G771))),ISNUMBER(SEARCH(IF(C$2&lt;&gt;"",C$2,"NA"),'MITRE ATT&amp;CK Mappings'!$H771))),ISNUMBER(SEARCH(IF(C$3&lt;&gt;"",C$3,"NA"),'MITRE ATT&amp;CK Mappings'!$I771))),ISNUMBER(SEARCH(IF(C$3&lt;&gt;"",C$3,"NA"),'MITRE ATT&amp;CK Mappings'!$J771))), 'MITRE ATT&amp;CK Mappings'!$B771,"")</f>
        <v/>
      </c>
      <c r="D775" s="27" t="str">
        <f>IF(OR(OR(OR(OR(OR(ISNUMBER(SEARCH(IF(D$1&lt;&gt;"",D$1,"NA"),'MITRE ATT&amp;CK Mappings'!$E771)),ISNUMBER(SEARCH(IF(D$1&lt;&gt;"",D$1,"NA"),'MITRE ATT&amp;CK Mappings'!$F771))),ISNUMBER(SEARCH(IF(D$2&lt;&gt;"",D$2,"NA"),'MITRE ATT&amp;CK Mappings'!$G771))),ISNUMBER(SEARCH(IF(D$2&lt;&gt;"",D$2,"NA"),'MITRE ATT&amp;CK Mappings'!$H771))),ISNUMBER(SEARCH(IF(D$3&lt;&gt;"",D$3,"NA"),'MITRE ATT&amp;CK Mappings'!$I771))),ISNUMBER(SEARCH(IF(D$3&lt;&gt;"",D$3,"NA"),'MITRE ATT&amp;CK Mappings'!$J771))), 'MITRE ATT&amp;CK Mappings'!$B771,"")</f>
        <v/>
      </c>
      <c r="E775" s="27" t="str">
        <f>IF(OR(OR(OR(OR(OR(ISNUMBER(SEARCH(IF(E$1&lt;&gt;"",E$1,"NA"),'MITRE ATT&amp;CK Mappings'!$E771)),ISNUMBER(SEARCH(IF(E$1&lt;&gt;"",E$1,"NA"),'MITRE ATT&amp;CK Mappings'!$F771))),ISNUMBER(SEARCH(IF(E$2&lt;&gt;"",E$2,"NA"),'MITRE ATT&amp;CK Mappings'!$G771))),ISNUMBER(SEARCH(IF(E$2&lt;&gt;"",E$2,"NA"),'MITRE ATT&amp;CK Mappings'!$H771))),ISNUMBER(SEARCH(IF(E$3&lt;&gt;"",E$3,"NA"),'MITRE ATT&amp;CK Mappings'!$I771))),ISNUMBER(SEARCH(IF(E$3&lt;&gt;"",E$3,"NA"),'MITRE ATT&amp;CK Mappings'!$J771))), 'MITRE ATT&amp;CK Mappings'!$B771,"")</f>
        <v/>
      </c>
      <c r="F775" s="27" t="str">
        <f>IF(OR(OR(OR(OR(OR(ISNUMBER(SEARCH(IF(F$1&lt;&gt;"",F$1,"NA"),'MITRE ATT&amp;CK Mappings'!$E771)),ISNUMBER(SEARCH(IF(F$1&lt;&gt;"",F$1,"NA"),'MITRE ATT&amp;CK Mappings'!$F771))),ISNUMBER(SEARCH(IF(F$2&lt;&gt;"",F$2,"NA"),'MITRE ATT&amp;CK Mappings'!$G771))),ISNUMBER(SEARCH(IF(F$2&lt;&gt;"",F$2,"NA"),'MITRE ATT&amp;CK Mappings'!$H771))),ISNUMBER(SEARCH(IF(F$3&lt;&gt;"",F$3,"NA"),'MITRE ATT&amp;CK Mappings'!$I771))),ISNUMBER(SEARCH(IF(F$3&lt;&gt;"",F$3,"NA"),'MITRE ATT&amp;CK Mappings'!$J771))), 'MITRE ATT&amp;CK Mappings'!$B771,"")</f>
        <v/>
      </c>
      <c r="G775" s="27" t="str">
        <f>IF(OR(OR(OR(OR(OR(ISNUMBER(SEARCH(IF(G$1&lt;&gt;"",G$1,"NA"),'MITRE ATT&amp;CK Mappings'!$E771)),ISNUMBER(SEARCH(IF(G$1&lt;&gt;"",G$1,"NA"),'MITRE ATT&amp;CK Mappings'!$F771))),ISNUMBER(SEARCH(IF(G$2&lt;&gt;"",G$2,"NA"),'MITRE ATT&amp;CK Mappings'!$G771))),ISNUMBER(SEARCH(IF(G$2&lt;&gt;"",G$2,"NA"),'MITRE ATT&amp;CK Mappings'!$H771))),ISNUMBER(SEARCH(IF(G$3&lt;&gt;"",G$3,"NA"),'MITRE ATT&amp;CK Mappings'!$I771))),ISNUMBER(SEARCH(IF(G$3&lt;&gt;"",G$3,"NA"),'MITRE ATT&amp;CK Mappings'!$J771))), 'MITRE ATT&amp;CK Mappings'!$B771,"")</f>
        <v/>
      </c>
      <c r="H775" s="27" t="str">
        <f>IF(OR(OR(OR(OR(OR(ISNUMBER(SEARCH(IF(H$1&lt;&gt;"",H$1,"NA"),'MITRE ATT&amp;CK Mappings'!$E771)),ISNUMBER(SEARCH(IF(H$1&lt;&gt;"",H$1,"NA"),'MITRE ATT&amp;CK Mappings'!$F771))),ISNUMBER(SEARCH(IF(H$2&lt;&gt;"",H$2,"NA"),'MITRE ATT&amp;CK Mappings'!$G771))),ISNUMBER(SEARCH(IF(H$2&lt;&gt;"",H$2,"NA"),'MITRE ATT&amp;CK Mappings'!$H771))),ISNUMBER(SEARCH(IF(H$3&lt;&gt;"",H$3,"NA"),'MITRE ATT&amp;CK Mappings'!$I771))),ISNUMBER(SEARCH(IF(H$3&lt;&gt;"",H$3,"NA"),'MITRE ATT&amp;CK Mappings'!$J771))), 'MITRE ATT&amp;CK Mappings'!$B771,"")</f>
        <v/>
      </c>
      <c r="I775" s="27" t="str">
        <f>IF(OR(OR(OR(OR(OR(ISNUMBER(SEARCH(IF(I$1&lt;&gt;"",I$1,"NA"),'MITRE ATT&amp;CK Mappings'!$E771)),ISNUMBER(SEARCH(IF(I$1&lt;&gt;"",I$1,"NA"),'MITRE ATT&amp;CK Mappings'!$F771))),ISNUMBER(SEARCH(IF(I$2&lt;&gt;"",I$2,"NA"),'MITRE ATT&amp;CK Mappings'!$G771))),ISNUMBER(SEARCH(IF(I$2&lt;&gt;"",I$2,"NA"),'MITRE ATT&amp;CK Mappings'!$H771))),ISNUMBER(SEARCH(IF(I$3&lt;&gt;"",I$3,"NA"),'MITRE ATT&amp;CK Mappings'!$I771))),ISNUMBER(SEARCH(IF(I$3&lt;&gt;"",I$3,"NA"),'MITRE ATT&amp;CK Mappings'!$J771))), 'MITRE ATT&amp;CK Mappings'!$B771,"")</f>
        <v/>
      </c>
      <c r="J775" s="27" t="str">
        <f>IF(OR(OR(OR(OR(OR(ISNUMBER(SEARCH(IF(J$1&lt;&gt;"",J$1,"NA"),'MITRE ATT&amp;CK Mappings'!$E771)),ISNUMBER(SEARCH(IF(J$1&lt;&gt;"",J$1,"NA"),'MITRE ATT&amp;CK Mappings'!$F771))),ISNUMBER(SEARCH(IF(J$2&lt;&gt;"",J$2,"NA"),'MITRE ATT&amp;CK Mappings'!$G771))),ISNUMBER(SEARCH(IF(J$2&lt;&gt;"",J$2,"NA"),'MITRE ATT&amp;CK Mappings'!$H771))),ISNUMBER(SEARCH(IF(J$3&lt;&gt;"",J$3,"NA"),'MITRE ATT&amp;CK Mappings'!$I771))),ISNUMBER(SEARCH(IF(J$3&lt;&gt;"",J$3,"NA"),'MITRE ATT&amp;CK Mappings'!$J771))), 'MITRE ATT&amp;CK Mappings'!$B771,"")</f>
        <v/>
      </c>
      <c r="K775" s="27" t="str">
        <f>IF(OR(OR(OR(OR(OR(ISNUMBER(SEARCH(IF(K$1&lt;&gt;"",K$1,"NA"),'MITRE ATT&amp;CK Mappings'!$E771)),ISNUMBER(SEARCH(IF(K$1&lt;&gt;"",K$1,"NA"),'MITRE ATT&amp;CK Mappings'!$F771))),ISNUMBER(SEARCH(IF(K$2&lt;&gt;"",K$2,"NA"),'MITRE ATT&amp;CK Mappings'!$G771))),ISNUMBER(SEARCH(IF(K$2&lt;&gt;"",K$2,"NA"),'MITRE ATT&amp;CK Mappings'!$H771))),ISNUMBER(SEARCH(IF(K$3&lt;&gt;"",K$3,"NA"),'MITRE ATT&amp;CK Mappings'!$I771))),ISNUMBER(SEARCH(IF(K$3&lt;&gt;"",K$3,"NA"),'MITRE ATT&amp;CK Mappings'!$J771))), 'MITRE ATT&amp;CK Mappings'!$B771,"")</f>
        <v/>
      </c>
      <c r="L775" s="27" t="str">
        <f>IF('MITRE ATT&amp;CK Mappings'!D771 &lt;&gt;"",'MITRE ATT&amp;CK Mappings'!D771,"" )</f>
        <v/>
      </c>
    </row>
    <row r="776" spans="1:12" x14ac:dyDescent="0.25">
      <c r="A776" s="26" t="str">
        <f>IF(COUNTIF(B776:K776,"="&amp;'MITRE ATT&amp;CK Mappings'!B772)&gt;0,'MITRE ATT&amp;CK Mappings'!B772,"")</f>
        <v/>
      </c>
      <c r="B776" s="26" t="str">
        <f>IF(OR(OR(OR(OR(OR(ISNUMBER(SEARCH(IF(B$1&lt;&gt;"",B$1,"NA"),'MITRE ATT&amp;CK Mappings'!$E772)),ISNUMBER(SEARCH(IF(B$1&lt;&gt;"",B$1,"NA"),'MITRE ATT&amp;CK Mappings'!$F772))),ISNUMBER(SEARCH(IF(B$2&lt;&gt;"",B$2,"NA"),'MITRE ATT&amp;CK Mappings'!$G772))),ISNUMBER(SEARCH(IF(B$2&lt;&gt;"",B$2,"NA"),'MITRE ATT&amp;CK Mappings'!$H772))),ISNUMBER(SEARCH(IF(B$3&lt;&gt;"",B$3,"NA"),'MITRE ATT&amp;CK Mappings'!$I772))),ISNUMBER(SEARCH(IF(B$3&lt;&gt;"",B$3,"NA"),'MITRE ATT&amp;CK Mappings'!$J772))), 'MITRE ATT&amp;CK Mappings'!$B772,"")</f>
        <v/>
      </c>
      <c r="C776" s="26" t="str">
        <f>IF(OR(OR(OR(OR(OR(ISNUMBER(SEARCH(IF(C$1&lt;&gt;"",C$1,"NA"),'MITRE ATT&amp;CK Mappings'!$E772)),ISNUMBER(SEARCH(IF(C$1&lt;&gt;"",C$1,"NA"),'MITRE ATT&amp;CK Mappings'!$F772))),ISNUMBER(SEARCH(IF(C$2&lt;&gt;"",C$2,"NA"),'MITRE ATT&amp;CK Mappings'!$G772))),ISNUMBER(SEARCH(IF(C$2&lt;&gt;"",C$2,"NA"),'MITRE ATT&amp;CK Mappings'!$H772))),ISNUMBER(SEARCH(IF(C$3&lt;&gt;"",C$3,"NA"),'MITRE ATT&amp;CK Mappings'!$I772))),ISNUMBER(SEARCH(IF(C$3&lt;&gt;"",C$3,"NA"),'MITRE ATT&amp;CK Mappings'!$J772))), 'MITRE ATT&amp;CK Mappings'!$B772,"")</f>
        <v/>
      </c>
      <c r="D776" s="26" t="str">
        <f>IF(OR(OR(OR(OR(OR(ISNUMBER(SEARCH(IF(D$1&lt;&gt;"",D$1,"NA"),'MITRE ATT&amp;CK Mappings'!$E772)),ISNUMBER(SEARCH(IF(D$1&lt;&gt;"",D$1,"NA"),'MITRE ATT&amp;CK Mappings'!$F772))),ISNUMBER(SEARCH(IF(D$2&lt;&gt;"",D$2,"NA"),'MITRE ATT&amp;CK Mappings'!$G772))),ISNUMBER(SEARCH(IF(D$2&lt;&gt;"",D$2,"NA"),'MITRE ATT&amp;CK Mappings'!$H772))),ISNUMBER(SEARCH(IF(D$3&lt;&gt;"",D$3,"NA"),'MITRE ATT&amp;CK Mappings'!$I772))),ISNUMBER(SEARCH(IF(D$3&lt;&gt;"",D$3,"NA"),'MITRE ATT&amp;CK Mappings'!$J772))), 'MITRE ATT&amp;CK Mappings'!$B772,"")</f>
        <v/>
      </c>
      <c r="E776" s="26" t="str">
        <f>IF(OR(OR(OR(OR(OR(ISNUMBER(SEARCH(IF(E$1&lt;&gt;"",E$1,"NA"),'MITRE ATT&amp;CK Mappings'!$E772)),ISNUMBER(SEARCH(IF(E$1&lt;&gt;"",E$1,"NA"),'MITRE ATT&amp;CK Mappings'!$F772))),ISNUMBER(SEARCH(IF(E$2&lt;&gt;"",E$2,"NA"),'MITRE ATT&amp;CK Mappings'!$G772))),ISNUMBER(SEARCH(IF(E$2&lt;&gt;"",E$2,"NA"),'MITRE ATT&amp;CK Mappings'!$H772))),ISNUMBER(SEARCH(IF(E$3&lt;&gt;"",E$3,"NA"),'MITRE ATT&amp;CK Mappings'!$I772))),ISNUMBER(SEARCH(IF(E$3&lt;&gt;"",E$3,"NA"),'MITRE ATT&amp;CK Mappings'!$J772))), 'MITRE ATT&amp;CK Mappings'!$B772,"")</f>
        <v/>
      </c>
      <c r="F776" s="26" t="str">
        <f>IF(OR(OR(OR(OR(OR(ISNUMBER(SEARCH(IF(F$1&lt;&gt;"",F$1,"NA"),'MITRE ATT&amp;CK Mappings'!$E772)),ISNUMBER(SEARCH(IF(F$1&lt;&gt;"",F$1,"NA"),'MITRE ATT&amp;CK Mappings'!$F772))),ISNUMBER(SEARCH(IF(F$2&lt;&gt;"",F$2,"NA"),'MITRE ATT&amp;CK Mappings'!$G772))),ISNUMBER(SEARCH(IF(F$2&lt;&gt;"",F$2,"NA"),'MITRE ATT&amp;CK Mappings'!$H772))),ISNUMBER(SEARCH(IF(F$3&lt;&gt;"",F$3,"NA"),'MITRE ATT&amp;CK Mappings'!$I772))),ISNUMBER(SEARCH(IF(F$3&lt;&gt;"",F$3,"NA"),'MITRE ATT&amp;CK Mappings'!$J772))), 'MITRE ATT&amp;CK Mappings'!$B772,"")</f>
        <v/>
      </c>
      <c r="G776" s="26" t="str">
        <f>IF(OR(OR(OR(OR(OR(ISNUMBER(SEARCH(IF(G$1&lt;&gt;"",G$1,"NA"),'MITRE ATT&amp;CK Mappings'!$E772)),ISNUMBER(SEARCH(IF(G$1&lt;&gt;"",G$1,"NA"),'MITRE ATT&amp;CK Mappings'!$F772))),ISNUMBER(SEARCH(IF(G$2&lt;&gt;"",G$2,"NA"),'MITRE ATT&amp;CK Mappings'!$G772))),ISNUMBER(SEARCH(IF(G$2&lt;&gt;"",G$2,"NA"),'MITRE ATT&amp;CK Mappings'!$H772))),ISNUMBER(SEARCH(IF(G$3&lt;&gt;"",G$3,"NA"),'MITRE ATT&amp;CK Mappings'!$I772))),ISNUMBER(SEARCH(IF(G$3&lt;&gt;"",G$3,"NA"),'MITRE ATT&amp;CK Mappings'!$J772))), 'MITRE ATT&amp;CK Mappings'!$B772,"")</f>
        <v/>
      </c>
      <c r="H776" s="26" t="str">
        <f>IF(OR(OR(OR(OR(OR(ISNUMBER(SEARCH(IF(H$1&lt;&gt;"",H$1,"NA"),'MITRE ATT&amp;CK Mappings'!$E772)),ISNUMBER(SEARCH(IF(H$1&lt;&gt;"",H$1,"NA"),'MITRE ATT&amp;CK Mappings'!$F772))),ISNUMBER(SEARCH(IF(H$2&lt;&gt;"",H$2,"NA"),'MITRE ATT&amp;CK Mappings'!$G772))),ISNUMBER(SEARCH(IF(H$2&lt;&gt;"",H$2,"NA"),'MITRE ATT&amp;CK Mappings'!$H772))),ISNUMBER(SEARCH(IF(H$3&lt;&gt;"",H$3,"NA"),'MITRE ATT&amp;CK Mappings'!$I772))),ISNUMBER(SEARCH(IF(H$3&lt;&gt;"",H$3,"NA"),'MITRE ATT&amp;CK Mappings'!$J772))), 'MITRE ATT&amp;CK Mappings'!$B772,"")</f>
        <v/>
      </c>
      <c r="I776" s="26" t="str">
        <f>IF(OR(OR(OR(OR(OR(ISNUMBER(SEARCH(IF(I$1&lt;&gt;"",I$1,"NA"),'MITRE ATT&amp;CK Mappings'!$E772)),ISNUMBER(SEARCH(IF(I$1&lt;&gt;"",I$1,"NA"),'MITRE ATT&amp;CK Mappings'!$F772))),ISNUMBER(SEARCH(IF(I$2&lt;&gt;"",I$2,"NA"),'MITRE ATT&amp;CK Mappings'!$G772))),ISNUMBER(SEARCH(IF(I$2&lt;&gt;"",I$2,"NA"),'MITRE ATT&amp;CK Mappings'!$H772))),ISNUMBER(SEARCH(IF(I$3&lt;&gt;"",I$3,"NA"),'MITRE ATT&amp;CK Mappings'!$I772))),ISNUMBER(SEARCH(IF(I$3&lt;&gt;"",I$3,"NA"),'MITRE ATT&amp;CK Mappings'!$J772))), 'MITRE ATT&amp;CK Mappings'!$B772,"")</f>
        <v/>
      </c>
      <c r="J776" s="26" t="str">
        <f>IF(OR(OR(OR(OR(OR(ISNUMBER(SEARCH(IF(J$1&lt;&gt;"",J$1,"NA"),'MITRE ATT&amp;CK Mappings'!$E772)),ISNUMBER(SEARCH(IF(J$1&lt;&gt;"",J$1,"NA"),'MITRE ATT&amp;CK Mappings'!$F772))),ISNUMBER(SEARCH(IF(J$2&lt;&gt;"",J$2,"NA"),'MITRE ATT&amp;CK Mappings'!$G772))),ISNUMBER(SEARCH(IF(J$2&lt;&gt;"",J$2,"NA"),'MITRE ATT&amp;CK Mappings'!$H772))),ISNUMBER(SEARCH(IF(J$3&lt;&gt;"",J$3,"NA"),'MITRE ATT&amp;CK Mappings'!$I772))),ISNUMBER(SEARCH(IF(J$3&lt;&gt;"",J$3,"NA"),'MITRE ATT&amp;CK Mappings'!$J772))), 'MITRE ATT&amp;CK Mappings'!$B772,"")</f>
        <v/>
      </c>
      <c r="K776" s="26" t="str">
        <f>IF(OR(OR(OR(OR(OR(ISNUMBER(SEARCH(IF(K$1&lt;&gt;"",K$1,"NA"),'MITRE ATT&amp;CK Mappings'!$E772)),ISNUMBER(SEARCH(IF(K$1&lt;&gt;"",K$1,"NA"),'MITRE ATT&amp;CK Mappings'!$F772))),ISNUMBER(SEARCH(IF(K$2&lt;&gt;"",K$2,"NA"),'MITRE ATT&amp;CK Mappings'!$G772))),ISNUMBER(SEARCH(IF(K$2&lt;&gt;"",K$2,"NA"),'MITRE ATT&amp;CK Mappings'!$H772))),ISNUMBER(SEARCH(IF(K$3&lt;&gt;"",K$3,"NA"),'MITRE ATT&amp;CK Mappings'!$I772))),ISNUMBER(SEARCH(IF(K$3&lt;&gt;"",K$3,"NA"),'MITRE ATT&amp;CK Mappings'!$J772))), 'MITRE ATT&amp;CK Mappings'!$B772,"")</f>
        <v/>
      </c>
      <c r="L776" s="26" t="str">
        <f>IF('MITRE ATT&amp;CK Mappings'!D772 &lt;&gt;"",'MITRE ATT&amp;CK Mappings'!D772,"" )</f>
        <v/>
      </c>
    </row>
    <row r="777" spans="1:12" x14ac:dyDescent="0.25">
      <c r="A777" s="27" t="str">
        <f>IF(COUNTIF(B777:K777,"="&amp;'MITRE ATT&amp;CK Mappings'!B773)&gt;0,'MITRE ATT&amp;CK Mappings'!B773,"")</f>
        <v/>
      </c>
      <c r="B777" s="27" t="str">
        <f>IF(OR(OR(OR(OR(OR(ISNUMBER(SEARCH(IF(B$1&lt;&gt;"",B$1,"NA"),'MITRE ATT&amp;CK Mappings'!$E773)),ISNUMBER(SEARCH(IF(B$1&lt;&gt;"",B$1,"NA"),'MITRE ATT&amp;CK Mappings'!$F773))),ISNUMBER(SEARCH(IF(B$2&lt;&gt;"",B$2,"NA"),'MITRE ATT&amp;CK Mappings'!$G773))),ISNUMBER(SEARCH(IF(B$2&lt;&gt;"",B$2,"NA"),'MITRE ATT&amp;CK Mappings'!$H773))),ISNUMBER(SEARCH(IF(B$3&lt;&gt;"",B$3,"NA"),'MITRE ATT&amp;CK Mappings'!$I773))),ISNUMBER(SEARCH(IF(B$3&lt;&gt;"",B$3,"NA"),'MITRE ATT&amp;CK Mappings'!$J773))), 'MITRE ATT&amp;CK Mappings'!$B773,"")</f>
        <v/>
      </c>
      <c r="C777" s="27" t="str">
        <f>IF(OR(OR(OR(OR(OR(ISNUMBER(SEARCH(IF(C$1&lt;&gt;"",C$1,"NA"),'MITRE ATT&amp;CK Mappings'!$E773)),ISNUMBER(SEARCH(IF(C$1&lt;&gt;"",C$1,"NA"),'MITRE ATT&amp;CK Mappings'!$F773))),ISNUMBER(SEARCH(IF(C$2&lt;&gt;"",C$2,"NA"),'MITRE ATT&amp;CK Mappings'!$G773))),ISNUMBER(SEARCH(IF(C$2&lt;&gt;"",C$2,"NA"),'MITRE ATT&amp;CK Mappings'!$H773))),ISNUMBER(SEARCH(IF(C$3&lt;&gt;"",C$3,"NA"),'MITRE ATT&amp;CK Mappings'!$I773))),ISNUMBER(SEARCH(IF(C$3&lt;&gt;"",C$3,"NA"),'MITRE ATT&amp;CK Mappings'!$J773))), 'MITRE ATT&amp;CK Mappings'!$B773,"")</f>
        <v/>
      </c>
      <c r="D777" s="27" t="str">
        <f>IF(OR(OR(OR(OR(OR(ISNUMBER(SEARCH(IF(D$1&lt;&gt;"",D$1,"NA"),'MITRE ATT&amp;CK Mappings'!$E773)),ISNUMBER(SEARCH(IF(D$1&lt;&gt;"",D$1,"NA"),'MITRE ATT&amp;CK Mappings'!$F773))),ISNUMBER(SEARCH(IF(D$2&lt;&gt;"",D$2,"NA"),'MITRE ATT&amp;CK Mappings'!$G773))),ISNUMBER(SEARCH(IF(D$2&lt;&gt;"",D$2,"NA"),'MITRE ATT&amp;CK Mappings'!$H773))),ISNUMBER(SEARCH(IF(D$3&lt;&gt;"",D$3,"NA"),'MITRE ATT&amp;CK Mappings'!$I773))),ISNUMBER(SEARCH(IF(D$3&lt;&gt;"",D$3,"NA"),'MITRE ATT&amp;CK Mappings'!$J773))), 'MITRE ATT&amp;CK Mappings'!$B773,"")</f>
        <v/>
      </c>
      <c r="E777" s="27" t="str">
        <f>IF(OR(OR(OR(OR(OR(ISNUMBER(SEARCH(IF(E$1&lt;&gt;"",E$1,"NA"),'MITRE ATT&amp;CK Mappings'!$E773)),ISNUMBER(SEARCH(IF(E$1&lt;&gt;"",E$1,"NA"),'MITRE ATT&amp;CK Mappings'!$F773))),ISNUMBER(SEARCH(IF(E$2&lt;&gt;"",E$2,"NA"),'MITRE ATT&amp;CK Mappings'!$G773))),ISNUMBER(SEARCH(IF(E$2&lt;&gt;"",E$2,"NA"),'MITRE ATT&amp;CK Mappings'!$H773))),ISNUMBER(SEARCH(IF(E$3&lt;&gt;"",E$3,"NA"),'MITRE ATT&amp;CK Mappings'!$I773))),ISNUMBER(SEARCH(IF(E$3&lt;&gt;"",E$3,"NA"),'MITRE ATT&amp;CK Mappings'!$J773))), 'MITRE ATT&amp;CK Mappings'!$B773,"")</f>
        <v/>
      </c>
      <c r="F777" s="27" t="str">
        <f>IF(OR(OR(OR(OR(OR(ISNUMBER(SEARCH(IF(F$1&lt;&gt;"",F$1,"NA"),'MITRE ATT&amp;CK Mappings'!$E773)),ISNUMBER(SEARCH(IF(F$1&lt;&gt;"",F$1,"NA"),'MITRE ATT&amp;CK Mappings'!$F773))),ISNUMBER(SEARCH(IF(F$2&lt;&gt;"",F$2,"NA"),'MITRE ATT&amp;CK Mappings'!$G773))),ISNUMBER(SEARCH(IF(F$2&lt;&gt;"",F$2,"NA"),'MITRE ATT&amp;CK Mappings'!$H773))),ISNUMBER(SEARCH(IF(F$3&lt;&gt;"",F$3,"NA"),'MITRE ATT&amp;CK Mappings'!$I773))),ISNUMBER(SEARCH(IF(F$3&lt;&gt;"",F$3,"NA"),'MITRE ATT&amp;CK Mappings'!$J773))), 'MITRE ATT&amp;CK Mappings'!$B773,"")</f>
        <v/>
      </c>
      <c r="G777" s="27" t="str">
        <f>IF(OR(OR(OR(OR(OR(ISNUMBER(SEARCH(IF(G$1&lt;&gt;"",G$1,"NA"),'MITRE ATT&amp;CK Mappings'!$E773)),ISNUMBER(SEARCH(IF(G$1&lt;&gt;"",G$1,"NA"),'MITRE ATT&amp;CK Mappings'!$F773))),ISNUMBER(SEARCH(IF(G$2&lt;&gt;"",G$2,"NA"),'MITRE ATT&amp;CK Mappings'!$G773))),ISNUMBER(SEARCH(IF(G$2&lt;&gt;"",G$2,"NA"),'MITRE ATT&amp;CK Mappings'!$H773))),ISNUMBER(SEARCH(IF(G$3&lt;&gt;"",G$3,"NA"),'MITRE ATT&amp;CK Mappings'!$I773))),ISNUMBER(SEARCH(IF(G$3&lt;&gt;"",G$3,"NA"),'MITRE ATT&amp;CK Mappings'!$J773))), 'MITRE ATT&amp;CK Mappings'!$B773,"")</f>
        <v/>
      </c>
      <c r="H777" s="27" t="str">
        <f>IF(OR(OR(OR(OR(OR(ISNUMBER(SEARCH(IF(H$1&lt;&gt;"",H$1,"NA"),'MITRE ATT&amp;CK Mappings'!$E773)),ISNUMBER(SEARCH(IF(H$1&lt;&gt;"",H$1,"NA"),'MITRE ATT&amp;CK Mappings'!$F773))),ISNUMBER(SEARCH(IF(H$2&lt;&gt;"",H$2,"NA"),'MITRE ATT&amp;CK Mappings'!$G773))),ISNUMBER(SEARCH(IF(H$2&lt;&gt;"",H$2,"NA"),'MITRE ATT&amp;CK Mappings'!$H773))),ISNUMBER(SEARCH(IF(H$3&lt;&gt;"",H$3,"NA"),'MITRE ATT&amp;CK Mappings'!$I773))),ISNUMBER(SEARCH(IF(H$3&lt;&gt;"",H$3,"NA"),'MITRE ATT&amp;CK Mappings'!$J773))), 'MITRE ATT&amp;CK Mappings'!$B773,"")</f>
        <v/>
      </c>
      <c r="I777" s="27" t="str">
        <f>IF(OR(OR(OR(OR(OR(ISNUMBER(SEARCH(IF(I$1&lt;&gt;"",I$1,"NA"),'MITRE ATT&amp;CK Mappings'!$E773)),ISNUMBER(SEARCH(IF(I$1&lt;&gt;"",I$1,"NA"),'MITRE ATT&amp;CK Mappings'!$F773))),ISNUMBER(SEARCH(IF(I$2&lt;&gt;"",I$2,"NA"),'MITRE ATT&amp;CK Mappings'!$G773))),ISNUMBER(SEARCH(IF(I$2&lt;&gt;"",I$2,"NA"),'MITRE ATT&amp;CK Mappings'!$H773))),ISNUMBER(SEARCH(IF(I$3&lt;&gt;"",I$3,"NA"),'MITRE ATT&amp;CK Mappings'!$I773))),ISNUMBER(SEARCH(IF(I$3&lt;&gt;"",I$3,"NA"),'MITRE ATT&amp;CK Mappings'!$J773))), 'MITRE ATT&amp;CK Mappings'!$B773,"")</f>
        <v/>
      </c>
      <c r="J777" s="27" t="str">
        <f>IF(OR(OR(OR(OR(OR(ISNUMBER(SEARCH(IF(J$1&lt;&gt;"",J$1,"NA"),'MITRE ATT&amp;CK Mappings'!$E773)),ISNUMBER(SEARCH(IF(J$1&lt;&gt;"",J$1,"NA"),'MITRE ATT&amp;CK Mappings'!$F773))),ISNUMBER(SEARCH(IF(J$2&lt;&gt;"",J$2,"NA"),'MITRE ATT&amp;CK Mappings'!$G773))),ISNUMBER(SEARCH(IF(J$2&lt;&gt;"",J$2,"NA"),'MITRE ATT&amp;CK Mappings'!$H773))),ISNUMBER(SEARCH(IF(J$3&lt;&gt;"",J$3,"NA"),'MITRE ATT&amp;CK Mappings'!$I773))),ISNUMBER(SEARCH(IF(J$3&lt;&gt;"",J$3,"NA"),'MITRE ATT&amp;CK Mappings'!$J773))), 'MITRE ATT&amp;CK Mappings'!$B773,"")</f>
        <v/>
      </c>
      <c r="K777" s="27" t="str">
        <f>IF(OR(OR(OR(OR(OR(ISNUMBER(SEARCH(IF(K$1&lt;&gt;"",K$1,"NA"),'MITRE ATT&amp;CK Mappings'!$E773)),ISNUMBER(SEARCH(IF(K$1&lt;&gt;"",K$1,"NA"),'MITRE ATT&amp;CK Mappings'!$F773))),ISNUMBER(SEARCH(IF(K$2&lt;&gt;"",K$2,"NA"),'MITRE ATT&amp;CK Mappings'!$G773))),ISNUMBER(SEARCH(IF(K$2&lt;&gt;"",K$2,"NA"),'MITRE ATT&amp;CK Mappings'!$H773))),ISNUMBER(SEARCH(IF(K$3&lt;&gt;"",K$3,"NA"),'MITRE ATT&amp;CK Mappings'!$I773))),ISNUMBER(SEARCH(IF(K$3&lt;&gt;"",K$3,"NA"),'MITRE ATT&amp;CK Mappings'!$J773))), 'MITRE ATT&amp;CK Mappings'!$B773,"")</f>
        <v/>
      </c>
      <c r="L777" s="27" t="str">
        <f>IF('MITRE ATT&amp;CK Mappings'!D773 &lt;&gt;"",'MITRE ATT&amp;CK Mappings'!D773,"" )</f>
        <v/>
      </c>
    </row>
    <row r="778" spans="1:12" x14ac:dyDescent="0.25">
      <c r="A778" s="26" t="str">
        <f>IF(COUNTIF(B778:K778,"="&amp;'MITRE ATT&amp;CK Mappings'!B774)&gt;0,'MITRE ATT&amp;CK Mappings'!B774,"")</f>
        <v/>
      </c>
      <c r="B778" s="26" t="str">
        <f>IF(OR(OR(OR(OR(OR(ISNUMBER(SEARCH(IF(B$1&lt;&gt;"",B$1,"NA"),'MITRE ATT&amp;CK Mappings'!$E774)),ISNUMBER(SEARCH(IF(B$1&lt;&gt;"",B$1,"NA"),'MITRE ATT&amp;CK Mappings'!$F774))),ISNUMBER(SEARCH(IF(B$2&lt;&gt;"",B$2,"NA"),'MITRE ATT&amp;CK Mappings'!$G774))),ISNUMBER(SEARCH(IF(B$2&lt;&gt;"",B$2,"NA"),'MITRE ATT&amp;CK Mappings'!$H774))),ISNUMBER(SEARCH(IF(B$3&lt;&gt;"",B$3,"NA"),'MITRE ATT&amp;CK Mappings'!$I774))),ISNUMBER(SEARCH(IF(B$3&lt;&gt;"",B$3,"NA"),'MITRE ATT&amp;CK Mappings'!$J774))), 'MITRE ATT&amp;CK Mappings'!$B774,"")</f>
        <v/>
      </c>
      <c r="C778" s="26" t="str">
        <f>IF(OR(OR(OR(OR(OR(ISNUMBER(SEARCH(IF(C$1&lt;&gt;"",C$1,"NA"),'MITRE ATT&amp;CK Mappings'!$E774)),ISNUMBER(SEARCH(IF(C$1&lt;&gt;"",C$1,"NA"),'MITRE ATT&amp;CK Mappings'!$F774))),ISNUMBER(SEARCH(IF(C$2&lt;&gt;"",C$2,"NA"),'MITRE ATT&amp;CK Mappings'!$G774))),ISNUMBER(SEARCH(IF(C$2&lt;&gt;"",C$2,"NA"),'MITRE ATT&amp;CK Mappings'!$H774))),ISNUMBER(SEARCH(IF(C$3&lt;&gt;"",C$3,"NA"),'MITRE ATT&amp;CK Mappings'!$I774))),ISNUMBER(SEARCH(IF(C$3&lt;&gt;"",C$3,"NA"),'MITRE ATT&amp;CK Mappings'!$J774))), 'MITRE ATT&amp;CK Mappings'!$B774,"")</f>
        <v/>
      </c>
      <c r="D778" s="26" t="str">
        <f>IF(OR(OR(OR(OR(OR(ISNUMBER(SEARCH(IF(D$1&lt;&gt;"",D$1,"NA"),'MITRE ATT&amp;CK Mappings'!$E774)),ISNUMBER(SEARCH(IF(D$1&lt;&gt;"",D$1,"NA"),'MITRE ATT&amp;CK Mappings'!$F774))),ISNUMBER(SEARCH(IF(D$2&lt;&gt;"",D$2,"NA"),'MITRE ATT&amp;CK Mappings'!$G774))),ISNUMBER(SEARCH(IF(D$2&lt;&gt;"",D$2,"NA"),'MITRE ATT&amp;CK Mappings'!$H774))),ISNUMBER(SEARCH(IF(D$3&lt;&gt;"",D$3,"NA"),'MITRE ATT&amp;CK Mappings'!$I774))),ISNUMBER(SEARCH(IF(D$3&lt;&gt;"",D$3,"NA"),'MITRE ATT&amp;CK Mappings'!$J774))), 'MITRE ATT&amp;CK Mappings'!$B774,"")</f>
        <v/>
      </c>
      <c r="E778" s="26" t="str">
        <f>IF(OR(OR(OR(OR(OR(ISNUMBER(SEARCH(IF(E$1&lt;&gt;"",E$1,"NA"),'MITRE ATT&amp;CK Mappings'!$E774)),ISNUMBER(SEARCH(IF(E$1&lt;&gt;"",E$1,"NA"),'MITRE ATT&amp;CK Mappings'!$F774))),ISNUMBER(SEARCH(IF(E$2&lt;&gt;"",E$2,"NA"),'MITRE ATT&amp;CK Mappings'!$G774))),ISNUMBER(SEARCH(IF(E$2&lt;&gt;"",E$2,"NA"),'MITRE ATT&amp;CK Mappings'!$H774))),ISNUMBER(SEARCH(IF(E$3&lt;&gt;"",E$3,"NA"),'MITRE ATT&amp;CK Mappings'!$I774))),ISNUMBER(SEARCH(IF(E$3&lt;&gt;"",E$3,"NA"),'MITRE ATT&amp;CK Mappings'!$J774))), 'MITRE ATT&amp;CK Mappings'!$B774,"")</f>
        <v/>
      </c>
      <c r="F778" s="26" t="str">
        <f>IF(OR(OR(OR(OR(OR(ISNUMBER(SEARCH(IF(F$1&lt;&gt;"",F$1,"NA"),'MITRE ATT&amp;CK Mappings'!$E774)),ISNUMBER(SEARCH(IF(F$1&lt;&gt;"",F$1,"NA"),'MITRE ATT&amp;CK Mappings'!$F774))),ISNUMBER(SEARCH(IF(F$2&lt;&gt;"",F$2,"NA"),'MITRE ATT&amp;CK Mappings'!$G774))),ISNUMBER(SEARCH(IF(F$2&lt;&gt;"",F$2,"NA"),'MITRE ATT&amp;CK Mappings'!$H774))),ISNUMBER(SEARCH(IF(F$3&lt;&gt;"",F$3,"NA"),'MITRE ATT&amp;CK Mappings'!$I774))),ISNUMBER(SEARCH(IF(F$3&lt;&gt;"",F$3,"NA"),'MITRE ATT&amp;CK Mappings'!$J774))), 'MITRE ATT&amp;CK Mappings'!$B774,"")</f>
        <v/>
      </c>
      <c r="G778" s="26" t="str">
        <f>IF(OR(OR(OR(OR(OR(ISNUMBER(SEARCH(IF(G$1&lt;&gt;"",G$1,"NA"),'MITRE ATT&amp;CK Mappings'!$E774)),ISNUMBER(SEARCH(IF(G$1&lt;&gt;"",G$1,"NA"),'MITRE ATT&amp;CK Mappings'!$F774))),ISNUMBER(SEARCH(IF(G$2&lt;&gt;"",G$2,"NA"),'MITRE ATT&amp;CK Mappings'!$G774))),ISNUMBER(SEARCH(IF(G$2&lt;&gt;"",G$2,"NA"),'MITRE ATT&amp;CK Mappings'!$H774))),ISNUMBER(SEARCH(IF(G$3&lt;&gt;"",G$3,"NA"),'MITRE ATT&amp;CK Mappings'!$I774))),ISNUMBER(SEARCH(IF(G$3&lt;&gt;"",G$3,"NA"),'MITRE ATT&amp;CK Mappings'!$J774))), 'MITRE ATT&amp;CK Mappings'!$B774,"")</f>
        <v/>
      </c>
      <c r="H778" s="26" t="str">
        <f>IF(OR(OR(OR(OR(OR(ISNUMBER(SEARCH(IF(H$1&lt;&gt;"",H$1,"NA"),'MITRE ATT&amp;CK Mappings'!$E774)),ISNUMBER(SEARCH(IF(H$1&lt;&gt;"",H$1,"NA"),'MITRE ATT&amp;CK Mappings'!$F774))),ISNUMBER(SEARCH(IF(H$2&lt;&gt;"",H$2,"NA"),'MITRE ATT&amp;CK Mappings'!$G774))),ISNUMBER(SEARCH(IF(H$2&lt;&gt;"",H$2,"NA"),'MITRE ATT&amp;CK Mappings'!$H774))),ISNUMBER(SEARCH(IF(H$3&lt;&gt;"",H$3,"NA"),'MITRE ATT&amp;CK Mappings'!$I774))),ISNUMBER(SEARCH(IF(H$3&lt;&gt;"",H$3,"NA"),'MITRE ATT&amp;CK Mappings'!$J774))), 'MITRE ATT&amp;CK Mappings'!$B774,"")</f>
        <v/>
      </c>
      <c r="I778" s="26" t="str">
        <f>IF(OR(OR(OR(OR(OR(ISNUMBER(SEARCH(IF(I$1&lt;&gt;"",I$1,"NA"),'MITRE ATT&amp;CK Mappings'!$E774)),ISNUMBER(SEARCH(IF(I$1&lt;&gt;"",I$1,"NA"),'MITRE ATT&amp;CK Mappings'!$F774))),ISNUMBER(SEARCH(IF(I$2&lt;&gt;"",I$2,"NA"),'MITRE ATT&amp;CK Mappings'!$G774))),ISNUMBER(SEARCH(IF(I$2&lt;&gt;"",I$2,"NA"),'MITRE ATT&amp;CK Mappings'!$H774))),ISNUMBER(SEARCH(IF(I$3&lt;&gt;"",I$3,"NA"),'MITRE ATT&amp;CK Mappings'!$I774))),ISNUMBER(SEARCH(IF(I$3&lt;&gt;"",I$3,"NA"),'MITRE ATT&amp;CK Mappings'!$J774))), 'MITRE ATT&amp;CK Mappings'!$B774,"")</f>
        <v/>
      </c>
      <c r="J778" s="26" t="str">
        <f>IF(OR(OR(OR(OR(OR(ISNUMBER(SEARCH(IF(J$1&lt;&gt;"",J$1,"NA"),'MITRE ATT&amp;CK Mappings'!$E774)),ISNUMBER(SEARCH(IF(J$1&lt;&gt;"",J$1,"NA"),'MITRE ATT&amp;CK Mappings'!$F774))),ISNUMBER(SEARCH(IF(J$2&lt;&gt;"",J$2,"NA"),'MITRE ATT&amp;CK Mappings'!$G774))),ISNUMBER(SEARCH(IF(J$2&lt;&gt;"",J$2,"NA"),'MITRE ATT&amp;CK Mappings'!$H774))),ISNUMBER(SEARCH(IF(J$3&lt;&gt;"",J$3,"NA"),'MITRE ATT&amp;CK Mappings'!$I774))),ISNUMBER(SEARCH(IF(J$3&lt;&gt;"",J$3,"NA"),'MITRE ATT&amp;CK Mappings'!$J774))), 'MITRE ATT&amp;CK Mappings'!$B774,"")</f>
        <v/>
      </c>
      <c r="K778" s="26" t="str">
        <f>IF(OR(OR(OR(OR(OR(ISNUMBER(SEARCH(IF(K$1&lt;&gt;"",K$1,"NA"),'MITRE ATT&amp;CK Mappings'!$E774)),ISNUMBER(SEARCH(IF(K$1&lt;&gt;"",K$1,"NA"),'MITRE ATT&amp;CK Mappings'!$F774))),ISNUMBER(SEARCH(IF(K$2&lt;&gt;"",K$2,"NA"),'MITRE ATT&amp;CK Mappings'!$G774))),ISNUMBER(SEARCH(IF(K$2&lt;&gt;"",K$2,"NA"),'MITRE ATT&amp;CK Mappings'!$H774))),ISNUMBER(SEARCH(IF(K$3&lt;&gt;"",K$3,"NA"),'MITRE ATT&amp;CK Mappings'!$I774))),ISNUMBER(SEARCH(IF(K$3&lt;&gt;"",K$3,"NA"),'MITRE ATT&amp;CK Mappings'!$J774))), 'MITRE ATT&amp;CK Mappings'!$B774,"")</f>
        <v/>
      </c>
      <c r="L778" s="26" t="str">
        <f>IF('MITRE ATT&amp;CK Mappings'!D774 &lt;&gt;"",'MITRE ATT&amp;CK Mappings'!D774,"" )</f>
        <v/>
      </c>
    </row>
    <row r="779" spans="1:12" x14ac:dyDescent="0.25">
      <c r="A779" s="27" t="str">
        <f>IF(COUNTIF(B779:K779,"="&amp;'MITRE ATT&amp;CK Mappings'!B775)&gt;0,'MITRE ATT&amp;CK Mappings'!B775,"")</f>
        <v/>
      </c>
      <c r="B779" s="27" t="str">
        <f>IF(OR(OR(OR(OR(OR(ISNUMBER(SEARCH(IF(B$1&lt;&gt;"",B$1,"NA"),'MITRE ATT&amp;CK Mappings'!$E775)),ISNUMBER(SEARCH(IF(B$1&lt;&gt;"",B$1,"NA"),'MITRE ATT&amp;CK Mappings'!$F775))),ISNUMBER(SEARCH(IF(B$2&lt;&gt;"",B$2,"NA"),'MITRE ATT&amp;CK Mappings'!$G775))),ISNUMBER(SEARCH(IF(B$2&lt;&gt;"",B$2,"NA"),'MITRE ATT&amp;CK Mappings'!$H775))),ISNUMBER(SEARCH(IF(B$3&lt;&gt;"",B$3,"NA"),'MITRE ATT&amp;CK Mappings'!$I775))),ISNUMBER(SEARCH(IF(B$3&lt;&gt;"",B$3,"NA"),'MITRE ATT&amp;CK Mappings'!$J775))), 'MITRE ATT&amp;CK Mappings'!$B775,"")</f>
        <v/>
      </c>
      <c r="C779" s="27" t="str">
        <f>IF(OR(OR(OR(OR(OR(ISNUMBER(SEARCH(IF(C$1&lt;&gt;"",C$1,"NA"),'MITRE ATT&amp;CK Mappings'!$E775)),ISNUMBER(SEARCH(IF(C$1&lt;&gt;"",C$1,"NA"),'MITRE ATT&amp;CK Mappings'!$F775))),ISNUMBER(SEARCH(IF(C$2&lt;&gt;"",C$2,"NA"),'MITRE ATT&amp;CK Mappings'!$G775))),ISNUMBER(SEARCH(IF(C$2&lt;&gt;"",C$2,"NA"),'MITRE ATT&amp;CK Mappings'!$H775))),ISNUMBER(SEARCH(IF(C$3&lt;&gt;"",C$3,"NA"),'MITRE ATT&amp;CK Mappings'!$I775))),ISNUMBER(SEARCH(IF(C$3&lt;&gt;"",C$3,"NA"),'MITRE ATT&amp;CK Mappings'!$J775))), 'MITRE ATT&amp;CK Mappings'!$B775,"")</f>
        <v/>
      </c>
      <c r="D779" s="27" t="str">
        <f>IF(OR(OR(OR(OR(OR(ISNUMBER(SEARCH(IF(D$1&lt;&gt;"",D$1,"NA"),'MITRE ATT&amp;CK Mappings'!$E775)),ISNUMBER(SEARCH(IF(D$1&lt;&gt;"",D$1,"NA"),'MITRE ATT&amp;CK Mappings'!$F775))),ISNUMBER(SEARCH(IF(D$2&lt;&gt;"",D$2,"NA"),'MITRE ATT&amp;CK Mappings'!$G775))),ISNUMBER(SEARCH(IF(D$2&lt;&gt;"",D$2,"NA"),'MITRE ATT&amp;CK Mappings'!$H775))),ISNUMBER(SEARCH(IF(D$3&lt;&gt;"",D$3,"NA"),'MITRE ATT&amp;CK Mappings'!$I775))),ISNUMBER(SEARCH(IF(D$3&lt;&gt;"",D$3,"NA"),'MITRE ATT&amp;CK Mappings'!$J775))), 'MITRE ATT&amp;CK Mappings'!$B775,"")</f>
        <v/>
      </c>
      <c r="E779" s="27" t="str">
        <f>IF(OR(OR(OR(OR(OR(ISNUMBER(SEARCH(IF(E$1&lt;&gt;"",E$1,"NA"),'MITRE ATT&amp;CK Mappings'!$E775)),ISNUMBER(SEARCH(IF(E$1&lt;&gt;"",E$1,"NA"),'MITRE ATT&amp;CK Mappings'!$F775))),ISNUMBER(SEARCH(IF(E$2&lt;&gt;"",E$2,"NA"),'MITRE ATT&amp;CK Mappings'!$G775))),ISNUMBER(SEARCH(IF(E$2&lt;&gt;"",E$2,"NA"),'MITRE ATT&amp;CK Mappings'!$H775))),ISNUMBER(SEARCH(IF(E$3&lt;&gt;"",E$3,"NA"),'MITRE ATT&amp;CK Mappings'!$I775))),ISNUMBER(SEARCH(IF(E$3&lt;&gt;"",E$3,"NA"),'MITRE ATT&amp;CK Mappings'!$J775))), 'MITRE ATT&amp;CK Mappings'!$B775,"")</f>
        <v/>
      </c>
      <c r="F779" s="27" t="str">
        <f>IF(OR(OR(OR(OR(OR(ISNUMBER(SEARCH(IF(F$1&lt;&gt;"",F$1,"NA"),'MITRE ATT&amp;CK Mappings'!$E775)),ISNUMBER(SEARCH(IF(F$1&lt;&gt;"",F$1,"NA"),'MITRE ATT&amp;CK Mappings'!$F775))),ISNUMBER(SEARCH(IF(F$2&lt;&gt;"",F$2,"NA"),'MITRE ATT&amp;CK Mappings'!$G775))),ISNUMBER(SEARCH(IF(F$2&lt;&gt;"",F$2,"NA"),'MITRE ATT&amp;CK Mappings'!$H775))),ISNUMBER(SEARCH(IF(F$3&lt;&gt;"",F$3,"NA"),'MITRE ATT&amp;CK Mappings'!$I775))),ISNUMBER(SEARCH(IF(F$3&lt;&gt;"",F$3,"NA"),'MITRE ATT&amp;CK Mappings'!$J775))), 'MITRE ATT&amp;CK Mappings'!$B775,"")</f>
        <v/>
      </c>
      <c r="G779" s="27" t="str">
        <f>IF(OR(OR(OR(OR(OR(ISNUMBER(SEARCH(IF(G$1&lt;&gt;"",G$1,"NA"),'MITRE ATT&amp;CK Mappings'!$E775)),ISNUMBER(SEARCH(IF(G$1&lt;&gt;"",G$1,"NA"),'MITRE ATT&amp;CK Mappings'!$F775))),ISNUMBER(SEARCH(IF(G$2&lt;&gt;"",G$2,"NA"),'MITRE ATT&amp;CK Mappings'!$G775))),ISNUMBER(SEARCH(IF(G$2&lt;&gt;"",G$2,"NA"),'MITRE ATT&amp;CK Mappings'!$H775))),ISNUMBER(SEARCH(IF(G$3&lt;&gt;"",G$3,"NA"),'MITRE ATT&amp;CK Mappings'!$I775))),ISNUMBER(SEARCH(IF(G$3&lt;&gt;"",G$3,"NA"),'MITRE ATT&amp;CK Mappings'!$J775))), 'MITRE ATT&amp;CK Mappings'!$B775,"")</f>
        <v/>
      </c>
      <c r="H779" s="27" t="str">
        <f>IF(OR(OR(OR(OR(OR(ISNUMBER(SEARCH(IF(H$1&lt;&gt;"",H$1,"NA"),'MITRE ATT&amp;CK Mappings'!$E775)),ISNUMBER(SEARCH(IF(H$1&lt;&gt;"",H$1,"NA"),'MITRE ATT&amp;CK Mappings'!$F775))),ISNUMBER(SEARCH(IF(H$2&lt;&gt;"",H$2,"NA"),'MITRE ATT&amp;CK Mappings'!$G775))),ISNUMBER(SEARCH(IF(H$2&lt;&gt;"",H$2,"NA"),'MITRE ATT&amp;CK Mappings'!$H775))),ISNUMBER(SEARCH(IF(H$3&lt;&gt;"",H$3,"NA"),'MITRE ATT&amp;CK Mappings'!$I775))),ISNUMBER(SEARCH(IF(H$3&lt;&gt;"",H$3,"NA"),'MITRE ATT&amp;CK Mappings'!$J775))), 'MITRE ATT&amp;CK Mappings'!$B775,"")</f>
        <v/>
      </c>
      <c r="I779" s="27" t="str">
        <f>IF(OR(OR(OR(OR(OR(ISNUMBER(SEARCH(IF(I$1&lt;&gt;"",I$1,"NA"),'MITRE ATT&amp;CK Mappings'!$E775)),ISNUMBER(SEARCH(IF(I$1&lt;&gt;"",I$1,"NA"),'MITRE ATT&amp;CK Mappings'!$F775))),ISNUMBER(SEARCH(IF(I$2&lt;&gt;"",I$2,"NA"),'MITRE ATT&amp;CK Mappings'!$G775))),ISNUMBER(SEARCH(IF(I$2&lt;&gt;"",I$2,"NA"),'MITRE ATT&amp;CK Mappings'!$H775))),ISNUMBER(SEARCH(IF(I$3&lt;&gt;"",I$3,"NA"),'MITRE ATT&amp;CK Mappings'!$I775))),ISNUMBER(SEARCH(IF(I$3&lt;&gt;"",I$3,"NA"),'MITRE ATT&amp;CK Mappings'!$J775))), 'MITRE ATT&amp;CK Mappings'!$B775,"")</f>
        <v/>
      </c>
      <c r="J779" s="27" t="str">
        <f>IF(OR(OR(OR(OR(OR(ISNUMBER(SEARCH(IF(J$1&lt;&gt;"",J$1,"NA"),'MITRE ATT&amp;CK Mappings'!$E775)),ISNUMBER(SEARCH(IF(J$1&lt;&gt;"",J$1,"NA"),'MITRE ATT&amp;CK Mappings'!$F775))),ISNUMBER(SEARCH(IF(J$2&lt;&gt;"",J$2,"NA"),'MITRE ATT&amp;CK Mappings'!$G775))),ISNUMBER(SEARCH(IF(J$2&lt;&gt;"",J$2,"NA"),'MITRE ATT&amp;CK Mappings'!$H775))),ISNUMBER(SEARCH(IF(J$3&lt;&gt;"",J$3,"NA"),'MITRE ATT&amp;CK Mappings'!$I775))),ISNUMBER(SEARCH(IF(J$3&lt;&gt;"",J$3,"NA"),'MITRE ATT&amp;CK Mappings'!$J775))), 'MITRE ATT&amp;CK Mappings'!$B775,"")</f>
        <v/>
      </c>
      <c r="K779" s="27" t="str">
        <f>IF(OR(OR(OR(OR(OR(ISNUMBER(SEARCH(IF(K$1&lt;&gt;"",K$1,"NA"),'MITRE ATT&amp;CK Mappings'!$E775)),ISNUMBER(SEARCH(IF(K$1&lt;&gt;"",K$1,"NA"),'MITRE ATT&amp;CK Mappings'!$F775))),ISNUMBER(SEARCH(IF(K$2&lt;&gt;"",K$2,"NA"),'MITRE ATT&amp;CK Mappings'!$G775))),ISNUMBER(SEARCH(IF(K$2&lt;&gt;"",K$2,"NA"),'MITRE ATT&amp;CK Mappings'!$H775))),ISNUMBER(SEARCH(IF(K$3&lt;&gt;"",K$3,"NA"),'MITRE ATT&amp;CK Mappings'!$I775))),ISNUMBER(SEARCH(IF(K$3&lt;&gt;"",K$3,"NA"),'MITRE ATT&amp;CK Mappings'!$J775))), 'MITRE ATT&amp;CK Mappings'!$B775,"")</f>
        <v/>
      </c>
      <c r="L779" s="27" t="str">
        <f>IF('MITRE ATT&amp;CK Mappings'!D775 &lt;&gt;"",'MITRE ATT&amp;CK Mappings'!D775,"" )</f>
        <v/>
      </c>
    </row>
    <row r="780" spans="1:12" x14ac:dyDescent="0.25">
      <c r="A780" s="26" t="str">
        <f>IF(COUNTIF(B780:K780,"="&amp;'MITRE ATT&amp;CK Mappings'!B776)&gt;0,'MITRE ATT&amp;CK Mappings'!B776,"")</f>
        <v/>
      </c>
      <c r="B780" s="26" t="str">
        <f>IF(OR(OR(OR(OR(OR(ISNUMBER(SEARCH(IF(B$1&lt;&gt;"",B$1,"NA"),'MITRE ATT&amp;CK Mappings'!$E776)),ISNUMBER(SEARCH(IF(B$1&lt;&gt;"",B$1,"NA"),'MITRE ATT&amp;CK Mappings'!$F776))),ISNUMBER(SEARCH(IF(B$2&lt;&gt;"",B$2,"NA"),'MITRE ATT&amp;CK Mappings'!$G776))),ISNUMBER(SEARCH(IF(B$2&lt;&gt;"",B$2,"NA"),'MITRE ATT&amp;CK Mappings'!$H776))),ISNUMBER(SEARCH(IF(B$3&lt;&gt;"",B$3,"NA"),'MITRE ATT&amp;CK Mappings'!$I776))),ISNUMBER(SEARCH(IF(B$3&lt;&gt;"",B$3,"NA"),'MITRE ATT&amp;CK Mappings'!$J776))), 'MITRE ATT&amp;CK Mappings'!$B776,"")</f>
        <v/>
      </c>
      <c r="C780" s="26" t="str">
        <f>IF(OR(OR(OR(OR(OR(ISNUMBER(SEARCH(IF(C$1&lt;&gt;"",C$1,"NA"),'MITRE ATT&amp;CK Mappings'!$E776)),ISNUMBER(SEARCH(IF(C$1&lt;&gt;"",C$1,"NA"),'MITRE ATT&amp;CK Mappings'!$F776))),ISNUMBER(SEARCH(IF(C$2&lt;&gt;"",C$2,"NA"),'MITRE ATT&amp;CK Mappings'!$G776))),ISNUMBER(SEARCH(IF(C$2&lt;&gt;"",C$2,"NA"),'MITRE ATT&amp;CK Mappings'!$H776))),ISNUMBER(SEARCH(IF(C$3&lt;&gt;"",C$3,"NA"),'MITRE ATT&amp;CK Mappings'!$I776))),ISNUMBER(SEARCH(IF(C$3&lt;&gt;"",C$3,"NA"),'MITRE ATT&amp;CK Mappings'!$J776))), 'MITRE ATT&amp;CK Mappings'!$B776,"")</f>
        <v/>
      </c>
      <c r="D780" s="26" t="str">
        <f>IF(OR(OR(OR(OR(OR(ISNUMBER(SEARCH(IF(D$1&lt;&gt;"",D$1,"NA"),'MITRE ATT&amp;CK Mappings'!$E776)),ISNUMBER(SEARCH(IF(D$1&lt;&gt;"",D$1,"NA"),'MITRE ATT&amp;CK Mappings'!$F776))),ISNUMBER(SEARCH(IF(D$2&lt;&gt;"",D$2,"NA"),'MITRE ATT&amp;CK Mappings'!$G776))),ISNUMBER(SEARCH(IF(D$2&lt;&gt;"",D$2,"NA"),'MITRE ATT&amp;CK Mappings'!$H776))),ISNUMBER(SEARCH(IF(D$3&lt;&gt;"",D$3,"NA"),'MITRE ATT&amp;CK Mappings'!$I776))),ISNUMBER(SEARCH(IF(D$3&lt;&gt;"",D$3,"NA"),'MITRE ATT&amp;CK Mappings'!$J776))), 'MITRE ATT&amp;CK Mappings'!$B776,"")</f>
        <v/>
      </c>
      <c r="E780" s="26" t="str">
        <f>IF(OR(OR(OR(OR(OR(ISNUMBER(SEARCH(IF(E$1&lt;&gt;"",E$1,"NA"),'MITRE ATT&amp;CK Mappings'!$E776)),ISNUMBER(SEARCH(IF(E$1&lt;&gt;"",E$1,"NA"),'MITRE ATT&amp;CK Mappings'!$F776))),ISNUMBER(SEARCH(IF(E$2&lt;&gt;"",E$2,"NA"),'MITRE ATT&amp;CK Mappings'!$G776))),ISNUMBER(SEARCH(IF(E$2&lt;&gt;"",E$2,"NA"),'MITRE ATT&amp;CK Mappings'!$H776))),ISNUMBER(SEARCH(IF(E$3&lt;&gt;"",E$3,"NA"),'MITRE ATT&amp;CK Mappings'!$I776))),ISNUMBER(SEARCH(IF(E$3&lt;&gt;"",E$3,"NA"),'MITRE ATT&amp;CK Mappings'!$J776))), 'MITRE ATT&amp;CK Mappings'!$B776,"")</f>
        <v/>
      </c>
      <c r="F780" s="26" t="str">
        <f>IF(OR(OR(OR(OR(OR(ISNUMBER(SEARCH(IF(F$1&lt;&gt;"",F$1,"NA"),'MITRE ATT&amp;CK Mappings'!$E776)),ISNUMBER(SEARCH(IF(F$1&lt;&gt;"",F$1,"NA"),'MITRE ATT&amp;CK Mappings'!$F776))),ISNUMBER(SEARCH(IF(F$2&lt;&gt;"",F$2,"NA"),'MITRE ATT&amp;CK Mappings'!$G776))),ISNUMBER(SEARCH(IF(F$2&lt;&gt;"",F$2,"NA"),'MITRE ATT&amp;CK Mappings'!$H776))),ISNUMBER(SEARCH(IF(F$3&lt;&gt;"",F$3,"NA"),'MITRE ATT&amp;CK Mappings'!$I776))),ISNUMBER(SEARCH(IF(F$3&lt;&gt;"",F$3,"NA"),'MITRE ATT&amp;CK Mappings'!$J776))), 'MITRE ATT&amp;CK Mappings'!$B776,"")</f>
        <v/>
      </c>
      <c r="G780" s="26" t="str">
        <f>IF(OR(OR(OR(OR(OR(ISNUMBER(SEARCH(IF(G$1&lt;&gt;"",G$1,"NA"),'MITRE ATT&amp;CK Mappings'!$E776)),ISNUMBER(SEARCH(IF(G$1&lt;&gt;"",G$1,"NA"),'MITRE ATT&amp;CK Mappings'!$F776))),ISNUMBER(SEARCH(IF(G$2&lt;&gt;"",G$2,"NA"),'MITRE ATT&amp;CK Mappings'!$G776))),ISNUMBER(SEARCH(IF(G$2&lt;&gt;"",G$2,"NA"),'MITRE ATT&amp;CK Mappings'!$H776))),ISNUMBER(SEARCH(IF(G$3&lt;&gt;"",G$3,"NA"),'MITRE ATT&amp;CK Mappings'!$I776))),ISNUMBER(SEARCH(IF(G$3&lt;&gt;"",G$3,"NA"),'MITRE ATT&amp;CK Mappings'!$J776))), 'MITRE ATT&amp;CK Mappings'!$B776,"")</f>
        <v/>
      </c>
      <c r="H780" s="26" t="str">
        <f>IF(OR(OR(OR(OR(OR(ISNUMBER(SEARCH(IF(H$1&lt;&gt;"",H$1,"NA"),'MITRE ATT&amp;CK Mappings'!$E776)),ISNUMBER(SEARCH(IF(H$1&lt;&gt;"",H$1,"NA"),'MITRE ATT&amp;CK Mappings'!$F776))),ISNUMBER(SEARCH(IF(H$2&lt;&gt;"",H$2,"NA"),'MITRE ATT&amp;CK Mappings'!$G776))),ISNUMBER(SEARCH(IF(H$2&lt;&gt;"",H$2,"NA"),'MITRE ATT&amp;CK Mappings'!$H776))),ISNUMBER(SEARCH(IF(H$3&lt;&gt;"",H$3,"NA"),'MITRE ATT&amp;CK Mappings'!$I776))),ISNUMBER(SEARCH(IF(H$3&lt;&gt;"",H$3,"NA"),'MITRE ATT&amp;CK Mappings'!$J776))), 'MITRE ATT&amp;CK Mappings'!$B776,"")</f>
        <v/>
      </c>
      <c r="I780" s="26" t="str">
        <f>IF(OR(OR(OR(OR(OR(ISNUMBER(SEARCH(IF(I$1&lt;&gt;"",I$1,"NA"),'MITRE ATT&amp;CK Mappings'!$E776)),ISNUMBER(SEARCH(IF(I$1&lt;&gt;"",I$1,"NA"),'MITRE ATT&amp;CK Mappings'!$F776))),ISNUMBER(SEARCH(IF(I$2&lt;&gt;"",I$2,"NA"),'MITRE ATT&amp;CK Mappings'!$G776))),ISNUMBER(SEARCH(IF(I$2&lt;&gt;"",I$2,"NA"),'MITRE ATT&amp;CK Mappings'!$H776))),ISNUMBER(SEARCH(IF(I$3&lt;&gt;"",I$3,"NA"),'MITRE ATT&amp;CK Mappings'!$I776))),ISNUMBER(SEARCH(IF(I$3&lt;&gt;"",I$3,"NA"),'MITRE ATT&amp;CK Mappings'!$J776))), 'MITRE ATT&amp;CK Mappings'!$B776,"")</f>
        <v/>
      </c>
      <c r="J780" s="26" t="str">
        <f>IF(OR(OR(OR(OR(OR(ISNUMBER(SEARCH(IF(J$1&lt;&gt;"",J$1,"NA"),'MITRE ATT&amp;CK Mappings'!$E776)),ISNUMBER(SEARCH(IF(J$1&lt;&gt;"",J$1,"NA"),'MITRE ATT&amp;CK Mappings'!$F776))),ISNUMBER(SEARCH(IF(J$2&lt;&gt;"",J$2,"NA"),'MITRE ATT&amp;CK Mappings'!$G776))),ISNUMBER(SEARCH(IF(J$2&lt;&gt;"",J$2,"NA"),'MITRE ATT&amp;CK Mappings'!$H776))),ISNUMBER(SEARCH(IF(J$3&lt;&gt;"",J$3,"NA"),'MITRE ATT&amp;CK Mappings'!$I776))),ISNUMBER(SEARCH(IF(J$3&lt;&gt;"",J$3,"NA"),'MITRE ATT&amp;CK Mappings'!$J776))), 'MITRE ATT&amp;CK Mappings'!$B776,"")</f>
        <v/>
      </c>
      <c r="K780" s="26" t="str">
        <f>IF(OR(OR(OR(OR(OR(ISNUMBER(SEARCH(IF(K$1&lt;&gt;"",K$1,"NA"),'MITRE ATT&amp;CK Mappings'!$E776)),ISNUMBER(SEARCH(IF(K$1&lt;&gt;"",K$1,"NA"),'MITRE ATT&amp;CK Mappings'!$F776))),ISNUMBER(SEARCH(IF(K$2&lt;&gt;"",K$2,"NA"),'MITRE ATT&amp;CK Mappings'!$G776))),ISNUMBER(SEARCH(IF(K$2&lt;&gt;"",K$2,"NA"),'MITRE ATT&amp;CK Mappings'!$H776))),ISNUMBER(SEARCH(IF(K$3&lt;&gt;"",K$3,"NA"),'MITRE ATT&amp;CK Mappings'!$I776))),ISNUMBER(SEARCH(IF(K$3&lt;&gt;"",K$3,"NA"),'MITRE ATT&amp;CK Mappings'!$J776))), 'MITRE ATT&amp;CK Mappings'!$B776,"")</f>
        <v/>
      </c>
      <c r="L780" s="26" t="str">
        <f>IF('MITRE ATT&amp;CK Mappings'!D776 &lt;&gt;"",'MITRE ATT&amp;CK Mappings'!D776,"" )</f>
        <v/>
      </c>
    </row>
    <row r="781" spans="1:12" x14ac:dyDescent="0.25">
      <c r="A781" s="27" t="str">
        <f>IF(COUNTIF(B781:K781,"="&amp;'MITRE ATT&amp;CK Mappings'!B777)&gt;0,'MITRE ATT&amp;CK Mappings'!B777,"")</f>
        <v/>
      </c>
      <c r="B781" s="27" t="str">
        <f>IF(OR(OR(OR(OR(OR(ISNUMBER(SEARCH(IF(B$1&lt;&gt;"",B$1,"NA"),'MITRE ATT&amp;CK Mappings'!$E777)),ISNUMBER(SEARCH(IF(B$1&lt;&gt;"",B$1,"NA"),'MITRE ATT&amp;CK Mappings'!$F777))),ISNUMBER(SEARCH(IF(B$2&lt;&gt;"",B$2,"NA"),'MITRE ATT&amp;CK Mappings'!$G777))),ISNUMBER(SEARCH(IF(B$2&lt;&gt;"",B$2,"NA"),'MITRE ATT&amp;CK Mappings'!$H777))),ISNUMBER(SEARCH(IF(B$3&lt;&gt;"",B$3,"NA"),'MITRE ATT&amp;CK Mappings'!$I777))),ISNUMBER(SEARCH(IF(B$3&lt;&gt;"",B$3,"NA"),'MITRE ATT&amp;CK Mappings'!$J777))), 'MITRE ATT&amp;CK Mappings'!$B777,"")</f>
        <v/>
      </c>
      <c r="C781" s="27" t="str">
        <f>IF(OR(OR(OR(OR(OR(ISNUMBER(SEARCH(IF(C$1&lt;&gt;"",C$1,"NA"),'MITRE ATT&amp;CK Mappings'!$E777)),ISNUMBER(SEARCH(IF(C$1&lt;&gt;"",C$1,"NA"),'MITRE ATT&amp;CK Mappings'!$F777))),ISNUMBER(SEARCH(IF(C$2&lt;&gt;"",C$2,"NA"),'MITRE ATT&amp;CK Mappings'!$G777))),ISNUMBER(SEARCH(IF(C$2&lt;&gt;"",C$2,"NA"),'MITRE ATT&amp;CK Mappings'!$H777))),ISNUMBER(SEARCH(IF(C$3&lt;&gt;"",C$3,"NA"),'MITRE ATT&amp;CK Mappings'!$I777))),ISNUMBER(SEARCH(IF(C$3&lt;&gt;"",C$3,"NA"),'MITRE ATT&amp;CK Mappings'!$J777))), 'MITRE ATT&amp;CK Mappings'!$B777,"")</f>
        <v/>
      </c>
      <c r="D781" s="27" t="str">
        <f>IF(OR(OR(OR(OR(OR(ISNUMBER(SEARCH(IF(D$1&lt;&gt;"",D$1,"NA"),'MITRE ATT&amp;CK Mappings'!$E777)),ISNUMBER(SEARCH(IF(D$1&lt;&gt;"",D$1,"NA"),'MITRE ATT&amp;CK Mappings'!$F777))),ISNUMBER(SEARCH(IF(D$2&lt;&gt;"",D$2,"NA"),'MITRE ATT&amp;CK Mappings'!$G777))),ISNUMBER(SEARCH(IF(D$2&lt;&gt;"",D$2,"NA"),'MITRE ATT&amp;CK Mappings'!$H777))),ISNUMBER(SEARCH(IF(D$3&lt;&gt;"",D$3,"NA"),'MITRE ATT&amp;CK Mappings'!$I777))),ISNUMBER(SEARCH(IF(D$3&lt;&gt;"",D$3,"NA"),'MITRE ATT&amp;CK Mappings'!$J777))), 'MITRE ATT&amp;CK Mappings'!$B777,"")</f>
        <v/>
      </c>
      <c r="E781" s="27" t="str">
        <f>IF(OR(OR(OR(OR(OR(ISNUMBER(SEARCH(IF(E$1&lt;&gt;"",E$1,"NA"),'MITRE ATT&amp;CK Mappings'!$E777)),ISNUMBER(SEARCH(IF(E$1&lt;&gt;"",E$1,"NA"),'MITRE ATT&amp;CK Mappings'!$F777))),ISNUMBER(SEARCH(IF(E$2&lt;&gt;"",E$2,"NA"),'MITRE ATT&amp;CK Mappings'!$G777))),ISNUMBER(SEARCH(IF(E$2&lt;&gt;"",E$2,"NA"),'MITRE ATT&amp;CK Mappings'!$H777))),ISNUMBER(SEARCH(IF(E$3&lt;&gt;"",E$3,"NA"),'MITRE ATT&amp;CK Mappings'!$I777))),ISNUMBER(SEARCH(IF(E$3&lt;&gt;"",E$3,"NA"),'MITRE ATT&amp;CK Mappings'!$J777))), 'MITRE ATT&amp;CK Mappings'!$B777,"")</f>
        <v/>
      </c>
      <c r="F781" s="27" t="str">
        <f>IF(OR(OR(OR(OR(OR(ISNUMBER(SEARCH(IF(F$1&lt;&gt;"",F$1,"NA"),'MITRE ATT&amp;CK Mappings'!$E777)),ISNUMBER(SEARCH(IF(F$1&lt;&gt;"",F$1,"NA"),'MITRE ATT&amp;CK Mappings'!$F777))),ISNUMBER(SEARCH(IF(F$2&lt;&gt;"",F$2,"NA"),'MITRE ATT&amp;CK Mappings'!$G777))),ISNUMBER(SEARCH(IF(F$2&lt;&gt;"",F$2,"NA"),'MITRE ATT&amp;CK Mappings'!$H777))),ISNUMBER(SEARCH(IF(F$3&lt;&gt;"",F$3,"NA"),'MITRE ATT&amp;CK Mappings'!$I777))),ISNUMBER(SEARCH(IF(F$3&lt;&gt;"",F$3,"NA"),'MITRE ATT&amp;CK Mappings'!$J777))), 'MITRE ATT&amp;CK Mappings'!$B777,"")</f>
        <v/>
      </c>
      <c r="G781" s="27" t="str">
        <f>IF(OR(OR(OR(OR(OR(ISNUMBER(SEARCH(IF(G$1&lt;&gt;"",G$1,"NA"),'MITRE ATT&amp;CK Mappings'!$E777)),ISNUMBER(SEARCH(IF(G$1&lt;&gt;"",G$1,"NA"),'MITRE ATT&amp;CK Mappings'!$F777))),ISNUMBER(SEARCH(IF(G$2&lt;&gt;"",G$2,"NA"),'MITRE ATT&amp;CK Mappings'!$G777))),ISNUMBER(SEARCH(IF(G$2&lt;&gt;"",G$2,"NA"),'MITRE ATT&amp;CK Mappings'!$H777))),ISNUMBER(SEARCH(IF(G$3&lt;&gt;"",G$3,"NA"),'MITRE ATT&amp;CK Mappings'!$I777))),ISNUMBER(SEARCH(IF(G$3&lt;&gt;"",G$3,"NA"),'MITRE ATT&amp;CK Mappings'!$J777))), 'MITRE ATT&amp;CK Mappings'!$B777,"")</f>
        <v/>
      </c>
      <c r="H781" s="27" t="str">
        <f>IF(OR(OR(OR(OR(OR(ISNUMBER(SEARCH(IF(H$1&lt;&gt;"",H$1,"NA"),'MITRE ATT&amp;CK Mappings'!$E777)),ISNUMBER(SEARCH(IF(H$1&lt;&gt;"",H$1,"NA"),'MITRE ATT&amp;CK Mappings'!$F777))),ISNUMBER(SEARCH(IF(H$2&lt;&gt;"",H$2,"NA"),'MITRE ATT&amp;CK Mappings'!$G777))),ISNUMBER(SEARCH(IF(H$2&lt;&gt;"",H$2,"NA"),'MITRE ATT&amp;CK Mappings'!$H777))),ISNUMBER(SEARCH(IF(H$3&lt;&gt;"",H$3,"NA"),'MITRE ATT&amp;CK Mappings'!$I777))),ISNUMBER(SEARCH(IF(H$3&lt;&gt;"",H$3,"NA"),'MITRE ATT&amp;CK Mappings'!$J777))), 'MITRE ATT&amp;CK Mappings'!$B777,"")</f>
        <v/>
      </c>
      <c r="I781" s="27" t="str">
        <f>IF(OR(OR(OR(OR(OR(ISNUMBER(SEARCH(IF(I$1&lt;&gt;"",I$1,"NA"),'MITRE ATT&amp;CK Mappings'!$E777)),ISNUMBER(SEARCH(IF(I$1&lt;&gt;"",I$1,"NA"),'MITRE ATT&amp;CK Mappings'!$F777))),ISNUMBER(SEARCH(IF(I$2&lt;&gt;"",I$2,"NA"),'MITRE ATT&amp;CK Mappings'!$G777))),ISNUMBER(SEARCH(IF(I$2&lt;&gt;"",I$2,"NA"),'MITRE ATT&amp;CK Mappings'!$H777))),ISNUMBER(SEARCH(IF(I$3&lt;&gt;"",I$3,"NA"),'MITRE ATT&amp;CK Mappings'!$I777))),ISNUMBER(SEARCH(IF(I$3&lt;&gt;"",I$3,"NA"),'MITRE ATT&amp;CK Mappings'!$J777))), 'MITRE ATT&amp;CK Mappings'!$B777,"")</f>
        <v/>
      </c>
      <c r="J781" s="27" t="str">
        <f>IF(OR(OR(OR(OR(OR(ISNUMBER(SEARCH(IF(J$1&lt;&gt;"",J$1,"NA"),'MITRE ATT&amp;CK Mappings'!$E777)),ISNUMBER(SEARCH(IF(J$1&lt;&gt;"",J$1,"NA"),'MITRE ATT&amp;CK Mappings'!$F777))),ISNUMBER(SEARCH(IF(J$2&lt;&gt;"",J$2,"NA"),'MITRE ATT&amp;CK Mappings'!$G777))),ISNUMBER(SEARCH(IF(J$2&lt;&gt;"",J$2,"NA"),'MITRE ATT&amp;CK Mappings'!$H777))),ISNUMBER(SEARCH(IF(J$3&lt;&gt;"",J$3,"NA"),'MITRE ATT&amp;CK Mappings'!$I777))),ISNUMBER(SEARCH(IF(J$3&lt;&gt;"",J$3,"NA"),'MITRE ATT&amp;CK Mappings'!$J777))), 'MITRE ATT&amp;CK Mappings'!$B777,"")</f>
        <v/>
      </c>
      <c r="K781" s="27" t="str">
        <f>IF(OR(OR(OR(OR(OR(ISNUMBER(SEARCH(IF(K$1&lt;&gt;"",K$1,"NA"),'MITRE ATT&amp;CK Mappings'!$E777)),ISNUMBER(SEARCH(IF(K$1&lt;&gt;"",K$1,"NA"),'MITRE ATT&amp;CK Mappings'!$F777))),ISNUMBER(SEARCH(IF(K$2&lt;&gt;"",K$2,"NA"),'MITRE ATT&amp;CK Mappings'!$G777))),ISNUMBER(SEARCH(IF(K$2&lt;&gt;"",K$2,"NA"),'MITRE ATT&amp;CK Mappings'!$H777))),ISNUMBER(SEARCH(IF(K$3&lt;&gt;"",K$3,"NA"),'MITRE ATT&amp;CK Mappings'!$I777))),ISNUMBER(SEARCH(IF(K$3&lt;&gt;"",K$3,"NA"),'MITRE ATT&amp;CK Mappings'!$J777))), 'MITRE ATT&amp;CK Mappings'!$B777,"")</f>
        <v/>
      </c>
      <c r="L781" s="27" t="str">
        <f>IF('MITRE ATT&amp;CK Mappings'!D777 &lt;&gt;"",'MITRE ATT&amp;CK Mappings'!D777,"" )</f>
        <v/>
      </c>
    </row>
    <row r="782" spans="1:12" x14ac:dyDescent="0.25">
      <c r="A782" s="26" t="str">
        <f>IF(COUNTIF(B782:K782,"="&amp;'MITRE ATT&amp;CK Mappings'!B778)&gt;0,'MITRE ATT&amp;CK Mappings'!B778,"")</f>
        <v/>
      </c>
      <c r="B782" s="26" t="str">
        <f>IF(OR(OR(OR(OR(OR(ISNUMBER(SEARCH(IF(B$1&lt;&gt;"",B$1,"NA"),'MITRE ATT&amp;CK Mappings'!$E778)),ISNUMBER(SEARCH(IF(B$1&lt;&gt;"",B$1,"NA"),'MITRE ATT&amp;CK Mappings'!$F778))),ISNUMBER(SEARCH(IF(B$2&lt;&gt;"",B$2,"NA"),'MITRE ATT&amp;CK Mappings'!$G778))),ISNUMBER(SEARCH(IF(B$2&lt;&gt;"",B$2,"NA"),'MITRE ATT&amp;CK Mappings'!$H778))),ISNUMBER(SEARCH(IF(B$3&lt;&gt;"",B$3,"NA"),'MITRE ATT&amp;CK Mappings'!$I778))),ISNUMBER(SEARCH(IF(B$3&lt;&gt;"",B$3,"NA"),'MITRE ATT&amp;CK Mappings'!$J778))), 'MITRE ATT&amp;CK Mappings'!$B778,"")</f>
        <v/>
      </c>
      <c r="C782" s="26" t="str">
        <f>IF(OR(OR(OR(OR(OR(ISNUMBER(SEARCH(IF(C$1&lt;&gt;"",C$1,"NA"),'MITRE ATT&amp;CK Mappings'!$E778)),ISNUMBER(SEARCH(IF(C$1&lt;&gt;"",C$1,"NA"),'MITRE ATT&amp;CK Mappings'!$F778))),ISNUMBER(SEARCH(IF(C$2&lt;&gt;"",C$2,"NA"),'MITRE ATT&amp;CK Mappings'!$G778))),ISNUMBER(SEARCH(IF(C$2&lt;&gt;"",C$2,"NA"),'MITRE ATT&amp;CK Mappings'!$H778))),ISNUMBER(SEARCH(IF(C$3&lt;&gt;"",C$3,"NA"),'MITRE ATT&amp;CK Mappings'!$I778))),ISNUMBER(SEARCH(IF(C$3&lt;&gt;"",C$3,"NA"),'MITRE ATT&amp;CK Mappings'!$J778))), 'MITRE ATT&amp;CK Mappings'!$B778,"")</f>
        <v/>
      </c>
      <c r="D782" s="26" t="str">
        <f>IF(OR(OR(OR(OR(OR(ISNUMBER(SEARCH(IF(D$1&lt;&gt;"",D$1,"NA"),'MITRE ATT&amp;CK Mappings'!$E778)),ISNUMBER(SEARCH(IF(D$1&lt;&gt;"",D$1,"NA"),'MITRE ATT&amp;CK Mappings'!$F778))),ISNUMBER(SEARCH(IF(D$2&lt;&gt;"",D$2,"NA"),'MITRE ATT&amp;CK Mappings'!$G778))),ISNUMBER(SEARCH(IF(D$2&lt;&gt;"",D$2,"NA"),'MITRE ATT&amp;CK Mappings'!$H778))),ISNUMBER(SEARCH(IF(D$3&lt;&gt;"",D$3,"NA"),'MITRE ATT&amp;CK Mappings'!$I778))),ISNUMBER(SEARCH(IF(D$3&lt;&gt;"",D$3,"NA"),'MITRE ATT&amp;CK Mappings'!$J778))), 'MITRE ATT&amp;CK Mappings'!$B778,"")</f>
        <v/>
      </c>
      <c r="E782" s="26" t="str">
        <f>IF(OR(OR(OR(OR(OR(ISNUMBER(SEARCH(IF(E$1&lt;&gt;"",E$1,"NA"),'MITRE ATT&amp;CK Mappings'!$E778)),ISNUMBER(SEARCH(IF(E$1&lt;&gt;"",E$1,"NA"),'MITRE ATT&amp;CK Mappings'!$F778))),ISNUMBER(SEARCH(IF(E$2&lt;&gt;"",E$2,"NA"),'MITRE ATT&amp;CK Mappings'!$G778))),ISNUMBER(SEARCH(IF(E$2&lt;&gt;"",E$2,"NA"),'MITRE ATT&amp;CK Mappings'!$H778))),ISNUMBER(SEARCH(IF(E$3&lt;&gt;"",E$3,"NA"),'MITRE ATT&amp;CK Mappings'!$I778))),ISNUMBER(SEARCH(IF(E$3&lt;&gt;"",E$3,"NA"),'MITRE ATT&amp;CK Mappings'!$J778))), 'MITRE ATT&amp;CK Mappings'!$B778,"")</f>
        <v/>
      </c>
      <c r="F782" s="26" t="str">
        <f>IF(OR(OR(OR(OR(OR(ISNUMBER(SEARCH(IF(F$1&lt;&gt;"",F$1,"NA"),'MITRE ATT&amp;CK Mappings'!$E778)),ISNUMBER(SEARCH(IF(F$1&lt;&gt;"",F$1,"NA"),'MITRE ATT&amp;CK Mappings'!$F778))),ISNUMBER(SEARCH(IF(F$2&lt;&gt;"",F$2,"NA"),'MITRE ATT&amp;CK Mappings'!$G778))),ISNUMBER(SEARCH(IF(F$2&lt;&gt;"",F$2,"NA"),'MITRE ATT&amp;CK Mappings'!$H778))),ISNUMBER(SEARCH(IF(F$3&lt;&gt;"",F$3,"NA"),'MITRE ATT&amp;CK Mappings'!$I778))),ISNUMBER(SEARCH(IF(F$3&lt;&gt;"",F$3,"NA"),'MITRE ATT&amp;CK Mappings'!$J778))), 'MITRE ATT&amp;CK Mappings'!$B778,"")</f>
        <v/>
      </c>
      <c r="G782" s="26" t="str">
        <f>IF(OR(OR(OR(OR(OR(ISNUMBER(SEARCH(IF(G$1&lt;&gt;"",G$1,"NA"),'MITRE ATT&amp;CK Mappings'!$E778)),ISNUMBER(SEARCH(IF(G$1&lt;&gt;"",G$1,"NA"),'MITRE ATT&amp;CK Mappings'!$F778))),ISNUMBER(SEARCH(IF(G$2&lt;&gt;"",G$2,"NA"),'MITRE ATT&amp;CK Mappings'!$G778))),ISNUMBER(SEARCH(IF(G$2&lt;&gt;"",G$2,"NA"),'MITRE ATT&amp;CK Mappings'!$H778))),ISNUMBER(SEARCH(IF(G$3&lt;&gt;"",G$3,"NA"),'MITRE ATT&amp;CK Mappings'!$I778))),ISNUMBER(SEARCH(IF(G$3&lt;&gt;"",G$3,"NA"),'MITRE ATT&amp;CK Mappings'!$J778))), 'MITRE ATT&amp;CK Mappings'!$B778,"")</f>
        <v/>
      </c>
      <c r="H782" s="26" t="str">
        <f>IF(OR(OR(OR(OR(OR(ISNUMBER(SEARCH(IF(H$1&lt;&gt;"",H$1,"NA"),'MITRE ATT&amp;CK Mappings'!$E778)),ISNUMBER(SEARCH(IF(H$1&lt;&gt;"",H$1,"NA"),'MITRE ATT&amp;CK Mappings'!$F778))),ISNUMBER(SEARCH(IF(H$2&lt;&gt;"",H$2,"NA"),'MITRE ATT&amp;CK Mappings'!$G778))),ISNUMBER(SEARCH(IF(H$2&lt;&gt;"",H$2,"NA"),'MITRE ATT&amp;CK Mappings'!$H778))),ISNUMBER(SEARCH(IF(H$3&lt;&gt;"",H$3,"NA"),'MITRE ATT&amp;CK Mappings'!$I778))),ISNUMBER(SEARCH(IF(H$3&lt;&gt;"",H$3,"NA"),'MITRE ATT&amp;CK Mappings'!$J778))), 'MITRE ATT&amp;CK Mappings'!$B778,"")</f>
        <v/>
      </c>
      <c r="I782" s="26" t="str">
        <f>IF(OR(OR(OR(OR(OR(ISNUMBER(SEARCH(IF(I$1&lt;&gt;"",I$1,"NA"),'MITRE ATT&amp;CK Mappings'!$E778)),ISNUMBER(SEARCH(IF(I$1&lt;&gt;"",I$1,"NA"),'MITRE ATT&amp;CK Mappings'!$F778))),ISNUMBER(SEARCH(IF(I$2&lt;&gt;"",I$2,"NA"),'MITRE ATT&amp;CK Mappings'!$G778))),ISNUMBER(SEARCH(IF(I$2&lt;&gt;"",I$2,"NA"),'MITRE ATT&amp;CK Mappings'!$H778))),ISNUMBER(SEARCH(IF(I$3&lt;&gt;"",I$3,"NA"),'MITRE ATT&amp;CK Mappings'!$I778))),ISNUMBER(SEARCH(IF(I$3&lt;&gt;"",I$3,"NA"),'MITRE ATT&amp;CK Mappings'!$J778))), 'MITRE ATT&amp;CK Mappings'!$B778,"")</f>
        <v/>
      </c>
      <c r="J782" s="26" t="str">
        <f>IF(OR(OR(OR(OR(OR(ISNUMBER(SEARCH(IF(J$1&lt;&gt;"",J$1,"NA"),'MITRE ATT&amp;CK Mappings'!$E778)),ISNUMBER(SEARCH(IF(J$1&lt;&gt;"",J$1,"NA"),'MITRE ATT&amp;CK Mappings'!$F778))),ISNUMBER(SEARCH(IF(J$2&lt;&gt;"",J$2,"NA"),'MITRE ATT&amp;CK Mappings'!$G778))),ISNUMBER(SEARCH(IF(J$2&lt;&gt;"",J$2,"NA"),'MITRE ATT&amp;CK Mappings'!$H778))),ISNUMBER(SEARCH(IF(J$3&lt;&gt;"",J$3,"NA"),'MITRE ATT&amp;CK Mappings'!$I778))),ISNUMBER(SEARCH(IF(J$3&lt;&gt;"",J$3,"NA"),'MITRE ATT&amp;CK Mappings'!$J778))), 'MITRE ATT&amp;CK Mappings'!$B778,"")</f>
        <v/>
      </c>
      <c r="K782" s="26" t="str">
        <f>IF(OR(OR(OR(OR(OR(ISNUMBER(SEARCH(IF(K$1&lt;&gt;"",K$1,"NA"),'MITRE ATT&amp;CK Mappings'!$E778)),ISNUMBER(SEARCH(IF(K$1&lt;&gt;"",K$1,"NA"),'MITRE ATT&amp;CK Mappings'!$F778))),ISNUMBER(SEARCH(IF(K$2&lt;&gt;"",K$2,"NA"),'MITRE ATT&amp;CK Mappings'!$G778))),ISNUMBER(SEARCH(IF(K$2&lt;&gt;"",K$2,"NA"),'MITRE ATT&amp;CK Mappings'!$H778))),ISNUMBER(SEARCH(IF(K$3&lt;&gt;"",K$3,"NA"),'MITRE ATT&amp;CK Mappings'!$I778))),ISNUMBER(SEARCH(IF(K$3&lt;&gt;"",K$3,"NA"),'MITRE ATT&amp;CK Mappings'!$J778))), 'MITRE ATT&amp;CK Mappings'!$B778,"")</f>
        <v/>
      </c>
      <c r="L782" s="26" t="str">
        <f>IF('MITRE ATT&amp;CK Mappings'!D778 &lt;&gt;"",'MITRE ATT&amp;CK Mappings'!D778,"" )</f>
        <v/>
      </c>
    </row>
    <row r="783" spans="1:12" x14ac:dyDescent="0.25">
      <c r="A783" s="27" t="str">
        <f>IF(COUNTIF(B783:K783,"="&amp;'MITRE ATT&amp;CK Mappings'!B779)&gt;0,'MITRE ATT&amp;CK Mappings'!B779,"")</f>
        <v/>
      </c>
      <c r="B783" s="27" t="str">
        <f>IF(OR(OR(OR(OR(OR(ISNUMBER(SEARCH(IF(B$1&lt;&gt;"",B$1,"NA"),'MITRE ATT&amp;CK Mappings'!$E779)),ISNUMBER(SEARCH(IF(B$1&lt;&gt;"",B$1,"NA"),'MITRE ATT&amp;CK Mappings'!$F779))),ISNUMBER(SEARCH(IF(B$2&lt;&gt;"",B$2,"NA"),'MITRE ATT&amp;CK Mappings'!$G779))),ISNUMBER(SEARCH(IF(B$2&lt;&gt;"",B$2,"NA"),'MITRE ATT&amp;CK Mappings'!$H779))),ISNUMBER(SEARCH(IF(B$3&lt;&gt;"",B$3,"NA"),'MITRE ATT&amp;CK Mappings'!$I779))),ISNUMBER(SEARCH(IF(B$3&lt;&gt;"",B$3,"NA"),'MITRE ATT&amp;CK Mappings'!$J779))), 'MITRE ATT&amp;CK Mappings'!$B779,"")</f>
        <v/>
      </c>
      <c r="C783" s="27" t="str">
        <f>IF(OR(OR(OR(OR(OR(ISNUMBER(SEARCH(IF(C$1&lt;&gt;"",C$1,"NA"),'MITRE ATT&amp;CK Mappings'!$E779)),ISNUMBER(SEARCH(IF(C$1&lt;&gt;"",C$1,"NA"),'MITRE ATT&amp;CK Mappings'!$F779))),ISNUMBER(SEARCH(IF(C$2&lt;&gt;"",C$2,"NA"),'MITRE ATT&amp;CK Mappings'!$G779))),ISNUMBER(SEARCH(IF(C$2&lt;&gt;"",C$2,"NA"),'MITRE ATT&amp;CK Mappings'!$H779))),ISNUMBER(SEARCH(IF(C$3&lt;&gt;"",C$3,"NA"),'MITRE ATT&amp;CK Mappings'!$I779))),ISNUMBER(SEARCH(IF(C$3&lt;&gt;"",C$3,"NA"),'MITRE ATT&amp;CK Mappings'!$J779))), 'MITRE ATT&amp;CK Mappings'!$B779,"")</f>
        <v/>
      </c>
      <c r="D783" s="27" t="str">
        <f>IF(OR(OR(OR(OR(OR(ISNUMBER(SEARCH(IF(D$1&lt;&gt;"",D$1,"NA"),'MITRE ATT&amp;CK Mappings'!$E779)),ISNUMBER(SEARCH(IF(D$1&lt;&gt;"",D$1,"NA"),'MITRE ATT&amp;CK Mappings'!$F779))),ISNUMBER(SEARCH(IF(D$2&lt;&gt;"",D$2,"NA"),'MITRE ATT&amp;CK Mappings'!$G779))),ISNUMBER(SEARCH(IF(D$2&lt;&gt;"",D$2,"NA"),'MITRE ATT&amp;CK Mappings'!$H779))),ISNUMBER(SEARCH(IF(D$3&lt;&gt;"",D$3,"NA"),'MITRE ATT&amp;CK Mappings'!$I779))),ISNUMBER(SEARCH(IF(D$3&lt;&gt;"",D$3,"NA"),'MITRE ATT&amp;CK Mappings'!$J779))), 'MITRE ATT&amp;CK Mappings'!$B779,"")</f>
        <v/>
      </c>
      <c r="E783" s="27" t="str">
        <f>IF(OR(OR(OR(OR(OR(ISNUMBER(SEARCH(IF(E$1&lt;&gt;"",E$1,"NA"),'MITRE ATT&amp;CK Mappings'!$E779)),ISNUMBER(SEARCH(IF(E$1&lt;&gt;"",E$1,"NA"),'MITRE ATT&amp;CK Mappings'!$F779))),ISNUMBER(SEARCH(IF(E$2&lt;&gt;"",E$2,"NA"),'MITRE ATT&amp;CK Mappings'!$G779))),ISNUMBER(SEARCH(IF(E$2&lt;&gt;"",E$2,"NA"),'MITRE ATT&amp;CK Mappings'!$H779))),ISNUMBER(SEARCH(IF(E$3&lt;&gt;"",E$3,"NA"),'MITRE ATT&amp;CK Mappings'!$I779))),ISNUMBER(SEARCH(IF(E$3&lt;&gt;"",E$3,"NA"),'MITRE ATT&amp;CK Mappings'!$J779))), 'MITRE ATT&amp;CK Mappings'!$B779,"")</f>
        <v/>
      </c>
      <c r="F783" s="27" t="str">
        <f>IF(OR(OR(OR(OR(OR(ISNUMBER(SEARCH(IF(F$1&lt;&gt;"",F$1,"NA"),'MITRE ATT&amp;CK Mappings'!$E779)),ISNUMBER(SEARCH(IF(F$1&lt;&gt;"",F$1,"NA"),'MITRE ATT&amp;CK Mappings'!$F779))),ISNUMBER(SEARCH(IF(F$2&lt;&gt;"",F$2,"NA"),'MITRE ATT&amp;CK Mappings'!$G779))),ISNUMBER(SEARCH(IF(F$2&lt;&gt;"",F$2,"NA"),'MITRE ATT&amp;CK Mappings'!$H779))),ISNUMBER(SEARCH(IF(F$3&lt;&gt;"",F$3,"NA"),'MITRE ATT&amp;CK Mappings'!$I779))),ISNUMBER(SEARCH(IF(F$3&lt;&gt;"",F$3,"NA"),'MITRE ATT&amp;CK Mappings'!$J779))), 'MITRE ATT&amp;CK Mappings'!$B779,"")</f>
        <v/>
      </c>
      <c r="G783" s="27" t="str">
        <f>IF(OR(OR(OR(OR(OR(ISNUMBER(SEARCH(IF(G$1&lt;&gt;"",G$1,"NA"),'MITRE ATT&amp;CK Mappings'!$E779)),ISNUMBER(SEARCH(IF(G$1&lt;&gt;"",G$1,"NA"),'MITRE ATT&amp;CK Mappings'!$F779))),ISNUMBER(SEARCH(IF(G$2&lt;&gt;"",G$2,"NA"),'MITRE ATT&amp;CK Mappings'!$G779))),ISNUMBER(SEARCH(IF(G$2&lt;&gt;"",G$2,"NA"),'MITRE ATT&amp;CK Mappings'!$H779))),ISNUMBER(SEARCH(IF(G$3&lt;&gt;"",G$3,"NA"),'MITRE ATT&amp;CK Mappings'!$I779))),ISNUMBER(SEARCH(IF(G$3&lt;&gt;"",G$3,"NA"),'MITRE ATT&amp;CK Mappings'!$J779))), 'MITRE ATT&amp;CK Mappings'!$B779,"")</f>
        <v/>
      </c>
      <c r="H783" s="27" t="str">
        <f>IF(OR(OR(OR(OR(OR(ISNUMBER(SEARCH(IF(H$1&lt;&gt;"",H$1,"NA"),'MITRE ATT&amp;CK Mappings'!$E779)),ISNUMBER(SEARCH(IF(H$1&lt;&gt;"",H$1,"NA"),'MITRE ATT&amp;CK Mappings'!$F779))),ISNUMBER(SEARCH(IF(H$2&lt;&gt;"",H$2,"NA"),'MITRE ATT&amp;CK Mappings'!$G779))),ISNUMBER(SEARCH(IF(H$2&lt;&gt;"",H$2,"NA"),'MITRE ATT&amp;CK Mappings'!$H779))),ISNUMBER(SEARCH(IF(H$3&lt;&gt;"",H$3,"NA"),'MITRE ATT&amp;CK Mappings'!$I779))),ISNUMBER(SEARCH(IF(H$3&lt;&gt;"",H$3,"NA"),'MITRE ATT&amp;CK Mappings'!$J779))), 'MITRE ATT&amp;CK Mappings'!$B779,"")</f>
        <v/>
      </c>
      <c r="I783" s="27" t="str">
        <f>IF(OR(OR(OR(OR(OR(ISNUMBER(SEARCH(IF(I$1&lt;&gt;"",I$1,"NA"),'MITRE ATT&amp;CK Mappings'!$E779)),ISNUMBER(SEARCH(IF(I$1&lt;&gt;"",I$1,"NA"),'MITRE ATT&amp;CK Mappings'!$F779))),ISNUMBER(SEARCH(IF(I$2&lt;&gt;"",I$2,"NA"),'MITRE ATT&amp;CK Mappings'!$G779))),ISNUMBER(SEARCH(IF(I$2&lt;&gt;"",I$2,"NA"),'MITRE ATT&amp;CK Mappings'!$H779))),ISNUMBER(SEARCH(IF(I$3&lt;&gt;"",I$3,"NA"),'MITRE ATT&amp;CK Mappings'!$I779))),ISNUMBER(SEARCH(IF(I$3&lt;&gt;"",I$3,"NA"),'MITRE ATT&amp;CK Mappings'!$J779))), 'MITRE ATT&amp;CK Mappings'!$B779,"")</f>
        <v/>
      </c>
      <c r="J783" s="27" t="str">
        <f>IF(OR(OR(OR(OR(OR(ISNUMBER(SEARCH(IF(J$1&lt;&gt;"",J$1,"NA"),'MITRE ATT&amp;CK Mappings'!$E779)),ISNUMBER(SEARCH(IF(J$1&lt;&gt;"",J$1,"NA"),'MITRE ATT&amp;CK Mappings'!$F779))),ISNUMBER(SEARCH(IF(J$2&lt;&gt;"",J$2,"NA"),'MITRE ATT&amp;CK Mappings'!$G779))),ISNUMBER(SEARCH(IF(J$2&lt;&gt;"",J$2,"NA"),'MITRE ATT&amp;CK Mappings'!$H779))),ISNUMBER(SEARCH(IF(J$3&lt;&gt;"",J$3,"NA"),'MITRE ATT&amp;CK Mappings'!$I779))),ISNUMBER(SEARCH(IF(J$3&lt;&gt;"",J$3,"NA"),'MITRE ATT&amp;CK Mappings'!$J779))), 'MITRE ATT&amp;CK Mappings'!$B779,"")</f>
        <v/>
      </c>
      <c r="K783" s="27" t="str">
        <f>IF(OR(OR(OR(OR(OR(ISNUMBER(SEARCH(IF(K$1&lt;&gt;"",K$1,"NA"),'MITRE ATT&amp;CK Mappings'!$E779)),ISNUMBER(SEARCH(IF(K$1&lt;&gt;"",K$1,"NA"),'MITRE ATT&amp;CK Mappings'!$F779))),ISNUMBER(SEARCH(IF(K$2&lt;&gt;"",K$2,"NA"),'MITRE ATT&amp;CK Mappings'!$G779))),ISNUMBER(SEARCH(IF(K$2&lt;&gt;"",K$2,"NA"),'MITRE ATT&amp;CK Mappings'!$H779))),ISNUMBER(SEARCH(IF(K$3&lt;&gt;"",K$3,"NA"),'MITRE ATT&amp;CK Mappings'!$I779))),ISNUMBER(SEARCH(IF(K$3&lt;&gt;"",K$3,"NA"),'MITRE ATT&amp;CK Mappings'!$J779))), 'MITRE ATT&amp;CK Mappings'!$B779,"")</f>
        <v/>
      </c>
      <c r="L783" s="27" t="str">
        <f>IF('MITRE ATT&amp;CK Mappings'!D779 &lt;&gt;"",'MITRE ATT&amp;CK Mappings'!D779,"" )</f>
        <v/>
      </c>
    </row>
    <row r="784" spans="1:12" x14ac:dyDescent="0.25">
      <c r="A784" s="26" t="str">
        <f>IF(COUNTIF(B784:K784,"="&amp;'MITRE ATT&amp;CK Mappings'!B780)&gt;0,'MITRE ATT&amp;CK Mappings'!B780,"")</f>
        <v/>
      </c>
      <c r="B784" s="26" t="str">
        <f>IF(OR(OR(OR(OR(OR(ISNUMBER(SEARCH(IF(B$1&lt;&gt;"",B$1,"NA"),'MITRE ATT&amp;CK Mappings'!$E780)),ISNUMBER(SEARCH(IF(B$1&lt;&gt;"",B$1,"NA"),'MITRE ATT&amp;CK Mappings'!$F780))),ISNUMBER(SEARCH(IF(B$2&lt;&gt;"",B$2,"NA"),'MITRE ATT&amp;CK Mappings'!$G780))),ISNUMBER(SEARCH(IF(B$2&lt;&gt;"",B$2,"NA"),'MITRE ATT&amp;CK Mappings'!$H780))),ISNUMBER(SEARCH(IF(B$3&lt;&gt;"",B$3,"NA"),'MITRE ATT&amp;CK Mappings'!$I780))),ISNUMBER(SEARCH(IF(B$3&lt;&gt;"",B$3,"NA"),'MITRE ATT&amp;CK Mappings'!$J780))), 'MITRE ATT&amp;CK Mappings'!$B780,"")</f>
        <v/>
      </c>
      <c r="C784" s="26" t="str">
        <f>IF(OR(OR(OR(OR(OR(ISNUMBER(SEARCH(IF(C$1&lt;&gt;"",C$1,"NA"),'MITRE ATT&amp;CK Mappings'!$E780)),ISNUMBER(SEARCH(IF(C$1&lt;&gt;"",C$1,"NA"),'MITRE ATT&amp;CK Mappings'!$F780))),ISNUMBER(SEARCH(IF(C$2&lt;&gt;"",C$2,"NA"),'MITRE ATT&amp;CK Mappings'!$G780))),ISNUMBER(SEARCH(IF(C$2&lt;&gt;"",C$2,"NA"),'MITRE ATT&amp;CK Mappings'!$H780))),ISNUMBER(SEARCH(IF(C$3&lt;&gt;"",C$3,"NA"),'MITRE ATT&amp;CK Mappings'!$I780))),ISNUMBER(SEARCH(IF(C$3&lt;&gt;"",C$3,"NA"),'MITRE ATT&amp;CK Mappings'!$J780))), 'MITRE ATT&amp;CK Mappings'!$B780,"")</f>
        <v/>
      </c>
      <c r="D784" s="26" t="str">
        <f>IF(OR(OR(OR(OR(OR(ISNUMBER(SEARCH(IF(D$1&lt;&gt;"",D$1,"NA"),'MITRE ATT&amp;CK Mappings'!$E780)),ISNUMBER(SEARCH(IF(D$1&lt;&gt;"",D$1,"NA"),'MITRE ATT&amp;CK Mappings'!$F780))),ISNUMBER(SEARCH(IF(D$2&lt;&gt;"",D$2,"NA"),'MITRE ATT&amp;CK Mappings'!$G780))),ISNUMBER(SEARCH(IF(D$2&lt;&gt;"",D$2,"NA"),'MITRE ATT&amp;CK Mappings'!$H780))),ISNUMBER(SEARCH(IF(D$3&lt;&gt;"",D$3,"NA"),'MITRE ATT&amp;CK Mappings'!$I780))),ISNUMBER(SEARCH(IF(D$3&lt;&gt;"",D$3,"NA"),'MITRE ATT&amp;CK Mappings'!$J780))), 'MITRE ATT&amp;CK Mappings'!$B780,"")</f>
        <v/>
      </c>
      <c r="E784" s="26" t="str">
        <f>IF(OR(OR(OR(OR(OR(ISNUMBER(SEARCH(IF(E$1&lt;&gt;"",E$1,"NA"),'MITRE ATT&amp;CK Mappings'!$E780)),ISNUMBER(SEARCH(IF(E$1&lt;&gt;"",E$1,"NA"),'MITRE ATT&amp;CK Mappings'!$F780))),ISNUMBER(SEARCH(IF(E$2&lt;&gt;"",E$2,"NA"),'MITRE ATT&amp;CK Mappings'!$G780))),ISNUMBER(SEARCH(IF(E$2&lt;&gt;"",E$2,"NA"),'MITRE ATT&amp;CK Mappings'!$H780))),ISNUMBER(SEARCH(IF(E$3&lt;&gt;"",E$3,"NA"),'MITRE ATT&amp;CK Mappings'!$I780))),ISNUMBER(SEARCH(IF(E$3&lt;&gt;"",E$3,"NA"),'MITRE ATT&amp;CK Mappings'!$J780))), 'MITRE ATT&amp;CK Mappings'!$B780,"")</f>
        <v/>
      </c>
      <c r="F784" s="26" t="str">
        <f>IF(OR(OR(OR(OR(OR(ISNUMBER(SEARCH(IF(F$1&lt;&gt;"",F$1,"NA"),'MITRE ATT&amp;CK Mappings'!$E780)),ISNUMBER(SEARCH(IF(F$1&lt;&gt;"",F$1,"NA"),'MITRE ATT&amp;CK Mappings'!$F780))),ISNUMBER(SEARCH(IF(F$2&lt;&gt;"",F$2,"NA"),'MITRE ATT&amp;CK Mappings'!$G780))),ISNUMBER(SEARCH(IF(F$2&lt;&gt;"",F$2,"NA"),'MITRE ATT&amp;CK Mappings'!$H780))),ISNUMBER(SEARCH(IF(F$3&lt;&gt;"",F$3,"NA"),'MITRE ATT&amp;CK Mappings'!$I780))),ISNUMBER(SEARCH(IF(F$3&lt;&gt;"",F$3,"NA"),'MITRE ATT&amp;CK Mappings'!$J780))), 'MITRE ATT&amp;CK Mappings'!$B780,"")</f>
        <v/>
      </c>
      <c r="G784" s="26" t="str">
        <f>IF(OR(OR(OR(OR(OR(ISNUMBER(SEARCH(IF(G$1&lt;&gt;"",G$1,"NA"),'MITRE ATT&amp;CK Mappings'!$E780)),ISNUMBER(SEARCH(IF(G$1&lt;&gt;"",G$1,"NA"),'MITRE ATT&amp;CK Mappings'!$F780))),ISNUMBER(SEARCH(IF(G$2&lt;&gt;"",G$2,"NA"),'MITRE ATT&amp;CK Mappings'!$G780))),ISNUMBER(SEARCH(IF(G$2&lt;&gt;"",G$2,"NA"),'MITRE ATT&amp;CK Mappings'!$H780))),ISNUMBER(SEARCH(IF(G$3&lt;&gt;"",G$3,"NA"),'MITRE ATT&amp;CK Mappings'!$I780))),ISNUMBER(SEARCH(IF(G$3&lt;&gt;"",G$3,"NA"),'MITRE ATT&amp;CK Mappings'!$J780))), 'MITRE ATT&amp;CK Mappings'!$B780,"")</f>
        <v/>
      </c>
      <c r="H784" s="26" t="str">
        <f>IF(OR(OR(OR(OR(OR(ISNUMBER(SEARCH(IF(H$1&lt;&gt;"",H$1,"NA"),'MITRE ATT&amp;CK Mappings'!$E780)),ISNUMBER(SEARCH(IF(H$1&lt;&gt;"",H$1,"NA"),'MITRE ATT&amp;CK Mappings'!$F780))),ISNUMBER(SEARCH(IF(H$2&lt;&gt;"",H$2,"NA"),'MITRE ATT&amp;CK Mappings'!$G780))),ISNUMBER(SEARCH(IF(H$2&lt;&gt;"",H$2,"NA"),'MITRE ATT&amp;CK Mappings'!$H780))),ISNUMBER(SEARCH(IF(H$3&lt;&gt;"",H$3,"NA"),'MITRE ATT&amp;CK Mappings'!$I780))),ISNUMBER(SEARCH(IF(H$3&lt;&gt;"",H$3,"NA"),'MITRE ATT&amp;CK Mappings'!$J780))), 'MITRE ATT&amp;CK Mappings'!$B780,"")</f>
        <v/>
      </c>
      <c r="I784" s="26" t="str">
        <f>IF(OR(OR(OR(OR(OR(ISNUMBER(SEARCH(IF(I$1&lt;&gt;"",I$1,"NA"),'MITRE ATT&amp;CK Mappings'!$E780)),ISNUMBER(SEARCH(IF(I$1&lt;&gt;"",I$1,"NA"),'MITRE ATT&amp;CK Mappings'!$F780))),ISNUMBER(SEARCH(IF(I$2&lt;&gt;"",I$2,"NA"),'MITRE ATT&amp;CK Mappings'!$G780))),ISNUMBER(SEARCH(IF(I$2&lt;&gt;"",I$2,"NA"),'MITRE ATT&amp;CK Mappings'!$H780))),ISNUMBER(SEARCH(IF(I$3&lt;&gt;"",I$3,"NA"),'MITRE ATT&amp;CK Mappings'!$I780))),ISNUMBER(SEARCH(IF(I$3&lt;&gt;"",I$3,"NA"),'MITRE ATT&amp;CK Mappings'!$J780))), 'MITRE ATT&amp;CK Mappings'!$B780,"")</f>
        <v/>
      </c>
      <c r="J784" s="26" t="str">
        <f>IF(OR(OR(OR(OR(OR(ISNUMBER(SEARCH(IF(J$1&lt;&gt;"",J$1,"NA"),'MITRE ATT&amp;CK Mappings'!$E780)),ISNUMBER(SEARCH(IF(J$1&lt;&gt;"",J$1,"NA"),'MITRE ATT&amp;CK Mappings'!$F780))),ISNUMBER(SEARCH(IF(J$2&lt;&gt;"",J$2,"NA"),'MITRE ATT&amp;CK Mappings'!$G780))),ISNUMBER(SEARCH(IF(J$2&lt;&gt;"",J$2,"NA"),'MITRE ATT&amp;CK Mappings'!$H780))),ISNUMBER(SEARCH(IF(J$3&lt;&gt;"",J$3,"NA"),'MITRE ATT&amp;CK Mappings'!$I780))),ISNUMBER(SEARCH(IF(J$3&lt;&gt;"",J$3,"NA"),'MITRE ATT&amp;CK Mappings'!$J780))), 'MITRE ATT&amp;CK Mappings'!$B780,"")</f>
        <v/>
      </c>
      <c r="K784" s="26" t="str">
        <f>IF(OR(OR(OR(OR(OR(ISNUMBER(SEARCH(IF(K$1&lt;&gt;"",K$1,"NA"),'MITRE ATT&amp;CK Mappings'!$E780)),ISNUMBER(SEARCH(IF(K$1&lt;&gt;"",K$1,"NA"),'MITRE ATT&amp;CK Mappings'!$F780))),ISNUMBER(SEARCH(IF(K$2&lt;&gt;"",K$2,"NA"),'MITRE ATT&amp;CK Mappings'!$G780))),ISNUMBER(SEARCH(IF(K$2&lt;&gt;"",K$2,"NA"),'MITRE ATT&amp;CK Mappings'!$H780))),ISNUMBER(SEARCH(IF(K$3&lt;&gt;"",K$3,"NA"),'MITRE ATT&amp;CK Mappings'!$I780))),ISNUMBER(SEARCH(IF(K$3&lt;&gt;"",K$3,"NA"),'MITRE ATT&amp;CK Mappings'!$J780))), 'MITRE ATT&amp;CK Mappings'!$B780,"")</f>
        <v/>
      </c>
      <c r="L784" s="26" t="str">
        <f>IF('MITRE ATT&amp;CK Mappings'!D780 &lt;&gt;"",'MITRE ATT&amp;CK Mappings'!D780,"" )</f>
        <v/>
      </c>
    </row>
    <row r="785" spans="1:12" x14ac:dyDescent="0.25">
      <c r="A785" s="27" t="str">
        <f>IF(COUNTIF(B785:K785,"="&amp;'MITRE ATT&amp;CK Mappings'!B781)&gt;0,'MITRE ATT&amp;CK Mappings'!B781,"")</f>
        <v/>
      </c>
      <c r="B785" s="27" t="str">
        <f>IF(OR(OR(OR(OR(OR(ISNUMBER(SEARCH(IF(B$1&lt;&gt;"",B$1,"NA"),'MITRE ATT&amp;CK Mappings'!$E781)),ISNUMBER(SEARCH(IF(B$1&lt;&gt;"",B$1,"NA"),'MITRE ATT&amp;CK Mappings'!$F781))),ISNUMBER(SEARCH(IF(B$2&lt;&gt;"",B$2,"NA"),'MITRE ATT&amp;CK Mappings'!$G781))),ISNUMBER(SEARCH(IF(B$2&lt;&gt;"",B$2,"NA"),'MITRE ATT&amp;CK Mappings'!$H781))),ISNUMBER(SEARCH(IF(B$3&lt;&gt;"",B$3,"NA"),'MITRE ATT&amp;CK Mappings'!$I781))),ISNUMBER(SEARCH(IF(B$3&lt;&gt;"",B$3,"NA"),'MITRE ATT&amp;CK Mappings'!$J781))), 'MITRE ATT&amp;CK Mappings'!$B781,"")</f>
        <v/>
      </c>
      <c r="C785" s="27" t="str">
        <f>IF(OR(OR(OR(OR(OR(ISNUMBER(SEARCH(IF(C$1&lt;&gt;"",C$1,"NA"),'MITRE ATT&amp;CK Mappings'!$E781)),ISNUMBER(SEARCH(IF(C$1&lt;&gt;"",C$1,"NA"),'MITRE ATT&amp;CK Mappings'!$F781))),ISNUMBER(SEARCH(IF(C$2&lt;&gt;"",C$2,"NA"),'MITRE ATT&amp;CK Mappings'!$G781))),ISNUMBER(SEARCH(IF(C$2&lt;&gt;"",C$2,"NA"),'MITRE ATT&amp;CK Mappings'!$H781))),ISNUMBER(SEARCH(IF(C$3&lt;&gt;"",C$3,"NA"),'MITRE ATT&amp;CK Mappings'!$I781))),ISNUMBER(SEARCH(IF(C$3&lt;&gt;"",C$3,"NA"),'MITRE ATT&amp;CK Mappings'!$J781))), 'MITRE ATT&amp;CK Mappings'!$B781,"")</f>
        <v/>
      </c>
      <c r="D785" s="27" t="str">
        <f>IF(OR(OR(OR(OR(OR(ISNUMBER(SEARCH(IF(D$1&lt;&gt;"",D$1,"NA"),'MITRE ATT&amp;CK Mappings'!$E781)),ISNUMBER(SEARCH(IF(D$1&lt;&gt;"",D$1,"NA"),'MITRE ATT&amp;CK Mappings'!$F781))),ISNUMBER(SEARCH(IF(D$2&lt;&gt;"",D$2,"NA"),'MITRE ATT&amp;CK Mappings'!$G781))),ISNUMBER(SEARCH(IF(D$2&lt;&gt;"",D$2,"NA"),'MITRE ATT&amp;CK Mappings'!$H781))),ISNUMBER(SEARCH(IF(D$3&lt;&gt;"",D$3,"NA"),'MITRE ATT&amp;CK Mappings'!$I781))),ISNUMBER(SEARCH(IF(D$3&lt;&gt;"",D$3,"NA"),'MITRE ATT&amp;CK Mappings'!$J781))), 'MITRE ATT&amp;CK Mappings'!$B781,"")</f>
        <v/>
      </c>
      <c r="E785" s="27" t="str">
        <f>IF(OR(OR(OR(OR(OR(ISNUMBER(SEARCH(IF(E$1&lt;&gt;"",E$1,"NA"),'MITRE ATT&amp;CK Mappings'!$E781)),ISNUMBER(SEARCH(IF(E$1&lt;&gt;"",E$1,"NA"),'MITRE ATT&amp;CK Mappings'!$F781))),ISNUMBER(SEARCH(IF(E$2&lt;&gt;"",E$2,"NA"),'MITRE ATT&amp;CK Mappings'!$G781))),ISNUMBER(SEARCH(IF(E$2&lt;&gt;"",E$2,"NA"),'MITRE ATT&amp;CK Mappings'!$H781))),ISNUMBER(SEARCH(IF(E$3&lt;&gt;"",E$3,"NA"),'MITRE ATT&amp;CK Mappings'!$I781))),ISNUMBER(SEARCH(IF(E$3&lt;&gt;"",E$3,"NA"),'MITRE ATT&amp;CK Mappings'!$J781))), 'MITRE ATT&amp;CK Mappings'!$B781,"")</f>
        <v/>
      </c>
      <c r="F785" s="27" t="str">
        <f>IF(OR(OR(OR(OR(OR(ISNUMBER(SEARCH(IF(F$1&lt;&gt;"",F$1,"NA"),'MITRE ATT&amp;CK Mappings'!$E781)),ISNUMBER(SEARCH(IF(F$1&lt;&gt;"",F$1,"NA"),'MITRE ATT&amp;CK Mappings'!$F781))),ISNUMBER(SEARCH(IF(F$2&lt;&gt;"",F$2,"NA"),'MITRE ATT&amp;CK Mappings'!$G781))),ISNUMBER(SEARCH(IF(F$2&lt;&gt;"",F$2,"NA"),'MITRE ATT&amp;CK Mappings'!$H781))),ISNUMBER(SEARCH(IF(F$3&lt;&gt;"",F$3,"NA"),'MITRE ATT&amp;CK Mappings'!$I781))),ISNUMBER(SEARCH(IF(F$3&lt;&gt;"",F$3,"NA"),'MITRE ATT&amp;CK Mappings'!$J781))), 'MITRE ATT&amp;CK Mappings'!$B781,"")</f>
        <v/>
      </c>
      <c r="G785" s="27" t="str">
        <f>IF(OR(OR(OR(OR(OR(ISNUMBER(SEARCH(IF(G$1&lt;&gt;"",G$1,"NA"),'MITRE ATT&amp;CK Mappings'!$E781)),ISNUMBER(SEARCH(IF(G$1&lt;&gt;"",G$1,"NA"),'MITRE ATT&amp;CK Mappings'!$F781))),ISNUMBER(SEARCH(IF(G$2&lt;&gt;"",G$2,"NA"),'MITRE ATT&amp;CK Mappings'!$G781))),ISNUMBER(SEARCH(IF(G$2&lt;&gt;"",G$2,"NA"),'MITRE ATT&amp;CK Mappings'!$H781))),ISNUMBER(SEARCH(IF(G$3&lt;&gt;"",G$3,"NA"),'MITRE ATT&amp;CK Mappings'!$I781))),ISNUMBER(SEARCH(IF(G$3&lt;&gt;"",G$3,"NA"),'MITRE ATT&amp;CK Mappings'!$J781))), 'MITRE ATT&amp;CK Mappings'!$B781,"")</f>
        <v/>
      </c>
      <c r="H785" s="27" t="str">
        <f>IF(OR(OR(OR(OR(OR(ISNUMBER(SEARCH(IF(H$1&lt;&gt;"",H$1,"NA"),'MITRE ATT&amp;CK Mappings'!$E781)),ISNUMBER(SEARCH(IF(H$1&lt;&gt;"",H$1,"NA"),'MITRE ATT&amp;CK Mappings'!$F781))),ISNUMBER(SEARCH(IF(H$2&lt;&gt;"",H$2,"NA"),'MITRE ATT&amp;CK Mappings'!$G781))),ISNUMBER(SEARCH(IF(H$2&lt;&gt;"",H$2,"NA"),'MITRE ATT&amp;CK Mappings'!$H781))),ISNUMBER(SEARCH(IF(H$3&lt;&gt;"",H$3,"NA"),'MITRE ATT&amp;CK Mappings'!$I781))),ISNUMBER(SEARCH(IF(H$3&lt;&gt;"",H$3,"NA"),'MITRE ATT&amp;CK Mappings'!$J781))), 'MITRE ATT&amp;CK Mappings'!$B781,"")</f>
        <v/>
      </c>
      <c r="I785" s="27" t="str">
        <f>IF(OR(OR(OR(OR(OR(ISNUMBER(SEARCH(IF(I$1&lt;&gt;"",I$1,"NA"),'MITRE ATT&amp;CK Mappings'!$E781)),ISNUMBER(SEARCH(IF(I$1&lt;&gt;"",I$1,"NA"),'MITRE ATT&amp;CK Mappings'!$F781))),ISNUMBER(SEARCH(IF(I$2&lt;&gt;"",I$2,"NA"),'MITRE ATT&amp;CK Mappings'!$G781))),ISNUMBER(SEARCH(IF(I$2&lt;&gt;"",I$2,"NA"),'MITRE ATT&amp;CK Mappings'!$H781))),ISNUMBER(SEARCH(IF(I$3&lt;&gt;"",I$3,"NA"),'MITRE ATT&amp;CK Mappings'!$I781))),ISNUMBER(SEARCH(IF(I$3&lt;&gt;"",I$3,"NA"),'MITRE ATT&amp;CK Mappings'!$J781))), 'MITRE ATT&amp;CK Mappings'!$B781,"")</f>
        <v/>
      </c>
      <c r="J785" s="27" t="str">
        <f>IF(OR(OR(OR(OR(OR(ISNUMBER(SEARCH(IF(J$1&lt;&gt;"",J$1,"NA"),'MITRE ATT&amp;CK Mappings'!$E781)),ISNUMBER(SEARCH(IF(J$1&lt;&gt;"",J$1,"NA"),'MITRE ATT&amp;CK Mappings'!$F781))),ISNUMBER(SEARCH(IF(J$2&lt;&gt;"",J$2,"NA"),'MITRE ATT&amp;CK Mappings'!$G781))),ISNUMBER(SEARCH(IF(J$2&lt;&gt;"",J$2,"NA"),'MITRE ATT&amp;CK Mappings'!$H781))),ISNUMBER(SEARCH(IF(J$3&lt;&gt;"",J$3,"NA"),'MITRE ATT&amp;CK Mappings'!$I781))),ISNUMBER(SEARCH(IF(J$3&lt;&gt;"",J$3,"NA"),'MITRE ATT&amp;CK Mappings'!$J781))), 'MITRE ATT&amp;CK Mappings'!$B781,"")</f>
        <v/>
      </c>
      <c r="K785" s="27" t="str">
        <f>IF(OR(OR(OR(OR(OR(ISNUMBER(SEARCH(IF(K$1&lt;&gt;"",K$1,"NA"),'MITRE ATT&amp;CK Mappings'!$E781)),ISNUMBER(SEARCH(IF(K$1&lt;&gt;"",K$1,"NA"),'MITRE ATT&amp;CK Mappings'!$F781))),ISNUMBER(SEARCH(IF(K$2&lt;&gt;"",K$2,"NA"),'MITRE ATT&amp;CK Mappings'!$G781))),ISNUMBER(SEARCH(IF(K$2&lt;&gt;"",K$2,"NA"),'MITRE ATT&amp;CK Mappings'!$H781))),ISNUMBER(SEARCH(IF(K$3&lt;&gt;"",K$3,"NA"),'MITRE ATT&amp;CK Mappings'!$I781))),ISNUMBER(SEARCH(IF(K$3&lt;&gt;"",K$3,"NA"),'MITRE ATT&amp;CK Mappings'!$J781))), 'MITRE ATT&amp;CK Mappings'!$B781,"")</f>
        <v/>
      </c>
      <c r="L785" s="27" t="str">
        <f>IF('MITRE ATT&amp;CK Mappings'!D781 &lt;&gt;"",'MITRE ATT&amp;CK Mappings'!D781,"" )</f>
        <v/>
      </c>
    </row>
    <row r="786" spans="1:12" x14ac:dyDescent="0.25">
      <c r="A786" s="26" t="str">
        <f>IF(COUNTIF(B786:K786,"="&amp;'MITRE ATT&amp;CK Mappings'!B782)&gt;0,'MITRE ATT&amp;CK Mappings'!B782,"")</f>
        <v/>
      </c>
      <c r="B786" s="26" t="str">
        <f>IF(OR(OR(OR(OR(OR(ISNUMBER(SEARCH(IF(B$1&lt;&gt;"",B$1,"NA"),'MITRE ATT&amp;CK Mappings'!$E782)),ISNUMBER(SEARCH(IF(B$1&lt;&gt;"",B$1,"NA"),'MITRE ATT&amp;CK Mappings'!$F782))),ISNUMBER(SEARCH(IF(B$2&lt;&gt;"",B$2,"NA"),'MITRE ATT&amp;CK Mappings'!$G782))),ISNUMBER(SEARCH(IF(B$2&lt;&gt;"",B$2,"NA"),'MITRE ATT&amp;CK Mappings'!$H782))),ISNUMBER(SEARCH(IF(B$3&lt;&gt;"",B$3,"NA"),'MITRE ATT&amp;CK Mappings'!$I782))),ISNUMBER(SEARCH(IF(B$3&lt;&gt;"",B$3,"NA"),'MITRE ATT&amp;CK Mappings'!$J782))), 'MITRE ATT&amp;CK Mappings'!$B782,"")</f>
        <v/>
      </c>
      <c r="C786" s="26" t="str">
        <f>IF(OR(OR(OR(OR(OR(ISNUMBER(SEARCH(IF(C$1&lt;&gt;"",C$1,"NA"),'MITRE ATT&amp;CK Mappings'!$E782)),ISNUMBER(SEARCH(IF(C$1&lt;&gt;"",C$1,"NA"),'MITRE ATT&amp;CK Mappings'!$F782))),ISNUMBER(SEARCH(IF(C$2&lt;&gt;"",C$2,"NA"),'MITRE ATT&amp;CK Mappings'!$G782))),ISNUMBER(SEARCH(IF(C$2&lt;&gt;"",C$2,"NA"),'MITRE ATT&amp;CK Mappings'!$H782))),ISNUMBER(SEARCH(IF(C$3&lt;&gt;"",C$3,"NA"),'MITRE ATT&amp;CK Mappings'!$I782))),ISNUMBER(SEARCH(IF(C$3&lt;&gt;"",C$3,"NA"),'MITRE ATT&amp;CK Mappings'!$J782))), 'MITRE ATT&amp;CK Mappings'!$B782,"")</f>
        <v/>
      </c>
      <c r="D786" s="26" t="str">
        <f>IF(OR(OR(OR(OR(OR(ISNUMBER(SEARCH(IF(D$1&lt;&gt;"",D$1,"NA"),'MITRE ATT&amp;CK Mappings'!$E782)),ISNUMBER(SEARCH(IF(D$1&lt;&gt;"",D$1,"NA"),'MITRE ATT&amp;CK Mappings'!$F782))),ISNUMBER(SEARCH(IF(D$2&lt;&gt;"",D$2,"NA"),'MITRE ATT&amp;CK Mappings'!$G782))),ISNUMBER(SEARCH(IF(D$2&lt;&gt;"",D$2,"NA"),'MITRE ATT&amp;CK Mappings'!$H782))),ISNUMBER(SEARCH(IF(D$3&lt;&gt;"",D$3,"NA"),'MITRE ATT&amp;CK Mappings'!$I782))),ISNUMBER(SEARCH(IF(D$3&lt;&gt;"",D$3,"NA"),'MITRE ATT&amp;CK Mappings'!$J782))), 'MITRE ATT&amp;CK Mappings'!$B782,"")</f>
        <v/>
      </c>
      <c r="E786" s="26" t="str">
        <f>IF(OR(OR(OR(OR(OR(ISNUMBER(SEARCH(IF(E$1&lt;&gt;"",E$1,"NA"),'MITRE ATT&amp;CK Mappings'!$E782)),ISNUMBER(SEARCH(IF(E$1&lt;&gt;"",E$1,"NA"),'MITRE ATT&amp;CK Mappings'!$F782))),ISNUMBER(SEARCH(IF(E$2&lt;&gt;"",E$2,"NA"),'MITRE ATT&amp;CK Mappings'!$G782))),ISNUMBER(SEARCH(IF(E$2&lt;&gt;"",E$2,"NA"),'MITRE ATT&amp;CK Mappings'!$H782))),ISNUMBER(SEARCH(IF(E$3&lt;&gt;"",E$3,"NA"),'MITRE ATT&amp;CK Mappings'!$I782))),ISNUMBER(SEARCH(IF(E$3&lt;&gt;"",E$3,"NA"),'MITRE ATT&amp;CK Mappings'!$J782))), 'MITRE ATT&amp;CK Mappings'!$B782,"")</f>
        <v/>
      </c>
      <c r="F786" s="26" t="str">
        <f>IF(OR(OR(OR(OR(OR(ISNUMBER(SEARCH(IF(F$1&lt;&gt;"",F$1,"NA"),'MITRE ATT&amp;CK Mappings'!$E782)),ISNUMBER(SEARCH(IF(F$1&lt;&gt;"",F$1,"NA"),'MITRE ATT&amp;CK Mappings'!$F782))),ISNUMBER(SEARCH(IF(F$2&lt;&gt;"",F$2,"NA"),'MITRE ATT&amp;CK Mappings'!$G782))),ISNUMBER(SEARCH(IF(F$2&lt;&gt;"",F$2,"NA"),'MITRE ATT&amp;CK Mappings'!$H782))),ISNUMBER(SEARCH(IF(F$3&lt;&gt;"",F$3,"NA"),'MITRE ATT&amp;CK Mappings'!$I782))),ISNUMBER(SEARCH(IF(F$3&lt;&gt;"",F$3,"NA"),'MITRE ATT&amp;CK Mappings'!$J782))), 'MITRE ATT&amp;CK Mappings'!$B782,"")</f>
        <v/>
      </c>
      <c r="G786" s="26" t="str">
        <f>IF(OR(OR(OR(OR(OR(ISNUMBER(SEARCH(IF(G$1&lt;&gt;"",G$1,"NA"),'MITRE ATT&amp;CK Mappings'!$E782)),ISNUMBER(SEARCH(IF(G$1&lt;&gt;"",G$1,"NA"),'MITRE ATT&amp;CK Mappings'!$F782))),ISNUMBER(SEARCH(IF(G$2&lt;&gt;"",G$2,"NA"),'MITRE ATT&amp;CK Mappings'!$G782))),ISNUMBER(SEARCH(IF(G$2&lt;&gt;"",G$2,"NA"),'MITRE ATT&amp;CK Mappings'!$H782))),ISNUMBER(SEARCH(IF(G$3&lt;&gt;"",G$3,"NA"),'MITRE ATT&amp;CK Mappings'!$I782))),ISNUMBER(SEARCH(IF(G$3&lt;&gt;"",G$3,"NA"),'MITRE ATT&amp;CK Mappings'!$J782))), 'MITRE ATT&amp;CK Mappings'!$B782,"")</f>
        <v/>
      </c>
      <c r="H786" s="26" t="str">
        <f>IF(OR(OR(OR(OR(OR(ISNUMBER(SEARCH(IF(H$1&lt;&gt;"",H$1,"NA"),'MITRE ATT&amp;CK Mappings'!$E782)),ISNUMBER(SEARCH(IF(H$1&lt;&gt;"",H$1,"NA"),'MITRE ATT&amp;CK Mappings'!$F782))),ISNUMBER(SEARCH(IF(H$2&lt;&gt;"",H$2,"NA"),'MITRE ATT&amp;CK Mappings'!$G782))),ISNUMBER(SEARCH(IF(H$2&lt;&gt;"",H$2,"NA"),'MITRE ATT&amp;CK Mappings'!$H782))),ISNUMBER(SEARCH(IF(H$3&lt;&gt;"",H$3,"NA"),'MITRE ATT&amp;CK Mappings'!$I782))),ISNUMBER(SEARCH(IF(H$3&lt;&gt;"",H$3,"NA"),'MITRE ATT&amp;CK Mappings'!$J782))), 'MITRE ATT&amp;CK Mappings'!$B782,"")</f>
        <v/>
      </c>
      <c r="I786" s="26" t="str">
        <f>IF(OR(OR(OR(OR(OR(ISNUMBER(SEARCH(IF(I$1&lt;&gt;"",I$1,"NA"),'MITRE ATT&amp;CK Mappings'!$E782)),ISNUMBER(SEARCH(IF(I$1&lt;&gt;"",I$1,"NA"),'MITRE ATT&amp;CK Mappings'!$F782))),ISNUMBER(SEARCH(IF(I$2&lt;&gt;"",I$2,"NA"),'MITRE ATT&amp;CK Mappings'!$G782))),ISNUMBER(SEARCH(IF(I$2&lt;&gt;"",I$2,"NA"),'MITRE ATT&amp;CK Mappings'!$H782))),ISNUMBER(SEARCH(IF(I$3&lt;&gt;"",I$3,"NA"),'MITRE ATT&amp;CK Mappings'!$I782))),ISNUMBER(SEARCH(IF(I$3&lt;&gt;"",I$3,"NA"),'MITRE ATT&amp;CK Mappings'!$J782))), 'MITRE ATT&amp;CK Mappings'!$B782,"")</f>
        <v/>
      </c>
      <c r="J786" s="26" t="str">
        <f>IF(OR(OR(OR(OR(OR(ISNUMBER(SEARCH(IF(J$1&lt;&gt;"",J$1,"NA"),'MITRE ATT&amp;CK Mappings'!$E782)),ISNUMBER(SEARCH(IF(J$1&lt;&gt;"",J$1,"NA"),'MITRE ATT&amp;CK Mappings'!$F782))),ISNUMBER(SEARCH(IF(J$2&lt;&gt;"",J$2,"NA"),'MITRE ATT&amp;CK Mappings'!$G782))),ISNUMBER(SEARCH(IF(J$2&lt;&gt;"",J$2,"NA"),'MITRE ATT&amp;CK Mappings'!$H782))),ISNUMBER(SEARCH(IF(J$3&lt;&gt;"",J$3,"NA"),'MITRE ATT&amp;CK Mappings'!$I782))),ISNUMBER(SEARCH(IF(J$3&lt;&gt;"",J$3,"NA"),'MITRE ATT&amp;CK Mappings'!$J782))), 'MITRE ATT&amp;CK Mappings'!$B782,"")</f>
        <v/>
      </c>
      <c r="K786" s="26" t="str">
        <f>IF(OR(OR(OR(OR(OR(ISNUMBER(SEARCH(IF(K$1&lt;&gt;"",K$1,"NA"),'MITRE ATT&amp;CK Mappings'!$E782)),ISNUMBER(SEARCH(IF(K$1&lt;&gt;"",K$1,"NA"),'MITRE ATT&amp;CK Mappings'!$F782))),ISNUMBER(SEARCH(IF(K$2&lt;&gt;"",K$2,"NA"),'MITRE ATT&amp;CK Mappings'!$G782))),ISNUMBER(SEARCH(IF(K$2&lt;&gt;"",K$2,"NA"),'MITRE ATT&amp;CK Mappings'!$H782))),ISNUMBER(SEARCH(IF(K$3&lt;&gt;"",K$3,"NA"),'MITRE ATT&amp;CK Mappings'!$I782))),ISNUMBER(SEARCH(IF(K$3&lt;&gt;"",K$3,"NA"),'MITRE ATT&amp;CK Mappings'!$J782))), 'MITRE ATT&amp;CK Mappings'!$B782,"")</f>
        <v/>
      </c>
      <c r="L786" s="26" t="str">
        <f>IF('MITRE ATT&amp;CK Mappings'!D782 &lt;&gt;"",'MITRE ATT&amp;CK Mappings'!D782,"" )</f>
        <v/>
      </c>
    </row>
    <row r="787" spans="1:12" x14ac:dyDescent="0.25">
      <c r="A787" s="27" t="str">
        <f>IF(COUNTIF(B787:K787,"="&amp;'MITRE ATT&amp;CK Mappings'!B783)&gt;0,'MITRE ATT&amp;CK Mappings'!B783,"")</f>
        <v/>
      </c>
      <c r="B787" s="27" t="str">
        <f>IF(OR(OR(OR(OR(OR(ISNUMBER(SEARCH(IF(B$1&lt;&gt;"",B$1,"NA"),'MITRE ATT&amp;CK Mappings'!$E783)),ISNUMBER(SEARCH(IF(B$1&lt;&gt;"",B$1,"NA"),'MITRE ATT&amp;CK Mappings'!$F783))),ISNUMBER(SEARCH(IF(B$2&lt;&gt;"",B$2,"NA"),'MITRE ATT&amp;CK Mappings'!$G783))),ISNUMBER(SEARCH(IF(B$2&lt;&gt;"",B$2,"NA"),'MITRE ATT&amp;CK Mappings'!$H783))),ISNUMBER(SEARCH(IF(B$3&lt;&gt;"",B$3,"NA"),'MITRE ATT&amp;CK Mappings'!$I783))),ISNUMBER(SEARCH(IF(B$3&lt;&gt;"",B$3,"NA"),'MITRE ATT&amp;CK Mappings'!$J783))), 'MITRE ATT&amp;CK Mappings'!$B783,"")</f>
        <v/>
      </c>
      <c r="C787" s="27" t="str">
        <f>IF(OR(OR(OR(OR(OR(ISNUMBER(SEARCH(IF(C$1&lt;&gt;"",C$1,"NA"),'MITRE ATT&amp;CK Mappings'!$E783)),ISNUMBER(SEARCH(IF(C$1&lt;&gt;"",C$1,"NA"),'MITRE ATT&amp;CK Mappings'!$F783))),ISNUMBER(SEARCH(IF(C$2&lt;&gt;"",C$2,"NA"),'MITRE ATT&amp;CK Mappings'!$G783))),ISNUMBER(SEARCH(IF(C$2&lt;&gt;"",C$2,"NA"),'MITRE ATT&amp;CK Mappings'!$H783))),ISNUMBER(SEARCH(IF(C$3&lt;&gt;"",C$3,"NA"),'MITRE ATT&amp;CK Mappings'!$I783))),ISNUMBER(SEARCH(IF(C$3&lt;&gt;"",C$3,"NA"),'MITRE ATT&amp;CK Mappings'!$J783))), 'MITRE ATT&amp;CK Mappings'!$B783,"")</f>
        <v/>
      </c>
      <c r="D787" s="27" t="str">
        <f>IF(OR(OR(OR(OR(OR(ISNUMBER(SEARCH(IF(D$1&lt;&gt;"",D$1,"NA"),'MITRE ATT&amp;CK Mappings'!$E783)),ISNUMBER(SEARCH(IF(D$1&lt;&gt;"",D$1,"NA"),'MITRE ATT&amp;CK Mappings'!$F783))),ISNUMBER(SEARCH(IF(D$2&lt;&gt;"",D$2,"NA"),'MITRE ATT&amp;CK Mappings'!$G783))),ISNUMBER(SEARCH(IF(D$2&lt;&gt;"",D$2,"NA"),'MITRE ATT&amp;CK Mappings'!$H783))),ISNUMBER(SEARCH(IF(D$3&lt;&gt;"",D$3,"NA"),'MITRE ATT&amp;CK Mappings'!$I783))),ISNUMBER(SEARCH(IF(D$3&lt;&gt;"",D$3,"NA"),'MITRE ATT&amp;CK Mappings'!$J783))), 'MITRE ATT&amp;CK Mappings'!$B783,"")</f>
        <v/>
      </c>
      <c r="E787" s="27" t="str">
        <f>IF(OR(OR(OR(OR(OR(ISNUMBER(SEARCH(IF(E$1&lt;&gt;"",E$1,"NA"),'MITRE ATT&amp;CK Mappings'!$E783)),ISNUMBER(SEARCH(IF(E$1&lt;&gt;"",E$1,"NA"),'MITRE ATT&amp;CK Mappings'!$F783))),ISNUMBER(SEARCH(IF(E$2&lt;&gt;"",E$2,"NA"),'MITRE ATT&amp;CK Mappings'!$G783))),ISNUMBER(SEARCH(IF(E$2&lt;&gt;"",E$2,"NA"),'MITRE ATT&amp;CK Mappings'!$H783))),ISNUMBER(SEARCH(IF(E$3&lt;&gt;"",E$3,"NA"),'MITRE ATT&amp;CK Mappings'!$I783))),ISNUMBER(SEARCH(IF(E$3&lt;&gt;"",E$3,"NA"),'MITRE ATT&amp;CK Mappings'!$J783))), 'MITRE ATT&amp;CK Mappings'!$B783,"")</f>
        <v/>
      </c>
      <c r="F787" s="27" t="str">
        <f>IF(OR(OR(OR(OR(OR(ISNUMBER(SEARCH(IF(F$1&lt;&gt;"",F$1,"NA"),'MITRE ATT&amp;CK Mappings'!$E783)),ISNUMBER(SEARCH(IF(F$1&lt;&gt;"",F$1,"NA"),'MITRE ATT&amp;CK Mappings'!$F783))),ISNUMBER(SEARCH(IF(F$2&lt;&gt;"",F$2,"NA"),'MITRE ATT&amp;CK Mappings'!$G783))),ISNUMBER(SEARCH(IF(F$2&lt;&gt;"",F$2,"NA"),'MITRE ATT&amp;CK Mappings'!$H783))),ISNUMBER(SEARCH(IF(F$3&lt;&gt;"",F$3,"NA"),'MITRE ATT&amp;CK Mappings'!$I783))),ISNUMBER(SEARCH(IF(F$3&lt;&gt;"",F$3,"NA"),'MITRE ATT&amp;CK Mappings'!$J783))), 'MITRE ATT&amp;CK Mappings'!$B783,"")</f>
        <v/>
      </c>
      <c r="G787" s="27" t="str">
        <f>IF(OR(OR(OR(OR(OR(ISNUMBER(SEARCH(IF(G$1&lt;&gt;"",G$1,"NA"),'MITRE ATT&amp;CK Mappings'!$E783)),ISNUMBER(SEARCH(IF(G$1&lt;&gt;"",G$1,"NA"),'MITRE ATT&amp;CK Mappings'!$F783))),ISNUMBER(SEARCH(IF(G$2&lt;&gt;"",G$2,"NA"),'MITRE ATT&amp;CK Mappings'!$G783))),ISNUMBER(SEARCH(IF(G$2&lt;&gt;"",G$2,"NA"),'MITRE ATT&amp;CK Mappings'!$H783))),ISNUMBER(SEARCH(IF(G$3&lt;&gt;"",G$3,"NA"),'MITRE ATT&amp;CK Mappings'!$I783))),ISNUMBER(SEARCH(IF(G$3&lt;&gt;"",G$3,"NA"),'MITRE ATT&amp;CK Mappings'!$J783))), 'MITRE ATT&amp;CK Mappings'!$B783,"")</f>
        <v/>
      </c>
      <c r="H787" s="27" t="str">
        <f>IF(OR(OR(OR(OR(OR(ISNUMBER(SEARCH(IF(H$1&lt;&gt;"",H$1,"NA"),'MITRE ATT&amp;CK Mappings'!$E783)),ISNUMBER(SEARCH(IF(H$1&lt;&gt;"",H$1,"NA"),'MITRE ATT&amp;CK Mappings'!$F783))),ISNUMBER(SEARCH(IF(H$2&lt;&gt;"",H$2,"NA"),'MITRE ATT&amp;CK Mappings'!$G783))),ISNUMBER(SEARCH(IF(H$2&lt;&gt;"",H$2,"NA"),'MITRE ATT&amp;CK Mappings'!$H783))),ISNUMBER(SEARCH(IF(H$3&lt;&gt;"",H$3,"NA"),'MITRE ATT&amp;CK Mappings'!$I783))),ISNUMBER(SEARCH(IF(H$3&lt;&gt;"",H$3,"NA"),'MITRE ATT&amp;CK Mappings'!$J783))), 'MITRE ATT&amp;CK Mappings'!$B783,"")</f>
        <v/>
      </c>
      <c r="I787" s="27" t="str">
        <f>IF(OR(OR(OR(OR(OR(ISNUMBER(SEARCH(IF(I$1&lt;&gt;"",I$1,"NA"),'MITRE ATT&amp;CK Mappings'!$E783)),ISNUMBER(SEARCH(IF(I$1&lt;&gt;"",I$1,"NA"),'MITRE ATT&amp;CK Mappings'!$F783))),ISNUMBER(SEARCH(IF(I$2&lt;&gt;"",I$2,"NA"),'MITRE ATT&amp;CK Mappings'!$G783))),ISNUMBER(SEARCH(IF(I$2&lt;&gt;"",I$2,"NA"),'MITRE ATT&amp;CK Mappings'!$H783))),ISNUMBER(SEARCH(IF(I$3&lt;&gt;"",I$3,"NA"),'MITRE ATT&amp;CK Mappings'!$I783))),ISNUMBER(SEARCH(IF(I$3&lt;&gt;"",I$3,"NA"),'MITRE ATT&amp;CK Mappings'!$J783))), 'MITRE ATT&amp;CK Mappings'!$B783,"")</f>
        <v/>
      </c>
      <c r="J787" s="27" t="str">
        <f>IF(OR(OR(OR(OR(OR(ISNUMBER(SEARCH(IF(J$1&lt;&gt;"",J$1,"NA"),'MITRE ATT&amp;CK Mappings'!$E783)),ISNUMBER(SEARCH(IF(J$1&lt;&gt;"",J$1,"NA"),'MITRE ATT&amp;CK Mappings'!$F783))),ISNUMBER(SEARCH(IF(J$2&lt;&gt;"",J$2,"NA"),'MITRE ATT&amp;CK Mappings'!$G783))),ISNUMBER(SEARCH(IF(J$2&lt;&gt;"",J$2,"NA"),'MITRE ATT&amp;CK Mappings'!$H783))),ISNUMBER(SEARCH(IF(J$3&lt;&gt;"",J$3,"NA"),'MITRE ATT&amp;CK Mappings'!$I783))),ISNUMBER(SEARCH(IF(J$3&lt;&gt;"",J$3,"NA"),'MITRE ATT&amp;CK Mappings'!$J783))), 'MITRE ATT&amp;CK Mappings'!$B783,"")</f>
        <v/>
      </c>
      <c r="K787" s="27" t="str">
        <f>IF(OR(OR(OR(OR(OR(ISNUMBER(SEARCH(IF(K$1&lt;&gt;"",K$1,"NA"),'MITRE ATT&amp;CK Mappings'!$E783)),ISNUMBER(SEARCH(IF(K$1&lt;&gt;"",K$1,"NA"),'MITRE ATT&amp;CK Mappings'!$F783))),ISNUMBER(SEARCH(IF(K$2&lt;&gt;"",K$2,"NA"),'MITRE ATT&amp;CK Mappings'!$G783))),ISNUMBER(SEARCH(IF(K$2&lt;&gt;"",K$2,"NA"),'MITRE ATT&amp;CK Mappings'!$H783))),ISNUMBER(SEARCH(IF(K$3&lt;&gt;"",K$3,"NA"),'MITRE ATT&amp;CK Mappings'!$I783))),ISNUMBER(SEARCH(IF(K$3&lt;&gt;"",K$3,"NA"),'MITRE ATT&amp;CK Mappings'!$J783))), 'MITRE ATT&amp;CK Mappings'!$B783,"")</f>
        <v/>
      </c>
      <c r="L787" s="27" t="str">
        <f>IF('MITRE ATT&amp;CK Mappings'!D783 &lt;&gt;"",'MITRE ATT&amp;CK Mappings'!D783,"" )</f>
        <v/>
      </c>
    </row>
    <row r="788" spans="1:12" x14ac:dyDescent="0.25">
      <c r="A788" s="26" t="str">
        <f>IF(COUNTIF(B788:K788,"="&amp;'MITRE ATT&amp;CK Mappings'!B784)&gt;0,'MITRE ATT&amp;CK Mappings'!B784,"")</f>
        <v/>
      </c>
      <c r="B788" s="26" t="str">
        <f>IF(OR(OR(OR(OR(OR(ISNUMBER(SEARCH(IF(B$1&lt;&gt;"",B$1,"NA"),'MITRE ATT&amp;CK Mappings'!$E784)),ISNUMBER(SEARCH(IF(B$1&lt;&gt;"",B$1,"NA"),'MITRE ATT&amp;CK Mappings'!$F784))),ISNUMBER(SEARCH(IF(B$2&lt;&gt;"",B$2,"NA"),'MITRE ATT&amp;CK Mappings'!$G784))),ISNUMBER(SEARCH(IF(B$2&lt;&gt;"",B$2,"NA"),'MITRE ATT&amp;CK Mappings'!$H784))),ISNUMBER(SEARCH(IF(B$3&lt;&gt;"",B$3,"NA"),'MITRE ATT&amp;CK Mappings'!$I784))),ISNUMBER(SEARCH(IF(B$3&lt;&gt;"",B$3,"NA"),'MITRE ATT&amp;CK Mappings'!$J784))), 'MITRE ATT&amp;CK Mappings'!$B784,"")</f>
        <v/>
      </c>
      <c r="C788" s="26" t="str">
        <f>IF(OR(OR(OR(OR(OR(ISNUMBER(SEARCH(IF(C$1&lt;&gt;"",C$1,"NA"),'MITRE ATT&amp;CK Mappings'!$E784)),ISNUMBER(SEARCH(IF(C$1&lt;&gt;"",C$1,"NA"),'MITRE ATT&amp;CK Mappings'!$F784))),ISNUMBER(SEARCH(IF(C$2&lt;&gt;"",C$2,"NA"),'MITRE ATT&amp;CK Mappings'!$G784))),ISNUMBER(SEARCH(IF(C$2&lt;&gt;"",C$2,"NA"),'MITRE ATT&amp;CK Mappings'!$H784))),ISNUMBER(SEARCH(IF(C$3&lt;&gt;"",C$3,"NA"),'MITRE ATT&amp;CK Mappings'!$I784))),ISNUMBER(SEARCH(IF(C$3&lt;&gt;"",C$3,"NA"),'MITRE ATT&amp;CK Mappings'!$J784))), 'MITRE ATT&amp;CK Mappings'!$B784,"")</f>
        <v/>
      </c>
      <c r="D788" s="26" t="str">
        <f>IF(OR(OR(OR(OR(OR(ISNUMBER(SEARCH(IF(D$1&lt;&gt;"",D$1,"NA"),'MITRE ATT&amp;CK Mappings'!$E784)),ISNUMBER(SEARCH(IF(D$1&lt;&gt;"",D$1,"NA"),'MITRE ATT&amp;CK Mappings'!$F784))),ISNUMBER(SEARCH(IF(D$2&lt;&gt;"",D$2,"NA"),'MITRE ATT&amp;CK Mappings'!$G784))),ISNUMBER(SEARCH(IF(D$2&lt;&gt;"",D$2,"NA"),'MITRE ATT&amp;CK Mappings'!$H784))),ISNUMBER(SEARCH(IF(D$3&lt;&gt;"",D$3,"NA"),'MITRE ATT&amp;CK Mappings'!$I784))),ISNUMBER(SEARCH(IF(D$3&lt;&gt;"",D$3,"NA"),'MITRE ATT&amp;CK Mappings'!$J784))), 'MITRE ATT&amp;CK Mappings'!$B784,"")</f>
        <v/>
      </c>
      <c r="E788" s="26" t="str">
        <f>IF(OR(OR(OR(OR(OR(ISNUMBER(SEARCH(IF(E$1&lt;&gt;"",E$1,"NA"),'MITRE ATT&amp;CK Mappings'!$E784)),ISNUMBER(SEARCH(IF(E$1&lt;&gt;"",E$1,"NA"),'MITRE ATT&amp;CK Mappings'!$F784))),ISNUMBER(SEARCH(IF(E$2&lt;&gt;"",E$2,"NA"),'MITRE ATT&amp;CK Mappings'!$G784))),ISNUMBER(SEARCH(IF(E$2&lt;&gt;"",E$2,"NA"),'MITRE ATT&amp;CK Mappings'!$H784))),ISNUMBER(SEARCH(IF(E$3&lt;&gt;"",E$3,"NA"),'MITRE ATT&amp;CK Mappings'!$I784))),ISNUMBER(SEARCH(IF(E$3&lt;&gt;"",E$3,"NA"),'MITRE ATT&amp;CK Mappings'!$J784))), 'MITRE ATT&amp;CK Mappings'!$B784,"")</f>
        <v/>
      </c>
      <c r="F788" s="26" t="str">
        <f>IF(OR(OR(OR(OR(OR(ISNUMBER(SEARCH(IF(F$1&lt;&gt;"",F$1,"NA"),'MITRE ATT&amp;CK Mappings'!$E784)),ISNUMBER(SEARCH(IF(F$1&lt;&gt;"",F$1,"NA"),'MITRE ATT&amp;CK Mappings'!$F784))),ISNUMBER(SEARCH(IF(F$2&lt;&gt;"",F$2,"NA"),'MITRE ATT&amp;CK Mappings'!$G784))),ISNUMBER(SEARCH(IF(F$2&lt;&gt;"",F$2,"NA"),'MITRE ATT&amp;CK Mappings'!$H784))),ISNUMBER(SEARCH(IF(F$3&lt;&gt;"",F$3,"NA"),'MITRE ATT&amp;CK Mappings'!$I784))),ISNUMBER(SEARCH(IF(F$3&lt;&gt;"",F$3,"NA"),'MITRE ATT&amp;CK Mappings'!$J784))), 'MITRE ATT&amp;CK Mappings'!$B784,"")</f>
        <v/>
      </c>
      <c r="G788" s="26" t="str">
        <f>IF(OR(OR(OR(OR(OR(ISNUMBER(SEARCH(IF(G$1&lt;&gt;"",G$1,"NA"),'MITRE ATT&amp;CK Mappings'!$E784)),ISNUMBER(SEARCH(IF(G$1&lt;&gt;"",G$1,"NA"),'MITRE ATT&amp;CK Mappings'!$F784))),ISNUMBER(SEARCH(IF(G$2&lt;&gt;"",G$2,"NA"),'MITRE ATT&amp;CK Mappings'!$G784))),ISNUMBER(SEARCH(IF(G$2&lt;&gt;"",G$2,"NA"),'MITRE ATT&amp;CK Mappings'!$H784))),ISNUMBER(SEARCH(IF(G$3&lt;&gt;"",G$3,"NA"),'MITRE ATT&amp;CK Mappings'!$I784))),ISNUMBER(SEARCH(IF(G$3&lt;&gt;"",G$3,"NA"),'MITRE ATT&amp;CK Mappings'!$J784))), 'MITRE ATT&amp;CK Mappings'!$B784,"")</f>
        <v/>
      </c>
      <c r="H788" s="26" t="str">
        <f>IF(OR(OR(OR(OR(OR(ISNUMBER(SEARCH(IF(H$1&lt;&gt;"",H$1,"NA"),'MITRE ATT&amp;CK Mappings'!$E784)),ISNUMBER(SEARCH(IF(H$1&lt;&gt;"",H$1,"NA"),'MITRE ATT&amp;CK Mappings'!$F784))),ISNUMBER(SEARCH(IF(H$2&lt;&gt;"",H$2,"NA"),'MITRE ATT&amp;CK Mappings'!$G784))),ISNUMBER(SEARCH(IF(H$2&lt;&gt;"",H$2,"NA"),'MITRE ATT&amp;CK Mappings'!$H784))),ISNUMBER(SEARCH(IF(H$3&lt;&gt;"",H$3,"NA"),'MITRE ATT&amp;CK Mappings'!$I784))),ISNUMBER(SEARCH(IF(H$3&lt;&gt;"",H$3,"NA"),'MITRE ATT&amp;CK Mappings'!$J784))), 'MITRE ATT&amp;CK Mappings'!$B784,"")</f>
        <v/>
      </c>
      <c r="I788" s="26" t="str">
        <f>IF(OR(OR(OR(OR(OR(ISNUMBER(SEARCH(IF(I$1&lt;&gt;"",I$1,"NA"),'MITRE ATT&amp;CK Mappings'!$E784)),ISNUMBER(SEARCH(IF(I$1&lt;&gt;"",I$1,"NA"),'MITRE ATT&amp;CK Mappings'!$F784))),ISNUMBER(SEARCH(IF(I$2&lt;&gt;"",I$2,"NA"),'MITRE ATT&amp;CK Mappings'!$G784))),ISNUMBER(SEARCH(IF(I$2&lt;&gt;"",I$2,"NA"),'MITRE ATT&amp;CK Mappings'!$H784))),ISNUMBER(SEARCH(IF(I$3&lt;&gt;"",I$3,"NA"),'MITRE ATT&amp;CK Mappings'!$I784))),ISNUMBER(SEARCH(IF(I$3&lt;&gt;"",I$3,"NA"),'MITRE ATT&amp;CK Mappings'!$J784))), 'MITRE ATT&amp;CK Mappings'!$B784,"")</f>
        <v/>
      </c>
      <c r="J788" s="26" t="str">
        <f>IF(OR(OR(OR(OR(OR(ISNUMBER(SEARCH(IF(J$1&lt;&gt;"",J$1,"NA"),'MITRE ATT&amp;CK Mappings'!$E784)),ISNUMBER(SEARCH(IF(J$1&lt;&gt;"",J$1,"NA"),'MITRE ATT&amp;CK Mappings'!$F784))),ISNUMBER(SEARCH(IF(J$2&lt;&gt;"",J$2,"NA"),'MITRE ATT&amp;CK Mappings'!$G784))),ISNUMBER(SEARCH(IF(J$2&lt;&gt;"",J$2,"NA"),'MITRE ATT&amp;CK Mappings'!$H784))),ISNUMBER(SEARCH(IF(J$3&lt;&gt;"",J$3,"NA"),'MITRE ATT&amp;CK Mappings'!$I784))),ISNUMBER(SEARCH(IF(J$3&lt;&gt;"",J$3,"NA"),'MITRE ATT&amp;CK Mappings'!$J784))), 'MITRE ATT&amp;CK Mappings'!$B784,"")</f>
        <v/>
      </c>
      <c r="K788" s="26" t="str">
        <f>IF(OR(OR(OR(OR(OR(ISNUMBER(SEARCH(IF(K$1&lt;&gt;"",K$1,"NA"),'MITRE ATT&amp;CK Mappings'!$E784)),ISNUMBER(SEARCH(IF(K$1&lt;&gt;"",K$1,"NA"),'MITRE ATT&amp;CK Mappings'!$F784))),ISNUMBER(SEARCH(IF(K$2&lt;&gt;"",K$2,"NA"),'MITRE ATT&amp;CK Mappings'!$G784))),ISNUMBER(SEARCH(IF(K$2&lt;&gt;"",K$2,"NA"),'MITRE ATT&amp;CK Mappings'!$H784))),ISNUMBER(SEARCH(IF(K$3&lt;&gt;"",K$3,"NA"),'MITRE ATT&amp;CK Mappings'!$I784))),ISNUMBER(SEARCH(IF(K$3&lt;&gt;"",K$3,"NA"),'MITRE ATT&amp;CK Mappings'!$J784))), 'MITRE ATT&amp;CK Mappings'!$B784,"")</f>
        <v/>
      </c>
      <c r="L788" s="26" t="str">
        <f>IF('MITRE ATT&amp;CK Mappings'!D784 &lt;&gt;"",'MITRE ATT&amp;CK Mappings'!D784,"" )</f>
        <v/>
      </c>
    </row>
    <row r="789" spans="1:12" x14ac:dyDescent="0.25">
      <c r="A789" s="27" t="str">
        <f>IF(COUNTIF(B789:K789,"="&amp;'MITRE ATT&amp;CK Mappings'!B785)&gt;0,'MITRE ATT&amp;CK Mappings'!B785,"")</f>
        <v/>
      </c>
      <c r="B789" s="27" t="str">
        <f>IF(OR(OR(OR(OR(OR(ISNUMBER(SEARCH(IF(B$1&lt;&gt;"",B$1,"NA"),'MITRE ATT&amp;CK Mappings'!$E785)),ISNUMBER(SEARCH(IF(B$1&lt;&gt;"",B$1,"NA"),'MITRE ATT&amp;CK Mappings'!$F785))),ISNUMBER(SEARCH(IF(B$2&lt;&gt;"",B$2,"NA"),'MITRE ATT&amp;CK Mappings'!$G785))),ISNUMBER(SEARCH(IF(B$2&lt;&gt;"",B$2,"NA"),'MITRE ATT&amp;CK Mappings'!$H785))),ISNUMBER(SEARCH(IF(B$3&lt;&gt;"",B$3,"NA"),'MITRE ATT&amp;CK Mappings'!$I785))),ISNUMBER(SEARCH(IF(B$3&lt;&gt;"",B$3,"NA"),'MITRE ATT&amp;CK Mappings'!$J785))), 'MITRE ATT&amp;CK Mappings'!$B785,"")</f>
        <v/>
      </c>
      <c r="C789" s="27" t="str">
        <f>IF(OR(OR(OR(OR(OR(ISNUMBER(SEARCH(IF(C$1&lt;&gt;"",C$1,"NA"),'MITRE ATT&amp;CK Mappings'!$E785)),ISNUMBER(SEARCH(IF(C$1&lt;&gt;"",C$1,"NA"),'MITRE ATT&amp;CK Mappings'!$F785))),ISNUMBER(SEARCH(IF(C$2&lt;&gt;"",C$2,"NA"),'MITRE ATT&amp;CK Mappings'!$G785))),ISNUMBER(SEARCH(IF(C$2&lt;&gt;"",C$2,"NA"),'MITRE ATT&amp;CK Mappings'!$H785))),ISNUMBER(SEARCH(IF(C$3&lt;&gt;"",C$3,"NA"),'MITRE ATT&amp;CK Mappings'!$I785))),ISNUMBER(SEARCH(IF(C$3&lt;&gt;"",C$3,"NA"),'MITRE ATT&amp;CK Mappings'!$J785))), 'MITRE ATT&amp;CK Mappings'!$B785,"")</f>
        <v/>
      </c>
      <c r="D789" s="27" t="str">
        <f>IF(OR(OR(OR(OR(OR(ISNUMBER(SEARCH(IF(D$1&lt;&gt;"",D$1,"NA"),'MITRE ATT&amp;CK Mappings'!$E785)),ISNUMBER(SEARCH(IF(D$1&lt;&gt;"",D$1,"NA"),'MITRE ATT&amp;CK Mappings'!$F785))),ISNUMBER(SEARCH(IF(D$2&lt;&gt;"",D$2,"NA"),'MITRE ATT&amp;CK Mappings'!$G785))),ISNUMBER(SEARCH(IF(D$2&lt;&gt;"",D$2,"NA"),'MITRE ATT&amp;CK Mappings'!$H785))),ISNUMBER(SEARCH(IF(D$3&lt;&gt;"",D$3,"NA"),'MITRE ATT&amp;CK Mappings'!$I785))),ISNUMBER(SEARCH(IF(D$3&lt;&gt;"",D$3,"NA"),'MITRE ATT&amp;CK Mappings'!$J785))), 'MITRE ATT&amp;CK Mappings'!$B785,"")</f>
        <v/>
      </c>
      <c r="E789" s="27" t="str">
        <f>IF(OR(OR(OR(OR(OR(ISNUMBER(SEARCH(IF(E$1&lt;&gt;"",E$1,"NA"),'MITRE ATT&amp;CK Mappings'!$E785)),ISNUMBER(SEARCH(IF(E$1&lt;&gt;"",E$1,"NA"),'MITRE ATT&amp;CK Mappings'!$F785))),ISNUMBER(SEARCH(IF(E$2&lt;&gt;"",E$2,"NA"),'MITRE ATT&amp;CK Mappings'!$G785))),ISNUMBER(SEARCH(IF(E$2&lt;&gt;"",E$2,"NA"),'MITRE ATT&amp;CK Mappings'!$H785))),ISNUMBER(SEARCH(IF(E$3&lt;&gt;"",E$3,"NA"),'MITRE ATT&amp;CK Mappings'!$I785))),ISNUMBER(SEARCH(IF(E$3&lt;&gt;"",E$3,"NA"),'MITRE ATT&amp;CK Mappings'!$J785))), 'MITRE ATT&amp;CK Mappings'!$B785,"")</f>
        <v/>
      </c>
      <c r="F789" s="27" t="str">
        <f>IF(OR(OR(OR(OR(OR(ISNUMBER(SEARCH(IF(F$1&lt;&gt;"",F$1,"NA"),'MITRE ATT&amp;CK Mappings'!$E785)),ISNUMBER(SEARCH(IF(F$1&lt;&gt;"",F$1,"NA"),'MITRE ATT&amp;CK Mappings'!$F785))),ISNUMBER(SEARCH(IF(F$2&lt;&gt;"",F$2,"NA"),'MITRE ATT&amp;CK Mappings'!$G785))),ISNUMBER(SEARCH(IF(F$2&lt;&gt;"",F$2,"NA"),'MITRE ATT&amp;CK Mappings'!$H785))),ISNUMBER(SEARCH(IF(F$3&lt;&gt;"",F$3,"NA"),'MITRE ATT&amp;CK Mappings'!$I785))),ISNUMBER(SEARCH(IF(F$3&lt;&gt;"",F$3,"NA"),'MITRE ATT&amp;CK Mappings'!$J785))), 'MITRE ATT&amp;CK Mappings'!$B785,"")</f>
        <v/>
      </c>
      <c r="G789" s="27" t="str">
        <f>IF(OR(OR(OR(OR(OR(ISNUMBER(SEARCH(IF(G$1&lt;&gt;"",G$1,"NA"),'MITRE ATT&amp;CK Mappings'!$E785)),ISNUMBER(SEARCH(IF(G$1&lt;&gt;"",G$1,"NA"),'MITRE ATT&amp;CK Mappings'!$F785))),ISNUMBER(SEARCH(IF(G$2&lt;&gt;"",G$2,"NA"),'MITRE ATT&amp;CK Mappings'!$G785))),ISNUMBER(SEARCH(IF(G$2&lt;&gt;"",G$2,"NA"),'MITRE ATT&amp;CK Mappings'!$H785))),ISNUMBER(SEARCH(IF(G$3&lt;&gt;"",G$3,"NA"),'MITRE ATT&amp;CK Mappings'!$I785))),ISNUMBER(SEARCH(IF(G$3&lt;&gt;"",G$3,"NA"),'MITRE ATT&amp;CK Mappings'!$J785))), 'MITRE ATT&amp;CK Mappings'!$B785,"")</f>
        <v/>
      </c>
      <c r="H789" s="27" t="str">
        <f>IF(OR(OR(OR(OR(OR(ISNUMBER(SEARCH(IF(H$1&lt;&gt;"",H$1,"NA"),'MITRE ATT&amp;CK Mappings'!$E785)),ISNUMBER(SEARCH(IF(H$1&lt;&gt;"",H$1,"NA"),'MITRE ATT&amp;CK Mappings'!$F785))),ISNUMBER(SEARCH(IF(H$2&lt;&gt;"",H$2,"NA"),'MITRE ATT&amp;CK Mappings'!$G785))),ISNUMBER(SEARCH(IF(H$2&lt;&gt;"",H$2,"NA"),'MITRE ATT&amp;CK Mappings'!$H785))),ISNUMBER(SEARCH(IF(H$3&lt;&gt;"",H$3,"NA"),'MITRE ATT&amp;CK Mappings'!$I785))),ISNUMBER(SEARCH(IF(H$3&lt;&gt;"",H$3,"NA"),'MITRE ATT&amp;CK Mappings'!$J785))), 'MITRE ATT&amp;CK Mappings'!$B785,"")</f>
        <v/>
      </c>
      <c r="I789" s="27" t="str">
        <f>IF(OR(OR(OR(OR(OR(ISNUMBER(SEARCH(IF(I$1&lt;&gt;"",I$1,"NA"),'MITRE ATT&amp;CK Mappings'!$E785)),ISNUMBER(SEARCH(IF(I$1&lt;&gt;"",I$1,"NA"),'MITRE ATT&amp;CK Mappings'!$F785))),ISNUMBER(SEARCH(IF(I$2&lt;&gt;"",I$2,"NA"),'MITRE ATT&amp;CK Mappings'!$G785))),ISNUMBER(SEARCH(IF(I$2&lt;&gt;"",I$2,"NA"),'MITRE ATT&amp;CK Mappings'!$H785))),ISNUMBER(SEARCH(IF(I$3&lt;&gt;"",I$3,"NA"),'MITRE ATT&amp;CK Mappings'!$I785))),ISNUMBER(SEARCH(IF(I$3&lt;&gt;"",I$3,"NA"),'MITRE ATT&amp;CK Mappings'!$J785))), 'MITRE ATT&amp;CK Mappings'!$B785,"")</f>
        <v/>
      </c>
      <c r="J789" s="27" t="str">
        <f>IF(OR(OR(OR(OR(OR(ISNUMBER(SEARCH(IF(J$1&lt;&gt;"",J$1,"NA"),'MITRE ATT&amp;CK Mappings'!$E785)),ISNUMBER(SEARCH(IF(J$1&lt;&gt;"",J$1,"NA"),'MITRE ATT&amp;CK Mappings'!$F785))),ISNUMBER(SEARCH(IF(J$2&lt;&gt;"",J$2,"NA"),'MITRE ATT&amp;CK Mappings'!$G785))),ISNUMBER(SEARCH(IF(J$2&lt;&gt;"",J$2,"NA"),'MITRE ATT&amp;CK Mappings'!$H785))),ISNUMBER(SEARCH(IF(J$3&lt;&gt;"",J$3,"NA"),'MITRE ATT&amp;CK Mappings'!$I785))),ISNUMBER(SEARCH(IF(J$3&lt;&gt;"",J$3,"NA"),'MITRE ATT&amp;CK Mappings'!$J785))), 'MITRE ATT&amp;CK Mappings'!$B785,"")</f>
        <v/>
      </c>
      <c r="K789" s="27" t="str">
        <f>IF(OR(OR(OR(OR(OR(ISNUMBER(SEARCH(IF(K$1&lt;&gt;"",K$1,"NA"),'MITRE ATT&amp;CK Mappings'!$E785)),ISNUMBER(SEARCH(IF(K$1&lt;&gt;"",K$1,"NA"),'MITRE ATT&amp;CK Mappings'!$F785))),ISNUMBER(SEARCH(IF(K$2&lt;&gt;"",K$2,"NA"),'MITRE ATT&amp;CK Mappings'!$G785))),ISNUMBER(SEARCH(IF(K$2&lt;&gt;"",K$2,"NA"),'MITRE ATT&amp;CK Mappings'!$H785))),ISNUMBER(SEARCH(IF(K$3&lt;&gt;"",K$3,"NA"),'MITRE ATT&amp;CK Mappings'!$I785))),ISNUMBER(SEARCH(IF(K$3&lt;&gt;"",K$3,"NA"),'MITRE ATT&amp;CK Mappings'!$J785))), 'MITRE ATT&amp;CK Mappings'!$B785,"")</f>
        <v/>
      </c>
      <c r="L789" s="27" t="str">
        <f>IF('MITRE ATT&amp;CK Mappings'!D785 &lt;&gt;"",'MITRE ATT&amp;CK Mappings'!D785,"" )</f>
        <v/>
      </c>
    </row>
    <row r="790" spans="1:12" x14ac:dyDescent="0.25">
      <c r="A790" s="26" t="str">
        <f>IF(COUNTIF(B790:K790,"="&amp;'MITRE ATT&amp;CK Mappings'!B786)&gt;0,'MITRE ATT&amp;CK Mappings'!B786,"")</f>
        <v/>
      </c>
      <c r="B790" s="26" t="str">
        <f>IF(OR(OR(OR(OR(OR(ISNUMBER(SEARCH(IF(B$1&lt;&gt;"",B$1,"NA"),'MITRE ATT&amp;CK Mappings'!$E786)),ISNUMBER(SEARCH(IF(B$1&lt;&gt;"",B$1,"NA"),'MITRE ATT&amp;CK Mappings'!$F786))),ISNUMBER(SEARCH(IF(B$2&lt;&gt;"",B$2,"NA"),'MITRE ATT&amp;CK Mappings'!$G786))),ISNUMBER(SEARCH(IF(B$2&lt;&gt;"",B$2,"NA"),'MITRE ATT&amp;CK Mappings'!$H786))),ISNUMBER(SEARCH(IF(B$3&lt;&gt;"",B$3,"NA"),'MITRE ATT&amp;CK Mappings'!$I786))),ISNUMBER(SEARCH(IF(B$3&lt;&gt;"",B$3,"NA"),'MITRE ATT&amp;CK Mappings'!$J786))), 'MITRE ATT&amp;CK Mappings'!$B786,"")</f>
        <v/>
      </c>
      <c r="C790" s="26" t="str">
        <f>IF(OR(OR(OR(OR(OR(ISNUMBER(SEARCH(IF(C$1&lt;&gt;"",C$1,"NA"),'MITRE ATT&amp;CK Mappings'!$E786)),ISNUMBER(SEARCH(IF(C$1&lt;&gt;"",C$1,"NA"),'MITRE ATT&amp;CK Mappings'!$F786))),ISNUMBER(SEARCH(IF(C$2&lt;&gt;"",C$2,"NA"),'MITRE ATT&amp;CK Mappings'!$G786))),ISNUMBER(SEARCH(IF(C$2&lt;&gt;"",C$2,"NA"),'MITRE ATT&amp;CK Mappings'!$H786))),ISNUMBER(SEARCH(IF(C$3&lt;&gt;"",C$3,"NA"),'MITRE ATT&amp;CK Mappings'!$I786))),ISNUMBER(SEARCH(IF(C$3&lt;&gt;"",C$3,"NA"),'MITRE ATT&amp;CK Mappings'!$J786))), 'MITRE ATT&amp;CK Mappings'!$B786,"")</f>
        <v/>
      </c>
      <c r="D790" s="26" t="str">
        <f>IF(OR(OR(OR(OR(OR(ISNUMBER(SEARCH(IF(D$1&lt;&gt;"",D$1,"NA"),'MITRE ATT&amp;CK Mappings'!$E786)),ISNUMBER(SEARCH(IF(D$1&lt;&gt;"",D$1,"NA"),'MITRE ATT&amp;CK Mappings'!$F786))),ISNUMBER(SEARCH(IF(D$2&lt;&gt;"",D$2,"NA"),'MITRE ATT&amp;CK Mappings'!$G786))),ISNUMBER(SEARCH(IF(D$2&lt;&gt;"",D$2,"NA"),'MITRE ATT&amp;CK Mappings'!$H786))),ISNUMBER(SEARCH(IF(D$3&lt;&gt;"",D$3,"NA"),'MITRE ATT&amp;CK Mappings'!$I786))),ISNUMBER(SEARCH(IF(D$3&lt;&gt;"",D$3,"NA"),'MITRE ATT&amp;CK Mappings'!$J786))), 'MITRE ATT&amp;CK Mappings'!$B786,"")</f>
        <v/>
      </c>
      <c r="E790" s="26" t="str">
        <f>IF(OR(OR(OR(OR(OR(ISNUMBER(SEARCH(IF(E$1&lt;&gt;"",E$1,"NA"),'MITRE ATT&amp;CK Mappings'!$E786)),ISNUMBER(SEARCH(IF(E$1&lt;&gt;"",E$1,"NA"),'MITRE ATT&amp;CK Mappings'!$F786))),ISNUMBER(SEARCH(IF(E$2&lt;&gt;"",E$2,"NA"),'MITRE ATT&amp;CK Mappings'!$G786))),ISNUMBER(SEARCH(IF(E$2&lt;&gt;"",E$2,"NA"),'MITRE ATT&amp;CK Mappings'!$H786))),ISNUMBER(SEARCH(IF(E$3&lt;&gt;"",E$3,"NA"),'MITRE ATT&amp;CK Mappings'!$I786))),ISNUMBER(SEARCH(IF(E$3&lt;&gt;"",E$3,"NA"),'MITRE ATT&amp;CK Mappings'!$J786))), 'MITRE ATT&amp;CK Mappings'!$B786,"")</f>
        <v/>
      </c>
      <c r="F790" s="26" t="str">
        <f>IF(OR(OR(OR(OR(OR(ISNUMBER(SEARCH(IF(F$1&lt;&gt;"",F$1,"NA"),'MITRE ATT&amp;CK Mappings'!$E786)),ISNUMBER(SEARCH(IF(F$1&lt;&gt;"",F$1,"NA"),'MITRE ATT&amp;CK Mappings'!$F786))),ISNUMBER(SEARCH(IF(F$2&lt;&gt;"",F$2,"NA"),'MITRE ATT&amp;CK Mappings'!$G786))),ISNUMBER(SEARCH(IF(F$2&lt;&gt;"",F$2,"NA"),'MITRE ATT&amp;CK Mappings'!$H786))),ISNUMBER(SEARCH(IF(F$3&lt;&gt;"",F$3,"NA"),'MITRE ATT&amp;CK Mappings'!$I786))),ISNUMBER(SEARCH(IF(F$3&lt;&gt;"",F$3,"NA"),'MITRE ATT&amp;CK Mappings'!$J786))), 'MITRE ATT&amp;CK Mappings'!$B786,"")</f>
        <v/>
      </c>
      <c r="G790" s="26" t="str">
        <f>IF(OR(OR(OR(OR(OR(ISNUMBER(SEARCH(IF(G$1&lt;&gt;"",G$1,"NA"),'MITRE ATT&amp;CK Mappings'!$E786)),ISNUMBER(SEARCH(IF(G$1&lt;&gt;"",G$1,"NA"),'MITRE ATT&amp;CK Mappings'!$F786))),ISNUMBER(SEARCH(IF(G$2&lt;&gt;"",G$2,"NA"),'MITRE ATT&amp;CK Mappings'!$G786))),ISNUMBER(SEARCH(IF(G$2&lt;&gt;"",G$2,"NA"),'MITRE ATT&amp;CK Mappings'!$H786))),ISNUMBER(SEARCH(IF(G$3&lt;&gt;"",G$3,"NA"),'MITRE ATT&amp;CK Mappings'!$I786))),ISNUMBER(SEARCH(IF(G$3&lt;&gt;"",G$3,"NA"),'MITRE ATT&amp;CK Mappings'!$J786))), 'MITRE ATT&amp;CK Mappings'!$B786,"")</f>
        <v/>
      </c>
      <c r="H790" s="26" t="str">
        <f>IF(OR(OR(OR(OR(OR(ISNUMBER(SEARCH(IF(H$1&lt;&gt;"",H$1,"NA"),'MITRE ATT&amp;CK Mappings'!$E786)),ISNUMBER(SEARCH(IF(H$1&lt;&gt;"",H$1,"NA"),'MITRE ATT&amp;CK Mappings'!$F786))),ISNUMBER(SEARCH(IF(H$2&lt;&gt;"",H$2,"NA"),'MITRE ATT&amp;CK Mappings'!$G786))),ISNUMBER(SEARCH(IF(H$2&lt;&gt;"",H$2,"NA"),'MITRE ATT&amp;CK Mappings'!$H786))),ISNUMBER(SEARCH(IF(H$3&lt;&gt;"",H$3,"NA"),'MITRE ATT&amp;CK Mappings'!$I786))),ISNUMBER(SEARCH(IF(H$3&lt;&gt;"",H$3,"NA"),'MITRE ATT&amp;CK Mappings'!$J786))), 'MITRE ATT&amp;CK Mappings'!$B786,"")</f>
        <v/>
      </c>
      <c r="I790" s="26" t="str">
        <f>IF(OR(OR(OR(OR(OR(ISNUMBER(SEARCH(IF(I$1&lt;&gt;"",I$1,"NA"),'MITRE ATT&amp;CK Mappings'!$E786)),ISNUMBER(SEARCH(IF(I$1&lt;&gt;"",I$1,"NA"),'MITRE ATT&amp;CK Mappings'!$F786))),ISNUMBER(SEARCH(IF(I$2&lt;&gt;"",I$2,"NA"),'MITRE ATT&amp;CK Mappings'!$G786))),ISNUMBER(SEARCH(IF(I$2&lt;&gt;"",I$2,"NA"),'MITRE ATT&amp;CK Mappings'!$H786))),ISNUMBER(SEARCH(IF(I$3&lt;&gt;"",I$3,"NA"),'MITRE ATT&amp;CK Mappings'!$I786))),ISNUMBER(SEARCH(IF(I$3&lt;&gt;"",I$3,"NA"),'MITRE ATT&amp;CK Mappings'!$J786))), 'MITRE ATT&amp;CK Mappings'!$B786,"")</f>
        <v/>
      </c>
      <c r="J790" s="26" t="str">
        <f>IF(OR(OR(OR(OR(OR(ISNUMBER(SEARCH(IF(J$1&lt;&gt;"",J$1,"NA"),'MITRE ATT&amp;CK Mappings'!$E786)),ISNUMBER(SEARCH(IF(J$1&lt;&gt;"",J$1,"NA"),'MITRE ATT&amp;CK Mappings'!$F786))),ISNUMBER(SEARCH(IF(J$2&lt;&gt;"",J$2,"NA"),'MITRE ATT&amp;CK Mappings'!$G786))),ISNUMBER(SEARCH(IF(J$2&lt;&gt;"",J$2,"NA"),'MITRE ATT&amp;CK Mappings'!$H786))),ISNUMBER(SEARCH(IF(J$3&lt;&gt;"",J$3,"NA"),'MITRE ATT&amp;CK Mappings'!$I786))),ISNUMBER(SEARCH(IF(J$3&lt;&gt;"",J$3,"NA"),'MITRE ATT&amp;CK Mappings'!$J786))), 'MITRE ATT&amp;CK Mappings'!$B786,"")</f>
        <v/>
      </c>
      <c r="K790" s="26" t="str">
        <f>IF(OR(OR(OR(OR(OR(ISNUMBER(SEARCH(IF(K$1&lt;&gt;"",K$1,"NA"),'MITRE ATT&amp;CK Mappings'!$E786)),ISNUMBER(SEARCH(IF(K$1&lt;&gt;"",K$1,"NA"),'MITRE ATT&amp;CK Mappings'!$F786))),ISNUMBER(SEARCH(IF(K$2&lt;&gt;"",K$2,"NA"),'MITRE ATT&amp;CK Mappings'!$G786))),ISNUMBER(SEARCH(IF(K$2&lt;&gt;"",K$2,"NA"),'MITRE ATT&amp;CK Mappings'!$H786))),ISNUMBER(SEARCH(IF(K$3&lt;&gt;"",K$3,"NA"),'MITRE ATT&amp;CK Mappings'!$I786))),ISNUMBER(SEARCH(IF(K$3&lt;&gt;"",K$3,"NA"),'MITRE ATT&amp;CK Mappings'!$J786))), 'MITRE ATT&amp;CK Mappings'!$B786,"")</f>
        <v/>
      </c>
      <c r="L790" s="26" t="str">
        <f>IF('MITRE ATT&amp;CK Mappings'!D786 &lt;&gt;"",'MITRE ATT&amp;CK Mappings'!D786,"" )</f>
        <v/>
      </c>
    </row>
    <row r="791" spans="1:12" x14ac:dyDescent="0.25">
      <c r="A791" s="27" t="str">
        <f>IF(COUNTIF(B791:K791,"="&amp;'MITRE ATT&amp;CK Mappings'!B787)&gt;0,'MITRE ATT&amp;CK Mappings'!B787,"")</f>
        <v/>
      </c>
      <c r="B791" s="27" t="str">
        <f>IF(OR(OR(OR(OR(OR(ISNUMBER(SEARCH(IF(B$1&lt;&gt;"",B$1,"NA"),'MITRE ATT&amp;CK Mappings'!$E787)),ISNUMBER(SEARCH(IF(B$1&lt;&gt;"",B$1,"NA"),'MITRE ATT&amp;CK Mappings'!$F787))),ISNUMBER(SEARCH(IF(B$2&lt;&gt;"",B$2,"NA"),'MITRE ATT&amp;CK Mappings'!$G787))),ISNUMBER(SEARCH(IF(B$2&lt;&gt;"",B$2,"NA"),'MITRE ATT&amp;CK Mappings'!$H787))),ISNUMBER(SEARCH(IF(B$3&lt;&gt;"",B$3,"NA"),'MITRE ATT&amp;CK Mappings'!$I787))),ISNUMBER(SEARCH(IF(B$3&lt;&gt;"",B$3,"NA"),'MITRE ATT&amp;CK Mappings'!$J787))), 'MITRE ATT&amp;CK Mappings'!$B787,"")</f>
        <v/>
      </c>
      <c r="C791" s="27" t="str">
        <f>IF(OR(OR(OR(OR(OR(ISNUMBER(SEARCH(IF(C$1&lt;&gt;"",C$1,"NA"),'MITRE ATT&amp;CK Mappings'!$E787)),ISNUMBER(SEARCH(IF(C$1&lt;&gt;"",C$1,"NA"),'MITRE ATT&amp;CK Mappings'!$F787))),ISNUMBER(SEARCH(IF(C$2&lt;&gt;"",C$2,"NA"),'MITRE ATT&amp;CK Mappings'!$G787))),ISNUMBER(SEARCH(IF(C$2&lt;&gt;"",C$2,"NA"),'MITRE ATT&amp;CK Mappings'!$H787))),ISNUMBER(SEARCH(IF(C$3&lt;&gt;"",C$3,"NA"),'MITRE ATT&amp;CK Mappings'!$I787))),ISNUMBER(SEARCH(IF(C$3&lt;&gt;"",C$3,"NA"),'MITRE ATT&amp;CK Mappings'!$J787))), 'MITRE ATT&amp;CK Mappings'!$B787,"")</f>
        <v/>
      </c>
      <c r="D791" s="27" t="str">
        <f>IF(OR(OR(OR(OR(OR(ISNUMBER(SEARCH(IF(D$1&lt;&gt;"",D$1,"NA"),'MITRE ATT&amp;CK Mappings'!$E787)),ISNUMBER(SEARCH(IF(D$1&lt;&gt;"",D$1,"NA"),'MITRE ATT&amp;CK Mappings'!$F787))),ISNUMBER(SEARCH(IF(D$2&lt;&gt;"",D$2,"NA"),'MITRE ATT&amp;CK Mappings'!$G787))),ISNUMBER(SEARCH(IF(D$2&lt;&gt;"",D$2,"NA"),'MITRE ATT&amp;CK Mappings'!$H787))),ISNUMBER(SEARCH(IF(D$3&lt;&gt;"",D$3,"NA"),'MITRE ATT&amp;CK Mappings'!$I787))),ISNUMBER(SEARCH(IF(D$3&lt;&gt;"",D$3,"NA"),'MITRE ATT&amp;CK Mappings'!$J787))), 'MITRE ATT&amp;CK Mappings'!$B787,"")</f>
        <v/>
      </c>
      <c r="E791" s="27" t="str">
        <f>IF(OR(OR(OR(OR(OR(ISNUMBER(SEARCH(IF(E$1&lt;&gt;"",E$1,"NA"),'MITRE ATT&amp;CK Mappings'!$E787)),ISNUMBER(SEARCH(IF(E$1&lt;&gt;"",E$1,"NA"),'MITRE ATT&amp;CK Mappings'!$F787))),ISNUMBER(SEARCH(IF(E$2&lt;&gt;"",E$2,"NA"),'MITRE ATT&amp;CK Mappings'!$G787))),ISNUMBER(SEARCH(IF(E$2&lt;&gt;"",E$2,"NA"),'MITRE ATT&amp;CK Mappings'!$H787))),ISNUMBER(SEARCH(IF(E$3&lt;&gt;"",E$3,"NA"),'MITRE ATT&amp;CK Mappings'!$I787))),ISNUMBER(SEARCH(IF(E$3&lt;&gt;"",E$3,"NA"),'MITRE ATT&amp;CK Mappings'!$J787))), 'MITRE ATT&amp;CK Mappings'!$B787,"")</f>
        <v/>
      </c>
      <c r="F791" s="27" t="str">
        <f>IF(OR(OR(OR(OR(OR(ISNUMBER(SEARCH(IF(F$1&lt;&gt;"",F$1,"NA"),'MITRE ATT&amp;CK Mappings'!$E787)),ISNUMBER(SEARCH(IF(F$1&lt;&gt;"",F$1,"NA"),'MITRE ATT&amp;CK Mappings'!$F787))),ISNUMBER(SEARCH(IF(F$2&lt;&gt;"",F$2,"NA"),'MITRE ATT&amp;CK Mappings'!$G787))),ISNUMBER(SEARCH(IF(F$2&lt;&gt;"",F$2,"NA"),'MITRE ATT&amp;CK Mappings'!$H787))),ISNUMBER(SEARCH(IF(F$3&lt;&gt;"",F$3,"NA"),'MITRE ATT&amp;CK Mappings'!$I787))),ISNUMBER(SEARCH(IF(F$3&lt;&gt;"",F$3,"NA"),'MITRE ATT&amp;CK Mappings'!$J787))), 'MITRE ATT&amp;CK Mappings'!$B787,"")</f>
        <v/>
      </c>
      <c r="G791" s="27" t="str">
        <f>IF(OR(OR(OR(OR(OR(ISNUMBER(SEARCH(IF(G$1&lt;&gt;"",G$1,"NA"),'MITRE ATT&amp;CK Mappings'!$E787)),ISNUMBER(SEARCH(IF(G$1&lt;&gt;"",G$1,"NA"),'MITRE ATT&amp;CK Mappings'!$F787))),ISNUMBER(SEARCH(IF(G$2&lt;&gt;"",G$2,"NA"),'MITRE ATT&amp;CK Mappings'!$G787))),ISNUMBER(SEARCH(IF(G$2&lt;&gt;"",G$2,"NA"),'MITRE ATT&amp;CK Mappings'!$H787))),ISNUMBER(SEARCH(IF(G$3&lt;&gt;"",G$3,"NA"),'MITRE ATT&amp;CK Mappings'!$I787))),ISNUMBER(SEARCH(IF(G$3&lt;&gt;"",G$3,"NA"),'MITRE ATT&amp;CK Mappings'!$J787))), 'MITRE ATT&amp;CK Mappings'!$B787,"")</f>
        <v/>
      </c>
      <c r="H791" s="27" t="str">
        <f>IF(OR(OR(OR(OR(OR(ISNUMBER(SEARCH(IF(H$1&lt;&gt;"",H$1,"NA"),'MITRE ATT&amp;CK Mappings'!$E787)),ISNUMBER(SEARCH(IF(H$1&lt;&gt;"",H$1,"NA"),'MITRE ATT&amp;CK Mappings'!$F787))),ISNUMBER(SEARCH(IF(H$2&lt;&gt;"",H$2,"NA"),'MITRE ATT&amp;CK Mappings'!$G787))),ISNUMBER(SEARCH(IF(H$2&lt;&gt;"",H$2,"NA"),'MITRE ATT&amp;CK Mappings'!$H787))),ISNUMBER(SEARCH(IF(H$3&lt;&gt;"",H$3,"NA"),'MITRE ATT&amp;CK Mappings'!$I787))),ISNUMBER(SEARCH(IF(H$3&lt;&gt;"",H$3,"NA"),'MITRE ATT&amp;CK Mappings'!$J787))), 'MITRE ATT&amp;CK Mappings'!$B787,"")</f>
        <v/>
      </c>
      <c r="I791" s="27" t="str">
        <f>IF(OR(OR(OR(OR(OR(ISNUMBER(SEARCH(IF(I$1&lt;&gt;"",I$1,"NA"),'MITRE ATT&amp;CK Mappings'!$E787)),ISNUMBER(SEARCH(IF(I$1&lt;&gt;"",I$1,"NA"),'MITRE ATT&amp;CK Mappings'!$F787))),ISNUMBER(SEARCH(IF(I$2&lt;&gt;"",I$2,"NA"),'MITRE ATT&amp;CK Mappings'!$G787))),ISNUMBER(SEARCH(IF(I$2&lt;&gt;"",I$2,"NA"),'MITRE ATT&amp;CK Mappings'!$H787))),ISNUMBER(SEARCH(IF(I$3&lt;&gt;"",I$3,"NA"),'MITRE ATT&amp;CK Mappings'!$I787))),ISNUMBER(SEARCH(IF(I$3&lt;&gt;"",I$3,"NA"),'MITRE ATT&amp;CK Mappings'!$J787))), 'MITRE ATT&amp;CK Mappings'!$B787,"")</f>
        <v/>
      </c>
      <c r="J791" s="27" t="str">
        <f>IF(OR(OR(OR(OR(OR(ISNUMBER(SEARCH(IF(J$1&lt;&gt;"",J$1,"NA"),'MITRE ATT&amp;CK Mappings'!$E787)),ISNUMBER(SEARCH(IF(J$1&lt;&gt;"",J$1,"NA"),'MITRE ATT&amp;CK Mappings'!$F787))),ISNUMBER(SEARCH(IF(J$2&lt;&gt;"",J$2,"NA"),'MITRE ATT&amp;CK Mappings'!$G787))),ISNUMBER(SEARCH(IF(J$2&lt;&gt;"",J$2,"NA"),'MITRE ATT&amp;CK Mappings'!$H787))),ISNUMBER(SEARCH(IF(J$3&lt;&gt;"",J$3,"NA"),'MITRE ATT&amp;CK Mappings'!$I787))),ISNUMBER(SEARCH(IF(J$3&lt;&gt;"",J$3,"NA"),'MITRE ATT&amp;CK Mappings'!$J787))), 'MITRE ATT&amp;CK Mappings'!$B787,"")</f>
        <v/>
      </c>
      <c r="K791" s="27" t="str">
        <f>IF(OR(OR(OR(OR(OR(ISNUMBER(SEARCH(IF(K$1&lt;&gt;"",K$1,"NA"),'MITRE ATT&amp;CK Mappings'!$E787)),ISNUMBER(SEARCH(IF(K$1&lt;&gt;"",K$1,"NA"),'MITRE ATT&amp;CK Mappings'!$F787))),ISNUMBER(SEARCH(IF(K$2&lt;&gt;"",K$2,"NA"),'MITRE ATT&amp;CK Mappings'!$G787))),ISNUMBER(SEARCH(IF(K$2&lt;&gt;"",K$2,"NA"),'MITRE ATT&amp;CK Mappings'!$H787))),ISNUMBER(SEARCH(IF(K$3&lt;&gt;"",K$3,"NA"),'MITRE ATT&amp;CK Mappings'!$I787))),ISNUMBER(SEARCH(IF(K$3&lt;&gt;"",K$3,"NA"),'MITRE ATT&amp;CK Mappings'!$J787))), 'MITRE ATT&amp;CK Mappings'!$B787,"")</f>
        <v/>
      </c>
      <c r="L791" s="27" t="str">
        <f>IF('MITRE ATT&amp;CK Mappings'!D787 &lt;&gt;"",'MITRE ATT&amp;CK Mappings'!D787,"" )</f>
        <v/>
      </c>
    </row>
    <row r="792" spans="1:12" x14ac:dyDescent="0.25">
      <c r="A792" s="26" t="str">
        <f>IF(COUNTIF(B792:K792,"="&amp;'MITRE ATT&amp;CK Mappings'!B788)&gt;0,'MITRE ATT&amp;CK Mappings'!B788,"")</f>
        <v/>
      </c>
      <c r="B792" s="26" t="str">
        <f>IF(OR(OR(OR(OR(OR(ISNUMBER(SEARCH(IF(B$1&lt;&gt;"",B$1,"NA"),'MITRE ATT&amp;CK Mappings'!$E788)),ISNUMBER(SEARCH(IF(B$1&lt;&gt;"",B$1,"NA"),'MITRE ATT&amp;CK Mappings'!$F788))),ISNUMBER(SEARCH(IF(B$2&lt;&gt;"",B$2,"NA"),'MITRE ATT&amp;CK Mappings'!$G788))),ISNUMBER(SEARCH(IF(B$2&lt;&gt;"",B$2,"NA"),'MITRE ATT&amp;CK Mappings'!$H788))),ISNUMBER(SEARCH(IF(B$3&lt;&gt;"",B$3,"NA"),'MITRE ATT&amp;CK Mappings'!$I788))),ISNUMBER(SEARCH(IF(B$3&lt;&gt;"",B$3,"NA"),'MITRE ATT&amp;CK Mappings'!$J788))), 'MITRE ATT&amp;CK Mappings'!$B788,"")</f>
        <v/>
      </c>
      <c r="C792" s="26" t="str">
        <f>IF(OR(OR(OR(OR(OR(ISNUMBER(SEARCH(IF(C$1&lt;&gt;"",C$1,"NA"),'MITRE ATT&amp;CK Mappings'!$E788)),ISNUMBER(SEARCH(IF(C$1&lt;&gt;"",C$1,"NA"),'MITRE ATT&amp;CK Mappings'!$F788))),ISNUMBER(SEARCH(IF(C$2&lt;&gt;"",C$2,"NA"),'MITRE ATT&amp;CK Mappings'!$G788))),ISNUMBER(SEARCH(IF(C$2&lt;&gt;"",C$2,"NA"),'MITRE ATT&amp;CK Mappings'!$H788))),ISNUMBER(SEARCH(IF(C$3&lt;&gt;"",C$3,"NA"),'MITRE ATT&amp;CK Mappings'!$I788))),ISNUMBER(SEARCH(IF(C$3&lt;&gt;"",C$3,"NA"),'MITRE ATT&amp;CK Mappings'!$J788))), 'MITRE ATT&amp;CK Mappings'!$B788,"")</f>
        <v/>
      </c>
      <c r="D792" s="26" t="str">
        <f>IF(OR(OR(OR(OR(OR(ISNUMBER(SEARCH(IF(D$1&lt;&gt;"",D$1,"NA"),'MITRE ATT&amp;CK Mappings'!$E788)),ISNUMBER(SEARCH(IF(D$1&lt;&gt;"",D$1,"NA"),'MITRE ATT&amp;CK Mappings'!$F788))),ISNUMBER(SEARCH(IF(D$2&lt;&gt;"",D$2,"NA"),'MITRE ATT&amp;CK Mappings'!$G788))),ISNUMBER(SEARCH(IF(D$2&lt;&gt;"",D$2,"NA"),'MITRE ATT&amp;CK Mappings'!$H788))),ISNUMBER(SEARCH(IF(D$3&lt;&gt;"",D$3,"NA"),'MITRE ATT&amp;CK Mappings'!$I788))),ISNUMBER(SEARCH(IF(D$3&lt;&gt;"",D$3,"NA"),'MITRE ATT&amp;CK Mappings'!$J788))), 'MITRE ATT&amp;CK Mappings'!$B788,"")</f>
        <v/>
      </c>
      <c r="E792" s="26" t="str">
        <f>IF(OR(OR(OR(OR(OR(ISNUMBER(SEARCH(IF(E$1&lt;&gt;"",E$1,"NA"),'MITRE ATT&amp;CK Mappings'!$E788)),ISNUMBER(SEARCH(IF(E$1&lt;&gt;"",E$1,"NA"),'MITRE ATT&amp;CK Mappings'!$F788))),ISNUMBER(SEARCH(IF(E$2&lt;&gt;"",E$2,"NA"),'MITRE ATT&amp;CK Mappings'!$G788))),ISNUMBER(SEARCH(IF(E$2&lt;&gt;"",E$2,"NA"),'MITRE ATT&amp;CK Mappings'!$H788))),ISNUMBER(SEARCH(IF(E$3&lt;&gt;"",E$3,"NA"),'MITRE ATT&amp;CK Mappings'!$I788))),ISNUMBER(SEARCH(IF(E$3&lt;&gt;"",E$3,"NA"),'MITRE ATT&amp;CK Mappings'!$J788))), 'MITRE ATT&amp;CK Mappings'!$B788,"")</f>
        <v/>
      </c>
      <c r="F792" s="26" t="str">
        <f>IF(OR(OR(OR(OR(OR(ISNUMBER(SEARCH(IF(F$1&lt;&gt;"",F$1,"NA"),'MITRE ATT&amp;CK Mappings'!$E788)),ISNUMBER(SEARCH(IF(F$1&lt;&gt;"",F$1,"NA"),'MITRE ATT&amp;CK Mappings'!$F788))),ISNUMBER(SEARCH(IF(F$2&lt;&gt;"",F$2,"NA"),'MITRE ATT&amp;CK Mappings'!$G788))),ISNUMBER(SEARCH(IF(F$2&lt;&gt;"",F$2,"NA"),'MITRE ATT&amp;CK Mappings'!$H788))),ISNUMBER(SEARCH(IF(F$3&lt;&gt;"",F$3,"NA"),'MITRE ATT&amp;CK Mappings'!$I788))),ISNUMBER(SEARCH(IF(F$3&lt;&gt;"",F$3,"NA"),'MITRE ATT&amp;CK Mappings'!$J788))), 'MITRE ATT&amp;CK Mappings'!$B788,"")</f>
        <v/>
      </c>
      <c r="G792" s="26" t="str">
        <f>IF(OR(OR(OR(OR(OR(ISNUMBER(SEARCH(IF(G$1&lt;&gt;"",G$1,"NA"),'MITRE ATT&amp;CK Mappings'!$E788)),ISNUMBER(SEARCH(IF(G$1&lt;&gt;"",G$1,"NA"),'MITRE ATT&amp;CK Mappings'!$F788))),ISNUMBER(SEARCH(IF(G$2&lt;&gt;"",G$2,"NA"),'MITRE ATT&amp;CK Mappings'!$G788))),ISNUMBER(SEARCH(IF(G$2&lt;&gt;"",G$2,"NA"),'MITRE ATT&amp;CK Mappings'!$H788))),ISNUMBER(SEARCH(IF(G$3&lt;&gt;"",G$3,"NA"),'MITRE ATT&amp;CK Mappings'!$I788))),ISNUMBER(SEARCH(IF(G$3&lt;&gt;"",G$3,"NA"),'MITRE ATT&amp;CK Mappings'!$J788))), 'MITRE ATT&amp;CK Mappings'!$B788,"")</f>
        <v/>
      </c>
      <c r="H792" s="26" t="str">
        <f>IF(OR(OR(OR(OR(OR(ISNUMBER(SEARCH(IF(H$1&lt;&gt;"",H$1,"NA"),'MITRE ATT&amp;CK Mappings'!$E788)),ISNUMBER(SEARCH(IF(H$1&lt;&gt;"",H$1,"NA"),'MITRE ATT&amp;CK Mappings'!$F788))),ISNUMBER(SEARCH(IF(H$2&lt;&gt;"",H$2,"NA"),'MITRE ATT&amp;CK Mappings'!$G788))),ISNUMBER(SEARCH(IF(H$2&lt;&gt;"",H$2,"NA"),'MITRE ATT&amp;CK Mappings'!$H788))),ISNUMBER(SEARCH(IF(H$3&lt;&gt;"",H$3,"NA"),'MITRE ATT&amp;CK Mappings'!$I788))),ISNUMBER(SEARCH(IF(H$3&lt;&gt;"",H$3,"NA"),'MITRE ATT&amp;CK Mappings'!$J788))), 'MITRE ATT&amp;CK Mappings'!$B788,"")</f>
        <v/>
      </c>
      <c r="I792" s="26" t="str">
        <f>IF(OR(OR(OR(OR(OR(ISNUMBER(SEARCH(IF(I$1&lt;&gt;"",I$1,"NA"),'MITRE ATT&amp;CK Mappings'!$E788)),ISNUMBER(SEARCH(IF(I$1&lt;&gt;"",I$1,"NA"),'MITRE ATT&amp;CK Mappings'!$F788))),ISNUMBER(SEARCH(IF(I$2&lt;&gt;"",I$2,"NA"),'MITRE ATT&amp;CK Mappings'!$G788))),ISNUMBER(SEARCH(IF(I$2&lt;&gt;"",I$2,"NA"),'MITRE ATT&amp;CK Mappings'!$H788))),ISNUMBER(SEARCH(IF(I$3&lt;&gt;"",I$3,"NA"),'MITRE ATT&amp;CK Mappings'!$I788))),ISNUMBER(SEARCH(IF(I$3&lt;&gt;"",I$3,"NA"),'MITRE ATT&amp;CK Mappings'!$J788))), 'MITRE ATT&amp;CK Mappings'!$B788,"")</f>
        <v/>
      </c>
      <c r="J792" s="26" t="str">
        <f>IF(OR(OR(OR(OR(OR(ISNUMBER(SEARCH(IF(J$1&lt;&gt;"",J$1,"NA"),'MITRE ATT&amp;CK Mappings'!$E788)),ISNUMBER(SEARCH(IF(J$1&lt;&gt;"",J$1,"NA"),'MITRE ATT&amp;CK Mappings'!$F788))),ISNUMBER(SEARCH(IF(J$2&lt;&gt;"",J$2,"NA"),'MITRE ATT&amp;CK Mappings'!$G788))),ISNUMBER(SEARCH(IF(J$2&lt;&gt;"",J$2,"NA"),'MITRE ATT&amp;CK Mappings'!$H788))),ISNUMBER(SEARCH(IF(J$3&lt;&gt;"",J$3,"NA"),'MITRE ATT&amp;CK Mappings'!$I788))),ISNUMBER(SEARCH(IF(J$3&lt;&gt;"",J$3,"NA"),'MITRE ATT&amp;CK Mappings'!$J788))), 'MITRE ATT&amp;CK Mappings'!$B788,"")</f>
        <v/>
      </c>
      <c r="K792" s="26" t="str">
        <f>IF(OR(OR(OR(OR(OR(ISNUMBER(SEARCH(IF(K$1&lt;&gt;"",K$1,"NA"),'MITRE ATT&amp;CK Mappings'!$E788)),ISNUMBER(SEARCH(IF(K$1&lt;&gt;"",K$1,"NA"),'MITRE ATT&amp;CK Mappings'!$F788))),ISNUMBER(SEARCH(IF(K$2&lt;&gt;"",K$2,"NA"),'MITRE ATT&amp;CK Mappings'!$G788))),ISNUMBER(SEARCH(IF(K$2&lt;&gt;"",K$2,"NA"),'MITRE ATT&amp;CK Mappings'!$H788))),ISNUMBER(SEARCH(IF(K$3&lt;&gt;"",K$3,"NA"),'MITRE ATT&amp;CK Mappings'!$I788))),ISNUMBER(SEARCH(IF(K$3&lt;&gt;"",K$3,"NA"),'MITRE ATT&amp;CK Mappings'!$J788))), 'MITRE ATT&amp;CK Mappings'!$B788,"")</f>
        <v/>
      </c>
      <c r="L792" s="26" t="str">
        <f>IF('MITRE ATT&amp;CK Mappings'!D788 &lt;&gt;"",'MITRE ATT&amp;CK Mappings'!D788,"" )</f>
        <v/>
      </c>
    </row>
    <row r="793" spans="1:12" x14ac:dyDescent="0.25">
      <c r="A793" s="27" t="str">
        <f>IF(COUNTIF(B793:K793,"="&amp;'MITRE ATT&amp;CK Mappings'!B789)&gt;0,'MITRE ATT&amp;CK Mappings'!B789,"")</f>
        <v/>
      </c>
      <c r="B793" s="27" t="str">
        <f>IF(OR(OR(OR(OR(OR(ISNUMBER(SEARCH(IF(B$1&lt;&gt;"",B$1,"NA"),'MITRE ATT&amp;CK Mappings'!$E789)),ISNUMBER(SEARCH(IF(B$1&lt;&gt;"",B$1,"NA"),'MITRE ATT&amp;CK Mappings'!$F789))),ISNUMBER(SEARCH(IF(B$2&lt;&gt;"",B$2,"NA"),'MITRE ATT&amp;CK Mappings'!$G789))),ISNUMBER(SEARCH(IF(B$2&lt;&gt;"",B$2,"NA"),'MITRE ATT&amp;CK Mappings'!$H789))),ISNUMBER(SEARCH(IF(B$3&lt;&gt;"",B$3,"NA"),'MITRE ATT&amp;CK Mappings'!$I789))),ISNUMBER(SEARCH(IF(B$3&lt;&gt;"",B$3,"NA"),'MITRE ATT&amp;CK Mappings'!$J789))), 'MITRE ATT&amp;CK Mappings'!$B789,"")</f>
        <v/>
      </c>
      <c r="C793" s="27" t="str">
        <f>IF(OR(OR(OR(OR(OR(ISNUMBER(SEARCH(IF(C$1&lt;&gt;"",C$1,"NA"),'MITRE ATT&amp;CK Mappings'!$E789)),ISNUMBER(SEARCH(IF(C$1&lt;&gt;"",C$1,"NA"),'MITRE ATT&amp;CK Mappings'!$F789))),ISNUMBER(SEARCH(IF(C$2&lt;&gt;"",C$2,"NA"),'MITRE ATT&amp;CK Mappings'!$G789))),ISNUMBER(SEARCH(IF(C$2&lt;&gt;"",C$2,"NA"),'MITRE ATT&amp;CK Mappings'!$H789))),ISNUMBER(SEARCH(IF(C$3&lt;&gt;"",C$3,"NA"),'MITRE ATT&amp;CK Mappings'!$I789))),ISNUMBER(SEARCH(IF(C$3&lt;&gt;"",C$3,"NA"),'MITRE ATT&amp;CK Mappings'!$J789))), 'MITRE ATT&amp;CK Mappings'!$B789,"")</f>
        <v/>
      </c>
      <c r="D793" s="27" t="str">
        <f>IF(OR(OR(OR(OR(OR(ISNUMBER(SEARCH(IF(D$1&lt;&gt;"",D$1,"NA"),'MITRE ATT&amp;CK Mappings'!$E789)),ISNUMBER(SEARCH(IF(D$1&lt;&gt;"",D$1,"NA"),'MITRE ATT&amp;CK Mappings'!$F789))),ISNUMBER(SEARCH(IF(D$2&lt;&gt;"",D$2,"NA"),'MITRE ATT&amp;CK Mappings'!$G789))),ISNUMBER(SEARCH(IF(D$2&lt;&gt;"",D$2,"NA"),'MITRE ATT&amp;CK Mappings'!$H789))),ISNUMBER(SEARCH(IF(D$3&lt;&gt;"",D$3,"NA"),'MITRE ATT&amp;CK Mappings'!$I789))),ISNUMBER(SEARCH(IF(D$3&lt;&gt;"",D$3,"NA"),'MITRE ATT&amp;CK Mappings'!$J789))), 'MITRE ATT&amp;CK Mappings'!$B789,"")</f>
        <v/>
      </c>
      <c r="E793" s="27" t="str">
        <f>IF(OR(OR(OR(OR(OR(ISNUMBER(SEARCH(IF(E$1&lt;&gt;"",E$1,"NA"),'MITRE ATT&amp;CK Mappings'!$E789)),ISNUMBER(SEARCH(IF(E$1&lt;&gt;"",E$1,"NA"),'MITRE ATT&amp;CK Mappings'!$F789))),ISNUMBER(SEARCH(IF(E$2&lt;&gt;"",E$2,"NA"),'MITRE ATT&amp;CK Mappings'!$G789))),ISNUMBER(SEARCH(IF(E$2&lt;&gt;"",E$2,"NA"),'MITRE ATT&amp;CK Mappings'!$H789))),ISNUMBER(SEARCH(IF(E$3&lt;&gt;"",E$3,"NA"),'MITRE ATT&amp;CK Mappings'!$I789))),ISNUMBER(SEARCH(IF(E$3&lt;&gt;"",E$3,"NA"),'MITRE ATT&amp;CK Mappings'!$J789))), 'MITRE ATT&amp;CK Mappings'!$B789,"")</f>
        <v/>
      </c>
      <c r="F793" s="27" t="str">
        <f>IF(OR(OR(OR(OR(OR(ISNUMBER(SEARCH(IF(F$1&lt;&gt;"",F$1,"NA"),'MITRE ATT&amp;CK Mappings'!$E789)),ISNUMBER(SEARCH(IF(F$1&lt;&gt;"",F$1,"NA"),'MITRE ATT&amp;CK Mappings'!$F789))),ISNUMBER(SEARCH(IF(F$2&lt;&gt;"",F$2,"NA"),'MITRE ATT&amp;CK Mappings'!$G789))),ISNUMBER(SEARCH(IF(F$2&lt;&gt;"",F$2,"NA"),'MITRE ATT&amp;CK Mappings'!$H789))),ISNUMBER(SEARCH(IF(F$3&lt;&gt;"",F$3,"NA"),'MITRE ATT&amp;CK Mappings'!$I789))),ISNUMBER(SEARCH(IF(F$3&lt;&gt;"",F$3,"NA"),'MITRE ATT&amp;CK Mappings'!$J789))), 'MITRE ATT&amp;CK Mappings'!$B789,"")</f>
        <v/>
      </c>
      <c r="G793" s="27" t="str">
        <f>IF(OR(OR(OR(OR(OR(ISNUMBER(SEARCH(IF(G$1&lt;&gt;"",G$1,"NA"),'MITRE ATT&amp;CK Mappings'!$E789)),ISNUMBER(SEARCH(IF(G$1&lt;&gt;"",G$1,"NA"),'MITRE ATT&amp;CK Mappings'!$F789))),ISNUMBER(SEARCH(IF(G$2&lt;&gt;"",G$2,"NA"),'MITRE ATT&amp;CK Mappings'!$G789))),ISNUMBER(SEARCH(IF(G$2&lt;&gt;"",G$2,"NA"),'MITRE ATT&amp;CK Mappings'!$H789))),ISNUMBER(SEARCH(IF(G$3&lt;&gt;"",G$3,"NA"),'MITRE ATT&amp;CK Mappings'!$I789))),ISNUMBER(SEARCH(IF(G$3&lt;&gt;"",G$3,"NA"),'MITRE ATT&amp;CK Mappings'!$J789))), 'MITRE ATT&amp;CK Mappings'!$B789,"")</f>
        <v/>
      </c>
      <c r="H793" s="27" t="str">
        <f>IF(OR(OR(OR(OR(OR(ISNUMBER(SEARCH(IF(H$1&lt;&gt;"",H$1,"NA"),'MITRE ATT&amp;CK Mappings'!$E789)),ISNUMBER(SEARCH(IF(H$1&lt;&gt;"",H$1,"NA"),'MITRE ATT&amp;CK Mappings'!$F789))),ISNUMBER(SEARCH(IF(H$2&lt;&gt;"",H$2,"NA"),'MITRE ATT&amp;CK Mappings'!$G789))),ISNUMBER(SEARCH(IF(H$2&lt;&gt;"",H$2,"NA"),'MITRE ATT&amp;CK Mappings'!$H789))),ISNUMBER(SEARCH(IF(H$3&lt;&gt;"",H$3,"NA"),'MITRE ATT&amp;CK Mappings'!$I789))),ISNUMBER(SEARCH(IF(H$3&lt;&gt;"",H$3,"NA"),'MITRE ATT&amp;CK Mappings'!$J789))), 'MITRE ATT&amp;CK Mappings'!$B789,"")</f>
        <v/>
      </c>
      <c r="I793" s="27" t="str">
        <f>IF(OR(OR(OR(OR(OR(ISNUMBER(SEARCH(IF(I$1&lt;&gt;"",I$1,"NA"),'MITRE ATT&amp;CK Mappings'!$E789)),ISNUMBER(SEARCH(IF(I$1&lt;&gt;"",I$1,"NA"),'MITRE ATT&amp;CK Mappings'!$F789))),ISNUMBER(SEARCH(IF(I$2&lt;&gt;"",I$2,"NA"),'MITRE ATT&amp;CK Mappings'!$G789))),ISNUMBER(SEARCH(IF(I$2&lt;&gt;"",I$2,"NA"),'MITRE ATT&amp;CK Mappings'!$H789))),ISNUMBER(SEARCH(IF(I$3&lt;&gt;"",I$3,"NA"),'MITRE ATT&amp;CK Mappings'!$I789))),ISNUMBER(SEARCH(IF(I$3&lt;&gt;"",I$3,"NA"),'MITRE ATT&amp;CK Mappings'!$J789))), 'MITRE ATT&amp;CK Mappings'!$B789,"")</f>
        <v/>
      </c>
      <c r="J793" s="27" t="str">
        <f>IF(OR(OR(OR(OR(OR(ISNUMBER(SEARCH(IF(J$1&lt;&gt;"",J$1,"NA"),'MITRE ATT&amp;CK Mappings'!$E789)),ISNUMBER(SEARCH(IF(J$1&lt;&gt;"",J$1,"NA"),'MITRE ATT&amp;CK Mappings'!$F789))),ISNUMBER(SEARCH(IF(J$2&lt;&gt;"",J$2,"NA"),'MITRE ATT&amp;CK Mappings'!$G789))),ISNUMBER(SEARCH(IF(J$2&lt;&gt;"",J$2,"NA"),'MITRE ATT&amp;CK Mappings'!$H789))),ISNUMBER(SEARCH(IF(J$3&lt;&gt;"",J$3,"NA"),'MITRE ATT&amp;CK Mappings'!$I789))),ISNUMBER(SEARCH(IF(J$3&lt;&gt;"",J$3,"NA"),'MITRE ATT&amp;CK Mappings'!$J789))), 'MITRE ATT&amp;CK Mappings'!$B789,"")</f>
        <v/>
      </c>
      <c r="K793" s="27" t="str">
        <f>IF(OR(OR(OR(OR(OR(ISNUMBER(SEARCH(IF(K$1&lt;&gt;"",K$1,"NA"),'MITRE ATT&amp;CK Mappings'!$E789)),ISNUMBER(SEARCH(IF(K$1&lt;&gt;"",K$1,"NA"),'MITRE ATT&amp;CK Mappings'!$F789))),ISNUMBER(SEARCH(IF(K$2&lt;&gt;"",K$2,"NA"),'MITRE ATT&amp;CK Mappings'!$G789))),ISNUMBER(SEARCH(IF(K$2&lt;&gt;"",K$2,"NA"),'MITRE ATT&amp;CK Mappings'!$H789))),ISNUMBER(SEARCH(IF(K$3&lt;&gt;"",K$3,"NA"),'MITRE ATT&amp;CK Mappings'!$I789))),ISNUMBER(SEARCH(IF(K$3&lt;&gt;"",K$3,"NA"),'MITRE ATT&amp;CK Mappings'!$J789))), 'MITRE ATT&amp;CK Mappings'!$B789,"")</f>
        <v/>
      </c>
      <c r="L793" s="27" t="str">
        <f>IF('MITRE ATT&amp;CK Mappings'!D789 &lt;&gt;"",'MITRE ATT&amp;CK Mappings'!D789,"" )</f>
        <v/>
      </c>
    </row>
    <row r="794" spans="1:12" x14ac:dyDescent="0.25">
      <c r="A794" s="26" t="str">
        <f>IF(COUNTIF(B794:K794,"="&amp;'MITRE ATT&amp;CK Mappings'!B790)&gt;0,'MITRE ATT&amp;CK Mappings'!B790,"")</f>
        <v/>
      </c>
      <c r="B794" s="26" t="str">
        <f>IF(OR(OR(OR(OR(OR(ISNUMBER(SEARCH(IF(B$1&lt;&gt;"",B$1,"NA"),'MITRE ATT&amp;CK Mappings'!$E790)),ISNUMBER(SEARCH(IF(B$1&lt;&gt;"",B$1,"NA"),'MITRE ATT&amp;CK Mappings'!$F790))),ISNUMBER(SEARCH(IF(B$2&lt;&gt;"",B$2,"NA"),'MITRE ATT&amp;CK Mappings'!$G790))),ISNUMBER(SEARCH(IF(B$2&lt;&gt;"",B$2,"NA"),'MITRE ATT&amp;CK Mappings'!$H790))),ISNUMBER(SEARCH(IF(B$3&lt;&gt;"",B$3,"NA"),'MITRE ATT&amp;CK Mappings'!$I790))),ISNUMBER(SEARCH(IF(B$3&lt;&gt;"",B$3,"NA"),'MITRE ATT&amp;CK Mappings'!$J790))), 'MITRE ATT&amp;CK Mappings'!$B790,"")</f>
        <v/>
      </c>
      <c r="C794" s="26" t="str">
        <f>IF(OR(OR(OR(OR(OR(ISNUMBER(SEARCH(IF(C$1&lt;&gt;"",C$1,"NA"),'MITRE ATT&amp;CK Mappings'!$E790)),ISNUMBER(SEARCH(IF(C$1&lt;&gt;"",C$1,"NA"),'MITRE ATT&amp;CK Mappings'!$F790))),ISNUMBER(SEARCH(IF(C$2&lt;&gt;"",C$2,"NA"),'MITRE ATT&amp;CK Mappings'!$G790))),ISNUMBER(SEARCH(IF(C$2&lt;&gt;"",C$2,"NA"),'MITRE ATT&amp;CK Mappings'!$H790))),ISNUMBER(SEARCH(IF(C$3&lt;&gt;"",C$3,"NA"),'MITRE ATT&amp;CK Mappings'!$I790))),ISNUMBER(SEARCH(IF(C$3&lt;&gt;"",C$3,"NA"),'MITRE ATT&amp;CK Mappings'!$J790))), 'MITRE ATT&amp;CK Mappings'!$B790,"")</f>
        <v/>
      </c>
      <c r="D794" s="26" t="str">
        <f>IF(OR(OR(OR(OR(OR(ISNUMBER(SEARCH(IF(D$1&lt;&gt;"",D$1,"NA"),'MITRE ATT&amp;CK Mappings'!$E790)),ISNUMBER(SEARCH(IF(D$1&lt;&gt;"",D$1,"NA"),'MITRE ATT&amp;CK Mappings'!$F790))),ISNUMBER(SEARCH(IF(D$2&lt;&gt;"",D$2,"NA"),'MITRE ATT&amp;CK Mappings'!$G790))),ISNUMBER(SEARCH(IF(D$2&lt;&gt;"",D$2,"NA"),'MITRE ATT&amp;CK Mappings'!$H790))),ISNUMBER(SEARCH(IF(D$3&lt;&gt;"",D$3,"NA"),'MITRE ATT&amp;CK Mappings'!$I790))),ISNUMBER(SEARCH(IF(D$3&lt;&gt;"",D$3,"NA"),'MITRE ATT&amp;CK Mappings'!$J790))), 'MITRE ATT&amp;CK Mappings'!$B790,"")</f>
        <v/>
      </c>
      <c r="E794" s="26" t="str">
        <f>IF(OR(OR(OR(OR(OR(ISNUMBER(SEARCH(IF(E$1&lt;&gt;"",E$1,"NA"),'MITRE ATT&amp;CK Mappings'!$E790)),ISNUMBER(SEARCH(IF(E$1&lt;&gt;"",E$1,"NA"),'MITRE ATT&amp;CK Mappings'!$F790))),ISNUMBER(SEARCH(IF(E$2&lt;&gt;"",E$2,"NA"),'MITRE ATT&amp;CK Mappings'!$G790))),ISNUMBER(SEARCH(IF(E$2&lt;&gt;"",E$2,"NA"),'MITRE ATT&amp;CK Mappings'!$H790))),ISNUMBER(SEARCH(IF(E$3&lt;&gt;"",E$3,"NA"),'MITRE ATT&amp;CK Mappings'!$I790))),ISNUMBER(SEARCH(IF(E$3&lt;&gt;"",E$3,"NA"),'MITRE ATT&amp;CK Mappings'!$J790))), 'MITRE ATT&amp;CK Mappings'!$B790,"")</f>
        <v/>
      </c>
      <c r="F794" s="26" t="str">
        <f>IF(OR(OR(OR(OR(OR(ISNUMBER(SEARCH(IF(F$1&lt;&gt;"",F$1,"NA"),'MITRE ATT&amp;CK Mappings'!$E790)),ISNUMBER(SEARCH(IF(F$1&lt;&gt;"",F$1,"NA"),'MITRE ATT&amp;CK Mappings'!$F790))),ISNUMBER(SEARCH(IF(F$2&lt;&gt;"",F$2,"NA"),'MITRE ATT&amp;CK Mappings'!$G790))),ISNUMBER(SEARCH(IF(F$2&lt;&gt;"",F$2,"NA"),'MITRE ATT&amp;CK Mappings'!$H790))),ISNUMBER(SEARCH(IF(F$3&lt;&gt;"",F$3,"NA"),'MITRE ATT&amp;CK Mappings'!$I790))),ISNUMBER(SEARCH(IF(F$3&lt;&gt;"",F$3,"NA"),'MITRE ATT&amp;CK Mappings'!$J790))), 'MITRE ATT&amp;CK Mappings'!$B790,"")</f>
        <v/>
      </c>
      <c r="G794" s="26" t="str">
        <f>IF(OR(OR(OR(OR(OR(ISNUMBER(SEARCH(IF(G$1&lt;&gt;"",G$1,"NA"),'MITRE ATT&amp;CK Mappings'!$E790)),ISNUMBER(SEARCH(IF(G$1&lt;&gt;"",G$1,"NA"),'MITRE ATT&amp;CK Mappings'!$F790))),ISNUMBER(SEARCH(IF(G$2&lt;&gt;"",G$2,"NA"),'MITRE ATT&amp;CK Mappings'!$G790))),ISNUMBER(SEARCH(IF(G$2&lt;&gt;"",G$2,"NA"),'MITRE ATT&amp;CK Mappings'!$H790))),ISNUMBER(SEARCH(IF(G$3&lt;&gt;"",G$3,"NA"),'MITRE ATT&amp;CK Mappings'!$I790))),ISNUMBER(SEARCH(IF(G$3&lt;&gt;"",G$3,"NA"),'MITRE ATT&amp;CK Mappings'!$J790))), 'MITRE ATT&amp;CK Mappings'!$B790,"")</f>
        <v/>
      </c>
      <c r="H794" s="26" t="str">
        <f>IF(OR(OR(OR(OR(OR(ISNUMBER(SEARCH(IF(H$1&lt;&gt;"",H$1,"NA"),'MITRE ATT&amp;CK Mappings'!$E790)),ISNUMBER(SEARCH(IF(H$1&lt;&gt;"",H$1,"NA"),'MITRE ATT&amp;CK Mappings'!$F790))),ISNUMBER(SEARCH(IF(H$2&lt;&gt;"",H$2,"NA"),'MITRE ATT&amp;CK Mappings'!$G790))),ISNUMBER(SEARCH(IF(H$2&lt;&gt;"",H$2,"NA"),'MITRE ATT&amp;CK Mappings'!$H790))),ISNUMBER(SEARCH(IF(H$3&lt;&gt;"",H$3,"NA"),'MITRE ATT&amp;CK Mappings'!$I790))),ISNUMBER(SEARCH(IF(H$3&lt;&gt;"",H$3,"NA"),'MITRE ATT&amp;CK Mappings'!$J790))), 'MITRE ATT&amp;CK Mappings'!$B790,"")</f>
        <v/>
      </c>
      <c r="I794" s="26" t="str">
        <f>IF(OR(OR(OR(OR(OR(ISNUMBER(SEARCH(IF(I$1&lt;&gt;"",I$1,"NA"),'MITRE ATT&amp;CK Mappings'!$E790)),ISNUMBER(SEARCH(IF(I$1&lt;&gt;"",I$1,"NA"),'MITRE ATT&amp;CK Mappings'!$F790))),ISNUMBER(SEARCH(IF(I$2&lt;&gt;"",I$2,"NA"),'MITRE ATT&amp;CK Mappings'!$G790))),ISNUMBER(SEARCH(IF(I$2&lt;&gt;"",I$2,"NA"),'MITRE ATT&amp;CK Mappings'!$H790))),ISNUMBER(SEARCH(IF(I$3&lt;&gt;"",I$3,"NA"),'MITRE ATT&amp;CK Mappings'!$I790))),ISNUMBER(SEARCH(IF(I$3&lt;&gt;"",I$3,"NA"),'MITRE ATT&amp;CK Mappings'!$J790))), 'MITRE ATT&amp;CK Mappings'!$B790,"")</f>
        <v/>
      </c>
      <c r="J794" s="26" t="str">
        <f>IF(OR(OR(OR(OR(OR(ISNUMBER(SEARCH(IF(J$1&lt;&gt;"",J$1,"NA"),'MITRE ATT&amp;CK Mappings'!$E790)),ISNUMBER(SEARCH(IF(J$1&lt;&gt;"",J$1,"NA"),'MITRE ATT&amp;CK Mappings'!$F790))),ISNUMBER(SEARCH(IF(J$2&lt;&gt;"",J$2,"NA"),'MITRE ATT&amp;CK Mappings'!$G790))),ISNUMBER(SEARCH(IF(J$2&lt;&gt;"",J$2,"NA"),'MITRE ATT&amp;CK Mappings'!$H790))),ISNUMBER(SEARCH(IF(J$3&lt;&gt;"",J$3,"NA"),'MITRE ATT&amp;CK Mappings'!$I790))),ISNUMBER(SEARCH(IF(J$3&lt;&gt;"",J$3,"NA"),'MITRE ATT&amp;CK Mappings'!$J790))), 'MITRE ATT&amp;CK Mappings'!$B790,"")</f>
        <v/>
      </c>
      <c r="K794" s="26" t="str">
        <f>IF(OR(OR(OR(OR(OR(ISNUMBER(SEARCH(IF(K$1&lt;&gt;"",K$1,"NA"),'MITRE ATT&amp;CK Mappings'!$E790)),ISNUMBER(SEARCH(IF(K$1&lt;&gt;"",K$1,"NA"),'MITRE ATT&amp;CK Mappings'!$F790))),ISNUMBER(SEARCH(IF(K$2&lt;&gt;"",K$2,"NA"),'MITRE ATT&amp;CK Mappings'!$G790))),ISNUMBER(SEARCH(IF(K$2&lt;&gt;"",K$2,"NA"),'MITRE ATT&amp;CK Mappings'!$H790))),ISNUMBER(SEARCH(IF(K$3&lt;&gt;"",K$3,"NA"),'MITRE ATT&amp;CK Mappings'!$I790))),ISNUMBER(SEARCH(IF(K$3&lt;&gt;"",K$3,"NA"),'MITRE ATT&amp;CK Mappings'!$J790))), 'MITRE ATT&amp;CK Mappings'!$B790,"")</f>
        <v/>
      </c>
      <c r="L794" s="26" t="str">
        <f>IF('MITRE ATT&amp;CK Mappings'!D790 &lt;&gt;"",'MITRE ATT&amp;CK Mappings'!D790,"" )</f>
        <v/>
      </c>
    </row>
    <row r="795" spans="1:12" x14ac:dyDescent="0.25">
      <c r="A795" s="27" t="str">
        <f>IF(COUNTIF(B795:K795,"="&amp;'MITRE ATT&amp;CK Mappings'!B791)&gt;0,'MITRE ATT&amp;CK Mappings'!B791,"")</f>
        <v/>
      </c>
      <c r="B795" s="27" t="str">
        <f>IF(OR(OR(OR(OR(OR(ISNUMBER(SEARCH(IF(B$1&lt;&gt;"",B$1,"NA"),'MITRE ATT&amp;CK Mappings'!$E791)),ISNUMBER(SEARCH(IF(B$1&lt;&gt;"",B$1,"NA"),'MITRE ATT&amp;CK Mappings'!$F791))),ISNUMBER(SEARCH(IF(B$2&lt;&gt;"",B$2,"NA"),'MITRE ATT&amp;CK Mappings'!$G791))),ISNUMBER(SEARCH(IF(B$2&lt;&gt;"",B$2,"NA"),'MITRE ATT&amp;CK Mappings'!$H791))),ISNUMBER(SEARCH(IF(B$3&lt;&gt;"",B$3,"NA"),'MITRE ATT&amp;CK Mappings'!$I791))),ISNUMBER(SEARCH(IF(B$3&lt;&gt;"",B$3,"NA"),'MITRE ATT&amp;CK Mappings'!$J791))), 'MITRE ATT&amp;CK Mappings'!$B791,"")</f>
        <v/>
      </c>
      <c r="C795" s="27" t="str">
        <f>IF(OR(OR(OR(OR(OR(ISNUMBER(SEARCH(IF(C$1&lt;&gt;"",C$1,"NA"),'MITRE ATT&amp;CK Mappings'!$E791)),ISNUMBER(SEARCH(IF(C$1&lt;&gt;"",C$1,"NA"),'MITRE ATT&amp;CK Mappings'!$F791))),ISNUMBER(SEARCH(IF(C$2&lt;&gt;"",C$2,"NA"),'MITRE ATT&amp;CK Mappings'!$G791))),ISNUMBER(SEARCH(IF(C$2&lt;&gt;"",C$2,"NA"),'MITRE ATT&amp;CK Mappings'!$H791))),ISNUMBER(SEARCH(IF(C$3&lt;&gt;"",C$3,"NA"),'MITRE ATT&amp;CK Mappings'!$I791))),ISNUMBER(SEARCH(IF(C$3&lt;&gt;"",C$3,"NA"),'MITRE ATT&amp;CK Mappings'!$J791))), 'MITRE ATT&amp;CK Mappings'!$B791,"")</f>
        <v/>
      </c>
      <c r="D795" s="27" t="str">
        <f>IF(OR(OR(OR(OR(OR(ISNUMBER(SEARCH(IF(D$1&lt;&gt;"",D$1,"NA"),'MITRE ATT&amp;CK Mappings'!$E791)),ISNUMBER(SEARCH(IF(D$1&lt;&gt;"",D$1,"NA"),'MITRE ATT&amp;CK Mappings'!$F791))),ISNUMBER(SEARCH(IF(D$2&lt;&gt;"",D$2,"NA"),'MITRE ATT&amp;CK Mappings'!$G791))),ISNUMBER(SEARCH(IF(D$2&lt;&gt;"",D$2,"NA"),'MITRE ATT&amp;CK Mappings'!$H791))),ISNUMBER(SEARCH(IF(D$3&lt;&gt;"",D$3,"NA"),'MITRE ATT&amp;CK Mappings'!$I791))),ISNUMBER(SEARCH(IF(D$3&lt;&gt;"",D$3,"NA"),'MITRE ATT&amp;CK Mappings'!$J791))), 'MITRE ATT&amp;CK Mappings'!$B791,"")</f>
        <v/>
      </c>
      <c r="E795" s="27" t="str">
        <f>IF(OR(OR(OR(OR(OR(ISNUMBER(SEARCH(IF(E$1&lt;&gt;"",E$1,"NA"),'MITRE ATT&amp;CK Mappings'!$E791)),ISNUMBER(SEARCH(IF(E$1&lt;&gt;"",E$1,"NA"),'MITRE ATT&amp;CK Mappings'!$F791))),ISNUMBER(SEARCH(IF(E$2&lt;&gt;"",E$2,"NA"),'MITRE ATT&amp;CK Mappings'!$G791))),ISNUMBER(SEARCH(IF(E$2&lt;&gt;"",E$2,"NA"),'MITRE ATT&amp;CK Mappings'!$H791))),ISNUMBER(SEARCH(IF(E$3&lt;&gt;"",E$3,"NA"),'MITRE ATT&amp;CK Mappings'!$I791))),ISNUMBER(SEARCH(IF(E$3&lt;&gt;"",E$3,"NA"),'MITRE ATT&amp;CK Mappings'!$J791))), 'MITRE ATT&amp;CK Mappings'!$B791,"")</f>
        <v/>
      </c>
      <c r="F795" s="27" t="str">
        <f>IF(OR(OR(OR(OR(OR(ISNUMBER(SEARCH(IF(F$1&lt;&gt;"",F$1,"NA"),'MITRE ATT&amp;CK Mappings'!$E791)),ISNUMBER(SEARCH(IF(F$1&lt;&gt;"",F$1,"NA"),'MITRE ATT&amp;CK Mappings'!$F791))),ISNUMBER(SEARCH(IF(F$2&lt;&gt;"",F$2,"NA"),'MITRE ATT&amp;CK Mappings'!$G791))),ISNUMBER(SEARCH(IF(F$2&lt;&gt;"",F$2,"NA"),'MITRE ATT&amp;CK Mappings'!$H791))),ISNUMBER(SEARCH(IF(F$3&lt;&gt;"",F$3,"NA"),'MITRE ATT&amp;CK Mappings'!$I791))),ISNUMBER(SEARCH(IF(F$3&lt;&gt;"",F$3,"NA"),'MITRE ATT&amp;CK Mappings'!$J791))), 'MITRE ATT&amp;CK Mappings'!$B791,"")</f>
        <v/>
      </c>
      <c r="G795" s="27" t="str">
        <f>IF(OR(OR(OR(OR(OR(ISNUMBER(SEARCH(IF(G$1&lt;&gt;"",G$1,"NA"),'MITRE ATT&amp;CK Mappings'!$E791)),ISNUMBER(SEARCH(IF(G$1&lt;&gt;"",G$1,"NA"),'MITRE ATT&amp;CK Mappings'!$F791))),ISNUMBER(SEARCH(IF(G$2&lt;&gt;"",G$2,"NA"),'MITRE ATT&amp;CK Mappings'!$G791))),ISNUMBER(SEARCH(IF(G$2&lt;&gt;"",G$2,"NA"),'MITRE ATT&amp;CK Mappings'!$H791))),ISNUMBER(SEARCH(IF(G$3&lt;&gt;"",G$3,"NA"),'MITRE ATT&amp;CK Mappings'!$I791))),ISNUMBER(SEARCH(IF(G$3&lt;&gt;"",G$3,"NA"),'MITRE ATT&amp;CK Mappings'!$J791))), 'MITRE ATT&amp;CK Mappings'!$B791,"")</f>
        <v/>
      </c>
      <c r="H795" s="27" t="str">
        <f>IF(OR(OR(OR(OR(OR(ISNUMBER(SEARCH(IF(H$1&lt;&gt;"",H$1,"NA"),'MITRE ATT&amp;CK Mappings'!$E791)),ISNUMBER(SEARCH(IF(H$1&lt;&gt;"",H$1,"NA"),'MITRE ATT&amp;CK Mappings'!$F791))),ISNUMBER(SEARCH(IF(H$2&lt;&gt;"",H$2,"NA"),'MITRE ATT&amp;CK Mappings'!$G791))),ISNUMBER(SEARCH(IF(H$2&lt;&gt;"",H$2,"NA"),'MITRE ATT&amp;CK Mappings'!$H791))),ISNUMBER(SEARCH(IF(H$3&lt;&gt;"",H$3,"NA"),'MITRE ATT&amp;CK Mappings'!$I791))),ISNUMBER(SEARCH(IF(H$3&lt;&gt;"",H$3,"NA"),'MITRE ATT&amp;CK Mappings'!$J791))), 'MITRE ATT&amp;CK Mappings'!$B791,"")</f>
        <v/>
      </c>
      <c r="I795" s="27" t="str">
        <f>IF(OR(OR(OR(OR(OR(ISNUMBER(SEARCH(IF(I$1&lt;&gt;"",I$1,"NA"),'MITRE ATT&amp;CK Mappings'!$E791)),ISNUMBER(SEARCH(IF(I$1&lt;&gt;"",I$1,"NA"),'MITRE ATT&amp;CK Mappings'!$F791))),ISNUMBER(SEARCH(IF(I$2&lt;&gt;"",I$2,"NA"),'MITRE ATT&amp;CK Mappings'!$G791))),ISNUMBER(SEARCH(IF(I$2&lt;&gt;"",I$2,"NA"),'MITRE ATT&amp;CK Mappings'!$H791))),ISNUMBER(SEARCH(IF(I$3&lt;&gt;"",I$3,"NA"),'MITRE ATT&amp;CK Mappings'!$I791))),ISNUMBER(SEARCH(IF(I$3&lt;&gt;"",I$3,"NA"),'MITRE ATT&amp;CK Mappings'!$J791))), 'MITRE ATT&amp;CK Mappings'!$B791,"")</f>
        <v/>
      </c>
      <c r="J795" s="27" t="str">
        <f>IF(OR(OR(OR(OR(OR(ISNUMBER(SEARCH(IF(J$1&lt;&gt;"",J$1,"NA"),'MITRE ATT&amp;CK Mappings'!$E791)),ISNUMBER(SEARCH(IF(J$1&lt;&gt;"",J$1,"NA"),'MITRE ATT&amp;CK Mappings'!$F791))),ISNUMBER(SEARCH(IF(J$2&lt;&gt;"",J$2,"NA"),'MITRE ATT&amp;CK Mappings'!$G791))),ISNUMBER(SEARCH(IF(J$2&lt;&gt;"",J$2,"NA"),'MITRE ATT&amp;CK Mappings'!$H791))),ISNUMBER(SEARCH(IF(J$3&lt;&gt;"",J$3,"NA"),'MITRE ATT&amp;CK Mappings'!$I791))),ISNUMBER(SEARCH(IF(J$3&lt;&gt;"",J$3,"NA"),'MITRE ATT&amp;CK Mappings'!$J791))), 'MITRE ATT&amp;CK Mappings'!$B791,"")</f>
        <v/>
      </c>
      <c r="K795" s="27" t="str">
        <f>IF(OR(OR(OR(OR(OR(ISNUMBER(SEARCH(IF(K$1&lt;&gt;"",K$1,"NA"),'MITRE ATT&amp;CK Mappings'!$E791)),ISNUMBER(SEARCH(IF(K$1&lt;&gt;"",K$1,"NA"),'MITRE ATT&amp;CK Mappings'!$F791))),ISNUMBER(SEARCH(IF(K$2&lt;&gt;"",K$2,"NA"),'MITRE ATT&amp;CK Mappings'!$G791))),ISNUMBER(SEARCH(IF(K$2&lt;&gt;"",K$2,"NA"),'MITRE ATT&amp;CK Mappings'!$H791))),ISNUMBER(SEARCH(IF(K$3&lt;&gt;"",K$3,"NA"),'MITRE ATT&amp;CK Mappings'!$I791))),ISNUMBER(SEARCH(IF(K$3&lt;&gt;"",K$3,"NA"),'MITRE ATT&amp;CK Mappings'!$J791))), 'MITRE ATT&amp;CK Mappings'!$B791,"")</f>
        <v/>
      </c>
      <c r="L795" s="27" t="str">
        <f>IF('MITRE ATT&amp;CK Mappings'!D791 &lt;&gt;"",'MITRE ATT&amp;CK Mappings'!D791,"" )</f>
        <v/>
      </c>
    </row>
    <row r="796" spans="1:12" x14ac:dyDescent="0.25">
      <c r="A796" s="26" t="str">
        <f>IF(COUNTIF(B796:K796,"="&amp;'MITRE ATT&amp;CK Mappings'!B792)&gt;0,'MITRE ATT&amp;CK Mappings'!B792,"")</f>
        <v/>
      </c>
      <c r="B796" s="26" t="str">
        <f>IF(OR(OR(OR(OR(OR(ISNUMBER(SEARCH(IF(B$1&lt;&gt;"",B$1,"NA"),'MITRE ATT&amp;CK Mappings'!$E792)),ISNUMBER(SEARCH(IF(B$1&lt;&gt;"",B$1,"NA"),'MITRE ATT&amp;CK Mappings'!$F792))),ISNUMBER(SEARCH(IF(B$2&lt;&gt;"",B$2,"NA"),'MITRE ATT&amp;CK Mappings'!$G792))),ISNUMBER(SEARCH(IF(B$2&lt;&gt;"",B$2,"NA"),'MITRE ATT&amp;CK Mappings'!$H792))),ISNUMBER(SEARCH(IF(B$3&lt;&gt;"",B$3,"NA"),'MITRE ATT&amp;CK Mappings'!$I792))),ISNUMBER(SEARCH(IF(B$3&lt;&gt;"",B$3,"NA"),'MITRE ATT&amp;CK Mappings'!$J792))), 'MITRE ATT&amp;CK Mappings'!$B792,"")</f>
        <v/>
      </c>
      <c r="C796" s="26" t="str">
        <f>IF(OR(OR(OR(OR(OR(ISNUMBER(SEARCH(IF(C$1&lt;&gt;"",C$1,"NA"),'MITRE ATT&amp;CK Mappings'!$E792)),ISNUMBER(SEARCH(IF(C$1&lt;&gt;"",C$1,"NA"),'MITRE ATT&amp;CK Mappings'!$F792))),ISNUMBER(SEARCH(IF(C$2&lt;&gt;"",C$2,"NA"),'MITRE ATT&amp;CK Mappings'!$G792))),ISNUMBER(SEARCH(IF(C$2&lt;&gt;"",C$2,"NA"),'MITRE ATT&amp;CK Mappings'!$H792))),ISNUMBER(SEARCH(IF(C$3&lt;&gt;"",C$3,"NA"),'MITRE ATT&amp;CK Mappings'!$I792))),ISNUMBER(SEARCH(IF(C$3&lt;&gt;"",C$3,"NA"),'MITRE ATT&amp;CK Mappings'!$J792))), 'MITRE ATT&amp;CK Mappings'!$B792,"")</f>
        <v/>
      </c>
      <c r="D796" s="26" t="str">
        <f>IF(OR(OR(OR(OR(OR(ISNUMBER(SEARCH(IF(D$1&lt;&gt;"",D$1,"NA"),'MITRE ATT&amp;CK Mappings'!$E792)),ISNUMBER(SEARCH(IF(D$1&lt;&gt;"",D$1,"NA"),'MITRE ATT&amp;CK Mappings'!$F792))),ISNUMBER(SEARCH(IF(D$2&lt;&gt;"",D$2,"NA"),'MITRE ATT&amp;CK Mappings'!$G792))),ISNUMBER(SEARCH(IF(D$2&lt;&gt;"",D$2,"NA"),'MITRE ATT&amp;CK Mappings'!$H792))),ISNUMBER(SEARCH(IF(D$3&lt;&gt;"",D$3,"NA"),'MITRE ATT&amp;CK Mappings'!$I792))),ISNUMBER(SEARCH(IF(D$3&lt;&gt;"",D$3,"NA"),'MITRE ATT&amp;CK Mappings'!$J792))), 'MITRE ATT&amp;CK Mappings'!$B792,"")</f>
        <v/>
      </c>
      <c r="E796" s="26" t="str">
        <f>IF(OR(OR(OR(OR(OR(ISNUMBER(SEARCH(IF(E$1&lt;&gt;"",E$1,"NA"),'MITRE ATT&amp;CK Mappings'!$E792)),ISNUMBER(SEARCH(IF(E$1&lt;&gt;"",E$1,"NA"),'MITRE ATT&amp;CK Mappings'!$F792))),ISNUMBER(SEARCH(IF(E$2&lt;&gt;"",E$2,"NA"),'MITRE ATT&amp;CK Mappings'!$G792))),ISNUMBER(SEARCH(IF(E$2&lt;&gt;"",E$2,"NA"),'MITRE ATT&amp;CK Mappings'!$H792))),ISNUMBER(SEARCH(IF(E$3&lt;&gt;"",E$3,"NA"),'MITRE ATT&amp;CK Mappings'!$I792))),ISNUMBER(SEARCH(IF(E$3&lt;&gt;"",E$3,"NA"),'MITRE ATT&amp;CK Mappings'!$J792))), 'MITRE ATT&amp;CK Mappings'!$B792,"")</f>
        <v/>
      </c>
      <c r="F796" s="26" t="str">
        <f>IF(OR(OR(OR(OR(OR(ISNUMBER(SEARCH(IF(F$1&lt;&gt;"",F$1,"NA"),'MITRE ATT&amp;CK Mappings'!$E792)),ISNUMBER(SEARCH(IF(F$1&lt;&gt;"",F$1,"NA"),'MITRE ATT&amp;CK Mappings'!$F792))),ISNUMBER(SEARCH(IF(F$2&lt;&gt;"",F$2,"NA"),'MITRE ATT&amp;CK Mappings'!$G792))),ISNUMBER(SEARCH(IF(F$2&lt;&gt;"",F$2,"NA"),'MITRE ATT&amp;CK Mappings'!$H792))),ISNUMBER(SEARCH(IF(F$3&lt;&gt;"",F$3,"NA"),'MITRE ATT&amp;CK Mappings'!$I792))),ISNUMBER(SEARCH(IF(F$3&lt;&gt;"",F$3,"NA"),'MITRE ATT&amp;CK Mappings'!$J792))), 'MITRE ATT&amp;CK Mappings'!$B792,"")</f>
        <v/>
      </c>
      <c r="G796" s="26" t="str">
        <f>IF(OR(OR(OR(OR(OR(ISNUMBER(SEARCH(IF(G$1&lt;&gt;"",G$1,"NA"),'MITRE ATT&amp;CK Mappings'!$E792)),ISNUMBER(SEARCH(IF(G$1&lt;&gt;"",G$1,"NA"),'MITRE ATT&amp;CK Mappings'!$F792))),ISNUMBER(SEARCH(IF(G$2&lt;&gt;"",G$2,"NA"),'MITRE ATT&amp;CK Mappings'!$G792))),ISNUMBER(SEARCH(IF(G$2&lt;&gt;"",G$2,"NA"),'MITRE ATT&amp;CK Mappings'!$H792))),ISNUMBER(SEARCH(IF(G$3&lt;&gt;"",G$3,"NA"),'MITRE ATT&amp;CK Mappings'!$I792))),ISNUMBER(SEARCH(IF(G$3&lt;&gt;"",G$3,"NA"),'MITRE ATT&amp;CK Mappings'!$J792))), 'MITRE ATT&amp;CK Mappings'!$B792,"")</f>
        <v/>
      </c>
      <c r="H796" s="26" t="str">
        <f>IF(OR(OR(OR(OR(OR(ISNUMBER(SEARCH(IF(H$1&lt;&gt;"",H$1,"NA"),'MITRE ATT&amp;CK Mappings'!$E792)),ISNUMBER(SEARCH(IF(H$1&lt;&gt;"",H$1,"NA"),'MITRE ATT&amp;CK Mappings'!$F792))),ISNUMBER(SEARCH(IF(H$2&lt;&gt;"",H$2,"NA"),'MITRE ATT&amp;CK Mappings'!$G792))),ISNUMBER(SEARCH(IF(H$2&lt;&gt;"",H$2,"NA"),'MITRE ATT&amp;CK Mappings'!$H792))),ISNUMBER(SEARCH(IF(H$3&lt;&gt;"",H$3,"NA"),'MITRE ATT&amp;CK Mappings'!$I792))),ISNUMBER(SEARCH(IF(H$3&lt;&gt;"",H$3,"NA"),'MITRE ATT&amp;CK Mappings'!$J792))), 'MITRE ATT&amp;CK Mappings'!$B792,"")</f>
        <v/>
      </c>
      <c r="I796" s="26" t="str">
        <f>IF(OR(OR(OR(OR(OR(ISNUMBER(SEARCH(IF(I$1&lt;&gt;"",I$1,"NA"),'MITRE ATT&amp;CK Mappings'!$E792)),ISNUMBER(SEARCH(IF(I$1&lt;&gt;"",I$1,"NA"),'MITRE ATT&amp;CK Mappings'!$F792))),ISNUMBER(SEARCH(IF(I$2&lt;&gt;"",I$2,"NA"),'MITRE ATT&amp;CK Mappings'!$G792))),ISNUMBER(SEARCH(IF(I$2&lt;&gt;"",I$2,"NA"),'MITRE ATT&amp;CK Mappings'!$H792))),ISNUMBER(SEARCH(IF(I$3&lt;&gt;"",I$3,"NA"),'MITRE ATT&amp;CK Mappings'!$I792))),ISNUMBER(SEARCH(IF(I$3&lt;&gt;"",I$3,"NA"),'MITRE ATT&amp;CK Mappings'!$J792))), 'MITRE ATT&amp;CK Mappings'!$B792,"")</f>
        <v/>
      </c>
      <c r="J796" s="26" t="str">
        <f>IF(OR(OR(OR(OR(OR(ISNUMBER(SEARCH(IF(J$1&lt;&gt;"",J$1,"NA"),'MITRE ATT&amp;CK Mappings'!$E792)),ISNUMBER(SEARCH(IF(J$1&lt;&gt;"",J$1,"NA"),'MITRE ATT&amp;CK Mappings'!$F792))),ISNUMBER(SEARCH(IF(J$2&lt;&gt;"",J$2,"NA"),'MITRE ATT&amp;CK Mappings'!$G792))),ISNUMBER(SEARCH(IF(J$2&lt;&gt;"",J$2,"NA"),'MITRE ATT&amp;CK Mappings'!$H792))),ISNUMBER(SEARCH(IF(J$3&lt;&gt;"",J$3,"NA"),'MITRE ATT&amp;CK Mappings'!$I792))),ISNUMBER(SEARCH(IF(J$3&lt;&gt;"",J$3,"NA"),'MITRE ATT&amp;CK Mappings'!$J792))), 'MITRE ATT&amp;CK Mappings'!$B792,"")</f>
        <v/>
      </c>
      <c r="K796" s="26" t="str">
        <f>IF(OR(OR(OR(OR(OR(ISNUMBER(SEARCH(IF(K$1&lt;&gt;"",K$1,"NA"),'MITRE ATT&amp;CK Mappings'!$E792)),ISNUMBER(SEARCH(IF(K$1&lt;&gt;"",K$1,"NA"),'MITRE ATT&amp;CK Mappings'!$F792))),ISNUMBER(SEARCH(IF(K$2&lt;&gt;"",K$2,"NA"),'MITRE ATT&amp;CK Mappings'!$G792))),ISNUMBER(SEARCH(IF(K$2&lt;&gt;"",K$2,"NA"),'MITRE ATT&amp;CK Mappings'!$H792))),ISNUMBER(SEARCH(IF(K$3&lt;&gt;"",K$3,"NA"),'MITRE ATT&amp;CK Mappings'!$I792))),ISNUMBER(SEARCH(IF(K$3&lt;&gt;"",K$3,"NA"),'MITRE ATT&amp;CK Mappings'!$J792))), 'MITRE ATT&amp;CK Mappings'!$B792,"")</f>
        <v/>
      </c>
      <c r="L796" s="26" t="str">
        <f>IF('MITRE ATT&amp;CK Mappings'!D792 &lt;&gt;"",'MITRE ATT&amp;CK Mappings'!D792,"" )</f>
        <v/>
      </c>
    </row>
    <row r="797" spans="1:12" x14ac:dyDescent="0.25">
      <c r="A797" s="27" t="str">
        <f>IF(COUNTIF(B797:K797,"="&amp;'MITRE ATT&amp;CK Mappings'!B793)&gt;0,'MITRE ATT&amp;CK Mappings'!B793,"")</f>
        <v/>
      </c>
      <c r="B797" s="27" t="str">
        <f>IF(OR(OR(OR(OR(OR(ISNUMBER(SEARCH(IF(B$1&lt;&gt;"",B$1,"NA"),'MITRE ATT&amp;CK Mappings'!$E793)),ISNUMBER(SEARCH(IF(B$1&lt;&gt;"",B$1,"NA"),'MITRE ATT&amp;CK Mappings'!$F793))),ISNUMBER(SEARCH(IF(B$2&lt;&gt;"",B$2,"NA"),'MITRE ATT&amp;CK Mappings'!$G793))),ISNUMBER(SEARCH(IF(B$2&lt;&gt;"",B$2,"NA"),'MITRE ATT&amp;CK Mappings'!$H793))),ISNUMBER(SEARCH(IF(B$3&lt;&gt;"",B$3,"NA"),'MITRE ATT&amp;CK Mappings'!$I793))),ISNUMBER(SEARCH(IF(B$3&lt;&gt;"",B$3,"NA"),'MITRE ATT&amp;CK Mappings'!$J793))), 'MITRE ATT&amp;CK Mappings'!$B793,"")</f>
        <v/>
      </c>
      <c r="C797" s="27" t="str">
        <f>IF(OR(OR(OR(OR(OR(ISNUMBER(SEARCH(IF(C$1&lt;&gt;"",C$1,"NA"),'MITRE ATT&amp;CK Mappings'!$E793)),ISNUMBER(SEARCH(IF(C$1&lt;&gt;"",C$1,"NA"),'MITRE ATT&amp;CK Mappings'!$F793))),ISNUMBER(SEARCH(IF(C$2&lt;&gt;"",C$2,"NA"),'MITRE ATT&amp;CK Mappings'!$G793))),ISNUMBER(SEARCH(IF(C$2&lt;&gt;"",C$2,"NA"),'MITRE ATT&amp;CK Mappings'!$H793))),ISNUMBER(SEARCH(IF(C$3&lt;&gt;"",C$3,"NA"),'MITRE ATT&amp;CK Mappings'!$I793))),ISNUMBER(SEARCH(IF(C$3&lt;&gt;"",C$3,"NA"),'MITRE ATT&amp;CK Mappings'!$J793))), 'MITRE ATT&amp;CK Mappings'!$B793,"")</f>
        <v/>
      </c>
      <c r="D797" s="27" t="str">
        <f>IF(OR(OR(OR(OR(OR(ISNUMBER(SEARCH(IF(D$1&lt;&gt;"",D$1,"NA"),'MITRE ATT&amp;CK Mappings'!$E793)),ISNUMBER(SEARCH(IF(D$1&lt;&gt;"",D$1,"NA"),'MITRE ATT&amp;CK Mappings'!$F793))),ISNUMBER(SEARCH(IF(D$2&lt;&gt;"",D$2,"NA"),'MITRE ATT&amp;CK Mappings'!$G793))),ISNUMBER(SEARCH(IF(D$2&lt;&gt;"",D$2,"NA"),'MITRE ATT&amp;CK Mappings'!$H793))),ISNUMBER(SEARCH(IF(D$3&lt;&gt;"",D$3,"NA"),'MITRE ATT&amp;CK Mappings'!$I793))),ISNUMBER(SEARCH(IF(D$3&lt;&gt;"",D$3,"NA"),'MITRE ATT&amp;CK Mappings'!$J793))), 'MITRE ATT&amp;CK Mappings'!$B793,"")</f>
        <v/>
      </c>
      <c r="E797" s="27" t="str">
        <f>IF(OR(OR(OR(OR(OR(ISNUMBER(SEARCH(IF(E$1&lt;&gt;"",E$1,"NA"),'MITRE ATT&amp;CK Mappings'!$E793)),ISNUMBER(SEARCH(IF(E$1&lt;&gt;"",E$1,"NA"),'MITRE ATT&amp;CK Mappings'!$F793))),ISNUMBER(SEARCH(IF(E$2&lt;&gt;"",E$2,"NA"),'MITRE ATT&amp;CK Mappings'!$G793))),ISNUMBER(SEARCH(IF(E$2&lt;&gt;"",E$2,"NA"),'MITRE ATT&amp;CK Mappings'!$H793))),ISNUMBER(SEARCH(IF(E$3&lt;&gt;"",E$3,"NA"),'MITRE ATT&amp;CK Mappings'!$I793))),ISNUMBER(SEARCH(IF(E$3&lt;&gt;"",E$3,"NA"),'MITRE ATT&amp;CK Mappings'!$J793))), 'MITRE ATT&amp;CK Mappings'!$B793,"")</f>
        <v/>
      </c>
      <c r="F797" s="27" t="str">
        <f>IF(OR(OR(OR(OR(OR(ISNUMBER(SEARCH(IF(F$1&lt;&gt;"",F$1,"NA"),'MITRE ATT&amp;CK Mappings'!$E793)),ISNUMBER(SEARCH(IF(F$1&lt;&gt;"",F$1,"NA"),'MITRE ATT&amp;CK Mappings'!$F793))),ISNUMBER(SEARCH(IF(F$2&lt;&gt;"",F$2,"NA"),'MITRE ATT&amp;CK Mappings'!$G793))),ISNUMBER(SEARCH(IF(F$2&lt;&gt;"",F$2,"NA"),'MITRE ATT&amp;CK Mappings'!$H793))),ISNUMBER(SEARCH(IF(F$3&lt;&gt;"",F$3,"NA"),'MITRE ATT&amp;CK Mappings'!$I793))),ISNUMBER(SEARCH(IF(F$3&lt;&gt;"",F$3,"NA"),'MITRE ATT&amp;CK Mappings'!$J793))), 'MITRE ATT&amp;CK Mappings'!$B793,"")</f>
        <v/>
      </c>
      <c r="G797" s="27" t="str">
        <f>IF(OR(OR(OR(OR(OR(ISNUMBER(SEARCH(IF(G$1&lt;&gt;"",G$1,"NA"),'MITRE ATT&amp;CK Mappings'!$E793)),ISNUMBER(SEARCH(IF(G$1&lt;&gt;"",G$1,"NA"),'MITRE ATT&amp;CK Mappings'!$F793))),ISNUMBER(SEARCH(IF(G$2&lt;&gt;"",G$2,"NA"),'MITRE ATT&amp;CK Mappings'!$G793))),ISNUMBER(SEARCH(IF(G$2&lt;&gt;"",G$2,"NA"),'MITRE ATT&amp;CK Mappings'!$H793))),ISNUMBER(SEARCH(IF(G$3&lt;&gt;"",G$3,"NA"),'MITRE ATT&amp;CK Mappings'!$I793))),ISNUMBER(SEARCH(IF(G$3&lt;&gt;"",G$3,"NA"),'MITRE ATT&amp;CK Mappings'!$J793))), 'MITRE ATT&amp;CK Mappings'!$B793,"")</f>
        <v/>
      </c>
      <c r="H797" s="27" t="str">
        <f>IF(OR(OR(OR(OR(OR(ISNUMBER(SEARCH(IF(H$1&lt;&gt;"",H$1,"NA"),'MITRE ATT&amp;CK Mappings'!$E793)),ISNUMBER(SEARCH(IF(H$1&lt;&gt;"",H$1,"NA"),'MITRE ATT&amp;CK Mappings'!$F793))),ISNUMBER(SEARCH(IF(H$2&lt;&gt;"",H$2,"NA"),'MITRE ATT&amp;CK Mappings'!$G793))),ISNUMBER(SEARCH(IF(H$2&lt;&gt;"",H$2,"NA"),'MITRE ATT&amp;CK Mappings'!$H793))),ISNUMBER(SEARCH(IF(H$3&lt;&gt;"",H$3,"NA"),'MITRE ATT&amp;CK Mappings'!$I793))),ISNUMBER(SEARCH(IF(H$3&lt;&gt;"",H$3,"NA"),'MITRE ATT&amp;CK Mappings'!$J793))), 'MITRE ATT&amp;CK Mappings'!$B793,"")</f>
        <v/>
      </c>
      <c r="I797" s="27" t="str">
        <f>IF(OR(OR(OR(OR(OR(ISNUMBER(SEARCH(IF(I$1&lt;&gt;"",I$1,"NA"),'MITRE ATT&amp;CK Mappings'!$E793)),ISNUMBER(SEARCH(IF(I$1&lt;&gt;"",I$1,"NA"),'MITRE ATT&amp;CK Mappings'!$F793))),ISNUMBER(SEARCH(IF(I$2&lt;&gt;"",I$2,"NA"),'MITRE ATT&amp;CK Mappings'!$G793))),ISNUMBER(SEARCH(IF(I$2&lt;&gt;"",I$2,"NA"),'MITRE ATT&amp;CK Mappings'!$H793))),ISNUMBER(SEARCH(IF(I$3&lt;&gt;"",I$3,"NA"),'MITRE ATT&amp;CK Mappings'!$I793))),ISNUMBER(SEARCH(IF(I$3&lt;&gt;"",I$3,"NA"),'MITRE ATT&amp;CK Mappings'!$J793))), 'MITRE ATT&amp;CK Mappings'!$B793,"")</f>
        <v/>
      </c>
      <c r="J797" s="27" t="str">
        <f>IF(OR(OR(OR(OR(OR(ISNUMBER(SEARCH(IF(J$1&lt;&gt;"",J$1,"NA"),'MITRE ATT&amp;CK Mappings'!$E793)),ISNUMBER(SEARCH(IF(J$1&lt;&gt;"",J$1,"NA"),'MITRE ATT&amp;CK Mappings'!$F793))),ISNUMBER(SEARCH(IF(J$2&lt;&gt;"",J$2,"NA"),'MITRE ATT&amp;CK Mappings'!$G793))),ISNUMBER(SEARCH(IF(J$2&lt;&gt;"",J$2,"NA"),'MITRE ATT&amp;CK Mappings'!$H793))),ISNUMBER(SEARCH(IF(J$3&lt;&gt;"",J$3,"NA"),'MITRE ATT&amp;CK Mappings'!$I793))),ISNUMBER(SEARCH(IF(J$3&lt;&gt;"",J$3,"NA"),'MITRE ATT&amp;CK Mappings'!$J793))), 'MITRE ATT&amp;CK Mappings'!$B793,"")</f>
        <v/>
      </c>
      <c r="K797" s="27" t="str">
        <f>IF(OR(OR(OR(OR(OR(ISNUMBER(SEARCH(IF(K$1&lt;&gt;"",K$1,"NA"),'MITRE ATT&amp;CK Mappings'!$E793)),ISNUMBER(SEARCH(IF(K$1&lt;&gt;"",K$1,"NA"),'MITRE ATT&amp;CK Mappings'!$F793))),ISNUMBER(SEARCH(IF(K$2&lt;&gt;"",K$2,"NA"),'MITRE ATT&amp;CK Mappings'!$G793))),ISNUMBER(SEARCH(IF(K$2&lt;&gt;"",K$2,"NA"),'MITRE ATT&amp;CK Mappings'!$H793))),ISNUMBER(SEARCH(IF(K$3&lt;&gt;"",K$3,"NA"),'MITRE ATT&amp;CK Mappings'!$I793))),ISNUMBER(SEARCH(IF(K$3&lt;&gt;"",K$3,"NA"),'MITRE ATT&amp;CK Mappings'!$J793))), 'MITRE ATT&amp;CK Mappings'!$B793,"")</f>
        <v/>
      </c>
      <c r="L797" s="27" t="str">
        <f>IF('MITRE ATT&amp;CK Mappings'!D793 &lt;&gt;"",'MITRE ATT&amp;CK Mappings'!D793,"" )</f>
        <v/>
      </c>
    </row>
    <row r="798" spans="1:12" x14ac:dyDescent="0.25">
      <c r="A798" s="26" t="str">
        <f>IF(COUNTIF(B798:K798,"="&amp;'MITRE ATT&amp;CK Mappings'!B794)&gt;0,'MITRE ATT&amp;CK Mappings'!B794,"")</f>
        <v/>
      </c>
      <c r="B798" s="26" t="str">
        <f>IF(OR(OR(OR(OR(OR(ISNUMBER(SEARCH(IF(B$1&lt;&gt;"",B$1,"NA"),'MITRE ATT&amp;CK Mappings'!$E794)),ISNUMBER(SEARCH(IF(B$1&lt;&gt;"",B$1,"NA"),'MITRE ATT&amp;CK Mappings'!$F794))),ISNUMBER(SEARCH(IF(B$2&lt;&gt;"",B$2,"NA"),'MITRE ATT&amp;CK Mappings'!$G794))),ISNUMBER(SEARCH(IF(B$2&lt;&gt;"",B$2,"NA"),'MITRE ATT&amp;CK Mappings'!$H794))),ISNUMBER(SEARCH(IF(B$3&lt;&gt;"",B$3,"NA"),'MITRE ATT&amp;CK Mappings'!$I794))),ISNUMBER(SEARCH(IF(B$3&lt;&gt;"",B$3,"NA"),'MITRE ATT&amp;CK Mappings'!$J794))), 'MITRE ATT&amp;CK Mappings'!$B794,"")</f>
        <v/>
      </c>
      <c r="C798" s="26" t="str">
        <f>IF(OR(OR(OR(OR(OR(ISNUMBER(SEARCH(IF(C$1&lt;&gt;"",C$1,"NA"),'MITRE ATT&amp;CK Mappings'!$E794)),ISNUMBER(SEARCH(IF(C$1&lt;&gt;"",C$1,"NA"),'MITRE ATT&amp;CK Mappings'!$F794))),ISNUMBER(SEARCH(IF(C$2&lt;&gt;"",C$2,"NA"),'MITRE ATT&amp;CK Mappings'!$G794))),ISNUMBER(SEARCH(IF(C$2&lt;&gt;"",C$2,"NA"),'MITRE ATT&amp;CK Mappings'!$H794))),ISNUMBER(SEARCH(IF(C$3&lt;&gt;"",C$3,"NA"),'MITRE ATT&amp;CK Mappings'!$I794))),ISNUMBER(SEARCH(IF(C$3&lt;&gt;"",C$3,"NA"),'MITRE ATT&amp;CK Mappings'!$J794))), 'MITRE ATT&amp;CK Mappings'!$B794,"")</f>
        <v/>
      </c>
      <c r="D798" s="26" t="str">
        <f>IF(OR(OR(OR(OR(OR(ISNUMBER(SEARCH(IF(D$1&lt;&gt;"",D$1,"NA"),'MITRE ATT&amp;CK Mappings'!$E794)),ISNUMBER(SEARCH(IF(D$1&lt;&gt;"",D$1,"NA"),'MITRE ATT&amp;CK Mappings'!$F794))),ISNUMBER(SEARCH(IF(D$2&lt;&gt;"",D$2,"NA"),'MITRE ATT&amp;CK Mappings'!$G794))),ISNUMBER(SEARCH(IF(D$2&lt;&gt;"",D$2,"NA"),'MITRE ATT&amp;CK Mappings'!$H794))),ISNUMBER(SEARCH(IF(D$3&lt;&gt;"",D$3,"NA"),'MITRE ATT&amp;CK Mappings'!$I794))),ISNUMBER(SEARCH(IF(D$3&lt;&gt;"",D$3,"NA"),'MITRE ATT&amp;CK Mappings'!$J794))), 'MITRE ATT&amp;CK Mappings'!$B794,"")</f>
        <v/>
      </c>
      <c r="E798" s="26" t="str">
        <f>IF(OR(OR(OR(OR(OR(ISNUMBER(SEARCH(IF(E$1&lt;&gt;"",E$1,"NA"),'MITRE ATT&amp;CK Mappings'!$E794)),ISNUMBER(SEARCH(IF(E$1&lt;&gt;"",E$1,"NA"),'MITRE ATT&amp;CK Mappings'!$F794))),ISNUMBER(SEARCH(IF(E$2&lt;&gt;"",E$2,"NA"),'MITRE ATT&amp;CK Mappings'!$G794))),ISNUMBER(SEARCH(IF(E$2&lt;&gt;"",E$2,"NA"),'MITRE ATT&amp;CK Mappings'!$H794))),ISNUMBER(SEARCH(IF(E$3&lt;&gt;"",E$3,"NA"),'MITRE ATT&amp;CK Mappings'!$I794))),ISNUMBER(SEARCH(IF(E$3&lt;&gt;"",E$3,"NA"),'MITRE ATT&amp;CK Mappings'!$J794))), 'MITRE ATT&amp;CK Mappings'!$B794,"")</f>
        <v/>
      </c>
      <c r="F798" s="26" t="str">
        <f>IF(OR(OR(OR(OR(OR(ISNUMBER(SEARCH(IF(F$1&lt;&gt;"",F$1,"NA"),'MITRE ATT&amp;CK Mappings'!$E794)),ISNUMBER(SEARCH(IF(F$1&lt;&gt;"",F$1,"NA"),'MITRE ATT&amp;CK Mappings'!$F794))),ISNUMBER(SEARCH(IF(F$2&lt;&gt;"",F$2,"NA"),'MITRE ATT&amp;CK Mappings'!$G794))),ISNUMBER(SEARCH(IF(F$2&lt;&gt;"",F$2,"NA"),'MITRE ATT&amp;CK Mappings'!$H794))),ISNUMBER(SEARCH(IF(F$3&lt;&gt;"",F$3,"NA"),'MITRE ATT&amp;CK Mappings'!$I794))),ISNUMBER(SEARCH(IF(F$3&lt;&gt;"",F$3,"NA"),'MITRE ATT&amp;CK Mappings'!$J794))), 'MITRE ATT&amp;CK Mappings'!$B794,"")</f>
        <v/>
      </c>
      <c r="G798" s="26" t="str">
        <f>IF(OR(OR(OR(OR(OR(ISNUMBER(SEARCH(IF(G$1&lt;&gt;"",G$1,"NA"),'MITRE ATT&amp;CK Mappings'!$E794)),ISNUMBER(SEARCH(IF(G$1&lt;&gt;"",G$1,"NA"),'MITRE ATT&amp;CK Mappings'!$F794))),ISNUMBER(SEARCH(IF(G$2&lt;&gt;"",G$2,"NA"),'MITRE ATT&amp;CK Mappings'!$G794))),ISNUMBER(SEARCH(IF(G$2&lt;&gt;"",G$2,"NA"),'MITRE ATT&amp;CK Mappings'!$H794))),ISNUMBER(SEARCH(IF(G$3&lt;&gt;"",G$3,"NA"),'MITRE ATT&amp;CK Mappings'!$I794))),ISNUMBER(SEARCH(IF(G$3&lt;&gt;"",G$3,"NA"),'MITRE ATT&amp;CK Mappings'!$J794))), 'MITRE ATT&amp;CK Mappings'!$B794,"")</f>
        <v/>
      </c>
      <c r="H798" s="26" t="str">
        <f>IF(OR(OR(OR(OR(OR(ISNUMBER(SEARCH(IF(H$1&lt;&gt;"",H$1,"NA"),'MITRE ATT&amp;CK Mappings'!$E794)),ISNUMBER(SEARCH(IF(H$1&lt;&gt;"",H$1,"NA"),'MITRE ATT&amp;CK Mappings'!$F794))),ISNUMBER(SEARCH(IF(H$2&lt;&gt;"",H$2,"NA"),'MITRE ATT&amp;CK Mappings'!$G794))),ISNUMBER(SEARCH(IF(H$2&lt;&gt;"",H$2,"NA"),'MITRE ATT&amp;CK Mappings'!$H794))),ISNUMBER(SEARCH(IF(H$3&lt;&gt;"",H$3,"NA"),'MITRE ATT&amp;CK Mappings'!$I794))),ISNUMBER(SEARCH(IF(H$3&lt;&gt;"",H$3,"NA"),'MITRE ATT&amp;CK Mappings'!$J794))), 'MITRE ATT&amp;CK Mappings'!$B794,"")</f>
        <v/>
      </c>
      <c r="I798" s="26" t="str">
        <f>IF(OR(OR(OR(OR(OR(ISNUMBER(SEARCH(IF(I$1&lt;&gt;"",I$1,"NA"),'MITRE ATT&amp;CK Mappings'!$E794)),ISNUMBER(SEARCH(IF(I$1&lt;&gt;"",I$1,"NA"),'MITRE ATT&amp;CK Mappings'!$F794))),ISNUMBER(SEARCH(IF(I$2&lt;&gt;"",I$2,"NA"),'MITRE ATT&amp;CK Mappings'!$G794))),ISNUMBER(SEARCH(IF(I$2&lt;&gt;"",I$2,"NA"),'MITRE ATT&amp;CK Mappings'!$H794))),ISNUMBER(SEARCH(IF(I$3&lt;&gt;"",I$3,"NA"),'MITRE ATT&amp;CK Mappings'!$I794))),ISNUMBER(SEARCH(IF(I$3&lt;&gt;"",I$3,"NA"),'MITRE ATT&amp;CK Mappings'!$J794))), 'MITRE ATT&amp;CK Mappings'!$B794,"")</f>
        <v/>
      </c>
      <c r="J798" s="26" t="str">
        <f>IF(OR(OR(OR(OR(OR(ISNUMBER(SEARCH(IF(J$1&lt;&gt;"",J$1,"NA"),'MITRE ATT&amp;CK Mappings'!$E794)),ISNUMBER(SEARCH(IF(J$1&lt;&gt;"",J$1,"NA"),'MITRE ATT&amp;CK Mappings'!$F794))),ISNUMBER(SEARCH(IF(J$2&lt;&gt;"",J$2,"NA"),'MITRE ATT&amp;CK Mappings'!$G794))),ISNUMBER(SEARCH(IF(J$2&lt;&gt;"",J$2,"NA"),'MITRE ATT&amp;CK Mappings'!$H794))),ISNUMBER(SEARCH(IF(J$3&lt;&gt;"",J$3,"NA"),'MITRE ATT&amp;CK Mappings'!$I794))),ISNUMBER(SEARCH(IF(J$3&lt;&gt;"",J$3,"NA"),'MITRE ATT&amp;CK Mappings'!$J794))), 'MITRE ATT&amp;CK Mappings'!$B794,"")</f>
        <v/>
      </c>
      <c r="K798" s="26" t="str">
        <f>IF(OR(OR(OR(OR(OR(ISNUMBER(SEARCH(IF(K$1&lt;&gt;"",K$1,"NA"),'MITRE ATT&amp;CK Mappings'!$E794)),ISNUMBER(SEARCH(IF(K$1&lt;&gt;"",K$1,"NA"),'MITRE ATT&amp;CK Mappings'!$F794))),ISNUMBER(SEARCH(IF(K$2&lt;&gt;"",K$2,"NA"),'MITRE ATT&amp;CK Mappings'!$G794))),ISNUMBER(SEARCH(IF(K$2&lt;&gt;"",K$2,"NA"),'MITRE ATT&amp;CK Mappings'!$H794))),ISNUMBER(SEARCH(IF(K$3&lt;&gt;"",K$3,"NA"),'MITRE ATT&amp;CK Mappings'!$I794))),ISNUMBER(SEARCH(IF(K$3&lt;&gt;"",K$3,"NA"),'MITRE ATT&amp;CK Mappings'!$J794))), 'MITRE ATT&amp;CK Mappings'!$B794,"")</f>
        <v/>
      </c>
      <c r="L798" s="26" t="str">
        <f>IF('MITRE ATT&amp;CK Mappings'!D794 &lt;&gt;"",'MITRE ATT&amp;CK Mappings'!D794,"" )</f>
        <v/>
      </c>
    </row>
    <row r="799" spans="1:12" x14ac:dyDescent="0.25">
      <c r="A799" s="27" t="str">
        <f>IF(COUNTIF(B799:K799,"="&amp;'MITRE ATT&amp;CK Mappings'!B795)&gt;0,'MITRE ATT&amp;CK Mappings'!B795,"")</f>
        <v/>
      </c>
      <c r="B799" s="27" t="str">
        <f>IF(OR(OR(OR(OR(OR(ISNUMBER(SEARCH(IF(B$1&lt;&gt;"",B$1,"NA"),'MITRE ATT&amp;CK Mappings'!$E795)),ISNUMBER(SEARCH(IF(B$1&lt;&gt;"",B$1,"NA"),'MITRE ATT&amp;CK Mappings'!$F795))),ISNUMBER(SEARCH(IF(B$2&lt;&gt;"",B$2,"NA"),'MITRE ATT&amp;CK Mappings'!$G795))),ISNUMBER(SEARCH(IF(B$2&lt;&gt;"",B$2,"NA"),'MITRE ATT&amp;CK Mappings'!$H795))),ISNUMBER(SEARCH(IF(B$3&lt;&gt;"",B$3,"NA"),'MITRE ATT&amp;CK Mappings'!$I795))),ISNUMBER(SEARCH(IF(B$3&lt;&gt;"",B$3,"NA"),'MITRE ATT&amp;CK Mappings'!$J795))), 'MITRE ATT&amp;CK Mappings'!$B795,"")</f>
        <v/>
      </c>
      <c r="C799" s="27" t="str">
        <f>IF(OR(OR(OR(OR(OR(ISNUMBER(SEARCH(IF(C$1&lt;&gt;"",C$1,"NA"),'MITRE ATT&amp;CK Mappings'!$E795)),ISNUMBER(SEARCH(IF(C$1&lt;&gt;"",C$1,"NA"),'MITRE ATT&amp;CK Mappings'!$F795))),ISNUMBER(SEARCH(IF(C$2&lt;&gt;"",C$2,"NA"),'MITRE ATT&amp;CK Mappings'!$G795))),ISNUMBER(SEARCH(IF(C$2&lt;&gt;"",C$2,"NA"),'MITRE ATT&amp;CK Mappings'!$H795))),ISNUMBER(SEARCH(IF(C$3&lt;&gt;"",C$3,"NA"),'MITRE ATT&amp;CK Mappings'!$I795))),ISNUMBER(SEARCH(IF(C$3&lt;&gt;"",C$3,"NA"),'MITRE ATT&amp;CK Mappings'!$J795))), 'MITRE ATT&amp;CK Mappings'!$B795,"")</f>
        <v/>
      </c>
      <c r="D799" s="27" t="str">
        <f>IF(OR(OR(OR(OR(OR(ISNUMBER(SEARCH(IF(D$1&lt;&gt;"",D$1,"NA"),'MITRE ATT&amp;CK Mappings'!$E795)),ISNUMBER(SEARCH(IF(D$1&lt;&gt;"",D$1,"NA"),'MITRE ATT&amp;CK Mappings'!$F795))),ISNUMBER(SEARCH(IF(D$2&lt;&gt;"",D$2,"NA"),'MITRE ATT&amp;CK Mappings'!$G795))),ISNUMBER(SEARCH(IF(D$2&lt;&gt;"",D$2,"NA"),'MITRE ATT&amp;CK Mappings'!$H795))),ISNUMBER(SEARCH(IF(D$3&lt;&gt;"",D$3,"NA"),'MITRE ATT&amp;CK Mappings'!$I795))),ISNUMBER(SEARCH(IF(D$3&lt;&gt;"",D$3,"NA"),'MITRE ATT&amp;CK Mappings'!$J795))), 'MITRE ATT&amp;CK Mappings'!$B795,"")</f>
        <v/>
      </c>
      <c r="E799" s="27" t="str">
        <f>IF(OR(OR(OR(OR(OR(ISNUMBER(SEARCH(IF(E$1&lt;&gt;"",E$1,"NA"),'MITRE ATT&amp;CK Mappings'!$E795)),ISNUMBER(SEARCH(IF(E$1&lt;&gt;"",E$1,"NA"),'MITRE ATT&amp;CK Mappings'!$F795))),ISNUMBER(SEARCH(IF(E$2&lt;&gt;"",E$2,"NA"),'MITRE ATT&amp;CK Mappings'!$G795))),ISNUMBER(SEARCH(IF(E$2&lt;&gt;"",E$2,"NA"),'MITRE ATT&amp;CK Mappings'!$H795))),ISNUMBER(SEARCH(IF(E$3&lt;&gt;"",E$3,"NA"),'MITRE ATT&amp;CK Mappings'!$I795))),ISNUMBER(SEARCH(IF(E$3&lt;&gt;"",E$3,"NA"),'MITRE ATT&amp;CK Mappings'!$J795))), 'MITRE ATT&amp;CK Mappings'!$B795,"")</f>
        <v/>
      </c>
      <c r="F799" s="27" t="str">
        <f>IF(OR(OR(OR(OR(OR(ISNUMBER(SEARCH(IF(F$1&lt;&gt;"",F$1,"NA"),'MITRE ATT&amp;CK Mappings'!$E795)),ISNUMBER(SEARCH(IF(F$1&lt;&gt;"",F$1,"NA"),'MITRE ATT&amp;CK Mappings'!$F795))),ISNUMBER(SEARCH(IF(F$2&lt;&gt;"",F$2,"NA"),'MITRE ATT&amp;CK Mappings'!$G795))),ISNUMBER(SEARCH(IF(F$2&lt;&gt;"",F$2,"NA"),'MITRE ATT&amp;CK Mappings'!$H795))),ISNUMBER(SEARCH(IF(F$3&lt;&gt;"",F$3,"NA"),'MITRE ATT&amp;CK Mappings'!$I795))),ISNUMBER(SEARCH(IF(F$3&lt;&gt;"",F$3,"NA"),'MITRE ATT&amp;CK Mappings'!$J795))), 'MITRE ATT&amp;CK Mappings'!$B795,"")</f>
        <v/>
      </c>
      <c r="G799" s="27" t="str">
        <f>IF(OR(OR(OR(OR(OR(ISNUMBER(SEARCH(IF(G$1&lt;&gt;"",G$1,"NA"),'MITRE ATT&amp;CK Mappings'!$E795)),ISNUMBER(SEARCH(IF(G$1&lt;&gt;"",G$1,"NA"),'MITRE ATT&amp;CK Mappings'!$F795))),ISNUMBER(SEARCH(IF(G$2&lt;&gt;"",G$2,"NA"),'MITRE ATT&amp;CK Mappings'!$G795))),ISNUMBER(SEARCH(IF(G$2&lt;&gt;"",G$2,"NA"),'MITRE ATT&amp;CK Mappings'!$H795))),ISNUMBER(SEARCH(IF(G$3&lt;&gt;"",G$3,"NA"),'MITRE ATT&amp;CK Mappings'!$I795))),ISNUMBER(SEARCH(IF(G$3&lt;&gt;"",G$3,"NA"),'MITRE ATT&amp;CK Mappings'!$J795))), 'MITRE ATT&amp;CK Mappings'!$B795,"")</f>
        <v/>
      </c>
      <c r="H799" s="27" t="str">
        <f>IF(OR(OR(OR(OR(OR(ISNUMBER(SEARCH(IF(H$1&lt;&gt;"",H$1,"NA"),'MITRE ATT&amp;CK Mappings'!$E795)),ISNUMBER(SEARCH(IF(H$1&lt;&gt;"",H$1,"NA"),'MITRE ATT&amp;CK Mappings'!$F795))),ISNUMBER(SEARCH(IF(H$2&lt;&gt;"",H$2,"NA"),'MITRE ATT&amp;CK Mappings'!$G795))),ISNUMBER(SEARCH(IF(H$2&lt;&gt;"",H$2,"NA"),'MITRE ATT&amp;CK Mappings'!$H795))),ISNUMBER(SEARCH(IF(H$3&lt;&gt;"",H$3,"NA"),'MITRE ATT&amp;CK Mappings'!$I795))),ISNUMBER(SEARCH(IF(H$3&lt;&gt;"",H$3,"NA"),'MITRE ATT&amp;CK Mappings'!$J795))), 'MITRE ATT&amp;CK Mappings'!$B795,"")</f>
        <v/>
      </c>
      <c r="I799" s="27" t="str">
        <f>IF(OR(OR(OR(OR(OR(ISNUMBER(SEARCH(IF(I$1&lt;&gt;"",I$1,"NA"),'MITRE ATT&amp;CK Mappings'!$E795)),ISNUMBER(SEARCH(IF(I$1&lt;&gt;"",I$1,"NA"),'MITRE ATT&amp;CK Mappings'!$F795))),ISNUMBER(SEARCH(IF(I$2&lt;&gt;"",I$2,"NA"),'MITRE ATT&amp;CK Mappings'!$G795))),ISNUMBER(SEARCH(IF(I$2&lt;&gt;"",I$2,"NA"),'MITRE ATT&amp;CK Mappings'!$H795))),ISNUMBER(SEARCH(IF(I$3&lt;&gt;"",I$3,"NA"),'MITRE ATT&amp;CK Mappings'!$I795))),ISNUMBER(SEARCH(IF(I$3&lt;&gt;"",I$3,"NA"),'MITRE ATT&amp;CK Mappings'!$J795))), 'MITRE ATT&amp;CK Mappings'!$B795,"")</f>
        <v/>
      </c>
      <c r="J799" s="27" t="str">
        <f>IF(OR(OR(OR(OR(OR(ISNUMBER(SEARCH(IF(J$1&lt;&gt;"",J$1,"NA"),'MITRE ATT&amp;CK Mappings'!$E795)),ISNUMBER(SEARCH(IF(J$1&lt;&gt;"",J$1,"NA"),'MITRE ATT&amp;CK Mappings'!$F795))),ISNUMBER(SEARCH(IF(J$2&lt;&gt;"",J$2,"NA"),'MITRE ATT&amp;CK Mappings'!$G795))),ISNUMBER(SEARCH(IF(J$2&lt;&gt;"",J$2,"NA"),'MITRE ATT&amp;CK Mappings'!$H795))),ISNUMBER(SEARCH(IF(J$3&lt;&gt;"",J$3,"NA"),'MITRE ATT&amp;CK Mappings'!$I795))),ISNUMBER(SEARCH(IF(J$3&lt;&gt;"",J$3,"NA"),'MITRE ATT&amp;CK Mappings'!$J795))), 'MITRE ATT&amp;CK Mappings'!$B795,"")</f>
        <v/>
      </c>
      <c r="K799" s="27" t="str">
        <f>IF(OR(OR(OR(OR(OR(ISNUMBER(SEARCH(IF(K$1&lt;&gt;"",K$1,"NA"),'MITRE ATT&amp;CK Mappings'!$E795)),ISNUMBER(SEARCH(IF(K$1&lt;&gt;"",K$1,"NA"),'MITRE ATT&amp;CK Mappings'!$F795))),ISNUMBER(SEARCH(IF(K$2&lt;&gt;"",K$2,"NA"),'MITRE ATT&amp;CK Mappings'!$G795))),ISNUMBER(SEARCH(IF(K$2&lt;&gt;"",K$2,"NA"),'MITRE ATT&amp;CK Mappings'!$H795))),ISNUMBER(SEARCH(IF(K$3&lt;&gt;"",K$3,"NA"),'MITRE ATT&amp;CK Mappings'!$I795))),ISNUMBER(SEARCH(IF(K$3&lt;&gt;"",K$3,"NA"),'MITRE ATT&amp;CK Mappings'!$J795))), 'MITRE ATT&amp;CK Mappings'!$B795,"")</f>
        <v/>
      </c>
      <c r="L799" s="27" t="str">
        <f>IF('MITRE ATT&amp;CK Mappings'!D795 &lt;&gt;"",'MITRE ATT&amp;CK Mappings'!D795,"" )</f>
        <v/>
      </c>
    </row>
    <row r="800" spans="1:12" x14ac:dyDescent="0.25">
      <c r="A800" s="26" t="str">
        <f>IF(COUNTIF(B800:K800,"="&amp;'MITRE ATT&amp;CK Mappings'!B796)&gt;0,'MITRE ATT&amp;CK Mappings'!B796,"")</f>
        <v/>
      </c>
      <c r="B800" s="26" t="str">
        <f>IF(OR(OR(OR(OR(OR(ISNUMBER(SEARCH(IF(B$1&lt;&gt;"",B$1,"NA"),'MITRE ATT&amp;CK Mappings'!$E796)),ISNUMBER(SEARCH(IF(B$1&lt;&gt;"",B$1,"NA"),'MITRE ATT&amp;CK Mappings'!$F796))),ISNUMBER(SEARCH(IF(B$2&lt;&gt;"",B$2,"NA"),'MITRE ATT&amp;CK Mappings'!$G796))),ISNUMBER(SEARCH(IF(B$2&lt;&gt;"",B$2,"NA"),'MITRE ATT&amp;CK Mappings'!$H796))),ISNUMBER(SEARCH(IF(B$3&lt;&gt;"",B$3,"NA"),'MITRE ATT&amp;CK Mappings'!$I796))),ISNUMBER(SEARCH(IF(B$3&lt;&gt;"",B$3,"NA"),'MITRE ATT&amp;CK Mappings'!$J796))), 'MITRE ATT&amp;CK Mappings'!$B796,"")</f>
        <v/>
      </c>
      <c r="C800" s="26" t="str">
        <f>IF(OR(OR(OR(OR(OR(ISNUMBER(SEARCH(IF(C$1&lt;&gt;"",C$1,"NA"),'MITRE ATT&amp;CK Mappings'!$E796)),ISNUMBER(SEARCH(IF(C$1&lt;&gt;"",C$1,"NA"),'MITRE ATT&amp;CK Mappings'!$F796))),ISNUMBER(SEARCH(IF(C$2&lt;&gt;"",C$2,"NA"),'MITRE ATT&amp;CK Mappings'!$G796))),ISNUMBER(SEARCH(IF(C$2&lt;&gt;"",C$2,"NA"),'MITRE ATT&amp;CK Mappings'!$H796))),ISNUMBER(SEARCH(IF(C$3&lt;&gt;"",C$3,"NA"),'MITRE ATT&amp;CK Mappings'!$I796))),ISNUMBER(SEARCH(IF(C$3&lt;&gt;"",C$3,"NA"),'MITRE ATT&amp;CK Mappings'!$J796))), 'MITRE ATT&amp;CK Mappings'!$B796,"")</f>
        <v/>
      </c>
      <c r="D800" s="26" t="str">
        <f>IF(OR(OR(OR(OR(OR(ISNUMBER(SEARCH(IF(D$1&lt;&gt;"",D$1,"NA"),'MITRE ATT&amp;CK Mappings'!$E796)),ISNUMBER(SEARCH(IF(D$1&lt;&gt;"",D$1,"NA"),'MITRE ATT&amp;CK Mappings'!$F796))),ISNUMBER(SEARCH(IF(D$2&lt;&gt;"",D$2,"NA"),'MITRE ATT&amp;CK Mappings'!$G796))),ISNUMBER(SEARCH(IF(D$2&lt;&gt;"",D$2,"NA"),'MITRE ATT&amp;CK Mappings'!$H796))),ISNUMBER(SEARCH(IF(D$3&lt;&gt;"",D$3,"NA"),'MITRE ATT&amp;CK Mappings'!$I796))),ISNUMBER(SEARCH(IF(D$3&lt;&gt;"",D$3,"NA"),'MITRE ATT&amp;CK Mappings'!$J796))), 'MITRE ATT&amp;CK Mappings'!$B796,"")</f>
        <v/>
      </c>
      <c r="E800" s="26" t="str">
        <f>IF(OR(OR(OR(OR(OR(ISNUMBER(SEARCH(IF(E$1&lt;&gt;"",E$1,"NA"),'MITRE ATT&amp;CK Mappings'!$E796)),ISNUMBER(SEARCH(IF(E$1&lt;&gt;"",E$1,"NA"),'MITRE ATT&amp;CK Mappings'!$F796))),ISNUMBER(SEARCH(IF(E$2&lt;&gt;"",E$2,"NA"),'MITRE ATT&amp;CK Mappings'!$G796))),ISNUMBER(SEARCH(IF(E$2&lt;&gt;"",E$2,"NA"),'MITRE ATT&amp;CK Mappings'!$H796))),ISNUMBER(SEARCH(IF(E$3&lt;&gt;"",E$3,"NA"),'MITRE ATT&amp;CK Mappings'!$I796))),ISNUMBER(SEARCH(IF(E$3&lt;&gt;"",E$3,"NA"),'MITRE ATT&amp;CK Mappings'!$J796))), 'MITRE ATT&amp;CK Mappings'!$B796,"")</f>
        <v/>
      </c>
      <c r="F800" s="26" t="str">
        <f>IF(OR(OR(OR(OR(OR(ISNUMBER(SEARCH(IF(F$1&lt;&gt;"",F$1,"NA"),'MITRE ATT&amp;CK Mappings'!$E796)),ISNUMBER(SEARCH(IF(F$1&lt;&gt;"",F$1,"NA"),'MITRE ATT&amp;CK Mappings'!$F796))),ISNUMBER(SEARCH(IF(F$2&lt;&gt;"",F$2,"NA"),'MITRE ATT&amp;CK Mappings'!$G796))),ISNUMBER(SEARCH(IF(F$2&lt;&gt;"",F$2,"NA"),'MITRE ATT&amp;CK Mappings'!$H796))),ISNUMBER(SEARCH(IF(F$3&lt;&gt;"",F$3,"NA"),'MITRE ATT&amp;CK Mappings'!$I796))),ISNUMBER(SEARCH(IF(F$3&lt;&gt;"",F$3,"NA"),'MITRE ATT&amp;CK Mappings'!$J796))), 'MITRE ATT&amp;CK Mappings'!$B796,"")</f>
        <v/>
      </c>
      <c r="G800" s="26" t="str">
        <f>IF(OR(OR(OR(OR(OR(ISNUMBER(SEARCH(IF(G$1&lt;&gt;"",G$1,"NA"),'MITRE ATT&amp;CK Mappings'!$E796)),ISNUMBER(SEARCH(IF(G$1&lt;&gt;"",G$1,"NA"),'MITRE ATT&amp;CK Mappings'!$F796))),ISNUMBER(SEARCH(IF(G$2&lt;&gt;"",G$2,"NA"),'MITRE ATT&amp;CK Mappings'!$G796))),ISNUMBER(SEARCH(IF(G$2&lt;&gt;"",G$2,"NA"),'MITRE ATT&amp;CK Mappings'!$H796))),ISNUMBER(SEARCH(IF(G$3&lt;&gt;"",G$3,"NA"),'MITRE ATT&amp;CK Mappings'!$I796))),ISNUMBER(SEARCH(IF(G$3&lt;&gt;"",G$3,"NA"),'MITRE ATT&amp;CK Mappings'!$J796))), 'MITRE ATT&amp;CK Mappings'!$B796,"")</f>
        <v/>
      </c>
      <c r="H800" s="26" t="str">
        <f>IF(OR(OR(OR(OR(OR(ISNUMBER(SEARCH(IF(H$1&lt;&gt;"",H$1,"NA"),'MITRE ATT&amp;CK Mappings'!$E796)),ISNUMBER(SEARCH(IF(H$1&lt;&gt;"",H$1,"NA"),'MITRE ATT&amp;CK Mappings'!$F796))),ISNUMBER(SEARCH(IF(H$2&lt;&gt;"",H$2,"NA"),'MITRE ATT&amp;CK Mappings'!$G796))),ISNUMBER(SEARCH(IF(H$2&lt;&gt;"",H$2,"NA"),'MITRE ATT&amp;CK Mappings'!$H796))),ISNUMBER(SEARCH(IF(H$3&lt;&gt;"",H$3,"NA"),'MITRE ATT&amp;CK Mappings'!$I796))),ISNUMBER(SEARCH(IF(H$3&lt;&gt;"",H$3,"NA"),'MITRE ATT&amp;CK Mappings'!$J796))), 'MITRE ATT&amp;CK Mappings'!$B796,"")</f>
        <v/>
      </c>
      <c r="I800" s="26" t="str">
        <f>IF(OR(OR(OR(OR(OR(ISNUMBER(SEARCH(IF(I$1&lt;&gt;"",I$1,"NA"),'MITRE ATT&amp;CK Mappings'!$E796)),ISNUMBER(SEARCH(IF(I$1&lt;&gt;"",I$1,"NA"),'MITRE ATT&amp;CK Mappings'!$F796))),ISNUMBER(SEARCH(IF(I$2&lt;&gt;"",I$2,"NA"),'MITRE ATT&amp;CK Mappings'!$G796))),ISNUMBER(SEARCH(IF(I$2&lt;&gt;"",I$2,"NA"),'MITRE ATT&amp;CK Mappings'!$H796))),ISNUMBER(SEARCH(IF(I$3&lt;&gt;"",I$3,"NA"),'MITRE ATT&amp;CK Mappings'!$I796))),ISNUMBER(SEARCH(IF(I$3&lt;&gt;"",I$3,"NA"),'MITRE ATT&amp;CK Mappings'!$J796))), 'MITRE ATT&amp;CK Mappings'!$B796,"")</f>
        <v/>
      </c>
      <c r="J800" s="26" t="str">
        <f>IF(OR(OR(OR(OR(OR(ISNUMBER(SEARCH(IF(J$1&lt;&gt;"",J$1,"NA"),'MITRE ATT&amp;CK Mappings'!$E796)),ISNUMBER(SEARCH(IF(J$1&lt;&gt;"",J$1,"NA"),'MITRE ATT&amp;CK Mappings'!$F796))),ISNUMBER(SEARCH(IF(J$2&lt;&gt;"",J$2,"NA"),'MITRE ATT&amp;CK Mappings'!$G796))),ISNUMBER(SEARCH(IF(J$2&lt;&gt;"",J$2,"NA"),'MITRE ATT&amp;CK Mappings'!$H796))),ISNUMBER(SEARCH(IF(J$3&lt;&gt;"",J$3,"NA"),'MITRE ATT&amp;CK Mappings'!$I796))),ISNUMBER(SEARCH(IF(J$3&lt;&gt;"",J$3,"NA"),'MITRE ATT&amp;CK Mappings'!$J796))), 'MITRE ATT&amp;CK Mappings'!$B796,"")</f>
        <v/>
      </c>
      <c r="K800" s="26" t="str">
        <f>IF(OR(OR(OR(OR(OR(ISNUMBER(SEARCH(IF(K$1&lt;&gt;"",K$1,"NA"),'MITRE ATT&amp;CK Mappings'!$E796)),ISNUMBER(SEARCH(IF(K$1&lt;&gt;"",K$1,"NA"),'MITRE ATT&amp;CK Mappings'!$F796))),ISNUMBER(SEARCH(IF(K$2&lt;&gt;"",K$2,"NA"),'MITRE ATT&amp;CK Mappings'!$G796))),ISNUMBER(SEARCH(IF(K$2&lt;&gt;"",K$2,"NA"),'MITRE ATT&amp;CK Mappings'!$H796))),ISNUMBER(SEARCH(IF(K$3&lt;&gt;"",K$3,"NA"),'MITRE ATT&amp;CK Mappings'!$I796))),ISNUMBER(SEARCH(IF(K$3&lt;&gt;"",K$3,"NA"),'MITRE ATT&amp;CK Mappings'!$J796))), 'MITRE ATT&amp;CK Mappings'!$B796,"")</f>
        <v/>
      </c>
      <c r="L800" s="26" t="str">
        <f>IF('MITRE ATT&amp;CK Mappings'!D796 &lt;&gt;"",'MITRE ATT&amp;CK Mappings'!D796,"" )</f>
        <v/>
      </c>
    </row>
    <row r="801" spans="1:12" x14ac:dyDescent="0.25">
      <c r="A801" s="27" t="str">
        <f>IF(COUNTIF(B801:K801,"="&amp;'MITRE ATT&amp;CK Mappings'!B797)&gt;0,'MITRE ATT&amp;CK Mappings'!B797,"")</f>
        <v/>
      </c>
      <c r="B801" s="27" t="str">
        <f>IF(OR(OR(OR(OR(OR(ISNUMBER(SEARCH(IF(B$1&lt;&gt;"",B$1,"NA"),'MITRE ATT&amp;CK Mappings'!$E797)),ISNUMBER(SEARCH(IF(B$1&lt;&gt;"",B$1,"NA"),'MITRE ATT&amp;CK Mappings'!$F797))),ISNUMBER(SEARCH(IF(B$2&lt;&gt;"",B$2,"NA"),'MITRE ATT&amp;CK Mappings'!$G797))),ISNUMBER(SEARCH(IF(B$2&lt;&gt;"",B$2,"NA"),'MITRE ATT&amp;CK Mappings'!$H797))),ISNUMBER(SEARCH(IF(B$3&lt;&gt;"",B$3,"NA"),'MITRE ATT&amp;CK Mappings'!$I797))),ISNUMBER(SEARCH(IF(B$3&lt;&gt;"",B$3,"NA"),'MITRE ATT&amp;CK Mappings'!$J797))), 'MITRE ATT&amp;CK Mappings'!$B797,"")</f>
        <v/>
      </c>
      <c r="C801" s="27" t="str">
        <f>IF(OR(OR(OR(OR(OR(ISNUMBER(SEARCH(IF(C$1&lt;&gt;"",C$1,"NA"),'MITRE ATT&amp;CK Mappings'!$E797)),ISNUMBER(SEARCH(IF(C$1&lt;&gt;"",C$1,"NA"),'MITRE ATT&amp;CK Mappings'!$F797))),ISNUMBER(SEARCH(IF(C$2&lt;&gt;"",C$2,"NA"),'MITRE ATT&amp;CK Mappings'!$G797))),ISNUMBER(SEARCH(IF(C$2&lt;&gt;"",C$2,"NA"),'MITRE ATT&amp;CK Mappings'!$H797))),ISNUMBER(SEARCH(IF(C$3&lt;&gt;"",C$3,"NA"),'MITRE ATT&amp;CK Mappings'!$I797))),ISNUMBER(SEARCH(IF(C$3&lt;&gt;"",C$3,"NA"),'MITRE ATT&amp;CK Mappings'!$J797))), 'MITRE ATT&amp;CK Mappings'!$B797,"")</f>
        <v/>
      </c>
      <c r="D801" s="27" t="str">
        <f>IF(OR(OR(OR(OR(OR(ISNUMBER(SEARCH(IF(D$1&lt;&gt;"",D$1,"NA"),'MITRE ATT&amp;CK Mappings'!$E797)),ISNUMBER(SEARCH(IF(D$1&lt;&gt;"",D$1,"NA"),'MITRE ATT&amp;CK Mappings'!$F797))),ISNUMBER(SEARCH(IF(D$2&lt;&gt;"",D$2,"NA"),'MITRE ATT&amp;CK Mappings'!$G797))),ISNUMBER(SEARCH(IF(D$2&lt;&gt;"",D$2,"NA"),'MITRE ATT&amp;CK Mappings'!$H797))),ISNUMBER(SEARCH(IF(D$3&lt;&gt;"",D$3,"NA"),'MITRE ATT&amp;CK Mappings'!$I797))),ISNUMBER(SEARCH(IF(D$3&lt;&gt;"",D$3,"NA"),'MITRE ATT&amp;CK Mappings'!$J797))), 'MITRE ATT&amp;CK Mappings'!$B797,"")</f>
        <v/>
      </c>
      <c r="E801" s="27" t="str">
        <f>IF(OR(OR(OR(OR(OR(ISNUMBER(SEARCH(IF(E$1&lt;&gt;"",E$1,"NA"),'MITRE ATT&amp;CK Mappings'!$E797)),ISNUMBER(SEARCH(IF(E$1&lt;&gt;"",E$1,"NA"),'MITRE ATT&amp;CK Mappings'!$F797))),ISNUMBER(SEARCH(IF(E$2&lt;&gt;"",E$2,"NA"),'MITRE ATT&amp;CK Mappings'!$G797))),ISNUMBER(SEARCH(IF(E$2&lt;&gt;"",E$2,"NA"),'MITRE ATT&amp;CK Mappings'!$H797))),ISNUMBER(SEARCH(IF(E$3&lt;&gt;"",E$3,"NA"),'MITRE ATT&amp;CK Mappings'!$I797))),ISNUMBER(SEARCH(IF(E$3&lt;&gt;"",E$3,"NA"),'MITRE ATT&amp;CK Mappings'!$J797))), 'MITRE ATT&amp;CK Mappings'!$B797,"")</f>
        <v/>
      </c>
      <c r="F801" s="27" t="str">
        <f>IF(OR(OR(OR(OR(OR(ISNUMBER(SEARCH(IF(F$1&lt;&gt;"",F$1,"NA"),'MITRE ATT&amp;CK Mappings'!$E797)),ISNUMBER(SEARCH(IF(F$1&lt;&gt;"",F$1,"NA"),'MITRE ATT&amp;CK Mappings'!$F797))),ISNUMBER(SEARCH(IF(F$2&lt;&gt;"",F$2,"NA"),'MITRE ATT&amp;CK Mappings'!$G797))),ISNUMBER(SEARCH(IF(F$2&lt;&gt;"",F$2,"NA"),'MITRE ATT&amp;CK Mappings'!$H797))),ISNUMBER(SEARCH(IF(F$3&lt;&gt;"",F$3,"NA"),'MITRE ATT&amp;CK Mappings'!$I797))),ISNUMBER(SEARCH(IF(F$3&lt;&gt;"",F$3,"NA"),'MITRE ATT&amp;CK Mappings'!$J797))), 'MITRE ATT&amp;CK Mappings'!$B797,"")</f>
        <v/>
      </c>
      <c r="G801" s="27" t="str">
        <f>IF(OR(OR(OR(OR(OR(ISNUMBER(SEARCH(IF(G$1&lt;&gt;"",G$1,"NA"),'MITRE ATT&amp;CK Mappings'!$E797)),ISNUMBER(SEARCH(IF(G$1&lt;&gt;"",G$1,"NA"),'MITRE ATT&amp;CK Mappings'!$F797))),ISNUMBER(SEARCH(IF(G$2&lt;&gt;"",G$2,"NA"),'MITRE ATT&amp;CK Mappings'!$G797))),ISNUMBER(SEARCH(IF(G$2&lt;&gt;"",G$2,"NA"),'MITRE ATT&amp;CK Mappings'!$H797))),ISNUMBER(SEARCH(IF(G$3&lt;&gt;"",G$3,"NA"),'MITRE ATT&amp;CK Mappings'!$I797))),ISNUMBER(SEARCH(IF(G$3&lt;&gt;"",G$3,"NA"),'MITRE ATT&amp;CK Mappings'!$J797))), 'MITRE ATT&amp;CK Mappings'!$B797,"")</f>
        <v/>
      </c>
      <c r="H801" s="27" t="str">
        <f>IF(OR(OR(OR(OR(OR(ISNUMBER(SEARCH(IF(H$1&lt;&gt;"",H$1,"NA"),'MITRE ATT&amp;CK Mappings'!$E797)),ISNUMBER(SEARCH(IF(H$1&lt;&gt;"",H$1,"NA"),'MITRE ATT&amp;CK Mappings'!$F797))),ISNUMBER(SEARCH(IF(H$2&lt;&gt;"",H$2,"NA"),'MITRE ATT&amp;CK Mappings'!$G797))),ISNUMBER(SEARCH(IF(H$2&lt;&gt;"",H$2,"NA"),'MITRE ATT&amp;CK Mappings'!$H797))),ISNUMBER(SEARCH(IF(H$3&lt;&gt;"",H$3,"NA"),'MITRE ATT&amp;CK Mappings'!$I797))),ISNUMBER(SEARCH(IF(H$3&lt;&gt;"",H$3,"NA"),'MITRE ATT&amp;CK Mappings'!$J797))), 'MITRE ATT&amp;CK Mappings'!$B797,"")</f>
        <v/>
      </c>
      <c r="I801" s="27" t="str">
        <f>IF(OR(OR(OR(OR(OR(ISNUMBER(SEARCH(IF(I$1&lt;&gt;"",I$1,"NA"),'MITRE ATT&amp;CK Mappings'!$E797)),ISNUMBER(SEARCH(IF(I$1&lt;&gt;"",I$1,"NA"),'MITRE ATT&amp;CK Mappings'!$F797))),ISNUMBER(SEARCH(IF(I$2&lt;&gt;"",I$2,"NA"),'MITRE ATT&amp;CK Mappings'!$G797))),ISNUMBER(SEARCH(IF(I$2&lt;&gt;"",I$2,"NA"),'MITRE ATT&amp;CK Mappings'!$H797))),ISNUMBER(SEARCH(IF(I$3&lt;&gt;"",I$3,"NA"),'MITRE ATT&amp;CK Mappings'!$I797))),ISNUMBER(SEARCH(IF(I$3&lt;&gt;"",I$3,"NA"),'MITRE ATT&amp;CK Mappings'!$J797))), 'MITRE ATT&amp;CK Mappings'!$B797,"")</f>
        <v/>
      </c>
      <c r="J801" s="27" t="str">
        <f>IF(OR(OR(OR(OR(OR(ISNUMBER(SEARCH(IF(J$1&lt;&gt;"",J$1,"NA"),'MITRE ATT&amp;CK Mappings'!$E797)),ISNUMBER(SEARCH(IF(J$1&lt;&gt;"",J$1,"NA"),'MITRE ATT&amp;CK Mappings'!$F797))),ISNUMBER(SEARCH(IF(J$2&lt;&gt;"",J$2,"NA"),'MITRE ATT&amp;CK Mappings'!$G797))),ISNUMBER(SEARCH(IF(J$2&lt;&gt;"",J$2,"NA"),'MITRE ATT&amp;CK Mappings'!$H797))),ISNUMBER(SEARCH(IF(J$3&lt;&gt;"",J$3,"NA"),'MITRE ATT&amp;CK Mappings'!$I797))),ISNUMBER(SEARCH(IF(J$3&lt;&gt;"",J$3,"NA"),'MITRE ATT&amp;CK Mappings'!$J797))), 'MITRE ATT&amp;CK Mappings'!$B797,"")</f>
        <v/>
      </c>
      <c r="K801" s="27" t="str">
        <f>IF(OR(OR(OR(OR(OR(ISNUMBER(SEARCH(IF(K$1&lt;&gt;"",K$1,"NA"),'MITRE ATT&amp;CK Mappings'!$E797)),ISNUMBER(SEARCH(IF(K$1&lt;&gt;"",K$1,"NA"),'MITRE ATT&amp;CK Mappings'!$F797))),ISNUMBER(SEARCH(IF(K$2&lt;&gt;"",K$2,"NA"),'MITRE ATT&amp;CK Mappings'!$G797))),ISNUMBER(SEARCH(IF(K$2&lt;&gt;"",K$2,"NA"),'MITRE ATT&amp;CK Mappings'!$H797))),ISNUMBER(SEARCH(IF(K$3&lt;&gt;"",K$3,"NA"),'MITRE ATT&amp;CK Mappings'!$I797))),ISNUMBER(SEARCH(IF(K$3&lt;&gt;"",K$3,"NA"),'MITRE ATT&amp;CK Mappings'!$J797))), 'MITRE ATT&amp;CK Mappings'!$B797,"")</f>
        <v/>
      </c>
      <c r="L801" s="27" t="str">
        <f>IF('MITRE ATT&amp;CK Mappings'!D797 &lt;&gt;"",'MITRE ATT&amp;CK Mappings'!D797,"" )</f>
        <v/>
      </c>
    </row>
    <row r="802" spans="1:12" x14ac:dyDescent="0.25">
      <c r="A802" s="26" t="str">
        <f>IF(COUNTIF(B802:K802,"="&amp;'MITRE ATT&amp;CK Mappings'!B798)&gt;0,'MITRE ATT&amp;CK Mappings'!B798,"")</f>
        <v/>
      </c>
      <c r="B802" s="26" t="str">
        <f>IF(OR(OR(OR(OR(OR(ISNUMBER(SEARCH(IF(B$1&lt;&gt;"",B$1,"NA"),'MITRE ATT&amp;CK Mappings'!$E798)),ISNUMBER(SEARCH(IF(B$1&lt;&gt;"",B$1,"NA"),'MITRE ATT&amp;CK Mappings'!$F798))),ISNUMBER(SEARCH(IF(B$2&lt;&gt;"",B$2,"NA"),'MITRE ATT&amp;CK Mappings'!$G798))),ISNUMBER(SEARCH(IF(B$2&lt;&gt;"",B$2,"NA"),'MITRE ATT&amp;CK Mappings'!$H798))),ISNUMBER(SEARCH(IF(B$3&lt;&gt;"",B$3,"NA"),'MITRE ATT&amp;CK Mappings'!$I798))),ISNUMBER(SEARCH(IF(B$3&lt;&gt;"",B$3,"NA"),'MITRE ATT&amp;CK Mappings'!$J798))), 'MITRE ATT&amp;CK Mappings'!$B798,"")</f>
        <v/>
      </c>
      <c r="C802" s="26" t="str">
        <f>IF(OR(OR(OR(OR(OR(ISNUMBER(SEARCH(IF(C$1&lt;&gt;"",C$1,"NA"),'MITRE ATT&amp;CK Mappings'!$E798)),ISNUMBER(SEARCH(IF(C$1&lt;&gt;"",C$1,"NA"),'MITRE ATT&amp;CK Mappings'!$F798))),ISNUMBER(SEARCH(IF(C$2&lt;&gt;"",C$2,"NA"),'MITRE ATT&amp;CK Mappings'!$G798))),ISNUMBER(SEARCH(IF(C$2&lt;&gt;"",C$2,"NA"),'MITRE ATT&amp;CK Mappings'!$H798))),ISNUMBER(SEARCH(IF(C$3&lt;&gt;"",C$3,"NA"),'MITRE ATT&amp;CK Mappings'!$I798))),ISNUMBER(SEARCH(IF(C$3&lt;&gt;"",C$3,"NA"),'MITRE ATT&amp;CK Mappings'!$J798))), 'MITRE ATT&amp;CK Mappings'!$B798,"")</f>
        <v/>
      </c>
      <c r="D802" s="26" t="str">
        <f>IF(OR(OR(OR(OR(OR(ISNUMBER(SEARCH(IF(D$1&lt;&gt;"",D$1,"NA"),'MITRE ATT&amp;CK Mappings'!$E798)),ISNUMBER(SEARCH(IF(D$1&lt;&gt;"",D$1,"NA"),'MITRE ATT&amp;CK Mappings'!$F798))),ISNUMBER(SEARCH(IF(D$2&lt;&gt;"",D$2,"NA"),'MITRE ATT&amp;CK Mappings'!$G798))),ISNUMBER(SEARCH(IF(D$2&lt;&gt;"",D$2,"NA"),'MITRE ATT&amp;CK Mappings'!$H798))),ISNUMBER(SEARCH(IF(D$3&lt;&gt;"",D$3,"NA"),'MITRE ATT&amp;CK Mappings'!$I798))),ISNUMBER(SEARCH(IF(D$3&lt;&gt;"",D$3,"NA"),'MITRE ATT&amp;CK Mappings'!$J798))), 'MITRE ATT&amp;CK Mappings'!$B798,"")</f>
        <v/>
      </c>
      <c r="E802" s="26" t="str">
        <f>IF(OR(OR(OR(OR(OR(ISNUMBER(SEARCH(IF(E$1&lt;&gt;"",E$1,"NA"),'MITRE ATT&amp;CK Mappings'!$E798)),ISNUMBER(SEARCH(IF(E$1&lt;&gt;"",E$1,"NA"),'MITRE ATT&amp;CK Mappings'!$F798))),ISNUMBER(SEARCH(IF(E$2&lt;&gt;"",E$2,"NA"),'MITRE ATT&amp;CK Mappings'!$G798))),ISNUMBER(SEARCH(IF(E$2&lt;&gt;"",E$2,"NA"),'MITRE ATT&amp;CK Mappings'!$H798))),ISNUMBER(SEARCH(IF(E$3&lt;&gt;"",E$3,"NA"),'MITRE ATT&amp;CK Mappings'!$I798))),ISNUMBER(SEARCH(IF(E$3&lt;&gt;"",E$3,"NA"),'MITRE ATT&amp;CK Mappings'!$J798))), 'MITRE ATT&amp;CK Mappings'!$B798,"")</f>
        <v/>
      </c>
      <c r="F802" s="26" t="str">
        <f>IF(OR(OR(OR(OR(OR(ISNUMBER(SEARCH(IF(F$1&lt;&gt;"",F$1,"NA"),'MITRE ATT&amp;CK Mappings'!$E798)),ISNUMBER(SEARCH(IF(F$1&lt;&gt;"",F$1,"NA"),'MITRE ATT&amp;CK Mappings'!$F798))),ISNUMBER(SEARCH(IF(F$2&lt;&gt;"",F$2,"NA"),'MITRE ATT&amp;CK Mappings'!$G798))),ISNUMBER(SEARCH(IF(F$2&lt;&gt;"",F$2,"NA"),'MITRE ATT&amp;CK Mappings'!$H798))),ISNUMBER(SEARCH(IF(F$3&lt;&gt;"",F$3,"NA"),'MITRE ATT&amp;CK Mappings'!$I798))),ISNUMBER(SEARCH(IF(F$3&lt;&gt;"",F$3,"NA"),'MITRE ATT&amp;CK Mappings'!$J798))), 'MITRE ATT&amp;CK Mappings'!$B798,"")</f>
        <v/>
      </c>
      <c r="G802" s="26" t="str">
        <f>IF(OR(OR(OR(OR(OR(ISNUMBER(SEARCH(IF(G$1&lt;&gt;"",G$1,"NA"),'MITRE ATT&amp;CK Mappings'!$E798)),ISNUMBER(SEARCH(IF(G$1&lt;&gt;"",G$1,"NA"),'MITRE ATT&amp;CK Mappings'!$F798))),ISNUMBER(SEARCH(IF(G$2&lt;&gt;"",G$2,"NA"),'MITRE ATT&amp;CK Mappings'!$G798))),ISNUMBER(SEARCH(IF(G$2&lt;&gt;"",G$2,"NA"),'MITRE ATT&amp;CK Mappings'!$H798))),ISNUMBER(SEARCH(IF(G$3&lt;&gt;"",G$3,"NA"),'MITRE ATT&amp;CK Mappings'!$I798))),ISNUMBER(SEARCH(IF(G$3&lt;&gt;"",G$3,"NA"),'MITRE ATT&amp;CK Mappings'!$J798))), 'MITRE ATT&amp;CK Mappings'!$B798,"")</f>
        <v/>
      </c>
      <c r="H802" s="26" t="str">
        <f>IF(OR(OR(OR(OR(OR(ISNUMBER(SEARCH(IF(H$1&lt;&gt;"",H$1,"NA"),'MITRE ATT&amp;CK Mappings'!$E798)),ISNUMBER(SEARCH(IF(H$1&lt;&gt;"",H$1,"NA"),'MITRE ATT&amp;CK Mappings'!$F798))),ISNUMBER(SEARCH(IF(H$2&lt;&gt;"",H$2,"NA"),'MITRE ATT&amp;CK Mappings'!$G798))),ISNUMBER(SEARCH(IF(H$2&lt;&gt;"",H$2,"NA"),'MITRE ATT&amp;CK Mappings'!$H798))),ISNUMBER(SEARCH(IF(H$3&lt;&gt;"",H$3,"NA"),'MITRE ATT&amp;CK Mappings'!$I798))),ISNUMBER(SEARCH(IF(H$3&lt;&gt;"",H$3,"NA"),'MITRE ATT&amp;CK Mappings'!$J798))), 'MITRE ATT&amp;CK Mappings'!$B798,"")</f>
        <v/>
      </c>
      <c r="I802" s="26" t="str">
        <f>IF(OR(OR(OR(OR(OR(ISNUMBER(SEARCH(IF(I$1&lt;&gt;"",I$1,"NA"),'MITRE ATT&amp;CK Mappings'!$E798)),ISNUMBER(SEARCH(IF(I$1&lt;&gt;"",I$1,"NA"),'MITRE ATT&amp;CK Mappings'!$F798))),ISNUMBER(SEARCH(IF(I$2&lt;&gt;"",I$2,"NA"),'MITRE ATT&amp;CK Mappings'!$G798))),ISNUMBER(SEARCH(IF(I$2&lt;&gt;"",I$2,"NA"),'MITRE ATT&amp;CK Mappings'!$H798))),ISNUMBER(SEARCH(IF(I$3&lt;&gt;"",I$3,"NA"),'MITRE ATT&amp;CK Mappings'!$I798))),ISNUMBER(SEARCH(IF(I$3&lt;&gt;"",I$3,"NA"),'MITRE ATT&amp;CK Mappings'!$J798))), 'MITRE ATT&amp;CK Mappings'!$B798,"")</f>
        <v/>
      </c>
      <c r="J802" s="26" t="str">
        <f>IF(OR(OR(OR(OR(OR(ISNUMBER(SEARCH(IF(J$1&lt;&gt;"",J$1,"NA"),'MITRE ATT&amp;CK Mappings'!$E798)),ISNUMBER(SEARCH(IF(J$1&lt;&gt;"",J$1,"NA"),'MITRE ATT&amp;CK Mappings'!$F798))),ISNUMBER(SEARCH(IF(J$2&lt;&gt;"",J$2,"NA"),'MITRE ATT&amp;CK Mappings'!$G798))),ISNUMBER(SEARCH(IF(J$2&lt;&gt;"",J$2,"NA"),'MITRE ATT&amp;CK Mappings'!$H798))),ISNUMBER(SEARCH(IF(J$3&lt;&gt;"",J$3,"NA"),'MITRE ATT&amp;CK Mappings'!$I798))),ISNUMBER(SEARCH(IF(J$3&lt;&gt;"",J$3,"NA"),'MITRE ATT&amp;CK Mappings'!$J798))), 'MITRE ATT&amp;CK Mappings'!$B798,"")</f>
        <v/>
      </c>
      <c r="K802" s="26" t="str">
        <f>IF(OR(OR(OR(OR(OR(ISNUMBER(SEARCH(IF(K$1&lt;&gt;"",K$1,"NA"),'MITRE ATT&amp;CK Mappings'!$E798)),ISNUMBER(SEARCH(IF(K$1&lt;&gt;"",K$1,"NA"),'MITRE ATT&amp;CK Mappings'!$F798))),ISNUMBER(SEARCH(IF(K$2&lt;&gt;"",K$2,"NA"),'MITRE ATT&amp;CK Mappings'!$G798))),ISNUMBER(SEARCH(IF(K$2&lt;&gt;"",K$2,"NA"),'MITRE ATT&amp;CK Mappings'!$H798))),ISNUMBER(SEARCH(IF(K$3&lt;&gt;"",K$3,"NA"),'MITRE ATT&amp;CK Mappings'!$I798))),ISNUMBER(SEARCH(IF(K$3&lt;&gt;"",K$3,"NA"),'MITRE ATT&amp;CK Mappings'!$J798))), 'MITRE ATT&amp;CK Mappings'!$B798,"")</f>
        <v/>
      </c>
      <c r="L802" s="26" t="str">
        <f>IF('MITRE ATT&amp;CK Mappings'!D798 &lt;&gt;"",'MITRE ATT&amp;CK Mappings'!D798,"" )</f>
        <v/>
      </c>
    </row>
    <row r="803" spans="1:12" x14ac:dyDescent="0.25">
      <c r="A803" s="27" t="str">
        <f>IF(COUNTIF(B803:K803,"="&amp;'MITRE ATT&amp;CK Mappings'!B799)&gt;0,'MITRE ATT&amp;CK Mappings'!B799,"")</f>
        <v/>
      </c>
      <c r="B803" s="27" t="str">
        <f>IF(OR(OR(OR(OR(OR(ISNUMBER(SEARCH(IF(B$1&lt;&gt;"",B$1,"NA"),'MITRE ATT&amp;CK Mappings'!$E799)),ISNUMBER(SEARCH(IF(B$1&lt;&gt;"",B$1,"NA"),'MITRE ATT&amp;CK Mappings'!$F799))),ISNUMBER(SEARCH(IF(B$2&lt;&gt;"",B$2,"NA"),'MITRE ATT&amp;CK Mappings'!$G799))),ISNUMBER(SEARCH(IF(B$2&lt;&gt;"",B$2,"NA"),'MITRE ATT&amp;CK Mappings'!$H799))),ISNUMBER(SEARCH(IF(B$3&lt;&gt;"",B$3,"NA"),'MITRE ATT&amp;CK Mappings'!$I799))),ISNUMBER(SEARCH(IF(B$3&lt;&gt;"",B$3,"NA"),'MITRE ATT&amp;CK Mappings'!$J799))), 'MITRE ATT&amp;CK Mappings'!$B799,"")</f>
        <v/>
      </c>
      <c r="C803" s="27" t="str">
        <f>IF(OR(OR(OR(OR(OR(ISNUMBER(SEARCH(IF(C$1&lt;&gt;"",C$1,"NA"),'MITRE ATT&amp;CK Mappings'!$E799)),ISNUMBER(SEARCH(IF(C$1&lt;&gt;"",C$1,"NA"),'MITRE ATT&amp;CK Mappings'!$F799))),ISNUMBER(SEARCH(IF(C$2&lt;&gt;"",C$2,"NA"),'MITRE ATT&amp;CK Mappings'!$G799))),ISNUMBER(SEARCH(IF(C$2&lt;&gt;"",C$2,"NA"),'MITRE ATT&amp;CK Mappings'!$H799))),ISNUMBER(SEARCH(IF(C$3&lt;&gt;"",C$3,"NA"),'MITRE ATT&amp;CK Mappings'!$I799))),ISNUMBER(SEARCH(IF(C$3&lt;&gt;"",C$3,"NA"),'MITRE ATT&amp;CK Mappings'!$J799))), 'MITRE ATT&amp;CK Mappings'!$B799,"")</f>
        <v/>
      </c>
      <c r="D803" s="27" t="str">
        <f>IF(OR(OR(OR(OR(OR(ISNUMBER(SEARCH(IF(D$1&lt;&gt;"",D$1,"NA"),'MITRE ATT&amp;CK Mappings'!$E799)),ISNUMBER(SEARCH(IF(D$1&lt;&gt;"",D$1,"NA"),'MITRE ATT&amp;CK Mappings'!$F799))),ISNUMBER(SEARCH(IF(D$2&lt;&gt;"",D$2,"NA"),'MITRE ATT&amp;CK Mappings'!$G799))),ISNUMBER(SEARCH(IF(D$2&lt;&gt;"",D$2,"NA"),'MITRE ATT&amp;CK Mappings'!$H799))),ISNUMBER(SEARCH(IF(D$3&lt;&gt;"",D$3,"NA"),'MITRE ATT&amp;CK Mappings'!$I799))),ISNUMBER(SEARCH(IF(D$3&lt;&gt;"",D$3,"NA"),'MITRE ATT&amp;CK Mappings'!$J799))), 'MITRE ATT&amp;CK Mappings'!$B799,"")</f>
        <v/>
      </c>
      <c r="E803" s="27" t="str">
        <f>IF(OR(OR(OR(OR(OR(ISNUMBER(SEARCH(IF(E$1&lt;&gt;"",E$1,"NA"),'MITRE ATT&amp;CK Mappings'!$E799)),ISNUMBER(SEARCH(IF(E$1&lt;&gt;"",E$1,"NA"),'MITRE ATT&amp;CK Mappings'!$F799))),ISNUMBER(SEARCH(IF(E$2&lt;&gt;"",E$2,"NA"),'MITRE ATT&amp;CK Mappings'!$G799))),ISNUMBER(SEARCH(IF(E$2&lt;&gt;"",E$2,"NA"),'MITRE ATT&amp;CK Mappings'!$H799))),ISNUMBER(SEARCH(IF(E$3&lt;&gt;"",E$3,"NA"),'MITRE ATT&amp;CK Mappings'!$I799))),ISNUMBER(SEARCH(IF(E$3&lt;&gt;"",E$3,"NA"),'MITRE ATT&amp;CK Mappings'!$J799))), 'MITRE ATT&amp;CK Mappings'!$B799,"")</f>
        <v/>
      </c>
      <c r="F803" s="27" t="str">
        <f>IF(OR(OR(OR(OR(OR(ISNUMBER(SEARCH(IF(F$1&lt;&gt;"",F$1,"NA"),'MITRE ATT&amp;CK Mappings'!$E799)),ISNUMBER(SEARCH(IF(F$1&lt;&gt;"",F$1,"NA"),'MITRE ATT&amp;CK Mappings'!$F799))),ISNUMBER(SEARCH(IF(F$2&lt;&gt;"",F$2,"NA"),'MITRE ATT&amp;CK Mappings'!$G799))),ISNUMBER(SEARCH(IF(F$2&lt;&gt;"",F$2,"NA"),'MITRE ATT&amp;CK Mappings'!$H799))),ISNUMBER(SEARCH(IF(F$3&lt;&gt;"",F$3,"NA"),'MITRE ATT&amp;CK Mappings'!$I799))),ISNUMBER(SEARCH(IF(F$3&lt;&gt;"",F$3,"NA"),'MITRE ATT&amp;CK Mappings'!$J799))), 'MITRE ATT&amp;CK Mappings'!$B799,"")</f>
        <v/>
      </c>
      <c r="G803" s="27" t="str">
        <f>IF(OR(OR(OR(OR(OR(ISNUMBER(SEARCH(IF(G$1&lt;&gt;"",G$1,"NA"),'MITRE ATT&amp;CK Mappings'!$E799)),ISNUMBER(SEARCH(IF(G$1&lt;&gt;"",G$1,"NA"),'MITRE ATT&amp;CK Mappings'!$F799))),ISNUMBER(SEARCH(IF(G$2&lt;&gt;"",G$2,"NA"),'MITRE ATT&amp;CK Mappings'!$G799))),ISNUMBER(SEARCH(IF(G$2&lt;&gt;"",G$2,"NA"),'MITRE ATT&amp;CK Mappings'!$H799))),ISNUMBER(SEARCH(IF(G$3&lt;&gt;"",G$3,"NA"),'MITRE ATT&amp;CK Mappings'!$I799))),ISNUMBER(SEARCH(IF(G$3&lt;&gt;"",G$3,"NA"),'MITRE ATT&amp;CK Mappings'!$J799))), 'MITRE ATT&amp;CK Mappings'!$B799,"")</f>
        <v/>
      </c>
      <c r="H803" s="27" t="str">
        <f>IF(OR(OR(OR(OR(OR(ISNUMBER(SEARCH(IF(H$1&lt;&gt;"",H$1,"NA"),'MITRE ATT&amp;CK Mappings'!$E799)),ISNUMBER(SEARCH(IF(H$1&lt;&gt;"",H$1,"NA"),'MITRE ATT&amp;CK Mappings'!$F799))),ISNUMBER(SEARCH(IF(H$2&lt;&gt;"",H$2,"NA"),'MITRE ATT&amp;CK Mappings'!$G799))),ISNUMBER(SEARCH(IF(H$2&lt;&gt;"",H$2,"NA"),'MITRE ATT&amp;CK Mappings'!$H799))),ISNUMBER(SEARCH(IF(H$3&lt;&gt;"",H$3,"NA"),'MITRE ATT&amp;CK Mappings'!$I799))),ISNUMBER(SEARCH(IF(H$3&lt;&gt;"",H$3,"NA"),'MITRE ATT&amp;CK Mappings'!$J799))), 'MITRE ATT&amp;CK Mappings'!$B799,"")</f>
        <v/>
      </c>
      <c r="I803" s="27" t="str">
        <f>IF(OR(OR(OR(OR(OR(ISNUMBER(SEARCH(IF(I$1&lt;&gt;"",I$1,"NA"),'MITRE ATT&amp;CK Mappings'!$E799)),ISNUMBER(SEARCH(IF(I$1&lt;&gt;"",I$1,"NA"),'MITRE ATT&amp;CK Mappings'!$F799))),ISNUMBER(SEARCH(IF(I$2&lt;&gt;"",I$2,"NA"),'MITRE ATT&amp;CK Mappings'!$G799))),ISNUMBER(SEARCH(IF(I$2&lt;&gt;"",I$2,"NA"),'MITRE ATT&amp;CK Mappings'!$H799))),ISNUMBER(SEARCH(IF(I$3&lt;&gt;"",I$3,"NA"),'MITRE ATT&amp;CK Mappings'!$I799))),ISNUMBER(SEARCH(IF(I$3&lt;&gt;"",I$3,"NA"),'MITRE ATT&amp;CK Mappings'!$J799))), 'MITRE ATT&amp;CK Mappings'!$B799,"")</f>
        <v/>
      </c>
      <c r="J803" s="27" t="str">
        <f>IF(OR(OR(OR(OR(OR(ISNUMBER(SEARCH(IF(J$1&lt;&gt;"",J$1,"NA"),'MITRE ATT&amp;CK Mappings'!$E799)),ISNUMBER(SEARCH(IF(J$1&lt;&gt;"",J$1,"NA"),'MITRE ATT&amp;CK Mappings'!$F799))),ISNUMBER(SEARCH(IF(J$2&lt;&gt;"",J$2,"NA"),'MITRE ATT&amp;CK Mappings'!$G799))),ISNUMBER(SEARCH(IF(J$2&lt;&gt;"",J$2,"NA"),'MITRE ATT&amp;CK Mappings'!$H799))),ISNUMBER(SEARCH(IF(J$3&lt;&gt;"",J$3,"NA"),'MITRE ATT&amp;CK Mappings'!$I799))),ISNUMBER(SEARCH(IF(J$3&lt;&gt;"",J$3,"NA"),'MITRE ATT&amp;CK Mappings'!$J799))), 'MITRE ATT&amp;CK Mappings'!$B799,"")</f>
        <v/>
      </c>
      <c r="K803" s="27" t="str">
        <f>IF(OR(OR(OR(OR(OR(ISNUMBER(SEARCH(IF(K$1&lt;&gt;"",K$1,"NA"),'MITRE ATT&amp;CK Mappings'!$E799)),ISNUMBER(SEARCH(IF(K$1&lt;&gt;"",K$1,"NA"),'MITRE ATT&amp;CK Mappings'!$F799))),ISNUMBER(SEARCH(IF(K$2&lt;&gt;"",K$2,"NA"),'MITRE ATT&amp;CK Mappings'!$G799))),ISNUMBER(SEARCH(IF(K$2&lt;&gt;"",K$2,"NA"),'MITRE ATT&amp;CK Mappings'!$H799))),ISNUMBER(SEARCH(IF(K$3&lt;&gt;"",K$3,"NA"),'MITRE ATT&amp;CK Mappings'!$I799))),ISNUMBER(SEARCH(IF(K$3&lt;&gt;"",K$3,"NA"),'MITRE ATT&amp;CK Mappings'!$J799))), 'MITRE ATT&amp;CK Mappings'!$B799,"")</f>
        <v/>
      </c>
      <c r="L803" s="27" t="str">
        <f>IF('MITRE ATT&amp;CK Mappings'!D799 &lt;&gt;"",'MITRE ATT&amp;CK Mappings'!D799,"" )</f>
        <v/>
      </c>
    </row>
    <row r="804" spans="1:12" x14ac:dyDescent="0.25">
      <c r="A804" s="26" t="str">
        <f>IF(COUNTIF(B804:K804,"="&amp;'MITRE ATT&amp;CK Mappings'!B800)&gt;0,'MITRE ATT&amp;CK Mappings'!B800,"")</f>
        <v/>
      </c>
      <c r="B804" s="26" t="str">
        <f>IF(OR(OR(OR(OR(OR(ISNUMBER(SEARCH(IF(B$1&lt;&gt;"",B$1,"NA"),'MITRE ATT&amp;CK Mappings'!$E800)),ISNUMBER(SEARCH(IF(B$1&lt;&gt;"",B$1,"NA"),'MITRE ATT&amp;CK Mappings'!$F800))),ISNUMBER(SEARCH(IF(B$2&lt;&gt;"",B$2,"NA"),'MITRE ATT&amp;CK Mappings'!$G800))),ISNUMBER(SEARCH(IF(B$2&lt;&gt;"",B$2,"NA"),'MITRE ATT&amp;CK Mappings'!$H800))),ISNUMBER(SEARCH(IF(B$3&lt;&gt;"",B$3,"NA"),'MITRE ATT&amp;CK Mappings'!$I800))),ISNUMBER(SEARCH(IF(B$3&lt;&gt;"",B$3,"NA"),'MITRE ATT&amp;CK Mappings'!$J800))), 'MITRE ATT&amp;CK Mappings'!$B800,"")</f>
        <v/>
      </c>
      <c r="C804" s="26" t="str">
        <f>IF(OR(OR(OR(OR(OR(ISNUMBER(SEARCH(IF(C$1&lt;&gt;"",C$1,"NA"),'MITRE ATT&amp;CK Mappings'!$E800)),ISNUMBER(SEARCH(IF(C$1&lt;&gt;"",C$1,"NA"),'MITRE ATT&amp;CK Mappings'!$F800))),ISNUMBER(SEARCH(IF(C$2&lt;&gt;"",C$2,"NA"),'MITRE ATT&amp;CK Mappings'!$G800))),ISNUMBER(SEARCH(IF(C$2&lt;&gt;"",C$2,"NA"),'MITRE ATT&amp;CK Mappings'!$H800))),ISNUMBER(SEARCH(IF(C$3&lt;&gt;"",C$3,"NA"),'MITRE ATT&amp;CK Mappings'!$I800))),ISNUMBER(SEARCH(IF(C$3&lt;&gt;"",C$3,"NA"),'MITRE ATT&amp;CK Mappings'!$J800))), 'MITRE ATT&amp;CK Mappings'!$B800,"")</f>
        <v/>
      </c>
      <c r="D804" s="26" t="str">
        <f>IF(OR(OR(OR(OR(OR(ISNUMBER(SEARCH(IF(D$1&lt;&gt;"",D$1,"NA"),'MITRE ATT&amp;CK Mappings'!$E800)),ISNUMBER(SEARCH(IF(D$1&lt;&gt;"",D$1,"NA"),'MITRE ATT&amp;CK Mappings'!$F800))),ISNUMBER(SEARCH(IF(D$2&lt;&gt;"",D$2,"NA"),'MITRE ATT&amp;CK Mappings'!$G800))),ISNUMBER(SEARCH(IF(D$2&lt;&gt;"",D$2,"NA"),'MITRE ATT&amp;CK Mappings'!$H800))),ISNUMBER(SEARCH(IF(D$3&lt;&gt;"",D$3,"NA"),'MITRE ATT&amp;CK Mappings'!$I800))),ISNUMBER(SEARCH(IF(D$3&lt;&gt;"",D$3,"NA"),'MITRE ATT&amp;CK Mappings'!$J800))), 'MITRE ATT&amp;CK Mappings'!$B800,"")</f>
        <v/>
      </c>
      <c r="E804" s="26" t="str">
        <f>IF(OR(OR(OR(OR(OR(ISNUMBER(SEARCH(IF(E$1&lt;&gt;"",E$1,"NA"),'MITRE ATT&amp;CK Mappings'!$E800)),ISNUMBER(SEARCH(IF(E$1&lt;&gt;"",E$1,"NA"),'MITRE ATT&amp;CK Mappings'!$F800))),ISNUMBER(SEARCH(IF(E$2&lt;&gt;"",E$2,"NA"),'MITRE ATT&amp;CK Mappings'!$G800))),ISNUMBER(SEARCH(IF(E$2&lt;&gt;"",E$2,"NA"),'MITRE ATT&amp;CK Mappings'!$H800))),ISNUMBER(SEARCH(IF(E$3&lt;&gt;"",E$3,"NA"),'MITRE ATT&amp;CK Mappings'!$I800))),ISNUMBER(SEARCH(IF(E$3&lt;&gt;"",E$3,"NA"),'MITRE ATT&amp;CK Mappings'!$J800))), 'MITRE ATT&amp;CK Mappings'!$B800,"")</f>
        <v/>
      </c>
      <c r="F804" s="26" t="str">
        <f>IF(OR(OR(OR(OR(OR(ISNUMBER(SEARCH(IF(F$1&lt;&gt;"",F$1,"NA"),'MITRE ATT&amp;CK Mappings'!$E800)),ISNUMBER(SEARCH(IF(F$1&lt;&gt;"",F$1,"NA"),'MITRE ATT&amp;CK Mappings'!$F800))),ISNUMBER(SEARCH(IF(F$2&lt;&gt;"",F$2,"NA"),'MITRE ATT&amp;CK Mappings'!$G800))),ISNUMBER(SEARCH(IF(F$2&lt;&gt;"",F$2,"NA"),'MITRE ATT&amp;CK Mappings'!$H800))),ISNUMBER(SEARCH(IF(F$3&lt;&gt;"",F$3,"NA"),'MITRE ATT&amp;CK Mappings'!$I800))),ISNUMBER(SEARCH(IF(F$3&lt;&gt;"",F$3,"NA"),'MITRE ATT&amp;CK Mappings'!$J800))), 'MITRE ATT&amp;CK Mappings'!$B800,"")</f>
        <v/>
      </c>
      <c r="G804" s="26" t="str">
        <f>IF(OR(OR(OR(OR(OR(ISNUMBER(SEARCH(IF(G$1&lt;&gt;"",G$1,"NA"),'MITRE ATT&amp;CK Mappings'!$E800)),ISNUMBER(SEARCH(IF(G$1&lt;&gt;"",G$1,"NA"),'MITRE ATT&amp;CK Mappings'!$F800))),ISNUMBER(SEARCH(IF(G$2&lt;&gt;"",G$2,"NA"),'MITRE ATT&amp;CK Mappings'!$G800))),ISNUMBER(SEARCH(IF(G$2&lt;&gt;"",G$2,"NA"),'MITRE ATT&amp;CK Mappings'!$H800))),ISNUMBER(SEARCH(IF(G$3&lt;&gt;"",G$3,"NA"),'MITRE ATT&amp;CK Mappings'!$I800))),ISNUMBER(SEARCH(IF(G$3&lt;&gt;"",G$3,"NA"),'MITRE ATT&amp;CK Mappings'!$J800))), 'MITRE ATT&amp;CK Mappings'!$B800,"")</f>
        <v/>
      </c>
      <c r="H804" s="26" t="str">
        <f>IF(OR(OR(OR(OR(OR(ISNUMBER(SEARCH(IF(H$1&lt;&gt;"",H$1,"NA"),'MITRE ATT&amp;CK Mappings'!$E800)),ISNUMBER(SEARCH(IF(H$1&lt;&gt;"",H$1,"NA"),'MITRE ATT&amp;CK Mappings'!$F800))),ISNUMBER(SEARCH(IF(H$2&lt;&gt;"",H$2,"NA"),'MITRE ATT&amp;CK Mappings'!$G800))),ISNUMBER(SEARCH(IF(H$2&lt;&gt;"",H$2,"NA"),'MITRE ATT&amp;CK Mappings'!$H800))),ISNUMBER(SEARCH(IF(H$3&lt;&gt;"",H$3,"NA"),'MITRE ATT&amp;CK Mappings'!$I800))),ISNUMBER(SEARCH(IF(H$3&lt;&gt;"",H$3,"NA"),'MITRE ATT&amp;CK Mappings'!$J800))), 'MITRE ATT&amp;CK Mappings'!$B800,"")</f>
        <v/>
      </c>
      <c r="I804" s="26" t="str">
        <f>IF(OR(OR(OR(OR(OR(ISNUMBER(SEARCH(IF(I$1&lt;&gt;"",I$1,"NA"),'MITRE ATT&amp;CK Mappings'!$E800)),ISNUMBER(SEARCH(IF(I$1&lt;&gt;"",I$1,"NA"),'MITRE ATT&amp;CK Mappings'!$F800))),ISNUMBER(SEARCH(IF(I$2&lt;&gt;"",I$2,"NA"),'MITRE ATT&amp;CK Mappings'!$G800))),ISNUMBER(SEARCH(IF(I$2&lt;&gt;"",I$2,"NA"),'MITRE ATT&amp;CK Mappings'!$H800))),ISNUMBER(SEARCH(IF(I$3&lt;&gt;"",I$3,"NA"),'MITRE ATT&amp;CK Mappings'!$I800))),ISNUMBER(SEARCH(IF(I$3&lt;&gt;"",I$3,"NA"),'MITRE ATT&amp;CK Mappings'!$J800))), 'MITRE ATT&amp;CK Mappings'!$B800,"")</f>
        <v/>
      </c>
      <c r="J804" s="26" t="str">
        <f>IF(OR(OR(OR(OR(OR(ISNUMBER(SEARCH(IF(J$1&lt;&gt;"",J$1,"NA"),'MITRE ATT&amp;CK Mappings'!$E800)),ISNUMBER(SEARCH(IF(J$1&lt;&gt;"",J$1,"NA"),'MITRE ATT&amp;CK Mappings'!$F800))),ISNUMBER(SEARCH(IF(J$2&lt;&gt;"",J$2,"NA"),'MITRE ATT&amp;CK Mappings'!$G800))),ISNUMBER(SEARCH(IF(J$2&lt;&gt;"",J$2,"NA"),'MITRE ATT&amp;CK Mappings'!$H800))),ISNUMBER(SEARCH(IF(J$3&lt;&gt;"",J$3,"NA"),'MITRE ATT&amp;CK Mappings'!$I800))),ISNUMBER(SEARCH(IF(J$3&lt;&gt;"",J$3,"NA"),'MITRE ATT&amp;CK Mappings'!$J800))), 'MITRE ATT&amp;CK Mappings'!$B800,"")</f>
        <v/>
      </c>
      <c r="K804" s="26" t="str">
        <f>IF(OR(OR(OR(OR(OR(ISNUMBER(SEARCH(IF(K$1&lt;&gt;"",K$1,"NA"),'MITRE ATT&amp;CK Mappings'!$E800)),ISNUMBER(SEARCH(IF(K$1&lt;&gt;"",K$1,"NA"),'MITRE ATT&amp;CK Mappings'!$F800))),ISNUMBER(SEARCH(IF(K$2&lt;&gt;"",K$2,"NA"),'MITRE ATT&amp;CK Mappings'!$G800))),ISNUMBER(SEARCH(IF(K$2&lt;&gt;"",K$2,"NA"),'MITRE ATT&amp;CK Mappings'!$H800))),ISNUMBER(SEARCH(IF(K$3&lt;&gt;"",K$3,"NA"),'MITRE ATT&amp;CK Mappings'!$I800))),ISNUMBER(SEARCH(IF(K$3&lt;&gt;"",K$3,"NA"),'MITRE ATT&amp;CK Mappings'!$J800))), 'MITRE ATT&amp;CK Mappings'!$B800,"")</f>
        <v/>
      </c>
      <c r="L804" s="26" t="str">
        <f>IF('MITRE ATT&amp;CK Mappings'!D800 &lt;&gt;"",'MITRE ATT&amp;CK Mappings'!D800,"" )</f>
        <v/>
      </c>
    </row>
    <row r="805" spans="1:12" x14ac:dyDescent="0.25">
      <c r="A805" s="27" t="str">
        <f>IF(COUNTIF(B805:K805,"="&amp;'MITRE ATT&amp;CK Mappings'!B801)&gt;0,'MITRE ATT&amp;CK Mappings'!B801,"")</f>
        <v/>
      </c>
      <c r="B805" s="27" t="str">
        <f>IF(OR(OR(OR(OR(OR(ISNUMBER(SEARCH(IF(B$1&lt;&gt;"",B$1,"NA"),'MITRE ATT&amp;CK Mappings'!$E801)),ISNUMBER(SEARCH(IF(B$1&lt;&gt;"",B$1,"NA"),'MITRE ATT&amp;CK Mappings'!$F801))),ISNUMBER(SEARCH(IF(B$2&lt;&gt;"",B$2,"NA"),'MITRE ATT&amp;CK Mappings'!$G801))),ISNUMBER(SEARCH(IF(B$2&lt;&gt;"",B$2,"NA"),'MITRE ATT&amp;CK Mappings'!$H801))),ISNUMBER(SEARCH(IF(B$3&lt;&gt;"",B$3,"NA"),'MITRE ATT&amp;CK Mappings'!$I801))),ISNUMBER(SEARCH(IF(B$3&lt;&gt;"",B$3,"NA"),'MITRE ATT&amp;CK Mappings'!$J801))), 'MITRE ATT&amp;CK Mappings'!$B801,"")</f>
        <v/>
      </c>
      <c r="C805" s="27" t="str">
        <f>IF(OR(OR(OR(OR(OR(ISNUMBER(SEARCH(IF(C$1&lt;&gt;"",C$1,"NA"),'MITRE ATT&amp;CK Mappings'!$E801)),ISNUMBER(SEARCH(IF(C$1&lt;&gt;"",C$1,"NA"),'MITRE ATT&amp;CK Mappings'!$F801))),ISNUMBER(SEARCH(IF(C$2&lt;&gt;"",C$2,"NA"),'MITRE ATT&amp;CK Mappings'!$G801))),ISNUMBER(SEARCH(IF(C$2&lt;&gt;"",C$2,"NA"),'MITRE ATT&amp;CK Mappings'!$H801))),ISNUMBER(SEARCH(IF(C$3&lt;&gt;"",C$3,"NA"),'MITRE ATT&amp;CK Mappings'!$I801))),ISNUMBER(SEARCH(IF(C$3&lt;&gt;"",C$3,"NA"),'MITRE ATT&amp;CK Mappings'!$J801))), 'MITRE ATT&amp;CK Mappings'!$B801,"")</f>
        <v/>
      </c>
      <c r="D805" s="27" t="str">
        <f>IF(OR(OR(OR(OR(OR(ISNUMBER(SEARCH(IF(D$1&lt;&gt;"",D$1,"NA"),'MITRE ATT&amp;CK Mappings'!$E801)),ISNUMBER(SEARCH(IF(D$1&lt;&gt;"",D$1,"NA"),'MITRE ATT&amp;CK Mappings'!$F801))),ISNUMBER(SEARCH(IF(D$2&lt;&gt;"",D$2,"NA"),'MITRE ATT&amp;CK Mappings'!$G801))),ISNUMBER(SEARCH(IF(D$2&lt;&gt;"",D$2,"NA"),'MITRE ATT&amp;CK Mappings'!$H801))),ISNUMBER(SEARCH(IF(D$3&lt;&gt;"",D$3,"NA"),'MITRE ATT&amp;CK Mappings'!$I801))),ISNUMBER(SEARCH(IF(D$3&lt;&gt;"",D$3,"NA"),'MITRE ATT&amp;CK Mappings'!$J801))), 'MITRE ATT&amp;CK Mappings'!$B801,"")</f>
        <v/>
      </c>
      <c r="E805" s="27" t="str">
        <f>IF(OR(OR(OR(OR(OR(ISNUMBER(SEARCH(IF(E$1&lt;&gt;"",E$1,"NA"),'MITRE ATT&amp;CK Mappings'!$E801)),ISNUMBER(SEARCH(IF(E$1&lt;&gt;"",E$1,"NA"),'MITRE ATT&amp;CK Mappings'!$F801))),ISNUMBER(SEARCH(IF(E$2&lt;&gt;"",E$2,"NA"),'MITRE ATT&amp;CK Mappings'!$G801))),ISNUMBER(SEARCH(IF(E$2&lt;&gt;"",E$2,"NA"),'MITRE ATT&amp;CK Mappings'!$H801))),ISNUMBER(SEARCH(IF(E$3&lt;&gt;"",E$3,"NA"),'MITRE ATT&amp;CK Mappings'!$I801))),ISNUMBER(SEARCH(IF(E$3&lt;&gt;"",E$3,"NA"),'MITRE ATT&amp;CK Mappings'!$J801))), 'MITRE ATT&amp;CK Mappings'!$B801,"")</f>
        <v/>
      </c>
      <c r="F805" s="27" t="str">
        <f>IF(OR(OR(OR(OR(OR(ISNUMBER(SEARCH(IF(F$1&lt;&gt;"",F$1,"NA"),'MITRE ATT&amp;CK Mappings'!$E801)),ISNUMBER(SEARCH(IF(F$1&lt;&gt;"",F$1,"NA"),'MITRE ATT&amp;CK Mappings'!$F801))),ISNUMBER(SEARCH(IF(F$2&lt;&gt;"",F$2,"NA"),'MITRE ATT&amp;CK Mappings'!$G801))),ISNUMBER(SEARCH(IF(F$2&lt;&gt;"",F$2,"NA"),'MITRE ATT&amp;CK Mappings'!$H801))),ISNUMBER(SEARCH(IF(F$3&lt;&gt;"",F$3,"NA"),'MITRE ATT&amp;CK Mappings'!$I801))),ISNUMBER(SEARCH(IF(F$3&lt;&gt;"",F$3,"NA"),'MITRE ATT&amp;CK Mappings'!$J801))), 'MITRE ATT&amp;CK Mappings'!$B801,"")</f>
        <v/>
      </c>
      <c r="G805" s="27" t="str">
        <f>IF(OR(OR(OR(OR(OR(ISNUMBER(SEARCH(IF(G$1&lt;&gt;"",G$1,"NA"),'MITRE ATT&amp;CK Mappings'!$E801)),ISNUMBER(SEARCH(IF(G$1&lt;&gt;"",G$1,"NA"),'MITRE ATT&amp;CK Mappings'!$F801))),ISNUMBER(SEARCH(IF(G$2&lt;&gt;"",G$2,"NA"),'MITRE ATT&amp;CK Mappings'!$G801))),ISNUMBER(SEARCH(IF(G$2&lt;&gt;"",G$2,"NA"),'MITRE ATT&amp;CK Mappings'!$H801))),ISNUMBER(SEARCH(IF(G$3&lt;&gt;"",G$3,"NA"),'MITRE ATT&amp;CK Mappings'!$I801))),ISNUMBER(SEARCH(IF(G$3&lt;&gt;"",G$3,"NA"),'MITRE ATT&amp;CK Mappings'!$J801))), 'MITRE ATT&amp;CK Mappings'!$B801,"")</f>
        <v/>
      </c>
      <c r="H805" s="27" t="str">
        <f>IF(OR(OR(OR(OR(OR(ISNUMBER(SEARCH(IF(H$1&lt;&gt;"",H$1,"NA"),'MITRE ATT&amp;CK Mappings'!$E801)),ISNUMBER(SEARCH(IF(H$1&lt;&gt;"",H$1,"NA"),'MITRE ATT&amp;CK Mappings'!$F801))),ISNUMBER(SEARCH(IF(H$2&lt;&gt;"",H$2,"NA"),'MITRE ATT&amp;CK Mappings'!$G801))),ISNUMBER(SEARCH(IF(H$2&lt;&gt;"",H$2,"NA"),'MITRE ATT&amp;CK Mappings'!$H801))),ISNUMBER(SEARCH(IF(H$3&lt;&gt;"",H$3,"NA"),'MITRE ATT&amp;CK Mappings'!$I801))),ISNUMBER(SEARCH(IF(H$3&lt;&gt;"",H$3,"NA"),'MITRE ATT&amp;CK Mappings'!$J801))), 'MITRE ATT&amp;CK Mappings'!$B801,"")</f>
        <v/>
      </c>
      <c r="I805" s="27" t="str">
        <f>IF(OR(OR(OR(OR(OR(ISNUMBER(SEARCH(IF(I$1&lt;&gt;"",I$1,"NA"),'MITRE ATT&amp;CK Mappings'!$E801)),ISNUMBER(SEARCH(IF(I$1&lt;&gt;"",I$1,"NA"),'MITRE ATT&amp;CK Mappings'!$F801))),ISNUMBER(SEARCH(IF(I$2&lt;&gt;"",I$2,"NA"),'MITRE ATT&amp;CK Mappings'!$G801))),ISNUMBER(SEARCH(IF(I$2&lt;&gt;"",I$2,"NA"),'MITRE ATT&amp;CK Mappings'!$H801))),ISNUMBER(SEARCH(IF(I$3&lt;&gt;"",I$3,"NA"),'MITRE ATT&amp;CK Mappings'!$I801))),ISNUMBER(SEARCH(IF(I$3&lt;&gt;"",I$3,"NA"),'MITRE ATT&amp;CK Mappings'!$J801))), 'MITRE ATT&amp;CK Mappings'!$B801,"")</f>
        <v/>
      </c>
      <c r="J805" s="27" t="str">
        <f>IF(OR(OR(OR(OR(OR(ISNUMBER(SEARCH(IF(J$1&lt;&gt;"",J$1,"NA"),'MITRE ATT&amp;CK Mappings'!$E801)),ISNUMBER(SEARCH(IF(J$1&lt;&gt;"",J$1,"NA"),'MITRE ATT&amp;CK Mappings'!$F801))),ISNUMBER(SEARCH(IF(J$2&lt;&gt;"",J$2,"NA"),'MITRE ATT&amp;CK Mappings'!$G801))),ISNUMBER(SEARCH(IF(J$2&lt;&gt;"",J$2,"NA"),'MITRE ATT&amp;CK Mappings'!$H801))),ISNUMBER(SEARCH(IF(J$3&lt;&gt;"",J$3,"NA"),'MITRE ATT&amp;CK Mappings'!$I801))),ISNUMBER(SEARCH(IF(J$3&lt;&gt;"",J$3,"NA"),'MITRE ATT&amp;CK Mappings'!$J801))), 'MITRE ATT&amp;CK Mappings'!$B801,"")</f>
        <v/>
      </c>
      <c r="K805" s="27" t="str">
        <f>IF(OR(OR(OR(OR(OR(ISNUMBER(SEARCH(IF(K$1&lt;&gt;"",K$1,"NA"),'MITRE ATT&amp;CK Mappings'!$E801)),ISNUMBER(SEARCH(IF(K$1&lt;&gt;"",K$1,"NA"),'MITRE ATT&amp;CK Mappings'!$F801))),ISNUMBER(SEARCH(IF(K$2&lt;&gt;"",K$2,"NA"),'MITRE ATT&amp;CK Mappings'!$G801))),ISNUMBER(SEARCH(IF(K$2&lt;&gt;"",K$2,"NA"),'MITRE ATT&amp;CK Mappings'!$H801))),ISNUMBER(SEARCH(IF(K$3&lt;&gt;"",K$3,"NA"),'MITRE ATT&amp;CK Mappings'!$I801))),ISNUMBER(SEARCH(IF(K$3&lt;&gt;"",K$3,"NA"),'MITRE ATT&amp;CK Mappings'!$J801))), 'MITRE ATT&amp;CK Mappings'!$B801,"")</f>
        <v/>
      </c>
      <c r="L805" s="27" t="str">
        <f>IF('MITRE ATT&amp;CK Mappings'!D801 &lt;&gt;"",'MITRE ATT&amp;CK Mappings'!D801,"" )</f>
        <v/>
      </c>
    </row>
    <row r="806" spans="1:12" x14ac:dyDescent="0.25">
      <c r="A806" s="26" t="str">
        <f>IF(COUNTIF(B806:K806,"="&amp;'MITRE ATT&amp;CK Mappings'!B802)&gt;0,'MITRE ATT&amp;CK Mappings'!B802,"")</f>
        <v/>
      </c>
      <c r="B806" s="26" t="str">
        <f>IF(OR(OR(OR(OR(OR(ISNUMBER(SEARCH(IF(B$1&lt;&gt;"",B$1,"NA"),'MITRE ATT&amp;CK Mappings'!$E802)),ISNUMBER(SEARCH(IF(B$1&lt;&gt;"",B$1,"NA"),'MITRE ATT&amp;CK Mappings'!$F802))),ISNUMBER(SEARCH(IF(B$2&lt;&gt;"",B$2,"NA"),'MITRE ATT&amp;CK Mappings'!$G802))),ISNUMBER(SEARCH(IF(B$2&lt;&gt;"",B$2,"NA"),'MITRE ATT&amp;CK Mappings'!$H802))),ISNUMBER(SEARCH(IF(B$3&lt;&gt;"",B$3,"NA"),'MITRE ATT&amp;CK Mappings'!$I802))),ISNUMBER(SEARCH(IF(B$3&lt;&gt;"",B$3,"NA"),'MITRE ATT&amp;CK Mappings'!$J802))), 'MITRE ATT&amp;CK Mappings'!$B802,"")</f>
        <v/>
      </c>
      <c r="C806" s="26" t="str">
        <f>IF(OR(OR(OR(OR(OR(ISNUMBER(SEARCH(IF(C$1&lt;&gt;"",C$1,"NA"),'MITRE ATT&amp;CK Mappings'!$E802)),ISNUMBER(SEARCH(IF(C$1&lt;&gt;"",C$1,"NA"),'MITRE ATT&amp;CK Mappings'!$F802))),ISNUMBER(SEARCH(IF(C$2&lt;&gt;"",C$2,"NA"),'MITRE ATT&amp;CK Mappings'!$G802))),ISNUMBER(SEARCH(IF(C$2&lt;&gt;"",C$2,"NA"),'MITRE ATT&amp;CK Mappings'!$H802))),ISNUMBER(SEARCH(IF(C$3&lt;&gt;"",C$3,"NA"),'MITRE ATT&amp;CK Mappings'!$I802))),ISNUMBER(SEARCH(IF(C$3&lt;&gt;"",C$3,"NA"),'MITRE ATT&amp;CK Mappings'!$J802))), 'MITRE ATT&amp;CK Mappings'!$B802,"")</f>
        <v/>
      </c>
      <c r="D806" s="26" t="str">
        <f>IF(OR(OR(OR(OR(OR(ISNUMBER(SEARCH(IF(D$1&lt;&gt;"",D$1,"NA"),'MITRE ATT&amp;CK Mappings'!$E802)),ISNUMBER(SEARCH(IF(D$1&lt;&gt;"",D$1,"NA"),'MITRE ATT&amp;CK Mappings'!$F802))),ISNUMBER(SEARCH(IF(D$2&lt;&gt;"",D$2,"NA"),'MITRE ATT&amp;CK Mappings'!$G802))),ISNUMBER(SEARCH(IF(D$2&lt;&gt;"",D$2,"NA"),'MITRE ATT&amp;CK Mappings'!$H802))),ISNUMBER(SEARCH(IF(D$3&lt;&gt;"",D$3,"NA"),'MITRE ATT&amp;CK Mappings'!$I802))),ISNUMBER(SEARCH(IF(D$3&lt;&gt;"",D$3,"NA"),'MITRE ATT&amp;CK Mappings'!$J802))), 'MITRE ATT&amp;CK Mappings'!$B802,"")</f>
        <v/>
      </c>
      <c r="E806" s="26" t="str">
        <f>IF(OR(OR(OR(OR(OR(ISNUMBER(SEARCH(IF(E$1&lt;&gt;"",E$1,"NA"),'MITRE ATT&amp;CK Mappings'!$E802)),ISNUMBER(SEARCH(IF(E$1&lt;&gt;"",E$1,"NA"),'MITRE ATT&amp;CK Mappings'!$F802))),ISNUMBER(SEARCH(IF(E$2&lt;&gt;"",E$2,"NA"),'MITRE ATT&amp;CK Mappings'!$G802))),ISNUMBER(SEARCH(IF(E$2&lt;&gt;"",E$2,"NA"),'MITRE ATT&amp;CK Mappings'!$H802))),ISNUMBER(SEARCH(IF(E$3&lt;&gt;"",E$3,"NA"),'MITRE ATT&amp;CK Mappings'!$I802))),ISNUMBER(SEARCH(IF(E$3&lt;&gt;"",E$3,"NA"),'MITRE ATT&amp;CK Mappings'!$J802))), 'MITRE ATT&amp;CK Mappings'!$B802,"")</f>
        <v/>
      </c>
      <c r="F806" s="26" t="str">
        <f>IF(OR(OR(OR(OR(OR(ISNUMBER(SEARCH(IF(F$1&lt;&gt;"",F$1,"NA"),'MITRE ATT&amp;CK Mappings'!$E802)),ISNUMBER(SEARCH(IF(F$1&lt;&gt;"",F$1,"NA"),'MITRE ATT&amp;CK Mappings'!$F802))),ISNUMBER(SEARCH(IF(F$2&lt;&gt;"",F$2,"NA"),'MITRE ATT&amp;CK Mappings'!$G802))),ISNUMBER(SEARCH(IF(F$2&lt;&gt;"",F$2,"NA"),'MITRE ATT&amp;CK Mappings'!$H802))),ISNUMBER(SEARCH(IF(F$3&lt;&gt;"",F$3,"NA"),'MITRE ATT&amp;CK Mappings'!$I802))),ISNUMBER(SEARCH(IF(F$3&lt;&gt;"",F$3,"NA"),'MITRE ATT&amp;CK Mappings'!$J802))), 'MITRE ATT&amp;CK Mappings'!$B802,"")</f>
        <v/>
      </c>
      <c r="G806" s="26" t="str">
        <f>IF(OR(OR(OR(OR(OR(ISNUMBER(SEARCH(IF(G$1&lt;&gt;"",G$1,"NA"),'MITRE ATT&amp;CK Mappings'!$E802)),ISNUMBER(SEARCH(IF(G$1&lt;&gt;"",G$1,"NA"),'MITRE ATT&amp;CK Mappings'!$F802))),ISNUMBER(SEARCH(IF(G$2&lt;&gt;"",G$2,"NA"),'MITRE ATT&amp;CK Mappings'!$G802))),ISNUMBER(SEARCH(IF(G$2&lt;&gt;"",G$2,"NA"),'MITRE ATT&amp;CK Mappings'!$H802))),ISNUMBER(SEARCH(IF(G$3&lt;&gt;"",G$3,"NA"),'MITRE ATT&amp;CK Mappings'!$I802))),ISNUMBER(SEARCH(IF(G$3&lt;&gt;"",G$3,"NA"),'MITRE ATT&amp;CK Mappings'!$J802))), 'MITRE ATT&amp;CK Mappings'!$B802,"")</f>
        <v/>
      </c>
      <c r="H806" s="26" t="str">
        <f>IF(OR(OR(OR(OR(OR(ISNUMBER(SEARCH(IF(H$1&lt;&gt;"",H$1,"NA"),'MITRE ATT&amp;CK Mappings'!$E802)),ISNUMBER(SEARCH(IF(H$1&lt;&gt;"",H$1,"NA"),'MITRE ATT&amp;CK Mappings'!$F802))),ISNUMBER(SEARCH(IF(H$2&lt;&gt;"",H$2,"NA"),'MITRE ATT&amp;CK Mappings'!$G802))),ISNUMBER(SEARCH(IF(H$2&lt;&gt;"",H$2,"NA"),'MITRE ATT&amp;CK Mappings'!$H802))),ISNUMBER(SEARCH(IF(H$3&lt;&gt;"",H$3,"NA"),'MITRE ATT&amp;CK Mappings'!$I802))),ISNUMBER(SEARCH(IF(H$3&lt;&gt;"",H$3,"NA"),'MITRE ATT&amp;CK Mappings'!$J802))), 'MITRE ATT&amp;CK Mappings'!$B802,"")</f>
        <v/>
      </c>
      <c r="I806" s="26" t="str">
        <f>IF(OR(OR(OR(OR(OR(ISNUMBER(SEARCH(IF(I$1&lt;&gt;"",I$1,"NA"),'MITRE ATT&amp;CK Mappings'!$E802)),ISNUMBER(SEARCH(IF(I$1&lt;&gt;"",I$1,"NA"),'MITRE ATT&amp;CK Mappings'!$F802))),ISNUMBER(SEARCH(IF(I$2&lt;&gt;"",I$2,"NA"),'MITRE ATT&amp;CK Mappings'!$G802))),ISNUMBER(SEARCH(IF(I$2&lt;&gt;"",I$2,"NA"),'MITRE ATT&amp;CK Mappings'!$H802))),ISNUMBER(SEARCH(IF(I$3&lt;&gt;"",I$3,"NA"),'MITRE ATT&amp;CK Mappings'!$I802))),ISNUMBER(SEARCH(IF(I$3&lt;&gt;"",I$3,"NA"),'MITRE ATT&amp;CK Mappings'!$J802))), 'MITRE ATT&amp;CK Mappings'!$B802,"")</f>
        <v/>
      </c>
      <c r="J806" s="26" t="str">
        <f>IF(OR(OR(OR(OR(OR(ISNUMBER(SEARCH(IF(J$1&lt;&gt;"",J$1,"NA"),'MITRE ATT&amp;CK Mappings'!$E802)),ISNUMBER(SEARCH(IF(J$1&lt;&gt;"",J$1,"NA"),'MITRE ATT&amp;CK Mappings'!$F802))),ISNUMBER(SEARCH(IF(J$2&lt;&gt;"",J$2,"NA"),'MITRE ATT&amp;CK Mappings'!$G802))),ISNUMBER(SEARCH(IF(J$2&lt;&gt;"",J$2,"NA"),'MITRE ATT&amp;CK Mappings'!$H802))),ISNUMBER(SEARCH(IF(J$3&lt;&gt;"",J$3,"NA"),'MITRE ATT&amp;CK Mappings'!$I802))),ISNUMBER(SEARCH(IF(J$3&lt;&gt;"",J$3,"NA"),'MITRE ATT&amp;CK Mappings'!$J802))), 'MITRE ATT&amp;CK Mappings'!$B802,"")</f>
        <v/>
      </c>
      <c r="K806" s="26" t="str">
        <f>IF(OR(OR(OR(OR(OR(ISNUMBER(SEARCH(IF(K$1&lt;&gt;"",K$1,"NA"),'MITRE ATT&amp;CK Mappings'!$E802)),ISNUMBER(SEARCH(IF(K$1&lt;&gt;"",K$1,"NA"),'MITRE ATT&amp;CK Mappings'!$F802))),ISNUMBER(SEARCH(IF(K$2&lt;&gt;"",K$2,"NA"),'MITRE ATT&amp;CK Mappings'!$G802))),ISNUMBER(SEARCH(IF(K$2&lt;&gt;"",K$2,"NA"),'MITRE ATT&amp;CK Mappings'!$H802))),ISNUMBER(SEARCH(IF(K$3&lt;&gt;"",K$3,"NA"),'MITRE ATT&amp;CK Mappings'!$I802))),ISNUMBER(SEARCH(IF(K$3&lt;&gt;"",K$3,"NA"),'MITRE ATT&amp;CK Mappings'!$J802))), 'MITRE ATT&amp;CK Mappings'!$B802,"")</f>
        <v/>
      </c>
      <c r="L806" s="26" t="str">
        <f>IF('MITRE ATT&amp;CK Mappings'!D802 &lt;&gt;"",'MITRE ATT&amp;CK Mappings'!D802,"" )</f>
        <v/>
      </c>
    </row>
    <row r="807" spans="1:12" x14ac:dyDescent="0.25">
      <c r="A807" s="27" t="str">
        <f>IF(COUNTIF(B807:K807,"="&amp;'MITRE ATT&amp;CK Mappings'!B803)&gt;0,'MITRE ATT&amp;CK Mappings'!B803,"")</f>
        <v/>
      </c>
      <c r="B807" s="27" t="str">
        <f>IF(OR(OR(OR(OR(OR(ISNUMBER(SEARCH(IF(B$1&lt;&gt;"",B$1,"NA"),'MITRE ATT&amp;CK Mappings'!$E803)),ISNUMBER(SEARCH(IF(B$1&lt;&gt;"",B$1,"NA"),'MITRE ATT&amp;CK Mappings'!$F803))),ISNUMBER(SEARCH(IF(B$2&lt;&gt;"",B$2,"NA"),'MITRE ATT&amp;CK Mappings'!$G803))),ISNUMBER(SEARCH(IF(B$2&lt;&gt;"",B$2,"NA"),'MITRE ATT&amp;CK Mappings'!$H803))),ISNUMBER(SEARCH(IF(B$3&lt;&gt;"",B$3,"NA"),'MITRE ATT&amp;CK Mappings'!$I803))),ISNUMBER(SEARCH(IF(B$3&lt;&gt;"",B$3,"NA"),'MITRE ATT&amp;CK Mappings'!$J803))), 'MITRE ATT&amp;CK Mappings'!$B803,"")</f>
        <v/>
      </c>
      <c r="C807" s="27" t="str">
        <f>IF(OR(OR(OR(OR(OR(ISNUMBER(SEARCH(IF(C$1&lt;&gt;"",C$1,"NA"),'MITRE ATT&amp;CK Mappings'!$E803)),ISNUMBER(SEARCH(IF(C$1&lt;&gt;"",C$1,"NA"),'MITRE ATT&amp;CK Mappings'!$F803))),ISNUMBER(SEARCH(IF(C$2&lt;&gt;"",C$2,"NA"),'MITRE ATT&amp;CK Mappings'!$G803))),ISNUMBER(SEARCH(IF(C$2&lt;&gt;"",C$2,"NA"),'MITRE ATT&amp;CK Mappings'!$H803))),ISNUMBER(SEARCH(IF(C$3&lt;&gt;"",C$3,"NA"),'MITRE ATT&amp;CK Mappings'!$I803))),ISNUMBER(SEARCH(IF(C$3&lt;&gt;"",C$3,"NA"),'MITRE ATT&amp;CK Mappings'!$J803))), 'MITRE ATT&amp;CK Mappings'!$B803,"")</f>
        <v/>
      </c>
      <c r="D807" s="27" t="str">
        <f>IF(OR(OR(OR(OR(OR(ISNUMBER(SEARCH(IF(D$1&lt;&gt;"",D$1,"NA"),'MITRE ATT&amp;CK Mappings'!$E803)),ISNUMBER(SEARCH(IF(D$1&lt;&gt;"",D$1,"NA"),'MITRE ATT&amp;CK Mappings'!$F803))),ISNUMBER(SEARCH(IF(D$2&lt;&gt;"",D$2,"NA"),'MITRE ATT&amp;CK Mappings'!$G803))),ISNUMBER(SEARCH(IF(D$2&lt;&gt;"",D$2,"NA"),'MITRE ATT&amp;CK Mappings'!$H803))),ISNUMBER(SEARCH(IF(D$3&lt;&gt;"",D$3,"NA"),'MITRE ATT&amp;CK Mappings'!$I803))),ISNUMBER(SEARCH(IF(D$3&lt;&gt;"",D$3,"NA"),'MITRE ATT&amp;CK Mappings'!$J803))), 'MITRE ATT&amp;CK Mappings'!$B803,"")</f>
        <v/>
      </c>
      <c r="E807" s="27" t="str">
        <f>IF(OR(OR(OR(OR(OR(ISNUMBER(SEARCH(IF(E$1&lt;&gt;"",E$1,"NA"),'MITRE ATT&amp;CK Mappings'!$E803)),ISNUMBER(SEARCH(IF(E$1&lt;&gt;"",E$1,"NA"),'MITRE ATT&amp;CK Mappings'!$F803))),ISNUMBER(SEARCH(IF(E$2&lt;&gt;"",E$2,"NA"),'MITRE ATT&amp;CK Mappings'!$G803))),ISNUMBER(SEARCH(IF(E$2&lt;&gt;"",E$2,"NA"),'MITRE ATT&amp;CK Mappings'!$H803))),ISNUMBER(SEARCH(IF(E$3&lt;&gt;"",E$3,"NA"),'MITRE ATT&amp;CK Mappings'!$I803))),ISNUMBER(SEARCH(IF(E$3&lt;&gt;"",E$3,"NA"),'MITRE ATT&amp;CK Mappings'!$J803))), 'MITRE ATT&amp;CK Mappings'!$B803,"")</f>
        <v/>
      </c>
      <c r="F807" s="27" t="str">
        <f>IF(OR(OR(OR(OR(OR(ISNUMBER(SEARCH(IF(F$1&lt;&gt;"",F$1,"NA"),'MITRE ATT&amp;CK Mappings'!$E803)),ISNUMBER(SEARCH(IF(F$1&lt;&gt;"",F$1,"NA"),'MITRE ATT&amp;CK Mappings'!$F803))),ISNUMBER(SEARCH(IF(F$2&lt;&gt;"",F$2,"NA"),'MITRE ATT&amp;CK Mappings'!$G803))),ISNUMBER(SEARCH(IF(F$2&lt;&gt;"",F$2,"NA"),'MITRE ATT&amp;CK Mappings'!$H803))),ISNUMBER(SEARCH(IF(F$3&lt;&gt;"",F$3,"NA"),'MITRE ATT&amp;CK Mappings'!$I803))),ISNUMBER(SEARCH(IF(F$3&lt;&gt;"",F$3,"NA"),'MITRE ATT&amp;CK Mappings'!$J803))), 'MITRE ATT&amp;CK Mappings'!$B803,"")</f>
        <v/>
      </c>
      <c r="G807" s="27" t="str">
        <f>IF(OR(OR(OR(OR(OR(ISNUMBER(SEARCH(IF(G$1&lt;&gt;"",G$1,"NA"),'MITRE ATT&amp;CK Mappings'!$E803)),ISNUMBER(SEARCH(IF(G$1&lt;&gt;"",G$1,"NA"),'MITRE ATT&amp;CK Mappings'!$F803))),ISNUMBER(SEARCH(IF(G$2&lt;&gt;"",G$2,"NA"),'MITRE ATT&amp;CK Mappings'!$G803))),ISNUMBER(SEARCH(IF(G$2&lt;&gt;"",G$2,"NA"),'MITRE ATT&amp;CK Mappings'!$H803))),ISNUMBER(SEARCH(IF(G$3&lt;&gt;"",G$3,"NA"),'MITRE ATT&amp;CK Mappings'!$I803))),ISNUMBER(SEARCH(IF(G$3&lt;&gt;"",G$3,"NA"),'MITRE ATT&amp;CK Mappings'!$J803))), 'MITRE ATT&amp;CK Mappings'!$B803,"")</f>
        <v/>
      </c>
      <c r="H807" s="27" t="str">
        <f>IF(OR(OR(OR(OR(OR(ISNUMBER(SEARCH(IF(H$1&lt;&gt;"",H$1,"NA"),'MITRE ATT&amp;CK Mappings'!$E803)),ISNUMBER(SEARCH(IF(H$1&lt;&gt;"",H$1,"NA"),'MITRE ATT&amp;CK Mappings'!$F803))),ISNUMBER(SEARCH(IF(H$2&lt;&gt;"",H$2,"NA"),'MITRE ATT&amp;CK Mappings'!$G803))),ISNUMBER(SEARCH(IF(H$2&lt;&gt;"",H$2,"NA"),'MITRE ATT&amp;CK Mappings'!$H803))),ISNUMBER(SEARCH(IF(H$3&lt;&gt;"",H$3,"NA"),'MITRE ATT&amp;CK Mappings'!$I803))),ISNUMBER(SEARCH(IF(H$3&lt;&gt;"",H$3,"NA"),'MITRE ATT&amp;CK Mappings'!$J803))), 'MITRE ATT&amp;CK Mappings'!$B803,"")</f>
        <v/>
      </c>
      <c r="I807" s="27" t="str">
        <f>IF(OR(OR(OR(OR(OR(ISNUMBER(SEARCH(IF(I$1&lt;&gt;"",I$1,"NA"),'MITRE ATT&amp;CK Mappings'!$E803)),ISNUMBER(SEARCH(IF(I$1&lt;&gt;"",I$1,"NA"),'MITRE ATT&amp;CK Mappings'!$F803))),ISNUMBER(SEARCH(IF(I$2&lt;&gt;"",I$2,"NA"),'MITRE ATT&amp;CK Mappings'!$G803))),ISNUMBER(SEARCH(IF(I$2&lt;&gt;"",I$2,"NA"),'MITRE ATT&amp;CK Mappings'!$H803))),ISNUMBER(SEARCH(IF(I$3&lt;&gt;"",I$3,"NA"),'MITRE ATT&amp;CK Mappings'!$I803))),ISNUMBER(SEARCH(IF(I$3&lt;&gt;"",I$3,"NA"),'MITRE ATT&amp;CK Mappings'!$J803))), 'MITRE ATT&amp;CK Mappings'!$B803,"")</f>
        <v/>
      </c>
      <c r="J807" s="27" t="str">
        <f>IF(OR(OR(OR(OR(OR(ISNUMBER(SEARCH(IF(J$1&lt;&gt;"",J$1,"NA"),'MITRE ATT&amp;CK Mappings'!$E803)),ISNUMBER(SEARCH(IF(J$1&lt;&gt;"",J$1,"NA"),'MITRE ATT&amp;CK Mappings'!$F803))),ISNUMBER(SEARCH(IF(J$2&lt;&gt;"",J$2,"NA"),'MITRE ATT&amp;CK Mappings'!$G803))),ISNUMBER(SEARCH(IF(J$2&lt;&gt;"",J$2,"NA"),'MITRE ATT&amp;CK Mappings'!$H803))),ISNUMBER(SEARCH(IF(J$3&lt;&gt;"",J$3,"NA"),'MITRE ATT&amp;CK Mappings'!$I803))),ISNUMBER(SEARCH(IF(J$3&lt;&gt;"",J$3,"NA"),'MITRE ATT&amp;CK Mappings'!$J803))), 'MITRE ATT&amp;CK Mappings'!$B803,"")</f>
        <v/>
      </c>
      <c r="K807" s="27" t="str">
        <f>IF(OR(OR(OR(OR(OR(ISNUMBER(SEARCH(IF(K$1&lt;&gt;"",K$1,"NA"),'MITRE ATT&amp;CK Mappings'!$E803)),ISNUMBER(SEARCH(IF(K$1&lt;&gt;"",K$1,"NA"),'MITRE ATT&amp;CK Mappings'!$F803))),ISNUMBER(SEARCH(IF(K$2&lt;&gt;"",K$2,"NA"),'MITRE ATT&amp;CK Mappings'!$G803))),ISNUMBER(SEARCH(IF(K$2&lt;&gt;"",K$2,"NA"),'MITRE ATT&amp;CK Mappings'!$H803))),ISNUMBER(SEARCH(IF(K$3&lt;&gt;"",K$3,"NA"),'MITRE ATT&amp;CK Mappings'!$I803))),ISNUMBER(SEARCH(IF(K$3&lt;&gt;"",K$3,"NA"),'MITRE ATT&amp;CK Mappings'!$J803))), 'MITRE ATT&amp;CK Mappings'!$B803,"")</f>
        <v/>
      </c>
      <c r="L807" s="27" t="str">
        <f>IF('MITRE ATT&amp;CK Mappings'!D803 &lt;&gt;"",'MITRE ATT&amp;CK Mappings'!D803,"" )</f>
        <v/>
      </c>
    </row>
    <row r="808" spans="1:12" x14ac:dyDescent="0.25">
      <c r="A808" s="26" t="str">
        <f>IF(COUNTIF(B808:K808,"="&amp;'MITRE ATT&amp;CK Mappings'!B804)&gt;0,'MITRE ATT&amp;CK Mappings'!B804,"")</f>
        <v/>
      </c>
      <c r="B808" s="26" t="str">
        <f>IF(OR(OR(OR(OR(OR(ISNUMBER(SEARCH(IF(B$1&lt;&gt;"",B$1,"NA"),'MITRE ATT&amp;CK Mappings'!$E804)),ISNUMBER(SEARCH(IF(B$1&lt;&gt;"",B$1,"NA"),'MITRE ATT&amp;CK Mappings'!$F804))),ISNUMBER(SEARCH(IF(B$2&lt;&gt;"",B$2,"NA"),'MITRE ATT&amp;CK Mappings'!$G804))),ISNUMBER(SEARCH(IF(B$2&lt;&gt;"",B$2,"NA"),'MITRE ATT&amp;CK Mappings'!$H804))),ISNUMBER(SEARCH(IF(B$3&lt;&gt;"",B$3,"NA"),'MITRE ATT&amp;CK Mappings'!$I804))),ISNUMBER(SEARCH(IF(B$3&lt;&gt;"",B$3,"NA"),'MITRE ATT&amp;CK Mappings'!$J804))), 'MITRE ATT&amp;CK Mappings'!$B804,"")</f>
        <v/>
      </c>
      <c r="C808" s="26" t="str">
        <f>IF(OR(OR(OR(OR(OR(ISNUMBER(SEARCH(IF(C$1&lt;&gt;"",C$1,"NA"),'MITRE ATT&amp;CK Mappings'!$E804)),ISNUMBER(SEARCH(IF(C$1&lt;&gt;"",C$1,"NA"),'MITRE ATT&amp;CK Mappings'!$F804))),ISNUMBER(SEARCH(IF(C$2&lt;&gt;"",C$2,"NA"),'MITRE ATT&amp;CK Mappings'!$G804))),ISNUMBER(SEARCH(IF(C$2&lt;&gt;"",C$2,"NA"),'MITRE ATT&amp;CK Mappings'!$H804))),ISNUMBER(SEARCH(IF(C$3&lt;&gt;"",C$3,"NA"),'MITRE ATT&amp;CK Mappings'!$I804))),ISNUMBER(SEARCH(IF(C$3&lt;&gt;"",C$3,"NA"),'MITRE ATT&amp;CK Mappings'!$J804))), 'MITRE ATT&amp;CK Mappings'!$B804,"")</f>
        <v/>
      </c>
      <c r="D808" s="26" t="str">
        <f>IF(OR(OR(OR(OR(OR(ISNUMBER(SEARCH(IF(D$1&lt;&gt;"",D$1,"NA"),'MITRE ATT&amp;CK Mappings'!$E804)),ISNUMBER(SEARCH(IF(D$1&lt;&gt;"",D$1,"NA"),'MITRE ATT&amp;CK Mappings'!$F804))),ISNUMBER(SEARCH(IF(D$2&lt;&gt;"",D$2,"NA"),'MITRE ATT&amp;CK Mappings'!$G804))),ISNUMBER(SEARCH(IF(D$2&lt;&gt;"",D$2,"NA"),'MITRE ATT&amp;CK Mappings'!$H804))),ISNUMBER(SEARCH(IF(D$3&lt;&gt;"",D$3,"NA"),'MITRE ATT&amp;CK Mappings'!$I804))),ISNUMBER(SEARCH(IF(D$3&lt;&gt;"",D$3,"NA"),'MITRE ATT&amp;CK Mappings'!$J804))), 'MITRE ATT&amp;CK Mappings'!$B804,"")</f>
        <v/>
      </c>
      <c r="E808" s="26" t="str">
        <f>IF(OR(OR(OR(OR(OR(ISNUMBER(SEARCH(IF(E$1&lt;&gt;"",E$1,"NA"),'MITRE ATT&amp;CK Mappings'!$E804)),ISNUMBER(SEARCH(IF(E$1&lt;&gt;"",E$1,"NA"),'MITRE ATT&amp;CK Mappings'!$F804))),ISNUMBER(SEARCH(IF(E$2&lt;&gt;"",E$2,"NA"),'MITRE ATT&amp;CK Mappings'!$G804))),ISNUMBER(SEARCH(IF(E$2&lt;&gt;"",E$2,"NA"),'MITRE ATT&amp;CK Mappings'!$H804))),ISNUMBER(SEARCH(IF(E$3&lt;&gt;"",E$3,"NA"),'MITRE ATT&amp;CK Mappings'!$I804))),ISNUMBER(SEARCH(IF(E$3&lt;&gt;"",E$3,"NA"),'MITRE ATT&amp;CK Mappings'!$J804))), 'MITRE ATT&amp;CK Mappings'!$B804,"")</f>
        <v/>
      </c>
      <c r="F808" s="26" t="str">
        <f>IF(OR(OR(OR(OR(OR(ISNUMBER(SEARCH(IF(F$1&lt;&gt;"",F$1,"NA"),'MITRE ATT&amp;CK Mappings'!$E804)),ISNUMBER(SEARCH(IF(F$1&lt;&gt;"",F$1,"NA"),'MITRE ATT&amp;CK Mappings'!$F804))),ISNUMBER(SEARCH(IF(F$2&lt;&gt;"",F$2,"NA"),'MITRE ATT&amp;CK Mappings'!$G804))),ISNUMBER(SEARCH(IF(F$2&lt;&gt;"",F$2,"NA"),'MITRE ATT&amp;CK Mappings'!$H804))),ISNUMBER(SEARCH(IF(F$3&lt;&gt;"",F$3,"NA"),'MITRE ATT&amp;CK Mappings'!$I804))),ISNUMBER(SEARCH(IF(F$3&lt;&gt;"",F$3,"NA"),'MITRE ATT&amp;CK Mappings'!$J804))), 'MITRE ATT&amp;CK Mappings'!$B804,"")</f>
        <v/>
      </c>
      <c r="G808" s="26" t="str">
        <f>IF(OR(OR(OR(OR(OR(ISNUMBER(SEARCH(IF(G$1&lt;&gt;"",G$1,"NA"),'MITRE ATT&amp;CK Mappings'!$E804)),ISNUMBER(SEARCH(IF(G$1&lt;&gt;"",G$1,"NA"),'MITRE ATT&amp;CK Mappings'!$F804))),ISNUMBER(SEARCH(IF(G$2&lt;&gt;"",G$2,"NA"),'MITRE ATT&amp;CK Mappings'!$G804))),ISNUMBER(SEARCH(IF(G$2&lt;&gt;"",G$2,"NA"),'MITRE ATT&amp;CK Mappings'!$H804))),ISNUMBER(SEARCH(IF(G$3&lt;&gt;"",G$3,"NA"),'MITRE ATT&amp;CK Mappings'!$I804))),ISNUMBER(SEARCH(IF(G$3&lt;&gt;"",G$3,"NA"),'MITRE ATT&amp;CK Mappings'!$J804))), 'MITRE ATT&amp;CK Mappings'!$B804,"")</f>
        <v/>
      </c>
      <c r="H808" s="26" t="str">
        <f>IF(OR(OR(OR(OR(OR(ISNUMBER(SEARCH(IF(H$1&lt;&gt;"",H$1,"NA"),'MITRE ATT&amp;CK Mappings'!$E804)),ISNUMBER(SEARCH(IF(H$1&lt;&gt;"",H$1,"NA"),'MITRE ATT&amp;CK Mappings'!$F804))),ISNUMBER(SEARCH(IF(H$2&lt;&gt;"",H$2,"NA"),'MITRE ATT&amp;CK Mappings'!$G804))),ISNUMBER(SEARCH(IF(H$2&lt;&gt;"",H$2,"NA"),'MITRE ATT&amp;CK Mappings'!$H804))),ISNUMBER(SEARCH(IF(H$3&lt;&gt;"",H$3,"NA"),'MITRE ATT&amp;CK Mappings'!$I804))),ISNUMBER(SEARCH(IF(H$3&lt;&gt;"",H$3,"NA"),'MITRE ATT&amp;CK Mappings'!$J804))), 'MITRE ATT&amp;CK Mappings'!$B804,"")</f>
        <v/>
      </c>
      <c r="I808" s="26" t="str">
        <f>IF(OR(OR(OR(OR(OR(ISNUMBER(SEARCH(IF(I$1&lt;&gt;"",I$1,"NA"),'MITRE ATT&amp;CK Mappings'!$E804)),ISNUMBER(SEARCH(IF(I$1&lt;&gt;"",I$1,"NA"),'MITRE ATT&amp;CK Mappings'!$F804))),ISNUMBER(SEARCH(IF(I$2&lt;&gt;"",I$2,"NA"),'MITRE ATT&amp;CK Mappings'!$G804))),ISNUMBER(SEARCH(IF(I$2&lt;&gt;"",I$2,"NA"),'MITRE ATT&amp;CK Mappings'!$H804))),ISNUMBER(SEARCH(IF(I$3&lt;&gt;"",I$3,"NA"),'MITRE ATT&amp;CK Mappings'!$I804))),ISNUMBER(SEARCH(IF(I$3&lt;&gt;"",I$3,"NA"),'MITRE ATT&amp;CK Mappings'!$J804))), 'MITRE ATT&amp;CK Mappings'!$B804,"")</f>
        <v/>
      </c>
      <c r="J808" s="26" t="str">
        <f>IF(OR(OR(OR(OR(OR(ISNUMBER(SEARCH(IF(J$1&lt;&gt;"",J$1,"NA"),'MITRE ATT&amp;CK Mappings'!$E804)),ISNUMBER(SEARCH(IF(J$1&lt;&gt;"",J$1,"NA"),'MITRE ATT&amp;CK Mappings'!$F804))),ISNUMBER(SEARCH(IF(J$2&lt;&gt;"",J$2,"NA"),'MITRE ATT&amp;CK Mappings'!$G804))),ISNUMBER(SEARCH(IF(J$2&lt;&gt;"",J$2,"NA"),'MITRE ATT&amp;CK Mappings'!$H804))),ISNUMBER(SEARCH(IF(J$3&lt;&gt;"",J$3,"NA"),'MITRE ATT&amp;CK Mappings'!$I804))),ISNUMBER(SEARCH(IF(J$3&lt;&gt;"",J$3,"NA"),'MITRE ATT&amp;CK Mappings'!$J804))), 'MITRE ATT&amp;CK Mappings'!$B804,"")</f>
        <v/>
      </c>
      <c r="K808" s="26" t="str">
        <f>IF(OR(OR(OR(OR(OR(ISNUMBER(SEARCH(IF(K$1&lt;&gt;"",K$1,"NA"),'MITRE ATT&amp;CK Mappings'!$E804)),ISNUMBER(SEARCH(IF(K$1&lt;&gt;"",K$1,"NA"),'MITRE ATT&amp;CK Mappings'!$F804))),ISNUMBER(SEARCH(IF(K$2&lt;&gt;"",K$2,"NA"),'MITRE ATT&amp;CK Mappings'!$G804))),ISNUMBER(SEARCH(IF(K$2&lt;&gt;"",K$2,"NA"),'MITRE ATT&amp;CK Mappings'!$H804))),ISNUMBER(SEARCH(IF(K$3&lt;&gt;"",K$3,"NA"),'MITRE ATT&amp;CK Mappings'!$I804))),ISNUMBER(SEARCH(IF(K$3&lt;&gt;"",K$3,"NA"),'MITRE ATT&amp;CK Mappings'!$J804))), 'MITRE ATT&amp;CK Mappings'!$B804,"")</f>
        <v/>
      </c>
      <c r="L808" s="26" t="str">
        <f>IF('MITRE ATT&amp;CK Mappings'!D804 &lt;&gt;"",'MITRE ATT&amp;CK Mappings'!D804,"" )</f>
        <v/>
      </c>
    </row>
    <row r="809" spans="1:12" x14ac:dyDescent="0.25">
      <c r="A809" s="27" t="str">
        <f>IF(COUNTIF(B809:K809,"="&amp;'MITRE ATT&amp;CK Mappings'!B805)&gt;0,'MITRE ATT&amp;CK Mappings'!B805,"")</f>
        <v/>
      </c>
      <c r="B809" s="27" t="str">
        <f>IF(OR(OR(OR(OR(OR(ISNUMBER(SEARCH(IF(B$1&lt;&gt;"",B$1,"NA"),'MITRE ATT&amp;CK Mappings'!$E805)),ISNUMBER(SEARCH(IF(B$1&lt;&gt;"",B$1,"NA"),'MITRE ATT&amp;CK Mappings'!$F805))),ISNUMBER(SEARCH(IF(B$2&lt;&gt;"",B$2,"NA"),'MITRE ATT&amp;CK Mappings'!$G805))),ISNUMBER(SEARCH(IF(B$2&lt;&gt;"",B$2,"NA"),'MITRE ATT&amp;CK Mappings'!$H805))),ISNUMBER(SEARCH(IF(B$3&lt;&gt;"",B$3,"NA"),'MITRE ATT&amp;CK Mappings'!$I805))),ISNUMBER(SEARCH(IF(B$3&lt;&gt;"",B$3,"NA"),'MITRE ATT&amp;CK Mappings'!$J805))), 'MITRE ATT&amp;CK Mappings'!$B805,"")</f>
        <v/>
      </c>
      <c r="C809" s="27" t="str">
        <f>IF(OR(OR(OR(OR(OR(ISNUMBER(SEARCH(IF(C$1&lt;&gt;"",C$1,"NA"),'MITRE ATT&amp;CK Mappings'!$E805)),ISNUMBER(SEARCH(IF(C$1&lt;&gt;"",C$1,"NA"),'MITRE ATT&amp;CK Mappings'!$F805))),ISNUMBER(SEARCH(IF(C$2&lt;&gt;"",C$2,"NA"),'MITRE ATT&amp;CK Mappings'!$G805))),ISNUMBER(SEARCH(IF(C$2&lt;&gt;"",C$2,"NA"),'MITRE ATT&amp;CK Mappings'!$H805))),ISNUMBER(SEARCH(IF(C$3&lt;&gt;"",C$3,"NA"),'MITRE ATT&amp;CK Mappings'!$I805))),ISNUMBER(SEARCH(IF(C$3&lt;&gt;"",C$3,"NA"),'MITRE ATT&amp;CK Mappings'!$J805))), 'MITRE ATT&amp;CK Mappings'!$B805,"")</f>
        <v/>
      </c>
      <c r="D809" s="27" t="str">
        <f>IF(OR(OR(OR(OR(OR(ISNUMBER(SEARCH(IF(D$1&lt;&gt;"",D$1,"NA"),'MITRE ATT&amp;CK Mappings'!$E805)),ISNUMBER(SEARCH(IF(D$1&lt;&gt;"",D$1,"NA"),'MITRE ATT&amp;CK Mappings'!$F805))),ISNUMBER(SEARCH(IF(D$2&lt;&gt;"",D$2,"NA"),'MITRE ATT&amp;CK Mappings'!$G805))),ISNUMBER(SEARCH(IF(D$2&lt;&gt;"",D$2,"NA"),'MITRE ATT&amp;CK Mappings'!$H805))),ISNUMBER(SEARCH(IF(D$3&lt;&gt;"",D$3,"NA"),'MITRE ATT&amp;CK Mappings'!$I805))),ISNUMBER(SEARCH(IF(D$3&lt;&gt;"",D$3,"NA"),'MITRE ATT&amp;CK Mappings'!$J805))), 'MITRE ATT&amp;CK Mappings'!$B805,"")</f>
        <v/>
      </c>
      <c r="E809" s="27" t="str">
        <f>IF(OR(OR(OR(OR(OR(ISNUMBER(SEARCH(IF(E$1&lt;&gt;"",E$1,"NA"),'MITRE ATT&amp;CK Mappings'!$E805)),ISNUMBER(SEARCH(IF(E$1&lt;&gt;"",E$1,"NA"),'MITRE ATT&amp;CK Mappings'!$F805))),ISNUMBER(SEARCH(IF(E$2&lt;&gt;"",E$2,"NA"),'MITRE ATT&amp;CK Mappings'!$G805))),ISNUMBER(SEARCH(IF(E$2&lt;&gt;"",E$2,"NA"),'MITRE ATT&amp;CK Mappings'!$H805))),ISNUMBER(SEARCH(IF(E$3&lt;&gt;"",E$3,"NA"),'MITRE ATT&amp;CK Mappings'!$I805))),ISNUMBER(SEARCH(IF(E$3&lt;&gt;"",E$3,"NA"),'MITRE ATT&amp;CK Mappings'!$J805))), 'MITRE ATT&amp;CK Mappings'!$B805,"")</f>
        <v/>
      </c>
      <c r="F809" s="27" t="str">
        <f>IF(OR(OR(OR(OR(OR(ISNUMBER(SEARCH(IF(F$1&lt;&gt;"",F$1,"NA"),'MITRE ATT&amp;CK Mappings'!$E805)),ISNUMBER(SEARCH(IF(F$1&lt;&gt;"",F$1,"NA"),'MITRE ATT&amp;CK Mappings'!$F805))),ISNUMBER(SEARCH(IF(F$2&lt;&gt;"",F$2,"NA"),'MITRE ATT&amp;CK Mappings'!$G805))),ISNUMBER(SEARCH(IF(F$2&lt;&gt;"",F$2,"NA"),'MITRE ATT&amp;CK Mappings'!$H805))),ISNUMBER(SEARCH(IF(F$3&lt;&gt;"",F$3,"NA"),'MITRE ATT&amp;CK Mappings'!$I805))),ISNUMBER(SEARCH(IF(F$3&lt;&gt;"",F$3,"NA"),'MITRE ATT&amp;CK Mappings'!$J805))), 'MITRE ATT&amp;CK Mappings'!$B805,"")</f>
        <v/>
      </c>
      <c r="G809" s="27" t="str">
        <f>IF(OR(OR(OR(OR(OR(ISNUMBER(SEARCH(IF(G$1&lt;&gt;"",G$1,"NA"),'MITRE ATT&amp;CK Mappings'!$E805)),ISNUMBER(SEARCH(IF(G$1&lt;&gt;"",G$1,"NA"),'MITRE ATT&amp;CK Mappings'!$F805))),ISNUMBER(SEARCH(IF(G$2&lt;&gt;"",G$2,"NA"),'MITRE ATT&amp;CK Mappings'!$G805))),ISNUMBER(SEARCH(IF(G$2&lt;&gt;"",G$2,"NA"),'MITRE ATT&amp;CK Mappings'!$H805))),ISNUMBER(SEARCH(IF(G$3&lt;&gt;"",G$3,"NA"),'MITRE ATT&amp;CK Mappings'!$I805))),ISNUMBER(SEARCH(IF(G$3&lt;&gt;"",G$3,"NA"),'MITRE ATT&amp;CK Mappings'!$J805))), 'MITRE ATT&amp;CK Mappings'!$B805,"")</f>
        <v/>
      </c>
      <c r="H809" s="27" t="str">
        <f>IF(OR(OR(OR(OR(OR(ISNUMBER(SEARCH(IF(H$1&lt;&gt;"",H$1,"NA"),'MITRE ATT&amp;CK Mappings'!$E805)),ISNUMBER(SEARCH(IF(H$1&lt;&gt;"",H$1,"NA"),'MITRE ATT&amp;CK Mappings'!$F805))),ISNUMBER(SEARCH(IF(H$2&lt;&gt;"",H$2,"NA"),'MITRE ATT&amp;CK Mappings'!$G805))),ISNUMBER(SEARCH(IF(H$2&lt;&gt;"",H$2,"NA"),'MITRE ATT&amp;CK Mappings'!$H805))),ISNUMBER(SEARCH(IF(H$3&lt;&gt;"",H$3,"NA"),'MITRE ATT&amp;CK Mappings'!$I805))),ISNUMBER(SEARCH(IF(H$3&lt;&gt;"",H$3,"NA"),'MITRE ATT&amp;CK Mappings'!$J805))), 'MITRE ATT&amp;CK Mappings'!$B805,"")</f>
        <v/>
      </c>
      <c r="I809" s="27" t="str">
        <f>IF(OR(OR(OR(OR(OR(ISNUMBER(SEARCH(IF(I$1&lt;&gt;"",I$1,"NA"),'MITRE ATT&amp;CK Mappings'!$E805)),ISNUMBER(SEARCH(IF(I$1&lt;&gt;"",I$1,"NA"),'MITRE ATT&amp;CK Mappings'!$F805))),ISNUMBER(SEARCH(IF(I$2&lt;&gt;"",I$2,"NA"),'MITRE ATT&amp;CK Mappings'!$G805))),ISNUMBER(SEARCH(IF(I$2&lt;&gt;"",I$2,"NA"),'MITRE ATT&amp;CK Mappings'!$H805))),ISNUMBER(SEARCH(IF(I$3&lt;&gt;"",I$3,"NA"),'MITRE ATT&amp;CK Mappings'!$I805))),ISNUMBER(SEARCH(IF(I$3&lt;&gt;"",I$3,"NA"),'MITRE ATT&amp;CK Mappings'!$J805))), 'MITRE ATT&amp;CK Mappings'!$B805,"")</f>
        <v/>
      </c>
      <c r="J809" s="27" t="str">
        <f>IF(OR(OR(OR(OR(OR(ISNUMBER(SEARCH(IF(J$1&lt;&gt;"",J$1,"NA"),'MITRE ATT&amp;CK Mappings'!$E805)),ISNUMBER(SEARCH(IF(J$1&lt;&gt;"",J$1,"NA"),'MITRE ATT&amp;CK Mappings'!$F805))),ISNUMBER(SEARCH(IF(J$2&lt;&gt;"",J$2,"NA"),'MITRE ATT&amp;CK Mappings'!$G805))),ISNUMBER(SEARCH(IF(J$2&lt;&gt;"",J$2,"NA"),'MITRE ATT&amp;CK Mappings'!$H805))),ISNUMBER(SEARCH(IF(J$3&lt;&gt;"",J$3,"NA"),'MITRE ATT&amp;CK Mappings'!$I805))),ISNUMBER(SEARCH(IF(J$3&lt;&gt;"",J$3,"NA"),'MITRE ATT&amp;CK Mappings'!$J805))), 'MITRE ATT&amp;CK Mappings'!$B805,"")</f>
        <v/>
      </c>
      <c r="K809" s="27" t="str">
        <f>IF(OR(OR(OR(OR(OR(ISNUMBER(SEARCH(IF(K$1&lt;&gt;"",K$1,"NA"),'MITRE ATT&amp;CK Mappings'!$E805)),ISNUMBER(SEARCH(IF(K$1&lt;&gt;"",K$1,"NA"),'MITRE ATT&amp;CK Mappings'!$F805))),ISNUMBER(SEARCH(IF(K$2&lt;&gt;"",K$2,"NA"),'MITRE ATT&amp;CK Mappings'!$G805))),ISNUMBER(SEARCH(IF(K$2&lt;&gt;"",K$2,"NA"),'MITRE ATT&amp;CK Mappings'!$H805))),ISNUMBER(SEARCH(IF(K$3&lt;&gt;"",K$3,"NA"),'MITRE ATT&amp;CK Mappings'!$I805))),ISNUMBER(SEARCH(IF(K$3&lt;&gt;"",K$3,"NA"),'MITRE ATT&amp;CK Mappings'!$J805))), 'MITRE ATT&amp;CK Mappings'!$B805,"")</f>
        <v/>
      </c>
      <c r="L809" s="27" t="str">
        <f>IF('MITRE ATT&amp;CK Mappings'!D805 &lt;&gt;"",'MITRE ATT&amp;CK Mappings'!D805,"" )</f>
        <v/>
      </c>
    </row>
    <row r="810" spans="1:12" x14ac:dyDescent="0.25">
      <c r="A810" s="26" t="str">
        <f>IF(COUNTIF(B810:K810,"="&amp;'MITRE ATT&amp;CK Mappings'!B806)&gt;0,'MITRE ATT&amp;CK Mappings'!B806,"")</f>
        <v/>
      </c>
      <c r="B810" s="26" t="str">
        <f>IF(OR(OR(OR(OR(OR(ISNUMBER(SEARCH(IF(B$1&lt;&gt;"",B$1,"NA"),'MITRE ATT&amp;CK Mappings'!$E806)),ISNUMBER(SEARCH(IF(B$1&lt;&gt;"",B$1,"NA"),'MITRE ATT&amp;CK Mappings'!$F806))),ISNUMBER(SEARCH(IF(B$2&lt;&gt;"",B$2,"NA"),'MITRE ATT&amp;CK Mappings'!$G806))),ISNUMBER(SEARCH(IF(B$2&lt;&gt;"",B$2,"NA"),'MITRE ATT&amp;CK Mappings'!$H806))),ISNUMBER(SEARCH(IF(B$3&lt;&gt;"",B$3,"NA"),'MITRE ATT&amp;CK Mappings'!$I806))),ISNUMBER(SEARCH(IF(B$3&lt;&gt;"",B$3,"NA"),'MITRE ATT&amp;CK Mappings'!$J806))), 'MITRE ATT&amp;CK Mappings'!$B806,"")</f>
        <v/>
      </c>
      <c r="C810" s="26" t="str">
        <f>IF(OR(OR(OR(OR(OR(ISNUMBER(SEARCH(IF(C$1&lt;&gt;"",C$1,"NA"),'MITRE ATT&amp;CK Mappings'!$E806)),ISNUMBER(SEARCH(IF(C$1&lt;&gt;"",C$1,"NA"),'MITRE ATT&amp;CK Mappings'!$F806))),ISNUMBER(SEARCH(IF(C$2&lt;&gt;"",C$2,"NA"),'MITRE ATT&amp;CK Mappings'!$G806))),ISNUMBER(SEARCH(IF(C$2&lt;&gt;"",C$2,"NA"),'MITRE ATT&amp;CK Mappings'!$H806))),ISNUMBER(SEARCH(IF(C$3&lt;&gt;"",C$3,"NA"),'MITRE ATT&amp;CK Mappings'!$I806))),ISNUMBER(SEARCH(IF(C$3&lt;&gt;"",C$3,"NA"),'MITRE ATT&amp;CK Mappings'!$J806))), 'MITRE ATT&amp;CK Mappings'!$B806,"")</f>
        <v/>
      </c>
      <c r="D810" s="26" t="str">
        <f>IF(OR(OR(OR(OR(OR(ISNUMBER(SEARCH(IF(D$1&lt;&gt;"",D$1,"NA"),'MITRE ATT&amp;CK Mappings'!$E806)),ISNUMBER(SEARCH(IF(D$1&lt;&gt;"",D$1,"NA"),'MITRE ATT&amp;CK Mappings'!$F806))),ISNUMBER(SEARCH(IF(D$2&lt;&gt;"",D$2,"NA"),'MITRE ATT&amp;CK Mappings'!$G806))),ISNUMBER(SEARCH(IF(D$2&lt;&gt;"",D$2,"NA"),'MITRE ATT&amp;CK Mappings'!$H806))),ISNUMBER(SEARCH(IF(D$3&lt;&gt;"",D$3,"NA"),'MITRE ATT&amp;CK Mappings'!$I806))),ISNUMBER(SEARCH(IF(D$3&lt;&gt;"",D$3,"NA"),'MITRE ATT&amp;CK Mappings'!$J806))), 'MITRE ATT&amp;CK Mappings'!$B806,"")</f>
        <v/>
      </c>
      <c r="E810" s="26" t="str">
        <f>IF(OR(OR(OR(OR(OR(ISNUMBER(SEARCH(IF(E$1&lt;&gt;"",E$1,"NA"),'MITRE ATT&amp;CK Mappings'!$E806)),ISNUMBER(SEARCH(IF(E$1&lt;&gt;"",E$1,"NA"),'MITRE ATT&amp;CK Mappings'!$F806))),ISNUMBER(SEARCH(IF(E$2&lt;&gt;"",E$2,"NA"),'MITRE ATT&amp;CK Mappings'!$G806))),ISNUMBER(SEARCH(IF(E$2&lt;&gt;"",E$2,"NA"),'MITRE ATT&amp;CK Mappings'!$H806))),ISNUMBER(SEARCH(IF(E$3&lt;&gt;"",E$3,"NA"),'MITRE ATT&amp;CK Mappings'!$I806))),ISNUMBER(SEARCH(IF(E$3&lt;&gt;"",E$3,"NA"),'MITRE ATT&amp;CK Mappings'!$J806))), 'MITRE ATT&amp;CK Mappings'!$B806,"")</f>
        <v/>
      </c>
      <c r="F810" s="26" t="str">
        <f>IF(OR(OR(OR(OR(OR(ISNUMBER(SEARCH(IF(F$1&lt;&gt;"",F$1,"NA"),'MITRE ATT&amp;CK Mappings'!$E806)),ISNUMBER(SEARCH(IF(F$1&lt;&gt;"",F$1,"NA"),'MITRE ATT&amp;CK Mappings'!$F806))),ISNUMBER(SEARCH(IF(F$2&lt;&gt;"",F$2,"NA"),'MITRE ATT&amp;CK Mappings'!$G806))),ISNUMBER(SEARCH(IF(F$2&lt;&gt;"",F$2,"NA"),'MITRE ATT&amp;CK Mappings'!$H806))),ISNUMBER(SEARCH(IF(F$3&lt;&gt;"",F$3,"NA"),'MITRE ATT&amp;CK Mappings'!$I806))),ISNUMBER(SEARCH(IF(F$3&lt;&gt;"",F$3,"NA"),'MITRE ATT&amp;CK Mappings'!$J806))), 'MITRE ATT&amp;CK Mappings'!$B806,"")</f>
        <v/>
      </c>
      <c r="G810" s="26" t="str">
        <f>IF(OR(OR(OR(OR(OR(ISNUMBER(SEARCH(IF(G$1&lt;&gt;"",G$1,"NA"),'MITRE ATT&amp;CK Mappings'!$E806)),ISNUMBER(SEARCH(IF(G$1&lt;&gt;"",G$1,"NA"),'MITRE ATT&amp;CK Mappings'!$F806))),ISNUMBER(SEARCH(IF(G$2&lt;&gt;"",G$2,"NA"),'MITRE ATT&amp;CK Mappings'!$G806))),ISNUMBER(SEARCH(IF(G$2&lt;&gt;"",G$2,"NA"),'MITRE ATT&amp;CK Mappings'!$H806))),ISNUMBER(SEARCH(IF(G$3&lt;&gt;"",G$3,"NA"),'MITRE ATT&amp;CK Mappings'!$I806))),ISNUMBER(SEARCH(IF(G$3&lt;&gt;"",G$3,"NA"),'MITRE ATT&amp;CK Mappings'!$J806))), 'MITRE ATT&amp;CK Mappings'!$B806,"")</f>
        <v/>
      </c>
      <c r="H810" s="26" t="str">
        <f>IF(OR(OR(OR(OR(OR(ISNUMBER(SEARCH(IF(H$1&lt;&gt;"",H$1,"NA"),'MITRE ATT&amp;CK Mappings'!$E806)),ISNUMBER(SEARCH(IF(H$1&lt;&gt;"",H$1,"NA"),'MITRE ATT&amp;CK Mappings'!$F806))),ISNUMBER(SEARCH(IF(H$2&lt;&gt;"",H$2,"NA"),'MITRE ATT&amp;CK Mappings'!$G806))),ISNUMBER(SEARCH(IF(H$2&lt;&gt;"",H$2,"NA"),'MITRE ATT&amp;CK Mappings'!$H806))),ISNUMBER(SEARCH(IF(H$3&lt;&gt;"",H$3,"NA"),'MITRE ATT&amp;CK Mappings'!$I806))),ISNUMBER(SEARCH(IF(H$3&lt;&gt;"",H$3,"NA"),'MITRE ATT&amp;CK Mappings'!$J806))), 'MITRE ATT&amp;CK Mappings'!$B806,"")</f>
        <v/>
      </c>
      <c r="I810" s="26" t="str">
        <f>IF(OR(OR(OR(OR(OR(ISNUMBER(SEARCH(IF(I$1&lt;&gt;"",I$1,"NA"),'MITRE ATT&amp;CK Mappings'!$E806)),ISNUMBER(SEARCH(IF(I$1&lt;&gt;"",I$1,"NA"),'MITRE ATT&amp;CK Mappings'!$F806))),ISNUMBER(SEARCH(IF(I$2&lt;&gt;"",I$2,"NA"),'MITRE ATT&amp;CK Mappings'!$G806))),ISNUMBER(SEARCH(IF(I$2&lt;&gt;"",I$2,"NA"),'MITRE ATT&amp;CK Mappings'!$H806))),ISNUMBER(SEARCH(IF(I$3&lt;&gt;"",I$3,"NA"),'MITRE ATT&amp;CK Mappings'!$I806))),ISNUMBER(SEARCH(IF(I$3&lt;&gt;"",I$3,"NA"),'MITRE ATT&amp;CK Mappings'!$J806))), 'MITRE ATT&amp;CK Mappings'!$B806,"")</f>
        <v/>
      </c>
      <c r="J810" s="26" t="str">
        <f>IF(OR(OR(OR(OR(OR(ISNUMBER(SEARCH(IF(J$1&lt;&gt;"",J$1,"NA"),'MITRE ATT&amp;CK Mappings'!$E806)),ISNUMBER(SEARCH(IF(J$1&lt;&gt;"",J$1,"NA"),'MITRE ATT&amp;CK Mappings'!$F806))),ISNUMBER(SEARCH(IF(J$2&lt;&gt;"",J$2,"NA"),'MITRE ATT&amp;CK Mappings'!$G806))),ISNUMBER(SEARCH(IF(J$2&lt;&gt;"",J$2,"NA"),'MITRE ATT&amp;CK Mappings'!$H806))),ISNUMBER(SEARCH(IF(J$3&lt;&gt;"",J$3,"NA"),'MITRE ATT&amp;CK Mappings'!$I806))),ISNUMBER(SEARCH(IF(J$3&lt;&gt;"",J$3,"NA"),'MITRE ATT&amp;CK Mappings'!$J806))), 'MITRE ATT&amp;CK Mappings'!$B806,"")</f>
        <v/>
      </c>
      <c r="K810" s="26" t="str">
        <f>IF(OR(OR(OR(OR(OR(ISNUMBER(SEARCH(IF(K$1&lt;&gt;"",K$1,"NA"),'MITRE ATT&amp;CK Mappings'!$E806)),ISNUMBER(SEARCH(IF(K$1&lt;&gt;"",K$1,"NA"),'MITRE ATT&amp;CK Mappings'!$F806))),ISNUMBER(SEARCH(IF(K$2&lt;&gt;"",K$2,"NA"),'MITRE ATT&amp;CK Mappings'!$G806))),ISNUMBER(SEARCH(IF(K$2&lt;&gt;"",K$2,"NA"),'MITRE ATT&amp;CK Mappings'!$H806))),ISNUMBER(SEARCH(IF(K$3&lt;&gt;"",K$3,"NA"),'MITRE ATT&amp;CK Mappings'!$I806))),ISNUMBER(SEARCH(IF(K$3&lt;&gt;"",K$3,"NA"),'MITRE ATT&amp;CK Mappings'!$J806))), 'MITRE ATT&amp;CK Mappings'!$B806,"")</f>
        <v/>
      </c>
      <c r="L810" s="26" t="str">
        <f>IF('MITRE ATT&amp;CK Mappings'!D806 &lt;&gt;"",'MITRE ATT&amp;CK Mappings'!D806,"" )</f>
        <v/>
      </c>
    </row>
    <row r="811" spans="1:12" x14ac:dyDescent="0.25">
      <c r="A811" s="27" t="str">
        <f>IF(COUNTIF(B811:K811,"="&amp;'MITRE ATT&amp;CK Mappings'!B807)&gt;0,'MITRE ATT&amp;CK Mappings'!B807,"")</f>
        <v/>
      </c>
      <c r="B811" s="27" t="str">
        <f>IF(OR(OR(OR(OR(OR(ISNUMBER(SEARCH(IF(B$1&lt;&gt;"",B$1,"NA"),'MITRE ATT&amp;CK Mappings'!$E807)),ISNUMBER(SEARCH(IF(B$1&lt;&gt;"",B$1,"NA"),'MITRE ATT&amp;CK Mappings'!$F807))),ISNUMBER(SEARCH(IF(B$2&lt;&gt;"",B$2,"NA"),'MITRE ATT&amp;CK Mappings'!$G807))),ISNUMBER(SEARCH(IF(B$2&lt;&gt;"",B$2,"NA"),'MITRE ATT&amp;CK Mappings'!$H807))),ISNUMBER(SEARCH(IF(B$3&lt;&gt;"",B$3,"NA"),'MITRE ATT&amp;CK Mappings'!$I807))),ISNUMBER(SEARCH(IF(B$3&lt;&gt;"",B$3,"NA"),'MITRE ATT&amp;CK Mappings'!$J807))), 'MITRE ATT&amp;CK Mappings'!$B807,"")</f>
        <v/>
      </c>
      <c r="C811" s="27" t="str">
        <f>IF(OR(OR(OR(OR(OR(ISNUMBER(SEARCH(IF(C$1&lt;&gt;"",C$1,"NA"),'MITRE ATT&amp;CK Mappings'!$E807)),ISNUMBER(SEARCH(IF(C$1&lt;&gt;"",C$1,"NA"),'MITRE ATT&amp;CK Mappings'!$F807))),ISNUMBER(SEARCH(IF(C$2&lt;&gt;"",C$2,"NA"),'MITRE ATT&amp;CK Mappings'!$G807))),ISNUMBER(SEARCH(IF(C$2&lt;&gt;"",C$2,"NA"),'MITRE ATT&amp;CK Mappings'!$H807))),ISNUMBER(SEARCH(IF(C$3&lt;&gt;"",C$3,"NA"),'MITRE ATT&amp;CK Mappings'!$I807))),ISNUMBER(SEARCH(IF(C$3&lt;&gt;"",C$3,"NA"),'MITRE ATT&amp;CK Mappings'!$J807))), 'MITRE ATT&amp;CK Mappings'!$B807,"")</f>
        <v/>
      </c>
      <c r="D811" s="27" t="str">
        <f>IF(OR(OR(OR(OR(OR(ISNUMBER(SEARCH(IF(D$1&lt;&gt;"",D$1,"NA"),'MITRE ATT&amp;CK Mappings'!$E807)),ISNUMBER(SEARCH(IF(D$1&lt;&gt;"",D$1,"NA"),'MITRE ATT&amp;CK Mappings'!$F807))),ISNUMBER(SEARCH(IF(D$2&lt;&gt;"",D$2,"NA"),'MITRE ATT&amp;CK Mappings'!$G807))),ISNUMBER(SEARCH(IF(D$2&lt;&gt;"",D$2,"NA"),'MITRE ATT&amp;CK Mappings'!$H807))),ISNUMBER(SEARCH(IF(D$3&lt;&gt;"",D$3,"NA"),'MITRE ATT&amp;CK Mappings'!$I807))),ISNUMBER(SEARCH(IF(D$3&lt;&gt;"",D$3,"NA"),'MITRE ATT&amp;CK Mappings'!$J807))), 'MITRE ATT&amp;CK Mappings'!$B807,"")</f>
        <v/>
      </c>
      <c r="E811" s="27" t="str">
        <f>IF(OR(OR(OR(OR(OR(ISNUMBER(SEARCH(IF(E$1&lt;&gt;"",E$1,"NA"),'MITRE ATT&amp;CK Mappings'!$E807)),ISNUMBER(SEARCH(IF(E$1&lt;&gt;"",E$1,"NA"),'MITRE ATT&amp;CK Mappings'!$F807))),ISNUMBER(SEARCH(IF(E$2&lt;&gt;"",E$2,"NA"),'MITRE ATT&amp;CK Mappings'!$G807))),ISNUMBER(SEARCH(IF(E$2&lt;&gt;"",E$2,"NA"),'MITRE ATT&amp;CK Mappings'!$H807))),ISNUMBER(SEARCH(IF(E$3&lt;&gt;"",E$3,"NA"),'MITRE ATT&amp;CK Mappings'!$I807))),ISNUMBER(SEARCH(IF(E$3&lt;&gt;"",E$3,"NA"),'MITRE ATT&amp;CK Mappings'!$J807))), 'MITRE ATT&amp;CK Mappings'!$B807,"")</f>
        <v/>
      </c>
      <c r="F811" s="27" t="str">
        <f>IF(OR(OR(OR(OR(OR(ISNUMBER(SEARCH(IF(F$1&lt;&gt;"",F$1,"NA"),'MITRE ATT&amp;CK Mappings'!$E807)),ISNUMBER(SEARCH(IF(F$1&lt;&gt;"",F$1,"NA"),'MITRE ATT&amp;CK Mappings'!$F807))),ISNUMBER(SEARCH(IF(F$2&lt;&gt;"",F$2,"NA"),'MITRE ATT&amp;CK Mappings'!$G807))),ISNUMBER(SEARCH(IF(F$2&lt;&gt;"",F$2,"NA"),'MITRE ATT&amp;CK Mappings'!$H807))),ISNUMBER(SEARCH(IF(F$3&lt;&gt;"",F$3,"NA"),'MITRE ATT&amp;CK Mappings'!$I807))),ISNUMBER(SEARCH(IF(F$3&lt;&gt;"",F$3,"NA"),'MITRE ATT&amp;CK Mappings'!$J807))), 'MITRE ATT&amp;CK Mappings'!$B807,"")</f>
        <v/>
      </c>
      <c r="G811" s="27" t="str">
        <f>IF(OR(OR(OR(OR(OR(ISNUMBER(SEARCH(IF(G$1&lt;&gt;"",G$1,"NA"),'MITRE ATT&amp;CK Mappings'!$E807)),ISNUMBER(SEARCH(IF(G$1&lt;&gt;"",G$1,"NA"),'MITRE ATT&amp;CK Mappings'!$F807))),ISNUMBER(SEARCH(IF(G$2&lt;&gt;"",G$2,"NA"),'MITRE ATT&amp;CK Mappings'!$G807))),ISNUMBER(SEARCH(IF(G$2&lt;&gt;"",G$2,"NA"),'MITRE ATT&amp;CK Mappings'!$H807))),ISNUMBER(SEARCH(IF(G$3&lt;&gt;"",G$3,"NA"),'MITRE ATT&amp;CK Mappings'!$I807))),ISNUMBER(SEARCH(IF(G$3&lt;&gt;"",G$3,"NA"),'MITRE ATT&amp;CK Mappings'!$J807))), 'MITRE ATT&amp;CK Mappings'!$B807,"")</f>
        <v/>
      </c>
      <c r="H811" s="27" t="str">
        <f>IF(OR(OR(OR(OR(OR(ISNUMBER(SEARCH(IF(H$1&lt;&gt;"",H$1,"NA"),'MITRE ATT&amp;CK Mappings'!$E807)),ISNUMBER(SEARCH(IF(H$1&lt;&gt;"",H$1,"NA"),'MITRE ATT&amp;CK Mappings'!$F807))),ISNUMBER(SEARCH(IF(H$2&lt;&gt;"",H$2,"NA"),'MITRE ATT&amp;CK Mappings'!$G807))),ISNUMBER(SEARCH(IF(H$2&lt;&gt;"",H$2,"NA"),'MITRE ATT&amp;CK Mappings'!$H807))),ISNUMBER(SEARCH(IF(H$3&lt;&gt;"",H$3,"NA"),'MITRE ATT&amp;CK Mappings'!$I807))),ISNUMBER(SEARCH(IF(H$3&lt;&gt;"",H$3,"NA"),'MITRE ATT&amp;CK Mappings'!$J807))), 'MITRE ATT&amp;CK Mappings'!$B807,"")</f>
        <v/>
      </c>
      <c r="I811" s="27" t="str">
        <f>IF(OR(OR(OR(OR(OR(ISNUMBER(SEARCH(IF(I$1&lt;&gt;"",I$1,"NA"),'MITRE ATT&amp;CK Mappings'!$E807)),ISNUMBER(SEARCH(IF(I$1&lt;&gt;"",I$1,"NA"),'MITRE ATT&amp;CK Mappings'!$F807))),ISNUMBER(SEARCH(IF(I$2&lt;&gt;"",I$2,"NA"),'MITRE ATT&amp;CK Mappings'!$G807))),ISNUMBER(SEARCH(IF(I$2&lt;&gt;"",I$2,"NA"),'MITRE ATT&amp;CK Mappings'!$H807))),ISNUMBER(SEARCH(IF(I$3&lt;&gt;"",I$3,"NA"),'MITRE ATT&amp;CK Mappings'!$I807))),ISNUMBER(SEARCH(IF(I$3&lt;&gt;"",I$3,"NA"),'MITRE ATT&amp;CK Mappings'!$J807))), 'MITRE ATT&amp;CK Mappings'!$B807,"")</f>
        <v/>
      </c>
      <c r="J811" s="27" t="str">
        <f>IF(OR(OR(OR(OR(OR(ISNUMBER(SEARCH(IF(J$1&lt;&gt;"",J$1,"NA"),'MITRE ATT&amp;CK Mappings'!$E807)),ISNUMBER(SEARCH(IF(J$1&lt;&gt;"",J$1,"NA"),'MITRE ATT&amp;CK Mappings'!$F807))),ISNUMBER(SEARCH(IF(J$2&lt;&gt;"",J$2,"NA"),'MITRE ATT&amp;CK Mappings'!$G807))),ISNUMBER(SEARCH(IF(J$2&lt;&gt;"",J$2,"NA"),'MITRE ATT&amp;CK Mappings'!$H807))),ISNUMBER(SEARCH(IF(J$3&lt;&gt;"",J$3,"NA"),'MITRE ATT&amp;CK Mappings'!$I807))),ISNUMBER(SEARCH(IF(J$3&lt;&gt;"",J$3,"NA"),'MITRE ATT&amp;CK Mappings'!$J807))), 'MITRE ATT&amp;CK Mappings'!$B807,"")</f>
        <v/>
      </c>
      <c r="K811" s="27" t="str">
        <f>IF(OR(OR(OR(OR(OR(ISNUMBER(SEARCH(IF(K$1&lt;&gt;"",K$1,"NA"),'MITRE ATT&amp;CK Mappings'!$E807)),ISNUMBER(SEARCH(IF(K$1&lt;&gt;"",K$1,"NA"),'MITRE ATT&amp;CK Mappings'!$F807))),ISNUMBER(SEARCH(IF(K$2&lt;&gt;"",K$2,"NA"),'MITRE ATT&amp;CK Mappings'!$G807))),ISNUMBER(SEARCH(IF(K$2&lt;&gt;"",K$2,"NA"),'MITRE ATT&amp;CK Mappings'!$H807))),ISNUMBER(SEARCH(IF(K$3&lt;&gt;"",K$3,"NA"),'MITRE ATT&amp;CK Mappings'!$I807))),ISNUMBER(SEARCH(IF(K$3&lt;&gt;"",K$3,"NA"),'MITRE ATT&amp;CK Mappings'!$J807))), 'MITRE ATT&amp;CK Mappings'!$B807,"")</f>
        <v/>
      </c>
      <c r="L811" s="27" t="str">
        <f>IF('MITRE ATT&amp;CK Mappings'!D807 &lt;&gt;"",'MITRE ATT&amp;CK Mappings'!D807,"" )</f>
        <v/>
      </c>
    </row>
    <row r="812" spans="1:12" x14ac:dyDescent="0.25">
      <c r="A812" s="26" t="str">
        <f>IF(COUNTIF(B812:K812,"="&amp;'MITRE ATT&amp;CK Mappings'!B808)&gt;0,'MITRE ATT&amp;CK Mappings'!B808,"")</f>
        <v/>
      </c>
      <c r="B812" s="26" t="str">
        <f>IF(OR(OR(OR(OR(OR(ISNUMBER(SEARCH(IF(B$1&lt;&gt;"",B$1,"NA"),'MITRE ATT&amp;CK Mappings'!$E808)),ISNUMBER(SEARCH(IF(B$1&lt;&gt;"",B$1,"NA"),'MITRE ATT&amp;CK Mappings'!$F808))),ISNUMBER(SEARCH(IF(B$2&lt;&gt;"",B$2,"NA"),'MITRE ATT&amp;CK Mappings'!$G808))),ISNUMBER(SEARCH(IF(B$2&lt;&gt;"",B$2,"NA"),'MITRE ATT&amp;CK Mappings'!$H808))),ISNUMBER(SEARCH(IF(B$3&lt;&gt;"",B$3,"NA"),'MITRE ATT&amp;CK Mappings'!$I808))),ISNUMBER(SEARCH(IF(B$3&lt;&gt;"",B$3,"NA"),'MITRE ATT&amp;CK Mappings'!$J808))), 'MITRE ATT&amp;CK Mappings'!$B808,"")</f>
        <v/>
      </c>
      <c r="C812" s="26" t="str">
        <f>IF(OR(OR(OR(OR(OR(ISNUMBER(SEARCH(IF(C$1&lt;&gt;"",C$1,"NA"),'MITRE ATT&amp;CK Mappings'!$E808)),ISNUMBER(SEARCH(IF(C$1&lt;&gt;"",C$1,"NA"),'MITRE ATT&amp;CK Mappings'!$F808))),ISNUMBER(SEARCH(IF(C$2&lt;&gt;"",C$2,"NA"),'MITRE ATT&amp;CK Mappings'!$G808))),ISNUMBER(SEARCH(IF(C$2&lt;&gt;"",C$2,"NA"),'MITRE ATT&amp;CK Mappings'!$H808))),ISNUMBER(SEARCH(IF(C$3&lt;&gt;"",C$3,"NA"),'MITRE ATT&amp;CK Mappings'!$I808))),ISNUMBER(SEARCH(IF(C$3&lt;&gt;"",C$3,"NA"),'MITRE ATT&amp;CK Mappings'!$J808))), 'MITRE ATT&amp;CK Mappings'!$B808,"")</f>
        <v/>
      </c>
      <c r="D812" s="26" t="str">
        <f>IF(OR(OR(OR(OR(OR(ISNUMBER(SEARCH(IF(D$1&lt;&gt;"",D$1,"NA"),'MITRE ATT&amp;CK Mappings'!$E808)),ISNUMBER(SEARCH(IF(D$1&lt;&gt;"",D$1,"NA"),'MITRE ATT&amp;CK Mappings'!$F808))),ISNUMBER(SEARCH(IF(D$2&lt;&gt;"",D$2,"NA"),'MITRE ATT&amp;CK Mappings'!$G808))),ISNUMBER(SEARCH(IF(D$2&lt;&gt;"",D$2,"NA"),'MITRE ATT&amp;CK Mappings'!$H808))),ISNUMBER(SEARCH(IF(D$3&lt;&gt;"",D$3,"NA"),'MITRE ATT&amp;CK Mappings'!$I808))),ISNUMBER(SEARCH(IF(D$3&lt;&gt;"",D$3,"NA"),'MITRE ATT&amp;CK Mappings'!$J808))), 'MITRE ATT&amp;CK Mappings'!$B808,"")</f>
        <v/>
      </c>
      <c r="E812" s="26" t="str">
        <f>IF(OR(OR(OR(OR(OR(ISNUMBER(SEARCH(IF(E$1&lt;&gt;"",E$1,"NA"),'MITRE ATT&amp;CK Mappings'!$E808)),ISNUMBER(SEARCH(IF(E$1&lt;&gt;"",E$1,"NA"),'MITRE ATT&amp;CK Mappings'!$F808))),ISNUMBER(SEARCH(IF(E$2&lt;&gt;"",E$2,"NA"),'MITRE ATT&amp;CK Mappings'!$G808))),ISNUMBER(SEARCH(IF(E$2&lt;&gt;"",E$2,"NA"),'MITRE ATT&amp;CK Mappings'!$H808))),ISNUMBER(SEARCH(IF(E$3&lt;&gt;"",E$3,"NA"),'MITRE ATT&amp;CK Mappings'!$I808))),ISNUMBER(SEARCH(IF(E$3&lt;&gt;"",E$3,"NA"),'MITRE ATT&amp;CK Mappings'!$J808))), 'MITRE ATT&amp;CK Mappings'!$B808,"")</f>
        <v/>
      </c>
      <c r="F812" s="26" t="str">
        <f>IF(OR(OR(OR(OR(OR(ISNUMBER(SEARCH(IF(F$1&lt;&gt;"",F$1,"NA"),'MITRE ATT&amp;CK Mappings'!$E808)),ISNUMBER(SEARCH(IF(F$1&lt;&gt;"",F$1,"NA"),'MITRE ATT&amp;CK Mappings'!$F808))),ISNUMBER(SEARCH(IF(F$2&lt;&gt;"",F$2,"NA"),'MITRE ATT&amp;CK Mappings'!$G808))),ISNUMBER(SEARCH(IF(F$2&lt;&gt;"",F$2,"NA"),'MITRE ATT&amp;CK Mappings'!$H808))),ISNUMBER(SEARCH(IF(F$3&lt;&gt;"",F$3,"NA"),'MITRE ATT&amp;CK Mappings'!$I808))),ISNUMBER(SEARCH(IF(F$3&lt;&gt;"",F$3,"NA"),'MITRE ATT&amp;CK Mappings'!$J808))), 'MITRE ATT&amp;CK Mappings'!$B808,"")</f>
        <v/>
      </c>
      <c r="G812" s="26" t="str">
        <f>IF(OR(OR(OR(OR(OR(ISNUMBER(SEARCH(IF(G$1&lt;&gt;"",G$1,"NA"),'MITRE ATT&amp;CK Mappings'!$E808)),ISNUMBER(SEARCH(IF(G$1&lt;&gt;"",G$1,"NA"),'MITRE ATT&amp;CK Mappings'!$F808))),ISNUMBER(SEARCH(IF(G$2&lt;&gt;"",G$2,"NA"),'MITRE ATT&amp;CK Mappings'!$G808))),ISNUMBER(SEARCH(IF(G$2&lt;&gt;"",G$2,"NA"),'MITRE ATT&amp;CK Mappings'!$H808))),ISNUMBER(SEARCH(IF(G$3&lt;&gt;"",G$3,"NA"),'MITRE ATT&amp;CK Mappings'!$I808))),ISNUMBER(SEARCH(IF(G$3&lt;&gt;"",G$3,"NA"),'MITRE ATT&amp;CK Mappings'!$J808))), 'MITRE ATT&amp;CK Mappings'!$B808,"")</f>
        <v/>
      </c>
      <c r="H812" s="26" t="str">
        <f>IF(OR(OR(OR(OR(OR(ISNUMBER(SEARCH(IF(H$1&lt;&gt;"",H$1,"NA"),'MITRE ATT&amp;CK Mappings'!$E808)),ISNUMBER(SEARCH(IF(H$1&lt;&gt;"",H$1,"NA"),'MITRE ATT&amp;CK Mappings'!$F808))),ISNUMBER(SEARCH(IF(H$2&lt;&gt;"",H$2,"NA"),'MITRE ATT&amp;CK Mappings'!$G808))),ISNUMBER(SEARCH(IF(H$2&lt;&gt;"",H$2,"NA"),'MITRE ATT&amp;CK Mappings'!$H808))),ISNUMBER(SEARCH(IF(H$3&lt;&gt;"",H$3,"NA"),'MITRE ATT&amp;CK Mappings'!$I808))),ISNUMBER(SEARCH(IF(H$3&lt;&gt;"",H$3,"NA"),'MITRE ATT&amp;CK Mappings'!$J808))), 'MITRE ATT&amp;CK Mappings'!$B808,"")</f>
        <v/>
      </c>
      <c r="I812" s="26" t="str">
        <f>IF(OR(OR(OR(OR(OR(ISNUMBER(SEARCH(IF(I$1&lt;&gt;"",I$1,"NA"),'MITRE ATT&amp;CK Mappings'!$E808)),ISNUMBER(SEARCH(IF(I$1&lt;&gt;"",I$1,"NA"),'MITRE ATT&amp;CK Mappings'!$F808))),ISNUMBER(SEARCH(IF(I$2&lt;&gt;"",I$2,"NA"),'MITRE ATT&amp;CK Mappings'!$G808))),ISNUMBER(SEARCH(IF(I$2&lt;&gt;"",I$2,"NA"),'MITRE ATT&amp;CK Mappings'!$H808))),ISNUMBER(SEARCH(IF(I$3&lt;&gt;"",I$3,"NA"),'MITRE ATT&amp;CK Mappings'!$I808))),ISNUMBER(SEARCH(IF(I$3&lt;&gt;"",I$3,"NA"),'MITRE ATT&amp;CK Mappings'!$J808))), 'MITRE ATT&amp;CK Mappings'!$B808,"")</f>
        <v/>
      </c>
      <c r="J812" s="26" t="str">
        <f>IF(OR(OR(OR(OR(OR(ISNUMBER(SEARCH(IF(J$1&lt;&gt;"",J$1,"NA"),'MITRE ATT&amp;CK Mappings'!$E808)),ISNUMBER(SEARCH(IF(J$1&lt;&gt;"",J$1,"NA"),'MITRE ATT&amp;CK Mappings'!$F808))),ISNUMBER(SEARCH(IF(J$2&lt;&gt;"",J$2,"NA"),'MITRE ATT&amp;CK Mappings'!$G808))),ISNUMBER(SEARCH(IF(J$2&lt;&gt;"",J$2,"NA"),'MITRE ATT&amp;CK Mappings'!$H808))),ISNUMBER(SEARCH(IF(J$3&lt;&gt;"",J$3,"NA"),'MITRE ATT&amp;CK Mappings'!$I808))),ISNUMBER(SEARCH(IF(J$3&lt;&gt;"",J$3,"NA"),'MITRE ATT&amp;CK Mappings'!$J808))), 'MITRE ATT&amp;CK Mappings'!$B808,"")</f>
        <v/>
      </c>
      <c r="K812" s="26" t="str">
        <f>IF(OR(OR(OR(OR(OR(ISNUMBER(SEARCH(IF(K$1&lt;&gt;"",K$1,"NA"),'MITRE ATT&amp;CK Mappings'!$E808)),ISNUMBER(SEARCH(IF(K$1&lt;&gt;"",K$1,"NA"),'MITRE ATT&amp;CK Mappings'!$F808))),ISNUMBER(SEARCH(IF(K$2&lt;&gt;"",K$2,"NA"),'MITRE ATT&amp;CK Mappings'!$G808))),ISNUMBER(SEARCH(IF(K$2&lt;&gt;"",K$2,"NA"),'MITRE ATT&amp;CK Mappings'!$H808))),ISNUMBER(SEARCH(IF(K$3&lt;&gt;"",K$3,"NA"),'MITRE ATT&amp;CK Mappings'!$I808))),ISNUMBER(SEARCH(IF(K$3&lt;&gt;"",K$3,"NA"),'MITRE ATT&amp;CK Mappings'!$J808))), 'MITRE ATT&amp;CK Mappings'!$B808,"")</f>
        <v/>
      </c>
      <c r="L812" s="26" t="str">
        <f>IF('MITRE ATT&amp;CK Mappings'!D808 &lt;&gt;"",'MITRE ATT&amp;CK Mappings'!D808,"" )</f>
        <v/>
      </c>
    </row>
    <row r="813" spans="1:12" x14ac:dyDescent="0.25">
      <c r="A813" s="27" t="str">
        <f>IF(COUNTIF(B813:K813,"="&amp;'MITRE ATT&amp;CK Mappings'!B809)&gt;0,'MITRE ATT&amp;CK Mappings'!B809,"")</f>
        <v/>
      </c>
      <c r="B813" s="27" t="str">
        <f>IF(OR(OR(OR(OR(OR(ISNUMBER(SEARCH(IF(B$1&lt;&gt;"",B$1,"NA"),'MITRE ATT&amp;CK Mappings'!$E809)),ISNUMBER(SEARCH(IF(B$1&lt;&gt;"",B$1,"NA"),'MITRE ATT&amp;CK Mappings'!$F809))),ISNUMBER(SEARCH(IF(B$2&lt;&gt;"",B$2,"NA"),'MITRE ATT&amp;CK Mappings'!$G809))),ISNUMBER(SEARCH(IF(B$2&lt;&gt;"",B$2,"NA"),'MITRE ATT&amp;CK Mappings'!$H809))),ISNUMBER(SEARCH(IF(B$3&lt;&gt;"",B$3,"NA"),'MITRE ATT&amp;CK Mappings'!$I809))),ISNUMBER(SEARCH(IF(B$3&lt;&gt;"",B$3,"NA"),'MITRE ATT&amp;CK Mappings'!$J809))), 'MITRE ATT&amp;CK Mappings'!$B809,"")</f>
        <v/>
      </c>
      <c r="C813" s="27" t="str">
        <f>IF(OR(OR(OR(OR(OR(ISNUMBER(SEARCH(IF(C$1&lt;&gt;"",C$1,"NA"),'MITRE ATT&amp;CK Mappings'!$E809)),ISNUMBER(SEARCH(IF(C$1&lt;&gt;"",C$1,"NA"),'MITRE ATT&amp;CK Mappings'!$F809))),ISNUMBER(SEARCH(IF(C$2&lt;&gt;"",C$2,"NA"),'MITRE ATT&amp;CK Mappings'!$G809))),ISNUMBER(SEARCH(IF(C$2&lt;&gt;"",C$2,"NA"),'MITRE ATT&amp;CK Mappings'!$H809))),ISNUMBER(SEARCH(IF(C$3&lt;&gt;"",C$3,"NA"),'MITRE ATT&amp;CK Mappings'!$I809))),ISNUMBER(SEARCH(IF(C$3&lt;&gt;"",C$3,"NA"),'MITRE ATT&amp;CK Mappings'!$J809))), 'MITRE ATT&amp;CK Mappings'!$B809,"")</f>
        <v/>
      </c>
      <c r="D813" s="27" t="str">
        <f>IF(OR(OR(OR(OR(OR(ISNUMBER(SEARCH(IF(D$1&lt;&gt;"",D$1,"NA"),'MITRE ATT&amp;CK Mappings'!$E809)),ISNUMBER(SEARCH(IF(D$1&lt;&gt;"",D$1,"NA"),'MITRE ATT&amp;CK Mappings'!$F809))),ISNUMBER(SEARCH(IF(D$2&lt;&gt;"",D$2,"NA"),'MITRE ATT&amp;CK Mappings'!$G809))),ISNUMBER(SEARCH(IF(D$2&lt;&gt;"",D$2,"NA"),'MITRE ATT&amp;CK Mappings'!$H809))),ISNUMBER(SEARCH(IF(D$3&lt;&gt;"",D$3,"NA"),'MITRE ATT&amp;CK Mappings'!$I809))),ISNUMBER(SEARCH(IF(D$3&lt;&gt;"",D$3,"NA"),'MITRE ATT&amp;CK Mappings'!$J809))), 'MITRE ATT&amp;CK Mappings'!$B809,"")</f>
        <v/>
      </c>
      <c r="E813" s="27" t="str">
        <f>IF(OR(OR(OR(OR(OR(ISNUMBER(SEARCH(IF(E$1&lt;&gt;"",E$1,"NA"),'MITRE ATT&amp;CK Mappings'!$E809)),ISNUMBER(SEARCH(IF(E$1&lt;&gt;"",E$1,"NA"),'MITRE ATT&amp;CK Mappings'!$F809))),ISNUMBER(SEARCH(IF(E$2&lt;&gt;"",E$2,"NA"),'MITRE ATT&amp;CK Mappings'!$G809))),ISNUMBER(SEARCH(IF(E$2&lt;&gt;"",E$2,"NA"),'MITRE ATT&amp;CK Mappings'!$H809))),ISNUMBER(SEARCH(IF(E$3&lt;&gt;"",E$3,"NA"),'MITRE ATT&amp;CK Mappings'!$I809))),ISNUMBER(SEARCH(IF(E$3&lt;&gt;"",E$3,"NA"),'MITRE ATT&amp;CK Mappings'!$J809))), 'MITRE ATT&amp;CK Mappings'!$B809,"")</f>
        <v/>
      </c>
      <c r="F813" s="27" t="str">
        <f>IF(OR(OR(OR(OR(OR(ISNUMBER(SEARCH(IF(F$1&lt;&gt;"",F$1,"NA"),'MITRE ATT&amp;CK Mappings'!$E809)),ISNUMBER(SEARCH(IF(F$1&lt;&gt;"",F$1,"NA"),'MITRE ATT&amp;CK Mappings'!$F809))),ISNUMBER(SEARCH(IF(F$2&lt;&gt;"",F$2,"NA"),'MITRE ATT&amp;CK Mappings'!$G809))),ISNUMBER(SEARCH(IF(F$2&lt;&gt;"",F$2,"NA"),'MITRE ATT&amp;CK Mappings'!$H809))),ISNUMBER(SEARCH(IF(F$3&lt;&gt;"",F$3,"NA"),'MITRE ATT&amp;CK Mappings'!$I809))),ISNUMBER(SEARCH(IF(F$3&lt;&gt;"",F$3,"NA"),'MITRE ATT&amp;CK Mappings'!$J809))), 'MITRE ATT&amp;CK Mappings'!$B809,"")</f>
        <v/>
      </c>
      <c r="G813" s="27" t="str">
        <f>IF(OR(OR(OR(OR(OR(ISNUMBER(SEARCH(IF(G$1&lt;&gt;"",G$1,"NA"),'MITRE ATT&amp;CK Mappings'!$E809)),ISNUMBER(SEARCH(IF(G$1&lt;&gt;"",G$1,"NA"),'MITRE ATT&amp;CK Mappings'!$F809))),ISNUMBER(SEARCH(IF(G$2&lt;&gt;"",G$2,"NA"),'MITRE ATT&amp;CK Mappings'!$G809))),ISNUMBER(SEARCH(IF(G$2&lt;&gt;"",G$2,"NA"),'MITRE ATT&amp;CK Mappings'!$H809))),ISNUMBER(SEARCH(IF(G$3&lt;&gt;"",G$3,"NA"),'MITRE ATT&amp;CK Mappings'!$I809))),ISNUMBER(SEARCH(IF(G$3&lt;&gt;"",G$3,"NA"),'MITRE ATT&amp;CK Mappings'!$J809))), 'MITRE ATT&amp;CK Mappings'!$B809,"")</f>
        <v/>
      </c>
      <c r="H813" s="27" t="str">
        <f>IF(OR(OR(OR(OR(OR(ISNUMBER(SEARCH(IF(H$1&lt;&gt;"",H$1,"NA"),'MITRE ATT&amp;CK Mappings'!$E809)),ISNUMBER(SEARCH(IF(H$1&lt;&gt;"",H$1,"NA"),'MITRE ATT&amp;CK Mappings'!$F809))),ISNUMBER(SEARCH(IF(H$2&lt;&gt;"",H$2,"NA"),'MITRE ATT&amp;CK Mappings'!$G809))),ISNUMBER(SEARCH(IF(H$2&lt;&gt;"",H$2,"NA"),'MITRE ATT&amp;CK Mappings'!$H809))),ISNUMBER(SEARCH(IF(H$3&lt;&gt;"",H$3,"NA"),'MITRE ATT&amp;CK Mappings'!$I809))),ISNUMBER(SEARCH(IF(H$3&lt;&gt;"",H$3,"NA"),'MITRE ATT&amp;CK Mappings'!$J809))), 'MITRE ATT&amp;CK Mappings'!$B809,"")</f>
        <v/>
      </c>
      <c r="I813" s="27" t="str">
        <f>IF(OR(OR(OR(OR(OR(ISNUMBER(SEARCH(IF(I$1&lt;&gt;"",I$1,"NA"),'MITRE ATT&amp;CK Mappings'!$E809)),ISNUMBER(SEARCH(IF(I$1&lt;&gt;"",I$1,"NA"),'MITRE ATT&amp;CK Mappings'!$F809))),ISNUMBER(SEARCH(IF(I$2&lt;&gt;"",I$2,"NA"),'MITRE ATT&amp;CK Mappings'!$G809))),ISNUMBER(SEARCH(IF(I$2&lt;&gt;"",I$2,"NA"),'MITRE ATT&amp;CK Mappings'!$H809))),ISNUMBER(SEARCH(IF(I$3&lt;&gt;"",I$3,"NA"),'MITRE ATT&amp;CK Mappings'!$I809))),ISNUMBER(SEARCH(IF(I$3&lt;&gt;"",I$3,"NA"),'MITRE ATT&amp;CK Mappings'!$J809))), 'MITRE ATT&amp;CK Mappings'!$B809,"")</f>
        <v/>
      </c>
      <c r="J813" s="27" t="str">
        <f>IF(OR(OR(OR(OR(OR(ISNUMBER(SEARCH(IF(J$1&lt;&gt;"",J$1,"NA"),'MITRE ATT&amp;CK Mappings'!$E809)),ISNUMBER(SEARCH(IF(J$1&lt;&gt;"",J$1,"NA"),'MITRE ATT&amp;CK Mappings'!$F809))),ISNUMBER(SEARCH(IF(J$2&lt;&gt;"",J$2,"NA"),'MITRE ATT&amp;CK Mappings'!$G809))),ISNUMBER(SEARCH(IF(J$2&lt;&gt;"",J$2,"NA"),'MITRE ATT&amp;CK Mappings'!$H809))),ISNUMBER(SEARCH(IF(J$3&lt;&gt;"",J$3,"NA"),'MITRE ATT&amp;CK Mappings'!$I809))),ISNUMBER(SEARCH(IF(J$3&lt;&gt;"",J$3,"NA"),'MITRE ATT&amp;CK Mappings'!$J809))), 'MITRE ATT&amp;CK Mappings'!$B809,"")</f>
        <v/>
      </c>
      <c r="K813" s="27" t="str">
        <f>IF(OR(OR(OR(OR(OR(ISNUMBER(SEARCH(IF(K$1&lt;&gt;"",K$1,"NA"),'MITRE ATT&amp;CK Mappings'!$E809)),ISNUMBER(SEARCH(IF(K$1&lt;&gt;"",K$1,"NA"),'MITRE ATT&amp;CK Mappings'!$F809))),ISNUMBER(SEARCH(IF(K$2&lt;&gt;"",K$2,"NA"),'MITRE ATT&amp;CK Mappings'!$G809))),ISNUMBER(SEARCH(IF(K$2&lt;&gt;"",K$2,"NA"),'MITRE ATT&amp;CK Mappings'!$H809))),ISNUMBER(SEARCH(IF(K$3&lt;&gt;"",K$3,"NA"),'MITRE ATT&amp;CK Mappings'!$I809))),ISNUMBER(SEARCH(IF(K$3&lt;&gt;"",K$3,"NA"),'MITRE ATT&amp;CK Mappings'!$J809))), 'MITRE ATT&amp;CK Mappings'!$B809,"")</f>
        <v/>
      </c>
      <c r="L813" s="27" t="str">
        <f>IF('MITRE ATT&amp;CK Mappings'!D809 &lt;&gt;"",'MITRE ATT&amp;CK Mappings'!D809,"" )</f>
        <v/>
      </c>
    </row>
    <row r="814" spans="1:12" x14ac:dyDescent="0.25">
      <c r="A814" s="26" t="str">
        <f>IF(COUNTIF(B814:K814,"="&amp;'MITRE ATT&amp;CK Mappings'!B810)&gt;0,'MITRE ATT&amp;CK Mappings'!B810,"")</f>
        <v/>
      </c>
      <c r="B814" s="26" t="str">
        <f>IF(OR(OR(OR(OR(OR(ISNUMBER(SEARCH(IF(B$1&lt;&gt;"",B$1,"NA"),'MITRE ATT&amp;CK Mappings'!$E810)),ISNUMBER(SEARCH(IF(B$1&lt;&gt;"",B$1,"NA"),'MITRE ATT&amp;CK Mappings'!$F810))),ISNUMBER(SEARCH(IF(B$2&lt;&gt;"",B$2,"NA"),'MITRE ATT&amp;CK Mappings'!$G810))),ISNUMBER(SEARCH(IF(B$2&lt;&gt;"",B$2,"NA"),'MITRE ATT&amp;CK Mappings'!$H810))),ISNUMBER(SEARCH(IF(B$3&lt;&gt;"",B$3,"NA"),'MITRE ATT&amp;CK Mappings'!$I810))),ISNUMBER(SEARCH(IF(B$3&lt;&gt;"",B$3,"NA"),'MITRE ATT&amp;CK Mappings'!$J810))), 'MITRE ATT&amp;CK Mappings'!$B810,"")</f>
        <v/>
      </c>
      <c r="C814" s="26" t="str">
        <f>IF(OR(OR(OR(OR(OR(ISNUMBER(SEARCH(IF(C$1&lt;&gt;"",C$1,"NA"),'MITRE ATT&amp;CK Mappings'!$E810)),ISNUMBER(SEARCH(IF(C$1&lt;&gt;"",C$1,"NA"),'MITRE ATT&amp;CK Mappings'!$F810))),ISNUMBER(SEARCH(IF(C$2&lt;&gt;"",C$2,"NA"),'MITRE ATT&amp;CK Mappings'!$G810))),ISNUMBER(SEARCH(IF(C$2&lt;&gt;"",C$2,"NA"),'MITRE ATT&amp;CK Mappings'!$H810))),ISNUMBER(SEARCH(IF(C$3&lt;&gt;"",C$3,"NA"),'MITRE ATT&amp;CK Mappings'!$I810))),ISNUMBER(SEARCH(IF(C$3&lt;&gt;"",C$3,"NA"),'MITRE ATT&amp;CK Mappings'!$J810))), 'MITRE ATT&amp;CK Mappings'!$B810,"")</f>
        <v/>
      </c>
      <c r="D814" s="26" t="str">
        <f>IF(OR(OR(OR(OR(OR(ISNUMBER(SEARCH(IF(D$1&lt;&gt;"",D$1,"NA"),'MITRE ATT&amp;CK Mappings'!$E810)),ISNUMBER(SEARCH(IF(D$1&lt;&gt;"",D$1,"NA"),'MITRE ATT&amp;CK Mappings'!$F810))),ISNUMBER(SEARCH(IF(D$2&lt;&gt;"",D$2,"NA"),'MITRE ATT&amp;CK Mappings'!$G810))),ISNUMBER(SEARCH(IF(D$2&lt;&gt;"",D$2,"NA"),'MITRE ATT&amp;CK Mappings'!$H810))),ISNUMBER(SEARCH(IF(D$3&lt;&gt;"",D$3,"NA"),'MITRE ATT&amp;CK Mappings'!$I810))),ISNUMBER(SEARCH(IF(D$3&lt;&gt;"",D$3,"NA"),'MITRE ATT&amp;CK Mappings'!$J810))), 'MITRE ATT&amp;CK Mappings'!$B810,"")</f>
        <v/>
      </c>
      <c r="E814" s="26" t="str">
        <f>IF(OR(OR(OR(OR(OR(ISNUMBER(SEARCH(IF(E$1&lt;&gt;"",E$1,"NA"),'MITRE ATT&amp;CK Mappings'!$E810)),ISNUMBER(SEARCH(IF(E$1&lt;&gt;"",E$1,"NA"),'MITRE ATT&amp;CK Mappings'!$F810))),ISNUMBER(SEARCH(IF(E$2&lt;&gt;"",E$2,"NA"),'MITRE ATT&amp;CK Mappings'!$G810))),ISNUMBER(SEARCH(IF(E$2&lt;&gt;"",E$2,"NA"),'MITRE ATT&amp;CK Mappings'!$H810))),ISNUMBER(SEARCH(IF(E$3&lt;&gt;"",E$3,"NA"),'MITRE ATT&amp;CK Mappings'!$I810))),ISNUMBER(SEARCH(IF(E$3&lt;&gt;"",E$3,"NA"),'MITRE ATT&amp;CK Mappings'!$J810))), 'MITRE ATT&amp;CK Mappings'!$B810,"")</f>
        <v/>
      </c>
      <c r="F814" s="26" t="str">
        <f>IF(OR(OR(OR(OR(OR(ISNUMBER(SEARCH(IF(F$1&lt;&gt;"",F$1,"NA"),'MITRE ATT&amp;CK Mappings'!$E810)),ISNUMBER(SEARCH(IF(F$1&lt;&gt;"",F$1,"NA"),'MITRE ATT&amp;CK Mappings'!$F810))),ISNUMBER(SEARCH(IF(F$2&lt;&gt;"",F$2,"NA"),'MITRE ATT&amp;CK Mappings'!$G810))),ISNUMBER(SEARCH(IF(F$2&lt;&gt;"",F$2,"NA"),'MITRE ATT&amp;CK Mappings'!$H810))),ISNUMBER(SEARCH(IF(F$3&lt;&gt;"",F$3,"NA"),'MITRE ATT&amp;CK Mappings'!$I810))),ISNUMBER(SEARCH(IF(F$3&lt;&gt;"",F$3,"NA"),'MITRE ATT&amp;CK Mappings'!$J810))), 'MITRE ATT&amp;CK Mappings'!$B810,"")</f>
        <v/>
      </c>
      <c r="G814" s="26" t="str">
        <f>IF(OR(OR(OR(OR(OR(ISNUMBER(SEARCH(IF(G$1&lt;&gt;"",G$1,"NA"),'MITRE ATT&amp;CK Mappings'!$E810)),ISNUMBER(SEARCH(IF(G$1&lt;&gt;"",G$1,"NA"),'MITRE ATT&amp;CK Mappings'!$F810))),ISNUMBER(SEARCH(IF(G$2&lt;&gt;"",G$2,"NA"),'MITRE ATT&amp;CK Mappings'!$G810))),ISNUMBER(SEARCH(IF(G$2&lt;&gt;"",G$2,"NA"),'MITRE ATT&amp;CK Mappings'!$H810))),ISNUMBER(SEARCH(IF(G$3&lt;&gt;"",G$3,"NA"),'MITRE ATT&amp;CK Mappings'!$I810))),ISNUMBER(SEARCH(IF(G$3&lt;&gt;"",G$3,"NA"),'MITRE ATT&amp;CK Mappings'!$J810))), 'MITRE ATT&amp;CK Mappings'!$B810,"")</f>
        <v/>
      </c>
      <c r="H814" s="26" t="str">
        <f>IF(OR(OR(OR(OR(OR(ISNUMBER(SEARCH(IF(H$1&lt;&gt;"",H$1,"NA"),'MITRE ATT&amp;CK Mappings'!$E810)),ISNUMBER(SEARCH(IF(H$1&lt;&gt;"",H$1,"NA"),'MITRE ATT&amp;CK Mappings'!$F810))),ISNUMBER(SEARCH(IF(H$2&lt;&gt;"",H$2,"NA"),'MITRE ATT&amp;CK Mappings'!$G810))),ISNUMBER(SEARCH(IF(H$2&lt;&gt;"",H$2,"NA"),'MITRE ATT&amp;CK Mappings'!$H810))),ISNUMBER(SEARCH(IF(H$3&lt;&gt;"",H$3,"NA"),'MITRE ATT&amp;CK Mappings'!$I810))),ISNUMBER(SEARCH(IF(H$3&lt;&gt;"",H$3,"NA"),'MITRE ATT&amp;CK Mappings'!$J810))), 'MITRE ATT&amp;CK Mappings'!$B810,"")</f>
        <v/>
      </c>
      <c r="I814" s="26" t="str">
        <f>IF(OR(OR(OR(OR(OR(ISNUMBER(SEARCH(IF(I$1&lt;&gt;"",I$1,"NA"),'MITRE ATT&amp;CK Mappings'!$E810)),ISNUMBER(SEARCH(IF(I$1&lt;&gt;"",I$1,"NA"),'MITRE ATT&amp;CK Mappings'!$F810))),ISNUMBER(SEARCH(IF(I$2&lt;&gt;"",I$2,"NA"),'MITRE ATT&amp;CK Mappings'!$G810))),ISNUMBER(SEARCH(IF(I$2&lt;&gt;"",I$2,"NA"),'MITRE ATT&amp;CK Mappings'!$H810))),ISNUMBER(SEARCH(IF(I$3&lt;&gt;"",I$3,"NA"),'MITRE ATT&amp;CK Mappings'!$I810))),ISNUMBER(SEARCH(IF(I$3&lt;&gt;"",I$3,"NA"),'MITRE ATT&amp;CK Mappings'!$J810))), 'MITRE ATT&amp;CK Mappings'!$B810,"")</f>
        <v/>
      </c>
      <c r="J814" s="26" t="str">
        <f>IF(OR(OR(OR(OR(OR(ISNUMBER(SEARCH(IF(J$1&lt;&gt;"",J$1,"NA"),'MITRE ATT&amp;CK Mappings'!$E810)),ISNUMBER(SEARCH(IF(J$1&lt;&gt;"",J$1,"NA"),'MITRE ATT&amp;CK Mappings'!$F810))),ISNUMBER(SEARCH(IF(J$2&lt;&gt;"",J$2,"NA"),'MITRE ATT&amp;CK Mappings'!$G810))),ISNUMBER(SEARCH(IF(J$2&lt;&gt;"",J$2,"NA"),'MITRE ATT&amp;CK Mappings'!$H810))),ISNUMBER(SEARCH(IF(J$3&lt;&gt;"",J$3,"NA"),'MITRE ATT&amp;CK Mappings'!$I810))),ISNUMBER(SEARCH(IF(J$3&lt;&gt;"",J$3,"NA"),'MITRE ATT&amp;CK Mappings'!$J810))), 'MITRE ATT&amp;CK Mappings'!$B810,"")</f>
        <v/>
      </c>
      <c r="K814" s="26" t="str">
        <f>IF(OR(OR(OR(OR(OR(ISNUMBER(SEARCH(IF(K$1&lt;&gt;"",K$1,"NA"),'MITRE ATT&amp;CK Mappings'!$E810)),ISNUMBER(SEARCH(IF(K$1&lt;&gt;"",K$1,"NA"),'MITRE ATT&amp;CK Mappings'!$F810))),ISNUMBER(SEARCH(IF(K$2&lt;&gt;"",K$2,"NA"),'MITRE ATT&amp;CK Mappings'!$G810))),ISNUMBER(SEARCH(IF(K$2&lt;&gt;"",K$2,"NA"),'MITRE ATT&amp;CK Mappings'!$H810))),ISNUMBER(SEARCH(IF(K$3&lt;&gt;"",K$3,"NA"),'MITRE ATT&amp;CK Mappings'!$I810))),ISNUMBER(SEARCH(IF(K$3&lt;&gt;"",K$3,"NA"),'MITRE ATT&amp;CK Mappings'!$J810))), 'MITRE ATT&amp;CK Mappings'!$B810,"")</f>
        <v/>
      </c>
      <c r="L814" s="26" t="str">
        <f>IF('MITRE ATT&amp;CK Mappings'!D810 &lt;&gt;"",'MITRE ATT&amp;CK Mappings'!D810,"" )</f>
        <v/>
      </c>
    </row>
    <row r="815" spans="1:12" x14ac:dyDescent="0.25">
      <c r="A815" s="27" t="str">
        <f>IF(COUNTIF(B815:K815,"="&amp;'MITRE ATT&amp;CK Mappings'!B811)&gt;0,'MITRE ATT&amp;CK Mappings'!B811,"")</f>
        <v/>
      </c>
      <c r="B815" s="27" t="str">
        <f>IF(OR(OR(OR(OR(OR(ISNUMBER(SEARCH(IF(B$1&lt;&gt;"",B$1,"NA"),'MITRE ATT&amp;CK Mappings'!$E811)),ISNUMBER(SEARCH(IF(B$1&lt;&gt;"",B$1,"NA"),'MITRE ATT&amp;CK Mappings'!$F811))),ISNUMBER(SEARCH(IF(B$2&lt;&gt;"",B$2,"NA"),'MITRE ATT&amp;CK Mappings'!$G811))),ISNUMBER(SEARCH(IF(B$2&lt;&gt;"",B$2,"NA"),'MITRE ATT&amp;CK Mappings'!$H811))),ISNUMBER(SEARCH(IF(B$3&lt;&gt;"",B$3,"NA"),'MITRE ATT&amp;CK Mappings'!$I811))),ISNUMBER(SEARCH(IF(B$3&lt;&gt;"",B$3,"NA"),'MITRE ATT&amp;CK Mappings'!$J811))), 'MITRE ATT&amp;CK Mappings'!$B811,"")</f>
        <v/>
      </c>
      <c r="C815" s="27" t="str">
        <f>IF(OR(OR(OR(OR(OR(ISNUMBER(SEARCH(IF(C$1&lt;&gt;"",C$1,"NA"),'MITRE ATT&amp;CK Mappings'!$E811)),ISNUMBER(SEARCH(IF(C$1&lt;&gt;"",C$1,"NA"),'MITRE ATT&amp;CK Mappings'!$F811))),ISNUMBER(SEARCH(IF(C$2&lt;&gt;"",C$2,"NA"),'MITRE ATT&amp;CK Mappings'!$G811))),ISNUMBER(SEARCH(IF(C$2&lt;&gt;"",C$2,"NA"),'MITRE ATT&amp;CK Mappings'!$H811))),ISNUMBER(SEARCH(IF(C$3&lt;&gt;"",C$3,"NA"),'MITRE ATT&amp;CK Mappings'!$I811))),ISNUMBER(SEARCH(IF(C$3&lt;&gt;"",C$3,"NA"),'MITRE ATT&amp;CK Mappings'!$J811))), 'MITRE ATT&amp;CK Mappings'!$B811,"")</f>
        <v/>
      </c>
      <c r="D815" s="27" t="str">
        <f>IF(OR(OR(OR(OR(OR(ISNUMBER(SEARCH(IF(D$1&lt;&gt;"",D$1,"NA"),'MITRE ATT&amp;CK Mappings'!$E811)),ISNUMBER(SEARCH(IF(D$1&lt;&gt;"",D$1,"NA"),'MITRE ATT&amp;CK Mappings'!$F811))),ISNUMBER(SEARCH(IF(D$2&lt;&gt;"",D$2,"NA"),'MITRE ATT&amp;CK Mappings'!$G811))),ISNUMBER(SEARCH(IF(D$2&lt;&gt;"",D$2,"NA"),'MITRE ATT&amp;CK Mappings'!$H811))),ISNUMBER(SEARCH(IF(D$3&lt;&gt;"",D$3,"NA"),'MITRE ATT&amp;CK Mappings'!$I811))),ISNUMBER(SEARCH(IF(D$3&lt;&gt;"",D$3,"NA"),'MITRE ATT&amp;CK Mappings'!$J811))), 'MITRE ATT&amp;CK Mappings'!$B811,"")</f>
        <v/>
      </c>
      <c r="E815" s="27" t="str">
        <f>IF(OR(OR(OR(OR(OR(ISNUMBER(SEARCH(IF(E$1&lt;&gt;"",E$1,"NA"),'MITRE ATT&amp;CK Mappings'!$E811)),ISNUMBER(SEARCH(IF(E$1&lt;&gt;"",E$1,"NA"),'MITRE ATT&amp;CK Mappings'!$F811))),ISNUMBER(SEARCH(IF(E$2&lt;&gt;"",E$2,"NA"),'MITRE ATT&amp;CK Mappings'!$G811))),ISNUMBER(SEARCH(IF(E$2&lt;&gt;"",E$2,"NA"),'MITRE ATT&amp;CK Mappings'!$H811))),ISNUMBER(SEARCH(IF(E$3&lt;&gt;"",E$3,"NA"),'MITRE ATT&amp;CK Mappings'!$I811))),ISNUMBER(SEARCH(IF(E$3&lt;&gt;"",E$3,"NA"),'MITRE ATT&amp;CK Mappings'!$J811))), 'MITRE ATT&amp;CK Mappings'!$B811,"")</f>
        <v/>
      </c>
      <c r="F815" s="27" t="str">
        <f>IF(OR(OR(OR(OR(OR(ISNUMBER(SEARCH(IF(F$1&lt;&gt;"",F$1,"NA"),'MITRE ATT&amp;CK Mappings'!$E811)),ISNUMBER(SEARCH(IF(F$1&lt;&gt;"",F$1,"NA"),'MITRE ATT&amp;CK Mappings'!$F811))),ISNUMBER(SEARCH(IF(F$2&lt;&gt;"",F$2,"NA"),'MITRE ATT&amp;CK Mappings'!$G811))),ISNUMBER(SEARCH(IF(F$2&lt;&gt;"",F$2,"NA"),'MITRE ATT&amp;CK Mappings'!$H811))),ISNUMBER(SEARCH(IF(F$3&lt;&gt;"",F$3,"NA"),'MITRE ATT&amp;CK Mappings'!$I811))),ISNUMBER(SEARCH(IF(F$3&lt;&gt;"",F$3,"NA"),'MITRE ATT&amp;CK Mappings'!$J811))), 'MITRE ATT&amp;CK Mappings'!$B811,"")</f>
        <v/>
      </c>
      <c r="G815" s="27" t="str">
        <f>IF(OR(OR(OR(OR(OR(ISNUMBER(SEARCH(IF(G$1&lt;&gt;"",G$1,"NA"),'MITRE ATT&amp;CK Mappings'!$E811)),ISNUMBER(SEARCH(IF(G$1&lt;&gt;"",G$1,"NA"),'MITRE ATT&amp;CK Mappings'!$F811))),ISNUMBER(SEARCH(IF(G$2&lt;&gt;"",G$2,"NA"),'MITRE ATT&amp;CK Mappings'!$G811))),ISNUMBER(SEARCH(IF(G$2&lt;&gt;"",G$2,"NA"),'MITRE ATT&amp;CK Mappings'!$H811))),ISNUMBER(SEARCH(IF(G$3&lt;&gt;"",G$3,"NA"),'MITRE ATT&amp;CK Mappings'!$I811))),ISNUMBER(SEARCH(IF(G$3&lt;&gt;"",G$3,"NA"),'MITRE ATT&amp;CK Mappings'!$J811))), 'MITRE ATT&amp;CK Mappings'!$B811,"")</f>
        <v/>
      </c>
      <c r="H815" s="27" t="str">
        <f>IF(OR(OR(OR(OR(OR(ISNUMBER(SEARCH(IF(H$1&lt;&gt;"",H$1,"NA"),'MITRE ATT&amp;CK Mappings'!$E811)),ISNUMBER(SEARCH(IF(H$1&lt;&gt;"",H$1,"NA"),'MITRE ATT&amp;CK Mappings'!$F811))),ISNUMBER(SEARCH(IF(H$2&lt;&gt;"",H$2,"NA"),'MITRE ATT&amp;CK Mappings'!$G811))),ISNUMBER(SEARCH(IF(H$2&lt;&gt;"",H$2,"NA"),'MITRE ATT&amp;CK Mappings'!$H811))),ISNUMBER(SEARCH(IF(H$3&lt;&gt;"",H$3,"NA"),'MITRE ATT&amp;CK Mappings'!$I811))),ISNUMBER(SEARCH(IF(H$3&lt;&gt;"",H$3,"NA"),'MITRE ATT&amp;CK Mappings'!$J811))), 'MITRE ATT&amp;CK Mappings'!$B811,"")</f>
        <v/>
      </c>
      <c r="I815" s="27" t="str">
        <f>IF(OR(OR(OR(OR(OR(ISNUMBER(SEARCH(IF(I$1&lt;&gt;"",I$1,"NA"),'MITRE ATT&amp;CK Mappings'!$E811)),ISNUMBER(SEARCH(IF(I$1&lt;&gt;"",I$1,"NA"),'MITRE ATT&amp;CK Mappings'!$F811))),ISNUMBER(SEARCH(IF(I$2&lt;&gt;"",I$2,"NA"),'MITRE ATT&amp;CK Mappings'!$G811))),ISNUMBER(SEARCH(IF(I$2&lt;&gt;"",I$2,"NA"),'MITRE ATT&amp;CK Mappings'!$H811))),ISNUMBER(SEARCH(IF(I$3&lt;&gt;"",I$3,"NA"),'MITRE ATT&amp;CK Mappings'!$I811))),ISNUMBER(SEARCH(IF(I$3&lt;&gt;"",I$3,"NA"),'MITRE ATT&amp;CK Mappings'!$J811))), 'MITRE ATT&amp;CK Mappings'!$B811,"")</f>
        <v/>
      </c>
      <c r="J815" s="27" t="str">
        <f>IF(OR(OR(OR(OR(OR(ISNUMBER(SEARCH(IF(J$1&lt;&gt;"",J$1,"NA"),'MITRE ATT&amp;CK Mappings'!$E811)),ISNUMBER(SEARCH(IF(J$1&lt;&gt;"",J$1,"NA"),'MITRE ATT&amp;CK Mappings'!$F811))),ISNUMBER(SEARCH(IF(J$2&lt;&gt;"",J$2,"NA"),'MITRE ATT&amp;CK Mappings'!$G811))),ISNUMBER(SEARCH(IF(J$2&lt;&gt;"",J$2,"NA"),'MITRE ATT&amp;CK Mappings'!$H811))),ISNUMBER(SEARCH(IF(J$3&lt;&gt;"",J$3,"NA"),'MITRE ATT&amp;CK Mappings'!$I811))),ISNUMBER(SEARCH(IF(J$3&lt;&gt;"",J$3,"NA"),'MITRE ATT&amp;CK Mappings'!$J811))), 'MITRE ATT&amp;CK Mappings'!$B811,"")</f>
        <v/>
      </c>
      <c r="K815" s="27" t="str">
        <f>IF(OR(OR(OR(OR(OR(ISNUMBER(SEARCH(IF(K$1&lt;&gt;"",K$1,"NA"),'MITRE ATT&amp;CK Mappings'!$E811)),ISNUMBER(SEARCH(IF(K$1&lt;&gt;"",K$1,"NA"),'MITRE ATT&amp;CK Mappings'!$F811))),ISNUMBER(SEARCH(IF(K$2&lt;&gt;"",K$2,"NA"),'MITRE ATT&amp;CK Mappings'!$G811))),ISNUMBER(SEARCH(IF(K$2&lt;&gt;"",K$2,"NA"),'MITRE ATT&amp;CK Mappings'!$H811))),ISNUMBER(SEARCH(IF(K$3&lt;&gt;"",K$3,"NA"),'MITRE ATT&amp;CK Mappings'!$I811))),ISNUMBER(SEARCH(IF(K$3&lt;&gt;"",K$3,"NA"),'MITRE ATT&amp;CK Mappings'!$J811))), 'MITRE ATT&amp;CK Mappings'!$B811,"")</f>
        <v/>
      </c>
      <c r="L815" s="27" t="str">
        <f>IF('MITRE ATT&amp;CK Mappings'!D811 &lt;&gt;"",'MITRE ATT&amp;CK Mappings'!D811,"" )</f>
        <v/>
      </c>
    </row>
    <row r="816" spans="1:12" x14ac:dyDescent="0.25">
      <c r="A816" s="26" t="str">
        <f>IF(COUNTIF(B816:K816,"="&amp;'MITRE ATT&amp;CK Mappings'!B812)&gt;0,'MITRE ATT&amp;CK Mappings'!B812,"")</f>
        <v/>
      </c>
      <c r="B816" s="26" t="str">
        <f>IF(OR(OR(OR(OR(OR(ISNUMBER(SEARCH(IF(B$1&lt;&gt;"",B$1,"NA"),'MITRE ATT&amp;CK Mappings'!$E812)),ISNUMBER(SEARCH(IF(B$1&lt;&gt;"",B$1,"NA"),'MITRE ATT&amp;CK Mappings'!$F812))),ISNUMBER(SEARCH(IF(B$2&lt;&gt;"",B$2,"NA"),'MITRE ATT&amp;CK Mappings'!$G812))),ISNUMBER(SEARCH(IF(B$2&lt;&gt;"",B$2,"NA"),'MITRE ATT&amp;CK Mappings'!$H812))),ISNUMBER(SEARCH(IF(B$3&lt;&gt;"",B$3,"NA"),'MITRE ATT&amp;CK Mappings'!$I812))),ISNUMBER(SEARCH(IF(B$3&lt;&gt;"",B$3,"NA"),'MITRE ATT&amp;CK Mappings'!$J812))), 'MITRE ATT&amp;CK Mappings'!$B812,"")</f>
        <v/>
      </c>
      <c r="C816" s="26" t="str">
        <f>IF(OR(OR(OR(OR(OR(ISNUMBER(SEARCH(IF(C$1&lt;&gt;"",C$1,"NA"),'MITRE ATT&amp;CK Mappings'!$E812)),ISNUMBER(SEARCH(IF(C$1&lt;&gt;"",C$1,"NA"),'MITRE ATT&amp;CK Mappings'!$F812))),ISNUMBER(SEARCH(IF(C$2&lt;&gt;"",C$2,"NA"),'MITRE ATT&amp;CK Mappings'!$G812))),ISNUMBER(SEARCH(IF(C$2&lt;&gt;"",C$2,"NA"),'MITRE ATT&amp;CK Mappings'!$H812))),ISNUMBER(SEARCH(IF(C$3&lt;&gt;"",C$3,"NA"),'MITRE ATT&amp;CK Mappings'!$I812))),ISNUMBER(SEARCH(IF(C$3&lt;&gt;"",C$3,"NA"),'MITRE ATT&amp;CK Mappings'!$J812))), 'MITRE ATT&amp;CK Mappings'!$B812,"")</f>
        <v/>
      </c>
      <c r="D816" s="26" t="str">
        <f>IF(OR(OR(OR(OR(OR(ISNUMBER(SEARCH(IF(D$1&lt;&gt;"",D$1,"NA"),'MITRE ATT&amp;CK Mappings'!$E812)),ISNUMBER(SEARCH(IF(D$1&lt;&gt;"",D$1,"NA"),'MITRE ATT&amp;CK Mappings'!$F812))),ISNUMBER(SEARCH(IF(D$2&lt;&gt;"",D$2,"NA"),'MITRE ATT&amp;CK Mappings'!$G812))),ISNUMBER(SEARCH(IF(D$2&lt;&gt;"",D$2,"NA"),'MITRE ATT&amp;CK Mappings'!$H812))),ISNUMBER(SEARCH(IF(D$3&lt;&gt;"",D$3,"NA"),'MITRE ATT&amp;CK Mappings'!$I812))),ISNUMBER(SEARCH(IF(D$3&lt;&gt;"",D$3,"NA"),'MITRE ATT&amp;CK Mappings'!$J812))), 'MITRE ATT&amp;CK Mappings'!$B812,"")</f>
        <v/>
      </c>
      <c r="E816" s="26" t="str">
        <f>IF(OR(OR(OR(OR(OR(ISNUMBER(SEARCH(IF(E$1&lt;&gt;"",E$1,"NA"),'MITRE ATT&amp;CK Mappings'!$E812)),ISNUMBER(SEARCH(IF(E$1&lt;&gt;"",E$1,"NA"),'MITRE ATT&amp;CK Mappings'!$F812))),ISNUMBER(SEARCH(IF(E$2&lt;&gt;"",E$2,"NA"),'MITRE ATT&amp;CK Mappings'!$G812))),ISNUMBER(SEARCH(IF(E$2&lt;&gt;"",E$2,"NA"),'MITRE ATT&amp;CK Mappings'!$H812))),ISNUMBER(SEARCH(IF(E$3&lt;&gt;"",E$3,"NA"),'MITRE ATT&amp;CK Mappings'!$I812))),ISNUMBER(SEARCH(IF(E$3&lt;&gt;"",E$3,"NA"),'MITRE ATT&amp;CK Mappings'!$J812))), 'MITRE ATT&amp;CK Mappings'!$B812,"")</f>
        <v/>
      </c>
      <c r="F816" s="26" t="str">
        <f>IF(OR(OR(OR(OR(OR(ISNUMBER(SEARCH(IF(F$1&lt;&gt;"",F$1,"NA"),'MITRE ATT&amp;CK Mappings'!$E812)),ISNUMBER(SEARCH(IF(F$1&lt;&gt;"",F$1,"NA"),'MITRE ATT&amp;CK Mappings'!$F812))),ISNUMBER(SEARCH(IF(F$2&lt;&gt;"",F$2,"NA"),'MITRE ATT&amp;CK Mappings'!$G812))),ISNUMBER(SEARCH(IF(F$2&lt;&gt;"",F$2,"NA"),'MITRE ATT&amp;CK Mappings'!$H812))),ISNUMBER(SEARCH(IF(F$3&lt;&gt;"",F$3,"NA"),'MITRE ATT&amp;CK Mappings'!$I812))),ISNUMBER(SEARCH(IF(F$3&lt;&gt;"",F$3,"NA"),'MITRE ATT&amp;CK Mappings'!$J812))), 'MITRE ATT&amp;CK Mappings'!$B812,"")</f>
        <v/>
      </c>
      <c r="G816" s="26" t="str">
        <f>IF(OR(OR(OR(OR(OR(ISNUMBER(SEARCH(IF(G$1&lt;&gt;"",G$1,"NA"),'MITRE ATT&amp;CK Mappings'!$E812)),ISNUMBER(SEARCH(IF(G$1&lt;&gt;"",G$1,"NA"),'MITRE ATT&amp;CK Mappings'!$F812))),ISNUMBER(SEARCH(IF(G$2&lt;&gt;"",G$2,"NA"),'MITRE ATT&amp;CK Mappings'!$G812))),ISNUMBER(SEARCH(IF(G$2&lt;&gt;"",G$2,"NA"),'MITRE ATT&amp;CK Mappings'!$H812))),ISNUMBER(SEARCH(IF(G$3&lt;&gt;"",G$3,"NA"),'MITRE ATT&amp;CK Mappings'!$I812))),ISNUMBER(SEARCH(IF(G$3&lt;&gt;"",G$3,"NA"),'MITRE ATT&amp;CK Mappings'!$J812))), 'MITRE ATT&amp;CK Mappings'!$B812,"")</f>
        <v/>
      </c>
      <c r="H816" s="26" t="str">
        <f>IF(OR(OR(OR(OR(OR(ISNUMBER(SEARCH(IF(H$1&lt;&gt;"",H$1,"NA"),'MITRE ATT&amp;CK Mappings'!$E812)),ISNUMBER(SEARCH(IF(H$1&lt;&gt;"",H$1,"NA"),'MITRE ATT&amp;CK Mappings'!$F812))),ISNUMBER(SEARCH(IF(H$2&lt;&gt;"",H$2,"NA"),'MITRE ATT&amp;CK Mappings'!$G812))),ISNUMBER(SEARCH(IF(H$2&lt;&gt;"",H$2,"NA"),'MITRE ATT&amp;CK Mappings'!$H812))),ISNUMBER(SEARCH(IF(H$3&lt;&gt;"",H$3,"NA"),'MITRE ATT&amp;CK Mappings'!$I812))),ISNUMBER(SEARCH(IF(H$3&lt;&gt;"",H$3,"NA"),'MITRE ATT&amp;CK Mappings'!$J812))), 'MITRE ATT&amp;CK Mappings'!$B812,"")</f>
        <v/>
      </c>
      <c r="I816" s="26" t="str">
        <f>IF(OR(OR(OR(OR(OR(ISNUMBER(SEARCH(IF(I$1&lt;&gt;"",I$1,"NA"),'MITRE ATT&amp;CK Mappings'!$E812)),ISNUMBER(SEARCH(IF(I$1&lt;&gt;"",I$1,"NA"),'MITRE ATT&amp;CK Mappings'!$F812))),ISNUMBER(SEARCH(IF(I$2&lt;&gt;"",I$2,"NA"),'MITRE ATT&amp;CK Mappings'!$G812))),ISNUMBER(SEARCH(IF(I$2&lt;&gt;"",I$2,"NA"),'MITRE ATT&amp;CK Mappings'!$H812))),ISNUMBER(SEARCH(IF(I$3&lt;&gt;"",I$3,"NA"),'MITRE ATT&amp;CK Mappings'!$I812))),ISNUMBER(SEARCH(IF(I$3&lt;&gt;"",I$3,"NA"),'MITRE ATT&amp;CK Mappings'!$J812))), 'MITRE ATT&amp;CK Mappings'!$B812,"")</f>
        <v/>
      </c>
      <c r="J816" s="26" t="str">
        <f>IF(OR(OR(OR(OR(OR(ISNUMBER(SEARCH(IF(J$1&lt;&gt;"",J$1,"NA"),'MITRE ATT&amp;CK Mappings'!$E812)),ISNUMBER(SEARCH(IF(J$1&lt;&gt;"",J$1,"NA"),'MITRE ATT&amp;CK Mappings'!$F812))),ISNUMBER(SEARCH(IF(J$2&lt;&gt;"",J$2,"NA"),'MITRE ATT&amp;CK Mappings'!$G812))),ISNUMBER(SEARCH(IF(J$2&lt;&gt;"",J$2,"NA"),'MITRE ATT&amp;CK Mappings'!$H812))),ISNUMBER(SEARCH(IF(J$3&lt;&gt;"",J$3,"NA"),'MITRE ATT&amp;CK Mappings'!$I812))),ISNUMBER(SEARCH(IF(J$3&lt;&gt;"",J$3,"NA"),'MITRE ATT&amp;CK Mappings'!$J812))), 'MITRE ATT&amp;CK Mappings'!$B812,"")</f>
        <v/>
      </c>
      <c r="K816" s="26" t="str">
        <f>IF(OR(OR(OR(OR(OR(ISNUMBER(SEARCH(IF(K$1&lt;&gt;"",K$1,"NA"),'MITRE ATT&amp;CK Mappings'!$E812)),ISNUMBER(SEARCH(IF(K$1&lt;&gt;"",K$1,"NA"),'MITRE ATT&amp;CK Mappings'!$F812))),ISNUMBER(SEARCH(IF(K$2&lt;&gt;"",K$2,"NA"),'MITRE ATT&amp;CK Mappings'!$G812))),ISNUMBER(SEARCH(IF(K$2&lt;&gt;"",K$2,"NA"),'MITRE ATT&amp;CK Mappings'!$H812))),ISNUMBER(SEARCH(IF(K$3&lt;&gt;"",K$3,"NA"),'MITRE ATT&amp;CK Mappings'!$I812))),ISNUMBER(SEARCH(IF(K$3&lt;&gt;"",K$3,"NA"),'MITRE ATT&amp;CK Mappings'!$J812))), 'MITRE ATT&amp;CK Mappings'!$B812,"")</f>
        <v/>
      </c>
      <c r="L816" s="26" t="str">
        <f>IF('MITRE ATT&amp;CK Mappings'!D812 &lt;&gt;"",'MITRE ATT&amp;CK Mappings'!D812,"" )</f>
        <v/>
      </c>
    </row>
    <row r="817" spans="1:12" x14ac:dyDescent="0.25">
      <c r="A817" s="27" t="str">
        <f>IF(COUNTIF(B817:K817,"="&amp;'MITRE ATT&amp;CK Mappings'!B813)&gt;0,'MITRE ATT&amp;CK Mappings'!B813,"")</f>
        <v/>
      </c>
      <c r="B817" s="27" t="str">
        <f>IF(OR(OR(OR(OR(OR(ISNUMBER(SEARCH(IF(B$1&lt;&gt;"",B$1,"NA"),'MITRE ATT&amp;CK Mappings'!$E813)),ISNUMBER(SEARCH(IF(B$1&lt;&gt;"",B$1,"NA"),'MITRE ATT&amp;CK Mappings'!$F813))),ISNUMBER(SEARCH(IF(B$2&lt;&gt;"",B$2,"NA"),'MITRE ATT&amp;CK Mappings'!$G813))),ISNUMBER(SEARCH(IF(B$2&lt;&gt;"",B$2,"NA"),'MITRE ATT&amp;CK Mappings'!$H813))),ISNUMBER(SEARCH(IF(B$3&lt;&gt;"",B$3,"NA"),'MITRE ATT&amp;CK Mappings'!$I813))),ISNUMBER(SEARCH(IF(B$3&lt;&gt;"",B$3,"NA"),'MITRE ATT&amp;CK Mappings'!$J813))), 'MITRE ATT&amp;CK Mappings'!$B813,"")</f>
        <v/>
      </c>
      <c r="C817" s="27" t="str">
        <f>IF(OR(OR(OR(OR(OR(ISNUMBER(SEARCH(IF(C$1&lt;&gt;"",C$1,"NA"),'MITRE ATT&amp;CK Mappings'!$E813)),ISNUMBER(SEARCH(IF(C$1&lt;&gt;"",C$1,"NA"),'MITRE ATT&amp;CK Mappings'!$F813))),ISNUMBER(SEARCH(IF(C$2&lt;&gt;"",C$2,"NA"),'MITRE ATT&amp;CK Mappings'!$G813))),ISNUMBER(SEARCH(IF(C$2&lt;&gt;"",C$2,"NA"),'MITRE ATT&amp;CK Mappings'!$H813))),ISNUMBER(SEARCH(IF(C$3&lt;&gt;"",C$3,"NA"),'MITRE ATT&amp;CK Mappings'!$I813))),ISNUMBER(SEARCH(IF(C$3&lt;&gt;"",C$3,"NA"),'MITRE ATT&amp;CK Mappings'!$J813))), 'MITRE ATT&amp;CK Mappings'!$B813,"")</f>
        <v/>
      </c>
      <c r="D817" s="27" t="str">
        <f>IF(OR(OR(OR(OR(OR(ISNUMBER(SEARCH(IF(D$1&lt;&gt;"",D$1,"NA"),'MITRE ATT&amp;CK Mappings'!$E813)),ISNUMBER(SEARCH(IF(D$1&lt;&gt;"",D$1,"NA"),'MITRE ATT&amp;CK Mappings'!$F813))),ISNUMBER(SEARCH(IF(D$2&lt;&gt;"",D$2,"NA"),'MITRE ATT&amp;CK Mappings'!$G813))),ISNUMBER(SEARCH(IF(D$2&lt;&gt;"",D$2,"NA"),'MITRE ATT&amp;CK Mappings'!$H813))),ISNUMBER(SEARCH(IF(D$3&lt;&gt;"",D$3,"NA"),'MITRE ATT&amp;CK Mappings'!$I813))),ISNUMBER(SEARCH(IF(D$3&lt;&gt;"",D$3,"NA"),'MITRE ATT&amp;CK Mappings'!$J813))), 'MITRE ATT&amp;CK Mappings'!$B813,"")</f>
        <v/>
      </c>
      <c r="E817" s="27" t="str">
        <f>IF(OR(OR(OR(OR(OR(ISNUMBER(SEARCH(IF(E$1&lt;&gt;"",E$1,"NA"),'MITRE ATT&amp;CK Mappings'!$E813)),ISNUMBER(SEARCH(IF(E$1&lt;&gt;"",E$1,"NA"),'MITRE ATT&amp;CK Mappings'!$F813))),ISNUMBER(SEARCH(IF(E$2&lt;&gt;"",E$2,"NA"),'MITRE ATT&amp;CK Mappings'!$G813))),ISNUMBER(SEARCH(IF(E$2&lt;&gt;"",E$2,"NA"),'MITRE ATT&amp;CK Mappings'!$H813))),ISNUMBER(SEARCH(IF(E$3&lt;&gt;"",E$3,"NA"),'MITRE ATT&amp;CK Mappings'!$I813))),ISNUMBER(SEARCH(IF(E$3&lt;&gt;"",E$3,"NA"),'MITRE ATT&amp;CK Mappings'!$J813))), 'MITRE ATT&amp;CK Mappings'!$B813,"")</f>
        <v/>
      </c>
      <c r="F817" s="27" t="str">
        <f>IF(OR(OR(OR(OR(OR(ISNUMBER(SEARCH(IF(F$1&lt;&gt;"",F$1,"NA"),'MITRE ATT&amp;CK Mappings'!$E813)),ISNUMBER(SEARCH(IF(F$1&lt;&gt;"",F$1,"NA"),'MITRE ATT&amp;CK Mappings'!$F813))),ISNUMBER(SEARCH(IF(F$2&lt;&gt;"",F$2,"NA"),'MITRE ATT&amp;CK Mappings'!$G813))),ISNUMBER(SEARCH(IF(F$2&lt;&gt;"",F$2,"NA"),'MITRE ATT&amp;CK Mappings'!$H813))),ISNUMBER(SEARCH(IF(F$3&lt;&gt;"",F$3,"NA"),'MITRE ATT&amp;CK Mappings'!$I813))),ISNUMBER(SEARCH(IF(F$3&lt;&gt;"",F$3,"NA"),'MITRE ATT&amp;CK Mappings'!$J813))), 'MITRE ATT&amp;CK Mappings'!$B813,"")</f>
        <v/>
      </c>
      <c r="G817" s="27" t="str">
        <f>IF(OR(OR(OR(OR(OR(ISNUMBER(SEARCH(IF(G$1&lt;&gt;"",G$1,"NA"),'MITRE ATT&amp;CK Mappings'!$E813)),ISNUMBER(SEARCH(IF(G$1&lt;&gt;"",G$1,"NA"),'MITRE ATT&amp;CK Mappings'!$F813))),ISNUMBER(SEARCH(IF(G$2&lt;&gt;"",G$2,"NA"),'MITRE ATT&amp;CK Mappings'!$G813))),ISNUMBER(SEARCH(IF(G$2&lt;&gt;"",G$2,"NA"),'MITRE ATT&amp;CK Mappings'!$H813))),ISNUMBER(SEARCH(IF(G$3&lt;&gt;"",G$3,"NA"),'MITRE ATT&amp;CK Mappings'!$I813))),ISNUMBER(SEARCH(IF(G$3&lt;&gt;"",G$3,"NA"),'MITRE ATT&amp;CK Mappings'!$J813))), 'MITRE ATT&amp;CK Mappings'!$B813,"")</f>
        <v/>
      </c>
      <c r="H817" s="27" t="str">
        <f>IF(OR(OR(OR(OR(OR(ISNUMBER(SEARCH(IF(H$1&lt;&gt;"",H$1,"NA"),'MITRE ATT&amp;CK Mappings'!$E813)),ISNUMBER(SEARCH(IF(H$1&lt;&gt;"",H$1,"NA"),'MITRE ATT&amp;CK Mappings'!$F813))),ISNUMBER(SEARCH(IF(H$2&lt;&gt;"",H$2,"NA"),'MITRE ATT&amp;CK Mappings'!$G813))),ISNUMBER(SEARCH(IF(H$2&lt;&gt;"",H$2,"NA"),'MITRE ATT&amp;CK Mappings'!$H813))),ISNUMBER(SEARCH(IF(H$3&lt;&gt;"",H$3,"NA"),'MITRE ATT&amp;CK Mappings'!$I813))),ISNUMBER(SEARCH(IF(H$3&lt;&gt;"",H$3,"NA"),'MITRE ATT&amp;CK Mappings'!$J813))), 'MITRE ATT&amp;CK Mappings'!$B813,"")</f>
        <v/>
      </c>
      <c r="I817" s="27" t="str">
        <f>IF(OR(OR(OR(OR(OR(ISNUMBER(SEARCH(IF(I$1&lt;&gt;"",I$1,"NA"),'MITRE ATT&amp;CK Mappings'!$E813)),ISNUMBER(SEARCH(IF(I$1&lt;&gt;"",I$1,"NA"),'MITRE ATT&amp;CK Mappings'!$F813))),ISNUMBER(SEARCH(IF(I$2&lt;&gt;"",I$2,"NA"),'MITRE ATT&amp;CK Mappings'!$G813))),ISNUMBER(SEARCH(IF(I$2&lt;&gt;"",I$2,"NA"),'MITRE ATT&amp;CK Mappings'!$H813))),ISNUMBER(SEARCH(IF(I$3&lt;&gt;"",I$3,"NA"),'MITRE ATT&amp;CK Mappings'!$I813))),ISNUMBER(SEARCH(IF(I$3&lt;&gt;"",I$3,"NA"),'MITRE ATT&amp;CK Mappings'!$J813))), 'MITRE ATT&amp;CK Mappings'!$B813,"")</f>
        <v/>
      </c>
      <c r="J817" s="27" t="str">
        <f>IF(OR(OR(OR(OR(OR(ISNUMBER(SEARCH(IF(J$1&lt;&gt;"",J$1,"NA"),'MITRE ATT&amp;CK Mappings'!$E813)),ISNUMBER(SEARCH(IF(J$1&lt;&gt;"",J$1,"NA"),'MITRE ATT&amp;CK Mappings'!$F813))),ISNUMBER(SEARCH(IF(J$2&lt;&gt;"",J$2,"NA"),'MITRE ATT&amp;CK Mappings'!$G813))),ISNUMBER(SEARCH(IF(J$2&lt;&gt;"",J$2,"NA"),'MITRE ATT&amp;CK Mappings'!$H813))),ISNUMBER(SEARCH(IF(J$3&lt;&gt;"",J$3,"NA"),'MITRE ATT&amp;CK Mappings'!$I813))),ISNUMBER(SEARCH(IF(J$3&lt;&gt;"",J$3,"NA"),'MITRE ATT&amp;CK Mappings'!$J813))), 'MITRE ATT&amp;CK Mappings'!$B813,"")</f>
        <v/>
      </c>
      <c r="K817" s="27" t="str">
        <f>IF(OR(OR(OR(OR(OR(ISNUMBER(SEARCH(IF(K$1&lt;&gt;"",K$1,"NA"),'MITRE ATT&amp;CK Mappings'!$E813)),ISNUMBER(SEARCH(IF(K$1&lt;&gt;"",K$1,"NA"),'MITRE ATT&amp;CK Mappings'!$F813))),ISNUMBER(SEARCH(IF(K$2&lt;&gt;"",K$2,"NA"),'MITRE ATT&amp;CK Mappings'!$G813))),ISNUMBER(SEARCH(IF(K$2&lt;&gt;"",K$2,"NA"),'MITRE ATT&amp;CK Mappings'!$H813))),ISNUMBER(SEARCH(IF(K$3&lt;&gt;"",K$3,"NA"),'MITRE ATT&amp;CK Mappings'!$I813))),ISNUMBER(SEARCH(IF(K$3&lt;&gt;"",K$3,"NA"),'MITRE ATT&amp;CK Mappings'!$J813))), 'MITRE ATT&amp;CK Mappings'!$B813,"")</f>
        <v/>
      </c>
      <c r="L817" s="27" t="str">
        <f>IF('MITRE ATT&amp;CK Mappings'!D813 &lt;&gt;"",'MITRE ATT&amp;CK Mappings'!D813,"" )</f>
        <v/>
      </c>
    </row>
    <row r="818" spans="1:12" x14ac:dyDescent="0.25">
      <c r="A818" s="26" t="str">
        <f>IF(COUNTIF(B818:K818,"="&amp;'MITRE ATT&amp;CK Mappings'!B814)&gt;0,'MITRE ATT&amp;CK Mappings'!B814,"")</f>
        <v/>
      </c>
      <c r="B818" s="26" t="str">
        <f>IF(OR(OR(OR(OR(OR(ISNUMBER(SEARCH(IF(B$1&lt;&gt;"",B$1,"NA"),'MITRE ATT&amp;CK Mappings'!$E814)),ISNUMBER(SEARCH(IF(B$1&lt;&gt;"",B$1,"NA"),'MITRE ATT&amp;CK Mappings'!$F814))),ISNUMBER(SEARCH(IF(B$2&lt;&gt;"",B$2,"NA"),'MITRE ATT&amp;CK Mappings'!$G814))),ISNUMBER(SEARCH(IF(B$2&lt;&gt;"",B$2,"NA"),'MITRE ATT&amp;CK Mappings'!$H814))),ISNUMBER(SEARCH(IF(B$3&lt;&gt;"",B$3,"NA"),'MITRE ATT&amp;CK Mappings'!$I814))),ISNUMBER(SEARCH(IF(B$3&lt;&gt;"",B$3,"NA"),'MITRE ATT&amp;CK Mappings'!$J814))), 'MITRE ATT&amp;CK Mappings'!$B814,"")</f>
        <v/>
      </c>
      <c r="C818" s="26" t="str">
        <f>IF(OR(OR(OR(OR(OR(ISNUMBER(SEARCH(IF(C$1&lt;&gt;"",C$1,"NA"),'MITRE ATT&amp;CK Mappings'!$E814)),ISNUMBER(SEARCH(IF(C$1&lt;&gt;"",C$1,"NA"),'MITRE ATT&amp;CK Mappings'!$F814))),ISNUMBER(SEARCH(IF(C$2&lt;&gt;"",C$2,"NA"),'MITRE ATT&amp;CK Mappings'!$G814))),ISNUMBER(SEARCH(IF(C$2&lt;&gt;"",C$2,"NA"),'MITRE ATT&amp;CK Mappings'!$H814))),ISNUMBER(SEARCH(IF(C$3&lt;&gt;"",C$3,"NA"),'MITRE ATT&amp;CK Mappings'!$I814))),ISNUMBER(SEARCH(IF(C$3&lt;&gt;"",C$3,"NA"),'MITRE ATT&amp;CK Mappings'!$J814))), 'MITRE ATT&amp;CK Mappings'!$B814,"")</f>
        <v/>
      </c>
      <c r="D818" s="26" t="str">
        <f>IF(OR(OR(OR(OR(OR(ISNUMBER(SEARCH(IF(D$1&lt;&gt;"",D$1,"NA"),'MITRE ATT&amp;CK Mappings'!$E814)),ISNUMBER(SEARCH(IF(D$1&lt;&gt;"",D$1,"NA"),'MITRE ATT&amp;CK Mappings'!$F814))),ISNUMBER(SEARCH(IF(D$2&lt;&gt;"",D$2,"NA"),'MITRE ATT&amp;CK Mappings'!$G814))),ISNUMBER(SEARCH(IF(D$2&lt;&gt;"",D$2,"NA"),'MITRE ATT&amp;CK Mappings'!$H814))),ISNUMBER(SEARCH(IF(D$3&lt;&gt;"",D$3,"NA"),'MITRE ATT&amp;CK Mappings'!$I814))),ISNUMBER(SEARCH(IF(D$3&lt;&gt;"",D$3,"NA"),'MITRE ATT&amp;CK Mappings'!$J814))), 'MITRE ATT&amp;CK Mappings'!$B814,"")</f>
        <v/>
      </c>
      <c r="E818" s="26" t="str">
        <f>IF(OR(OR(OR(OR(OR(ISNUMBER(SEARCH(IF(E$1&lt;&gt;"",E$1,"NA"),'MITRE ATT&amp;CK Mappings'!$E814)),ISNUMBER(SEARCH(IF(E$1&lt;&gt;"",E$1,"NA"),'MITRE ATT&amp;CK Mappings'!$F814))),ISNUMBER(SEARCH(IF(E$2&lt;&gt;"",E$2,"NA"),'MITRE ATT&amp;CK Mappings'!$G814))),ISNUMBER(SEARCH(IF(E$2&lt;&gt;"",E$2,"NA"),'MITRE ATT&amp;CK Mappings'!$H814))),ISNUMBER(SEARCH(IF(E$3&lt;&gt;"",E$3,"NA"),'MITRE ATT&amp;CK Mappings'!$I814))),ISNUMBER(SEARCH(IF(E$3&lt;&gt;"",E$3,"NA"),'MITRE ATT&amp;CK Mappings'!$J814))), 'MITRE ATT&amp;CK Mappings'!$B814,"")</f>
        <v/>
      </c>
      <c r="F818" s="26" t="str">
        <f>IF(OR(OR(OR(OR(OR(ISNUMBER(SEARCH(IF(F$1&lt;&gt;"",F$1,"NA"),'MITRE ATT&amp;CK Mappings'!$E814)),ISNUMBER(SEARCH(IF(F$1&lt;&gt;"",F$1,"NA"),'MITRE ATT&amp;CK Mappings'!$F814))),ISNUMBER(SEARCH(IF(F$2&lt;&gt;"",F$2,"NA"),'MITRE ATT&amp;CK Mappings'!$G814))),ISNUMBER(SEARCH(IF(F$2&lt;&gt;"",F$2,"NA"),'MITRE ATT&amp;CK Mappings'!$H814))),ISNUMBER(SEARCH(IF(F$3&lt;&gt;"",F$3,"NA"),'MITRE ATT&amp;CK Mappings'!$I814))),ISNUMBER(SEARCH(IF(F$3&lt;&gt;"",F$3,"NA"),'MITRE ATT&amp;CK Mappings'!$J814))), 'MITRE ATT&amp;CK Mappings'!$B814,"")</f>
        <v/>
      </c>
      <c r="G818" s="26" t="str">
        <f>IF(OR(OR(OR(OR(OR(ISNUMBER(SEARCH(IF(G$1&lt;&gt;"",G$1,"NA"),'MITRE ATT&amp;CK Mappings'!$E814)),ISNUMBER(SEARCH(IF(G$1&lt;&gt;"",G$1,"NA"),'MITRE ATT&amp;CK Mappings'!$F814))),ISNUMBER(SEARCH(IF(G$2&lt;&gt;"",G$2,"NA"),'MITRE ATT&amp;CK Mappings'!$G814))),ISNUMBER(SEARCH(IF(G$2&lt;&gt;"",G$2,"NA"),'MITRE ATT&amp;CK Mappings'!$H814))),ISNUMBER(SEARCH(IF(G$3&lt;&gt;"",G$3,"NA"),'MITRE ATT&amp;CK Mappings'!$I814))),ISNUMBER(SEARCH(IF(G$3&lt;&gt;"",G$3,"NA"),'MITRE ATT&amp;CK Mappings'!$J814))), 'MITRE ATT&amp;CK Mappings'!$B814,"")</f>
        <v/>
      </c>
      <c r="H818" s="26" t="str">
        <f>IF(OR(OR(OR(OR(OR(ISNUMBER(SEARCH(IF(H$1&lt;&gt;"",H$1,"NA"),'MITRE ATT&amp;CK Mappings'!$E814)),ISNUMBER(SEARCH(IF(H$1&lt;&gt;"",H$1,"NA"),'MITRE ATT&amp;CK Mappings'!$F814))),ISNUMBER(SEARCH(IF(H$2&lt;&gt;"",H$2,"NA"),'MITRE ATT&amp;CK Mappings'!$G814))),ISNUMBER(SEARCH(IF(H$2&lt;&gt;"",H$2,"NA"),'MITRE ATT&amp;CK Mappings'!$H814))),ISNUMBER(SEARCH(IF(H$3&lt;&gt;"",H$3,"NA"),'MITRE ATT&amp;CK Mappings'!$I814))),ISNUMBER(SEARCH(IF(H$3&lt;&gt;"",H$3,"NA"),'MITRE ATT&amp;CK Mappings'!$J814))), 'MITRE ATT&amp;CK Mappings'!$B814,"")</f>
        <v/>
      </c>
      <c r="I818" s="26" t="str">
        <f>IF(OR(OR(OR(OR(OR(ISNUMBER(SEARCH(IF(I$1&lt;&gt;"",I$1,"NA"),'MITRE ATT&amp;CK Mappings'!$E814)),ISNUMBER(SEARCH(IF(I$1&lt;&gt;"",I$1,"NA"),'MITRE ATT&amp;CK Mappings'!$F814))),ISNUMBER(SEARCH(IF(I$2&lt;&gt;"",I$2,"NA"),'MITRE ATT&amp;CK Mappings'!$G814))),ISNUMBER(SEARCH(IF(I$2&lt;&gt;"",I$2,"NA"),'MITRE ATT&amp;CK Mappings'!$H814))),ISNUMBER(SEARCH(IF(I$3&lt;&gt;"",I$3,"NA"),'MITRE ATT&amp;CK Mappings'!$I814))),ISNUMBER(SEARCH(IF(I$3&lt;&gt;"",I$3,"NA"),'MITRE ATT&amp;CK Mappings'!$J814))), 'MITRE ATT&amp;CK Mappings'!$B814,"")</f>
        <v/>
      </c>
      <c r="J818" s="26" t="str">
        <f>IF(OR(OR(OR(OR(OR(ISNUMBER(SEARCH(IF(J$1&lt;&gt;"",J$1,"NA"),'MITRE ATT&amp;CK Mappings'!$E814)),ISNUMBER(SEARCH(IF(J$1&lt;&gt;"",J$1,"NA"),'MITRE ATT&amp;CK Mappings'!$F814))),ISNUMBER(SEARCH(IF(J$2&lt;&gt;"",J$2,"NA"),'MITRE ATT&amp;CK Mappings'!$G814))),ISNUMBER(SEARCH(IF(J$2&lt;&gt;"",J$2,"NA"),'MITRE ATT&amp;CK Mappings'!$H814))),ISNUMBER(SEARCH(IF(J$3&lt;&gt;"",J$3,"NA"),'MITRE ATT&amp;CK Mappings'!$I814))),ISNUMBER(SEARCH(IF(J$3&lt;&gt;"",J$3,"NA"),'MITRE ATT&amp;CK Mappings'!$J814))), 'MITRE ATT&amp;CK Mappings'!$B814,"")</f>
        <v/>
      </c>
      <c r="K818" s="26" t="str">
        <f>IF(OR(OR(OR(OR(OR(ISNUMBER(SEARCH(IF(K$1&lt;&gt;"",K$1,"NA"),'MITRE ATT&amp;CK Mappings'!$E814)),ISNUMBER(SEARCH(IF(K$1&lt;&gt;"",K$1,"NA"),'MITRE ATT&amp;CK Mappings'!$F814))),ISNUMBER(SEARCH(IF(K$2&lt;&gt;"",K$2,"NA"),'MITRE ATT&amp;CK Mappings'!$G814))),ISNUMBER(SEARCH(IF(K$2&lt;&gt;"",K$2,"NA"),'MITRE ATT&amp;CK Mappings'!$H814))),ISNUMBER(SEARCH(IF(K$3&lt;&gt;"",K$3,"NA"),'MITRE ATT&amp;CK Mappings'!$I814))),ISNUMBER(SEARCH(IF(K$3&lt;&gt;"",K$3,"NA"),'MITRE ATT&amp;CK Mappings'!$J814))), 'MITRE ATT&amp;CK Mappings'!$B814,"")</f>
        <v/>
      </c>
      <c r="L818" s="26" t="str">
        <f>IF('MITRE ATT&amp;CK Mappings'!D814 &lt;&gt;"",'MITRE ATT&amp;CK Mappings'!D814,"" )</f>
        <v/>
      </c>
    </row>
    <row r="819" spans="1:12" x14ac:dyDescent="0.25">
      <c r="A819" s="27" t="str">
        <f>IF(COUNTIF(B819:K819,"="&amp;'MITRE ATT&amp;CK Mappings'!B815)&gt;0,'MITRE ATT&amp;CK Mappings'!B815,"")</f>
        <v/>
      </c>
      <c r="B819" s="27" t="str">
        <f>IF(OR(OR(OR(OR(OR(ISNUMBER(SEARCH(IF(B$1&lt;&gt;"",B$1,"NA"),'MITRE ATT&amp;CK Mappings'!$E815)),ISNUMBER(SEARCH(IF(B$1&lt;&gt;"",B$1,"NA"),'MITRE ATT&amp;CK Mappings'!$F815))),ISNUMBER(SEARCH(IF(B$2&lt;&gt;"",B$2,"NA"),'MITRE ATT&amp;CK Mappings'!$G815))),ISNUMBER(SEARCH(IF(B$2&lt;&gt;"",B$2,"NA"),'MITRE ATT&amp;CK Mappings'!$H815))),ISNUMBER(SEARCH(IF(B$3&lt;&gt;"",B$3,"NA"),'MITRE ATT&amp;CK Mappings'!$I815))),ISNUMBER(SEARCH(IF(B$3&lt;&gt;"",B$3,"NA"),'MITRE ATT&amp;CK Mappings'!$J815))), 'MITRE ATT&amp;CK Mappings'!$B815,"")</f>
        <v/>
      </c>
      <c r="C819" s="27" t="str">
        <f>IF(OR(OR(OR(OR(OR(ISNUMBER(SEARCH(IF(C$1&lt;&gt;"",C$1,"NA"),'MITRE ATT&amp;CK Mappings'!$E815)),ISNUMBER(SEARCH(IF(C$1&lt;&gt;"",C$1,"NA"),'MITRE ATT&amp;CK Mappings'!$F815))),ISNUMBER(SEARCH(IF(C$2&lt;&gt;"",C$2,"NA"),'MITRE ATT&amp;CK Mappings'!$G815))),ISNUMBER(SEARCH(IF(C$2&lt;&gt;"",C$2,"NA"),'MITRE ATT&amp;CK Mappings'!$H815))),ISNUMBER(SEARCH(IF(C$3&lt;&gt;"",C$3,"NA"),'MITRE ATT&amp;CK Mappings'!$I815))),ISNUMBER(SEARCH(IF(C$3&lt;&gt;"",C$3,"NA"),'MITRE ATT&amp;CK Mappings'!$J815))), 'MITRE ATT&amp;CK Mappings'!$B815,"")</f>
        <v/>
      </c>
      <c r="D819" s="27" t="str">
        <f>IF(OR(OR(OR(OR(OR(ISNUMBER(SEARCH(IF(D$1&lt;&gt;"",D$1,"NA"),'MITRE ATT&amp;CK Mappings'!$E815)),ISNUMBER(SEARCH(IF(D$1&lt;&gt;"",D$1,"NA"),'MITRE ATT&amp;CK Mappings'!$F815))),ISNUMBER(SEARCH(IF(D$2&lt;&gt;"",D$2,"NA"),'MITRE ATT&amp;CK Mappings'!$G815))),ISNUMBER(SEARCH(IF(D$2&lt;&gt;"",D$2,"NA"),'MITRE ATT&amp;CK Mappings'!$H815))),ISNUMBER(SEARCH(IF(D$3&lt;&gt;"",D$3,"NA"),'MITRE ATT&amp;CK Mappings'!$I815))),ISNUMBER(SEARCH(IF(D$3&lt;&gt;"",D$3,"NA"),'MITRE ATT&amp;CK Mappings'!$J815))), 'MITRE ATT&amp;CK Mappings'!$B815,"")</f>
        <v/>
      </c>
      <c r="E819" s="27" t="str">
        <f>IF(OR(OR(OR(OR(OR(ISNUMBER(SEARCH(IF(E$1&lt;&gt;"",E$1,"NA"),'MITRE ATT&amp;CK Mappings'!$E815)),ISNUMBER(SEARCH(IF(E$1&lt;&gt;"",E$1,"NA"),'MITRE ATT&amp;CK Mappings'!$F815))),ISNUMBER(SEARCH(IF(E$2&lt;&gt;"",E$2,"NA"),'MITRE ATT&amp;CK Mappings'!$G815))),ISNUMBER(SEARCH(IF(E$2&lt;&gt;"",E$2,"NA"),'MITRE ATT&amp;CK Mappings'!$H815))),ISNUMBER(SEARCH(IF(E$3&lt;&gt;"",E$3,"NA"),'MITRE ATT&amp;CK Mappings'!$I815))),ISNUMBER(SEARCH(IF(E$3&lt;&gt;"",E$3,"NA"),'MITRE ATT&amp;CK Mappings'!$J815))), 'MITRE ATT&amp;CK Mappings'!$B815,"")</f>
        <v/>
      </c>
      <c r="F819" s="27" t="str">
        <f>IF(OR(OR(OR(OR(OR(ISNUMBER(SEARCH(IF(F$1&lt;&gt;"",F$1,"NA"),'MITRE ATT&amp;CK Mappings'!$E815)),ISNUMBER(SEARCH(IF(F$1&lt;&gt;"",F$1,"NA"),'MITRE ATT&amp;CK Mappings'!$F815))),ISNUMBER(SEARCH(IF(F$2&lt;&gt;"",F$2,"NA"),'MITRE ATT&amp;CK Mappings'!$G815))),ISNUMBER(SEARCH(IF(F$2&lt;&gt;"",F$2,"NA"),'MITRE ATT&amp;CK Mappings'!$H815))),ISNUMBER(SEARCH(IF(F$3&lt;&gt;"",F$3,"NA"),'MITRE ATT&amp;CK Mappings'!$I815))),ISNUMBER(SEARCH(IF(F$3&lt;&gt;"",F$3,"NA"),'MITRE ATT&amp;CK Mappings'!$J815))), 'MITRE ATT&amp;CK Mappings'!$B815,"")</f>
        <v/>
      </c>
      <c r="G819" s="27" t="str">
        <f>IF(OR(OR(OR(OR(OR(ISNUMBER(SEARCH(IF(G$1&lt;&gt;"",G$1,"NA"),'MITRE ATT&amp;CK Mappings'!$E815)),ISNUMBER(SEARCH(IF(G$1&lt;&gt;"",G$1,"NA"),'MITRE ATT&amp;CK Mappings'!$F815))),ISNUMBER(SEARCH(IF(G$2&lt;&gt;"",G$2,"NA"),'MITRE ATT&amp;CK Mappings'!$G815))),ISNUMBER(SEARCH(IF(G$2&lt;&gt;"",G$2,"NA"),'MITRE ATT&amp;CK Mappings'!$H815))),ISNUMBER(SEARCH(IF(G$3&lt;&gt;"",G$3,"NA"),'MITRE ATT&amp;CK Mappings'!$I815))),ISNUMBER(SEARCH(IF(G$3&lt;&gt;"",G$3,"NA"),'MITRE ATT&amp;CK Mappings'!$J815))), 'MITRE ATT&amp;CK Mappings'!$B815,"")</f>
        <v/>
      </c>
      <c r="H819" s="27" t="str">
        <f>IF(OR(OR(OR(OR(OR(ISNUMBER(SEARCH(IF(H$1&lt;&gt;"",H$1,"NA"),'MITRE ATT&amp;CK Mappings'!$E815)),ISNUMBER(SEARCH(IF(H$1&lt;&gt;"",H$1,"NA"),'MITRE ATT&amp;CK Mappings'!$F815))),ISNUMBER(SEARCH(IF(H$2&lt;&gt;"",H$2,"NA"),'MITRE ATT&amp;CK Mappings'!$G815))),ISNUMBER(SEARCH(IF(H$2&lt;&gt;"",H$2,"NA"),'MITRE ATT&amp;CK Mappings'!$H815))),ISNUMBER(SEARCH(IF(H$3&lt;&gt;"",H$3,"NA"),'MITRE ATT&amp;CK Mappings'!$I815))),ISNUMBER(SEARCH(IF(H$3&lt;&gt;"",H$3,"NA"),'MITRE ATT&amp;CK Mappings'!$J815))), 'MITRE ATT&amp;CK Mappings'!$B815,"")</f>
        <v/>
      </c>
      <c r="I819" s="27" t="str">
        <f>IF(OR(OR(OR(OR(OR(ISNUMBER(SEARCH(IF(I$1&lt;&gt;"",I$1,"NA"),'MITRE ATT&amp;CK Mappings'!$E815)),ISNUMBER(SEARCH(IF(I$1&lt;&gt;"",I$1,"NA"),'MITRE ATT&amp;CK Mappings'!$F815))),ISNUMBER(SEARCH(IF(I$2&lt;&gt;"",I$2,"NA"),'MITRE ATT&amp;CK Mappings'!$G815))),ISNUMBER(SEARCH(IF(I$2&lt;&gt;"",I$2,"NA"),'MITRE ATT&amp;CK Mappings'!$H815))),ISNUMBER(SEARCH(IF(I$3&lt;&gt;"",I$3,"NA"),'MITRE ATT&amp;CK Mappings'!$I815))),ISNUMBER(SEARCH(IF(I$3&lt;&gt;"",I$3,"NA"),'MITRE ATT&amp;CK Mappings'!$J815))), 'MITRE ATT&amp;CK Mappings'!$B815,"")</f>
        <v/>
      </c>
      <c r="J819" s="27" t="str">
        <f>IF(OR(OR(OR(OR(OR(ISNUMBER(SEARCH(IF(J$1&lt;&gt;"",J$1,"NA"),'MITRE ATT&amp;CK Mappings'!$E815)),ISNUMBER(SEARCH(IF(J$1&lt;&gt;"",J$1,"NA"),'MITRE ATT&amp;CK Mappings'!$F815))),ISNUMBER(SEARCH(IF(J$2&lt;&gt;"",J$2,"NA"),'MITRE ATT&amp;CK Mappings'!$G815))),ISNUMBER(SEARCH(IF(J$2&lt;&gt;"",J$2,"NA"),'MITRE ATT&amp;CK Mappings'!$H815))),ISNUMBER(SEARCH(IF(J$3&lt;&gt;"",J$3,"NA"),'MITRE ATT&amp;CK Mappings'!$I815))),ISNUMBER(SEARCH(IF(J$3&lt;&gt;"",J$3,"NA"),'MITRE ATT&amp;CK Mappings'!$J815))), 'MITRE ATT&amp;CK Mappings'!$B815,"")</f>
        <v/>
      </c>
      <c r="K819" s="27" t="str">
        <f>IF(OR(OR(OR(OR(OR(ISNUMBER(SEARCH(IF(K$1&lt;&gt;"",K$1,"NA"),'MITRE ATT&amp;CK Mappings'!$E815)),ISNUMBER(SEARCH(IF(K$1&lt;&gt;"",K$1,"NA"),'MITRE ATT&amp;CK Mappings'!$F815))),ISNUMBER(SEARCH(IF(K$2&lt;&gt;"",K$2,"NA"),'MITRE ATT&amp;CK Mappings'!$G815))),ISNUMBER(SEARCH(IF(K$2&lt;&gt;"",K$2,"NA"),'MITRE ATT&amp;CK Mappings'!$H815))),ISNUMBER(SEARCH(IF(K$3&lt;&gt;"",K$3,"NA"),'MITRE ATT&amp;CK Mappings'!$I815))),ISNUMBER(SEARCH(IF(K$3&lt;&gt;"",K$3,"NA"),'MITRE ATT&amp;CK Mappings'!$J815))), 'MITRE ATT&amp;CK Mappings'!$B815,"")</f>
        <v/>
      </c>
      <c r="L819" s="27" t="str">
        <f>IF('MITRE ATT&amp;CK Mappings'!D815 &lt;&gt;"",'MITRE ATT&amp;CK Mappings'!D815,"" )</f>
        <v/>
      </c>
    </row>
    <row r="820" spans="1:12" x14ac:dyDescent="0.25">
      <c r="A820" s="26" t="str">
        <f>IF(COUNTIF(B820:K820,"="&amp;'MITRE ATT&amp;CK Mappings'!B816)&gt;0,'MITRE ATT&amp;CK Mappings'!B816,"")</f>
        <v/>
      </c>
      <c r="B820" s="26" t="str">
        <f>IF(OR(OR(OR(OR(OR(ISNUMBER(SEARCH(IF(B$1&lt;&gt;"",B$1,"NA"),'MITRE ATT&amp;CK Mappings'!$E816)),ISNUMBER(SEARCH(IF(B$1&lt;&gt;"",B$1,"NA"),'MITRE ATT&amp;CK Mappings'!$F816))),ISNUMBER(SEARCH(IF(B$2&lt;&gt;"",B$2,"NA"),'MITRE ATT&amp;CK Mappings'!$G816))),ISNUMBER(SEARCH(IF(B$2&lt;&gt;"",B$2,"NA"),'MITRE ATT&amp;CK Mappings'!$H816))),ISNUMBER(SEARCH(IF(B$3&lt;&gt;"",B$3,"NA"),'MITRE ATT&amp;CK Mappings'!$I816))),ISNUMBER(SEARCH(IF(B$3&lt;&gt;"",B$3,"NA"),'MITRE ATT&amp;CK Mappings'!$J816))), 'MITRE ATT&amp;CK Mappings'!$B816,"")</f>
        <v/>
      </c>
      <c r="C820" s="26" t="str">
        <f>IF(OR(OR(OR(OR(OR(ISNUMBER(SEARCH(IF(C$1&lt;&gt;"",C$1,"NA"),'MITRE ATT&amp;CK Mappings'!$E816)),ISNUMBER(SEARCH(IF(C$1&lt;&gt;"",C$1,"NA"),'MITRE ATT&amp;CK Mappings'!$F816))),ISNUMBER(SEARCH(IF(C$2&lt;&gt;"",C$2,"NA"),'MITRE ATT&amp;CK Mappings'!$G816))),ISNUMBER(SEARCH(IF(C$2&lt;&gt;"",C$2,"NA"),'MITRE ATT&amp;CK Mappings'!$H816))),ISNUMBER(SEARCH(IF(C$3&lt;&gt;"",C$3,"NA"),'MITRE ATT&amp;CK Mappings'!$I816))),ISNUMBER(SEARCH(IF(C$3&lt;&gt;"",C$3,"NA"),'MITRE ATT&amp;CK Mappings'!$J816))), 'MITRE ATT&amp;CK Mappings'!$B816,"")</f>
        <v/>
      </c>
      <c r="D820" s="26" t="str">
        <f>IF(OR(OR(OR(OR(OR(ISNUMBER(SEARCH(IF(D$1&lt;&gt;"",D$1,"NA"),'MITRE ATT&amp;CK Mappings'!$E816)),ISNUMBER(SEARCH(IF(D$1&lt;&gt;"",D$1,"NA"),'MITRE ATT&amp;CK Mappings'!$F816))),ISNUMBER(SEARCH(IF(D$2&lt;&gt;"",D$2,"NA"),'MITRE ATT&amp;CK Mappings'!$G816))),ISNUMBER(SEARCH(IF(D$2&lt;&gt;"",D$2,"NA"),'MITRE ATT&amp;CK Mappings'!$H816))),ISNUMBER(SEARCH(IF(D$3&lt;&gt;"",D$3,"NA"),'MITRE ATT&amp;CK Mappings'!$I816))),ISNUMBER(SEARCH(IF(D$3&lt;&gt;"",D$3,"NA"),'MITRE ATT&amp;CK Mappings'!$J816))), 'MITRE ATT&amp;CK Mappings'!$B816,"")</f>
        <v/>
      </c>
      <c r="E820" s="26" t="str">
        <f>IF(OR(OR(OR(OR(OR(ISNUMBER(SEARCH(IF(E$1&lt;&gt;"",E$1,"NA"),'MITRE ATT&amp;CK Mappings'!$E816)),ISNUMBER(SEARCH(IF(E$1&lt;&gt;"",E$1,"NA"),'MITRE ATT&amp;CK Mappings'!$F816))),ISNUMBER(SEARCH(IF(E$2&lt;&gt;"",E$2,"NA"),'MITRE ATT&amp;CK Mappings'!$G816))),ISNUMBER(SEARCH(IF(E$2&lt;&gt;"",E$2,"NA"),'MITRE ATT&amp;CK Mappings'!$H816))),ISNUMBER(SEARCH(IF(E$3&lt;&gt;"",E$3,"NA"),'MITRE ATT&amp;CK Mappings'!$I816))),ISNUMBER(SEARCH(IF(E$3&lt;&gt;"",E$3,"NA"),'MITRE ATT&amp;CK Mappings'!$J816))), 'MITRE ATT&amp;CK Mappings'!$B816,"")</f>
        <v/>
      </c>
      <c r="F820" s="26" t="str">
        <f>IF(OR(OR(OR(OR(OR(ISNUMBER(SEARCH(IF(F$1&lt;&gt;"",F$1,"NA"),'MITRE ATT&amp;CK Mappings'!$E816)),ISNUMBER(SEARCH(IF(F$1&lt;&gt;"",F$1,"NA"),'MITRE ATT&amp;CK Mappings'!$F816))),ISNUMBER(SEARCH(IF(F$2&lt;&gt;"",F$2,"NA"),'MITRE ATT&amp;CK Mappings'!$G816))),ISNUMBER(SEARCH(IF(F$2&lt;&gt;"",F$2,"NA"),'MITRE ATT&amp;CK Mappings'!$H816))),ISNUMBER(SEARCH(IF(F$3&lt;&gt;"",F$3,"NA"),'MITRE ATT&amp;CK Mappings'!$I816))),ISNUMBER(SEARCH(IF(F$3&lt;&gt;"",F$3,"NA"),'MITRE ATT&amp;CK Mappings'!$J816))), 'MITRE ATT&amp;CK Mappings'!$B816,"")</f>
        <v/>
      </c>
      <c r="G820" s="26" t="str">
        <f>IF(OR(OR(OR(OR(OR(ISNUMBER(SEARCH(IF(G$1&lt;&gt;"",G$1,"NA"),'MITRE ATT&amp;CK Mappings'!$E816)),ISNUMBER(SEARCH(IF(G$1&lt;&gt;"",G$1,"NA"),'MITRE ATT&amp;CK Mappings'!$F816))),ISNUMBER(SEARCH(IF(G$2&lt;&gt;"",G$2,"NA"),'MITRE ATT&amp;CK Mappings'!$G816))),ISNUMBER(SEARCH(IF(G$2&lt;&gt;"",G$2,"NA"),'MITRE ATT&amp;CK Mappings'!$H816))),ISNUMBER(SEARCH(IF(G$3&lt;&gt;"",G$3,"NA"),'MITRE ATT&amp;CK Mappings'!$I816))),ISNUMBER(SEARCH(IF(G$3&lt;&gt;"",G$3,"NA"),'MITRE ATT&amp;CK Mappings'!$J816))), 'MITRE ATT&amp;CK Mappings'!$B816,"")</f>
        <v/>
      </c>
      <c r="H820" s="26" t="str">
        <f>IF(OR(OR(OR(OR(OR(ISNUMBER(SEARCH(IF(H$1&lt;&gt;"",H$1,"NA"),'MITRE ATT&amp;CK Mappings'!$E816)),ISNUMBER(SEARCH(IF(H$1&lt;&gt;"",H$1,"NA"),'MITRE ATT&amp;CK Mappings'!$F816))),ISNUMBER(SEARCH(IF(H$2&lt;&gt;"",H$2,"NA"),'MITRE ATT&amp;CK Mappings'!$G816))),ISNUMBER(SEARCH(IF(H$2&lt;&gt;"",H$2,"NA"),'MITRE ATT&amp;CK Mappings'!$H816))),ISNUMBER(SEARCH(IF(H$3&lt;&gt;"",H$3,"NA"),'MITRE ATT&amp;CK Mappings'!$I816))),ISNUMBER(SEARCH(IF(H$3&lt;&gt;"",H$3,"NA"),'MITRE ATT&amp;CK Mappings'!$J816))), 'MITRE ATT&amp;CK Mappings'!$B816,"")</f>
        <v/>
      </c>
      <c r="I820" s="26" t="str">
        <f>IF(OR(OR(OR(OR(OR(ISNUMBER(SEARCH(IF(I$1&lt;&gt;"",I$1,"NA"),'MITRE ATT&amp;CK Mappings'!$E816)),ISNUMBER(SEARCH(IF(I$1&lt;&gt;"",I$1,"NA"),'MITRE ATT&amp;CK Mappings'!$F816))),ISNUMBER(SEARCH(IF(I$2&lt;&gt;"",I$2,"NA"),'MITRE ATT&amp;CK Mappings'!$G816))),ISNUMBER(SEARCH(IF(I$2&lt;&gt;"",I$2,"NA"),'MITRE ATT&amp;CK Mappings'!$H816))),ISNUMBER(SEARCH(IF(I$3&lt;&gt;"",I$3,"NA"),'MITRE ATT&amp;CK Mappings'!$I816))),ISNUMBER(SEARCH(IF(I$3&lt;&gt;"",I$3,"NA"),'MITRE ATT&amp;CK Mappings'!$J816))), 'MITRE ATT&amp;CK Mappings'!$B816,"")</f>
        <v/>
      </c>
      <c r="J820" s="26" t="str">
        <f>IF(OR(OR(OR(OR(OR(ISNUMBER(SEARCH(IF(J$1&lt;&gt;"",J$1,"NA"),'MITRE ATT&amp;CK Mappings'!$E816)),ISNUMBER(SEARCH(IF(J$1&lt;&gt;"",J$1,"NA"),'MITRE ATT&amp;CK Mappings'!$F816))),ISNUMBER(SEARCH(IF(J$2&lt;&gt;"",J$2,"NA"),'MITRE ATT&amp;CK Mappings'!$G816))),ISNUMBER(SEARCH(IF(J$2&lt;&gt;"",J$2,"NA"),'MITRE ATT&amp;CK Mappings'!$H816))),ISNUMBER(SEARCH(IF(J$3&lt;&gt;"",J$3,"NA"),'MITRE ATT&amp;CK Mappings'!$I816))),ISNUMBER(SEARCH(IF(J$3&lt;&gt;"",J$3,"NA"),'MITRE ATT&amp;CK Mappings'!$J816))), 'MITRE ATT&amp;CK Mappings'!$B816,"")</f>
        <v/>
      </c>
      <c r="K820" s="26" t="str">
        <f>IF(OR(OR(OR(OR(OR(ISNUMBER(SEARCH(IF(K$1&lt;&gt;"",K$1,"NA"),'MITRE ATT&amp;CK Mappings'!$E816)),ISNUMBER(SEARCH(IF(K$1&lt;&gt;"",K$1,"NA"),'MITRE ATT&amp;CK Mappings'!$F816))),ISNUMBER(SEARCH(IF(K$2&lt;&gt;"",K$2,"NA"),'MITRE ATT&amp;CK Mappings'!$G816))),ISNUMBER(SEARCH(IF(K$2&lt;&gt;"",K$2,"NA"),'MITRE ATT&amp;CK Mappings'!$H816))),ISNUMBER(SEARCH(IF(K$3&lt;&gt;"",K$3,"NA"),'MITRE ATT&amp;CK Mappings'!$I816))),ISNUMBER(SEARCH(IF(K$3&lt;&gt;"",K$3,"NA"),'MITRE ATT&amp;CK Mappings'!$J816))), 'MITRE ATT&amp;CK Mappings'!$B816,"")</f>
        <v/>
      </c>
      <c r="L820" s="26" t="str">
        <f>IF('MITRE ATT&amp;CK Mappings'!D816 &lt;&gt;"",'MITRE ATT&amp;CK Mappings'!D816,"" )</f>
        <v/>
      </c>
    </row>
    <row r="821" spans="1:12" x14ac:dyDescent="0.25">
      <c r="A821" s="27" t="str">
        <f>IF(COUNTIF(B821:K821,"="&amp;'MITRE ATT&amp;CK Mappings'!B817)&gt;0,'MITRE ATT&amp;CK Mappings'!B817,"")</f>
        <v/>
      </c>
      <c r="B821" s="27" t="str">
        <f>IF(OR(OR(OR(OR(OR(ISNUMBER(SEARCH(IF(B$1&lt;&gt;"",B$1,"NA"),'MITRE ATT&amp;CK Mappings'!$E817)),ISNUMBER(SEARCH(IF(B$1&lt;&gt;"",B$1,"NA"),'MITRE ATT&amp;CK Mappings'!$F817))),ISNUMBER(SEARCH(IF(B$2&lt;&gt;"",B$2,"NA"),'MITRE ATT&amp;CK Mappings'!$G817))),ISNUMBER(SEARCH(IF(B$2&lt;&gt;"",B$2,"NA"),'MITRE ATT&amp;CK Mappings'!$H817))),ISNUMBER(SEARCH(IF(B$3&lt;&gt;"",B$3,"NA"),'MITRE ATT&amp;CK Mappings'!$I817))),ISNUMBER(SEARCH(IF(B$3&lt;&gt;"",B$3,"NA"),'MITRE ATT&amp;CK Mappings'!$J817))), 'MITRE ATT&amp;CK Mappings'!$B817,"")</f>
        <v/>
      </c>
      <c r="C821" s="27" t="str">
        <f>IF(OR(OR(OR(OR(OR(ISNUMBER(SEARCH(IF(C$1&lt;&gt;"",C$1,"NA"),'MITRE ATT&amp;CK Mappings'!$E817)),ISNUMBER(SEARCH(IF(C$1&lt;&gt;"",C$1,"NA"),'MITRE ATT&amp;CK Mappings'!$F817))),ISNUMBER(SEARCH(IF(C$2&lt;&gt;"",C$2,"NA"),'MITRE ATT&amp;CK Mappings'!$G817))),ISNUMBER(SEARCH(IF(C$2&lt;&gt;"",C$2,"NA"),'MITRE ATT&amp;CK Mappings'!$H817))),ISNUMBER(SEARCH(IF(C$3&lt;&gt;"",C$3,"NA"),'MITRE ATT&amp;CK Mappings'!$I817))),ISNUMBER(SEARCH(IF(C$3&lt;&gt;"",C$3,"NA"),'MITRE ATT&amp;CK Mappings'!$J817))), 'MITRE ATT&amp;CK Mappings'!$B817,"")</f>
        <v/>
      </c>
      <c r="D821" s="27" t="str">
        <f>IF(OR(OR(OR(OR(OR(ISNUMBER(SEARCH(IF(D$1&lt;&gt;"",D$1,"NA"),'MITRE ATT&amp;CK Mappings'!$E817)),ISNUMBER(SEARCH(IF(D$1&lt;&gt;"",D$1,"NA"),'MITRE ATT&amp;CK Mappings'!$F817))),ISNUMBER(SEARCH(IF(D$2&lt;&gt;"",D$2,"NA"),'MITRE ATT&amp;CK Mappings'!$G817))),ISNUMBER(SEARCH(IF(D$2&lt;&gt;"",D$2,"NA"),'MITRE ATT&amp;CK Mappings'!$H817))),ISNUMBER(SEARCH(IF(D$3&lt;&gt;"",D$3,"NA"),'MITRE ATT&amp;CK Mappings'!$I817))),ISNUMBER(SEARCH(IF(D$3&lt;&gt;"",D$3,"NA"),'MITRE ATT&amp;CK Mappings'!$J817))), 'MITRE ATT&amp;CK Mappings'!$B817,"")</f>
        <v/>
      </c>
      <c r="E821" s="27" t="str">
        <f>IF(OR(OR(OR(OR(OR(ISNUMBER(SEARCH(IF(E$1&lt;&gt;"",E$1,"NA"),'MITRE ATT&amp;CK Mappings'!$E817)),ISNUMBER(SEARCH(IF(E$1&lt;&gt;"",E$1,"NA"),'MITRE ATT&amp;CK Mappings'!$F817))),ISNUMBER(SEARCH(IF(E$2&lt;&gt;"",E$2,"NA"),'MITRE ATT&amp;CK Mappings'!$G817))),ISNUMBER(SEARCH(IF(E$2&lt;&gt;"",E$2,"NA"),'MITRE ATT&amp;CK Mappings'!$H817))),ISNUMBER(SEARCH(IF(E$3&lt;&gt;"",E$3,"NA"),'MITRE ATT&amp;CK Mappings'!$I817))),ISNUMBER(SEARCH(IF(E$3&lt;&gt;"",E$3,"NA"),'MITRE ATT&amp;CK Mappings'!$J817))), 'MITRE ATT&amp;CK Mappings'!$B817,"")</f>
        <v/>
      </c>
      <c r="F821" s="27" t="str">
        <f>IF(OR(OR(OR(OR(OR(ISNUMBER(SEARCH(IF(F$1&lt;&gt;"",F$1,"NA"),'MITRE ATT&amp;CK Mappings'!$E817)),ISNUMBER(SEARCH(IF(F$1&lt;&gt;"",F$1,"NA"),'MITRE ATT&amp;CK Mappings'!$F817))),ISNUMBER(SEARCH(IF(F$2&lt;&gt;"",F$2,"NA"),'MITRE ATT&amp;CK Mappings'!$G817))),ISNUMBER(SEARCH(IF(F$2&lt;&gt;"",F$2,"NA"),'MITRE ATT&amp;CK Mappings'!$H817))),ISNUMBER(SEARCH(IF(F$3&lt;&gt;"",F$3,"NA"),'MITRE ATT&amp;CK Mappings'!$I817))),ISNUMBER(SEARCH(IF(F$3&lt;&gt;"",F$3,"NA"),'MITRE ATT&amp;CK Mappings'!$J817))), 'MITRE ATT&amp;CK Mappings'!$B817,"")</f>
        <v/>
      </c>
      <c r="G821" s="27" t="str">
        <f>IF(OR(OR(OR(OR(OR(ISNUMBER(SEARCH(IF(G$1&lt;&gt;"",G$1,"NA"),'MITRE ATT&amp;CK Mappings'!$E817)),ISNUMBER(SEARCH(IF(G$1&lt;&gt;"",G$1,"NA"),'MITRE ATT&amp;CK Mappings'!$F817))),ISNUMBER(SEARCH(IF(G$2&lt;&gt;"",G$2,"NA"),'MITRE ATT&amp;CK Mappings'!$G817))),ISNUMBER(SEARCH(IF(G$2&lt;&gt;"",G$2,"NA"),'MITRE ATT&amp;CK Mappings'!$H817))),ISNUMBER(SEARCH(IF(G$3&lt;&gt;"",G$3,"NA"),'MITRE ATT&amp;CK Mappings'!$I817))),ISNUMBER(SEARCH(IF(G$3&lt;&gt;"",G$3,"NA"),'MITRE ATT&amp;CK Mappings'!$J817))), 'MITRE ATT&amp;CK Mappings'!$B817,"")</f>
        <v/>
      </c>
      <c r="H821" s="27" t="str">
        <f>IF(OR(OR(OR(OR(OR(ISNUMBER(SEARCH(IF(H$1&lt;&gt;"",H$1,"NA"),'MITRE ATT&amp;CK Mappings'!$E817)),ISNUMBER(SEARCH(IF(H$1&lt;&gt;"",H$1,"NA"),'MITRE ATT&amp;CK Mappings'!$F817))),ISNUMBER(SEARCH(IF(H$2&lt;&gt;"",H$2,"NA"),'MITRE ATT&amp;CK Mappings'!$G817))),ISNUMBER(SEARCH(IF(H$2&lt;&gt;"",H$2,"NA"),'MITRE ATT&amp;CK Mappings'!$H817))),ISNUMBER(SEARCH(IF(H$3&lt;&gt;"",H$3,"NA"),'MITRE ATT&amp;CK Mappings'!$I817))),ISNUMBER(SEARCH(IF(H$3&lt;&gt;"",H$3,"NA"),'MITRE ATT&amp;CK Mappings'!$J817))), 'MITRE ATT&amp;CK Mappings'!$B817,"")</f>
        <v/>
      </c>
      <c r="I821" s="27" t="str">
        <f>IF(OR(OR(OR(OR(OR(ISNUMBER(SEARCH(IF(I$1&lt;&gt;"",I$1,"NA"),'MITRE ATT&amp;CK Mappings'!$E817)),ISNUMBER(SEARCH(IF(I$1&lt;&gt;"",I$1,"NA"),'MITRE ATT&amp;CK Mappings'!$F817))),ISNUMBER(SEARCH(IF(I$2&lt;&gt;"",I$2,"NA"),'MITRE ATT&amp;CK Mappings'!$G817))),ISNUMBER(SEARCH(IF(I$2&lt;&gt;"",I$2,"NA"),'MITRE ATT&amp;CK Mappings'!$H817))),ISNUMBER(SEARCH(IF(I$3&lt;&gt;"",I$3,"NA"),'MITRE ATT&amp;CK Mappings'!$I817))),ISNUMBER(SEARCH(IF(I$3&lt;&gt;"",I$3,"NA"),'MITRE ATT&amp;CK Mappings'!$J817))), 'MITRE ATT&amp;CK Mappings'!$B817,"")</f>
        <v/>
      </c>
      <c r="J821" s="27" t="str">
        <f>IF(OR(OR(OR(OR(OR(ISNUMBER(SEARCH(IF(J$1&lt;&gt;"",J$1,"NA"),'MITRE ATT&amp;CK Mappings'!$E817)),ISNUMBER(SEARCH(IF(J$1&lt;&gt;"",J$1,"NA"),'MITRE ATT&amp;CK Mappings'!$F817))),ISNUMBER(SEARCH(IF(J$2&lt;&gt;"",J$2,"NA"),'MITRE ATT&amp;CK Mappings'!$G817))),ISNUMBER(SEARCH(IF(J$2&lt;&gt;"",J$2,"NA"),'MITRE ATT&amp;CK Mappings'!$H817))),ISNUMBER(SEARCH(IF(J$3&lt;&gt;"",J$3,"NA"),'MITRE ATT&amp;CK Mappings'!$I817))),ISNUMBER(SEARCH(IF(J$3&lt;&gt;"",J$3,"NA"),'MITRE ATT&amp;CK Mappings'!$J817))), 'MITRE ATT&amp;CK Mappings'!$B817,"")</f>
        <v/>
      </c>
      <c r="K821" s="27" t="str">
        <f>IF(OR(OR(OR(OR(OR(ISNUMBER(SEARCH(IF(K$1&lt;&gt;"",K$1,"NA"),'MITRE ATT&amp;CK Mappings'!$E817)),ISNUMBER(SEARCH(IF(K$1&lt;&gt;"",K$1,"NA"),'MITRE ATT&amp;CK Mappings'!$F817))),ISNUMBER(SEARCH(IF(K$2&lt;&gt;"",K$2,"NA"),'MITRE ATT&amp;CK Mappings'!$G817))),ISNUMBER(SEARCH(IF(K$2&lt;&gt;"",K$2,"NA"),'MITRE ATT&amp;CK Mappings'!$H817))),ISNUMBER(SEARCH(IF(K$3&lt;&gt;"",K$3,"NA"),'MITRE ATT&amp;CK Mappings'!$I817))),ISNUMBER(SEARCH(IF(K$3&lt;&gt;"",K$3,"NA"),'MITRE ATT&amp;CK Mappings'!$J817))), 'MITRE ATT&amp;CK Mappings'!$B817,"")</f>
        <v/>
      </c>
      <c r="L821" s="27" t="str">
        <f>IF('MITRE ATT&amp;CK Mappings'!D817 &lt;&gt;"",'MITRE ATT&amp;CK Mappings'!D817,"" )</f>
        <v/>
      </c>
    </row>
    <row r="822" spans="1:12" x14ac:dyDescent="0.25">
      <c r="A822" s="26" t="str">
        <f>IF(COUNTIF(B822:K822,"="&amp;'MITRE ATT&amp;CK Mappings'!B818)&gt;0,'MITRE ATT&amp;CK Mappings'!B818,"")</f>
        <v/>
      </c>
      <c r="B822" s="26" t="str">
        <f>IF(OR(OR(OR(OR(OR(ISNUMBER(SEARCH(IF(B$1&lt;&gt;"",B$1,"NA"),'MITRE ATT&amp;CK Mappings'!$E818)),ISNUMBER(SEARCH(IF(B$1&lt;&gt;"",B$1,"NA"),'MITRE ATT&amp;CK Mappings'!$F818))),ISNUMBER(SEARCH(IF(B$2&lt;&gt;"",B$2,"NA"),'MITRE ATT&amp;CK Mappings'!$G818))),ISNUMBER(SEARCH(IF(B$2&lt;&gt;"",B$2,"NA"),'MITRE ATT&amp;CK Mappings'!$H818))),ISNUMBER(SEARCH(IF(B$3&lt;&gt;"",B$3,"NA"),'MITRE ATT&amp;CK Mappings'!$I818))),ISNUMBER(SEARCH(IF(B$3&lt;&gt;"",B$3,"NA"),'MITRE ATT&amp;CK Mappings'!$J818))), 'MITRE ATT&amp;CK Mappings'!$B818,"")</f>
        <v/>
      </c>
      <c r="C822" s="26" t="str">
        <f>IF(OR(OR(OR(OR(OR(ISNUMBER(SEARCH(IF(C$1&lt;&gt;"",C$1,"NA"),'MITRE ATT&amp;CK Mappings'!$E818)),ISNUMBER(SEARCH(IF(C$1&lt;&gt;"",C$1,"NA"),'MITRE ATT&amp;CK Mappings'!$F818))),ISNUMBER(SEARCH(IF(C$2&lt;&gt;"",C$2,"NA"),'MITRE ATT&amp;CK Mappings'!$G818))),ISNUMBER(SEARCH(IF(C$2&lt;&gt;"",C$2,"NA"),'MITRE ATT&amp;CK Mappings'!$H818))),ISNUMBER(SEARCH(IF(C$3&lt;&gt;"",C$3,"NA"),'MITRE ATT&amp;CK Mappings'!$I818))),ISNUMBER(SEARCH(IF(C$3&lt;&gt;"",C$3,"NA"),'MITRE ATT&amp;CK Mappings'!$J818))), 'MITRE ATT&amp;CK Mappings'!$B818,"")</f>
        <v/>
      </c>
      <c r="D822" s="26" t="str">
        <f>IF(OR(OR(OR(OR(OR(ISNUMBER(SEARCH(IF(D$1&lt;&gt;"",D$1,"NA"),'MITRE ATT&amp;CK Mappings'!$E818)),ISNUMBER(SEARCH(IF(D$1&lt;&gt;"",D$1,"NA"),'MITRE ATT&amp;CK Mappings'!$F818))),ISNUMBER(SEARCH(IF(D$2&lt;&gt;"",D$2,"NA"),'MITRE ATT&amp;CK Mappings'!$G818))),ISNUMBER(SEARCH(IF(D$2&lt;&gt;"",D$2,"NA"),'MITRE ATT&amp;CK Mappings'!$H818))),ISNUMBER(SEARCH(IF(D$3&lt;&gt;"",D$3,"NA"),'MITRE ATT&amp;CK Mappings'!$I818))),ISNUMBER(SEARCH(IF(D$3&lt;&gt;"",D$3,"NA"),'MITRE ATT&amp;CK Mappings'!$J818))), 'MITRE ATT&amp;CK Mappings'!$B818,"")</f>
        <v/>
      </c>
      <c r="E822" s="26" t="str">
        <f>IF(OR(OR(OR(OR(OR(ISNUMBER(SEARCH(IF(E$1&lt;&gt;"",E$1,"NA"),'MITRE ATT&amp;CK Mappings'!$E818)),ISNUMBER(SEARCH(IF(E$1&lt;&gt;"",E$1,"NA"),'MITRE ATT&amp;CK Mappings'!$F818))),ISNUMBER(SEARCH(IF(E$2&lt;&gt;"",E$2,"NA"),'MITRE ATT&amp;CK Mappings'!$G818))),ISNUMBER(SEARCH(IF(E$2&lt;&gt;"",E$2,"NA"),'MITRE ATT&amp;CK Mappings'!$H818))),ISNUMBER(SEARCH(IF(E$3&lt;&gt;"",E$3,"NA"),'MITRE ATT&amp;CK Mappings'!$I818))),ISNUMBER(SEARCH(IF(E$3&lt;&gt;"",E$3,"NA"),'MITRE ATT&amp;CK Mappings'!$J818))), 'MITRE ATT&amp;CK Mappings'!$B818,"")</f>
        <v/>
      </c>
      <c r="F822" s="26" t="str">
        <f>IF(OR(OR(OR(OR(OR(ISNUMBER(SEARCH(IF(F$1&lt;&gt;"",F$1,"NA"),'MITRE ATT&amp;CK Mappings'!$E818)),ISNUMBER(SEARCH(IF(F$1&lt;&gt;"",F$1,"NA"),'MITRE ATT&amp;CK Mappings'!$F818))),ISNUMBER(SEARCH(IF(F$2&lt;&gt;"",F$2,"NA"),'MITRE ATT&amp;CK Mappings'!$G818))),ISNUMBER(SEARCH(IF(F$2&lt;&gt;"",F$2,"NA"),'MITRE ATT&amp;CK Mappings'!$H818))),ISNUMBER(SEARCH(IF(F$3&lt;&gt;"",F$3,"NA"),'MITRE ATT&amp;CK Mappings'!$I818))),ISNUMBER(SEARCH(IF(F$3&lt;&gt;"",F$3,"NA"),'MITRE ATT&amp;CK Mappings'!$J818))), 'MITRE ATT&amp;CK Mappings'!$B818,"")</f>
        <v/>
      </c>
      <c r="G822" s="26" t="str">
        <f>IF(OR(OR(OR(OR(OR(ISNUMBER(SEARCH(IF(G$1&lt;&gt;"",G$1,"NA"),'MITRE ATT&amp;CK Mappings'!$E818)),ISNUMBER(SEARCH(IF(G$1&lt;&gt;"",G$1,"NA"),'MITRE ATT&amp;CK Mappings'!$F818))),ISNUMBER(SEARCH(IF(G$2&lt;&gt;"",G$2,"NA"),'MITRE ATT&amp;CK Mappings'!$G818))),ISNUMBER(SEARCH(IF(G$2&lt;&gt;"",G$2,"NA"),'MITRE ATT&amp;CK Mappings'!$H818))),ISNUMBER(SEARCH(IF(G$3&lt;&gt;"",G$3,"NA"),'MITRE ATT&amp;CK Mappings'!$I818))),ISNUMBER(SEARCH(IF(G$3&lt;&gt;"",G$3,"NA"),'MITRE ATT&amp;CK Mappings'!$J818))), 'MITRE ATT&amp;CK Mappings'!$B818,"")</f>
        <v/>
      </c>
      <c r="H822" s="26" t="str">
        <f>IF(OR(OR(OR(OR(OR(ISNUMBER(SEARCH(IF(H$1&lt;&gt;"",H$1,"NA"),'MITRE ATT&amp;CK Mappings'!$E818)),ISNUMBER(SEARCH(IF(H$1&lt;&gt;"",H$1,"NA"),'MITRE ATT&amp;CK Mappings'!$F818))),ISNUMBER(SEARCH(IF(H$2&lt;&gt;"",H$2,"NA"),'MITRE ATT&amp;CK Mappings'!$G818))),ISNUMBER(SEARCH(IF(H$2&lt;&gt;"",H$2,"NA"),'MITRE ATT&amp;CK Mappings'!$H818))),ISNUMBER(SEARCH(IF(H$3&lt;&gt;"",H$3,"NA"),'MITRE ATT&amp;CK Mappings'!$I818))),ISNUMBER(SEARCH(IF(H$3&lt;&gt;"",H$3,"NA"),'MITRE ATT&amp;CK Mappings'!$J818))), 'MITRE ATT&amp;CK Mappings'!$B818,"")</f>
        <v/>
      </c>
      <c r="I822" s="26" t="str">
        <f>IF(OR(OR(OR(OR(OR(ISNUMBER(SEARCH(IF(I$1&lt;&gt;"",I$1,"NA"),'MITRE ATT&amp;CK Mappings'!$E818)),ISNUMBER(SEARCH(IF(I$1&lt;&gt;"",I$1,"NA"),'MITRE ATT&amp;CK Mappings'!$F818))),ISNUMBER(SEARCH(IF(I$2&lt;&gt;"",I$2,"NA"),'MITRE ATT&amp;CK Mappings'!$G818))),ISNUMBER(SEARCH(IF(I$2&lt;&gt;"",I$2,"NA"),'MITRE ATT&amp;CK Mappings'!$H818))),ISNUMBER(SEARCH(IF(I$3&lt;&gt;"",I$3,"NA"),'MITRE ATT&amp;CK Mappings'!$I818))),ISNUMBER(SEARCH(IF(I$3&lt;&gt;"",I$3,"NA"),'MITRE ATT&amp;CK Mappings'!$J818))), 'MITRE ATT&amp;CK Mappings'!$B818,"")</f>
        <v/>
      </c>
      <c r="J822" s="26" t="str">
        <f>IF(OR(OR(OR(OR(OR(ISNUMBER(SEARCH(IF(J$1&lt;&gt;"",J$1,"NA"),'MITRE ATT&amp;CK Mappings'!$E818)),ISNUMBER(SEARCH(IF(J$1&lt;&gt;"",J$1,"NA"),'MITRE ATT&amp;CK Mappings'!$F818))),ISNUMBER(SEARCH(IF(J$2&lt;&gt;"",J$2,"NA"),'MITRE ATT&amp;CK Mappings'!$G818))),ISNUMBER(SEARCH(IF(J$2&lt;&gt;"",J$2,"NA"),'MITRE ATT&amp;CK Mappings'!$H818))),ISNUMBER(SEARCH(IF(J$3&lt;&gt;"",J$3,"NA"),'MITRE ATT&amp;CK Mappings'!$I818))),ISNUMBER(SEARCH(IF(J$3&lt;&gt;"",J$3,"NA"),'MITRE ATT&amp;CK Mappings'!$J818))), 'MITRE ATT&amp;CK Mappings'!$B818,"")</f>
        <v/>
      </c>
      <c r="K822" s="26" t="str">
        <f>IF(OR(OR(OR(OR(OR(ISNUMBER(SEARCH(IF(K$1&lt;&gt;"",K$1,"NA"),'MITRE ATT&amp;CK Mappings'!$E818)),ISNUMBER(SEARCH(IF(K$1&lt;&gt;"",K$1,"NA"),'MITRE ATT&amp;CK Mappings'!$F818))),ISNUMBER(SEARCH(IF(K$2&lt;&gt;"",K$2,"NA"),'MITRE ATT&amp;CK Mappings'!$G818))),ISNUMBER(SEARCH(IF(K$2&lt;&gt;"",K$2,"NA"),'MITRE ATT&amp;CK Mappings'!$H818))),ISNUMBER(SEARCH(IF(K$3&lt;&gt;"",K$3,"NA"),'MITRE ATT&amp;CK Mappings'!$I818))),ISNUMBER(SEARCH(IF(K$3&lt;&gt;"",K$3,"NA"),'MITRE ATT&amp;CK Mappings'!$J818))), 'MITRE ATT&amp;CK Mappings'!$B818,"")</f>
        <v/>
      </c>
      <c r="L822" s="26" t="str">
        <f>IF('MITRE ATT&amp;CK Mappings'!D818 &lt;&gt;"",'MITRE ATT&amp;CK Mappings'!D818,"" )</f>
        <v/>
      </c>
    </row>
    <row r="823" spans="1:12" x14ac:dyDescent="0.25">
      <c r="A823" s="27" t="str">
        <f>IF(COUNTIF(B823:K823,"="&amp;'MITRE ATT&amp;CK Mappings'!B819)&gt;0,'MITRE ATT&amp;CK Mappings'!B819,"")</f>
        <v/>
      </c>
      <c r="B823" s="27" t="str">
        <f>IF(OR(OR(OR(OR(OR(ISNUMBER(SEARCH(IF(B$1&lt;&gt;"",B$1,"NA"),'MITRE ATT&amp;CK Mappings'!$E819)),ISNUMBER(SEARCH(IF(B$1&lt;&gt;"",B$1,"NA"),'MITRE ATT&amp;CK Mappings'!$F819))),ISNUMBER(SEARCH(IF(B$2&lt;&gt;"",B$2,"NA"),'MITRE ATT&amp;CK Mappings'!$G819))),ISNUMBER(SEARCH(IF(B$2&lt;&gt;"",B$2,"NA"),'MITRE ATT&amp;CK Mappings'!$H819))),ISNUMBER(SEARCH(IF(B$3&lt;&gt;"",B$3,"NA"),'MITRE ATT&amp;CK Mappings'!$I819))),ISNUMBER(SEARCH(IF(B$3&lt;&gt;"",B$3,"NA"),'MITRE ATT&amp;CK Mappings'!$J819))), 'MITRE ATT&amp;CK Mappings'!$B819,"")</f>
        <v/>
      </c>
      <c r="C823" s="27" t="str">
        <f>IF(OR(OR(OR(OR(OR(ISNUMBER(SEARCH(IF(C$1&lt;&gt;"",C$1,"NA"),'MITRE ATT&amp;CK Mappings'!$E819)),ISNUMBER(SEARCH(IF(C$1&lt;&gt;"",C$1,"NA"),'MITRE ATT&amp;CK Mappings'!$F819))),ISNUMBER(SEARCH(IF(C$2&lt;&gt;"",C$2,"NA"),'MITRE ATT&amp;CK Mappings'!$G819))),ISNUMBER(SEARCH(IF(C$2&lt;&gt;"",C$2,"NA"),'MITRE ATT&amp;CK Mappings'!$H819))),ISNUMBER(SEARCH(IF(C$3&lt;&gt;"",C$3,"NA"),'MITRE ATT&amp;CK Mappings'!$I819))),ISNUMBER(SEARCH(IF(C$3&lt;&gt;"",C$3,"NA"),'MITRE ATT&amp;CK Mappings'!$J819))), 'MITRE ATT&amp;CK Mappings'!$B819,"")</f>
        <v/>
      </c>
      <c r="D823" s="27" t="str">
        <f>IF(OR(OR(OR(OR(OR(ISNUMBER(SEARCH(IF(D$1&lt;&gt;"",D$1,"NA"),'MITRE ATT&amp;CK Mappings'!$E819)),ISNUMBER(SEARCH(IF(D$1&lt;&gt;"",D$1,"NA"),'MITRE ATT&amp;CK Mappings'!$F819))),ISNUMBER(SEARCH(IF(D$2&lt;&gt;"",D$2,"NA"),'MITRE ATT&amp;CK Mappings'!$G819))),ISNUMBER(SEARCH(IF(D$2&lt;&gt;"",D$2,"NA"),'MITRE ATT&amp;CK Mappings'!$H819))),ISNUMBER(SEARCH(IF(D$3&lt;&gt;"",D$3,"NA"),'MITRE ATT&amp;CK Mappings'!$I819))),ISNUMBER(SEARCH(IF(D$3&lt;&gt;"",D$3,"NA"),'MITRE ATT&amp;CK Mappings'!$J819))), 'MITRE ATT&amp;CK Mappings'!$B819,"")</f>
        <v/>
      </c>
      <c r="E823" s="27" t="str">
        <f>IF(OR(OR(OR(OR(OR(ISNUMBER(SEARCH(IF(E$1&lt;&gt;"",E$1,"NA"),'MITRE ATT&amp;CK Mappings'!$E819)),ISNUMBER(SEARCH(IF(E$1&lt;&gt;"",E$1,"NA"),'MITRE ATT&amp;CK Mappings'!$F819))),ISNUMBER(SEARCH(IF(E$2&lt;&gt;"",E$2,"NA"),'MITRE ATT&amp;CK Mappings'!$G819))),ISNUMBER(SEARCH(IF(E$2&lt;&gt;"",E$2,"NA"),'MITRE ATT&amp;CK Mappings'!$H819))),ISNUMBER(SEARCH(IF(E$3&lt;&gt;"",E$3,"NA"),'MITRE ATT&amp;CK Mappings'!$I819))),ISNUMBER(SEARCH(IF(E$3&lt;&gt;"",E$3,"NA"),'MITRE ATT&amp;CK Mappings'!$J819))), 'MITRE ATT&amp;CK Mappings'!$B819,"")</f>
        <v/>
      </c>
      <c r="F823" s="27" t="str">
        <f>IF(OR(OR(OR(OR(OR(ISNUMBER(SEARCH(IF(F$1&lt;&gt;"",F$1,"NA"),'MITRE ATT&amp;CK Mappings'!$E819)),ISNUMBER(SEARCH(IF(F$1&lt;&gt;"",F$1,"NA"),'MITRE ATT&amp;CK Mappings'!$F819))),ISNUMBER(SEARCH(IF(F$2&lt;&gt;"",F$2,"NA"),'MITRE ATT&amp;CK Mappings'!$G819))),ISNUMBER(SEARCH(IF(F$2&lt;&gt;"",F$2,"NA"),'MITRE ATT&amp;CK Mappings'!$H819))),ISNUMBER(SEARCH(IF(F$3&lt;&gt;"",F$3,"NA"),'MITRE ATT&amp;CK Mappings'!$I819))),ISNUMBER(SEARCH(IF(F$3&lt;&gt;"",F$3,"NA"),'MITRE ATT&amp;CK Mappings'!$J819))), 'MITRE ATT&amp;CK Mappings'!$B819,"")</f>
        <v/>
      </c>
      <c r="G823" s="27" t="str">
        <f>IF(OR(OR(OR(OR(OR(ISNUMBER(SEARCH(IF(G$1&lt;&gt;"",G$1,"NA"),'MITRE ATT&amp;CK Mappings'!$E819)),ISNUMBER(SEARCH(IF(G$1&lt;&gt;"",G$1,"NA"),'MITRE ATT&amp;CK Mappings'!$F819))),ISNUMBER(SEARCH(IF(G$2&lt;&gt;"",G$2,"NA"),'MITRE ATT&amp;CK Mappings'!$G819))),ISNUMBER(SEARCH(IF(G$2&lt;&gt;"",G$2,"NA"),'MITRE ATT&amp;CK Mappings'!$H819))),ISNUMBER(SEARCH(IF(G$3&lt;&gt;"",G$3,"NA"),'MITRE ATT&amp;CK Mappings'!$I819))),ISNUMBER(SEARCH(IF(G$3&lt;&gt;"",G$3,"NA"),'MITRE ATT&amp;CK Mappings'!$J819))), 'MITRE ATT&amp;CK Mappings'!$B819,"")</f>
        <v/>
      </c>
      <c r="H823" s="27" t="str">
        <f>IF(OR(OR(OR(OR(OR(ISNUMBER(SEARCH(IF(H$1&lt;&gt;"",H$1,"NA"),'MITRE ATT&amp;CK Mappings'!$E819)),ISNUMBER(SEARCH(IF(H$1&lt;&gt;"",H$1,"NA"),'MITRE ATT&amp;CK Mappings'!$F819))),ISNUMBER(SEARCH(IF(H$2&lt;&gt;"",H$2,"NA"),'MITRE ATT&amp;CK Mappings'!$G819))),ISNUMBER(SEARCH(IF(H$2&lt;&gt;"",H$2,"NA"),'MITRE ATT&amp;CK Mappings'!$H819))),ISNUMBER(SEARCH(IF(H$3&lt;&gt;"",H$3,"NA"),'MITRE ATT&amp;CK Mappings'!$I819))),ISNUMBER(SEARCH(IF(H$3&lt;&gt;"",H$3,"NA"),'MITRE ATT&amp;CK Mappings'!$J819))), 'MITRE ATT&amp;CK Mappings'!$B819,"")</f>
        <v/>
      </c>
      <c r="I823" s="27" t="str">
        <f>IF(OR(OR(OR(OR(OR(ISNUMBER(SEARCH(IF(I$1&lt;&gt;"",I$1,"NA"),'MITRE ATT&amp;CK Mappings'!$E819)),ISNUMBER(SEARCH(IF(I$1&lt;&gt;"",I$1,"NA"),'MITRE ATT&amp;CK Mappings'!$F819))),ISNUMBER(SEARCH(IF(I$2&lt;&gt;"",I$2,"NA"),'MITRE ATT&amp;CK Mappings'!$G819))),ISNUMBER(SEARCH(IF(I$2&lt;&gt;"",I$2,"NA"),'MITRE ATT&amp;CK Mappings'!$H819))),ISNUMBER(SEARCH(IF(I$3&lt;&gt;"",I$3,"NA"),'MITRE ATT&amp;CK Mappings'!$I819))),ISNUMBER(SEARCH(IF(I$3&lt;&gt;"",I$3,"NA"),'MITRE ATT&amp;CK Mappings'!$J819))), 'MITRE ATT&amp;CK Mappings'!$B819,"")</f>
        <v/>
      </c>
      <c r="J823" s="27" t="str">
        <f>IF(OR(OR(OR(OR(OR(ISNUMBER(SEARCH(IF(J$1&lt;&gt;"",J$1,"NA"),'MITRE ATT&amp;CK Mappings'!$E819)),ISNUMBER(SEARCH(IF(J$1&lt;&gt;"",J$1,"NA"),'MITRE ATT&amp;CK Mappings'!$F819))),ISNUMBER(SEARCH(IF(J$2&lt;&gt;"",J$2,"NA"),'MITRE ATT&amp;CK Mappings'!$G819))),ISNUMBER(SEARCH(IF(J$2&lt;&gt;"",J$2,"NA"),'MITRE ATT&amp;CK Mappings'!$H819))),ISNUMBER(SEARCH(IF(J$3&lt;&gt;"",J$3,"NA"),'MITRE ATT&amp;CK Mappings'!$I819))),ISNUMBER(SEARCH(IF(J$3&lt;&gt;"",J$3,"NA"),'MITRE ATT&amp;CK Mappings'!$J819))), 'MITRE ATT&amp;CK Mappings'!$B819,"")</f>
        <v/>
      </c>
      <c r="K823" s="27" t="str">
        <f>IF(OR(OR(OR(OR(OR(ISNUMBER(SEARCH(IF(K$1&lt;&gt;"",K$1,"NA"),'MITRE ATT&amp;CK Mappings'!$E819)),ISNUMBER(SEARCH(IF(K$1&lt;&gt;"",K$1,"NA"),'MITRE ATT&amp;CK Mappings'!$F819))),ISNUMBER(SEARCH(IF(K$2&lt;&gt;"",K$2,"NA"),'MITRE ATT&amp;CK Mappings'!$G819))),ISNUMBER(SEARCH(IF(K$2&lt;&gt;"",K$2,"NA"),'MITRE ATT&amp;CK Mappings'!$H819))),ISNUMBER(SEARCH(IF(K$3&lt;&gt;"",K$3,"NA"),'MITRE ATT&amp;CK Mappings'!$I819))),ISNUMBER(SEARCH(IF(K$3&lt;&gt;"",K$3,"NA"),'MITRE ATT&amp;CK Mappings'!$J819))), 'MITRE ATT&amp;CK Mappings'!$B819,"")</f>
        <v/>
      </c>
      <c r="L823" s="27" t="str">
        <f>IF('MITRE ATT&amp;CK Mappings'!D819 &lt;&gt;"",'MITRE ATT&amp;CK Mappings'!D819,"" )</f>
        <v/>
      </c>
    </row>
    <row r="824" spans="1:12" x14ac:dyDescent="0.25">
      <c r="A824" s="26" t="str">
        <f>IF(COUNTIF(B824:K824,"="&amp;'MITRE ATT&amp;CK Mappings'!B820)&gt;0,'MITRE ATT&amp;CK Mappings'!B820,"")</f>
        <v/>
      </c>
      <c r="B824" s="26" t="str">
        <f>IF(OR(OR(OR(OR(OR(ISNUMBER(SEARCH(IF(B$1&lt;&gt;"",B$1,"NA"),'MITRE ATT&amp;CK Mappings'!$E820)),ISNUMBER(SEARCH(IF(B$1&lt;&gt;"",B$1,"NA"),'MITRE ATT&amp;CK Mappings'!$F820))),ISNUMBER(SEARCH(IF(B$2&lt;&gt;"",B$2,"NA"),'MITRE ATT&amp;CK Mappings'!$G820))),ISNUMBER(SEARCH(IF(B$2&lt;&gt;"",B$2,"NA"),'MITRE ATT&amp;CK Mappings'!$H820))),ISNUMBER(SEARCH(IF(B$3&lt;&gt;"",B$3,"NA"),'MITRE ATT&amp;CK Mappings'!$I820))),ISNUMBER(SEARCH(IF(B$3&lt;&gt;"",B$3,"NA"),'MITRE ATT&amp;CK Mappings'!$J820))), 'MITRE ATT&amp;CK Mappings'!$B820,"")</f>
        <v/>
      </c>
      <c r="C824" s="26" t="str">
        <f>IF(OR(OR(OR(OR(OR(ISNUMBER(SEARCH(IF(C$1&lt;&gt;"",C$1,"NA"),'MITRE ATT&amp;CK Mappings'!$E820)),ISNUMBER(SEARCH(IF(C$1&lt;&gt;"",C$1,"NA"),'MITRE ATT&amp;CK Mappings'!$F820))),ISNUMBER(SEARCH(IF(C$2&lt;&gt;"",C$2,"NA"),'MITRE ATT&amp;CK Mappings'!$G820))),ISNUMBER(SEARCH(IF(C$2&lt;&gt;"",C$2,"NA"),'MITRE ATT&amp;CK Mappings'!$H820))),ISNUMBER(SEARCH(IF(C$3&lt;&gt;"",C$3,"NA"),'MITRE ATT&amp;CK Mappings'!$I820))),ISNUMBER(SEARCH(IF(C$3&lt;&gt;"",C$3,"NA"),'MITRE ATT&amp;CK Mappings'!$J820))), 'MITRE ATT&amp;CK Mappings'!$B820,"")</f>
        <v/>
      </c>
      <c r="D824" s="26" t="str">
        <f>IF(OR(OR(OR(OR(OR(ISNUMBER(SEARCH(IF(D$1&lt;&gt;"",D$1,"NA"),'MITRE ATT&amp;CK Mappings'!$E820)),ISNUMBER(SEARCH(IF(D$1&lt;&gt;"",D$1,"NA"),'MITRE ATT&amp;CK Mappings'!$F820))),ISNUMBER(SEARCH(IF(D$2&lt;&gt;"",D$2,"NA"),'MITRE ATT&amp;CK Mappings'!$G820))),ISNUMBER(SEARCH(IF(D$2&lt;&gt;"",D$2,"NA"),'MITRE ATT&amp;CK Mappings'!$H820))),ISNUMBER(SEARCH(IF(D$3&lt;&gt;"",D$3,"NA"),'MITRE ATT&amp;CK Mappings'!$I820))),ISNUMBER(SEARCH(IF(D$3&lt;&gt;"",D$3,"NA"),'MITRE ATT&amp;CK Mappings'!$J820))), 'MITRE ATT&amp;CK Mappings'!$B820,"")</f>
        <v/>
      </c>
      <c r="E824" s="26" t="str">
        <f>IF(OR(OR(OR(OR(OR(ISNUMBER(SEARCH(IF(E$1&lt;&gt;"",E$1,"NA"),'MITRE ATT&amp;CK Mappings'!$E820)),ISNUMBER(SEARCH(IF(E$1&lt;&gt;"",E$1,"NA"),'MITRE ATT&amp;CK Mappings'!$F820))),ISNUMBER(SEARCH(IF(E$2&lt;&gt;"",E$2,"NA"),'MITRE ATT&amp;CK Mappings'!$G820))),ISNUMBER(SEARCH(IF(E$2&lt;&gt;"",E$2,"NA"),'MITRE ATT&amp;CK Mappings'!$H820))),ISNUMBER(SEARCH(IF(E$3&lt;&gt;"",E$3,"NA"),'MITRE ATT&amp;CK Mappings'!$I820))),ISNUMBER(SEARCH(IF(E$3&lt;&gt;"",E$3,"NA"),'MITRE ATT&amp;CK Mappings'!$J820))), 'MITRE ATT&amp;CK Mappings'!$B820,"")</f>
        <v/>
      </c>
      <c r="F824" s="26" t="str">
        <f>IF(OR(OR(OR(OR(OR(ISNUMBER(SEARCH(IF(F$1&lt;&gt;"",F$1,"NA"),'MITRE ATT&amp;CK Mappings'!$E820)),ISNUMBER(SEARCH(IF(F$1&lt;&gt;"",F$1,"NA"),'MITRE ATT&amp;CK Mappings'!$F820))),ISNUMBER(SEARCH(IF(F$2&lt;&gt;"",F$2,"NA"),'MITRE ATT&amp;CK Mappings'!$G820))),ISNUMBER(SEARCH(IF(F$2&lt;&gt;"",F$2,"NA"),'MITRE ATT&amp;CK Mappings'!$H820))),ISNUMBER(SEARCH(IF(F$3&lt;&gt;"",F$3,"NA"),'MITRE ATT&amp;CK Mappings'!$I820))),ISNUMBER(SEARCH(IF(F$3&lt;&gt;"",F$3,"NA"),'MITRE ATT&amp;CK Mappings'!$J820))), 'MITRE ATT&amp;CK Mappings'!$B820,"")</f>
        <v/>
      </c>
      <c r="G824" s="26" t="str">
        <f>IF(OR(OR(OR(OR(OR(ISNUMBER(SEARCH(IF(G$1&lt;&gt;"",G$1,"NA"),'MITRE ATT&amp;CK Mappings'!$E820)),ISNUMBER(SEARCH(IF(G$1&lt;&gt;"",G$1,"NA"),'MITRE ATT&amp;CK Mappings'!$F820))),ISNUMBER(SEARCH(IF(G$2&lt;&gt;"",G$2,"NA"),'MITRE ATT&amp;CK Mappings'!$G820))),ISNUMBER(SEARCH(IF(G$2&lt;&gt;"",G$2,"NA"),'MITRE ATT&amp;CK Mappings'!$H820))),ISNUMBER(SEARCH(IF(G$3&lt;&gt;"",G$3,"NA"),'MITRE ATT&amp;CK Mappings'!$I820))),ISNUMBER(SEARCH(IF(G$3&lt;&gt;"",G$3,"NA"),'MITRE ATT&amp;CK Mappings'!$J820))), 'MITRE ATT&amp;CK Mappings'!$B820,"")</f>
        <v/>
      </c>
      <c r="H824" s="26" t="str">
        <f>IF(OR(OR(OR(OR(OR(ISNUMBER(SEARCH(IF(H$1&lt;&gt;"",H$1,"NA"),'MITRE ATT&amp;CK Mappings'!$E820)),ISNUMBER(SEARCH(IF(H$1&lt;&gt;"",H$1,"NA"),'MITRE ATT&amp;CK Mappings'!$F820))),ISNUMBER(SEARCH(IF(H$2&lt;&gt;"",H$2,"NA"),'MITRE ATT&amp;CK Mappings'!$G820))),ISNUMBER(SEARCH(IF(H$2&lt;&gt;"",H$2,"NA"),'MITRE ATT&amp;CK Mappings'!$H820))),ISNUMBER(SEARCH(IF(H$3&lt;&gt;"",H$3,"NA"),'MITRE ATT&amp;CK Mappings'!$I820))),ISNUMBER(SEARCH(IF(H$3&lt;&gt;"",H$3,"NA"),'MITRE ATT&amp;CK Mappings'!$J820))), 'MITRE ATT&amp;CK Mappings'!$B820,"")</f>
        <v/>
      </c>
      <c r="I824" s="26" t="str">
        <f>IF(OR(OR(OR(OR(OR(ISNUMBER(SEARCH(IF(I$1&lt;&gt;"",I$1,"NA"),'MITRE ATT&amp;CK Mappings'!$E820)),ISNUMBER(SEARCH(IF(I$1&lt;&gt;"",I$1,"NA"),'MITRE ATT&amp;CK Mappings'!$F820))),ISNUMBER(SEARCH(IF(I$2&lt;&gt;"",I$2,"NA"),'MITRE ATT&amp;CK Mappings'!$G820))),ISNUMBER(SEARCH(IF(I$2&lt;&gt;"",I$2,"NA"),'MITRE ATT&amp;CK Mappings'!$H820))),ISNUMBER(SEARCH(IF(I$3&lt;&gt;"",I$3,"NA"),'MITRE ATT&amp;CK Mappings'!$I820))),ISNUMBER(SEARCH(IF(I$3&lt;&gt;"",I$3,"NA"),'MITRE ATT&amp;CK Mappings'!$J820))), 'MITRE ATT&amp;CK Mappings'!$B820,"")</f>
        <v/>
      </c>
      <c r="J824" s="26" t="str">
        <f>IF(OR(OR(OR(OR(OR(ISNUMBER(SEARCH(IF(J$1&lt;&gt;"",J$1,"NA"),'MITRE ATT&amp;CK Mappings'!$E820)),ISNUMBER(SEARCH(IF(J$1&lt;&gt;"",J$1,"NA"),'MITRE ATT&amp;CK Mappings'!$F820))),ISNUMBER(SEARCH(IF(J$2&lt;&gt;"",J$2,"NA"),'MITRE ATT&amp;CK Mappings'!$G820))),ISNUMBER(SEARCH(IF(J$2&lt;&gt;"",J$2,"NA"),'MITRE ATT&amp;CK Mappings'!$H820))),ISNUMBER(SEARCH(IF(J$3&lt;&gt;"",J$3,"NA"),'MITRE ATT&amp;CK Mappings'!$I820))),ISNUMBER(SEARCH(IF(J$3&lt;&gt;"",J$3,"NA"),'MITRE ATT&amp;CK Mappings'!$J820))), 'MITRE ATT&amp;CK Mappings'!$B820,"")</f>
        <v/>
      </c>
      <c r="K824" s="26" t="str">
        <f>IF(OR(OR(OR(OR(OR(ISNUMBER(SEARCH(IF(K$1&lt;&gt;"",K$1,"NA"),'MITRE ATT&amp;CK Mappings'!$E820)),ISNUMBER(SEARCH(IF(K$1&lt;&gt;"",K$1,"NA"),'MITRE ATT&amp;CK Mappings'!$F820))),ISNUMBER(SEARCH(IF(K$2&lt;&gt;"",K$2,"NA"),'MITRE ATT&amp;CK Mappings'!$G820))),ISNUMBER(SEARCH(IF(K$2&lt;&gt;"",K$2,"NA"),'MITRE ATT&amp;CK Mappings'!$H820))),ISNUMBER(SEARCH(IF(K$3&lt;&gt;"",K$3,"NA"),'MITRE ATT&amp;CK Mappings'!$I820))),ISNUMBER(SEARCH(IF(K$3&lt;&gt;"",K$3,"NA"),'MITRE ATT&amp;CK Mappings'!$J820))), 'MITRE ATT&amp;CK Mappings'!$B820,"")</f>
        <v/>
      </c>
      <c r="L824" s="26" t="str">
        <f>IF('MITRE ATT&amp;CK Mappings'!D820 &lt;&gt;"",'MITRE ATT&amp;CK Mappings'!D820,"" )</f>
        <v/>
      </c>
    </row>
    <row r="825" spans="1:12" x14ac:dyDescent="0.25">
      <c r="A825" s="27" t="str">
        <f>IF(COUNTIF(B825:K825,"="&amp;'MITRE ATT&amp;CK Mappings'!B821)&gt;0,'MITRE ATT&amp;CK Mappings'!B821,"")</f>
        <v/>
      </c>
      <c r="B825" s="27" t="str">
        <f>IF(OR(OR(OR(OR(OR(ISNUMBER(SEARCH(IF(B$1&lt;&gt;"",B$1,"NA"),'MITRE ATT&amp;CK Mappings'!$E821)),ISNUMBER(SEARCH(IF(B$1&lt;&gt;"",B$1,"NA"),'MITRE ATT&amp;CK Mappings'!$F821))),ISNUMBER(SEARCH(IF(B$2&lt;&gt;"",B$2,"NA"),'MITRE ATT&amp;CK Mappings'!$G821))),ISNUMBER(SEARCH(IF(B$2&lt;&gt;"",B$2,"NA"),'MITRE ATT&amp;CK Mappings'!$H821))),ISNUMBER(SEARCH(IF(B$3&lt;&gt;"",B$3,"NA"),'MITRE ATT&amp;CK Mappings'!$I821))),ISNUMBER(SEARCH(IF(B$3&lt;&gt;"",B$3,"NA"),'MITRE ATT&amp;CK Mappings'!$J821))), 'MITRE ATT&amp;CK Mappings'!$B821,"")</f>
        <v/>
      </c>
      <c r="C825" s="27" t="str">
        <f>IF(OR(OR(OR(OR(OR(ISNUMBER(SEARCH(IF(C$1&lt;&gt;"",C$1,"NA"),'MITRE ATT&amp;CK Mappings'!$E821)),ISNUMBER(SEARCH(IF(C$1&lt;&gt;"",C$1,"NA"),'MITRE ATT&amp;CK Mappings'!$F821))),ISNUMBER(SEARCH(IF(C$2&lt;&gt;"",C$2,"NA"),'MITRE ATT&amp;CK Mappings'!$G821))),ISNUMBER(SEARCH(IF(C$2&lt;&gt;"",C$2,"NA"),'MITRE ATT&amp;CK Mappings'!$H821))),ISNUMBER(SEARCH(IF(C$3&lt;&gt;"",C$3,"NA"),'MITRE ATT&amp;CK Mappings'!$I821))),ISNUMBER(SEARCH(IF(C$3&lt;&gt;"",C$3,"NA"),'MITRE ATT&amp;CK Mappings'!$J821))), 'MITRE ATT&amp;CK Mappings'!$B821,"")</f>
        <v/>
      </c>
      <c r="D825" s="27" t="str">
        <f>IF(OR(OR(OR(OR(OR(ISNUMBER(SEARCH(IF(D$1&lt;&gt;"",D$1,"NA"),'MITRE ATT&amp;CK Mappings'!$E821)),ISNUMBER(SEARCH(IF(D$1&lt;&gt;"",D$1,"NA"),'MITRE ATT&amp;CK Mappings'!$F821))),ISNUMBER(SEARCH(IF(D$2&lt;&gt;"",D$2,"NA"),'MITRE ATT&amp;CK Mappings'!$G821))),ISNUMBER(SEARCH(IF(D$2&lt;&gt;"",D$2,"NA"),'MITRE ATT&amp;CK Mappings'!$H821))),ISNUMBER(SEARCH(IF(D$3&lt;&gt;"",D$3,"NA"),'MITRE ATT&amp;CK Mappings'!$I821))),ISNUMBER(SEARCH(IF(D$3&lt;&gt;"",D$3,"NA"),'MITRE ATT&amp;CK Mappings'!$J821))), 'MITRE ATT&amp;CK Mappings'!$B821,"")</f>
        <v/>
      </c>
      <c r="E825" s="27" t="str">
        <f>IF(OR(OR(OR(OR(OR(ISNUMBER(SEARCH(IF(E$1&lt;&gt;"",E$1,"NA"),'MITRE ATT&amp;CK Mappings'!$E821)),ISNUMBER(SEARCH(IF(E$1&lt;&gt;"",E$1,"NA"),'MITRE ATT&amp;CK Mappings'!$F821))),ISNUMBER(SEARCH(IF(E$2&lt;&gt;"",E$2,"NA"),'MITRE ATT&amp;CK Mappings'!$G821))),ISNUMBER(SEARCH(IF(E$2&lt;&gt;"",E$2,"NA"),'MITRE ATT&amp;CK Mappings'!$H821))),ISNUMBER(SEARCH(IF(E$3&lt;&gt;"",E$3,"NA"),'MITRE ATT&amp;CK Mappings'!$I821))),ISNUMBER(SEARCH(IF(E$3&lt;&gt;"",E$3,"NA"),'MITRE ATT&amp;CK Mappings'!$J821))), 'MITRE ATT&amp;CK Mappings'!$B821,"")</f>
        <v/>
      </c>
      <c r="F825" s="27" t="str">
        <f>IF(OR(OR(OR(OR(OR(ISNUMBER(SEARCH(IF(F$1&lt;&gt;"",F$1,"NA"),'MITRE ATT&amp;CK Mappings'!$E821)),ISNUMBER(SEARCH(IF(F$1&lt;&gt;"",F$1,"NA"),'MITRE ATT&amp;CK Mappings'!$F821))),ISNUMBER(SEARCH(IF(F$2&lt;&gt;"",F$2,"NA"),'MITRE ATT&amp;CK Mappings'!$G821))),ISNUMBER(SEARCH(IF(F$2&lt;&gt;"",F$2,"NA"),'MITRE ATT&amp;CK Mappings'!$H821))),ISNUMBER(SEARCH(IF(F$3&lt;&gt;"",F$3,"NA"),'MITRE ATT&amp;CK Mappings'!$I821))),ISNUMBER(SEARCH(IF(F$3&lt;&gt;"",F$3,"NA"),'MITRE ATT&amp;CK Mappings'!$J821))), 'MITRE ATT&amp;CK Mappings'!$B821,"")</f>
        <v/>
      </c>
      <c r="G825" s="27" t="str">
        <f>IF(OR(OR(OR(OR(OR(ISNUMBER(SEARCH(IF(G$1&lt;&gt;"",G$1,"NA"),'MITRE ATT&amp;CK Mappings'!$E821)),ISNUMBER(SEARCH(IF(G$1&lt;&gt;"",G$1,"NA"),'MITRE ATT&amp;CK Mappings'!$F821))),ISNUMBER(SEARCH(IF(G$2&lt;&gt;"",G$2,"NA"),'MITRE ATT&amp;CK Mappings'!$G821))),ISNUMBER(SEARCH(IF(G$2&lt;&gt;"",G$2,"NA"),'MITRE ATT&amp;CK Mappings'!$H821))),ISNUMBER(SEARCH(IF(G$3&lt;&gt;"",G$3,"NA"),'MITRE ATT&amp;CK Mappings'!$I821))),ISNUMBER(SEARCH(IF(G$3&lt;&gt;"",G$3,"NA"),'MITRE ATT&amp;CK Mappings'!$J821))), 'MITRE ATT&amp;CK Mappings'!$B821,"")</f>
        <v/>
      </c>
      <c r="H825" s="27" t="str">
        <f>IF(OR(OR(OR(OR(OR(ISNUMBER(SEARCH(IF(H$1&lt;&gt;"",H$1,"NA"),'MITRE ATT&amp;CK Mappings'!$E821)),ISNUMBER(SEARCH(IF(H$1&lt;&gt;"",H$1,"NA"),'MITRE ATT&amp;CK Mappings'!$F821))),ISNUMBER(SEARCH(IF(H$2&lt;&gt;"",H$2,"NA"),'MITRE ATT&amp;CK Mappings'!$G821))),ISNUMBER(SEARCH(IF(H$2&lt;&gt;"",H$2,"NA"),'MITRE ATT&amp;CK Mappings'!$H821))),ISNUMBER(SEARCH(IF(H$3&lt;&gt;"",H$3,"NA"),'MITRE ATT&amp;CK Mappings'!$I821))),ISNUMBER(SEARCH(IF(H$3&lt;&gt;"",H$3,"NA"),'MITRE ATT&amp;CK Mappings'!$J821))), 'MITRE ATT&amp;CK Mappings'!$B821,"")</f>
        <v/>
      </c>
      <c r="I825" s="27" t="str">
        <f>IF(OR(OR(OR(OR(OR(ISNUMBER(SEARCH(IF(I$1&lt;&gt;"",I$1,"NA"),'MITRE ATT&amp;CK Mappings'!$E821)),ISNUMBER(SEARCH(IF(I$1&lt;&gt;"",I$1,"NA"),'MITRE ATT&amp;CK Mappings'!$F821))),ISNUMBER(SEARCH(IF(I$2&lt;&gt;"",I$2,"NA"),'MITRE ATT&amp;CK Mappings'!$G821))),ISNUMBER(SEARCH(IF(I$2&lt;&gt;"",I$2,"NA"),'MITRE ATT&amp;CK Mappings'!$H821))),ISNUMBER(SEARCH(IF(I$3&lt;&gt;"",I$3,"NA"),'MITRE ATT&amp;CK Mappings'!$I821))),ISNUMBER(SEARCH(IF(I$3&lt;&gt;"",I$3,"NA"),'MITRE ATT&amp;CK Mappings'!$J821))), 'MITRE ATT&amp;CK Mappings'!$B821,"")</f>
        <v/>
      </c>
      <c r="J825" s="27" t="str">
        <f>IF(OR(OR(OR(OR(OR(ISNUMBER(SEARCH(IF(J$1&lt;&gt;"",J$1,"NA"),'MITRE ATT&amp;CK Mappings'!$E821)),ISNUMBER(SEARCH(IF(J$1&lt;&gt;"",J$1,"NA"),'MITRE ATT&amp;CK Mappings'!$F821))),ISNUMBER(SEARCH(IF(J$2&lt;&gt;"",J$2,"NA"),'MITRE ATT&amp;CK Mappings'!$G821))),ISNUMBER(SEARCH(IF(J$2&lt;&gt;"",J$2,"NA"),'MITRE ATT&amp;CK Mappings'!$H821))),ISNUMBER(SEARCH(IF(J$3&lt;&gt;"",J$3,"NA"),'MITRE ATT&amp;CK Mappings'!$I821))),ISNUMBER(SEARCH(IF(J$3&lt;&gt;"",J$3,"NA"),'MITRE ATT&amp;CK Mappings'!$J821))), 'MITRE ATT&amp;CK Mappings'!$B821,"")</f>
        <v/>
      </c>
      <c r="K825" s="27" t="str">
        <f>IF(OR(OR(OR(OR(OR(ISNUMBER(SEARCH(IF(K$1&lt;&gt;"",K$1,"NA"),'MITRE ATT&amp;CK Mappings'!$E821)),ISNUMBER(SEARCH(IF(K$1&lt;&gt;"",K$1,"NA"),'MITRE ATT&amp;CK Mappings'!$F821))),ISNUMBER(SEARCH(IF(K$2&lt;&gt;"",K$2,"NA"),'MITRE ATT&amp;CK Mappings'!$G821))),ISNUMBER(SEARCH(IF(K$2&lt;&gt;"",K$2,"NA"),'MITRE ATT&amp;CK Mappings'!$H821))),ISNUMBER(SEARCH(IF(K$3&lt;&gt;"",K$3,"NA"),'MITRE ATT&amp;CK Mappings'!$I821))),ISNUMBER(SEARCH(IF(K$3&lt;&gt;"",K$3,"NA"),'MITRE ATT&amp;CK Mappings'!$J821))), 'MITRE ATT&amp;CK Mappings'!$B821,"")</f>
        <v/>
      </c>
      <c r="L825" s="27" t="str">
        <f>IF('MITRE ATT&amp;CK Mappings'!D821 &lt;&gt;"",'MITRE ATT&amp;CK Mappings'!D821,"" )</f>
        <v/>
      </c>
    </row>
    <row r="826" spans="1:12" x14ac:dyDescent="0.25">
      <c r="A826" s="26" t="str">
        <f>IF(COUNTIF(B826:K826,"="&amp;'MITRE ATT&amp;CK Mappings'!B822)&gt;0,'MITRE ATT&amp;CK Mappings'!B822,"")</f>
        <v/>
      </c>
      <c r="B826" s="26" t="str">
        <f>IF(OR(OR(OR(OR(OR(ISNUMBER(SEARCH(IF(B$1&lt;&gt;"",B$1,"NA"),'MITRE ATT&amp;CK Mappings'!$E822)),ISNUMBER(SEARCH(IF(B$1&lt;&gt;"",B$1,"NA"),'MITRE ATT&amp;CK Mappings'!$F822))),ISNUMBER(SEARCH(IF(B$2&lt;&gt;"",B$2,"NA"),'MITRE ATT&amp;CK Mappings'!$G822))),ISNUMBER(SEARCH(IF(B$2&lt;&gt;"",B$2,"NA"),'MITRE ATT&amp;CK Mappings'!$H822))),ISNUMBER(SEARCH(IF(B$3&lt;&gt;"",B$3,"NA"),'MITRE ATT&amp;CK Mappings'!$I822))),ISNUMBER(SEARCH(IF(B$3&lt;&gt;"",B$3,"NA"),'MITRE ATT&amp;CK Mappings'!$J822))), 'MITRE ATT&amp;CK Mappings'!$B822,"")</f>
        <v/>
      </c>
      <c r="C826" s="26" t="str">
        <f>IF(OR(OR(OR(OR(OR(ISNUMBER(SEARCH(IF(C$1&lt;&gt;"",C$1,"NA"),'MITRE ATT&amp;CK Mappings'!$E822)),ISNUMBER(SEARCH(IF(C$1&lt;&gt;"",C$1,"NA"),'MITRE ATT&amp;CK Mappings'!$F822))),ISNUMBER(SEARCH(IF(C$2&lt;&gt;"",C$2,"NA"),'MITRE ATT&amp;CK Mappings'!$G822))),ISNUMBER(SEARCH(IF(C$2&lt;&gt;"",C$2,"NA"),'MITRE ATT&amp;CK Mappings'!$H822))),ISNUMBER(SEARCH(IF(C$3&lt;&gt;"",C$3,"NA"),'MITRE ATT&amp;CK Mappings'!$I822))),ISNUMBER(SEARCH(IF(C$3&lt;&gt;"",C$3,"NA"),'MITRE ATT&amp;CK Mappings'!$J822))), 'MITRE ATT&amp;CK Mappings'!$B822,"")</f>
        <v/>
      </c>
      <c r="D826" s="26" t="str">
        <f>IF(OR(OR(OR(OR(OR(ISNUMBER(SEARCH(IF(D$1&lt;&gt;"",D$1,"NA"),'MITRE ATT&amp;CK Mappings'!$E822)),ISNUMBER(SEARCH(IF(D$1&lt;&gt;"",D$1,"NA"),'MITRE ATT&amp;CK Mappings'!$F822))),ISNUMBER(SEARCH(IF(D$2&lt;&gt;"",D$2,"NA"),'MITRE ATT&amp;CK Mappings'!$G822))),ISNUMBER(SEARCH(IF(D$2&lt;&gt;"",D$2,"NA"),'MITRE ATT&amp;CK Mappings'!$H822))),ISNUMBER(SEARCH(IF(D$3&lt;&gt;"",D$3,"NA"),'MITRE ATT&amp;CK Mappings'!$I822))),ISNUMBER(SEARCH(IF(D$3&lt;&gt;"",D$3,"NA"),'MITRE ATT&amp;CK Mappings'!$J822))), 'MITRE ATT&amp;CK Mappings'!$B822,"")</f>
        <v/>
      </c>
      <c r="E826" s="26" t="str">
        <f>IF(OR(OR(OR(OR(OR(ISNUMBER(SEARCH(IF(E$1&lt;&gt;"",E$1,"NA"),'MITRE ATT&amp;CK Mappings'!$E822)),ISNUMBER(SEARCH(IF(E$1&lt;&gt;"",E$1,"NA"),'MITRE ATT&amp;CK Mappings'!$F822))),ISNUMBER(SEARCH(IF(E$2&lt;&gt;"",E$2,"NA"),'MITRE ATT&amp;CK Mappings'!$G822))),ISNUMBER(SEARCH(IF(E$2&lt;&gt;"",E$2,"NA"),'MITRE ATT&amp;CK Mappings'!$H822))),ISNUMBER(SEARCH(IF(E$3&lt;&gt;"",E$3,"NA"),'MITRE ATT&amp;CK Mappings'!$I822))),ISNUMBER(SEARCH(IF(E$3&lt;&gt;"",E$3,"NA"),'MITRE ATT&amp;CK Mappings'!$J822))), 'MITRE ATT&amp;CK Mappings'!$B822,"")</f>
        <v/>
      </c>
      <c r="F826" s="26" t="str">
        <f>IF(OR(OR(OR(OR(OR(ISNUMBER(SEARCH(IF(F$1&lt;&gt;"",F$1,"NA"),'MITRE ATT&amp;CK Mappings'!$E822)),ISNUMBER(SEARCH(IF(F$1&lt;&gt;"",F$1,"NA"),'MITRE ATT&amp;CK Mappings'!$F822))),ISNUMBER(SEARCH(IF(F$2&lt;&gt;"",F$2,"NA"),'MITRE ATT&amp;CK Mappings'!$G822))),ISNUMBER(SEARCH(IF(F$2&lt;&gt;"",F$2,"NA"),'MITRE ATT&amp;CK Mappings'!$H822))),ISNUMBER(SEARCH(IF(F$3&lt;&gt;"",F$3,"NA"),'MITRE ATT&amp;CK Mappings'!$I822))),ISNUMBER(SEARCH(IF(F$3&lt;&gt;"",F$3,"NA"),'MITRE ATT&amp;CK Mappings'!$J822))), 'MITRE ATT&amp;CK Mappings'!$B822,"")</f>
        <v/>
      </c>
      <c r="G826" s="26" t="str">
        <f>IF(OR(OR(OR(OR(OR(ISNUMBER(SEARCH(IF(G$1&lt;&gt;"",G$1,"NA"),'MITRE ATT&amp;CK Mappings'!$E822)),ISNUMBER(SEARCH(IF(G$1&lt;&gt;"",G$1,"NA"),'MITRE ATT&amp;CK Mappings'!$F822))),ISNUMBER(SEARCH(IF(G$2&lt;&gt;"",G$2,"NA"),'MITRE ATT&amp;CK Mappings'!$G822))),ISNUMBER(SEARCH(IF(G$2&lt;&gt;"",G$2,"NA"),'MITRE ATT&amp;CK Mappings'!$H822))),ISNUMBER(SEARCH(IF(G$3&lt;&gt;"",G$3,"NA"),'MITRE ATT&amp;CK Mappings'!$I822))),ISNUMBER(SEARCH(IF(G$3&lt;&gt;"",G$3,"NA"),'MITRE ATT&amp;CK Mappings'!$J822))), 'MITRE ATT&amp;CK Mappings'!$B822,"")</f>
        <v/>
      </c>
      <c r="H826" s="26" t="str">
        <f>IF(OR(OR(OR(OR(OR(ISNUMBER(SEARCH(IF(H$1&lt;&gt;"",H$1,"NA"),'MITRE ATT&amp;CK Mappings'!$E822)),ISNUMBER(SEARCH(IF(H$1&lt;&gt;"",H$1,"NA"),'MITRE ATT&amp;CK Mappings'!$F822))),ISNUMBER(SEARCH(IF(H$2&lt;&gt;"",H$2,"NA"),'MITRE ATT&amp;CK Mappings'!$G822))),ISNUMBER(SEARCH(IF(H$2&lt;&gt;"",H$2,"NA"),'MITRE ATT&amp;CK Mappings'!$H822))),ISNUMBER(SEARCH(IF(H$3&lt;&gt;"",H$3,"NA"),'MITRE ATT&amp;CK Mappings'!$I822))),ISNUMBER(SEARCH(IF(H$3&lt;&gt;"",H$3,"NA"),'MITRE ATT&amp;CK Mappings'!$J822))), 'MITRE ATT&amp;CK Mappings'!$B822,"")</f>
        <v/>
      </c>
      <c r="I826" s="26" t="str">
        <f>IF(OR(OR(OR(OR(OR(ISNUMBER(SEARCH(IF(I$1&lt;&gt;"",I$1,"NA"),'MITRE ATT&amp;CK Mappings'!$E822)),ISNUMBER(SEARCH(IF(I$1&lt;&gt;"",I$1,"NA"),'MITRE ATT&amp;CK Mappings'!$F822))),ISNUMBER(SEARCH(IF(I$2&lt;&gt;"",I$2,"NA"),'MITRE ATT&amp;CK Mappings'!$G822))),ISNUMBER(SEARCH(IF(I$2&lt;&gt;"",I$2,"NA"),'MITRE ATT&amp;CK Mappings'!$H822))),ISNUMBER(SEARCH(IF(I$3&lt;&gt;"",I$3,"NA"),'MITRE ATT&amp;CK Mappings'!$I822))),ISNUMBER(SEARCH(IF(I$3&lt;&gt;"",I$3,"NA"),'MITRE ATT&amp;CK Mappings'!$J822))), 'MITRE ATT&amp;CK Mappings'!$B822,"")</f>
        <v/>
      </c>
      <c r="J826" s="26" t="str">
        <f>IF(OR(OR(OR(OR(OR(ISNUMBER(SEARCH(IF(J$1&lt;&gt;"",J$1,"NA"),'MITRE ATT&amp;CK Mappings'!$E822)),ISNUMBER(SEARCH(IF(J$1&lt;&gt;"",J$1,"NA"),'MITRE ATT&amp;CK Mappings'!$F822))),ISNUMBER(SEARCH(IF(J$2&lt;&gt;"",J$2,"NA"),'MITRE ATT&amp;CK Mappings'!$G822))),ISNUMBER(SEARCH(IF(J$2&lt;&gt;"",J$2,"NA"),'MITRE ATT&amp;CK Mappings'!$H822))),ISNUMBER(SEARCH(IF(J$3&lt;&gt;"",J$3,"NA"),'MITRE ATT&amp;CK Mappings'!$I822))),ISNUMBER(SEARCH(IF(J$3&lt;&gt;"",J$3,"NA"),'MITRE ATT&amp;CK Mappings'!$J822))), 'MITRE ATT&amp;CK Mappings'!$B822,"")</f>
        <v/>
      </c>
      <c r="K826" s="26" t="str">
        <f>IF(OR(OR(OR(OR(OR(ISNUMBER(SEARCH(IF(K$1&lt;&gt;"",K$1,"NA"),'MITRE ATT&amp;CK Mappings'!$E822)),ISNUMBER(SEARCH(IF(K$1&lt;&gt;"",K$1,"NA"),'MITRE ATT&amp;CK Mappings'!$F822))),ISNUMBER(SEARCH(IF(K$2&lt;&gt;"",K$2,"NA"),'MITRE ATT&amp;CK Mappings'!$G822))),ISNUMBER(SEARCH(IF(K$2&lt;&gt;"",K$2,"NA"),'MITRE ATT&amp;CK Mappings'!$H822))),ISNUMBER(SEARCH(IF(K$3&lt;&gt;"",K$3,"NA"),'MITRE ATT&amp;CK Mappings'!$I822))),ISNUMBER(SEARCH(IF(K$3&lt;&gt;"",K$3,"NA"),'MITRE ATT&amp;CK Mappings'!$J822))), 'MITRE ATT&amp;CK Mappings'!$B822,"")</f>
        <v/>
      </c>
      <c r="L826" s="26" t="str">
        <f>IF('MITRE ATT&amp;CK Mappings'!D822 &lt;&gt;"",'MITRE ATT&amp;CK Mappings'!D822,"" )</f>
        <v/>
      </c>
    </row>
    <row r="827" spans="1:12" x14ac:dyDescent="0.25">
      <c r="A827" s="27" t="str">
        <f>IF(COUNTIF(B827:K827,"="&amp;'MITRE ATT&amp;CK Mappings'!B823)&gt;0,'MITRE ATT&amp;CK Mappings'!B823,"")</f>
        <v/>
      </c>
      <c r="B827" s="27" t="str">
        <f>IF(OR(OR(OR(OR(OR(ISNUMBER(SEARCH(IF(B$1&lt;&gt;"",B$1,"NA"),'MITRE ATT&amp;CK Mappings'!$E823)),ISNUMBER(SEARCH(IF(B$1&lt;&gt;"",B$1,"NA"),'MITRE ATT&amp;CK Mappings'!$F823))),ISNUMBER(SEARCH(IF(B$2&lt;&gt;"",B$2,"NA"),'MITRE ATT&amp;CK Mappings'!$G823))),ISNUMBER(SEARCH(IF(B$2&lt;&gt;"",B$2,"NA"),'MITRE ATT&amp;CK Mappings'!$H823))),ISNUMBER(SEARCH(IF(B$3&lt;&gt;"",B$3,"NA"),'MITRE ATT&amp;CK Mappings'!$I823))),ISNUMBER(SEARCH(IF(B$3&lt;&gt;"",B$3,"NA"),'MITRE ATT&amp;CK Mappings'!$J823))), 'MITRE ATT&amp;CK Mappings'!$B823,"")</f>
        <v/>
      </c>
      <c r="C827" s="27" t="str">
        <f>IF(OR(OR(OR(OR(OR(ISNUMBER(SEARCH(IF(C$1&lt;&gt;"",C$1,"NA"),'MITRE ATT&amp;CK Mappings'!$E823)),ISNUMBER(SEARCH(IF(C$1&lt;&gt;"",C$1,"NA"),'MITRE ATT&amp;CK Mappings'!$F823))),ISNUMBER(SEARCH(IF(C$2&lt;&gt;"",C$2,"NA"),'MITRE ATT&amp;CK Mappings'!$G823))),ISNUMBER(SEARCH(IF(C$2&lt;&gt;"",C$2,"NA"),'MITRE ATT&amp;CK Mappings'!$H823))),ISNUMBER(SEARCH(IF(C$3&lt;&gt;"",C$3,"NA"),'MITRE ATT&amp;CK Mappings'!$I823))),ISNUMBER(SEARCH(IF(C$3&lt;&gt;"",C$3,"NA"),'MITRE ATT&amp;CK Mappings'!$J823))), 'MITRE ATT&amp;CK Mappings'!$B823,"")</f>
        <v/>
      </c>
      <c r="D827" s="27" t="str">
        <f>IF(OR(OR(OR(OR(OR(ISNUMBER(SEARCH(IF(D$1&lt;&gt;"",D$1,"NA"),'MITRE ATT&amp;CK Mappings'!$E823)),ISNUMBER(SEARCH(IF(D$1&lt;&gt;"",D$1,"NA"),'MITRE ATT&amp;CK Mappings'!$F823))),ISNUMBER(SEARCH(IF(D$2&lt;&gt;"",D$2,"NA"),'MITRE ATT&amp;CK Mappings'!$G823))),ISNUMBER(SEARCH(IF(D$2&lt;&gt;"",D$2,"NA"),'MITRE ATT&amp;CK Mappings'!$H823))),ISNUMBER(SEARCH(IF(D$3&lt;&gt;"",D$3,"NA"),'MITRE ATT&amp;CK Mappings'!$I823))),ISNUMBER(SEARCH(IF(D$3&lt;&gt;"",D$3,"NA"),'MITRE ATT&amp;CK Mappings'!$J823))), 'MITRE ATT&amp;CK Mappings'!$B823,"")</f>
        <v/>
      </c>
      <c r="E827" s="27" t="str">
        <f>IF(OR(OR(OR(OR(OR(ISNUMBER(SEARCH(IF(E$1&lt;&gt;"",E$1,"NA"),'MITRE ATT&amp;CK Mappings'!$E823)),ISNUMBER(SEARCH(IF(E$1&lt;&gt;"",E$1,"NA"),'MITRE ATT&amp;CK Mappings'!$F823))),ISNUMBER(SEARCH(IF(E$2&lt;&gt;"",E$2,"NA"),'MITRE ATT&amp;CK Mappings'!$G823))),ISNUMBER(SEARCH(IF(E$2&lt;&gt;"",E$2,"NA"),'MITRE ATT&amp;CK Mappings'!$H823))),ISNUMBER(SEARCH(IF(E$3&lt;&gt;"",E$3,"NA"),'MITRE ATT&amp;CK Mappings'!$I823))),ISNUMBER(SEARCH(IF(E$3&lt;&gt;"",E$3,"NA"),'MITRE ATT&amp;CK Mappings'!$J823))), 'MITRE ATT&amp;CK Mappings'!$B823,"")</f>
        <v/>
      </c>
      <c r="F827" s="27" t="str">
        <f>IF(OR(OR(OR(OR(OR(ISNUMBER(SEARCH(IF(F$1&lt;&gt;"",F$1,"NA"),'MITRE ATT&amp;CK Mappings'!$E823)),ISNUMBER(SEARCH(IF(F$1&lt;&gt;"",F$1,"NA"),'MITRE ATT&amp;CK Mappings'!$F823))),ISNUMBER(SEARCH(IF(F$2&lt;&gt;"",F$2,"NA"),'MITRE ATT&amp;CK Mappings'!$G823))),ISNUMBER(SEARCH(IF(F$2&lt;&gt;"",F$2,"NA"),'MITRE ATT&amp;CK Mappings'!$H823))),ISNUMBER(SEARCH(IF(F$3&lt;&gt;"",F$3,"NA"),'MITRE ATT&amp;CK Mappings'!$I823))),ISNUMBER(SEARCH(IF(F$3&lt;&gt;"",F$3,"NA"),'MITRE ATT&amp;CK Mappings'!$J823))), 'MITRE ATT&amp;CK Mappings'!$B823,"")</f>
        <v/>
      </c>
      <c r="G827" s="27" t="str">
        <f>IF(OR(OR(OR(OR(OR(ISNUMBER(SEARCH(IF(G$1&lt;&gt;"",G$1,"NA"),'MITRE ATT&amp;CK Mappings'!$E823)),ISNUMBER(SEARCH(IF(G$1&lt;&gt;"",G$1,"NA"),'MITRE ATT&amp;CK Mappings'!$F823))),ISNUMBER(SEARCH(IF(G$2&lt;&gt;"",G$2,"NA"),'MITRE ATT&amp;CK Mappings'!$G823))),ISNUMBER(SEARCH(IF(G$2&lt;&gt;"",G$2,"NA"),'MITRE ATT&amp;CK Mappings'!$H823))),ISNUMBER(SEARCH(IF(G$3&lt;&gt;"",G$3,"NA"),'MITRE ATT&amp;CK Mappings'!$I823))),ISNUMBER(SEARCH(IF(G$3&lt;&gt;"",G$3,"NA"),'MITRE ATT&amp;CK Mappings'!$J823))), 'MITRE ATT&amp;CK Mappings'!$B823,"")</f>
        <v/>
      </c>
      <c r="H827" s="27" t="str">
        <f>IF(OR(OR(OR(OR(OR(ISNUMBER(SEARCH(IF(H$1&lt;&gt;"",H$1,"NA"),'MITRE ATT&amp;CK Mappings'!$E823)),ISNUMBER(SEARCH(IF(H$1&lt;&gt;"",H$1,"NA"),'MITRE ATT&amp;CK Mappings'!$F823))),ISNUMBER(SEARCH(IF(H$2&lt;&gt;"",H$2,"NA"),'MITRE ATT&amp;CK Mappings'!$G823))),ISNUMBER(SEARCH(IF(H$2&lt;&gt;"",H$2,"NA"),'MITRE ATT&amp;CK Mappings'!$H823))),ISNUMBER(SEARCH(IF(H$3&lt;&gt;"",H$3,"NA"),'MITRE ATT&amp;CK Mappings'!$I823))),ISNUMBER(SEARCH(IF(H$3&lt;&gt;"",H$3,"NA"),'MITRE ATT&amp;CK Mappings'!$J823))), 'MITRE ATT&amp;CK Mappings'!$B823,"")</f>
        <v/>
      </c>
      <c r="I827" s="27" t="str">
        <f>IF(OR(OR(OR(OR(OR(ISNUMBER(SEARCH(IF(I$1&lt;&gt;"",I$1,"NA"),'MITRE ATT&amp;CK Mappings'!$E823)),ISNUMBER(SEARCH(IF(I$1&lt;&gt;"",I$1,"NA"),'MITRE ATT&amp;CK Mappings'!$F823))),ISNUMBER(SEARCH(IF(I$2&lt;&gt;"",I$2,"NA"),'MITRE ATT&amp;CK Mappings'!$G823))),ISNUMBER(SEARCH(IF(I$2&lt;&gt;"",I$2,"NA"),'MITRE ATT&amp;CK Mappings'!$H823))),ISNUMBER(SEARCH(IF(I$3&lt;&gt;"",I$3,"NA"),'MITRE ATT&amp;CK Mappings'!$I823))),ISNUMBER(SEARCH(IF(I$3&lt;&gt;"",I$3,"NA"),'MITRE ATT&amp;CK Mappings'!$J823))), 'MITRE ATT&amp;CK Mappings'!$B823,"")</f>
        <v/>
      </c>
      <c r="J827" s="27" t="str">
        <f>IF(OR(OR(OR(OR(OR(ISNUMBER(SEARCH(IF(J$1&lt;&gt;"",J$1,"NA"),'MITRE ATT&amp;CK Mappings'!$E823)),ISNUMBER(SEARCH(IF(J$1&lt;&gt;"",J$1,"NA"),'MITRE ATT&amp;CK Mappings'!$F823))),ISNUMBER(SEARCH(IF(J$2&lt;&gt;"",J$2,"NA"),'MITRE ATT&amp;CK Mappings'!$G823))),ISNUMBER(SEARCH(IF(J$2&lt;&gt;"",J$2,"NA"),'MITRE ATT&amp;CK Mappings'!$H823))),ISNUMBER(SEARCH(IF(J$3&lt;&gt;"",J$3,"NA"),'MITRE ATT&amp;CK Mappings'!$I823))),ISNUMBER(SEARCH(IF(J$3&lt;&gt;"",J$3,"NA"),'MITRE ATT&amp;CK Mappings'!$J823))), 'MITRE ATT&amp;CK Mappings'!$B823,"")</f>
        <v/>
      </c>
      <c r="K827" s="27" t="str">
        <f>IF(OR(OR(OR(OR(OR(ISNUMBER(SEARCH(IF(K$1&lt;&gt;"",K$1,"NA"),'MITRE ATT&amp;CK Mappings'!$E823)),ISNUMBER(SEARCH(IF(K$1&lt;&gt;"",K$1,"NA"),'MITRE ATT&amp;CK Mappings'!$F823))),ISNUMBER(SEARCH(IF(K$2&lt;&gt;"",K$2,"NA"),'MITRE ATT&amp;CK Mappings'!$G823))),ISNUMBER(SEARCH(IF(K$2&lt;&gt;"",K$2,"NA"),'MITRE ATT&amp;CK Mappings'!$H823))),ISNUMBER(SEARCH(IF(K$3&lt;&gt;"",K$3,"NA"),'MITRE ATT&amp;CK Mappings'!$I823))),ISNUMBER(SEARCH(IF(K$3&lt;&gt;"",K$3,"NA"),'MITRE ATT&amp;CK Mappings'!$J823))), 'MITRE ATT&amp;CK Mappings'!$B823,"")</f>
        <v/>
      </c>
      <c r="L827" s="27" t="str">
        <f>IF('MITRE ATT&amp;CK Mappings'!D823 &lt;&gt;"",'MITRE ATT&amp;CK Mappings'!D823,"" )</f>
        <v/>
      </c>
    </row>
    <row r="828" spans="1:12" x14ac:dyDescent="0.25">
      <c r="A828" s="26" t="str">
        <f>IF(COUNTIF(B828:K828,"="&amp;'MITRE ATT&amp;CK Mappings'!B824)&gt;0,'MITRE ATT&amp;CK Mappings'!B824,"")</f>
        <v/>
      </c>
      <c r="B828" s="26" t="str">
        <f>IF(OR(OR(OR(OR(OR(ISNUMBER(SEARCH(IF(B$1&lt;&gt;"",B$1,"NA"),'MITRE ATT&amp;CK Mappings'!$E824)),ISNUMBER(SEARCH(IF(B$1&lt;&gt;"",B$1,"NA"),'MITRE ATT&amp;CK Mappings'!$F824))),ISNUMBER(SEARCH(IF(B$2&lt;&gt;"",B$2,"NA"),'MITRE ATT&amp;CK Mappings'!$G824))),ISNUMBER(SEARCH(IF(B$2&lt;&gt;"",B$2,"NA"),'MITRE ATT&amp;CK Mappings'!$H824))),ISNUMBER(SEARCH(IF(B$3&lt;&gt;"",B$3,"NA"),'MITRE ATT&amp;CK Mappings'!$I824))),ISNUMBER(SEARCH(IF(B$3&lt;&gt;"",B$3,"NA"),'MITRE ATT&amp;CK Mappings'!$J824))), 'MITRE ATT&amp;CK Mappings'!$B824,"")</f>
        <v/>
      </c>
      <c r="C828" s="26" t="str">
        <f>IF(OR(OR(OR(OR(OR(ISNUMBER(SEARCH(IF(C$1&lt;&gt;"",C$1,"NA"),'MITRE ATT&amp;CK Mappings'!$E824)),ISNUMBER(SEARCH(IF(C$1&lt;&gt;"",C$1,"NA"),'MITRE ATT&amp;CK Mappings'!$F824))),ISNUMBER(SEARCH(IF(C$2&lt;&gt;"",C$2,"NA"),'MITRE ATT&amp;CK Mappings'!$G824))),ISNUMBER(SEARCH(IF(C$2&lt;&gt;"",C$2,"NA"),'MITRE ATT&amp;CK Mappings'!$H824))),ISNUMBER(SEARCH(IF(C$3&lt;&gt;"",C$3,"NA"),'MITRE ATT&amp;CK Mappings'!$I824))),ISNUMBER(SEARCH(IF(C$3&lt;&gt;"",C$3,"NA"),'MITRE ATT&amp;CK Mappings'!$J824))), 'MITRE ATT&amp;CK Mappings'!$B824,"")</f>
        <v/>
      </c>
      <c r="D828" s="26" t="str">
        <f>IF(OR(OR(OR(OR(OR(ISNUMBER(SEARCH(IF(D$1&lt;&gt;"",D$1,"NA"),'MITRE ATT&amp;CK Mappings'!$E824)),ISNUMBER(SEARCH(IF(D$1&lt;&gt;"",D$1,"NA"),'MITRE ATT&amp;CK Mappings'!$F824))),ISNUMBER(SEARCH(IF(D$2&lt;&gt;"",D$2,"NA"),'MITRE ATT&amp;CK Mappings'!$G824))),ISNUMBER(SEARCH(IF(D$2&lt;&gt;"",D$2,"NA"),'MITRE ATT&amp;CK Mappings'!$H824))),ISNUMBER(SEARCH(IF(D$3&lt;&gt;"",D$3,"NA"),'MITRE ATT&amp;CK Mappings'!$I824))),ISNUMBER(SEARCH(IF(D$3&lt;&gt;"",D$3,"NA"),'MITRE ATT&amp;CK Mappings'!$J824))), 'MITRE ATT&amp;CK Mappings'!$B824,"")</f>
        <v/>
      </c>
      <c r="E828" s="26" t="str">
        <f>IF(OR(OR(OR(OR(OR(ISNUMBER(SEARCH(IF(E$1&lt;&gt;"",E$1,"NA"),'MITRE ATT&amp;CK Mappings'!$E824)),ISNUMBER(SEARCH(IF(E$1&lt;&gt;"",E$1,"NA"),'MITRE ATT&amp;CK Mappings'!$F824))),ISNUMBER(SEARCH(IF(E$2&lt;&gt;"",E$2,"NA"),'MITRE ATT&amp;CK Mappings'!$G824))),ISNUMBER(SEARCH(IF(E$2&lt;&gt;"",E$2,"NA"),'MITRE ATT&amp;CK Mappings'!$H824))),ISNUMBER(SEARCH(IF(E$3&lt;&gt;"",E$3,"NA"),'MITRE ATT&amp;CK Mappings'!$I824))),ISNUMBER(SEARCH(IF(E$3&lt;&gt;"",E$3,"NA"),'MITRE ATT&amp;CK Mappings'!$J824))), 'MITRE ATT&amp;CK Mappings'!$B824,"")</f>
        <v/>
      </c>
      <c r="F828" s="26" t="str">
        <f>IF(OR(OR(OR(OR(OR(ISNUMBER(SEARCH(IF(F$1&lt;&gt;"",F$1,"NA"),'MITRE ATT&amp;CK Mappings'!$E824)),ISNUMBER(SEARCH(IF(F$1&lt;&gt;"",F$1,"NA"),'MITRE ATT&amp;CK Mappings'!$F824))),ISNUMBER(SEARCH(IF(F$2&lt;&gt;"",F$2,"NA"),'MITRE ATT&amp;CK Mappings'!$G824))),ISNUMBER(SEARCH(IF(F$2&lt;&gt;"",F$2,"NA"),'MITRE ATT&amp;CK Mappings'!$H824))),ISNUMBER(SEARCH(IF(F$3&lt;&gt;"",F$3,"NA"),'MITRE ATT&amp;CK Mappings'!$I824))),ISNUMBER(SEARCH(IF(F$3&lt;&gt;"",F$3,"NA"),'MITRE ATT&amp;CK Mappings'!$J824))), 'MITRE ATT&amp;CK Mappings'!$B824,"")</f>
        <v/>
      </c>
      <c r="G828" s="26" t="str">
        <f>IF(OR(OR(OR(OR(OR(ISNUMBER(SEARCH(IF(G$1&lt;&gt;"",G$1,"NA"),'MITRE ATT&amp;CK Mappings'!$E824)),ISNUMBER(SEARCH(IF(G$1&lt;&gt;"",G$1,"NA"),'MITRE ATT&amp;CK Mappings'!$F824))),ISNUMBER(SEARCH(IF(G$2&lt;&gt;"",G$2,"NA"),'MITRE ATT&amp;CK Mappings'!$G824))),ISNUMBER(SEARCH(IF(G$2&lt;&gt;"",G$2,"NA"),'MITRE ATT&amp;CK Mappings'!$H824))),ISNUMBER(SEARCH(IF(G$3&lt;&gt;"",G$3,"NA"),'MITRE ATT&amp;CK Mappings'!$I824))),ISNUMBER(SEARCH(IF(G$3&lt;&gt;"",G$3,"NA"),'MITRE ATT&amp;CK Mappings'!$J824))), 'MITRE ATT&amp;CK Mappings'!$B824,"")</f>
        <v/>
      </c>
      <c r="H828" s="26" t="str">
        <f>IF(OR(OR(OR(OR(OR(ISNUMBER(SEARCH(IF(H$1&lt;&gt;"",H$1,"NA"),'MITRE ATT&amp;CK Mappings'!$E824)),ISNUMBER(SEARCH(IF(H$1&lt;&gt;"",H$1,"NA"),'MITRE ATT&amp;CK Mappings'!$F824))),ISNUMBER(SEARCH(IF(H$2&lt;&gt;"",H$2,"NA"),'MITRE ATT&amp;CK Mappings'!$G824))),ISNUMBER(SEARCH(IF(H$2&lt;&gt;"",H$2,"NA"),'MITRE ATT&amp;CK Mappings'!$H824))),ISNUMBER(SEARCH(IF(H$3&lt;&gt;"",H$3,"NA"),'MITRE ATT&amp;CK Mappings'!$I824))),ISNUMBER(SEARCH(IF(H$3&lt;&gt;"",H$3,"NA"),'MITRE ATT&amp;CK Mappings'!$J824))), 'MITRE ATT&amp;CK Mappings'!$B824,"")</f>
        <v/>
      </c>
      <c r="I828" s="26" t="str">
        <f>IF(OR(OR(OR(OR(OR(ISNUMBER(SEARCH(IF(I$1&lt;&gt;"",I$1,"NA"),'MITRE ATT&amp;CK Mappings'!$E824)),ISNUMBER(SEARCH(IF(I$1&lt;&gt;"",I$1,"NA"),'MITRE ATT&amp;CK Mappings'!$F824))),ISNUMBER(SEARCH(IF(I$2&lt;&gt;"",I$2,"NA"),'MITRE ATT&amp;CK Mappings'!$G824))),ISNUMBER(SEARCH(IF(I$2&lt;&gt;"",I$2,"NA"),'MITRE ATT&amp;CK Mappings'!$H824))),ISNUMBER(SEARCH(IF(I$3&lt;&gt;"",I$3,"NA"),'MITRE ATT&amp;CK Mappings'!$I824))),ISNUMBER(SEARCH(IF(I$3&lt;&gt;"",I$3,"NA"),'MITRE ATT&amp;CK Mappings'!$J824))), 'MITRE ATT&amp;CK Mappings'!$B824,"")</f>
        <v/>
      </c>
      <c r="J828" s="26" t="str">
        <f>IF(OR(OR(OR(OR(OR(ISNUMBER(SEARCH(IF(J$1&lt;&gt;"",J$1,"NA"),'MITRE ATT&amp;CK Mappings'!$E824)),ISNUMBER(SEARCH(IF(J$1&lt;&gt;"",J$1,"NA"),'MITRE ATT&amp;CK Mappings'!$F824))),ISNUMBER(SEARCH(IF(J$2&lt;&gt;"",J$2,"NA"),'MITRE ATT&amp;CK Mappings'!$G824))),ISNUMBER(SEARCH(IF(J$2&lt;&gt;"",J$2,"NA"),'MITRE ATT&amp;CK Mappings'!$H824))),ISNUMBER(SEARCH(IF(J$3&lt;&gt;"",J$3,"NA"),'MITRE ATT&amp;CK Mappings'!$I824))),ISNUMBER(SEARCH(IF(J$3&lt;&gt;"",J$3,"NA"),'MITRE ATT&amp;CK Mappings'!$J824))), 'MITRE ATT&amp;CK Mappings'!$B824,"")</f>
        <v/>
      </c>
      <c r="K828" s="26" t="str">
        <f>IF(OR(OR(OR(OR(OR(ISNUMBER(SEARCH(IF(K$1&lt;&gt;"",K$1,"NA"),'MITRE ATT&amp;CK Mappings'!$E824)),ISNUMBER(SEARCH(IF(K$1&lt;&gt;"",K$1,"NA"),'MITRE ATT&amp;CK Mappings'!$F824))),ISNUMBER(SEARCH(IF(K$2&lt;&gt;"",K$2,"NA"),'MITRE ATT&amp;CK Mappings'!$G824))),ISNUMBER(SEARCH(IF(K$2&lt;&gt;"",K$2,"NA"),'MITRE ATT&amp;CK Mappings'!$H824))),ISNUMBER(SEARCH(IF(K$3&lt;&gt;"",K$3,"NA"),'MITRE ATT&amp;CK Mappings'!$I824))),ISNUMBER(SEARCH(IF(K$3&lt;&gt;"",K$3,"NA"),'MITRE ATT&amp;CK Mappings'!$J824))), 'MITRE ATT&amp;CK Mappings'!$B824,"")</f>
        <v/>
      </c>
      <c r="L828" s="26" t="str">
        <f>IF('MITRE ATT&amp;CK Mappings'!D824 &lt;&gt;"",'MITRE ATT&amp;CK Mappings'!D824,"" )</f>
        <v/>
      </c>
    </row>
    <row r="829" spans="1:12" x14ac:dyDescent="0.25">
      <c r="A829" s="27" t="str">
        <f>IF(COUNTIF(B829:K829,"="&amp;'MITRE ATT&amp;CK Mappings'!B825)&gt;0,'MITRE ATT&amp;CK Mappings'!B825,"")</f>
        <v/>
      </c>
      <c r="B829" s="27" t="str">
        <f>IF(OR(OR(OR(OR(OR(ISNUMBER(SEARCH(IF(B$1&lt;&gt;"",B$1,"NA"),'MITRE ATT&amp;CK Mappings'!$E825)),ISNUMBER(SEARCH(IF(B$1&lt;&gt;"",B$1,"NA"),'MITRE ATT&amp;CK Mappings'!$F825))),ISNUMBER(SEARCH(IF(B$2&lt;&gt;"",B$2,"NA"),'MITRE ATT&amp;CK Mappings'!$G825))),ISNUMBER(SEARCH(IF(B$2&lt;&gt;"",B$2,"NA"),'MITRE ATT&amp;CK Mappings'!$H825))),ISNUMBER(SEARCH(IF(B$3&lt;&gt;"",B$3,"NA"),'MITRE ATT&amp;CK Mappings'!$I825))),ISNUMBER(SEARCH(IF(B$3&lt;&gt;"",B$3,"NA"),'MITRE ATT&amp;CK Mappings'!$J825))), 'MITRE ATT&amp;CK Mappings'!$B825,"")</f>
        <v/>
      </c>
      <c r="C829" s="27" t="str">
        <f>IF(OR(OR(OR(OR(OR(ISNUMBER(SEARCH(IF(C$1&lt;&gt;"",C$1,"NA"),'MITRE ATT&amp;CK Mappings'!$E825)),ISNUMBER(SEARCH(IF(C$1&lt;&gt;"",C$1,"NA"),'MITRE ATT&amp;CK Mappings'!$F825))),ISNUMBER(SEARCH(IF(C$2&lt;&gt;"",C$2,"NA"),'MITRE ATT&amp;CK Mappings'!$G825))),ISNUMBER(SEARCH(IF(C$2&lt;&gt;"",C$2,"NA"),'MITRE ATT&amp;CK Mappings'!$H825))),ISNUMBER(SEARCH(IF(C$3&lt;&gt;"",C$3,"NA"),'MITRE ATT&amp;CK Mappings'!$I825))),ISNUMBER(SEARCH(IF(C$3&lt;&gt;"",C$3,"NA"),'MITRE ATT&amp;CK Mappings'!$J825))), 'MITRE ATT&amp;CK Mappings'!$B825,"")</f>
        <v/>
      </c>
      <c r="D829" s="27" t="str">
        <f>IF(OR(OR(OR(OR(OR(ISNUMBER(SEARCH(IF(D$1&lt;&gt;"",D$1,"NA"),'MITRE ATT&amp;CK Mappings'!$E825)),ISNUMBER(SEARCH(IF(D$1&lt;&gt;"",D$1,"NA"),'MITRE ATT&amp;CK Mappings'!$F825))),ISNUMBER(SEARCH(IF(D$2&lt;&gt;"",D$2,"NA"),'MITRE ATT&amp;CK Mappings'!$G825))),ISNUMBER(SEARCH(IF(D$2&lt;&gt;"",D$2,"NA"),'MITRE ATT&amp;CK Mappings'!$H825))),ISNUMBER(SEARCH(IF(D$3&lt;&gt;"",D$3,"NA"),'MITRE ATT&amp;CK Mappings'!$I825))),ISNUMBER(SEARCH(IF(D$3&lt;&gt;"",D$3,"NA"),'MITRE ATT&amp;CK Mappings'!$J825))), 'MITRE ATT&amp;CK Mappings'!$B825,"")</f>
        <v/>
      </c>
      <c r="E829" s="27" t="str">
        <f>IF(OR(OR(OR(OR(OR(ISNUMBER(SEARCH(IF(E$1&lt;&gt;"",E$1,"NA"),'MITRE ATT&amp;CK Mappings'!$E825)),ISNUMBER(SEARCH(IF(E$1&lt;&gt;"",E$1,"NA"),'MITRE ATT&amp;CK Mappings'!$F825))),ISNUMBER(SEARCH(IF(E$2&lt;&gt;"",E$2,"NA"),'MITRE ATT&amp;CK Mappings'!$G825))),ISNUMBER(SEARCH(IF(E$2&lt;&gt;"",E$2,"NA"),'MITRE ATT&amp;CK Mappings'!$H825))),ISNUMBER(SEARCH(IF(E$3&lt;&gt;"",E$3,"NA"),'MITRE ATT&amp;CK Mappings'!$I825))),ISNUMBER(SEARCH(IF(E$3&lt;&gt;"",E$3,"NA"),'MITRE ATT&amp;CK Mappings'!$J825))), 'MITRE ATT&amp;CK Mappings'!$B825,"")</f>
        <v/>
      </c>
      <c r="F829" s="27" t="str">
        <f>IF(OR(OR(OR(OR(OR(ISNUMBER(SEARCH(IF(F$1&lt;&gt;"",F$1,"NA"),'MITRE ATT&amp;CK Mappings'!$E825)),ISNUMBER(SEARCH(IF(F$1&lt;&gt;"",F$1,"NA"),'MITRE ATT&amp;CK Mappings'!$F825))),ISNUMBER(SEARCH(IF(F$2&lt;&gt;"",F$2,"NA"),'MITRE ATT&amp;CK Mappings'!$G825))),ISNUMBER(SEARCH(IF(F$2&lt;&gt;"",F$2,"NA"),'MITRE ATT&amp;CK Mappings'!$H825))),ISNUMBER(SEARCH(IF(F$3&lt;&gt;"",F$3,"NA"),'MITRE ATT&amp;CK Mappings'!$I825))),ISNUMBER(SEARCH(IF(F$3&lt;&gt;"",F$3,"NA"),'MITRE ATT&amp;CK Mappings'!$J825))), 'MITRE ATT&amp;CK Mappings'!$B825,"")</f>
        <v/>
      </c>
      <c r="G829" s="27" t="str">
        <f>IF(OR(OR(OR(OR(OR(ISNUMBER(SEARCH(IF(G$1&lt;&gt;"",G$1,"NA"),'MITRE ATT&amp;CK Mappings'!$E825)),ISNUMBER(SEARCH(IF(G$1&lt;&gt;"",G$1,"NA"),'MITRE ATT&amp;CK Mappings'!$F825))),ISNUMBER(SEARCH(IF(G$2&lt;&gt;"",G$2,"NA"),'MITRE ATT&amp;CK Mappings'!$G825))),ISNUMBER(SEARCH(IF(G$2&lt;&gt;"",G$2,"NA"),'MITRE ATT&amp;CK Mappings'!$H825))),ISNUMBER(SEARCH(IF(G$3&lt;&gt;"",G$3,"NA"),'MITRE ATT&amp;CK Mappings'!$I825))),ISNUMBER(SEARCH(IF(G$3&lt;&gt;"",G$3,"NA"),'MITRE ATT&amp;CK Mappings'!$J825))), 'MITRE ATT&amp;CK Mappings'!$B825,"")</f>
        <v/>
      </c>
      <c r="H829" s="27" t="str">
        <f>IF(OR(OR(OR(OR(OR(ISNUMBER(SEARCH(IF(H$1&lt;&gt;"",H$1,"NA"),'MITRE ATT&amp;CK Mappings'!$E825)),ISNUMBER(SEARCH(IF(H$1&lt;&gt;"",H$1,"NA"),'MITRE ATT&amp;CK Mappings'!$F825))),ISNUMBER(SEARCH(IF(H$2&lt;&gt;"",H$2,"NA"),'MITRE ATT&amp;CK Mappings'!$G825))),ISNUMBER(SEARCH(IF(H$2&lt;&gt;"",H$2,"NA"),'MITRE ATT&amp;CK Mappings'!$H825))),ISNUMBER(SEARCH(IF(H$3&lt;&gt;"",H$3,"NA"),'MITRE ATT&amp;CK Mappings'!$I825))),ISNUMBER(SEARCH(IF(H$3&lt;&gt;"",H$3,"NA"),'MITRE ATT&amp;CK Mappings'!$J825))), 'MITRE ATT&amp;CK Mappings'!$B825,"")</f>
        <v/>
      </c>
      <c r="I829" s="27" t="str">
        <f>IF(OR(OR(OR(OR(OR(ISNUMBER(SEARCH(IF(I$1&lt;&gt;"",I$1,"NA"),'MITRE ATT&amp;CK Mappings'!$E825)),ISNUMBER(SEARCH(IF(I$1&lt;&gt;"",I$1,"NA"),'MITRE ATT&amp;CK Mappings'!$F825))),ISNUMBER(SEARCH(IF(I$2&lt;&gt;"",I$2,"NA"),'MITRE ATT&amp;CK Mappings'!$G825))),ISNUMBER(SEARCH(IF(I$2&lt;&gt;"",I$2,"NA"),'MITRE ATT&amp;CK Mappings'!$H825))),ISNUMBER(SEARCH(IF(I$3&lt;&gt;"",I$3,"NA"),'MITRE ATT&amp;CK Mappings'!$I825))),ISNUMBER(SEARCH(IF(I$3&lt;&gt;"",I$3,"NA"),'MITRE ATT&amp;CK Mappings'!$J825))), 'MITRE ATT&amp;CK Mappings'!$B825,"")</f>
        <v/>
      </c>
      <c r="J829" s="27" t="str">
        <f>IF(OR(OR(OR(OR(OR(ISNUMBER(SEARCH(IF(J$1&lt;&gt;"",J$1,"NA"),'MITRE ATT&amp;CK Mappings'!$E825)),ISNUMBER(SEARCH(IF(J$1&lt;&gt;"",J$1,"NA"),'MITRE ATT&amp;CK Mappings'!$F825))),ISNUMBER(SEARCH(IF(J$2&lt;&gt;"",J$2,"NA"),'MITRE ATT&amp;CK Mappings'!$G825))),ISNUMBER(SEARCH(IF(J$2&lt;&gt;"",J$2,"NA"),'MITRE ATT&amp;CK Mappings'!$H825))),ISNUMBER(SEARCH(IF(J$3&lt;&gt;"",J$3,"NA"),'MITRE ATT&amp;CK Mappings'!$I825))),ISNUMBER(SEARCH(IF(J$3&lt;&gt;"",J$3,"NA"),'MITRE ATT&amp;CK Mappings'!$J825))), 'MITRE ATT&amp;CK Mappings'!$B825,"")</f>
        <v/>
      </c>
      <c r="K829" s="27" t="str">
        <f>IF(OR(OR(OR(OR(OR(ISNUMBER(SEARCH(IF(K$1&lt;&gt;"",K$1,"NA"),'MITRE ATT&amp;CK Mappings'!$E825)),ISNUMBER(SEARCH(IF(K$1&lt;&gt;"",K$1,"NA"),'MITRE ATT&amp;CK Mappings'!$F825))),ISNUMBER(SEARCH(IF(K$2&lt;&gt;"",K$2,"NA"),'MITRE ATT&amp;CK Mappings'!$G825))),ISNUMBER(SEARCH(IF(K$2&lt;&gt;"",K$2,"NA"),'MITRE ATT&amp;CK Mappings'!$H825))),ISNUMBER(SEARCH(IF(K$3&lt;&gt;"",K$3,"NA"),'MITRE ATT&amp;CK Mappings'!$I825))),ISNUMBER(SEARCH(IF(K$3&lt;&gt;"",K$3,"NA"),'MITRE ATT&amp;CK Mappings'!$J825))), 'MITRE ATT&amp;CK Mappings'!$B825,"")</f>
        <v/>
      </c>
      <c r="L829" s="27" t="str">
        <f>IF('MITRE ATT&amp;CK Mappings'!D825 &lt;&gt;"",'MITRE ATT&amp;CK Mappings'!D825,"" )</f>
        <v/>
      </c>
    </row>
    <row r="830" spans="1:12" x14ac:dyDescent="0.25">
      <c r="A830" s="26" t="str">
        <f>IF(COUNTIF(B830:K830,"="&amp;'MITRE ATT&amp;CK Mappings'!B826)&gt;0,'MITRE ATT&amp;CK Mappings'!B826,"")</f>
        <v/>
      </c>
      <c r="B830" s="26" t="str">
        <f>IF(OR(OR(OR(OR(OR(ISNUMBER(SEARCH(IF(B$1&lt;&gt;"",B$1,"NA"),'MITRE ATT&amp;CK Mappings'!$E826)),ISNUMBER(SEARCH(IF(B$1&lt;&gt;"",B$1,"NA"),'MITRE ATT&amp;CK Mappings'!$F826))),ISNUMBER(SEARCH(IF(B$2&lt;&gt;"",B$2,"NA"),'MITRE ATT&amp;CK Mappings'!$G826))),ISNUMBER(SEARCH(IF(B$2&lt;&gt;"",B$2,"NA"),'MITRE ATT&amp;CK Mappings'!$H826))),ISNUMBER(SEARCH(IF(B$3&lt;&gt;"",B$3,"NA"),'MITRE ATT&amp;CK Mappings'!$I826))),ISNUMBER(SEARCH(IF(B$3&lt;&gt;"",B$3,"NA"),'MITRE ATT&amp;CK Mappings'!$J826))), 'MITRE ATT&amp;CK Mappings'!$B826,"")</f>
        <v/>
      </c>
      <c r="C830" s="26" t="str">
        <f>IF(OR(OR(OR(OR(OR(ISNUMBER(SEARCH(IF(C$1&lt;&gt;"",C$1,"NA"),'MITRE ATT&amp;CK Mappings'!$E826)),ISNUMBER(SEARCH(IF(C$1&lt;&gt;"",C$1,"NA"),'MITRE ATT&amp;CK Mappings'!$F826))),ISNUMBER(SEARCH(IF(C$2&lt;&gt;"",C$2,"NA"),'MITRE ATT&amp;CK Mappings'!$G826))),ISNUMBER(SEARCH(IF(C$2&lt;&gt;"",C$2,"NA"),'MITRE ATT&amp;CK Mappings'!$H826))),ISNUMBER(SEARCH(IF(C$3&lt;&gt;"",C$3,"NA"),'MITRE ATT&amp;CK Mappings'!$I826))),ISNUMBER(SEARCH(IF(C$3&lt;&gt;"",C$3,"NA"),'MITRE ATT&amp;CK Mappings'!$J826))), 'MITRE ATT&amp;CK Mappings'!$B826,"")</f>
        <v/>
      </c>
      <c r="D830" s="26" t="str">
        <f>IF(OR(OR(OR(OR(OR(ISNUMBER(SEARCH(IF(D$1&lt;&gt;"",D$1,"NA"),'MITRE ATT&amp;CK Mappings'!$E826)),ISNUMBER(SEARCH(IF(D$1&lt;&gt;"",D$1,"NA"),'MITRE ATT&amp;CK Mappings'!$F826))),ISNUMBER(SEARCH(IF(D$2&lt;&gt;"",D$2,"NA"),'MITRE ATT&amp;CK Mappings'!$G826))),ISNUMBER(SEARCH(IF(D$2&lt;&gt;"",D$2,"NA"),'MITRE ATT&amp;CK Mappings'!$H826))),ISNUMBER(SEARCH(IF(D$3&lt;&gt;"",D$3,"NA"),'MITRE ATT&amp;CK Mappings'!$I826))),ISNUMBER(SEARCH(IF(D$3&lt;&gt;"",D$3,"NA"),'MITRE ATT&amp;CK Mappings'!$J826))), 'MITRE ATT&amp;CK Mappings'!$B826,"")</f>
        <v/>
      </c>
      <c r="E830" s="26" t="str">
        <f>IF(OR(OR(OR(OR(OR(ISNUMBER(SEARCH(IF(E$1&lt;&gt;"",E$1,"NA"),'MITRE ATT&amp;CK Mappings'!$E826)),ISNUMBER(SEARCH(IF(E$1&lt;&gt;"",E$1,"NA"),'MITRE ATT&amp;CK Mappings'!$F826))),ISNUMBER(SEARCH(IF(E$2&lt;&gt;"",E$2,"NA"),'MITRE ATT&amp;CK Mappings'!$G826))),ISNUMBER(SEARCH(IF(E$2&lt;&gt;"",E$2,"NA"),'MITRE ATT&amp;CK Mappings'!$H826))),ISNUMBER(SEARCH(IF(E$3&lt;&gt;"",E$3,"NA"),'MITRE ATT&amp;CK Mappings'!$I826))),ISNUMBER(SEARCH(IF(E$3&lt;&gt;"",E$3,"NA"),'MITRE ATT&amp;CK Mappings'!$J826))), 'MITRE ATT&amp;CK Mappings'!$B826,"")</f>
        <v/>
      </c>
      <c r="F830" s="26" t="str">
        <f>IF(OR(OR(OR(OR(OR(ISNUMBER(SEARCH(IF(F$1&lt;&gt;"",F$1,"NA"),'MITRE ATT&amp;CK Mappings'!$E826)),ISNUMBER(SEARCH(IF(F$1&lt;&gt;"",F$1,"NA"),'MITRE ATT&amp;CK Mappings'!$F826))),ISNUMBER(SEARCH(IF(F$2&lt;&gt;"",F$2,"NA"),'MITRE ATT&amp;CK Mappings'!$G826))),ISNUMBER(SEARCH(IF(F$2&lt;&gt;"",F$2,"NA"),'MITRE ATT&amp;CK Mappings'!$H826))),ISNUMBER(SEARCH(IF(F$3&lt;&gt;"",F$3,"NA"),'MITRE ATT&amp;CK Mappings'!$I826))),ISNUMBER(SEARCH(IF(F$3&lt;&gt;"",F$3,"NA"),'MITRE ATT&amp;CK Mappings'!$J826))), 'MITRE ATT&amp;CK Mappings'!$B826,"")</f>
        <v/>
      </c>
      <c r="G830" s="26" t="str">
        <f>IF(OR(OR(OR(OR(OR(ISNUMBER(SEARCH(IF(G$1&lt;&gt;"",G$1,"NA"),'MITRE ATT&amp;CK Mappings'!$E826)),ISNUMBER(SEARCH(IF(G$1&lt;&gt;"",G$1,"NA"),'MITRE ATT&amp;CK Mappings'!$F826))),ISNUMBER(SEARCH(IF(G$2&lt;&gt;"",G$2,"NA"),'MITRE ATT&amp;CK Mappings'!$G826))),ISNUMBER(SEARCH(IF(G$2&lt;&gt;"",G$2,"NA"),'MITRE ATT&amp;CK Mappings'!$H826))),ISNUMBER(SEARCH(IF(G$3&lt;&gt;"",G$3,"NA"),'MITRE ATT&amp;CK Mappings'!$I826))),ISNUMBER(SEARCH(IF(G$3&lt;&gt;"",G$3,"NA"),'MITRE ATT&amp;CK Mappings'!$J826))), 'MITRE ATT&amp;CK Mappings'!$B826,"")</f>
        <v/>
      </c>
      <c r="H830" s="26" t="str">
        <f>IF(OR(OR(OR(OR(OR(ISNUMBER(SEARCH(IF(H$1&lt;&gt;"",H$1,"NA"),'MITRE ATT&amp;CK Mappings'!$E826)),ISNUMBER(SEARCH(IF(H$1&lt;&gt;"",H$1,"NA"),'MITRE ATT&amp;CK Mappings'!$F826))),ISNUMBER(SEARCH(IF(H$2&lt;&gt;"",H$2,"NA"),'MITRE ATT&amp;CK Mappings'!$G826))),ISNUMBER(SEARCH(IF(H$2&lt;&gt;"",H$2,"NA"),'MITRE ATT&amp;CK Mappings'!$H826))),ISNUMBER(SEARCH(IF(H$3&lt;&gt;"",H$3,"NA"),'MITRE ATT&amp;CK Mappings'!$I826))),ISNUMBER(SEARCH(IF(H$3&lt;&gt;"",H$3,"NA"),'MITRE ATT&amp;CK Mappings'!$J826))), 'MITRE ATT&amp;CK Mappings'!$B826,"")</f>
        <v/>
      </c>
      <c r="I830" s="26" t="str">
        <f>IF(OR(OR(OR(OR(OR(ISNUMBER(SEARCH(IF(I$1&lt;&gt;"",I$1,"NA"),'MITRE ATT&amp;CK Mappings'!$E826)),ISNUMBER(SEARCH(IF(I$1&lt;&gt;"",I$1,"NA"),'MITRE ATT&amp;CK Mappings'!$F826))),ISNUMBER(SEARCH(IF(I$2&lt;&gt;"",I$2,"NA"),'MITRE ATT&amp;CK Mappings'!$G826))),ISNUMBER(SEARCH(IF(I$2&lt;&gt;"",I$2,"NA"),'MITRE ATT&amp;CK Mappings'!$H826))),ISNUMBER(SEARCH(IF(I$3&lt;&gt;"",I$3,"NA"),'MITRE ATT&amp;CK Mappings'!$I826))),ISNUMBER(SEARCH(IF(I$3&lt;&gt;"",I$3,"NA"),'MITRE ATT&amp;CK Mappings'!$J826))), 'MITRE ATT&amp;CK Mappings'!$B826,"")</f>
        <v/>
      </c>
      <c r="J830" s="26" t="str">
        <f>IF(OR(OR(OR(OR(OR(ISNUMBER(SEARCH(IF(J$1&lt;&gt;"",J$1,"NA"),'MITRE ATT&amp;CK Mappings'!$E826)),ISNUMBER(SEARCH(IF(J$1&lt;&gt;"",J$1,"NA"),'MITRE ATT&amp;CK Mappings'!$F826))),ISNUMBER(SEARCH(IF(J$2&lt;&gt;"",J$2,"NA"),'MITRE ATT&amp;CK Mappings'!$G826))),ISNUMBER(SEARCH(IF(J$2&lt;&gt;"",J$2,"NA"),'MITRE ATT&amp;CK Mappings'!$H826))),ISNUMBER(SEARCH(IF(J$3&lt;&gt;"",J$3,"NA"),'MITRE ATT&amp;CK Mappings'!$I826))),ISNUMBER(SEARCH(IF(J$3&lt;&gt;"",J$3,"NA"),'MITRE ATT&amp;CK Mappings'!$J826))), 'MITRE ATT&amp;CK Mappings'!$B826,"")</f>
        <v/>
      </c>
      <c r="K830" s="26" t="str">
        <f>IF(OR(OR(OR(OR(OR(ISNUMBER(SEARCH(IF(K$1&lt;&gt;"",K$1,"NA"),'MITRE ATT&amp;CK Mappings'!$E826)),ISNUMBER(SEARCH(IF(K$1&lt;&gt;"",K$1,"NA"),'MITRE ATT&amp;CK Mappings'!$F826))),ISNUMBER(SEARCH(IF(K$2&lt;&gt;"",K$2,"NA"),'MITRE ATT&amp;CK Mappings'!$G826))),ISNUMBER(SEARCH(IF(K$2&lt;&gt;"",K$2,"NA"),'MITRE ATT&amp;CK Mappings'!$H826))),ISNUMBER(SEARCH(IF(K$3&lt;&gt;"",K$3,"NA"),'MITRE ATT&amp;CK Mappings'!$I826))),ISNUMBER(SEARCH(IF(K$3&lt;&gt;"",K$3,"NA"),'MITRE ATT&amp;CK Mappings'!$J826))), 'MITRE ATT&amp;CK Mappings'!$B826,"")</f>
        <v/>
      </c>
      <c r="L830" s="26" t="str">
        <f>IF('MITRE ATT&amp;CK Mappings'!D826 &lt;&gt;"",'MITRE ATT&amp;CK Mappings'!D826,"" )</f>
        <v/>
      </c>
    </row>
    <row r="831" spans="1:12" x14ac:dyDescent="0.25">
      <c r="A831" s="27" t="str">
        <f>IF(COUNTIF(B831:K831,"="&amp;'MITRE ATT&amp;CK Mappings'!B827)&gt;0,'MITRE ATT&amp;CK Mappings'!B827,"")</f>
        <v/>
      </c>
      <c r="B831" s="27" t="str">
        <f>IF(OR(OR(OR(OR(OR(ISNUMBER(SEARCH(IF(B$1&lt;&gt;"",B$1,"NA"),'MITRE ATT&amp;CK Mappings'!$E827)),ISNUMBER(SEARCH(IF(B$1&lt;&gt;"",B$1,"NA"),'MITRE ATT&amp;CK Mappings'!$F827))),ISNUMBER(SEARCH(IF(B$2&lt;&gt;"",B$2,"NA"),'MITRE ATT&amp;CK Mappings'!$G827))),ISNUMBER(SEARCH(IF(B$2&lt;&gt;"",B$2,"NA"),'MITRE ATT&amp;CK Mappings'!$H827))),ISNUMBER(SEARCH(IF(B$3&lt;&gt;"",B$3,"NA"),'MITRE ATT&amp;CK Mappings'!$I827))),ISNUMBER(SEARCH(IF(B$3&lt;&gt;"",B$3,"NA"),'MITRE ATT&amp;CK Mappings'!$J827))), 'MITRE ATT&amp;CK Mappings'!$B827,"")</f>
        <v/>
      </c>
      <c r="C831" s="27" t="str">
        <f>IF(OR(OR(OR(OR(OR(ISNUMBER(SEARCH(IF(C$1&lt;&gt;"",C$1,"NA"),'MITRE ATT&amp;CK Mappings'!$E827)),ISNUMBER(SEARCH(IF(C$1&lt;&gt;"",C$1,"NA"),'MITRE ATT&amp;CK Mappings'!$F827))),ISNUMBER(SEARCH(IF(C$2&lt;&gt;"",C$2,"NA"),'MITRE ATT&amp;CK Mappings'!$G827))),ISNUMBER(SEARCH(IF(C$2&lt;&gt;"",C$2,"NA"),'MITRE ATT&amp;CK Mappings'!$H827))),ISNUMBER(SEARCH(IF(C$3&lt;&gt;"",C$3,"NA"),'MITRE ATT&amp;CK Mappings'!$I827))),ISNUMBER(SEARCH(IF(C$3&lt;&gt;"",C$3,"NA"),'MITRE ATT&amp;CK Mappings'!$J827))), 'MITRE ATT&amp;CK Mappings'!$B827,"")</f>
        <v/>
      </c>
      <c r="D831" s="27" t="str">
        <f>IF(OR(OR(OR(OR(OR(ISNUMBER(SEARCH(IF(D$1&lt;&gt;"",D$1,"NA"),'MITRE ATT&amp;CK Mappings'!$E827)),ISNUMBER(SEARCH(IF(D$1&lt;&gt;"",D$1,"NA"),'MITRE ATT&amp;CK Mappings'!$F827))),ISNUMBER(SEARCH(IF(D$2&lt;&gt;"",D$2,"NA"),'MITRE ATT&amp;CK Mappings'!$G827))),ISNUMBER(SEARCH(IF(D$2&lt;&gt;"",D$2,"NA"),'MITRE ATT&amp;CK Mappings'!$H827))),ISNUMBER(SEARCH(IF(D$3&lt;&gt;"",D$3,"NA"),'MITRE ATT&amp;CK Mappings'!$I827))),ISNUMBER(SEARCH(IF(D$3&lt;&gt;"",D$3,"NA"),'MITRE ATT&amp;CK Mappings'!$J827))), 'MITRE ATT&amp;CK Mappings'!$B827,"")</f>
        <v/>
      </c>
      <c r="E831" s="27" t="str">
        <f>IF(OR(OR(OR(OR(OR(ISNUMBER(SEARCH(IF(E$1&lt;&gt;"",E$1,"NA"),'MITRE ATT&amp;CK Mappings'!$E827)),ISNUMBER(SEARCH(IF(E$1&lt;&gt;"",E$1,"NA"),'MITRE ATT&amp;CK Mappings'!$F827))),ISNUMBER(SEARCH(IF(E$2&lt;&gt;"",E$2,"NA"),'MITRE ATT&amp;CK Mappings'!$G827))),ISNUMBER(SEARCH(IF(E$2&lt;&gt;"",E$2,"NA"),'MITRE ATT&amp;CK Mappings'!$H827))),ISNUMBER(SEARCH(IF(E$3&lt;&gt;"",E$3,"NA"),'MITRE ATT&amp;CK Mappings'!$I827))),ISNUMBER(SEARCH(IF(E$3&lt;&gt;"",E$3,"NA"),'MITRE ATT&amp;CK Mappings'!$J827))), 'MITRE ATT&amp;CK Mappings'!$B827,"")</f>
        <v/>
      </c>
      <c r="F831" s="27" t="str">
        <f>IF(OR(OR(OR(OR(OR(ISNUMBER(SEARCH(IF(F$1&lt;&gt;"",F$1,"NA"),'MITRE ATT&amp;CK Mappings'!$E827)),ISNUMBER(SEARCH(IF(F$1&lt;&gt;"",F$1,"NA"),'MITRE ATT&amp;CK Mappings'!$F827))),ISNUMBER(SEARCH(IF(F$2&lt;&gt;"",F$2,"NA"),'MITRE ATT&amp;CK Mappings'!$G827))),ISNUMBER(SEARCH(IF(F$2&lt;&gt;"",F$2,"NA"),'MITRE ATT&amp;CK Mappings'!$H827))),ISNUMBER(SEARCH(IF(F$3&lt;&gt;"",F$3,"NA"),'MITRE ATT&amp;CK Mappings'!$I827))),ISNUMBER(SEARCH(IF(F$3&lt;&gt;"",F$3,"NA"),'MITRE ATT&amp;CK Mappings'!$J827))), 'MITRE ATT&amp;CK Mappings'!$B827,"")</f>
        <v/>
      </c>
      <c r="G831" s="27" t="str">
        <f>IF(OR(OR(OR(OR(OR(ISNUMBER(SEARCH(IF(G$1&lt;&gt;"",G$1,"NA"),'MITRE ATT&amp;CK Mappings'!$E827)),ISNUMBER(SEARCH(IF(G$1&lt;&gt;"",G$1,"NA"),'MITRE ATT&amp;CK Mappings'!$F827))),ISNUMBER(SEARCH(IF(G$2&lt;&gt;"",G$2,"NA"),'MITRE ATT&amp;CK Mappings'!$G827))),ISNUMBER(SEARCH(IF(G$2&lt;&gt;"",G$2,"NA"),'MITRE ATT&amp;CK Mappings'!$H827))),ISNUMBER(SEARCH(IF(G$3&lt;&gt;"",G$3,"NA"),'MITRE ATT&amp;CK Mappings'!$I827))),ISNUMBER(SEARCH(IF(G$3&lt;&gt;"",G$3,"NA"),'MITRE ATT&amp;CK Mappings'!$J827))), 'MITRE ATT&amp;CK Mappings'!$B827,"")</f>
        <v/>
      </c>
      <c r="H831" s="27" t="str">
        <f>IF(OR(OR(OR(OR(OR(ISNUMBER(SEARCH(IF(H$1&lt;&gt;"",H$1,"NA"),'MITRE ATT&amp;CK Mappings'!$E827)),ISNUMBER(SEARCH(IF(H$1&lt;&gt;"",H$1,"NA"),'MITRE ATT&amp;CK Mappings'!$F827))),ISNUMBER(SEARCH(IF(H$2&lt;&gt;"",H$2,"NA"),'MITRE ATT&amp;CK Mappings'!$G827))),ISNUMBER(SEARCH(IF(H$2&lt;&gt;"",H$2,"NA"),'MITRE ATT&amp;CK Mappings'!$H827))),ISNUMBER(SEARCH(IF(H$3&lt;&gt;"",H$3,"NA"),'MITRE ATT&amp;CK Mappings'!$I827))),ISNUMBER(SEARCH(IF(H$3&lt;&gt;"",H$3,"NA"),'MITRE ATT&amp;CK Mappings'!$J827))), 'MITRE ATT&amp;CK Mappings'!$B827,"")</f>
        <v/>
      </c>
      <c r="I831" s="27" t="str">
        <f>IF(OR(OR(OR(OR(OR(ISNUMBER(SEARCH(IF(I$1&lt;&gt;"",I$1,"NA"),'MITRE ATT&amp;CK Mappings'!$E827)),ISNUMBER(SEARCH(IF(I$1&lt;&gt;"",I$1,"NA"),'MITRE ATT&amp;CK Mappings'!$F827))),ISNUMBER(SEARCH(IF(I$2&lt;&gt;"",I$2,"NA"),'MITRE ATT&amp;CK Mappings'!$G827))),ISNUMBER(SEARCH(IF(I$2&lt;&gt;"",I$2,"NA"),'MITRE ATT&amp;CK Mappings'!$H827))),ISNUMBER(SEARCH(IF(I$3&lt;&gt;"",I$3,"NA"),'MITRE ATT&amp;CK Mappings'!$I827))),ISNUMBER(SEARCH(IF(I$3&lt;&gt;"",I$3,"NA"),'MITRE ATT&amp;CK Mappings'!$J827))), 'MITRE ATT&amp;CK Mappings'!$B827,"")</f>
        <v/>
      </c>
      <c r="J831" s="27" t="str">
        <f>IF(OR(OR(OR(OR(OR(ISNUMBER(SEARCH(IF(J$1&lt;&gt;"",J$1,"NA"),'MITRE ATT&amp;CK Mappings'!$E827)),ISNUMBER(SEARCH(IF(J$1&lt;&gt;"",J$1,"NA"),'MITRE ATT&amp;CK Mappings'!$F827))),ISNUMBER(SEARCH(IF(J$2&lt;&gt;"",J$2,"NA"),'MITRE ATT&amp;CK Mappings'!$G827))),ISNUMBER(SEARCH(IF(J$2&lt;&gt;"",J$2,"NA"),'MITRE ATT&amp;CK Mappings'!$H827))),ISNUMBER(SEARCH(IF(J$3&lt;&gt;"",J$3,"NA"),'MITRE ATT&amp;CK Mappings'!$I827))),ISNUMBER(SEARCH(IF(J$3&lt;&gt;"",J$3,"NA"),'MITRE ATT&amp;CK Mappings'!$J827))), 'MITRE ATT&amp;CK Mappings'!$B827,"")</f>
        <v/>
      </c>
      <c r="K831" s="27" t="str">
        <f>IF(OR(OR(OR(OR(OR(ISNUMBER(SEARCH(IF(K$1&lt;&gt;"",K$1,"NA"),'MITRE ATT&amp;CK Mappings'!$E827)),ISNUMBER(SEARCH(IF(K$1&lt;&gt;"",K$1,"NA"),'MITRE ATT&amp;CK Mappings'!$F827))),ISNUMBER(SEARCH(IF(K$2&lt;&gt;"",K$2,"NA"),'MITRE ATT&amp;CK Mappings'!$G827))),ISNUMBER(SEARCH(IF(K$2&lt;&gt;"",K$2,"NA"),'MITRE ATT&amp;CK Mappings'!$H827))),ISNUMBER(SEARCH(IF(K$3&lt;&gt;"",K$3,"NA"),'MITRE ATT&amp;CK Mappings'!$I827))),ISNUMBER(SEARCH(IF(K$3&lt;&gt;"",K$3,"NA"),'MITRE ATT&amp;CK Mappings'!$J827))), 'MITRE ATT&amp;CK Mappings'!$B827,"")</f>
        <v/>
      </c>
      <c r="L831" s="27" t="str">
        <f>IF('MITRE ATT&amp;CK Mappings'!D827 &lt;&gt;"",'MITRE ATT&amp;CK Mappings'!D827,"" )</f>
        <v/>
      </c>
    </row>
    <row r="832" spans="1:12" x14ac:dyDescent="0.25">
      <c r="A832" s="26" t="str">
        <f>IF(COUNTIF(B832:K832,"="&amp;'MITRE ATT&amp;CK Mappings'!B828)&gt;0,'MITRE ATT&amp;CK Mappings'!B828,"")</f>
        <v/>
      </c>
      <c r="B832" s="26" t="str">
        <f>IF(OR(OR(OR(OR(OR(ISNUMBER(SEARCH(IF(B$1&lt;&gt;"",B$1,"NA"),'MITRE ATT&amp;CK Mappings'!$E828)),ISNUMBER(SEARCH(IF(B$1&lt;&gt;"",B$1,"NA"),'MITRE ATT&amp;CK Mappings'!$F828))),ISNUMBER(SEARCH(IF(B$2&lt;&gt;"",B$2,"NA"),'MITRE ATT&amp;CK Mappings'!$G828))),ISNUMBER(SEARCH(IF(B$2&lt;&gt;"",B$2,"NA"),'MITRE ATT&amp;CK Mappings'!$H828))),ISNUMBER(SEARCH(IF(B$3&lt;&gt;"",B$3,"NA"),'MITRE ATT&amp;CK Mappings'!$I828))),ISNUMBER(SEARCH(IF(B$3&lt;&gt;"",B$3,"NA"),'MITRE ATT&amp;CK Mappings'!$J828))), 'MITRE ATT&amp;CK Mappings'!$B828,"")</f>
        <v/>
      </c>
      <c r="C832" s="26" t="str">
        <f>IF(OR(OR(OR(OR(OR(ISNUMBER(SEARCH(IF(C$1&lt;&gt;"",C$1,"NA"),'MITRE ATT&amp;CK Mappings'!$E828)),ISNUMBER(SEARCH(IF(C$1&lt;&gt;"",C$1,"NA"),'MITRE ATT&amp;CK Mappings'!$F828))),ISNUMBER(SEARCH(IF(C$2&lt;&gt;"",C$2,"NA"),'MITRE ATT&amp;CK Mappings'!$G828))),ISNUMBER(SEARCH(IF(C$2&lt;&gt;"",C$2,"NA"),'MITRE ATT&amp;CK Mappings'!$H828))),ISNUMBER(SEARCH(IF(C$3&lt;&gt;"",C$3,"NA"),'MITRE ATT&amp;CK Mappings'!$I828))),ISNUMBER(SEARCH(IF(C$3&lt;&gt;"",C$3,"NA"),'MITRE ATT&amp;CK Mappings'!$J828))), 'MITRE ATT&amp;CK Mappings'!$B828,"")</f>
        <v/>
      </c>
      <c r="D832" s="26" t="str">
        <f>IF(OR(OR(OR(OR(OR(ISNUMBER(SEARCH(IF(D$1&lt;&gt;"",D$1,"NA"),'MITRE ATT&amp;CK Mappings'!$E828)),ISNUMBER(SEARCH(IF(D$1&lt;&gt;"",D$1,"NA"),'MITRE ATT&amp;CK Mappings'!$F828))),ISNUMBER(SEARCH(IF(D$2&lt;&gt;"",D$2,"NA"),'MITRE ATT&amp;CK Mappings'!$G828))),ISNUMBER(SEARCH(IF(D$2&lt;&gt;"",D$2,"NA"),'MITRE ATT&amp;CK Mappings'!$H828))),ISNUMBER(SEARCH(IF(D$3&lt;&gt;"",D$3,"NA"),'MITRE ATT&amp;CK Mappings'!$I828))),ISNUMBER(SEARCH(IF(D$3&lt;&gt;"",D$3,"NA"),'MITRE ATT&amp;CK Mappings'!$J828))), 'MITRE ATT&amp;CK Mappings'!$B828,"")</f>
        <v/>
      </c>
      <c r="E832" s="26" t="str">
        <f>IF(OR(OR(OR(OR(OR(ISNUMBER(SEARCH(IF(E$1&lt;&gt;"",E$1,"NA"),'MITRE ATT&amp;CK Mappings'!$E828)),ISNUMBER(SEARCH(IF(E$1&lt;&gt;"",E$1,"NA"),'MITRE ATT&amp;CK Mappings'!$F828))),ISNUMBER(SEARCH(IF(E$2&lt;&gt;"",E$2,"NA"),'MITRE ATT&amp;CK Mappings'!$G828))),ISNUMBER(SEARCH(IF(E$2&lt;&gt;"",E$2,"NA"),'MITRE ATT&amp;CK Mappings'!$H828))),ISNUMBER(SEARCH(IF(E$3&lt;&gt;"",E$3,"NA"),'MITRE ATT&amp;CK Mappings'!$I828))),ISNUMBER(SEARCH(IF(E$3&lt;&gt;"",E$3,"NA"),'MITRE ATT&amp;CK Mappings'!$J828))), 'MITRE ATT&amp;CK Mappings'!$B828,"")</f>
        <v/>
      </c>
      <c r="F832" s="26" t="str">
        <f>IF(OR(OR(OR(OR(OR(ISNUMBER(SEARCH(IF(F$1&lt;&gt;"",F$1,"NA"),'MITRE ATT&amp;CK Mappings'!$E828)),ISNUMBER(SEARCH(IF(F$1&lt;&gt;"",F$1,"NA"),'MITRE ATT&amp;CK Mappings'!$F828))),ISNUMBER(SEARCH(IF(F$2&lt;&gt;"",F$2,"NA"),'MITRE ATT&amp;CK Mappings'!$G828))),ISNUMBER(SEARCH(IF(F$2&lt;&gt;"",F$2,"NA"),'MITRE ATT&amp;CK Mappings'!$H828))),ISNUMBER(SEARCH(IF(F$3&lt;&gt;"",F$3,"NA"),'MITRE ATT&amp;CK Mappings'!$I828))),ISNUMBER(SEARCH(IF(F$3&lt;&gt;"",F$3,"NA"),'MITRE ATT&amp;CK Mappings'!$J828))), 'MITRE ATT&amp;CK Mappings'!$B828,"")</f>
        <v/>
      </c>
      <c r="G832" s="26" t="str">
        <f>IF(OR(OR(OR(OR(OR(ISNUMBER(SEARCH(IF(G$1&lt;&gt;"",G$1,"NA"),'MITRE ATT&amp;CK Mappings'!$E828)),ISNUMBER(SEARCH(IF(G$1&lt;&gt;"",G$1,"NA"),'MITRE ATT&amp;CK Mappings'!$F828))),ISNUMBER(SEARCH(IF(G$2&lt;&gt;"",G$2,"NA"),'MITRE ATT&amp;CK Mappings'!$G828))),ISNUMBER(SEARCH(IF(G$2&lt;&gt;"",G$2,"NA"),'MITRE ATT&amp;CK Mappings'!$H828))),ISNUMBER(SEARCH(IF(G$3&lt;&gt;"",G$3,"NA"),'MITRE ATT&amp;CK Mappings'!$I828))),ISNUMBER(SEARCH(IF(G$3&lt;&gt;"",G$3,"NA"),'MITRE ATT&amp;CK Mappings'!$J828))), 'MITRE ATT&amp;CK Mappings'!$B828,"")</f>
        <v/>
      </c>
      <c r="H832" s="26" t="str">
        <f>IF(OR(OR(OR(OR(OR(ISNUMBER(SEARCH(IF(H$1&lt;&gt;"",H$1,"NA"),'MITRE ATT&amp;CK Mappings'!$E828)),ISNUMBER(SEARCH(IF(H$1&lt;&gt;"",H$1,"NA"),'MITRE ATT&amp;CK Mappings'!$F828))),ISNUMBER(SEARCH(IF(H$2&lt;&gt;"",H$2,"NA"),'MITRE ATT&amp;CK Mappings'!$G828))),ISNUMBER(SEARCH(IF(H$2&lt;&gt;"",H$2,"NA"),'MITRE ATT&amp;CK Mappings'!$H828))),ISNUMBER(SEARCH(IF(H$3&lt;&gt;"",H$3,"NA"),'MITRE ATT&amp;CK Mappings'!$I828))),ISNUMBER(SEARCH(IF(H$3&lt;&gt;"",H$3,"NA"),'MITRE ATT&amp;CK Mappings'!$J828))), 'MITRE ATT&amp;CK Mappings'!$B828,"")</f>
        <v/>
      </c>
      <c r="I832" s="26" t="str">
        <f>IF(OR(OR(OR(OR(OR(ISNUMBER(SEARCH(IF(I$1&lt;&gt;"",I$1,"NA"),'MITRE ATT&amp;CK Mappings'!$E828)),ISNUMBER(SEARCH(IF(I$1&lt;&gt;"",I$1,"NA"),'MITRE ATT&amp;CK Mappings'!$F828))),ISNUMBER(SEARCH(IF(I$2&lt;&gt;"",I$2,"NA"),'MITRE ATT&amp;CK Mappings'!$G828))),ISNUMBER(SEARCH(IF(I$2&lt;&gt;"",I$2,"NA"),'MITRE ATT&amp;CK Mappings'!$H828))),ISNUMBER(SEARCH(IF(I$3&lt;&gt;"",I$3,"NA"),'MITRE ATT&amp;CK Mappings'!$I828))),ISNUMBER(SEARCH(IF(I$3&lt;&gt;"",I$3,"NA"),'MITRE ATT&amp;CK Mappings'!$J828))), 'MITRE ATT&amp;CK Mappings'!$B828,"")</f>
        <v/>
      </c>
      <c r="J832" s="26" t="str">
        <f>IF(OR(OR(OR(OR(OR(ISNUMBER(SEARCH(IF(J$1&lt;&gt;"",J$1,"NA"),'MITRE ATT&amp;CK Mappings'!$E828)),ISNUMBER(SEARCH(IF(J$1&lt;&gt;"",J$1,"NA"),'MITRE ATT&amp;CK Mappings'!$F828))),ISNUMBER(SEARCH(IF(J$2&lt;&gt;"",J$2,"NA"),'MITRE ATT&amp;CK Mappings'!$G828))),ISNUMBER(SEARCH(IF(J$2&lt;&gt;"",J$2,"NA"),'MITRE ATT&amp;CK Mappings'!$H828))),ISNUMBER(SEARCH(IF(J$3&lt;&gt;"",J$3,"NA"),'MITRE ATT&amp;CK Mappings'!$I828))),ISNUMBER(SEARCH(IF(J$3&lt;&gt;"",J$3,"NA"),'MITRE ATT&amp;CK Mappings'!$J828))), 'MITRE ATT&amp;CK Mappings'!$B828,"")</f>
        <v/>
      </c>
      <c r="K832" s="26" t="str">
        <f>IF(OR(OR(OR(OR(OR(ISNUMBER(SEARCH(IF(K$1&lt;&gt;"",K$1,"NA"),'MITRE ATT&amp;CK Mappings'!$E828)),ISNUMBER(SEARCH(IF(K$1&lt;&gt;"",K$1,"NA"),'MITRE ATT&amp;CK Mappings'!$F828))),ISNUMBER(SEARCH(IF(K$2&lt;&gt;"",K$2,"NA"),'MITRE ATT&amp;CK Mappings'!$G828))),ISNUMBER(SEARCH(IF(K$2&lt;&gt;"",K$2,"NA"),'MITRE ATT&amp;CK Mappings'!$H828))),ISNUMBER(SEARCH(IF(K$3&lt;&gt;"",K$3,"NA"),'MITRE ATT&amp;CK Mappings'!$I828))),ISNUMBER(SEARCH(IF(K$3&lt;&gt;"",K$3,"NA"),'MITRE ATT&amp;CK Mappings'!$J828))), 'MITRE ATT&amp;CK Mappings'!$B828,"")</f>
        <v/>
      </c>
      <c r="L832" s="26" t="str">
        <f>IF('MITRE ATT&amp;CK Mappings'!D828 &lt;&gt;"",'MITRE ATT&amp;CK Mappings'!D828,"" )</f>
        <v/>
      </c>
    </row>
    <row r="833" spans="1:12" x14ac:dyDescent="0.25">
      <c r="A833" s="27" t="str">
        <f>IF(COUNTIF(B833:K833,"="&amp;'MITRE ATT&amp;CK Mappings'!B829)&gt;0,'MITRE ATT&amp;CK Mappings'!B829,"")</f>
        <v/>
      </c>
      <c r="B833" s="27" t="str">
        <f>IF(OR(OR(OR(OR(OR(ISNUMBER(SEARCH(IF(B$1&lt;&gt;"",B$1,"NA"),'MITRE ATT&amp;CK Mappings'!$E829)),ISNUMBER(SEARCH(IF(B$1&lt;&gt;"",B$1,"NA"),'MITRE ATT&amp;CK Mappings'!$F829))),ISNUMBER(SEARCH(IF(B$2&lt;&gt;"",B$2,"NA"),'MITRE ATT&amp;CK Mappings'!$G829))),ISNUMBER(SEARCH(IF(B$2&lt;&gt;"",B$2,"NA"),'MITRE ATT&amp;CK Mappings'!$H829))),ISNUMBER(SEARCH(IF(B$3&lt;&gt;"",B$3,"NA"),'MITRE ATT&amp;CK Mappings'!$I829))),ISNUMBER(SEARCH(IF(B$3&lt;&gt;"",B$3,"NA"),'MITRE ATT&amp;CK Mappings'!$J829))), 'MITRE ATT&amp;CK Mappings'!$B829,"")</f>
        <v/>
      </c>
      <c r="C833" s="27" t="str">
        <f>IF(OR(OR(OR(OR(OR(ISNUMBER(SEARCH(IF(C$1&lt;&gt;"",C$1,"NA"),'MITRE ATT&amp;CK Mappings'!$E829)),ISNUMBER(SEARCH(IF(C$1&lt;&gt;"",C$1,"NA"),'MITRE ATT&amp;CK Mappings'!$F829))),ISNUMBER(SEARCH(IF(C$2&lt;&gt;"",C$2,"NA"),'MITRE ATT&amp;CK Mappings'!$G829))),ISNUMBER(SEARCH(IF(C$2&lt;&gt;"",C$2,"NA"),'MITRE ATT&amp;CK Mappings'!$H829))),ISNUMBER(SEARCH(IF(C$3&lt;&gt;"",C$3,"NA"),'MITRE ATT&amp;CK Mappings'!$I829))),ISNUMBER(SEARCH(IF(C$3&lt;&gt;"",C$3,"NA"),'MITRE ATT&amp;CK Mappings'!$J829))), 'MITRE ATT&amp;CK Mappings'!$B829,"")</f>
        <v/>
      </c>
      <c r="D833" s="27" t="str">
        <f>IF(OR(OR(OR(OR(OR(ISNUMBER(SEARCH(IF(D$1&lt;&gt;"",D$1,"NA"),'MITRE ATT&amp;CK Mappings'!$E829)),ISNUMBER(SEARCH(IF(D$1&lt;&gt;"",D$1,"NA"),'MITRE ATT&amp;CK Mappings'!$F829))),ISNUMBER(SEARCH(IF(D$2&lt;&gt;"",D$2,"NA"),'MITRE ATT&amp;CK Mappings'!$G829))),ISNUMBER(SEARCH(IF(D$2&lt;&gt;"",D$2,"NA"),'MITRE ATT&amp;CK Mappings'!$H829))),ISNUMBER(SEARCH(IF(D$3&lt;&gt;"",D$3,"NA"),'MITRE ATT&amp;CK Mappings'!$I829))),ISNUMBER(SEARCH(IF(D$3&lt;&gt;"",D$3,"NA"),'MITRE ATT&amp;CK Mappings'!$J829))), 'MITRE ATT&amp;CK Mappings'!$B829,"")</f>
        <v/>
      </c>
      <c r="E833" s="27" t="str">
        <f>IF(OR(OR(OR(OR(OR(ISNUMBER(SEARCH(IF(E$1&lt;&gt;"",E$1,"NA"),'MITRE ATT&amp;CK Mappings'!$E829)),ISNUMBER(SEARCH(IF(E$1&lt;&gt;"",E$1,"NA"),'MITRE ATT&amp;CK Mappings'!$F829))),ISNUMBER(SEARCH(IF(E$2&lt;&gt;"",E$2,"NA"),'MITRE ATT&amp;CK Mappings'!$G829))),ISNUMBER(SEARCH(IF(E$2&lt;&gt;"",E$2,"NA"),'MITRE ATT&amp;CK Mappings'!$H829))),ISNUMBER(SEARCH(IF(E$3&lt;&gt;"",E$3,"NA"),'MITRE ATT&amp;CK Mappings'!$I829))),ISNUMBER(SEARCH(IF(E$3&lt;&gt;"",E$3,"NA"),'MITRE ATT&amp;CK Mappings'!$J829))), 'MITRE ATT&amp;CK Mappings'!$B829,"")</f>
        <v/>
      </c>
      <c r="F833" s="27" t="str">
        <f>IF(OR(OR(OR(OR(OR(ISNUMBER(SEARCH(IF(F$1&lt;&gt;"",F$1,"NA"),'MITRE ATT&amp;CK Mappings'!$E829)),ISNUMBER(SEARCH(IF(F$1&lt;&gt;"",F$1,"NA"),'MITRE ATT&amp;CK Mappings'!$F829))),ISNUMBER(SEARCH(IF(F$2&lt;&gt;"",F$2,"NA"),'MITRE ATT&amp;CK Mappings'!$G829))),ISNUMBER(SEARCH(IF(F$2&lt;&gt;"",F$2,"NA"),'MITRE ATT&amp;CK Mappings'!$H829))),ISNUMBER(SEARCH(IF(F$3&lt;&gt;"",F$3,"NA"),'MITRE ATT&amp;CK Mappings'!$I829))),ISNUMBER(SEARCH(IF(F$3&lt;&gt;"",F$3,"NA"),'MITRE ATT&amp;CK Mappings'!$J829))), 'MITRE ATT&amp;CK Mappings'!$B829,"")</f>
        <v/>
      </c>
      <c r="G833" s="27" t="str">
        <f>IF(OR(OR(OR(OR(OR(ISNUMBER(SEARCH(IF(G$1&lt;&gt;"",G$1,"NA"),'MITRE ATT&amp;CK Mappings'!$E829)),ISNUMBER(SEARCH(IF(G$1&lt;&gt;"",G$1,"NA"),'MITRE ATT&amp;CK Mappings'!$F829))),ISNUMBER(SEARCH(IF(G$2&lt;&gt;"",G$2,"NA"),'MITRE ATT&amp;CK Mappings'!$G829))),ISNUMBER(SEARCH(IF(G$2&lt;&gt;"",G$2,"NA"),'MITRE ATT&amp;CK Mappings'!$H829))),ISNUMBER(SEARCH(IF(G$3&lt;&gt;"",G$3,"NA"),'MITRE ATT&amp;CK Mappings'!$I829))),ISNUMBER(SEARCH(IF(G$3&lt;&gt;"",G$3,"NA"),'MITRE ATT&amp;CK Mappings'!$J829))), 'MITRE ATT&amp;CK Mappings'!$B829,"")</f>
        <v/>
      </c>
      <c r="H833" s="27" t="str">
        <f>IF(OR(OR(OR(OR(OR(ISNUMBER(SEARCH(IF(H$1&lt;&gt;"",H$1,"NA"),'MITRE ATT&amp;CK Mappings'!$E829)),ISNUMBER(SEARCH(IF(H$1&lt;&gt;"",H$1,"NA"),'MITRE ATT&amp;CK Mappings'!$F829))),ISNUMBER(SEARCH(IF(H$2&lt;&gt;"",H$2,"NA"),'MITRE ATT&amp;CK Mappings'!$G829))),ISNUMBER(SEARCH(IF(H$2&lt;&gt;"",H$2,"NA"),'MITRE ATT&amp;CK Mappings'!$H829))),ISNUMBER(SEARCH(IF(H$3&lt;&gt;"",H$3,"NA"),'MITRE ATT&amp;CK Mappings'!$I829))),ISNUMBER(SEARCH(IF(H$3&lt;&gt;"",H$3,"NA"),'MITRE ATT&amp;CK Mappings'!$J829))), 'MITRE ATT&amp;CK Mappings'!$B829,"")</f>
        <v/>
      </c>
      <c r="I833" s="27" t="str">
        <f>IF(OR(OR(OR(OR(OR(ISNUMBER(SEARCH(IF(I$1&lt;&gt;"",I$1,"NA"),'MITRE ATT&amp;CK Mappings'!$E829)),ISNUMBER(SEARCH(IF(I$1&lt;&gt;"",I$1,"NA"),'MITRE ATT&amp;CK Mappings'!$F829))),ISNUMBER(SEARCH(IF(I$2&lt;&gt;"",I$2,"NA"),'MITRE ATT&amp;CK Mappings'!$G829))),ISNUMBER(SEARCH(IF(I$2&lt;&gt;"",I$2,"NA"),'MITRE ATT&amp;CK Mappings'!$H829))),ISNUMBER(SEARCH(IF(I$3&lt;&gt;"",I$3,"NA"),'MITRE ATT&amp;CK Mappings'!$I829))),ISNUMBER(SEARCH(IF(I$3&lt;&gt;"",I$3,"NA"),'MITRE ATT&amp;CK Mappings'!$J829))), 'MITRE ATT&amp;CK Mappings'!$B829,"")</f>
        <v/>
      </c>
      <c r="J833" s="27" t="str">
        <f>IF(OR(OR(OR(OR(OR(ISNUMBER(SEARCH(IF(J$1&lt;&gt;"",J$1,"NA"),'MITRE ATT&amp;CK Mappings'!$E829)),ISNUMBER(SEARCH(IF(J$1&lt;&gt;"",J$1,"NA"),'MITRE ATT&amp;CK Mappings'!$F829))),ISNUMBER(SEARCH(IF(J$2&lt;&gt;"",J$2,"NA"),'MITRE ATT&amp;CK Mappings'!$G829))),ISNUMBER(SEARCH(IF(J$2&lt;&gt;"",J$2,"NA"),'MITRE ATT&amp;CK Mappings'!$H829))),ISNUMBER(SEARCH(IF(J$3&lt;&gt;"",J$3,"NA"),'MITRE ATT&amp;CK Mappings'!$I829))),ISNUMBER(SEARCH(IF(J$3&lt;&gt;"",J$3,"NA"),'MITRE ATT&amp;CK Mappings'!$J829))), 'MITRE ATT&amp;CK Mappings'!$B829,"")</f>
        <v/>
      </c>
      <c r="K833" s="27" t="str">
        <f>IF(OR(OR(OR(OR(OR(ISNUMBER(SEARCH(IF(K$1&lt;&gt;"",K$1,"NA"),'MITRE ATT&amp;CK Mappings'!$E829)),ISNUMBER(SEARCH(IF(K$1&lt;&gt;"",K$1,"NA"),'MITRE ATT&amp;CK Mappings'!$F829))),ISNUMBER(SEARCH(IF(K$2&lt;&gt;"",K$2,"NA"),'MITRE ATT&amp;CK Mappings'!$G829))),ISNUMBER(SEARCH(IF(K$2&lt;&gt;"",K$2,"NA"),'MITRE ATT&amp;CK Mappings'!$H829))),ISNUMBER(SEARCH(IF(K$3&lt;&gt;"",K$3,"NA"),'MITRE ATT&amp;CK Mappings'!$I829))),ISNUMBER(SEARCH(IF(K$3&lt;&gt;"",K$3,"NA"),'MITRE ATT&amp;CK Mappings'!$J829))), 'MITRE ATT&amp;CK Mappings'!$B829,"")</f>
        <v/>
      </c>
      <c r="L833" s="27" t="str">
        <f>IF('MITRE ATT&amp;CK Mappings'!D829 &lt;&gt;"",'MITRE ATT&amp;CK Mappings'!D829,"" )</f>
        <v/>
      </c>
    </row>
    <row r="834" spans="1:12" x14ac:dyDescent="0.25">
      <c r="A834" s="26" t="str">
        <f>IF(COUNTIF(B834:K834,"="&amp;'MITRE ATT&amp;CK Mappings'!B830)&gt;0,'MITRE ATT&amp;CK Mappings'!B830,"")</f>
        <v/>
      </c>
      <c r="B834" s="26" t="str">
        <f>IF(OR(OR(OR(OR(OR(ISNUMBER(SEARCH(IF(B$1&lt;&gt;"",B$1,"NA"),'MITRE ATT&amp;CK Mappings'!$E830)),ISNUMBER(SEARCH(IF(B$1&lt;&gt;"",B$1,"NA"),'MITRE ATT&amp;CK Mappings'!$F830))),ISNUMBER(SEARCH(IF(B$2&lt;&gt;"",B$2,"NA"),'MITRE ATT&amp;CK Mappings'!$G830))),ISNUMBER(SEARCH(IF(B$2&lt;&gt;"",B$2,"NA"),'MITRE ATT&amp;CK Mappings'!$H830))),ISNUMBER(SEARCH(IF(B$3&lt;&gt;"",B$3,"NA"),'MITRE ATT&amp;CK Mappings'!$I830))),ISNUMBER(SEARCH(IF(B$3&lt;&gt;"",B$3,"NA"),'MITRE ATT&amp;CK Mappings'!$J830))), 'MITRE ATT&amp;CK Mappings'!$B830,"")</f>
        <v/>
      </c>
      <c r="C834" s="26" t="str">
        <f>IF(OR(OR(OR(OR(OR(ISNUMBER(SEARCH(IF(C$1&lt;&gt;"",C$1,"NA"),'MITRE ATT&amp;CK Mappings'!$E830)),ISNUMBER(SEARCH(IF(C$1&lt;&gt;"",C$1,"NA"),'MITRE ATT&amp;CK Mappings'!$F830))),ISNUMBER(SEARCH(IF(C$2&lt;&gt;"",C$2,"NA"),'MITRE ATT&amp;CK Mappings'!$G830))),ISNUMBER(SEARCH(IF(C$2&lt;&gt;"",C$2,"NA"),'MITRE ATT&amp;CK Mappings'!$H830))),ISNUMBER(SEARCH(IF(C$3&lt;&gt;"",C$3,"NA"),'MITRE ATT&amp;CK Mappings'!$I830))),ISNUMBER(SEARCH(IF(C$3&lt;&gt;"",C$3,"NA"),'MITRE ATT&amp;CK Mappings'!$J830))), 'MITRE ATT&amp;CK Mappings'!$B830,"")</f>
        <v/>
      </c>
      <c r="D834" s="26" t="str">
        <f>IF(OR(OR(OR(OR(OR(ISNUMBER(SEARCH(IF(D$1&lt;&gt;"",D$1,"NA"),'MITRE ATT&amp;CK Mappings'!$E830)),ISNUMBER(SEARCH(IF(D$1&lt;&gt;"",D$1,"NA"),'MITRE ATT&amp;CK Mappings'!$F830))),ISNUMBER(SEARCH(IF(D$2&lt;&gt;"",D$2,"NA"),'MITRE ATT&amp;CK Mappings'!$G830))),ISNUMBER(SEARCH(IF(D$2&lt;&gt;"",D$2,"NA"),'MITRE ATT&amp;CK Mappings'!$H830))),ISNUMBER(SEARCH(IF(D$3&lt;&gt;"",D$3,"NA"),'MITRE ATT&amp;CK Mappings'!$I830))),ISNUMBER(SEARCH(IF(D$3&lt;&gt;"",D$3,"NA"),'MITRE ATT&amp;CK Mappings'!$J830))), 'MITRE ATT&amp;CK Mappings'!$B830,"")</f>
        <v/>
      </c>
      <c r="E834" s="26" t="str">
        <f>IF(OR(OR(OR(OR(OR(ISNUMBER(SEARCH(IF(E$1&lt;&gt;"",E$1,"NA"),'MITRE ATT&amp;CK Mappings'!$E830)),ISNUMBER(SEARCH(IF(E$1&lt;&gt;"",E$1,"NA"),'MITRE ATT&amp;CK Mappings'!$F830))),ISNUMBER(SEARCH(IF(E$2&lt;&gt;"",E$2,"NA"),'MITRE ATT&amp;CK Mappings'!$G830))),ISNUMBER(SEARCH(IF(E$2&lt;&gt;"",E$2,"NA"),'MITRE ATT&amp;CK Mappings'!$H830))),ISNUMBER(SEARCH(IF(E$3&lt;&gt;"",E$3,"NA"),'MITRE ATT&amp;CK Mappings'!$I830))),ISNUMBER(SEARCH(IF(E$3&lt;&gt;"",E$3,"NA"),'MITRE ATT&amp;CK Mappings'!$J830))), 'MITRE ATT&amp;CK Mappings'!$B830,"")</f>
        <v/>
      </c>
      <c r="F834" s="26" t="str">
        <f>IF(OR(OR(OR(OR(OR(ISNUMBER(SEARCH(IF(F$1&lt;&gt;"",F$1,"NA"),'MITRE ATT&amp;CK Mappings'!$E830)),ISNUMBER(SEARCH(IF(F$1&lt;&gt;"",F$1,"NA"),'MITRE ATT&amp;CK Mappings'!$F830))),ISNUMBER(SEARCH(IF(F$2&lt;&gt;"",F$2,"NA"),'MITRE ATT&amp;CK Mappings'!$G830))),ISNUMBER(SEARCH(IF(F$2&lt;&gt;"",F$2,"NA"),'MITRE ATT&amp;CK Mappings'!$H830))),ISNUMBER(SEARCH(IF(F$3&lt;&gt;"",F$3,"NA"),'MITRE ATT&amp;CK Mappings'!$I830))),ISNUMBER(SEARCH(IF(F$3&lt;&gt;"",F$3,"NA"),'MITRE ATT&amp;CK Mappings'!$J830))), 'MITRE ATT&amp;CK Mappings'!$B830,"")</f>
        <v/>
      </c>
      <c r="G834" s="26" t="str">
        <f>IF(OR(OR(OR(OR(OR(ISNUMBER(SEARCH(IF(G$1&lt;&gt;"",G$1,"NA"),'MITRE ATT&amp;CK Mappings'!$E830)),ISNUMBER(SEARCH(IF(G$1&lt;&gt;"",G$1,"NA"),'MITRE ATT&amp;CK Mappings'!$F830))),ISNUMBER(SEARCH(IF(G$2&lt;&gt;"",G$2,"NA"),'MITRE ATT&amp;CK Mappings'!$G830))),ISNUMBER(SEARCH(IF(G$2&lt;&gt;"",G$2,"NA"),'MITRE ATT&amp;CK Mappings'!$H830))),ISNUMBER(SEARCH(IF(G$3&lt;&gt;"",G$3,"NA"),'MITRE ATT&amp;CK Mappings'!$I830))),ISNUMBER(SEARCH(IF(G$3&lt;&gt;"",G$3,"NA"),'MITRE ATT&amp;CK Mappings'!$J830))), 'MITRE ATT&amp;CK Mappings'!$B830,"")</f>
        <v/>
      </c>
      <c r="H834" s="26" t="str">
        <f>IF(OR(OR(OR(OR(OR(ISNUMBER(SEARCH(IF(H$1&lt;&gt;"",H$1,"NA"),'MITRE ATT&amp;CK Mappings'!$E830)),ISNUMBER(SEARCH(IF(H$1&lt;&gt;"",H$1,"NA"),'MITRE ATT&amp;CK Mappings'!$F830))),ISNUMBER(SEARCH(IF(H$2&lt;&gt;"",H$2,"NA"),'MITRE ATT&amp;CK Mappings'!$G830))),ISNUMBER(SEARCH(IF(H$2&lt;&gt;"",H$2,"NA"),'MITRE ATT&amp;CK Mappings'!$H830))),ISNUMBER(SEARCH(IF(H$3&lt;&gt;"",H$3,"NA"),'MITRE ATT&amp;CK Mappings'!$I830))),ISNUMBER(SEARCH(IF(H$3&lt;&gt;"",H$3,"NA"),'MITRE ATT&amp;CK Mappings'!$J830))), 'MITRE ATT&amp;CK Mappings'!$B830,"")</f>
        <v/>
      </c>
      <c r="I834" s="26" t="str">
        <f>IF(OR(OR(OR(OR(OR(ISNUMBER(SEARCH(IF(I$1&lt;&gt;"",I$1,"NA"),'MITRE ATT&amp;CK Mappings'!$E830)),ISNUMBER(SEARCH(IF(I$1&lt;&gt;"",I$1,"NA"),'MITRE ATT&amp;CK Mappings'!$F830))),ISNUMBER(SEARCH(IF(I$2&lt;&gt;"",I$2,"NA"),'MITRE ATT&amp;CK Mappings'!$G830))),ISNUMBER(SEARCH(IF(I$2&lt;&gt;"",I$2,"NA"),'MITRE ATT&amp;CK Mappings'!$H830))),ISNUMBER(SEARCH(IF(I$3&lt;&gt;"",I$3,"NA"),'MITRE ATT&amp;CK Mappings'!$I830))),ISNUMBER(SEARCH(IF(I$3&lt;&gt;"",I$3,"NA"),'MITRE ATT&amp;CK Mappings'!$J830))), 'MITRE ATT&amp;CK Mappings'!$B830,"")</f>
        <v/>
      </c>
      <c r="J834" s="26" t="str">
        <f>IF(OR(OR(OR(OR(OR(ISNUMBER(SEARCH(IF(J$1&lt;&gt;"",J$1,"NA"),'MITRE ATT&amp;CK Mappings'!$E830)),ISNUMBER(SEARCH(IF(J$1&lt;&gt;"",J$1,"NA"),'MITRE ATT&amp;CK Mappings'!$F830))),ISNUMBER(SEARCH(IF(J$2&lt;&gt;"",J$2,"NA"),'MITRE ATT&amp;CK Mappings'!$G830))),ISNUMBER(SEARCH(IF(J$2&lt;&gt;"",J$2,"NA"),'MITRE ATT&amp;CK Mappings'!$H830))),ISNUMBER(SEARCH(IF(J$3&lt;&gt;"",J$3,"NA"),'MITRE ATT&amp;CK Mappings'!$I830))),ISNUMBER(SEARCH(IF(J$3&lt;&gt;"",J$3,"NA"),'MITRE ATT&amp;CK Mappings'!$J830))), 'MITRE ATT&amp;CK Mappings'!$B830,"")</f>
        <v/>
      </c>
      <c r="K834" s="26" t="str">
        <f>IF(OR(OR(OR(OR(OR(ISNUMBER(SEARCH(IF(K$1&lt;&gt;"",K$1,"NA"),'MITRE ATT&amp;CK Mappings'!$E830)),ISNUMBER(SEARCH(IF(K$1&lt;&gt;"",K$1,"NA"),'MITRE ATT&amp;CK Mappings'!$F830))),ISNUMBER(SEARCH(IF(K$2&lt;&gt;"",K$2,"NA"),'MITRE ATT&amp;CK Mappings'!$G830))),ISNUMBER(SEARCH(IF(K$2&lt;&gt;"",K$2,"NA"),'MITRE ATT&amp;CK Mappings'!$H830))),ISNUMBER(SEARCH(IF(K$3&lt;&gt;"",K$3,"NA"),'MITRE ATT&amp;CK Mappings'!$I830))),ISNUMBER(SEARCH(IF(K$3&lt;&gt;"",K$3,"NA"),'MITRE ATT&amp;CK Mappings'!$J830))), 'MITRE ATT&amp;CK Mappings'!$B830,"")</f>
        <v/>
      </c>
      <c r="L834" s="26" t="str">
        <f>IF('MITRE ATT&amp;CK Mappings'!D830 &lt;&gt;"",'MITRE ATT&amp;CK Mappings'!D830,"" )</f>
        <v/>
      </c>
    </row>
    <row r="835" spans="1:12" x14ac:dyDescent="0.25">
      <c r="A835" s="27" t="str">
        <f>IF(COUNTIF(B835:K835,"="&amp;'MITRE ATT&amp;CK Mappings'!B831)&gt;0,'MITRE ATT&amp;CK Mappings'!B831,"")</f>
        <v/>
      </c>
      <c r="B835" s="27" t="str">
        <f>IF(OR(OR(OR(OR(OR(ISNUMBER(SEARCH(IF(B$1&lt;&gt;"",B$1,"NA"),'MITRE ATT&amp;CK Mappings'!$E831)),ISNUMBER(SEARCH(IF(B$1&lt;&gt;"",B$1,"NA"),'MITRE ATT&amp;CK Mappings'!$F831))),ISNUMBER(SEARCH(IF(B$2&lt;&gt;"",B$2,"NA"),'MITRE ATT&amp;CK Mappings'!$G831))),ISNUMBER(SEARCH(IF(B$2&lt;&gt;"",B$2,"NA"),'MITRE ATT&amp;CK Mappings'!$H831))),ISNUMBER(SEARCH(IF(B$3&lt;&gt;"",B$3,"NA"),'MITRE ATT&amp;CK Mappings'!$I831))),ISNUMBER(SEARCH(IF(B$3&lt;&gt;"",B$3,"NA"),'MITRE ATT&amp;CK Mappings'!$J831))), 'MITRE ATT&amp;CK Mappings'!$B831,"")</f>
        <v/>
      </c>
      <c r="C835" s="27" t="str">
        <f>IF(OR(OR(OR(OR(OR(ISNUMBER(SEARCH(IF(C$1&lt;&gt;"",C$1,"NA"),'MITRE ATT&amp;CK Mappings'!$E831)),ISNUMBER(SEARCH(IF(C$1&lt;&gt;"",C$1,"NA"),'MITRE ATT&amp;CK Mappings'!$F831))),ISNUMBER(SEARCH(IF(C$2&lt;&gt;"",C$2,"NA"),'MITRE ATT&amp;CK Mappings'!$G831))),ISNUMBER(SEARCH(IF(C$2&lt;&gt;"",C$2,"NA"),'MITRE ATT&amp;CK Mappings'!$H831))),ISNUMBER(SEARCH(IF(C$3&lt;&gt;"",C$3,"NA"),'MITRE ATT&amp;CK Mappings'!$I831))),ISNUMBER(SEARCH(IF(C$3&lt;&gt;"",C$3,"NA"),'MITRE ATT&amp;CK Mappings'!$J831))), 'MITRE ATT&amp;CK Mappings'!$B831,"")</f>
        <v/>
      </c>
      <c r="D835" s="27" t="str">
        <f>IF(OR(OR(OR(OR(OR(ISNUMBER(SEARCH(IF(D$1&lt;&gt;"",D$1,"NA"),'MITRE ATT&amp;CK Mappings'!$E831)),ISNUMBER(SEARCH(IF(D$1&lt;&gt;"",D$1,"NA"),'MITRE ATT&amp;CK Mappings'!$F831))),ISNUMBER(SEARCH(IF(D$2&lt;&gt;"",D$2,"NA"),'MITRE ATT&amp;CK Mappings'!$G831))),ISNUMBER(SEARCH(IF(D$2&lt;&gt;"",D$2,"NA"),'MITRE ATT&amp;CK Mappings'!$H831))),ISNUMBER(SEARCH(IF(D$3&lt;&gt;"",D$3,"NA"),'MITRE ATT&amp;CK Mappings'!$I831))),ISNUMBER(SEARCH(IF(D$3&lt;&gt;"",D$3,"NA"),'MITRE ATT&amp;CK Mappings'!$J831))), 'MITRE ATT&amp;CK Mappings'!$B831,"")</f>
        <v/>
      </c>
      <c r="E835" s="27" t="str">
        <f>IF(OR(OR(OR(OR(OR(ISNUMBER(SEARCH(IF(E$1&lt;&gt;"",E$1,"NA"),'MITRE ATT&amp;CK Mappings'!$E831)),ISNUMBER(SEARCH(IF(E$1&lt;&gt;"",E$1,"NA"),'MITRE ATT&amp;CK Mappings'!$F831))),ISNUMBER(SEARCH(IF(E$2&lt;&gt;"",E$2,"NA"),'MITRE ATT&amp;CK Mappings'!$G831))),ISNUMBER(SEARCH(IF(E$2&lt;&gt;"",E$2,"NA"),'MITRE ATT&amp;CK Mappings'!$H831))),ISNUMBER(SEARCH(IF(E$3&lt;&gt;"",E$3,"NA"),'MITRE ATT&amp;CK Mappings'!$I831))),ISNUMBER(SEARCH(IF(E$3&lt;&gt;"",E$3,"NA"),'MITRE ATT&amp;CK Mappings'!$J831))), 'MITRE ATT&amp;CK Mappings'!$B831,"")</f>
        <v/>
      </c>
      <c r="F835" s="27" t="str">
        <f>IF(OR(OR(OR(OR(OR(ISNUMBER(SEARCH(IF(F$1&lt;&gt;"",F$1,"NA"),'MITRE ATT&amp;CK Mappings'!$E831)),ISNUMBER(SEARCH(IF(F$1&lt;&gt;"",F$1,"NA"),'MITRE ATT&amp;CK Mappings'!$F831))),ISNUMBER(SEARCH(IF(F$2&lt;&gt;"",F$2,"NA"),'MITRE ATT&amp;CK Mappings'!$G831))),ISNUMBER(SEARCH(IF(F$2&lt;&gt;"",F$2,"NA"),'MITRE ATT&amp;CK Mappings'!$H831))),ISNUMBER(SEARCH(IF(F$3&lt;&gt;"",F$3,"NA"),'MITRE ATT&amp;CK Mappings'!$I831))),ISNUMBER(SEARCH(IF(F$3&lt;&gt;"",F$3,"NA"),'MITRE ATT&amp;CK Mappings'!$J831))), 'MITRE ATT&amp;CK Mappings'!$B831,"")</f>
        <v/>
      </c>
      <c r="G835" s="27" t="str">
        <f>IF(OR(OR(OR(OR(OR(ISNUMBER(SEARCH(IF(G$1&lt;&gt;"",G$1,"NA"),'MITRE ATT&amp;CK Mappings'!$E831)),ISNUMBER(SEARCH(IF(G$1&lt;&gt;"",G$1,"NA"),'MITRE ATT&amp;CK Mappings'!$F831))),ISNUMBER(SEARCH(IF(G$2&lt;&gt;"",G$2,"NA"),'MITRE ATT&amp;CK Mappings'!$G831))),ISNUMBER(SEARCH(IF(G$2&lt;&gt;"",G$2,"NA"),'MITRE ATT&amp;CK Mappings'!$H831))),ISNUMBER(SEARCH(IF(G$3&lt;&gt;"",G$3,"NA"),'MITRE ATT&amp;CK Mappings'!$I831))),ISNUMBER(SEARCH(IF(G$3&lt;&gt;"",G$3,"NA"),'MITRE ATT&amp;CK Mappings'!$J831))), 'MITRE ATT&amp;CK Mappings'!$B831,"")</f>
        <v/>
      </c>
      <c r="H835" s="27" t="str">
        <f>IF(OR(OR(OR(OR(OR(ISNUMBER(SEARCH(IF(H$1&lt;&gt;"",H$1,"NA"),'MITRE ATT&amp;CK Mappings'!$E831)),ISNUMBER(SEARCH(IF(H$1&lt;&gt;"",H$1,"NA"),'MITRE ATT&amp;CK Mappings'!$F831))),ISNUMBER(SEARCH(IF(H$2&lt;&gt;"",H$2,"NA"),'MITRE ATT&amp;CK Mappings'!$G831))),ISNUMBER(SEARCH(IF(H$2&lt;&gt;"",H$2,"NA"),'MITRE ATT&amp;CK Mappings'!$H831))),ISNUMBER(SEARCH(IF(H$3&lt;&gt;"",H$3,"NA"),'MITRE ATT&amp;CK Mappings'!$I831))),ISNUMBER(SEARCH(IF(H$3&lt;&gt;"",H$3,"NA"),'MITRE ATT&amp;CK Mappings'!$J831))), 'MITRE ATT&amp;CK Mappings'!$B831,"")</f>
        <v/>
      </c>
      <c r="I835" s="27" t="str">
        <f>IF(OR(OR(OR(OR(OR(ISNUMBER(SEARCH(IF(I$1&lt;&gt;"",I$1,"NA"),'MITRE ATT&amp;CK Mappings'!$E831)),ISNUMBER(SEARCH(IF(I$1&lt;&gt;"",I$1,"NA"),'MITRE ATT&amp;CK Mappings'!$F831))),ISNUMBER(SEARCH(IF(I$2&lt;&gt;"",I$2,"NA"),'MITRE ATT&amp;CK Mappings'!$G831))),ISNUMBER(SEARCH(IF(I$2&lt;&gt;"",I$2,"NA"),'MITRE ATT&amp;CK Mappings'!$H831))),ISNUMBER(SEARCH(IF(I$3&lt;&gt;"",I$3,"NA"),'MITRE ATT&amp;CK Mappings'!$I831))),ISNUMBER(SEARCH(IF(I$3&lt;&gt;"",I$3,"NA"),'MITRE ATT&amp;CK Mappings'!$J831))), 'MITRE ATT&amp;CK Mappings'!$B831,"")</f>
        <v/>
      </c>
      <c r="J835" s="27" t="str">
        <f>IF(OR(OR(OR(OR(OR(ISNUMBER(SEARCH(IF(J$1&lt;&gt;"",J$1,"NA"),'MITRE ATT&amp;CK Mappings'!$E831)),ISNUMBER(SEARCH(IF(J$1&lt;&gt;"",J$1,"NA"),'MITRE ATT&amp;CK Mappings'!$F831))),ISNUMBER(SEARCH(IF(J$2&lt;&gt;"",J$2,"NA"),'MITRE ATT&amp;CK Mappings'!$G831))),ISNUMBER(SEARCH(IF(J$2&lt;&gt;"",J$2,"NA"),'MITRE ATT&amp;CK Mappings'!$H831))),ISNUMBER(SEARCH(IF(J$3&lt;&gt;"",J$3,"NA"),'MITRE ATT&amp;CK Mappings'!$I831))),ISNUMBER(SEARCH(IF(J$3&lt;&gt;"",J$3,"NA"),'MITRE ATT&amp;CK Mappings'!$J831))), 'MITRE ATT&amp;CK Mappings'!$B831,"")</f>
        <v/>
      </c>
      <c r="K835" s="27" t="str">
        <f>IF(OR(OR(OR(OR(OR(ISNUMBER(SEARCH(IF(K$1&lt;&gt;"",K$1,"NA"),'MITRE ATT&amp;CK Mappings'!$E831)),ISNUMBER(SEARCH(IF(K$1&lt;&gt;"",K$1,"NA"),'MITRE ATT&amp;CK Mappings'!$F831))),ISNUMBER(SEARCH(IF(K$2&lt;&gt;"",K$2,"NA"),'MITRE ATT&amp;CK Mappings'!$G831))),ISNUMBER(SEARCH(IF(K$2&lt;&gt;"",K$2,"NA"),'MITRE ATT&amp;CK Mappings'!$H831))),ISNUMBER(SEARCH(IF(K$3&lt;&gt;"",K$3,"NA"),'MITRE ATT&amp;CK Mappings'!$I831))),ISNUMBER(SEARCH(IF(K$3&lt;&gt;"",K$3,"NA"),'MITRE ATT&amp;CK Mappings'!$J831))), 'MITRE ATT&amp;CK Mappings'!$B831,"")</f>
        <v/>
      </c>
      <c r="L835" s="27" t="str">
        <f>IF('MITRE ATT&amp;CK Mappings'!D831 &lt;&gt;"",'MITRE ATT&amp;CK Mappings'!D831,"" )</f>
        <v/>
      </c>
    </row>
    <row r="836" spans="1:12" x14ac:dyDescent="0.25">
      <c r="A836" s="26" t="str">
        <f>IF(COUNTIF(B836:K836,"="&amp;'MITRE ATT&amp;CK Mappings'!B832)&gt;0,'MITRE ATT&amp;CK Mappings'!B832,"")</f>
        <v/>
      </c>
      <c r="B836" s="26" t="str">
        <f>IF(OR(OR(OR(OR(OR(ISNUMBER(SEARCH(IF(B$1&lt;&gt;"",B$1,"NA"),'MITRE ATT&amp;CK Mappings'!$E832)),ISNUMBER(SEARCH(IF(B$1&lt;&gt;"",B$1,"NA"),'MITRE ATT&amp;CK Mappings'!$F832))),ISNUMBER(SEARCH(IF(B$2&lt;&gt;"",B$2,"NA"),'MITRE ATT&amp;CK Mappings'!$G832))),ISNUMBER(SEARCH(IF(B$2&lt;&gt;"",B$2,"NA"),'MITRE ATT&amp;CK Mappings'!$H832))),ISNUMBER(SEARCH(IF(B$3&lt;&gt;"",B$3,"NA"),'MITRE ATT&amp;CK Mappings'!$I832))),ISNUMBER(SEARCH(IF(B$3&lt;&gt;"",B$3,"NA"),'MITRE ATT&amp;CK Mappings'!$J832))), 'MITRE ATT&amp;CK Mappings'!$B832,"")</f>
        <v/>
      </c>
      <c r="C836" s="26" t="str">
        <f>IF(OR(OR(OR(OR(OR(ISNUMBER(SEARCH(IF(C$1&lt;&gt;"",C$1,"NA"),'MITRE ATT&amp;CK Mappings'!$E832)),ISNUMBER(SEARCH(IF(C$1&lt;&gt;"",C$1,"NA"),'MITRE ATT&amp;CK Mappings'!$F832))),ISNUMBER(SEARCH(IF(C$2&lt;&gt;"",C$2,"NA"),'MITRE ATT&amp;CK Mappings'!$G832))),ISNUMBER(SEARCH(IF(C$2&lt;&gt;"",C$2,"NA"),'MITRE ATT&amp;CK Mappings'!$H832))),ISNUMBER(SEARCH(IF(C$3&lt;&gt;"",C$3,"NA"),'MITRE ATT&amp;CK Mappings'!$I832))),ISNUMBER(SEARCH(IF(C$3&lt;&gt;"",C$3,"NA"),'MITRE ATT&amp;CK Mappings'!$J832))), 'MITRE ATT&amp;CK Mappings'!$B832,"")</f>
        <v/>
      </c>
      <c r="D836" s="26" t="str">
        <f>IF(OR(OR(OR(OR(OR(ISNUMBER(SEARCH(IF(D$1&lt;&gt;"",D$1,"NA"),'MITRE ATT&amp;CK Mappings'!$E832)),ISNUMBER(SEARCH(IF(D$1&lt;&gt;"",D$1,"NA"),'MITRE ATT&amp;CK Mappings'!$F832))),ISNUMBER(SEARCH(IF(D$2&lt;&gt;"",D$2,"NA"),'MITRE ATT&amp;CK Mappings'!$G832))),ISNUMBER(SEARCH(IF(D$2&lt;&gt;"",D$2,"NA"),'MITRE ATT&amp;CK Mappings'!$H832))),ISNUMBER(SEARCH(IF(D$3&lt;&gt;"",D$3,"NA"),'MITRE ATT&amp;CK Mappings'!$I832))),ISNUMBER(SEARCH(IF(D$3&lt;&gt;"",D$3,"NA"),'MITRE ATT&amp;CK Mappings'!$J832))), 'MITRE ATT&amp;CK Mappings'!$B832,"")</f>
        <v/>
      </c>
      <c r="E836" s="26" t="str">
        <f>IF(OR(OR(OR(OR(OR(ISNUMBER(SEARCH(IF(E$1&lt;&gt;"",E$1,"NA"),'MITRE ATT&amp;CK Mappings'!$E832)),ISNUMBER(SEARCH(IF(E$1&lt;&gt;"",E$1,"NA"),'MITRE ATT&amp;CK Mappings'!$F832))),ISNUMBER(SEARCH(IF(E$2&lt;&gt;"",E$2,"NA"),'MITRE ATT&amp;CK Mappings'!$G832))),ISNUMBER(SEARCH(IF(E$2&lt;&gt;"",E$2,"NA"),'MITRE ATT&amp;CK Mappings'!$H832))),ISNUMBER(SEARCH(IF(E$3&lt;&gt;"",E$3,"NA"),'MITRE ATT&amp;CK Mappings'!$I832))),ISNUMBER(SEARCH(IF(E$3&lt;&gt;"",E$3,"NA"),'MITRE ATT&amp;CK Mappings'!$J832))), 'MITRE ATT&amp;CK Mappings'!$B832,"")</f>
        <v/>
      </c>
      <c r="F836" s="26" t="str">
        <f>IF(OR(OR(OR(OR(OR(ISNUMBER(SEARCH(IF(F$1&lt;&gt;"",F$1,"NA"),'MITRE ATT&amp;CK Mappings'!$E832)),ISNUMBER(SEARCH(IF(F$1&lt;&gt;"",F$1,"NA"),'MITRE ATT&amp;CK Mappings'!$F832))),ISNUMBER(SEARCH(IF(F$2&lt;&gt;"",F$2,"NA"),'MITRE ATT&amp;CK Mappings'!$G832))),ISNUMBER(SEARCH(IF(F$2&lt;&gt;"",F$2,"NA"),'MITRE ATT&amp;CK Mappings'!$H832))),ISNUMBER(SEARCH(IF(F$3&lt;&gt;"",F$3,"NA"),'MITRE ATT&amp;CK Mappings'!$I832))),ISNUMBER(SEARCH(IF(F$3&lt;&gt;"",F$3,"NA"),'MITRE ATT&amp;CK Mappings'!$J832))), 'MITRE ATT&amp;CK Mappings'!$B832,"")</f>
        <v/>
      </c>
      <c r="G836" s="26" t="str">
        <f>IF(OR(OR(OR(OR(OR(ISNUMBER(SEARCH(IF(G$1&lt;&gt;"",G$1,"NA"),'MITRE ATT&amp;CK Mappings'!$E832)),ISNUMBER(SEARCH(IF(G$1&lt;&gt;"",G$1,"NA"),'MITRE ATT&amp;CK Mappings'!$F832))),ISNUMBER(SEARCH(IF(G$2&lt;&gt;"",G$2,"NA"),'MITRE ATT&amp;CK Mappings'!$G832))),ISNUMBER(SEARCH(IF(G$2&lt;&gt;"",G$2,"NA"),'MITRE ATT&amp;CK Mappings'!$H832))),ISNUMBER(SEARCH(IF(G$3&lt;&gt;"",G$3,"NA"),'MITRE ATT&amp;CK Mappings'!$I832))),ISNUMBER(SEARCH(IF(G$3&lt;&gt;"",G$3,"NA"),'MITRE ATT&amp;CK Mappings'!$J832))), 'MITRE ATT&amp;CK Mappings'!$B832,"")</f>
        <v/>
      </c>
      <c r="H836" s="26" t="str">
        <f>IF(OR(OR(OR(OR(OR(ISNUMBER(SEARCH(IF(H$1&lt;&gt;"",H$1,"NA"),'MITRE ATT&amp;CK Mappings'!$E832)),ISNUMBER(SEARCH(IF(H$1&lt;&gt;"",H$1,"NA"),'MITRE ATT&amp;CK Mappings'!$F832))),ISNUMBER(SEARCH(IF(H$2&lt;&gt;"",H$2,"NA"),'MITRE ATT&amp;CK Mappings'!$G832))),ISNUMBER(SEARCH(IF(H$2&lt;&gt;"",H$2,"NA"),'MITRE ATT&amp;CK Mappings'!$H832))),ISNUMBER(SEARCH(IF(H$3&lt;&gt;"",H$3,"NA"),'MITRE ATT&amp;CK Mappings'!$I832))),ISNUMBER(SEARCH(IF(H$3&lt;&gt;"",H$3,"NA"),'MITRE ATT&amp;CK Mappings'!$J832))), 'MITRE ATT&amp;CK Mappings'!$B832,"")</f>
        <v/>
      </c>
      <c r="I836" s="26" t="str">
        <f>IF(OR(OR(OR(OR(OR(ISNUMBER(SEARCH(IF(I$1&lt;&gt;"",I$1,"NA"),'MITRE ATT&amp;CK Mappings'!$E832)),ISNUMBER(SEARCH(IF(I$1&lt;&gt;"",I$1,"NA"),'MITRE ATT&amp;CK Mappings'!$F832))),ISNUMBER(SEARCH(IF(I$2&lt;&gt;"",I$2,"NA"),'MITRE ATT&amp;CK Mappings'!$G832))),ISNUMBER(SEARCH(IF(I$2&lt;&gt;"",I$2,"NA"),'MITRE ATT&amp;CK Mappings'!$H832))),ISNUMBER(SEARCH(IF(I$3&lt;&gt;"",I$3,"NA"),'MITRE ATT&amp;CK Mappings'!$I832))),ISNUMBER(SEARCH(IF(I$3&lt;&gt;"",I$3,"NA"),'MITRE ATT&amp;CK Mappings'!$J832))), 'MITRE ATT&amp;CK Mappings'!$B832,"")</f>
        <v/>
      </c>
      <c r="J836" s="26" t="str">
        <f>IF(OR(OR(OR(OR(OR(ISNUMBER(SEARCH(IF(J$1&lt;&gt;"",J$1,"NA"),'MITRE ATT&amp;CK Mappings'!$E832)),ISNUMBER(SEARCH(IF(J$1&lt;&gt;"",J$1,"NA"),'MITRE ATT&amp;CK Mappings'!$F832))),ISNUMBER(SEARCH(IF(J$2&lt;&gt;"",J$2,"NA"),'MITRE ATT&amp;CK Mappings'!$G832))),ISNUMBER(SEARCH(IF(J$2&lt;&gt;"",J$2,"NA"),'MITRE ATT&amp;CK Mappings'!$H832))),ISNUMBER(SEARCH(IF(J$3&lt;&gt;"",J$3,"NA"),'MITRE ATT&amp;CK Mappings'!$I832))),ISNUMBER(SEARCH(IF(J$3&lt;&gt;"",J$3,"NA"),'MITRE ATT&amp;CK Mappings'!$J832))), 'MITRE ATT&amp;CK Mappings'!$B832,"")</f>
        <v/>
      </c>
      <c r="K836" s="26" t="str">
        <f>IF(OR(OR(OR(OR(OR(ISNUMBER(SEARCH(IF(K$1&lt;&gt;"",K$1,"NA"),'MITRE ATT&amp;CK Mappings'!$E832)),ISNUMBER(SEARCH(IF(K$1&lt;&gt;"",K$1,"NA"),'MITRE ATT&amp;CK Mappings'!$F832))),ISNUMBER(SEARCH(IF(K$2&lt;&gt;"",K$2,"NA"),'MITRE ATT&amp;CK Mappings'!$G832))),ISNUMBER(SEARCH(IF(K$2&lt;&gt;"",K$2,"NA"),'MITRE ATT&amp;CK Mappings'!$H832))),ISNUMBER(SEARCH(IF(K$3&lt;&gt;"",K$3,"NA"),'MITRE ATT&amp;CK Mappings'!$I832))),ISNUMBER(SEARCH(IF(K$3&lt;&gt;"",K$3,"NA"),'MITRE ATT&amp;CK Mappings'!$J832))), 'MITRE ATT&amp;CK Mappings'!$B832,"")</f>
        <v/>
      </c>
      <c r="L836" s="26" t="str">
        <f>IF('MITRE ATT&amp;CK Mappings'!D832 &lt;&gt;"",'MITRE ATT&amp;CK Mappings'!D832,"" )</f>
        <v/>
      </c>
    </row>
    <row r="837" spans="1:12" x14ac:dyDescent="0.25">
      <c r="A837" s="27" t="str">
        <f>IF(COUNTIF(B837:K837,"="&amp;'MITRE ATT&amp;CK Mappings'!B833)&gt;0,'MITRE ATT&amp;CK Mappings'!B833,"")</f>
        <v/>
      </c>
      <c r="B837" s="27" t="str">
        <f>IF(OR(OR(OR(OR(OR(ISNUMBER(SEARCH(IF(B$1&lt;&gt;"",B$1,"NA"),'MITRE ATT&amp;CK Mappings'!$E833)),ISNUMBER(SEARCH(IF(B$1&lt;&gt;"",B$1,"NA"),'MITRE ATT&amp;CK Mappings'!$F833))),ISNUMBER(SEARCH(IF(B$2&lt;&gt;"",B$2,"NA"),'MITRE ATT&amp;CK Mappings'!$G833))),ISNUMBER(SEARCH(IF(B$2&lt;&gt;"",B$2,"NA"),'MITRE ATT&amp;CK Mappings'!$H833))),ISNUMBER(SEARCH(IF(B$3&lt;&gt;"",B$3,"NA"),'MITRE ATT&amp;CK Mappings'!$I833))),ISNUMBER(SEARCH(IF(B$3&lt;&gt;"",B$3,"NA"),'MITRE ATT&amp;CK Mappings'!$J833))), 'MITRE ATT&amp;CK Mappings'!$B833,"")</f>
        <v/>
      </c>
      <c r="C837" s="27" t="str">
        <f>IF(OR(OR(OR(OR(OR(ISNUMBER(SEARCH(IF(C$1&lt;&gt;"",C$1,"NA"),'MITRE ATT&amp;CK Mappings'!$E833)),ISNUMBER(SEARCH(IF(C$1&lt;&gt;"",C$1,"NA"),'MITRE ATT&amp;CK Mappings'!$F833))),ISNUMBER(SEARCH(IF(C$2&lt;&gt;"",C$2,"NA"),'MITRE ATT&amp;CK Mappings'!$G833))),ISNUMBER(SEARCH(IF(C$2&lt;&gt;"",C$2,"NA"),'MITRE ATT&amp;CK Mappings'!$H833))),ISNUMBER(SEARCH(IF(C$3&lt;&gt;"",C$3,"NA"),'MITRE ATT&amp;CK Mappings'!$I833))),ISNUMBER(SEARCH(IF(C$3&lt;&gt;"",C$3,"NA"),'MITRE ATT&amp;CK Mappings'!$J833))), 'MITRE ATT&amp;CK Mappings'!$B833,"")</f>
        <v/>
      </c>
      <c r="D837" s="27" t="str">
        <f>IF(OR(OR(OR(OR(OR(ISNUMBER(SEARCH(IF(D$1&lt;&gt;"",D$1,"NA"),'MITRE ATT&amp;CK Mappings'!$E833)),ISNUMBER(SEARCH(IF(D$1&lt;&gt;"",D$1,"NA"),'MITRE ATT&amp;CK Mappings'!$F833))),ISNUMBER(SEARCH(IF(D$2&lt;&gt;"",D$2,"NA"),'MITRE ATT&amp;CK Mappings'!$G833))),ISNUMBER(SEARCH(IF(D$2&lt;&gt;"",D$2,"NA"),'MITRE ATT&amp;CK Mappings'!$H833))),ISNUMBER(SEARCH(IF(D$3&lt;&gt;"",D$3,"NA"),'MITRE ATT&amp;CK Mappings'!$I833))),ISNUMBER(SEARCH(IF(D$3&lt;&gt;"",D$3,"NA"),'MITRE ATT&amp;CK Mappings'!$J833))), 'MITRE ATT&amp;CK Mappings'!$B833,"")</f>
        <v/>
      </c>
      <c r="E837" s="27" t="str">
        <f>IF(OR(OR(OR(OR(OR(ISNUMBER(SEARCH(IF(E$1&lt;&gt;"",E$1,"NA"),'MITRE ATT&amp;CK Mappings'!$E833)),ISNUMBER(SEARCH(IF(E$1&lt;&gt;"",E$1,"NA"),'MITRE ATT&amp;CK Mappings'!$F833))),ISNUMBER(SEARCH(IF(E$2&lt;&gt;"",E$2,"NA"),'MITRE ATT&amp;CK Mappings'!$G833))),ISNUMBER(SEARCH(IF(E$2&lt;&gt;"",E$2,"NA"),'MITRE ATT&amp;CK Mappings'!$H833))),ISNUMBER(SEARCH(IF(E$3&lt;&gt;"",E$3,"NA"),'MITRE ATT&amp;CK Mappings'!$I833))),ISNUMBER(SEARCH(IF(E$3&lt;&gt;"",E$3,"NA"),'MITRE ATT&amp;CK Mappings'!$J833))), 'MITRE ATT&amp;CK Mappings'!$B833,"")</f>
        <v/>
      </c>
      <c r="F837" s="27" t="str">
        <f>IF(OR(OR(OR(OR(OR(ISNUMBER(SEARCH(IF(F$1&lt;&gt;"",F$1,"NA"),'MITRE ATT&amp;CK Mappings'!$E833)),ISNUMBER(SEARCH(IF(F$1&lt;&gt;"",F$1,"NA"),'MITRE ATT&amp;CK Mappings'!$F833))),ISNUMBER(SEARCH(IF(F$2&lt;&gt;"",F$2,"NA"),'MITRE ATT&amp;CK Mappings'!$G833))),ISNUMBER(SEARCH(IF(F$2&lt;&gt;"",F$2,"NA"),'MITRE ATT&amp;CK Mappings'!$H833))),ISNUMBER(SEARCH(IF(F$3&lt;&gt;"",F$3,"NA"),'MITRE ATT&amp;CK Mappings'!$I833))),ISNUMBER(SEARCH(IF(F$3&lt;&gt;"",F$3,"NA"),'MITRE ATT&amp;CK Mappings'!$J833))), 'MITRE ATT&amp;CK Mappings'!$B833,"")</f>
        <v/>
      </c>
      <c r="G837" s="27" t="str">
        <f>IF(OR(OR(OR(OR(OR(ISNUMBER(SEARCH(IF(G$1&lt;&gt;"",G$1,"NA"),'MITRE ATT&amp;CK Mappings'!$E833)),ISNUMBER(SEARCH(IF(G$1&lt;&gt;"",G$1,"NA"),'MITRE ATT&amp;CK Mappings'!$F833))),ISNUMBER(SEARCH(IF(G$2&lt;&gt;"",G$2,"NA"),'MITRE ATT&amp;CK Mappings'!$G833))),ISNUMBER(SEARCH(IF(G$2&lt;&gt;"",G$2,"NA"),'MITRE ATT&amp;CK Mappings'!$H833))),ISNUMBER(SEARCH(IF(G$3&lt;&gt;"",G$3,"NA"),'MITRE ATT&amp;CK Mappings'!$I833))),ISNUMBER(SEARCH(IF(G$3&lt;&gt;"",G$3,"NA"),'MITRE ATT&amp;CK Mappings'!$J833))), 'MITRE ATT&amp;CK Mappings'!$B833,"")</f>
        <v/>
      </c>
      <c r="H837" s="27" t="str">
        <f>IF(OR(OR(OR(OR(OR(ISNUMBER(SEARCH(IF(H$1&lt;&gt;"",H$1,"NA"),'MITRE ATT&amp;CK Mappings'!$E833)),ISNUMBER(SEARCH(IF(H$1&lt;&gt;"",H$1,"NA"),'MITRE ATT&amp;CK Mappings'!$F833))),ISNUMBER(SEARCH(IF(H$2&lt;&gt;"",H$2,"NA"),'MITRE ATT&amp;CK Mappings'!$G833))),ISNUMBER(SEARCH(IF(H$2&lt;&gt;"",H$2,"NA"),'MITRE ATT&amp;CK Mappings'!$H833))),ISNUMBER(SEARCH(IF(H$3&lt;&gt;"",H$3,"NA"),'MITRE ATT&amp;CK Mappings'!$I833))),ISNUMBER(SEARCH(IF(H$3&lt;&gt;"",H$3,"NA"),'MITRE ATT&amp;CK Mappings'!$J833))), 'MITRE ATT&amp;CK Mappings'!$B833,"")</f>
        <v/>
      </c>
      <c r="I837" s="27" t="str">
        <f>IF(OR(OR(OR(OR(OR(ISNUMBER(SEARCH(IF(I$1&lt;&gt;"",I$1,"NA"),'MITRE ATT&amp;CK Mappings'!$E833)),ISNUMBER(SEARCH(IF(I$1&lt;&gt;"",I$1,"NA"),'MITRE ATT&amp;CK Mappings'!$F833))),ISNUMBER(SEARCH(IF(I$2&lt;&gt;"",I$2,"NA"),'MITRE ATT&amp;CK Mappings'!$G833))),ISNUMBER(SEARCH(IF(I$2&lt;&gt;"",I$2,"NA"),'MITRE ATT&amp;CK Mappings'!$H833))),ISNUMBER(SEARCH(IF(I$3&lt;&gt;"",I$3,"NA"),'MITRE ATT&amp;CK Mappings'!$I833))),ISNUMBER(SEARCH(IF(I$3&lt;&gt;"",I$3,"NA"),'MITRE ATT&amp;CK Mappings'!$J833))), 'MITRE ATT&amp;CK Mappings'!$B833,"")</f>
        <v/>
      </c>
      <c r="J837" s="27" t="str">
        <f>IF(OR(OR(OR(OR(OR(ISNUMBER(SEARCH(IF(J$1&lt;&gt;"",J$1,"NA"),'MITRE ATT&amp;CK Mappings'!$E833)),ISNUMBER(SEARCH(IF(J$1&lt;&gt;"",J$1,"NA"),'MITRE ATT&amp;CK Mappings'!$F833))),ISNUMBER(SEARCH(IF(J$2&lt;&gt;"",J$2,"NA"),'MITRE ATT&amp;CK Mappings'!$G833))),ISNUMBER(SEARCH(IF(J$2&lt;&gt;"",J$2,"NA"),'MITRE ATT&amp;CK Mappings'!$H833))),ISNUMBER(SEARCH(IF(J$3&lt;&gt;"",J$3,"NA"),'MITRE ATT&amp;CK Mappings'!$I833))),ISNUMBER(SEARCH(IF(J$3&lt;&gt;"",J$3,"NA"),'MITRE ATT&amp;CK Mappings'!$J833))), 'MITRE ATT&amp;CK Mappings'!$B833,"")</f>
        <v/>
      </c>
      <c r="K837" s="27" t="str">
        <f>IF(OR(OR(OR(OR(OR(ISNUMBER(SEARCH(IF(K$1&lt;&gt;"",K$1,"NA"),'MITRE ATT&amp;CK Mappings'!$E833)),ISNUMBER(SEARCH(IF(K$1&lt;&gt;"",K$1,"NA"),'MITRE ATT&amp;CK Mappings'!$F833))),ISNUMBER(SEARCH(IF(K$2&lt;&gt;"",K$2,"NA"),'MITRE ATT&amp;CK Mappings'!$G833))),ISNUMBER(SEARCH(IF(K$2&lt;&gt;"",K$2,"NA"),'MITRE ATT&amp;CK Mappings'!$H833))),ISNUMBER(SEARCH(IF(K$3&lt;&gt;"",K$3,"NA"),'MITRE ATT&amp;CK Mappings'!$I833))),ISNUMBER(SEARCH(IF(K$3&lt;&gt;"",K$3,"NA"),'MITRE ATT&amp;CK Mappings'!$J833))), 'MITRE ATT&amp;CK Mappings'!$B833,"")</f>
        <v/>
      </c>
      <c r="L837" s="27" t="str">
        <f>IF('MITRE ATT&amp;CK Mappings'!D833 &lt;&gt;"",'MITRE ATT&amp;CK Mappings'!D833,"" )</f>
        <v/>
      </c>
    </row>
    <row r="838" spans="1:12" x14ac:dyDescent="0.25">
      <c r="A838" s="26" t="str">
        <f>IF(COUNTIF(B838:K838,"="&amp;'MITRE ATT&amp;CK Mappings'!B834)&gt;0,'MITRE ATT&amp;CK Mappings'!B834,"")</f>
        <v/>
      </c>
      <c r="B838" s="26" t="str">
        <f>IF(OR(OR(OR(OR(OR(ISNUMBER(SEARCH(IF(B$1&lt;&gt;"",B$1,"NA"),'MITRE ATT&amp;CK Mappings'!$E834)),ISNUMBER(SEARCH(IF(B$1&lt;&gt;"",B$1,"NA"),'MITRE ATT&amp;CK Mappings'!$F834))),ISNUMBER(SEARCH(IF(B$2&lt;&gt;"",B$2,"NA"),'MITRE ATT&amp;CK Mappings'!$G834))),ISNUMBER(SEARCH(IF(B$2&lt;&gt;"",B$2,"NA"),'MITRE ATT&amp;CK Mappings'!$H834))),ISNUMBER(SEARCH(IF(B$3&lt;&gt;"",B$3,"NA"),'MITRE ATT&amp;CK Mappings'!$I834))),ISNUMBER(SEARCH(IF(B$3&lt;&gt;"",B$3,"NA"),'MITRE ATT&amp;CK Mappings'!$J834))), 'MITRE ATT&amp;CK Mappings'!$B834,"")</f>
        <v/>
      </c>
      <c r="C838" s="26" t="str">
        <f>IF(OR(OR(OR(OR(OR(ISNUMBER(SEARCH(IF(C$1&lt;&gt;"",C$1,"NA"),'MITRE ATT&amp;CK Mappings'!$E834)),ISNUMBER(SEARCH(IF(C$1&lt;&gt;"",C$1,"NA"),'MITRE ATT&amp;CK Mappings'!$F834))),ISNUMBER(SEARCH(IF(C$2&lt;&gt;"",C$2,"NA"),'MITRE ATT&amp;CK Mappings'!$G834))),ISNUMBER(SEARCH(IF(C$2&lt;&gt;"",C$2,"NA"),'MITRE ATT&amp;CK Mappings'!$H834))),ISNUMBER(SEARCH(IF(C$3&lt;&gt;"",C$3,"NA"),'MITRE ATT&amp;CK Mappings'!$I834))),ISNUMBER(SEARCH(IF(C$3&lt;&gt;"",C$3,"NA"),'MITRE ATT&amp;CK Mappings'!$J834))), 'MITRE ATT&amp;CK Mappings'!$B834,"")</f>
        <v/>
      </c>
      <c r="D838" s="26" t="str">
        <f>IF(OR(OR(OR(OR(OR(ISNUMBER(SEARCH(IF(D$1&lt;&gt;"",D$1,"NA"),'MITRE ATT&amp;CK Mappings'!$E834)),ISNUMBER(SEARCH(IF(D$1&lt;&gt;"",D$1,"NA"),'MITRE ATT&amp;CK Mappings'!$F834))),ISNUMBER(SEARCH(IF(D$2&lt;&gt;"",D$2,"NA"),'MITRE ATT&amp;CK Mappings'!$G834))),ISNUMBER(SEARCH(IF(D$2&lt;&gt;"",D$2,"NA"),'MITRE ATT&amp;CK Mappings'!$H834))),ISNUMBER(SEARCH(IF(D$3&lt;&gt;"",D$3,"NA"),'MITRE ATT&amp;CK Mappings'!$I834))),ISNUMBER(SEARCH(IF(D$3&lt;&gt;"",D$3,"NA"),'MITRE ATT&amp;CK Mappings'!$J834))), 'MITRE ATT&amp;CK Mappings'!$B834,"")</f>
        <v/>
      </c>
      <c r="E838" s="26" t="str">
        <f>IF(OR(OR(OR(OR(OR(ISNUMBER(SEARCH(IF(E$1&lt;&gt;"",E$1,"NA"),'MITRE ATT&amp;CK Mappings'!$E834)),ISNUMBER(SEARCH(IF(E$1&lt;&gt;"",E$1,"NA"),'MITRE ATT&amp;CK Mappings'!$F834))),ISNUMBER(SEARCH(IF(E$2&lt;&gt;"",E$2,"NA"),'MITRE ATT&amp;CK Mappings'!$G834))),ISNUMBER(SEARCH(IF(E$2&lt;&gt;"",E$2,"NA"),'MITRE ATT&amp;CK Mappings'!$H834))),ISNUMBER(SEARCH(IF(E$3&lt;&gt;"",E$3,"NA"),'MITRE ATT&amp;CK Mappings'!$I834))),ISNUMBER(SEARCH(IF(E$3&lt;&gt;"",E$3,"NA"),'MITRE ATT&amp;CK Mappings'!$J834))), 'MITRE ATT&amp;CK Mappings'!$B834,"")</f>
        <v/>
      </c>
      <c r="F838" s="26" t="str">
        <f>IF(OR(OR(OR(OR(OR(ISNUMBER(SEARCH(IF(F$1&lt;&gt;"",F$1,"NA"),'MITRE ATT&amp;CK Mappings'!$E834)),ISNUMBER(SEARCH(IF(F$1&lt;&gt;"",F$1,"NA"),'MITRE ATT&amp;CK Mappings'!$F834))),ISNUMBER(SEARCH(IF(F$2&lt;&gt;"",F$2,"NA"),'MITRE ATT&amp;CK Mappings'!$G834))),ISNUMBER(SEARCH(IF(F$2&lt;&gt;"",F$2,"NA"),'MITRE ATT&amp;CK Mappings'!$H834))),ISNUMBER(SEARCH(IF(F$3&lt;&gt;"",F$3,"NA"),'MITRE ATT&amp;CK Mappings'!$I834))),ISNUMBER(SEARCH(IF(F$3&lt;&gt;"",F$3,"NA"),'MITRE ATT&amp;CK Mappings'!$J834))), 'MITRE ATT&amp;CK Mappings'!$B834,"")</f>
        <v/>
      </c>
      <c r="G838" s="26" t="str">
        <f>IF(OR(OR(OR(OR(OR(ISNUMBER(SEARCH(IF(G$1&lt;&gt;"",G$1,"NA"),'MITRE ATT&amp;CK Mappings'!$E834)),ISNUMBER(SEARCH(IF(G$1&lt;&gt;"",G$1,"NA"),'MITRE ATT&amp;CK Mappings'!$F834))),ISNUMBER(SEARCH(IF(G$2&lt;&gt;"",G$2,"NA"),'MITRE ATT&amp;CK Mappings'!$G834))),ISNUMBER(SEARCH(IF(G$2&lt;&gt;"",G$2,"NA"),'MITRE ATT&amp;CK Mappings'!$H834))),ISNUMBER(SEARCH(IF(G$3&lt;&gt;"",G$3,"NA"),'MITRE ATT&amp;CK Mappings'!$I834))),ISNUMBER(SEARCH(IF(G$3&lt;&gt;"",G$3,"NA"),'MITRE ATT&amp;CK Mappings'!$J834))), 'MITRE ATT&amp;CK Mappings'!$B834,"")</f>
        <v/>
      </c>
      <c r="H838" s="26" t="str">
        <f>IF(OR(OR(OR(OR(OR(ISNUMBER(SEARCH(IF(H$1&lt;&gt;"",H$1,"NA"),'MITRE ATT&amp;CK Mappings'!$E834)),ISNUMBER(SEARCH(IF(H$1&lt;&gt;"",H$1,"NA"),'MITRE ATT&amp;CK Mappings'!$F834))),ISNUMBER(SEARCH(IF(H$2&lt;&gt;"",H$2,"NA"),'MITRE ATT&amp;CK Mappings'!$G834))),ISNUMBER(SEARCH(IF(H$2&lt;&gt;"",H$2,"NA"),'MITRE ATT&amp;CK Mappings'!$H834))),ISNUMBER(SEARCH(IF(H$3&lt;&gt;"",H$3,"NA"),'MITRE ATT&amp;CK Mappings'!$I834))),ISNUMBER(SEARCH(IF(H$3&lt;&gt;"",H$3,"NA"),'MITRE ATT&amp;CK Mappings'!$J834))), 'MITRE ATT&amp;CK Mappings'!$B834,"")</f>
        <v/>
      </c>
      <c r="I838" s="26" t="str">
        <f>IF(OR(OR(OR(OR(OR(ISNUMBER(SEARCH(IF(I$1&lt;&gt;"",I$1,"NA"),'MITRE ATT&amp;CK Mappings'!$E834)),ISNUMBER(SEARCH(IF(I$1&lt;&gt;"",I$1,"NA"),'MITRE ATT&amp;CK Mappings'!$F834))),ISNUMBER(SEARCH(IF(I$2&lt;&gt;"",I$2,"NA"),'MITRE ATT&amp;CK Mappings'!$G834))),ISNUMBER(SEARCH(IF(I$2&lt;&gt;"",I$2,"NA"),'MITRE ATT&amp;CK Mappings'!$H834))),ISNUMBER(SEARCH(IF(I$3&lt;&gt;"",I$3,"NA"),'MITRE ATT&amp;CK Mappings'!$I834))),ISNUMBER(SEARCH(IF(I$3&lt;&gt;"",I$3,"NA"),'MITRE ATT&amp;CK Mappings'!$J834))), 'MITRE ATT&amp;CK Mappings'!$B834,"")</f>
        <v/>
      </c>
      <c r="J838" s="26" t="str">
        <f>IF(OR(OR(OR(OR(OR(ISNUMBER(SEARCH(IF(J$1&lt;&gt;"",J$1,"NA"),'MITRE ATT&amp;CK Mappings'!$E834)),ISNUMBER(SEARCH(IF(J$1&lt;&gt;"",J$1,"NA"),'MITRE ATT&amp;CK Mappings'!$F834))),ISNUMBER(SEARCH(IF(J$2&lt;&gt;"",J$2,"NA"),'MITRE ATT&amp;CK Mappings'!$G834))),ISNUMBER(SEARCH(IF(J$2&lt;&gt;"",J$2,"NA"),'MITRE ATT&amp;CK Mappings'!$H834))),ISNUMBER(SEARCH(IF(J$3&lt;&gt;"",J$3,"NA"),'MITRE ATT&amp;CK Mappings'!$I834))),ISNUMBER(SEARCH(IF(J$3&lt;&gt;"",J$3,"NA"),'MITRE ATT&amp;CK Mappings'!$J834))), 'MITRE ATT&amp;CK Mappings'!$B834,"")</f>
        <v/>
      </c>
      <c r="K838" s="26" t="str">
        <f>IF(OR(OR(OR(OR(OR(ISNUMBER(SEARCH(IF(K$1&lt;&gt;"",K$1,"NA"),'MITRE ATT&amp;CK Mappings'!$E834)),ISNUMBER(SEARCH(IF(K$1&lt;&gt;"",K$1,"NA"),'MITRE ATT&amp;CK Mappings'!$F834))),ISNUMBER(SEARCH(IF(K$2&lt;&gt;"",K$2,"NA"),'MITRE ATT&amp;CK Mappings'!$G834))),ISNUMBER(SEARCH(IF(K$2&lt;&gt;"",K$2,"NA"),'MITRE ATT&amp;CK Mappings'!$H834))),ISNUMBER(SEARCH(IF(K$3&lt;&gt;"",K$3,"NA"),'MITRE ATT&amp;CK Mappings'!$I834))),ISNUMBER(SEARCH(IF(K$3&lt;&gt;"",K$3,"NA"),'MITRE ATT&amp;CK Mappings'!$J834))), 'MITRE ATT&amp;CK Mappings'!$B834,"")</f>
        <v/>
      </c>
      <c r="L838" s="26" t="str">
        <f>IF('MITRE ATT&amp;CK Mappings'!D834 &lt;&gt;"",'MITRE ATT&amp;CK Mappings'!D834,"" )</f>
        <v/>
      </c>
    </row>
    <row r="839" spans="1:12" x14ac:dyDescent="0.25">
      <c r="A839" s="27" t="str">
        <f>IF(COUNTIF(B839:K839,"="&amp;'MITRE ATT&amp;CK Mappings'!B835)&gt;0,'MITRE ATT&amp;CK Mappings'!B835,"")</f>
        <v/>
      </c>
      <c r="B839" s="27" t="str">
        <f>IF(OR(OR(OR(OR(OR(ISNUMBER(SEARCH(IF(B$1&lt;&gt;"",B$1,"NA"),'MITRE ATT&amp;CK Mappings'!$E835)),ISNUMBER(SEARCH(IF(B$1&lt;&gt;"",B$1,"NA"),'MITRE ATT&amp;CK Mappings'!$F835))),ISNUMBER(SEARCH(IF(B$2&lt;&gt;"",B$2,"NA"),'MITRE ATT&amp;CK Mappings'!$G835))),ISNUMBER(SEARCH(IF(B$2&lt;&gt;"",B$2,"NA"),'MITRE ATT&amp;CK Mappings'!$H835))),ISNUMBER(SEARCH(IF(B$3&lt;&gt;"",B$3,"NA"),'MITRE ATT&amp;CK Mappings'!$I835))),ISNUMBER(SEARCH(IF(B$3&lt;&gt;"",B$3,"NA"),'MITRE ATT&amp;CK Mappings'!$J835))), 'MITRE ATT&amp;CK Mappings'!$B835,"")</f>
        <v/>
      </c>
      <c r="C839" s="27" t="str">
        <f>IF(OR(OR(OR(OR(OR(ISNUMBER(SEARCH(IF(C$1&lt;&gt;"",C$1,"NA"),'MITRE ATT&amp;CK Mappings'!$E835)),ISNUMBER(SEARCH(IF(C$1&lt;&gt;"",C$1,"NA"),'MITRE ATT&amp;CK Mappings'!$F835))),ISNUMBER(SEARCH(IF(C$2&lt;&gt;"",C$2,"NA"),'MITRE ATT&amp;CK Mappings'!$G835))),ISNUMBER(SEARCH(IF(C$2&lt;&gt;"",C$2,"NA"),'MITRE ATT&amp;CK Mappings'!$H835))),ISNUMBER(SEARCH(IF(C$3&lt;&gt;"",C$3,"NA"),'MITRE ATT&amp;CK Mappings'!$I835))),ISNUMBER(SEARCH(IF(C$3&lt;&gt;"",C$3,"NA"),'MITRE ATT&amp;CK Mappings'!$J835))), 'MITRE ATT&amp;CK Mappings'!$B835,"")</f>
        <v/>
      </c>
      <c r="D839" s="27" t="str">
        <f>IF(OR(OR(OR(OR(OR(ISNUMBER(SEARCH(IF(D$1&lt;&gt;"",D$1,"NA"),'MITRE ATT&amp;CK Mappings'!$E835)),ISNUMBER(SEARCH(IF(D$1&lt;&gt;"",D$1,"NA"),'MITRE ATT&amp;CK Mappings'!$F835))),ISNUMBER(SEARCH(IF(D$2&lt;&gt;"",D$2,"NA"),'MITRE ATT&amp;CK Mappings'!$G835))),ISNUMBER(SEARCH(IF(D$2&lt;&gt;"",D$2,"NA"),'MITRE ATT&amp;CK Mappings'!$H835))),ISNUMBER(SEARCH(IF(D$3&lt;&gt;"",D$3,"NA"),'MITRE ATT&amp;CK Mappings'!$I835))),ISNUMBER(SEARCH(IF(D$3&lt;&gt;"",D$3,"NA"),'MITRE ATT&amp;CK Mappings'!$J835))), 'MITRE ATT&amp;CK Mappings'!$B835,"")</f>
        <v/>
      </c>
      <c r="E839" s="27" t="str">
        <f>IF(OR(OR(OR(OR(OR(ISNUMBER(SEARCH(IF(E$1&lt;&gt;"",E$1,"NA"),'MITRE ATT&amp;CK Mappings'!$E835)),ISNUMBER(SEARCH(IF(E$1&lt;&gt;"",E$1,"NA"),'MITRE ATT&amp;CK Mappings'!$F835))),ISNUMBER(SEARCH(IF(E$2&lt;&gt;"",E$2,"NA"),'MITRE ATT&amp;CK Mappings'!$G835))),ISNUMBER(SEARCH(IF(E$2&lt;&gt;"",E$2,"NA"),'MITRE ATT&amp;CK Mappings'!$H835))),ISNUMBER(SEARCH(IF(E$3&lt;&gt;"",E$3,"NA"),'MITRE ATT&amp;CK Mappings'!$I835))),ISNUMBER(SEARCH(IF(E$3&lt;&gt;"",E$3,"NA"),'MITRE ATT&amp;CK Mappings'!$J835))), 'MITRE ATT&amp;CK Mappings'!$B835,"")</f>
        <v/>
      </c>
      <c r="F839" s="27" t="str">
        <f>IF(OR(OR(OR(OR(OR(ISNUMBER(SEARCH(IF(F$1&lt;&gt;"",F$1,"NA"),'MITRE ATT&amp;CK Mappings'!$E835)),ISNUMBER(SEARCH(IF(F$1&lt;&gt;"",F$1,"NA"),'MITRE ATT&amp;CK Mappings'!$F835))),ISNUMBER(SEARCH(IF(F$2&lt;&gt;"",F$2,"NA"),'MITRE ATT&amp;CK Mappings'!$G835))),ISNUMBER(SEARCH(IF(F$2&lt;&gt;"",F$2,"NA"),'MITRE ATT&amp;CK Mappings'!$H835))),ISNUMBER(SEARCH(IF(F$3&lt;&gt;"",F$3,"NA"),'MITRE ATT&amp;CK Mappings'!$I835))),ISNUMBER(SEARCH(IF(F$3&lt;&gt;"",F$3,"NA"),'MITRE ATT&amp;CK Mappings'!$J835))), 'MITRE ATT&amp;CK Mappings'!$B835,"")</f>
        <v/>
      </c>
      <c r="G839" s="27" t="str">
        <f>IF(OR(OR(OR(OR(OR(ISNUMBER(SEARCH(IF(G$1&lt;&gt;"",G$1,"NA"),'MITRE ATT&amp;CK Mappings'!$E835)),ISNUMBER(SEARCH(IF(G$1&lt;&gt;"",G$1,"NA"),'MITRE ATT&amp;CK Mappings'!$F835))),ISNUMBER(SEARCH(IF(G$2&lt;&gt;"",G$2,"NA"),'MITRE ATT&amp;CK Mappings'!$G835))),ISNUMBER(SEARCH(IF(G$2&lt;&gt;"",G$2,"NA"),'MITRE ATT&amp;CK Mappings'!$H835))),ISNUMBER(SEARCH(IF(G$3&lt;&gt;"",G$3,"NA"),'MITRE ATT&amp;CK Mappings'!$I835))),ISNUMBER(SEARCH(IF(G$3&lt;&gt;"",G$3,"NA"),'MITRE ATT&amp;CK Mappings'!$J835))), 'MITRE ATT&amp;CK Mappings'!$B835,"")</f>
        <v/>
      </c>
      <c r="H839" s="27" t="str">
        <f>IF(OR(OR(OR(OR(OR(ISNUMBER(SEARCH(IF(H$1&lt;&gt;"",H$1,"NA"),'MITRE ATT&amp;CK Mappings'!$E835)),ISNUMBER(SEARCH(IF(H$1&lt;&gt;"",H$1,"NA"),'MITRE ATT&amp;CK Mappings'!$F835))),ISNUMBER(SEARCH(IF(H$2&lt;&gt;"",H$2,"NA"),'MITRE ATT&amp;CK Mappings'!$G835))),ISNUMBER(SEARCH(IF(H$2&lt;&gt;"",H$2,"NA"),'MITRE ATT&amp;CK Mappings'!$H835))),ISNUMBER(SEARCH(IF(H$3&lt;&gt;"",H$3,"NA"),'MITRE ATT&amp;CK Mappings'!$I835))),ISNUMBER(SEARCH(IF(H$3&lt;&gt;"",H$3,"NA"),'MITRE ATT&amp;CK Mappings'!$J835))), 'MITRE ATT&amp;CK Mappings'!$B835,"")</f>
        <v/>
      </c>
      <c r="I839" s="27" t="str">
        <f>IF(OR(OR(OR(OR(OR(ISNUMBER(SEARCH(IF(I$1&lt;&gt;"",I$1,"NA"),'MITRE ATT&amp;CK Mappings'!$E835)),ISNUMBER(SEARCH(IF(I$1&lt;&gt;"",I$1,"NA"),'MITRE ATT&amp;CK Mappings'!$F835))),ISNUMBER(SEARCH(IF(I$2&lt;&gt;"",I$2,"NA"),'MITRE ATT&amp;CK Mappings'!$G835))),ISNUMBER(SEARCH(IF(I$2&lt;&gt;"",I$2,"NA"),'MITRE ATT&amp;CK Mappings'!$H835))),ISNUMBER(SEARCH(IF(I$3&lt;&gt;"",I$3,"NA"),'MITRE ATT&amp;CK Mappings'!$I835))),ISNUMBER(SEARCH(IF(I$3&lt;&gt;"",I$3,"NA"),'MITRE ATT&amp;CK Mappings'!$J835))), 'MITRE ATT&amp;CK Mappings'!$B835,"")</f>
        <v/>
      </c>
      <c r="J839" s="27" t="str">
        <f>IF(OR(OR(OR(OR(OR(ISNUMBER(SEARCH(IF(J$1&lt;&gt;"",J$1,"NA"),'MITRE ATT&amp;CK Mappings'!$E835)),ISNUMBER(SEARCH(IF(J$1&lt;&gt;"",J$1,"NA"),'MITRE ATT&amp;CK Mappings'!$F835))),ISNUMBER(SEARCH(IF(J$2&lt;&gt;"",J$2,"NA"),'MITRE ATT&amp;CK Mappings'!$G835))),ISNUMBER(SEARCH(IF(J$2&lt;&gt;"",J$2,"NA"),'MITRE ATT&amp;CK Mappings'!$H835))),ISNUMBER(SEARCH(IF(J$3&lt;&gt;"",J$3,"NA"),'MITRE ATT&amp;CK Mappings'!$I835))),ISNUMBER(SEARCH(IF(J$3&lt;&gt;"",J$3,"NA"),'MITRE ATT&amp;CK Mappings'!$J835))), 'MITRE ATT&amp;CK Mappings'!$B835,"")</f>
        <v/>
      </c>
      <c r="K839" s="27" t="str">
        <f>IF(OR(OR(OR(OR(OR(ISNUMBER(SEARCH(IF(K$1&lt;&gt;"",K$1,"NA"),'MITRE ATT&amp;CK Mappings'!$E835)),ISNUMBER(SEARCH(IF(K$1&lt;&gt;"",K$1,"NA"),'MITRE ATT&amp;CK Mappings'!$F835))),ISNUMBER(SEARCH(IF(K$2&lt;&gt;"",K$2,"NA"),'MITRE ATT&amp;CK Mappings'!$G835))),ISNUMBER(SEARCH(IF(K$2&lt;&gt;"",K$2,"NA"),'MITRE ATT&amp;CK Mappings'!$H835))),ISNUMBER(SEARCH(IF(K$3&lt;&gt;"",K$3,"NA"),'MITRE ATT&amp;CK Mappings'!$I835))),ISNUMBER(SEARCH(IF(K$3&lt;&gt;"",K$3,"NA"),'MITRE ATT&amp;CK Mappings'!$J835))), 'MITRE ATT&amp;CK Mappings'!$B835,"")</f>
        <v/>
      </c>
      <c r="L839" s="27" t="str">
        <f>IF('MITRE ATT&amp;CK Mappings'!D835 &lt;&gt;"",'MITRE ATT&amp;CK Mappings'!D835,"" )</f>
        <v/>
      </c>
    </row>
    <row r="840" spans="1:12" x14ac:dyDescent="0.25">
      <c r="A840" s="26" t="str">
        <f>IF(COUNTIF(B840:K840,"="&amp;'MITRE ATT&amp;CK Mappings'!B836)&gt;0,'MITRE ATT&amp;CK Mappings'!B836,"")</f>
        <v/>
      </c>
      <c r="B840" s="26" t="str">
        <f>IF(OR(OR(OR(OR(OR(ISNUMBER(SEARCH(IF(B$1&lt;&gt;"",B$1,"NA"),'MITRE ATT&amp;CK Mappings'!$E836)),ISNUMBER(SEARCH(IF(B$1&lt;&gt;"",B$1,"NA"),'MITRE ATT&amp;CK Mappings'!$F836))),ISNUMBER(SEARCH(IF(B$2&lt;&gt;"",B$2,"NA"),'MITRE ATT&amp;CK Mappings'!$G836))),ISNUMBER(SEARCH(IF(B$2&lt;&gt;"",B$2,"NA"),'MITRE ATT&amp;CK Mappings'!$H836))),ISNUMBER(SEARCH(IF(B$3&lt;&gt;"",B$3,"NA"),'MITRE ATT&amp;CK Mappings'!$I836))),ISNUMBER(SEARCH(IF(B$3&lt;&gt;"",B$3,"NA"),'MITRE ATT&amp;CK Mappings'!$J836))), 'MITRE ATT&amp;CK Mappings'!$B836,"")</f>
        <v/>
      </c>
      <c r="C840" s="26" t="str">
        <f>IF(OR(OR(OR(OR(OR(ISNUMBER(SEARCH(IF(C$1&lt;&gt;"",C$1,"NA"),'MITRE ATT&amp;CK Mappings'!$E836)),ISNUMBER(SEARCH(IF(C$1&lt;&gt;"",C$1,"NA"),'MITRE ATT&amp;CK Mappings'!$F836))),ISNUMBER(SEARCH(IF(C$2&lt;&gt;"",C$2,"NA"),'MITRE ATT&amp;CK Mappings'!$G836))),ISNUMBER(SEARCH(IF(C$2&lt;&gt;"",C$2,"NA"),'MITRE ATT&amp;CK Mappings'!$H836))),ISNUMBER(SEARCH(IF(C$3&lt;&gt;"",C$3,"NA"),'MITRE ATT&amp;CK Mappings'!$I836))),ISNUMBER(SEARCH(IF(C$3&lt;&gt;"",C$3,"NA"),'MITRE ATT&amp;CK Mappings'!$J836))), 'MITRE ATT&amp;CK Mappings'!$B836,"")</f>
        <v/>
      </c>
      <c r="D840" s="26" t="str">
        <f>IF(OR(OR(OR(OR(OR(ISNUMBER(SEARCH(IF(D$1&lt;&gt;"",D$1,"NA"),'MITRE ATT&amp;CK Mappings'!$E836)),ISNUMBER(SEARCH(IF(D$1&lt;&gt;"",D$1,"NA"),'MITRE ATT&amp;CK Mappings'!$F836))),ISNUMBER(SEARCH(IF(D$2&lt;&gt;"",D$2,"NA"),'MITRE ATT&amp;CK Mappings'!$G836))),ISNUMBER(SEARCH(IF(D$2&lt;&gt;"",D$2,"NA"),'MITRE ATT&amp;CK Mappings'!$H836))),ISNUMBER(SEARCH(IF(D$3&lt;&gt;"",D$3,"NA"),'MITRE ATT&amp;CK Mappings'!$I836))),ISNUMBER(SEARCH(IF(D$3&lt;&gt;"",D$3,"NA"),'MITRE ATT&amp;CK Mappings'!$J836))), 'MITRE ATT&amp;CK Mappings'!$B836,"")</f>
        <v/>
      </c>
      <c r="E840" s="26" t="str">
        <f>IF(OR(OR(OR(OR(OR(ISNUMBER(SEARCH(IF(E$1&lt;&gt;"",E$1,"NA"),'MITRE ATT&amp;CK Mappings'!$E836)),ISNUMBER(SEARCH(IF(E$1&lt;&gt;"",E$1,"NA"),'MITRE ATT&amp;CK Mappings'!$F836))),ISNUMBER(SEARCH(IF(E$2&lt;&gt;"",E$2,"NA"),'MITRE ATT&amp;CK Mappings'!$G836))),ISNUMBER(SEARCH(IF(E$2&lt;&gt;"",E$2,"NA"),'MITRE ATT&amp;CK Mappings'!$H836))),ISNUMBER(SEARCH(IF(E$3&lt;&gt;"",E$3,"NA"),'MITRE ATT&amp;CK Mappings'!$I836))),ISNUMBER(SEARCH(IF(E$3&lt;&gt;"",E$3,"NA"),'MITRE ATT&amp;CK Mappings'!$J836))), 'MITRE ATT&amp;CK Mappings'!$B836,"")</f>
        <v/>
      </c>
      <c r="F840" s="26" t="str">
        <f>IF(OR(OR(OR(OR(OR(ISNUMBER(SEARCH(IF(F$1&lt;&gt;"",F$1,"NA"),'MITRE ATT&amp;CK Mappings'!$E836)),ISNUMBER(SEARCH(IF(F$1&lt;&gt;"",F$1,"NA"),'MITRE ATT&amp;CK Mappings'!$F836))),ISNUMBER(SEARCH(IF(F$2&lt;&gt;"",F$2,"NA"),'MITRE ATT&amp;CK Mappings'!$G836))),ISNUMBER(SEARCH(IF(F$2&lt;&gt;"",F$2,"NA"),'MITRE ATT&amp;CK Mappings'!$H836))),ISNUMBER(SEARCH(IF(F$3&lt;&gt;"",F$3,"NA"),'MITRE ATT&amp;CK Mappings'!$I836))),ISNUMBER(SEARCH(IF(F$3&lt;&gt;"",F$3,"NA"),'MITRE ATT&amp;CK Mappings'!$J836))), 'MITRE ATT&amp;CK Mappings'!$B836,"")</f>
        <v/>
      </c>
      <c r="G840" s="26" t="str">
        <f>IF(OR(OR(OR(OR(OR(ISNUMBER(SEARCH(IF(G$1&lt;&gt;"",G$1,"NA"),'MITRE ATT&amp;CK Mappings'!$E836)),ISNUMBER(SEARCH(IF(G$1&lt;&gt;"",G$1,"NA"),'MITRE ATT&amp;CK Mappings'!$F836))),ISNUMBER(SEARCH(IF(G$2&lt;&gt;"",G$2,"NA"),'MITRE ATT&amp;CK Mappings'!$G836))),ISNUMBER(SEARCH(IF(G$2&lt;&gt;"",G$2,"NA"),'MITRE ATT&amp;CK Mappings'!$H836))),ISNUMBER(SEARCH(IF(G$3&lt;&gt;"",G$3,"NA"),'MITRE ATT&amp;CK Mappings'!$I836))),ISNUMBER(SEARCH(IF(G$3&lt;&gt;"",G$3,"NA"),'MITRE ATT&amp;CK Mappings'!$J836))), 'MITRE ATT&amp;CK Mappings'!$B836,"")</f>
        <v/>
      </c>
      <c r="H840" s="26" t="str">
        <f>IF(OR(OR(OR(OR(OR(ISNUMBER(SEARCH(IF(H$1&lt;&gt;"",H$1,"NA"),'MITRE ATT&amp;CK Mappings'!$E836)),ISNUMBER(SEARCH(IF(H$1&lt;&gt;"",H$1,"NA"),'MITRE ATT&amp;CK Mappings'!$F836))),ISNUMBER(SEARCH(IF(H$2&lt;&gt;"",H$2,"NA"),'MITRE ATT&amp;CK Mappings'!$G836))),ISNUMBER(SEARCH(IF(H$2&lt;&gt;"",H$2,"NA"),'MITRE ATT&amp;CK Mappings'!$H836))),ISNUMBER(SEARCH(IF(H$3&lt;&gt;"",H$3,"NA"),'MITRE ATT&amp;CK Mappings'!$I836))),ISNUMBER(SEARCH(IF(H$3&lt;&gt;"",H$3,"NA"),'MITRE ATT&amp;CK Mappings'!$J836))), 'MITRE ATT&amp;CK Mappings'!$B836,"")</f>
        <v/>
      </c>
      <c r="I840" s="26" t="str">
        <f>IF(OR(OR(OR(OR(OR(ISNUMBER(SEARCH(IF(I$1&lt;&gt;"",I$1,"NA"),'MITRE ATT&amp;CK Mappings'!$E836)),ISNUMBER(SEARCH(IF(I$1&lt;&gt;"",I$1,"NA"),'MITRE ATT&amp;CK Mappings'!$F836))),ISNUMBER(SEARCH(IF(I$2&lt;&gt;"",I$2,"NA"),'MITRE ATT&amp;CK Mappings'!$G836))),ISNUMBER(SEARCH(IF(I$2&lt;&gt;"",I$2,"NA"),'MITRE ATT&amp;CK Mappings'!$H836))),ISNUMBER(SEARCH(IF(I$3&lt;&gt;"",I$3,"NA"),'MITRE ATT&amp;CK Mappings'!$I836))),ISNUMBER(SEARCH(IF(I$3&lt;&gt;"",I$3,"NA"),'MITRE ATT&amp;CK Mappings'!$J836))), 'MITRE ATT&amp;CK Mappings'!$B836,"")</f>
        <v/>
      </c>
      <c r="J840" s="26" t="str">
        <f>IF(OR(OR(OR(OR(OR(ISNUMBER(SEARCH(IF(J$1&lt;&gt;"",J$1,"NA"),'MITRE ATT&amp;CK Mappings'!$E836)),ISNUMBER(SEARCH(IF(J$1&lt;&gt;"",J$1,"NA"),'MITRE ATT&amp;CK Mappings'!$F836))),ISNUMBER(SEARCH(IF(J$2&lt;&gt;"",J$2,"NA"),'MITRE ATT&amp;CK Mappings'!$G836))),ISNUMBER(SEARCH(IF(J$2&lt;&gt;"",J$2,"NA"),'MITRE ATT&amp;CK Mappings'!$H836))),ISNUMBER(SEARCH(IF(J$3&lt;&gt;"",J$3,"NA"),'MITRE ATT&amp;CK Mappings'!$I836))),ISNUMBER(SEARCH(IF(J$3&lt;&gt;"",J$3,"NA"),'MITRE ATT&amp;CK Mappings'!$J836))), 'MITRE ATT&amp;CK Mappings'!$B836,"")</f>
        <v/>
      </c>
      <c r="K840" s="26" t="str">
        <f>IF(OR(OR(OR(OR(OR(ISNUMBER(SEARCH(IF(K$1&lt;&gt;"",K$1,"NA"),'MITRE ATT&amp;CK Mappings'!$E836)),ISNUMBER(SEARCH(IF(K$1&lt;&gt;"",K$1,"NA"),'MITRE ATT&amp;CK Mappings'!$F836))),ISNUMBER(SEARCH(IF(K$2&lt;&gt;"",K$2,"NA"),'MITRE ATT&amp;CK Mappings'!$G836))),ISNUMBER(SEARCH(IF(K$2&lt;&gt;"",K$2,"NA"),'MITRE ATT&amp;CK Mappings'!$H836))),ISNUMBER(SEARCH(IF(K$3&lt;&gt;"",K$3,"NA"),'MITRE ATT&amp;CK Mappings'!$I836))),ISNUMBER(SEARCH(IF(K$3&lt;&gt;"",K$3,"NA"),'MITRE ATT&amp;CK Mappings'!$J836))), 'MITRE ATT&amp;CK Mappings'!$B836,"")</f>
        <v/>
      </c>
      <c r="L840" s="26" t="str">
        <f>IF('MITRE ATT&amp;CK Mappings'!D836 &lt;&gt;"",'MITRE ATT&amp;CK Mappings'!D836,"" )</f>
        <v/>
      </c>
    </row>
    <row r="841" spans="1:12" x14ac:dyDescent="0.25">
      <c r="A841" s="27" t="str">
        <f>IF(COUNTIF(B841:K841,"="&amp;'MITRE ATT&amp;CK Mappings'!B837)&gt;0,'MITRE ATT&amp;CK Mappings'!B837,"")</f>
        <v/>
      </c>
      <c r="B841" s="27" t="str">
        <f>IF(OR(OR(OR(OR(OR(ISNUMBER(SEARCH(IF(B$1&lt;&gt;"",B$1,"NA"),'MITRE ATT&amp;CK Mappings'!$E837)),ISNUMBER(SEARCH(IF(B$1&lt;&gt;"",B$1,"NA"),'MITRE ATT&amp;CK Mappings'!$F837))),ISNUMBER(SEARCH(IF(B$2&lt;&gt;"",B$2,"NA"),'MITRE ATT&amp;CK Mappings'!$G837))),ISNUMBER(SEARCH(IF(B$2&lt;&gt;"",B$2,"NA"),'MITRE ATT&amp;CK Mappings'!$H837))),ISNUMBER(SEARCH(IF(B$3&lt;&gt;"",B$3,"NA"),'MITRE ATT&amp;CK Mappings'!$I837))),ISNUMBER(SEARCH(IF(B$3&lt;&gt;"",B$3,"NA"),'MITRE ATT&amp;CK Mappings'!$J837))), 'MITRE ATT&amp;CK Mappings'!$B837,"")</f>
        <v/>
      </c>
      <c r="C841" s="27" t="str">
        <f>IF(OR(OR(OR(OR(OR(ISNUMBER(SEARCH(IF(C$1&lt;&gt;"",C$1,"NA"),'MITRE ATT&amp;CK Mappings'!$E837)),ISNUMBER(SEARCH(IF(C$1&lt;&gt;"",C$1,"NA"),'MITRE ATT&amp;CK Mappings'!$F837))),ISNUMBER(SEARCH(IF(C$2&lt;&gt;"",C$2,"NA"),'MITRE ATT&amp;CK Mappings'!$G837))),ISNUMBER(SEARCH(IF(C$2&lt;&gt;"",C$2,"NA"),'MITRE ATT&amp;CK Mappings'!$H837))),ISNUMBER(SEARCH(IF(C$3&lt;&gt;"",C$3,"NA"),'MITRE ATT&amp;CK Mappings'!$I837))),ISNUMBER(SEARCH(IF(C$3&lt;&gt;"",C$3,"NA"),'MITRE ATT&amp;CK Mappings'!$J837))), 'MITRE ATT&amp;CK Mappings'!$B837,"")</f>
        <v/>
      </c>
      <c r="D841" s="27" t="str">
        <f>IF(OR(OR(OR(OR(OR(ISNUMBER(SEARCH(IF(D$1&lt;&gt;"",D$1,"NA"),'MITRE ATT&amp;CK Mappings'!$E837)),ISNUMBER(SEARCH(IF(D$1&lt;&gt;"",D$1,"NA"),'MITRE ATT&amp;CK Mappings'!$F837))),ISNUMBER(SEARCH(IF(D$2&lt;&gt;"",D$2,"NA"),'MITRE ATT&amp;CK Mappings'!$G837))),ISNUMBER(SEARCH(IF(D$2&lt;&gt;"",D$2,"NA"),'MITRE ATT&amp;CK Mappings'!$H837))),ISNUMBER(SEARCH(IF(D$3&lt;&gt;"",D$3,"NA"),'MITRE ATT&amp;CK Mappings'!$I837))),ISNUMBER(SEARCH(IF(D$3&lt;&gt;"",D$3,"NA"),'MITRE ATT&amp;CK Mappings'!$J837))), 'MITRE ATT&amp;CK Mappings'!$B837,"")</f>
        <v/>
      </c>
      <c r="E841" s="27" t="str">
        <f>IF(OR(OR(OR(OR(OR(ISNUMBER(SEARCH(IF(E$1&lt;&gt;"",E$1,"NA"),'MITRE ATT&amp;CK Mappings'!$E837)),ISNUMBER(SEARCH(IF(E$1&lt;&gt;"",E$1,"NA"),'MITRE ATT&amp;CK Mappings'!$F837))),ISNUMBER(SEARCH(IF(E$2&lt;&gt;"",E$2,"NA"),'MITRE ATT&amp;CK Mappings'!$G837))),ISNUMBER(SEARCH(IF(E$2&lt;&gt;"",E$2,"NA"),'MITRE ATT&amp;CK Mappings'!$H837))),ISNUMBER(SEARCH(IF(E$3&lt;&gt;"",E$3,"NA"),'MITRE ATT&amp;CK Mappings'!$I837))),ISNUMBER(SEARCH(IF(E$3&lt;&gt;"",E$3,"NA"),'MITRE ATT&amp;CK Mappings'!$J837))), 'MITRE ATT&amp;CK Mappings'!$B837,"")</f>
        <v/>
      </c>
      <c r="F841" s="27" t="str">
        <f>IF(OR(OR(OR(OR(OR(ISNUMBER(SEARCH(IF(F$1&lt;&gt;"",F$1,"NA"),'MITRE ATT&amp;CK Mappings'!$E837)),ISNUMBER(SEARCH(IF(F$1&lt;&gt;"",F$1,"NA"),'MITRE ATT&amp;CK Mappings'!$F837))),ISNUMBER(SEARCH(IF(F$2&lt;&gt;"",F$2,"NA"),'MITRE ATT&amp;CK Mappings'!$G837))),ISNUMBER(SEARCH(IF(F$2&lt;&gt;"",F$2,"NA"),'MITRE ATT&amp;CK Mappings'!$H837))),ISNUMBER(SEARCH(IF(F$3&lt;&gt;"",F$3,"NA"),'MITRE ATT&amp;CK Mappings'!$I837))),ISNUMBER(SEARCH(IF(F$3&lt;&gt;"",F$3,"NA"),'MITRE ATT&amp;CK Mappings'!$J837))), 'MITRE ATT&amp;CK Mappings'!$B837,"")</f>
        <v/>
      </c>
      <c r="G841" s="27" t="str">
        <f>IF(OR(OR(OR(OR(OR(ISNUMBER(SEARCH(IF(G$1&lt;&gt;"",G$1,"NA"),'MITRE ATT&amp;CK Mappings'!$E837)),ISNUMBER(SEARCH(IF(G$1&lt;&gt;"",G$1,"NA"),'MITRE ATT&amp;CK Mappings'!$F837))),ISNUMBER(SEARCH(IF(G$2&lt;&gt;"",G$2,"NA"),'MITRE ATT&amp;CK Mappings'!$G837))),ISNUMBER(SEARCH(IF(G$2&lt;&gt;"",G$2,"NA"),'MITRE ATT&amp;CK Mappings'!$H837))),ISNUMBER(SEARCH(IF(G$3&lt;&gt;"",G$3,"NA"),'MITRE ATT&amp;CK Mappings'!$I837))),ISNUMBER(SEARCH(IF(G$3&lt;&gt;"",G$3,"NA"),'MITRE ATT&amp;CK Mappings'!$J837))), 'MITRE ATT&amp;CK Mappings'!$B837,"")</f>
        <v/>
      </c>
      <c r="H841" s="27" t="str">
        <f>IF(OR(OR(OR(OR(OR(ISNUMBER(SEARCH(IF(H$1&lt;&gt;"",H$1,"NA"),'MITRE ATT&amp;CK Mappings'!$E837)),ISNUMBER(SEARCH(IF(H$1&lt;&gt;"",H$1,"NA"),'MITRE ATT&amp;CK Mappings'!$F837))),ISNUMBER(SEARCH(IF(H$2&lt;&gt;"",H$2,"NA"),'MITRE ATT&amp;CK Mappings'!$G837))),ISNUMBER(SEARCH(IF(H$2&lt;&gt;"",H$2,"NA"),'MITRE ATT&amp;CK Mappings'!$H837))),ISNUMBER(SEARCH(IF(H$3&lt;&gt;"",H$3,"NA"),'MITRE ATT&amp;CK Mappings'!$I837))),ISNUMBER(SEARCH(IF(H$3&lt;&gt;"",H$3,"NA"),'MITRE ATT&amp;CK Mappings'!$J837))), 'MITRE ATT&amp;CK Mappings'!$B837,"")</f>
        <v/>
      </c>
      <c r="I841" s="27" t="str">
        <f>IF(OR(OR(OR(OR(OR(ISNUMBER(SEARCH(IF(I$1&lt;&gt;"",I$1,"NA"),'MITRE ATT&amp;CK Mappings'!$E837)),ISNUMBER(SEARCH(IF(I$1&lt;&gt;"",I$1,"NA"),'MITRE ATT&amp;CK Mappings'!$F837))),ISNUMBER(SEARCH(IF(I$2&lt;&gt;"",I$2,"NA"),'MITRE ATT&amp;CK Mappings'!$G837))),ISNUMBER(SEARCH(IF(I$2&lt;&gt;"",I$2,"NA"),'MITRE ATT&amp;CK Mappings'!$H837))),ISNUMBER(SEARCH(IF(I$3&lt;&gt;"",I$3,"NA"),'MITRE ATT&amp;CK Mappings'!$I837))),ISNUMBER(SEARCH(IF(I$3&lt;&gt;"",I$3,"NA"),'MITRE ATT&amp;CK Mappings'!$J837))), 'MITRE ATT&amp;CK Mappings'!$B837,"")</f>
        <v/>
      </c>
      <c r="J841" s="27" t="str">
        <f>IF(OR(OR(OR(OR(OR(ISNUMBER(SEARCH(IF(J$1&lt;&gt;"",J$1,"NA"),'MITRE ATT&amp;CK Mappings'!$E837)),ISNUMBER(SEARCH(IF(J$1&lt;&gt;"",J$1,"NA"),'MITRE ATT&amp;CK Mappings'!$F837))),ISNUMBER(SEARCH(IF(J$2&lt;&gt;"",J$2,"NA"),'MITRE ATT&amp;CK Mappings'!$G837))),ISNUMBER(SEARCH(IF(J$2&lt;&gt;"",J$2,"NA"),'MITRE ATT&amp;CK Mappings'!$H837))),ISNUMBER(SEARCH(IF(J$3&lt;&gt;"",J$3,"NA"),'MITRE ATT&amp;CK Mappings'!$I837))),ISNUMBER(SEARCH(IF(J$3&lt;&gt;"",J$3,"NA"),'MITRE ATT&amp;CK Mappings'!$J837))), 'MITRE ATT&amp;CK Mappings'!$B837,"")</f>
        <v/>
      </c>
      <c r="K841" s="27" t="str">
        <f>IF(OR(OR(OR(OR(OR(ISNUMBER(SEARCH(IF(K$1&lt;&gt;"",K$1,"NA"),'MITRE ATT&amp;CK Mappings'!$E837)),ISNUMBER(SEARCH(IF(K$1&lt;&gt;"",K$1,"NA"),'MITRE ATT&amp;CK Mappings'!$F837))),ISNUMBER(SEARCH(IF(K$2&lt;&gt;"",K$2,"NA"),'MITRE ATT&amp;CK Mappings'!$G837))),ISNUMBER(SEARCH(IF(K$2&lt;&gt;"",K$2,"NA"),'MITRE ATT&amp;CK Mappings'!$H837))),ISNUMBER(SEARCH(IF(K$3&lt;&gt;"",K$3,"NA"),'MITRE ATT&amp;CK Mappings'!$I837))),ISNUMBER(SEARCH(IF(K$3&lt;&gt;"",K$3,"NA"),'MITRE ATT&amp;CK Mappings'!$J837))), 'MITRE ATT&amp;CK Mappings'!$B837,"")</f>
        <v/>
      </c>
      <c r="L841" s="27" t="str">
        <f>IF('MITRE ATT&amp;CK Mappings'!D837 &lt;&gt;"",'MITRE ATT&amp;CK Mappings'!D837,"" )</f>
        <v/>
      </c>
    </row>
    <row r="842" spans="1:12" x14ac:dyDescent="0.25">
      <c r="A842" s="26" t="str">
        <f>IF(COUNTIF(B842:K842,"="&amp;'MITRE ATT&amp;CK Mappings'!B838)&gt;0,'MITRE ATT&amp;CK Mappings'!B838,"")</f>
        <v/>
      </c>
      <c r="B842" s="26" t="str">
        <f>IF(OR(OR(OR(OR(OR(ISNUMBER(SEARCH(IF(B$1&lt;&gt;"",B$1,"NA"),'MITRE ATT&amp;CK Mappings'!$E838)),ISNUMBER(SEARCH(IF(B$1&lt;&gt;"",B$1,"NA"),'MITRE ATT&amp;CK Mappings'!$F838))),ISNUMBER(SEARCH(IF(B$2&lt;&gt;"",B$2,"NA"),'MITRE ATT&amp;CK Mappings'!$G838))),ISNUMBER(SEARCH(IF(B$2&lt;&gt;"",B$2,"NA"),'MITRE ATT&amp;CK Mappings'!$H838))),ISNUMBER(SEARCH(IF(B$3&lt;&gt;"",B$3,"NA"),'MITRE ATT&amp;CK Mappings'!$I838))),ISNUMBER(SEARCH(IF(B$3&lt;&gt;"",B$3,"NA"),'MITRE ATT&amp;CK Mappings'!$J838))), 'MITRE ATT&amp;CK Mappings'!$B838,"")</f>
        <v/>
      </c>
      <c r="C842" s="26" t="str">
        <f>IF(OR(OR(OR(OR(OR(ISNUMBER(SEARCH(IF(C$1&lt;&gt;"",C$1,"NA"),'MITRE ATT&amp;CK Mappings'!$E838)),ISNUMBER(SEARCH(IF(C$1&lt;&gt;"",C$1,"NA"),'MITRE ATT&amp;CK Mappings'!$F838))),ISNUMBER(SEARCH(IF(C$2&lt;&gt;"",C$2,"NA"),'MITRE ATT&amp;CK Mappings'!$G838))),ISNUMBER(SEARCH(IF(C$2&lt;&gt;"",C$2,"NA"),'MITRE ATT&amp;CK Mappings'!$H838))),ISNUMBER(SEARCH(IF(C$3&lt;&gt;"",C$3,"NA"),'MITRE ATT&amp;CK Mappings'!$I838))),ISNUMBER(SEARCH(IF(C$3&lt;&gt;"",C$3,"NA"),'MITRE ATT&amp;CK Mappings'!$J838))), 'MITRE ATT&amp;CK Mappings'!$B838,"")</f>
        <v/>
      </c>
      <c r="D842" s="26" t="str">
        <f>IF(OR(OR(OR(OR(OR(ISNUMBER(SEARCH(IF(D$1&lt;&gt;"",D$1,"NA"),'MITRE ATT&amp;CK Mappings'!$E838)),ISNUMBER(SEARCH(IF(D$1&lt;&gt;"",D$1,"NA"),'MITRE ATT&amp;CK Mappings'!$F838))),ISNUMBER(SEARCH(IF(D$2&lt;&gt;"",D$2,"NA"),'MITRE ATT&amp;CK Mappings'!$G838))),ISNUMBER(SEARCH(IF(D$2&lt;&gt;"",D$2,"NA"),'MITRE ATT&amp;CK Mappings'!$H838))),ISNUMBER(SEARCH(IF(D$3&lt;&gt;"",D$3,"NA"),'MITRE ATT&amp;CK Mappings'!$I838))),ISNUMBER(SEARCH(IF(D$3&lt;&gt;"",D$3,"NA"),'MITRE ATT&amp;CK Mappings'!$J838))), 'MITRE ATT&amp;CK Mappings'!$B838,"")</f>
        <v/>
      </c>
      <c r="E842" s="26" t="str">
        <f>IF(OR(OR(OR(OR(OR(ISNUMBER(SEARCH(IF(E$1&lt;&gt;"",E$1,"NA"),'MITRE ATT&amp;CK Mappings'!$E838)),ISNUMBER(SEARCH(IF(E$1&lt;&gt;"",E$1,"NA"),'MITRE ATT&amp;CK Mappings'!$F838))),ISNUMBER(SEARCH(IF(E$2&lt;&gt;"",E$2,"NA"),'MITRE ATT&amp;CK Mappings'!$G838))),ISNUMBER(SEARCH(IF(E$2&lt;&gt;"",E$2,"NA"),'MITRE ATT&amp;CK Mappings'!$H838))),ISNUMBER(SEARCH(IF(E$3&lt;&gt;"",E$3,"NA"),'MITRE ATT&amp;CK Mappings'!$I838))),ISNUMBER(SEARCH(IF(E$3&lt;&gt;"",E$3,"NA"),'MITRE ATT&amp;CK Mappings'!$J838))), 'MITRE ATT&amp;CK Mappings'!$B838,"")</f>
        <v/>
      </c>
      <c r="F842" s="26" t="str">
        <f>IF(OR(OR(OR(OR(OR(ISNUMBER(SEARCH(IF(F$1&lt;&gt;"",F$1,"NA"),'MITRE ATT&amp;CK Mappings'!$E838)),ISNUMBER(SEARCH(IF(F$1&lt;&gt;"",F$1,"NA"),'MITRE ATT&amp;CK Mappings'!$F838))),ISNUMBER(SEARCH(IF(F$2&lt;&gt;"",F$2,"NA"),'MITRE ATT&amp;CK Mappings'!$G838))),ISNUMBER(SEARCH(IF(F$2&lt;&gt;"",F$2,"NA"),'MITRE ATT&amp;CK Mappings'!$H838))),ISNUMBER(SEARCH(IF(F$3&lt;&gt;"",F$3,"NA"),'MITRE ATT&amp;CK Mappings'!$I838))),ISNUMBER(SEARCH(IF(F$3&lt;&gt;"",F$3,"NA"),'MITRE ATT&amp;CK Mappings'!$J838))), 'MITRE ATT&amp;CK Mappings'!$B838,"")</f>
        <v/>
      </c>
      <c r="G842" s="26" t="str">
        <f>IF(OR(OR(OR(OR(OR(ISNUMBER(SEARCH(IF(G$1&lt;&gt;"",G$1,"NA"),'MITRE ATT&amp;CK Mappings'!$E838)),ISNUMBER(SEARCH(IF(G$1&lt;&gt;"",G$1,"NA"),'MITRE ATT&amp;CK Mappings'!$F838))),ISNUMBER(SEARCH(IF(G$2&lt;&gt;"",G$2,"NA"),'MITRE ATT&amp;CK Mappings'!$G838))),ISNUMBER(SEARCH(IF(G$2&lt;&gt;"",G$2,"NA"),'MITRE ATT&amp;CK Mappings'!$H838))),ISNUMBER(SEARCH(IF(G$3&lt;&gt;"",G$3,"NA"),'MITRE ATT&amp;CK Mappings'!$I838))),ISNUMBER(SEARCH(IF(G$3&lt;&gt;"",G$3,"NA"),'MITRE ATT&amp;CK Mappings'!$J838))), 'MITRE ATT&amp;CK Mappings'!$B838,"")</f>
        <v/>
      </c>
      <c r="H842" s="26" t="str">
        <f>IF(OR(OR(OR(OR(OR(ISNUMBER(SEARCH(IF(H$1&lt;&gt;"",H$1,"NA"),'MITRE ATT&amp;CK Mappings'!$E838)),ISNUMBER(SEARCH(IF(H$1&lt;&gt;"",H$1,"NA"),'MITRE ATT&amp;CK Mappings'!$F838))),ISNUMBER(SEARCH(IF(H$2&lt;&gt;"",H$2,"NA"),'MITRE ATT&amp;CK Mappings'!$G838))),ISNUMBER(SEARCH(IF(H$2&lt;&gt;"",H$2,"NA"),'MITRE ATT&amp;CK Mappings'!$H838))),ISNUMBER(SEARCH(IF(H$3&lt;&gt;"",H$3,"NA"),'MITRE ATT&amp;CK Mappings'!$I838))),ISNUMBER(SEARCH(IF(H$3&lt;&gt;"",H$3,"NA"),'MITRE ATT&amp;CK Mappings'!$J838))), 'MITRE ATT&amp;CK Mappings'!$B838,"")</f>
        <v/>
      </c>
      <c r="I842" s="26" t="str">
        <f>IF(OR(OR(OR(OR(OR(ISNUMBER(SEARCH(IF(I$1&lt;&gt;"",I$1,"NA"),'MITRE ATT&amp;CK Mappings'!$E838)),ISNUMBER(SEARCH(IF(I$1&lt;&gt;"",I$1,"NA"),'MITRE ATT&amp;CK Mappings'!$F838))),ISNUMBER(SEARCH(IF(I$2&lt;&gt;"",I$2,"NA"),'MITRE ATT&amp;CK Mappings'!$G838))),ISNUMBER(SEARCH(IF(I$2&lt;&gt;"",I$2,"NA"),'MITRE ATT&amp;CK Mappings'!$H838))),ISNUMBER(SEARCH(IF(I$3&lt;&gt;"",I$3,"NA"),'MITRE ATT&amp;CK Mappings'!$I838))),ISNUMBER(SEARCH(IF(I$3&lt;&gt;"",I$3,"NA"),'MITRE ATT&amp;CK Mappings'!$J838))), 'MITRE ATT&amp;CK Mappings'!$B838,"")</f>
        <v/>
      </c>
      <c r="J842" s="26" t="str">
        <f>IF(OR(OR(OR(OR(OR(ISNUMBER(SEARCH(IF(J$1&lt;&gt;"",J$1,"NA"),'MITRE ATT&amp;CK Mappings'!$E838)),ISNUMBER(SEARCH(IF(J$1&lt;&gt;"",J$1,"NA"),'MITRE ATT&amp;CK Mappings'!$F838))),ISNUMBER(SEARCH(IF(J$2&lt;&gt;"",J$2,"NA"),'MITRE ATT&amp;CK Mappings'!$G838))),ISNUMBER(SEARCH(IF(J$2&lt;&gt;"",J$2,"NA"),'MITRE ATT&amp;CK Mappings'!$H838))),ISNUMBER(SEARCH(IF(J$3&lt;&gt;"",J$3,"NA"),'MITRE ATT&amp;CK Mappings'!$I838))),ISNUMBER(SEARCH(IF(J$3&lt;&gt;"",J$3,"NA"),'MITRE ATT&amp;CK Mappings'!$J838))), 'MITRE ATT&amp;CK Mappings'!$B838,"")</f>
        <v/>
      </c>
      <c r="K842" s="26" t="str">
        <f>IF(OR(OR(OR(OR(OR(ISNUMBER(SEARCH(IF(K$1&lt;&gt;"",K$1,"NA"),'MITRE ATT&amp;CK Mappings'!$E838)),ISNUMBER(SEARCH(IF(K$1&lt;&gt;"",K$1,"NA"),'MITRE ATT&amp;CK Mappings'!$F838))),ISNUMBER(SEARCH(IF(K$2&lt;&gt;"",K$2,"NA"),'MITRE ATT&amp;CK Mappings'!$G838))),ISNUMBER(SEARCH(IF(K$2&lt;&gt;"",K$2,"NA"),'MITRE ATT&amp;CK Mappings'!$H838))),ISNUMBER(SEARCH(IF(K$3&lt;&gt;"",K$3,"NA"),'MITRE ATT&amp;CK Mappings'!$I838))),ISNUMBER(SEARCH(IF(K$3&lt;&gt;"",K$3,"NA"),'MITRE ATT&amp;CK Mappings'!$J838))), 'MITRE ATT&amp;CK Mappings'!$B838,"")</f>
        <v/>
      </c>
      <c r="L842" s="26" t="str">
        <f>IF('MITRE ATT&amp;CK Mappings'!D838 &lt;&gt;"",'MITRE ATT&amp;CK Mappings'!D838,"" )</f>
        <v/>
      </c>
    </row>
    <row r="843" spans="1:12" x14ac:dyDescent="0.25">
      <c r="A843" s="27" t="str">
        <f>IF(COUNTIF(B843:K843,"="&amp;'MITRE ATT&amp;CK Mappings'!B839)&gt;0,'MITRE ATT&amp;CK Mappings'!B839,"")</f>
        <v/>
      </c>
      <c r="B843" s="27" t="str">
        <f>IF(OR(OR(OR(OR(OR(ISNUMBER(SEARCH(IF(B$1&lt;&gt;"",B$1,"NA"),'MITRE ATT&amp;CK Mappings'!$E839)),ISNUMBER(SEARCH(IF(B$1&lt;&gt;"",B$1,"NA"),'MITRE ATT&amp;CK Mappings'!$F839))),ISNUMBER(SEARCH(IF(B$2&lt;&gt;"",B$2,"NA"),'MITRE ATT&amp;CK Mappings'!$G839))),ISNUMBER(SEARCH(IF(B$2&lt;&gt;"",B$2,"NA"),'MITRE ATT&amp;CK Mappings'!$H839))),ISNUMBER(SEARCH(IF(B$3&lt;&gt;"",B$3,"NA"),'MITRE ATT&amp;CK Mappings'!$I839))),ISNUMBER(SEARCH(IF(B$3&lt;&gt;"",B$3,"NA"),'MITRE ATT&amp;CK Mappings'!$J839))), 'MITRE ATT&amp;CK Mappings'!$B839,"")</f>
        <v/>
      </c>
      <c r="C843" s="27" t="str">
        <f>IF(OR(OR(OR(OR(OR(ISNUMBER(SEARCH(IF(C$1&lt;&gt;"",C$1,"NA"),'MITRE ATT&amp;CK Mappings'!$E839)),ISNUMBER(SEARCH(IF(C$1&lt;&gt;"",C$1,"NA"),'MITRE ATT&amp;CK Mappings'!$F839))),ISNUMBER(SEARCH(IF(C$2&lt;&gt;"",C$2,"NA"),'MITRE ATT&amp;CK Mappings'!$G839))),ISNUMBER(SEARCH(IF(C$2&lt;&gt;"",C$2,"NA"),'MITRE ATT&amp;CK Mappings'!$H839))),ISNUMBER(SEARCH(IF(C$3&lt;&gt;"",C$3,"NA"),'MITRE ATT&amp;CK Mappings'!$I839))),ISNUMBER(SEARCH(IF(C$3&lt;&gt;"",C$3,"NA"),'MITRE ATT&amp;CK Mappings'!$J839))), 'MITRE ATT&amp;CK Mappings'!$B839,"")</f>
        <v/>
      </c>
      <c r="D843" s="27" t="str">
        <f>IF(OR(OR(OR(OR(OR(ISNUMBER(SEARCH(IF(D$1&lt;&gt;"",D$1,"NA"),'MITRE ATT&amp;CK Mappings'!$E839)),ISNUMBER(SEARCH(IF(D$1&lt;&gt;"",D$1,"NA"),'MITRE ATT&amp;CK Mappings'!$F839))),ISNUMBER(SEARCH(IF(D$2&lt;&gt;"",D$2,"NA"),'MITRE ATT&amp;CK Mappings'!$G839))),ISNUMBER(SEARCH(IF(D$2&lt;&gt;"",D$2,"NA"),'MITRE ATT&amp;CK Mappings'!$H839))),ISNUMBER(SEARCH(IF(D$3&lt;&gt;"",D$3,"NA"),'MITRE ATT&amp;CK Mappings'!$I839))),ISNUMBER(SEARCH(IF(D$3&lt;&gt;"",D$3,"NA"),'MITRE ATT&amp;CK Mappings'!$J839))), 'MITRE ATT&amp;CK Mappings'!$B839,"")</f>
        <v/>
      </c>
      <c r="E843" s="27" t="str">
        <f>IF(OR(OR(OR(OR(OR(ISNUMBER(SEARCH(IF(E$1&lt;&gt;"",E$1,"NA"),'MITRE ATT&amp;CK Mappings'!$E839)),ISNUMBER(SEARCH(IF(E$1&lt;&gt;"",E$1,"NA"),'MITRE ATT&amp;CK Mappings'!$F839))),ISNUMBER(SEARCH(IF(E$2&lt;&gt;"",E$2,"NA"),'MITRE ATT&amp;CK Mappings'!$G839))),ISNUMBER(SEARCH(IF(E$2&lt;&gt;"",E$2,"NA"),'MITRE ATT&amp;CK Mappings'!$H839))),ISNUMBER(SEARCH(IF(E$3&lt;&gt;"",E$3,"NA"),'MITRE ATT&amp;CK Mappings'!$I839))),ISNUMBER(SEARCH(IF(E$3&lt;&gt;"",E$3,"NA"),'MITRE ATT&amp;CK Mappings'!$J839))), 'MITRE ATT&amp;CK Mappings'!$B839,"")</f>
        <v/>
      </c>
      <c r="F843" s="27" t="str">
        <f>IF(OR(OR(OR(OR(OR(ISNUMBER(SEARCH(IF(F$1&lt;&gt;"",F$1,"NA"),'MITRE ATT&amp;CK Mappings'!$E839)),ISNUMBER(SEARCH(IF(F$1&lt;&gt;"",F$1,"NA"),'MITRE ATT&amp;CK Mappings'!$F839))),ISNUMBER(SEARCH(IF(F$2&lt;&gt;"",F$2,"NA"),'MITRE ATT&amp;CK Mappings'!$G839))),ISNUMBER(SEARCH(IF(F$2&lt;&gt;"",F$2,"NA"),'MITRE ATT&amp;CK Mappings'!$H839))),ISNUMBER(SEARCH(IF(F$3&lt;&gt;"",F$3,"NA"),'MITRE ATT&amp;CK Mappings'!$I839))),ISNUMBER(SEARCH(IF(F$3&lt;&gt;"",F$3,"NA"),'MITRE ATT&amp;CK Mappings'!$J839))), 'MITRE ATT&amp;CK Mappings'!$B839,"")</f>
        <v/>
      </c>
      <c r="G843" s="27" t="str">
        <f>IF(OR(OR(OR(OR(OR(ISNUMBER(SEARCH(IF(G$1&lt;&gt;"",G$1,"NA"),'MITRE ATT&amp;CK Mappings'!$E839)),ISNUMBER(SEARCH(IF(G$1&lt;&gt;"",G$1,"NA"),'MITRE ATT&amp;CK Mappings'!$F839))),ISNUMBER(SEARCH(IF(G$2&lt;&gt;"",G$2,"NA"),'MITRE ATT&amp;CK Mappings'!$G839))),ISNUMBER(SEARCH(IF(G$2&lt;&gt;"",G$2,"NA"),'MITRE ATT&amp;CK Mappings'!$H839))),ISNUMBER(SEARCH(IF(G$3&lt;&gt;"",G$3,"NA"),'MITRE ATT&amp;CK Mappings'!$I839))),ISNUMBER(SEARCH(IF(G$3&lt;&gt;"",G$3,"NA"),'MITRE ATT&amp;CK Mappings'!$J839))), 'MITRE ATT&amp;CK Mappings'!$B839,"")</f>
        <v/>
      </c>
      <c r="H843" s="27" t="str">
        <f>IF(OR(OR(OR(OR(OR(ISNUMBER(SEARCH(IF(H$1&lt;&gt;"",H$1,"NA"),'MITRE ATT&amp;CK Mappings'!$E839)),ISNUMBER(SEARCH(IF(H$1&lt;&gt;"",H$1,"NA"),'MITRE ATT&amp;CK Mappings'!$F839))),ISNUMBER(SEARCH(IF(H$2&lt;&gt;"",H$2,"NA"),'MITRE ATT&amp;CK Mappings'!$G839))),ISNUMBER(SEARCH(IF(H$2&lt;&gt;"",H$2,"NA"),'MITRE ATT&amp;CK Mappings'!$H839))),ISNUMBER(SEARCH(IF(H$3&lt;&gt;"",H$3,"NA"),'MITRE ATT&amp;CK Mappings'!$I839))),ISNUMBER(SEARCH(IF(H$3&lt;&gt;"",H$3,"NA"),'MITRE ATT&amp;CK Mappings'!$J839))), 'MITRE ATT&amp;CK Mappings'!$B839,"")</f>
        <v/>
      </c>
      <c r="I843" s="27" t="str">
        <f>IF(OR(OR(OR(OR(OR(ISNUMBER(SEARCH(IF(I$1&lt;&gt;"",I$1,"NA"),'MITRE ATT&amp;CK Mappings'!$E839)),ISNUMBER(SEARCH(IF(I$1&lt;&gt;"",I$1,"NA"),'MITRE ATT&amp;CK Mappings'!$F839))),ISNUMBER(SEARCH(IF(I$2&lt;&gt;"",I$2,"NA"),'MITRE ATT&amp;CK Mappings'!$G839))),ISNUMBER(SEARCH(IF(I$2&lt;&gt;"",I$2,"NA"),'MITRE ATT&amp;CK Mappings'!$H839))),ISNUMBER(SEARCH(IF(I$3&lt;&gt;"",I$3,"NA"),'MITRE ATT&amp;CK Mappings'!$I839))),ISNUMBER(SEARCH(IF(I$3&lt;&gt;"",I$3,"NA"),'MITRE ATT&amp;CK Mappings'!$J839))), 'MITRE ATT&amp;CK Mappings'!$B839,"")</f>
        <v/>
      </c>
      <c r="J843" s="27" t="str">
        <f>IF(OR(OR(OR(OR(OR(ISNUMBER(SEARCH(IF(J$1&lt;&gt;"",J$1,"NA"),'MITRE ATT&amp;CK Mappings'!$E839)),ISNUMBER(SEARCH(IF(J$1&lt;&gt;"",J$1,"NA"),'MITRE ATT&amp;CK Mappings'!$F839))),ISNUMBER(SEARCH(IF(J$2&lt;&gt;"",J$2,"NA"),'MITRE ATT&amp;CK Mappings'!$G839))),ISNUMBER(SEARCH(IF(J$2&lt;&gt;"",J$2,"NA"),'MITRE ATT&amp;CK Mappings'!$H839))),ISNUMBER(SEARCH(IF(J$3&lt;&gt;"",J$3,"NA"),'MITRE ATT&amp;CK Mappings'!$I839))),ISNUMBER(SEARCH(IF(J$3&lt;&gt;"",J$3,"NA"),'MITRE ATT&amp;CK Mappings'!$J839))), 'MITRE ATT&amp;CK Mappings'!$B839,"")</f>
        <v/>
      </c>
      <c r="K843" s="27" t="str">
        <f>IF(OR(OR(OR(OR(OR(ISNUMBER(SEARCH(IF(K$1&lt;&gt;"",K$1,"NA"),'MITRE ATT&amp;CK Mappings'!$E839)),ISNUMBER(SEARCH(IF(K$1&lt;&gt;"",K$1,"NA"),'MITRE ATT&amp;CK Mappings'!$F839))),ISNUMBER(SEARCH(IF(K$2&lt;&gt;"",K$2,"NA"),'MITRE ATT&amp;CK Mappings'!$G839))),ISNUMBER(SEARCH(IF(K$2&lt;&gt;"",K$2,"NA"),'MITRE ATT&amp;CK Mappings'!$H839))),ISNUMBER(SEARCH(IF(K$3&lt;&gt;"",K$3,"NA"),'MITRE ATT&amp;CK Mappings'!$I839))),ISNUMBER(SEARCH(IF(K$3&lt;&gt;"",K$3,"NA"),'MITRE ATT&amp;CK Mappings'!$J839))), 'MITRE ATT&amp;CK Mappings'!$B839,"")</f>
        <v/>
      </c>
      <c r="L843" s="27" t="str">
        <f>IF('MITRE ATT&amp;CK Mappings'!D839 &lt;&gt;"",'MITRE ATT&amp;CK Mappings'!D839,"" )</f>
        <v/>
      </c>
    </row>
    <row r="844" spans="1:12" x14ac:dyDescent="0.25">
      <c r="A844" s="26" t="str">
        <f>IF(COUNTIF(B844:K844,"="&amp;'MITRE ATT&amp;CK Mappings'!B840)&gt;0,'MITRE ATT&amp;CK Mappings'!B840,"")</f>
        <v/>
      </c>
      <c r="B844" s="26" t="str">
        <f>IF(OR(OR(OR(OR(OR(ISNUMBER(SEARCH(IF(B$1&lt;&gt;"",B$1,"NA"),'MITRE ATT&amp;CK Mappings'!$E840)),ISNUMBER(SEARCH(IF(B$1&lt;&gt;"",B$1,"NA"),'MITRE ATT&amp;CK Mappings'!$F840))),ISNUMBER(SEARCH(IF(B$2&lt;&gt;"",B$2,"NA"),'MITRE ATT&amp;CK Mappings'!$G840))),ISNUMBER(SEARCH(IF(B$2&lt;&gt;"",B$2,"NA"),'MITRE ATT&amp;CK Mappings'!$H840))),ISNUMBER(SEARCH(IF(B$3&lt;&gt;"",B$3,"NA"),'MITRE ATT&amp;CK Mappings'!$I840))),ISNUMBER(SEARCH(IF(B$3&lt;&gt;"",B$3,"NA"),'MITRE ATT&amp;CK Mappings'!$J840))), 'MITRE ATT&amp;CK Mappings'!$B840,"")</f>
        <v/>
      </c>
      <c r="C844" s="26" t="str">
        <f>IF(OR(OR(OR(OR(OR(ISNUMBER(SEARCH(IF(C$1&lt;&gt;"",C$1,"NA"),'MITRE ATT&amp;CK Mappings'!$E840)),ISNUMBER(SEARCH(IF(C$1&lt;&gt;"",C$1,"NA"),'MITRE ATT&amp;CK Mappings'!$F840))),ISNUMBER(SEARCH(IF(C$2&lt;&gt;"",C$2,"NA"),'MITRE ATT&amp;CK Mappings'!$G840))),ISNUMBER(SEARCH(IF(C$2&lt;&gt;"",C$2,"NA"),'MITRE ATT&amp;CK Mappings'!$H840))),ISNUMBER(SEARCH(IF(C$3&lt;&gt;"",C$3,"NA"),'MITRE ATT&amp;CK Mappings'!$I840))),ISNUMBER(SEARCH(IF(C$3&lt;&gt;"",C$3,"NA"),'MITRE ATT&amp;CK Mappings'!$J840))), 'MITRE ATT&amp;CK Mappings'!$B840,"")</f>
        <v/>
      </c>
      <c r="D844" s="26" t="str">
        <f>IF(OR(OR(OR(OR(OR(ISNUMBER(SEARCH(IF(D$1&lt;&gt;"",D$1,"NA"),'MITRE ATT&amp;CK Mappings'!$E840)),ISNUMBER(SEARCH(IF(D$1&lt;&gt;"",D$1,"NA"),'MITRE ATT&amp;CK Mappings'!$F840))),ISNUMBER(SEARCH(IF(D$2&lt;&gt;"",D$2,"NA"),'MITRE ATT&amp;CK Mappings'!$G840))),ISNUMBER(SEARCH(IF(D$2&lt;&gt;"",D$2,"NA"),'MITRE ATT&amp;CK Mappings'!$H840))),ISNUMBER(SEARCH(IF(D$3&lt;&gt;"",D$3,"NA"),'MITRE ATT&amp;CK Mappings'!$I840))),ISNUMBER(SEARCH(IF(D$3&lt;&gt;"",D$3,"NA"),'MITRE ATT&amp;CK Mappings'!$J840))), 'MITRE ATT&amp;CK Mappings'!$B840,"")</f>
        <v/>
      </c>
      <c r="E844" s="26" t="str">
        <f>IF(OR(OR(OR(OR(OR(ISNUMBER(SEARCH(IF(E$1&lt;&gt;"",E$1,"NA"),'MITRE ATT&amp;CK Mappings'!$E840)),ISNUMBER(SEARCH(IF(E$1&lt;&gt;"",E$1,"NA"),'MITRE ATT&amp;CK Mappings'!$F840))),ISNUMBER(SEARCH(IF(E$2&lt;&gt;"",E$2,"NA"),'MITRE ATT&amp;CK Mappings'!$G840))),ISNUMBER(SEARCH(IF(E$2&lt;&gt;"",E$2,"NA"),'MITRE ATT&amp;CK Mappings'!$H840))),ISNUMBER(SEARCH(IF(E$3&lt;&gt;"",E$3,"NA"),'MITRE ATT&amp;CK Mappings'!$I840))),ISNUMBER(SEARCH(IF(E$3&lt;&gt;"",E$3,"NA"),'MITRE ATT&amp;CK Mappings'!$J840))), 'MITRE ATT&amp;CK Mappings'!$B840,"")</f>
        <v/>
      </c>
      <c r="F844" s="26" t="str">
        <f>IF(OR(OR(OR(OR(OR(ISNUMBER(SEARCH(IF(F$1&lt;&gt;"",F$1,"NA"),'MITRE ATT&amp;CK Mappings'!$E840)),ISNUMBER(SEARCH(IF(F$1&lt;&gt;"",F$1,"NA"),'MITRE ATT&amp;CK Mappings'!$F840))),ISNUMBER(SEARCH(IF(F$2&lt;&gt;"",F$2,"NA"),'MITRE ATT&amp;CK Mappings'!$G840))),ISNUMBER(SEARCH(IF(F$2&lt;&gt;"",F$2,"NA"),'MITRE ATT&amp;CK Mappings'!$H840))),ISNUMBER(SEARCH(IF(F$3&lt;&gt;"",F$3,"NA"),'MITRE ATT&amp;CK Mappings'!$I840))),ISNUMBER(SEARCH(IF(F$3&lt;&gt;"",F$3,"NA"),'MITRE ATT&amp;CK Mappings'!$J840))), 'MITRE ATT&amp;CK Mappings'!$B840,"")</f>
        <v/>
      </c>
      <c r="G844" s="26" t="str">
        <f>IF(OR(OR(OR(OR(OR(ISNUMBER(SEARCH(IF(G$1&lt;&gt;"",G$1,"NA"),'MITRE ATT&amp;CK Mappings'!$E840)),ISNUMBER(SEARCH(IF(G$1&lt;&gt;"",G$1,"NA"),'MITRE ATT&amp;CK Mappings'!$F840))),ISNUMBER(SEARCH(IF(G$2&lt;&gt;"",G$2,"NA"),'MITRE ATT&amp;CK Mappings'!$G840))),ISNUMBER(SEARCH(IF(G$2&lt;&gt;"",G$2,"NA"),'MITRE ATT&amp;CK Mappings'!$H840))),ISNUMBER(SEARCH(IF(G$3&lt;&gt;"",G$3,"NA"),'MITRE ATT&amp;CK Mappings'!$I840))),ISNUMBER(SEARCH(IF(G$3&lt;&gt;"",G$3,"NA"),'MITRE ATT&amp;CK Mappings'!$J840))), 'MITRE ATT&amp;CK Mappings'!$B840,"")</f>
        <v/>
      </c>
      <c r="H844" s="26" t="str">
        <f>IF(OR(OR(OR(OR(OR(ISNUMBER(SEARCH(IF(H$1&lt;&gt;"",H$1,"NA"),'MITRE ATT&amp;CK Mappings'!$E840)),ISNUMBER(SEARCH(IF(H$1&lt;&gt;"",H$1,"NA"),'MITRE ATT&amp;CK Mappings'!$F840))),ISNUMBER(SEARCH(IF(H$2&lt;&gt;"",H$2,"NA"),'MITRE ATT&amp;CK Mappings'!$G840))),ISNUMBER(SEARCH(IF(H$2&lt;&gt;"",H$2,"NA"),'MITRE ATT&amp;CK Mappings'!$H840))),ISNUMBER(SEARCH(IF(H$3&lt;&gt;"",H$3,"NA"),'MITRE ATT&amp;CK Mappings'!$I840))),ISNUMBER(SEARCH(IF(H$3&lt;&gt;"",H$3,"NA"),'MITRE ATT&amp;CK Mappings'!$J840))), 'MITRE ATT&amp;CK Mappings'!$B840,"")</f>
        <v/>
      </c>
      <c r="I844" s="26" t="str">
        <f>IF(OR(OR(OR(OR(OR(ISNUMBER(SEARCH(IF(I$1&lt;&gt;"",I$1,"NA"),'MITRE ATT&amp;CK Mappings'!$E840)),ISNUMBER(SEARCH(IF(I$1&lt;&gt;"",I$1,"NA"),'MITRE ATT&amp;CK Mappings'!$F840))),ISNUMBER(SEARCH(IF(I$2&lt;&gt;"",I$2,"NA"),'MITRE ATT&amp;CK Mappings'!$G840))),ISNUMBER(SEARCH(IF(I$2&lt;&gt;"",I$2,"NA"),'MITRE ATT&amp;CK Mappings'!$H840))),ISNUMBER(SEARCH(IF(I$3&lt;&gt;"",I$3,"NA"),'MITRE ATT&amp;CK Mappings'!$I840))),ISNUMBER(SEARCH(IF(I$3&lt;&gt;"",I$3,"NA"),'MITRE ATT&amp;CK Mappings'!$J840))), 'MITRE ATT&amp;CK Mappings'!$B840,"")</f>
        <v/>
      </c>
      <c r="J844" s="26" t="str">
        <f>IF(OR(OR(OR(OR(OR(ISNUMBER(SEARCH(IF(J$1&lt;&gt;"",J$1,"NA"),'MITRE ATT&amp;CK Mappings'!$E840)),ISNUMBER(SEARCH(IF(J$1&lt;&gt;"",J$1,"NA"),'MITRE ATT&amp;CK Mappings'!$F840))),ISNUMBER(SEARCH(IF(J$2&lt;&gt;"",J$2,"NA"),'MITRE ATT&amp;CK Mappings'!$G840))),ISNUMBER(SEARCH(IF(J$2&lt;&gt;"",J$2,"NA"),'MITRE ATT&amp;CK Mappings'!$H840))),ISNUMBER(SEARCH(IF(J$3&lt;&gt;"",J$3,"NA"),'MITRE ATT&amp;CK Mappings'!$I840))),ISNUMBER(SEARCH(IF(J$3&lt;&gt;"",J$3,"NA"),'MITRE ATT&amp;CK Mappings'!$J840))), 'MITRE ATT&amp;CK Mappings'!$B840,"")</f>
        <v/>
      </c>
      <c r="K844" s="26" t="str">
        <f>IF(OR(OR(OR(OR(OR(ISNUMBER(SEARCH(IF(K$1&lt;&gt;"",K$1,"NA"),'MITRE ATT&amp;CK Mappings'!$E840)),ISNUMBER(SEARCH(IF(K$1&lt;&gt;"",K$1,"NA"),'MITRE ATT&amp;CK Mappings'!$F840))),ISNUMBER(SEARCH(IF(K$2&lt;&gt;"",K$2,"NA"),'MITRE ATT&amp;CK Mappings'!$G840))),ISNUMBER(SEARCH(IF(K$2&lt;&gt;"",K$2,"NA"),'MITRE ATT&amp;CK Mappings'!$H840))),ISNUMBER(SEARCH(IF(K$3&lt;&gt;"",K$3,"NA"),'MITRE ATT&amp;CK Mappings'!$I840))),ISNUMBER(SEARCH(IF(K$3&lt;&gt;"",K$3,"NA"),'MITRE ATT&amp;CK Mappings'!$J840))), 'MITRE ATT&amp;CK Mappings'!$B840,"")</f>
        <v/>
      </c>
      <c r="L844" s="26" t="str">
        <f>IF('MITRE ATT&amp;CK Mappings'!D840 &lt;&gt;"",'MITRE ATT&amp;CK Mappings'!D840,"" )</f>
        <v/>
      </c>
    </row>
    <row r="845" spans="1:12" x14ac:dyDescent="0.25">
      <c r="A845" s="27" t="str">
        <f>IF(COUNTIF(B845:K845,"="&amp;'MITRE ATT&amp;CK Mappings'!B841)&gt;0,'MITRE ATT&amp;CK Mappings'!B841,"")</f>
        <v/>
      </c>
      <c r="B845" s="27" t="str">
        <f>IF(OR(OR(OR(OR(OR(ISNUMBER(SEARCH(IF(B$1&lt;&gt;"",B$1,"NA"),'MITRE ATT&amp;CK Mappings'!$E841)),ISNUMBER(SEARCH(IF(B$1&lt;&gt;"",B$1,"NA"),'MITRE ATT&amp;CK Mappings'!$F841))),ISNUMBER(SEARCH(IF(B$2&lt;&gt;"",B$2,"NA"),'MITRE ATT&amp;CK Mappings'!$G841))),ISNUMBER(SEARCH(IF(B$2&lt;&gt;"",B$2,"NA"),'MITRE ATT&amp;CK Mappings'!$H841))),ISNUMBER(SEARCH(IF(B$3&lt;&gt;"",B$3,"NA"),'MITRE ATT&amp;CK Mappings'!$I841))),ISNUMBER(SEARCH(IF(B$3&lt;&gt;"",B$3,"NA"),'MITRE ATT&amp;CK Mappings'!$J841))), 'MITRE ATT&amp;CK Mappings'!$B841,"")</f>
        <v/>
      </c>
      <c r="C845" s="27" t="str">
        <f>IF(OR(OR(OR(OR(OR(ISNUMBER(SEARCH(IF(C$1&lt;&gt;"",C$1,"NA"),'MITRE ATT&amp;CK Mappings'!$E841)),ISNUMBER(SEARCH(IF(C$1&lt;&gt;"",C$1,"NA"),'MITRE ATT&amp;CK Mappings'!$F841))),ISNUMBER(SEARCH(IF(C$2&lt;&gt;"",C$2,"NA"),'MITRE ATT&amp;CK Mappings'!$G841))),ISNUMBER(SEARCH(IF(C$2&lt;&gt;"",C$2,"NA"),'MITRE ATT&amp;CK Mappings'!$H841))),ISNUMBER(SEARCH(IF(C$3&lt;&gt;"",C$3,"NA"),'MITRE ATT&amp;CK Mappings'!$I841))),ISNUMBER(SEARCH(IF(C$3&lt;&gt;"",C$3,"NA"),'MITRE ATT&amp;CK Mappings'!$J841))), 'MITRE ATT&amp;CK Mappings'!$B841,"")</f>
        <v/>
      </c>
      <c r="D845" s="27" t="str">
        <f>IF(OR(OR(OR(OR(OR(ISNUMBER(SEARCH(IF(D$1&lt;&gt;"",D$1,"NA"),'MITRE ATT&amp;CK Mappings'!$E841)),ISNUMBER(SEARCH(IF(D$1&lt;&gt;"",D$1,"NA"),'MITRE ATT&amp;CK Mappings'!$F841))),ISNUMBER(SEARCH(IF(D$2&lt;&gt;"",D$2,"NA"),'MITRE ATT&amp;CK Mappings'!$G841))),ISNUMBER(SEARCH(IF(D$2&lt;&gt;"",D$2,"NA"),'MITRE ATT&amp;CK Mappings'!$H841))),ISNUMBER(SEARCH(IF(D$3&lt;&gt;"",D$3,"NA"),'MITRE ATT&amp;CK Mappings'!$I841))),ISNUMBER(SEARCH(IF(D$3&lt;&gt;"",D$3,"NA"),'MITRE ATT&amp;CK Mappings'!$J841))), 'MITRE ATT&amp;CK Mappings'!$B841,"")</f>
        <v/>
      </c>
      <c r="E845" s="27" t="str">
        <f>IF(OR(OR(OR(OR(OR(ISNUMBER(SEARCH(IF(E$1&lt;&gt;"",E$1,"NA"),'MITRE ATT&amp;CK Mappings'!$E841)),ISNUMBER(SEARCH(IF(E$1&lt;&gt;"",E$1,"NA"),'MITRE ATT&amp;CK Mappings'!$F841))),ISNUMBER(SEARCH(IF(E$2&lt;&gt;"",E$2,"NA"),'MITRE ATT&amp;CK Mappings'!$G841))),ISNUMBER(SEARCH(IF(E$2&lt;&gt;"",E$2,"NA"),'MITRE ATT&amp;CK Mappings'!$H841))),ISNUMBER(SEARCH(IF(E$3&lt;&gt;"",E$3,"NA"),'MITRE ATT&amp;CK Mappings'!$I841))),ISNUMBER(SEARCH(IF(E$3&lt;&gt;"",E$3,"NA"),'MITRE ATT&amp;CK Mappings'!$J841))), 'MITRE ATT&amp;CK Mappings'!$B841,"")</f>
        <v/>
      </c>
      <c r="F845" s="27" t="str">
        <f>IF(OR(OR(OR(OR(OR(ISNUMBER(SEARCH(IF(F$1&lt;&gt;"",F$1,"NA"),'MITRE ATT&amp;CK Mappings'!$E841)),ISNUMBER(SEARCH(IF(F$1&lt;&gt;"",F$1,"NA"),'MITRE ATT&amp;CK Mappings'!$F841))),ISNUMBER(SEARCH(IF(F$2&lt;&gt;"",F$2,"NA"),'MITRE ATT&amp;CK Mappings'!$G841))),ISNUMBER(SEARCH(IF(F$2&lt;&gt;"",F$2,"NA"),'MITRE ATT&amp;CK Mappings'!$H841))),ISNUMBER(SEARCH(IF(F$3&lt;&gt;"",F$3,"NA"),'MITRE ATT&amp;CK Mappings'!$I841))),ISNUMBER(SEARCH(IF(F$3&lt;&gt;"",F$3,"NA"),'MITRE ATT&amp;CK Mappings'!$J841))), 'MITRE ATT&amp;CK Mappings'!$B841,"")</f>
        <v/>
      </c>
      <c r="G845" s="27" t="str">
        <f>IF(OR(OR(OR(OR(OR(ISNUMBER(SEARCH(IF(G$1&lt;&gt;"",G$1,"NA"),'MITRE ATT&amp;CK Mappings'!$E841)),ISNUMBER(SEARCH(IF(G$1&lt;&gt;"",G$1,"NA"),'MITRE ATT&amp;CK Mappings'!$F841))),ISNUMBER(SEARCH(IF(G$2&lt;&gt;"",G$2,"NA"),'MITRE ATT&amp;CK Mappings'!$G841))),ISNUMBER(SEARCH(IF(G$2&lt;&gt;"",G$2,"NA"),'MITRE ATT&amp;CK Mappings'!$H841))),ISNUMBER(SEARCH(IF(G$3&lt;&gt;"",G$3,"NA"),'MITRE ATT&amp;CK Mappings'!$I841))),ISNUMBER(SEARCH(IF(G$3&lt;&gt;"",G$3,"NA"),'MITRE ATT&amp;CK Mappings'!$J841))), 'MITRE ATT&amp;CK Mappings'!$B841,"")</f>
        <v/>
      </c>
      <c r="H845" s="27" t="str">
        <f>IF(OR(OR(OR(OR(OR(ISNUMBER(SEARCH(IF(H$1&lt;&gt;"",H$1,"NA"),'MITRE ATT&amp;CK Mappings'!$E841)),ISNUMBER(SEARCH(IF(H$1&lt;&gt;"",H$1,"NA"),'MITRE ATT&amp;CK Mappings'!$F841))),ISNUMBER(SEARCH(IF(H$2&lt;&gt;"",H$2,"NA"),'MITRE ATT&amp;CK Mappings'!$G841))),ISNUMBER(SEARCH(IF(H$2&lt;&gt;"",H$2,"NA"),'MITRE ATT&amp;CK Mappings'!$H841))),ISNUMBER(SEARCH(IF(H$3&lt;&gt;"",H$3,"NA"),'MITRE ATT&amp;CK Mappings'!$I841))),ISNUMBER(SEARCH(IF(H$3&lt;&gt;"",H$3,"NA"),'MITRE ATT&amp;CK Mappings'!$J841))), 'MITRE ATT&amp;CK Mappings'!$B841,"")</f>
        <v/>
      </c>
      <c r="I845" s="27" t="str">
        <f>IF(OR(OR(OR(OR(OR(ISNUMBER(SEARCH(IF(I$1&lt;&gt;"",I$1,"NA"),'MITRE ATT&amp;CK Mappings'!$E841)),ISNUMBER(SEARCH(IF(I$1&lt;&gt;"",I$1,"NA"),'MITRE ATT&amp;CK Mappings'!$F841))),ISNUMBER(SEARCH(IF(I$2&lt;&gt;"",I$2,"NA"),'MITRE ATT&amp;CK Mappings'!$G841))),ISNUMBER(SEARCH(IF(I$2&lt;&gt;"",I$2,"NA"),'MITRE ATT&amp;CK Mappings'!$H841))),ISNUMBER(SEARCH(IF(I$3&lt;&gt;"",I$3,"NA"),'MITRE ATT&amp;CK Mappings'!$I841))),ISNUMBER(SEARCH(IF(I$3&lt;&gt;"",I$3,"NA"),'MITRE ATT&amp;CK Mappings'!$J841))), 'MITRE ATT&amp;CK Mappings'!$B841,"")</f>
        <v/>
      </c>
      <c r="J845" s="27" t="str">
        <f>IF(OR(OR(OR(OR(OR(ISNUMBER(SEARCH(IF(J$1&lt;&gt;"",J$1,"NA"),'MITRE ATT&amp;CK Mappings'!$E841)),ISNUMBER(SEARCH(IF(J$1&lt;&gt;"",J$1,"NA"),'MITRE ATT&amp;CK Mappings'!$F841))),ISNUMBER(SEARCH(IF(J$2&lt;&gt;"",J$2,"NA"),'MITRE ATT&amp;CK Mappings'!$G841))),ISNUMBER(SEARCH(IF(J$2&lt;&gt;"",J$2,"NA"),'MITRE ATT&amp;CK Mappings'!$H841))),ISNUMBER(SEARCH(IF(J$3&lt;&gt;"",J$3,"NA"),'MITRE ATT&amp;CK Mappings'!$I841))),ISNUMBER(SEARCH(IF(J$3&lt;&gt;"",J$3,"NA"),'MITRE ATT&amp;CK Mappings'!$J841))), 'MITRE ATT&amp;CK Mappings'!$B841,"")</f>
        <v/>
      </c>
      <c r="K845" s="27" t="str">
        <f>IF(OR(OR(OR(OR(OR(ISNUMBER(SEARCH(IF(K$1&lt;&gt;"",K$1,"NA"),'MITRE ATT&amp;CK Mappings'!$E841)),ISNUMBER(SEARCH(IF(K$1&lt;&gt;"",K$1,"NA"),'MITRE ATT&amp;CK Mappings'!$F841))),ISNUMBER(SEARCH(IF(K$2&lt;&gt;"",K$2,"NA"),'MITRE ATT&amp;CK Mappings'!$G841))),ISNUMBER(SEARCH(IF(K$2&lt;&gt;"",K$2,"NA"),'MITRE ATT&amp;CK Mappings'!$H841))),ISNUMBER(SEARCH(IF(K$3&lt;&gt;"",K$3,"NA"),'MITRE ATT&amp;CK Mappings'!$I841))),ISNUMBER(SEARCH(IF(K$3&lt;&gt;"",K$3,"NA"),'MITRE ATT&amp;CK Mappings'!$J841))), 'MITRE ATT&amp;CK Mappings'!$B841,"")</f>
        <v/>
      </c>
      <c r="L845" s="27" t="str">
        <f>IF('MITRE ATT&amp;CK Mappings'!D841 &lt;&gt;"",'MITRE ATT&amp;CK Mappings'!D841,"" )</f>
        <v/>
      </c>
    </row>
    <row r="846" spans="1:12" x14ac:dyDescent="0.25">
      <c r="A846" s="26" t="str">
        <f>IF(COUNTIF(B846:K846,"="&amp;'MITRE ATT&amp;CK Mappings'!B842)&gt;0,'MITRE ATT&amp;CK Mappings'!B842,"")</f>
        <v/>
      </c>
      <c r="B846" s="26" t="str">
        <f>IF(OR(OR(OR(OR(OR(ISNUMBER(SEARCH(IF(B$1&lt;&gt;"",B$1,"NA"),'MITRE ATT&amp;CK Mappings'!$E842)),ISNUMBER(SEARCH(IF(B$1&lt;&gt;"",B$1,"NA"),'MITRE ATT&amp;CK Mappings'!$F842))),ISNUMBER(SEARCH(IF(B$2&lt;&gt;"",B$2,"NA"),'MITRE ATT&amp;CK Mappings'!$G842))),ISNUMBER(SEARCH(IF(B$2&lt;&gt;"",B$2,"NA"),'MITRE ATT&amp;CK Mappings'!$H842))),ISNUMBER(SEARCH(IF(B$3&lt;&gt;"",B$3,"NA"),'MITRE ATT&amp;CK Mappings'!$I842))),ISNUMBER(SEARCH(IF(B$3&lt;&gt;"",B$3,"NA"),'MITRE ATT&amp;CK Mappings'!$J842))), 'MITRE ATT&amp;CK Mappings'!$B842,"")</f>
        <v/>
      </c>
      <c r="C846" s="26" t="str">
        <f>IF(OR(OR(OR(OR(OR(ISNUMBER(SEARCH(IF(C$1&lt;&gt;"",C$1,"NA"),'MITRE ATT&amp;CK Mappings'!$E842)),ISNUMBER(SEARCH(IF(C$1&lt;&gt;"",C$1,"NA"),'MITRE ATT&amp;CK Mappings'!$F842))),ISNUMBER(SEARCH(IF(C$2&lt;&gt;"",C$2,"NA"),'MITRE ATT&amp;CK Mappings'!$G842))),ISNUMBER(SEARCH(IF(C$2&lt;&gt;"",C$2,"NA"),'MITRE ATT&amp;CK Mappings'!$H842))),ISNUMBER(SEARCH(IF(C$3&lt;&gt;"",C$3,"NA"),'MITRE ATT&amp;CK Mappings'!$I842))),ISNUMBER(SEARCH(IF(C$3&lt;&gt;"",C$3,"NA"),'MITRE ATT&amp;CK Mappings'!$J842))), 'MITRE ATT&amp;CK Mappings'!$B842,"")</f>
        <v/>
      </c>
      <c r="D846" s="26" t="str">
        <f>IF(OR(OR(OR(OR(OR(ISNUMBER(SEARCH(IF(D$1&lt;&gt;"",D$1,"NA"),'MITRE ATT&amp;CK Mappings'!$E842)),ISNUMBER(SEARCH(IF(D$1&lt;&gt;"",D$1,"NA"),'MITRE ATT&amp;CK Mappings'!$F842))),ISNUMBER(SEARCH(IF(D$2&lt;&gt;"",D$2,"NA"),'MITRE ATT&amp;CK Mappings'!$G842))),ISNUMBER(SEARCH(IF(D$2&lt;&gt;"",D$2,"NA"),'MITRE ATT&amp;CK Mappings'!$H842))),ISNUMBER(SEARCH(IF(D$3&lt;&gt;"",D$3,"NA"),'MITRE ATT&amp;CK Mappings'!$I842))),ISNUMBER(SEARCH(IF(D$3&lt;&gt;"",D$3,"NA"),'MITRE ATT&amp;CK Mappings'!$J842))), 'MITRE ATT&amp;CK Mappings'!$B842,"")</f>
        <v/>
      </c>
      <c r="E846" s="26" t="str">
        <f>IF(OR(OR(OR(OR(OR(ISNUMBER(SEARCH(IF(E$1&lt;&gt;"",E$1,"NA"),'MITRE ATT&amp;CK Mappings'!$E842)),ISNUMBER(SEARCH(IF(E$1&lt;&gt;"",E$1,"NA"),'MITRE ATT&amp;CK Mappings'!$F842))),ISNUMBER(SEARCH(IF(E$2&lt;&gt;"",E$2,"NA"),'MITRE ATT&amp;CK Mappings'!$G842))),ISNUMBER(SEARCH(IF(E$2&lt;&gt;"",E$2,"NA"),'MITRE ATT&amp;CK Mappings'!$H842))),ISNUMBER(SEARCH(IF(E$3&lt;&gt;"",E$3,"NA"),'MITRE ATT&amp;CK Mappings'!$I842))),ISNUMBER(SEARCH(IF(E$3&lt;&gt;"",E$3,"NA"),'MITRE ATT&amp;CK Mappings'!$J842))), 'MITRE ATT&amp;CK Mappings'!$B842,"")</f>
        <v/>
      </c>
      <c r="F846" s="26" t="str">
        <f>IF(OR(OR(OR(OR(OR(ISNUMBER(SEARCH(IF(F$1&lt;&gt;"",F$1,"NA"),'MITRE ATT&amp;CK Mappings'!$E842)),ISNUMBER(SEARCH(IF(F$1&lt;&gt;"",F$1,"NA"),'MITRE ATT&amp;CK Mappings'!$F842))),ISNUMBER(SEARCH(IF(F$2&lt;&gt;"",F$2,"NA"),'MITRE ATT&amp;CK Mappings'!$G842))),ISNUMBER(SEARCH(IF(F$2&lt;&gt;"",F$2,"NA"),'MITRE ATT&amp;CK Mappings'!$H842))),ISNUMBER(SEARCH(IF(F$3&lt;&gt;"",F$3,"NA"),'MITRE ATT&amp;CK Mappings'!$I842))),ISNUMBER(SEARCH(IF(F$3&lt;&gt;"",F$3,"NA"),'MITRE ATT&amp;CK Mappings'!$J842))), 'MITRE ATT&amp;CK Mappings'!$B842,"")</f>
        <v/>
      </c>
      <c r="G846" s="26" t="str">
        <f>IF(OR(OR(OR(OR(OR(ISNUMBER(SEARCH(IF(G$1&lt;&gt;"",G$1,"NA"),'MITRE ATT&amp;CK Mappings'!$E842)),ISNUMBER(SEARCH(IF(G$1&lt;&gt;"",G$1,"NA"),'MITRE ATT&amp;CK Mappings'!$F842))),ISNUMBER(SEARCH(IF(G$2&lt;&gt;"",G$2,"NA"),'MITRE ATT&amp;CK Mappings'!$G842))),ISNUMBER(SEARCH(IF(G$2&lt;&gt;"",G$2,"NA"),'MITRE ATT&amp;CK Mappings'!$H842))),ISNUMBER(SEARCH(IF(G$3&lt;&gt;"",G$3,"NA"),'MITRE ATT&amp;CK Mappings'!$I842))),ISNUMBER(SEARCH(IF(G$3&lt;&gt;"",G$3,"NA"),'MITRE ATT&amp;CK Mappings'!$J842))), 'MITRE ATT&amp;CK Mappings'!$B842,"")</f>
        <v/>
      </c>
      <c r="H846" s="26" t="str">
        <f>IF(OR(OR(OR(OR(OR(ISNUMBER(SEARCH(IF(H$1&lt;&gt;"",H$1,"NA"),'MITRE ATT&amp;CK Mappings'!$E842)),ISNUMBER(SEARCH(IF(H$1&lt;&gt;"",H$1,"NA"),'MITRE ATT&amp;CK Mappings'!$F842))),ISNUMBER(SEARCH(IF(H$2&lt;&gt;"",H$2,"NA"),'MITRE ATT&amp;CK Mappings'!$G842))),ISNUMBER(SEARCH(IF(H$2&lt;&gt;"",H$2,"NA"),'MITRE ATT&amp;CK Mappings'!$H842))),ISNUMBER(SEARCH(IF(H$3&lt;&gt;"",H$3,"NA"),'MITRE ATT&amp;CK Mappings'!$I842))),ISNUMBER(SEARCH(IF(H$3&lt;&gt;"",H$3,"NA"),'MITRE ATT&amp;CK Mappings'!$J842))), 'MITRE ATT&amp;CK Mappings'!$B842,"")</f>
        <v/>
      </c>
      <c r="I846" s="26" t="str">
        <f>IF(OR(OR(OR(OR(OR(ISNUMBER(SEARCH(IF(I$1&lt;&gt;"",I$1,"NA"),'MITRE ATT&amp;CK Mappings'!$E842)),ISNUMBER(SEARCH(IF(I$1&lt;&gt;"",I$1,"NA"),'MITRE ATT&amp;CK Mappings'!$F842))),ISNUMBER(SEARCH(IF(I$2&lt;&gt;"",I$2,"NA"),'MITRE ATT&amp;CK Mappings'!$G842))),ISNUMBER(SEARCH(IF(I$2&lt;&gt;"",I$2,"NA"),'MITRE ATT&amp;CK Mappings'!$H842))),ISNUMBER(SEARCH(IF(I$3&lt;&gt;"",I$3,"NA"),'MITRE ATT&amp;CK Mappings'!$I842))),ISNUMBER(SEARCH(IF(I$3&lt;&gt;"",I$3,"NA"),'MITRE ATT&amp;CK Mappings'!$J842))), 'MITRE ATT&amp;CK Mappings'!$B842,"")</f>
        <v/>
      </c>
      <c r="J846" s="26" t="str">
        <f>IF(OR(OR(OR(OR(OR(ISNUMBER(SEARCH(IF(J$1&lt;&gt;"",J$1,"NA"),'MITRE ATT&amp;CK Mappings'!$E842)),ISNUMBER(SEARCH(IF(J$1&lt;&gt;"",J$1,"NA"),'MITRE ATT&amp;CK Mappings'!$F842))),ISNUMBER(SEARCH(IF(J$2&lt;&gt;"",J$2,"NA"),'MITRE ATT&amp;CK Mappings'!$G842))),ISNUMBER(SEARCH(IF(J$2&lt;&gt;"",J$2,"NA"),'MITRE ATT&amp;CK Mappings'!$H842))),ISNUMBER(SEARCH(IF(J$3&lt;&gt;"",J$3,"NA"),'MITRE ATT&amp;CK Mappings'!$I842))),ISNUMBER(SEARCH(IF(J$3&lt;&gt;"",J$3,"NA"),'MITRE ATT&amp;CK Mappings'!$J842))), 'MITRE ATT&amp;CK Mappings'!$B842,"")</f>
        <v/>
      </c>
      <c r="K846" s="26" t="str">
        <f>IF(OR(OR(OR(OR(OR(ISNUMBER(SEARCH(IF(K$1&lt;&gt;"",K$1,"NA"),'MITRE ATT&amp;CK Mappings'!$E842)),ISNUMBER(SEARCH(IF(K$1&lt;&gt;"",K$1,"NA"),'MITRE ATT&amp;CK Mappings'!$F842))),ISNUMBER(SEARCH(IF(K$2&lt;&gt;"",K$2,"NA"),'MITRE ATT&amp;CK Mappings'!$G842))),ISNUMBER(SEARCH(IF(K$2&lt;&gt;"",K$2,"NA"),'MITRE ATT&amp;CK Mappings'!$H842))),ISNUMBER(SEARCH(IF(K$3&lt;&gt;"",K$3,"NA"),'MITRE ATT&amp;CK Mappings'!$I842))),ISNUMBER(SEARCH(IF(K$3&lt;&gt;"",K$3,"NA"),'MITRE ATT&amp;CK Mappings'!$J842))), 'MITRE ATT&amp;CK Mappings'!$B842,"")</f>
        <v/>
      </c>
      <c r="L846" s="26" t="str">
        <f>IF('MITRE ATT&amp;CK Mappings'!D842 &lt;&gt;"",'MITRE ATT&amp;CK Mappings'!D842,"" )</f>
        <v/>
      </c>
    </row>
    <row r="847" spans="1:12" x14ac:dyDescent="0.25">
      <c r="A847" s="27" t="str">
        <f>IF(COUNTIF(B847:K847,"="&amp;'MITRE ATT&amp;CK Mappings'!B843)&gt;0,'MITRE ATT&amp;CK Mappings'!B843,"")</f>
        <v/>
      </c>
      <c r="B847" s="27" t="str">
        <f>IF(OR(OR(OR(OR(OR(ISNUMBER(SEARCH(IF(B$1&lt;&gt;"",B$1,"NA"),'MITRE ATT&amp;CK Mappings'!$E843)),ISNUMBER(SEARCH(IF(B$1&lt;&gt;"",B$1,"NA"),'MITRE ATT&amp;CK Mappings'!$F843))),ISNUMBER(SEARCH(IF(B$2&lt;&gt;"",B$2,"NA"),'MITRE ATT&amp;CK Mappings'!$G843))),ISNUMBER(SEARCH(IF(B$2&lt;&gt;"",B$2,"NA"),'MITRE ATT&amp;CK Mappings'!$H843))),ISNUMBER(SEARCH(IF(B$3&lt;&gt;"",B$3,"NA"),'MITRE ATT&amp;CK Mappings'!$I843))),ISNUMBER(SEARCH(IF(B$3&lt;&gt;"",B$3,"NA"),'MITRE ATT&amp;CK Mappings'!$J843))), 'MITRE ATT&amp;CK Mappings'!$B843,"")</f>
        <v/>
      </c>
      <c r="C847" s="27" t="str">
        <f>IF(OR(OR(OR(OR(OR(ISNUMBER(SEARCH(IF(C$1&lt;&gt;"",C$1,"NA"),'MITRE ATT&amp;CK Mappings'!$E843)),ISNUMBER(SEARCH(IF(C$1&lt;&gt;"",C$1,"NA"),'MITRE ATT&amp;CK Mappings'!$F843))),ISNUMBER(SEARCH(IF(C$2&lt;&gt;"",C$2,"NA"),'MITRE ATT&amp;CK Mappings'!$G843))),ISNUMBER(SEARCH(IF(C$2&lt;&gt;"",C$2,"NA"),'MITRE ATT&amp;CK Mappings'!$H843))),ISNUMBER(SEARCH(IF(C$3&lt;&gt;"",C$3,"NA"),'MITRE ATT&amp;CK Mappings'!$I843))),ISNUMBER(SEARCH(IF(C$3&lt;&gt;"",C$3,"NA"),'MITRE ATT&amp;CK Mappings'!$J843))), 'MITRE ATT&amp;CK Mappings'!$B843,"")</f>
        <v/>
      </c>
      <c r="D847" s="27" t="str">
        <f>IF(OR(OR(OR(OR(OR(ISNUMBER(SEARCH(IF(D$1&lt;&gt;"",D$1,"NA"),'MITRE ATT&amp;CK Mappings'!$E843)),ISNUMBER(SEARCH(IF(D$1&lt;&gt;"",D$1,"NA"),'MITRE ATT&amp;CK Mappings'!$F843))),ISNUMBER(SEARCH(IF(D$2&lt;&gt;"",D$2,"NA"),'MITRE ATT&amp;CK Mappings'!$G843))),ISNUMBER(SEARCH(IF(D$2&lt;&gt;"",D$2,"NA"),'MITRE ATT&amp;CK Mappings'!$H843))),ISNUMBER(SEARCH(IF(D$3&lt;&gt;"",D$3,"NA"),'MITRE ATT&amp;CK Mappings'!$I843))),ISNUMBER(SEARCH(IF(D$3&lt;&gt;"",D$3,"NA"),'MITRE ATT&amp;CK Mappings'!$J843))), 'MITRE ATT&amp;CK Mappings'!$B843,"")</f>
        <v/>
      </c>
      <c r="E847" s="27" t="str">
        <f>IF(OR(OR(OR(OR(OR(ISNUMBER(SEARCH(IF(E$1&lt;&gt;"",E$1,"NA"),'MITRE ATT&amp;CK Mappings'!$E843)),ISNUMBER(SEARCH(IF(E$1&lt;&gt;"",E$1,"NA"),'MITRE ATT&amp;CK Mappings'!$F843))),ISNUMBER(SEARCH(IF(E$2&lt;&gt;"",E$2,"NA"),'MITRE ATT&amp;CK Mappings'!$G843))),ISNUMBER(SEARCH(IF(E$2&lt;&gt;"",E$2,"NA"),'MITRE ATT&amp;CK Mappings'!$H843))),ISNUMBER(SEARCH(IF(E$3&lt;&gt;"",E$3,"NA"),'MITRE ATT&amp;CK Mappings'!$I843))),ISNUMBER(SEARCH(IF(E$3&lt;&gt;"",E$3,"NA"),'MITRE ATT&amp;CK Mappings'!$J843))), 'MITRE ATT&amp;CK Mappings'!$B843,"")</f>
        <v/>
      </c>
      <c r="F847" s="27" t="str">
        <f>IF(OR(OR(OR(OR(OR(ISNUMBER(SEARCH(IF(F$1&lt;&gt;"",F$1,"NA"),'MITRE ATT&amp;CK Mappings'!$E843)),ISNUMBER(SEARCH(IF(F$1&lt;&gt;"",F$1,"NA"),'MITRE ATT&amp;CK Mappings'!$F843))),ISNUMBER(SEARCH(IF(F$2&lt;&gt;"",F$2,"NA"),'MITRE ATT&amp;CK Mappings'!$G843))),ISNUMBER(SEARCH(IF(F$2&lt;&gt;"",F$2,"NA"),'MITRE ATT&amp;CK Mappings'!$H843))),ISNUMBER(SEARCH(IF(F$3&lt;&gt;"",F$3,"NA"),'MITRE ATT&amp;CK Mappings'!$I843))),ISNUMBER(SEARCH(IF(F$3&lt;&gt;"",F$3,"NA"),'MITRE ATT&amp;CK Mappings'!$J843))), 'MITRE ATT&amp;CK Mappings'!$B843,"")</f>
        <v/>
      </c>
      <c r="G847" s="27" t="str">
        <f>IF(OR(OR(OR(OR(OR(ISNUMBER(SEARCH(IF(G$1&lt;&gt;"",G$1,"NA"),'MITRE ATT&amp;CK Mappings'!$E843)),ISNUMBER(SEARCH(IF(G$1&lt;&gt;"",G$1,"NA"),'MITRE ATT&amp;CK Mappings'!$F843))),ISNUMBER(SEARCH(IF(G$2&lt;&gt;"",G$2,"NA"),'MITRE ATT&amp;CK Mappings'!$G843))),ISNUMBER(SEARCH(IF(G$2&lt;&gt;"",G$2,"NA"),'MITRE ATT&amp;CK Mappings'!$H843))),ISNUMBER(SEARCH(IF(G$3&lt;&gt;"",G$3,"NA"),'MITRE ATT&amp;CK Mappings'!$I843))),ISNUMBER(SEARCH(IF(G$3&lt;&gt;"",G$3,"NA"),'MITRE ATT&amp;CK Mappings'!$J843))), 'MITRE ATT&amp;CK Mappings'!$B843,"")</f>
        <v/>
      </c>
      <c r="H847" s="27" t="str">
        <f>IF(OR(OR(OR(OR(OR(ISNUMBER(SEARCH(IF(H$1&lt;&gt;"",H$1,"NA"),'MITRE ATT&amp;CK Mappings'!$E843)),ISNUMBER(SEARCH(IF(H$1&lt;&gt;"",H$1,"NA"),'MITRE ATT&amp;CK Mappings'!$F843))),ISNUMBER(SEARCH(IF(H$2&lt;&gt;"",H$2,"NA"),'MITRE ATT&amp;CK Mappings'!$G843))),ISNUMBER(SEARCH(IF(H$2&lt;&gt;"",H$2,"NA"),'MITRE ATT&amp;CK Mappings'!$H843))),ISNUMBER(SEARCH(IF(H$3&lt;&gt;"",H$3,"NA"),'MITRE ATT&amp;CK Mappings'!$I843))),ISNUMBER(SEARCH(IF(H$3&lt;&gt;"",H$3,"NA"),'MITRE ATT&amp;CK Mappings'!$J843))), 'MITRE ATT&amp;CK Mappings'!$B843,"")</f>
        <v/>
      </c>
      <c r="I847" s="27" t="str">
        <f>IF(OR(OR(OR(OR(OR(ISNUMBER(SEARCH(IF(I$1&lt;&gt;"",I$1,"NA"),'MITRE ATT&amp;CK Mappings'!$E843)),ISNUMBER(SEARCH(IF(I$1&lt;&gt;"",I$1,"NA"),'MITRE ATT&amp;CK Mappings'!$F843))),ISNUMBER(SEARCH(IF(I$2&lt;&gt;"",I$2,"NA"),'MITRE ATT&amp;CK Mappings'!$G843))),ISNUMBER(SEARCH(IF(I$2&lt;&gt;"",I$2,"NA"),'MITRE ATT&amp;CK Mappings'!$H843))),ISNUMBER(SEARCH(IF(I$3&lt;&gt;"",I$3,"NA"),'MITRE ATT&amp;CK Mappings'!$I843))),ISNUMBER(SEARCH(IF(I$3&lt;&gt;"",I$3,"NA"),'MITRE ATT&amp;CK Mappings'!$J843))), 'MITRE ATT&amp;CK Mappings'!$B843,"")</f>
        <v/>
      </c>
      <c r="J847" s="27" t="str">
        <f>IF(OR(OR(OR(OR(OR(ISNUMBER(SEARCH(IF(J$1&lt;&gt;"",J$1,"NA"),'MITRE ATT&amp;CK Mappings'!$E843)),ISNUMBER(SEARCH(IF(J$1&lt;&gt;"",J$1,"NA"),'MITRE ATT&amp;CK Mappings'!$F843))),ISNUMBER(SEARCH(IF(J$2&lt;&gt;"",J$2,"NA"),'MITRE ATT&amp;CK Mappings'!$G843))),ISNUMBER(SEARCH(IF(J$2&lt;&gt;"",J$2,"NA"),'MITRE ATT&amp;CK Mappings'!$H843))),ISNUMBER(SEARCH(IF(J$3&lt;&gt;"",J$3,"NA"),'MITRE ATT&amp;CK Mappings'!$I843))),ISNUMBER(SEARCH(IF(J$3&lt;&gt;"",J$3,"NA"),'MITRE ATT&amp;CK Mappings'!$J843))), 'MITRE ATT&amp;CK Mappings'!$B843,"")</f>
        <v/>
      </c>
      <c r="K847" s="27" t="str">
        <f>IF(OR(OR(OR(OR(OR(ISNUMBER(SEARCH(IF(K$1&lt;&gt;"",K$1,"NA"),'MITRE ATT&amp;CK Mappings'!$E843)),ISNUMBER(SEARCH(IF(K$1&lt;&gt;"",K$1,"NA"),'MITRE ATT&amp;CK Mappings'!$F843))),ISNUMBER(SEARCH(IF(K$2&lt;&gt;"",K$2,"NA"),'MITRE ATT&amp;CK Mappings'!$G843))),ISNUMBER(SEARCH(IF(K$2&lt;&gt;"",K$2,"NA"),'MITRE ATT&amp;CK Mappings'!$H843))),ISNUMBER(SEARCH(IF(K$3&lt;&gt;"",K$3,"NA"),'MITRE ATT&amp;CK Mappings'!$I843))),ISNUMBER(SEARCH(IF(K$3&lt;&gt;"",K$3,"NA"),'MITRE ATT&amp;CK Mappings'!$J843))), 'MITRE ATT&amp;CK Mappings'!$B843,"")</f>
        <v/>
      </c>
      <c r="L847" s="27" t="str">
        <f>IF('MITRE ATT&amp;CK Mappings'!D843 &lt;&gt;"",'MITRE ATT&amp;CK Mappings'!D843,"" )</f>
        <v/>
      </c>
    </row>
    <row r="848" spans="1:12" x14ac:dyDescent="0.25">
      <c r="A848" s="26" t="str">
        <f>IF(COUNTIF(B848:K848,"="&amp;'MITRE ATT&amp;CK Mappings'!B844)&gt;0,'MITRE ATT&amp;CK Mappings'!B844,"")</f>
        <v/>
      </c>
      <c r="B848" s="26" t="str">
        <f>IF(OR(OR(OR(OR(OR(ISNUMBER(SEARCH(IF(B$1&lt;&gt;"",B$1,"NA"),'MITRE ATT&amp;CK Mappings'!$E844)),ISNUMBER(SEARCH(IF(B$1&lt;&gt;"",B$1,"NA"),'MITRE ATT&amp;CK Mappings'!$F844))),ISNUMBER(SEARCH(IF(B$2&lt;&gt;"",B$2,"NA"),'MITRE ATT&amp;CK Mappings'!$G844))),ISNUMBER(SEARCH(IF(B$2&lt;&gt;"",B$2,"NA"),'MITRE ATT&amp;CK Mappings'!$H844))),ISNUMBER(SEARCH(IF(B$3&lt;&gt;"",B$3,"NA"),'MITRE ATT&amp;CK Mappings'!$I844))),ISNUMBER(SEARCH(IF(B$3&lt;&gt;"",B$3,"NA"),'MITRE ATT&amp;CK Mappings'!$J844))), 'MITRE ATT&amp;CK Mappings'!$B844,"")</f>
        <v/>
      </c>
      <c r="C848" s="26" t="str">
        <f>IF(OR(OR(OR(OR(OR(ISNUMBER(SEARCH(IF(C$1&lt;&gt;"",C$1,"NA"),'MITRE ATT&amp;CK Mappings'!$E844)),ISNUMBER(SEARCH(IF(C$1&lt;&gt;"",C$1,"NA"),'MITRE ATT&amp;CK Mappings'!$F844))),ISNUMBER(SEARCH(IF(C$2&lt;&gt;"",C$2,"NA"),'MITRE ATT&amp;CK Mappings'!$G844))),ISNUMBER(SEARCH(IF(C$2&lt;&gt;"",C$2,"NA"),'MITRE ATT&amp;CK Mappings'!$H844))),ISNUMBER(SEARCH(IF(C$3&lt;&gt;"",C$3,"NA"),'MITRE ATT&amp;CK Mappings'!$I844))),ISNUMBER(SEARCH(IF(C$3&lt;&gt;"",C$3,"NA"),'MITRE ATT&amp;CK Mappings'!$J844))), 'MITRE ATT&amp;CK Mappings'!$B844,"")</f>
        <v/>
      </c>
      <c r="D848" s="26" t="str">
        <f>IF(OR(OR(OR(OR(OR(ISNUMBER(SEARCH(IF(D$1&lt;&gt;"",D$1,"NA"),'MITRE ATT&amp;CK Mappings'!$E844)),ISNUMBER(SEARCH(IF(D$1&lt;&gt;"",D$1,"NA"),'MITRE ATT&amp;CK Mappings'!$F844))),ISNUMBER(SEARCH(IF(D$2&lt;&gt;"",D$2,"NA"),'MITRE ATT&amp;CK Mappings'!$G844))),ISNUMBER(SEARCH(IF(D$2&lt;&gt;"",D$2,"NA"),'MITRE ATT&amp;CK Mappings'!$H844))),ISNUMBER(SEARCH(IF(D$3&lt;&gt;"",D$3,"NA"),'MITRE ATT&amp;CK Mappings'!$I844))),ISNUMBER(SEARCH(IF(D$3&lt;&gt;"",D$3,"NA"),'MITRE ATT&amp;CK Mappings'!$J844))), 'MITRE ATT&amp;CK Mappings'!$B844,"")</f>
        <v/>
      </c>
      <c r="E848" s="26" t="str">
        <f>IF(OR(OR(OR(OR(OR(ISNUMBER(SEARCH(IF(E$1&lt;&gt;"",E$1,"NA"),'MITRE ATT&amp;CK Mappings'!$E844)),ISNUMBER(SEARCH(IF(E$1&lt;&gt;"",E$1,"NA"),'MITRE ATT&amp;CK Mappings'!$F844))),ISNUMBER(SEARCH(IF(E$2&lt;&gt;"",E$2,"NA"),'MITRE ATT&amp;CK Mappings'!$G844))),ISNUMBER(SEARCH(IF(E$2&lt;&gt;"",E$2,"NA"),'MITRE ATT&amp;CK Mappings'!$H844))),ISNUMBER(SEARCH(IF(E$3&lt;&gt;"",E$3,"NA"),'MITRE ATT&amp;CK Mappings'!$I844))),ISNUMBER(SEARCH(IF(E$3&lt;&gt;"",E$3,"NA"),'MITRE ATT&amp;CK Mappings'!$J844))), 'MITRE ATT&amp;CK Mappings'!$B844,"")</f>
        <v/>
      </c>
      <c r="F848" s="26" t="str">
        <f>IF(OR(OR(OR(OR(OR(ISNUMBER(SEARCH(IF(F$1&lt;&gt;"",F$1,"NA"),'MITRE ATT&amp;CK Mappings'!$E844)),ISNUMBER(SEARCH(IF(F$1&lt;&gt;"",F$1,"NA"),'MITRE ATT&amp;CK Mappings'!$F844))),ISNUMBER(SEARCH(IF(F$2&lt;&gt;"",F$2,"NA"),'MITRE ATT&amp;CK Mappings'!$G844))),ISNUMBER(SEARCH(IF(F$2&lt;&gt;"",F$2,"NA"),'MITRE ATT&amp;CK Mappings'!$H844))),ISNUMBER(SEARCH(IF(F$3&lt;&gt;"",F$3,"NA"),'MITRE ATT&amp;CK Mappings'!$I844))),ISNUMBER(SEARCH(IF(F$3&lt;&gt;"",F$3,"NA"),'MITRE ATT&amp;CK Mappings'!$J844))), 'MITRE ATT&amp;CK Mappings'!$B844,"")</f>
        <v/>
      </c>
      <c r="G848" s="26" t="str">
        <f>IF(OR(OR(OR(OR(OR(ISNUMBER(SEARCH(IF(G$1&lt;&gt;"",G$1,"NA"),'MITRE ATT&amp;CK Mappings'!$E844)),ISNUMBER(SEARCH(IF(G$1&lt;&gt;"",G$1,"NA"),'MITRE ATT&amp;CK Mappings'!$F844))),ISNUMBER(SEARCH(IF(G$2&lt;&gt;"",G$2,"NA"),'MITRE ATT&amp;CK Mappings'!$G844))),ISNUMBER(SEARCH(IF(G$2&lt;&gt;"",G$2,"NA"),'MITRE ATT&amp;CK Mappings'!$H844))),ISNUMBER(SEARCH(IF(G$3&lt;&gt;"",G$3,"NA"),'MITRE ATT&amp;CK Mappings'!$I844))),ISNUMBER(SEARCH(IF(G$3&lt;&gt;"",G$3,"NA"),'MITRE ATT&amp;CK Mappings'!$J844))), 'MITRE ATT&amp;CK Mappings'!$B844,"")</f>
        <v/>
      </c>
      <c r="H848" s="26" t="str">
        <f>IF(OR(OR(OR(OR(OR(ISNUMBER(SEARCH(IF(H$1&lt;&gt;"",H$1,"NA"),'MITRE ATT&amp;CK Mappings'!$E844)),ISNUMBER(SEARCH(IF(H$1&lt;&gt;"",H$1,"NA"),'MITRE ATT&amp;CK Mappings'!$F844))),ISNUMBER(SEARCH(IF(H$2&lt;&gt;"",H$2,"NA"),'MITRE ATT&amp;CK Mappings'!$G844))),ISNUMBER(SEARCH(IF(H$2&lt;&gt;"",H$2,"NA"),'MITRE ATT&amp;CK Mappings'!$H844))),ISNUMBER(SEARCH(IF(H$3&lt;&gt;"",H$3,"NA"),'MITRE ATT&amp;CK Mappings'!$I844))),ISNUMBER(SEARCH(IF(H$3&lt;&gt;"",H$3,"NA"),'MITRE ATT&amp;CK Mappings'!$J844))), 'MITRE ATT&amp;CK Mappings'!$B844,"")</f>
        <v/>
      </c>
      <c r="I848" s="26" t="str">
        <f>IF(OR(OR(OR(OR(OR(ISNUMBER(SEARCH(IF(I$1&lt;&gt;"",I$1,"NA"),'MITRE ATT&amp;CK Mappings'!$E844)),ISNUMBER(SEARCH(IF(I$1&lt;&gt;"",I$1,"NA"),'MITRE ATT&amp;CK Mappings'!$F844))),ISNUMBER(SEARCH(IF(I$2&lt;&gt;"",I$2,"NA"),'MITRE ATT&amp;CK Mappings'!$G844))),ISNUMBER(SEARCH(IF(I$2&lt;&gt;"",I$2,"NA"),'MITRE ATT&amp;CK Mappings'!$H844))),ISNUMBER(SEARCH(IF(I$3&lt;&gt;"",I$3,"NA"),'MITRE ATT&amp;CK Mappings'!$I844))),ISNUMBER(SEARCH(IF(I$3&lt;&gt;"",I$3,"NA"),'MITRE ATT&amp;CK Mappings'!$J844))), 'MITRE ATT&amp;CK Mappings'!$B844,"")</f>
        <v/>
      </c>
      <c r="J848" s="26" t="str">
        <f>IF(OR(OR(OR(OR(OR(ISNUMBER(SEARCH(IF(J$1&lt;&gt;"",J$1,"NA"),'MITRE ATT&amp;CK Mappings'!$E844)),ISNUMBER(SEARCH(IF(J$1&lt;&gt;"",J$1,"NA"),'MITRE ATT&amp;CK Mappings'!$F844))),ISNUMBER(SEARCH(IF(J$2&lt;&gt;"",J$2,"NA"),'MITRE ATT&amp;CK Mappings'!$G844))),ISNUMBER(SEARCH(IF(J$2&lt;&gt;"",J$2,"NA"),'MITRE ATT&amp;CK Mappings'!$H844))),ISNUMBER(SEARCH(IF(J$3&lt;&gt;"",J$3,"NA"),'MITRE ATT&amp;CK Mappings'!$I844))),ISNUMBER(SEARCH(IF(J$3&lt;&gt;"",J$3,"NA"),'MITRE ATT&amp;CK Mappings'!$J844))), 'MITRE ATT&amp;CK Mappings'!$B844,"")</f>
        <v/>
      </c>
      <c r="K848" s="26" t="str">
        <f>IF(OR(OR(OR(OR(OR(ISNUMBER(SEARCH(IF(K$1&lt;&gt;"",K$1,"NA"),'MITRE ATT&amp;CK Mappings'!$E844)),ISNUMBER(SEARCH(IF(K$1&lt;&gt;"",K$1,"NA"),'MITRE ATT&amp;CK Mappings'!$F844))),ISNUMBER(SEARCH(IF(K$2&lt;&gt;"",K$2,"NA"),'MITRE ATT&amp;CK Mappings'!$G844))),ISNUMBER(SEARCH(IF(K$2&lt;&gt;"",K$2,"NA"),'MITRE ATT&amp;CK Mappings'!$H844))),ISNUMBER(SEARCH(IF(K$3&lt;&gt;"",K$3,"NA"),'MITRE ATT&amp;CK Mappings'!$I844))),ISNUMBER(SEARCH(IF(K$3&lt;&gt;"",K$3,"NA"),'MITRE ATT&amp;CK Mappings'!$J844))), 'MITRE ATT&amp;CK Mappings'!$B844,"")</f>
        <v/>
      </c>
      <c r="L848" s="26" t="str">
        <f>IF('MITRE ATT&amp;CK Mappings'!D844 &lt;&gt;"",'MITRE ATT&amp;CK Mappings'!D844,"" )</f>
        <v/>
      </c>
    </row>
    <row r="849" spans="1:12" x14ac:dyDescent="0.25">
      <c r="A849" s="27" t="str">
        <f>IF(COUNTIF(B849:K849,"="&amp;'MITRE ATT&amp;CK Mappings'!B845)&gt;0,'MITRE ATT&amp;CK Mappings'!B845,"")</f>
        <v/>
      </c>
      <c r="B849" s="27" t="str">
        <f>IF(OR(OR(OR(OR(OR(ISNUMBER(SEARCH(IF(B$1&lt;&gt;"",B$1,"NA"),'MITRE ATT&amp;CK Mappings'!$E845)),ISNUMBER(SEARCH(IF(B$1&lt;&gt;"",B$1,"NA"),'MITRE ATT&amp;CK Mappings'!$F845))),ISNUMBER(SEARCH(IF(B$2&lt;&gt;"",B$2,"NA"),'MITRE ATT&amp;CK Mappings'!$G845))),ISNUMBER(SEARCH(IF(B$2&lt;&gt;"",B$2,"NA"),'MITRE ATT&amp;CK Mappings'!$H845))),ISNUMBER(SEARCH(IF(B$3&lt;&gt;"",B$3,"NA"),'MITRE ATT&amp;CK Mappings'!$I845))),ISNUMBER(SEARCH(IF(B$3&lt;&gt;"",B$3,"NA"),'MITRE ATT&amp;CK Mappings'!$J845))), 'MITRE ATT&amp;CK Mappings'!$B845,"")</f>
        <v/>
      </c>
      <c r="C849" s="27" t="str">
        <f>IF(OR(OR(OR(OR(OR(ISNUMBER(SEARCH(IF(C$1&lt;&gt;"",C$1,"NA"),'MITRE ATT&amp;CK Mappings'!$E845)),ISNUMBER(SEARCH(IF(C$1&lt;&gt;"",C$1,"NA"),'MITRE ATT&amp;CK Mappings'!$F845))),ISNUMBER(SEARCH(IF(C$2&lt;&gt;"",C$2,"NA"),'MITRE ATT&amp;CK Mappings'!$G845))),ISNUMBER(SEARCH(IF(C$2&lt;&gt;"",C$2,"NA"),'MITRE ATT&amp;CK Mappings'!$H845))),ISNUMBER(SEARCH(IF(C$3&lt;&gt;"",C$3,"NA"),'MITRE ATT&amp;CK Mappings'!$I845))),ISNUMBER(SEARCH(IF(C$3&lt;&gt;"",C$3,"NA"),'MITRE ATT&amp;CK Mappings'!$J845))), 'MITRE ATT&amp;CK Mappings'!$B845,"")</f>
        <v/>
      </c>
      <c r="D849" s="27" t="str">
        <f>IF(OR(OR(OR(OR(OR(ISNUMBER(SEARCH(IF(D$1&lt;&gt;"",D$1,"NA"),'MITRE ATT&amp;CK Mappings'!$E845)),ISNUMBER(SEARCH(IF(D$1&lt;&gt;"",D$1,"NA"),'MITRE ATT&amp;CK Mappings'!$F845))),ISNUMBER(SEARCH(IF(D$2&lt;&gt;"",D$2,"NA"),'MITRE ATT&amp;CK Mappings'!$G845))),ISNUMBER(SEARCH(IF(D$2&lt;&gt;"",D$2,"NA"),'MITRE ATT&amp;CK Mappings'!$H845))),ISNUMBER(SEARCH(IF(D$3&lt;&gt;"",D$3,"NA"),'MITRE ATT&amp;CK Mappings'!$I845))),ISNUMBER(SEARCH(IF(D$3&lt;&gt;"",D$3,"NA"),'MITRE ATT&amp;CK Mappings'!$J845))), 'MITRE ATT&amp;CK Mappings'!$B845,"")</f>
        <v/>
      </c>
      <c r="E849" s="27" t="str">
        <f>IF(OR(OR(OR(OR(OR(ISNUMBER(SEARCH(IF(E$1&lt;&gt;"",E$1,"NA"),'MITRE ATT&amp;CK Mappings'!$E845)),ISNUMBER(SEARCH(IF(E$1&lt;&gt;"",E$1,"NA"),'MITRE ATT&amp;CK Mappings'!$F845))),ISNUMBER(SEARCH(IF(E$2&lt;&gt;"",E$2,"NA"),'MITRE ATT&amp;CK Mappings'!$G845))),ISNUMBER(SEARCH(IF(E$2&lt;&gt;"",E$2,"NA"),'MITRE ATT&amp;CK Mappings'!$H845))),ISNUMBER(SEARCH(IF(E$3&lt;&gt;"",E$3,"NA"),'MITRE ATT&amp;CK Mappings'!$I845))),ISNUMBER(SEARCH(IF(E$3&lt;&gt;"",E$3,"NA"),'MITRE ATT&amp;CK Mappings'!$J845))), 'MITRE ATT&amp;CK Mappings'!$B845,"")</f>
        <v/>
      </c>
      <c r="F849" s="27" t="str">
        <f>IF(OR(OR(OR(OR(OR(ISNUMBER(SEARCH(IF(F$1&lt;&gt;"",F$1,"NA"),'MITRE ATT&amp;CK Mappings'!$E845)),ISNUMBER(SEARCH(IF(F$1&lt;&gt;"",F$1,"NA"),'MITRE ATT&amp;CK Mappings'!$F845))),ISNUMBER(SEARCH(IF(F$2&lt;&gt;"",F$2,"NA"),'MITRE ATT&amp;CK Mappings'!$G845))),ISNUMBER(SEARCH(IF(F$2&lt;&gt;"",F$2,"NA"),'MITRE ATT&amp;CK Mappings'!$H845))),ISNUMBER(SEARCH(IF(F$3&lt;&gt;"",F$3,"NA"),'MITRE ATT&amp;CK Mappings'!$I845))),ISNUMBER(SEARCH(IF(F$3&lt;&gt;"",F$3,"NA"),'MITRE ATT&amp;CK Mappings'!$J845))), 'MITRE ATT&amp;CK Mappings'!$B845,"")</f>
        <v/>
      </c>
      <c r="G849" s="27" t="str">
        <f>IF(OR(OR(OR(OR(OR(ISNUMBER(SEARCH(IF(G$1&lt;&gt;"",G$1,"NA"),'MITRE ATT&amp;CK Mappings'!$E845)),ISNUMBER(SEARCH(IF(G$1&lt;&gt;"",G$1,"NA"),'MITRE ATT&amp;CK Mappings'!$F845))),ISNUMBER(SEARCH(IF(G$2&lt;&gt;"",G$2,"NA"),'MITRE ATT&amp;CK Mappings'!$G845))),ISNUMBER(SEARCH(IF(G$2&lt;&gt;"",G$2,"NA"),'MITRE ATT&amp;CK Mappings'!$H845))),ISNUMBER(SEARCH(IF(G$3&lt;&gt;"",G$3,"NA"),'MITRE ATT&amp;CK Mappings'!$I845))),ISNUMBER(SEARCH(IF(G$3&lt;&gt;"",G$3,"NA"),'MITRE ATT&amp;CK Mappings'!$J845))), 'MITRE ATT&amp;CK Mappings'!$B845,"")</f>
        <v/>
      </c>
      <c r="H849" s="27" t="str">
        <f>IF(OR(OR(OR(OR(OR(ISNUMBER(SEARCH(IF(H$1&lt;&gt;"",H$1,"NA"),'MITRE ATT&amp;CK Mappings'!$E845)),ISNUMBER(SEARCH(IF(H$1&lt;&gt;"",H$1,"NA"),'MITRE ATT&amp;CK Mappings'!$F845))),ISNUMBER(SEARCH(IF(H$2&lt;&gt;"",H$2,"NA"),'MITRE ATT&amp;CK Mappings'!$G845))),ISNUMBER(SEARCH(IF(H$2&lt;&gt;"",H$2,"NA"),'MITRE ATT&amp;CK Mappings'!$H845))),ISNUMBER(SEARCH(IF(H$3&lt;&gt;"",H$3,"NA"),'MITRE ATT&amp;CK Mappings'!$I845))),ISNUMBER(SEARCH(IF(H$3&lt;&gt;"",H$3,"NA"),'MITRE ATT&amp;CK Mappings'!$J845))), 'MITRE ATT&amp;CK Mappings'!$B845,"")</f>
        <v/>
      </c>
      <c r="I849" s="27" t="str">
        <f>IF(OR(OR(OR(OR(OR(ISNUMBER(SEARCH(IF(I$1&lt;&gt;"",I$1,"NA"),'MITRE ATT&amp;CK Mappings'!$E845)),ISNUMBER(SEARCH(IF(I$1&lt;&gt;"",I$1,"NA"),'MITRE ATT&amp;CK Mappings'!$F845))),ISNUMBER(SEARCH(IF(I$2&lt;&gt;"",I$2,"NA"),'MITRE ATT&amp;CK Mappings'!$G845))),ISNUMBER(SEARCH(IF(I$2&lt;&gt;"",I$2,"NA"),'MITRE ATT&amp;CK Mappings'!$H845))),ISNUMBER(SEARCH(IF(I$3&lt;&gt;"",I$3,"NA"),'MITRE ATT&amp;CK Mappings'!$I845))),ISNUMBER(SEARCH(IF(I$3&lt;&gt;"",I$3,"NA"),'MITRE ATT&amp;CK Mappings'!$J845))), 'MITRE ATT&amp;CK Mappings'!$B845,"")</f>
        <v/>
      </c>
      <c r="J849" s="27" t="str">
        <f>IF(OR(OR(OR(OR(OR(ISNUMBER(SEARCH(IF(J$1&lt;&gt;"",J$1,"NA"),'MITRE ATT&amp;CK Mappings'!$E845)),ISNUMBER(SEARCH(IF(J$1&lt;&gt;"",J$1,"NA"),'MITRE ATT&amp;CK Mappings'!$F845))),ISNUMBER(SEARCH(IF(J$2&lt;&gt;"",J$2,"NA"),'MITRE ATT&amp;CK Mappings'!$G845))),ISNUMBER(SEARCH(IF(J$2&lt;&gt;"",J$2,"NA"),'MITRE ATT&amp;CK Mappings'!$H845))),ISNUMBER(SEARCH(IF(J$3&lt;&gt;"",J$3,"NA"),'MITRE ATT&amp;CK Mappings'!$I845))),ISNUMBER(SEARCH(IF(J$3&lt;&gt;"",J$3,"NA"),'MITRE ATT&amp;CK Mappings'!$J845))), 'MITRE ATT&amp;CK Mappings'!$B845,"")</f>
        <v/>
      </c>
      <c r="K849" s="27" t="str">
        <f>IF(OR(OR(OR(OR(OR(ISNUMBER(SEARCH(IF(K$1&lt;&gt;"",K$1,"NA"),'MITRE ATT&amp;CK Mappings'!$E845)),ISNUMBER(SEARCH(IF(K$1&lt;&gt;"",K$1,"NA"),'MITRE ATT&amp;CK Mappings'!$F845))),ISNUMBER(SEARCH(IF(K$2&lt;&gt;"",K$2,"NA"),'MITRE ATT&amp;CK Mappings'!$G845))),ISNUMBER(SEARCH(IF(K$2&lt;&gt;"",K$2,"NA"),'MITRE ATT&amp;CK Mappings'!$H845))),ISNUMBER(SEARCH(IF(K$3&lt;&gt;"",K$3,"NA"),'MITRE ATT&amp;CK Mappings'!$I845))),ISNUMBER(SEARCH(IF(K$3&lt;&gt;"",K$3,"NA"),'MITRE ATT&amp;CK Mappings'!$J845))), 'MITRE ATT&amp;CK Mappings'!$B845,"")</f>
        <v/>
      </c>
      <c r="L849" s="27" t="str">
        <f>IF('MITRE ATT&amp;CK Mappings'!D845 &lt;&gt;"",'MITRE ATT&amp;CK Mappings'!D845,"" )</f>
        <v/>
      </c>
    </row>
    <row r="850" spans="1:12" x14ac:dyDescent="0.25">
      <c r="A850" s="26" t="str">
        <f>IF(COUNTIF(B850:K850,"="&amp;'MITRE ATT&amp;CK Mappings'!B846)&gt;0,'MITRE ATT&amp;CK Mappings'!B846,"")</f>
        <v/>
      </c>
      <c r="B850" s="26" t="str">
        <f>IF(OR(OR(OR(OR(OR(ISNUMBER(SEARCH(IF(B$1&lt;&gt;"",B$1,"NA"),'MITRE ATT&amp;CK Mappings'!$E846)),ISNUMBER(SEARCH(IF(B$1&lt;&gt;"",B$1,"NA"),'MITRE ATT&amp;CK Mappings'!$F846))),ISNUMBER(SEARCH(IF(B$2&lt;&gt;"",B$2,"NA"),'MITRE ATT&amp;CK Mappings'!$G846))),ISNUMBER(SEARCH(IF(B$2&lt;&gt;"",B$2,"NA"),'MITRE ATT&amp;CK Mappings'!$H846))),ISNUMBER(SEARCH(IF(B$3&lt;&gt;"",B$3,"NA"),'MITRE ATT&amp;CK Mappings'!$I846))),ISNUMBER(SEARCH(IF(B$3&lt;&gt;"",B$3,"NA"),'MITRE ATT&amp;CK Mappings'!$J846))), 'MITRE ATT&amp;CK Mappings'!$B846,"")</f>
        <v/>
      </c>
      <c r="C850" s="26" t="str">
        <f>IF(OR(OR(OR(OR(OR(ISNUMBER(SEARCH(IF(C$1&lt;&gt;"",C$1,"NA"),'MITRE ATT&amp;CK Mappings'!$E846)),ISNUMBER(SEARCH(IF(C$1&lt;&gt;"",C$1,"NA"),'MITRE ATT&amp;CK Mappings'!$F846))),ISNUMBER(SEARCH(IF(C$2&lt;&gt;"",C$2,"NA"),'MITRE ATT&amp;CK Mappings'!$G846))),ISNUMBER(SEARCH(IF(C$2&lt;&gt;"",C$2,"NA"),'MITRE ATT&amp;CK Mappings'!$H846))),ISNUMBER(SEARCH(IF(C$3&lt;&gt;"",C$3,"NA"),'MITRE ATT&amp;CK Mappings'!$I846))),ISNUMBER(SEARCH(IF(C$3&lt;&gt;"",C$3,"NA"),'MITRE ATT&amp;CK Mappings'!$J846))), 'MITRE ATT&amp;CK Mappings'!$B846,"")</f>
        <v/>
      </c>
      <c r="D850" s="26" t="str">
        <f>IF(OR(OR(OR(OR(OR(ISNUMBER(SEARCH(IF(D$1&lt;&gt;"",D$1,"NA"),'MITRE ATT&amp;CK Mappings'!$E846)),ISNUMBER(SEARCH(IF(D$1&lt;&gt;"",D$1,"NA"),'MITRE ATT&amp;CK Mappings'!$F846))),ISNUMBER(SEARCH(IF(D$2&lt;&gt;"",D$2,"NA"),'MITRE ATT&amp;CK Mappings'!$G846))),ISNUMBER(SEARCH(IF(D$2&lt;&gt;"",D$2,"NA"),'MITRE ATT&amp;CK Mappings'!$H846))),ISNUMBER(SEARCH(IF(D$3&lt;&gt;"",D$3,"NA"),'MITRE ATT&amp;CK Mappings'!$I846))),ISNUMBER(SEARCH(IF(D$3&lt;&gt;"",D$3,"NA"),'MITRE ATT&amp;CK Mappings'!$J846))), 'MITRE ATT&amp;CK Mappings'!$B846,"")</f>
        <v/>
      </c>
      <c r="E850" s="26" t="str">
        <f>IF(OR(OR(OR(OR(OR(ISNUMBER(SEARCH(IF(E$1&lt;&gt;"",E$1,"NA"),'MITRE ATT&amp;CK Mappings'!$E846)),ISNUMBER(SEARCH(IF(E$1&lt;&gt;"",E$1,"NA"),'MITRE ATT&amp;CK Mappings'!$F846))),ISNUMBER(SEARCH(IF(E$2&lt;&gt;"",E$2,"NA"),'MITRE ATT&amp;CK Mappings'!$G846))),ISNUMBER(SEARCH(IF(E$2&lt;&gt;"",E$2,"NA"),'MITRE ATT&amp;CK Mappings'!$H846))),ISNUMBER(SEARCH(IF(E$3&lt;&gt;"",E$3,"NA"),'MITRE ATT&amp;CK Mappings'!$I846))),ISNUMBER(SEARCH(IF(E$3&lt;&gt;"",E$3,"NA"),'MITRE ATT&amp;CK Mappings'!$J846))), 'MITRE ATT&amp;CK Mappings'!$B846,"")</f>
        <v/>
      </c>
      <c r="F850" s="26" t="str">
        <f>IF(OR(OR(OR(OR(OR(ISNUMBER(SEARCH(IF(F$1&lt;&gt;"",F$1,"NA"),'MITRE ATT&amp;CK Mappings'!$E846)),ISNUMBER(SEARCH(IF(F$1&lt;&gt;"",F$1,"NA"),'MITRE ATT&amp;CK Mappings'!$F846))),ISNUMBER(SEARCH(IF(F$2&lt;&gt;"",F$2,"NA"),'MITRE ATT&amp;CK Mappings'!$G846))),ISNUMBER(SEARCH(IF(F$2&lt;&gt;"",F$2,"NA"),'MITRE ATT&amp;CK Mappings'!$H846))),ISNUMBER(SEARCH(IF(F$3&lt;&gt;"",F$3,"NA"),'MITRE ATT&amp;CK Mappings'!$I846))),ISNUMBER(SEARCH(IF(F$3&lt;&gt;"",F$3,"NA"),'MITRE ATT&amp;CK Mappings'!$J846))), 'MITRE ATT&amp;CK Mappings'!$B846,"")</f>
        <v/>
      </c>
      <c r="G850" s="26" t="str">
        <f>IF(OR(OR(OR(OR(OR(ISNUMBER(SEARCH(IF(G$1&lt;&gt;"",G$1,"NA"),'MITRE ATT&amp;CK Mappings'!$E846)),ISNUMBER(SEARCH(IF(G$1&lt;&gt;"",G$1,"NA"),'MITRE ATT&amp;CK Mappings'!$F846))),ISNUMBER(SEARCH(IF(G$2&lt;&gt;"",G$2,"NA"),'MITRE ATT&amp;CK Mappings'!$G846))),ISNUMBER(SEARCH(IF(G$2&lt;&gt;"",G$2,"NA"),'MITRE ATT&amp;CK Mappings'!$H846))),ISNUMBER(SEARCH(IF(G$3&lt;&gt;"",G$3,"NA"),'MITRE ATT&amp;CK Mappings'!$I846))),ISNUMBER(SEARCH(IF(G$3&lt;&gt;"",G$3,"NA"),'MITRE ATT&amp;CK Mappings'!$J846))), 'MITRE ATT&amp;CK Mappings'!$B846,"")</f>
        <v/>
      </c>
      <c r="H850" s="26" t="str">
        <f>IF(OR(OR(OR(OR(OR(ISNUMBER(SEARCH(IF(H$1&lt;&gt;"",H$1,"NA"),'MITRE ATT&amp;CK Mappings'!$E846)),ISNUMBER(SEARCH(IF(H$1&lt;&gt;"",H$1,"NA"),'MITRE ATT&amp;CK Mappings'!$F846))),ISNUMBER(SEARCH(IF(H$2&lt;&gt;"",H$2,"NA"),'MITRE ATT&amp;CK Mappings'!$G846))),ISNUMBER(SEARCH(IF(H$2&lt;&gt;"",H$2,"NA"),'MITRE ATT&amp;CK Mappings'!$H846))),ISNUMBER(SEARCH(IF(H$3&lt;&gt;"",H$3,"NA"),'MITRE ATT&amp;CK Mappings'!$I846))),ISNUMBER(SEARCH(IF(H$3&lt;&gt;"",H$3,"NA"),'MITRE ATT&amp;CK Mappings'!$J846))), 'MITRE ATT&amp;CK Mappings'!$B846,"")</f>
        <v/>
      </c>
      <c r="I850" s="26" t="str">
        <f>IF(OR(OR(OR(OR(OR(ISNUMBER(SEARCH(IF(I$1&lt;&gt;"",I$1,"NA"),'MITRE ATT&amp;CK Mappings'!$E846)),ISNUMBER(SEARCH(IF(I$1&lt;&gt;"",I$1,"NA"),'MITRE ATT&amp;CK Mappings'!$F846))),ISNUMBER(SEARCH(IF(I$2&lt;&gt;"",I$2,"NA"),'MITRE ATT&amp;CK Mappings'!$G846))),ISNUMBER(SEARCH(IF(I$2&lt;&gt;"",I$2,"NA"),'MITRE ATT&amp;CK Mappings'!$H846))),ISNUMBER(SEARCH(IF(I$3&lt;&gt;"",I$3,"NA"),'MITRE ATT&amp;CK Mappings'!$I846))),ISNUMBER(SEARCH(IF(I$3&lt;&gt;"",I$3,"NA"),'MITRE ATT&amp;CK Mappings'!$J846))), 'MITRE ATT&amp;CK Mappings'!$B846,"")</f>
        <v/>
      </c>
      <c r="J850" s="26" t="str">
        <f>IF(OR(OR(OR(OR(OR(ISNUMBER(SEARCH(IF(J$1&lt;&gt;"",J$1,"NA"),'MITRE ATT&amp;CK Mappings'!$E846)),ISNUMBER(SEARCH(IF(J$1&lt;&gt;"",J$1,"NA"),'MITRE ATT&amp;CK Mappings'!$F846))),ISNUMBER(SEARCH(IF(J$2&lt;&gt;"",J$2,"NA"),'MITRE ATT&amp;CK Mappings'!$G846))),ISNUMBER(SEARCH(IF(J$2&lt;&gt;"",J$2,"NA"),'MITRE ATT&amp;CK Mappings'!$H846))),ISNUMBER(SEARCH(IF(J$3&lt;&gt;"",J$3,"NA"),'MITRE ATT&amp;CK Mappings'!$I846))),ISNUMBER(SEARCH(IF(J$3&lt;&gt;"",J$3,"NA"),'MITRE ATT&amp;CK Mappings'!$J846))), 'MITRE ATT&amp;CK Mappings'!$B846,"")</f>
        <v/>
      </c>
      <c r="K850" s="26" t="str">
        <f>IF(OR(OR(OR(OR(OR(ISNUMBER(SEARCH(IF(K$1&lt;&gt;"",K$1,"NA"),'MITRE ATT&amp;CK Mappings'!$E846)),ISNUMBER(SEARCH(IF(K$1&lt;&gt;"",K$1,"NA"),'MITRE ATT&amp;CK Mappings'!$F846))),ISNUMBER(SEARCH(IF(K$2&lt;&gt;"",K$2,"NA"),'MITRE ATT&amp;CK Mappings'!$G846))),ISNUMBER(SEARCH(IF(K$2&lt;&gt;"",K$2,"NA"),'MITRE ATT&amp;CK Mappings'!$H846))),ISNUMBER(SEARCH(IF(K$3&lt;&gt;"",K$3,"NA"),'MITRE ATT&amp;CK Mappings'!$I846))),ISNUMBER(SEARCH(IF(K$3&lt;&gt;"",K$3,"NA"),'MITRE ATT&amp;CK Mappings'!$J846))), 'MITRE ATT&amp;CK Mappings'!$B846,"")</f>
        <v/>
      </c>
      <c r="L850" s="26" t="str">
        <f>IF('MITRE ATT&amp;CK Mappings'!D846 &lt;&gt;"",'MITRE ATT&amp;CK Mappings'!D846,"" )</f>
        <v/>
      </c>
    </row>
    <row r="851" spans="1:12" x14ac:dyDescent="0.25">
      <c r="A851" s="27" t="str">
        <f>IF(COUNTIF(B851:K851,"="&amp;'MITRE ATT&amp;CK Mappings'!B847)&gt;0,'MITRE ATT&amp;CK Mappings'!B847,"")</f>
        <v/>
      </c>
      <c r="B851" s="27" t="str">
        <f>IF(OR(OR(OR(OR(OR(ISNUMBER(SEARCH(IF(B$1&lt;&gt;"",B$1,"NA"),'MITRE ATT&amp;CK Mappings'!$E847)),ISNUMBER(SEARCH(IF(B$1&lt;&gt;"",B$1,"NA"),'MITRE ATT&amp;CK Mappings'!$F847))),ISNUMBER(SEARCH(IF(B$2&lt;&gt;"",B$2,"NA"),'MITRE ATT&amp;CK Mappings'!$G847))),ISNUMBER(SEARCH(IF(B$2&lt;&gt;"",B$2,"NA"),'MITRE ATT&amp;CK Mappings'!$H847))),ISNUMBER(SEARCH(IF(B$3&lt;&gt;"",B$3,"NA"),'MITRE ATT&amp;CK Mappings'!$I847))),ISNUMBER(SEARCH(IF(B$3&lt;&gt;"",B$3,"NA"),'MITRE ATT&amp;CK Mappings'!$J847))), 'MITRE ATT&amp;CK Mappings'!$B847,"")</f>
        <v/>
      </c>
      <c r="C851" s="27" t="str">
        <f>IF(OR(OR(OR(OR(OR(ISNUMBER(SEARCH(IF(C$1&lt;&gt;"",C$1,"NA"),'MITRE ATT&amp;CK Mappings'!$E847)),ISNUMBER(SEARCH(IF(C$1&lt;&gt;"",C$1,"NA"),'MITRE ATT&amp;CK Mappings'!$F847))),ISNUMBER(SEARCH(IF(C$2&lt;&gt;"",C$2,"NA"),'MITRE ATT&amp;CK Mappings'!$G847))),ISNUMBER(SEARCH(IF(C$2&lt;&gt;"",C$2,"NA"),'MITRE ATT&amp;CK Mappings'!$H847))),ISNUMBER(SEARCH(IF(C$3&lt;&gt;"",C$3,"NA"),'MITRE ATT&amp;CK Mappings'!$I847))),ISNUMBER(SEARCH(IF(C$3&lt;&gt;"",C$3,"NA"),'MITRE ATT&amp;CK Mappings'!$J847))), 'MITRE ATT&amp;CK Mappings'!$B847,"")</f>
        <v/>
      </c>
      <c r="D851" s="27" t="str">
        <f>IF(OR(OR(OR(OR(OR(ISNUMBER(SEARCH(IF(D$1&lt;&gt;"",D$1,"NA"),'MITRE ATT&amp;CK Mappings'!$E847)),ISNUMBER(SEARCH(IF(D$1&lt;&gt;"",D$1,"NA"),'MITRE ATT&amp;CK Mappings'!$F847))),ISNUMBER(SEARCH(IF(D$2&lt;&gt;"",D$2,"NA"),'MITRE ATT&amp;CK Mappings'!$G847))),ISNUMBER(SEARCH(IF(D$2&lt;&gt;"",D$2,"NA"),'MITRE ATT&amp;CK Mappings'!$H847))),ISNUMBER(SEARCH(IF(D$3&lt;&gt;"",D$3,"NA"),'MITRE ATT&amp;CK Mappings'!$I847))),ISNUMBER(SEARCH(IF(D$3&lt;&gt;"",D$3,"NA"),'MITRE ATT&amp;CK Mappings'!$J847))), 'MITRE ATT&amp;CK Mappings'!$B847,"")</f>
        <v/>
      </c>
      <c r="E851" s="27" t="str">
        <f>IF(OR(OR(OR(OR(OR(ISNUMBER(SEARCH(IF(E$1&lt;&gt;"",E$1,"NA"),'MITRE ATT&amp;CK Mappings'!$E847)),ISNUMBER(SEARCH(IF(E$1&lt;&gt;"",E$1,"NA"),'MITRE ATT&amp;CK Mappings'!$F847))),ISNUMBER(SEARCH(IF(E$2&lt;&gt;"",E$2,"NA"),'MITRE ATT&amp;CK Mappings'!$G847))),ISNUMBER(SEARCH(IF(E$2&lt;&gt;"",E$2,"NA"),'MITRE ATT&amp;CK Mappings'!$H847))),ISNUMBER(SEARCH(IF(E$3&lt;&gt;"",E$3,"NA"),'MITRE ATT&amp;CK Mappings'!$I847))),ISNUMBER(SEARCH(IF(E$3&lt;&gt;"",E$3,"NA"),'MITRE ATT&amp;CK Mappings'!$J847))), 'MITRE ATT&amp;CK Mappings'!$B847,"")</f>
        <v/>
      </c>
      <c r="F851" s="27" t="str">
        <f>IF(OR(OR(OR(OR(OR(ISNUMBER(SEARCH(IF(F$1&lt;&gt;"",F$1,"NA"),'MITRE ATT&amp;CK Mappings'!$E847)),ISNUMBER(SEARCH(IF(F$1&lt;&gt;"",F$1,"NA"),'MITRE ATT&amp;CK Mappings'!$F847))),ISNUMBER(SEARCH(IF(F$2&lt;&gt;"",F$2,"NA"),'MITRE ATT&amp;CK Mappings'!$G847))),ISNUMBER(SEARCH(IF(F$2&lt;&gt;"",F$2,"NA"),'MITRE ATT&amp;CK Mappings'!$H847))),ISNUMBER(SEARCH(IF(F$3&lt;&gt;"",F$3,"NA"),'MITRE ATT&amp;CK Mappings'!$I847))),ISNUMBER(SEARCH(IF(F$3&lt;&gt;"",F$3,"NA"),'MITRE ATT&amp;CK Mappings'!$J847))), 'MITRE ATT&amp;CK Mappings'!$B847,"")</f>
        <v/>
      </c>
      <c r="G851" s="27" t="str">
        <f>IF(OR(OR(OR(OR(OR(ISNUMBER(SEARCH(IF(G$1&lt;&gt;"",G$1,"NA"),'MITRE ATT&amp;CK Mappings'!$E847)),ISNUMBER(SEARCH(IF(G$1&lt;&gt;"",G$1,"NA"),'MITRE ATT&amp;CK Mappings'!$F847))),ISNUMBER(SEARCH(IF(G$2&lt;&gt;"",G$2,"NA"),'MITRE ATT&amp;CK Mappings'!$G847))),ISNUMBER(SEARCH(IF(G$2&lt;&gt;"",G$2,"NA"),'MITRE ATT&amp;CK Mappings'!$H847))),ISNUMBER(SEARCH(IF(G$3&lt;&gt;"",G$3,"NA"),'MITRE ATT&amp;CK Mappings'!$I847))),ISNUMBER(SEARCH(IF(G$3&lt;&gt;"",G$3,"NA"),'MITRE ATT&amp;CK Mappings'!$J847))), 'MITRE ATT&amp;CK Mappings'!$B847,"")</f>
        <v/>
      </c>
      <c r="H851" s="27" t="str">
        <f>IF(OR(OR(OR(OR(OR(ISNUMBER(SEARCH(IF(H$1&lt;&gt;"",H$1,"NA"),'MITRE ATT&amp;CK Mappings'!$E847)),ISNUMBER(SEARCH(IF(H$1&lt;&gt;"",H$1,"NA"),'MITRE ATT&amp;CK Mappings'!$F847))),ISNUMBER(SEARCH(IF(H$2&lt;&gt;"",H$2,"NA"),'MITRE ATT&amp;CK Mappings'!$G847))),ISNUMBER(SEARCH(IF(H$2&lt;&gt;"",H$2,"NA"),'MITRE ATT&amp;CK Mappings'!$H847))),ISNUMBER(SEARCH(IF(H$3&lt;&gt;"",H$3,"NA"),'MITRE ATT&amp;CK Mappings'!$I847))),ISNUMBER(SEARCH(IF(H$3&lt;&gt;"",H$3,"NA"),'MITRE ATT&amp;CK Mappings'!$J847))), 'MITRE ATT&amp;CK Mappings'!$B847,"")</f>
        <v/>
      </c>
      <c r="I851" s="27" t="str">
        <f>IF(OR(OR(OR(OR(OR(ISNUMBER(SEARCH(IF(I$1&lt;&gt;"",I$1,"NA"),'MITRE ATT&amp;CK Mappings'!$E847)),ISNUMBER(SEARCH(IF(I$1&lt;&gt;"",I$1,"NA"),'MITRE ATT&amp;CK Mappings'!$F847))),ISNUMBER(SEARCH(IF(I$2&lt;&gt;"",I$2,"NA"),'MITRE ATT&amp;CK Mappings'!$G847))),ISNUMBER(SEARCH(IF(I$2&lt;&gt;"",I$2,"NA"),'MITRE ATT&amp;CK Mappings'!$H847))),ISNUMBER(SEARCH(IF(I$3&lt;&gt;"",I$3,"NA"),'MITRE ATT&amp;CK Mappings'!$I847))),ISNUMBER(SEARCH(IF(I$3&lt;&gt;"",I$3,"NA"),'MITRE ATT&amp;CK Mappings'!$J847))), 'MITRE ATT&amp;CK Mappings'!$B847,"")</f>
        <v/>
      </c>
      <c r="J851" s="27" t="str">
        <f>IF(OR(OR(OR(OR(OR(ISNUMBER(SEARCH(IF(J$1&lt;&gt;"",J$1,"NA"),'MITRE ATT&amp;CK Mappings'!$E847)),ISNUMBER(SEARCH(IF(J$1&lt;&gt;"",J$1,"NA"),'MITRE ATT&amp;CK Mappings'!$F847))),ISNUMBER(SEARCH(IF(J$2&lt;&gt;"",J$2,"NA"),'MITRE ATT&amp;CK Mappings'!$G847))),ISNUMBER(SEARCH(IF(J$2&lt;&gt;"",J$2,"NA"),'MITRE ATT&amp;CK Mappings'!$H847))),ISNUMBER(SEARCH(IF(J$3&lt;&gt;"",J$3,"NA"),'MITRE ATT&amp;CK Mappings'!$I847))),ISNUMBER(SEARCH(IF(J$3&lt;&gt;"",J$3,"NA"),'MITRE ATT&amp;CK Mappings'!$J847))), 'MITRE ATT&amp;CK Mappings'!$B847,"")</f>
        <v/>
      </c>
      <c r="K851" s="27" t="str">
        <f>IF(OR(OR(OR(OR(OR(ISNUMBER(SEARCH(IF(K$1&lt;&gt;"",K$1,"NA"),'MITRE ATT&amp;CK Mappings'!$E847)),ISNUMBER(SEARCH(IF(K$1&lt;&gt;"",K$1,"NA"),'MITRE ATT&amp;CK Mappings'!$F847))),ISNUMBER(SEARCH(IF(K$2&lt;&gt;"",K$2,"NA"),'MITRE ATT&amp;CK Mappings'!$G847))),ISNUMBER(SEARCH(IF(K$2&lt;&gt;"",K$2,"NA"),'MITRE ATT&amp;CK Mappings'!$H847))),ISNUMBER(SEARCH(IF(K$3&lt;&gt;"",K$3,"NA"),'MITRE ATT&amp;CK Mappings'!$I847))),ISNUMBER(SEARCH(IF(K$3&lt;&gt;"",K$3,"NA"),'MITRE ATT&amp;CK Mappings'!$J847))), 'MITRE ATT&amp;CK Mappings'!$B847,"")</f>
        <v/>
      </c>
      <c r="L851" s="27" t="str">
        <f>IF('MITRE ATT&amp;CK Mappings'!D847 &lt;&gt;"",'MITRE ATT&amp;CK Mappings'!D847,"" )</f>
        <v/>
      </c>
    </row>
    <row r="852" spans="1:12" x14ac:dyDescent="0.25">
      <c r="A852" s="26" t="str">
        <f>IF(COUNTIF(B852:K852,"="&amp;'MITRE ATT&amp;CK Mappings'!B848)&gt;0,'MITRE ATT&amp;CK Mappings'!B848,"")</f>
        <v/>
      </c>
      <c r="B852" s="26" t="str">
        <f>IF(OR(OR(OR(OR(OR(ISNUMBER(SEARCH(IF(B$1&lt;&gt;"",B$1,"NA"),'MITRE ATT&amp;CK Mappings'!$E848)),ISNUMBER(SEARCH(IF(B$1&lt;&gt;"",B$1,"NA"),'MITRE ATT&amp;CK Mappings'!$F848))),ISNUMBER(SEARCH(IF(B$2&lt;&gt;"",B$2,"NA"),'MITRE ATT&amp;CK Mappings'!$G848))),ISNUMBER(SEARCH(IF(B$2&lt;&gt;"",B$2,"NA"),'MITRE ATT&amp;CK Mappings'!$H848))),ISNUMBER(SEARCH(IF(B$3&lt;&gt;"",B$3,"NA"),'MITRE ATT&amp;CK Mappings'!$I848))),ISNUMBER(SEARCH(IF(B$3&lt;&gt;"",B$3,"NA"),'MITRE ATT&amp;CK Mappings'!$J848))), 'MITRE ATT&amp;CK Mappings'!$B848,"")</f>
        <v/>
      </c>
      <c r="C852" s="26" t="str">
        <f>IF(OR(OR(OR(OR(OR(ISNUMBER(SEARCH(IF(C$1&lt;&gt;"",C$1,"NA"),'MITRE ATT&amp;CK Mappings'!$E848)),ISNUMBER(SEARCH(IF(C$1&lt;&gt;"",C$1,"NA"),'MITRE ATT&amp;CK Mappings'!$F848))),ISNUMBER(SEARCH(IF(C$2&lt;&gt;"",C$2,"NA"),'MITRE ATT&amp;CK Mappings'!$G848))),ISNUMBER(SEARCH(IF(C$2&lt;&gt;"",C$2,"NA"),'MITRE ATT&amp;CK Mappings'!$H848))),ISNUMBER(SEARCH(IF(C$3&lt;&gt;"",C$3,"NA"),'MITRE ATT&amp;CK Mappings'!$I848))),ISNUMBER(SEARCH(IF(C$3&lt;&gt;"",C$3,"NA"),'MITRE ATT&amp;CK Mappings'!$J848))), 'MITRE ATT&amp;CK Mappings'!$B848,"")</f>
        <v/>
      </c>
      <c r="D852" s="26" t="str">
        <f>IF(OR(OR(OR(OR(OR(ISNUMBER(SEARCH(IF(D$1&lt;&gt;"",D$1,"NA"),'MITRE ATT&amp;CK Mappings'!$E848)),ISNUMBER(SEARCH(IF(D$1&lt;&gt;"",D$1,"NA"),'MITRE ATT&amp;CK Mappings'!$F848))),ISNUMBER(SEARCH(IF(D$2&lt;&gt;"",D$2,"NA"),'MITRE ATT&amp;CK Mappings'!$G848))),ISNUMBER(SEARCH(IF(D$2&lt;&gt;"",D$2,"NA"),'MITRE ATT&amp;CK Mappings'!$H848))),ISNUMBER(SEARCH(IF(D$3&lt;&gt;"",D$3,"NA"),'MITRE ATT&amp;CK Mappings'!$I848))),ISNUMBER(SEARCH(IF(D$3&lt;&gt;"",D$3,"NA"),'MITRE ATT&amp;CK Mappings'!$J848))), 'MITRE ATT&amp;CK Mappings'!$B848,"")</f>
        <v/>
      </c>
      <c r="E852" s="26" t="str">
        <f>IF(OR(OR(OR(OR(OR(ISNUMBER(SEARCH(IF(E$1&lt;&gt;"",E$1,"NA"),'MITRE ATT&amp;CK Mappings'!$E848)),ISNUMBER(SEARCH(IF(E$1&lt;&gt;"",E$1,"NA"),'MITRE ATT&amp;CK Mappings'!$F848))),ISNUMBER(SEARCH(IF(E$2&lt;&gt;"",E$2,"NA"),'MITRE ATT&amp;CK Mappings'!$G848))),ISNUMBER(SEARCH(IF(E$2&lt;&gt;"",E$2,"NA"),'MITRE ATT&amp;CK Mappings'!$H848))),ISNUMBER(SEARCH(IF(E$3&lt;&gt;"",E$3,"NA"),'MITRE ATT&amp;CK Mappings'!$I848))),ISNUMBER(SEARCH(IF(E$3&lt;&gt;"",E$3,"NA"),'MITRE ATT&amp;CK Mappings'!$J848))), 'MITRE ATT&amp;CK Mappings'!$B848,"")</f>
        <v/>
      </c>
      <c r="F852" s="26" t="str">
        <f>IF(OR(OR(OR(OR(OR(ISNUMBER(SEARCH(IF(F$1&lt;&gt;"",F$1,"NA"),'MITRE ATT&amp;CK Mappings'!$E848)),ISNUMBER(SEARCH(IF(F$1&lt;&gt;"",F$1,"NA"),'MITRE ATT&amp;CK Mappings'!$F848))),ISNUMBER(SEARCH(IF(F$2&lt;&gt;"",F$2,"NA"),'MITRE ATT&amp;CK Mappings'!$G848))),ISNUMBER(SEARCH(IF(F$2&lt;&gt;"",F$2,"NA"),'MITRE ATT&amp;CK Mappings'!$H848))),ISNUMBER(SEARCH(IF(F$3&lt;&gt;"",F$3,"NA"),'MITRE ATT&amp;CK Mappings'!$I848))),ISNUMBER(SEARCH(IF(F$3&lt;&gt;"",F$3,"NA"),'MITRE ATT&amp;CK Mappings'!$J848))), 'MITRE ATT&amp;CK Mappings'!$B848,"")</f>
        <v/>
      </c>
      <c r="G852" s="26" t="str">
        <f>IF(OR(OR(OR(OR(OR(ISNUMBER(SEARCH(IF(G$1&lt;&gt;"",G$1,"NA"),'MITRE ATT&amp;CK Mappings'!$E848)),ISNUMBER(SEARCH(IF(G$1&lt;&gt;"",G$1,"NA"),'MITRE ATT&amp;CK Mappings'!$F848))),ISNUMBER(SEARCH(IF(G$2&lt;&gt;"",G$2,"NA"),'MITRE ATT&amp;CK Mappings'!$G848))),ISNUMBER(SEARCH(IF(G$2&lt;&gt;"",G$2,"NA"),'MITRE ATT&amp;CK Mappings'!$H848))),ISNUMBER(SEARCH(IF(G$3&lt;&gt;"",G$3,"NA"),'MITRE ATT&amp;CK Mappings'!$I848))),ISNUMBER(SEARCH(IF(G$3&lt;&gt;"",G$3,"NA"),'MITRE ATT&amp;CK Mappings'!$J848))), 'MITRE ATT&amp;CK Mappings'!$B848,"")</f>
        <v/>
      </c>
      <c r="H852" s="26" t="str">
        <f>IF(OR(OR(OR(OR(OR(ISNUMBER(SEARCH(IF(H$1&lt;&gt;"",H$1,"NA"),'MITRE ATT&amp;CK Mappings'!$E848)),ISNUMBER(SEARCH(IF(H$1&lt;&gt;"",H$1,"NA"),'MITRE ATT&amp;CK Mappings'!$F848))),ISNUMBER(SEARCH(IF(H$2&lt;&gt;"",H$2,"NA"),'MITRE ATT&amp;CK Mappings'!$G848))),ISNUMBER(SEARCH(IF(H$2&lt;&gt;"",H$2,"NA"),'MITRE ATT&amp;CK Mappings'!$H848))),ISNUMBER(SEARCH(IF(H$3&lt;&gt;"",H$3,"NA"),'MITRE ATT&amp;CK Mappings'!$I848))),ISNUMBER(SEARCH(IF(H$3&lt;&gt;"",H$3,"NA"),'MITRE ATT&amp;CK Mappings'!$J848))), 'MITRE ATT&amp;CK Mappings'!$B848,"")</f>
        <v/>
      </c>
      <c r="I852" s="26" t="str">
        <f>IF(OR(OR(OR(OR(OR(ISNUMBER(SEARCH(IF(I$1&lt;&gt;"",I$1,"NA"),'MITRE ATT&amp;CK Mappings'!$E848)),ISNUMBER(SEARCH(IF(I$1&lt;&gt;"",I$1,"NA"),'MITRE ATT&amp;CK Mappings'!$F848))),ISNUMBER(SEARCH(IF(I$2&lt;&gt;"",I$2,"NA"),'MITRE ATT&amp;CK Mappings'!$G848))),ISNUMBER(SEARCH(IF(I$2&lt;&gt;"",I$2,"NA"),'MITRE ATT&amp;CK Mappings'!$H848))),ISNUMBER(SEARCH(IF(I$3&lt;&gt;"",I$3,"NA"),'MITRE ATT&amp;CK Mappings'!$I848))),ISNUMBER(SEARCH(IF(I$3&lt;&gt;"",I$3,"NA"),'MITRE ATT&amp;CK Mappings'!$J848))), 'MITRE ATT&amp;CK Mappings'!$B848,"")</f>
        <v/>
      </c>
      <c r="J852" s="26" t="str">
        <f>IF(OR(OR(OR(OR(OR(ISNUMBER(SEARCH(IF(J$1&lt;&gt;"",J$1,"NA"),'MITRE ATT&amp;CK Mappings'!$E848)),ISNUMBER(SEARCH(IF(J$1&lt;&gt;"",J$1,"NA"),'MITRE ATT&amp;CK Mappings'!$F848))),ISNUMBER(SEARCH(IF(J$2&lt;&gt;"",J$2,"NA"),'MITRE ATT&amp;CK Mappings'!$G848))),ISNUMBER(SEARCH(IF(J$2&lt;&gt;"",J$2,"NA"),'MITRE ATT&amp;CK Mappings'!$H848))),ISNUMBER(SEARCH(IF(J$3&lt;&gt;"",J$3,"NA"),'MITRE ATT&amp;CK Mappings'!$I848))),ISNUMBER(SEARCH(IF(J$3&lt;&gt;"",J$3,"NA"),'MITRE ATT&amp;CK Mappings'!$J848))), 'MITRE ATT&amp;CK Mappings'!$B848,"")</f>
        <v/>
      </c>
      <c r="K852" s="26" t="str">
        <f>IF(OR(OR(OR(OR(OR(ISNUMBER(SEARCH(IF(K$1&lt;&gt;"",K$1,"NA"),'MITRE ATT&amp;CK Mappings'!$E848)),ISNUMBER(SEARCH(IF(K$1&lt;&gt;"",K$1,"NA"),'MITRE ATT&amp;CK Mappings'!$F848))),ISNUMBER(SEARCH(IF(K$2&lt;&gt;"",K$2,"NA"),'MITRE ATT&amp;CK Mappings'!$G848))),ISNUMBER(SEARCH(IF(K$2&lt;&gt;"",K$2,"NA"),'MITRE ATT&amp;CK Mappings'!$H848))),ISNUMBER(SEARCH(IF(K$3&lt;&gt;"",K$3,"NA"),'MITRE ATT&amp;CK Mappings'!$I848))),ISNUMBER(SEARCH(IF(K$3&lt;&gt;"",K$3,"NA"),'MITRE ATT&amp;CK Mappings'!$J848))), 'MITRE ATT&amp;CK Mappings'!$B848,"")</f>
        <v/>
      </c>
      <c r="L852" s="26" t="str">
        <f>IF('MITRE ATT&amp;CK Mappings'!D848 &lt;&gt;"",'MITRE ATT&amp;CK Mappings'!D848,"" )</f>
        <v/>
      </c>
    </row>
    <row r="853" spans="1:12" x14ac:dyDescent="0.25">
      <c r="A853" s="27" t="str">
        <f>IF(COUNTIF(B853:K853,"="&amp;'MITRE ATT&amp;CK Mappings'!B849)&gt;0,'MITRE ATT&amp;CK Mappings'!B849,"")</f>
        <v/>
      </c>
      <c r="B853" s="27" t="str">
        <f>IF(OR(OR(OR(OR(OR(ISNUMBER(SEARCH(IF(B$1&lt;&gt;"",B$1,"NA"),'MITRE ATT&amp;CK Mappings'!$E849)),ISNUMBER(SEARCH(IF(B$1&lt;&gt;"",B$1,"NA"),'MITRE ATT&amp;CK Mappings'!$F849))),ISNUMBER(SEARCH(IF(B$2&lt;&gt;"",B$2,"NA"),'MITRE ATT&amp;CK Mappings'!$G849))),ISNUMBER(SEARCH(IF(B$2&lt;&gt;"",B$2,"NA"),'MITRE ATT&amp;CK Mappings'!$H849))),ISNUMBER(SEARCH(IF(B$3&lt;&gt;"",B$3,"NA"),'MITRE ATT&amp;CK Mappings'!$I849))),ISNUMBER(SEARCH(IF(B$3&lt;&gt;"",B$3,"NA"),'MITRE ATT&amp;CK Mappings'!$J849))), 'MITRE ATT&amp;CK Mappings'!$B849,"")</f>
        <v/>
      </c>
      <c r="C853" s="27" t="str">
        <f>IF(OR(OR(OR(OR(OR(ISNUMBER(SEARCH(IF(C$1&lt;&gt;"",C$1,"NA"),'MITRE ATT&amp;CK Mappings'!$E849)),ISNUMBER(SEARCH(IF(C$1&lt;&gt;"",C$1,"NA"),'MITRE ATT&amp;CK Mappings'!$F849))),ISNUMBER(SEARCH(IF(C$2&lt;&gt;"",C$2,"NA"),'MITRE ATT&amp;CK Mappings'!$G849))),ISNUMBER(SEARCH(IF(C$2&lt;&gt;"",C$2,"NA"),'MITRE ATT&amp;CK Mappings'!$H849))),ISNUMBER(SEARCH(IF(C$3&lt;&gt;"",C$3,"NA"),'MITRE ATT&amp;CK Mappings'!$I849))),ISNUMBER(SEARCH(IF(C$3&lt;&gt;"",C$3,"NA"),'MITRE ATT&amp;CK Mappings'!$J849))), 'MITRE ATT&amp;CK Mappings'!$B849,"")</f>
        <v/>
      </c>
      <c r="D853" s="27" t="str">
        <f>IF(OR(OR(OR(OR(OR(ISNUMBER(SEARCH(IF(D$1&lt;&gt;"",D$1,"NA"),'MITRE ATT&amp;CK Mappings'!$E849)),ISNUMBER(SEARCH(IF(D$1&lt;&gt;"",D$1,"NA"),'MITRE ATT&amp;CK Mappings'!$F849))),ISNUMBER(SEARCH(IF(D$2&lt;&gt;"",D$2,"NA"),'MITRE ATT&amp;CK Mappings'!$G849))),ISNUMBER(SEARCH(IF(D$2&lt;&gt;"",D$2,"NA"),'MITRE ATT&amp;CK Mappings'!$H849))),ISNUMBER(SEARCH(IF(D$3&lt;&gt;"",D$3,"NA"),'MITRE ATT&amp;CK Mappings'!$I849))),ISNUMBER(SEARCH(IF(D$3&lt;&gt;"",D$3,"NA"),'MITRE ATT&amp;CK Mappings'!$J849))), 'MITRE ATT&amp;CK Mappings'!$B849,"")</f>
        <v/>
      </c>
      <c r="E853" s="27" t="str">
        <f>IF(OR(OR(OR(OR(OR(ISNUMBER(SEARCH(IF(E$1&lt;&gt;"",E$1,"NA"),'MITRE ATT&amp;CK Mappings'!$E849)),ISNUMBER(SEARCH(IF(E$1&lt;&gt;"",E$1,"NA"),'MITRE ATT&amp;CK Mappings'!$F849))),ISNUMBER(SEARCH(IF(E$2&lt;&gt;"",E$2,"NA"),'MITRE ATT&amp;CK Mappings'!$G849))),ISNUMBER(SEARCH(IF(E$2&lt;&gt;"",E$2,"NA"),'MITRE ATT&amp;CK Mappings'!$H849))),ISNUMBER(SEARCH(IF(E$3&lt;&gt;"",E$3,"NA"),'MITRE ATT&amp;CK Mappings'!$I849))),ISNUMBER(SEARCH(IF(E$3&lt;&gt;"",E$3,"NA"),'MITRE ATT&amp;CK Mappings'!$J849))), 'MITRE ATT&amp;CK Mappings'!$B849,"")</f>
        <v/>
      </c>
      <c r="F853" s="27" t="str">
        <f>IF(OR(OR(OR(OR(OR(ISNUMBER(SEARCH(IF(F$1&lt;&gt;"",F$1,"NA"),'MITRE ATT&amp;CK Mappings'!$E849)),ISNUMBER(SEARCH(IF(F$1&lt;&gt;"",F$1,"NA"),'MITRE ATT&amp;CK Mappings'!$F849))),ISNUMBER(SEARCH(IF(F$2&lt;&gt;"",F$2,"NA"),'MITRE ATT&amp;CK Mappings'!$G849))),ISNUMBER(SEARCH(IF(F$2&lt;&gt;"",F$2,"NA"),'MITRE ATT&amp;CK Mappings'!$H849))),ISNUMBER(SEARCH(IF(F$3&lt;&gt;"",F$3,"NA"),'MITRE ATT&amp;CK Mappings'!$I849))),ISNUMBER(SEARCH(IF(F$3&lt;&gt;"",F$3,"NA"),'MITRE ATT&amp;CK Mappings'!$J849))), 'MITRE ATT&amp;CK Mappings'!$B849,"")</f>
        <v/>
      </c>
      <c r="G853" s="27" t="str">
        <f>IF(OR(OR(OR(OR(OR(ISNUMBER(SEARCH(IF(G$1&lt;&gt;"",G$1,"NA"),'MITRE ATT&amp;CK Mappings'!$E849)),ISNUMBER(SEARCH(IF(G$1&lt;&gt;"",G$1,"NA"),'MITRE ATT&amp;CK Mappings'!$F849))),ISNUMBER(SEARCH(IF(G$2&lt;&gt;"",G$2,"NA"),'MITRE ATT&amp;CK Mappings'!$G849))),ISNUMBER(SEARCH(IF(G$2&lt;&gt;"",G$2,"NA"),'MITRE ATT&amp;CK Mappings'!$H849))),ISNUMBER(SEARCH(IF(G$3&lt;&gt;"",G$3,"NA"),'MITRE ATT&amp;CK Mappings'!$I849))),ISNUMBER(SEARCH(IF(G$3&lt;&gt;"",G$3,"NA"),'MITRE ATT&amp;CK Mappings'!$J849))), 'MITRE ATT&amp;CK Mappings'!$B849,"")</f>
        <v/>
      </c>
      <c r="H853" s="27" t="str">
        <f>IF(OR(OR(OR(OR(OR(ISNUMBER(SEARCH(IF(H$1&lt;&gt;"",H$1,"NA"),'MITRE ATT&amp;CK Mappings'!$E849)),ISNUMBER(SEARCH(IF(H$1&lt;&gt;"",H$1,"NA"),'MITRE ATT&amp;CK Mappings'!$F849))),ISNUMBER(SEARCH(IF(H$2&lt;&gt;"",H$2,"NA"),'MITRE ATT&amp;CK Mappings'!$G849))),ISNUMBER(SEARCH(IF(H$2&lt;&gt;"",H$2,"NA"),'MITRE ATT&amp;CK Mappings'!$H849))),ISNUMBER(SEARCH(IF(H$3&lt;&gt;"",H$3,"NA"),'MITRE ATT&amp;CK Mappings'!$I849))),ISNUMBER(SEARCH(IF(H$3&lt;&gt;"",H$3,"NA"),'MITRE ATT&amp;CK Mappings'!$J849))), 'MITRE ATT&amp;CK Mappings'!$B849,"")</f>
        <v/>
      </c>
      <c r="I853" s="27" t="str">
        <f>IF(OR(OR(OR(OR(OR(ISNUMBER(SEARCH(IF(I$1&lt;&gt;"",I$1,"NA"),'MITRE ATT&amp;CK Mappings'!$E849)),ISNUMBER(SEARCH(IF(I$1&lt;&gt;"",I$1,"NA"),'MITRE ATT&amp;CK Mappings'!$F849))),ISNUMBER(SEARCH(IF(I$2&lt;&gt;"",I$2,"NA"),'MITRE ATT&amp;CK Mappings'!$G849))),ISNUMBER(SEARCH(IF(I$2&lt;&gt;"",I$2,"NA"),'MITRE ATT&amp;CK Mappings'!$H849))),ISNUMBER(SEARCH(IF(I$3&lt;&gt;"",I$3,"NA"),'MITRE ATT&amp;CK Mappings'!$I849))),ISNUMBER(SEARCH(IF(I$3&lt;&gt;"",I$3,"NA"),'MITRE ATT&amp;CK Mappings'!$J849))), 'MITRE ATT&amp;CK Mappings'!$B849,"")</f>
        <v/>
      </c>
      <c r="J853" s="27" t="str">
        <f>IF(OR(OR(OR(OR(OR(ISNUMBER(SEARCH(IF(J$1&lt;&gt;"",J$1,"NA"),'MITRE ATT&amp;CK Mappings'!$E849)),ISNUMBER(SEARCH(IF(J$1&lt;&gt;"",J$1,"NA"),'MITRE ATT&amp;CK Mappings'!$F849))),ISNUMBER(SEARCH(IF(J$2&lt;&gt;"",J$2,"NA"),'MITRE ATT&amp;CK Mappings'!$G849))),ISNUMBER(SEARCH(IF(J$2&lt;&gt;"",J$2,"NA"),'MITRE ATT&amp;CK Mappings'!$H849))),ISNUMBER(SEARCH(IF(J$3&lt;&gt;"",J$3,"NA"),'MITRE ATT&amp;CK Mappings'!$I849))),ISNUMBER(SEARCH(IF(J$3&lt;&gt;"",J$3,"NA"),'MITRE ATT&amp;CK Mappings'!$J849))), 'MITRE ATT&amp;CK Mappings'!$B849,"")</f>
        <v/>
      </c>
      <c r="K853" s="27" t="str">
        <f>IF(OR(OR(OR(OR(OR(ISNUMBER(SEARCH(IF(K$1&lt;&gt;"",K$1,"NA"),'MITRE ATT&amp;CK Mappings'!$E849)),ISNUMBER(SEARCH(IF(K$1&lt;&gt;"",K$1,"NA"),'MITRE ATT&amp;CK Mappings'!$F849))),ISNUMBER(SEARCH(IF(K$2&lt;&gt;"",K$2,"NA"),'MITRE ATT&amp;CK Mappings'!$G849))),ISNUMBER(SEARCH(IF(K$2&lt;&gt;"",K$2,"NA"),'MITRE ATT&amp;CK Mappings'!$H849))),ISNUMBER(SEARCH(IF(K$3&lt;&gt;"",K$3,"NA"),'MITRE ATT&amp;CK Mappings'!$I849))),ISNUMBER(SEARCH(IF(K$3&lt;&gt;"",K$3,"NA"),'MITRE ATT&amp;CK Mappings'!$J849))), 'MITRE ATT&amp;CK Mappings'!$B849,"")</f>
        <v/>
      </c>
      <c r="L853" s="27" t="str">
        <f>IF('MITRE ATT&amp;CK Mappings'!D849 &lt;&gt;"",'MITRE ATT&amp;CK Mappings'!D849,"" )</f>
        <v/>
      </c>
    </row>
    <row r="854" spans="1:12" x14ac:dyDescent="0.25">
      <c r="A854" s="26" t="str">
        <f>IF(COUNTIF(B854:K854,"="&amp;'MITRE ATT&amp;CK Mappings'!B850)&gt;0,'MITRE ATT&amp;CK Mappings'!B850,"")</f>
        <v/>
      </c>
      <c r="B854" s="26" t="str">
        <f>IF(OR(OR(OR(OR(OR(ISNUMBER(SEARCH(IF(B$1&lt;&gt;"",B$1,"NA"),'MITRE ATT&amp;CK Mappings'!$E850)),ISNUMBER(SEARCH(IF(B$1&lt;&gt;"",B$1,"NA"),'MITRE ATT&amp;CK Mappings'!$F850))),ISNUMBER(SEARCH(IF(B$2&lt;&gt;"",B$2,"NA"),'MITRE ATT&amp;CK Mappings'!$G850))),ISNUMBER(SEARCH(IF(B$2&lt;&gt;"",B$2,"NA"),'MITRE ATT&amp;CK Mappings'!$H850))),ISNUMBER(SEARCH(IF(B$3&lt;&gt;"",B$3,"NA"),'MITRE ATT&amp;CK Mappings'!$I850))),ISNUMBER(SEARCH(IF(B$3&lt;&gt;"",B$3,"NA"),'MITRE ATT&amp;CK Mappings'!$J850))), 'MITRE ATT&amp;CK Mappings'!$B850,"")</f>
        <v/>
      </c>
      <c r="C854" s="26" t="str">
        <f>IF(OR(OR(OR(OR(OR(ISNUMBER(SEARCH(IF(C$1&lt;&gt;"",C$1,"NA"),'MITRE ATT&amp;CK Mappings'!$E850)),ISNUMBER(SEARCH(IF(C$1&lt;&gt;"",C$1,"NA"),'MITRE ATT&amp;CK Mappings'!$F850))),ISNUMBER(SEARCH(IF(C$2&lt;&gt;"",C$2,"NA"),'MITRE ATT&amp;CK Mappings'!$G850))),ISNUMBER(SEARCH(IF(C$2&lt;&gt;"",C$2,"NA"),'MITRE ATT&amp;CK Mappings'!$H850))),ISNUMBER(SEARCH(IF(C$3&lt;&gt;"",C$3,"NA"),'MITRE ATT&amp;CK Mappings'!$I850))),ISNUMBER(SEARCH(IF(C$3&lt;&gt;"",C$3,"NA"),'MITRE ATT&amp;CK Mappings'!$J850))), 'MITRE ATT&amp;CK Mappings'!$B850,"")</f>
        <v/>
      </c>
      <c r="D854" s="26" t="str">
        <f>IF(OR(OR(OR(OR(OR(ISNUMBER(SEARCH(IF(D$1&lt;&gt;"",D$1,"NA"),'MITRE ATT&amp;CK Mappings'!$E850)),ISNUMBER(SEARCH(IF(D$1&lt;&gt;"",D$1,"NA"),'MITRE ATT&amp;CK Mappings'!$F850))),ISNUMBER(SEARCH(IF(D$2&lt;&gt;"",D$2,"NA"),'MITRE ATT&amp;CK Mappings'!$G850))),ISNUMBER(SEARCH(IF(D$2&lt;&gt;"",D$2,"NA"),'MITRE ATT&amp;CK Mappings'!$H850))),ISNUMBER(SEARCH(IF(D$3&lt;&gt;"",D$3,"NA"),'MITRE ATT&amp;CK Mappings'!$I850))),ISNUMBER(SEARCH(IF(D$3&lt;&gt;"",D$3,"NA"),'MITRE ATT&amp;CK Mappings'!$J850))), 'MITRE ATT&amp;CK Mappings'!$B850,"")</f>
        <v/>
      </c>
      <c r="E854" s="26" t="str">
        <f>IF(OR(OR(OR(OR(OR(ISNUMBER(SEARCH(IF(E$1&lt;&gt;"",E$1,"NA"),'MITRE ATT&amp;CK Mappings'!$E850)),ISNUMBER(SEARCH(IF(E$1&lt;&gt;"",E$1,"NA"),'MITRE ATT&amp;CK Mappings'!$F850))),ISNUMBER(SEARCH(IF(E$2&lt;&gt;"",E$2,"NA"),'MITRE ATT&amp;CK Mappings'!$G850))),ISNUMBER(SEARCH(IF(E$2&lt;&gt;"",E$2,"NA"),'MITRE ATT&amp;CK Mappings'!$H850))),ISNUMBER(SEARCH(IF(E$3&lt;&gt;"",E$3,"NA"),'MITRE ATT&amp;CK Mappings'!$I850))),ISNUMBER(SEARCH(IF(E$3&lt;&gt;"",E$3,"NA"),'MITRE ATT&amp;CK Mappings'!$J850))), 'MITRE ATT&amp;CK Mappings'!$B850,"")</f>
        <v/>
      </c>
      <c r="F854" s="26" t="str">
        <f>IF(OR(OR(OR(OR(OR(ISNUMBER(SEARCH(IF(F$1&lt;&gt;"",F$1,"NA"),'MITRE ATT&amp;CK Mappings'!$E850)),ISNUMBER(SEARCH(IF(F$1&lt;&gt;"",F$1,"NA"),'MITRE ATT&amp;CK Mappings'!$F850))),ISNUMBER(SEARCH(IF(F$2&lt;&gt;"",F$2,"NA"),'MITRE ATT&amp;CK Mappings'!$G850))),ISNUMBER(SEARCH(IF(F$2&lt;&gt;"",F$2,"NA"),'MITRE ATT&amp;CK Mappings'!$H850))),ISNUMBER(SEARCH(IF(F$3&lt;&gt;"",F$3,"NA"),'MITRE ATT&amp;CK Mappings'!$I850))),ISNUMBER(SEARCH(IF(F$3&lt;&gt;"",F$3,"NA"),'MITRE ATT&amp;CK Mappings'!$J850))), 'MITRE ATT&amp;CK Mappings'!$B850,"")</f>
        <v/>
      </c>
      <c r="G854" s="26" t="str">
        <f>IF(OR(OR(OR(OR(OR(ISNUMBER(SEARCH(IF(G$1&lt;&gt;"",G$1,"NA"),'MITRE ATT&amp;CK Mappings'!$E850)),ISNUMBER(SEARCH(IF(G$1&lt;&gt;"",G$1,"NA"),'MITRE ATT&amp;CK Mappings'!$F850))),ISNUMBER(SEARCH(IF(G$2&lt;&gt;"",G$2,"NA"),'MITRE ATT&amp;CK Mappings'!$G850))),ISNUMBER(SEARCH(IF(G$2&lt;&gt;"",G$2,"NA"),'MITRE ATT&amp;CK Mappings'!$H850))),ISNUMBER(SEARCH(IF(G$3&lt;&gt;"",G$3,"NA"),'MITRE ATT&amp;CK Mappings'!$I850))),ISNUMBER(SEARCH(IF(G$3&lt;&gt;"",G$3,"NA"),'MITRE ATT&amp;CK Mappings'!$J850))), 'MITRE ATT&amp;CK Mappings'!$B850,"")</f>
        <v/>
      </c>
      <c r="H854" s="26" t="str">
        <f>IF(OR(OR(OR(OR(OR(ISNUMBER(SEARCH(IF(H$1&lt;&gt;"",H$1,"NA"),'MITRE ATT&amp;CK Mappings'!$E850)),ISNUMBER(SEARCH(IF(H$1&lt;&gt;"",H$1,"NA"),'MITRE ATT&amp;CK Mappings'!$F850))),ISNUMBER(SEARCH(IF(H$2&lt;&gt;"",H$2,"NA"),'MITRE ATT&amp;CK Mappings'!$G850))),ISNUMBER(SEARCH(IF(H$2&lt;&gt;"",H$2,"NA"),'MITRE ATT&amp;CK Mappings'!$H850))),ISNUMBER(SEARCH(IF(H$3&lt;&gt;"",H$3,"NA"),'MITRE ATT&amp;CK Mappings'!$I850))),ISNUMBER(SEARCH(IF(H$3&lt;&gt;"",H$3,"NA"),'MITRE ATT&amp;CK Mappings'!$J850))), 'MITRE ATT&amp;CK Mappings'!$B850,"")</f>
        <v/>
      </c>
      <c r="I854" s="26" t="str">
        <f>IF(OR(OR(OR(OR(OR(ISNUMBER(SEARCH(IF(I$1&lt;&gt;"",I$1,"NA"),'MITRE ATT&amp;CK Mappings'!$E850)),ISNUMBER(SEARCH(IF(I$1&lt;&gt;"",I$1,"NA"),'MITRE ATT&amp;CK Mappings'!$F850))),ISNUMBER(SEARCH(IF(I$2&lt;&gt;"",I$2,"NA"),'MITRE ATT&amp;CK Mappings'!$G850))),ISNUMBER(SEARCH(IF(I$2&lt;&gt;"",I$2,"NA"),'MITRE ATT&amp;CK Mappings'!$H850))),ISNUMBER(SEARCH(IF(I$3&lt;&gt;"",I$3,"NA"),'MITRE ATT&amp;CK Mappings'!$I850))),ISNUMBER(SEARCH(IF(I$3&lt;&gt;"",I$3,"NA"),'MITRE ATT&amp;CK Mappings'!$J850))), 'MITRE ATT&amp;CK Mappings'!$B850,"")</f>
        <v/>
      </c>
      <c r="J854" s="26" t="str">
        <f>IF(OR(OR(OR(OR(OR(ISNUMBER(SEARCH(IF(J$1&lt;&gt;"",J$1,"NA"),'MITRE ATT&amp;CK Mappings'!$E850)),ISNUMBER(SEARCH(IF(J$1&lt;&gt;"",J$1,"NA"),'MITRE ATT&amp;CK Mappings'!$F850))),ISNUMBER(SEARCH(IF(J$2&lt;&gt;"",J$2,"NA"),'MITRE ATT&amp;CK Mappings'!$G850))),ISNUMBER(SEARCH(IF(J$2&lt;&gt;"",J$2,"NA"),'MITRE ATT&amp;CK Mappings'!$H850))),ISNUMBER(SEARCH(IF(J$3&lt;&gt;"",J$3,"NA"),'MITRE ATT&amp;CK Mappings'!$I850))),ISNUMBER(SEARCH(IF(J$3&lt;&gt;"",J$3,"NA"),'MITRE ATT&amp;CK Mappings'!$J850))), 'MITRE ATT&amp;CK Mappings'!$B850,"")</f>
        <v/>
      </c>
      <c r="K854" s="26" t="str">
        <f>IF(OR(OR(OR(OR(OR(ISNUMBER(SEARCH(IF(K$1&lt;&gt;"",K$1,"NA"),'MITRE ATT&amp;CK Mappings'!$E850)),ISNUMBER(SEARCH(IF(K$1&lt;&gt;"",K$1,"NA"),'MITRE ATT&amp;CK Mappings'!$F850))),ISNUMBER(SEARCH(IF(K$2&lt;&gt;"",K$2,"NA"),'MITRE ATT&amp;CK Mappings'!$G850))),ISNUMBER(SEARCH(IF(K$2&lt;&gt;"",K$2,"NA"),'MITRE ATT&amp;CK Mappings'!$H850))),ISNUMBER(SEARCH(IF(K$3&lt;&gt;"",K$3,"NA"),'MITRE ATT&amp;CK Mappings'!$I850))),ISNUMBER(SEARCH(IF(K$3&lt;&gt;"",K$3,"NA"),'MITRE ATT&amp;CK Mappings'!$J850))), 'MITRE ATT&amp;CK Mappings'!$B850,"")</f>
        <v/>
      </c>
      <c r="L854" s="26" t="str">
        <f>IF('MITRE ATT&amp;CK Mappings'!D850 &lt;&gt;"",'MITRE ATT&amp;CK Mappings'!D850,"" )</f>
        <v/>
      </c>
    </row>
    <row r="855" spans="1:12" x14ac:dyDescent="0.25">
      <c r="A855" s="27" t="str">
        <f>IF(COUNTIF(B855:K855,"="&amp;'MITRE ATT&amp;CK Mappings'!B851)&gt;0,'MITRE ATT&amp;CK Mappings'!B851,"")</f>
        <v/>
      </c>
      <c r="B855" s="27" t="str">
        <f>IF(OR(OR(OR(OR(OR(ISNUMBER(SEARCH(IF(B$1&lt;&gt;"",B$1,"NA"),'MITRE ATT&amp;CK Mappings'!$E851)),ISNUMBER(SEARCH(IF(B$1&lt;&gt;"",B$1,"NA"),'MITRE ATT&amp;CK Mappings'!$F851))),ISNUMBER(SEARCH(IF(B$2&lt;&gt;"",B$2,"NA"),'MITRE ATT&amp;CK Mappings'!$G851))),ISNUMBER(SEARCH(IF(B$2&lt;&gt;"",B$2,"NA"),'MITRE ATT&amp;CK Mappings'!$H851))),ISNUMBER(SEARCH(IF(B$3&lt;&gt;"",B$3,"NA"),'MITRE ATT&amp;CK Mappings'!$I851))),ISNUMBER(SEARCH(IF(B$3&lt;&gt;"",B$3,"NA"),'MITRE ATT&amp;CK Mappings'!$J851))), 'MITRE ATT&amp;CK Mappings'!$B851,"")</f>
        <v/>
      </c>
      <c r="C855" s="27" t="str">
        <f>IF(OR(OR(OR(OR(OR(ISNUMBER(SEARCH(IF(C$1&lt;&gt;"",C$1,"NA"),'MITRE ATT&amp;CK Mappings'!$E851)),ISNUMBER(SEARCH(IF(C$1&lt;&gt;"",C$1,"NA"),'MITRE ATT&amp;CK Mappings'!$F851))),ISNUMBER(SEARCH(IF(C$2&lt;&gt;"",C$2,"NA"),'MITRE ATT&amp;CK Mappings'!$G851))),ISNUMBER(SEARCH(IF(C$2&lt;&gt;"",C$2,"NA"),'MITRE ATT&amp;CK Mappings'!$H851))),ISNUMBER(SEARCH(IF(C$3&lt;&gt;"",C$3,"NA"),'MITRE ATT&amp;CK Mappings'!$I851))),ISNUMBER(SEARCH(IF(C$3&lt;&gt;"",C$3,"NA"),'MITRE ATT&amp;CK Mappings'!$J851))), 'MITRE ATT&amp;CK Mappings'!$B851,"")</f>
        <v/>
      </c>
      <c r="D855" s="27" t="str">
        <f>IF(OR(OR(OR(OR(OR(ISNUMBER(SEARCH(IF(D$1&lt;&gt;"",D$1,"NA"),'MITRE ATT&amp;CK Mappings'!$E851)),ISNUMBER(SEARCH(IF(D$1&lt;&gt;"",D$1,"NA"),'MITRE ATT&amp;CK Mappings'!$F851))),ISNUMBER(SEARCH(IF(D$2&lt;&gt;"",D$2,"NA"),'MITRE ATT&amp;CK Mappings'!$G851))),ISNUMBER(SEARCH(IF(D$2&lt;&gt;"",D$2,"NA"),'MITRE ATT&amp;CK Mappings'!$H851))),ISNUMBER(SEARCH(IF(D$3&lt;&gt;"",D$3,"NA"),'MITRE ATT&amp;CK Mappings'!$I851))),ISNUMBER(SEARCH(IF(D$3&lt;&gt;"",D$3,"NA"),'MITRE ATT&amp;CK Mappings'!$J851))), 'MITRE ATT&amp;CK Mappings'!$B851,"")</f>
        <v/>
      </c>
      <c r="E855" s="27" t="str">
        <f>IF(OR(OR(OR(OR(OR(ISNUMBER(SEARCH(IF(E$1&lt;&gt;"",E$1,"NA"),'MITRE ATT&amp;CK Mappings'!$E851)),ISNUMBER(SEARCH(IF(E$1&lt;&gt;"",E$1,"NA"),'MITRE ATT&amp;CK Mappings'!$F851))),ISNUMBER(SEARCH(IF(E$2&lt;&gt;"",E$2,"NA"),'MITRE ATT&amp;CK Mappings'!$G851))),ISNUMBER(SEARCH(IF(E$2&lt;&gt;"",E$2,"NA"),'MITRE ATT&amp;CK Mappings'!$H851))),ISNUMBER(SEARCH(IF(E$3&lt;&gt;"",E$3,"NA"),'MITRE ATT&amp;CK Mappings'!$I851))),ISNUMBER(SEARCH(IF(E$3&lt;&gt;"",E$3,"NA"),'MITRE ATT&amp;CK Mappings'!$J851))), 'MITRE ATT&amp;CK Mappings'!$B851,"")</f>
        <v/>
      </c>
      <c r="F855" s="27" t="str">
        <f>IF(OR(OR(OR(OR(OR(ISNUMBER(SEARCH(IF(F$1&lt;&gt;"",F$1,"NA"),'MITRE ATT&amp;CK Mappings'!$E851)),ISNUMBER(SEARCH(IF(F$1&lt;&gt;"",F$1,"NA"),'MITRE ATT&amp;CK Mappings'!$F851))),ISNUMBER(SEARCH(IF(F$2&lt;&gt;"",F$2,"NA"),'MITRE ATT&amp;CK Mappings'!$G851))),ISNUMBER(SEARCH(IF(F$2&lt;&gt;"",F$2,"NA"),'MITRE ATT&amp;CK Mappings'!$H851))),ISNUMBER(SEARCH(IF(F$3&lt;&gt;"",F$3,"NA"),'MITRE ATT&amp;CK Mappings'!$I851))),ISNUMBER(SEARCH(IF(F$3&lt;&gt;"",F$3,"NA"),'MITRE ATT&amp;CK Mappings'!$J851))), 'MITRE ATT&amp;CK Mappings'!$B851,"")</f>
        <v/>
      </c>
      <c r="G855" s="27" t="str">
        <f>IF(OR(OR(OR(OR(OR(ISNUMBER(SEARCH(IF(G$1&lt;&gt;"",G$1,"NA"),'MITRE ATT&amp;CK Mappings'!$E851)),ISNUMBER(SEARCH(IF(G$1&lt;&gt;"",G$1,"NA"),'MITRE ATT&amp;CK Mappings'!$F851))),ISNUMBER(SEARCH(IF(G$2&lt;&gt;"",G$2,"NA"),'MITRE ATT&amp;CK Mappings'!$G851))),ISNUMBER(SEARCH(IF(G$2&lt;&gt;"",G$2,"NA"),'MITRE ATT&amp;CK Mappings'!$H851))),ISNUMBER(SEARCH(IF(G$3&lt;&gt;"",G$3,"NA"),'MITRE ATT&amp;CK Mappings'!$I851))),ISNUMBER(SEARCH(IF(G$3&lt;&gt;"",G$3,"NA"),'MITRE ATT&amp;CK Mappings'!$J851))), 'MITRE ATT&amp;CK Mappings'!$B851,"")</f>
        <v/>
      </c>
      <c r="H855" s="27" t="str">
        <f>IF(OR(OR(OR(OR(OR(ISNUMBER(SEARCH(IF(H$1&lt;&gt;"",H$1,"NA"),'MITRE ATT&amp;CK Mappings'!$E851)),ISNUMBER(SEARCH(IF(H$1&lt;&gt;"",H$1,"NA"),'MITRE ATT&amp;CK Mappings'!$F851))),ISNUMBER(SEARCH(IF(H$2&lt;&gt;"",H$2,"NA"),'MITRE ATT&amp;CK Mappings'!$G851))),ISNUMBER(SEARCH(IF(H$2&lt;&gt;"",H$2,"NA"),'MITRE ATT&amp;CK Mappings'!$H851))),ISNUMBER(SEARCH(IF(H$3&lt;&gt;"",H$3,"NA"),'MITRE ATT&amp;CK Mappings'!$I851))),ISNUMBER(SEARCH(IF(H$3&lt;&gt;"",H$3,"NA"),'MITRE ATT&amp;CK Mappings'!$J851))), 'MITRE ATT&amp;CK Mappings'!$B851,"")</f>
        <v/>
      </c>
      <c r="I855" s="27" t="str">
        <f>IF(OR(OR(OR(OR(OR(ISNUMBER(SEARCH(IF(I$1&lt;&gt;"",I$1,"NA"),'MITRE ATT&amp;CK Mappings'!$E851)),ISNUMBER(SEARCH(IF(I$1&lt;&gt;"",I$1,"NA"),'MITRE ATT&amp;CK Mappings'!$F851))),ISNUMBER(SEARCH(IF(I$2&lt;&gt;"",I$2,"NA"),'MITRE ATT&amp;CK Mappings'!$G851))),ISNUMBER(SEARCH(IF(I$2&lt;&gt;"",I$2,"NA"),'MITRE ATT&amp;CK Mappings'!$H851))),ISNUMBER(SEARCH(IF(I$3&lt;&gt;"",I$3,"NA"),'MITRE ATT&amp;CK Mappings'!$I851))),ISNUMBER(SEARCH(IF(I$3&lt;&gt;"",I$3,"NA"),'MITRE ATT&amp;CK Mappings'!$J851))), 'MITRE ATT&amp;CK Mappings'!$B851,"")</f>
        <v/>
      </c>
      <c r="J855" s="27" t="str">
        <f>IF(OR(OR(OR(OR(OR(ISNUMBER(SEARCH(IF(J$1&lt;&gt;"",J$1,"NA"),'MITRE ATT&amp;CK Mappings'!$E851)),ISNUMBER(SEARCH(IF(J$1&lt;&gt;"",J$1,"NA"),'MITRE ATT&amp;CK Mappings'!$F851))),ISNUMBER(SEARCH(IF(J$2&lt;&gt;"",J$2,"NA"),'MITRE ATT&amp;CK Mappings'!$G851))),ISNUMBER(SEARCH(IF(J$2&lt;&gt;"",J$2,"NA"),'MITRE ATT&amp;CK Mappings'!$H851))),ISNUMBER(SEARCH(IF(J$3&lt;&gt;"",J$3,"NA"),'MITRE ATT&amp;CK Mappings'!$I851))),ISNUMBER(SEARCH(IF(J$3&lt;&gt;"",J$3,"NA"),'MITRE ATT&amp;CK Mappings'!$J851))), 'MITRE ATT&amp;CK Mappings'!$B851,"")</f>
        <v/>
      </c>
      <c r="K855" s="27" t="str">
        <f>IF(OR(OR(OR(OR(OR(ISNUMBER(SEARCH(IF(K$1&lt;&gt;"",K$1,"NA"),'MITRE ATT&amp;CK Mappings'!$E851)),ISNUMBER(SEARCH(IF(K$1&lt;&gt;"",K$1,"NA"),'MITRE ATT&amp;CK Mappings'!$F851))),ISNUMBER(SEARCH(IF(K$2&lt;&gt;"",K$2,"NA"),'MITRE ATT&amp;CK Mappings'!$G851))),ISNUMBER(SEARCH(IF(K$2&lt;&gt;"",K$2,"NA"),'MITRE ATT&amp;CK Mappings'!$H851))),ISNUMBER(SEARCH(IF(K$3&lt;&gt;"",K$3,"NA"),'MITRE ATT&amp;CK Mappings'!$I851))),ISNUMBER(SEARCH(IF(K$3&lt;&gt;"",K$3,"NA"),'MITRE ATT&amp;CK Mappings'!$J851))), 'MITRE ATT&amp;CK Mappings'!$B851,"")</f>
        <v/>
      </c>
      <c r="L855" s="27" t="str">
        <f>IF('MITRE ATT&amp;CK Mappings'!D851 &lt;&gt;"",'MITRE ATT&amp;CK Mappings'!D851,"" )</f>
        <v/>
      </c>
    </row>
    <row r="856" spans="1:12" x14ac:dyDescent="0.25">
      <c r="A856" s="26" t="str">
        <f>IF(COUNTIF(B856:K856,"="&amp;'MITRE ATT&amp;CK Mappings'!B852)&gt;0,'MITRE ATT&amp;CK Mappings'!B852,"")</f>
        <v/>
      </c>
      <c r="B856" s="26" t="str">
        <f>IF(OR(OR(OR(OR(OR(ISNUMBER(SEARCH(IF(B$1&lt;&gt;"",B$1,"NA"),'MITRE ATT&amp;CK Mappings'!$E852)),ISNUMBER(SEARCH(IF(B$1&lt;&gt;"",B$1,"NA"),'MITRE ATT&amp;CK Mappings'!$F852))),ISNUMBER(SEARCH(IF(B$2&lt;&gt;"",B$2,"NA"),'MITRE ATT&amp;CK Mappings'!$G852))),ISNUMBER(SEARCH(IF(B$2&lt;&gt;"",B$2,"NA"),'MITRE ATT&amp;CK Mappings'!$H852))),ISNUMBER(SEARCH(IF(B$3&lt;&gt;"",B$3,"NA"),'MITRE ATT&amp;CK Mappings'!$I852))),ISNUMBER(SEARCH(IF(B$3&lt;&gt;"",B$3,"NA"),'MITRE ATT&amp;CK Mappings'!$J852))), 'MITRE ATT&amp;CK Mappings'!$B852,"")</f>
        <v/>
      </c>
      <c r="C856" s="26" t="str">
        <f>IF(OR(OR(OR(OR(OR(ISNUMBER(SEARCH(IF(C$1&lt;&gt;"",C$1,"NA"),'MITRE ATT&amp;CK Mappings'!$E852)),ISNUMBER(SEARCH(IF(C$1&lt;&gt;"",C$1,"NA"),'MITRE ATT&amp;CK Mappings'!$F852))),ISNUMBER(SEARCH(IF(C$2&lt;&gt;"",C$2,"NA"),'MITRE ATT&amp;CK Mappings'!$G852))),ISNUMBER(SEARCH(IF(C$2&lt;&gt;"",C$2,"NA"),'MITRE ATT&amp;CK Mappings'!$H852))),ISNUMBER(SEARCH(IF(C$3&lt;&gt;"",C$3,"NA"),'MITRE ATT&amp;CK Mappings'!$I852))),ISNUMBER(SEARCH(IF(C$3&lt;&gt;"",C$3,"NA"),'MITRE ATT&amp;CK Mappings'!$J852))), 'MITRE ATT&amp;CK Mappings'!$B852,"")</f>
        <v/>
      </c>
      <c r="D856" s="26" t="str">
        <f>IF(OR(OR(OR(OR(OR(ISNUMBER(SEARCH(IF(D$1&lt;&gt;"",D$1,"NA"),'MITRE ATT&amp;CK Mappings'!$E852)),ISNUMBER(SEARCH(IF(D$1&lt;&gt;"",D$1,"NA"),'MITRE ATT&amp;CK Mappings'!$F852))),ISNUMBER(SEARCH(IF(D$2&lt;&gt;"",D$2,"NA"),'MITRE ATT&amp;CK Mappings'!$G852))),ISNUMBER(SEARCH(IF(D$2&lt;&gt;"",D$2,"NA"),'MITRE ATT&amp;CK Mappings'!$H852))),ISNUMBER(SEARCH(IF(D$3&lt;&gt;"",D$3,"NA"),'MITRE ATT&amp;CK Mappings'!$I852))),ISNUMBER(SEARCH(IF(D$3&lt;&gt;"",D$3,"NA"),'MITRE ATT&amp;CK Mappings'!$J852))), 'MITRE ATT&amp;CK Mappings'!$B852,"")</f>
        <v/>
      </c>
      <c r="E856" s="26" t="str">
        <f>IF(OR(OR(OR(OR(OR(ISNUMBER(SEARCH(IF(E$1&lt;&gt;"",E$1,"NA"),'MITRE ATT&amp;CK Mappings'!$E852)),ISNUMBER(SEARCH(IF(E$1&lt;&gt;"",E$1,"NA"),'MITRE ATT&amp;CK Mappings'!$F852))),ISNUMBER(SEARCH(IF(E$2&lt;&gt;"",E$2,"NA"),'MITRE ATT&amp;CK Mappings'!$G852))),ISNUMBER(SEARCH(IF(E$2&lt;&gt;"",E$2,"NA"),'MITRE ATT&amp;CK Mappings'!$H852))),ISNUMBER(SEARCH(IF(E$3&lt;&gt;"",E$3,"NA"),'MITRE ATT&amp;CK Mappings'!$I852))),ISNUMBER(SEARCH(IF(E$3&lt;&gt;"",E$3,"NA"),'MITRE ATT&amp;CK Mappings'!$J852))), 'MITRE ATT&amp;CK Mappings'!$B852,"")</f>
        <v/>
      </c>
      <c r="F856" s="26" t="str">
        <f>IF(OR(OR(OR(OR(OR(ISNUMBER(SEARCH(IF(F$1&lt;&gt;"",F$1,"NA"),'MITRE ATT&amp;CK Mappings'!$E852)),ISNUMBER(SEARCH(IF(F$1&lt;&gt;"",F$1,"NA"),'MITRE ATT&amp;CK Mappings'!$F852))),ISNUMBER(SEARCH(IF(F$2&lt;&gt;"",F$2,"NA"),'MITRE ATT&amp;CK Mappings'!$G852))),ISNUMBER(SEARCH(IF(F$2&lt;&gt;"",F$2,"NA"),'MITRE ATT&amp;CK Mappings'!$H852))),ISNUMBER(SEARCH(IF(F$3&lt;&gt;"",F$3,"NA"),'MITRE ATT&amp;CK Mappings'!$I852))),ISNUMBER(SEARCH(IF(F$3&lt;&gt;"",F$3,"NA"),'MITRE ATT&amp;CK Mappings'!$J852))), 'MITRE ATT&amp;CK Mappings'!$B852,"")</f>
        <v/>
      </c>
      <c r="G856" s="26" t="str">
        <f>IF(OR(OR(OR(OR(OR(ISNUMBER(SEARCH(IF(G$1&lt;&gt;"",G$1,"NA"),'MITRE ATT&amp;CK Mappings'!$E852)),ISNUMBER(SEARCH(IF(G$1&lt;&gt;"",G$1,"NA"),'MITRE ATT&amp;CK Mappings'!$F852))),ISNUMBER(SEARCH(IF(G$2&lt;&gt;"",G$2,"NA"),'MITRE ATT&amp;CK Mappings'!$G852))),ISNUMBER(SEARCH(IF(G$2&lt;&gt;"",G$2,"NA"),'MITRE ATT&amp;CK Mappings'!$H852))),ISNUMBER(SEARCH(IF(G$3&lt;&gt;"",G$3,"NA"),'MITRE ATT&amp;CK Mappings'!$I852))),ISNUMBER(SEARCH(IF(G$3&lt;&gt;"",G$3,"NA"),'MITRE ATT&amp;CK Mappings'!$J852))), 'MITRE ATT&amp;CK Mappings'!$B852,"")</f>
        <v/>
      </c>
      <c r="H856" s="26" t="str">
        <f>IF(OR(OR(OR(OR(OR(ISNUMBER(SEARCH(IF(H$1&lt;&gt;"",H$1,"NA"),'MITRE ATT&amp;CK Mappings'!$E852)),ISNUMBER(SEARCH(IF(H$1&lt;&gt;"",H$1,"NA"),'MITRE ATT&amp;CK Mappings'!$F852))),ISNUMBER(SEARCH(IF(H$2&lt;&gt;"",H$2,"NA"),'MITRE ATT&amp;CK Mappings'!$G852))),ISNUMBER(SEARCH(IF(H$2&lt;&gt;"",H$2,"NA"),'MITRE ATT&amp;CK Mappings'!$H852))),ISNUMBER(SEARCH(IF(H$3&lt;&gt;"",H$3,"NA"),'MITRE ATT&amp;CK Mappings'!$I852))),ISNUMBER(SEARCH(IF(H$3&lt;&gt;"",H$3,"NA"),'MITRE ATT&amp;CK Mappings'!$J852))), 'MITRE ATT&amp;CK Mappings'!$B852,"")</f>
        <v/>
      </c>
      <c r="I856" s="26" t="str">
        <f>IF(OR(OR(OR(OR(OR(ISNUMBER(SEARCH(IF(I$1&lt;&gt;"",I$1,"NA"),'MITRE ATT&amp;CK Mappings'!$E852)),ISNUMBER(SEARCH(IF(I$1&lt;&gt;"",I$1,"NA"),'MITRE ATT&amp;CK Mappings'!$F852))),ISNUMBER(SEARCH(IF(I$2&lt;&gt;"",I$2,"NA"),'MITRE ATT&amp;CK Mappings'!$G852))),ISNUMBER(SEARCH(IF(I$2&lt;&gt;"",I$2,"NA"),'MITRE ATT&amp;CK Mappings'!$H852))),ISNUMBER(SEARCH(IF(I$3&lt;&gt;"",I$3,"NA"),'MITRE ATT&amp;CK Mappings'!$I852))),ISNUMBER(SEARCH(IF(I$3&lt;&gt;"",I$3,"NA"),'MITRE ATT&amp;CK Mappings'!$J852))), 'MITRE ATT&amp;CK Mappings'!$B852,"")</f>
        <v/>
      </c>
      <c r="J856" s="26" t="str">
        <f>IF(OR(OR(OR(OR(OR(ISNUMBER(SEARCH(IF(J$1&lt;&gt;"",J$1,"NA"),'MITRE ATT&amp;CK Mappings'!$E852)),ISNUMBER(SEARCH(IF(J$1&lt;&gt;"",J$1,"NA"),'MITRE ATT&amp;CK Mappings'!$F852))),ISNUMBER(SEARCH(IF(J$2&lt;&gt;"",J$2,"NA"),'MITRE ATT&amp;CK Mappings'!$G852))),ISNUMBER(SEARCH(IF(J$2&lt;&gt;"",J$2,"NA"),'MITRE ATT&amp;CK Mappings'!$H852))),ISNUMBER(SEARCH(IF(J$3&lt;&gt;"",J$3,"NA"),'MITRE ATT&amp;CK Mappings'!$I852))),ISNUMBER(SEARCH(IF(J$3&lt;&gt;"",J$3,"NA"),'MITRE ATT&amp;CK Mappings'!$J852))), 'MITRE ATT&amp;CK Mappings'!$B852,"")</f>
        <v/>
      </c>
      <c r="K856" s="26" t="str">
        <f>IF(OR(OR(OR(OR(OR(ISNUMBER(SEARCH(IF(K$1&lt;&gt;"",K$1,"NA"),'MITRE ATT&amp;CK Mappings'!$E852)),ISNUMBER(SEARCH(IF(K$1&lt;&gt;"",K$1,"NA"),'MITRE ATT&amp;CK Mappings'!$F852))),ISNUMBER(SEARCH(IF(K$2&lt;&gt;"",K$2,"NA"),'MITRE ATT&amp;CK Mappings'!$G852))),ISNUMBER(SEARCH(IF(K$2&lt;&gt;"",K$2,"NA"),'MITRE ATT&amp;CK Mappings'!$H852))),ISNUMBER(SEARCH(IF(K$3&lt;&gt;"",K$3,"NA"),'MITRE ATT&amp;CK Mappings'!$I852))),ISNUMBER(SEARCH(IF(K$3&lt;&gt;"",K$3,"NA"),'MITRE ATT&amp;CK Mappings'!$J852))), 'MITRE ATT&amp;CK Mappings'!$B852,"")</f>
        <v/>
      </c>
      <c r="L856" s="26" t="str">
        <f>IF('MITRE ATT&amp;CK Mappings'!D852 &lt;&gt;"",'MITRE ATT&amp;CK Mappings'!D852,"" )</f>
        <v/>
      </c>
    </row>
    <row r="857" spans="1:12" x14ac:dyDescent="0.25">
      <c r="A857" s="27" t="str">
        <f>IF(COUNTIF(B857:K857,"="&amp;'MITRE ATT&amp;CK Mappings'!B853)&gt;0,'MITRE ATT&amp;CK Mappings'!B853,"")</f>
        <v/>
      </c>
      <c r="B857" s="27" t="str">
        <f>IF(OR(OR(OR(OR(OR(ISNUMBER(SEARCH(IF(B$1&lt;&gt;"",B$1,"NA"),'MITRE ATT&amp;CK Mappings'!$E853)),ISNUMBER(SEARCH(IF(B$1&lt;&gt;"",B$1,"NA"),'MITRE ATT&amp;CK Mappings'!$F853))),ISNUMBER(SEARCH(IF(B$2&lt;&gt;"",B$2,"NA"),'MITRE ATT&amp;CK Mappings'!$G853))),ISNUMBER(SEARCH(IF(B$2&lt;&gt;"",B$2,"NA"),'MITRE ATT&amp;CK Mappings'!$H853))),ISNUMBER(SEARCH(IF(B$3&lt;&gt;"",B$3,"NA"),'MITRE ATT&amp;CK Mappings'!$I853))),ISNUMBER(SEARCH(IF(B$3&lt;&gt;"",B$3,"NA"),'MITRE ATT&amp;CK Mappings'!$J853))), 'MITRE ATT&amp;CK Mappings'!$B853,"")</f>
        <v/>
      </c>
      <c r="C857" s="27" t="str">
        <f>IF(OR(OR(OR(OR(OR(ISNUMBER(SEARCH(IF(C$1&lt;&gt;"",C$1,"NA"),'MITRE ATT&amp;CK Mappings'!$E853)),ISNUMBER(SEARCH(IF(C$1&lt;&gt;"",C$1,"NA"),'MITRE ATT&amp;CK Mappings'!$F853))),ISNUMBER(SEARCH(IF(C$2&lt;&gt;"",C$2,"NA"),'MITRE ATT&amp;CK Mappings'!$G853))),ISNUMBER(SEARCH(IF(C$2&lt;&gt;"",C$2,"NA"),'MITRE ATT&amp;CK Mappings'!$H853))),ISNUMBER(SEARCH(IF(C$3&lt;&gt;"",C$3,"NA"),'MITRE ATT&amp;CK Mappings'!$I853))),ISNUMBER(SEARCH(IF(C$3&lt;&gt;"",C$3,"NA"),'MITRE ATT&amp;CK Mappings'!$J853))), 'MITRE ATT&amp;CK Mappings'!$B853,"")</f>
        <v/>
      </c>
      <c r="D857" s="27" t="str">
        <f>IF(OR(OR(OR(OR(OR(ISNUMBER(SEARCH(IF(D$1&lt;&gt;"",D$1,"NA"),'MITRE ATT&amp;CK Mappings'!$E853)),ISNUMBER(SEARCH(IF(D$1&lt;&gt;"",D$1,"NA"),'MITRE ATT&amp;CK Mappings'!$F853))),ISNUMBER(SEARCH(IF(D$2&lt;&gt;"",D$2,"NA"),'MITRE ATT&amp;CK Mappings'!$G853))),ISNUMBER(SEARCH(IF(D$2&lt;&gt;"",D$2,"NA"),'MITRE ATT&amp;CK Mappings'!$H853))),ISNUMBER(SEARCH(IF(D$3&lt;&gt;"",D$3,"NA"),'MITRE ATT&amp;CK Mappings'!$I853))),ISNUMBER(SEARCH(IF(D$3&lt;&gt;"",D$3,"NA"),'MITRE ATT&amp;CK Mappings'!$J853))), 'MITRE ATT&amp;CK Mappings'!$B853,"")</f>
        <v/>
      </c>
      <c r="E857" s="27" t="str">
        <f>IF(OR(OR(OR(OR(OR(ISNUMBER(SEARCH(IF(E$1&lt;&gt;"",E$1,"NA"),'MITRE ATT&amp;CK Mappings'!$E853)),ISNUMBER(SEARCH(IF(E$1&lt;&gt;"",E$1,"NA"),'MITRE ATT&amp;CK Mappings'!$F853))),ISNUMBER(SEARCH(IF(E$2&lt;&gt;"",E$2,"NA"),'MITRE ATT&amp;CK Mappings'!$G853))),ISNUMBER(SEARCH(IF(E$2&lt;&gt;"",E$2,"NA"),'MITRE ATT&amp;CK Mappings'!$H853))),ISNUMBER(SEARCH(IF(E$3&lt;&gt;"",E$3,"NA"),'MITRE ATT&amp;CK Mappings'!$I853))),ISNUMBER(SEARCH(IF(E$3&lt;&gt;"",E$3,"NA"),'MITRE ATT&amp;CK Mappings'!$J853))), 'MITRE ATT&amp;CK Mappings'!$B853,"")</f>
        <v/>
      </c>
      <c r="F857" s="27" t="str">
        <f>IF(OR(OR(OR(OR(OR(ISNUMBER(SEARCH(IF(F$1&lt;&gt;"",F$1,"NA"),'MITRE ATT&amp;CK Mappings'!$E853)),ISNUMBER(SEARCH(IF(F$1&lt;&gt;"",F$1,"NA"),'MITRE ATT&amp;CK Mappings'!$F853))),ISNUMBER(SEARCH(IF(F$2&lt;&gt;"",F$2,"NA"),'MITRE ATT&amp;CK Mappings'!$G853))),ISNUMBER(SEARCH(IF(F$2&lt;&gt;"",F$2,"NA"),'MITRE ATT&amp;CK Mappings'!$H853))),ISNUMBER(SEARCH(IF(F$3&lt;&gt;"",F$3,"NA"),'MITRE ATT&amp;CK Mappings'!$I853))),ISNUMBER(SEARCH(IF(F$3&lt;&gt;"",F$3,"NA"),'MITRE ATT&amp;CK Mappings'!$J853))), 'MITRE ATT&amp;CK Mappings'!$B853,"")</f>
        <v/>
      </c>
      <c r="G857" s="27" t="str">
        <f>IF(OR(OR(OR(OR(OR(ISNUMBER(SEARCH(IF(G$1&lt;&gt;"",G$1,"NA"),'MITRE ATT&amp;CK Mappings'!$E853)),ISNUMBER(SEARCH(IF(G$1&lt;&gt;"",G$1,"NA"),'MITRE ATT&amp;CK Mappings'!$F853))),ISNUMBER(SEARCH(IF(G$2&lt;&gt;"",G$2,"NA"),'MITRE ATT&amp;CK Mappings'!$G853))),ISNUMBER(SEARCH(IF(G$2&lt;&gt;"",G$2,"NA"),'MITRE ATT&amp;CK Mappings'!$H853))),ISNUMBER(SEARCH(IF(G$3&lt;&gt;"",G$3,"NA"),'MITRE ATT&amp;CK Mappings'!$I853))),ISNUMBER(SEARCH(IF(G$3&lt;&gt;"",G$3,"NA"),'MITRE ATT&amp;CK Mappings'!$J853))), 'MITRE ATT&amp;CK Mappings'!$B853,"")</f>
        <v/>
      </c>
      <c r="H857" s="27" t="str">
        <f>IF(OR(OR(OR(OR(OR(ISNUMBER(SEARCH(IF(H$1&lt;&gt;"",H$1,"NA"),'MITRE ATT&amp;CK Mappings'!$E853)),ISNUMBER(SEARCH(IF(H$1&lt;&gt;"",H$1,"NA"),'MITRE ATT&amp;CK Mappings'!$F853))),ISNUMBER(SEARCH(IF(H$2&lt;&gt;"",H$2,"NA"),'MITRE ATT&amp;CK Mappings'!$G853))),ISNUMBER(SEARCH(IF(H$2&lt;&gt;"",H$2,"NA"),'MITRE ATT&amp;CK Mappings'!$H853))),ISNUMBER(SEARCH(IF(H$3&lt;&gt;"",H$3,"NA"),'MITRE ATT&amp;CK Mappings'!$I853))),ISNUMBER(SEARCH(IF(H$3&lt;&gt;"",H$3,"NA"),'MITRE ATT&amp;CK Mappings'!$J853))), 'MITRE ATT&amp;CK Mappings'!$B853,"")</f>
        <v/>
      </c>
      <c r="I857" s="27" t="str">
        <f>IF(OR(OR(OR(OR(OR(ISNUMBER(SEARCH(IF(I$1&lt;&gt;"",I$1,"NA"),'MITRE ATT&amp;CK Mappings'!$E853)),ISNUMBER(SEARCH(IF(I$1&lt;&gt;"",I$1,"NA"),'MITRE ATT&amp;CK Mappings'!$F853))),ISNUMBER(SEARCH(IF(I$2&lt;&gt;"",I$2,"NA"),'MITRE ATT&amp;CK Mappings'!$G853))),ISNUMBER(SEARCH(IF(I$2&lt;&gt;"",I$2,"NA"),'MITRE ATT&amp;CK Mappings'!$H853))),ISNUMBER(SEARCH(IF(I$3&lt;&gt;"",I$3,"NA"),'MITRE ATT&amp;CK Mappings'!$I853))),ISNUMBER(SEARCH(IF(I$3&lt;&gt;"",I$3,"NA"),'MITRE ATT&amp;CK Mappings'!$J853))), 'MITRE ATT&amp;CK Mappings'!$B853,"")</f>
        <v/>
      </c>
      <c r="J857" s="27" t="str">
        <f>IF(OR(OR(OR(OR(OR(ISNUMBER(SEARCH(IF(J$1&lt;&gt;"",J$1,"NA"),'MITRE ATT&amp;CK Mappings'!$E853)),ISNUMBER(SEARCH(IF(J$1&lt;&gt;"",J$1,"NA"),'MITRE ATT&amp;CK Mappings'!$F853))),ISNUMBER(SEARCH(IF(J$2&lt;&gt;"",J$2,"NA"),'MITRE ATT&amp;CK Mappings'!$G853))),ISNUMBER(SEARCH(IF(J$2&lt;&gt;"",J$2,"NA"),'MITRE ATT&amp;CK Mappings'!$H853))),ISNUMBER(SEARCH(IF(J$3&lt;&gt;"",J$3,"NA"),'MITRE ATT&amp;CK Mappings'!$I853))),ISNUMBER(SEARCH(IF(J$3&lt;&gt;"",J$3,"NA"),'MITRE ATT&amp;CK Mappings'!$J853))), 'MITRE ATT&amp;CK Mappings'!$B853,"")</f>
        <v/>
      </c>
      <c r="K857" s="27" t="str">
        <f>IF(OR(OR(OR(OR(OR(ISNUMBER(SEARCH(IF(K$1&lt;&gt;"",K$1,"NA"),'MITRE ATT&amp;CK Mappings'!$E853)),ISNUMBER(SEARCH(IF(K$1&lt;&gt;"",K$1,"NA"),'MITRE ATT&amp;CK Mappings'!$F853))),ISNUMBER(SEARCH(IF(K$2&lt;&gt;"",K$2,"NA"),'MITRE ATT&amp;CK Mappings'!$G853))),ISNUMBER(SEARCH(IF(K$2&lt;&gt;"",K$2,"NA"),'MITRE ATT&amp;CK Mappings'!$H853))),ISNUMBER(SEARCH(IF(K$3&lt;&gt;"",K$3,"NA"),'MITRE ATT&amp;CK Mappings'!$I853))),ISNUMBER(SEARCH(IF(K$3&lt;&gt;"",K$3,"NA"),'MITRE ATT&amp;CK Mappings'!$J853))), 'MITRE ATT&amp;CK Mappings'!$B853,"")</f>
        <v/>
      </c>
      <c r="L857" s="27" t="str">
        <f>IF('MITRE ATT&amp;CK Mappings'!D853 &lt;&gt;"",'MITRE ATT&amp;CK Mappings'!D853,"" )</f>
        <v/>
      </c>
    </row>
    <row r="858" spans="1:12" x14ac:dyDescent="0.25">
      <c r="A858" s="26" t="str">
        <f>IF(COUNTIF(B858:K858,"="&amp;'MITRE ATT&amp;CK Mappings'!B854)&gt;0,'MITRE ATT&amp;CK Mappings'!B854,"")</f>
        <v/>
      </c>
      <c r="B858" s="26" t="str">
        <f>IF(OR(OR(OR(OR(OR(ISNUMBER(SEARCH(IF(B$1&lt;&gt;"",B$1,"NA"),'MITRE ATT&amp;CK Mappings'!$E854)),ISNUMBER(SEARCH(IF(B$1&lt;&gt;"",B$1,"NA"),'MITRE ATT&amp;CK Mappings'!$F854))),ISNUMBER(SEARCH(IF(B$2&lt;&gt;"",B$2,"NA"),'MITRE ATT&amp;CK Mappings'!$G854))),ISNUMBER(SEARCH(IF(B$2&lt;&gt;"",B$2,"NA"),'MITRE ATT&amp;CK Mappings'!$H854))),ISNUMBER(SEARCH(IF(B$3&lt;&gt;"",B$3,"NA"),'MITRE ATT&amp;CK Mappings'!$I854))),ISNUMBER(SEARCH(IF(B$3&lt;&gt;"",B$3,"NA"),'MITRE ATT&amp;CK Mappings'!$J854))), 'MITRE ATT&amp;CK Mappings'!$B854,"")</f>
        <v/>
      </c>
      <c r="C858" s="26" t="str">
        <f>IF(OR(OR(OR(OR(OR(ISNUMBER(SEARCH(IF(C$1&lt;&gt;"",C$1,"NA"),'MITRE ATT&amp;CK Mappings'!$E854)),ISNUMBER(SEARCH(IF(C$1&lt;&gt;"",C$1,"NA"),'MITRE ATT&amp;CK Mappings'!$F854))),ISNUMBER(SEARCH(IF(C$2&lt;&gt;"",C$2,"NA"),'MITRE ATT&amp;CK Mappings'!$G854))),ISNUMBER(SEARCH(IF(C$2&lt;&gt;"",C$2,"NA"),'MITRE ATT&amp;CK Mappings'!$H854))),ISNUMBER(SEARCH(IF(C$3&lt;&gt;"",C$3,"NA"),'MITRE ATT&amp;CK Mappings'!$I854))),ISNUMBER(SEARCH(IF(C$3&lt;&gt;"",C$3,"NA"),'MITRE ATT&amp;CK Mappings'!$J854))), 'MITRE ATT&amp;CK Mappings'!$B854,"")</f>
        <v/>
      </c>
      <c r="D858" s="26" t="str">
        <f>IF(OR(OR(OR(OR(OR(ISNUMBER(SEARCH(IF(D$1&lt;&gt;"",D$1,"NA"),'MITRE ATT&amp;CK Mappings'!$E854)),ISNUMBER(SEARCH(IF(D$1&lt;&gt;"",D$1,"NA"),'MITRE ATT&amp;CK Mappings'!$F854))),ISNUMBER(SEARCH(IF(D$2&lt;&gt;"",D$2,"NA"),'MITRE ATT&amp;CK Mappings'!$G854))),ISNUMBER(SEARCH(IF(D$2&lt;&gt;"",D$2,"NA"),'MITRE ATT&amp;CK Mappings'!$H854))),ISNUMBER(SEARCH(IF(D$3&lt;&gt;"",D$3,"NA"),'MITRE ATT&amp;CK Mappings'!$I854))),ISNUMBER(SEARCH(IF(D$3&lt;&gt;"",D$3,"NA"),'MITRE ATT&amp;CK Mappings'!$J854))), 'MITRE ATT&amp;CK Mappings'!$B854,"")</f>
        <v/>
      </c>
      <c r="E858" s="26" t="str">
        <f>IF(OR(OR(OR(OR(OR(ISNUMBER(SEARCH(IF(E$1&lt;&gt;"",E$1,"NA"),'MITRE ATT&amp;CK Mappings'!$E854)),ISNUMBER(SEARCH(IF(E$1&lt;&gt;"",E$1,"NA"),'MITRE ATT&amp;CK Mappings'!$F854))),ISNUMBER(SEARCH(IF(E$2&lt;&gt;"",E$2,"NA"),'MITRE ATT&amp;CK Mappings'!$G854))),ISNUMBER(SEARCH(IF(E$2&lt;&gt;"",E$2,"NA"),'MITRE ATT&amp;CK Mappings'!$H854))),ISNUMBER(SEARCH(IF(E$3&lt;&gt;"",E$3,"NA"),'MITRE ATT&amp;CK Mappings'!$I854))),ISNUMBER(SEARCH(IF(E$3&lt;&gt;"",E$3,"NA"),'MITRE ATT&amp;CK Mappings'!$J854))), 'MITRE ATT&amp;CK Mappings'!$B854,"")</f>
        <v/>
      </c>
      <c r="F858" s="26" t="str">
        <f>IF(OR(OR(OR(OR(OR(ISNUMBER(SEARCH(IF(F$1&lt;&gt;"",F$1,"NA"),'MITRE ATT&amp;CK Mappings'!$E854)),ISNUMBER(SEARCH(IF(F$1&lt;&gt;"",F$1,"NA"),'MITRE ATT&amp;CK Mappings'!$F854))),ISNUMBER(SEARCH(IF(F$2&lt;&gt;"",F$2,"NA"),'MITRE ATT&amp;CK Mappings'!$G854))),ISNUMBER(SEARCH(IF(F$2&lt;&gt;"",F$2,"NA"),'MITRE ATT&amp;CK Mappings'!$H854))),ISNUMBER(SEARCH(IF(F$3&lt;&gt;"",F$3,"NA"),'MITRE ATT&amp;CK Mappings'!$I854))),ISNUMBER(SEARCH(IF(F$3&lt;&gt;"",F$3,"NA"),'MITRE ATT&amp;CK Mappings'!$J854))), 'MITRE ATT&amp;CK Mappings'!$B854,"")</f>
        <v/>
      </c>
      <c r="G858" s="26" t="str">
        <f>IF(OR(OR(OR(OR(OR(ISNUMBER(SEARCH(IF(G$1&lt;&gt;"",G$1,"NA"),'MITRE ATT&amp;CK Mappings'!$E854)),ISNUMBER(SEARCH(IF(G$1&lt;&gt;"",G$1,"NA"),'MITRE ATT&amp;CK Mappings'!$F854))),ISNUMBER(SEARCH(IF(G$2&lt;&gt;"",G$2,"NA"),'MITRE ATT&amp;CK Mappings'!$G854))),ISNUMBER(SEARCH(IF(G$2&lt;&gt;"",G$2,"NA"),'MITRE ATT&amp;CK Mappings'!$H854))),ISNUMBER(SEARCH(IF(G$3&lt;&gt;"",G$3,"NA"),'MITRE ATT&amp;CK Mappings'!$I854))),ISNUMBER(SEARCH(IF(G$3&lt;&gt;"",G$3,"NA"),'MITRE ATT&amp;CK Mappings'!$J854))), 'MITRE ATT&amp;CK Mappings'!$B854,"")</f>
        <v/>
      </c>
      <c r="H858" s="26" t="str">
        <f>IF(OR(OR(OR(OR(OR(ISNUMBER(SEARCH(IF(H$1&lt;&gt;"",H$1,"NA"),'MITRE ATT&amp;CK Mappings'!$E854)),ISNUMBER(SEARCH(IF(H$1&lt;&gt;"",H$1,"NA"),'MITRE ATT&amp;CK Mappings'!$F854))),ISNUMBER(SEARCH(IF(H$2&lt;&gt;"",H$2,"NA"),'MITRE ATT&amp;CK Mappings'!$G854))),ISNUMBER(SEARCH(IF(H$2&lt;&gt;"",H$2,"NA"),'MITRE ATT&amp;CK Mappings'!$H854))),ISNUMBER(SEARCH(IF(H$3&lt;&gt;"",H$3,"NA"),'MITRE ATT&amp;CK Mappings'!$I854))),ISNUMBER(SEARCH(IF(H$3&lt;&gt;"",H$3,"NA"),'MITRE ATT&amp;CK Mappings'!$J854))), 'MITRE ATT&amp;CK Mappings'!$B854,"")</f>
        <v/>
      </c>
      <c r="I858" s="26" t="str">
        <f>IF(OR(OR(OR(OR(OR(ISNUMBER(SEARCH(IF(I$1&lt;&gt;"",I$1,"NA"),'MITRE ATT&amp;CK Mappings'!$E854)),ISNUMBER(SEARCH(IF(I$1&lt;&gt;"",I$1,"NA"),'MITRE ATT&amp;CK Mappings'!$F854))),ISNUMBER(SEARCH(IF(I$2&lt;&gt;"",I$2,"NA"),'MITRE ATT&amp;CK Mappings'!$G854))),ISNUMBER(SEARCH(IF(I$2&lt;&gt;"",I$2,"NA"),'MITRE ATT&amp;CK Mappings'!$H854))),ISNUMBER(SEARCH(IF(I$3&lt;&gt;"",I$3,"NA"),'MITRE ATT&amp;CK Mappings'!$I854))),ISNUMBER(SEARCH(IF(I$3&lt;&gt;"",I$3,"NA"),'MITRE ATT&amp;CK Mappings'!$J854))), 'MITRE ATT&amp;CK Mappings'!$B854,"")</f>
        <v/>
      </c>
      <c r="J858" s="26" t="str">
        <f>IF(OR(OR(OR(OR(OR(ISNUMBER(SEARCH(IF(J$1&lt;&gt;"",J$1,"NA"),'MITRE ATT&amp;CK Mappings'!$E854)),ISNUMBER(SEARCH(IF(J$1&lt;&gt;"",J$1,"NA"),'MITRE ATT&amp;CK Mappings'!$F854))),ISNUMBER(SEARCH(IF(J$2&lt;&gt;"",J$2,"NA"),'MITRE ATT&amp;CK Mappings'!$G854))),ISNUMBER(SEARCH(IF(J$2&lt;&gt;"",J$2,"NA"),'MITRE ATT&amp;CK Mappings'!$H854))),ISNUMBER(SEARCH(IF(J$3&lt;&gt;"",J$3,"NA"),'MITRE ATT&amp;CK Mappings'!$I854))),ISNUMBER(SEARCH(IF(J$3&lt;&gt;"",J$3,"NA"),'MITRE ATT&amp;CK Mappings'!$J854))), 'MITRE ATT&amp;CK Mappings'!$B854,"")</f>
        <v/>
      </c>
      <c r="K858" s="26" t="str">
        <f>IF(OR(OR(OR(OR(OR(ISNUMBER(SEARCH(IF(K$1&lt;&gt;"",K$1,"NA"),'MITRE ATT&amp;CK Mappings'!$E854)),ISNUMBER(SEARCH(IF(K$1&lt;&gt;"",K$1,"NA"),'MITRE ATT&amp;CK Mappings'!$F854))),ISNUMBER(SEARCH(IF(K$2&lt;&gt;"",K$2,"NA"),'MITRE ATT&amp;CK Mappings'!$G854))),ISNUMBER(SEARCH(IF(K$2&lt;&gt;"",K$2,"NA"),'MITRE ATT&amp;CK Mappings'!$H854))),ISNUMBER(SEARCH(IF(K$3&lt;&gt;"",K$3,"NA"),'MITRE ATT&amp;CK Mappings'!$I854))),ISNUMBER(SEARCH(IF(K$3&lt;&gt;"",K$3,"NA"),'MITRE ATT&amp;CK Mappings'!$J854))), 'MITRE ATT&amp;CK Mappings'!$B854,"")</f>
        <v/>
      </c>
      <c r="L858" s="26" t="str">
        <f>IF('MITRE ATT&amp;CK Mappings'!D854 &lt;&gt;"",'MITRE ATT&amp;CK Mappings'!D854,"" )</f>
        <v/>
      </c>
    </row>
    <row r="859" spans="1:12" x14ac:dyDescent="0.25">
      <c r="A859" s="27" t="str">
        <f>IF(COUNTIF(B859:K859,"="&amp;'MITRE ATT&amp;CK Mappings'!B855)&gt;0,'MITRE ATT&amp;CK Mappings'!B855,"")</f>
        <v/>
      </c>
      <c r="B859" s="27" t="str">
        <f>IF(OR(OR(OR(OR(OR(ISNUMBER(SEARCH(IF(B$1&lt;&gt;"",B$1,"NA"),'MITRE ATT&amp;CK Mappings'!$E855)),ISNUMBER(SEARCH(IF(B$1&lt;&gt;"",B$1,"NA"),'MITRE ATT&amp;CK Mappings'!$F855))),ISNUMBER(SEARCH(IF(B$2&lt;&gt;"",B$2,"NA"),'MITRE ATT&amp;CK Mappings'!$G855))),ISNUMBER(SEARCH(IF(B$2&lt;&gt;"",B$2,"NA"),'MITRE ATT&amp;CK Mappings'!$H855))),ISNUMBER(SEARCH(IF(B$3&lt;&gt;"",B$3,"NA"),'MITRE ATT&amp;CK Mappings'!$I855))),ISNUMBER(SEARCH(IF(B$3&lt;&gt;"",B$3,"NA"),'MITRE ATT&amp;CK Mappings'!$J855))), 'MITRE ATT&amp;CK Mappings'!$B855,"")</f>
        <v/>
      </c>
      <c r="C859" s="27" t="str">
        <f>IF(OR(OR(OR(OR(OR(ISNUMBER(SEARCH(IF(C$1&lt;&gt;"",C$1,"NA"),'MITRE ATT&amp;CK Mappings'!$E855)),ISNUMBER(SEARCH(IF(C$1&lt;&gt;"",C$1,"NA"),'MITRE ATT&amp;CK Mappings'!$F855))),ISNUMBER(SEARCH(IF(C$2&lt;&gt;"",C$2,"NA"),'MITRE ATT&amp;CK Mappings'!$G855))),ISNUMBER(SEARCH(IF(C$2&lt;&gt;"",C$2,"NA"),'MITRE ATT&amp;CK Mappings'!$H855))),ISNUMBER(SEARCH(IF(C$3&lt;&gt;"",C$3,"NA"),'MITRE ATT&amp;CK Mappings'!$I855))),ISNUMBER(SEARCH(IF(C$3&lt;&gt;"",C$3,"NA"),'MITRE ATT&amp;CK Mappings'!$J855))), 'MITRE ATT&amp;CK Mappings'!$B855,"")</f>
        <v/>
      </c>
      <c r="D859" s="27" t="str">
        <f>IF(OR(OR(OR(OR(OR(ISNUMBER(SEARCH(IF(D$1&lt;&gt;"",D$1,"NA"),'MITRE ATT&amp;CK Mappings'!$E855)),ISNUMBER(SEARCH(IF(D$1&lt;&gt;"",D$1,"NA"),'MITRE ATT&amp;CK Mappings'!$F855))),ISNUMBER(SEARCH(IF(D$2&lt;&gt;"",D$2,"NA"),'MITRE ATT&amp;CK Mappings'!$G855))),ISNUMBER(SEARCH(IF(D$2&lt;&gt;"",D$2,"NA"),'MITRE ATT&amp;CK Mappings'!$H855))),ISNUMBER(SEARCH(IF(D$3&lt;&gt;"",D$3,"NA"),'MITRE ATT&amp;CK Mappings'!$I855))),ISNUMBER(SEARCH(IF(D$3&lt;&gt;"",D$3,"NA"),'MITRE ATT&amp;CK Mappings'!$J855))), 'MITRE ATT&amp;CK Mappings'!$B855,"")</f>
        <v/>
      </c>
      <c r="E859" s="27" t="str">
        <f>IF(OR(OR(OR(OR(OR(ISNUMBER(SEARCH(IF(E$1&lt;&gt;"",E$1,"NA"),'MITRE ATT&amp;CK Mappings'!$E855)),ISNUMBER(SEARCH(IF(E$1&lt;&gt;"",E$1,"NA"),'MITRE ATT&amp;CK Mappings'!$F855))),ISNUMBER(SEARCH(IF(E$2&lt;&gt;"",E$2,"NA"),'MITRE ATT&amp;CK Mappings'!$G855))),ISNUMBER(SEARCH(IF(E$2&lt;&gt;"",E$2,"NA"),'MITRE ATT&amp;CK Mappings'!$H855))),ISNUMBER(SEARCH(IF(E$3&lt;&gt;"",E$3,"NA"),'MITRE ATT&amp;CK Mappings'!$I855))),ISNUMBER(SEARCH(IF(E$3&lt;&gt;"",E$3,"NA"),'MITRE ATT&amp;CK Mappings'!$J855))), 'MITRE ATT&amp;CK Mappings'!$B855,"")</f>
        <v/>
      </c>
      <c r="F859" s="27" t="str">
        <f>IF(OR(OR(OR(OR(OR(ISNUMBER(SEARCH(IF(F$1&lt;&gt;"",F$1,"NA"),'MITRE ATT&amp;CK Mappings'!$E855)),ISNUMBER(SEARCH(IF(F$1&lt;&gt;"",F$1,"NA"),'MITRE ATT&amp;CK Mappings'!$F855))),ISNUMBER(SEARCH(IF(F$2&lt;&gt;"",F$2,"NA"),'MITRE ATT&amp;CK Mappings'!$G855))),ISNUMBER(SEARCH(IF(F$2&lt;&gt;"",F$2,"NA"),'MITRE ATT&amp;CK Mappings'!$H855))),ISNUMBER(SEARCH(IF(F$3&lt;&gt;"",F$3,"NA"),'MITRE ATT&amp;CK Mappings'!$I855))),ISNUMBER(SEARCH(IF(F$3&lt;&gt;"",F$3,"NA"),'MITRE ATT&amp;CK Mappings'!$J855))), 'MITRE ATT&amp;CK Mappings'!$B855,"")</f>
        <v/>
      </c>
      <c r="G859" s="27" t="str">
        <f>IF(OR(OR(OR(OR(OR(ISNUMBER(SEARCH(IF(G$1&lt;&gt;"",G$1,"NA"),'MITRE ATT&amp;CK Mappings'!$E855)),ISNUMBER(SEARCH(IF(G$1&lt;&gt;"",G$1,"NA"),'MITRE ATT&amp;CK Mappings'!$F855))),ISNUMBER(SEARCH(IF(G$2&lt;&gt;"",G$2,"NA"),'MITRE ATT&amp;CK Mappings'!$G855))),ISNUMBER(SEARCH(IF(G$2&lt;&gt;"",G$2,"NA"),'MITRE ATT&amp;CK Mappings'!$H855))),ISNUMBER(SEARCH(IF(G$3&lt;&gt;"",G$3,"NA"),'MITRE ATT&amp;CK Mappings'!$I855))),ISNUMBER(SEARCH(IF(G$3&lt;&gt;"",G$3,"NA"),'MITRE ATT&amp;CK Mappings'!$J855))), 'MITRE ATT&amp;CK Mappings'!$B855,"")</f>
        <v/>
      </c>
      <c r="H859" s="27" t="str">
        <f>IF(OR(OR(OR(OR(OR(ISNUMBER(SEARCH(IF(H$1&lt;&gt;"",H$1,"NA"),'MITRE ATT&amp;CK Mappings'!$E855)),ISNUMBER(SEARCH(IF(H$1&lt;&gt;"",H$1,"NA"),'MITRE ATT&amp;CK Mappings'!$F855))),ISNUMBER(SEARCH(IF(H$2&lt;&gt;"",H$2,"NA"),'MITRE ATT&amp;CK Mappings'!$G855))),ISNUMBER(SEARCH(IF(H$2&lt;&gt;"",H$2,"NA"),'MITRE ATT&amp;CK Mappings'!$H855))),ISNUMBER(SEARCH(IF(H$3&lt;&gt;"",H$3,"NA"),'MITRE ATT&amp;CK Mappings'!$I855))),ISNUMBER(SEARCH(IF(H$3&lt;&gt;"",H$3,"NA"),'MITRE ATT&amp;CK Mappings'!$J855))), 'MITRE ATT&amp;CK Mappings'!$B855,"")</f>
        <v/>
      </c>
      <c r="I859" s="27" t="str">
        <f>IF(OR(OR(OR(OR(OR(ISNUMBER(SEARCH(IF(I$1&lt;&gt;"",I$1,"NA"),'MITRE ATT&amp;CK Mappings'!$E855)),ISNUMBER(SEARCH(IF(I$1&lt;&gt;"",I$1,"NA"),'MITRE ATT&amp;CK Mappings'!$F855))),ISNUMBER(SEARCH(IF(I$2&lt;&gt;"",I$2,"NA"),'MITRE ATT&amp;CK Mappings'!$G855))),ISNUMBER(SEARCH(IF(I$2&lt;&gt;"",I$2,"NA"),'MITRE ATT&amp;CK Mappings'!$H855))),ISNUMBER(SEARCH(IF(I$3&lt;&gt;"",I$3,"NA"),'MITRE ATT&amp;CK Mappings'!$I855))),ISNUMBER(SEARCH(IF(I$3&lt;&gt;"",I$3,"NA"),'MITRE ATT&amp;CK Mappings'!$J855))), 'MITRE ATT&amp;CK Mappings'!$B855,"")</f>
        <v/>
      </c>
      <c r="J859" s="27" t="str">
        <f>IF(OR(OR(OR(OR(OR(ISNUMBER(SEARCH(IF(J$1&lt;&gt;"",J$1,"NA"),'MITRE ATT&amp;CK Mappings'!$E855)),ISNUMBER(SEARCH(IF(J$1&lt;&gt;"",J$1,"NA"),'MITRE ATT&amp;CK Mappings'!$F855))),ISNUMBER(SEARCH(IF(J$2&lt;&gt;"",J$2,"NA"),'MITRE ATT&amp;CK Mappings'!$G855))),ISNUMBER(SEARCH(IF(J$2&lt;&gt;"",J$2,"NA"),'MITRE ATT&amp;CK Mappings'!$H855))),ISNUMBER(SEARCH(IF(J$3&lt;&gt;"",J$3,"NA"),'MITRE ATT&amp;CK Mappings'!$I855))),ISNUMBER(SEARCH(IF(J$3&lt;&gt;"",J$3,"NA"),'MITRE ATT&amp;CK Mappings'!$J855))), 'MITRE ATT&amp;CK Mappings'!$B855,"")</f>
        <v/>
      </c>
      <c r="K859" s="27" t="str">
        <f>IF(OR(OR(OR(OR(OR(ISNUMBER(SEARCH(IF(K$1&lt;&gt;"",K$1,"NA"),'MITRE ATT&amp;CK Mappings'!$E855)),ISNUMBER(SEARCH(IF(K$1&lt;&gt;"",K$1,"NA"),'MITRE ATT&amp;CK Mappings'!$F855))),ISNUMBER(SEARCH(IF(K$2&lt;&gt;"",K$2,"NA"),'MITRE ATT&amp;CK Mappings'!$G855))),ISNUMBER(SEARCH(IF(K$2&lt;&gt;"",K$2,"NA"),'MITRE ATT&amp;CK Mappings'!$H855))),ISNUMBER(SEARCH(IF(K$3&lt;&gt;"",K$3,"NA"),'MITRE ATT&amp;CK Mappings'!$I855))),ISNUMBER(SEARCH(IF(K$3&lt;&gt;"",K$3,"NA"),'MITRE ATT&amp;CK Mappings'!$J855))), 'MITRE ATT&amp;CK Mappings'!$B855,"")</f>
        <v/>
      </c>
      <c r="L859" s="27" t="str">
        <f>IF('MITRE ATT&amp;CK Mappings'!D855 &lt;&gt;"",'MITRE ATT&amp;CK Mappings'!D855,"" )</f>
        <v/>
      </c>
    </row>
    <row r="860" spans="1:12" x14ac:dyDescent="0.25">
      <c r="A860" s="26" t="str">
        <f>IF(COUNTIF(B860:K860,"="&amp;'MITRE ATT&amp;CK Mappings'!B856)&gt;0,'MITRE ATT&amp;CK Mappings'!B856,"")</f>
        <v/>
      </c>
      <c r="B860" s="26" t="str">
        <f>IF(OR(OR(OR(OR(OR(ISNUMBER(SEARCH(IF(B$1&lt;&gt;"",B$1,"NA"),'MITRE ATT&amp;CK Mappings'!$E856)),ISNUMBER(SEARCH(IF(B$1&lt;&gt;"",B$1,"NA"),'MITRE ATT&amp;CK Mappings'!$F856))),ISNUMBER(SEARCH(IF(B$2&lt;&gt;"",B$2,"NA"),'MITRE ATT&amp;CK Mappings'!$G856))),ISNUMBER(SEARCH(IF(B$2&lt;&gt;"",B$2,"NA"),'MITRE ATT&amp;CK Mappings'!$H856))),ISNUMBER(SEARCH(IF(B$3&lt;&gt;"",B$3,"NA"),'MITRE ATT&amp;CK Mappings'!$I856))),ISNUMBER(SEARCH(IF(B$3&lt;&gt;"",B$3,"NA"),'MITRE ATT&amp;CK Mappings'!$J856))), 'MITRE ATT&amp;CK Mappings'!$B856,"")</f>
        <v/>
      </c>
      <c r="C860" s="26" t="str">
        <f>IF(OR(OR(OR(OR(OR(ISNUMBER(SEARCH(IF(C$1&lt;&gt;"",C$1,"NA"),'MITRE ATT&amp;CK Mappings'!$E856)),ISNUMBER(SEARCH(IF(C$1&lt;&gt;"",C$1,"NA"),'MITRE ATT&amp;CK Mappings'!$F856))),ISNUMBER(SEARCH(IF(C$2&lt;&gt;"",C$2,"NA"),'MITRE ATT&amp;CK Mappings'!$G856))),ISNUMBER(SEARCH(IF(C$2&lt;&gt;"",C$2,"NA"),'MITRE ATT&amp;CK Mappings'!$H856))),ISNUMBER(SEARCH(IF(C$3&lt;&gt;"",C$3,"NA"),'MITRE ATT&amp;CK Mappings'!$I856))),ISNUMBER(SEARCH(IF(C$3&lt;&gt;"",C$3,"NA"),'MITRE ATT&amp;CK Mappings'!$J856))), 'MITRE ATT&amp;CK Mappings'!$B856,"")</f>
        <v/>
      </c>
      <c r="D860" s="26" t="str">
        <f>IF(OR(OR(OR(OR(OR(ISNUMBER(SEARCH(IF(D$1&lt;&gt;"",D$1,"NA"),'MITRE ATT&amp;CK Mappings'!$E856)),ISNUMBER(SEARCH(IF(D$1&lt;&gt;"",D$1,"NA"),'MITRE ATT&amp;CK Mappings'!$F856))),ISNUMBER(SEARCH(IF(D$2&lt;&gt;"",D$2,"NA"),'MITRE ATT&amp;CK Mappings'!$G856))),ISNUMBER(SEARCH(IF(D$2&lt;&gt;"",D$2,"NA"),'MITRE ATT&amp;CK Mappings'!$H856))),ISNUMBER(SEARCH(IF(D$3&lt;&gt;"",D$3,"NA"),'MITRE ATT&amp;CK Mappings'!$I856))),ISNUMBER(SEARCH(IF(D$3&lt;&gt;"",D$3,"NA"),'MITRE ATT&amp;CK Mappings'!$J856))), 'MITRE ATT&amp;CK Mappings'!$B856,"")</f>
        <v/>
      </c>
      <c r="E860" s="26" t="str">
        <f>IF(OR(OR(OR(OR(OR(ISNUMBER(SEARCH(IF(E$1&lt;&gt;"",E$1,"NA"),'MITRE ATT&amp;CK Mappings'!$E856)),ISNUMBER(SEARCH(IF(E$1&lt;&gt;"",E$1,"NA"),'MITRE ATT&amp;CK Mappings'!$F856))),ISNUMBER(SEARCH(IF(E$2&lt;&gt;"",E$2,"NA"),'MITRE ATT&amp;CK Mappings'!$G856))),ISNUMBER(SEARCH(IF(E$2&lt;&gt;"",E$2,"NA"),'MITRE ATT&amp;CK Mappings'!$H856))),ISNUMBER(SEARCH(IF(E$3&lt;&gt;"",E$3,"NA"),'MITRE ATT&amp;CK Mappings'!$I856))),ISNUMBER(SEARCH(IF(E$3&lt;&gt;"",E$3,"NA"),'MITRE ATT&amp;CK Mappings'!$J856))), 'MITRE ATT&amp;CK Mappings'!$B856,"")</f>
        <v/>
      </c>
      <c r="F860" s="26" t="str">
        <f>IF(OR(OR(OR(OR(OR(ISNUMBER(SEARCH(IF(F$1&lt;&gt;"",F$1,"NA"),'MITRE ATT&amp;CK Mappings'!$E856)),ISNUMBER(SEARCH(IF(F$1&lt;&gt;"",F$1,"NA"),'MITRE ATT&amp;CK Mappings'!$F856))),ISNUMBER(SEARCH(IF(F$2&lt;&gt;"",F$2,"NA"),'MITRE ATT&amp;CK Mappings'!$G856))),ISNUMBER(SEARCH(IF(F$2&lt;&gt;"",F$2,"NA"),'MITRE ATT&amp;CK Mappings'!$H856))),ISNUMBER(SEARCH(IF(F$3&lt;&gt;"",F$3,"NA"),'MITRE ATT&amp;CK Mappings'!$I856))),ISNUMBER(SEARCH(IF(F$3&lt;&gt;"",F$3,"NA"),'MITRE ATT&amp;CK Mappings'!$J856))), 'MITRE ATT&amp;CK Mappings'!$B856,"")</f>
        <v/>
      </c>
      <c r="G860" s="26" t="str">
        <f>IF(OR(OR(OR(OR(OR(ISNUMBER(SEARCH(IF(G$1&lt;&gt;"",G$1,"NA"),'MITRE ATT&amp;CK Mappings'!$E856)),ISNUMBER(SEARCH(IF(G$1&lt;&gt;"",G$1,"NA"),'MITRE ATT&amp;CK Mappings'!$F856))),ISNUMBER(SEARCH(IF(G$2&lt;&gt;"",G$2,"NA"),'MITRE ATT&amp;CK Mappings'!$G856))),ISNUMBER(SEARCH(IF(G$2&lt;&gt;"",G$2,"NA"),'MITRE ATT&amp;CK Mappings'!$H856))),ISNUMBER(SEARCH(IF(G$3&lt;&gt;"",G$3,"NA"),'MITRE ATT&amp;CK Mappings'!$I856))),ISNUMBER(SEARCH(IF(G$3&lt;&gt;"",G$3,"NA"),'MITRE ATT&amp;CK Mappings'!$J856))), 'MITRE ATT&amp;CK Mappings'!$B856,"")</f>
        <v/>
      </c>
      <c r="H860" s="26" t="str">
        <f>IF(OR(OR(OR(OR(OR(ISNUMBER(SEARCH(IF(H$1&lt;&gt;"",H$1,"NA"),'MITRE ATT&amp;CK Mappings'!$E856)),ISNUMBER(SEARCH(IF(H$1&lt;&gt;"",H$1,"NA"),'MITRE ATT&amp;CK Mappings'!$F856))),ISNUMBER(SEARCH(IF(H$2&lt;&gt;"",H$2,"NA"),'MITRE ATT&amp;CK Mappings'!$G856))),ISNUMBER(SEARCH(IF(H$2&lt;&gt;"",H$2,"NA"),'MITRE ATT&amp;CK Mappings'!$H856))),ISNUMBER(SEARCH(IF(H$3&lt;&gt;"",H$3,"NA"),'MITRE ATT&amp;CK Mappings'!$I856))),ISNUMBER(SEARCH(IF(H$3&lt;&gt;"",H$3,"NA"),'MITRE ATT&amp;CK Mappings'!$J856))), 'MITRE ATT&amp;CK Mappings'!$B856,"")</f>
        <v/>
      </c>
      <c r="I860" s="26" t="str">
        <f>IF(OR(OR(OR(OR(OR(ISNUMBER(SEARCH(IF(I$1&lt;&gt;"",I$1,"NA"),'MITRE ATT&amp;CK Mappings'!$E856)),ISNUMBER(SEARCH(IF(I$1&lt;&gt;"",I$1,"NA"),'MITRE ATT&amp;CK Mappings'!$F856))),ISNUMBER(SEARCH(IF(I$2&lt;&gt;"",I$2,"NA"),'MITRE ATT&amp;CK Mappings'!$G856))),ISNUMBER(SEARCH(IF(I$2&lt;&gt;"",I$2,"NA"),'MITRE ATT&amp;CK Mappings'!$H856))),ISNUMBER(SEARCH(IF(I$3&lt;&gt;"",I$3,"NA"),'MITRE ATT&amp;CK Mappings'!$I856))),ISNUMBER(SEARCH(IF(I$3&lt;&gt;"",I$3,"NA"),'MITRE ATT&amp;CK Mappings'!$J856))), 'MITRE ATT&amp;CK Mappings'!$B856,"")</f>
        <v/>
      </c>
      <c r="J860" s="26" t="str">
        <f>IF(OR(OR(OR(OR(OR(ISNUMBER(SEARCH(IF(J$1&lt;&gt;"",J$1,"NA"),'MITRE ATT&amp;CK Mappings'!$E856)),ISNUMBER(SEARCH(IF(J$1&lt;&gt;"",J$1,"NA"),'MITRE ATT&amp;CK Mappings'!$F856))),ISNUMBER(SEARCH(IF(J$2&lt;&gt;"",J$2,"NA"),'MITRE ATT&amp;CK Mappings'!$G856))),ISNUMBER(SEARCH(IF(J$2&lt;&gt;"",J$2,"NA"),'MITRE ATT&amp;CK Mappings'!$H856))),ISNUMBER(SEARCH(IF(J$3&lt;&gt;"",J$3,"NA"),'MITRE ATT&amp;CK Mappings'!$I856))),ISNUMBER(SEARCH(IF(J$3&lt;&gt;"",J$3,"NA"),'MITRE ATT&amp;CK Mappings'!$J856))), 'MITRE ATT&amp;CK Mappings'!$B856,"")</f>
        <v/>
      </c>
      <c r="K860" s="26" t="str">
        <f>IF(OR(OR(OR(OR(OR(ISNUMBER(SEARCH(IF(K$1&lt;&gt;"",K$1,"NA"),'MITRE ATT&amp;CK Mappings'!$E856)),ISNUMBER(SEARCH(IF(K$1&lt;&gt;"",K$1,"NA"),'MITRE ATT&amp;CK Mappings'!$F856))),ISNUMBER(SEARCH(IF(K$2&lt;&gt;"",K$2,"NA"),'MITRE ATT&amp;CK Mappings'!$G856))),ISNUMBER(SEARCH(IF(K$2&lt;&gt;"",K$2,"NA"),'MITRE ATT&amp;CK Mappings'!$H856))),ISNUMBER(SEARCH(IF(K$3&lt;&gt;"",K$3,"NA"),'MITRE ATT&amp;CK Mappings'!$I856))),ISNUMBER(SEARCH(IF(K$3&lt;&gt;"",K$3,"NA"),'MITRE ATT&amp;CK Mappings'!$J856))), 'MITRE ATT&amp;CK Mappings'!$B856,"")</f>
        <v/>
      </c>
      <c r="L860" s="26" t="str">
        <f>IF('MITRE ATT&amp;CK Mappings'!D856 &lt;&gt;"",'MITRE ATT&amp;CK Mappings'!D856,"" )</f>
        <v/>
      </c>
    </row>
    <row r="861" spans="1:12" x14ac:dyDescent="0.25">
      <c r="A861" s="27" t="str">
        <f>IF(COUNTIF(B861:K861,"="&amp;'MITRE ATT&amp;CK Mappings'!B857)&gt;0,'MITRE ATT&amp;CK Mappings'!B857,"")</f>
        <v/>
      </c>
      <c r="B861" s="27" t="str">
        <f>IF(OR(OR(OR(OR(OR(ISNUMBER(SEARCH(IF(B$1&lt;&gt;"",B$1,"NA"),'MITRE ATT&amp;CK Mappings'!$E857)),ISNUMBER(SEARCH(IF(B$1&lt;&gt;"",B$1,"NA"),'MITRE ATT&amp;CK Mappings'!$F857))),ISNUMBER(SEARCH(IF(B$2&lt;&gt;"",B$2,"NA"),'MITRE ATT&amp;CK Mappings'!$G857))),ISNUMBER(SEARCH(IF(B$2&lt;&gt;"",B$2,"NA"),'MITRE ATT&amp;CK Mappings'!$H857))),ISNUMBER(SEARCH(IF(B$3&lt;&gt;"",B$3,"NA"),'MITRE ATT&amp;CK Mappings'!$I857))),ISNUMBER(SEARCH(IF(B$3&lt;&gt;"",B$3,"NA"),'MITRE ATT&amp;CK Mappings'!$J857))), 'MITRE ATT&amp;CK Mappings'!$B857,"")</f>
        <v/>
      </c>
      <c r="C861" s="27" t="str">
        <f>IF(OR(OR(OR(OR(OR(ISNUMBER(SEARCH(IF(C$1&lt;&gt;"",C$1,"NA"),'MITRE ATT&amp;CK Mappings'!$E857)),ISNUMBER(SEARCH(IF(C$1&lt;&gt;"",C$1,"NA"),'MITRE ATT&amp;CK Mappings'!$F857))),ISNUMBER(SEARCH(IF(C$2&lt;&gt;"",C$2,"NA"),'MITRE ATT&amp;CK Mappings'!$G857))),ISNUMBER(SEARCH(IF(C$2&lt;&gt;"",C$2,"NA"),'MITRE ATT&amp;CK Mappings'!$H857))),ISNUMBER(SEARCH(IF(C$3&lt;&gt;"",C$3,"NA"),'MITRE ATT&amp;CK Mappings'!$I857))),ISNUMBER(SEARCH(IF(C$3&lt;&gt;"",C$3,"NA"),'MITRE ATT&amp;CK Mappings'!$J857))), 'MITRE ATT&amp;CK Mappings'!$B857,"")</f>
        <v/>
      </c>
      <c r="D861" s="27" t="str">
        <f>IF(OR(OR(OR(OR(OR(ISNUMBER(SEARCH(IF(D$1&lt;&gt;"",D$1,"NA"),'MITRE ATT&amp;CK Mappings'!$E857)),ISNUMBER(SEARCH(IF(D$1&lt;&gt;"",D$1,"NA"),'MITRE ATT&amp;CK Mappings'!$F857))),ISNUMBER(SEARCH(IF(D$2&lt;&gt;"",D$2,"NA"),'MITRE ATT&amp;CK Mappings'!$G857))),ISNUMBER(SEARCH(IF(D$2&lt;&gt;"",D$2,"NA"),'MITRE ATT&amp;CK Mappings'!$H857))),ISNUMBER(SEARCH(IF(D$3&lt;&gt;"",D$3,"NA"),'MITRE ATT&amp;CK Mappings'!$I857))),ISNUMBER(SEARCH(IF(D$3&lt;&gt;"",D$3,"NA"),'MITRE ATT&amp;CK Mappings'!$J857))), 'MITRE ATT&amp;CK Mappings'!$B857,"")</f>
        <v/>
      </c>
      <c r="E861" s="27" t="str">
        <f>IF(OR(OR(OR(OR(OR(ISNUMBER(SEARCH(IF(E$1&lt;&gt;"",E$1,"NA"),'MITRE ATT&amp;CK Mappings'!$E857)),ISNUMBER(SEARCH(IF(E$1&lt;&gt;"",E$1,"NA"),'MITRE ATT&amp;CK Mappings'!$F857))),ISNUMBER(SEARCH(IF(E$2&lt;&gt;"",E$2,"NA"),'MITRE ATT&amp;CK Mappings'!$G857))),ISNUMBER(SEARCH(IF(E$2&lt;&gt;"",E$2,"NA"),'MITRE ATT&amp;CK Mappings'!$H857))),ISNUMBER(SEARCH(IF(E$3&lt;&gt;"",E$3,"NA"),'MITRE ATT&amp;CK Mappings'!$I857))),ISNUMBER(SEARCH(IF(E$3&lt;&gt;"",E$3,"NA"),'MITRE ATT&amp;CK Mappings'!$J857))), 'MITRE ATT&amp;CK Mappings'!$B857,"")</f>
        <v/>
      </c>
      <c r="F861" s="27" t="str">
        <f>IF(OR(OR(OR(OR(OR(ISNUMBER(SEARCH(IF(F$1&lt;&gt;"",F$1,"NA"),'MITRE ATT&amp;CK Mappings'!$E857)),ISNUMBER(SEARCH(IF(F$1&lt;&gt;"",F$1,"NA"),'MITRE ATT&amp;CK Mappings'!$F857))),ISNUMBER(SEARCH(IF(F$2&lt;&gt;"",F$2,"NA"),'MITRE ATT&amp;CK Mappings'!$G857))),ISNUMBER(SEARCH(IF(F$2&lt;&gt;"",F$2,"NA"),'MITRE ATT&amp;CK Mappings'!$H857))),ISNUMBER(SEARCH(IF(F$3&lt;&gt;"",F$3,"NA"),'MITRE ATT&amp;CK Mappings'!$I857))),ISNUMBER(SEARCH(IF(F$3&lt;&gt;"",F$3,"NA"),'MITRE ATT&amp;CK Mappings'!$J857))), 'MITRE ATT&amp;CK Mappings'!$B857,"")</f>
        <v/>
      </c>
      <c r="G861" s="27" t="str">
        <f>IF(OR(OR(OR(OR(OR(ISNUMBER(SEARCH(IF(G$1&lt;&gt;"",G$1,"NA"),'MITRE ATT&amp;CK Mappings'!$E857)),ISNUMBER(SEARCH(IF(G$1&lt;&gt;"",G$1,"NA"),'MITRE ATT&amp;CK Mappings'!$F857))),ISNUMBER(SEARCH(IF(G$2&lt;&gt;"",G$2,"NA"),'MITRE ATT&amp;CK Mappings'!$G857))),ISNUMBER(SEARCH(IF(G$2&lt;&gt;"",G$2,"NA"),'MITRE ATT&amp;CK Mappings'!$H857))),ISNUMBER(SEARCH(IF(G$3&lt;&gt;"",G$3,"NA"),'MITRE ATT&amp;CK Mappings'!$I857))),ISNUMBER(SEARCH(IF(G$3&lt;&gt;"",G$3,"NA"),'MITRE ATT&amp;CK Mappings'!$J857))), 'MITRE ATT&amp;CK Mappings'!$B857,"")</f>
        <v/>
      </c>
      <c r="H861" s="27" t="str">
        <f>IF(OR(OR(OR(OR(OR(ISNUMBER(SEARCH(IF(H$1&lt;&gt;"",H$1,"NA"),'MITRE ATT&amp;CK Mappings'!$E857)),ISNUMBER(SEARCH(IF(H$1&lt;&gt;"",H$1,"NA"),'MITRE ATT&amp;CK Mappings'!$F857))),ISNUMBER(SEARCH(IF(H$2&lt;&gt;"",H$2,"NA"),'MITRE ATT&amp;CK Mappings'!$G857))),ISNUMBER(SEARCH(IF(H$2&lt;&gt;"",H$2,"NA"),'MITRE ATT&amp;CK Mappings'!$H857))),ISNUMBER(SEARCH(IF(H$3&lt;&gt;"",H$3,"NA"),'MITRE ATT&amp;CK Mappings'!$I857))),ISNUMBER(SEARCH(IF(H$3&lt;&gt;"",H$3,"NA"),'MITRE ATT&amp;CK Mappings'!$J857))), 'MITRE ATT&amp;CK Mappings'!$B857,"")</f>
        <v/>
      </c>
      <c r="I861" s="27" t="str">
        <f>IF(OR(OR(OR(OR(OR(ISNUMBER(SEARCH(IF(I$1&lt;&gt;"",I$1,"NA"),'MITRE ATT&amp;CK Mappings'!$E857)),ISNUMBER(SEARCH(IF(I$1&lt;&gt;"",I$1,"NA"),'MITRE ATT&amp;CK Mappings'!$F857))),ISNUMBER(SEARCH(IF(I$2&lt;&gt;"",I$2,"NA"),'MITRE ATT&amp;CK Mappings'!$G857))),ISNUMBER(SEARCH(IF(I$2&lt;&gt;"",I$2,"NA"),'MITRE ATT&amp;CK Mappings'!$H857))),ISNUMBER(SEARCH(IF(I$3&lt;&gt;"",I$3,"NA"),'MITRE ATT&amp;CK Mappings'!$I857))),ISNUMBER(SEARCH(IF(I$3&lt;&gt;"",I$3,"NA"),'MITRE ATT&amp;CK Mappings'!$J857))), 'MITRE ATT&amp;CK Mappings'!$B857,"")</f>
        <v/>
      </c>
      <c r="J861" s="27" t="str">
        <f>IF(OR(OR(OR(OR(OR(ISNUMBER(SEARCH(IF(J$1&lt;&gt;"",J$1,"NA"),'MITRE ATT&amp;CK Mappings'!$E857)),ISNUMBER(SEARCH(IF(J$1&lt;&gt;"",J$1,"NA"),'MITRE ATT&amp;CK Mappings'!$F857))),ISNUMBER(SEARCH(IF(J$2&lt;&gt;"",J$2,"NA"),'MITRE ATT&amp;CK Mappings'!$G857))),ISNUMBER(SEARCH(IF(J$2&lt;&gt;"",J$2,"NA"),'MITRE ATT&amp;CK Mappings'!$H857))),ISNUMBER(SEARCH(IF(J$3&lt;&gt;"",J$3,"NA"),'MITRE ATT&amp;CK Mappings'!$I857))),ISNUMBER(SEARCH(IF(J$3&lt;&gt;"",J$3,"NA"),'MITRE ATT&amp;CK Mappings'!$J857))), 'MITRE ATT&amp;CK Mappings'!$B857,"")</f>
        <v/>
      </c>
      <c r="K861" s="27" t="str">
        <f>IF(OR(OR(OR(OR(OR(ISNUMBER(SEARCH(IF(K$1&lt;&gt;"",K$1,"NA"),'MITRE ATT&amp;CK Mappings'!$E857)),ISNUMBER(SEARCH(IF(K$1&lt;&gt;"",K$1,"NA"),'MITRE ATT&amp;CK Mappings'!$F857))),ISNUMBER(SEARCH(IF(K$2&lt;&gt;"",K$2,"NA"),'MITRE ATT&amp;CK Mappings'!$G857))),ISNUMBER(SEARCH(IF(K$2&lt;&gt;"",K$2,"NA"),'MITRE ATT&amp;CK Mappings'!$H857))),ISNUMBER(SEARCH(IF(K$3&lt;&gt;"",K$3,"NA"),'MITRE ATT&amp;CK Mappings'!$I857))),ISNUMBER(SEARCH(IF(K$3&lt;&gt;"",K$3,"NA"),'MITRE ATT&amp;CK Mappings'!$J857))), 'MITRE ATT&amp;CK Mappings'!$B857,"")</f>
        <v/>
      </c>
      <c r="L861" s="27" t="str">
        <f>IF('MITRE ATT&amp;CK Mappings'!D857 &lt;&gt;"",'MITRE ATT&amp;CK Mappings'!D857,"" )</f>
        <v/>
      </c>
    </row>
    <row r="862" spans="1:12" x14ac:dyDescent="0.25">
      <c r="A862" s="26" t="str">
        <f>IF(COUNTIF(B862:K862,"="&amp;'MITRE ATT&amp;CK Mappings'!B858)&gt;0,'MITRE ATT&amp;CK Mappings'!B858,"")</f>
        <v/>
      </c>
      <c r="B862" s="26" t="str">
        <f>IF(OR(OR(OR(OR(OR(ISNUMBER(SEARCH(IF(B$1&lt;&gt;"",B$1,"NA"),'MITRE ATT&amp;CK Mappings'!$E858)),ISNUMBER(SEARCH(IF(B$1&lt;&gt;"",B$1,"NA"),'MITRE ATT&amp;CK Mappings'!$F858))),ISNUMBER(SEARCH(IF(B$2&lt;&gt;"",B$2,"NA"),'MITRE ATT&amp;CK Mappings'!$G858))),ISNUMBER(SEARCH(IF(B$2&lt;&gt;"",B$2,"NA"),'MITRE ATT&amp;CK Mappings'!$H858))),ISNUMBER(SEARCH(IF(B$3&lt;&gt;"",B$3,"NA"),'MITRE ATT&amp;CK Mappings'!$I858))),ISNUMBER(SEARCH(IF(B$3&lt;&gt;"",B$3,"NA"),'MITRE ATT&amp;CK Mappings'!$J858))), 'MITRE ATT&amp;CK Mappings'!$B858,"")</f>
        <v/>
      </c>
      <c r="C862" s="26" t="str">
        <f>IF(OR(OR(OR(OR(OR(ISNUMBER(SEARCH(IF(C$1&lt;&gt;"",C$1,"NA"),'MITRE ATT&amp;CK Mappings'!$E858)),ISNUMBER(SEARCH(IF(C$1&lt;&gt;"",C$1,"NA"),'MITRE ATT&amp;CK Mappings'!$F858))),ISNUMBER(SEARCH(IF(C$2&lt;&gt;"",C$2,"NA"),'MITRE ATT&amp;CK Mappings'!$G858))),ISNUMBER(SEARCH(IF(C$2&lt;&gt;"",C$2,"NA"),'MITRE ATT&amp;CK Mappings'!$H858))),ISNUMBER(SEARCH(IF(C$3&lt;&gt;"",C$3,"NA"),'MITRE ATT&amp;CK Mappings'!$I858))),ISNUMBER(SEARCH(IF(C$3&lt;&gt;"",C$3,"NA"),'MITRE ATT&amp;CK Mappings'!$J858))), 'MITRE ATT&amp;CK Mappings'!$B858,"")</f>
        <v/>
      </c>
      <c r="D862" s="26" t="str">
        <f>IF(OR(OR(OR(OR(OR(ISNUMBER(SEARCH(IF(D$1&lt;&gt;"",D$1,"NA"),'MITRE ATT&amp;CK Mappings'!$E858)),ISNUMBER(SEARCH(IF(D$1&lt;&gt;"",D$1,"NA"),'MITRE ATT&amp;CK Mappings'!$F858))),ISNUMBER(SEARCH(IF(D$2&lt;&gt;"",D$2,"NA"),'MITRE ATT&amp;CK Mappings'!$G858))),ISNUMBER(SEARCH(IF(D$2&lt;&gt;"",D$2,"NA"),'MITRE ATT&amp;CK Mappings'!$H858))),ISNUMBER(SEARCH(IF(D$3&lt;&gt;"",D$3,"NA"),'MITRE ATT&amp;CK Mappings'!$I858))),ISNUMBER(SEARCH(IF(D$3&lt;&gt;"",D$3,"NA"),'MITRE ATT&amp;CK Mappings'!$J858))), 'MITRE ATT&amp;CK Mappings'!$B858,"")</f>
        <v/>
      </c>
      <c r="E862" s="26" t="str">
        <f>IF(OR(OR(OR(OR(OR(ISNUMBER(SEARCH(IF(E$1&lt;&gt;"",E$1,"NA"),'MITRE ATT&amp;CK Mappings'!$E858)),ISNUMBER(SEARCH(IF(E$1&lt;&gt;"",E$1,"NA"),'MITRE ATT&amp;CK Mappings'!$F858))),ISNUMBER(SEARCH(IF(E$2&lt;&gt;"",E$2,"NA"),'MITRE ATT&amp;CK Mappings'!$G858))),ISNUMBER(SEARCH(IF(E$2&lt;&gt;"",E$2,"NA"),'MITRE ATT&amp;CK Mappings'!$H858))),ISNUMBER(SEARCH(IF(E$3&lt;&gt;"",E$3,"NA"),'MITRE ATT&amp;CK Mappings'!$I858))),ISNUMBER(SEARCH(IF(E$3&lt;&gt;"",E$3,"NA"),'MITRE ATT&amp;CK Mappings'!$J858))), 'MITRE ATT&amp;CK Mappings'!$B858,"")</f>
        <v/>
      </c>
      <c r="F862" s="26" t="str">
        <f>IF(OR(OR(OR(OR(OR(ISNUMBER(SEARCH(IF(F$1&lt;&gt;"",F$1,"NA"),'MITRE ATT&amp;CK Mappings'!$E858)),ISNUMBER(SEARCH(IF(F$1&lt;&gt;"",F$1,"NA"),'MITRE ATT&amp;CK Mappings'!$F858))),ISNUMBER(SEARCH(IF(F$2&lt;&gt;"",F$2,"NA"),'MITRE ATT&amp;CK Mappings'!$G858))),ISNUMBER(SEARCH(IF(F$2&lt;&gt;"",F$2,"NA"),'MITRE ATT&amp;CK Mappings'!$H858))),ISNUMBER(SEARCH(IF(F$3&lt;&gt;"",F$3,"NA"),'MITRE ATT&amp;CK Mappings'!$I858))),ISNUMBER(SEARCH(IF(F$3&lt;&gt;"",F$3,"NA"),'MITRE ATT&amp;CK Mappings'!$J858))), 'MITRE ATT&amp;CK Mappings'!$B858,"")</f>
        <v/>
      </c>
      <c r="G862" s="26" t="str">
        <f>IF(OR(OR(OR(OR(OR(ISNUMBER(SEARCH(IF(G$1&lt;&gt;"",G$1,"NA"),'MITRE ATT&amp;CK Mappings'!$E858)),ISNUMBER(SEARCH(IF(G$1&lt;&gt;"",G$1,"NA"),'MITRE ATT&amp;CK Mappings'!$F858))),ISNUMBER(SEARCH(IF(G$2&lt;&gt;"",G$2,"NA"),'MITRE ATT&amp;CK Mappings'!$G858))),ISNUMBER(SEARCH(IF(G$2&lt;&gt;"",G$2,"NA"),'MITRE ATT&amp;CK Mappings'!$H858))),ISNUMBER(SEARCH(IF(G$3&lt;&gt;"",G$3,"NA"),'MITRE ATT&amp;CK Mappings'!$I858))),ISNUMBER(SEARCH(IF(G$3&lt;&gt;"",G$3,"NA"),'MITRE ATT&amp;CK Mappings'!$J858))), 'MITRE ATT&amp;CK Mappings'!$B858,"")</f>
        <v/>
      </c>
      <c r="H862" s="26" t="str">
        <f>IF(OR(OR(OR(OR(OR(ISNUMBER(SEARCH(IF(H$1&lt;&gt;"",H$1,"NA"),'MITRE ATT&amp;CK Mappings'!$E858)),ISNUMBER(SEARCH(IF(H$1&lt;&gt;"",H$1,"NA"),'MITRE ATT&amp;CK Mappings'!$F858))),ISNUMBER(SEARCH(IF(H$2&lt;&gt;"",H$2,"NA"),'MITRE ATT&amp;CK Mappings'!$G858))),ISNUMBER(SEARCH(IF(H$2&lt;&gt;"",H$2,"NA"),'MITRE ATT&amp;CK Mappings'!$H858))),ISNUMBER(SEARCH(IF(H$3&lt;&gt;"",H$3,"NA"),'MITRE ATT&amp;CK Mappings'!$I858))),ISNUMBER(SEARCH(IF(H$3&lt;&gt;"",H$3,"NA"),'MITRE ATT&amp;CK Mappings'!$J858))), 'MITRE ATT&amp;CK Mappings'!$B858,"")</f>
        <v/>
      </c>
      <c r="I862" s="26" t="str">
        <f>IF(OR(OR(OR(OR(OR(ISNUMBER(SEARCH(IF(I$1&lt;&gt;"",I$1,"NA"),'MITRE ATT&amp;CK Mappings'!$E858)),ISNUMBER(SEARCH(IF(I$1&lt;&gt;"",I$1,"NA"),'MITRE ATT&amp;CK Mappings'!$F858))),ISNUMBER(SEARCH(IF(I$2&lt;&gt;"",I$2,"NA"),'MITRE ATT&amp;CK Mappings'!$G858))),ISNUMBER(SEARCH(IF(I$2&lt;&gt;"",I$2,"NA"),'MITRE ATT&amp;CK Mappings'!$H858))),ISNUMBER(SEARCH(IF(I$3&lt;&gt;"",I$3,"NA"),'MITRE ATT&amp;CK Mappings'!$I858))),ISNUMBER(SEARCH(IF(I$3&lt;&gt;"",I$3,"NA"),'MITRE ATT&amp;CK Mappings'!$J858))), 'MITRE ATT&amp;CK Mappings'!$B858,"")</f>
        <v/>
      </c>
      <c r="J862" s="26" t="str">
        <f>IF(OR(OR(OR(OR(OR(ISNUMBER(SEARCH(IF(J$1&lt;&gt;"",J$1,"NA"),'MITRE ATT&amp;CK Mappings'!$E858)),ISNUMBER(SEARCH(IF(J$1&lt;&gt;"",J$1,"NA"),'MITRE ATT&amp;CK Mappings'!$F858))),ISNUMBER(SEARCH(IF(J$2&lt;&gt;"",J$2,"NA"),'MITRE ATT&amp;CK Mappings'!$G858))),ISNUMBER(SEARCH(IF(J$2&lt;&gt;"",J$2,"NA"),'MITRE ATT&amp;CK Mappings'!$H858))),ISNUMBER(SEARCH(IF(J$3&lt;&gt;"",J$3,"NA"),'MITRE ATT&amp;CK Mappings'!$I858))),ISNUMBER(SEARCH(IF(J$3&lt;&gt;"",J$3,"NA"),'MITRE ATT&amp;CK Mappings'!$J858))), 'MITRE ATT&amp;CK Mappings'!$B858,"")</f>
        <v/>
      </c>
      <c r="K862" s="26" t="str">
        <f>IF(OR(OR(OR(OR(OR(ISNUMBER(SEARCH(IF(K$1&lt;&gt;"",K$1,"NA"),'MITRE ATT&amp;CK Mappings'!$E858)),ISNUMBER(SEARCH(IF(K$1&lt;&gt;"",K$1,"NA"),'MITRE ATT&amp;CK Mappings'!$F858))),ISNUMBER(SEARCH(IF(K$2&lt;&gt;"",K$2,"NA"),'MITRE ATT&amp;CK Mappings'!$G858))),ISNUMBER(SEARCH(IF(K$2&lt;&gt;"",K$2,"NA"),'MITRE ATT&amp;CK Mappings'!$H858))),ISNUMBER(SEARCH(IF(K$3&lt;&gt;"",K$3,"NA"),'MITRE ATT&amp;CK Mappings'!$I858))),ISNUMBER(SEARCH(IF(K$3&lt;&gt;"",K$3,"NA"),'MITRE ATT&amp;CK Mappings'!$J858))), 'MITRE ATT&amp;CK Mappings'!$B858,"")</f>
        <v/>
      </c>
      <c r="L862" s="26" t="str">
        <f>IF('MITRE ATT&amp;CK Mappings'!D858 &lt;&gt;"",'MITRE ATT&amp;CK Mappings'!D858,"" )</f>
        <v/>
      </c>
    </row>
    <row r="863" spans="1:12" x14ac:dyDescent="0.25">
      <c r="A863" s="27" t="str">
        <f>IF(COUNTIF(B863:K863,"="&amp;'MITRE ATT&amp;CK Mappings'!B859)&gt;0,'MITRE ATT&amp;CK Mappings'!B859,"")</f>
        <v/>
      </c>
      <c r="B863" s="27" t="str">
        <f>IF(OR(OR(OR(OR(OR(ISNUMBER(SEARCH(IF(B$1&lt;&gt;"",B$1,"NA"),'MITRE ATT&amp;CK Mappings'!$E859)),ISNUMBER(SEARCH(IF(B$1&lt;&gt;"",B$1,"NA"),'MITRE ATT&amp;CK Mappings'!$F859))),ISNUMBER(SEARCH(IF(B$2&lt;&gt;"",B$2,"NA"),'MITRE ATT&amp;CK Mappings'!$G859))),ISNUMBER(SEARCH(IF(B$2&lt;&gt;"",B$2,"NA"),'MITRE ATT&amp;CK Mappings'!$H859))),ISNUMBER(SEARCH(IF(B$3&lt;&gt;"",B$3,"NA"),'MITRE ATT&amp;CK Mappings'!$I859))),ISNUMBER(SEARCH(IF(B$3&lt;&gt;"",B$3,"NA"),'MITRE ATT&amp;CK Mappings'!$J859))), 'MITRE ATT&amp;CK Mappings'!$B859,"")</f>
        <v/>
      </c>
      <c r="C863" s="27" t="str">
        <f>IF(OR(OR(OR(OR(OR(ISNUMBER(SEARCH(IF(C$1&lt;&gt;"",C$1,"NA"),'MITRE ATT&amp;CK Mappings'!$E859)),ISNUMBER(SEARCH(IF(C$1&lt;&gt;"",C$1,"NA"),'MITRE ATT&amp;CK Mappings'!$F859))),ISNUMBER(SEARCH(IF(C$2&lt;&gt;"",C$2,"NA"),'MITRE ATT&amp;CK Mappings'!$G859))),ISNUMBER(SEARCH(IF(C$2&lt;&gt;"",C$2,"NA"),'MITRE ATT&amp;CK Mappings'!$H859))),ISNUMBER(SEARCH(IF(C$3&lt;&gt;"",C$3,"NA"),'MITRE ATT&amp;CK Mappings'!$I859))),ISNUMBER(SEARCH(IF(C$3&lt;&gt;"",C$3,"NA"),'MITRE ATT&amp;CK Mappings'!$J859))), 'MITRE ATT&amp;CK Mappings'!$B859,"")</f>
        <v/>
      </c>
      <c r="D863" s="27" t="str">
        <f>IF(OR(OR(OR(OR(OR(ISNUMBER(SEARCH(IF(D$1&lt;&gt;"",D$1,"NA"),'MITRE ATT&amp;CK Mappings'!$E859)),ISNUMBER(SEARCH(IF(D$1&lt;&gt;"",D$1,"NA"),'MITRE ATT&amp;CK Mappings'!$F859))),ISNUMBER(SEARCH(IF(D$2&lt;&gt;"",D$2,"NA"),'MITRE ATT&amp;CK Mappings'!$G859))),ISNUMBER(SEARCH(IF(D$2&lt;&gt;"",D$2,"NA"),'MITRE ATT&amp;CK Mappings'!$H859))),ISNUMBER(SEARCH(IF(D$3&lt;&gt;"",D$3,"NA"),'MITRE ATT&amp;CK Mappings'!$I859))),ISNUMBER(SEARCH(IF(D$3&lt;&gt;"",D$3,"NA"),'MITRE ATT&amp;CK Mappings'!$J859))), 'MITRE ATT&amp;CK Mappings'!$B859,"")</f>
        <v/>
      </c>
      <c r="E863" s="27" t="str">
        <f>IF(OR(OR(OR(OR(OR(ISNUMBER(SEARCH(IF(E$1&lt;&gt;"",E$1,"NA"),'MITRE ATT&amp;CK Mappings'!$E859)),ISNUMBER(SEARCH(IF(E$1&lt;&gt;"",E$1,"NA"),'MITRE ATT&amp;CK Mappings'!$F859))),ISNUMBER(SEARCH(IF(E$2&lt;&gt;"",E$2,"NA"),'MITRE ATT&amp;CK Mappings'!$G859))),ISNUMBER(SEARCH(IF(E$2&lt;&gt;"",E$2,"NA"),'MITRE ATT&amp;CK Mappings'!$H859))),ISNUMBER(SEARCH(IF(E$3&lt;&gt;"",E$3,"NA"),'MITRE ATT&amp;CK Mappings'!$I859))),ISNUMBER(SEARCH(IF(E$3&lt;&gt;"",E$3,"NA"),'MITRE ATT&amp;CK Mappings'!$J859))), 'MITRE ATT&amp;CK Mappings'!$B859,"")</f>
        <v/>
      </c>
      <c r="F863" s="27" t="str">
        <f>IF(OR(OR(OR(OR(OR(ISNUMBER(SEARCH(IF(F$1&lt;&gt;"",F$1,"NA"),'MITRE ATT&amp;CK Mappings'!$E859)),ISNUMBER(SEARCH(IF(F$1&lt;&gt;"",F$1,"NA"),'MITRE ATT&amp;CK Mappings'!$F859))),ISNUMBER(SEARCH(IF(F$2&lt;&gt;"",F$2,"NA"),'MITRE ATT&amp;CK Mappings'!$G859))),ISNUMBER(SEARCH(IF(F$2&lt;&gt;"",F$2,"NA"),'MITRE ATT&amp;CK Mappings'!$H859))),ISNUMBER(SEARCH(IF(F$3&lt;&gt;"",F$3,"NA"),'MITRE ATT&amp;CK Mappings'!$I859))),ISNUMBER(SEARCH(IF(F$3&lt;&gt;"",F$3,"NA"),'MITRE ATT&amp;CK Mappings'!$J859))), 'MITRE ATT&amp;CK Mappings'!$B859,"")</f>
        <v/>
      </c>
      <c r="G863" s="27" t="str">
        <f>IF(OR(OR(OR(OR(OR(ISNUMBER(SEARCH(IF(G$1&lt;&gt;"",G$1,"NA"),'MITRE ATT&amp;CK Mappings'!$E859)),ISNUMBER(SEARCH(IF(G$1&lt;&gt;"",G$1,"NA"),'MITRE ATT&amp;CK Mappings'!$F859))),ISNUMBER(SEARCH(IF(G$2&lt;&gt;"",G$2,"NA"),'MITRE ATT&amp;CK Mappings'!$G859))),ISNUMBER(SEARCH(IF(G$2&lt;&gt;"",G$2,"NA"),'MITRE ATT&amp;CK Mappings'!$H859))),ISNUMBER(SEARCH(IF(G$3&lt;&gt;"",G$3,"NA"),'MITRE ATT&amp;CK Mappings'!$I859))),ISNUMBER(SEARCH(IF(G$3&lt;&gt;"",G$3,"NA"),'MITRE ATT&amp;CK Mappings'!$J859))), 'MITRE ATT&amp;CK Mappings'!$B859,"")</f>
        <v/>
      </c>
      <c r="H863" s="27" t="str">
        <f>IF(OR(OR(OR(OR(OR(ISNUMBER(SEARCH(IF(H$1&lt;&gt;"",H$1,"NA"),'MITRE ATT&amp;CK Mappings'!$E859)),ISNUMBER(SEARCH(IF(H$1&lt;&gt;"",H$1,"NA"),'MITRE ATT&amp;CK Mappings'!$F859))),ISNUMBER(SEARCH(IF(H$2&lt;&gt;"",H$2,"NA"),'MITRE ATT&amp;CK Mappings'!$G859))),ISNUMBER(SEARCH(IF(H$2&lt;&gt;"",H$2,"NA"),'MITRE ATT&amp;CK Mappings'!$H859))),ISNUMBER(SEARCH(IF(H$3&lt;&gt;"",H$3,"NA"),'MITRE ATT&amp;CK Mappings'!$I859))),ISNUMBER(SEARCH(IF(H$3&lt;&gt;"",H$3,"NA"),'MITRE ATT&amp;CK Mappings'!$J859))), 'MITRE ATT&amp;CK Mappings'!$B859,"")</f>
        <v/>
      </c>
      <c r="I863" s="27" t="str">
        <f>IF(OR(OR(OR(OR(OR(ISNUMBER(SEARCH(IF(I$1&lt;&gt;"",I$1,"NA"),'MITRE ATT&amp;CK Mappings'!$E859)),ISNUMBER(SEARCH(IF(I$1&lt;&gt;"",I$1,"NA"),'MITRE ATT&amp;CK Mappings'!$F859))),ISNUMBER(SEARCH(IF(I$2&lt;&gt;"",I$2,"NA"),'MITRE ATT&amp;CK Mappings'!$G859))),ISNUMBER(SEARCH(IF(I$2&lt;&gt;"",I$2,"NA"),'MITRE ATT&amp;CK Mappings'!$H859))),ISNUMBER(SEARCH(IF(I$3&lt;&gt;"",I$3,"NA"),'MITRE ATT&amp;CK Mappings'!$I859))),ISNUMBER(SEARCH(IF(I$3&lt;&gt;"",I$3,"NA"),'MITRE ATT&amp;CK Mappings'!$J859))), 'MITRE ATT&amp;CK Mappings'!$B859,"")</f>
        <v/>
      </c>
      <c r="J863" s="27" t="str">
        <f>IF(OR(OR(OR(OR(OR(ISNUMBER(SEARCH(IF(J$1&lt;&gt;"",J$1,"NA"),'MITRE ATT&amp;CK Mappings'!$E859)),ISNUMBER(SEARCH(IF(J$1&lt;&gt;"",J$1,"NA"),'MITRE ATT&amp;CK Mappings'!$F859))),ISNUMBER(SEARCH(IF(J$2&lt;&gt;"",J$2,"NA"),'MITRE ATT&amp;CK Mappings'!$G859))),ISNUMBER(SEARCH(IF(J$2&lt;&gt;"",J$2,"NA"),'MITRE ATT&amp;CK Mappings'!$H859))),ISNUMBER(SEARCH(IF(J$3&lt;&gt;"",J$3,"NA"),'MITRE ATT&amp;CK Mappings'!$I859))),ISNUMBER(SEARCH(IF(J$3&lt;&gt;"",J$3,"NA"),'MITRE ATT&amp;CK Mappings'!$J859))), 'MITRE ATT&amp;CK Mappings'!$B859,"")</f>
        <v/>
      </c>
      <c r="K863" s="27" t="str">
        <f>IF(OR(OR(OR(OR(OR(ISNUMBER(SEARCH(IF(K$1&lt;&gt;"",K$1,"NA"),'MITRE ATT&amp;CK Mappings'!$E859)),ISNUMBER(SEARCH(IF(K$1&lt;&gt;"",K$1,"NA"),'MITRE ATT&amp;CK Mappings'!$F859))),ISNUMBER(SEARCH(IF(K$2&lt;&gt;"",K$2,"NA"),'MITRE ATT&amp;CK Mappings'!$G859))),ISNUMBER(SEARCH(IF(K$2&lt;&gt;"",K$2,"NA"),'MITRE ATT&amp;CK Mappings'!$H859))),ISNUMBER(SEARCH(IF(K$3&lt;&gt;"",K$3,"NA"),'MITRE ATT&amp;CK Mappings'!$I859))),ISNUMBER(SEARCH(IF(K$3&lt;&gt;"",K$3,"NA"),'MITRE ATT&amp;CK Mappings'!$J859))), 'MITRE ATT&amp;CK Mappings'!$B859,"")</f>
        <v/>
      </c>
      <c r="L863" s="27" t="str">
        <f>IF('MITRE ATT&amp;CK Mappings'!D859 &lt;&gt;"",'MITRE ATT&amp;CK Mappings'!D859,"" )</f>
        <v/>
      </c>
    </row>
    <row r="864" spans="1:12" x14ac:dyDescent="0.25">
      <c r="A864" s="26" t="str">
        <f>IF(COUNTIF(B864:K864,"="&amp;'MITRE ATT&amp;CK Mappings'!B860)&gt;0,'MITRE ATT&amp;CK Mappings'!B860,"")</f>
        <v/>
      </c>
      <c r="B864" s="26" t="str">
        <f>IF(OR(OR(OR(OR(OR(ISNUMBER(SEARCH(IF(B$1&lt;&gt;"",B$1,"NA"),'MITRE ATT&amp;CK Mappings'!$E860)),ISNUMBER(SEARCH(IF(B$1&lt;&gt;"",B$1,"NA"),'MITRE ATT&amp;CK Mappings'!$F860))),ISNUMBER(SEARCH(IF(B$2&lt;&gt;"",B$2,"NA"),'MITRE ATT&amp;CK Mappings'!$G860))),ISNUMBER(SEARCH(IF(B$2&lt;&gt;"",B$2,"NA"),'MITRE ATT&amp;CK Mappings'!$H860))),ISNUMBER(SEARCH(IF(B$3&lt;&gt;"",B$3,"NA"),'MITRE ATT&amp;CK Mappings'!$I860))),ISNUMBER(SEARCH(IF(B$3&lt;&gt;"",B$3,"NA"),'MITRE ATT&amp;CK Mappings'!$J860))), 'MITRE ATT&amp;CK Mappings'!$B860,"")</f>
        <v/>
      </c>
      <c r="C864" s="26" t="str">
        <f>IF(OR(OR(OR(OR(OR(ISNUMBER(SEARCH(IF(C$1&lt;&gt;"",C$1,"NA"),'MITRE ATT&amp;CK Mappings'!$E860)),ISNUMBER(SEARCH(IF(C$1&lt;&gt;"",C$1,"NA"),'MITRE ATT&amp;CK Mappings'!$F860))),ISNUMBER(SEARCH(IF(C$2&lt;&gt;"",C$2,"NA"),'MITRE ATT&amp;CK Mappings'!$G860))),ISNUMBER(SEARCH(IF(C$2&lt;&gt;"",C$2,"NA"),'MITRE ATT&amp;CK Mappings'!$H860))),ISNUMBER(SEARCH(IF(C$3&lt;&gt;"",C$3,"NA"),'MITRE ATT&amp;CK Mappings'!$I860))),ISNUMBER(SEARCH(IF(C$3&lt;&gt;"",C$3,"NA"),'MITRE ATT&amp;CK Mappings'!$J860))), 'MITRE ATT&amp;CK Mappings'!$B860,"")</f>
        <v/>
      </c>
      <c r="D864" s="26" t="str">
        <f>IF(OR(OR(OR(OR(OR(ISNUMBER(SEARCH(IF(D$1&lt;&gt;"",D$1,"NA"),'MITRE ATT&amp;CK Mappings'!$E860)),ISNUMBER(SEARCH(IF(D$1&lt;&gt;"",D$1,"NA"),'MITRE ATT&amp;CK Mappings'!$F860))),ISNUMBER(SEARCH(IF(D$2&lt;&gt;"",D$2,"NA"),'MITRE ATT&amp;CK Mappings'!$G860))),ISNUMBER(SEARCH(IF(D$2&lt;&gt;"",D$2,"NA"),'MITRE ATT&amp;CK Mappings'!$H860))),ISNUMBER(SEARCH(IF(D$3&lt;&gt;"",D$3,"NA"),'MITRE ATT&amp;CK Mappings'!$I860))),ISNUMBER(SEARCH(IF(D$3&lt;&gt;"",D$3,"NA"),'MITRE ATT&amp;CK Mappings'!$J860))), 'MITRE ATT&amp;CK Mappings'!$B860,"")</f>
        <v/>
      </c>
      <c r="E864" s="26" t="str">
        <f>IF(OR(OR(OR(OR(OR(ISNUMBER(SEARCH(IF(E$1&lt;&gt;"",E$1,"NA"),'MITRE ATT&amp;CK Mappings'!$E860)),ISNUMBER(SEARCH(IF(E$1&lt;&gt;"",E$1,"NA"),'MITRE ATT&amp;CK Mappings'!$F860))),ISNUMBER(SEARCH(IF(E$2&lt;&gt;"",E$2,"NA"),'MITRE ATT&amp;CK Mappings'!$G860))),ISNUMBER(SEARCH(IF(E$2&lt;&gt;"",E$2,"NA"),'MITRE ATT&amp;CK Mappings'!$H860))),ISNUMBER(SEARCH(IF(E$3&lt;&gt;"",E$3,"NA"),'MITRE ATT&amp;CK Mappings'!$I860))),ISNUMBER(SEARCH(IF(E$3&lt;&gt;"",E$3,"NA"),'MITRE ATT&amp;CK Mappings'!$J860))), 'MITRE ATT&amp;CK Mappings'!$B860,"")</f>
        <v/>
      </c>
      <c r="F864" s="26" t="str">
        <f>IF(OR(OR(OR(OR(OR(ISNUMBER(SEARCH(IF(F$1&lt;&gt;"",F$1,"NA"),'MITRE ATT&amp;CK Mappings'!$E860)),ISNUMBER(SEARCH(IF(F$1&lt;&gt;"",F$1,"NA"),'MITRE ATT&amp;CK Mappings'!$F860))),ISNUMBER(SEARCH(IF(F$2&lt;&gt;"",F$2,"NA"),'MITRE ATT&amp;CK Mappings'!$G860))),ISNUMBER(SEARCH(IF(F$2&lt;&gt;"",F$2,"NA"),'MITRE ATT&amp;CK Mappings'!$H860))),ISNUMBER(SEARCH(IF(F$3&lt;&gt;"",F$3,"NA"),'MITRE ATT&amp;CK Mappings'!$I860))),ISNUMBER(SEARCH(IF(F$3&lt;&gt;"",F$3,"NA"),'MITRE ATT&amp;CK Mappings'!$J860))), 'MITRE ATT&amp;CK Mappings'!$B860,"")</f>
        <v/>
      </c>
      <c r="G864" s="26" t="str">
        <f>IF(OR(OR(OR(OR(OR(ISNUMBER(SEARCH(IF(G$1&lt;&gt;"",G$1,"NA"),'MITRE ATT&amp;CK Mappings'!$E860)),ISNUMBER(SEARCH(IF(G$1&lt;&gt;"",G$1,"NA"),'MITRE ATT&amp;CK Mappings'!$F860))),ISNUMBER(SEARCH(IF(G$2&lt;&gt;"",G$2,"NA"),'MITRE ATT&amp;CK Mappings'!$G860))),ISNUMBER(SEARCH(IF(G$2&lt;&gt;"",G$2,"NA"),'MITRE ATT&amp;CK Mappings'!$H860))),ISNUMBER(SEARCH(IF(G$3&lt;&gt;"",G$3,"NA"),'MITRE ATT&amp;CK Mappings'!$I860))),ISNUMBER(SEARCH(IF(G$3&lt;&gt;"",G$3,"NA"),'MITRE ATT&amp;CK Mappings'!$J860))), 'MITRE ATT&amp;CK Mappings'!$B860,"")</f>
        <v/>
      </c>
      <c r="H864" s="26" t="str">
        <f>IF(OR(OR(OR(OR(OR(ISNUMBER(SEARCH(IF(H$1&lt;&gt;"",H$1,"NA"),'MITRE ATT&amp;CK Mappings'!$E860)),ISNUMBER(SEARCH(IF(H$1&lt;&gt;"",H$1,"NA"),'MITRE ATT&amp;CK Mappings'!$F860))),ISNUMBER(SEARCH(IF(H$2&lt;&gt;"",H$2,"NA"),'MITRE ATT&amp;CK Mappings'!$G860))),ISNUMBER(SEARCH(IF(H$2&lt;&gt;"",H$2,"NA"),'MITRE ATT&amp;CK Mappings'!$H860))),ISNUMBER(SEARCH(IF(H$3&lt;&gt;"",H$3,"NA"),'MITRE ATT&amp;CK Mappings'!$I860))),ISNUMBER(SEARCH(IF(H$3&lt;&gt;"",H$3,"NA"),'MITRE ATT&amp;CK Mappings'!$J860))), 'MITRE ATT&amp;CK Mappings'!$B860,"")</f>
        <v/>
      </c>
      <c r="I864" s="26" t="str">
        <f>IF(OR(OR(OR(OR(OR(ISNUMBER(SEARCH(IF(I$1&lt;&gt;"",I$1,"NA"),'MITRE ATT&amp;CK Mappings'!$E860)),ISNUMBER(SEARCH(IF(I$1&lt;&gt;"",I$1,"NA"),'MITRE ATT&amp;CK Mappings'!$F860))),ISNUMBER(SEARCH(IF(I$2&lt;&gt;"",I$2,"NA"),'MITRE ATT&amp;CK Mappings'!$G860))),ISNUMBER(SEARCH(IF(I$2&lt;&gt;"",I$2,"NA"),'MITRE ATT&amp;CK Mappings'!$H860))),ISNUMBER(SEARCH(IF(I$3&lt;&gt;"",I$3,"NA"),'MITRE ATT&amp;CK Mappings'!$I860))),ISNUMBER(SEARCH(IF(I$3&lt;&gt;"",I$3,"NA"),'MITRE ATT&amp;CK Mappings'!$J860))), 'MITRE ATT&amp;CK Mappings'!$B860,"")</f>
        <v/>
      </c>
      <c r="J864" s="26" t="str">
        <f>IF(OR(OR(OR(OR(OR(ISNUMBER(SEARCH(IF(J$1&lt;&gt;"",J$1,"NA"),'MITRE ATT&amp;CK Mappings'!$E860)),ISNUMBER(SEARCH(IF(J$1&lt;&gt;"",J$1,"NA"),'MITRE ATT&amp;CK Mappings'!$F860))),ISNUMBER(SEARCH(IF(J$2&lt;&gt;"",J$2,"NA"),'MITRE ATT&amp;CK Mappings'!$G860))),ISNUMBER(SEARCH(IF(J$2&lt;&gt;"",J$2,"NA"),'MITRE ATT&amp;CK Mappings'!$H860))),ISNUMBER(SEARCH(IF(J$3&lt;&gt;"",J$3,"NA"),'MITRE ATT&amp;CK Mappings'!$I860))),ISNUMBER(SEARCH(IF(J$3&lt;&gt;"",J$3,"NA"),'MITRE ATT&amp;CK Mappings'!$J860))), 'MITRE ATT&amp;CK Mappings'!$B860,"")</f>
        <v/>
      </c>
      <c r="K864" s="26" t="str">
        <f>IF(OR(OR(OR(OR(OR(ISNUMBER(SEARCH(IF(K$1&lt;&gt;"",K$1,"NA"),'MITRE ATT&amp;CK Mappings'!$E860)),ISNUMBER(SEARCH(IF(K$1&lt;&gt;"",K$1,"NA"),'MITRE ATT&amp;CK Mappings'!$F860))),ISNUMBER(SEARCH(IF(K$2&lt;&gt;"",K$2,"NA"),'MITRE ATT&amp;CK Mappings'!$G860))),ISNUMBER(SEARCH(IF(K$2&lt;&gt;"",K$2,"NA"),'MITRE ATT&amp;CK Mappings'!$H860))),ISNUMBER(SEARCH(IF(K$3&lt;&gt;"",K$3,"NA"),'MITRE ATT&amp;CK Mappings'!$I860))),ISNUMBER(SEARCH(IF(K$3&lt;&gt;"",K$3,"NA"),'MITRE ATT&amp;CK Mappings'!$J860))), 'MITRE ATT&amp;CK Mappings'!$B860,"")</f>
        <v/>
      </c>
      <c r="L864" s="26" t="str">
        <f>IF('MITRE ATT&amp;CK Mappings'!D860 &lt;&gt;"",'MITRE ATT&amp;CK Mappings'!D860,"" )</f>
        <v/>
      </c>
    </row>
    <row r="865" spans="1:12" x14ac:dyDescent="0.25">
      <c r="A865" s="27" t="str">
        <f>IF(COUNTIF(B865:K865,"="&amp;'MITRE ATT&amp;CK Mappings'!B861)&gt;0,'MITRE ATT&amp;CK Mappings'!B861,"")</f>
        <v/>
      </c>
      <c r="B865" s="27" t="str">
        <f>IF(OR(OR(OR(OR(OR(ISNUMBER(SEARCH(IF(B$1&lt;&gt;"",B$1,"NA"),'MITRE ATT&amp;CK Mappings'!$E861)),ISNUMBER(SEARCH(IF(B$1&lt;&gt;"",B$1,"NA"),'MITRE ATT&amp;CK Mappings'!$F861))),ISNUMBER(SEARCH(IF(B$2&lt;&gt;"",B$2,"NA"),'MITRE ATT&amp;CK Mappings'!$G861))),ISNUMBER(SEARCH(IF(B$2&lt;&gt;"",B$2,"NA"),'MITRE ATT&amp;CK Mappings'!$H861))),ISNUMBER(SEARCH(IF(B$3&lt;&gt;"",B$3,"NA"),'MITRE ATT&amp;CK Mappings'!$I861))),ISNUMBER(SEARCH(IF(B$3&lt;&gt;"",B$3,"NA"),'MITRE ATT&amp;CK Mappings'!$J861))), 'MITRE ATT&amp;CK Mappings'!$B861,"")</f>
        <v/>
      </c>
      <c r="C865" s="27" t="str">
        <f>IF(OR(OR(OR(OR(OR(ISNUMBER(SEARCH(IF(C$1&lt;&gt;"",C$1,"NA"),'MITRE ATT&amp;CK Mappings'!$E861)),ISNUMBER(SEARCH(IF(C$1&lt;&gt;"",C$1,"NA"),'MITRE ATT&amp;CK Mappings'!$F861))),ISNUMBER(SEARCH(IF(C$2&lt;&gt;"",C$2,"NA"),'MITRE ATT&amp;CK Mappings'!$G861))),ISNUMBER(SEARCH(IF(C$2&lt;&gt;"",C$2,"NA"),'MITRE ATT&amp;CK Mappings'!$H861))),ISNUMBER(SEARCH(IF(C$3&lt;&gt;"",C$3,"NA"),'MITRE ATT&amp;CK Mappings'!$I861))),ISNUMBER(SEARCH(IF(C$3&lt;&gt;"",C$3,"NA"),'MITRE ATT&amp;CK Mappings'!$J861))), 'MITRE ATT&amp;CK Mappings'!$B861,"")</f>
        <v/>
      </c>
      <c r="D865" s="27" t="str">
        <f>IF(OR(OR(OR(OR(OR(ISNUMBER(SEARCH(IF(D$1&lt;&gt;"",D$1,"NA"),'MITRE ATT&amp;CK Mappings'!$E861)),ISNUMBER(SEARCH(IF(D$1&lt;&gt;"",D$1,"NA"),'MITRE ATT&amp;CK Mappings'!$F861))),ISNUMBER(SEARCH(IF(D$2&lt;&gt;"",D$2,"NA"),'MITRE ATT&amp;CK Mappings'!$G861))),ISNUMBER(SEARCH(IF(D$2&lt;&gt;"",D$2,"NA"),'MITRE ATT&amp;CK Mappings'!$H861))),ISNUMBER(SEARCH(IF(D$3&lt;&gt;"",D$3,"NA"),'MITRE ATT&amp;CK Mappings'!$I861))),ISNUMBER(SEARCH(IF(D$3&lt;&gt;"",D$3,"NA"),'MITRE ATT&amp;CK Mappings'!$J861))), 'MITRE ATT&amp;CK Mappings'!$B861,"")</f>
        <v/>
      </c>
      <c r="E865" s="27" t="str">
        <f>IF(OR(OR(OR(OR(OR(ISNUMBER(SEARCH(IF(E$1&lt;&gt;"",E$1,"NA"),'MITRE ATT&amp;CK Mappings'!$E861)),ISNUMBER(SEARCH(IF(E$1&lt;&gt;"",E$1,"NA"),'MITRE ATT&amp;CK Mappings'!$F861))),ISNUMBER(SEARCH(IF(E$2&lt;&gt;"",E$2,"NA"),'MITRE ATT&amp;CK Mappings'!$G861))),ISNUMBER(SEARCH(IF(E$2&lt;&gt;"",E$2,"NA"),'MITRE ATT&amp;CK Mappings'!$H861))),ISNUMBER(SEARCH(IF(E$3&lt;&gt;"",E$3,"NA"),'MITRE ATT&amp;CK Mappings'!$I861))),ISNUMBER(SEARCH(IF(E$3&lt;&gt;"",E$3,"NA"),'MITRE ATT&amp;CK Mappings'!$J861))), 'MITRE ATT&amp;CK Mappings'!$B861,"")</f>
        <v/>
      </c>
      <c r="F865" s="27" t="str">
        <f>IF(OR(OR(OR(OR(OR(ISNUMBER(SEARCH(IF(F$1&lt;&gt;"",F$1,"NA"),'MITRE ATT&amp;CK Mappings'!$E861)),ISNUMBER(SEARCH(IF(F$1&lt;&gt;"",F$1,"NA"),'MITRE ATT&amp;CK Mappings'!$F861))),ISNUMBER(SEARCH(IF(F$2&lt;&gt;"",F$2,"NA"),'MITRE ATT&amp;CK Mappings'!$G861))),ISNUMBER(SEARCH(IF(F$2&lt;&gt;"",F$2,"NA"),'MITRE ATT&amp;CK Mappings'!$H861))),ISNUMBER(SEARCH(IF(F$3&lt;&gt;"",F$3,"NA"),'MITRE ATT&amp;CK Mappings'!$I861))),ISNUMBER(SEARCH(IF(F$3&lt;&gt;"",F$3,"NA"),'MITRE ATT&amp;CK Mappings'!$J861))), 'MITRE ATT&amp;CK Mappings'!$B861,"")</f>
        <v/>
      </c>
      <c r="G865" s="27" t="str">
        <f>IF(OR(OR(OR(OR(OR(ISNUMBER(SEARCH(IF(G$1&lt;&gt;"",G$1,"NA"),'MITRE ATT&amp;CK Mappings'!$E861)),ISNUMBER(SEARCH(IF(G$1&lt;&gt;"",G$1,"NA"),'MITRE ATT&amp;CK Mappings'!$F861))),ISNUMBER(SEARCH(IF(G$2&lt;&gt;"",G$2,"NA"),'MITRE ATT&amp;CK Mappings'!$G861))),ISNUMBER(SEARCH(IF(G$2&lt;&gt;"",G$2,"NA"),'MITRE ATT&amp;CK Mappings'!$H861))),ISNUMBER(SEARCH(IF(G$3&lt;&gt;"",G$3,"NA"),'MITRE ATT&amp;CK Mappings'!$I861))),ISNUMBER(SEARCH(IF(G$3&lt;&gt;"",G$3,"NA"),'MITRE ATT&amp;CK Mappings'!$J861))), 'MITRE ATT&amp;CK Mappings'!$B861,"")</f>
        <v/>
      </c>
      <c r="H865" s="27" t="str">
        <f>IF(OR(OR(OR(OR(OR(ISNUMBER(SEARCH(IF(H$1&lt;&gt;"",H$1,"NA"),'MITRE ATT&amp;CK Mappings'!$E861)),ISNUMBER(SEARCH(IF(H$1&lt;&gt;"",H$1,"NA"),'MITRE ATT&amp;CK Mappings'!$F861))),ISNUMBER(SEARCH(IF(H$2&lt;&gt;"",H$2,"NA"),'MITRE ATT&amp;CK Mappings'!$G861))),ISNUMBER(SEARCH(IF(H$2&lt;&gt;"",H$2,"NA"),'MITRE ATT&amp;CK Mappings'!$H861))),ISNUMBER(SEARCH(IF(H$3&lt;&gt;"",H$3,"NA"),'MITRE ATT&amp;CK Mappings'!$I861))),ISNUMBER(SEARCH(IF(H$3&lt;&gt;"",H$3,"NA"),'MITRE ATT&amp;CK Mappings'!$J861))), 'MITRE ATT&amp;CK Mappings'!$B861,"")</f>
        <v/>
      </c>
      <c r="I865" s="27" t="str">
        <f>IF(OR(OR(OR(OR(OR(ISNUMBER(SEARCH(IF(I$1&lt;&gt;"",I$1,"NA"),'MITRE ATT&amp;CK Mappings'!$E861)),ISNUMBER(SEARCH(IF(I$1&lt;&gt;"",I$1,"NA"),'MITRE ATT&amp;CK Mappings'!$F861))),ISNUMBER(SEARCH(IF(I$2&lt;&gt;"",I$2,"NA"),'MITRE ATT&amp;CK Mappings'!$G861))),ISNUMBER(SEARCH(IF(I$2&lt;&gt;"",I$2,"NA"),'MITRE ATT&amp;CK Mappings'!$H861))),ISNUMBER(SEARCH(IF(I$3&lt;&gt;"",I$3,"NA"),'MITRE ATT&amp;CK Mappings'!$I861))),ISNUMBER(SEARCH(IF(I$3&lt;&gt;"",I$3,"NA"),'MITRE ATT&amp;CK Mappings'!$J861))), 'MITRE ATT&amp;CK Mappings'!$B861,"")</f>
        <v/>
      </c>
      <c r="J865" s="27" t="str">
        <f>IF(OR(OR(OR(OR(OR(ISNUMBER(SEARCH(IF(J$1&lt;&gt;"",J$1,"NA"),'MITRE ATT&amp;CK Mappings'!$E861)),ISNUMBER(SEARCH(IF(J$1&lt;&gt;"",J$1,"NA"),'MITRE ATT&amp;CK Mappings'!$F861))),ISNUMBER(SEARCH(IF(J$2&lt;&gt;"",J$2,"NA"),'MITRE ATT&amp;CK Mappings'!$G861))),ISNUMBER(SEARCH(IF(J$2&lt;&gt;"",J$2,"NA"),'MITRE ATT&amp;CK Mappings'!$H861))),ISNUMBER(SEARCH(IF(J$3&lt;&gt;"",J$3,"NA"),'MITRE ATT&amp;CK Mappings'!$I861))),ISNUMBER(SEARCH(IF(J$3&lt;&gt;"",J$3,"NA"),'MITRE ATT&amp;CK Mappings'!$J861))), 'MITRE ATT&amp;CK Mappings'!$B861,"")</f>
        <v/>
      </c>
      <c r="K865" s="27" t="str">
        <f>IF(OR(OR(OR(OR(OR(ISNUMBER(SEARCH(IF(K$1&lt;&gt;"",K$1,"NA"),'MITRE ATT&amp;CK Mappings'!$E861)),ISNUMBER(SEARCH(IF(K$1&lt;&gt;"",K$1,"NA"),'MITRE ATT&amp;CK Mappings'!$F861))),ISNUMBER(SEARCH(IF(K$2&lt;&gt;"",K$2,"NA"),'MITRE ATT&amp;CK Mappings'!$G861))),ISNUMBER(SEARCH(IF(K$2&lt;&gt;"",K$2,"NA"),'MITRE ATT&amp;CK Mappings'!$H861))),ISNUMBER(SEARCH(IF(K$3&lt;&gt;"",K$3,"NA"),'MITRE ATT&amp;CK Mappings'!$I861))),ISNUMBER(SEARCH(IF(K$3&lt;&gt;"",K$3,"NA"),'MITRE ATT&amp;CK Mappings'!$J861))), 'MITRE ATT&amp;CK Mappings'!$B861,"")</f>
        <v/>
      </c>
      <c r="L865" s="27" t="str">
        <f>IF('MITRE ATT&amp;CK Mappings'!D861 &lt;&gt;"",'MITRE ATT&amp;CK Mappings'!D861,"" )</f>
        <v/>
      </c>
    </row>
    <row r="866" spans="1:12" x14ac:dyDescent="0.25">
      <c r="A866" s="26" t="str">
        <f>IF(COUNTIF(B866:K866,"="&amp;'MITRE ATT&amp;CK Mappings'!B862)&gt;0,'MITRE ATT&amp;CK Mappings'!B862,"")</f>
        <v/>
      </c>
      <c r="B866" s="26" t="str">
        <f>IF(OR(OR(OR(OR(OR(ISNUMBER(SEARCH(IF(B$1&lt;&gt;"",B$1,"NA"),'MITRE ATT&amp;CK Mappings'!$E862)),ISNUMBER(SEARCH(IF(B$1&lt;&gt;"",B$1,"NA"),'MITRE ATT&amp;CK Mappings'!$F862))),ISNUMBER(SEARCH(IF(B$2&lt;&gt;"",B$2,"NA"),'MITRE ATT&amp;CK Mappings'!$G862))),ISNUMBER(SEARCH(IF(B$2&lt;&gt;"",B$2,"NA"),'MITRE ATT&amp;CK Mappings'!$H862))),ISNUMBER(SEARCH(IF(B$3&lt;&gt;"",B$3,"NA"),'MITRE ATT&amp;CK Mappings'!$I862))),ISNUMBER(SEARCH(IF(B$3&lt;&gt;"",B$3,"NA"),'MITRE ATT&amp;CK Mappings'!$J862))), 'MITRE ATT&amp;CK Mappings'!$B862,"")</f>
        <v/>
      </c>
      <c r="C866" s="26" t="str">
        <f>IF(OR(OR(OR(OR(OR(ISNUMBER(SEARCH(IF(C$1&lt;&gt;"",C$1,"NA"),'MITRE ATT&amp;CK Mappings'!$E862)),ISNUMBER(SEARCH(IF(C$1&lt;&gt;"",C$1,"NA"),'MITRE ATT&amp;CK Mappings'!$F862))),ISNUMBER(SEARCH(IF(C$2&lt;&gt;"",C$2,"NA"),'MITRE ATT&amp;CK Mappings'!$G862))),ISNUMBER(SEARCH(IF(C$2&lt;&gt;"",C$2,"NA"),'MITRE ATT&amp;CK Mappings'!$H862))),ISNUMBER(SEARCH(IF(C$3&lt;&gt;"",C$3,"NA"),'MITRE ATT&amp;CK Mappings'!$I862))),ISNUMBER(SEARCH(IF(C$3&lt;&gt;"",C$3,"NA"),'MITRE ATT&amp;CK Mappings'!$J862))), 'MITRE ATT&amp;CK Mappings'!$B862,"")</f>
        <v/>
      </c>
      <c r="D866" s="26" t="str">
        <f>IF(OR(OR(OR(OR(OR(ISNUMBER(SEARCH(IF(D$1&lt;&gt;"",D$1,"NA"),'MITRE ATT&amp;CK Mappings'!$E862)),ISNUMBER(SEARCH(IF(D$1&lt;&gt;"",D$1,"NA"),'MITRE ATT&amp;CK Mappings'!$F862))),ISNUMBER(SEARCH(IF(D$2&lt;&gt;"",D$2,"NA"),'MITRE ATT&amp;CK Mappings'!$G862))),ISNUMBER(SEARCH(IF(D$2&lt;&gt;"",D$2,"NA"),'MITRE ATT&amp;CK Mappings'!$H862))),ISNUMBER(SEARCH(IF(D$3&lt;&gt;"",D$3,"NA"),'MITRE ATT&amp;CK Mappings'!$I862))),ISNUMBER(SEARCH(IF(D$3&lt;&gt;"",D$3,"NA"),'MITRE ATT&amp;CK Mappings'!$J862))), 'MITRE ATT&amp;CK Mappings'!$B862,"")</f>
        <v/>
      </c>
      <c r="E866" s="26" t="str">
        <f>IF(OR(OR(OR(OR(OR(ISNUMBER(SEARCH(IF(E$1&lt;&gt;"",E$1,"NA"),'MITRE ATT&amp;CK Mappings'!$E862)),ISNUMBER(SEARCH(IF(E$1&lt;&gt;"",E$1,"NA"),'MITRE ATT&amp;CK Mappings'!$F862))),ISNUMBER(SEARCH(IF(E$2&lt;&gt;"",E$2,"NA"),'MITRE ATT&amp;CK Mappings'!$G862))),ISNUMBER(SEARCH(IF(E$2&lt;&gt;"",E$2,"NA"),'MITRE ATT&amp;CK Mappings'!$H862))),ISNUMBER(SEARCH(IF(E$3&lt;&gt;"",E$3,"NA"),'MITRE ATT&amp;CK Mappings'!$I862))),ISNUMBER(SEARCH(IF(E$3&lt;&gt;"",E$3,"NA"),'MITRE ATT&amp;CK Mappings'!$J862))), 'MITRE ATT&amp;CK Mappings'!$B862,"")</f>
        <v/>
      </c>
      <c r="F866" s="26" t="str">
        <f>IF(OR(OR(OR(OR(OR(ISNUMBER(SEARCH(IF(F$1&lt;&gt;"",F$1,"NA"),'MITRE ATT&amp;CK Mappings'!$E862)),ISNUMBER(SEARCH(IF(F$1&lt;&gt;"",F$1,"NA"),'MITRE ATT&amp;CK Mappings'!$F862))),ISNUMBER(SEARCH(IF(F$2&lt;&gt;"",F$2,"NA"),'MITRE ATT&amp;CK Mappings'!$G862))),ISNUMBER(SEARCH(IF(F$2&lt;&gt;"",F$2,"NA"),'MITRE ATT&amp;CK Mappings'!$H862))),ISNUMBER(SEARCH(IF(F$3&lt;&gt;"",F$3,"NA"),'MITRE ATT&amp;CK Mappings'!$I862))),ISNUMBER(SEARCH(IF(F$3&lt;&gt;"",F$3,"NA"),'MITRE ATT&amp;CK Mappings'!$J862))), 'MITRE ATT&amp;CK Mappings'!$B862,"")</f>
        <v/>
      </c>
      <c r="G866" s="26" t="str">
        <f>IF(OR(OR(OR(OR(OR(ISNUMBER(SEARCH(IF(G$1&lt;&gt;"",G$1,"NA"),'MITRE ATT&amp;CK Mappings'!$E862)),ISNUMBER(SEARCH(IF(G$1&lt;&gt;"",G$1,"NA"),'MITRE ATT&amp;CK Mappings'!$F862))),ISNUMBER(SEARCH(IF(G$2&lt;&gt;"",G$2,"NA"),'MITRE ATT&amp;CK Mappings'!$G862))),ISNUMBER(SEARCH(IF(G$2&lt;&gt;"",G$2,"NA"),'MITRE ATT&amp;CK Mappings'!$H862))),ISNUMBER(SEARCH(IF(G$3&lt;&gt;"",G$3,"NA"),'MITRE ATT&amp;CK Mappings'!$I862))),ISNUMBER(SEARCH(IF(G$3&lt;&gt;"",G$3,"NA"),'MITRE ATT&amp;CK Mappings'!$J862))), 'MITRE ATT&amp;CK Mappings'!$B862,"")</f>
        <v/>
      </c>
      <c r="H866" s="26" t="str">
        <f>IF(OR(OR(OR(OR(OR(ISNUMBER(SEARCH(IF(H$1&lt;&gt;"",H$1,"NA"),'MITRE ATT&amp;CK Mappings'!$E862)),ISNUMBER(SEARCH(IF(H$1&lt;&gt;"",H$1,"NA"),'MITRE ATT&amp;CK Mappings'!$F862))),ISNUMBER(SEARCH(IF(H$2&lt;&gt;"",H$2,"NA"),'MITRE ATT&amp;CK Mappings'!$G862))),ISNUMBER(SEARCH(IF(H$2&lt;&gt;"",H$2,"NA"),'MITRE ATT&amp;CK Mappings'!$H862))),ISNUMBER(SEARCH(IF(H$3&lt;&gt;"",H$3,"NA"),'MITRE ATT&amp;CK Mappings'!$I862))),ISNUMBER(SEARCH(IF(H$3&lt;&gt;"",H$3,"NA"),'MITRE ATT&amp;CK Mappings'!$J862))), 'MITRE ATT&amp;CK Mappings'!$B862,"")</f>
        <v/>
      </c>
      <c r="I866" s="26" t="str">
        <f>IF(OR(OR(OR(OR(OR(ISNUMBER(SEARCH(IF(I$1&lt;&gt;"",I$1,"NA"),'MITRE ATT&amp;CK Mappings'!$E862)),ISNUMBER(SEARCH(IF(I$1&lt;&gt;"",I$1,"NA"),'MITRE ATT&amp;CK Mappings'!$F862))),ISNUMBER(SEARCH(IF(I$2&lt;&gt;"",I$2,"NA"),'MITRE ATT&amp;CK Mappings'!$G862))),ISNUMBER(SEARCH(IF(I$2&lt;&gt;"",I$2,"NA"),'MITRE ATT&amp;CK Mappings'!$H862))),ISNUMBER(SEARCH(IF(I$3&lt;&gt;"",I$3,"NA"),'MITRE ATT&amp;CK Mappings'!$I862))),ISNUMBER(SEARCH(IF(I$3&lt;&gt;"",I$3,"NA"),'MITRE ATT&amp;CK Mappings'!$J862))), 'MITRE ATT&amp;CK Mappings'!$B862,"")</f>
        <v/>
      </c>
      <c r="J866" s="26" t="str">
        <f>IF(OR(OR(OR(OR(OR(ISNUMBER(SEARCH(IF(J$1&lt;&gt;"",J$1,"NA"),'MITRE ATT&amp;CK Mappings'!$E862)),ISNUMBER(SEARCH(IF(J$1&lt;&gt;"",J$1,"NA"),'MITRE ATT&amp;CK Mappings'!$F862))),ISNUMBER(SEARCH(IF(J$2&lt;&gt;"",J$2,"NA"),'MITRE ATT&amp;CK Mappings'!$G862))),ISNUMBER(SEARCH(IF(J$2&lt;&gt;"",J$2,"NA"),'MITRE ATT&amp;CK Mappings'!$H862))),ISNUMBER(SEARCH(IF(J$3&lt;&gt;"",J$3,"NA"),'MITRE ATT&amp;CK Mappings'!$I862))),ISNUMBER(SEARCH(IF(J$3&lt;&gt;"",J$3,"NA"),'MITRE ATT&amp;CK Mappings'!$J862))), 'MITRE ATT&amp;CK Mappings'!$B862,"")</f>
        <v/>
      </c>
      <c r="K866" s="26" t="str">
        <f>IF(OR(OR(OR(OR(OR(ISNUMBER(SEARCH(IF(K$1&lt;&gt;"",K$1,"NA"),'MITRE ATT&amp;CK Mappings'!$E862)),ISNUMBER(SEARCH(IF(K$1&lt;&gt;"",K$1,"NA"),'MITRE ATT&amp;CK Mappings'!$F862))),ISNUMBER(SEARCH(IF(K$2&lt;&gt;"",K$2,"NA"),'MITRE ATT&amp;CK Mappings'!$G862))),ISNUMBER(SEARCH(IF(K$2&lt;&gt;"",K$2,"NA"),'MITRE ATT&amp;CK Mappings'!$H862))),ISNUMBER(SEARCH(IF(K$3&lt;&gt;"",K$3,"NA"),'MITRE ATT&amp;CK Mappings'!$I862))),ISNUMBER(SEARCH(IF(K$3&lt;&gt;"",K$3,"NA"),'MITRE ATT&amp;CK Mappings'!$J862))), 'MITRE ATT&amp;CK Mappings'!$B862,"")</f>
        <v/>
      </c>
      <c r="L866" s="26" t="str">
        <f>IF('MITRE ATT&amp;CK Mappings'!D862 &lt;&gt;"",'MITRE ATT&amp;CK Mappings'!D862,"" )</f>
        <v/>
      </c>
    </row>
    <row r="867" spans="1:12" x14ac:dyDescent="0.25">
      <c r="A867" s="27" t="str">
        <f>IF(COUNTIF(B867:K867,"="&amp;'MITRE ATT&amp;CK Mappings'!B863)&gt;0,'MITRE ATT&amp;CK Mappings'!B863,"")</f>
        <v/>
      </c>
      <c r="B867" s="27" t="str">
        <f>IF(OR(OR(OR(OR(OR(ISNUMBER(SEARCH(IF(B$1&lt;&gt;"",B$1,"NA"),'MITRE ATT&amp;CK Mappings'!$E863)),ISNUMBER(SEARCH(IF(B$1&lt;&gt;"",B$1,"NA"),'MITRE ATT&amp;CK Mappings'!$F863))),ISNUMBER(SEARCH(IF(B$2&lt;&gt;"",B$2,"NA"),'MITRE ATT&amp;CK Mappings'!$G863))),ISNUMBER(SEARCH(IF(B$2&lt;&gt;"",B$2,"NA"),'MITRE ATT&amp;CK Mappings'!$H863))),ISNUMBER(SEARCH(IF(B$3&lt;&gt;"",B$3,"NA"),'MITRE ATT&amp;CK Mappings'!$I863))),ISNUMBER(SEARCH(IF(B$3&lt;&gt;"",B$3,"NA"),'MITRE ATT&amp;CK Mappings'!$J863))), 'MITRE ATT&amp;CK Mappings'!$B863,"")</f>
        <v/>
      </c>
      <c r="C867" s="27" t="str">
        <f>IF(OR(OR(OR(OR(OR(ISNUMBER(SEARCH(IF(C$1&lt;&gt;"",C$1,"NA"),'MITRE ATT&amp;CK Mappings'!$E863)),ISNUMBER(SEARCH(IF(C$1&lt;&gt;"",C$1,"NA"),'MITRE ATT&amp;CK Mappings'!$F863))),ISNUMBER(SEARCH(IF(C$2&lt;&gt;"",C$2,"NA"),'MITRE ATT&amp;CK Mappings'!$G863))),ISNUMBER(SEARCH(IF(C$2&lt;&gt;"",C$2,"NA"),'MITRE ATT&amp;CK Mappings'!$H863))),ISNUMBER(SEARCH(IF(C$3&lt;&gt;"",C$3,"NA"),'MITRE ATT&amp;CK Mappings'!$I863))),ISNUMBER(SEARCH(IF(C$3&lt;&gt;"",C$3,"NA"),'MITRE ATT&amp;CK Mappings'!$J863))), 'MITRE ATT&amp;CK Mappings'!$B863,"")</f>
        <v/>
      </c>
      <c r="D867" s="27" t="str">
        <f>IF(OR(OR(OR(OR(OR(ISNUMBER(SEARCH(IF(D$1&lt;&gt;"",D$1,"NA"),'MITRE ATT&amp;CK Mappings'!$E863)),ISNUMBER(SEARCH(IF(D$1&lt;&gt;"",D$1,"NA"),'MITRE ATT&amp;CK Mappings'!$F863))),ISNUMBER(SEARCH(IF(D$2&lt;&gt;"",D$2,"NA"),'MITRE ATT&amp;CK Mappings'!$G863))),ISNUMBER(SEARCH(IF(D$2&lt;&gt;"",D$2,"NA"),'MITRE ATT&amp;CK Mappings'!$H863))),ISNUMBER(SEARCH(IF(D$3&lt;&gt;"",D$3,"NA"),'MITRE ATT&amp;CK Mappings'!$I863))),ISNUMBER(SEARCH(IF(D$3&lt;&gt;"",D$3,"NA"),'MITRE ATT&amp;CK Mappings'!$J863))), 'MITRE ATT&amp;CK Mappings'!$B863,"")</f>
        <v/>
      </c>
      <c r="E867" s="27" t="str">
        <f>IF(OR(OR(OR(OR(OR(ISNUMBER(SEARCH(IF(E$1&lt;&gt;"",E$1,"NA"),'MITRE ATT&amp;CK Mappings'!$E863)),ISNUMBER(SEARCH(IF(E$1&lt;&gt;"",E$1,"NA"),'MITRE ATT&amp;CK Mappings'!$F863))),ISNUMBER(SEARCH(IF(E$2&lt;&gt;"",E$2,"NA"),'MITRE ATT&amp;CK Mappings'!$G863))),ISNUMBER(SEARCH(IF(E$2&lt;&gt;"",E$2,"NA"),'MITRE ATT&amp;CK Mappings'!$H863))),ISNUMBER(SEARCH(IF(E$3&lt;&gt;"",E$3,"NA"),'MITRE ATT&amp;CK Mappings'!$I863))),ISNUMBER(SEARCH(IF(E$3&lt;&gt;"",E$3,"NA"),'MITRE ATT&amp;CK Mappings'!$J863))), 'MITRE ATT&amp;CK Mappings'!$B863,"")</f>
        <v/>
      </c>
      <c r="F867" s="27" t="str">
        <f>IF(OR(OR(OR(OR(OR(ISNUMBER(SEARCH(IF(F$1&lt;&gt;"",F$1,"NA"),'MITRE ATT&amp;CK Mappings'!$E863)),ISNUMBER(SEARCH(IF(F$1&lt;&gt;"",F$1,"NA"),'MITRE ATT&amp;CK Mappings'!$F863))),ISNUMBER(SEARCH(IF(F$2&lt;&gt;"",F$2,"NA"),'MITRE ATT&amp;CK Mappings'!$G863))),ISNUMBER(SEARCH(IF(F$2&lt;&gt;"",F$2,"NA"),'MITRE ATT&amp;CK Mappings'!$H863))),ISNUMBER(SEARCH(IF(F$3&lt;&gt;"",F$3,"NA"),'MITRE ATT&amp;CK Mappings'!$I863))),ISNUMBER(SEARCH(IF(F$3&lt;&gt;"",F$3,"NA"),'MITRE ATT&amp;CK Mappings'!$J863))), 'MITRE ATT&amp;CK Mappings'!$B863,"")</f>
        <v/>
      </c>
      <c r="G867" s="27" t="str">
        <f>IF(OR(OR(OR(OR(OR(ISNUMBER(SEARCH(IF(G$1&lt;&gt;"",G$1,"NA"),'MITRE ATT&amp;CK Mappings'!$E863)),ISNUMBER(SEARCH(IF(G$1&lt;&gt;"",G$1,"NA"),'MITRE ATT&amp;CK Mappings'!$F863))),ISNUMBER(SEARCH(IF(G$2&lt;&gt;"",G$2,"NA"),'MITRE ATT&amp;CK Mappings'!$G863))),ISNUMBER(SEARCH(IF(G$2&lt;&gt;"",G$2,"NA"),'MITRE ATT&amp;CK Mappings'!$H863))),ISNUMBER(SEARCH(IF(G$3&lt;&gt;"",G$3,"NA"),'MITRE ATT&amp;CK Mappings'!$I863))),ISNUMBER(SEARCH(IF(G$3&lt;&gt;"",G$3,"NA"),'MITRE ATT&amp;CK Mappings'!$J863))), 'MITRE ATT&amp;CK Mappings'!$B863,"")</f>
        <v/>
      </c>
      <c r="H867" s="27" t="str">
        <f>IF(OR(OR(OR(OR(OR(ISNUMBER(SEARCH(IF(H$1&lt;&gt;"",H$1,"NA"),'MITRE ATT&amp;CK Mappings'!$E863)),ISNUMBER(SEARCH(IF(H$1&lt;&gt;"",H$1,"NA"),'MITRE ATT&amp;CK Mappings'!$F863))),ISNUMBER(SEARCH(IF(H$2&lt;&gt;"",H$2,"NA"),'MITRE ATT&amp;CK Mappings'!$G863))),ISNUMBER(SEARCH(IF(H$2&lt;&gt;"",H$2,"NA"),'MITRE ATT&amp;CK Mappings'!$H863))),ISNUMBER(SEARCH(IF(H$3&lt;&gt;"",H$3,"NA"),'MITRE ATT&amp;CK Mappings'!$I863))),ISNUMBER(SEARCH(IF(H$3&lt;&gt;"",H$3,"NA"),'MITRE ATT&amp;CK Mappings'!$J863))), 'MITRE ATT&amp;CK Mappings'!$B863,"")</f>
        <v/>
      </c>
      <c r="I867" s="27" t="str">
        <f>IF(OR(OR(OR(OR(OR(ISNUMBER(SEARCH(IF(I$1&lt;&gt;"",I$1,"NA"),'MITRE ATT&amp;CK Mappings'!$E863)),ISNUMBER(SEARCH(IF(I$1&lt;&gt;"",I$1,"NA"),'MITRE ATT&amp;CK Mappings'!$F863))),ISNUMBER(SEARCH(IF(I$2&lt;&gt;"",I$2,"NA"),'MITRE ATT&amp;CK Mappings'!$G863))),ISNUMBER(SEARCH(IF(I$2&lt;&gt;"",I$2,"NA"),'MITRE ATT&amp;CK Mappings'!$H863))),ISNUMBER(SEARCH(IF(I$3&lt;&gt;"",I$3,"NA"),'MITRE ATT&amp;CK Mappings'!$I863))),ISNUMBER(SEARCH(IF(I$3&lt;&gt;"",I$3,"NA"),'MITRE ATT&amp;CK Mappings'!$J863))), 'MITRE ATT&amp;CK Mappings'!$B863,"")</f>
        <v/>
      </c>
      <c r="J867" s="27" t="str">
        <f>IF(OR(OR(OR(OR(OR(ISNUMBER(SEARCH(IF(J$1&lt;&gt;"",J$1,"NA"),'MITRE ATT&amp;CK Mappings'!$E863)),ISNUMBER(SEARCH(IF(J$1&lt;&gt;"",J$1,"NA"),'MITRE ATT&amp;CK Mappings'!$F863))),ISNUMBER(SEARCH(IF(J$2&lt;&gt;"",J$2,"NA"),'MITRE ATT&amp;CK Mappings'!$G863))),ISNUMBER(SEARCH(IF(J$2&lt;&gt;"",J$2,"NA"),'MITRE ATT&amp;CK Mappings'!$H863))),ISNUMBER(SEARCH(IF(J$3&lt;&gt;"",J$3,"NA"),'MITRE ATT&amp;CK Mappings'!$I863))),ISNUMBER(SEARCH(IF(J$3&lt;&gt;"",J$3,"NA"),'MITRE ATT&amp;CK Mappings'!$J863))), 'MITRE ATT&amp;CK Mappings'!$B863,"")</f>
        <v/>
      </c>
      <c r="K867" s="27" t="str">
        <f>IF(OR(OR(OR(OR(OR(ISNUMBER(SEARCH(IF(K$1&lt;&gt;"",K$1,"NA"),'MITRE ATT&amp;CK Mappings'!$E863)),ISNUMBER(SEARCH(IF(K$1&lt;&gt;"",K$1,"NA"),'MITRE ATT&amp;CK Mappings'!$F863))),ISNUMBER(SEARCH(IF(K$2&lt;&gt;"",K$2,"NA"),'MITRE ATT&amp;CK Mappings'!$G863))),ISNUMBER(SEARCH(IF(K$2&lt;&gt;"",K$2,"NA"),'MITRE ATT&amp;CK Mappings'!$H863))),ISNUMBER(SEARCH(IF(K$3&lt;&gt;"",K$3,"NA"),'MITRE ATT&amp;CK Mappings'!$I863))),ISNUMBER(SEARCH(IF(K$3&lt;&gt;"",K$3,"NA"),'MITRE ATT&amp;CK Mappings'!$J863))), 'MITRE ATT&amp;CK Mappings'!$B863,"")</f>
        <v/>
      </c>
      <c r="L867" s="27" t="str">
        <f>IF('MITRE ATT&amp;CK Mappings'!D863 &lt;&gt;"",'MITRE ATT&amp;CK Mappings'!D863,"" )</f>
        <v/>
      </c>
    </row>
    <row r="868" spans="1:12" x14ac:dyDescent="0.25">
      <c r="A868" s="26" t="str">
        <f>IF(COUNTIF(B868:K868,"="&amp;'MITRE ATT&amp;CK Mappings'!B864)&gt;0,'MITRE ATT&amp;CK Mappings'!B864,"")</f>
        <v/>
      </c>
      <c r="B868" s="26" t="str">
        <f>IF(OR(OR(OR(OR(OR(ISNUMBER(SEARCH(IF(B$1&lt;&gt;"",B$1,"NA"),'MITRE ATT&amp;CK Mappings'!$E864)),ISNUMBER(SEARCH(IF(B$1&lt;&gt;"",B$1,"NA"),'MITRE ATT&amp;CK Mappings'!$F864))),ISNUMBER(SEARCH(IF(B$2&lt;&gt;"",B$2,"NA"),'MITRE ATT&amp;CK Mappings'!$G864))),ISNUMBER(SEARCH(IF(B$2&lt;&gt;"",B$2,"NA"),'MITRE ATT&amp;CK Mappings'!$H864))),ISNUMBER(SEARCH(IF(B$3&lt;&gt;"",B$3,"NA"),'MITRE ATT&amp;CK Mappings'!$I864))),ISNUMBER(SEARCH(IF(B$3&lt;&gt;"",B$3,"NA"),'MITRE ATT&amp;CK Mappings'!$J864))), 'MITRE ATT&amp;CK Mappings'!$B864,"")</f>
        <v/>
      </c>
      <c r="C868" s="26" t="str">
        <f>IF(OR(OR(OR(OR(OR(ISNUMBER(SEARCH(IF(C$1&lt;&gt;"",C$1,"NA"),'MITRE ATT&amp;CK Mappings'!$E864)),ISNUMBER(SEARCH(IF(C$1&lt;&gt;"",C$1,"NA"),'MITRE ATT&amp;CK Mappings'!$F864))),ISNUMBER(SEARCH(IF(C$2&lt;&gt;"",C$2,"NA"),'MITRE ATT&amp;CK Mappings'!$G864))),ISNUMBER(SEARCH(IF(C$2&lt;&gt;"",C$2,"NA"),'MITRE ATT&amp;CK Mappings'!$H864))),ISNUMBER(SEARCH(IF(C$3&lt;&gt;"",C$3,"NA"),'MITRE ATT&amp;CK Mappings'!$I864))),ISNUMBER(SEARCH(IF(C$3&lt;&gt;"",C$3,"NA"),'MITRE ATT&amp;CK Mappings'!$J864))), 'MITRE ATT&amp;CK Mappings'!$B864,"")</f>
        <v/>
      </c>
      <c r="D868" s="26" t="str">
        <f>IF(OR(OR(OR(OR(OR(ISNUMBER(SEARCH(IF(D$1&lt;&gt;"",D$1,"NA"),'MITRE ATT&amp;CK Mappings'!$E864)),ISNUMBER(SEARCH(IF(D$1&lt;&gt;"",D$1,"NA"),'MITRE ATT&amp;CK Mappings'!$F864))),ISNUMBER(SEARCH(IF(D$2&lt;&gt;"",D$2,"NA"),'MITRE ATT&amp;CK Mappings'!$G864))),ISNUMBER(SEARCH(IF(D$2&lt;&gt;"",D$2,"NA"),'MITRE ATT&amp;CK Mappings'!$H864))),ISNUMBER(SEARCH(IF(D$3&lt;&gt;"",D$3,"NA"),'MITRE ATT&amp;CK Mappings'!$I864))),ISNUMBER(SEARCH(IF(D$3&lt;&gt;"",D$3,"NA"),'MITRE ATT&amp;CK Mappings'!$J864))), 'MITRE ATT&amp;CK Mappings'!$B864,"")</f>
        <v/>
      </c>
      <c r="E868" s="26" t="str">
        <f>IF(OR(OR(OR(OR(OR(ISNUMBER(SEARCH(IF(E$1&lt;&gt;"",E$1,"NA"),'MITRE ATT&amp;CK Mappings'!$E864)),ISNUMBER(SEARCH(IF(E$1&lt;&gt;"",E$1,"NA"),'MITRE ATT&amp;CK Mappings'!$F864))),ISNUMBER(SEARCH(IF(E$2&lt;&gt;"",E$2,"NA"),'MITRE ATT&amp;CK Mappings'!$G864))),ISNUMBER(SEARCH(IF(E$2&lt;&gt;"",E$2,"NA"),'MITRE ATT&amp;CK Mappings'!$H864))),ISNUMBER(SEARCH(IF(E$3&lt;&gt;"",E$3,"NA"),'MITRE ATT&amp;CK Mappings'!$I864))),ISNUMBER(SEARCH(IF(E$3&lt;&gt;"",E$3,"NA"),'MITRE ATT&amp;CK Mappings'!$J864))), 'MITRE ATT&amp;CK Mappings'!$B864,"")</f>
        <v/>
      </c>
      <c r="F868" s="26" t="str">
        <f>IF(OR(OR(OR(OR(OR(ISNUMBER(SEARCH(IF(F$1&lt;&gt;"",F$1,"NA"),'MITRE ATT&amp;CK Mappings'!$E864)),ISNUMBER(SEARCH(IF(F$1&lt;&gt;"",F$1,"NA"),'MITRE ATT&amp;CK Mappings'!$F864))),ISNUMBER(SEARCH(IF(F$2&lt;&gt;"",F$2,"NA"),'MITRE ATT&amp;CK Mappings'!$G864))),ISNUMBER(SEARCH(IF(F$2&lt;&gt;"",F$2,"NA"),'MITRE ATT&amp;CK Mappings'!$H864))),ISNUMBER(SEARCH(IF(F$3&lt;&gt;"",F$3,"NA"),'MITRE ATT&amp;CK Mappings'!$I864))),ISNUMBER(SEARCH(IF(F$3&lt;&gt;"",F$3,"NA"),'MITRE ATT&amp;CK Mappings'!$J864))), 'MITRE ATT&amp;CK Mappings'!$B864,"")</f>
        <v/>
      </c>
      <c r="G868" s="26" t="str">
        <f>IF(OR(OR(OR(OR(OR(ISNUMBER(SEARCH(IF(G$1&lt;&gt;"",G$1,"NA"),'MITRE ATT&amp;CK Mappings'!$E864)),ISNUMBER(SEARCH(IF(G$1&lt;&gt;"",G$1,"NA"),'MITRE ATT&amp;CK Mappings'!$F864))),ISNUMBER(SEARCH(IF(G$2&lt;&gt;"",G$2,"NA"),'MITRE ATT&amp;CK Mappings'!$G864))),ISNUMBER(SEARCH(IF(G$2&lt;&gt;"",G$2,"NA"),'MITRE ATT&amp;CK Mappings'!$H864))),ISNUMBER(SEARCH(IF(G$3&lt;&gt;"",G$3,"NA"),'MITRE ATT&amp;CK Mappings'!$I864))),ISNUMBER(SEARCH(IF(G$3&lt;&gt;"",G$3,"NA"),'MITRE ATT&amp;CK Mappings'!$J864))), 'MITRE ATT&amp;CK Mappings'!$B864,"")</f>
        <v/>
      </c>
      <c r="H868" s="26" t="str">
        <f>IF(OR(OR(OR(OR(OR(ISNUMBER(SEARCH(IF(H$1&lt;&gt;"",H$1,"NA"),'MITRE ATT&amp;CK Mappings'!$E864)),ISNUMBER(SEARCH(IF(H$1&lt;&gt;"",H$1,"NA"),'MITRE ATT&amp;CK Mappings'!$F864))),ISNUMBER(SEARCH(IF(H$2&lt;&gt;"",H$2,"NA"),'MITRE ATT&amp;CK Mappings'!$G864))),ISNUMBER(SEARCH(IF(H$2&lt;&gt;"",H$2,"NA"),'MITRE ATT&amp;CK Mappings'!$H864))),ISNUMBER(SEARCH(IF(H$3&lt;&gt;"",H$3,"NA"),'MITRE ATT&amp;CK Mappings'!$I864))),ISNUMBER(SEARCH(IF(H$3&lt;&gt;"",H$3,"NA"),'MITRE ATT&amp;CK Mappings'!$J864))), 'MITRE ATT&amp;CK Mappings'!$B864,"")</f>
        <v/>
      </c>
      <c r="I868" s="26" t="str">
        <f>IF(OR(OR(OR(OR(OR(ISNUMBER(SEARCH(IF(I$1&lt;&gt;"",I$1,"NA"),'MITRE ATT&amp;CK Mappings'!$E864)),ISNUMBER(SEARCH(IF(I$1&lt;&gt;"",I$1,"NA"),'MITRE ATT&amp;CK Mappings'!$F864))),ISNUMBER(SEARCH(IF(I$2&lt;&gt;"",I$2,"NA"),'MITRE ATT&amp;CK Mappings'!$G864))),ISNUMBER(SEARCH(IF(I$2&lt;&gt;"",I$2,"NA"),'MITRE ATT&amp;CK Mappings'!$H864))),ISNUMBER(SEARCH(IF(I$3&lt;&gt;"",I$3,"NA"),'MITRE ATT&amp;CK Mappings'!$I864))),ISNUMBER(SEARCH(IF(I$3&lt;&gt;"",I$3,"NA"),'MITRE ATT&amp;CK Mappings'!$J864))), 'MITRE ATT&amp;CK Mappings'!$B864,"")</f>
        <v/>
      </c>
      <c r="J868" s="26" t="str">
        <f>IF(OR(OR(OR(OR(OR(ISNUMBER(SEARCH(IF(J$1&lt;&gt;"",J$1,"NA"),'MITRE ATT&amp;CK Mappings'!$E864)),ISNUMBER(SEARCH(IF(J$1&lt;&gt;"",J$1,"NA"),'MITRE ATT&amp;CK Mappings'!$F864))),ISNUMBER(SEARCH(IF(J$2&lt;&gt;"",J$2,"NA"),'MITRE ATT&amp;CK Mappings'!$G864))),ISNUMBER(SEARCH(IF(J$2&lt;&gt;"",J$2,"NA"),'MITRE ATT&amp;CK Mappings'!$H864))),ISNUMBER(SEARCH(IF(J$3&lt;&gt;"",J$3,"NA"),'MITRE ATT&amp;CK Mappings'!$I864))),ISNUMBER(SEARCH(IF(J$3&lt;&gt;"",J$3,"NA"),'MITRE ATT&amp;CK Mappings'!$J864))), 'MITRE ATT&amp;CK Mappings'!$B864,"")</f>
        <v/>
      </c>
      <c r="K868" s="26" t="str">
        <f>IF(OR(OR(OR(OR(OR(ISNUMBER(SEARCH(IF(K$1&lt;&gt;"",K$1,"NA"),'MITRE ATT&amp;CK Mappings'!$E864)),ISNUMBER(SEARCH(IF(K$1&lt;&gt;"",K$1,"NA"),'MITRE ATT&amp;CK Mappings'!$F864))),ISNUMBER(SEARCH(IF(K$2&lt;&gt;"",K$2,"NA"),'MITRE ATT&amp;CK Mappings'!$G864))),ISNUMBER(SEARCH(IF(K$2&lt;&gt;"",K$2,"NA"),'MITRE ATT&amp;CK Mappings'!$H864))),ISNUMBER(SEARCH(IF(K$3&lt;&gt;"",K$3,"NA"),'MITRE ATT&amp;CK Mappings'!$I864))),ISNUMBER(SEARCH(IF(K$3&lt;&gt;"",K$3,"NA"),'MITRE ATT&amp;CK Mappings'!$J864))), 'MITRE ATT&amp;CK Mappings'!$B864,"")</f>
        <v/>
      </c>
      <c r="L868" s="26" t="str">
        <f>IF('MITRE ATT&amp;CK Mappings'!D864 &lt;&gt;"",'MITRE ATT&amp;CK Mappings'!D864,"" )</f>
        <v/>
      </c>
    </row>
    <row r="869" spans="1:12" x14ac:dyDescent="0.25">
      <c r="A869" s="27" t="str">
        <f>IF(COUNTIF(B869:K869,"="&amp;'MITRE ATT&amp;CK Mappings'!B865)&gt;0,'MITRE ATT&amp;CK Mappings'!B865,"")</f>
        <v/>
      </c>
      <c r="B869" s="27" t="str">
        <f>IF(OR(OR(OR(OR(OR(ISNUMBER(SEARCH(IF(B$1&lt;&gt;"",B$1,"NA"),'MITRE ATT&amp;CK Mappings'!$E865)),ISNUMBER(SEARCH(IF(B$1&lt;&gt;"",B$1,"NA"),'MITRE ATT&amp;CK Mappings'!$F865))),ISNUMBER(SEARCH(IF(B$2&lt;&gt;"",B$2,"NA"),'MITRE ATT&amp;CK Mappings'!$G865))),ISNUMBER(SEARCH(IF(B$2&lt;&gt;"",B$2,"NA"),'MITRE ATT&amp;CK Mappings'!$H865))),ISNUMBER(SEARCH(IF(B$3&lt;&gt;"",B$3,"NA"),'MITRE ATT&amp;CK Mappings'!$I865))),ISNUMBER(SEARCH(IF(B$3&lt;&gt;"",B$3,"NA"),'MITRE ATT&amp;CK Mappings'!$J865))), 'MITRE ATT&amp;CK Mappings'!$B865,"")</f>
        <v/>
      </c>
      <c r="C869" s="27" t="str">
        <f>IF(OR(OR(OR(OR(OR(ISNUMBER(SEARCH(IF(C$1&lt;&gt;"",C$1,"NA"),'MITRE ATT&amp;CK Mappings'!$E865)),ISNUMBER(SEARCH(IF(C$1&lt;&gt;"",C$1,"NA"),'MITRE ATT&amp;CK Mappings'!$F865))),ISNUMBER(SEARCH(IF(C$2&lt;&gt;"",C$2,"NA"),'MITRE ATT&amp;CK Mappings'!$G865))),ISNUMBER(SEARCH(IF(C$2&lt;&gt;"",C$2,"NA"),'MITRE ATT&amp;CK Mappings'!$H865))),ISNUMBER(SEARCH(IF(C$3&lt;&gt;"",C$3,"NA"),'MITRE ATT&amp;CK Mappings'!$I865))),ISNUMBER(SEARCH(IF(C$3&lt;&gt;"",C$3,"NA"),'MITRE ATT&amp;CK Mappings'!$J865))), 'MITRE ATT&amp;CK Mappings'!$B865,"")</f>
        <v/>
      </c>
      <c r="D869" s="27" t="str">
        <f>IF(OR(OR(OR(OR(OR(ISNUMBER(SEARCH(IF(D$1&lt;&gt;"",D$1,"NA"),'MITRE ATT&amp;CK Mappings'!$E865)),ISNUMBER(SEARCH(IF(D$1&lt;&gt;"",D$1,"NA"),'MITRE ATT&amp;CK Mappings'!$F865))),ISNUMBER(SEARCH(IF(D$2&lt;&gt;"",D$2,"NA"),'MITRE ATT&amp;CK Mappings'!$G865))),ISNUMBER(SEARCH(IF(D$2&lt;&gt;"",D$2,"NA"),'MITRE ATT&amp;CK Mappings'!$H865))),ISNUMBER(SEARCH(IF(D$3&lt;&gt;"",D$3,"NA"),'MITRE ATT&amp;CK Mappings'!$I865))),ISNUMBER(SEARCH(IF(D$3&lt;&gt;"",D$3,"NA"),'MITRE ATT&amp;CK Mappings'!$J865))), 'MITRE ATT&amp;CK Mappings'!$B865,"")</f>
        <v/>
      </c>
      <c r="E869" s="27" t="str">
        <f>IF(OR(OR(OR(OR(OR(ISNUMBER(SEARCH(IF(E$1&lt;&gt;"",E$1,"NA"),'MITRE ATT&amp;CK Mappings'!$E865)),ISNUMBER(SEARCH(IF(E$1&lt;&gt;"",E$1,"NA"),'MITRE ATT&amp;CK Mappings'!$F865))),ISNUMBER(SEARCH(IF(E$2&lt;&gt;"",E$2,"NA"),'MITRE ATT&amp;CK Mappings'!$G865))),ISNUMBER(SEARCH(IF(E$2&lt;&gt;"",E$2,"NA"),'MITRE ATT&amp;CK Mappings'!$H865))),ISNUMBER(SEARCH(IF(E$3&lt;&gt;"",E$3,"NA"),'MITRE ATT&amp;CK Mappings'!$I865))),ISNUMBER(SEARCH(IF(E$3&lt;&gt;"",E$3,"NA"),'MITRE ATT&amp;CK Mappings'!$J865))), 'MITRE ATT&amp;CK Mappings'!$B865,"")</f>
        <v/>
      </c>
      <c r="F869" s="27" t="str">
        <f>IF(OR(OR(OR(OR(OR(ISNUMBER(SEARCH(IF(F$1&lt;&gt;"",F$1,"NA"),'MITRE ATT&amp;CK Mappings'!$E865)),ISNUMBER(SEARCH(IF(F$1&lt;&gt;"",F$1,"NA"),'MITRE ATT&amp;CK Mappings'!$F865))),ISNUMBER(SEARCH(IF(F$2&lt;&gt;"",F$2,"NA"),'MITRE ATT&amp;CK Mappings'!$G865))),ISNUMBER(SEARCH(IF(F$2&lt;&gt;"",F$2,"NA"),'MITRE ATT&amp;CK Mappings'!$H865))),ISNUMBER(SEARCH(IF(F$3&lt;&gt;"",F$3,"NA"),'MITRE ATT&amp;CK Mappings'!$I865))),ISNUMBER(SEARCH(IF(F$3&lt;&gt;"",F$3,"NA"),'MITRE ATT&amp;CK Mappings'!$J865))), 'MITRE ATT&amp;CK Mappings'!$B865,"")</f>
        <v/>
      </c>
      <c r="G869" s="27" t="str">
        <f>IF(OR(OR(OR(OR(OR(ISNUMBER(SEARCH(IF(G$1&lt;&gt;"",G$1,"NA"),'MITRE ATT&amp;CK Mappings'!$E865)),ISNUMBER(SEARCH(IF(G$1&lt;&gt;"",G$1,"NA"),'MITRE ATT&amp;CK Mappings'!$F865))),ISNUMBER(SEARCH(IF(G$2&lt;&gt;"",G$2,"NA"),'MITRE ATT&amp;CK Mappings'!$G865))),ISNUMBER(SEARCH(IF(G$2&lt;&gt;"",G$2,"NA"),'MITRE ATT&amp;CK Mappings'!$H865))),ISNUMBER(SEARCH(IF(G$3&lt;&gt;"",G$3,"NA"),'MITRE ATT&amp;CK Mappings'!$I865))),ISNUMBER(SEARCH(IF(G$3&lt;&gt;"",G$3,"NA"),'MITRE ATT&amp;CK Mappings'!$J865))), 'MITRE ATT&amp;CK Mappings'!$B865,"")</f>
        <v/>
      </c>
      <c r="H869" s="27" t="str">
        <f>IF(OR(OR(OR(OR(OR(ISNUMBER(SEARCH(IF(H$1&lt;&gt;"",H$1,"NA"),'MITRE ATT&amp;CK Mappings'!$E865)),ISNUMBER(SEARCH(IF(H$1&lt;&gt;"",H$1,"NA"),'MITRE ATT&amp;CK Mappings'!$F865))),ISNUMBER(SEARCH(IF(H$2&lt;&gt;"",H$2,"NA"),'MITRE ATT&amp;CK Mappings'!$G865))),ISNUMBER(SEARCH(IF(H$2&lt;&gt;"",H$2,"NA"),'MITRE ATT&amp;CK Mappings'!$H865))),ISNUMBER(SEARCH(IF(H$3&lt;&gt;"",H$3,"NA"),'MITRE ATT&amp;CK Mappings'!$I865))),ISNUMBER(SEARCH(IF(H$3&lt;&gt;"",H$3,"NA"),'MITRE ATT&amp;CK Mappings'!$J865))), 'MITRE ATT&amp;CK Mappings'!$B865,"")</f>
        <v/>
      </c>
      <c r="I869" s="27" t="str">
        <f>IF(OR(OR(OR(OR(OR(ISNUMBER(SEARCH(IF(I$1&lt;&gt;"",I$1,"NA"),'MITRE ATT&amp;CK Mappings'!$E865)),ISNUMBER(SEARCH(IF(I$1&lt;&gt;"",I$1,"NA"),'MITRE ATT&amp;CK Mappings'!$F865))),ISNUMBER(SEARCH(IF(I$2&lt;&gt;"",I$2,"NA"),'MITRE ATT&amp;CK Mappings'!$G865))),ISNUMBER(SEARCH(IF(I$2&lt;&gt;"",I$2,"NA"),'MITRE ATT&amp;CK Mappings'!$H865))),ISNUMBER(SEARCH(IF(I$3&lt;&gt;"",I$3,"NA"),'MITRE ATT&amp;CK Mappings'!$I865))),ISNUMBER(SEARCH(IF(I$3&lt;&gt;"",I$3,"NA"),'MITRE ATT&amp;CK Mappings'!$J865))), 'MITRE ATT&amp;CK Mappings'!$B865,"")</f>
        <v/>
      </c>
      <c r="J869" s="27" t="str">
        <f>IF(OR(OR(OR(OR(OR(ISNUMBER(SEARCH(IF(J$1&lt;&gt;"",J$1,"NA"),'MITRE ATT&amp;CK Mappings'!$E865)),ISNUMBER(SEARCH(IF(J$1&lt;&gt;"",J$1,"NA"),'MITRE ATT&amp;CK Mappings'!$F865))),ISNUMBER(SEARCH(IF(J$2&lt;&gt;"",J$2,"NA"),'MITRE ATT&amp;CK Mappings'!$G865))),ISNUMBER(SEARCH(IF(J$2&lt;&gt;"",J$2,"NA"),'MITRE ATT&amp;CK Mappings'!$H865))),ISNUMBER(SEARCH(IF(J$3&lt;&gt;"",J$3,"NA"),'MITRE ATT&amp;CK Mappings'!$I865))),ISNUMBER(SEARCH(IF(J$3&lt;&gt;"",J$3,"NA"),'MITRE ATT&amp;CK Mappings'!$J865))), 'MITRE ATT&amp;CK Mappings'!$B865,"")</f>
        <v/>
      </c>
      <c r="K869" s="27" t="str">
        <f>IF(OR(OR(OR(OR(OR(ISNUMBER(SEARCH(IF(K$1&lt;&gt;"",K$1,"NA"),'MITRE ATT&amp;CK Mappings'!$E865)),ISNUMBER(SEARCH(IF(K$1&lt;&gt;"",K$1,"NA"),'MITRE ATT&amp;CK Mappings'!$F865))),ISNUMBER(SEARCH(IF(K$2&lt;&gt;"",K$2,"NA"),'MITRE ATT&amp;CK Mappings'!$G865))),ISNUMBER(SEARCH(IF(K$2&lt;&gt;"",K$2,"NA"),'MITRE ATT&amp;CK Mappings'!$H865))),ISNUMBER(SEARCH(IF(K$3&lt;&gt;"",K$3,"NA"),'MITRE ATT&amp;CK Mappings'!$I865))),ISNUMBER(SEARCH(IF(K$3&lt;&gt;"",K$3,"NA"),'MITRE ATT&amp;CK Mappings'!$J865))), 'MITRE ATT&amp;CK Mappings'!$B865,"")</f>
        <v/>
      </c>
      <c r="L869" s="27" t="str">
        <f>IF('MITRE ATT&amp;CK Mappings'!D865 &lt;&gt;"",'MITRE ATT&amp;CK Mappings'!D865,"" )</f>
        <v/>
      </c>
    </row>
    <row r="870" spans="1:12" x14ac:dyDescent="0.25">
      <c r="A870" s="26" t="str">
        <f>IF(COUNTIF(B870:K870,"="&amp;'MITRE ATT&amp;CK Mappings'!B866)&gt;0,'MITRE ATT&amp;CK Mappings'!B866,"")</f>
        <v/>
      </c>
      <c r="B870" s="26" t="str">
        <f>IF(OR(OR(OR(OR(OR(ISNUMBER(SEARCH(IF(B$1&lt;&gt;"",B$1,"NA"),'MITRE ATT&amp;CK Mappings'!$E866)),ISNUMBER(SEARCH(IF(B$1&lt;&gt;"",B$1,"NA"),'MITRE ATT&amp;CK Mappings'!$F866))),ISNUMBER(SEARCH(IF(B$2&lt;&gt;"",B$2,"NA"),'MITRE ATT&amp;CK Mappings'!$G866))),ISNUMBER(SEARCH(IF(B$2&lt;&gt;"",B$2,"NA"),'MITRE ATT&amp;CK Mappings'!$H866))),ISNUMBER(SEARCH(IF(B$3&lt;&gt;"",B$3,"NA"),'MITRE ATT&amp;CK Mappings'!$I866))),ISNUMBER(SEARCH(IF(B$3&lt;&gt;"",B$3,"NA"),'MITRE ATT&amp;CK Mappings'!$J866))), 'MITRE ATT&amp;CK Mappings'!$B866,"")</f>
        <v/>
      </c>
      <c r="C870" s="26" t="str">
        <f>IF(OR(OR(OR(OR(OR(ISNUMBER(SEARCH(IF(C$1&lt;&gt;"",C$1,"NA"),'MITRE ATT&amp;CK Mappings'!$E866)),ISNUMBER(SEARCH(IF(C$1&lt;&gt;"",C$1,"NA"),'MITRE ATT&amp;CK Mappings'!$F866))),ISNUMBER(SEARCH(IF(C$2&lt;&gt;"",C$2,"NA"),'MITRE ATT&amp;CK Mappings'!$G866))),ISNUMBER(SEARCH(IF(C$2&lt;&gt;"",C$2,"NA"),'MITRE ATT&amp;CK Mappings'!$H866))),ISNUMBER(SEARCH(IF(C$3&lt;&gt;"",C$3,"NA"),'MITRE ATT&amp;CK Mappings'!$I866))),ISNUMBER(SEARCH(IF(C$3&lt;&gt;"",C$3,"NA"),'MITRE ATT&amp;CK Mappings'!$J866))), 'MITRE ATT&amp;CK Mappings'!$B866,"")</f>
        <v/>
      </c>
      <c r="D870" s="26" t="str">
        <f>IF(OR(OR(OR(OR(OR(ISNUMBER(SEARCH(IF(D$1&lt;&gt;"",D$1,"NA"),'MITRE ATT&amp;CK Mappings'!$E866)),ISNUMBER(SEARCH(IF(D$1&lt;&gt;"",D$1,"NA"),'MITRE ATT&amp;CK Mappings'!$F866))),ISNUMBER(SEARCH(IF(D$2&lt;&gt;"",D$2,"NA"),'MITRE ATT&amp;CK Mappings'!$G866))),ISNUMBER(SEARCH(IF(D$2&lt;&gt;"",D$2,"NA"),'MITRE ATT&amp;CK Mappings'!$H866))),ISNUMBER(SEARCH(IF(D$3&lt;&gt;"",D$3,"NA"),'MITRE ATT&amp;CK Mappings'!$I866))),ISNUMBER(SEARCH(IF(D$3&lt;&gt;"",D$3,"NA"),'MITRE ATT&amp;CK Mappings'!$J866))), 'MITRE ATT&amp;CK Mappings'!$B866,"")</f>
        <v/>
      </c>
      <c r="E870" s="26" t="str">
        <f>IF(OR(OR(OR(OR(OR(ISNUMBER(SEARCH(IF(E$1&lt;&gt;"",E$1,"NA"),'MITRE ATT&amp;CK Mappings'!$E866)),ISNUMBER(SEARCH(IF(E$1&lt;&gt;"",E$1,"NA"),'MITRE ATT&amp;CK Mappings'!$F866))),ISNUMBER(SEARCH(IF(E$2&lt;&gt;"",E$2,"NA"),'MITRE ATT&amp;CK Mappings'!$G866))),ISNUMBER(SEARCH(IF(E$2&lt;&gt;"",E$2,"NA"),'MITRE ATT&amp;CK Mappings'!$H866))),ISNUMBER(SEARCH(IF(E$3&lt;&gt;"",E$3,"NA"),'MITRE ATT&amp;CK Mappings'!$I866))),ISNUMBER(SEARCH(IF(E$3&lt;&gt;"",E$3,"NA"),'MITRE ATT&amp;CK Mappings'!$J866))), 'MITRE ATT&amp;CK Mappings'!$B866,"")</f>
        <v/>
      </c>
      <c r="F870" s="26" t="str">
        <f>IF(OR(OR(OR(OR(OR(ISNUMBER(SEARCH(IF(F$1&lt;&gt;"",F$1,"NA"),'MITRE ATT&amp;CK Mappings'!$E866)),ISNUMBER(SEARCH(IF(F$1&lt;&gt;"",F$1,"NA"),'MITRE ATT&amp;CK Mappings'!$F866))),ISNUMBER(SEARCH(IF(F$2&lt;&gt;"",F$2,"NA"),'MITRE ATT&amp;CK Mappings'!$G866))),ISNUMBER(SEARCH(IF(F$2&lt;&gt;"",F$2,"NA"),'MITRE ATT&amp;CK Mappings'!$H866))),ISNUMBER(SEARCH(IF(F$3&lt;&gt;"",F$3,"NA"),'MITRE ATT&amp;CK Mappings'!$I866))),ISNUMBER(SEARCH(IF(F$3&lt;&gt;"",F$3,"NA"),'MITRE ATT&amp;CK Mappings'!$J866))), 'MITRE ATT&amp;CK Mappings'!$B866,"")</f>
        <v/>
      </c>
      <c r="G870" s="26" t="str">
        <f>IF(OR(OR(OR(OR(OR(ISNUMBER(SEARCH(IF(G$1&lt;&gt;"",G$1,"NA"),'MITRE ATT&amp;CK Mappings'!$E866)),ISNUMBER(SEARCH(IF(G$1&lt;&gt;"",G$1,"NA"),'MITRE ATT&amp;CK Mappings'!$F866))),ISNUMBER(SEARCH(IF(G$2&lt;&gt;"",G$2,"NA"),'MITRE ATT&amp;CK Mappings'!$G866))),ISNUMBER(SEARCH(IF(G$2&lt;&gt;"",G$2,"NA"),'MITRE ATT&amp;CK Mappings'!$H866))),ISNUMBER(SEARCH(IF(G$3&lt;&gt;"",G$3,"NA"),'MITRE ATT&amp;CK Mappings'!$I866))),ISNUMBER(SEARCH(IF(G$3&lt;&gt;"",G$3,"NA"),'MITRE ATT&amp;CK Mappings'!$J866))), 'MITRE ATT&amp;CK Mappings'!$B866,"")</f>
        <v/>
      </c>
      <c r="H870" s="26" t="str">
        <f>IF(OR(OR(OR(OR(OR(ISNUMBER(SEARCH(IF(H$1&lt;&gt;"",H$1,"NA"),'MITRE ATT&amp;CK Mappings'!$E866)),ISNUMBER(SEARCH(IF(H$1&lt;&gt;"",H$1,"NA"),'MITRE ATT&amp;CK Mappings'!$F866))),ISNUMBER(SEARCH(IF(H$2&lt;&gt;"",H$2,"NA"),'MITRE ATT&amp;CK Mappings'!$G866))),ISNUMBER(SEARCH(IF(H$2&lt;&gt;"",H$2,"NA"),'MITRE ATT&amp;CK Mappings'!$H866))),ISNUMBER(SEARCH(IF(H$3&lt;&gt;"",H$3,"NA"),'MITRE ATT&amp;CK Mappings'!$I866))),ISNUMBER(SEARCH(IF(H$3&lt;&gt;"",H$3,"NA"),'MITRE ATT&amp;CK Mappings'!$J866))), 'MITRE ATT&amp;CK Mappings'!$B866,"")</f>
        <v/>
      </c>
      <c r="I870" s="26" t="str">
        <f>IF(OR(OR(OR(OR(OR(ISNUMBER(SEARCH(IF(I$1&lt;&gt;"",I$1,"NA"),'MITRE ATT&amp;CK Mappings'!$E866)),ISNUMBER(SEARCH(IF(I$1&lt;&gt;"",I$1,"NA"),'MITRE ATT&amp;CK Mappings'!$F866))),ISNUMBER(SEARCH(IF(I$2&lt;&gt;"",I$2,"NA"),'MITRE ATT&amp;CK Mappings'!$G866))),ISNUMBER(SEARCH(IF(I$2&lt;&gt;"",I$2,"NA"),'MITRE ATT&amp;CK Mappings'!$H866))),ISNUMBER(SEARCH(IF(I$3&lt;&gt;"",I$3,"NA"),'MITRE ATT&amp;CK Mappings'!$I866))),ISNUMBER(SEARCH(IF(I$3&lt;&gt;"",I$3,"NA"),'MITRE ATT&amp;CK Mappings'!$J866))), 'MITRE ATT&amp;CK Mappings'!$B866,"")</f>
        <v/>
      </c>
      <c r="J870" s="26" t="str">
        <f>IF(OR(OR(OR(OR(OR(ISNUMBER(SEARCH(IF(J$1&lt;&gt;"",J$1,"NA"),'MITRE ATT&amp;CK Mappings'!$E866)),ISNUMBER(SEARCH(IF(J$1&lt;&gt;"",J$1,"NA"),'MITRE ATT&amp;CK Mappings'!$F866))),ISNUMBER(SEARCH(IF(J$2&lt;&gt;"",J$2,"NA"),'MITRE ATT&amp;CK Mappings'!$G866))),ISNUMBER(SEARCH(IF(J$2&lt;&gt;"",J$2,"NA"),'MITRE ATT&amp;CK Mappings'!$H866))),ISNUMBER(SEARCH(IF(J$3&lt;&gt;"",J$3,"NA"),'MITRE ATT&amp;CK Mappings'!$I866))),ISNUMBER(SEARCH(IF(J$3&lt;&gt;"",J$3,"NA"),'MITRE ATT&amp;CK Mappings'!$J866))), 'MITRE ATT&amp;CK Mappings'!$B866,"")</f>
        <v/>
      </c>
      <c r="K870" s="26" t="str">
        <f>IF(OR(OR(OR(OR(OR(ISNUMBER(SEARCH(IF(K$1&lt;&gt;"",K$1,"NA"),'MITRE ATT&amp;CK Mappings'!$E866)),ISNUMBER(SEARCH(IF(K$1&lt;&gt;"",K$1,"NA"),'MITRE ATT&amp;CK Mappings'!$F866))),ISNUMBER(SEARCH(IF(K$2&lt;&gt;"",K$2,"NA"),'MITRE ATT&amp;CK Mappings'!$G866))),ISNUMBER(SEARCH(IF(K$2&lt;&gt;"",K$2,"NA"),'MITRE ATT&amp;CK Mappings'!$H866))),ISNUMBER(SEARCH(IF(K$3&lt;&gt;"",K$3,"NA"),'MITRE ATT&amp;CK Mappings'!$I866))),ISNUMBER(SEARCH(IF(K$3&lt;&gt;"",K$3,"NA"),'MITRE ATT&amp;CK Mappings'!$J866))), 'MITRE ATT&amp;CK Mappings'!$B866,"")</f>
        <v/>
      </c>
      <c r="L870" s="26" t="str">
        <f>IF('MITRE ATT&amp;CK Mappings'!D866 &lt;&gt;"",'MITRE ATT&amp;CK Mappings'!D866,"" )</f>
        <v/>
      </c>
    </row>
    <row r="871" spans="1:12" x14ac:dyDescent="0.25">
      <c r="A871" s="27" t="str">
        <f>IF(COUNTIF(B871:K871,"="&amp;'MITRE ATT&amp;CK Mappings'!B867)&gt;0,'MITRE ATT&amp;CK Mappings'!B867,"")</f>
        <v/>
      </c>
      <c r="B871" s="27" t="str">
        <f>IF(OR(OR(OR(OR(OR(ISNUMBER(SEARCH(IF(B$1&lt;&gt;"",B$1,"NA"),'MITRE ATT&amp;CK Mappings'!$E867)),ISNUMBER(SEARCH(IF(B$1&lt;&gt;"",B$1,"NA"),'MITRE ATT&amp;CK Mappings'!$F867))),ISNUMBER(SEARCH(IF(B$2&lt;&gt;"",B$2,"NA"),'MITRE ATT&amp;CK Mappings'!$G867))),ISNUMBER(SEARCH(IF(B$2&lt;&gt;"",B$2,"NA"),'MITRE ATT&amp;CK Mappings'!$H867))),ISNUMBER(SEARCH(IF(B$3&lt;&gt;"",B$3,"NA"),'MITRE ATT&amp;CK Mappings'!$I867))),ISNUMBER(SEARCH(IF(B$3&lt;&gt;"",B$3,"NA"),'MITRE ATT&amp;CK Mappings'!$J867))), 'MITRE ATT&amp;CK Mappings'!$B867,"")</f>
        <v/>
      </c>
      <c r="C871" s="27" t="str">
        <f>IF(OR(OR(OR(OR(OR(ISNUMBER(SEARCH(IF(C$1&lt;&gt;"",C$1,"NA"),'MITRE ATT&amp;CK Mappings'!$E867)),ISNUMBER(SEARCH(IF(C$1&lt;&gt;"",C$1,"NA"),'MITRE ATT&amp;CK Mappings'!$F867))),ISNUMBER(SEARCH(IF(C$2&lt;&gt;"",C$2,"NA"),'MITRE ATT&amp;CK Mappings'!$G867))),ISNUMBER(SEARCH(IF(C$2&lt;&gt;"",C$2,"NA"),'MITRE ATT&amp;CK Mappings'!$H867))),ISNUMBER(SEARCH(IF(C$3&lt;&gt;"",C$3,"NA"),'MITRE ATT&amp;CK Mappings'!$I867))),ISNUMBER(SEARCH(IF(C$3&lt;&gt;"",C$3,"NA"),'MITRE ATT&amp;CK Mappings'!$J867))), 'MITRE ATT&amp;CK Mappings'!$B867,"")</f>
        <v/>
      </c>
      <c r="D871" s="27" t="str">
        <f>IF(OR(OR(OR(OR(OR(ISNUMBER(SEARCH(IF(D$1&lt;&gt;"",D$1,"NA"),'MITRE ATT&amp;CK Mappings'!$E867)),ISNUMBER(SEARCH(IF(D$1&lt;&gt;"",D$1,"NA"),'MITRE ATT&amp;CK Mappings'!$F867))),ISNUMBER(SEARCH(IF(D$2&lt;&gt;"",D$2,"NA"),'MITRE ATT&amp;CK Mappings'!$G867))),ISNUMBER(SEARCH(IF(D$2&lt;&gt;"",D$2,"NA"),'MITRE ATT&amp;CK Mappings'!$H867))),ISNUMBER(SEARCH(IF(D$3&lt;&gt;"",D$3,"NA"),'MITRE ATT&amp;CK Mappings'!$I867))),ISNUMBER(SEARCH(IF(D$3&lt;&gt;"",D$3,"NA"),'MITRE ATT&amp;CK Mappings'!$J867))), 'MITRE ATT&amp;CK Mappings'!$B867,"")</f>
        <v/>
      </c>
      <c r="E871" s="27" t="str">
        <f>IF(OR(OR(OR(OR(OR(ISNUMBER(SEARCH(IF(E$1&lt;&gt;"",E$1,"NA"),'MITRE ATT&amp;CK Mappings'!$E867)),ISNUMBER(SEARCH(IF(E$1&lt;&gt;"",E$1,"NA"),'MITRE ATT&amp;CK Mappings'!$F867))),ISNUMBER(SEARCH(IF(E$2&lt;&gt;"",E$2,"NA"),'MITRE ATT&amp;CK Mappings'!$G867))),ISNUMBER(SEARCH(IF(E$2&lt;&gt;"",E$2,"NA"),'MITRE ATT&amp;CK Mappings'!$H867))),ISNUMBER(SEARCH(IF(E$3&lt;&gt;"",E$3,"NA"),'MITRE ATT&amp;CK Mappings'!$I867))),ISNUMBER(SEARCH(IF(E$3&lt;&gt;"",E$3,"NA"),'MITRE ATT&amp;CK Mappings'!$J867))), 'MITRE ATT&amp;CK Mappings'!$B867,"")</f>
        <v/>
      </c>
      <c r="F871" s="27" t="str">
        <f>IF(OR(OR(OR(OR(OR(ISNUMBER(SEARCH(IF(F$1&lt;&gt;"",F$1,"NA"),'MITRE ATT&amp;CK Mappings'!$E867)),ISNUMBER(SEARCH(IF(F$1&lt;&gt;"",F$1,"NA"),'MITRE ATT&amp;CK Mappings'!$F867))),ISNUMBER(SEARCH(IF(F$2&lt;&gt;"",F$2,"NA"),'MITRE ATT&amp;CK Mappings'!$G867))),ISNUMBER(SEARCH(IF(F$2&lt;&gt;"",F$2,"NA"),'MITRE ATT&amp;CK Mappings'!$H867))),ISNUMBER(SEARCH(IF(F$3&lt;&gt;"",F$3,"NA"),'MITRE ATT&amp;CK Mappings'!$I867))),ISNUMBER(SEARCH(IF(F$3&lt;&gt;"",F$3,"NA"),'MITRE ATT&amp;CK Mappings'!$J867))), 'MITRE ATT&amp;CK Mappings'!$B867,"")</f>
        <v/>
      </c>
      <c r="G871" s="27" t="str">
        <f>IF(OR(OR(OR(OR(OR(ISNUMBER(SEARCH(IF(G$1&lt;&gt;"",G$1,"NA"),'MITRE ATT&amp;CK Mappings'!$E867)),ISNUMBER(SEARCH(IF(G$1&lt;&gt;"",G$1,"NA"),'MITRE ATT&amp;CK Mappings'!$F867))),ISNUMBER(SEARCH(IF(G$2&lt;&gt;"",G$2,"NA"),'MITRE ATT&amp;CK Mappings'!$G867))),ISNUMBER(SEARCH(IF(G$2&lt;&gt;"",G$2,"NA"),'MITRE ATT&amp;CK Mappings'!$H867))),ISNUMBER(SEARCH(IF(G$3&lt;&gt;"",G$3,"NA"),'MITRE ATT&amp;CK Mappings'!$I867))),ISNUMBER(SEARCH(IF(G$3&lt;&gt;"",G$3,"NA"),'MITRE ATT&amp;CK Mappings'!$J867))), 'MITRE ATT&amp;CK Mappings'!$B867,"")</f>
        <v/>
      </c>
      <c r="H871" s="27" t="str">
        <f>IF(OR(OR(OR(OR(OR(ISNUMBER(SEARCH(IF(H$1&lt;&gt;"",H$1,"NA"),'MITRE ATT&amp;CK Mappings'!$E867)),ISNUMBER(SEARCH(IF(H$1&lt;&gt;"",H$1,"NA"),'MITRE ATT&amp;CK Mappings'!$F867))),ISNUMBER(SEARCH(IF(H$2&lt;&gt;"",H$2,"NA"),'MITRE ATT&amp;CK Mappings'!$G867))),ISNUMBER(SEARCH(IF(H$2&lt;&gt;"",H$2,"NA"),'MITRE ATT&amp;CK Mappings'!$H867))),ISNUMBER(SEARCH(IF(H$3&lt;&gt;"",H$3,"NA"),'MITRE ATT&amp;CK Mappings'!$I867))),ISNUMBER(SEARCH(IF(H$3&lt;&gt;"",H$3,"NA"),'MITRE ATT&amp;CK Mappings'!$J867))), 'MITRE ATT&amp;CK Mappings'!$B867,"")</f>
        <v/>
      </c>
      <c r="I871" s="27" t="str">
        <f>IF(OR(OR(OR(OR(OR(ISNUMBER(SEARCH(IF(I$1&lt;&gt;"",I$1,"NA"),'MITRE ATT&amp;CK Mappings'!$E867)),ISNUMBER(SEARCH(IF(I$1&lt;&gt;"",I$1,"NA"),'MITRE ATT&amp;CK Mappings'!$F867))),ISNUMBER(SEARCH(IF(I$2&lt;&gt;"",I$2,"NA"),'MITRE ATT&amp;CK Mappings'!$G867))),ISNUMBER(SEARCH(IF(I$2&lt;&gt;"",I$2,"NA"),'MITRE ATT&amp;CK Mappings'!$H867))),ISNUMBER(SEARCH(IF(I$3&lt;&gt;"",I$3,"NA"),'MITRE ATT&amp;CK Mappings'!$I867))),ISNUMBER(SEARCH(IF(I$3&lt;&gt;"",I$3,"NA"),'MITRE ATT&amp;CK Mappings'!$J867))), 'MITRE ATT&amp;CK Mappings'!$B867,"")</f>
        <v/>
      </c>
      <c r="J871" s="27" t="str">
        <f>IF(OR(OR(OR(OR(OR(ISNUMBER(SEARCH(IF(J$1&lt;&gt;"",J$1,"NA"),'MITRE ATT&amp;CK Mappings'!$E867)),ISNUMBER(SEARCH(IF(J$1&lt;&gt;"",J$1,"NA"),'MITRE ATT&amp;CK Mappings'!$F867))),ISNUMBER(SEARCH(IF(J$2&lt;&gt;"",J$2,"NA"),'MITRE ATT&amp;CK Mappings'!$G867))),ISNUMBER(SEARCH(IF(J$2&lt;&gt;"",J$2,"NA"),'MITRE ATT&amp;CK Mappings'!$H867))),ISNUMBER(SEARCH(IF(J$3&lt;&gt;"",J$3,"NA"),'MITRE ATT&amp;CK Mappings'!$I867))),ISNUMBER(SEARCH(IF(J$3&lt;&gt;"",J$3,"NA"),'MITRE ATT&amp;CK Mappings'!$J867))), 'MITRE ATT&amp;CK Mappings'!$B867,"")</f>
        <v/>
      </c>
      <c r="K871" s="27" t="str">
        <f>IF(OR(OR(OR(OR(OR(ISNUMBER(SEARCH(IF(K$1&lt;&gt;"",K$1,"NA"),'MITRE ATT&amp;CK Mappings'!$E867)),ISNUMBER(SEARCH(IF(K$1&lt;&gt;"",K$1,"NA"),'MITRE ATT&amp;CK Mappings'!$F867))),ISNUMBER(SEARCH(IF(K$2&lt;&gt;"",K$2,"NA"),'MITRE ATT&amp;CK Mappings'!$G867))),ISNUMBER(SEARCH(IF(K$2&lt;&gt;"",K$2,"NA"),'MITRE ATT&amp;CK Mappings'!$H867))),ISNUMBER(SEARCH(IF(K$3&lt;&gt;"",K$3,"NA"),'MITRE ATT&amp;CK Mappings'!$I867))),ISNUMBER(SEARCH(IF(K$3&lt;&gt;"",K$3,"NA"),'MITRE ATT&amp;CK Mappings'!$J867))), 'MITRE ATT&amp;CK Mappings'!$B867,"")</f>
        <v/>
      </c>
      <c r="L871" s="27" t="str">
        <f>IF('MITRE ATT&amp;CK Mappings'!D867 &lt;&gt;"",'MITRE ATT&amp;CK Mappings'!D867,"" )</f>
        <v/>
      </c>
    </row>
    <row r="872" spans="1:12" x14ac:dyDescent="0.25">
      <c r="A872" s="26" t="str">
        <f>IF(COUNTIF(B872:K872,"="&amp;'MITRE ATT&amp;CK Mappings'!B868)&gt;0,'MITRE ATT&amp;CK Mappings'!B868,"")</f>
        <v/>
      </c>
      <c r="B872" s="26" t="str">
        <f>IF(OR(OR(OR(OR(OR(ISNUMBER(SEARCH(IF(B$1&lt;&gt;"",B$1,"NA"),'MITRE ATT&amp;CK Mappings'!$E868)),ISNUMBER(SEARCH(IF(B$1&lt;&gt;"",B$1,"NA"),'MITRE ATT&amp;CK Mappings'!$F868))),ISNUMBER(SEARCH(IF(B$2&lt;&gt;"",B$2,"NA"),'MITRE ATT&amp;CK Mappings'!$G868))),ISNUMBER(SEARCH(IF(B$2&lt;&gt;"",B$2,"NA"),'MITRE ATT&amp;CK Mappings'!$H868))),ISNUMBER(SEARCH(IF(B$3&lt;&gt;"",B$3,"NA"),'MITRE ATT&amp;CK Mappings'!$I868))),ISNUMBER(SEARCH(IF(B$3&lt;&gt;"",B$3,"NA"),'MITRE ATT&amp;CK Mappings'!$J868))), 'MITRE ATT&amp;CK Mappings'!$B868,"")</f>
        <v/>
      </c>
      <c r="C872" s="26" t="str">
        <f>IF(OR(OR(OR(OR(OR(ISNUMBER(SEARCH(IF(C$1&lt;&gt;"",C$1,"NA"),'MITRE ATT&amp;CK Mappings'!$E868)),ISNUMBER(SEARCH(IF(C$1&lt;&gt;"",C$1,"NA"),'MITRE ATT&amp;CK Mappings'!$F868))),ISNUMBER(SEARCH(IF(C$2&lt;&gt;"",C$2,"NA"),'MITRE ATT&amp;CK Mappings'!$G868))),ISNUMBER(SEARCH(IF(C$2&lt;&gt;"",C$2,"NA"),'MITRE ATT&amp;CK Mappings'!$H868))),ISNUMBER(SEARCH(IF(C$3&lt;&gt;"",C$3,"NA"),'MITRE ATT&amp;CK Mappings'!$I868))),ISNUMBER(SEARCH(IF(C$3&lt;&gt;"",C$3,"NA"),'MITRE ATT&amp;CK Mappings'!$J868))), 'MITRE ATT&amp;CK Mappings'!$B868,"")</f>
        <v/>
      </c>
      <c r="D872" s="26" t="str">
        <f>IF(OR(OR(OR(OR(OR(ISNUMBER(SEARCH(IF(D$1&lt;&gt;"",D$1,"NA"),'MITRE ATT&amp;CK Mappings'!$E868)),ISNUMBER(SEARCH(IF(D$1&lt;&gt;"",D$1,"NA"),'MITRE ATT&amp;CK Mappings'!$F868))),ISNUMBER(SEARCH(IF(D$2&lt;&gt;"",D$2,"NA"),'MITRE ATT&amp;CK Mappings'!$G868))),ISNUMBER(SEARCH(IF(D$2&lt;&gt;"",D$2,"NA"),'MITRE ATT&amp;CK Mappings'!$H868))),ISNUMBER(SEARCH(IF(D$3&lt;&gt;"",D$3,"NA"),'MITRE ATT&amp;CK Mappings'!$I868))),ISNUMBER(SEARCH(IF(D$3&lt;&gt;"",D$3,"NA"),'MITRE ATT&amp;CK Mappings'!$J868))), 'MITRE ATT&amp;CK Mappings'!$B868,"")</f>
        <v/>
      </c>
      <c r="E872" s="26" t="str">
        <f>IF(OR(OR(OR(OR(OR(ISNUMBER(SEARCH(IF(E$1&lt;&gt;"",E$1,"NA"),'MITRE ATT&amp;CK Mappings'!$E868)),ISNUMBER(SEARCH(IF(E$1&lt;&gt;"",E$1,"NA"),'MITRE ATT&amp;CK Mappings'!$F868))),ISNUMBER(SEARCH(IF(E$2&lt;&gt;"",E$2,"NA"),'MITRE ATT&amp;CK Mappings'!$G868))),ISNUMBER(SEARCH(IF(E$2&lt;&gt;"",E$2,"NA"),'MITRE ATT&amp;CK Mappings'!$H868))),ISNUMBER(SEARCH(IF(E$3&lt;&gt;"",E$3,"NA"),'MITRE ATT&amp;CK Mappings'!$I868))),ISNUMBER(SEARCH(IF(E$3&lt;&gt;"",E$3,"NA"),'MITRE ATT&amp;CK Mappings'!$J868))), 'MITRE ATT&amp;CK Mappings'!$B868,"")</f>
        <v/>
      </c>
      <c r="F872" s="26" t="str">
        <f>IF(OR(OR(OR(OR(OR(ISNUMBER(SEARCH(IF(F$1&lt;&gt;"",F$1,"NA"),'MITRE ATT&amp;CK Mappings'!$E868)),ISNUMBER(SEARCH(IF(F$1&lt;&gt;"",F$1,"NA"),'MITRE ATT&amp;CK Mappings'!$F868))),ISNUMBER(SEARCH(IF(F$2&lt;&gt;"",F$2,"NA"),'MITRE ATT&amp;CK Mappings'!$G868))),ISNUMBER(SEARCH(IF(F$2&lt;&gt;"",F$2,"NA"),'MITRE ATT&amp;CK Mappings'!$H868))),ISNUMBER(SEARCH(IF(F$3&lt;&gt;"",F$3,"NA"),'MITRE ATT&amp;CK Mappings'!$I868))),ISNUMBER(SEARCH(IF(F$3&lt;&gt;"",F$3,"NA"),'MITRE ATT&amp;CK Mappings'!$J868))), 'MITRE ATT&amp;CK Mappings'!$B868,"")</f>
        <v/>
      </c>
      <c r="G872" s="26" t="str">
        <f>IF(OR(OR(OR(OR(OR(ISNUMBER(SEARCH(IF(G$1&lt;&gt;"",G$1,"NA"),'MITRE ATT&amp;CK Mappings'!$E868)),ISNUMBER(SEARCH(IF(G$1&lt;&gt;"",G$1,"NA"),'MITRE ATT&amp;CK Mappings'!$F868))),ISNUMBER(SEARCH(IF(G$2&lt;&gt;"",G$2,"NA"),'MITRE ATT&amp;CK Mappings'!$G868))),ISNUMBER(SEARCH(IF(G$2&lt;&gt;"",G$2,"NA"),'MITRE ATT&amp;CK Mappings'!$H868))),ISNUMBER(SEARCH(IF(G$3&lt;&gt;"",G$3,"NA"),'MITRE ATT&amp;CK Mappings'!$I868))),ISNUMBER(SEARCH(IF(G$3&lt;&gt;"",G$3,"NA"),'MITRE ATT&amp;CK Mappings'!$J868))), 'MITRE ATT&amp;CK Mappings'!$B868,"")</f>
        <v/>
      </c>
      <c r="H872" s="26" t="str">
        <f>IF(OR(OR(OR(OR(OR(ISNUMBER(SEARCH(IF(H$1&lt;&gt;"",H$1,"NA"),'MITRE ATT&amp;CK Mappings'!$E868)),ISNUMBER(SEARCH(IF(H$1&lt;&gt;"",H$1,"NA"),'MITRE ATT&amp;CK Mappings'!$F868))),ISNUMBER(SEARCH(IF(H$2&lt;&gt;"",H$2,"NA"),'MITRE ATT&amp;CK Mappings'!$G868))),ISNUMBER(SEARCH(IF(H$2&lt;&gt;"",H$2,"NA"),'MITRE ATT&amp;CK Mappings'!$H868))),ISNUMBER(SEARCH(IF(H$3&lt;&gt;"",H$3,"NA"),'MITRE ATT&amp;CK Mappings'!$I868))),ISNUMBER(SEARCH(IF(H$3&lt;&gt;"",H$3,"NA"),'MITRE ATT&amp;CK Mappings'!$J868))), 'MITRE ATT&amp;CK Mappings'!$B868,"")</f>
        <v/>
      </c>
      <c r="I872" s="26" t="str">
        <f>IF(OR(OR(OR(OR(OR(ISNUMBER(SEARCH(IF(I$1&lt;&gt;"",I$1,"NA"),'MITRE ATT&amp;CK Mappings'!$E868)),ISNUMBER(SEARCH(IF(I$1&lt;&gt;"",I$1,"NA"),'MITRE ATT&amp;CK Mappings'!$F868))),ISNUMBER(SEARCH(IF(I$2&lt;&gt;"",I$2,"NA"),'MITRE ATT&amp;CK Mappings'!$G868))),ISNUMBER(SEARCH(IF(I$2&lt;&gt;"",I$2,"NA"),'MITRE ATT&amp;CK Mappings'!$H868))),ISNUMBER(SEARCH(IF(I$3&lt;&gt;"",I$3,"NA"),'MITRE ATT&amp;CK Mappings'!$I868))),ISNUMBER(SEARCH(IF(I$3&lt;&gt;"",I$3,"NA"),'MITRE ATT&amp;CK Mappings'!$J868))), 'MITRE ATT&amp;CK Mappings'!$B868,"")</f>
        <v/>
      </c>
      <c r="J872" s="26" t="str">
        <f>IF(OR(OR(OR(OR(OR(ISNUMBER(SEARCH(IF(J$1&lt;&gt;"",J$1,"NA"),'MITRE ATT&amp;CK Mappings'!$E868)),ISNUMBER(SEARCH(IF(J$1&lt;&gt;"",J$1,"NA"),'MITRE ATT&amp;CK Mappings'!$F868))),ISNUMBER(SEARCH(IF(J$2&lt;&gt;"",J$2,"NA"),'MITRE ATT&amp;CK Mappings'!$G868))),ISNUMBER(SEARCH(IF(J$2&lt;&gt;"",J$2,"NA"),'MITRE ATT&amp;CK Mappings'!$H868))),ISNUMBER(SEARCH(IF(J$3&lt;&gt;"",J$3,"NA"),'MITRE ATT&amp;CK Mappings'!$I868))),ISNUMBER(SEARCH(IF(J$3&lt;&gt;"",J$3,"NA"),'MITRE ATT&amp;CK Mappings'!$J868))), 'MITRE ATT&amp;CK Mappings'!$B868,"")</f>
        <v/>
      </c>
      <c r="K872" s="26" t="str">
        <f>IF(OR(OR(OR(OR(OR(ISNUMBER(SEARCH(IF(K$1&lt;&gt;"",K$1,"NA"),'MITRE ATT&amp;CK Mappings'!$E868)),ISNUMBER(SEARCH(IF(K$1&lt;&gt;"",K$1,"NA"),'MITRE ATT&amp;CK Mappings'!$F868))),ISNUMBER(SEARCH(IF(K$2&lt;&gt;"",K$2,"NA"),'MITRE ATT&amp;CK Mappings'!$G868))),ISNUMBER(SEARCH(IF(K$2&lt;&gt;"",K$2,"NA"),'MITRE ATT&amp;CK Mappings'!$H868))),ISNUMBER(SEARCH(IF(K$3&lt;&gt;"",K$3,"NA"),'MITRE ATT&amp;CK Mappings'!$I868))),ISNUMBER(SEARCH(IF(K$3&lt;&gt;"",K$3,"NA"),'MITRE ATT&amp;CK Mappings'!$J868))), 'MITRE ATT&amp;CK Mappings'!$B868,"")</f>
        <v/>
      </c>
      <c r="L872" s="26" t="str">
        <f>IF('MITRE ATT&amp;CK Mappings'!D868 &lt;&gt;"",'MITRE ATT&amp;CK Mappings'!D868,"" )</f>
        <v/>
      </c>
    </row>
    <row r="873" spans="1:12" x14ac:dyDescent="0.25">
      <c r="A873" s="27" t="str">
        <f>IF(COUNTIF(B873:K873,"="&amp;'MITRE ATT&amp;CK Mappings'!B869)&gt;0,'MITRE ATT&amp;CK Mappings'!B869,"")</f>
        <v/>
      </c>
      <c r="B873" s="27" t="str">
        <f>IF(OR(OR(OR(OR(OR(ISNUMBER(SEARCH(IF(B$1&lt;&gt;"",B$1,"NA"),'MITRE ATT&amp;CK Mappings'!$E869)),ISNUMBER(SEARCH(IF(B$1&lt;&gt;"",B$1,"NA"),'MITRE ATT&amp;CK Mappings'!$F869))),ISNUMBER(SEARCH(IF(B$2&lt;&gt;"",B$2,"NA"),'MITRE ATT&amp;CK Mappings'!$G869))),ISNUMBER(SEARCH(IF(B$2&lt;&gt;"",B$2,"NA"),'MITRE ATT&amp;CK Mappings'!$H869))),ISNUMBER(SEARCH(IF(B$3&lt;&gt;"",B$3,"NA"),'MITRE ATT&amp;CK Mappings'!$I869))),ISNUMBER(SEARCH(IF(B$3&lt;&gt;"",B$3,"NA"),'MITRE ATT&amp;CK Mappings'!$J869))), 'MITRE ATT&amp;CK Mappings'!$B869,"")</f>
        <v/>
      </c>
      <c r="C873" s="27" t="str">
        <f>IF(OR(OR(OR(OR(OR(ISNUMBER(SEARCH(IF(C$1&lt;&gt;"",C$1,"NA"),'MITRE ATT&amp;CK Mappings'!$E869)),ISNUMBER(SEARCH(IF(C$1&lt;&gt;"",C$1,"NA"),'MITRE ATT&amp;CK Mappings'!$F869))),ISNUMBER(SEARCH(IF(C$2&lt;&gt;"",C$2,"NA"),'MITRE ATT&amp;CK Mappings'!$G869))),ISNUMBER(SEARCH(IF(C$2&lt;&gt;"",C$2,"NA"),'MITRE ATT&amp;CK Mappings'!$H869))),ISNUMBER(SEARCH(IF(C$3&lt;&gt;"",C$3,"NA"),'MITRE ATT&amp;CK Mappings'!$I869))),ISNUMBER(SEARCH(IF(C$3&lt;&gt;"",C$3,"NA"),'MITRE ATT&amp;CK Mappings'!$J869))), 'MITRE ATT&amp;CK Mappings'!$B869,"")</f>
        <v/>
      </c>
      <c r="D873" s="27" t="str">
        <f>IF(OR(OR(OR(OR(OR(ISNUMBER(SEARCH(IF(D$1&lt;&gt;"",D$1,"NA"),'MITRE ATT&amp;CK Mappings'!$E869)),ISNUMBER(SEARCH(IF(D$1&lt;&gt;"",D$1,"NA"),'MITRE ATT&amp;CK Mappings'!$F869))),ISNUMBER(SEARCH(IF(D$2&lt;&gt;"",D$2,"NA"),'MITRE ATT&amp;CK Mappings'!$G869))),ISNUMBER(SEARCH(IF(D$2&lt;&gt;"",D$2,"NA"),'MITRE ATT&amp;CK Mappings'!$H869))),ISNUMBER(SEARCH(IF(D$3&lt;&gt;"",D$3,"NA"),'MITRE ATT&amp;CK Mappings'!$I869))),ISNUMBER(SEARCH(IF(D$3&lt;&gt;"",D$3,"NA"),'MITRE ATT&amp;CK Mappings'!$J869))), 'MITRE ATT&amp;CK Mappings'!$B869,"")</f>
        <v/>
      </c>
      <c r="E873" s="27" t="str">
        <f>IF(OR(OR(OR(OR(OR(ISNUMBER(SEARCH(IF(E$1&lt;&gt;"",E$1,"NA"),'MITRE ATT&amp;CK Mappings'!$E869)),ISNUMBER(SEARCH(IF(E$1&lt;&gt;"",E$1,"NA"),'MITRE ATT&amp;CK Mappings'!$F869))),ISNUMBER(SEARCH(IF(E$2&lt;&gt;"",E$2,"NA"),'MITRE ATT&amp;CK Mappings'!$G869))),ISNUMBER(SEARCH(IF(E$2&lt;&gt;"",E$2,"NA"),'MITRE ATT&amp;CK Mappings'!$H869))),ISNUMBER(SEARCH(IF(E$3&lt;&gt;"",E$3,"NA"),'MITRE ATT&amp;CK Mappings'!$I869))),ISNUMBER(SEARCH(IF(E$3&lt;&gt;"",E$3,"NA"),'MITRE ATT&amp;CK Mappings'!$J869))), 'MITRE ATT&amp;CK Mappings'!$B869,"")</f>
        <v/>
      </c>
      <c r="F873" s="27" t="str">
        <f>IF(OR(OR(OR(OR(OR(ISNUMBER(SEARCH(IF(F$1&lt;&gt;"",F$1,"NA"),'MITRE ATT&amp;CK Mappings'!$E869)),ISNUMBER(SEARCH(IF(F$1&lt;&gt;"",F$1,"NA"),'MITRE ATT&amp;CK Mappings'!$F869))),ISNUMBER(SEARCH(IF(F$2&lt;&gt;"",F$2,"NA"),'MITRE ATT&amp;CK Mappings'!$G869))),ISNUMBER(SEARCH(IF(F$2&lt;&gt;"",F$2,"NA"),'MITRE ATT&amp;CK Mappings'!$H869))),ISNUMBER(SEARCH(IF(F$3&lt;&gt;"",F$3,"NA"),'MITRE ATT&amp;CK Mappings'!$I869))),ISNUMBER(SEARCH(IF(F$3&lt;&gt;"",F$3,"NA"),'MITRE ATT&amp;CK Mappings'!$J869))), 'MITRE ATT&amp;CK Mappings'!$B869,"")</f>
        <v/>
      </c>
      <c r="G873" s="27" t="str">
        <f>IF(OR(OR(OR(OR(OR(ISNUMBER(SEARCH(IF(G$1&lt;&gt;"",G$1,"NA"),'MITRE ATT&amp;CK Mappings'!$E869)),ISNUMBER(SEARCH(IF(G$1&lt;&gt;"",G$1,"NA"),'MITRE ATT&amp;CK Mappings'!$F869))),ISNUMBER(SEARCH(IF(G$2&lt;&gt;"",G$2,"NA"),'MITRE ATT&amp;CK Mappings'!$G869))),ISNUMBER(SEARCH(IF(G$2&lt;&gt;"",G$2,"NA"),'MITRE ATT&amp;CK Mappings'!$H869))),ISNUMBER(SEARCH(IF(G$3&lt;&gt;"",G$3,"NA"),'MITRE ATT&amp;CK Mappings'!$I869))),ISNUMBER(SEARCH(IF(G$3&lt;&gt;"",G$3,"NA"),'MITRE ATT&amp;CK Mappings'!$J869))), 'MITRE ATT&amp;CK Mappings'!$B869,"")</f>
        <v/>
      </c>
      <c r="H873" s="27" t="str">
        <f>IF(OR(OR(OR(OR(OR(ISNUMBER(SEARCH(IF(H$1&lt;&gt;"",H$1,"NA"),'MITRE ATT&amp;CK Mappings'!$E869)),ISNUMBER(SEARCH(IF(H$1&lt;&gt;"",H$1,"NA"),'MITRE ATT&amp;CK Mappings'!$F869))),ISNUMBER(SEARCH(IF(H$2&lt;&gt;"",H$2,"NA"),'MITRE ATT&amp;CK Mappings'!$G869))),ISNUMBER(SEARCH(IF(H$2&lt;&gt;"",H$2,"NA"),'MITRE ATT&amp;CK Mappings'!$H869))),ISNUMBER(SEARCH(IF(H$3&lt;&gt;"",H$3,"NA"),'MITRE ATT&amp;CK Mappings'!$I869))),ISNUMBER(SEARCH(IF(H$3&lt;&gt;"",H$3,"NA"),'MITRE ATT&amp;CK Mappings'!$J869))), 'MITRE ATT&amp;CK Mappings'!$B869,"")</f>
        <v/>
      </c>
      <c r="I873" s="27" t="str">
        <f>IF(OR(OR(OR(OR(OR(ISNUMBER(SEARCH(IF(I$1&lt;&gt;"",I$1,"NA"),'MITRE ATT&amp;CK Mappings'!$E869)),ISNUMBER(SEARCH(IF(I$1&lt;&gt;"",I$1,"NA"),'MITRE ATT&amp;CK Mappings'!$F869))),ISNUMBER(SEARCH(IF(I$2&lt;&gt;"",I$2,"NA"),'MITRE ATT&amp;CK Mappings'!$G869))),ISNUMBER(SEARCH(IF(I$2&lt;&gt;"",I$2,"NA"),'MITRE ATT&amp;CK Mappings'!$H869))),ISNUMBER(SEARCH(IF(I$3&lt;&gt;"",I$3,"NA"),'MITRE ATT&amp;CK Mappings'!$I869))),ISNUMBER(SEARCH(IF(I$3&lt;&gt;"",I$3,"NA"),'MITRE ATT&amp;CK Mappings'!$J869))), 'MITRE ATT&amp;CK Mappings'!$B869,"")</f>
        <v/>
      </c>
      <c r="J873" s="27" t="str">
        <f>IF(OR(OR(OR(OR(OR(ISNUMBER(SEARCH(IF(J$1&lt;&gt;"",J$1,"NA"),'MITRE ATT&amp;CK Mappings'!$E869)),ISNUMBER(SEARCH(IF(J$1&lt;&gt;"",J$1,"NA"),'MITRE ATT&amp;CK Mappings'!$F869))),ISNUMBER(SEARCH(IF(J$2&lt;&gt;"",J$2,"NA"),'MITRE ATT&amp;CK Mappings'!$G869))),ISNUMBER(SEARCH(IF(J$2&lt;&gt;"",J$2,"NA"),'MITRE ATT&amp;CK Mappings'!$H869))),ISNUMBER(SEARCH(IF(J$3&lt;&gt;"",J$3,"NA"),'MITRE ATT&amp;CK Mappings'!$I869))),ISNUMBER(SEARCH(IF(J$3&lt;&gt;"",J$3,"NA"),'MITRE ATT&amp;CK Mappings'!$J869))), 'MITRE ATT&amp;CK Mappings'!$B869,"")</f>
        <v/>
      </c>
      <c r="K873" s="27" t="str">
        <f>IF(OR(OR(OR(OR(OR(ISNUMBER(SEARCH(IF(K$1&lt;&gt;"",K$1,"NA"),'MITRE ATT&amp;CK Mappings'!$E869)),ISNUMBER(SEARCH(IF(K$1&lt;&gt;"",K$1,"NA"),'MITRE ATT&amp;CK Mappings'!$F869))),ISNUMBER(SEARCH(IF(K$2&lt;&gt;"",K$2,"NA"),'MITRE ATT&amp;CK Mappings'!$G869))),ISNUMBER(SEARCH(IF(K$2&lt;&gt;"",K$2,"NA"),'MITRE ATT&amp;CK Mappings'!$H869))),ISNUMBER(SEARCH(IF(K$3&lt;&gt;"",K$3,"NA"),'MITRE ATT&amp;CK Mappings'!$I869))),ISNUMBER(SEARCH(IF(K$3&lt;&gt;"",K$3,"NA"),'MITRE ATT&amp;CK Mappings'!$J869))), 'MITRE ATT&amp;CK Mappings'!$B869,"")</f>
        <v/>
      </c>
      <c r="L873" s="27" t="str">
        <f>IF('MITRE ATT&amp;CK Mappings'!D869 &lt;&gt;"",'MITRE ATT&amp;CK Mappings'!D869,"" )</f>
        <v/>
      </c>
    </row>
    <row r="874" spans="1:12" x14ac:dyDescent="0.25">
      <c r="A874" s="26" t="str">
        <f>IF(COUNTIF(B874:K874,"="&amp;'MITRE ATT&amp;CK Mappings'!B870)&gt;0,'MITRE ATT&amp;CK Mappings'!B870,"")</f>
        <v/>
      </c>
      <c r="B874" s="26" t="str">
        <f>IF(OR(OR(OR(OR(OR(ISNUMBER(SEARCH(IF(B$1&lt;&gt;"",B$1,"NA"),'MITRE ATT&amp;CK Mappings'!$E870)),ISNUMBER(SEARCH(IF(B$1&lt;&gt;"",B$1,"NA"),'MITRE ATT&amp;CK Mappings'!$F870))),ISNUMBER(SEARCH(IF(B$2&lt;&gt;"",B$2,"NA"),'MITRE ATT&amp;CK Mappings'!$G870))),ISNUMBER(SEARCH(IF(B$2&lt;&gt;"",B$2,"NA"),'MITRE ATT&amp;CK Mappings'!$H870))),ISNUMBER(SEARCH(IF(B$3&lt;&gt;"",B$3,"NA"),'MITRE ATT&amp;CK Mappings'!$I870))),ISNUMBER(SEARCH(IF(B$3&lt;&gt;"",B$3,"NA"),'MITRE ATT&amp;CK Mappings'!$J870))), 'MITRE ATT&amp;CK Mappings'!$B870,"")</f>
        <v/>
      </c>
      <c r="C874" s="26" t="str">
        <f>IF(OR(OR(OR(OR(OR(ISNUMBER(SEARCH(IF(C$1&lt;&gt;"",C$1,"NA"),'MITRE ATT&amp;CK Mappings'!$E870)),ISNUMBER(SEARCH(IF(C$1&lt;&gt;"",C$1,"NA"),'MITRE ATT&amp;CK Mappings'!$F870))),ISNUMBER(SEARCH(IF(C$2&lt;&gt;"",C$2,"NA"),'MITRE ATT&amp;CK Mappings'!$G870))),ISNUMBER(SEARCH(IF(C$2&lt;&gt;"",C$2,"NA"),'MITRE ATT&amp;CK Mappings'!$H870))),ISNUMBER(SEARCH(IF(C$3&lt;&gt;"",C$3,"NA"),'MITRE ATT&amp;CK Mappings'!$I870))),ISNUMBER(SEARCH(IF(C$3&lt;&gt;"",C$3,"NA"),'MITRE ATT&amp;CK Mappings'!$J870))), 'MITRE ATT&amp;CK Mappings'!$B870,"")</f>
        <v/>
      </c>
      <c r="D874" s="26" t="str">
        <f>IF(OR(OR(OR(OR(OR(ISNUMBER(SEARCH(IF(D$1&lt;&gt;"",D$1,"NA"),'MITRE ATT&amp;CK Mappings'!$E870)),ISNUMBER(SEARCH(IF(D$1&lt;&gt;"",D$1,"NA"),'MITRE ATT&amp;CK Mappings'!$F870))),ISNUMBER(SEARCH(IF(D$2&lt;&gt;"",D$2,"NA"),'MITRE ATT&amp;CK Mappings'!$G870))),ISNUMBER(SEARCH(IF(D$2&lt;&gt;"",D$2,"NA"),'MITRE ATT&amp;CK Mappings'!$H870))),ISNUMBER(SEARCH(IF(D$3&lt;&gt;"",D$3,"NA"),'MITRE ATT&amp;CK Mappings'!$I870))),ISNUMBER(SEARCH(IF(D$3&lt;&gt;"",D$3,"NA"),'MITRE ATT&amp;CK Mappings'!$J870))), 'MITRE ATT&amp;CK Mappings'!$B870,"")</f>
        <v/>
      </c>
      <c r="E874" s="26" t="str">
        <f>IF(OR(OR(OR(OR(OR(ISNUMBER(SEARCH(IF(E$1&lt;&gt;"",E$1,"NA"),'MITRE ATT&amp;CK Mappings'!$E870)),ISNUMBER(SEARCH(IF(E$1&lt;&gt;"",E$1,"NA"),'MITRE ATT&amp;CK Mappings'!$F870))),ISNUMBER(SEARCH(IF(E$2&lt;&gt;"",E$2,"NA"),'MITRE ATT&amp;CK Mappings'!$G870))),ISNUMBER(SEARCH(IF(E$2&lt;&gt;"",E$2,"NA"),'MITRE ATT&amp;CK Mappings'!$H870))),ISNUMBER(SEARCH(IF(E$3&lt;&gt;"",E$3,"NA"),'MITRE ATT&amp;CK Mappings'!$I870))),ISNUMBER(SEARCH(IF(E$3&lt;&gt;"",E$3,"NA"),'MITRE ATT&amp;CK Mappings'!$J870))), 'MITRE ATT&amp;CK Mappings'!$B870,"")</f>
        <v/>
      </c>
      <c r="F874" s="26" t="str">
        <f>IF(OR(OR(OR(OR(OR(ISNUMBER(SEARCH(IF(F$1&lt;&gt;"",F$1,"NA"),'MITRE ATT&amp;CK Mappings'!$E870)),ISNUMBER(SEARCH(IF(F$1&lt;&gt;"",F$1,"NA"),'MITRE ATT&amp;CK Mappings'!$F870))),ISNUMBER(SEARCH(IF(F$2&lt;&gt;"",F$2,"NA"),'MITRE ATT&amp;CK Mappings'!$G870))),ISNUMBER(SEARCH(IF(F$2&lt;&gt;"",F$2,"NA"),'MITRE ATT&amp;CK Mappings'!$H870))),ISNUMBER(SEARCH(IF(F$3&lt;&gt;"",F$3,"NA"),'MITRE ATT&amp;CK Mappings'!$I870))),ISNUMBER(SEARCH(IF(F$3&lt;&gt;"",F$3,"NA"),'MITRE ATT&amp;CK Mappings'!$J870))), 'MITRE ATT&amp;CK Mappings'!$B870,"")</f>
        <v/>
      </c>
      <c r="G874" s="26" t="str">
        <f>IF(OR(OR(OR(OR(OR(ISNUMBER(SEARCH(IF(G$1&lt;&gt;"",G$1,"NA"),'MITRE ATT&amp;CK Mappings'!$E870)),ISNUMBER(SEARCH(IF(G$1&lt;&gt;"",G$1,"NA"),'MITRE ATT&amp;CK Mappings'!$F870))),ISNUMBER(SEARCH(IF(G$2&lt;&gt;"",G$2,"NA"),'MITRE ATT&amp;CK Mappings'!$G870))),ISNUMBER(SEARCH(IF(G$2&lt;&gt;"",G$2,"NA"),'MITRE ATT&amp;CK Mappings'!$H870))),ISNUMBER(SEARCH(IF(G$3&lt;&gt;"",G$3,"NA"),'MITRE ATT&amp;CK Mappings'!$I870))),ISNUMBER(SEARCH(IF(G$3&lt;&gt;"",G$3,"NA"),'MITRE ATT&amp;CK Mappings'!$J870))), 'MITRE ATT&amp;CK Mappings'!$B870,"")</f>
        <v/>
      </c>
      <c r="H874" s="26" t="str">
        <f>IF(OR(OR(OR(OR(OR(ISNUMBER(SEARCH(IF(H$1&lt;&gt;"",H$1,"NA"),'MITRE ATT&amp;CK Mappings'!$E870)),ISNUMBER(SEARCH(IF(H$1&lt;&gt;"",H$1,"NA"),'MITRE ATT&amp;CK Mappings'!$F870))),ISNUMBER(SEARCH(IF(H$2&lt;&gt;"",H$2,"NA"),'MITRE ATT&amp;CK Mappings'!$G870))),ISNUMBER(SEARCH(IF(H$2&lt;&gt;"",H$2,"NA"),'MITRE ATT&amp;CK Mappings'!$H870))),ISNUMBER(SEARCH(IF(H$3&lt;&gt;"",H$3,"NA"),'MITRE ATT&amp;CK Mappings'!$I870))),ISNUMBER(SEARCH(IF(H$3&lt;&gt;"",H$3,"NA"),'MITRE ATT&amp;CK Mappings'!$J870))), 'MITRE ATT&amp;CK Mappings'!$B870,"")</f>
        <v/>
      </c>
      <c r="I874" s="26" t="str">
        <f>IF(OR(OR(OR(OR(OR(ISNUMBER(SEARCH(IF(I$1&lt;&gt;"",I$1,"NA"),'MITRE ATT&amp;CK Mappings'!$E870)),ISNUMBER(SEARCH(IF(I$1&lt;&gt;"",I$1,"NA"),'MITRE ATT&amp;CK Mappings'!$F870))),ISNUMBER(SEARCH(IF(I$2&lt;&gt;"",I$2,"NA"),'MITRE ATT&amp;CK Mappings'!$G870))),ISNUMBER(SEARCH(IF(I$2&lt;&gt;"",I$2,"NA"),'MITRE ATT&amp;CK Mappings'!$H870))),ISNUMBER(SEARCH(IF(I$3&lt;&gt;"",I$3,"NA"),'MITRE ATT&amp;CK Mappings'!$I870))),ISNUMBER(SEARCH(IF(I$3&lt;&gt;"",I$3,"NA"),'MITRE ATT&amp;CK Mappings'!$J870))), 'MITRE ATT&amp;CK Mappings'!$B870,"")</f>
        <v/>
      </c>
      <c r="J874" s="26" t="str">
        <f>IF(OR(OR(OR(OR(OR(ISNUMBER(SEARCH(IF(J$1&lt;&gt;"",J$1,"NA"),'MITRE ATT&amp;CK Mappings'!$E870)),ISNUMBER(SEARCH(IF(J$1&lt;&gt;"",J$1,"NA"),'MITRE ATT&amp;CK Mappings'!$F870))),ISNUMBER(SEARCH(IF(J$2&lt;&gt;"",J$2,"NA"),'MITRE ATT&amp;CK Mappings'!$G870))),ISNUMBER(SEARCH(IF(J$2&lt;&gt;"",J$2,"NA"),'MITRE ATT&amp;CK Mappings'!$H870))),ISNUMBER(SEARCH(IF(J$3&lt;&gt;"",J$3,"NA"),'MITRE ATT&amp;CK Mappings'!$I870))),ISNUMBER(SEARCH(IF(J$3&lt;&gt;"",J$3,"NA"),'MITRE ATT&amp;CK Mappings'!$J870))), 'MITRE ATT&amp;CK Mappings'!$B870,"")</f>
        <v/>
      </c>
      <c r="K874" s="26" t="str">
        <f>IF(OR(OR(OR(OR(OR(ISNUMBER(SEARCH(IF(K$1&lt;&gt;"",K$1,"NA"),'MITRE ATT&amp;CK Mappings'!$E870)),ISNUMBER(SEARCH(IF(K$1&lt;&gt;"",K$1,"NA"),'MITRE ATT&amp;CK Mappings'!$F870))),ISNUMBER(SEARCH(IF(K$2&lt;&gt;"",K$2,"NA"),'MITRE ATT&amp;CK Mappings'!$G870))),ISNUMBER(SEARCH(IF(K$2&lt;&gt;"",K$2,"NA"),'MITRE ATT&amp;CK Mappings'!$H870))),ISNUMBER(SEARCH(IF(K$3&lt;&gt;"",K$3,"NA"),'MITRE ATT&amp;CK Mappings'!$I870))),ISNUMBER(SEARCH(IF(K$3&lt;&gt;"",K$3,"NA"),'MITRE ATT&amp;CK Mappings'!$J870))), 'MITRE ATT&amp;CK Mappings'!$B870,"")</f>
        <v/>
      </c>
      <c r="L874" s="26" t="str">
        <f>IF('MITRE ATT&amp;CK Mappings'!D870 &lt;&gt;"",'MITRE ATT&amp;CK Mappings'!D870,"" )</f>
        <v/>
      </c>
    </row>
    <row r="875" spans="1:12" x14ac:dyDescent="0.25">
      <c r="A875" s="27" t="str">
        <f>IF(COUNTIF(B875:K875,"="&amp;'MITRE ATT&amp;CK Mappings'!B871)&gt;0,'MITRE ATT&amp;CK Mappings'!B871,"")</f>
        <v/>
      </c>
      <c r="B875" s="27" t="str">
        <f>IF(OR(OR(OR(OR(OR(ISNUMBER(SEARCH(IF(B$1&lt;&gt;"",B$1,"NA"),'MITRE ATT&amp;CK Mappings'!$E871)),ISNUMBER(SEARCH(IF(B$1&lt;&gt;"",B$1,"NA"),'MITRE ATT&amp;CK Mappings'!$F871))),ISNUMBER(SEARCH(IF(B$2&lt;&gt;"",B$2,"NA"),'MITRE ATT&amp;CK Mappings'!$G871))),ISNUMBER(SEARCH(IF(B$2&lt;&gt;"",B$2,"NA"),'MITRE ATT&amp;CK Mappings'!$H871))),ISNUMBER(SEARCH(IF(B$3&lt;&gt;"",B$3,"NA"),'MITRE ATT&amp;CK Mappings'!$I871))),ISNUMBER(SEARCH(IF(B$3&lt;&gt;"",B$3,"NA"),'MITRE ATT&amp;CK Mappings'!$J871))), 'MITRE ATT&amp;CK Mappings'!$B871,"")</f>
        <v/>
      </c>
      <c r="C875" s="27" t="str">
        <f>IF(OR(OR(OR(OR(OR(ISNUMBER(SEARCH(IF(C$1&lt;&gt;"",C$1,"NA"),'MITRE ATT&amp;CK Mappings'!$E871)),ISNUMBER(SEARCH(IF(C$1&lt;&gt;"",C$1,"NA"),'MITRE ATT&amp;CK Mappings'!$F871))),ISNUMBER(SEARCH(IF(C$2&lt;&gt;"",C$2,"NA"),'MITRE ATT&amp;CK Mappings'!$G871))),ISNUMBER(SEARCH(IF(C$2&lt;&gt;"",C$2,"NA"),'MITRE ATT&amp;CK Mappings'!$H871))),ISNUMBER(SEARCH(IF(C$3&lt;&gt;"",C$3,"NA"),'MITRE ATT&amp;CK Mappings'!$I871))),ISNUMBER(SEARCH(IF(C$3&lt;&gt;"",C$3,"NA"),'MITRE ATT&amp;CK Mappings'!$J871))), 'MITRE ATT&amp;CK Mappings'!$B871,"")</f>
        <v/>
      </c>
      <c r="D875" s="27" t="str">
        <f>IF(OR(OR(OR(OR(OR(ISNUMBER(SEARCH(IF(D$1&lt;&gt;"",D$1,"NA"),'MITRE ATT&amp;CK Mappings'!$E871)),ISNUMBER(SEARCH(IF(D$1&lt;&gt;"",D$1,"NA"),'MITRE ATT&amp;CK Mappings'!$F871))),ISNUMBER(SEARCH(IF(D$2&lt;&gt;"",D$2,"NA"),'MITRE ATT&amp;CK Mappings'!$G871))),ISNUMBER(SEARCH(IF(D$2&lt;&gt;"",D$2,"NA"),'MITRE ATT&amp;CK Mappings'!$H871))),ISNUMBER(SEARCH(IF(D$3&lt;&gt;"",D$3,"NA"),'MITRE ATT&amp;CK Mappings'!$I871))),ISNUMBER(SEARCH(IF(D$3&lt;&gt;"",D$3,"NA"),'MITRE ATT&amp;CK Mappings'!$J871))), 'MITRE ATT&amp;CK Mappings'!$B871,"")</f>
        <v/>
      </c>
      <c r="E875" s="27" t="str">
        <f>IF(OR(OR(OR(OR(OR(ISNUMBER(SEARCH(IF(E$1&lt;&gt;"",E$1,"NA"),'MITRE ATT&amp;CK Mappings'!$E871)),ISNUMBER(SEARCH(IF(E$1&lt;&gt;"",E$1,"NA"),'MITRE ATT&amp;CK Mappings'!$F871))),ISNUMBER(SEARCH(IF(E$2&lt;&gt;"",E$2,"NA"),'MITRE ATT&amp;CK Mappings'!$G871))),ISNUMBER(SEARCH(IF(E$2&lt;&gt;"",E$2,"NA"),'MITRE ATT&amp;CK Mappings'!$H871))),ISNUMBER(SEARCH(IF(E$3&lt;&gt;"",E$3,"NA"),'MITRE ATT&amp;CK Mappings'!$I871))),ISNUMBER(SEARCH(IF(E$3&lt;&gt;"",E$3,"NA"),'MITRE ATT&amp;CK Mappings'!$J871))), 'MITRE ATT&amp;CK Mappings'!$B871,"")</f>
        <v/>
      </c>
      <c r="F875" s="27" t="str">
        <f>IF(OR(OR(OR(OR(OR(ISNUMBER(SEARCH(IF(F$1&lt;&gt;"",F$1,"NA"),'MITRE ATT&amp;CK Mappings'!$E871)),ISNUMBER(SEARCH(IF(F$1&lt;&gt;"",F$1,"NA"),'MITRE ATT&amp;CK Mappings'!$F871))),ISNUMBER(SEARCH(IF(F$2&lt;&gt;"",F$2,"NA"),'MITRE ATT&amp;CK Mappings'!$G871))),ISNUMBER(SEARCH(IF(F$2&lt;&gt;"",F$2,"NA"),'MITRE ATT&amp;CK Mappings'!$H871))),ISNUMBER(SEARCH(IF(F$3&lt;&gt;"",F$3,"NA"),'MITRE ATT&amp;CK Mappings'!$I871))),ISNUMBER(SEARCH(IF(F$3&lt;&gt;"",F$3,"NA"),'MITRE ATT&amp;CK Mappings'!$J871))), 'MITRE ATT&amp;CK Mappings'!$B871,"")</f>
        <v/>
      </c>
      <c r="G875" s="27" t="str">
        <f>IF(OR(OR(OR(OR(OR(ISNUMBER(SEARCH(IF(G$1&lt;&gt;"",G$1,"NA"),'MITRE ATT&amp;CK Mappings'!$E871)),ISNUMBER(SEARCH(IF(G$1&lt;&gt;"",G$1,"NA"),'MITRE ATT&amp;CK Mappings'!$F871))),ISNUMBER(SEARCH(IF(G$2&lt;&gt;"",G$2,"NA"),'MITRE ATT&amp;CK Mappings'!$G871))),ISNUMBER(SEARCH(IF(G$2&lt;&gt;"",G$2,"NA"),'MITRE ATT&amp;CK Mappings'!$H871))),ISNUMBER(SEARCH(IF(G$3&lt;&gt;"",G$3,"NA"),'MITRE ATT&amp;CK Mappings'!$I871))),ISNUMBER(SEARCH(IF(G$3&lt;&gt;"",G$3,"NA"),'MITRE ATT&amp;CK Mappings'!$J871))), 'MITRE ATT&amp;CK Mappings'!$B871,"")</f>
        <v/>
      </c>
      <c r="H875" s="27" t="str">
        <f>IF(OR(OR(OR(OR(OR(ISNUMBER(SEARCH(IF(H$1&lt;&gt;"",H$1,"NA"),'MITRE ATT&amp;CK Mappings'!$E871)),ISNUMBER(SEARCH(IF(H$1&lt;&gt;"",H$1,"NA"),'MITRE ATT&amp;CK Mappings'!$F871))),ISNUMBER(SEARCH(IF(H$2&lt;&gt;"",H$2,"NA"),'MITRE ATT&amp;CK Mappings'!$G871))),ISNUMBER(SEARCH(IF(H$2&lt;&gt;"",H$2,"NA"),'MITRE ATT&amp;CK Mappings'!$H871))),ISNUMBER(SEARCH(IF(H$3&lt;&gt;"",H$3,"NA"),'MITRE ATT&amp;CK Mappings'!$I871))),ISNUMBER(SEARCH(IF(H$3&lt;&gt;"",H$3,"NA"),'MITRE ATT&amp;CK Mappings'!$J871))), 'MITRE ATT&amp;CK Mappings'!$B871,"")</f>
        <v/>
      </c>
      <c r="I875" s="27" t="str">
        <f>IF(OR(OR(OR(OR(OR(ISNUMBER(SEARCH(IF(I$1&lt;&gt;"",I$1,"NA"),'MITRE ATT&amp;CK Mappings'!$E871)),ISNUMBER(SEARCH(IF(I$1&lt;&gt;"",I$1,"NA"),'MITRE ATT&amp;CK Mappings'!$F871))),ISNUMBER(SEARCH(IF(I$2&lt;&gt;"",I$2,"NA"),'MITRE ATT&amp;CK Mappings'!$G871))),ISNUMBER(SEARCH(IF(I$2&lt;&gt;"",I$2,"NA"),'MITRE ATT&amp;CK Mappings'!$H871))),ISNUMBER(SEARCH(IF(I$3&lt;&gt;"",I$3,"NA"),'MITRE ATT&amp;CK Mappings'!$I871))),ISNUMBER(SEARCH(IF(I$3&lt;&gt;"",I$3,"NA"),'MITRE ATT&amp;CK Mappings'!$J871))), 'MITRE ATT&amp;CK Mappings'!$B871,"")</f>
        <v/>
      </c>
      <c r="J875" s="27" t="str">
        <f>IF(OR(OR(OR(OR(OR(ISNUMBER(SEARCH(IF(J$1&lt;&gt;"",J$1,"NA"),'MITRE ATT&amp;CK Mappings'!$E871)),ISNUMBER(SEARCH(IF(J$1&lt;&gt;"",J$1,"NA"),'MITRE ATT&amp;CK Mappings'!$F871))),ISNUMBER(SEARCH(IF(J$2&lt;&gt;"",J$2,"NA"),'MITRE ATT&amp;CK Mappings'!$G871))),ISNUMBER(SEARCH(IF(J$2&lt;&gt;"",J$2,"NA"),'MITRE ATT&amp;CK Mappings'!$H871))),ISNUMBER(SEARCH(IF(J$3&lt;&gt;"",J$3,"NA"),'MITRE ATT&amp;CK Mappings'!$I871))),ISNUMBER(SEARCH(IF(J$3&lt;&gt;"",J$3,"NA"),'MITRE ATT&amp;CK Mappings'!$J871))), 'MITRE ATT&amp;CK Mappings'!$B871,"")</f>
        <v/>
      </c>
      <c r="K875" s="27" t="str">
        <f>IF(OR(OR(OR(OR(OR(ISNUMBER(SEARCH(IF(K$1&lt;&gt;"",K$1,"NA"),'MITRE ATT&amp;CK Mappings'!$E871)),ISNUMBER(SEARCH(IF(K$1&lt;&gt;"",K$1,"NA"),'MITRE ATT&amp;CK Mappings'!$F871))),ISNUMBER(SEARCH(IF(K$2&lt;&gt;"",K$2,"NA"),'MITRE ATT&amp;CK Mappings'!$G871))),ISNUMBER(SEARCH(IF(K$2&lt;&gt;"",K$2,"NA"),'MITRE ATT&amp;CK Mappings'!$H871))),ISNUMBER(SEARCH(IF(K$3&lt;&gt;"",K$3,"NA"),'MITRE ATT&amp;CK Mappings'!$I871))),ISNUMBER(SEARCH(IF(K$3&lt;&gt;"",K$3,"NA"),'MITRE ATT&amp;CK Mappings'!$J871))), 'MITRE ATT&amp;CK Mappings'!$B871,"")</f>
        <v/>
      </c>
      <c r="L875" s="27" t="str">
        <f>IF('MITRE ATT&amp;CK Mappings'!D871 &lt;&gt;"",'MITRE ATT&amp;CK Mappings'!D871,"" )</f>
        <v/>
      </c>
    </row>
    <row r="876" spans="1:12" x14ac:dyDescent="0.25">
      <c r="A876" s="26" t="str">
        <f>IF(COUNTIF(B876:K876,"="&amp;'MITRE ATT&amp;CK Mappings'!B872)&gt;0,'MITRE ATT&amp;CK Mappings'!B872,"")</f>
        <v/>
      </c>
      <c r="B876" s="26" t="str">
        <f>IF(OR(OR(OR(OR(OR(ISNUMBER(SEARCH(IF(B$1&lt;&gt;"",B$1,"NA"),'MITRE ATT&amp;CK Mappings'!$E872)),ISNUMBER(SEARCH(IF(B$1&lt;&gt;"",B$1,"NA"),'MITRE ATT&amp;CK Mappings'!$F872))),ISNUMBER(SEARCH(IF(B$2&lt;&gt;"",B$2,"NA"),'MITRE ATT&amp;CK Mappings'!$G872))),ISNUMBER(SEARCH(IF(B$2&lt;&gt;"",B$2,"NA"),'MITRE ATT&amp;CK Mappings'!$H872))),ISNUMBER(SEARCH(IF(B$3&lt;&gt;"",B$3,"NA"),'MITRE ATT&amp;CK Mappings'!$I872))),ISNUMBER(SEARCH(IF(B$3&lt;&gt;"",B$3,"NA"),'MITRE ATT&amp;CK Mappings'!$J872))), 'MITRE ATT&amp;CK Mappings'!$B872,"")</f>
        <v/>
      </c>
      <c r="C876" s="26" t="str">
        <f>IF(OR(OR(OR(OR(OR(ISNUMBER(SEARCH(IF(C$1&lt;&gt;"",C$1,"NA"),'MITRE ATT&amp;CK Mappings'!$E872)),ISNUMBER(SEARCH(IF(C$1&lt;&gt;"",C$1,"NA"),'MITRE ATT&amp;CK Mappings'!$F872))),ISNUMBER(SEARCH(IF(C$2&lt;&gt;"",C$2,"NA"),'MITRE ATT&amp;CK Mappings'!$G872))),ISNUMBER(SEARCH(IF(C$2&lt;&gt;"",C$2,"NA"),'MITRE ATT&amp;CK Mappings'!$H872))),ISNUMBER(SEARCH(IF(C$3&lt;&gt;"",C$3,"NA"),'MITRE ATT&amp;CK Mappings'!$I872))),ISNUMBER(SEARCH(IF(C$3&lt;&gt;"",C$3,"NA"),'MITRE ATT&amp;CK Mappings'!$J872))), 'MITRE ATT&amp;CK Mappings'!$B872,"")</f>
        <v/>
      </c>
      <c r="D876" s="26" t="str">
        <f>IF(OR(OR(OR(OR(OR(ISNUMBER(SEARCH(IF(D$1&lt;&gt;"",D$1,"NA"),'MITRE ATT&amp;CK Mappings'!$E872)),ISNUMBER(SEARCH(IF(D$1&lt;&gt;"",D$1,"NA"),'MITRE ATT&amp;CK Mappings'!$F872))),ISNUMBER(SEARCH(IF(D$2&lt;&gt;"",D$2,"NA"),'MITRE ATT&amp;CK Mappings'!$G872))),ISNUMBER(SEARCH(IF(D$2&lt;&gt;"",D$2,"NA"),'MITRE ATT&amp;CK Mappings'!$H872))),ISNUMBER(SEARCH(IF(D$3&lt;&gt;"",D$3,"NA"),'MITRE ATT&amp;CK Mappings'!$I872))),ISNUMBER(SEARCH(IF(D$3&lt;&gt;"",D$3,"NA"),'MITRE ATT&amp;CK Mappings'!$J872))), 'MITRE ATT&amp;CK Mappings'!$B872,"")</f>
        <v/>
      </c>
      <c r="E876" s="26" t="str">
        <f>IF(OR(OR(OR(OR(OR(ISNUMBER(SEARCH(IF(E$1&lt;&gt;"",E$1,"NA"),'MITRE ATT&amp;CK Mappings'!$E872)),ISNUMBER(SEARCH(IF(E$1&lt;&gt;"",E$1,"NA"),'MITRE ATT&amp;CK Mappings'!$F872))),ISNUMBER(SEARCH(IF(E$2&lt;&gt;"",E$2,"NA"),'MITRE ATT&amp;CK Mappings'!$G872))),ISNUMBER(SEARCH(IF(E$2&lt;&gt;"",E$2,"NA"),'MITRE ATT&amp;CK Mappings'!$H872))),ISNUMBER(SEARCH(IF(E$3&lt;&gt;"",E$3,"NA"),'MITRE ATT&amp;CK Mappings'!$I872))),ISNUMBER(SEARCH(IF(E$3&lt;&gt;"",E$3,"NA"),'MITRE ATT&amp;CK Mappings'!$J872))), 'MITRE ATT&amp;CK Mappings'!$B872,"")</f>
        <v/>
      </c>
      <c r="F876" s="26" t="str">
        <f>IF(OR(OR(OR(OR(OR(ISNUMBER(SEARCH(IF(F$1&lt;&gt;"",F$1,"NA"),'MITRE ATT&amp;CK Mappings'!$E872)),ISNUMBER(SEARCH(IF(F$1&lt;&gt;"",F$1,"NA"),'MITRE ATT&amp;CK Mappings'!$F872))),ISNUMBER(SEARCH(IF(F$2&lt;&gt;"",F$2,"NA"),'MITRE ATT&amp;CK Mappings'!$G872))),ISNUMBER(SEARCH(IF(F$2&lt;&gt;"",F$2,"NA"),'MITRE ATT&amp;CK Mappings'!$H872))),ISNUMBER(SEARCH(IF(F$3&lt;&gt;"",F$3,"NA"),'MITRE ATT&amp;CK Mappings'!$I872))),ISNUMBER(SEARCH(IF(F$3&lt;&gt;"",F$3,"NA"),'MITRE ATT&amp;CK Mappings'!$J872))), 'MITRE ATT&amp;CK Mappings'!$B872,"")</f>
        <v/>
      </c>
      <c r="G876" s="26" t="str">
        <f>IF(OR(OR(OR(OR(OR(ISNUMBER(SEARCH(IF(G$1&lt;&gt;"",G$1,"NA"),'MITRE ATT&amp;CK Mappings'!$E872)),ISNUMBER(SEARCH(IF(G$1&lt;&gt;"",G$1,"NA"),'MITRE ATT&amp;CK Mappings'!$F872))),ISNUMBER(SEARCH(IF(G$2&lt;&gt;"",G$2,"NA"),'MITRE ATT&amp;CK Mappings'!$G872))),ISNUMBER(SEARCH(IF(G$2&lt;&gt;"",G$2,"NA"),'MITRE ATT&amp;CK Mappings'!$H872))),ISNUMBER(SEARCH(IF(G$3&lt;&gt;"",G$3,"NA"),'MITRE ATT&amp;CK Mappings'!$I872))),ISNUMBER(SEARCH(IF(G$3&lt;&gt;"",G$3,"NA"),'MITRE ATT&amp;CK Mappings'!$J872))), 'MITRE ATT&amp;CK Mappings'!$B872,"")</f>
        <v/>
      </c>
      <c r="H876" s="26" t="str">
        <f>IF(OR(OR(OR(OR(OR(ISNUMBER(SEARCH(IF(H$1&lt;&gt;"",H$1,"NA"),'MITRE ATT&amp;CK Mappings'!$E872)),ISNUMBER(SEARCH(IF(H$1&lt;&gt;"",H$1,"NA"),'MITRE ATT&amp;CK Mappings'!$F872))),ISNUMBER(SEARCH(IF(H$2&lt;&gt;"",H$2,"NA"),'MITRE ATT&amp;CK Mappings'!$G872))),ISNUMBER(SEARCH(IF(H$2&lt;&gt;"",H$2,"NA"),'MITRE ATT&amp;CK Mappings'!$H872))),ISNUMBER(SEARCH(IF(H$3&lt;&gt;"",H$3,"NA"),'MITRE ATT&amp;CK Mappings'!$I872))),ISNUMBER(SEARCH(IF(H$3&lt;&gt;"",H$3,"NA"),'MITRE ATT&amp;CK Mappings'!$J872))), 'MITRE ATT&amp;CK Mappings'!$B872,"")</f>
        <v/>
      </c>
      <c r="I876" s="26" t="str">
        <f>IF(OR(OR(OR(OR(OR(ISNUMBER(SEARCH(IF(I$1&lt;&gt;"",I$1,"NA"),'MITRE ATT&amp;CK Mappings'!$E872)),ISNUMBER(SEARCH(IF(I$1&lt;&gt;"",I$1,"NA"),'MITRE ATT&amp;CK Mappings'!$F872))),ISNUMBER(SEARCH(IF(I$2&lt;&gt;"",I$2,"NA"),'MITRE ATT&amp;CK Mappings'!$G872))),ISNUMBER(SEARCH(IF(I$2&lt;&gt;"",I$2,"NA"),'MITRE ATT&amp;CK Mappings'!$H872))),ISNUMBER(SEARCH(IF(I$3&lt;&gt;"",I$3,"NA"),'MITRE ATT&amp;CK Mappings'!$I872))),ISNUMBER(SEARCH(IF(I$3&lt;&gt;"",I$3,"NA"),'MITRE ATT&amp;CK Mappings'!$J872))), 'MITRE ATT&amp;CK Mappings'!$B872,"")</f>
        <v/>
      </c>
      <c r="J876" s="26" t="str">
        <f>IF(OR(OR(OR(OR(OR(ISNUMBER(SEARCH(IF(J$1&lt;&gt;"",J$1,"NA"),'MITRE ATT&amp;CK Mappings'!$E872)),ISNUMBER(SEARCH(IF(J$1&lt;&gt;"",J$1,"NA"),'MITRE ATT&amp;CK Mappings'!$F872))),ISNUMBER(SEARCH(IF(J$2&lt;&gt;"",J$2,"NA"),'MITRE ATT&amp;CK Mappings'!$G872))),ISNUMBER(SEARCH(IF(J$2&lt;&gt;"",J$2,"NA"),'MITRE ATT&amp;CK Mappings'!$H872))),ISNUMBER(SEARCH(IF(J$3&lt;&gt;"",J$3,"NA"),'MITRE ATT&amp;CK Mappings'!$I872))),ISNUMBER(SEARCH(IF(J$3&lt;&gt;"",J$3,"NA"),'MITRE ATT&amp;CK Mappings'!$J872))), 'MITRE ATT&amp;CK Mappings'!$B872,"")</f>
        <v/>
      </c>
      <c r="K876" s="26" t="str">
        <f>IF(OR(OR(OR(OR(OR(ISNUMBER(SEARCH(IF(K$1&lt;&gt;"",K$1,"NA"),'MITRE ATT&amp;CK Mappings'!$E872)),ISNUMBER(SEARCH(IF(K$1&lt;&gt;"",K$1,"NA"),'MITRE ATT&amp;CK Mappings'!$F872))),ISNUMBER(SEARCH(IF(K$2&lt;&gt;"",K$2,"NA"),'MITRE ATT&amp;CK Mappings'!$G872))),ISNUMBER(SEARCH(IF(K$2&lt;&gt;"",K$2,"NA"),'MITRE ATT&amp;CK Mappings'!$H872))),ISNUMBER(SEARCH(IF(K$3&lt;&gt;"",K$3,"NA"),'MITRE ATT&amp;CK Mappings'!$I872))),ISNUMBER(SEARCH(IF(K$3&lt;&gt;"",K$3,"NA"),'MITRE ATT&amp;CK Mappings'!$J872))), 'MITRE ATT&amp;CK Mappings'!$B872,"")</f>
        <v/>
      </c>
      <c r="L876" s="26" t="str">
        <f>IF('MITRE ATT&amp;CK Mappings'!D872 &lt;&gt;"",'MITRE ATT&amp;CK Mappings'!D872,"" )</f>
        <v/>
      </c>
    </row>
    <row r="877" spans="1:12" x14ac:dyDescent="0.25">
      <c r="A877" s="27" t="str">
        <f>IF(COUNTIF(B877:K877,"="&amp;'MITRE ATT&amp;CK Mappings'!B873)&gt;0,'MITRE ATT&amp;CK Mappings'!B873,"")</f>
        <v/>
      </c>
      <c r="B877" s="27" t="str">
        <f>IF(OR(OR(OR(OR(OR(ISNUMBER(SEARCH(IF(B$1&lt;&gt;"",B$1,"NA"),'MITRE ATT&amp;CK Mappings'!$E873)),ISNUMBER(SEARCH(IF(B$1&lt;&gt;"",B$1,"NA"),'MITRE ATT&amp;CK Mappings'!$F873))),ISNUMBER(SEARCH(IF(B$2&lt;&gt;"",B$2,"NA"),'MITRE ATT&amp;CK Mappings'!$G873))),ISNUMBER(SEARCH(IF(B$2&lt;&gt;"",B$2,"NA"),'MITRE ATT&amp;CK Mappings'!$H873))),ISNUMBER(SEARCH(IF(B$3&lt;&gt;"",B$3,"NA"),'MITRE ATT&amp;CK Mappings'!$I873))),ISNUMBER(SEARCH(IF(B$3&lt;&gt;"",B$3,"NA"),'MITRE ATT&amp;CK Mappings'!$J873))), 'MITRE ATT&amp;CK Mappings'!$B873,"")</f>
        <v/>
      </c>
      <c r="C877" s="27" t="str">
        <f>IF(OR(OR(OR(OR(OR(ISNUMBER(SEARCH(IF(C$1&lt;&gt;"",C$1,"NA"),'MITRE ATT&amp;CK Mappings'!$E873)),ISNUMBER(SEARCH(IF(C$1&lt;&gt;"",C$1,"NA"),'MITRE ATT&amp;CK Mappings'!$F873))),ISNUMBER(SEARCH(IF(C$2&lt;&gt;"",C$2,"NA"),'MITRE ATT&amp;CK Mappings'!$G873))),ISNUMBER(SEARCH(IF(C$2&lt;&gt;"",C$2,"NA"),'MITRE ATT&amp;CK Mappings'!$H873))),ISNUMBER(SEARCH(IF(C$3&lt;&gt;"",C$3,"NA"),'MITRE ATT&amp;CK Mappings'!$I873))),ISNUMBER(SEARCH(IF(C$3&lt;&gt;"",C$3,"NA"),'MITRE ATT&amp;CK Mappings'!$J873))), 'MITRE ATT&amp;CK Mappings'!$B873,"")</f>
        <v/>
      </c>
      <c r="D877" s="27" t="str">
        <f>IF(OR(OR(OR(OR(OR(ISNUMBER(SEARCH(IF(D$1&lt;&gt;"",D$1,"NA"),'MITRE ATT&amp;CK Mappings'!$E873)),ISNUMBER(SEARCH(IF(D$1&lt;&gt;"",D$1,"NA"),'MITRE ATT&amp;CK Mappings'!$F873))),ISNUMBER(SEARCH(IF(D$2&lt;&gt;"",D$2,"NA"),'MITRE ATT&amp;CK Mappings'!$G873))),ISNUMBER(SEARCH(IF(D$2&lt;&gt;"",D$2,"NA"),'MITRE ATT&amp;CK Mappings'!$H873))),ISNUMBER(SEARCH(IF(D$3&lt;&gt;"",D$3,"NA"),'MITRE ATT&amp;CK Mappings'!$I873))),ISNUMBER(SEARCH(IF(D$3&lt;&gt;"",D$3,"NA"),'MITRE ATT&amp;CK Mappings'!$J873))), 'MITRE ATT&amp;CK Mappings'!$B873,"")</f>
        <v/>
      </c>
      <c r="E877" s="27" t="str">
        <f>IF(OR(OR(OR(OR(OR(ISNUMBER(SEARCH(IF(E$1&lt;&gt;"",E$1,"NA"),'MITRE ATT&amp;CK Mappings'!$E873)),ISNUMBER(SEARCH(IF(E$1&lt;&gt;"",E$1,"NA"),'MITRE ATT&amp;CK Mappings'!$F873))),ISNUMBER(SEARCH(IF(E$2&lt;&gt;"",E$2,"NA"),'MITRE ATT&amp;CK Mappings'!$G873))),ISNUMBER(SEARCH(IF(E$2&lt;&gt;"",E$2,"NA"),'MITRE ATT&amp;CK Mappings'!$H873))),ISNUMBER(SEARCH(IF(E$3&lt;&gt;"",E$3,"NA"),'MITRE ATT&amp;CK Mappings'!$I873))),ISNUMBER(SEARCH(IF(E$3&lt;&gt;"",E$3,"NA"),'MITRE ATT&amp;CK Mappings'!$J873))), 'MITRE ATT&amp;CK Mappings'!$B873,"")</f>
        <v/>
      </c>
      <c r="F877" s="27" t="str">
        <f>IF(OR(OR(OR(OR(OR(ISNUMBER(SEARCH(IF(F$1&lt;&gt;"",F$1,"NA"),'MITRE ATT&amp;CK Mappings'!$E873)),ISNUMBER(SEARCH(IF(F$1&lt;&gt;"",F$1,"NA"),'MITRE ATT&amp;CK Mappings'!$F873))),ISNUMBER(SEARCH(IF(F$2&lt;&gt;"",F$2,"NA"),'MITRE ATT&amp;CK Mappings'!$G873))),ISNUMBER(SEARCH(IF(F$2&lt;&gt;"",F$2,"NA"),'MITRE ATT&amp;CK Mappings'!$H873))),ISNUMBER(SEARCH(IF(F$3&lt;&gt;"",F$3,"NA"),'MITRE ATT&amp;CK Mappings'!$I873))),ISNUMBER(SEARCH(IF(F$3&lt;&gt;"",F$3,"NA"),'MITRE ATT&amp;CK Mappings'!$J873))), 'MITRE ATT&amp;CK Mappings'!$B873,"")</f>
        <v/>
      </c>
      <c r="G877" s="27" t="str">
        <f>IF(OR(OR(OR(OR(OR(ISNUMBER(SEARCH(IF(G$1&lt;&gt;"",G$1,"NA"),'MITRE ATT&amp;CK Mappings'!$E873)),ISNUMBER(SEARCH(IF(G$1&lt;&gt;"",G$1,"NA"),'MITRE ATT&amp;CK Mappings'!$F873))),ISNUMBER(SEARCH(IF(G$2&lt;&gt;"",G$2,"NA"),'MITRE ATT&amp;CK Mappings'!$G873))),ISNUMBER(SEARCH(IF(G$2&lt;&gt;"",G$2,"NA"),'MITRE ATT&amp;CK Mappings'!$H873))),ISNUMBER(SEARCH(IF(G$3&lt;&gt;"",G$3,"NA"),'MITRE ATT&amp;CK Mappings'!$I873))),ISNUMBER(SEARCH(IF(G$3&lt;&gt;"",G$3,"NA"),'MITRE ATT&amp;CK Mappings'!$J873))), 'MITRE ATT&amp;CK Mappings'!$B873,"")</f>
        <v/>
      </c>
      <c r="H877" s="27" t="str">
        <f>IF(OR(OR(OR(OR(OR(ISNUMBER(SEARCH(IF(H$1&lt;&gt;"",H$1,"NA"),'MITRE ATT&amp;CK Mappings'!$E873)),ISNUMBER(SEARCH(IF(H$1&lt;&gt;"",H$1,"NA"),'MITRE ATT&amp;CK Mappings'!$F873))),ISNUMBER(SEARCH(IF(H$2&lt;&gt;"",H$2,"NA"),'MITRE ATT&amp;CK Mappings'!$G873))),ISNUMBER(SEARCH(IF(H$2&lt;&gt;"",H$2,"NA"),'MITRE ATT&amp;CK Mappings'!$H873))),ISNUMBER(SEARCH(IF(H$3&lt;&gt;"",H$3,"NA"),'MITRE ATT&amp;CK Mappings'!$I873))),ISNUMBER(SEARCH(IF(H$3&lt;&gt;"",H$3,"NA"),'MITRE ATT&amp;CK Mappings'!$J873))), 'MITRE ATT&amp;CK Mappings'!$B873,"")</f>
        <v/>
      </c>
      <c r="I877" s="27" t="str">
        <f>IF(OR(OR(OR(OR(OR(ISNUMBER(SEARCH(IF(I$1&lt;&gt;"",I$1,"NA"),'MITRE ATT&amp;CK Mappings'!$E873)),ISNUMBER(SEARCH(IF(I$1&lt;&gt;"",I$1,"NA"),'MITRE ATT&amp;CK Mappings'!$F873))),ISNUMBER(SEARCH(IF(I$2&lt;&gt;"",I$2,"NA"),'MITRE ATT&amp;CK Mappings'!$G873))),ISNUMBER(SEARCH(IF(I$2&lt;&gt;"",I$2,"NA"),'MITRE ATT&amp;CK Mappings'!$H873))),ISNUMBER(SEARCH(IF(I$3&lt;&gt;"",I$3,"NA"),'MITRE ATT&amp;CK Mappings'!$I873))),ISNUMBER(SEARCH(IF(I$3&lt;&gt;"",I$3,"NA"),'MITRE ATT&amp;CK Mappings'!$J873))), 'MITRE ATT&amp;CK Mappings'!$B873,"")</f>
        <v/>
      </c>
      <c r="J877" s="27" t="str">
        <f>IF(OR(OR(OR(OR(OR(ISNUMBER(SEARCH(IF(J$1&lt;&gt;"",J$1,"NA"),'MITRE ATT&amp;CK Mappings'!$E873)),ISNUMBER(SEARCH(IF(J$1&lt;&gt;"",J$1,"NA"),'MITRE ATT&amp;CK Mappings'!$F873))),ISNUMBER(SEARCH(IF(J$2&lt;&gt;"",J$2,"NA"),'MITRE ATT&amp;CK Mappings'!$G873))),ISNUMBER(SEARCH(IF(J$2&lt;&gt;"",J$2,"NA"),'MITRE ATT&amp;CK Mappings'!$H873))),ISNUMBER(SEARCH(IF(J$3&lt;&gt;"",J$3,"NA"),'MITRE ATT&amp;CK Mappings'!$I873))),ISNUMBER(SEARCH(IF(J$3&lt;&gt;"",J$3,"NA"),'MITRE ATT&amp;CK Mappings'!$J873))), 'MITRE ATT&amp;CK Mappings'!$B873,"")</f>
        <v/>
      </c>
      <c r="K877" s="27" t="str">
        <f>IF(OR(OR(OR(OR(OR(ISNUMBER(SEARCH(IF(K$1&lt;&gt;"",K$1,"NA"),'MITRE ATT&amp;CK Mappings'!$E873)),ISNUMBER(SEARCH(IF(K$1&lt;&gt;"",K$1,"NA"),'MITRE ATT&amp;CK Mappings'!$F873))),ISNUMBER(SEARCH(IF(K$2&lt;&gt;"",K$2,"NA"),'MITRE ATT&amp;CK Mappings'!$G873))),ISNUMBER(SEARCH(IF(K$2&lt;&gt;"",K$2,"NA"),'MITRE ATT&amp;CK Mappings'!$H873))),ISNUMBER(SEARCH(IF(K$3&lt;&gt;"",K$3,"NA"),'MITRE ATT&amp;CK Mappings'!$I873))),ISNUMBER(SEARCH(IF(K$3&lt;&gt;"",K$3,"NA"),'MITRE ATT&amp;CK Mappings'!$J873))), 'MITRE ATT&amp;CK Mappings'!$B873,"")</f>
        <v/>
      </c>
      <c r="L877" s="27" t="str">
        <f>IF('MITRE ATT&amp;CK Mappings'!D873 &lt;&gt;"",'MITRE ATT&amp;CK Mappings'!D873,"" )</f>
        <v/>
      </c>
    </row>
    <row r="878" spans="1:12" x14ac:dyDescent="0.25">
      <c r="A878" s="26" t="str">
        <f>IF(COUNTIF(B878:K878,"="&amp;'MITRE ATT&amp;CK Mappings'!B874)&gt;0,'MITRE ATT&amp;CK Mappings'!B874,"")</f>
        <v/>
      </c>
      <c r="B878" s="26" t="str">
        <f>IF(OR(OR(OR(OR(OR(ISNUMBER(SEARCH(IF(B$1&lt;&gt;"",B$1,"NA"),'MITRE ATT&amp;CK Mappings'!$E874)),ISNUMBER(SEARCH(IF(B$1&lt;&gt;"",B$1,"NA"),'MITRE ATT&amp;CK Mappings'!$F874))),ISNUMBER(SEARCH(IF(B$2&lt;&gt;"",B$2,"NA"),'MITRE ATT&amp;CK Mappings'!$G874))),ISNUMBER(SEARCH(IF(B$2&lt;&gt;"",B$2,"NA"),'MITRE ATT&amp;CK Mappings'!$H874))),ISNUMBER(SEARCH(IF(B$3&lt;&gt;"",B$3,"NA"),'MITRE ATT&amp;CK Mappings'!$I874))),ISNUMBER(SEARCH(IF(B$3&lt;&gt;"",B$3,"NA"),'MITRE ATT&amp;CK Mappings'!$J874))), 'MITRE ATT&amp;CK Mappings'!$B874,"")</f>
        <v/>
      </c>
      <c r="C878" s="26" t="str">
        <f>IF(OR(OR(OR(OR(OR(ISNUMBER(SEARCH(IF(C$1&lt;&gt;"",C$1,"NA"),'MITRE ATT&amp;CK Mappings'!$E874)),ISNUMBER(SEARCH(IF(C$1&lt;&gt;"",C$1,"NA"),'MITRE ATT&amp;CK Mappings'!$F874))),ISNUMBER(SEARCH(IF(C$2&lt;&gt;"",C$2,"NA"),'MITRE ATT&amp;CK Mappings'!$G874))),ISNUMBER(SEARCH(IF(C$2&lt;&gt;"",C$2,"NA"),'MITRE ATT&amp;CK Mappings'!$H874))),ISNUMBER(SEARCH(IF(C$3&lt;&gt;"",C$3,"NA"),'MITRE ATT&amp;CK Mappings'!$I874))),ISNUMBER(SEARCH(IF(C$3&lt;&gt;"",C$3,"NA"),'MITRE ATT&amp;CK Mappings'!$J874))), 'MITRE ATT&amp;CK Mappings'!$B874,"")</f>
        <v/>
      </c>
      <c r="D878" s="26" t="str">
        <f>IF(OR(OR(OR(OR(OR(ISNUMBER(SEARCH(IF(D$1&lt;&gt;"",D$1,"NA"),'MITRE ATT&amp;CK Mappings'!$E874)),ISNUMBER(SEARCH(IF(D$1&lt;&gt;"",D$1,"NA"),'MITRE ATT&amp;CK Mappings'!$F874))),ISNUMBER(SEARCH(IF(D$2&lt;&gt;"",D$2,"NA"),'MITRE ATT&amp;CK Mappings'!$G874))),ISNUMBER(SEARCH(IF(D$2&lt;&gt;"",D$2,"NA"),'MITRE ATT&amp;CK Mappings'!$H874))),ISNUMBER(SEARCH(IF(D$3&lt;&gt;"",D$3,"NA"),'MITRE ATT&amp;CK Mappings'!$I874))),ISNUMBER(SEARCH(IF(D$3&lt;&gt;"",D$3,"NA"),'MITRE ATT&amp;CK Mappings'!$J874))), 'MITRE ATT&amp;CK Mappings'!$B874,"")</f>
        <v/>
      </c>
      <c r="E878" s="26" t="str">
        <f>IF(OR(OR(OR(OR(OR(ISNUMBER(SEARCH(IF(E$1&lt;&gt;"",E$1,"NA"),'MITRE ATT&amp;CK Mappings'!$E874)),ISNUMBER(SEARCH(IF(E$1&lt;&gt;"",E$1,"NA"),'MITRE ATT&amp;CK Mappings'!$F874))),ISNUMBER(SEARCH(IF(E$2&lt;&gt;"",E$2,"NA"),'MITRE ATT&amp;CK Mappings'!$G874))),ISNUMBER(SEARCH(IF(E$2&lt;&gt;"",E$2,"NA"),'MITRE ATT&amp;CK Mappings'!$H874))),ISNUMBER(SEARCH(IF(E$3&lt;&gt;"",E$3,"NA"),'MITRE ATT&amp;CK Mappings'!$I874))),ISNUMBER(SEARCH(IF(E$3&lt;&gt;"",E$3,"NA"),'MITRE ATT&amp;CK Mappings'!$J874))), 'MITRE ATT&amp;CK Mappings'!$B874,"")</f>
        <v/>
      </c>
      <c r="F878" s="26" t="str">
        <f>IF(OR(OR(OR(OR(OR(ISNUMBER(SEARCH(IF(F$1&lt;&gt;"",F$1,"NA"),'MITRE ATT&amp;CK Mappings'!$E874)),ISNUMBER(SEARCH(IF(F$1&lt;&gt;"",F$1,"NA"),'MITRE ATT&amp;CK Mappings'!$F874))),ISNUMBER(SEARCH(IF(F$2&lt;&gt;"",F$2,"NA"),'MITRE ATT&amp;CK Mappings'!$G874))),ISNUMBER(SEARCH(IF(F$2&lt;&gt;"",F$2,"NA"),'MITRE ATT&amp;CK Mappings'!$H874))),ISNUMBER(SEARCH(IF(F$3&lt;&gt;"",F$3,"NA"),'MITRE ATT&amp;CK Mappings'!$I874))),ISNUMBER(SEARCH(IF(F$3&lt;&gt;"",F$3,"NA"),'MITRE ATT&amp;CK Mappings'!$J874))), 'MITRE ATT&amp;CK Mappings'!$B874,"")</f>
        <v/>
      </c>
      <c r="G878" s="26" t="str">
        <f>IF(OR(OR(OR(OR(OR(ISNUMBER(SEARCH(IF(G$1&lt;&gt;"",G$1,"NA"),'MITRE ATT&amp;CK Mappings'!$E874)),ISNUMBER(SEARCH(IF(G$1&lt;&gt;"",G$1,"NA"),'MITRE ATT&amp;CK Mappings'!$F874))),ISNUMBER(SEARCH(IF(G$2&lt;&gt;"",G$2,"NA"),'MITRE ATT&amp;CK Mappings'!$G874))),ISNUMBER(SEARCH(IF(G$2&lt;&gt;"",G$2,"NA"),'MITRE ATT&amp;CK Mappings'!$H874))),ISNUMBER(SEARCH(IF(G$3&lt;&gt;"",G$3,"NA"),'MITRE ATT&amp;CK Mappings'!$I874))),ISNUMBER(SEARCH(IF(G$3&lt;&gt;"",G$3,"NA"),'MITRE ATT&amp;CK Mappings'!$J874))), 'MITRE ATT&amp;CK Mappings'!$B874,"")</f>
        <v/>
      </c>
      <c r="H878" s="26" t="str">
        <f>IF(OR(OR(OR(OR(OR(ISNUMBER(SEARCH(IF(H$1&lt;&gt;"",H$1,"NA"),'MITRE ATT&amp;CK Mappings'!$E874)),ISNUMBER(SEARCH(IF(H$1&lt;&gt;"",H$1,"NA"),'MITRE ATT&amp;CK Mappings'!$F874))),ISNUMBER(SEARCH(IF(H$2&lt;&gt;"",H$2,"NA"),'MITRE ATT&amp;CK Mappings'!$G874))),ISNUMBER(SEARCH(IF(H$2&lt;&gt;"",H$2,"NA"),'MITRE ATT&amp;CK Mappings'!$H874))),ISNUMBER(SEARCH(IF(H$3&lt;&gt;"",H$3,"NA"),'MITRE ATT&amp;CK Mappings'!$I874))),ISNUMBER(SEARCH(IF(H$3&lt;&gt;"",H$3,"NA"),'MITRE ATT&amp;CK Mappings'!$J874))), 'MITRE ATT&amp;CK Mappings'!$B874,"")</f>
        <v/>
      </c>
      <c r="I878" s="26" t="str">
        <f>IF(OR(OR(OR(OR(OR(ISNUMBER(SEARCH(IF(I$1&lt;&gt;"",I$1,"NA"),'MITRE ATT&amp;CK Mappings'!$E874)),ISNUMBER(SEARCH(IF(I$1&lt;&gt;"",I$1,"NA"),'MITRE ATT&amp;CK Mappings'!$F874))),ISNUMBER(SEARCH(IF(I$2&lt;&gt;"",I$2,"NA"),'MITRE ATT&amp;CK Mappings'!$G874))),ISNUMBER(SEARCH(IF(I$2&lt;&gt;"",I$2,"NA"),'MITRE ATT&amp;CK Mappings'!$H874))),ISNUMBER(SEARCH(IF(I$3&lt;&gt;"",I$3,"NA"),'MITRE ATT&amp;CK Mappings'!$I874))),ISNUMBER(SEARCH(IF(I$3&lt;&gt;"",I$3,"NA"),'MITRE ATT&amp;CK Mappings'!$J874))), 'MITRE ATT&amp;CK Mappings'!$B874,"")</f>
        <v/>
      </c>
      <c r="J878" s="26" t="str">
        <f>IF(OR(OR(OR(OR(OR(ISNUMBER(SEARCH(IF(J$1&lt;&gt;"",J$1,"NA"),'MITRE ATT&amp;CK Mappings'!$E874)),ISNUMBER(SEARCH(IF(J$1&lt;&gt;"",J$1,"NA"),'MITRE ATT&amp;CK Mappings'!$F874))),ISNUMBER(SEARCH(IF(J$2&lt;&gt;"",J$2,"NA"),'MITRE ATT&amp;CK Mappings'!$G874))),ISNUMBER(SEARCH(IF(J$2&lt;&gt;"",J$2,"NA"),'MITRE ATT&amp;CK Mappings'!$H874))),ISNUMBER(SEARCH(IF(J$3&lt;&gt;"",J$3,"NA"),'MITRE ATT&amp;CK Mappings'!$I874))),ISNUMBER(SEARCH(IF(J$3&lt;&gt;"",J$3,"NA"),'MITRE ATT&amp;CK Mappings'!$J874))), 'MITRE ATT&amp;CK Mappings'!$B874,"")</f>
        <v/>
      </c>
      <c r="K878" s="26" t="str">
        <f>IF(OR(OR(OR(OR(OR(ISNUMBER(SEARCH(IF(K$1&lt;&gt;"",K$1,"NA"),'MITRE ATT&amp;CK Mappings'!$E874)),ISNUMBER(SEARCH(IF(K$1&lt;&gt;"",K$1,"NA"),'MITRE ATT&amp;CK Mappings'!$F874))),ISNUMBER(SEARCH(IF(K$2&lt;&gt;"",K$2,"NA"),'MITRE ATT&amp;CK Mappings'!$G874))),ISNUMBER(SEARCH(IF(K$2&lt;&gt;"",K$2,"NA"),'MITRE ATT&amp;CK Mappings'!$H874))),ISNUMBER(SEARCH(IF(K$3&lt;&gt;"",K$3,"NA"),'MITRE ATT&amp;CK Mappings'!$I874))),ISNUMBER(SEARCH(IF(K$3&lt;&gt;"",K$3,"NA"),'MITRE ATT&amp;CK Mappings'!$J874))), 'MITRE ATT&amp;CK Mappings'!$B874,"")</f>
        <v/>
      </c>
      <c r="L878" s="26" t="str">
        <f>IF('MITRE ATT&amp;CK Mappings'!D874 &lt;&gt;"",'MITRE ATT&amp;CK Mappings'!D874,"" )</f>
        <v/>
      </c>
    </row>
    <row r="879" spans="1:12" x14ac:dyDescent="0.25">
      <c r="A879" s="27" t="str">
        <f>IF(COUNTIF(B879:K879,"="&amp;'MITRE ATT&amp;CK Mappings'!B875)&gt;0,'MITRE ATT&amp;CK Mappings'!B875,"")</f>
        <v/>
      </c>
      <c r="B879" s="27" t="str">
        <f>IF(OR(OR(OR(OR(OR(ISNUMBER(SEARCH(IF(B$1&lt;&gt;"",B$1,"NA"),'MITRE ATT&amp;CK Mappings'!$E875)),ISNUMBER(SEARCH(IF(B$1&lt;&gt;"",B$1,"NA"),'MITRE ATT&amp;CK Mappings'!$F875))),ISNUMBER(SEARCH(IF(B$2&lt;&gt;"",B$2,"NA"),'MITRE ATT&amp;CK Mappings'!$G875))),ISNUMBER(SEARCH(IF(B$2&lt;&gt;"",B$2,"NA"),'MITRE ATT&amp;CK Mappings'!$H875))),ISNUMBER(SEARCH(IF(B$3&lt;&gt;"",B$3,"NA"),'MITRE ATT&amp;CK Mappings'!$I875))),ISNUMBER(SEARCH(IF(B$3&lt;&gt;"",B$3,"NA"),'MITRE ATT&amp;CK Mappings'!$J875))), 'MITRE ATT&amp;CK Mappings'!$B875,"")</f>
        <v/>
      </c>
      <c r="C879" s="27" t="str">
        <f>IF(OR(OR(OR(OR(OR(ISNUMBER(SEARCH(IF(C$1&lt;&gt;"",C$1,"NA"),'MITRE ATT&amp;CK Mappings'!$E875)),ISNUMBER(SEARCH(IF(C$1&lt;&gt;"",C$1,"NA"),'MITRE ATT&amp;CK Mappings'!$F875))),ISNUMBER(SEARCH(IF(C$2&lt;&gt;"",C$2,"NA"),'MITRE ATT&amp;CK Mappings'!$G875))),ISNUMBER(SEARCH(IF(C$2&lt;&gt;"",C$2,"NA"),'MITRE ATT&amp;CK Mappings'!$H875))),ISNUMBER(SEARCH(IF(C$3&lt;&gt;"",C$3,"NA"),'MITRE ATT&amp;CK Mappings'!$I875))),ISNUMBER(SEARCH(IF(C$3&lt;&gt;"",C$3,"NA"),'MITRE ATT&amp;CK Mappings'!$J875))), 'MITRE ATT&amp;CK Mappings'!$B875,"")</f>
        <v/>
      </c>
      <c r="D879" s="27" t="str">
        <f>IF(OR(OR(OR(OR(OR(ISNUMBER(SEARCH(IF(D$1&lt;&gt;"",D$1,"NA"),'MITRE ATT&amp;CK Mappings'!$E875)),ISNUMBER(SEARCH(IF(D$1&lt;&gt;"",D$1,"NA"),'MITRE ATT&amp;CK Mappings'!$F875))),ISNUMBER(SEARCH(IF(D$2&lt;&gt;"",D$2,"NA"),'MITRE ATT&amp;CK Mappings'!$G875))),ISNUMBER(SEARCH(IF(D$2&lt;&gt;"",D$2,"NA"),'MITRE ATT&amp;CK Mappings'!$H875))),ISNUMBER(SEARCH(IF(D$3&lt;&gt;"",D$3,"NA"),'MITRE ATT&amp;CK Mappings'!$I875))),ISNUMBER(SEARCH(IF(D$3&lt;&gt;"",D$3,"NA"),'MITRE ATT&amp;CK Mappings'!$J875))), 'MITRE ATT&amp;CK Mappings'!$B875,"")</f>
        <v/>
      </c>
      <c r="E879" s="27" t="str">
        <f>IF(OR(OR(OR(OR(OR(ISNUMBER(SEARCH(IF(E$1&lt;&gt;"",E$1,"NA"),'MITRE ATT&amp;CK Mappings'!$E875)),ISNUMBER(SEARCH(IF(E$1&lt;&gt;"",E$1,"NA"),'MITRE ATT&amp;CK Mappings'!$F875))),ISNUMBER(SEARCH(IF(E$2&lt;&gt;"",E$2,"NA"),'MITRE ATT&amp;CK Mappings'!$G875))),ISNUMBER(SEARCH(IF(E$2&lt;&gt;"",E$2,"NA"),'MITRE ATT&amp;CK Mappings'!$H875))),ISNUMBER(SEARCH(IF(E$3&lt;&gt;"",E$3,"NA"),'MITRE ATT&amp;CK Mappings'!$I875))),ISNUMBER(SEARCH(IF(E$3&lt;&gt;"",E$3,"NA"),'MITRE ATT&amp;CK Mappings'!$J875))), 'MITRE ATT&amp;CK Mappings'!$B875,"")</f>
        <v/>
      </c>
      <c r="F879" s="27" t="str">
        <f>IF(OR(OR(OR(OR(OR(ISNUMBER(SEARCH(IF(F$1&lt;&gt;"",F$1,"NA"),'MITRE ATT&amp;CK Mappings'!$E875)),ISNUMBER(SEARCH(IF(F$1&lt;&gt;"",F$1,"NA"),'MITRE ATT&amp;CK Mappings'!$F875))),ISNUMBER(SEARCH(IF(F$2&lt;&gt;"",F$2,"NA"),'MITRE ATT&amp;CK Mappings'!$G875))),ISNUMBER(SEARCH(IF(F$2&lt;&gt;"",F$2,"NA"),'MITRE ATT&amp;CK Mappings'!$H875))),ISNUMBER(SEARCH(IF(F$3&lt;&gt;"",F$3,"NA"),'MITRE ATT&amp;CK Mappings'!$I875))),ISNUMBER(SEARCH(IF(F$3&lt;&gt;"",F$3,"NA"),'MITRE ATT&amp;CK Mappings'!$J875))), 'MITRE ATT&amp;CK Mappings'!$B875,"")</f>
        <v/>
      </c>
      <c r="G879" s="27" t="str">
        <f>IF(OR(OR(OR(OR(OR(ISNUMBER(SEARCH(IF(G$1&lt;&gt;"",G$1,"NA"),'MITRE ATT&amp;CK Mappings'!$E875)),ISNUMBER(SEARCH(IF(G$1&lt;&gt;"",G$1,"NA"),'MITRE ATT&amp;CK Mappings'!$F875))),ISNUMBER(SEARCH(IF(G$2&lt;&gt;"",G$2,"NA"),'MITRE ATT&amp;CK Mappings'!$G875))),ISNUMBER(SEARCH(IF(G$2&lt;&gt;"",G$2,"NA"),'MITRE ATT&amp;CK Mappings'!$H875))),ISNUMBER(SEARCH(IF(G$3&lt;&gt;"",G$3,"NA"),'MITRE ATT&amp;CK Mappings'!$I875))),ISNUMBER(SEARCH(IF(G$3&lt;&gt;"",G$3,"NA"),'MITRE ATT&amp;CK Mappings'!$J875))), 'MITRE ATT&amp;CK Mappings'!$B875,"")</f>
        <v/>
      </c>
      <c r="H879" s="27" t="str">
        <f>IF(OR(OR(OR(OR(OR(ISNUMBER(SEARCH(IF(H$1&lt;&gt;"",H$1,"NA"),'MITRE ATT&amp;CK Mappings'!$E875)),ISNUMBER(SEARCH(IF(H$1&lt;&gt;"",H$1,"NA"),'MITRE ATT&amp;CK Mappings'!$F875))),ISNUMBER(SEARCH(IF(H$2&lt;&gt;"",H$2,"NA"),'MITRE ATT&amp;CK Mappings'!$G875))),ISNUMBER(SEARCH(IF(H$2&lt;&gt;"",H$2,"NA"),'MITRE ATT&amp;CK Mappings'!$H875))),ISNUMBER(SEARCH(IF(H$3&lt;&gt;"",H$3,"NA"),'MITRE ATT&amp;CK Mappings'!$I875))),ISNUMBER(SEARCH(IF(H$3&lt;&gt;"",H$3,"NA"),'MITRE ATT&amp;CK Mappings'!$J875))), 'MITRE ATT&amp;CK Mappings'!$B875,"")</f>
        <v/>
      </c>
      <c r="I879" s="27" t="str">
        <f>IF(OR(OR(OR(OR(OR(ISNUMBER(SEARCH(IF(I$1&lt;&gt;"",I$1,"NA"),'MITRE ATT&amp;CK Mappings'!$E875)),ISNUMBER(SEARCH(IF(I$1&lt;&gt;"",I$1,"NA"),'MITRE ATT&amp;CK Mappings'!$F875))),ISNUMBER(SEARCH(IF(I$2&lt;&gt;"",I$2,"NA"),'MITRE ATT&amp;CK Mappings'!$G875))),ISNUMBER(SEARCH(IF(I$2&lt;&gt;"",I$2,"NA"),'MITRE ATT&amp;CK Mappings'!$H875))),ISNUMBER(SEARCH(IF(I$3&lt;&gt;"",I$3,"NA"),'MITRE ATT&amp;CK Mappings'!$I875))),ISNUMBER(SEARCH(IF(I$3&lt;&gt;"",I$3,"NA"),'MITRE ATT&amp;CK Mappings'!$J875))), 'MITRE ATT&amp;CK Mappings'!$B875,"")</f>
        <v/>
      </c>
      <c r="J879" s="27" t="str">
        <f>IF(OR(OR(OR(OR(OR(ISNUMBER(SEARCH(IF(J$1&lt;&gt;"",J$1,"NA"),'MITRE ATT&amp;CK Mappings'!$E875)),ISNUMBER(SEARCH(IF(J$1&lt;&gt;"",J$1,"NA"),'MITRE ATT&amp;CK Mappings'!$F875))),ISNUMBER(SEARCH(IF(J$2&lt;&gt;"",J$2,"NA"),'MITRE ATT&amp;CK Mappings'!$G875))),ISNUMBER(SEARCH(IF(J$2&lt;&gt;"",J$2,"NA"),'MITRE ATT&amp;CK Mappings'!$H875))),ISNUMBER(SEARCH(IF(J$3&lt;&gt;"",J$3,"NA"),'MITRE ATT&amp;CK Mappings'!$I875))),ISNUMBER(SEARCH(IF(J$3&lt;&gt;"",J$3,"NA"),'MITRE ATT&amp;CK Mappings'!$J875))), 'MITRE ATT&amp;CK Mappings'!$B875,"")</f>
        <v/>
      </c>
      <c r="K879" s="27" t="str">
        <f>IF(OR(OR(OR(OR(OR(ISNUMBER(SEARCH(IF(K$1&lt;&gt;"",K$1,"NA"),'MITRE ATT&amp;CK Mappings'!$E875)),ISNUMBER(SEARCH(IF(K$1&lt;&gt;"",K$1,"NA"),'MITRE ATT&amp;CK Mappings'!$F875))),ISNUMBER(SEARCH(IF(K$2&lt;&gt;"",K$2,"NA"),'MITRE ATT&amp;CK Mappings'!$G875))),ISNUMBER(SEARCH(IF(K$2&lt;&gt;"",K$2,"NA"),'MITRE ATT&amp;CK Mappings'!$H875))),ISNUMBER(SEARCH(IF(K$3&lt;&gt;"",K$3,"NA"),'MITRE ATT&amp;CK Mappings'!$I875))),ISNUMBER(SEARCH(IF(K$3&lt;&gt;"",K$3,"NA"),'MITRE ATT&amp;CK Mappings'!$J875))), 'MITRE ATT&amp;CK Mappings'!$B875,"")</f>
        <v/>
      </c>
      <c r="L879" s="27" t="str">
        <f>IF('MITRE ATT&amp;CK Mappings'!D875 &lt;&gt;"",'MITRE ATT&amp;CK Mappings'!D875,"" )</f>
        <v/>
      </c>
    </row>
    <row r="880" spans="1:12" x14ac:dyDescent="0.25">
      <c r="A880" s="26" t="str">
        <f>IF(COUNTIF(B880:K880,"="&amp;'MITRE ATT&amp;CK Mappings'!B876)&gt;0,'MITRE ATT&amp;CK Mappings'!B876,"")</f>
        <v/>
      </c>
      <c r="B880" s="26" t="str">
        <f>IF(OR(OR(OR(OR(OR(ISNUMBER(SEARCH(IF(B$1&lt;&gt;"",B$1,"NA"),'MITRE ATT&amp;CK Mappings'!$E876)),ISNUMBER(SEARCH(IF(B$1&lt;&gt;"",B$1,"NA"),'MITRE ATT&amp;CK Mappings'!$F876))),ISNUMBER(SEARCH(IF(B$2&lt;&gt;"",B$2,"NA"),'MITRE ATT&amp;CK Mappings'!$G876))),ISNUMBER(SEARCH(IF(B$2&lt;&gt;"",B$2,"NA"),'MITRE ATT&amp;CK Mappings'!$H876))),ISNUMBER(SEARCH(IF(B$3&lt;&gt;"",B$3,"NA"),'MITRE ATT&amp;CK Mappings'!$I876))),ISNUMBER(SEARCH(IF(B$3&lt;&gt;"",B$3,"NA"),'MITRE ATT&amp;CK Mappings'!$J876))), 'MITRE ATT&amp;CK Mappings'!$B876,"")</f>
        <v/>
      </c>
      <c r="C880" s="26" t="str">
        <f>IF(OR(OR(OR(OR(OR(ISNUMBER(SEARCH(IF(C$1&lt;&gt;"",C$1,"NA"),'MITRE ATT&amp;CK Mappings'!$E876)),ISNUMBER(SEARCH(IF(C$1&lt;&gt;"",C$1,"NA"),'MITRE ATT&amp;CK Mappings'!$F876))),ISNUMBER(SEARCH(IF(C$2&lt;&gt;"",C$2,"NA"),'MITRE ATT&amp;CK Mappings'!$G876))),ISNUMBER(SEARCH(IF(C$2&lt;&gt;"",C$2,"NA"),'MITRE ATT&amp;CK Mappings'!$H876))),ISNUMBER(SEARCH(IF(C$3&lt;&gt;"",C$3,"NA"),'MITRE ATT&amp;CK Mappings'!$I876))),ISNUMBER(SEARCH(IF(C$3&lt;&gt;"",C$3,"NA"),'MITRE ATT&amp;CK Mappings'!$J876))), 'MITRE ATT&amp;CK Mappings'!$B876,"")</f>
        <v/>
      </c>
      <c r="D880" s="26" t="str">
        <f>IF(OR(OR(OR(OR(OR(ISNUMBER(SEARCH(IF(D$1&lt;&gt;"",D$1,"NA"),'MITRE ATT&amp;CK Mappings'!$E876)),ISNUMBER(SEARCH(IF(D$1&lt;&gt;"",D$1,"NA"),'MITRE ATT&amp;CK Mappings'!$F876))),ISNUMBER(SEARCH(IF(D$2&lt;&gt;"",D$2,"NA"),'MITRE ATT&amp;CK Mappings'!$G876))),ISNUMBER(SEARCH(IF(D$2&lt;&gt;"",D$2,"NA"),'MITRE ATT&amp;CK Mappings'!$H876))),ISNUMBER(SEARCH(IF(D$3&lt;&gt;"",D$3,"NA"),'MITRE ATT&amp;CK Mappings'!$I876))),ISNUMBER(SEARCH(IF(D$3&lt;&gt;"",D$3,"NA"),'MITRE ATT&amp;CK Mappings'!$J876))), 'MITRE ATT&amp;CK Mappings'!$B876,"")</f>
        <v/>
      </c>
      <c r="E880" s="26" t="str">
        <f>IF(OR(OR(OR(OR(OR(ISNUMBER(SEARCH(IF(E$1&lt;&gt;"",E$1,"NA"),'MITRE ATT&amp;CK Mappings'!$E876)),ISNUMBER(SEARCH(IF(E$1&lt;&gt;"",E$1,"NA"),'MITRE ATT&amp;CK Mappings'!$F876))),ISNUMBER(SEARCH(IF(E$2&lt;&gt;"",E$2,"NA"),'MITRE ATT&amp;CK Mappings'!$G876))),ISNUMBER(SEARCH(IF(E$2&lt;&gt;"",E$2,"NA"),'MITRE ATT&amp;CK Mappings'!$H876))),ISNUMBER(SEARCH(IF(E$3&lt;&gt;"",E$3,"NA"),'MITRE ATT&amp;CK Mappings'!$I876))),ISNUMBER(SEARCH(IF(E$3&lt;&gt;"",E$3,"NA"),'MITRE ATT&amp;CK Mappings'!$J876))), 'MITRE ATT&amp;CK Mappings'!$B876,"")</f>
        <v/>
      </c>
      <c r="F880" s="26" t="str">
        <f>IF(OR(OR(OR(OR(OR(ISNUMBER(SEARCH(IF(F$1&lt;&gt;"",F$1,"NA"),'MITRE ATT&amp;CK Mappings'!$E876)),ISNUMBER(SEARCH(IF(F$1&lt;&gt;"",F$1,"NA"),'MITRE ATT&amp;CK Mappings'!$F876))),ISNUMBER(SEARCH(IF(F$2&lt;&gt;"",F$2,"NA"),'MITRE ATT&amp;CK Mappings'!$G876))),ISNUMBER(SEARCH(IF(F$2&lt;&gt;"",F$2,"NA"),'MITRE ATT&amp;CK Mappings'!$H876))),ISNUMBER(SEARCH(IF(F$3&lt;&gt;"",F$3,"NA"),'MITRE ATT&amp;CK Mappings'!$I876))),ISNUMBER(SEARCH(IF(F$3&lt;&gt;"",F$3,"NA"),'MITRE ATT&amp;CK Mappings'!$J876))), 'MITRE ATT&amp;CK Mappings'!$B876,"")</f>
        <v/>
      </c>
      <c r="G880" s="26" t="str">
        <f>IF(OR(OR(OR(OR(OR(ISNUMBER(SEARCH(IF(G$1&lt;&gt;"",G$1,"NA"),'MITRE ATT&amp;CK Mappings'!$E876)),ISNUMBER(SEARCH(IF(G$1&lt;&gt;"",G$1,"NA"),'MITRE ATT&amp;CK Mappings'!$F876))),ISNUMBER(SEARCH(IF(G$2&lt;&gt;"",G$2,"NA"),'MITRE ATT&amp;CK Mappings'!$G876))),ISNUMBER(SEARCH(IF(G$2&lt;&gt;"",G$2,"NA"),'MITRE ATT&amp;CK Mappings'!$H876))),ISNUMBER(SEARCH(IF(G$3&lt;&gt;"",G$3,"NA"),'MITRE ATT&amp;CK Mappings'!$I876))),ISNUMBER(SEARCH(IF(G$3&lt;&gt;"",G$3,"NA"),'MITRE ATT&amp;CK Mappings'!$J876))), 'MITRE ATT&amp;CK Mappings'!$B876,"")</f>
        <v/>
      </c>
      <c r="H880" s="26" t="str">
        <f>IF(OR(OR(OR(OR(OR(ISNUMBER(SEARCH(IF(H$1&lt;&gt;"",H$1,"NA"),'MITRE ATT&amp;CK Mappings'!$E876)),ISNUMBER(SEARCH(IF(H$1&lt;&gt;"",H$1,"NA"),'MITRE ATT&amp;CK Mappings'!$F876))),ISNUMBER(SEARCH(IF(H$2&lt;&gt;"",H$2,"NA"),'MITRE ATT&amp;CK Mappings'!$G876))),ISNUMBER(SEARCH(IF(H$2&lt;&gt;"",H$2,"NA"),'MITRE ATT&amp;CK Mappings'!$H876))),ISNUMBER(SEARCH(IF(H$3&lt;&gt;"",H$3,"NA"),'MITRE ATT&amp;CK Mappings'!$I876))),ISNUMBER(SEARCH(IF(H$3&lt;&gt;"",H$3,"NA"),'MITRE ATT&amp;CK Mappings'!$J876))), 'MITRE ATT&amp;CK Mappings'!$B876,"")</f>
        <v/>
      </c>
      <c r="I880" s="26" t="str">
        <f>IF(OR(OR(OR(OR(OR(ISNUMBER(SEARCH(IF(I$1&lt;&gt;"",I$1,"NA"),'MITRE ATT&amp;CK Mappings'!$E876)),ISNUMBER(SEARCH(IF(I$1&lt;&gt;"",I$1,"NA"),'MITRE ATT&amp;CK Mappings'!$F876))),ISNUMBER(SEARCH(IF(I$2&lt;&gt;"",I$2,"NA"),'MITRE ATT&amp;CK Mappings'!$G876))),ISNUMBER(SEARCH(IF(I$2&lt;&gt;"",I$2,"NA"),'MITRE ATT&amp;CK Mappings'!$H876))),ISNUMBER(SEARCH(IF(I$3&lt;&gt;"",I$3,"NA"),'MITRE ATT&amp;CK Mappings'!$I876))),ISNUMBER(SEARCH(IF(I$3&lt;&gt;"",I$3,"NA"),'MITRE ATT&amp;CK Mappings'!$J876))), 'MITRE ATT&amp;CK Mappings'!$B876,"")</f>
        <v/>
      </c>
      <c r="J880" s="26" t="str">
        <f>IF(OR(OR(OR(OR(OR(ISNUMBER(SEARCH(IF(J$1&lt;&gt;"",J$1,"NA"),'MITRE ATT&amp;CK Mappings'!$E876)),ISNUMBER(SEARCH(IF(J$1&lt;&gt;"",J$1,"NA"),'MITRE ATT&amp;CK Mappings'!$F876))),ISNUMBER(SEARCH(IF(J$2&lt;&gt;"",J$2,"NA"),'MITRE ATT&amp;CK Mappings'!$G876))),ISNUMBER(SEARCH(IF(J$2&lt;&gt;"",J$2,"NA"),'MITRE ATT&amp;CK Mappings'!$H876))),ISNUMBER(SEARCH(IF(J$3&lt;&gt;"",J$3,"NA"),'MITRE ATT&amp;CK Mappings'!$I876))),ISNUMBER(SEARCH(IF(J$3&lt;&gt;"",J$3,"NA"),'MITRE ATT&amp;CK Mappings'!$J876))), 'MITRE ATT&amp;CK Mappings'!$B876,"")</f>
        <v/>
      </c>
      <c r="K880" s="26" t="str">
        <f>IF(OR(OR(OR(OR(OR(ISNUMBER(SEARCH(IF(K$1&lt;&gt;"",K$1,"NA"),'MITRE ATT&amp;CK Mappings'!$E876)),ISNUMBER(SEARCH(IF(K$1&lt;&gt;"",K$1,"NA"),'MITRE ATT&amp;CK Mappings'!$F876))),ISNUMBER(SEARCH(IF(K$2&lt;&gt;"",K$2,"NA"),'MITRE ATT&amp;CK Mappings'!$G876))),ISNUMBER(SEARCH(IF(K$2&lt;&gt;"",K$2,"NA"),'MITRE ATT&amp;CK Mappings'!$H876))),ISNUMBER(SEARCH(IF(K$3&lt;&gt;"",K$3,"NA"),'MITRE ATT&amp;CK Mappings'!$I876))),ISNUMBER(SEARCH(IF(K$3&lt;&gt;"",K$3,"NA"),'MITRE ATT&amp;CK Mappings'!$J876))), 'MITRE ATT&amp;CK Mappings'!$B876,"")</f>
        <v/>
      </c>
      <c r="L880" s="26" t="str">
        <f>IF('MITRE ATT&amp;CK Mappings'!D876 &lt;&gt;"",'MITRE ATT&amp;CK Mappings'!D876,"" )</f>
        <v/>
      </c>
    </row>
    <row r="881" spans="1:12" x14ac:dyDescent="0.25">
      <c r="A881" s="27" t="str">
        <f>IF(COUNTIF(B881:K881,"="&amp;'MITRE ATT&amp;CK Mappings'!B877)&gt;0,'MITRE ATT&amp;CK Mappings'!B877,"")</f>
        <v/>
      </c>
      <c r="B881" s="27" t="str">
        <f>IF(OR(OR(OR(OR(OR(ISNUMBER(SEARCH(IF(B$1&lt;&gt;"",B$1,"NA"),'MITRE ATT&amp;CK Mappings'!$E877)),ISNUMBER(SEARCH(IF(B$1&lt;&gt;"",B$1,"NA"),'MITRE ATT&amp;CK Mappings'!$F877))),ISNUMBER(SEARCH(IF(B$2&lt;&gt;"",B$2,"NA"),'MITRE ATT&amp;CK Mappings'!$G877))),ISNUMBER(SEARCH(IF(B$2&lt;&gt;"",B$2,"NA"),'MITRE ATT&amp;CK Mappings'!$H877))),ISNUMBER(SEARCH(IF(B$3&lt;&gt;"",B$3,"NA"),'MITRE ATT&amp;CK Mappings'!$I877))),ISNUMBER(SEARCH(IF(B$3&lt;&gt;"",B$3,"NA"),'MITRE ATT&amp;CK Mappings'!$J877))), 'MITRE ATT&amp;CK Mappings'!$B877,"")</f>
        <v/>
      </c>
      <c r="C881" s="27" t="str">
        <f>IF(OR(OR(OR(OR(OR(ISNUMBER(SEARCH(IF(C$1&lt;&gt;"",C$1,"NA"),'MITRE ATT&amp;CK Mappings'!$E877)),ISNUMBER(SEARCH(IF(C$1&lt;&gt;"",C$1,"NA"),'MITRE ATT&amp;CK Mappings'!$F877))),ISNUMBER(SEARCH(IF(C$2&lt;&gt;"",C$2,"NA"),'MITRE ATT&amp;CK Mappings'!$G877))),ISNUMBER(SEARCH(IF(C$2&lt;&gt;"",C$2,"NA"),'MITRE ATT&amp;CK Mappings'!$H877))),ISNUMBER(SEARCH(IF(C$3&lt;&gt;"",C$3,"NA"),'MITRE ATT&amp;CK Mappings'!$I877))),ISNUMBER(SEARCH(IF(C$3&lt;&gt;"",C$3,"NA"),'MITRE ATT&amp;CK Mappings'!$J877))), 'MITRE ATT&amp;CK Mappings'!$B877,"")</f>
        <v/>
      </c>
      <c r="D881" s="27" t="str">
        <f>IF(OR(OR(OR(OR(OR(ISNUMBER(SEARCH(IF(D$1&lt;&gt;"",D$1,"NA"),'MITRE ATT&amp;CK Mappings'!$E877)),ISNUMBER(SEARCH(IF(D$1&lt;&gt;"",D$1,"NA"),'MITRE ATT&amp;CK Mappings'!$F877))),ISNUMBER(SEARCH(IF(D$2&lt;&gt;"",D$2,"NA"),'MITRE ATT&amp;CK Mappings'!$G877))),ISNUMBER(SEARCH(IF(D$2&lt;&gt;"",D$2,"NA"),'MITRE ATT&amp;CK Mappings'!$H877))),ISNUMBER(SEARCH(IF(D$3&lt;&gt;"",D$3,"NA"),'MITRE ATT&amp;CK Mappings'!$I877))),ISNUMBER(SEARCH(IF(D$3&lt;&gt;"",D$3,"NA"),'MITRE ATT&amp;CK Mappings'!$J877))), 'MITRE ATT&amp;CK Mappings'!$B877,"")</f>
        <v/>
      </c>
      <c r="E881" s="27" t="str">
        <f>IF(OR(OR(OR(OR(OR(ISNUMBER(SEARCH(IF(E$1&lt;&gt;"",E$1,"NA"),'MITRE ATT&amp;CK Mappings'!$E877)),ISNUMBER(SEARCH(IF(E$1&lt;&gt;"",E$1,"NA"),'MITRE ATT&amp;CK Mappings'!$F877))),ISNUMBER(SEARCH(IF(E$2&lt;&gt;"",E$2,"NA"),'MITRE ATT&amp;CK Mappings'!$G877))),ISNUMBER(SEARCH(IF(E$2&lt;&gt;"",E$2,"NA"),'MITRE ATT&amp;CK Mappings'!$H877))),ISNUMBER(SEARCH(IF(E$3&lt;&gt;"",E$3,"NA"),'MITRE ATT&amp;CK Mappings'!$I877))),ISNUMBER(SEARCH(IF(E$3&lt;&gt;"",E$3,"NA"),'MITRE ATT&amp;CK Mappings'!$J877))), 'MITRE ATT&amp;CK Mappings'!$B877,"")</f>
        <v/>
      </c>
      <c r="F881" s="27" t="str">
        <f>IF(OR(OR(OR(OR(OR(ISNUMBER(SEARCH(IF(F$1&lt;&gt;"",F$1,"NA"),'MITRE ATT&amp;CK Mappings'!$E877)),ISNUMBER(SEARCH(IF(F$1&lt;&gt;"",F$1,"NA"),'MITRE ATT&amp;CK Mappings'!$F877))),ISNUMBER(SEARCH(IF(F$2&lt;&gt;"",F$2,"NA"),'MITRE ATT&amp;CK Mappings'!$G877))),ISNUMBER(SEARCH(IF(F$2&lt;&gt;"",F$2,"NA"),'MITRE ATT&amp;CK Mappings'!$H877))),ISNUMBER(SEARCH(IF(F$3&lt;&gt;"",F$3,"NA"),'MITRE ATT&amp;CK Mappings'!$I877))),ISNUMBER(SEARCH(IF(F$3&lt;&gt;"",F$3,"NA"),'MITRE ATT&amp;CK Mappings'!$J877))), 'MITRE ATT&amp;CK Mappings'!$B877,"")</f>
        <v/>
      </c>
      <c r="G881" s="27" t="str">
        <f>IF(OR(OR(OR(OR(OR(ISNUMBER(SEARCH(IF(G$1&lt;&gt;"",G$1,"NA"),'MITRE ATT&amp;CK Mappings'!$E877)),ISNUMBER(SEARCH(IF(G$1&lt;&gt;"",G$1,"NA"),'MITRE ATT&amp;CK Mappings'!$F877))),ISNUMBER(SEARCH(IF(G$2&lt;&gt;"",G$2,"NA"),'MITRE ATT&amp;CK Mappings'!$G877))),ISNUMBER(SEARCH(IF(G$2&lt;&gt;"",G$2,"NA"),'MITRE ATT&amp;CK Mappings'!$H877))),ISNUMBER(SEARCH(IF(G$3&lt;&gt;"",G$3,"NA"),'MITRE ATT&amp;CK Mappings'!$I877))),ISNUMBER(SEARCH(IF(G$3&lt;&gt;"",G$3,"NA"),'MITRE ATT&amp;CK Mappings'!$J877))), 'MITRE ATT&amp;CK Mappings'!$B877,"")</f>
        <v/>
      </c>
      <c r="H881" s="27" t="str">
        <f>IF(OR(OR(OR(OR(OR(ISNUMBER(SEARCH(IF(H$1&lt;&gt;"",H$1,"NA"),'MITRE ATT&amp;CK Mappings'!$E877)),ISNUMBER(SEARCH(IF(H$1&lt;&gt;"",H$1,"NA"),'MITRE ATT&amp;CK Mappings'!$F877))),ISNUMBER(SEARCH(IF(H$2&lt;&gt;"",H$2,"NA"),'MITRE ATT&amp;CK Mappings'!$G877))),ISNUMBER(SEARCH(IF(H$2&lt;&gt;"",H$2,"NA"),'MITRE ATT&amp;CK Mappings'!$H877))),ISNUMBER(SEARCH(IF(H$3&lt;&gt;"",H$3,"NA"),'MITRE ATT&amp;CK Mappings'!$I877))),ISNUMBER(SEARCH(IF(H$3&lt;&gt;"",H$3,"NA"),'MITRE ATT&amp;CK Mappings'!$J877))), 'MITRE ATT&amp;CK Mappings'!$B877,"")</f>
        <v/>
      </c>
      <c r="I881" s="27" t="str">
        <f>IF(OR(OR(OR(OR(OR(ISNUMBER(SEARCH(IF(I$1&lt;&gt;"",I$1,"NA"),'MITRE ATT&amp;CK Mappings'!$E877)),ISNUMBER(SEARCH(IF(I$1&lt;&gt;"",I$1,"NA"),'MITRE ATT&amp;CK Mappings'!$F877))),ISNUMBER(SEARCH(IF(I$2&lt;&gt;"",I$2,"NA"),'MITRE ATT&amp;CK Mappings'!$G877))),ISNUMBER(SEARCH(IF(I$2&lt;&gt;"",I$2,"NA"),'MITRE ATT&amp;CK Mappings'!$H877))),ISNUMBER(SEARCH(IF(I$3&lt;&gt;"",I$3,"NA"),'MITRE ATT&amp;CK Mappings'!$I877))),ISNUMBER(SEARCH(IF(I$3&lt;&gt;"",I$3,"NA"),'MITRE ATT&amp;CK Mappings'!$J877))), 'MITRE ATT&amp;CK Mappings'!$B877,"")</f>
        <v/>
      </c>
      <c r="J881" s="27" t="str">
        <f>IF(OR(OR(OR(OR(OR(ISNUMBER(SEARCH(IF(J$1&lt;&gt;"",J$1,"NA"),'MITRE ATT&amp;CK Mappings'!$E877)),ISNUMBER(SEARCH(IF(J$1&lt;&gt;"",J$1,"NA"),'MITRE ATT&amp;CK Mappings'!$F877))),ISNUMBER(SEARCH(IF(J$2&lt;&gt;"",J$2,"NA"),'MITRE ATT&amp;CK Mappings'!$G877))),ISNUMBER(SEARCH(IF(J$2&lt;&gt;"",J$2,"NA"),'MITRE ATT&amp;CK Mappings'!$H877))),ISNUMBER(SEARCH(IF(J$3&lt;&gt;"",J$3,"NA"),'MITRE ATT&amp;CK Mappings'!$I877))),ISNUMBER(SEARCH(IF(J$3&lt;&gt;"",J$3,"NA"),'MITRE ATT&amp;CK Mappings'!$J877))), 'MITRE ATT&amp;CK Mappings'!$B877,"")</f>
        <v/>
      </c>
      <c r="K881" s="27" t="str">
        <f>IF(OR(OR(OR(OR(OR(ISNUMBER(SEARCH(IF(K$1&lt;&gt;"",K$1,"NA"),'MITRE ATT&amp;CK Mappings'!$E877)),ISNUMBER(SEARCH(IF(K$1&lt;&gt;"",K$1,"NA"),'MITRE ATT&amp;CK Mappings'!$F877))),ISNUMBER(SEARCH(IF(K$2&lt;&gt;"",K$2,"NA"),'MITRE ATT&amp;CK Mappings'!$G877))),ISNUMBER(SEARCH(IF(K$2&lt;&gt;"",K$2,"NA"),'MITRE ATT&amp;CK Mappings'!$H877))),ISNUMBER(SEARCH(IF(K$3&lt;&gt;"",K$3,"NA"),'MITRE ATT&amp;CK Mappings'!$I877))),ISNUMBER(SEARCH(IF(K$3&lt;&gt;"",K$3,"NA"),'MITRE ATT&amp;CK Mappings'!$J877))), 'MITRE ATT&amp;CK Mappings'!$B877,"")</f>
        <v/>
      </c>
      <c r="L881" s="27" t="str">
        <f>IF('MITRE ATT&amp;CK Mappings'!D877 &lt;&gt;"",'MITRE ATT&amp;CK Mappings'!D877,"" )</f>
        <v/>
      </c>
    </row>
    <row r="882" spans="1:12" x14ac:dyDescent="0.25">
      <c r="A882" s="26" t="str">
        <f>IF(COUNTIF(B882:K882,"="&amp;'MITRE ATT&amp;CK Mappings'!B878)&gt;0,'MITRE ATT&amp;CK Mappings'!B878,"")</f>
        <v/>
      </c>
      <c r="B882" s="26" t="str">
        <f>IF(OR(OR(OR(OR(OR(ISNUMBER(SEARCH(IF(B$1&lt;&gt;"",B$1,"NA"),'MITRE ATT&amp;CK Mappings'!$E878)),ISNUMBER(SEARCH(IF(B$1&lt;&gt;"",B$1,"NA"),'MITRE ATT&amp;CK Mappings'!$F878))),ISNUMBER(SEARCH(IF(B$2&lt;&gt;"",B$2,"NA"),'MITRE ATT&amp;CK Mappings'!$G878))),ISNUMBER(SEARCH(IF(B$2&lt;&gt;"",B$2,"NA"),'MITRE ATT&amp;CK Mappings'!$H878))),ISNUMBER(SEARCH(IF(B$3&lt;&gt;"",B$3,"NA"),'MITRE ATT&amp;CK Mappings'!$I878))),ISNUMBER(SEARCH(IF(B$3&lt;&gt;"",B$3,"NA"),'MITRE ATT&amp;CK Mappings'!$J878))), 'MITRE ATT&amp;CK Mappings'!$B878,"")</f>
        <v/>
      </c>
      <c r="C882" s="26" t="str">
        <f>IF(OR(OR(OR(OR(OR(ISNUMBER(SEARCH(IF(C$1&lt;&gt;"",C$1,"NA"),'MITRE ATT&amp;CK Mappings'!$E878)),ISNUMBER(SEARCH(IF(C$1&lt;&gt;"",C$1,"NA"),'MITRE ATT&amp;CK Mappings'!$F878))),ISNUMBER(SEARCH(IF(C$2&lt;&gt;"",C$2,"NA"),'MITRE ATT&amp;CK Mappings'!$G878))),ISNUMBER(SEARCH(IF(C$2&lt;&gt;"",C$2,"NA"),'MITRE ATT&amp;CK Mappings'!$H878))),ISNUMBER(SEARCH(IF(C$3&lt;&gt;"",C$3,"NA"),'MITRE ATT&amp;CK Mappings'!$I878))),ISNUMBER(SEARCH(IF(C$3&lt;&gt;"",C$3,"NA"),'MITRE ATT&amp;CK Mappings'!$J878))), 'MITRE ATT&amp;CK Mappings'!$B878,"")</f>
        <v/>
      </c>
      <c r="D882" s="26" t="str">
        <f>IF(OR(OR(OR(OR(OR(ISNUMBER(SEARCH(IF(D$1&lt;&gt;"",D$1,"NA"),'MITRE ATT&amp;CK Mappings'!$E878)),ISNUMBER(SEARCH(IF(D$1&lt;&gt;"",D$1,"NA"),'MITRE ATT&amp;CK Mappings'!$F878))),ISNUMBER(SEARCH(IF(D$2&lt;&gt;"",D$2,"NA"),'MITRE ATT&amp;CK Mappings'!$G878))),ISNUMBER(SEARCH(IF(D$2&lt;&gt;"",D$2,"NA"),'MITRE ATT&amp;CK Mappings'!$H878))),ISNUMBER(SEARCH(IF(D$3&lt;&gt;"",D$3,"NA"),'MITRE ATT&amp;CK Mappings'!$I878))),ISNUMBER(SEARCH(IF(D$3&lt;&gt;"",D$3,"NA"),'MITRE ATT&amp;CK Mappings'!$J878))), 'MITRE ATT&amp;CK Mappings'!$B878,"")</f>
        <v/>
      </c>
      <c r="E882" s="26" t="str">
        <f>IF(OR(OR(OR(OR(OR(ISNUMBER(SEARCH(IF(E$1&lt;&gt;"",E$1,"NA"),'MITRE ATT&amp;CK Mappings'!$E878)),ISNUMBER(SEARCH(IF(E$1&lt;&gt;"",E$1,"NA"),'MITRE ATT&amp;CK Mappings'!$F878))),ISNUMBER(SEARCH(IF(E$2&lt;&gt;"",E$2,"NA"),'MITRE ATT&amp;CK Mappings'!$G878))),ISNUMBER(SEARCH(IF(E$2&lt;&gt;"",E$2,"NA"),'MITRE ATT&amp;CK Mappings'!$H878))),ISNUMBER(SEARCH(IF(E$3&lt;&gt;"",E$3,"NA"),'MITRE ATT&amp;CK Mappings'!$I878))),ISNUMBER(SEARCH(IF(E$3&lt;&gt;"",E$3,"NA"),'MITRE ATT&amp;CK Mappings'!$J878))), 'MITRE ATT&amp;CK Mappings'!$B878,"")</f>
        <v/>
      </c>
      <c r="F882" s="26" t="str">
        <f>IF(OR(OR(OR(OR(OR(ISNUMBER(SEARCH(IF(F$1&lt;&gt;"",F$1,"NA"),'MITRE ATT&amp;CK Mappings'!$E878)),ISNUMBER(SEARCH(IF(F$1&lt;&gt;"",F$1,"NA"),'MITRE ATT&amp;CK Mappings'!$F878))),ISNUMBER(SEARCH(IF(F$2&lt;&gt;"",F$2,"NA"),'MITRE ATT&amp;CK Mappings'!$G878))),ISNUMBER(SEARCH(IF(F$2&lt;&gt;"",F$2,"NA"),'MITRE ATT&amp;CK Mappings'!$H878))),ISNUMBER(SEARCH(IF(F$3&lt;&gt;"",F$3,"NA"),'MITRE ATT&amp;CK Mappings'!$I878))),ISNUMBER(SEARCH(IF(F$3&lt;&gt;"",F$3,"NA"),'MITRE ATT&amp;CK Mappings'!$J878))), 'MITRE ATT&amp;CK Mappings'!$B878,"")</f>
        <v/>
      </c>
      <c r="G882" s="26" t="str">
        <f>IF(OR(OR(OR(OR(OR(ISNUMBER(SEARCH(IF(G$1&lt;&gt;"",G$1,"NA"),'MITRE ATT&amp;CK Mappings'!$E878)),ISNUMBER(SEARCH(IF(G$1&lt;&gt;"",G$1,"NA"),'MITRE ATT&amp;CK Mappings'!$F878))),ISNUMBER(SEARCH(IF(G$2&lt;&gt;"",G$2,"NA"),'MITRE ATT&amp;CK Mappings'!$G878))),ISNUMBER(SEARCH(IF(G$2&lt;&gt;"",G$2,"NA"),'MITRE ATT&amp;CK Mappings'!$H878))),ISNUMBER(SEARCH(IF(G$3&lt;&gt;"",G$3,"NA"),'MITRE ATT&amp;CK Mappings'!$I878))),ISNUMBER(SEARCH(IF(G$3&lt;&gt;"",G$3,"NA"),'MITRE ATT&amp;CK Mappings'!$J878))), 'MITRE ATT&amp;CK Mappings'!$B878,"")</f>
        <v/>
      </c>
      <c r="H882" s="26" t="str">
        <f>IF(OR(OR(OR(OR(OR(ISNUMBER(SEARCH(IF(H$1&lt;&gt;"",H$1,"NA"),'MITRE ATT&amp;CK Mappings'!$E878)),ISNUMBER(SEARCH(IF(H$1&lt;&gt;"",H$1,"NA"),'MITRE ATT&amp;CK Mappings'!$F878))),ISNUMBER(SEARCH(IF(H$2&lt;&gt;"",H$2,"NA"),'MITRE ATT&amp;CK Mappings'!$G878))),ISNUMBER(SEARCH(IF(H$2&lt;&gt;"",H$2,"NA"),'MITRE ATT&amp;CK Mappings'!$H878))),ISNUMBER(SEARCH(IF(H$3&lt;&gt;"",H$3,"NA"),'MITRE ATT&amp;CK Mappings'!$I878))),ISNUMBER(SEARCH(IF(H$3&lt;&gt;"",H$3,"NA"),'MITRE ATT&amp;CK Mappings'!$J878))), 'MITRE ATT&amp;CK Mappings'!$B878,"")</f>
        <v/>
      </c>
      <c r="I882" s="26" t="str">
        <f>IF(OR(OR(OR(OR(OR(ISNUMBER(SEARCH(IF(I$1&lt;&gt;"",I$1,"NA"),'MITRE ATT&amp;CK Mappings'!$E878)),ISNUMBER(SEARCH(IF(I$1&lt;&gt;"",I$1,"NA"),'MITRE ATT&amp;CK Mappings'!$F878))),ISNUMBER(SEARCH(IF(I$2&lt;&gt;"",I$2,"NA"),'MITRE ATT&amp;CK Mappings'!$G878))),ISNUMBER(SEARCH(IF(I$2&lt;&gt;"",I$2,"NA"),'MITRE ATT&amp;CK Mappings'!$H878))),ISNUMBER(SEARCH(IF(I$3&lt;&gt;"",I$3,"NA"),'MITRE ATT&amp;CK Mappings'!$I878))),ISNUMBER(SEARCH(IF(I$3&lt;&gt;"",I$3,"NA"),'MITRE ATT&amp;CK Mappings'!$J878))), 'MITRE ATT&amp;CK Mappings'!$B878,"")</f>
        <v/>
      </c>
      <c r="J882" s="26" t="str">
        <f>IF(OR(OR(OR(OR(OR(ISNUMBER(SEARCH(IF(J$1&lt;&gt;"",J$1,"NA"),'MITRE ATT&amp;CK Mappings'!$E878)),ISNUMBER(SEARCH(IF(J$1&lt;&gt;"",J$1,"NA"),'MITRE ATT&amp;CK Mappings'!$F878))),ISNUMBER(SEARCH(IF(J$2&lt;&gt;"",J$2,"NA"),'MITRE ATT&amp;CK Mappings'!$G878))),ISNUMBER(SEARCH(IF(J$2&lt;&gt;"",J$2,"NA"),'MITRE ATT&amp;CK Mappings'!$H878))),ISNUMBER(SEARCH(IF(J$3&lt;&gt;"",J$3,"NA"),'MITRE ATT&amp;CK Mappings'!$I878))),ISNUMBER(SEARCH(IF(J$3&lt;&gt;"",J$3,"NA"),'MITRE ATT&amp;CK Mappings'!$J878))), 'MITRE ATT&amp;CK Mappings'!$B878,"")</f>
        <v/>
      </c>
      <c r="K882" s="26" t="str">
        <f>IF(OR(OR(OR(OR(OR(ISNUMBER(SEARCH(IF(K$1&lt;&gt;"",K$1,"NA"),'MITRE ATT&amp;CK Mappings'!$E878)),ISNUMBER(SEARCH(IF(K$1&lt;&gt;"",K$1,"NA"),'MITRE ATT&amp;CK Mappings'!$F878))),ISNUMBER(SEARCH(IF(K$2&lt;&gt;"",K$2,"NA"),'MITRE ATT&amp;CK Mappings'!$G878))),ISNUMBER(SEARCH(IF(K$2&lt;&gt;"",K$2,"NA"),'MITRE ATT&amp;CK Mappings'!$H878))),ISNUMBER(SEARCH(IF(K$3&lt;&gt;"",K$3,"NA"),'MITRE ATT&amp;CK Mappings'!$I878))),ISNUMBER(SEARCH(IF(K$3&lt;&gt;"",K$3,"NA"),'MITRE ATT&amp;CK Mappings'!$J878))), 'MITRE ATT&amp;CK Mappings'!$B878,"")</f>
        <v/>
      </c>
      <c r="L882" s="26" t="str">
        <f>IF('MITRE ATT&amp;CK Mappings'!D878 &lt;&gt;"",'MITRE ATT&amp;CK Mappings'!D878,"" )</f>
        <v/>
      </c>
    </row>
    <row r="883" spans="1:12" x14ac:dyDescent="0.25">
      <c r="A883" s="27" t="str">
        <f>IF(COUNTIF(B883:K883,"="&amp;'MITRE ATT&amp;CK Mappings'!B879)&gt;0,'MITRE ATT&amp;CK Mappings'!B879,"")</f>
        <v/>
      </c>
      <c r="B883" s="27" t="str">
        <f>IF(OR(OR(OR(OR(OR(ISNUMBER(SEARCH(IF(B$1&lt;&gt;"",B$1,"NA"),'MITRE ATT&amp;CK Mappings'!$E879)),ISNUMBER(SEARCH(IF(B$1&lt;&gt;"",B$1,"NA"),'MITRE ATT&amp;CK Mappings'!$F879))),ISNUMBER(SEARCH(IF(B$2&lt;&gt;"",B$2,"NA"),'MITRE ATT&amp;CK Mappings'!$G879))),ISNUMBER(SEARCH(IF(B$2&lt;&gt;"",B$2,"NA"),'MITRE ATT&amp;CK Mappings'!$H879))),ISNUMBER(SEARCH(IF(B$3&lt;&gt;"",B$3,"NA"),'MITRE ATT&amp;CK Mappings'!$I879))),ISNUMBER(SEARCH(IF(B$3&lt;&gt;"",B$3,"NA"),'MITRE ATT&amp;CK Mappings'!$J879))), 'MITRE ATT&amp;CK Mappings'!$B879,"")</f>
        <v/>
      </c>
      <c r="C883" s="27" t="str">
        <f>IF(OR(OR(OR(OR(OR(ISNUMBER(SEARCH(IF(C$1&lt;&gt;"",C$1,"NA"),'MITRE ATT&amp;CK Mappings'!$E879)),ISNUMBER(SEARCH(IF(C$1&lt;&gt;"",C$1,"NA"),'MITRE ATT&amp;CK Mappings'!$F879))),ISNUMBER(SEARCH(IF(C$2&lt;&gt;"",C$2,"NA"),'MITRE ATT&amp;CK Mappings'!$G879))),ISNUMBER(SEARCH(IF(C$2&lt;&gt;"",C$2,"NA"),'MITRE ATT&amp;CK Mappings'!$H879))),ISNUMBER(SEARCH(IF(C$3&lt;&gt;"",C$3,"NA"),'MITRE ATT&amp;CK Mappings'!$I879))),ISNUMBER(SEARCH(IF(C$3&lt;&gt;"",C$3,"NA"),'MITRE ATT&amp;CK Mappings'!$J879))), 'MITRE ATT&amp;CK Mappings'!$B879,"")</f>
        <v/>
      </c>
      <c r="D883" s="27" t="str">
        <f>IF(OR(OR(OR(OR(OR(ISNUMBER(SEARCH(IF(D$1&lt;&gt;"",D$1,"NA"),'MITRE ATT&amp;CK Mappings'!$E879)),ISNUMBER(SEARCH(IF(D$1&lt;&gt;"",D$1,"NA"),'MITRE ATT&amp;CK Mappings'!$F879))),ISNUMBER(SEARCH(IF(D$2&lt;&gt;"",D$2,"NA"),'MITRE ATT&amp;CK Mappings'!$G879))),ISNUMBER(SEARCH(IF(D$2&lt;&gt;"",D$2,"NA"),'MITRE ATT&amp;CK Mappings'!$H879))),ISNUMBER(SEARCH(IF(D$3&lt;&gt;"",D$3,"NA"),'MITRE ATT&amp;CK Mappings'!$I879))),ISNUMBER(SEARCH(IF(D$3&lt;&gt;"",D$3,"NA"),'MITRE ATT&amp;CK Mappings'!$J879))), 'MITRE ATT&amp;CK Mappings'!$B879,"")</f>
        <v/>
      </c>
      <c r="E883" s="27" t="str">
        <f>IF(OR(OR(OR(OR(OR(ISNUMBER(SEARCH(IF(E$1&lt;&gt;"",E$1,"NA"),'MITRE ATT&amp;CK Mappings'!$E879)),ISNUMBER(SEARCH(IF(E$1&lt;&gt;"",E$1,"NA"),'MITRE ATT&amp;CK Mappings'!$F879))),ISNUMBER(SEARCH(IF(E$2&lt;&gt;"",E$2,"NA"),'MITRE ATT&amp;CK Mappings'!$G879))),ISNUMBER(SEARCH(IF(E$2&lt;&gt;"",E$2,"NA"),'MITRE ATT&amp;CK Mappings'!$H879))),ISNUMBER(SEARCH(IF(E$3&lt;&gt;"",E$3,"NA"),'MITRE ATT&amp;CK Mappings'!$I879))),ISNUMBER(SEARCH(IF(E$3&lt;&gt;"",E$3,"NA"),'MITRE ATT&amp;CK Mappings'!$J879))), 'MITRE ATT&amp;CK Mappings'!$B879,"")</f>
        <v/>
      </c>
      <c r="F883" s="27" t="str">
        <f>IF(OR(OR(OR(OR(OR(ISNUMBER(SEARCH(IF(F$1&lt;&gt;"",F$1,"NA"),'MITRE ATT&amp;CK Mappings'!$E879)),ISNUMBER(SEARCH(IF(F$1&lt;&gt;"",F$1,"NA"),'MITRE ATT&amp;CK Mappings'!$F879))),ISNUMBER(SEARCH(IF(F$2&lt;&gt;"",F$2,"NA"),'MITRE ATT&amp;CK Mappings'!$G879))),ISNUMBER(SEARCH(IF(F$2&lt;&gt;"",F$2,"NA"),'MITRE ATT&amp;CK Mappings'!$H879))),ISNUMBER(SEARCH(IF(F$3&lt;&gt;"",F$3,"NA"),'MITRE ATT&amp;CK Mappings'!$I879))),ISNUMBER(SEARCH(IF(F$3&lt;&gt;"",F$3,"NA"),'MITRE ATT&amp;CK Mappings'!$J879))), 'MITRE ATT&amp;CK Mappings'!$B879,"")</f>
        <v/>
      </c>
      <c r="G883" s="27" t="str">
        <f>IF(OR(OR(OR(OR(OR(ISNUMBER(SEARCH(IF(G$1&lt;&gt;"",G$1,"NA"),'MITRE ATT&amp;CK Mappings'!$E879)),ISNUMBER(SEARCH(IF(G$1&lt;&gt;"",G$1,"NA"),'MITRE ATT&amp;CK Mappings'!$F879))),ISNUMBER(SEARCH(IF(G$2&lt;&gt;"",G$2,"NA"),'MITRE ATT&amp;CK Mappings'!$G879))),ISNUMBER(SEARCH(IF(G$2&lt;&gt;"",G$2,"NA"),'MITRE ATT&amp;CK Mappings'!$H879))),ISNUMBER(SEARCH(IF(G$3&lt;&gt;"",G$3,"NA"),'MITRE ATT&amp;CK Mappings'!$I879))),ISNUMBER(SEARCH(IF(G$3&lt;&gt;"",G$3,"NA"),'MITRE ATT&amp;CK Mappings'!$J879))), 'MITRE ATT&amp;CK Mappings'!$B879,"")</f>
        <v/>
      </c>
      <c r="H883" s="27" t="str">
        <f>IF(OR(OR(OR(OR(OR(ISNUMBER(SEARCH(IF(H$1&lt;&gt;"",H$1,"NA"),'MITRE ATT&amp;CK Mappings'!$E879)),ISNUMBER(SEARCH(IF(H$1&lt;&gt;"",H$1,"NA"),'MITRE ATT&amp;CK Mappings'!$F879))),ISNUMBER(SEARCH(IF(H$2&lt;&gt;"",H$2,"NA"),'MITRE ATT&amp;CK Mappings'!$G879))),ISNUMBER(SEARCH(IF(H$2&lt;&gt;"",H$2,"NA"),'MITRE ATT&amp;CK Mappings'!$H879))),ISNUMBER(SEARCH(IF(H$3&lt;&gt;"",H$3,"NA"),'MITRE ATT&amp;CK Mappings'!$I879))),ISNUMBER(SEARCH(IF(H$3&lt;&gt;"",H$3,"NA"),'MITRE ATT&amp;CK Mappings'!$J879))), 'MITRE ATT&amp;CK Mappings'!$B879,"")</f>
        <v/>
      </c>
      <c r="I883" s="27" t="str">
        <f>IF(OR(OR(OR(OR(OR(ISNUMBER(SEARCH(IF(I$1&lt;&gt;"",I$1,"NA"),'MITRE ATT&amp;CK Mappings'!$E879)),ISNUMBER(SEARCH(IF(I$1&lt;&gt;"",I$1,"NA"),'MITRE ATT&amp;CK Mappings'!$F879))),ISNUMBER(SEARCH(IF(I$2&lt;&gt;"",I$2,"NA"),'MITRE ATT&amp;CK Mappings'!$G879))),ISNUMBER(SEARCH(IF(I$2&lt;&gt;"",I$2,"NA"),'MITRE ATT&amp;CK Mappings'!$H879))),ISNUMBER(SEARCH(IF(I$3&lt;&gt;"",I$3,"NA"),'MITRE ATT&amp;CK Mappings'!$I879))),ISNUMBER(SEARCH(IF(I$3&lt;&gt;"",I$3,"NA"),'MITRE ATT&amp;CK Mappings'!$J879))), 'MITRE ATT&amp;CK Mappings'!$B879,"")</f>
        <v/>
      </c>
      <c r="J883" s="27" t="str">
        <f>IF(OR(OR(OR(OR(OR(ISNUMBER(SEARCH(IF(J$1&lt;&gt;"",J$1,"NA"),'MITRE ATT&amp;CK Mappings'!$E879)),ISNUMBER(SEARCH(IF(J$1&lt;&gt;"",J$1,"NA"),'MITRE ATT&amp;CK Mappings'!$F879))),ISNUMBER(SEARCH(IF(J$2&lt;&gt;"",J$2,"NA"),'MITRE ATT&amp;CK Mappings'!$G879))),ISNUMBER(SEARCH(IF(J$2&lt;&gt;"",J$2,"NA"),'MITRE ATT&amp;CK Mappings'!$H879))),ISNUMBER(SEARCH(IF(J$3&lt;&gt;"",J$3,"NA"),'MITRE ATT&amp;CK Mappings'!$I879))),ISNUMBER(SEARCH(IF(J$3&lt;&gt;"",J$3,"NA"),'MITRE ATT&amp;CK Mappings'!$J879))), 'MITRE ATT&amp;CK Mappings'!$B879,"")</f>
        <v/>
      </c>
      <c r="K883" s="27" t="str">
        <f>IF(OR(OR(OR(OR(OR(ISNUMBER(SEARCH(IF(K$1&lt;&gt;"",K$1,"NA"),'MITRE ATT&amp;CK Mappings'!$E879)),ISNUMBER(SEARCH(IF(K$1&lt;&gt;"",K$1,"NA"),'MITRE ATT&amp;CK Mappings'!$F879))),ISNUMBER(SEARCH(IF(K$2&lt;&gt;"",K$2,"NA"),'MITRE ATT&amp;CK Mappings'!$G879))),ISNUMBER(SEARCH(IF(K$2&lt;&gt;"",K$2,"NA"),'MITRE ATT&amp;CK Mappings'!$H879))),ISNUMBER(SEARCH(IF(K$3&lt;&gt;"",K$3,"NA"),'MITRE ATT&amp;CK Mappings'!$I879))),ISNUMBER(SEARCH(IF(K$3&lt;&gt;"",K$3,"NA"),'MITRE ATT&amp;CK Mappings'!$J879))), 'MITRE ATT&amp;CK Mappings'!$B879,"")</f>
        <v/>
      </c>
      <c r="L883" s="27" t="str">
        <f>IF('MITRE ATT&amp;CK Mappings'!D879 &lt;&gt;"",'MITRE ATT&amp;CK Mappings'!D879,"" )</f>
        <v/>
      </c>
    </row>
    <row r="884" spans="1:12" x14ac:dyDescent="0.25">
      <c r="A884" s="26" t="str">
        <f>IF(COUNTIF(B884:K884,"="&amp;'MITRE ATT&amp;CK Mappings'!B880)&gt;0,'MITRE ATT&amp;CK Mappings'!B880,"")</f>
        <v/>
      </c>
      <c r="B884" s="26" t="str">
        <f>IF(OR(OR(OR(OR(OR(ISNUMBER(SEARCH(IF(B$1&lt;&gt;"",B$1,"NA"),'MITRE ATT&amp;CK Mappings'!$E880)),ISNUMBER(SEARCH(IF(B$1&lt;&gt;"",B$1,"NA"),'MITRE ATT&amp;CK Mappings'!$F880))),ISNUMBER(SEARCH(IF(B$2&lt;&gt;"",B$2,"NA"),'MITRE ATT&amp;CK Mappings'!$G880))),ISNUMBER(SEARCH(IF(B$2&lt;&gt;"",B$2,"NA"),'MITRE ATT&amp;CK Mappings'!$H880))),ISNUMBER(SEARCH(IF(B$3&lt;&gt;"",B$3,"NA"),'MITRE ATT&amp;CK Mappings'!$I880))),ISNUMBER(SEARCH(IF(B$3&lt;&gt;"",B$3,"NA"),'MITRE ATT&amp;CK Mappings'!$J880))), 'MITRE ATT&amp;CK Mappings'!$B880,"")</f>
        <v/>
      </c>
      <c r="C884" s="26" t="str">
        <f>IF(OR(OR(OR(OR(OR(ISNUMBER(SEARCH(IF(C$1&lt;&gt;"",C$1,"NA"),'MITRE ATT&amp;CK Mappings'!$E880)),ISNUMBER(SEARCH(IF(C$1&lt;&gt;"",C$1,"NA"),'MITRE ATT&amp;CK Mappings'!$F880))),ISNUMBER(SEARCH(IF(C$2&lt;&gt;"",C$2,"NA"),'MITRE ATT&amp;CK Mappings'!$G880))),ISNUMBER(SEARCH(IF(C$2&lt;&gt;"",C$2,"NA"),'MITRE ATT&amp;CK Mappings'!$H880))),ISNUMBER(SEARCH(IF(C$3&lt;&gt;"",C$3,"NA"),'MITRE ATT&amp;CK Mappings'!$I880))),ISNUMBER(SEARCH(IF(C$3&lt;&gt;"",C$3,"NA"),'MITRE ATT&amp;CK Mappings'!$J880))), 'MITRE ATT&amp;CK Mappings'!$B880,"")</f>
        <v/>
      </c>
      <c r="D884" s="26" t="str">
        <f>IF(OR(OR(OR(OR(OR(ISNUMBER(SEARCH(IF(D$1&lt;&gt;"",D$1,"NA"),'MITRE ATT&amp;CK Mappings'!$E880)),ISNUMBER(SEARCH(IF(D$1&lt;&gt;"",D$1,"NA"),'MITRE ATT&amp;CK Mappings'!$F880))),ISNUMBER(SEARCH(IF(D$2&lt;&gt;"",D$2,"NA"),'MITRE ATT&amp;CK Mappings'!$G880))),ISNUMBER(SEARCH(IF(D$2&lt;&gt;"",D$2,"NA"),'MITRE ATT&amp;CK Mappings'!$H880))),ISNUMBER(SEARCH(IF(D$3&lt;&gt;"",D$3,"NA"),'MITRE ATT&amp;CK Mappings'!$I880))),ISNUMBER(SEARCH(IF(D$3&lt;&gt;"",D$3,"NA"),'MITRE ATT&amp;CK Mappings'!$J880))), 'MITRE ATT&amp;CK Mappings'!$B880,"")</f>
        <v/>
      </c>
      <c r="E884" s="26" t="str">
        <f>IF(OR(OR(OR(OR(OR(ISNUMBER(SEARCH(IF(E$1&lt;&gt;"",E$1,"NA"),'MITRE ATT&amp;CK Mappings'!$E880)),ISNUMBER(SEARCH(IF(E$1&lt;&gt;"",E$1,"NA"),'MITRE ATT&amp;CK Mappings'!$F880))),ISNUMBER(SEARCH(IF(E$2&lt;&gt;"",E$2,"NA"),'MITRE ATT&amp;CK Mappings'!$G880))),ISNUMBER(SEARCH(IF(E$2&lt;&gt;"",E$2,"NA"),'MITRE ATT&amp;CK Mappings'!$H880))),ISNUMBER(SEARCH(IF(E$3&lt;&gt;"",E$3,"NA"),'MITRE ATT&amp;CK Mappings'!$I880))),ISNUMBER(SEARCH(IF(E$3&lt;&gt;"",E$3,"NA"),'MITRE ATT&amp;CK Mappings'!$J880))), 'MITRE ATT&amp;CK Mappings'!$B880,"")</f>
        <v/>
      </c>
      <c r="F884" s="26" t="str">
        <f>IF(OR(OR(OR(OR(OR(ISNUMBER(SEARCH(IF(F$1&lt;&gt;"",F$1,"NA"),'MITRE ATT&amp;CK Mappings'!$E880)),ISNUMBER(SEARCH(IF(F$1&lt;&gt;"",F$1,"NA"),'MITRE ATT&amp;CK Mappings'!$F880))),ISNUMBER(SEARCH(IF(F$2&lt;&gt;"",F$2,"NA"),'MITRE ATT&amp;CK Mappings'!$G880))),ISNUMBER(SEARCH(IF(F$2&lt;&gt;"",F$2,"NA"),'MITRE ATT&amp;CK Mappings'!$H880))),ISNUMBER(SEARCH(IF(F$3&lt;&gt;"",F$3,"NA"),'MITRE ATT&amp;CK Mappings'!$I880))),ISNUMBER(SEARCH(IF(F$3&lt;&gt;"",F$3,"NA"),'MITRE ATT&amp;CK Mappings'!$J880))), 'MITRE ATT&amp;CK Mappings'!$B880,"")</f>
        <v/>
      </c>
      <c r="G884" s="26" t="str">
        <f>IF(OR(OR(OR(OR(OR(ISNUMBER(SEARCH(IF(G$1&lt;&gt;"",G$1,"NA"),'MITRE ATT&amp;CK Mappings'!$E880)),ISNUMBER(SEARCH(IF(G$1&lt;&gt;"",G$1,"NA"),'MITRE ATT&amp;CK Mappings'!$F880))),ISNUMBER(SEARCH(IF(G$2&lt;&gt;"",G$2,"NA"),'MITRE ATT&amp;CK Mappings'!$G880))),ISNUMBER(SEARCH(IF(G$2&lt;&gt;"",G$2,"NA"),'MITRE ATT&amp;CK Mappings'!$H880))),ISNUMBER(SEARCH(IF(G$3&lt;&gt;"",G$3,"NA"),'MITRE ATT&amp;CK Mappings'!$I880))),ISNUMBER(SEARCH(IF(G$3&lt;&gt;"",G$3,"NA"),'MITRE ATT&amp;CK Mappings'!$J880))), 'MITRE ATT&amp;CK Mappings'!$B880,"")</f>
        <v/>
      </c>
      <c r="H884" s="26" t="str">
        <f>IF(OR(OR(OR(OR(OR(ISNUMBER(SEARCH(IF(H$1&lt;&gt;"",H$1,"NA"),'MITRE ATT&amp;CK Mappings'!$E880)),ISNUMBER(SEARCH(IF(H$1&lt;&gt;"",H$1,"NA"),'MITRE ATT&amp;CK Mappings'!$F880))),ISNUMBER(SEARCH(IF(H$2&lt;&gt;"",H$2,"NA"),'MITRE ATT&amp;CK Mappings'!$G880))),ISNUMBER(SEARCH(IF(H$2&lt;&gt;"",H$2,"NA"),'MITRE ATT&amp;CK Mappings'!$H880))),ISNUMBER(SEARCH(IF(H$3&lt;&gt;"",H$3,"NA"),'MITRE ATT&amp;CK Mappings'!$I880))),ISNUMBER(SEARCH(IF(H$3&lt;&gt;"",H$3,"NA"),'MITRE ATT&amp;CK Mappings'!$J880))), 'MITRE ATT&amp;CK Mappings'!$B880,"")</f>
        <v/>
      </c>
      <c r="I884" s="26" t="str">
        <f>IF(OR(OR(OR(OR(OR(ISNUMBER(SEARCH(IF(I$1&lt;&gt;"",I$1,"NA"),'MITRE ATT&amp;CK Mappings'!$E880)),ISNUMBER(SEARCH(IF(I$1&lt;&gt;"",I$1,"NA"),'MITRE ATT&amp;CK Mappings'!$F880))),ISNUMBER(SEARCH(IF(I$2&lt;&gt;"",I$2,"NA"),'MITRE ATT&amp;CK Mappings'!$G880))),ISNUMBER(SEARCH(IF(I$2&lt;&gt;"",I$2,"NA"),'MITRE ATT&amp;CK Mappings'!$H880))),ISNUMBER(SEARCH(IF(I$3&lt;&gt;"",I$3,"NA"),'MITRE ATT&amp;CK Mappings'!$I880))),ISNUMBER(SEARCH(IF(I$3&lt;&gt;"",I$3,"NA"),'MITRE ATT&amp;CK Mappings'!$J880))), 'MITRE ATT&amp;CK Mappings'!$B880,"")</f>
        <v/>
      </c>
      <c r="J884" s="26" t="str">
        <f>IF(OR(OR(OR(OR(OR(ISNUMBER(SEARCH(IF(J$1&lt;&gt;"",J$1,"NA"),'MITRE ATT&amp;CK Mappings'!$E880)),ISNUMBER(SEARCH(IF(J$1&lt;&gt;"",J$1,"NA"),'MITRE ATT&amp;CK Mappings'!$F880))),ISNUMBER(SEARCH(IF(J$2&lt;&gt;"",J$2,"NA"),'MITRE ATT&amp;CK Mappings'!$G880))),ISNUMBER(SEARCH(IF(J$2&lt;&gt;"",J$2,"NA"),'MITRE ATT&amp;CK Mappings'!$H880))),ISNUMBER(SEARCH(IF(J$3&lt;&gt;"",J$3,"NA"),'MITRE ATT&amp;CK Mappings'!$I880))),ISNUMBER(SEARCH(IF(J$3&lt;&gt;"",J$3,"NA"),'MITRE ATT&amp;CK Mappings'!$J880))), 'MITRE ATT&amp;CK Mappings'!$B880,"")</f>
        <v/>
      </c>
      <c r="K884" s="26" t="str">
        <f>IF(OR(OR(OR(OR(OR(ISNUMBER(SEARCH(IF(K$1&lt;&gt;"",K$1,"NA"),'MITRE ATT&amp;CK Mappings'!$E880)),ISNUMBER(SEARCH(IF(K$1&lt;&gt;"",K$1,"NA"),'MITRE ATT&amp;CK Mappings'!$F880))),ISNUMBER(SEARCH(IF(K$2&lt;&gt;"",K$2,"NA"),'MITRE ATT&amp;CK Mappings'!$G880))),ISNUMBER(SEARCH(IF(K$2&lt;&gt;"",K$2,"NA"),'MITRE ATT&amp;CK Mappings'!$H880))),ISNUMBER(SEARCH(IF(K$3&lt;&gt;"",K$3,"NA"),'MITRE ATT&amp;CK Mappings'!$I880))),ISNUMBER(SEARCH(IF(K$3&lt;&gt;"",K$3,"NA"),'MITRE ATT&amp;CK Mappings'!$J880))), 'MITRE ATT&amp;CK Mappings'!$B880,"")</f>
        <v/>
      </c>
      <c r="L884" s="26" t="str">
        <f>IF('MITRE ATT&amp;CK Mappings'!D880 &lt;&gt;"",'MITRE ATT&amp;CK Mappings'!D880,"" )</f>
        <v/>
      </c>
    </row>
    <row r="885" spans="1:12" x14ac:dyDescent="0.25">
      <c r="A885" s="27" t="str">
        <f>IF(COUNTIF(B885:K885,"="&amp;'MITRE ATT&amp;CK Mappings'!B881)&gt;0,'MITRE ATT&amp;CK Mappings'!B881,"")</f>
        <v/>
      </c>
      <c r="B885" s="27" t="str">
        <f>IF(OR(OR(OR(OR(OR(ISNUMBER(SEARCH(IF(B$1&lt;&gt;"",B$1,"NA"),'MITRE ATT&amp;CK Mappings'!$E881)),ISNUMBER(SEARCH(IF(B$1&lt;&gt;"",B$1,"NA"),'MITRE ATT&amp;CK Mappings'!$F881))),ISNUMBER(SEARCH(IF(B$2&lt;&gt;"",B$2,"NA"),'MITRE ATT&amp;CK Mappings'!$G881))),ISNUMBER(SEARCH(IF(B$2&lt;&gt;"",B$2,"NA"),'MITRE ATT&amp;CK Mappings'!$H881))),ISNUMBER(SEARCH(IF(B$3&lt;&gt;"",B$3,"NA"),'MITRE ATT&amp;CK Mappings'!$I881))),ISNUMBER(SEARCH(IF(B$3&lt;&gt;"",B$3,"NA"),'MITRE ATT&amp;CK Mappings'!$J881))), 'MITRE ATT&amp;CK Mappings'!$B881,"")</f>
        <v/>
      </c>
      <c r="C885" s="27" t="str">
        <f>IF(OR(OR(OR(OR(OR(ISNUMBER(SEARCH(IF(C$1&lt;&gt;"",C$1,"NA"),'MITRE ATT&amp;CK Mappings'!$E881)),ISNUMBER(SEARCH(IF(C$1&lt;&gt;"",C$1,"NA"),'MITRE ATT&amp;CK Mappings'!$F881))),ISNUMBER(SEARCH(IF(C$2&lt;&gt;"",C$2,"NA"),'MITRE ATT&amp;CK Mappings'!$G881))),ISNUMBER(SEARCH(IF(C$2&lt;&gt;"",C$2,"NA"),'MITRE ATT&amp;CK Mappings'!$H881))),ISNUMBER(SEARCH(IF(C$3&lt;&gt;"",C$3,"NA"),'MITRE ATT&amp;CK Mappings'!$I881))),ISNUMBER(SEARCH(IF(C$3&lt;&gt;"",C$3,"NA"),'MITRE ATT&amp;CK Mappings'!$J881))), 'MITRE ATT&amp;CK Mappings'!$B881,"")</f>
        <v/>
      </c>
      <c r="D885" s="27" t="str">
        <f>IF(OR(OR(OR(OR(OR(ISNUMBER(SEARCH(IF(D$1&lt;&gt;"",D$1,"NA"),'MITRE ATT&amp;CK Mappings'!$E881)),ISNUMBER(SEARCH(IF(D$1&lt;&gt;"",D$1,"NA"),'MITRE ATT&amp;CK Mappings'!$F881))),ISNUMBER(SEARCH(IF(D$2&lt;&gt;"",D$2,"NA"),'MITRE ATT&amp;CK Mappings'!$G881))),ISNUMBER(SEARCH(IF(D$2&lt;&gt;"",D$2,"NA"),'MITRE ATT&amp;CK Mappings'!$H881))),ISNUMBER(SEARCH(IF(D$3&lt;&gt;"",D$3,"NA"),'MITRE ATT&amp;CK Mappings'!$I881))),ISNUMBER(SEARCH(IF(D$3&lt;&gt;"",D$3,"NA"),'MITRE ATT&amp;CK Mappings'!$J881))), 'MITRE ATT&amp;CK Mappings'!$B881,"")</f>
        <v/>
      </c>
      <c r="E885" s="27" t="str">
        <f>IF(OR(OR(OR(OR(OR(ISNUMBER(SEARCH(IF(E$1&lt;&gt;"",E$1,"NA"),'MITRE ATT&amp;CK Mappings'!$E881)),ISNUMBER(SEARCH(IF(E$1&lt;&gt;"",E$1,"NA"),'MITRE ATT&amp;CK Mappings'!$F881))),ISNUMBER(SEARCH(IF(E$2&lt;&gt;"",E$2,"NA"),'MITRE ATT&amp;CK Mappings'!$G881))),ISNUMBER(SEARCH(IF(E$2&lt;&gt;"",E$2,"NA"),'MITRE ATT&amp;CK Mappings'!$H881))),ISNUMBER(SEARCH(IF(E$3&lt;&gt;"",E$3,"NA"),'MITRE ATT&amp;CK Mappings'!$I881))),ISNUMBER(SEARCH(IF(E$3&lt;&gt;"",E$3,"NA"),'MITRE ATT&amp;CK Mappings'!$J881))), 'MITRE ATT&amp;CK Mappings'!$B881,"")</f>
        <v/>
      </c>
      <c r="F885" s="27" t="str">
        <f>IF(OR(OR(OR(OR(OR(ISNUMBER(SEARCH(IF(F$1&lt;&gt;"",F$1,"NA"),'MITRE ATT&amp;CK Mappings'!$E881)),ISNUMBER(SEARCH(IF(F$1&lt;&gt;"",F$1,"NA"),'MITRE ATT&amp;CK Mappings'!$F881))),ISNUMBER(SEARCH(IF(F$2&lt;&gt;"",F$2,"NA"),'MITRE ATT&amp;CK Mappings'!$G881))),ISNUMBER(SEARCH(IF(F$2&lt;&gt;"",F$2,"NA"),'MITRE ATT&amp;CK Mappings'!$H881))),ISNUMBER(SEARCH(IF(F$3&lt;&gt;"",F$3,"NA"),'MITRE ATT&amp;CK Mappings'!$I881))),ISNUMBER(SEARCH(IF(F$3&lt;&gt;"",F$3,"NA"),'MITRE ATT&amp;CK Mappings'!$J881))), 'MITRE ATT&amp;CK Mappings'!$B881,"")</f>
        <v/>
      </c>
      <c r="G885" s="27" t="str">
        <f>IF(OR(OR(OR(OR(OR(ISNUMBER(SEARCH(IF(G$1&lt;&gt;"",G$1,"NA"),'MITRE ATT&amp;CK Mappings'!$E881)),ISNUMBER(SEARCH(IF(G$1&lt;&gt;"",G$1,"NA"),'MITRE ATT&amp;CK Mappings'!$F881))),ISNUMBER(SEARCH(IF(G$2&lt;&gt;"",G$2,"NA"),'MITRE ATT&amp;CK Mappings'!$G881))),ISNUMBER(SEARCH(IF(G$2&lt;&gt;"",G$2,"NA"),'MITRE ATT&amp;CK Mappings'!$H881))),ISNUMBER(SEARCH(IF(G$3&lt;&gt;"",G$3,"NA"),'MITRE ATT&amp;CK Mappings'!$I881))),ISNUMBER(SEARCH(IF(G$3&lt;&gt;"",G$3,"NA"),'MITRE ATT&amp;CK Mappings'!$J881))), 'MITRE ATT&amp;CK Mappings'!$B881,"")</f>
        <v/>
      </c>
      <c r="H885" s="27" t="str">
        <f>IF(OR(OR(OR(OR(OR(ISNUMBER(SEARCH(IF(H$1&lt;&gt;"",H$1,"NA"),'MITRE ATT&amp;CK Mappings'!$E881)),ISNUMBER(SEARCH(IF(H$1&lt;&gt;"",H$1,"NA"),'MITRE ATT&amp;CK Mappings'!$F881))),ISNUMBER(SEARCH(IF(H$2&lt;&gt;"",H$2,"NA"),'MITRE ATT&amp;CK Mappings'!$G881))),ISNUMBER(SEARCH(IF(H$2&lt;&gt;"",H$2,"NA"),'MITRE ATT&amp;CK Mappings'!$H881))),ISNUMBER(SEARCH(IF(H$3&lt;&gt;"",H$3,"NA"),'MITRE ATT&amp;CK Mappings'!$I881))),ISNUMBER(SEARCH(IF(H$3&lt;&gt;"",H$3,"NA"),'MITRE ATT&amp;CK Mappings'!$J881))), 'MITRE ATT&amp;CK Mappings'!$B881,"")</f>
        <v/>
      </c>
      <c r="I885" s="27" t="str">
        <f>IF(OR(OR(OR(OR(OR(ISNUMBER(SEARCH(IF(I$1&lt;&gt;"",I$1,"NA"),'MITRE ATT&amp;CK Mappings'!$E881)),ISNUMBER(SEARCH(IF(I$1&lt;&gt;"",I$1,"NA"),'MITRE ATT&amp;CK Mappings'!$F881))),ISNUMBER(SEARCH(IF(I$2&lt;&gt;"",I$2,"NA"),'MITRE ATT&amp;CK Mappings'!$G881))),ISNUMBER(SEARCH(IF(I$2&lt;&gt;"",I$2,"NA"),'MITRE ATT&amp;CK Mappings'!$H881))),ISNUMBER(SEARCH(IF(I$3&lt;&gt;"",I$3,"NA"),'MITRE ATT&amp;CK Mappings'!$I881))),ISNUMBER(SEARCH(IF(I$3&lt;&gt;"",I$3,"NA"),'MITRE ATT&amp;CK Mappings'!$J881))), 'MITRE ATT&amp;CK Mappings'!$B881,"")</f>
        <v/>
      </c>
      <c r="J885" s="27" t="str">
        <f>IF(OR(OR(OR(OR(OR(ISNUMBER(SEARCH(IF(J$1&lt;&gt;"",J$1,"NA"),'MITRE ATT&amp;CK Mappings'!$E881)),ISNUMBER(SEARCH(IF(J$1&lt;&gt;"",J$1,"NA"),'MITRE ATT&amp;CK Mappings'!$F881))),ISNUMBER(SEARCH(IF(J$2&lt;&gt;"",J$2,"NA"),'MITRE ATT&amp;CK Mappings'!$G881))),ISNUMBER(SEARCH(IF(J$2&lt;&gt;"",J$2,"NA"),'MITRE ATT&amp;CK Mappings'!$H881))),ISNUMBER(SEARCH(IF(J$3&lt;&gt;"",J$3,"NA"),'MITRE ATT&amp;CK Mappings'!$I881))),ISNUMBER(SEARCH(IF(J$3&lt;&gt;"",J$3,"NA"),'MITRE ATT&amp;CK Mappings'!$J881))), 'MITRE ATT&amp;CK Mappings'!$B881,"")</f>
        <v/>
      </c>
      <c r="K885" s="27" t="str">
        <f>IF(OR(OR(OR(OR(OR(ISNUMBER(SEARCH(IF(K$1&lt;&gt;"",K$1,"NA"),'MITRE ATT&amp;CK Mappings'!$E881)),ISNUMBER(SEARCH(IF(K$1&lt;&gt;"",K$1,"NA"),'MITRE ATT&amp;CK Mappings'!$F881))),ISNUMBER(SEARCH(IF(K$2&lt;&gt;"",K$2,"NA"),'MITRE ATT&amp;CK Mappings'!$G881))),ISNUMBER(SEARCH(IF(K$2&lt;&gt;"",K$2,"NA"),'MITRE ATT&amp;CK Mappings'!$H881))),ISNUMBER(SEARCH(IF(K$3&lt;&gt;"",K$3,"NA"),'MITRE ATT&amp;CK Mappings'!$I881))),ISNUMBER(SEARCH(IF(K$3&lt;&gt;"",K$3,"NA"),'MITRE ATT&amp;CK Mappings'!$J881))), 'MITRE ATT&amp;CK Mappings'!$B881,"")</f>
        <v/>
      </c>
      <c r="L885" s="27" t="str">
        <f>IF('MITRE ATT&amp;CK Mappings'!D881 &lt;&gt;"",'MITRE ATT&amp;CK Mappings'!D881,"" )</f>
        <v/>
      </c>
    </row>
    <row r="886" spans="1:12" x14ac:dyDescent="0.25">
      <c r="A886" s="26" t="str">
        <f>IF(COUNTIF(B886:K886,"="&amp;'MITRE ATT&amp;CK Mappings'!B882)&gt;0,'MITRE ATT&amp;CK Mappings'!B882,"")</f>
        <v/>
      </c>
      <c r="B886" s="26" t="str">
        <f>IF(OR(OR(OR(OR(OR(ISNUMBER(SEARCH(IF(B$1&lt;&gt;"",B$1,"NA"),'MITRE ATT&amp;CK Mappings'!$E882)),ISNUMBER(SEARCH(IF(B$1&lt;&gt;"",B$1,"NA"),'MITRE ATT&amp;CK Mappings'!$F882))),ISNUMBER(SEARCH(IF(B$2&lt;&gt;"",B$2,"NA"),'MITRE ATT&amp;CK Mappings'!$G882))),ISNUMBER(SEARCH(IF(B$2&lt;&gt;"",B$2,"NA"),'MITRE ATT&amp;CK Mappings'!$H882))),ISNUMBER(SEARCH(IF(B$3&lt;&gt;"",B$3,"NA"),'MITRE ATT&amp;CK Mappings'!$I882))),ISNUMBER(SEARCH(IF(B$3&lt;&gt;"",B$3,"NA"),'MITRE ATT&amp;CK Mappings'!$J882))), 'MITRE ATT&amp;CK Mappings'!$B882,"")</f>
        <v/>
      </c>
      <c r="C886" s="26" t="str">
        <f>IF(OR(OR(OR(OR(OR(ISNUMBER(SEARCH(IF(C$1&lt;&gt;"",C$1,"NA"),'MITRE ATT&amp;CK Mappings'!$E882)),ISNUMBER(SEARCH(IF(C$1&lt;&gt;"",C$1,"NA"),'MITRE ATT&amp;CK Mappings'!$F882))),ISNUMBER(SEARCH(IF(C$2&lt;&gt;"",C$2,"NA"),'MITRE ATT&amp;CK Mappings'!$G882))),ISNUMBER(SEARCH(IF(C$2&lt;&gt;"",C$2,"NA"),'MITRE ATT&amp;CK Mappings'!$H882))),ISNUMBER(SEARCH(IF(C$3&lt;&gt;"",C$3,"NA"),'MITRE ATT&amp;CK Mappings'!$I882))),ISNUMBER(SEARCH(IF(C$3&lt;&gt;"",C$3,"NA"),'MITRE ATT&amp;CK Mappings'!$J882))), 'MITRE ATT&amp;CK Mappings'!$B882,"")</f>
        <v/>
      </c>
      <c r="D886" s="26" t="str">
        <f>IF(OR(OR(OR(OR(OR(ISNUMBER(SEARCH(IF(D$1&lt;&gt;"",D$1,"NA"),'MITRE ATT&amp;CK Mappings'!$E882)),ISNUMBER(SEARCH(IF(D$1&lt;&gt;"",D$1,"NA"),'MITRE ATT&amp;CK Mappings'!$F882))),ISNUMBER(SEARCH(IF(D$2&lt;&gt;"",D$2,"NA"),'MITRE ATT&amp;CK Mappings'!$G882))),ISNUMBER(SEARCH(IF(D$2&lt;&gt;"",D$2,"NA"),'MITRE ATT&amp;CK Mappings'!$H882))),ISNUMBER(SEARCH(IF(D$3&lt;&gt;"",D$3,"NA"),'MITRE ATT&amp;CK Mappings'!$I882))),ISNUMBER(SEARCH(IF(D$3&lt;&gt;"",D$3,"NA"),'MITRE ATT&amp;CK Mappings'!$J882))), 'MITRE ATT&amp;CK Mappings'!$B882,"")</f>
        <v/>
      </c>
      <c r="E886" s="26" t="str">
        <f>IF(OR(OR(OR(OR(OR(ISNUMBER(SEARCH(IF(E$1&lt;&gt;"",E$1,"NA"),'MITRE ATT&amp;CK Mappings'!$E882)),ISNUMBER(SEARCH(IF(E$1&lt;&gt;"",E$1,"NA"),'MITRE ATT&amp;CK Mappings'!$F882))),ISNUMBER(SEARCH(IF(E$2&lt;&gt;"",E$2,"NA"),'MITRE ATT&amp;CK Mappings'!$G882))),ISNUMBER(SEARCH(IF(E$2&lt;&gt;"",E$2,"NA"),'MITRE ATT&amp;CK Mappings'!$H882))),ISNUMBER(SEARCH(IF(E$3&lt;&gt;"",E$3,"NA"),'MITRE ATT&amp;CK Mappings'!$I882))),ISNUMBER(SEARCH(IF(E$3&lt;&gt;"",E$3,"NA"),'MITRE ATT&amp;CK Mappings'!$J882))), 'MITRE ATT&amp;CK Mappings'!$B882,"")</f>
        <v/>
      </c>
      <c r="F886" s="26" t="str">
        <f>IF(OR(OR(OR(OR(OR(ISNUMBER(SEARCH(IF(F$1&lt;&gt;"",F$1,"NA"),'MITRE ATT&amp;CK Mappings'!$E882)),ISNUMBER(SEARCH(IF(F$1&lt;&gt;"",F$1,"NA"),'MITRE ATT&amp;CK Mappings'!$F882))),ISNUMBER(SEARCH(IF(F$2&lt;&gt;"",F$2,"NA"),'MITRE ATT&amp;CK Mappings'!$G882))),ISNUMBER(SEARCH(IF(F$2&lt;&gt;"",F$2,"NA"),'MITRE ATT&amp;CK Mappings'!$H882))),ISNUMBER(SEARCH(IF(F$3&lt;&gt;"",F$3,"NA"),'MITRE ATT&amp;CK Mappings'!$I882))),ISNUMBER(SEARCH(IF(F$3&lt;&gt;"",F$3,"NA"),'MITRE ATT&amp;CK Mappings'!$J882))), 'MITRE ATT&amp;CK Mappings'!$B882,"")</f>
        <v/>
      </c>
      <c r="G886" s="26" t="str">
        <f>IF(OR(OR(OR(OR(OR(ISNUMBER(SEARCH(IF(G$1&lt;&gt;"",G$1,"NA"),'MITRE ATT&amp;CK Mappings'!$E882)),ISNUMBER(SEARCH(IF(G$1&lt;&gt;"",G$1,"NA"),'MITRE ATT&amp;CK Mappings'!$F882))),ISNUMBER(SEARCH(IF(G$2&lt;&gt;"",G$2,"NA"),'MITRE ATT&amp;CK Mappings'!$G882))),ISNUMBER(SEARCH(IF(G$2&lt;&gt;"",G$2,"NA"),'MITRE ATT&amp;CK Mappings'!$H882))),ISNUMBER(SEARCH(IF(G$3&lt;&gt;"",G$3,"NA"),'MITRE ATT&amp;CK Mappings'!$I882))),ISNUMBER(SEARCH(IF(G$3&lt;&gt;"",G$3,"NA"),'MITRE ATT&amp;CK Mappings'!$J882))), 'MITRE ATT&amp;CK Mappings'!$B882,"")</f>
        <v/>
      </c>
      <c r="H886" s="26" t="str">
        <f>IF(OR(OR(OR(OR(OR(ISNUMBER(SEARCH(IF(H$1&lt;&gt;"",H$1,"NA"),'MITRE ATT&amp;CK Mappings'!$E882)),ISNUMBER(SEARCH(IF(H$1&lt;&gt;"",H$1,"NA"),'MITRE ATT&amp;CK Mappings'!$F882))),ISNUMBER(SEARCH(IF(H$2&lt;&gt;"",H$2,"NA"),'MITRE ATT&amp;CK Mappings'!$G882))),ISNUMBER(SEARCH(IF(H$2&lt;&gt;"",H$2,"NA"),'MITRE ATT&amp;CK Mappings'!$H882))),ISNUMBER(SEARCH(IF(H$3&lt;&gt;"",H$3,"NA"),'MITRE ATT&amp;CK Mappings'!$I882))),ISNUMBER(SEARCH(IF(H$3&lt;&gt;"",H$3,"NA"),'MITRE ATT&amp;CK Mappings'!$J882))), 'MITRE ATT&amp;CK Mappings'!$B882,"")</f>
        <v/>
      </c>
      <c r="I886" s="26" t="str">
        <f>IF(OR(OR(OR(OR(OR(ISNUMBER(SEARCH(IF(I$1&lt;&gt;"",I$1,"NA"),'MITRE ATT&amp;CK Mappings'!$E882)),ISNUMBER(SEARCH(IF(I$1&lt;&gt;"",I$1,"NA"),'MITRE ATT&amp;CK Mappings'!$F882))),ISNUMBER(SEARCH(IF(I$2&lt;&gt;"",I$2,"NA"),'MITRE ATT&amp;CK Mappings'!$G882))),ISNUMBER(SEARCH(IF(I$2&lt;&gt;"",I$2,"NA"),'MITRE ATT&amp;CK Mappings'!$H882))),ISNUMBER(SEARCH(IF(I$3&lt;&gt;"",I$3,"NA"),'MITRE ATT&amp;CK Mappings'!$I882))),ISNUMBER(SEARCH(IF(I$3&lt;&gt;"",I$3,"NA"),'MITRE ATT&amp;CK Mappings'!$J882))), 'MITRE ATT&amp;CK Mappings'!$B882,"")</f>
        <v/>
      </c>
      <c r="J886" s="26" t="str">
        <f>IF(OR(OR(OR(OR(OR(ISNUMBER(SEARCH(IF(J$1&lt;&gt;"",J$1,"NA"),'MITRE ATT&amp;CK Mappings'!$E882)),ISNUMBER(SEARCH(IF(J$1&lt;&gt;"",J$1,"NA"),'MITRE ATT&amp;CK Mappings'!$F882))),ISNUMBER(SEARCH(IF(J$2&lt;&gt;"",J$2,"NA"),'MITRE ATT&amp;CK Mappings'!$G882))),ISNUMBER(SEARCH(IF(J$2&lt;&gt;"",J$2,"NA"),'MITRE ATT&amp;CK Mappings'!$H882))),ISNUMBER(SEARCH(IF(J$3&lt;&gt;"",J$3,"NA"),'MITRE ATT&amp;CK Mappings'!$I882))),ISNUMBER(SEARCH(IF(J$3&lt;&gt;"",J$3,"NA"),'MITRE ATT&amp;CK Mappings'!$J882))), 'MITRE ATT&amp;CK Mappings'!$B882,"")</f>
        <v/>
      </c>
      <c r="K886" s="26" t="str">
        <f>IF(OR(OR(OR(OR(OR(ISNUMBER(SEARCH(IF(K$1&lt;&gt;"",K$1,"NA"),'MITRE ATT&amp;CK Mappings'!$E882)),ISNUMBER(SEARCH(IF(K$1&lt;&gt;"",K$1,"NA"),'MITRE ATT&amp;CK Mappings'!$F882))),ISNUMBER(SEARCH(IF(K$2&lt;&gt;"",K$2,"NA"),'MITRE ATT&amp;CK Mappings'!$G882))),ISNUMBER(SEARCH(IF(K$2&lt;&gt;"",K$2,"NA"),'MITRE ATT&amp;CK Mappings'!$H882))),ISNUMBER(SEARCH(IF(K$3&lt;&gt;"",K$3,"NA"),'MITRE ATT&amp;CK Mappings'!$I882))),ISNUMBER(SEARCH(IF(K$3&lt;&gt;"",K$3,"NA"),'MITRE ATT&amp;CK Mappings'!$J882))), 'MITRE ATT&amp;CK Mappings'!$B882,"")</f>
        <v/>
      </c>
      <c r="L886" s="26" t="str">
        <f>IF('MITRE ATT&amp;CK Mappings'!D882 &lt;&gt;"",'MITRE ATT&amp;CK Mappings'!D882,"" )</f>
        <v/>
      </c>
    </row>
    <row r="887" spans="1:12" x14ac:dyDescent="0.25">
      <c r="A887" s="27" t="str">
        <f>IF(COUNTIF(B887:K887,"="&amp;'MITRE ATT&amp;CK Mappings'!B883)&gt;0,'MITRE ATT&amp;CK Mappings'!B883,"")</f>
        <v/>
      </c>
      <c r="B887" s="27" t="str">
        <f>IF(OR(OR(OR(OR(OR(ISNUMBER(SEARCH(IF(B$1&lt;&gt;"",B$1,"NA"),'MITRE ATT&amp;CK Mappings'!$E883)),ISNUMBER(SEARCH(IF(B$1&lt;&gt;"",B$1,"NA"),'MITRE ATT&amp;CK Mappings'!$F883))),ISNUMBER(SEARCH(IF(B$2&lt;&gt;"",B$2,"NA"),'MITRE ATT&amp;CK Mappings'!$G883))),ISNUMBER(SEARCH(IF(B$2&lt;&gt;"",B$2,"NA"),'MITRE ATT&amp;CK Mappings'!$H883))),ISNUMBER(SEARCH(IF(B$3&lt;&gt;"",B$3,"NA"),'MITRE ATT&amp;CK Mappings'!$I883))),ISNUMBER(SEARCH(IF(B$3&lt;&gt;"",B$3,"NA"),'MITRE ATT&amp;CK Mappings'!$J883))), 'MITRE ATT&amp;CK Mappings'!$B883,"")</f>
        <v/>
      </c>
      <c r="C887" s="27" t="str">
        <f>IF(OR(OR(OR(OR(OR(ISNUMBER(SEARCH(IF(C$1&lt;&gt;"",C$1,"NA"),'MITRE ATT&amp;CK Mappings'!$E883)),ISNUMBER(SEARCH(IF(C$1&lt;&gt;"",C$1,"NA"),'MITRE ATT&amp;CK Mappings'!$F883))),ISNUMBER(SEARCH(IF(C$2&lt;&gt;"",C$2,"NA"),'MITRE ATT&amp;CK Mappings'!$G883))),ISNUMBER(SEARCH(IF(C$2&lt;&gt;"",C$2,"NA"),'MITRE ATT&amp;CK Mappings'!$H883))),ISNUMBER(SEARCH(IF(C$3&lt;&gt;"",C$3,"NA"),'MITRE ATT&amp;CK Mappings'!$I883))),ISNUMBER(SEARCH(IF(C$3&lt;&gt;"",C$3,"NA"),'MITRE ATT&amp;CK Mappings'!$J883))), 'MITRE ATT&amp;CK Mappings'!$B883,"")</f>
        <v/>
      </c>
      <c r="D887" s="27" t="str">
        <f>IF(OR(OR(OR(OR(OR(ISNUMBER(SEARCH(IF(D$1&lt;&gt;"",D$1,"NA"),'MITRE ATT&amp;CK Mappings'!$E883)),ISNUMBER(SEARCH(IF(D$1&lt;&gt;"",D$1,"NA"),'MITRE ATT&amp;CK Mappings'!$F883))),ISNUMBER(SEARCH(IF(D$2&lt;&gt;"",D$2,"NA"),'MITRE ATT&amp;CK Mappings'!$G883))),ISNUMBER(SEARCH(IF(D$2&lt;&gt;"",D$2,"NA"),'MITRE ATT&amp;CK Mappings'!$H883))),ISNUMBER(SEARCH(IF(D$3&lt;&gt;"",D$3,"NA"),'MITRE ATT&amp;CK Mappings'!$I883))),ISNUMBER(SEARCH(IF(D$3&lt;&gt;"",D$3,"NA"),'MITRE ATT&amp;CK Mappings'!$J883))), 'MITRE ATT&amp;CK Mappings'!$B883,"")</f>
        <v/>
      </c>
      <c r="E887" s="27" t="str">
        <f>IF(OR(OR(OR(OR(OR(ISNUMBER(SEARCH(IF(E$1&lt;&gt;"",E$1,"NA"),'MITRE ATT&amp;CK Mappings'!$E883)),ISNUMBER(SEARCH(IF(E$1&lt;&gt;"",E$1,"NA"),'MITRE ATT&amp;CK Mappings'!$F883))),ISNUMBER(SEARCH(IF(E$2&lt;&gt;"",E$2,"NA"),'MITRE ATT&amp;CK Mappings'!$G883))),ISNUMBER(SEARCH(IF(E$2&lt;&gt;"",E$2,"NA"),'MITRE ATT&amp;CK Mappings'!$H883))),ISNUMBER(SEARCH(IF(E$3&lt;&gt;"",E$3,"NA"),'MITRE ATT&amp;CK Mappings'!$I883))),ISNUMBER(SEARCH(IF(E$3&lt;&gt;"",E$3,"NA"),'MITRE ATT&amp;CK Mappings'!$J883))), 'MITRE ATT&amp;CK Mappings'!$B883,"")</f>
        <v/>
      </c>
      <c r="F887" s="27" t="str">
        <f>IF(OR(OR(OR(OR(OR(ISNUMBER(SEARCH(IF(F$1&lt;&gt;"",F$1,"NA"),'MITRE ATT&amp;CK Mappings'!$E883)),ISNUMBER(SEARCH(IF(F$1&lt;&gt;"",F$1,"NA"),'MITRE ATT&amp;CK Mappings'!$F883))),ISNUMBER(SEARCH(IF(F$2&lt;&gt;"",F$2,"NA"),'MITRE ATT&amp;CK Mappings'!$G883))),ISNUMBER(SEARCH(IF(F$2&lt;&gt;"",F$2,"NA"),'MITRE ATT&amp;CK Mappings'!$H883))),ISNUMBER(SEARCH(IF(F$3&lt;&gt;"",F$3,"NA"),'MITRE ATT&amp;CK Mappings'!$I883))),ISNUMBER(SEARCH(IF(F$3&lt;&gt;"",F$3,"NA"),'MITRE ATT&amp;CK Mappings'!$J883))), 'MITRE ATT&amp;CK Mappings'!$B883,"")</f>
        <v/>
      </c>
      <c r="G887" s="27" t="str">
        <f>IF(OR(OR(OR(OR(OR(ISNUMBER(SEARCH(IF(G$1&lt;&gt;"",G$1,"NA"),'MITRE ATT&amp;CK Mappings'!$E883)),ISNUMBER(SEARCH(IF(G$1&lt;&gt;"",G$1,"NA"),'MITRE ATT&amp;CK Mappings'!$F883))),ISNUMBER(SEARCH(IF(G$2&lt;&gt;"",G$2,"NA"),'MITRE ATT&amp;CK Mappings'!$G883))),ISNUMBER(SEARCH(IF(G$2&lt;&gt;"",G$2,"NA"),'MITRE ATT&amp;CK Mappings'!$H883))),ISNUMBER(SEARCH(IF(G$3&lt;&gt;"",G$3,"NA"),'MITRE ATT&amp;CK Mappings'!$I883))),ISNUMBER(SEARCH(IF(G$3&lt;&gt;"",G$3,"NA"),'MITRE ATT&amp;CK Mappings'!$J883))), 'MITRE ATT&amp;CK Mappings'!$B883,"")</f>
        <v/>
      </c>
      <c r="H887" s="27" t="str">
        <f>IF(OR(OR(OR(OR(OR(ISNUMBER(SEARCH(IF(H$1&lt;&gt;"",H$1,"NA"),'MITRE ATT&amp;CK Mappings'!$E883)),ISNUMBER(SEARCH(IF(H$1&lt;&gt;"",H$1,"NA"),'MITRE ATT&amp;CK Mappings'!$F883))),ISNUMBER(SEARCH(IF(H$2&lt;&gt;"",H$2,"NA"),'MITRE ATT&amp;CK Mappings'!$G883))),ISNUMBER(SEARCH(IF(H$2&lt;&gt;"",H$2,"NA"),'MITRE ATT&amp;CK Mappings'!$H883))),ISNUMBER(SEARCH(IF(H$3&lt;&gt;"",H$3,"NA"),'MITRE ATT&amp;CK Mappings'!$I883))),ISNUMBER(SEARCH(IF(H$3&lt;&gt;"",H$3,"NA"),'MITRE ATT&amp;CK Mappings'!$J883))), 'MITRE ATT&amp;CK Mappings'!$B883,"")</f>
        <v/>
      </c>
      <c r="I887" s="27" t="str">
        <f>IF(OR(OR(OR(OR(OR(ISNUMBER(SEARCH(IF(I$1&lt;&gt;"",I$1,"NA"),'MITRE ATT&amp;CK Mappings'!$E883)),ISNUMBER(SEARCH(IF(I$1&lt;&gt;"",I$1,"NA"),'MITRE ATT&amp;CK Mappings'!$F883))),ISNUMBER(SEARCH(IF(I$2&lt;&gt;"",I$2,"NA"),'MITRE ATT&amp;CK Mappings'!$G883))),ISNUMBER(SEARCH(IF(I$2&lt;&gt;"",I$2,"NA"),'MITRE ATT&amp;CK Mappings'!$H883))),ISNUMBER(SEARCH(IF(I$3&lt;&gt;"",I$3,"NA"),'MITRE ATT&amp;CK Mappings'!$I883))),ISNUMBER(SEARCH(IF(I$3&lt;&gt;"",I$3,"NA"),'MITRE ATT&amp;CK Mappings'!$J883))), 'MITRE ATT&amp;CK Mappings'!$B883,"")</f>
        <v/>
      </c>
      <c r="J887" s="27" t="str">
        <f>IF(OR(OR(OR(OR(OR(ISNUMBER(SEARCH(IF(J$1&lt;&gt;"",J$1,"NA"),'MITRE ATT&amp;CK Mappings'!$E883)),ISNUMBER(SEARCH(IF(J$1&lt;&gt;"",J$1,"NA"),'MITRE ATT&amp;CK Mappings'!$F883))),ISNUMBER(SEARCH(IF(J$2&lt;&gt;"",J$2,"NA"),'MITRE ATT&amp;CK Mappings'!$G883))),ISNUMBER(SEARCH(IF(J$2&lt;&gt;"",J$2,"NA"),'MITRE ATT&amp;CK Mappings'!$H883))),ISNUMBER(SEARCH(IF(J$3&lt;&gt;"",J$3,"NA"),'MITRE ATT&amp;CK Mappings'!$I883))),ISNUMBER(SEARCH(IF(J$3&lt;&gt;"",J$3,"NA"),'MITRE ATT&amp;CK Mappings'!$J883))), 'MITRE ATT&amp;CK Mappings'!$B883,"")</f>
        <v/>
      </c>
      <c r="K887" s="27" t="str">
        <f>IF(OR(OR(OR(OR(OR(ISNUMBER(SEARCH(IF(K$1&lt;&gt;"",K$1,"NA"),'MITRE ATT&amp;CK Mappings'!$E883)),ISNUMBER(SEARCH(IF(K$1&lt;&gt;"",K$1,"NA"),'MITRE ATT&amp;CK Mappings'!$F883))),ISNUMBER(SEARCH(IF(K$2&lt;&gt;"",K$2,"NA"),'MITRE ATT&amp;CK Mappings'!$G883))),ISNUMBER(SEARCH(IF(K$2&lt;&gt;"",K$2,"NA"),'MITRE ATT&amp;CK Mappings'!$H883))),ISNUMBER(SEARCH(IF(K$3&lt;&gt;"",K$3,"NA"),'MITRE ATT&amp;CK Mappings'!$I883))),ISNUMBER(SEARCH(IF(K$3&lt;&gt;"",K$3,"NA"),'MITRE ATT&amp;CK Mappings'!$J883))), 'MITRE ATT&amp;CK Mappings'!$B883,"")</f>
        <v/>
      </c>
      <c r="L887" s="27" t="str">
        <f>IF('MITRE ATT&amp;CK Mappings'!D883 &lt;&gt;"",'MITRE ATT&amp;CK Mappings'!D883,"" )</f>
        <v/>
      </c>
    </row>
    <row r="888" spans="1:12" x14ac:dyDescent="0.25">
      <c r="A888" s="26" t="str">
        <f>IF(COUNTIF(B888:K888,"="&amp;'MITRE ATT&amp;CK Mappings'!B884)&gt;0,'MITRE ATT&amp;CK Mappings'!B884,"")</f>
        <v/>
      </c>
      <c r="B888" s="26" t="str">
        <f>IF(OR(OR(OR(OR(OR(ISNUMBER(SEARCH(IF(B$1&lt;&gt;"",B$1,"NA"),'MITRE ATT&amp;CK Mappings'!$E884)),ISNUMBER(SEARCH(IF(B$1&lt;&gt;"",B$1,"NA"),'MITRE ATT&amp;CK Mappings'!$F884))),ISNUMBER(SEARCH(IF(B$2&lt;&gt;"",B$2,"NA"),'MITRE ATT&amp;CK Mappings'!$G884))),ISNUMBER(SEARCH(IF(B$2&lt;&gt;"",B$2,"NA"),'MITRE ATT&amp;CK Mappings'!$H884))),ISNUMBER(SEARCH(IF(B$3&lt;&gt;"",B$3,"NA"),'MITRE ATT&amp;CK Mappings'!$I884))),ISNUMBER(SEARCH(IF(B$3&lt;&gt;"",B$3,"NA"),'MITRE ATT&amp;CK Mappings'!$J884))), 'MITRE ATT&amp;CK Mappings'!$B884,"")</f>
        <v/>
      </c>
      <c r="C888" s="26" t="str">
        <f>IF(OR(OR(OR(OR(OR(ISNUMBER(SEARCH(IF(C$1&lt;&gt;"",C$1,"NA"),'MITRE ATT&amp;CK Mappings'!$E884)),ISNUMBER(SEARCH(IF(C$1&lt;&gt;"",C$1,"NA"),'MITRE ATT&amp;CK Mappings'!$F884))),ISNUMBER(SEARCH(IF(C$2&lt;&gt;"",C$2,"NA"),'MITRE ATT&amp;CK Mappings'!$G884))),ISNUMBER(SEARCH(IF(C$2&lt;&gt;"",C$2,"NA"),'MITRE ATT&amp;CK Mappings'!$H884))),ISNUMBER(SEARCH(IF(C$3&lt;&gt;"",C$3,"NA"),'MITRE ATT&amp;CK Mappings'!$I884))),ISNUMBER(SEARCH(IF(C$3&lt;&gt;"",C$3,"NA"),'MITRE ATT&amp;CK Mappings'!$J884))), 'MITRE ATT&amp;CK Mappings'!$B884,"")</f>
        <v/>
      </c>
      <c r="D888" s="26" t="str">
        <f>IF(OR(OR(OR(OR(OR(ISNUMBER(SEARCH(IF(D$1&lt;&gt;"",D$1,"NA"),'MITRE ATT&amp;CK Mappings'!$E884)),ISNUMBER(SEARCH(IF(D$1&lt;&gt;"",D$1,"NA"),'MITRE ATT&amp;CK Mappings'!$F884))),ISNUMBER(SEARCH(IF(D$2&lt;&gt;"",D$2,"NA"),'MITRE ATT&amp;CK Mappings'!$G884))),ISNUMBER(SEARCH(IF(D$2&lt;&gt;"",D$2,"NA"),'MITRE ATT&amp;CK Mappings'!$H884))),ISNUMBER(SEARCH(IF(D$3&lt;&gt;"",D$3,"NA"),'MITRE ATT&amp;CK Mappings'!$I884))),ISNUMBER(SEARCH(IF(D$3&lt;&gt;"",D$3,"NA"),'MITRE ATT&amp;CK Mappings'!$J884))), 'MITRE ATT&amp;CK Mappings'!$B884,"")</f>
        <v/>
      </c>
      <c r="E888" s="26" t="str">
        <f>IF(OR(OR(OR(OR(OR(ISNUMBER(SEARCH(IF(E$1&lt;&gt;"",E$1,"NA"),'MITRE ATT&amp;CK Mappings'!$E884)),ISNUMBER(SEARCH(IF(E$1&lt;&gt;"",E$1,"NA"),'MITRE ATT&amp;CK Mappings'!$F884))),ISNUMBER(SEARCH(IF(E$2&lt;&gt;"",E$2,"NA"),'MITRE ATT&amp;CK Mappings'!$G884))),ISNUMBER(SEARCH(IF(E$2&lt;&gt;"",E$2,"NA"),'MITRE ATT&amp;CK Mappings'!$H884))),ISNUMBER(SEARCH(IF(E$3&lt;&gt;"",E$3,"NA"),'MITRE ATT&amp;CK Mappings'!$I884))),ISNUMBER(SEARCH(IF(E$3&lt;&gt;"",E$3,"NA"),'MITRE ATT&amp;CK Mappings'!$J884))), 'MITRE ATT&amp;CK Mappings'!$B884,"")</f>
        <v/>
      </c>
      <c r="F888" s="26" t="str">
        <f>IF(OR(OR(OR(OR(OR(ISNUMBER(SEARCH(IF(F$1&lt;&gt;"",F$1,"NA"),'MITRE ATT&amp;CK Mappings'!$E884)),ISNUMBER(SEARCH(IF(F$1&lt;&gt;"",F$1,"NA"),'MITRE ATT&amp;CK Mappings'!$F884))),ISNUMBER(SEARCH(IF(F$2&lt;&gt;"",F$2,"NA"),'MITRE ATT&amp;CK Mappings'!$G884))),ISNUMBER(SEARCH(IF(F$2&lt;&gt;"",F$2,"NA"),'MITRE ATT&amp;CK Mappings'!$H884))),ISNUMBER(SEARCH(IF(F$3&lt;&gt;"",F$3,"NA"),'MITRE ATT&amp;CK Mappings'!$I884))),ISNUMBER(SEARCH(IF(F$3&lt;&gt;"",F$3,"NA"),'MITRE ATT&amp;CK Mappings'!$J884))), 'MITRE ATT&amp;CK Mappings'!$B884,"")</f>
        <v/>
      </c>
      <c r="G888" s="26" t="str">
        <f>IF(OR(OR(OR(OR(OR(ISNUMBER(SEARCH(IF(G$1&lt;&gt;"",G$1,"NA"),'MITRE ATT&amp;CK Mappings'!$E884)),ISNUMBER(SEARCH(IF(G$1&lt;&gt;"",G$1,"NA"),'MITRE ATT&amp;CK Mappings'!$F884))),ISNUMBER(SEARCH(IF(G$2&lt;&gt;"",G$2,"NA"),'MITRE ATT&amp;CK Mappings'!$G884))),ISNUMBER(SEARCH(IF(G$2&lt;&gt;"",G$2,"NA"),'MITRE ATT&amp;CK Mappings'!$H884))),ISNUMBER(SEARCH(IF(G$3&lt;&gt;"",G$3,"NA"),'MITRE ATT&amp;CK Mappings'!$I884))),ISNUMBER(SEARCH(IF(G$3&lt;&gt;"",G$3,"NA"),'MITRE ATT&amp;CK Mappings'!$J884))), 'MITRE ATT&amp;CK Mappings'!$B884,"")</f>
        <v/>
      </c>
      <c r="H888" s="26" t="str">
        <f>IF(OR(OR(OR(OR(OR(ISNUMBER(SEARCH(IF(H$1&lt;&gt;"",H$1,"NA"),'MITRE ATT&amp;CK Mappings'!$E884)),ISNUMBER(SEARCH(IF(H$1&lt;&gt;"",H$1,"NA"),'MITRE ATT&amp;CK Mappings'!$F884))),ISNUMBER(SEARCH(IF(H$2&lt;&gt;"",H$2,"NA"),'MITRE ATT&amp;CK Mappings'!$G884))),ISNUMBER(SEARCH(IF(H$2&lt;&gt;"",H$2,"NA"),'MITRE ATT&amp;CK Mappings'!$H884))),ISNUMBER(SEARCH(IF(H$3&lt;&gt;"",H$3,"NA"),'MITRE ATT&amp;CK Mappings'!$I884))),ISNUMBER(SEARCH(IF(H$3&lt;&gt;"",H$3,"NA"),'MITRE ATT&amp;CK Mappings'!$J884))), 'MITRE ATT&amp;CK Mappings'!$B884,"")</f>
        <v/>
      </c>
      <c r="I888" s="26" t="str">
        <f>IF(OR(OR(OR(OR(OR(ISNUMBER(SEARCH(IF(I$1&lt;&gt;"",I$1,"NA"),'MITRE ATT&amp;CK Mappings'!$E884)),ISNUMBER(SEARCH(IF(I$1&lt;&gt;"",I$1,"NA"),'MITRE ATT&amp;CK Mappings'!$F884))),ISNUMBER(SEARCH(IF(I$2&lt;&gt;"",I$2,"NA"),'MITRE ATT&amp;CK Mappings'!$G884))),ISNUMBER(SEARCH(IF(I$2&lt;&gt;"",I$2,"NA"),'MITRE ATT&amp;CK Mappings'!$H884))),ISNUMBER(SEARCH(IF(I$3&lt;&gt;"",I$3,"NA"),'MITRE ATT&amp;CK Mappings'!$I884))),ISNUMBER(SEARCH(IF(I$3&lt;&gt;"",I$3,"NA"),'MITRE ATT&amp;CK Mappings'!$J884))), 'MITRE ATT&amp;CK Mappings'!$B884,"")</f>
        <v/>
      </c>
      <c r="J888" s="26" t="str">
        <f>IF(OR(OR(OR(OR(OR(ISNUMBER(SEARCH(IF(J$1&lt;&gt;"",J$1,"NA"),'MITRE ATT&amp;CK Mappings'!$E884)),ISNUMBER(SEARCH(IF(J$1&lt;&gt;"",J$1,"NA"),'MITRE ATT&amp;CK Mappings'!$F884))),ISNUMBER(SEARCH(IF(J$2&lt;&gt;"",J$2,"NA"),'MITRE ATT&amp;CK Mappings'!$G884))),ISNUMBER(SEARCH(IF(J$2&lt;&gt;"",J$2,"NA"),'MITRE ATT&amp;CK Mappings'!$H884))),ISNUMBER(SEARCH(IF(J$3&lt;&gt;"",J$3,"NA"),'MITRE ATT&amp;CK Mappings'!$I884))),ISNUMBER(SEARCH(IF(J$3&lt;&gt;"",J$3,"NA"),'MITRE ATT&amp;CK Mappings'!$J884))), 'MITRE ATT&amp;CK Mappings'!$B884,"")</f>
        <v/>
      </c>
      <c r="K888" s="26" t="str">
        <f>IF(OR(OR(OR(OR(OR(ISNUMBER(SEARCH(IF(K$1&lt;&gt;"",K$1,"NA"),'MITRE ATT&amp;CK Mappings'!$E884)),ISNUMBER(SEARCH(IF(K$1&lt;&gt;"",K$1,"NA"),'MITRE ATT&amp;CK Mappings'!$F884))),ISNUMBER(SEARCH(IF(K$2&lt;&gt;"",K$2,"NA"),'MITRE ATT&amp;CK Mappings'!$G884))),ISNUMBER(SEARCH(IF(K$2&lt;&gt;"",K$2,"NA"),'MITRE ATT&amp;CK Mappings'!$H884))),ISNUMBER(SEARCH(IF(K$3&lt;&gt;"",K$3,"NA"),'MITRE ATT&amp;CK Mappings'!$I884))),ISNUMBER(SEARCH(IF(K$3&lt;&gt;"",K$3,"NA"),'MITRE ATT&amp;CK Mappings'!$J884))), 'MITRE ATT&amp;CK Mappings'!$B884,"")</f>
        <v/>
      </c>
      <c r="L888" s="26" t="str">
        <f>IF('MITRE ATT&amp;CK Mappings'!D884 &lt;&gt;"",'MITRE ATT&amp;CK Mappings'!D884,"" )</f>
        <v/>
      </c>
    </row>
    <row r="889" spans="1:12" x14ac:dyDescent="0.25">
      <c r="A889" s="27" t="str">
        <f>IF(COUNTIF(B889:K889,"="&amp;'MITRE ATT&amp;CK Mappings'!B885)&gt;0,'MITRE ATT&amp;CK Mappings'!B885,"")</f>
        <v/>
      </c>
      <c r="B889" s="27" t="str">
        <f>IF(OR(OR(OR(OR(OR(ISNUMBER(SEARCH(IF(B$1&lt;&gt;"",B$1,"NA"),'MITRE ATT&amp;CK Mappings'!$E885)),ISNUMBER(SEARCH(IF(B$1&lt;&gt;"",B$1,"NA"),'MITRE ATT&amp;CK Mappings'!$F885))),ISNUMBER(SEARCH(IF(B$2&lt;&gt;"",B$2,"NA"),'MITRE ATT&amp;CK Mappings'!$G885))),ISNUMBER(SEARCH(IF(B$2&lt;&gt;"",B$2,"NA"),'MITRE ATT&amp;CK Mappings'!$H885))),ISNUMBER(SEARCH(IF(B$3&lt;&gt;"",B$3,"NA"),'MITRE ATT&amp;CK Mappings'!$I885))),ISNUMBER(SEARCH(IF(B$3&lt;&gt;"",B$3,"NA"),'MITRE ATT&amp;CK Mappings'!$J885))), 'MITRE ATT&amp;CK Mappings'!$B885,"")</f>
        <v/>
      </c>
      <c r="C889" s="27" t="str">
        <f>IF(OR(OR(OR(OR(OR(ISNUMBER(SEARCH(IF(C$1&lt;&gt;"",C$1,"NA"),'MITRE ATT&amp;CK Mappings'!$E885)),ISNUMBER(SEARCH(IF(C$1&lt;&gt;"",C$1,"NA"),'MITRE ATT&amp;CK Mappings'!$F885))),ISNUMBER(SEARCH(IF(C$2&lt;&gt;"",C$2,"NA"),'MITRE ATT&amp;CK Mappings'!$G885))),ISNUMBER(SEARCH(IF(C$2&lt;&gt;"",C$2,"NA"),'MITRE ATT&amp;CK Mappings'!$H885))),ISNUMBER(SEARCH(IF(C$3&lt;&gt;"",C$3,"NA"),'MITRE ATT&amp;CK Mappings'!$I885))),ISNUMBER(SEARCH(IF(C$3&lt;&gt;"",C$3,"NA"),'MITRE ATT&amp;CK Mappings'!$J885))), 'MITRE ATT&amp;CK Mappings'!$B885,"")</f>
        <v/>
      </c>
      <c r="D889" s="27" t="str">
        <f>IF(OR(OR(OR(OR(OR(ISNUMBER(SEARCH(IF(D$1&lt;&gt;"",D$1,"NA"),'MITRE ATT&amp;CK Mappings'!$E885)),ISNUMBER(SEARCH(IF(D$1&lt;&gt;"",D$1,"NA"),'MITRE ATT&amp;CK Mappings'!$F885))),ISNUMBER(SEARCH(IF(D$2&lt;&gt;"",D$2,"NA"),'MITRE ATT&amp;CK Mappings'!$G885))),ISNUMBER(SEARCH(IF(D$2&lt;&gt;"",D$2,"NA"),'MITRE ATT&amp;CK Mappings'!$H885))),ISNUMBER(SEARCH(IF(D$3&lt;&gt;"",D$3,"NA"),'MITRE ATT&amp;CK Mappings'!$I885))),ISNUMBER(SEARCH(IF(D$3&lt;&gt;"",D$3,"NA"),'MITRE ATT&amp;CK Mappings'!$J885))), 'MITRE ATT&amp;CK Mappings'!$B885,"")</f>
        <v/>
      </c>
      <c r="E889" s="27" t="str">
        <f>IF(OR(OR(OR(OR(OR(ISNUMBER(SEARCH(IF(E$1&lt;&gt;"",E$1,"NA"),'MITRE ATT&amp;CK Mappings'!$E885)),ISNUMBER(SEARCH(IF(E$1&lt;&gt;"",E$1,"NA"),'MITRE ATT&amp;CK Mappings'!$F885))),ISNUMBER(SEARCH(IF(E$2&lt;&gt;"",E$2,"NA"),'MITRE ATT&amp;CK Mappings'!$G885))),ISNUMBER(SEARCH(IF(E$2&lt;&gt;"",E$2,"NA"),'MITRE ATT&amp;CK Mappings'!$H885))),ISNUMBER(SEARCH(IF(E$3&lt;&gt;"",E$3,"NA"),'MITRE ATT&amp;CK Mappings'!$I885))),ISNUMBER(SEARCH(IF(E$3&lt;&gt;"",E$3,"NA"),'MITRE ATT&amp;CK Mappings'!$J885))), 'MITRE ATT&amp;CK Mappings'!$B885,"")</f>
        <v/>
      </c>
      <c r="F889" s="27" t="str">
        <f>IF(OR(OR(OR(OR(OR(ISNUMBER(SEARCH(IF(F$1&lt;&gt;"",F$1,"NA"),'MITRE ATT&amp;CK Mappings'!$E885)),ISNUMBER(SEARCH(IF(F$1&lt;&gt;"",F$1,"NA"),'MITRE ATT&amp;CK Mappings'!$F885))),ISNUMBER(SEARCH(IF(F$2&lt;&gt;"",F$2,"NA"),'MITRE ATT&amp;CK Mappings'!$G885))),ISNUMBER(SEARCH(IF(F$2&lt;&gt;"",F$2,"NA"),'MITRE ATT&amp;CK Mappings'!$H885))),ISNUMBER(SEARCH(IF(F$3&lt;&gt;"",F$3,"NA"),'MITRE ATT&amp;CK Mappings'!$I885))),ISNUMBER(SEARCH(IF(F$3&lt;&gt;"",F$3,"NA"),'MITRE ATT&amp;CK Mappings'!$J885))), 'MITRE ATT&amp;CK Mappings'!$B885,"")</f>
        <v/>
      </c>
      <c r="G889" s="27" t="str">
        <f>IF(OR(OR(OR(OR(OR(ISNUMBER(SEARCH(IF(G$1&lt;&gt;"",G$1,"NA"),'MITRE ATT&amp;CK Mappings'!$E885)),ISNUMBER(SEARCH(IF(G$1&lt;&gt;"",G$1,"NA"),'MITRE ATT&amp;CK Mappings'!$F885))),ISNUMBER(SEARCH(IF(G$2&lt;&gt;"",G$2,"NA"),'MITRE ATT&amp;CK Mappings'!$G885))),ISNUMBER(SEARCH(IF(G$2&lt;&gt;"",G$2,"NA"),'MITRE ATT&amp;CK Mappings'!$H885))),ISNUMBER(SEARCH(IF(G$3&lt;&gt;"",G$3,"NA"),'MITRE ATT&amp;CK Mappings'!$I885))),ISNUMBER(SEARCH(IF(G$3&lt;&gt;"",G$3,"NA"),'MITRE ATT&amp;CK Mappings'!$J885))), 'MITRE ATT&amp;CK Mappings'!$B885,"")</f>
        <v/>
      </c>
      <c r="H889" s="27" t="str">
        <f>IF(OR(OR(OR(OR(OR(ISNUMBER(SEARCH(IF(H$1&lt;&gt;"",H$1,"NA"),'MITRE ATT&amp;CK Mappings'!$E885)),ISNUMBER(SEARCH(IF(H$1&lt;&gt;"",H$1,"NA"),'MITRE ATT&amp;CK Mappings'!$F885))),ISNUMBER(SEARCH(IF(H$2&lt;&gt;"",H$2,"NA"),'MITRE ATT&amp;CK Mappings'!$G885))),ISNUMBER(SEARCH(IF(H$2&lt;&gt;"",H$2,"NA"),'MITRE ATT&amp;CK Mappings'!$H885))),ISNUMBER(SEARCH(IF(H$3&lt;&gt;"",H$3,"NA"),'MITRE ATT&amp;CK Mappings'!$I885))),ISNUMBER(SEARCH(IF(H$3&lt;&gt;"",H$3,"NA"),'MITRE ATT&amp;CK Mappings'!$J885))), 'MITRE ATT&amp;CK Mappings'!$B885,"")</f>
        <v/>
      </c>
      <c r="I889" s="27" t="str">
        <f>IF(OR(OR(OR(OR(OR(ISNUMBER(SEARCH(IF(I$1&lt;&gt;"",I$1,"NA"),'MITRE ATT&amp;CK Mappings'!$E885)),ISNUMBER(SEARCH(IF(I$1&lt;&gt;"",I$1,"NA"),'MITRE ATT&amp;CK Mappings'!$F885))),ISNUMBER(SEARCH(IF(I$2&lt;&gt;"",I$2,"NA"),'MITRE ATT&amp;CK Mappings'!$G885))),ISNUMBER(SEARCH(IF(I$2&lt;&gt;"",I$2,"NA"),'MITRE ATT&amp;CK Mappings'!$H885))),ISNUMBER(SEARCH(IF(I$3&lt;&gt;"",I$3,"NA"),'MITRE ATT&amp;CK Mappings'!$I885))),ISNUMBER(SEARCH(IF(I$3&lt;&gt;"",I$3,"NA"),'MITRE ATT&amp;CK Mappings'!$J885))), 'MITRE ATT&amp;CK Mappings'!$B885,"")</f>
        <v/>
      </c>
      <c r="J889" s="27" t="str">
        <f>IF(OR(OR(OR(OR(OR(ISNUMBER(SEARCH(IF(J$1&lt;&gt;"",J$1,"NA"),'MITRE ATT&amp;CK Mappings'!$E885)),ISNUMBER(SEARCH(IF(J$1&lt;&gt;"",J$1,"NA"),'MITRE ATT&amp;CK Mappings'!$F885))),ISNUMBER(SEARCH(IF(J$2&lt;&gt;"",J$2,"NA"),'MITRE ATT&amp;CK Mappings'!$G885))),ISNUMBER(SEARCH(IF(J$2&lt;&gt;"",J$2,"NA"),'MITRE ATT&amp;CK Mappings'!$H885))),ISNUMBER(SEARCH(IF(J$3&lt;&gt;"",J$3,"NA"),'MITRE ATT&amp;CK Mappings'!$I885))),ISNUMBER(SEARCH(IF(J$3&lt;&gt;"",J$3,"NA"),'MITRE ATT&amp;CK Mappings'!$J885))), 'MITRE ATT&amp;CK Mappings'!$B885,"")</f>
        <v/>
      </c>
      <c r="K889" s="27" t="str">
        <f>IF(OR(OR(OR(OR(OR(ISNUMBER(SEARCH(IF(K$1&lt;&gt;"",K$1,"NA"),'MITRE ATT&amp;CK Mappings'!$E885)),ISNUMBER(SEARCH(IF(K$1&lt;&gt;"",K$1,"NA"),'MITRE ATT&amp;CK Mappings'!$F885))),ISNUMBER(SEARCH(IF(K$2&lt;&gt;"",K$2,"NA"),'MITRE ATT&amp;CK Mappings'!$G885))),ISNUMBER(SEARCH(IF(K$2&lt;&gt;"",K$2,"NA"),'MITRE ATT&amp;CK Mappings'!$H885))),ISNUMBER(SEARCH(IF(K$3&lt;&gt;"",K$3,"NA"),'MITRE ATT&amp;CK Mappings'!$I885))),ISNUMBER(SEARCH(IF(K$3&lt;&gt;"",K$3,"NA"),'MITRE ATT&amp;CK Mappings'!$J885))), 'MITRE ATT&amp;CK Mappings'!$B885,"")</f>
        <v/>
      </c>
      <c r="L889" s="27" t="str">
        <f>IF('MITRE ATT&amp;CK Mappings'!D885 &lt;&gt;"",'MITRE ATT&amp;CK Mappings'!D885,"" )</f>
        <v/>
      </c>
    </row>
    <row r="890" spans="1:12" x14ac:dyDescent="0.25">
      <c r="A890" s="26" t="str">
        <f>IF(COUNTIF(B890:K890,"="&amp;'MITRE ATT&amp;CK Mappings'!B886)&gt;0,'MITRE ATT&amp;CK Mappings'!B886,"")</f>
        <v/>
      </c>
      <c r="B890" s="26" t="str">
        <f>IF(OR(OR(OR(OR(OR(ISNUMBER(SEARCH(IF(B$1&lt;&gt;"",B$1,"NA"),'MITRE ATT&amp;CK Mappings'!$E886)),ISNUMBER(SEARCH(IF(B$1&lt;&gt;"",B$1,"NA"),'MITRE ATT&amp;CK Mappings'!$F886))),ISNUMBER(SEARCH(IF(B$2&lt;&gt;"",B$2,"NA"),'MITRE ATT&amp;CK Mappings'!$G886))),ISNUMBER(SEARCH(IF(B$2&lt;&gt;"",B$2,"NA"),'MITRE ATT&amp;CK Mappings'!$H886))),ISNUMBER(SEARCH(IF(B$3&lt;&gt;"",B$3,"NA"),'MITRE ATT&amp;CK Mappings'!$I886))),ISNUMBER(SEARCH(IF(B$3&lt;&gt;"",B$3,"NA"),'MITRE ATT&amp;CK Mappings'!$J886))), 'MITRE ATT&amp;CK Mappings'!$B886,"")</f>
        <v/>
      </c>
      <c r="C890" s="26" t="str">
        <f>IF(OR(OR(OR(OR(OR(ISNUMBER(SEARCH(IF(C$1&lt;&gt;"",C$1,"NA"),'MITRE ATT&amp;CK Mappings'!$E886)),ISNUMBER(SEARCH(IF(C$1&lt;&gt;"",C$1,"NA"),'MITRE ATT&amp;CK Mappings'!$F886))),ISNUMBER(SEARCH(IF(C$2&lt;&gt;"",C$2,"NA"),'MITRE ATT&amp;CK Mappings'!$G886))),ISNUMBER(SEARCH(IF(C$2&lt;&gt;"",C$2,"NA"),'MITRE ATT&amp;CK Mappings'!$H886))),ISNUMBER(SEARCH(IF(C$3&lt;&gt;"",C$3,"NA"),'MITRE ATT&amp;CK Mappings'!$I886))),ISNUMBER(SEARCH(IF(C$3&lt;&gt;"",C$3,"NA"),'MITRE ATT&amp;CK Mappings'!$J886))), 'MITRE ATT&amp;CK Mappings'!$B886,"")</f>
        <v/>
      </c>
      <c r="D890" s="26" t="str">
        <f>IF(OR(OR(OR(OR(OR(ISNUMBER(SEARCH(IF(D$1&lt;&gt;"",D$1,"NA"),'MITRE ATT&amp;CK Mappings'!$E886)),ISNUMBER(SEARCH(IF(D$1&lt;&gt;"",D$1,"NA"),'MITRE ATT&amp;CK Mappings'!$F886))),ISNUMBER(SEARCH(IF(D$2&lt;&gt;"",D$2,"NA"),'MITRE ATT&amp;CK Mappings'!$G886))),ISNUMBER(SEARCH(IF(D$2&lt;&gt;"",D$2,"NA"),'MITRE ATT&amp;CK Mappings'!$H886))),ISNUMBER(SEARCH(IF(D$3&lt;&gt;"",D$3,"NA"),'MITRE ATT&amp;CK Mappings'!$I886))),ISNUMBER(SEARCH(IF(D$3&lt;&gt;"",D$3,"NA"),'MITRE ATT&amp;CK Mappings'!$J886))), 'MITRE ATT&amp;CK Mappings'!$B886,"")</f>
        <v/>
      </c>
      <c r="E890" s="26" t="str">
        <f>IF(OR(OR(OR(OR(OR(ISNUMBER(SEARCH(IF(E$1&lt;&gt;"",E$1,"NA"),'MITRE ATT&amp;CK Mappings'!$E886)),ISNUMBER(SEARCH(IF(E$1&lt;&gt;"",E$1,"NA"),'MITRE ATT&amp;CK Mappings'!$F886))),ISNUMBER(SEARCH(IF(E$2&lt;&gt;"",E$2,"NA"),'MITRE ATT&amp;CK Mappings'!$G886))),ISNUMBER(SEARCH(IF(E$2&lt;&gt;"",E$2,"NA"),'MITRE ATT&amp;CK Mappings'!$H886))),ISNUMBER(SEARCH(IF(E$3&lt;&gt;"",E$3,"NA"),'MITRE ATT&amp;CK Mappings'!$I886))),ISNUMBER(SEARCH(IF(E$3&lt;&gt;"",E$3,"NA"),'MITRE ATT&amp;CK Mappings'!$J886))), 'MITRE ATT&amp;CK Mappings'!$B886,"")</f>
        <v/>
      </c>
      <c r="F890" s="26" t="str">
        <f>IF(OR(OR(OR(OR(OR(ISNUMBER(SEARCH(IF(F$1&lt;&gt;"",F$1,"NA"),'MITRE ATT&amp;CK Mappings'!$E886)),ISNUMBER(SEARCH(IF(F$1&lt;&gt;"",F$1,"NA"),'MITRE ATT&amp;CK Mappings'!$F886))),ISNUMBER(SEARCH(IF(F$2&lt;&gt;"",F$2,"NA"),'MITRE ATT&amp;CK Mappings'!$G886))),ISNUMBER(SEARCH(IF(F$2&lt;&gt;"",F$2,"NA"),'MITRE ATT&amp;CK Mappings'!$H886))),ISNUMBER(SEARCH(IF(F$3&lt;&gt;"",F$3,"NA"),'MITRE ATT&amp;CK Mappings'!$I886))),ISNUMBER(SEARCH(IF(F$3&lt;&gt;"",F$3,"NA"),'MITRE ATT&amp;CK Mappings'!$J886))), 'MITRE ATT&amp;CK Mappings'!$B886,"")</f>
        <v/>
      </c>
      <c r="G890" s="26" t="str">
        <f>IF(OR(OR(OR(OR(OR(ISNUMBER(SEARCH(IF(G$1&lt;&gt;"",G$1,"NA"),'MITRE ATT&amp;CK Mappings'!$E886)),ISNUMBER(SEARCH(IF(G$1&lt;&gt;"",G$1,"NA"),'MITRE ATT&amp;CK Mappings'!$F886))),ISNUMBER(SEARCH(IF(G$2&lt;&gt;"",G$2,"NA"),'MITRE ATT&amp;CK Mappings'!$G886))),ISNUMBER(SEARCH(IF(G$2&lt;&gt;"",G$2,"NA"),'MITRE ATT&amp;CK Mappings'!$H886))),ISNUMBER(SEARCH(IF(G$3&lt;&gt;"",G$3,"NA"),'MITRE ATT&amp;CK Mappings'!$I886))),ISNUMBER(SEARCH(IF(G$3&lt;&gt;"",G$3,"NA"),'MITRE ATT&amp;CK Mappings'!$J886))), 'MITRE ATT&amp;CK Mappings'!$B886,"")</f>
        <v/>
      </c>
      <c r="H890" s="26" t="str">
        <f>IF(OR(OR(OR(OR(OR(ISNUMBER(SEARCH(IF(H$1&lt;&gt;"",H$1,"NA"),'MITRE ATT&amp;CK Mappings'!$E886)),ISNUMBER(SEARCH(IF(H$1&lt;&gt;"",H$1,"NA"),'MITRE ATT&amp;CK Mappings'!$F886))),ISNUMBER(SEARCH(IF(H$2&lt;&gt;"",H$2,"NA"),'MITRE ATT&amp;CK Mappings'!$G886))),ISNUMBER(SEARCH(IF(H$2&lt;&gt;"",H$2,"NA"),'MITRE ATT&amp;CK Mappings'!$H886))),ISNUMBER(SEARCH(IF(H$3&lt;&gt;"",H$3,"NA"),'MITRE ATT&amp;CK Mappings'!$I886))),ISNUMBER(SEARCH(IF(H$3&lt;&gt;"",H$3,"NA"),'MITRE ATT&amp;CK Mappings'!$J886))), 'MITRE ATT&amp;CK Mappings'!$B886,"")</f>
        <v/>
      </c>
      <c r="I890" s="26" t="str">
        <f>IF(OR(OR(OR(OR(OR(ISNUMBER(SEARCH(IF(I$1&lt;&gt;"",I$1,"NA"),'MITRE ATT&amp;CK Mappings'!$E886)),ISNUMBER(SEARCH(IF(I$1&lt;&gt;"",I$1,"NA"),'MITRE ATT&amp;CK Mappings'!$F886))),ISNUMBER(SEARCH(IF(I$2&lt;&gt;"",I$2,"NA"),'MITRE ATT&amp;CK Mappings'!$G886))),ISNUMBER(SEARCH(IF(I$2&lt;&gt;"",I$2,"NA"),'MITRE ATT&amp;CK Mappings'!$H886))),ISNUMBER(SEARCH(IF(I$3&lt;&gt;"",I$3,"NA"),'MITRE ATT&amp;CK Mappings'!$I886))),ISNUMBER(SEARCH(IF(I$3&lt;&gt;"",I$3,"NA"),'MITRE ATT&amp;CK Mappings'!$J886))), 'MITRE ATT&amp;CK Mappings'!$B886,"")</f>
        <v/>
      </c>
      <c r="J890" s="26" t="str">
        <f>IF(OR(OR(OR(OR(OR(ISNUMBER(SEARCH(IF(J$1&lt;&gt;"",J$1,"NA"),'MITRE ATT&amp;CK Mappings'!$E886)),ISNUMBER(SEARCH(IF(J$1&lt;&gt;"",J$1,"NA"),'MITRE ATT&amp;CK Mappings'!$F886))),ISNUMBER(SEARCH(IF(J$2&lt;&gt;"",J$2,"NA"),'MITRE ATT&amp;CK Mappings'!$G886))),ISNUMBER(SEARCH(IF(J$2&lt;&gt;"",J$2,"NA"),'MITRE ATT&amp;CK Mappings'!$H886))),ISNUMBER(SEARCH(IF(J$3&lt;&gt;"",J$3,"NA"),'MITRE ATT&amp;CK Mappings'!$I886))),ISNUMBER(SEARCH(IF(J$3&lt;&gt;"",J$3,"NA"),'MITRE ATT&amp;CK Mappings'!$J886))), 'MITRE ATT&amp;CK Mappings'!$B886,"")</f>
        <v/>
      </c>
      <c r="K890" s="26" t="str">
        <f>IF(OR(OR(OR(OR(OR(ISNUMBER(SEARCH(IF(K$1&lt;&gt;"",K$1,"NA"),'MITRE ATT&amp;CK Mappings'!$E886)),ISNUMBER(SEARCH(IF(K$1&lt;&gt;"",K$1,"NA"),'MITRE ATT&amp;CK Mappings'!$F886))),ISNUMBER(SEARCH(IF(K$2&lt;&gt;"",K$2,"NA"),'MITRE ATT&amp;CK Mappings'!$G886))),ISNUMBER(SEARCH(IF(K$2&lt;&gt;"",K$2,"NA"),'MITRE ATT&amp;CK Mappings'!$H886))),ISNUMBER(SEARCH(IF(K$3&lt;&gt;"",K$3,"NA"),'MITRE ATT&amp;CK Mappings'!$I886))),ISNUMBER(SEARCH(IF(K$3&lt;&gt;"",K$3,"NA"),'MITRE ATT&amp;CK Mappings'!$J886))), 'MITRE ATT&amp;CK Mappings'!$B886,"")</f>
        <v/>
      </c>
      <c r="L890" s="26" t="str">
        <f>IF('MITRE ATT&amp;CK Mappings'!D886 &lt;&gt;"",'MITRE ATT&amp;CK Mappings'!D886,"" )</f>
        <v/>
      </c>
    </row>
    <row r="891" spans="1:12" x14ac:dyDescent="0.25">
      <c r="A891" s="27" t="str">
        <f>IF(COUNTIF(B891:K891,"="&amp;'MITRE ATT&amp;CK Mappings'!B887)&gt;0,'MITRE ATT&amp;CK Mappings'!B887,"")</f>
        <v/>
      </c>
      <c r="B891" s="27" t="str">
        <f>IF(OR(OR(OR(OR(OR(ISNUMBER(SEARCH(IF(B$1&lt;&gt;"",B$1,"NA"),'MITRE ATT&amp;CK Mappings'!$E887)),ISNUMBER(SEARCH(IF(B$1&lt;&gt;"",B$1,"NA"),'MITRE ATT&amp;CK Mappings'!$F887))),ISNUMBER(SEARCH(IF(B$2&lt;&gt;"",B$2,"NA"),'MITRE ATT&amp;CK Mappings'!$G887))),ISNUMBER(SEARCH(IF(B$2&lt;&gt;"",B$2,"NA"),'MITRE ATT&amp;CK Mappings'!$H887))),ISNUMBER(SEARCH(IF(B$3&lt;&gt;"",B$3,"NA"),'MITRE ATT&amp;CK Mappings'!$I887))),ISNUMBER(SEARCH(IF(B$3&lt;&gt;"",B$3,"NA"),'MITRE ATT&amp;CK Mappings'!$J887))), 'MITRE ATT&amp;CK Mappings'!$B887,"")</f>
        <v/>
      </c>
      <c r="C891" s="27" t="str">
        <f>IF(OR(OR(OR(OR(OR(ISNUMBER(SEARCH(IF(C$1&lt;&gt;"",C$1,"NA"),'MITRE ATT&amp;CK Mappings'!$E887)),ISNUMBER(SEARCH(IF(C$1&lt;&gt;"",C$1,"NA"),'MITRE ATT&amp;CK Mappings'!$F887))),ISNUMBER(SEARCH(IF(C$2&lt;&gt;"",C$2,"NA"),'MITRE ATT&amp;CK Mappings'!$G887))),ISNUMBER(SEARCH(IF(C$2&lt;&gt;"",C$2,"NA"),'MITRE ATT&amp;CK Mappings'!$H887))),ISNUMBER(SEARCH(IF(C$3&lt;&gt;"",C$3,"NA"),'MITRE ATT&amp;CK Mappings'!$I887))),ISNUMBER(SEARCH(IF(C$3&lt;&gt;"",C$3,"NA"),'MITRE ATT&amp;CK Mappings'!$J887))), 'MITRE ATT&amp;CK Mappings'!$B887,"")</f>
        <v/>
      </c>
      <c r="D891" s="27" t="str">
        <f>IF(OR(OR(OR(OR(OR(ISNUMBER(SEARCH(IF(D$1&lt;&gt;"",D$1,"NA"),'MITRE ATT&amp;CK Mappings'!$E887)),ISNUMBER(SEARCH(IF(D$1&lt;&gt;"",D$1,"NA"),'MITRE ATT&amp;CK Mappings'!$F887))),ISNUMBER(SEARCH(IF(D$2&lt;&gt;"",D$2,"NA"),'MITRE ATT&amp;CK Mappings'!$G887))),ISNUMBER(SEARCH(IF(D$2&lt;&gt;"",D$2,"NA"),'MITRE ATT&amp;CK Mappings'!$H887))),ISNUMBER(SEARCH(IF(D$3&lt;&gt;"",D$3,"NA"),'MITRE ATT&amp;CK Mappings'!$I887))),ISNUMBER(SEARCH(IF(D$3&lt;&gt;"",D$3,"NA"),'MITRE ATT&amp;CK Mappings'!$J887))), 'MITRE ATT&amp;CK Mappings'!$B887,"")</f>
        <v/>
      </c>
      <c r="E891" s="27" t="str">
        <f>IF(OR(OR(OR(OR(OR(ISNUMBER(SEARCH(IF(E$1&lt;&gt;"",E$1,"NA"),'MITRE ATT&amp;CK Mappings'!$E887)),ISNUMBER(SEARCH(IF(E$1&lt;&gt;"",E$1,"NA"),'MITRE ATT&amp;CK Mappings'!$F887))),ISNUMBER(SEARCH(IF(E$2&lt;&gt;"",E$2,"NA"),'MITRE ATT&amp;CK Mappings'!$G887))),ISNUMBER(SEARCH(IF(E$2&lt;&gt;"",E$2,"NA"),'MITRE ATT&amp;CK Mappings'!$H887))),ISNUMBER(SEARCH(IF(E$3&lt;&gt;"",E$3,"NA"),'MITRE ATT&amp;CK Mappings'!$I887))),ISNUMBER(SEARCH(IF(E$3&lt;&gt;"",E$3,"NA"),'MITRE ATT&amp;CK Mappings'!$J887))), 'MITRE ATT&amp;CK Mappings'!$B887,"")</f>
        <v/>
      </c>
      <c r="F891" s="27" t="str">
        <f>IF(OR(OR(OR(OR(OR(ISNUMBER(SEARCH(IF(F$1&lt;&gt;"",F$1,"NA"),'MITRE ATT&amp;CK Mappings'!$E887)),ISNUMBER(SEARCH(IF(F$1&lt;&gt;"",F$1,"NA"),'MITRE ATT&amp;CK Mappings'!$F887))),ISNUMBER(SEARCH(IF(F$2&lt;&gt;"",F$2,"NA"),'MITRE ATT&amp;CK Mappings'!$G887))),ISNUMBER(SEARCH(IF(F$2&lt;&gt;"",F$2,"NA"),'MITRE ATT&amp;CK Mappings'!$H887))),ISNUMBER(SEARCH(IF(F$3&lt;&gt;"",F$3,"NA"),'MITRE ATT&amp;CK Mappings'!$I887))),ISNUMBER(SEARCH(IF(F$3&lt;&gt;"",F$3,"NA"),'MITRE ATT&amp;CK Mappings'!$J887))), 'MITRE ATT&amp;CK Mappings'!$B887,"")</f>
        <v/>
      </c>
      <c r="G891" s="27" t="str">
        <f>IF(OR(OR(OR(OR(OR(ISNUMBER(SEARCH(IF(G$1&lt;&gt;"",G$1,"NA"),'MITRE ATT&amp;CK Mappings'!$E887)),ISNUMBER(SEARCH(IF(G$1&lt;&gt;"",G$1,"NA"),'MITRE ATT&amp;CK Mappings'!$F887))),ISNUMBER(SEARCH(IF(G$2&lt;&gt;"",G$2,"NA"),'MITRE ATT&amp;CK Mappings'!$G887))),ISNUMBER(SEARCH(IF(G$2&lt;&gt;"",G$2,"NA"),'MITRE ATT&amp;CK Mappings'!$H887))),ISNUMBER(SEARCH(IF(G$3&lt;&gt;"",G$3,"NA"),'MITRE ATT&amp;CK Mappings'!$I887))),ISNUMBER(SEARCH(IF(G$3&lt;&gt;"",G$3,"NA"),'MITRE ATT&amp;CK Mappings'!$J887))), 'MITRE ATT&amp;CK Mappings'!$B887,"")</f>
        <v/>
      </c>
      <c r="H891" s="27" t="str">
        <f>IF(OR(OR(OR(OR(OR(ISNUMBER(SEARCH(IF(H$1&lt;&gt;"",H$1,"NA"),'MITRE ATT&amp;CK Mappings'!$E887)),ISNUMBER(SEARCH(IF(H$1&lt;&gt;"",H$1,"NA"),'MITRE ATT&amp;CK Mappings'!$F887))),ISNUMBER(SEARCH(IF(H$2&lt;&gt;"",H$2,"NA"),'MITRE ATT&amp;CK Mappings'!$G887))),ISNUMBER(SEARCH(IF(H$2&lt;&gt;"",H$2,"NA"),'MITRE ATT&amp;CK Mappings'!$H887))),ISNUMBER(SEARCH(IF(H$3&lt;&gt;"",H$3,"NA"),'MITRE ATT&amp;CK Mappings'!$I887))),ISNUMBER(SEARCH(IF(H$3&lt;&gt;"",H$3,"NA"),'MITRE ATT&amp;CK Mappings'!$J887))), 'MITRE ATT&amp;CK Mappings'!$B887,"")</f>
        <v/>
      </c>
      <c r="I891" s="27" t="str">
        <f>IF(OR(OR(OR(OR(OR(ISNUMBER(SEARCH(IF(I$1&lt;&gt;"",I$1,"NA"),'MITRE ATT&amp;CK Mappings'!$E887)),ISNUMBER(SEARCH(IF(I$1&lt;&gt;"",I$1,"NA"),'MITRE ATT&amp;CK Mappings'!$F887))),ISNUMBER(SEARCH(IF(I$2&lt;&gt;"",I$2,"NA"),'MITRE ATT&amp;CK Mappings'!$G887))),ISNUMBER(SEARCH(IF(I$2&lt;&gt;"",I$2,"NA"),'MITRE ATT&amp;CK Mappings'!$H887))),ISNUMBER(SEARCH(IF(I$3&lt;&gt;"",I$3,"NA"),'MITRE ATT&amp;CK Mappings'!$I887))),ISNUMBER(SEARCH(IF(I$3&lt;&gt;"",I$3,"NA"),'MITRE ATT&amp;CK Mappings'!$J887))), 'MITRE ATT&amp;CK Mappings'!$B887,"")</f>
        <v/>
      </c>
      <c r="J891" s="27" t="str">
        <f>IF(OR(OR(OR(OR(OR(ISNUMBER(SEARCH(IF(J$1&lt;&gt;"",J$1,"NA"),'MITRE ATT&amp;CK Mappings'!$E887)),ISNUMBER(SEARCH(IF(J$1&lt;&gt;"",J$1,"NA"),'MITRE ATT&amp;CK Mappings'!$F887))),ISNUMBER(SEARCH(IF(J$2&lt;&gt;"",J$2,"NA"),'MITRE ATT&amp;CK Mappings'!$G887))),ISNUMBER(SEARCH(IF(J$2&lt;&gt;"",J$2,"NA"),'MITRE ATT&amp;CK Mappings'!$H887))),ISNUMBER(SEARCH(IF(J$3&lt;&gt;"",J$3,"NA"),'MITRE ATT&amp;CK Mappings'!$I887))),ISNUMBER(SEARCH(IF(J$3&lt;&gt;"",J$3,"NA"),'MITRE ATT&amp;CK Mappings'!$J887))), 'MITRE ATT&amp;CK Mappings'!$B887,"")</f>
        <v/>
      </c>
      <c r="K891" s="27" t="str">
        <f>IF(OR(OR(OR(OR(OR(ISNUMBER(SEARCH(IF(K$1&lt;&gt;"",K$1,"NA"),'MITRE ATT&amp;CK Mappings'!$E887)),ISNUMBER(SEARCH(IF(K$1&lt;&gt;"",K$1,"NA"),'MITRE ATT&amp;CK Mappings'!$F887))),ISNUMBER(SEARCH(IF(K$2&lt;&gt;"",K$2,"NA"),'MITRE ATT&amp;CK Mappings'!$G887))),ISNUMBER(SEARCH(IF(K$2&lt;&gt;"",K$2,"NA"),'MITRE ATT&amp;CK Mappings'!$H887))),ISNUMBER(SEARCH(IF(K$3&lt;&gt;"",K$3,"NA"),'MITRE ATT&amp;CK Mappings'!$I887))),ISNUMBER(SEARCH(IF(K$3&lt;&gt;"",K$3,"NA"),'MITRE ATT&amp;CK Mappings'!$J887))), 'MITRE ATT&amp;CK Mappings'!$B887,"")</f>
        <v/>
      </c>
      <c r="L891" s="27" t="str">
        <f>IF('MITRE ATT&amp;CK Mappings'!D887 &lt;&gt;"",'MITRE ATT&amp;CK Mappings'!D887,"" )</f>
        <v/>
      </c>
    </row>
    <row r="892" spans="1:12" x14ac:dyDescent="0.25">
      <c r="A892" s="26" t="str">
        <f>IF(COUNTIF(B892:K892,"="&amp;'MITRE ATT&amp;CK Mappings'!B888)&gt;0,'MITRE ATT&amp;CK Mappings'!B888,"")</f>
        <v/>
      </c>
      <c r="B892" s="26" t="str">
        <f>IF(OR(OR(OR(OR(OR(ISNUMBER(SEARCH(IF(B$1&lt;&gt;"",B$1,"NA"),'MITRE ATT&amp;CK Mappings'!$E888)),ISNUMBER(SEARCH(IF(B$1&lt;&gt;"",B$1,"NA"),'MITRE ATT&amp;CK Mappings'!$F888))),ISNUMBER(SEARCH(IF(B$2&lt;&gt;"",B$2,"NA"),'MITRE ATT&amp;CK Mappings'!$G888))),ISNUMBER(SEARCH(IF(B$2&lt;&gt;"",B$2,"NA"),'MITRE ATT&amp;CK Mappings'!$H888))),ISNUMBER(SEARCH(IF(B$3&lt;&gt;"",B$3,"NA"),'MITRE ATT&amp;CK Mappings'!$I888))),ISNUMBER(SEARCH(IF(B$3&lt;&gt;"",B$3,"NA"),'MITRE ATT&amp;CK Mappings'!$J888))), 'MITRE ATT&amp;CK Mappings'!$B888,"")</f>
        <v/>
      </c>
      <c r="C892" s="26" t="str">
        <f>IF(OR(OR(OR(OR(OR(ISNUMBER(SEARCH(IF(C$1&lt;&gt;"",C$1,"NA"),'MITRE ATT&amp;CK Mappings'!$E888)),ISNUMBER(SEARCH(IF(C$1&lt;&gt;"",C$1,"NA"),'MITRE ATT&amp;CK Mappings'!$F888))),ISNUMBER(SEARCH(IF(C$2&lt;&gt;"",C$2,"NA"),'MITRE ATT&amp;CK Mappings'!$G888))),ISNUMBER(SEARCH(IF(C$2&lt;&gt;"",C$2,"NA"),'MITRE ATT&amp;CK Mappings'!$H888))),ISNUMBER(SEARCH(IF(C$3&lt;&gt;"",C$3,"NA"),'MITRE ATT&amp;CK Mappings'!$I888))),ISNUMBER(SEARCH(IF(C$3&lt;&gt;"",C$3,"NA"),'MITRE ATT&amp;CK Mappings'!$J888))), 'MITRE ATT&amp;CK Mappings'!$B888,"")</f>
        <v/>
      </c>
      <c r="D892" s="26" t="str">
        <f>IF(OR(OR(OR(OR(OR(ISNUMBER(SEARCH(IF(D$1&lt;&gt;"",D$1,"NA"),'MITRE ATT&amp;CK Mappings'!$E888)),ISNUMBER(SEARCH(IF(D$1&lt;&gt;"",D$1,"NA"),'MITRE ATT&amp;CK Mappings'!$F888))),ISNUMBER(SEARCH(IF(D$2&lt;&gt;"",D$2,"NA"),'MITRE ATT&amp;CK Mappings'!$G888))),ISNUMBER(SEARCH(IF(D$2&lt;&gt;"",D$2,"NA"),'MITRE ATT&amp;CK Mappings'!$H888))),ISNUMBER(SEARCH(IF(D$3&lt;&gt;"",D$3,"NA"),'MITRE ATT&amp;CK Mappings'!$I888))),ISNUMBER(SEARCH(IF(D$3&lt;&gt;"",D$3,"NA"),'MITRE ATT&amp;CK Mappings'!$J888))), 'MITRE ATT&amp;CK Mappings'!$B888,"")</f>
        <v/>
      </c>
      <c r="E892" s="26" t="str">
        <f>IF(OR(OR(OR(OR(OR(ISNUMBER(SEARCH(IF(E$1&lt;&gt;"",E$1,"NA"),'MITRE ATT&amp;CK Mappings'!$E888)),ISNUMBER(SEARCH(IF(E$1&lt;&gt;"",E$1,"NA"),'MITRE ATT&amp;CK Mappings'!$F888))),ISNUMBER(SEARCH(IF(E$2&lt;&gt;"",E$2,"NA"),'MITRE ATT&amp;CK Mappings'!$G888))),ISNUMBER(SEARCH(IF(E$2&lt;&gt;"",E$2,"NA"),'MITRE ATT&amp;CK Mappings'!$H888))),ISNUMBER(SEARCH(IF(E$3&lt;&gt;"",E$3,"NA"),'MITRE ATT&amp;CK Mappings'!$I888))),ISNUMBER(SEARCH(IF(E$3&lt;&gt;"",E$3,"NA"),'MITRE ATT&amp;CK Mappings'!$J888))), 'MITRE ATT&amp;CK Mappings'!$B888,"")</f>
        <v/>
      </c>
      <c r="F892" s="26" t="str">
        <f>IF(OR(OR(OR(OR(OR(ISNUMBER(SEARCH(IF(F$1&lt;&gt;"",F$1,"NA"),'MITRE ATT&amp;CK Mappings'!$E888)),ISNUMBER(SEARCH(IF(F$1&lt;&gt;"",F$1,"NA"),'MITRE ATT&amp;CK Mappings'!$F888))),ISNUMBER(SEARCH(IF(F$2&lt;&gt;"",F$2,"NA"),'MITRE ATT&amp;CK Mappings'!$G888))),ISNUMBER(SEARCH(IF(F$2&lt;&gt;"",F$2,"NA"),'MITRE ATT&amp;CK Mappings'!$H888))),ISNUMBER(SEARCH(IF(F$3&lt;&gt;"",F$3,"NA"),'MITRE ATT&amp;CK Mappings'!$I888))),ISNUMBER(SEARCH(IF(F$3&lt;&gt;"",F$3,"NA"),'MITRE ATT&amp;CK Mappings'!$J888))), 'MITRE ATT&amp;CK Mappings'!$B888,"")</f>
        <v/>
      </c>
      <c r="G892" s="26" t="str">
        <f>IF(OR(OR(OR(OR(OR(ISNUMBER(SEARCH(IF(G$1&lt;&gt;"",G$1,"NA"),'MITRE ATT&amp;CK Mappings'!$E888)),ISNUMBER(SEARCH(IF(G$1&lt;&gt;"",G$1,"NA"),'MITRE ATT&amp;CK Mappings'!$F888))),ISNUMBER(SEARCH(IF(G$2&lt;&gt;"",G$2,"NA"),'MITRE ATT&amp;CK Mappings'!$G888))),ISNUMBER(SEARCH(IF(G$2&lt;&gt;"",G$2,"NA"),'MITRE ATT&amp;CK Mappings'!$H888))),ISNUMBER(SEARCH(IF(G$3&lt;&gt;"",G$3,"NA"),'MITRE ATT&amp;CK Mappings'!$I888))),ISNUMBER(SEARCH(IF(G$3&lt;&gt;"",G$3,"NA"),'MITRE ATT&amp;CK Mappings'!$J888))), 'MITRE ATT&amp;CK Mappings'!$B888,"")</f>
        <v/>
      </c>
      <c r="H892" s="26" t="str">
        <f>IF(OR(OR(OR(OR(OR(ISNUMBER(SEARCH(IF(H$1&lt;&gt;"",H$1,"NA"),'MITRE ATT&amp;CK Mappings'!$E888)),ISNUMBER(SEARCH(IF(H$1&lt;&gt;"",H$1,"NA"),'MITRE ATT&amp;CK Mappings'!$F888))),ISNUMBER(SEARCH(IF(H$2&lt;&gt;"",H$2,"NA"),'MITRE ATT&amp;CK Mappings'!$G888))),ISNUMBER(SEARCH(IF(H$2&lt;&gt;"",H$2,"NA"),'MITRE ATT&amp;CK Mappings'!$H888))),ISNUMBER(SEARCH(IF(H$3&lt;&gt;"",H$3,"NA"),'MITRE ATT&amp;CK Mappings'!$I888))),ISNUMBER(SEARCH(IF(H$3&lt;&gt;"",H$3,"NA"),'MITRE ATT&amp;CK Mappings'!$J888))), 'MITRE ATT&amp;CK Mappings'!$B888,"")</f>
        <v/>
      </c>
      <c r="I892" s="26" t="str">
        <f>IF(OR(OR(OR(OR(OR(ISNUMBER(SEARCH(IF(I$1&lt;&gt;"",I$1,"NA"),'MITRE ATT&amp;CK Mappings'!$E888)),ISNUMBER(SEARCH(IF(I$1&lt;&gt;"",I$1,"NA"),'MITRE ATT&amp;CK Mappings'!$F888))),ISNUMBER(SEARCH(IF(I$2&lt;&gt;"",I$2,"NA"),'MITRE ATT&amp;CK Mappings'!$G888))),ISNUMBER(SEARCH(IF(I$2&lt;&gt;"",I$2,"NA"),'MITRE ATT&amp;CK Mappings'!$H888))),ISNUMBER(SEARCH(IF(I$3&lt;&gt;"",I$3,"NA"),'MITRE ATT&amp;CK Mappings'!$I888))),ISNUMBER(SEARCH(IF(I$3&lt;&gt;"",I$3,"NA"),'MITRE ATT&amp;CK Mappings'!$J888))), 'MITRE ATT&amp;CK Mappings'!$B888,"")</f>
        <v/>
      </c>
      <c r="J892" s="26" t="str">
        <f>IF(OR(OR(OR(OR(OR(ISNUMBER(SEARCH(IF(J$1&lt;&gt;"",J$1,"NA"),'MITRE ATT&amp;CK Mappings'!$E888)),ISNUMBER(SEARCH(IF(J$1&lt;&gt;"",J$1,"NA"),'MITRE ATT&amp;CK Mappings'!$F888))),ISNUMBER(SEARCH(IF(J$2&lt;&gt;"",J$2,"NA"),'MITRE ATT&amp;CK Mappings'!$G888))),ISNUMBER(SEARCH(IF(J$2&lt;&gt;"",J$2,"NA"),'MITRE ATT&amp;CK Mappings'!$H888))),ISNUMBER(SEARCH(IF(J$3&lt;&gt;"",J$3,"NA"),'MITRE ATT&amp;CK Mappings'!$I888))),ISNUMBER(SEARCH(IF(J$3&lt;&gt;"",J$3,"NA"),'MITRE ATT&amp;CK Mappings'!$J888))), 'MITRE ATT&amp;CK Mappings'!$B888,"")</f>
        <v/>
      </c>
      <c r="K892" s="26" t="str">
        <f>IF(OR(OR(OR(OR(OR(ISNUMBER(SEARCH(IF(K$1&lt;&gt;"",K$1,"NA"),'MITRE ATT&amp;CK Mappings'!$E888)),ISNUMBER(SEARCH(IF(K$1&lt;&gt;"",K$1,"NA"),'MITRE ATT&amp;CK Mappings'!$F888))),ISNUMBER(SEARCH(IF(K$2&lt;&gt;"",K$2,"NA"),'MITRE ATT&amp;CK Mappings'!$G888))),ISNUMBER(SEARCH(IF(K$2&lt;&gt;"",K$2,"NA"),'MITRE ATT&amp;CK Mappings'!$H888))),ISNUMBER(SEARCH(IF(K$3&lt;&gt;"",K$3,"NA"),'MITRE ATT&amp;CK Mappings'!$I888))),ISNUMBER(SEARCH(IF(K$3&lt;&gt;"",K$3,"NA"),'MITRE ATT&amp;CK Mappings'!$J888))), 'MITRE ATT&amp;CK Mappings'!$B888,"")</f>
        <v/>
      </c>
      <c r="L892" s="26" t="str">
        <f>IF('MITRE ATT&amp;CK Mappings'!D888 &lt;&gt;"",'MITRE ATT&amp;CK Mappings'!D888,"" )</f>
        <v/>
      </c>
    </row>
    <row r="893" spans="1:12" x14ac:dyDescent="0.25">
      <c r="A893" s="27" t="str">
        <f>IF(COUNTIF(B893:K893,"="&amp;'MITRE ATT&amp;CK Mappings'!B889)&gt;0,'MITRE ATT&amp;CK Mappings'!B889,"")</f>
        <v/>
      </c>
      <c r="B893" s="27" t="str">
        <f>IF(OR(OR(OR(OR(OR(ISNUMBER(SEARCH(IF(B$1&lt;&gt;"",B$1,"NA"),'MITRE ATT&amp;CK Mappings'!$E889)),ISNUMBER(SEARCH(IF(B$1&lt;&gt;"",B$1,"NA"),'MITRE ATT&amp;CK Mappings'!$F889))),ISNUMBER(SEARCH(IF(B$2&lt;&gt;"",B$2,"NA"),'MITRE ATT&amp;CK Mappings'!$G889))),ISNUMBER(SEARCH(IF(B$2&lt;&gt;"",B$2,"NA"),'MITRE ATT&amp;CK Mappings'!$H889))),ISNUMBER(SEARCH(IF(B$3&lt;&gt;"",B$3,"NA"),'MITRE ATT&amp;CK Mappings'!$I889))),ISNUMBER(SEARCH(IF(B$3&lt;&gt;"",B$3,"NA"),'MITRE ATT&amp;CK Mappings'!$J889))), 'MITRE ATT&amp;CK Mappings'!$B889,"")</f>
        <v/>
      </c>
      <c r="C893" s="27" t="str">
        <f>IF(OR(OR(OR(OR(OR(ISNUMBER(SEARCH(IF(C$1&lt;&gt;"",C$1,"NA"),'MITRE ATT&amp;CK Mappings'!$E889)),ISNUMBER(SEARCH(IF(C$1&lt;&gt;"",C$1,"NA"),'MITRE ATT&amp;CK Mappings'!$F889))),ISNUMBER(SEARCH(IF(C$2&lt;&gt;"",C$2,"NA"),'MITRE ATT&amp;CK Mappings'!$G889))),ISNUMBER(SEARCH(IF(C$2&lt;&gt;"",C$2,"NA"),'MITRE ATT&amp;CK Mappings'!$H889))),ISNUMBER(SEARCH(IF(C$3&lt;&gt;"",C$3,"NA"),'MITRE ATT&amp;CK Mappings'!$I889))),ISNUMBER(SEARCH(IF(C$3&lt;&gt;"",C$3,"NA"),'MITRE ATT&amp;CK Mappings'!$J889))), 'MITRE ATT&amp;CK Mappings'!$B889,"")</f>
        <v/>
      </c>
      <c r="D893" s="27" t="str">
        <f>IF(OR(OR(OR(OR(OR(ISNUMBER(SEARCH(IF(D$1&lt;&gt;"",D$1,"NA"),'MITRE ATT&amp;CK Mappings'!$E889)),ISNUMBER(SEARCH(IF(D$1&lt;&gt;"",D$1,"NA"),'MITRE ATT&amp;CK Mappings'!$F889))),ISNUMBER(SEARCH(IF(D$2&lt;&gt;"",D$2,"NA"),'MITRE ATT&amp;CK Mappings'!$G889))),ISNUMBER(SEARCH(IF(D$2&lt;&gt;"",D$2,"NA"),'MITRE ATT&amp;CK Mappings'!$H889))),ISNUMBER(SEARCH(IF(D$3&lt;&gt;"",D$3,"NA"),'MITRE ATT&amp;CK Mappings'!$I889))),ISNUMBER(SEARCH(IF(D$3&lt;&gt;"",D$3,"NA"),'MITRE ATT&amp;CK Mappings'!$J889))), 'MITRE ATT&amp;CK Mappings'!$B889,"")</f>
        <v/>
      </c>
      <c r="E893" s="27" t="str">
        <f>IF(OR(OR(OR(OR(OR(ISNUMBER(SEARCH(IF(E$1&lt;&gt;"",E$1,"NA"),'MITRE ATT&amp;CK Mappings'!$E889)),ISNUMBER(SEARCH(IF(E$1&lt;&gt;"",E$1,"NA"),'MITRE ATT&amp;CK Mappings'!$F889))),ISNUMBER(SEARCH(IF(E$2&lt;&gt;"",E$2,"NA"),'MITRE ATT&amp;CK Mappings'!$G889))),ISNUMBER(SEARCH(IF(E$2&lt;&gt;"",E$2,"NA"),'MITRE ATT&amp;CK Mappings'!$H889))),ISNUMBER(SEARCH(IF(E$3&lt;&gt;"",E$3,"NA"),'MITRE ATT&amp;CK Mappings'!$I889))),ISNUMBER(SEARCH(IF(E$3&lt;&gt;"",E$3,"NA"),'MITRE ATT&amp;CK Mappings'!$J889))), 'MITRE ATT&amp;CK Mappings'!$B889,"")</f>
        <v/>
      </c>
      <c r="F893" s="27" t="str">
        <f>IF(OR(OR(OR(OR(OR(ISNUMBER(SEARCH(IF(F$1&lt;&gt;"",F$1,"NA"),'MITRE ATT&amp;CK Mappings'!$E889)),ISNUMBER(SEARCH(IF(F$1&lt;&gt;"",F$1,"NA"),'MITRE ATT&amp;CK Mappings'!$F889))),ISNUMBER(SEARCH(IF(F$2&lt;&gt;"",F$2,"NA"),'MITRE ATT&amp;CK Mappings'!$G889))),ISNUMBER(SEARCH(IF(F$2&lt;&gt;"",F$2,"NA"),'MITRE ATT&amp;CK Mappings'!$H889))),ISNUMBER(SEARCH(IF(F$3&lt;&gt;"",F$3,"NA"),'MITRE ATT&amp;CK Mappings'!$I889))),ISNUMBER(SEARCH(IF(F$3&lt;&gt;"",F$3,"NA"),'MITRE ATT&amp;CK Mappings'!$J889))), 'MITRE ATT&amp;CK Mappings'!$B889,"")</f>
        <v/>
      </c>
      <c r="G893" s="27" t="str">
        <f>IF(OR(OR(OR(OR(OR(ISNUMBER(SEARCH(IF(G$1&lt;&gt;"",G$1,"NA"),'MITRE ATT&amp;CK Mappings'!$E889)),ISNUMBER(SEARCH(IF(G$1&lt;&gt;"",G$1,"NA"),'MITRE ATT&amp;CK Mappings'!$F889))),ISNUMBER(SEARCH(IF(G$2&lt;&gt;"",G$2,"NA"),'MITRE ATT&amp;CK Mappings'!$G889))),ISNUMBER(SEARCH(IF(G$2&lt;&gt;"",G$2,"NA"),'MITRE ATT&amp;CK Mappings'!$H889))),ISNUMBER(SEARCH(IF(G$3&lt;&gt;"",G$3,"NA"),'MITRE ATT&amp;CK Mappings'!$I889))),ISNUMBER(SEARCH(IF(G$3&lt;&gt;"",G$3,"NA"),'MITRE ATT&amp;CK Mappings'!$J889))), 'MITRE ATT&amp;CK Mappings'!$B889,"")</f>
        <v/>
      </c>
      <c r="H893" s="27" t="str">
        <f>IF(OR(OR(OR(OR(OR(ISNUMBER(SEARCH(IF(H$1&lt;&gt;"",H$1,"NA"),'MITRE ATT&amp;CK Mappings'!$E889)),ISNUMBER(SEARCH(IF(H$1&lt;&gt;"",H$1,"NA"),'MITRE ATT&amp;CK Mappings'!$F889))),ISNUMBER(SEARCH(IF(H$2&lt;&gt;"",H$2,"NA"),'MITRE ATT&amp;CK Mappings'!$G889))),ISNUMBER(SEARCH(IF(H$2&lt;&gt;"",H$2,"NA"),'MITRE ATT&amp;CK Mappings'!$H889))),ISNUMBER(SEARCH(IF(H$3&lt;&gt;"",H$3,"NA"),'MITRE ATT&amp;CK Mappings'!$I889))),ISNUMBER(SEARCH(IF(H$3&lt;&gt;"",H$3,"NA"),'MITRE ATT&amp;CK Mappings'!$J889))), 'MITRE ATT&amp;CK Mappings'!$B889,"")</f>
        <v/>
      </c>
      <c r="I893" s="27" t="str">
        <f>IF(OR(OR(OR(OR(OR(ISNUMBER(SEARCH(IF(I$1&lt;&gt;"",I$1,"NA"),'MITRE ATT&amp;CK Mappings'!$E889)),ISNUMBER(SEARCH(IF(I$1&lt;&gt;"",I$1,"NA"),'MITRE ATT&amp;CK Mappings'!$F889))),ISNUMBER(SEARCH(IF(I$2&lt;&gt;"",I$2,"NA"),'MITRE ATT&amp;CK Mappings'!$G889))),ISNUMBER(SEARCH(IF(I$2&lt;&gt;"",I$2,"NA"),'MITRE ATT&amp;CK Mappings'!$H889))),ISNUMBER(SEARCH(IF(I$3&lt;&gt;"",I$3,"NA"),'MITRE ATT&amp;CK Mappings'!$I889))),ISNUMBER(SEARCH(IF(I$3&lt;&gt;"",I$3,"NA"),'MITRE ATT&amp;CK Mappings'!$J889))), 'MITRE ATT&amp;CK Mappings'!$B889,"")</f>
        <v/>
      </c>
      <c r="J893" s="27" t="str">
        <f>IF(OR(OR(OR(OR(OR(ISNUMBER(SEARCH(IF(J$1&lt;&gt;"",J$1,"NA"),'MITRE ATT&amp;CK Mappings'!$E889)),ISNUMBER(SEARCH(IF(J$1&lt;&gt;"",J$1,"NA"),'MITRE ATT&amp;CK Mappings'!$F889))),ISNUMBER(SEARCH(IF(J$2&lt;&gt;"",J$2,"NA"),'MITRE ATT&amp;CK Mappings'!$G889))),ISNUMBER(SEARCH(IF(J$2&lt;&gt;"",J$2,"NA"),'MITRE ATT&amp;CK Mappings'!$H889))),ISNUMBER(SEARCH(IF(J$3&lt;&gt;"",J$3,"NA"),'MITRE ATT&amp;CK Mappings'!$I889))),ISNUMBER(SEARCH(IF(J$3&lt;&gt;"",J$3,"NA"),'MITRE ATT&amp;CK Mappings'!$J889))), 'MITRE ATT&amp;CK Mappings'!$B889,"")</f>
        <v/>
      </c>
      <c r="K893" s="27" t="str">
        <f>IF(OR(OR(OR(OR(OR(ISNUMBER(SEARCH(IF(K$1&lt;&gt;"",K$1,"NA"),'MITRE ATT&amp;CK Mappings'!$E889)),ISNUMBER(SEARCH(IF(K$1&lt;&gt;"",K$1,"NA"),'MITRE ATT&amp;CK Mappings'!$F889))),ISNUMBER(SEARCH(IF(K$2&lt;&gt;"",K$2,"NA"),'MITRE ATT&amp;CK Mappings'!$G889))),ISNUMBER(SEARCH(IF(K$2&lt;&gt;"",K$2,"NA"),'MITRE ATT&amp;CK Mappings'!$H889))),ISNUMBER(SEARCH(IF(K$3&lt;&gt;"",K$3,"NA"),'MITRE ATT&amp;CK Mappings'!$I889))),ISNUMBER(SEARCH(IF(K$3&lt;&gt;"",K$3,"NA"),'MITRE ATT&amp;CK Mappings'!$J889))), 'MITRE ATT&amp;CK Mappings'!$B889,"")</f>
        <v/>
      </c>
      <c r="L893" s="27" t="str">
        <f>IF('MITRE ATT&amp;CK Mappings'!D889 &lt;&gt;"",'MITRE ATT&amp;CK Mappings'!D889,"" )</f>
        <v/>
      </c>
    </row>
    <row r="894" spans="1:12" x14ac:dyDescent="0.25">
      <c r="A894" s="26" t="str">
        <f>IF(COUNTIF(B894:K894,"="&amp;'MITRE ATT&amp;CK Mappings'!B890)&gt;0,'MITRE ATT&amp;CK Mappings'!B890,"")</f>
        <v/>
      </c>
      <c r="B894" s="26" t="str">
        <f>IF(OR(OR(OR(OR(OR(ISNUMBER(SEARCH(IF(B$1&lt;&gt;"",B$1,"NA"),'MITRE ATT&amp;CK Mappings'!$E890)),ISNUMBER(SEARCH(IF(B$1&lt;&gt;"",B$1,"NA"),'MITRE ATT&amp;CK Mappings'!$F890))),ISNUMBER(SEARCH(IF(B$2&lt;&gt;"",B$2,"NA"),'MITRE ATT&amp;CK Mappings'!$G890))),ISNUMBER(SEARCH(IF(B$2&lt;&gt;"",B$2,"NA"),'MITRE ATT&amp;CK Mappings'!$H890))),ISNUMBER(SEARCH(IF(B$3&lt;&gt;"",B$3,"NA"),'MITRE ATT&amp;CK Mappings'!$I890))),ISNUMBER(SEARCH(IF(B$3&lt;&gt;"",B$3,"NA"),'MITRE ATT&amp;CK Mappings'!$J890))), 'MITRE ATT&amp;CK Mappings'!$B890,"")</f>
        <v/>
      </c>
      <c r="C894" s="26" t="str">
        <f>IF(OR(OR(OR(OR(OR(ISNUMBER(SEARCH(IF(C$1&lt;&gt;"",C$1,"NA"),'MITRE ATT&amp;CK Mappings'!$E890)),ISNUMBER(SEARCH(IF(C$1&lt;&gt;"",C$1,"NA"),'MITRE ATT&amp;CK Mappings'!$F890))),ISNUMBER(SEARCH(IF(C$2&lt;&gt;"",C$2,"NA"),'MITRE ATT&amp;CK Mappings'!$G890))),ISNUMBER(SEARCH(IF(C$2&lt;&gt;"",C$2,"NA"),'MITRE ATT&amp;CK Mappings'!$H890))),ISNUMBER(SEARCH(IF(C$3&lt;&gt;"",C$3,"NA"),'MITRE ATT&amp;CK Mappings'!$I890))),ISNUMBER(SEARCH(IF(C$3&lt;&gt;"",C$3,"NA"),'MITRE ATT&amp;CK Mappings'!$J890))), 'MITRE ATT&amp;CK Mappings'!$B890,"")</f>
        <v/>
      </c>
      <c r="D894" s="26" t="str">
        <f>IF(OR(OR(OR(OR(OR(ISNUMBER(SEARCH(IF(D$1&lt;&gt;"",D$1,"NA"),'MITRE ATT&amp;CK Mappings'!$E890)),ISNUMBER(SEARCH(IF(D$1&lt;&gt;"",D$1,"NA"),'MITRE ATT&amp;CK Mappings'!$F890))),ISNUMBER(SEARCH(IF(D$2&lt;&gt;"",D$2,"NA"),'MITRE ATT&amp;CK Mappings'!$G890))),ISNUMBER(SEARCH(IF(D$2&lt;&gt;"",D$2,"NA"),'MITRE ATT&amp;CK Mappings'!$H890))),ISNUMBER(SEARCH(IF(D$3&lt;&gt;"",D$3,"NA"),'MITRE ATT&amp;CK Mappings'!$I890))),ISNUMBER(SEARCH(IF(D$3&lt;&gt;"",D$3,"NA"),'MITRE ATT&amp;CK Mappings'!$J890))), 'MITRE ATT&amp;CK Mappings'!$B890,"")</f>
        <v/>
      </c>
      <c r="E894" s="26" t="str">
        <f>IF(OR(OR(OR(OR(OR(ISNUMBER(SEARCH(IF(E$1&lt;&gt;"",E$1,"NA"),'MITRE ATT&amp;CK Mappings'!$E890)),ISNUMBER(SEARCH(IF(E$1&lt;&gt;"",E$1,"NA"),'MITRE ATT&amp;CK Mappings'!$F890))),ISNUMBER(SEARCH(IF(E$2&lt;&gt;"",E$2,"NA"),'MITRE ATT&amp;CK Mappings'!$G890))),ISNUMBER(SEARCH(IF(E$2&lt;&gt;"",E$2,"NA"),'MITRE ATT&amp;CK Mappings'!$H890))),ISNUMBER(SEARCH(IF(E$3&lt;&gt;"",E$3,"NA"),'MITRE ATT&amp;CK Mappings'!$I890))),ISNUMBER(SEARCH(IF(E$3&lt;&gt;"",E$3,"NA"),'MITRE ATT&amp;CK Mappings'!$J890))), 'MITRE ATT&amp;CK Mappings'!$B890,"")</f>
        <v/>
      </c>
      <c r="F894" s="26" t="str">
        <f>IF(OR(OR(OR(OR(OR(ISNUMBER(SEARCH(IF(F$1&lt;&gt;"",F$1,"NA"),'MITRE ATT&amp;CK Mappings'!$E890)),ISNUMBER(SEARCH(IF(F$1&lt;&gt;"",F$1,"NA"),'MITRE ATT&amp;CK Mappings'!$F890))),ISNUMBER(SEARCH(IF(F$2&lt;&gt;"",F$2,"NA"),'MITRE ATT&amp;CK Mappings'!$G890))),ISNUMBER(SEARCH(IF(F$2&lt;&gt;"",F$2,"NA"),'MITRE ATT&amp;CK Mappings'!$H890))),ISNUMBER(SEARCH(IF(F$3&lt;&gt;"",F$3,"NA"),'MITRE ATT&amp;CK Mappings'!$I890))),ISNUMBER(SEARCH(IF(F$3&lt;&gt;"",F$3,"NA"),'MITRE ATT&amp;CK Mappings'!$J890))), 'MITRE ATT&amp;CK Mappings'!$B890,"")</f>
        <v/>
      </c>
      <c r="G894" s="26" t="str">
        <f>IF(OR(OR(OR(OR(OR(ISNUMBER(SEARCH(IF(G$1&lt;&gt;"",G$1,"NA"),'MITRE ATT&amp;CK Mappings'!$E890)),ISNUMBER(SEARCH(IF(G$1&lt;&gt;"",G$1,"NA"),'MITRE ATT&amp;CK Mappings'!$F890))),ISNUMBER(SEARCH(IF(G$2&lt;&gt;"",G$2,"NA"),'MITRE ATT&amp;CK Mappings'!$G890))),ISNUMBER(SEARCH(IF(G$2&lt;&gt;"",G$2,"NA"),'MITRE ATT&amp;CK Mappings'!$H890))),ISNUMBER(SEARCH(IF(G$3&lt;&gt;"",G$3,"NA"),'MITRE ATT&amp;CK Mappings'!$I890))),ISNUMBER(SEARCH(IF(G$3&lt;&gt;"",G$3,"NA"),'MITRE ATT&amp;CK Mappings'!$J890))), 'MITRE ATT&amp;CK Mappings'!$B890,"")</f>
        <v/>
      </c>
      <c r="H894" s="26" t="str">
        <f>IF(OR(OR(OR(OR(OR(ISNUMBER(SEARCH(IF(H$1&lt;&gt;"",H$1,"NA"),'MITRE ATT&amp;CK Mappings'!$E890)),ISNUMBER(SEARCH(IF(H$1&lt;&gt;"",H$1,"NA"),'MITRE ATT&amp;CK Mappings'!$F890))),ISNUMBER(SEARCH(IF(H$2&lt;&gt;"",H$2,"NA"),'MITRE ATT&amp;CK Mappings'!$G890))),ISNUMBER(SEARCH(IF(H$2&lt;&gt;"",H$2,"NA"),'MITRE ATT&amp;CK Mappings'!$H890))),ISNUMBER(SEARCH(IF(H$3&lt;&gt;"",H$3,"NA"),'MITRE ATT&amp;CK Mappings'!$I890))),ISNUMBER(SEARCH(IF(H$3&lt;&gt;"",H$3,"NA"),'MITRE ATT&amp;CK Mappings'!$J890))), 'MITRE ATT&amp;CK Mappings'!$B890,"")</f>
        <v/>
      </c>
      <c r="I894" s="26" t="str">
        <f>IF(OR(OR(OR(OR(OR(ISNUMBER(SEARCH(IF(I$1&lt;&gt;"",I$1,"NA"),'MITRE ATT&amp;CK Mappings'!$E890)),ISNUMBER(SEARCH(IF(I$1&lt;&gt;"",I$1,"NA"),'MITRE ATT&amp;CK Mappings'!$F890))),ISNUMBER(SEARCH(IF(I$2&lt;&gt;"",I$2,"NA"),'MITRE ATT&amp;CK Mappings'!$G890))),ISNUMBER(SEARCH(IF(I$2&lt;&gt;"",I$2,"NA"),'MITRE ATT&amp;CK Mappings'!$H890))),ISNUMBER(SEARCH(IF(I$3&lt;&gt;"",I$3,"NA"),'MITRE ATT&amp;CK Mappings'!$I890))),ISNUMBER(SEARCH(IF(I$3&lt;&gt;"",I$3,"NA"),'MITRE ATT&amp;CK Mappings'!$J890))), 'MITRE ATT&amp;CK Mappings'!$B890,"")</f>
        <v/>
      </c>
      <c r="J894" s="26" t="str">
        <f>IF(OR(OR(OR(OR(OR(ISNUMBER(SEARCH(IF(J$1&lt;&gt;"",J$1,"NA"),'MITRE ATT&amp;CK Mappings'!$E890)),ISNUMBER(SEARCH(IF(J$1&lt;&gt;"",J$1,"NA"),'MITRE ATT&amp;CK Mappings'!$F890))),ISNUMBER(SEARCH(IF(J$2&lt;&gt;"",J$2,"NA"),'MITRE ATT&amp;CK Mappings'!$G890))),ISNUMBER(SEARCH(IF(J$2&lt;&gt;"",J$2,"NA"),'MITRE ATT&amp;CK Mappings'!$H890))),ISNUMBER(SEARCH(IF(J$3&lt;&gt;"",J$3,"NA"),'MITRE ATT&amp;CK Mappings'!$I890))),ISNUMBER(SEARCH(IF(J$3&lt;&gt;"",J$3,"NA"),'MITRE ATT&amp;CK Mappings'!$J890))), 'MITRE ATT&amp;CK Mappings'!$B890,"")</f>
        <v/>
      </c>
      <c r="K894" s="26" t="str">
        <f>IF(OR(OR(OR(OR(OR(ISNUMBER(SEARCH(IF(K$1&lt;&gt;"",K$1,"NA"),'MITRE ATT&amp;CK Mappings'!$E890)),ISNUMBER(SEARCH(IF(K$1&lt;&gt;"",K$1,"NA"),'MITRE ATT&amp;CK Mappings'!$F890))),ISNUMBER(SEARCH(IF(K$2&lt;&gt;"",K$2,"NA"),'MITRE ATT&amp;CK Mappings'!$G890))),ISNUMBER(SEARCH(IF(K$2&lt;&gt;"",K$2,"NA"),'MITRE ATT&amp;CK Mappings'!$H890))),ISNUMBER(SEARCH(IF(K$3&lt;&gt;"",K$3,"NA"),'MITRE ATT&amp;CK Mappings'!$I890))),ISNUMBER(SEARCH(IF(K$3&lt;&gt;"",K$3,"NA"),'MITRE ATT&amp;CK Mappings'!$J890))), 'MITRE ATT&amp;CK Mappings'!$B890,"")</f>
        <v/>
      </c>
      <c r="L894" s="26" t="str">
        <f>IF('MITRE ATT&amp;CK Mappings'!D890 &lt;&gt;"",'MITRE ATT&amp;CK Mappings'!D890,"" )</f>
        <v/>
      </c>
    </row>
    <row r="895" spans="1:12" x14ac:dyDescent="0.25">
      <c r="A895" s="27" t="str">
        <f>IF(COUNTIF(B895:K895,"="&amp;'MITRE ATT&amp;CK Mappings'!B891)&gt;0,'MITRE ATT&amp;CK Mappings'!B891,"")</f>
        <v/>
      </c>
      <c r="B895" s="27" t="str">
        <f>IF(OR(OR(OR(OR(OR(ISNUMBER(SEARCH(IF(B$1&lt;&gt;"",B$1,"NA"),'MITRE ATT&amp;CK Mappings'!$E891)),ISNUMBER(SEARCH(IF(B$1&lt;&gt;"",B$1,"NA"),'MITRE ATT&amp;CK Mappings'!$F891))),ISNUMBER(SEARCH(IF(B$2&lt;&gt;"",B$2,"NA"),'MITRE ATT&amp;CK Mappings'!$G891))),ISNUMBER(SEARCH(IF(B$2&lt;&gt;"",B$2,"NA"),'MITRE ATT&amp;CK Mappings'!$H891))),ISNUMBER(SEARCH(IF(B$3&lt;&gt;"",B$3,"NA"),'MITRE ATT&amp;CK Mappings'!$I891))),ISNUMBER(SEARCH(IF(B$3&lt;&gt;"",B$3,"NA"),'MITRE ATT&amp;CK Mappings'!$J891))), 'MITRE ATT&amp;CK Mappings'!$B891,"")</f>
        <v/>
      </c>
      <c r="C895" s="27" t="str">
        <f>IF(OR(OR(OR(OR(OR(ISNUMBER(SEARCH(IF(C$1&lt;&gt;"",C$1,"NA"),'MITRE ATT&amp;CK Mappings'!$E891)),ISNUMBER(SEARCH(IF(C$1&lt;&gt;"",C$1,"NA"),'MITRE ATT&amp;CK Mappings'!$F891))),ISNUMBER(SEARCH(IF(C$2&lt;&gt;"",C$2,"NA"),'MITRE ATT&amp;CK Mappings'!$G891))),ISNUMBER(SEARCH(IF(C$2&lt;&gt;"",C$2,"NA"),'MITRE ATT&amp;CK Mappings'!$H891))),ISNUMBER(SEARCH(IF(C$3&lt;&gt;"",C$3,"NA"),'MITRE ATT&amp;CK Mappings'!$I891))),ISNUMBER(SEARCH(IF(C$3&lt;&gt;"",C$3,"NA"),'MITRE ATT&amp;CK Mappings'!$J891))), 'MITRE ATT&amp;CK Mappings'!$B891,"")</f>
        <v/>
      </c>
      <c r="D895" s="27" t="str">
        <f>IF(OR(OR(OR(OR(OR(ISNUMBER(SEARCH(IF(D$1&lt;&gt;"",D$1,"NA"),'MITRE ATT&amp;CK Mappings'!$E891)),ISNUMBER(SEARCH(IF(D$1&lt;&gt;"",D$1,"NA"),'MITRE ATT&amp;CK Mappings'!$F891))),ISNUMBER(SEARCH(IF(D$2&lt;&gt;"",D$2,"NA"),'MITRE ATT&amp;CK Mappings'!$G891))),ISNUMBER(SEARCH(IF(D$2&lt;&gt;"",D$2,"NA"),'MITRE ATT&amp;CK Mappings'!$H891))),ISNUMBER(SEARCH(IF(D$3&lt;&gt;"",D$3,"NA"),'MITRE ATT&amp;CK Mappings'!$I891))),ISNUMBER(SEARCH(IF(D$3&lt;&gt;"",D$3,"NA"),'MITRE ATT&amp;CK Mappings'!$J891))), 'MITRE ATT&amp;CK Mappings'!$B891,"")</f>
        <v/>
      </c>
      <c r="E895" s="27" t="str">
        <f>IF(OR(OR(OR(OR(OR(ISNUMBER(SEARCH(IF(E$1&lt;&gt;"",E$1,"NA"),'MITRE ATT&amp;CK Mappings'!$E891)),ISNUMBER(SEARCH(IF(E$1&lt;&gt;"",E$1,"NA"),'MITRE ATT&amp;CK Mappings'!$F891))),ISNUMBER(SEARCH(IF(E$2&lt;&gt;"",E$2,"NA"),'MITRE ATT&amp;CK Mappings'!$G891))),ISNUMBER(SEARCH(IF(E$2&lt;&gt;"",E$2,"NA"),'MITRE ATT&amp;CK Mappings'!$H891))),ISNUMBER(SEARCH(IF(E$3&lt;&gt;"",E$3,"NA"),'MITRE ATT&amp;CK Mappings'!$I891))),ISNUMBER(SEARCH(IF(E$3&lt;&gt;"",E$3,"NA"),'MITRE ATT&amp;CK Mappings'!$J891))), 'MITRE ATT&amp;CK Mappings'!$B891,"")</f>
        <v/>
      </c>
      <c r="F895" s="27" t="str">
        <f>IF(OR(OR(OR(OR(OR(ISNUMBER(SEARCH(IF(F$1&lt;&gt;"",F$1,"NA"),'MITRE ATT&amp;CK Mappings'!$E891)),ISNUMBER(SEARCH(IF(F$1&lt;&gt;"",F$1,"NA"),'MITRE ATT&amp;CK Mappings'!$F891))),ISNUMBER(SEARCH(IF(F$2&lt;&gt;"",F$2,"NA"),'MITRE ATT&amp;CK Mappings'!$G891))),ISNUMBER(SEARCH(IF(F$2&lt;&gt;"",F$2,"NA"),'MITRE ATT&amp;CK Mappings'!$H891))),ISNUMBER(SEARCH(IF(F$3&lt;&gt;"",F$3,"NA"),'MITRE ATT&amp;CK Mappings'!$I891))),ISNUMBER(SEARCH(IF(F$3&lt;&gt;"",F$3,"NA"),'MITRE ATT&amp;CK Mappings'!$J891))), 'MITRE ATT&amp;CK Mappings'!$B891,"")</f>
        <v/>
      </c>
      <c r="G895" s="27" t="str">
        <f>IF(OR(OR(OR(OR(OR(ISNUMBER(SEARCH(IF(G$1&lt;&gt;"",G$1,"NA"),'MITRE ATT&amp;CK Mappings'!$E891)),ISNUMBER(SEARCH(IF(G$1&lt;&gt;"",G$1,"NA"),'MITRE ATT&amp;CK Mappings'!$F891))),ISNUMBER(SEARCH(IF(G$2&lt;&gt;"",G$2,"NA"),'MITRE ATT&amp;CK Mappings'!$G891))),ISNUMBER(SEARCH(IF(G$2&lt;&gt;"",G$2,"NA"),'MITRE ATT&amp;CK Mappings'!$H891))),ISNUMBER(SEARCH(IF(G$3&lt;&gt;"",G$3,"NA"),'MITRE ATT&amp;CK Mappings'!$I891))),ISNUMBER(SEARCH(IF(G$3&lt;&gt;"",G$3,"NA"),'MITRE ATT&amp;CK Mappings'!$J891))), 'MITRE ATT&amp;CK Mappings'!$B891,"")</f>
        <v/>
      </c>
      <c r="H895" s="27" t="str">
        <f>IF(OR(OR(OR(OR(OR(ISNUMBER(SEARCH(IF(H$1&lt;&gt;"",H$1,"NA"),'MITRE ATT&amp;CK Mappings'!$E891)),ISNUMBER(SEARCH(IF(H$1&lt;&gt;"",H$1,"NA"),'MITRE ATT&amp;CK Mappings'!$F891))),ISNUMBER(SEARCH(IF(H$2&lt;&gt;"",H$2,"NA"),'MITRE ATT&amp;CK Mappings'!$G891))),ISNUMBER(SEARCH(IF(H$2&lt;&gt;"",H$2,"NA"),'MITRE ATT&amp;CK Mappings'!$H891))),ISNUMBER(SEARCH(IF(H$3&lt;&gt;"",H$3,"NA"),'MITRE ATT&amp;CK Mappings'!$I891))),ISNUMBER(SEARCH(IF(H$3&lt;&gt;"",H$3,"NA"),'MITRE ATT&amp;CK Mappings'!$J891))), 'MITRE ATT&amp;CK Mappings'!$B891,"")</f>
        <v/>
      </c>
      <c r="I895" s="27" t="str">
        <f>IF(OR(OR(OR(OR(OR(ISNUMBER(SEARCH(IF(I$1&lt;&gt;"",I$1,"NA"),'MITRE ATT&amp;CK Mappings'!$E891)),ISNUMBER(SEARCH(IF(I$1&lt;&gt;"",I$1,"NA"),'MITRE ATT&amp;CK Mappings'!$F891))),ISNUMBER(SEARCH(IF(I$2&lt;&gt;"",I$2,"NA"),'MITRE ATT&amp;CK Mappings'!$G891))),ISNUMBER(SEARCH(IF(I$2&lt;&gt;"",I$2,"NA"),'MITRE ATT&amp;CK Mappings'!$H891))),ISNUMBER(SEARCH(IF(I$3&lt;&gt;"",I$3,"NA"),'MITRE ATT&amp;CK Mappings'!$I891))),ISNUMBER(SEARCH(IF(I$3&lt;&gt;"",I$3,"NA"),'MITRE ATT&amp;CK Mappings'!$J891))), 'MITRE ATT&amp;CK Mappings'!$B891,"")</f>
        <v/>
      </c>
      <c r="J895" s="27" t="str">
        <f>IF(OR(OR(OR(OR(OR(ISNUMBER(SEARCH(IF(J$1&lt;&gt;"",J$1,"NA"),'MITRE ATT&amp;CK Mappings'!$E891)),ISNUMBER(SEARCH(IF(J$1&lt;&gt;"",J$1,"NA"),'MITRE ATT&amp;CK Mappings'!$F891))),ISNUMBER(SEARCH(IF(J$2&lt;&gt;"",J$2,"NA"),'MITRE ATT&amp;CK Mappings'!$G891))),ISNUMBER(SEARCH(IF(J$2&lt;&gt;"",J$2,"NA"),'MITRE ATT&amp;CK Mappings'!$H891))),ISNUMBER(SEARCH(IF(J$3&lt;&gt;"",J$3,"NA"),'MITRE ATT&amp;CK Mappings'!$I891))),ISNUMBER(SEARCH(IF(J$3&lt;&gt;"",J$3,"NA"),'MITRE ATT&amp;CK Mappings'!$J891))), 'MITRE ATT&amp;CK Mappings'!$B891,"")</f>
        <v/>
      </c>
      <c r="K895" s="27" t="str">
        <f>IF(OR(OR(OR(OR(OR(ISNUMBER(SEARCH(IF(K$1&lt;&gt;"",K$1,"NA"),'MITRE ATT&amp;CK Mappings'!$E891)),ISNUMBER(SEARCH(IF(K$1&lt;&gt;"",K$1,"NA"),'MITRE ATT&amp;CK Mappings'!$F891))),ISNUMBER(SEARCH(IF(K$2&lt;&gt;"",K$2,"NA"),'MITRE ATT&amp;CK Mappings'!$G891))),ISNUMBER(SEARCH(IF(K$2&lt;&gt;"",K$2,"NA"),'MITRE ATT&amp;CK Mappings'!$H891))),ISNUMBER(SEARCH(IF(K$3&lt;&gt;"",K$3,"NA"),'MITRE ATT&amp;CK Mappings'!$I891))),ISNUMBER(SEARCH(IF(K$3&lt;&gt;"",K$3,"NA"),'MITRE ATT&amp;CK Mappings'!$J891))), 'MITRE ATT&amp;CK Mappings'!$B891,"")</f>
        <v/>
      </c>
      <c r="L895" s="27" t="str">
        <f>IF('MITRE ATT&amp;CK Mappings'!D891 &lt;&gt;"",'MITRE ATT&amp;CK Mappings'!D891,"" )</f>
        <v/>
      </c>
    </row>
    <row r="896" spans="1:12" x14ac:dyDescent="0.25">
      <c r="A896" s="26" t="str">
        <f>IF(COUNTIF(B896:K896,"="&amp;'MITRE ATT&amp;CK Mappings'!B892)&gt;0,'MITRE ATT&amp;CK Mappings'!B892,"")</f>
        <v/>
      </c>
      <c r="B896" s="26" t="str">
        <f>IF(OR(OR(OR(OR(OR(ISNUMBER(SEARCH(IF(B$1&lt;&gt;"",B$1,"NA"),'MITRE ATT&amp;CK Mappings'!$E892)),ISNUMBER(SEARCH(IF(B$1&lt;&gt;"",B$1,"NA"),'MITRE ATT&amp;CK Mappings'!$F892))),ISNUMBER(SEARCH(IF(B$2&lt;&gt;"",B$2,"NA"),'MITRE ATT&amp;CK Mappings'!$G892))),ISNUMBER(SEARCH(IF(B$2&lt;&gt;"",B$2,"NA"),'MITRE ATT&amp;CK Mappings'!$H892))),ISNUMBER(SEARCH(IF(B$3&lt;&gt;"",B$3,"NA"),'MITRE ATT&amp;CK Mappings'!$I892))),ISNUMBER(SEARCH(IF(B$3&lt;&gt;"",B$3,"NA"),'MITRE ATT&amp;CK Mappings'!$J892))), 'MITRE ATT&amp;CK Mappings'!$B892,"")</f>
        <v/>
      </c>
      <c r="C896" s="26" t="str">
        <f>IF(OR(OR(OR(OR(OR(ISNUMBER(SEARCH(IF(C$1&lt;&gt;"",C$1,"NA"),'MITRE ATT&amp;CK Mappings'!$E892)),ISNUMBER(SEARCH(IF(C$1&lt;&gt;"",C$1,"NA"),'MITRE ATT&amp;CK Mappings'!$F892))),ISNUMBER(SEARCH(IF(C$2&lt;&gt;"",C$2,"NA"),'MITRE ATT&amp;CK Mappings'!$G892))),ISNUMBER(SEARCH(IF(C$2&lt;&gt;"",C$2,"NA"),'MITRE ATT&amp;CK Mappings'!$H892))),ISNUMBER(SEARCH(IF(C$3&lt;&gt;"",C$3,"NA"),'MITRE ATT&amp;CK Mappings'!$I892))),ISNUMBER(SEARCH(IF(C$3&lt;&gt;"",C$3,"NA"),'MITRE ATT&amp;CK Mappings'!$J892))), 'MITRE ATT&amp;CK Mappings'!$B892,"")</f>
        <v/>
      </c>
      <c r="D896" s="26" t="str">
        <f>IF(OR(OR(OR(OR(OR(ISNUMBER(SEARCH(IF(D$1&lt;&gt;"",D$1,"NA"),'MITRE ATT&amp;CK Mappings'!$E892)),ISNUMBER(SEARCH(IF(D$1&lt;&gt;"",D$1,"NA"),'MITRE ATT&amp;CK Mappings'!$F892))),ISNUMBER(SEARCH(IF(D$2&lt;&gt;"",D$2,"NA"),'MITRE ATT&amp;CK Mappings'!$G892))),ISNUMBER(SEARCH(IF(D$2&lt;&gt;"",D$2,"NA"),'MITRE ATT&amp;CK Mappings'!$H892))),ISNUMBER(SEARCH(IF(D$3&lt;&gt;"",D$3,"NA"),'MITRE ATT&amp;CK Mappings'!$I892))),ISNUMBER(SEARCH(IF(D$3&lt;&gt;"",D$3,"NA"),'MITRE ATT&amp;CK Mappings'!$J892))), 'MITRE ATT&amp;CK Mappings'!$B892,"")</f>
        <v/>
      </c>
      <c r="E896" s="26" t="str">
        <f>IF(OR(OR(OR(OR(OR(ISNUMBER(SEARCH(IF(E$1&lt;&gt;"",E$1,"NA"),'MITRE ATT&amp;CK Mappings'!$E892)),ISNUMBER(SEARCH(IF(E$1&lt;&gt;"",E$1,"NA"),'MITRE ATT&amp;CK Mappings'!$F892))),ISNUMBER(SEARCH(IF(E$2&lt;&gt;"",E$2,"NA"),'MITRE ATT&amp;CK Mappings'!$G892))),ISNUMBER(SEARCH(IF(E$2&lt;&gt;"",E$2,"NA"),'MITRE ATT&amp;CK Mappings'!$H892))),ISNUMBER(SEARCH(IF(E$3&lt;&gt;"",E$3,"NA"),'MITRE ATT&amp;CK Mappings'!$I892))),ISNUMBER(SEARCH(IF(E$3&lt;&gt;"",E$3,"NA"),'MITRE ATT&amp;CK Mappings'!$J892))), 'MITRE ATT&amp;CK Mappings'!$B892,"")</f>
        <v/>
      </c>
      <c r="F896" s="26" t="str">
        <f>IF(OR(OR(OR(OR(OR(ISNUMBER(SEARCH(IF(F$1&lt;&gt;"",F$1,"NA"),'MITRE ATT&amp;CK Mappings'!$E892)),ISNUMBER(SEARCH(IF(F$1&lt;&gt;"",F$1,"NA"),'MITRE ATT&amp;CK Mappings'!$F892))),ISNUMBER(SEARCH(IF(F$2&lt;&gt;"",F$2,"NA"),'MITRE ATT&amp;CK Mappings'!$G892))),ISNUMBER(SEARCH(IF(F$2&lt;&gt;"",F$2,"NA"),'MITRE ATT&amp;CK Mappings'!$H892))),ISNUMBER(SEARCH(IF(F$3&lt;&gt;"",F$3,"NA"),'MITRE ATT&amp;CK Mappings'!$I892))),ISNUMBER(SEARCH(IF(F$3&lt;&gt;"",F$3,"NA"),'MITRE ATT&amp;CK Mappings'!$J892))), 'MITRE ATT&amp;CK Mappings'!$B892,"")</f>
        <v/>
      </c>
      <c r="G896" s="26" t="str">
        <f>IF(OR(OR(OR(OR(OR(ISNUMBER(SEARCH(IF(G$1&lt;&gt;"",G$1,"NA"),'MITRE ATT&amp;CK Mappings'!$E892)),ISNUMBER(SEARCH(IF(G$1&lt;&gt;"",G$1,"NA"),'MITRE ATT&amp;CK Mappings'!$F892))),ISNUMBER(SEARCH(IF(G$2&lt;&gt;"",G$2,"NA"),'MITRE ATT&amp;CK Mappings'!$G892))),ISNUMBER(SEARCH(IF(G$2&lt;&gt;"",G$2,"NA"),'MITRE ATT&amp;CK Mappings'!$H892))),ISNUMBER(SEARCH(IF(G$3&lt;&gt;"",G$3,"NA"),'MITRE ATT&amp;CK Mappings'!$I892))),ISNUMBER(SEARCH(IF(G$3&lt;&gt;"",G$3,"NA"),'MITRE ATT&amp;CK Mappings'!$J892))), 'MITRE ATT&amp;CK Mappings'!$B892,"")</f>
        <v/>
      </c>
      <c r="H896" s="26" t="str">
        <f>IF(OR(OR(OR(OR(OR(ISNUMBER(SEARCH(IF(H$1&lt;&gt;"",H$1,"NA"),'MITRE ATT&amp;CK Mappings'!$E892)),ISNUMBER(SEARCH(IF(H$1&lt;&gt;"",H$1,"NA"),'MITRE ATT&amp;CK Mappings'!$F892))),ISNUMBER(SEARCH(IF(H$2&lt;&gt;"",H$2,"NA"),'MITRE ATT&amp;CK Mappings'!$G892))),ISNUMBER(SEARCH(IF(H$2&lt;&gt;"",H$2,"NA"),'MITRE ATT&amp;CK Mappings'!$H892))),ISNUMBER(SEARCH(IF(H$3&lt;&gt;"",H$3,"NA"),'MITRE ATT&amp;CK Mappings'!$I892))),ISNUMBER(SEARCH(IF(H$3&lt;&gt;"",H$3,"NA"),'MITRE ATT&amp;CK Mappings'!$J892))), 'MITRE ATT&amp;CK Mappings'!$B892,"")</f>
        <v/>
      </c>
      <c r="I896" s="26" t="str">
        <f>IF(OR(OR(OR(OR(OR(ISNUMBER(SEARCH(IF(I$1&lt;&gt;"",I$1,"NA"),'MITRE ATT&amp;CK Mappings'!$E892)),ISNUMBER(SEARCH(IF(I$1&lt;&gt;"",I$1,"NA"),'MITRE ATT&amp;CK Mappings'!$F892))),ISNUMBER(SEARCH(IF(I$2&lt;&gt;"",I$2,"NA"),'MITRE ATT&amp;CK Mappings'!$G892))),ISNUMBER(SEARCH(IF(I$2&lt;&gt;"",I$2,"NA"),'MITRE ATT&amp;CK Mappings'!$H892))),ISNUMBER(SEARCH(IF(I$3&lt;&gt;"",I$3,"NA"),'MITRE ATT&amp;CK Mappings'!$I892))),ISNUMBER(SEARCH(IF(I$3&lt;&gt;"",I$3,"NA"),'MITRE ATT&amp;CK Mappings'!$J892))), 'MITRE ATT&amp;CK Mappings'!$B892,"")</f>
        <v/>
      </c>
      <c r="J896" s="26" t="str">
        <f>IF(OR(OR(OR(OR(OR(ISNUMBER(SEARCH(IF(J$1&lt;&gt;"",J$1,"NA"),'MITRE ATT&amp;CK Mappings'!$E892)),ISNUMBER(SEARCH(IF(J$1&lt;&gt;"",J$1,"NA"),'MITRE ATT&amp;CK Mappings'!$F892))),ISNUMBER(SEARCH(IF(J$2&lt;&gt;"",J$2,"NA"),'MITRE ATT&amp;CK Mappings'!$G892))),ISNUMBER(SEARCH(IF(J$2&lt;&gt;"",J$2,"NA"),'MITRE ATT&amp;CK Mappings'!$H892))),ISNUMBER(SEARCH(IF(J$3&lt;&gt;"",J$3,"NA"),'MITRE ATT&amp;CK Mappings'!$I892))),ISNUMBER(SEARCH(IF(J$3&lt;&gt;"",J$3,"NA"),'MITRE ATT&amp;CK Mappings'!$J892))), 'MITRE ATT&amp;CK Mappings'!$B892,"")</f>
        <v/>
      </c>
      <c r="K896" s="26" t="str">
        <f>IF(OR(OR(OR(OR(OR(ISNUMBER(SEARCH(IF(K$1&lt;&gt;"",K$1,"NA"),'MITRE ATT&amp;CK Mappings'!$E892)),ISNUMBER(SEARCH(IF(K$1&lt;&gt;"",K$1,"NA"),'MITRE ATT&amp;CK Mappings'!$F892))),ISNUMBER(SEARCH(IF(K$2&lt;&gt;"",K$2,"NA"),'MITRE ATT&amp;CK Mappings'!$G892))),ISNUMBER(SEARCH(IF(K$2&lt;&gt;"",K$2,"NA"),'MITRE ATT&amp;CK Mappings'!$H892))),ISNUMBER(SEARCH(IF(K$3&lt;&gt;"",K$3,"NA"),'MITRE ATT&amp;CK Mappings'!$I892))),ISNUMBER(SEARCH(IF(K$3&lt;&gt;"",K$3,"NA"),'MITRE ATT&amp;CK Mappings'!$J892))), 'MITRE ATT&amp;CK Mappings'!$B892,"")</f>
        <v/>
      </c>
      <c r="L896" s="26" t="str">
        <f>IF('MITRE ATT&amp;CK Mappings'!D892 &lt;&gt;"",'MITRE ATT&amp;CK Mappings'!D892,"" )</f>
        <v/>
      </c>
    </row>
    <row r="897" spans="1:12" x14ac:dyDescent="0.25">
      <c r="A897" s="27" t="str">
        <f>IF(COUNTIF(B897:K897,"="&amp;'MITRE ATT&amp;CK Mappings'!B893)&gt;0,'MITRE ATT&amp;CK Mappings'!B893,"")</f>
        <v/>
      </c>
      <c r="B897" s="27" t="str">
        <f>IF(OR(OR(OR(OR(OR(ISNUMBER(SEARCH(IF(B$1&lt;&gt;"",B$1,"NA"),'MITRE ATT&amp;CK Mappings'!$E893)),ISNUMBER(SEARCH(IF(B$1&lt;&gt;"",B$1,"NA"),'MITRE ATT&amp;CK Mappings'!$F893))),ISNUMBER(SEARCH(IF(B$2&lt;&gt;"",B$2,"NA"),'MITRE ATT&amp;CK Mappings'!$G893))),ISNUMBER(SEARCH(IF(B$2&lt;&gt;"",B$2,"NA"),'MITRE ATT&amp;CK Mappings'!$H893))),ISNUMBER(SEARCH(IF(B$3&lt;&gt;"",B$3,"NA"),'MITRE ATT&amp;CK Mappings'!$I893))),ISNUMBER(SEARCH(IF(B$3&lt;&gt;"",B$3,"NA"),'MITRE ATT&amp;CK Mappings'!$J893))), 'MITRE ATT&amp;CK Mappings'!$B893,"")</f>
        <v/>
      </c>
      <c r="C897" s="27" t="str">
        <f>IF(OR(OR(OR(OR(OR(ISNUMBER(SEARCH(IF(C$1&lt;&gt;"",C$1,"NA"),'MITRE ATT&amp;CK Mappings'!$E893)),ISNUMBER(SEARCH(IF(C$1&lt;&gt;"",C$1,"NA"),'MITRE ATT&amp;CK Mappings'!$F893))),ISNUMBER(SEARCH(IF(C$2&lt;&gt;"",C$2,"NA"),'MITRE ATT&amp;CK Mappings'!$G893))),ISNUMBER(SEARCH(IF(C$2&lt;&gt;"",C$2,"NA"),'MITRE ATT&amp;CK Mappings'!$H893))),ISNUMBER(SEARCH(IF(C$3&lt;&gt;"",C$3,"NA"),'MITRE ATT&amp;CK Mappings'!$I893))),ISNUMBER(SEARCH(IF(C$3&lt;&gt;"",C$3,"NA"),'MITRE ATT&amp;CK Mappings'!$J893))), 'MITRE ATT&amp;CK Mappings'!$B893,"")</f>
        <v/>
      </c>
      <c r="D897" s="27" t="str">
        <f>IF(OR(OR(OR(OR(OR(ISNUMBER(SEARCH(IF(D$1&lt;&gt;"",D$1,"NA"),'MITRE ATT&amp;CK Mappings'!$E893)),ISNUMBER(SEARCH(IF(D$1&lt;&gt;"",D$1,"NA"),'MITRE ATT&amp;CK Mappings'!$F893))),ISNUMBER(SEARCH(IF(D$2&lt;&gt;"",D$2,"NA"),'MITRE ATT&amp;CK Mappings'!$G893))),ISNUMBER(SEARCH(IF(D$2&lt;&gt;"",D$2,"NA"),'MITRE ATT&amp;CK Mappings'!$H893))),ISNUMBER(SEARCH(IF(D$3&lt;&gt;"",D$3,"NA"),'MITRE ATT&amp;CK Mappings'!$I893))),ISNUMBER(SEARCH(IF(D$3&lt;&gt;"",D$3,"NA"),'MITRE ATT&amp;CK Mappings'!$J893))), 'MITRE ATT&amp;CK Mappings'!$B893,"")</f>
        <v/>
      </c>
      <c r="E897" s="27" t="str">
        <f>IF(OR(OR(OR(OR(OR(ISNUMBER(SEARCH(IF(E$1&lt;&gt;"",E$1,"NA"),'MITRE ATT&amp;CK Mappings'!$E893)),ISNUMBER(SEARCH(IF(E$1&lt;&gt;"",E$1,"NA"),'MITRE ATT&amp;CK Mappings'!$F893))),ISNUMBER(SEARCH(IF(E$2&lt;&gt;"",E$2,"NA"),'MITRE ATT&amp;CK Mappings'!$G893))),ISNUMBER(SEARCH(IF(E$2&lt;&gt;"",E$2,"NA"),'MITRE ATT&amp;CK Mappings'!$H893))),ISNUMBER(SEARCH(IF(E$3&lt;&gt;"",E$3,"NA"),'MITRE ATT&amp;CK Mappings'!$I893))),ISNUMBER(SEARCH(IF(E$3&lt;&gt;"",E$3,"NA"),'MITRE ATT&amp;CK Mappings'!$J893))), 'MITRE ATT&amp;CK Mappings'!$B893,"")</f>
        <v/>
      </c>
      <c r="F897" s="27" t="str">
        <f>IF(OR(OR(OR(OR(OR(ISNUMBER(SEARCH(IF(F$1&lt;&gt;"",F$1,"NA"),'MITRE ATT&amp;CK Mappings'!$E893)),ISNUMBER(SEARCH(IF(F$1&lt;&gt;"",F$1,"NA"),'MITRE ATT&amp;CK Mappings'!$F893))),ISNUMBER(SEARCH(IF(F$2&lt;&gt;"",F$2,"NA"),'MITRE ATT&amp;CK Mappings'!$G893))),ISNUMBER(SEARCH(IF(F$2&lt;&gt;"",F$2,"NA"),'MITRE ATT&amp;CK Mappings'!$H893))),ISNUMBER(SEARCH(IF(F$3&lt;&gt;"",F$3,"NA"),'MITRE ATT&amp;CK Mappings'!$I893))),ISNUMBER(SEARCH(IF(F$3&lt;&gt;"",F$3,"NA"),'MITRE ATT&amp;CK Mappings'!$J893))), 'MITRE ATT&amp;CK Mappings'!$B893,"")</f>
        <v/>
      </c>
      <c r="G897" s="27" t="str">
        <f>IF(OR(OR(OR(OR(OR(ISNUMBER(SEARCH(IF(G$1&lt;&gt;"",G$1,"NA"),'MITRE ATT&amp;CK Mappings'!$E893)),ISNUMBER(SEARCH(IF(G$1&lt;&gt;"",G$1,"NA"),'MITRE ATT&amp;CK Mappings'!$F893))),ISNUMBER(SEARCH(IF(G$2&lt;&gt;"",G$2,"NA"),'MITRE ATT&amp;CK Mappings'!$G893))),ISNUMBER(SEARCH(IF(G$2&lt;&gt;"",G$2,"NA"),'MITRE ATT&amp;CK Mappings'!$H893))),ISNUMBER(SEARCH(IF(G$3&lt;&gt;"",G$3,"NA"),'MITRE ATT&amp;CK Mappings'!$I893))),ISNUMBER(SEARCH(IF(G$3&lt;&gt;"",G$3,"NA"),'MITRE ATT&amp;CK Mappings'!$J893))), 'MITRE ATT&amp;CK Mappings'!$B893,"")</f>
        <v/>
      </c>
      <c r="H897" s="27" t="str">
        <f>IF(OR(OR(OR(OR(OR(ISNUMBER(SEARCH(IF(H$1&lt;&gt;"",H$1,"NA"),'MITRE ATT&amp;CK Mappings'!$E893)),ISNUMBER(SEARCH(IF(H$1&lt;&gt;"",H$1,"NA"),'MITRE ATT&amp;CK Mappings'!$F893))),ISNUMBER(SEARCH(IF(H$2&lt;&gt;"",H$2,"NA"),'MITRE ATT&amp;CK Mappings'!$G893))),ISNUMBER(SEARCH(IF(H$2&lt;&gt;"",H$2,"NA"),'MITRE ATT&amp;CK Mappings'!$H893))),ISNUMBER(SEARCH(IF(H$3&lt;&gt;"",H$3,"NA"),'MITRE ATT&amp;CK Mappings'!$I893))),ISNUMBER(SEARCH(IF(H$3&lt;&gt;"",H$3,"NA"),'MITRE ATT&amp;CK Mappings'!$J893))), 'MITRE ATT&amp;CK Mappings'!$B893,"")</f>
        <v/>
      </c>
      <c r="I897" s="27" t="str">
        <f>IF(OR(OR(OR(OR(OR(ISNUMBER(SEARCH(IF(I$1&lt;&gt;"",I$1,"NA"),'MITRE ATT&amp;CK Mappings'!$E893)),ISNUMBER(SEARCH(IF(I$1&lt;&gt;"",I$1,"NA"),'MITRE ATT&amp;CK Mappings'!$F893))),ISNUMBER(SEARCH(IF(I$2&lt;&gt;"",I$2,"NA"),'MITRE ATT&amp;CK Mappings'!$G893))),ISNUMBER(SEARCH(IF(I$2&lt;&gt;"",I$2,"NA"),'MITRE ATT&amp;CK Mappings'!$H893))),ISNUMBER(SEARCH(IF(I$3&lt;&gt;"",I$3,"NA"),'MITRE ATT&amp;CK Mappings'!$I893))),ISNUMBER(SEARCH(IF(I$3&lt;&gt;"",I$3,"NA"),'MITRE ATT&amp;CK Mappings'!$J893))), 'MITRE ATT&amp;CK Mappings'!$B893,"")</f>
        <v/>
      </c>
      <c r="J897" s="27" t="str">
        <f>IF(OR(OR(OR(OR(OR(ISNUMBER(SEARCH(IF(J$1&lt;&gt;"",J$1,"NA"),'MITRE ATT&amp;CK Mappings'!$E893)),ISNUMBER(SEARCH(IF(J$1&lt;&gt;"",J$1,"NA"),'MITRE ATT&amp;CK Mappings'!$F893))),ISNUMBER(SEARCH(IF(J$2&lt;&gt;"",J$2,"NA"),'MITRE ATT&amp;CK Mappings'!$G893))),ISNUMBER(SEARCH(IF(J$2&lt;&gt;"",J$2,"NA"),'MITRE ATT&amp;CK Mappings'!$H893))),ISNUMBER(SEARCH(IF(J$3&lt;&gt;"",J$3,"NA"),'MITRE ATT&amp;CK Mappings'!$I893))),ISNUMBER(SEARCH(IF(J$3&lt;&gt;"",J$3,"NA"),'MITRE ATT&amp;CK Mappings'!$J893))), 'MITRE ATT&amp;CK Mappings'!$B893,"")</f>
        <v/>
      </c>
      <c r="K897" s="27" t="str">
        <f>IF(OR(OR(OR(OR(OR(ISNUMBER(SEARCH(IF(K$1&lt;&gt;"",K$1,"NA"),'MITRE ATT&amp;CK Mappings'!$E893)),ISNUMBER(SEARCH(IF(K$1&lt;&gt;"",K$1,"NA"),'MITRE ATT&amp;CK Mappings'!$F893))),ISNUMBER(SEARCH(IF(K$2&lt;&gt;"",K$2,"NA"),'MITRE ATT&amp;CK Mappings'!$G893))),ISNUMBER(SEARCH(IF(K$2&lt;&gt;"",K$2,"NA"),'MITRE ATT&amp;CK Mappings'!$H893))),ISNUMBER(SEARCH(IF(K$3&lt;&gt;"",K$3,"NA"),'MITRE ATT&amp;CK Mappings'!$I893))),ISNUMBER(SEARCH(IF(K$3&lt;&gt;"",K$3,"NA"),'MITRE ATT&amp;CK Mappings'!$J893))), 'MITRE ATT&amp;CK Mappings'!$B893,"")</f>
        <v/>
      </c>
      <c r="L897" s="27" t="str">
        <f>IF('MITRE ATT&amp;CK Mappings'!D893 &lt;&gt;"",'MITRE ATT&amp;CK Mappings'!D893,"" )</f>
        <v/>
      </c>
    </row>
    <row r="898" spans="1:12" x14ac:dyDescent="0.25">
      <c r="A898" s="26" t="str">
        <f>IF(COUNTIF(B898:K898,"="&amp;'MITRE ATT&amp;CK Mappings'!B894)&gt;0,'MITRE ATT&amp;CK Mappings'!B894,"")</f>
        <v/>
      </c>
      <c r="B898" s="26" t="str">
        <f>IF(OR(OR(OR(OR(OR(ISNUMBER(SEARCH(IF(B$1&lt;&gt;"",B$1,"NA"),'MITRE ATT&amp;CK Mappings'!$E894)),ISNUMBER(SEARCH(IF(B$1&lt;&gt;"",B$1,"NA"),'MITRE ATT&amp;CK Mappings'!$F894))),ISNUMBER(SEARCH(IF(B$2&lt;&gt;"",B$2,"NA"),'MITRE ATT&amp;CK Mappings'!$G894))),ISNUMBER(SEARCH(IF(B$2&lt;&gt;"",B$2,"NA"),'MITRE ATT&amp;CK Mappings'!$H894))),ISNUMBER(SEARCH(IF(B$3&lt;&gt;"",B$3,"NA"),'MITRE ATT&amp;CK Mappings'!$I894))),ISNUMBER(SEARCH(IF(B$3&lt;&gt;"",B$3,"NA"),'MITRE ATT&amp;CK Mappings'!$J894))), 'MITRE ATT&amp;CK Mappings'!$B894,"")</f>
        <v/>
      </c>
      <c r="C898" s="26" t="str">
        <f>IF(OR(OR(OR(OR(OR(ISNUMBER(SEARCH(IF(C$1&lt;&gt;"",C$1,"NA"),'MITRE ATT&amp;CK Mappings'!$E894)),ISNUMBER(SEARCH(IF(C$1&lt;&gt;"",C$1,"NA"),'MITRE ATT&amp;CK Mappings'!$F894))),ISNUMBER(SEARCH(IF(C$2&lt;&gt;"",C$2,"NA"),'MITRE ATT&amp;CK Mappings'!$G894))),ISNUMBER(SEARCH(IF(C$2&lt;&gt;"",C$2,"NA"),'MITRE ATT&amp;CK Mappings'!$H894))),ISNUMBER(SEARCH(IF(C$3&lt;&gt;"",C$3,"NA"),'MITRE ATT&amp;CK Mappings'!$I894))),ISNUMBER(SEARCH(IF(C$3&lt;&gt;"",C$3,"NA"),'MITRE ATT&amp;CK Mappings'!$J894))), 'MITRE ATT&amp;CK Mappings'!$B894,"")</f>
        <v/>
      </c>
      <c r="D898" s="26" t="str">
        <f>IF(OR(OR(OR(OR(OR(ISNUMBER(SEARCH(IF(D$1&lt;&gt;"",D$1,"NA"),'MITRE ATT&amp;CK Mappings'!$E894)),ISNUMBER(SEARCH(IF(D$1&lt;&gt;"",D$1,"NA"),'MITRE ATT&amp;CK Mappings'!$F894))),ISNUMBER(SEARCH(IF(D$2&lt;&gt;"",D$2,"NA"),'MITRE ATT&amp;CK Mappings'!$G894))),ISNUMBER(SEARCH(IF(D$2&lt;&gt;"",D$2,"NA"),'MITRE ATT&amp;CK Mappings'!$H894))),ISNUMBER(SEARCH(IF(D$3&lt;&gt;"",D$3,"NA"),'MITRE ATT&amp;CK Mappings'!$I894))),ISNUMBER(SEARCH(IF(D$3&lt;&gt;"",D$3,"NA"),'MITRE ATT&amp;CK Mappings'!$J894))), 'MITRE ATT&amp;CK Mappings'!$B894,"")</f>
        <v/>
      </c>
      <c r="E898" s="26" t="str">
        <f>IF(OR(OR(OR(OR(OR(ISNUMBER(SEARCH(IF(E$1&lt;&gt;"",E$1,"NA"),'MITRE ATT&amp;CK Mappings'!$E894)),ISNUMBER(SEARCH(IF(E$1&lt;&gt;"",E$1,"NA"),'MITRE ATT&amp;CK Mappings'!$F894))),ISNUMBER(SEARCH(IF(E$2&lt;&gt;"",E$2,"NA"),'MITRE ATT&amp;CK Mappings'!$G894))),ISNUMBER(SEARCH(IF(E$2&lt;&gt;"",E$2,"NA"),'MITRE ATT&amp;CK Mappings'!$H894))),ISNUMBER(SEARCH(IF(E$3&lt;&gt;"",E$3,"NA"),'MITRE ATT&amp;CK Mappings'!$I894))),ISNUMBER(SEARCH(IF(E$3&lt;&gt;"",E$3,"NA"),'MITRE ATT&amp;CK Mappings'!$J894))), 'MITRE ATT&amp;CK Mappings'!$B894,"")</f>
        <v/>
      </c>
      <c r="F898" s="26" t="str">
        <f>IF(OR(OR(OR(OR(OR(ISNUMBER(SEARCH(IF(F$1&lt;&gt;"",F$1,"NA"),'MITRE ATT&amp;CK Mappings'!$E894)),ISNUMBER(SEARCH(IF(F$1&lt;&gt;"",F$1,"NA"),'MITRE ATT&amp;CK Mappings'!$F894))),ISNUMBER(SEARCH(IF(F$2&lt;&gt;"",F$2,"NA"),'MITRE ATT&amp;CK Mappings'!$G894))),ISNUMBER(SEARCH(IF(F$2&lt;&gt;"",F$2,"NA"),'MITRE ATT&amp;CK Mappings'!$H894))),ISNUMBER(SEARCH(IF(F$3&lt;&gt;"",F$3,"NA"),'MITRE ATT&amp;CK Mappings'!$I894))),ISNUMBER(SEARCH(IF(F$3&lt;&gt;"",F$3,"NA"),'MITRE ATT&amp;CK Mappings'!$J894))), 'MITRE ATT&amp;CK Mappings'!$B894,"")</f>
        <v/>
      </c>
      <c r="G898" s="26" t="str">
        <f>IF(OR(OR(OR(OR(OR(ISNUMBER(SEARCH(IF(G$1&lt;&gt;"",G$1,"NA"),'MITRE ATT&amp;CK Mappings'!$E894)),ISNUMBER(SEARCH(IF(G$1&lt;&gt;"",G$1,"NA"),'MITRE ATT&amp;CK Mappings'!$F894))),ISNUMBER(SEARCH(IF(G$2&lt;&gt;"",G$2,"NA"),'MITRE ATT&amp;CK Mappings'!$G894))),ISNUMBER(SEARCH(IF(G$2&lt;&gt;"",G$2,"NA"),'MITRE ATT&amp;CK Mappings'!$H894))),ISNUMBER(SEARCH(IF(G$3&lt;&gt;"",G$3,"NA"),'MITRE ATT&amp;CK Mappings'!$I894))),ISNUMBER(SEARCH(IF(G$3&lt;&gt;"",G$3,"NA"),'MITRE ATT&amp;CK Mappings'!$J894))), 'MITRE ATT&amp;CK Mappings'!$B894,"")</f>
        <v/>
      </c>
      <c r="H898" s="26" t="str">
        <f>IF(OR(OR(OR(OR(OR(ISNUMBER(SEARCH(IF(H$1&lt;&gt;"",H$1,"NA"),'MITRE ATT&amp;CK Mappings'!$E894)),ISNUMBER(SEARCH(IF(H$1&lt;&gt;"",H$1,"NA"),'MITRE ATT&amp;CK Mappings'!$F894))),ISNUMBER(SEARCH(IF(H$2&lt;&gt;"",H$2,"NA"),'MITRE ATT&amp;CK Mappings'!$G894))),ISNUMBER(SEARCH(IF(H$2&lt;&gt;"",H$2,"NA"),'MITRE ATT&amp;CK Mappings'!$H894))),ISNUMBER(SEARCH(IF(H$3&lt;&gt;"",H$3,"NA"),'MITRE ATT&amp;CK Mappings'!$I894))),ISNUMBER(SEARCH(IF(H$3&lt;&gt;"",H$3,"NA"),'MITRE ATT&amp;CK Mappings'!$J894))), 'MITRE ATT&amp;CK Mappings'!$B894,"")</f>
        <v/>
      </c>
      <c r="I898" s="26" t="str">
        <f>IF(OR(OR(OR(OR(OR(ISNUMBER(SEARCH(IF(I$1&lt;&gt;"",I$1,"NA"),'MITRE ATT&amp;CK Mappings'!$E894)),ISNUMBER(SEARCH(IF(I$1&lt;&gt;"",I$1,"NA"),'MITRE ATT&amp;CK Mappings'!$F894))),ISNUMBER(SEARCH(IF(I$2&lt;&gt;"",I$2,"NA"),'MITRE ATT&amp;CK Mappings'!$G894))),ISNUMBER(SEARCH(IF(I$2&lt;&gt;"",I$2,"NA"),'MITRE ATT&amp;CK Mappings'!$H894))),ISNUMBER(SEARCH(IF(I$3&lt;&gt;"",I$3,"NA"),'MITRE ATT&amp;CK Mappings'!$I894))),ISNUMBER(SEARCH(IF(I$3&lt;&gt;"",I$3,"NA"),'MITRE ATT&amp;CK Mappings'!$J894))), 'MITRE ATT&amp;CK Mappings'!$B894,"")</f>
        <v/>
      </c>
      <c r="J898" s="26" t="str">
        <f>IF(OR(OR(OR(OR(OR(ISNUMBER(SEARCH(IF(J$1&lt;&gt;"",J$1,"NA"),'MITRE ATT&amp;CK Mappings'!$E894)),ISNUMBER(SEARCH(IF(J$1&lt;&gt;"",J$1,"NA"),'MITRE ATT&amp;CK Mappings'!$F894))),ISNUMBER(SEARCH(IF(J$2&lt;&gt;"",J$2,"NA"),'MITRE ATT&amp;CK Mappings'!$G894))),ISNUMBER(SEARCH(IF(J$2&lt;&gt;"",J$2,"NA"),'MITRE ATT&amp;CK Mappings'!$H894))),ISNUMBER(SEARCH(IF(J$3&lt;&gt;"",J$3,"NA"),'MITRE ATT&amp;CK Mappings'!$I894))),ISNUMBER(SEARCH(IF(J$3&lt;&gt;"",J$3,"NA"),'MITRE ATT&amp;CK Mappings'!$J894))), 'MITRE ATT&amp;CK Mappings'!$B894,"")</f>
        <v/>
      </c>
      <c r="K898" s="26" t="str">
        <f>IF(OR(OR(OR(OR(OR(ISNUMBER(SEARCH(IF(K$1&lt;&gt;"",K$1,"NA"),'MITRE ATT&amp;CK Mappings'!$E894)),ISNUMBER(SEARCH(IF(K$1&lt;&gt;"",K$1,"NA"),'MITRE ATT&amp;CK Mappings'!$F894))),ISNUMBER(SEARCH(IF(K$2&lt;&gt;"",K$2,"NA"),'MITRE ATT&amp;CK Mappings'!$G894))),ISNUMBER(SEARCH(IF(K$2&lt;&gt;"",K$2,"NA"),'MITRE ATT&amp;CK Mappings'!$H894))),ISNUMBER(SEARCH(IF(K$3&lt;&gt;"",K$3,"NA"),'MITRE ATT&amp;CK Mappings'!$I894))),ISNUMBER(SEARCH(IF(K$3&lt;&gt;"",K$3,"NA"),'MITRE ATT&amp;CK Mappings'!$J894))), 'MITRE ATT&amp;CK Mappings'!$B894,"")</f>
        <v/>
      </c>
      <c r="L898" s="26" t="str">
        <f>IF('MITRE ATT&amp;CK Mappings'!D894 &lt;&gt;"",'MITRE ATT&amp;CK Mappings'!D894,"" )</f>
        <v/>
      </c>
    </row>
    <row r="899" spans="1:12" x14ac:dyDescent="0.25">
      <c r="A899" s="27" t="str">
        <f>IF(COUNTIF(B899:K899,"="&amp;'MITRE ATT&amp;CK Mappings'!B895)&gt;0,'MITRE ATT&amp;CK Mappings'!B895,"")</f>
        <v/>
      </c>
      <c r="B899" s="27" t="str">
        <f>IF(OR(OR(OR(OR(OR(ISNUMBER(SEARCH(IF(B$1&lt;&gt;"",B$1,"NA"),'MITRE ATT&amp;CK Mappings'!$E895)),ISNUMBER(SEARCH(IF(B$1&lt;&gt;"",B$1,"NA"),'MITRE ATT&amp;CK Mappings'!$F895))),ISNUMBER(SEARCH(IF(B$2&lt;&gt;"",B$2,"NA"),'MITRE ATT&amp;CK Mappings'!$G895))),ISNUMBER(SEARCH(IF(B$2&lt;&gt;"",B$2,"NA"),'MITRE ATT&amp;CK Mappings'!$H895))),ISNUMBER(SEARCH(IF(B$3&lt;&gt;"",B$3,"NA"),'MITRE ATT&amp;CK Mappings'!$I895))),ISNUMBER(SEARCH(IF(B$3&lt;&gt;"",B$3,"NA"),'MITRE ATT&amp;CK Mappings'!$J895))), 'MITRE ATT&amp;CK Mappings'!$B895,"")</f>
        <v/>
      </c>
      <c r="C899" s="27" t="str">
        <f>IF(OR(OR(OR(OR(OR(ISNUMBER(SEARCH(IF(C$1&lt;&gt;"",C$1,"NA"),'MITRE ATT&amp;CK Mappings'!$E895)),ISNUMBER(SEARCH(IF(C$1&lt;&gt;"",C$1,"NA"),'MITRE ATT&amp;CK Mappings'!$F895))),ISNUMBER(SEARCH(IF(C$2&lt;&gt;"",C$2,"NA"),'MITRE ATT&amp;CK Mappings'!$G895))),ISNUMBER(SEARCH(IF(C$2&lt;&gt;"",C$2,"NA"),'MITRE ATT&amp;CK Mappings'!$H895))),ISNUMBER(SEARCH(IF(C$3&lt;&gt;"",C$3,"NA"),'MITRE ATT&amp;CK Mappings'!$I895))),ISNUMBER(SEARCH(IF(C$3&lt;&gt;"",C$3,"NA"),'MITRE ATT&amp;CK Mappings'!$J895))), 'MITRE ATT&amp;CK Mappings'!$B895,"")</f>
        <v/>
      </c>
      <c r="D899" s="27" t="str">
        <f>IF(OR(OR(OR(OR(OR(ISNUMBER(SEARCH(IF(D$1&lt;&gt;"",D$1,"NA"),'MITRE ATT&amp;CK Mappings'!$E895)),ISNUMBER(SEARCH(IF(D$1&lt;&gt;"",D$1,"NA"),'MITRE ATT&amp;CK Mappings'!$F895))),ISNUMBER(SEARCH(IF(D$2&lt;&gt;"",D$2,"NA"),'MITRE ATT&amp;CK Mappings'!$G895))),ISNUMBER(SEARCH(IF(D$2&lt;&gt;"",D$2,"NA"),'MITRE ATT&amp;CK Mappings'!$H895))),ISNUMBER(SEARCH(IF(D$3&lt;&gt;"",D$3,"NA"),'MITRE ATT&amp;CK Mappings'!$I895))),ISNUMBER(SEARCH(IF(D$3&lt;&gt;"",D$3,"NA"),'MITRE ATT&amp;CK Mappings'!$J895))), 'MITRE ATT&amp;CK Mappings'!$B895,"")</f>
        <v/>
      </c>
      <c r="E899" s="27" t="str">
        <f>IF(OR(OR(OR(OR(OR(ISNUMBER(SEARCH(IF(E$1&lt;&gt;"",E$1,"NA"),'MITRE ATT&amp;CK Mappings'!$E895)),ISNUMBER(SEARCH(IF(E$1&lt;&gt;"",E$1,"NA"),'MITRE ATT&amp;CK Mappings'!$F895))),ISNUMBER(SEARCH(IF(E$2&lt;&gt;"",E$2,"NA"),'MITRE ATT&amp;CK Mappings'!$G895))),ISNUMBER(SEARCH(IF(E$2&lt;&gt;"",E$2,"NA"),'MITRE ATT&amp;CK Mappings'!$H895))),ISNUMBER(SEARCH(IF(E$3&lt;&gt;"",E$3,"NA"),'MITRE ATT&amp;CK Mappings'!$I895))),ISNUMBER(SEARCH(IF(E$3&lt;&gt;"",E$3,"NA"),'MITRE ATT&amp;CK Mappings'!$J895))), 'MITRE ATT&amp;CK Mappings'!$B895,"")</f>
        <v/>
      </c>
      <c r="F899" s="27" t="str">
        <f>IF(OR(OR(OR(OR(OR(ISNUMBER(SEARCH(IF(F$1&lt;&gt;"",F$1,"NA"),'MITRE ATT&amp;CK Mappings'!$E895)),ISNUMBER(SEARCH(IF(F$1&lt;&gt;"",F$1,"NA"),'MITRE ATT&amp;CK Mappings'!$F895))),ISNUMBER(SEARCH(IF(F$2&lt;&gt;"",F$2,"NA"),'MITRE ATT&amp;CK Mappings'!$G895))),ISNUMBER(SEARCH(IF(F$2&lt;&gt;"",F$2,"NA"),'MITRE ATT&amp;CK Mappings'!$H895))),ISNUMBER(SEARCH(IF(F$3&lt;&gt;"",F$3,"NA"),'MITRE ATT&amp;CK Mappings'!$I895))),ISNUMBER(SEARCH(IF(F$3&lt;&gt;"",F$3,"NA"),'MITRE ATT&amp;CK Mappings'!$J895))), 'MITRE ATT&amp;CK Mappings'!$B895,"")</f>
        <v/>
      </c>
      <c r="G899" s="27" t="str">
        <f>IF(OR(OR(OR(OR(OR(ISNUMBER(SEARCH(IF(G$1&lt;&gt;"",G$1,"NA"),'MITRE ATT&amp;CK Mappings'!$E895)),ISNUMBER(SEARCH(IF(G$1&lt;&gt;"",G$1,"NA"),'MITRE ATT&amp;CK Mappings'!$F895))),ISNUMBER(SEARCH(IF(G$2&lt;&gt;"",G$2,"NA"),'MITRE ATT&amp;CK Mappings'!$G895))),ISNUMBER(SEARCH(IF(G$2&lt;&gt;"",G$2,"NA"),'MITRE ATT&amp;CK Mappings'!$H895))),ISNUMBER(SEARCH(IF(G$3&lt;&gt;"",G$3,"NA"),'MITRE ATT&amp;CK Mappings'!$I895))),ISNUMBER(SEARCH(IF(G$3&lt;&gt;"",G$3,"NA"),'MITRE ATT&amp;CK Mappings'!$J895))), 'MITRE ATT&amp;CK Mappings'!$B895,"")</f>
        <v/>
      </c>
      <c r="H899" s="27" t="str">
        <f>IF(OR(OR(OR(OR(OR(ISNUMBER(SEARCH(IF(H$1&lt;&gt;"",H$1,"NA"),'MITRE ATT&amp;CK Mappings'!$E895)),ISNUMBER(SEARCH(IF(H$1&lt;&gt;"",H$1,"NA"),'MITRE ATT&amp;CK Mappings'!$F895))),ISNUMBER(SEARCH(IF(H$2&lt;&gt;"",H$2,"NA"),'MITRE ATT&amp;CK Mappings'!$G895))),ISNUMBER(SEARCH(IF(H$2&lt;&gt;"",H$2,"NA"),'MITRE ATT&amp;CK Mappings'!$H895))),ISNUMBER(SEARCH(IF(H$3&lt;&gt;"",H$3,"NA"),'MITRE ATT&amp;CK Mappings'!$I895))),ISNUMBER(SEARCH(IF(H$3&lt;&gt;"",H$3,"NA"),'MITRE ATT&amp;CK Mappings'!$J895))), 'MITRE ATT&amp;CK Mappings'!$B895,"")</f>
        <v/>
      </c>
      <c r="I899" s="27" t="str">
        <f>IF(OR(OR(OR(OR(OR(ISNUMBER(SEARCH(IF(I$1&lt;&gt;"",I$1,"NA"),'MITRE ATT&amp;CK Mappings'!$E895)),ISNUMBER(SEARCH(IF(I$1&lt;&gt;"",I$1,"NA"),'MITRE ATT&amp;CK Mappings'!$F895))),ISNUMBER(SEARCH(IF(I$2&lt;&gt;"",I$2,"NA"),'MITRE ATT&amp;CK Mappings'!$G895))),ISNUMBER(SEARCH(IF(I$2&lt;&gt;"",I$2,"NA"),'MITRE ATT&amp;CK Mappings'!$H895))),ISNUMBER(SEARCH(IF(I$3&lt;&gt;"",I$3,"NA"),'MITRE ATT&amp;CK Mappings'!$I895))),ISNUMBER(SEARCH(IF(I$3&lt;&gt;"",I$3,"NA"),'MITRE ATT&amp;CK Mappings'!$J895))), 'MITRE ATT&amp;CK Mappings'!$B895,"")</f>
        <v/>
      </c>
      <c r="J899" s="27" t="str">
        <f>IF(OR(OR(OR(OR(OR(ISNUMBER(SEARCH(IF(J$1&lt;&gt;"",J$1,"NA"),'MITRE ATT&amp;CK Mappings'!$E895)),ISNUMBER(SEARCH(IF(J$1&lt;&gt;"",J$1,"NA"),'MITRE ATT&amp;CK Mappings'!$F895))),ISNUMBER(SEARCH(IF(J$2&lt;&gt;"",J$2,"NA"),'MITRE ATT&amp;CK Mappings'!$G895))),ISNUMBER(SEARCH(IF(J$2&lt;&gt;"",J$2,"NA"),'MITRE ATT&amp;CK Mappings'!$H895))),ISNUMBER(SEARCH(IF(J$3&lt;&gt;"",J$3,"NA"),'MITRE ATT&amp;CK Mappings'!$I895))),ISNUMBER(SEARCH(IF(J$3&lt;&gt;"",J$3,"NA"),'MITRE ATT&amp;CK Mappings'!$J895))), 'MITRE ATT&amp;CK Mappings'!$B895,"")</f>
        <v/>
      </c>
      <c r="K899" s="27" t="str">
        <f>IF(OR(OR(OR(OR(OR(ISNUMBER(SEARCH(IF(K$1&lt;&gt;"",K$1,"NA"),'MITRE ATT&amp;CK Mappings'!$E895)),ISNUMBER(SEARCH(IF(K$1&lt;&gt;"",K$1,"NA"),'MITRE ATT&amp;CK Mappings'!$F895))),ISNUMBER(SEARCH(IF(K$2&lt;&gt;"",K$2,"NA"),'MITRE ATT&amp;CK Mappings'!$G895))),ISNUMBER(SEARCH(IF(K$2&lt;&gt;"",K$2,"NA"),'MITRE ATT&amp;CK Mappings'!$H895))),ISNUMBER(SEARCH(IF(K$3&lt;&gt;"",K$3,"NA"),'MITRE ATT&amp;CK Mappings'!$I895))),ISNUMBER(SEARCH(IF(K$3&lt;&gt;"",K$3,"NA"),'MITRE ATT&amp;CK Mappings'!$J895))), 'MITRE ATT&amp;CK Mappings'!$B895,"")</f>
        <v/>
      </c>
      <c r="L899" s="27" t="str">
        <f>IF('MITRE ATT&amp;CK Mappings'!D895 &lt;&gt;"",'MITRE ATT&amp;CK Mappings'!D895,"" )</f>
        <v/>
      </c>
    </row>
    <row r="900" spans="1:12" x14ac:dyDescent="0.25">
      <c r="A900" s="26" t="str">
        <f>IF(COUNTIF(B900:K900,"="&amp;'MITRE ATT&amp;CK Mappings'!B896)&gt;0,'MITRE ATT&amp;CK Mappings'!B896,"")</f>
        <v/>
      </c>
      <c r="B900" s="26" t="str">
        <f>IF(OR(OR(OR(OR(OR(ISNUMBER(SEARCH(IF(B$1&lt;&gt;"",B$1,"NA"),'MITRE ATT&amp;CK Mappings'!$E896)),ISNUMBER(SEARCH(IF(B$1&lt;&gt;"",B$1,"NA"),'MITRE ATT&amp;CK Mappings'!$F896))),ISNUMBER(SEARCH(IF(B$2&lt;&gt;"",B$2,"NA"),'MITRE ATT&amp;CK Mappings'!$G896))),ISNUMBER(SEARCH(IF(B$2&lt;&gt;"",B$2,"NA"),'MITRE ATT&amp;CK Mappings'!$H896))),ISNUMBER(SEARCH(IF(B$3&lt;&gt;"",B$3,"NA"),'MITRE ATT&amp;CK Mappings'!$I896))),ISNUMBER(SEARCH(IF(B$3&lt;&gt;"",B$3,"NA"),'MITRE ATT&amp;CK Mappings'!$J896))), 'MITRE ATT&amp;CK Mappings'!$B896,"")</f>
        <v/>
      </c>
      <c r="C900" s="26" t="str">
        <f>IF(OR(OR(OR(OR(OR(ISNUMBER(SEARCH(IF(C$1&lt;&gt;"",C$1,"NA"),'MITRE ATT&amp;CK Mappings'!$E896)),ISNUMBER(SEARCH(IF(C$1&lt;&gt;"",C$1,"NA"),'MITRE ATT&amp;CK Mappings'!$F896))),ISNUMBER(SEARCH(IF(C$2&lt;&gt;"",C$2,"NA"),'MITRE ATT&amp;CK Mappings'!$G896))),ISNUMBER(SEARCH(IF(C$2&lt;&gt;"",C$2,"NA"),'MITRE ATT&amp;CK Mappings'!$H896))),ISNUMBER(SEARCH(IF(C$3&lt;&gt;"",C$3,"NA"),'MITRE ATT&amp;CK Mappings'!$I896))),ISNUMBER(SEARCH(IF(C$3&lt;&gt;"",C$3,"NA"),'MITRE ATT&amp;CK Mappings'!$J896))), 'MITRE ATT&amp;CK Mappings'!$B896,"")</f>
        <v/>
      </c>
      <c r="D900" s="26" t="str">
        <f>IF(OR(OR(OR(OR(OR(ISNUMBER(SEARCH(IF(D$1&lt;&gt;"",D$1,"NA"),'MITRE ATT&amp;CK Mappings'!$E896)),ISNUMBER(SEARCH(IF(D$1&lt;&gt;"",D$1,"NA"),'MITRE ATT&amp;CK Mappings'!$F896))),ISNUMBER(SEARCH(IF(D$2&lt;&gt;"",D$2,"NA"),'MITRE ATT&amp;CK Mappings'!$G896))),ISNUMBER(SEARCH(IF(D$2&lt;&gt;"",D$2,"NA"),'MITRE ATT&amp;CK Mappings'!$H896))),ISNUMBER(SEARCH(IF(D$3&lt;&gt;"",D$3,"NA"),'MITRE ATT&amp;CK Mappings'!$I896))),ISNUMBER(SEARCH(IF(D$3&lt;&gt;"",D$3,"NA"),'MITRE ATT&amp;CK Mappings'!$J896))), 'MITRE ATT&amp;CK Mappings'!$B896,"")</f>
        <v/>
      </c>
      <c r="E900" s="26" t="str">
        <f>IF(OR(OR(OR(OR(OR(ISNUMBER(SEARCH(IF(E$1&lt;&gt;"",E$1,"NA"),'MITRE ATT&amp;CK Mappings'!$E896)),ISNUMBER(SEARCH(IF(E$1&lt;&gt;"",E$1,"NA"),'MITRE ATT&amp;CK Mappings'!$F896))),ISNUMBER(SEARCH(IF(E$2&lt;&gt;"",E$2,"NA"),'MITRE ATT&amp;CK Mappings'!$G896))),ISNUMBER(SEARCH(IF(E$2&lt;&gt;"",E$2,"NA"),'MITRE ATT&amp;CK Mappings'!$H896))),ISNUMBER(SEARCH(IF(E$3&lt;&gt;"",E$3,"NA"),'MITRE ATT&amp;CK Mappings'!$I896))),ISNUMBER(SEARCH(IF(E$3&lt;&gt;"",E$3,"NA"),'MITRE ATT&amp;CK Mappings'!$J896))), 'MITRE ATT&amp;CK Mappings'!$B896,"")</f>
        <v/>
      </c>
      <c r="F900" s="26" t="str">
        <f>IF(OR(OR(OR(OR(OR(ISNUMBER(SEARCH(IF(F$1&lt;&gt;"",F$1,"NA"),'MITRE ATT&amp;CK Mappings'!$E896)),ISNUMBER(SEARCH(IF(F$1&lt;&gt;"",F$1,"NA"),'MITRE ATT&amp;CK Mappings'!$F896))),ISNUMBER(SEARCH(IF(F$2&lt;&gt;"",F$2,"NA"),'MITRE ATT&amp;CK Mappings'!$G896))),ISNUMBER(SEARCH(IF(F$2&lt;&gt;"",F$2,"NA"),'MITRE ATT&amp;CK Mappings'!$H896))),ISNUMBER(SEARCH(IF(F$3&lt;&gt;"",F$3,"NA"),'MITRE ATT&amp;CK Mappings'!$I896))),ISNUMBER(SEARCH(IF(F$3&lt;&gt;"",F$3,"NA"),'MITRE ATT&amp;CK Mappings'!$J896))), 'MITRE ATT&amp;CK Mappings'!$B896,"")</f>
        <v/>
      </c>
      <c r="G900" s="26" t="str">
        <f>IF(OR(OR(OR(OR(OR(ISNUMBER(SEARCH(IF(G$1&lt;&gt;"",G$1,"NA"),'MITRE ATT&amp;CK Mappings'!$E896)),ISNUMBER(SEARCH(IF(G$1&lt;&gt;"",G$1,"NA"),'MITRE ATT&amp;CK Mappings'!$F896))),ISNUMBER(SEARCH(IF(G$2&lt;&gt;"",G$2,"NA"),'MITRE ATT&amp;CK Mappings'!$G896))),ISNUMBER(SEARCH(IF(G$2&lt;&gt;"",G$2,"NA"),'MITRE ATT&amp;CK Mappings'!$H896))),ISNUMBER(SEARCH(IF(G$3&lt;&gt;"",G$3,"NA"),'MITRE ATT&amp;CK Mappings'!$I896))),ISNUMBER(SEARCH(IF(G$3&lt;&gt;"",G$3,"NA"),'MITRE ATT&amp;CK Mappings'!$J896))), 'MITRE ATT&amp;CK Mappings'!$B896,"")</f>
        <v/>
      </c>
      <c r="H900" s="26" t="str">
        <f>IF(OR(OR(OR(OR(OR(ISNUMBER(SEARCH(IF(H$1&lt;&gt;"",H$1,"NA"),'MITRE ATT&amp;CK Mappings'!$E896)),ISNUMBER(SEARCH(IF(H$1&lt;&gt;"",H$1,"NA"),'MITRE ATT&amp;CK Mappings'!$F896))),ISNUMBER(SEARCH(IF(H$2&lt;&gt;"",H$2,"NA"),'MITRE ATT&amp;CK Mappings'!$G896))),ISNUMBER(SEARCH(IF(H$2&lt;&gt;"",H$2,"NA"),'MITRE ATT&amp;CK Mappings'!$H896))),ISNUMBER(SEARCH(IF(H$3&lt;&gt;"",H$3,"NA"),'MITRE ATT&amp;CK Mappings'!$I896))),ISNUMBER(SEARCH(IF(H$3&lt;&gt;"",H$3,"NA"),'MITRE ATT&amp;CK Mappings'!$J896))), 'MITRE ATT&amp;CK Mappings'!$B896,"")</f>
        <v/>
      </c>
      <c r="I900" s="26" t="str">
        <f>IF(OR(OR(OR(OR(OR(ISNUMBER(SEARCH(IF(I$1&lt;&gt;"",I$1,"NA"),'MITRE ATT&amp;CK Mappings'!$E896)),ISNUMBER(SEARCH(IF(I$1&lt;&gt;"",I$1,"NA"),'MITRE ATT&amp;CK Mappings'!$F896))),ISNUMBER(SEARCH(IF(I$2&lt;&gt;"",I$2,"NA"),'MITRE ATT&amp;CK Mappings'!$G896))),ISNUMBER(SEARCH(IF(I$2&lt;&gt;"",I$2,"NA"),'MITRE ATT&amp;CK Mappings'!$H896))),ISNUMBER(SEARCH(IF(I$3&lt;&gt;"",I$3,"NA"),'MITRE ATT&amp;CK Mappings'!$I896))),ISNUMBER(SEARCH(IF(I$3&lt;&gt;"",I$3,"NA"),'MITRE ATT&amp;CK Mappings'!$J896))), 'MITRE ATT&amp;CK Mappings'!$B896,"")</f>
        <v/>
      </c>
      <c r="J900" s="26" t="str">
        <f>IF(OR(OR(OR(OR(OR(ISNUMBER(SEARCH(IF(J$1&lt;&gt;"",J$1,"NA"),'MITRE ATT&amp;CK Mappings'!$E896)),ISNUMBER(SEARCH(IF(J$1&lt;&gt;"",J$1,"NA"),'MITRE ATT&amp;CK Mappings'!$F896))),ISNUMBER(SEARCH(IF(J$2&lt;&gt;"",J$2,"NA"),'MITRE ATT&amp;CK Mappings'!$G896))),ISNUMBER(SEARCH(IF(J$2&lt;&gt;"",J$2,"NA"),'MITRE ATT&amp;CK Mappings'!$H896))),ISNUMBER(SEARCH(IF(J$3&lt;&gt;"",J$3,"NA"),'MITRE ATT&amp;CK Mappings'!$I896))),ISNUMBER(SEARCH(IF(J$3&lt;&gt;"",J$3,"NA"),'MITRE ATT&amp;CK Mappings'!$J896))), 'MITRE ATT&amp;CK Mappings'!$B896,"")</f>
        <v/>
      </c>
      <c r="K900" s="26" t="str">
        <f>IF(OR(OR(OR(OR(OR(ISNUMBER(SEARCH(IF(K$1&lt;&gt;"",K$1,"NA"),'MITRE ATT&amp;CK Mappings'!$E896)),ISNUMBER(SEARCH(IF(K$1&lt;&gt;"",K$1,"NA"),'MITRE ATT&amp;CK Mappings'!$F896))),ISNUMBER(SEARCH(IF(K$2&lt;&gt;"",K$2,"NA"),'MITRE ATT&amp;CK Mappings'!$G896))),ISNUMBER(SEARCH(IF(K$2&lt;&gt;"",K$2,"NA"),'MITRE ATT&amp;CK Mappings'!$H896))),ISNUMBER(SEARCH(IF(K$3&lt;&gt;"",K$3,"NA"),'MITRE ATT&amp;CK Mappings'!$I896))),ISNUMBER(SEARCH(IF(K$3&lt;&gt;"",K$3,"NA"),'MITRE ATT&amp;CK Mappings'!$J896))), 'MITRE ATT&amp;CK Mappings'!$B896,"")</f>
        <v/>
      </c>
      <c r="L900" s="26" t="str">
        <f>IF('MITRE ATT&amp;CK Mappings'!D896 &lt;&gt;"",'MITRE ATT&amp;CK Mappings'!D896,"" )</f>
        <v/>
      </c>
    </row>
    <row r="901" spans="1:12" x14ac:dyDescent="0.25">
      <c r="A901" s="27" t="str">
        <f>IF(COUNTIF(B901:K901,"="&amp;'MITRE ATT&amp;CK Mappings'!B897)&gt;0,'MITRE ATT&amp;CK Mappings'!B897,"")</f>
        <v/>
      </c>
      <c r="B901" s="27" t="str">
        <f>IF(OR(OR(OR(OR(OR(ISNUMBER(SEARCH(IF(B$1&lt;&gt;"",B$1,"NA"),'MITRE ATT&amp;CK Mappings'!$E897)),ISNUMBER(SEARCH(IF(B$1&lt;&gt;"",B$1,"NA"),'MITRE ATT&amp;CK Mappings'!$F897))),ISNUMBER(SEARCH(IF(B$2&lt;&gt;"",B$2,"NA"),'MITRE ATT&amp;CK Mappings'!$G897))),ISNUMBER(SEARCH(IF(B$2&lt;&gt;"",B$2,"NA"),'MITRE ATT&amp;CK Mappings'!$H897))),ISNUMBER(SEARCH(IF(B$3&lt;&gt;"",B$3,"NA"),'MITRE ATT&amp;CK Mappings'!$I897))),ISNUMBER(SEARCH(IF(B$3&lt;&gt;"",B$3,"NA"),'MITRE ATT&amp;CK Mappings'!$J897))), 'MITRE ATT&amp;CK Mappings'!$B897,"")</f>
        <v/>
      </c>
      <c r="C901" s="27" t="str">
        <f>IF(OR(OR(OR(OR(OR(ISNUMBER(SEARCH(IF(C$1&lt;&gt;"",C$1,"NA"),'MITRE ATT&amp;CK Mappings'!$E897)),ISNUMBER(SEARCH(IF(C$1&lt;&gt;"",C$1,"NA"),'MITRE ATT&amp;CK Mappings'!$F897))),ISNUMBER(SEARCH(IF(C$2&lt;&gt;"",C$2,"NA"),'MITRE ATT&amp;CK Mappings'!$G897))),ISNUMBER(SEARCH(IF(C$2&lt;&gt;"",C$2,"NA"),'MITRE ATT&amp;CK Mappings'!$H897))),ISNUMBER(SEARCH(IF(C$3&lt;&gt;"",C$3,"NA"),'MITRE ATT&amp;CK Mappings'!$I897))),ISNUMBER(SEARCH(IF(C$3&lt;&gt;"",C$3,"NA"),'MITRE ATT&amp;CK Mappings'!$J897))), 'MITRE ATT&amp;CK Mappings'!$B897,"")</f>
        <v/>
      </c>
      <c r="D901" s="27" t="str">
        <f>IF(OR(OR(OR(OR(OR(ISNUMBER(SEARCH(IF(D$1&lt;&gt;"",D$1,"NA"),'MITRE ATT&amp;CK Mappings'!$E897)),ISNUMBER(SEARCH(IF(D$1&lt;&gt;"",D$1,"NA"),'MITRE ATT&amp;CK Mappings'!$F897))),ISNUMBER(SEARCH(IF(D$2&lt;&gt;"",D$2,"NA"),'MITRE ATT&amp;CK Mappings'!$G897))),ISNUMBER(SEARCH(IF(D$2&lt;&gt;"",D$2,"NA"),'MITRE ATT&amp;CK Mappings'!$H897))),ISNUMBER(SEARCH(IF(D$3&lt;&gt;"",D$3,"NA"),'MITRE ATT&amp;CK Mappings'!$I897))),ISNUMBER(SEARCH(IF(D$3&lt;&gt;"",D$3,"NA"),'MITRE ATT&amp;CK Mappings'!$J897))), 'MITRE ATT&amp;CK Mappings'!$B897,"")</f>
        <v/>
      </c>
      <c r="E901" s="27" t="str">
        <f>IF(OR(OR(OR(OR(OR(ISNUMBER(SEARCH(IF(E$1&lt;&gt;"",E$1,"NA"),'MITRE ATT&amp;CK Mappings'!$E897)),ISNUMBER(SEARCH(IF(E$1&lt;&gt;"",E$1,"NA"),'MITRE ATT&amp;CK Mappings'!$F897))),ISNUMBER(SEARCH(IF(E$2&lt;&gt;"",E$2,"NA"),'MITRE ATT&amp;CK Mappings'!$G897))),ISNUMBER(SEARCH(IF(E$2&lt;&gt;"",E$2,"NA"),'MITRE ATT&amp;CK Mappings'!$H897))),ISNUMBER(SEARCH(IF(E$3&lt;&gt;"",E$3,"NA"),'MITRE ATT&amp;CK Mappings'!$I897))),ISNUMBER(SEARCH(IF(E$3&lt;&gt;"",E$3,"NA"),'MITRE ATT&amp;CK Mappings'!$J897))), 'MITRE ATT&amp;CK Mappings'!$B897,"")</f>
        <v/>
      </c>
      <c r="F901" s="27" t="str">
        <f>IF(OR(OR(OR(OR(OR(ISNUMBER(SEARCH(IF(F$1&lt;&gt;"",F$1,"NA"),'MITRE ATT&amp;CK Mappings'!$E897)),ISNUMBER(SEARCH(IF(F$1&lt;&gt;"",F$1,"NA"),'MITRE ATT&amp;CK Mappings'!$F897))),ISNUMBER(SEARCH(IF(F$2&lt;&gt;"",F$2,"NA"),'MITRE ATT&amp;CK Mappings'!$G897))),ISNUMBER(SEARCH(IF(F$2&lt;&gt;"",F$2,"NA"),'MITRE ATT&amp;CK Mappings'!$H897))),ISNUMBER(SEARCH(IF(F$3&lt;&gt;"",F$3,"NA"),'MITRE ATT&amp;CK Mappings'!$I897))),ISNUMBER(SEARCH(IF(F$3&lt;&gt;"",F$3,"NA"),'MITRE ATT&amp;CK Mappings'!$J897))), 'MITRE ATT&amp;CK Mappings'!$B897,"")</f>
        <v/>
      </c>
      <c r="G901" s="27" t="str">
        <f>IF(OR(OR(OR(OR(OR(ISNUMBER(SEARCH(IF(G$1&lt;&gt;"",G$1,"NA"),'MITRE ATT&amp;CK Mappings'!$E897)),ISNUMBER(SEARCH(IF(G$1&lt;&gt;"",G$1,"NA"),'MITRE ATT&amp;CK Mappings'!$F897))),ISNUMBER(SEARCH(IF(G$2&lt;&gt;"",G$2,"NA"),'MITRE ATT&amp;CK Mappings'!$G897))),ISNUMBER(SEARCH(IF(G$2&lt;&gt;"",G$2,"NA"),'MITRE ATT&amp;CK Mappings'!$H897))),ISNUMBER(SEARCH(IF(G$3&lt;&gt;"",G$3,"NA"),'MITRE ATT&amp;CK Mappings'!$I897))),ISNUMBER(SEARCH(IF(G$3&lt;&gt;"",G$3,"NA"),'MITRE ATT&amp;CK Mappings'!$J897))), 'MITRE ATT&amp;CK Mappings'!$B897,"")</f>
        <v/>
      </c>
      <c r="H901" s="27" t="str">
        <f>IF(OR(OR(OR(OR(OR(ISNUMBER(SEARCH(IF(H$1&lt;&gt;"",H$1,"NA"),'MITRE ATT&amp;CK Mappings'!$E897)),ISNUMBER(SEARCH(IF(H$1&lt;&gt;"",H$1,"NA"),'MITRE ATT&amp;CK Mappings'!$F897))),ISNUMBER(SEARCH(IF(H$2&lt;&gt;"",H$2,"NA"),'MITRE ATT&amp;CK Mappings'!$G897))),ISNUMBER(SEARCH(IF(H$2&lt;&gt;"",H$2,"NA"),'MITRE ATT&amp;CK Mappings'!$H897))),ISNUMBER(SEARCH(IF(H$3&lt;&gt;"",H$3,"NA"),'MITRE ATT&amp;CK Mappings'!$I897))),ISNUMBER(SEARCH(IF(H$3&lt;&gt;"",H$3,"NA"),'MITRE ATT&amp;CK Mappings'!$J897))), 'MITRE ATT&amp;CK Mappings'!$B897,"")</f>
        <v/>
      </c>
      <c r="I901" s="27" t="str">
        <f>IF(OR(OR(OR(OR(OR(ISNUMBER(SEARCH(IF(I$1&lt;&gt;"",I$1,"NA"),'MITRE ATT&amp;CK Mappings'!$E897)),ISNUMBER(SEARCH(IF(I$1&lt;&gt;"",I$1,"NA"),'MITRE ATT&amp;CK Mappings'!$F897))),ISNUMBER(SEARCH(IF(I$2&lt;&gt;"",I$2,"NA"),'MITRE ATT&amp;CK Mappings'!$G897))),ISNUMBER(SEARCH(IF(I$2&lt;&gt;"",I$2,"NA"),'MITRE ATT&amp;CK Mappings'!$H897))),ISNUMBER(SEARCH(IF(I$3&lt;&gt;"",I$3,"NA"),'MITRE ATT&amp;CK Mappings'!$I897))),ISNUMBER(SEARCH(IF(I$3&lt;&gt;"",I$3,"NA"),'MITRE ATT&amp;CK Mappings'!$J897))), 'MITRE ATT&amp;CK Mappings'!$B897,"")</f>
        <v/>
      </c>
      <c r="J901" s="27" t="str">
        <f>IF(OR(OR(OR(OR(OR(ISNUMBER(SEARCH(IF(J$1&lt;&gt;"",J$1,"NA"),'MITRE ATT&amp;CK Mappings'!$E897)),ISNUMBER(SEARCH(IF(J$1&lt;&gt;"",J$1,"NA"),'MITRE ATT&amp;CK Mappings'!$F897))),ISNUMBER(SEARCH(IF(J$2&lt;&gt;"",J$2,"NA"),'MITRE ATT&amp;CK Mappings'!$G897))),ISNUMBER(SEARCH(IF(J$2&lt;&gt;"",J$2,"NA"),'MITRE ATT&amp;CK Mappings'!$H897))),ISNUMBER(SEARCH(IF(J$3&lt;&gt;"",J$3,"NA"),'MITRE ATT&amp;CK Mappings'!$I897))),ISNUMBER(SEARCH(IF(J$3&lt;&gt;"",J$3,"NA"),'MITRE ATT&amp;CK Mappings'!$J897))), 'MITRE ATT&amp;CK Mappings'!$B897,"")</f>
        <v/>
      </c>
      <c r="K901" s="27" t="str">
        <f>IF(OR(OR(OR(OR(OR(ISNUMBER(SEARCH(IF(K$1&lt;&gt;"",K$1,"NA"),'MITRE ATT&amp;CK Mappings'!$E897)),ISNUMBER(SEARCH(IF(K$1&lt;&gt;"",K$1,"NA"),'MITRE ATT&amp;CK Mappings'!$F897))),ISNUMBER(SEARCH(IF(K$2&lt;&gt;"",K$2,"NA"),'MITRE ATT&amp;CK Mappings'!$G897))),ISNUMBER(SEARCH(IF(K$2&lt;&gt;"",K$2,"NA"),'MITRE ATT&amp;CK Mappings'!$H897))),ISNUMBER(SEARCH(IF(K$3&lt;&gt;"",K$3,"NA"),'MITRE ATT&amp;CK Mappings'!$I897))),ISNUMBER(SEARCH(IF(K$3&lt;&gt;"",K$3,"NA"),'MITRE ATT&amp;CK Mappings'!$J897))), 'MITRE ATT&amp;CK Mappings'!$B897,"")</f>
        <v/>
      </c>
      <c r="L901" s="27" t="str">
        <f>IF('MITRE ATT&amp;CK Mappings'!D897 &lt;&gt;"",'MITRE ATT&amp;CK Mappings'!D897,"" )</f>
        <v/>
      </c>
    </row>
    <row r="902" spans="1:12" x14ac:dyDescent="0.25">
      <c r="A902" s="26" t="str">
        <f>IF(COUNTIF(B902:K902,"="&amp;'MITRE ATT&amp;CK Mappings'!B898)&gt;0,'MITRE ATT&amp;CK Mappings'!B898,"")</f>
        <v/>
      </c>
      <c r="B902" s="26" t="str">
        <f>IF(OR(OR(OR(OR(OR(ISNUMBER(SEARCH(IF(B$1&lt;&gt;"",B$1,"NA"),'MITRE ATT&amp;CK Mappings'!$E898)),ISNUMBER(SEARCH(IF(B$1&lt;&gt;"",B$1,"NA"),'MITRE ATT&amp;CK Mappings'!$F898))),ISNUMBER(SEARCH(IF(B$2&lt;&gt;"",B$2,"NA"),'MITRE ATT&amp;CK Mappings'!$G898))),ISNUMBER(SEARCH(IF(B$2&lt;&gt;"",B$2,"NA"),'MITRE ATT&amp;CK Mappings'!$H898))),ISNUMBER(SEARCH(IF(B$3&lt;&gt;"",B$3,"NA"),'MITRE ATT&amp;CK Mappings'!$I898))),ISNUMBER(SEARCH(IF(B$3&lt;&gt;"",B$3,"NA"),'MITRE ATT&amp;CK Mappings'!$J898))), 'MITRE ATT&amp;CK Mappings'!$B898,"")</f>
        <v/>
      </c>
      <c r="C902" s="26" t="str">
        <f>IF(OR(OR(OR(OR(OR(ISNUMBER(SEARCH(IF(C$1&lt;&gt;"",C$1,"NA"),'MITRE ATT&amp;CK Mappings'!$E898)),ISNUMBER(SEARCH(IF(C$1&lt;&gt;"",C$1,"NA"),'MITRE ATT&amp;CK Mappings'!$F898))),ISNUMBER(SEARCH(IF(C$2&lt;&gt;"",C$2,"NA"),'MITRE ATT&amp;CK Mappings'!$G898))),ISNUMBER(SEARCH(IF(C$2&lt;&gt;"",C$2,"NA"),'MITRE ATT&amp;CK Mappings'!$H898))),ISNUMBER(SEARCH(IF(C$3&lt;&gt;"",C$3,"NA"),'MITRE ATT&amp;CK Mappings'!$I898))),ISNUMBER(SEARCH(IF(C$3&lt;&gt;"",C$3,"NA"),'MITRE ATT&amp;CK Mappings'!$J898))), 'MITRE ATT&amp;CK Mappings'!$B898,"")</f>
        <v/>
      </c>
      <c r="D902" s="26" t="str">
        <f>IF(OR(OR(OR(OR(OR(ISNUMBER(SEARCH(IF(D$1&lt;&gt;"",D$1,"NA"),'MITRE ATT&amp;CK Mappings'!$E898)),ISNUMBER(SEARCH(IF(D$1&lt;&gt;"",D$1,"NA"),'MITRE ATT&amp;CK Mappings'!$F898))),ISNUMBER(SEARCH(IF(D$2&lt;&gt;"",D$2,"NA"),'MITRE ATT&amp;CK Mappings'!$G898))),ISNUMBER(SEARCH(IF(D$2&lt;&gt;"",D$2,"NA"),'MITRE ATT&amp;CK Mappings'!$H898))),ISNUMBER(SEARCH(IF(D$3&lt;&gt;"",D$3,"NA"),'MITRE ATT&amp;CK Mappings'!$I898))),ISNUMBER(SEARCH(IF(D$3&lt;&gt;"",D$3,"NA"),'MITRE ATT&amp;CK Mappings'!$J898))), 'MITRE ATT&amp;CK Mappings'!$B898,"")</f>
        <v/>
      </c>
      <c r="E902" s="26" t="str">
        <f>IF(OR(OR(OR(OR(OR(ISNUMBER(SEARCH(IF(E$1&lt;&gt;"",E$1,"NA"),'MITRE ATT&amp;CK Mappings'!$E898)),ISNUMBER(SEARCH(IF(E$1&lt;&gt;"",E$1,"NA"),'MITRE ATT&amp;CK Mappings'!$F898))),ISNUMBER(SEARCH(IF(E$2&lt;&gt;"",E$2,"NA"),'MITRE ATT&amp;CK Mappings'!$G898))),ISNUMBER(SEARCH(IF(E$2&lt;&gt;"",E$2,"NA"),'MITRE ATT&amp;CK Mappings'!$H898))),ISNUMBER(SEARCH(IF(E$3&lt;&gt;"",E$3,"NA"),'MITRE ATT&amp;CK Mappings'!$I898))),ISNUMBER(SEARCH(IF(E$3&lt;&gt;"",E$3,"NA"),'MITRE ATT&amp;CK Mappings'!$J898))), 'MITRE ATT&amp;CK Mappings'!$B898,"")</f>
        <v/>
      </c>
      <c r="F902" s="26" t="str">
        <f>IF(OR(OR(OR(OR(OR(ISNUMBER(SEARCH(IF(F$1&lt;&gt;"",F$1,"NA"),'MITRE ATT&amp;CK Mappings'!$E898)),ISNUMBER(SEARCH(IF(F$1&lt;&gt;"",F$1,"NA"),'MITRE ATT&amp;CK Mappings'!$F898))),ISNUMBER(SEARCH(IF(F$2&lt;&gt;"",F$2,"NA"),'MITRE ATT&amp;CK Mappings'!$G898))),ISNUMBER(SEARCH(IF(F$2&lt;&gt;"",F$2,"NA"),'MITRE ATT&amp;CK Mappings'!$H898))),ISNUMBER(SEARCH(IF(F$3&lt;&gt;"",F$3,"NA"),'MITRE ATT&amp;CK Mappings'!$I898))),ISNUMBER(SEARCH(IF(F$3&lt;&gt;"",F$3,"NA"),'MITRE ATT&amp;CK Mappings'!$J898))), 'MITRE ATT&amp;CK Mappings'!$B898,"")</f>
        <v/>
      </c>
      <c r="G902" s="26" t="str">
        <f>IF(OR(OR(OR(OR(OR(ISNUMBER(SEARCH(IF(G$1&lt;&gt;"",G$1,"NA"),'MITRE ATT&amp;CK Mappings'!$E898)),ISNUMBER(SEARCH(IF(G$1&lt;&gt;"",G$1,"NA"),'MITRE ATT&amp;CK Mappings'!$F898))),ISNUMBER(SEARCH(IF(G$2&lt;&gt;"",G$2,"NA"),'MITRE ATT&amp;CK Mappings'!$G898))),ISNUMBER(SEARCH(IF(G$2&lt;&gt;"",G$2,"NA"),'MITRE ATT&amp;CK Mappings'!$H898))),ISNUMBER(SEARCH(IF(G$3&lt;&gt;"",G$3,"NA"),'MITRE ATT&amp;CK Mappings'!$I898))),ISNUMBER(SEARCH(IF(G$3&lt;&gt;"",G$3,"NA"),'MITRE ATT&amp;CK Mappings'!$J898))), 'MITRE ATT&amp;CK Mappings'!$B898,"")</f>
        <v/>
      </c>
      <c r="H902" s="26" t="str">
        <f>IF(OR(OR(OR(OR(OR(ISNUMBER(SEARCH(IF(H$1&lt;&gt;"",H$1,"NA"),'MITRE ATT&amp;CK Mappings'!$E898)),ISNUMBER(SEARCH(IF(H$1&lt;&gt;"",H$1,"NA"),'MITRE ATT&amp;CK Mappings'!$F898))),ISNUMBER(SEARCH(IF(H$2&lt;&gt;"",H$2,"NA"),'MITRE ATT&amp;CK Mappings'!$G898))),ISNUMBER(SEARCH(IF(H$2&lt;&gt;"",H$2,"NA"),'MITRE ATT&amp;CK Mappings'!$H898))),ISNUMBER(SEARCH(IF(H$3&lt;&gt;"",H$3,"NA"),'MITRE ATT&amp;CK Mappings'!$I898))),ISNUMBER(SEARCH(IF(H$3&lt;&gt;"",H$3,"NA"),'MITRE ATT&amp;CK Mappings'!$J898))), 'MITRE ATT&amp;CK Mappings'!$B898,"")</f>
        <v/>
      </c>
      <c r="I902" s="26" t="str">
        <f>IF(OR(OR(OR(OR(OR(ISNUMBER(SEARCH(IF(I$1&lt;&gt;"",I$1,"NA"),'MITRE ATT&amp;CK Mappings'!$E898)),ISNUMBER(SEARCH(IF(I$1&lt;&gt;"",I$1,"NA"),'MITRE ATT&amp;CK Mappings'!$F898))),ISNUMBER(SEARCH(IF(I$2&lt;&gt;"",I$2,"NA"),'MITRE ATT&amp;CK Mappings'!$G898))),ISNUMBER(SEARCH(IF(I$2&lt;&gt;"",I$2,"NA"),'MITRE ATT&amp;CK Mappings'!$H898))),ISNUMBER(SEARCH(IF(I$3&lt;&gt;"",I$3,"NA"),'MITRE ATT&amp;CK Mappings'!$I898))),ISNUMBER(SEARCH(IF(I$3&lt;&gt;"",I$3,"NA"),'MITRE ATT&amp;CK Mappings'!$J898))), 'MITRE ATT&amp;CK Mappings'!$B898,"")</f>
        <v/>
      </c>
      <c r="J902" s="26" t="str">
        <f>IF(OR(OR(OR(OR(OR(ISNUMBER(SEARCH(IF(J$1&lt;&gt;"",J$1,"NA"),'MITRE ATT&amp;CK Mappings'!$E898)),ISNUMBER(SEARCH(IF(J$1&lt;&gt;"",J$1,"NA"),'MITRE ATT&amp;CK Mappings'!$F898))),ISNUMBER(SEARCH(IF(J$2&lt;&gt;"",J$2,"NA"),'MITRE ATT&amp;CK Mappings'!$G898))),ISNUMBER(SEARCH(IF(J$2&lt;&gt;"",J$2,"NA"),'MITRE ATT&amp;CK Mappings'!$H898))),ISNUMBER(SEARCH(IF(J$3&lt;&gt;"",J$3,"NA"),'MITRE ATT&amp;CK Mappings'!$I898))),ISNUMBER(SEARCH(IF(J$3&lt;&gt;"",J$3,"NA"),'MITRE ATT&amp;CK Mappings'!$J898))), 'MITRE ATT&amp;CK Mappings'!$B898,"")</f>
        <v/>
      </c>
      <c r="K902" s="26" t="str">
        <f>IF(OR(OR(OR(OR(OR(ISNUMBER(SEARCH(IF(K$1&lt;&gt;"",K$1,"NA"),'MITRE ATT&amp;CK Mappings'!$E898)),ISNUMBER(SEARCH(IF(K$1&lt;&gt;"",K$1,"NA"),'MITRE ATT&amp;CK Mappings'!$F898))),ISNUMBER(SEARCH(IF(K$2&lt;&gt;"",K$2,"NA"),'MITRE ATT&amp;CK Mappings'!$G898))),ISNUMBER(SEARCH(IF(K$2&lt;&gt;"",K$2,"NA"),'MITRE ATT&amp;CK Mappings'!$H898))),ISNUMBER(SEARCH(IF(K$3&lt;&gt;"",K$3,"NA"),'MITRE ATT&amp;CK Mappings'!$I898))),ISNUMBER(SEARCH(IF(K$3&lt;&gt;"",K$3,"NA"),'MITRE ATT&amp;CK Mappings'!$J898))), 'MITRE ATT&amp;CK Mappings'!$B898,"")</f>
        <v/>
      </c>
      <c r="L902" s="26" t="str">
        <f>IF('MITRE ATT&amp;CK Mappings'!D898 &lt;&gt;"",'MITRE ATT&amp;CK Mappings'!D898,"" )</f>
        <v/>
      </c>
    </row>
  </sheetData>
  <pageMargins left="0.7" right="0.7" top="0.75" bottom="0.75" header="0.3" footer="0.3"/>
  <pageSetup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License</vt:lpstr>
      <vt:lpstr>Level 1</vt:lpstr>
      <vt:lpstr>Level 2</vt:lpstr>
      <vt:lpstr>Combined Profiles</vt:lpstr>
      <vt:lpstr>MITRE ATT&amp;CK Mappings</vt:lpstr>
      <vt:lpstr>MITRE ATT&amp;CK Filtering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Ian McRee</cp:lastModifiedBy>
  <dcterms:created xsi:type="dcterms:W3CDTF">2025-09-30T22:39:53Z</dcterms:created>
  <dcterms:modified xsi:type="dcterms:W3CDTF">2025-10-01T00:09:35Z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9b22ce-70b9-4492-9367-00b8d15bffd6_Enabled">
    <vt:lpwstr>true</vt:lpwstr>
  </property>
  <property fmtid="{D5CDD505-2E9C-101B-9397-08002B2CF9AE}" pid="3" name="MSIP_Label_3d9b22ce-70b9-4492-9367-00b8d15bffd6_SetDate">
    <vt:lpwstr>2025-09-30T22:53:40Z</vt:lpwstr>
  </property>
  <property fmtid="{D5CDD505-2E9C-101B-9397-08002B2CF9AE}" pid="4" name="MSIP_Label_3d9b22ce-70b9-4492-9367-00b8d15bffd6_Method">
    <vt:lpwstr>Privileged</vt:lpwstr>
  </property>
  <property fmtid="{D5CDD505-2E9C-101B-9397-08002B2CF9AE}" pid="5" name="MSIP_Label_3d9b22ce-70b9-4492-9367-00b8d15bffd6_Name">
    <vt:lpwstr>Public non-business confidential</vt:lpwstr>
  </property>
  <property fmtid="{D5CDD505-2E9C-101B-9397-08002B2CF9AE}" pid="6" name="MSIP_Label_3d9b22ce-70b9-4492-9367-00b8d15bffd6_SiteId">
    <vt:lpwstr>0db8894b-5a7a-4432-8cdc-399a3807bda0</vt:lpwstr>
  </property>
  <property fmtid="{D5CDD505-2E9C-101B-9397-08002B2CF9AE}" pid="7" name="MSIP_Label_3d9b22ce-70b9-4492-9367-00b8d15bffd6_ActionId">
    <vt:lpwstr>62c11b1d-842b-41f9-8141-8b601fae45ab</vt:lpwstr>
  </property>
  <property fmtid="{D5CDD505-2E9C-101B-9397-08002B2CF9AE}" pid="8" name="MSIP_Label_3d9b22ce-70b9-4492-9367-00b8d15bffd6_ContentBits">
    <vt:lpwstr>0</vt:lpwstr>
  </property>
  <property fmtid="{D5CDD505-2E9C-101B-9397-08002B2CF9AE}" pid="9" name="MSIP_Label_3d9b22ce-70b9-4492-9367-00b8d15bffd6_Tag">
    <vt:lpwstr>10, 0, 1, 1</vt:lpwstr>
  </property>
</Properties>
</file>